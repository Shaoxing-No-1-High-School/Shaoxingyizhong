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w\Desktop\2025体育工作下（2026.3--7）\2026年体测运动会\体测成绩\"/>
    </mc:Choice>
  </mc:AlternateContent>
  <xr:revisionPtr revIDLastSave="0" documentId="13_ncr:1_{D7D675AA-0F03-4603-A27D-74548146ECD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高一2026" sheetId="1" r:id="rId1"/>
    <sheet name="高二2026" sheetId="2" r:id="rId2"/>
  </sheets>
  <externalReferences>
    <externalReference r:id="rId3"/>
  </externalReferences>
  <definedNames>
    <definedName name="_xlnm._FilterDatabase" localSheetId="1" hidden="1">高二2026!$A$1:$Z$1</definedName>
    <definedName name="_xlnm._FilterDatabase" localSheetId="0" hidden="1">高一2026!$A$1:$Z$1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37" i="2" l="1"/>
  <c r="T737" i="2"/>
  <c r="U737" i="2" s="1"/>
  <c r="N737" i="2"/>
  <c r="O737" i="2" s="1"/>
  <c r="V736" i="2"/>
  <c r="T736" i="2"/>
  <c r="U736" i="2" s="1"/>
  <c r="N736" i="2"/>
  <c r="O736" i="2" s="1"/>
  <c r="V735" i="2"/>
  <c r="T735" i="2"/>
  <c r="U735" i="2" s="1"/>
  <c r="N735" i="2"/>
  <c r="O735" i="2" s="1"/>
  <c r="V734" i="2"/>
  <c r="T734" i="2"/>
  <c r="U734" i="2" s="1"/>
  <c r="N734" i="2"/>
  <c r="O734" i="2" s="1"/>
  <c r="V687" i="2"/>
  <c r="T687" i="2"/>
  <c r="U687" i="2" s="1"/>
  <c r="N687" i="2"/>
  <c r="O687" i="2" s="1"/>
  <c r="V686" i="2"/>
  <c r="T686" i="2"/>
  <c r="U686" i="2" s="1"/>
  <c r="N686" i="2"/>
  <c r="O686" i="2" s="1"/>
  <c r="V640" i="2"/>
  <c r="T640" i="2"/>
  <c r="U640" i="2" s="1"/>
  <c r="N640" i="2"/>
  <c r="O640" i="2" s="1"/>
  <c r="V639" i="2"/>
  <c r="T639" i="2"/>
  <c r="U639" i="2" s="1"/>
  <c r="N639" i="2"/>
  <c r="O639" i="2" s="1"/>
  <c r="V593" i="2"/>
  <c r="T593" i="2"/>
  <c r="U593" i="2" s="1"/>
  <c r="N593" i="2"/>
  <c r="O593" i="2" s="1"/>
  <c r="V592" i="2"/>
  <c r="T592" i="2"/>
  <c r="U592" i="2" s="1"/>
  <c r="N592" i="2"/>
  <c r="O592" i="2" s="1"/>
  <c r="V591" i="2"/>
  <c r="T591" i="2"/>
  <c r="U591" i="2" s="1"/>
  <c r="N591" i="2"/>
  <c r="O591" i="2" s="1"/>
  <c r="V590" i="2"/>
  <c r="T590" i="2"/>
  <c r="U590" i="2" s="1"/>
  <c r="N590" i="2"/>
  <c r="O590" i="2" s="1"/>
  <c r="V544" i="2"/>
  <c r="T544" i="2"/>
  <c r="U544" i="2" s="1"/>
  <c r="N544" i="2"/>
  <c r="O544" i="2" s="1"/>
  <c r="V543" i="2"/>
  <c r="T543" i="2"/>
  <c r="U543" i="2" s="1"/>
  <c r="N543" i="2"/>
  <c r="O543" i="2" s="1"/>
  <c r="V498" i="2"/>
  <c r="T498" i="2"/>
  <c r="U498" i="2" s="1"/>
  <c r="N498" i="2"/>
  <c r="O498" i="2" s="1"/>
  <c r="V497" i="2"/>
  <c r="T497" i="2"/>
  <c r="U497" i="2" s="1"/>
  <c r="N497" i="2"/>
  <c r="O497" i="2" s="1"/>
  <c r="V496" i="2"/>
  <c r="T496" i="2"/>
  <c r="U496" i="2" s="1"/>
  <c r="N496" i="2"/>
  <c r="O496" i="2" s="1"/>
  <c r="V405" i="2"/>
  <c r="T405" i="2"/>
  <c r="U405" i="2" s="1"/>
  <c r="N405" i="2"/>
  <c r="O405" i="2" s="1"/>
  <c r="V357" i="2"/>
  <c r="T357" i="2"/>
  <c r="U357" i="2" s="1"/>
  <c r="N357" i="2"/>
  <c r="O357" i="2" s="1"/>
  <c r="V356" i="2"/>
  <c r="T356" i="2"/>
  <c r="U356" i="2" s="1"/>
  <c r="N356" i="2"/>
  <c r="O356" i="2" s="1"/>
  <c r="V355" i="2"/>
  <c r="T355" i="2"/>
  <c r="U355" i="2" s="1"/>
  <c r="N355" i="2"/>
  <c r="O355" i="2" s="1"/>
  <c r="V354" i="2"/>
  <c r="T354" i="2"/>
  <c r="U354" i="2" s="1"/>
  <c r="N354" i="2"/>
  <c r="O354" i="2" s="1"/>
  <c r="V313" i="2"/>
  <c r="T313" i="2"/>
  <c r="U313" i="2" s="1"/>
  <c r="N313" i="2"/>
  <c r="O313" i="2" s="1"/>
  <c r="V312" i="2"/>
  <c r="T312" i="2"/>
  <c r="U312" i="2" s="1"/>
  <c r="N312" i="2"/>
  <c r="O312" i="2" s="1"/>
  <c r="V311" i="2"/>
  <c r="T311" i="2"/>
  <c r="U311" i="2" s="1"/>
  <c r="N311" i="2"/>
  <c r="O311" i="2" s="1"/>
  <c r="V271" i="2"/>
  <c r="T271" i="2"/>
  <c r="U271" i="2" s="1"/>
  <c r="N271" i="2"/>
  <c r="O271" i="2" s="1"/>
  <c r="V270" i="2"/>
  <c r="T270" i="2"/>
  <c r="U270" i="2" s="1"/>
  <c r="N270" i="2"/>
  <c r="O270" i="2" s="1"/>
  <c r="V228" i="2"/>
  <c r="T228" i="2"/>
  <c r="U228" i="2" s="1"/>
  <c r="N228" i="2"/>
  <c r="O228" i="2" s="1"/>
  <c r="V227" i="2"/>
  <c r="T227" i="2"/>
  <c r="U227" i="2" s="1"/>
  <c r="N227" i="2"/>
  <c r="O227" i="2" s="1"/>
  <c r="V226" i="2"/>
  <c r="T226" i="2"/>
  <c r="U226" i="2" s="1"/>
  <c r="N226" i="2"/>
  <c r="O226" i="2" s="1"/>
  <c r="V225" i="2"/>
  <c r="T225" i="2"/>
  <c r="U225" i="2" s="1"/>
  <c r="N225" i="2"/>
  <c r="O225" i="2" s="1"/>
  <c r="V224" i="2"/>
  <c r="T224" i="2"/>
  <c r="U224" i="2" s="1"/>
  <c r="N224" i="2"/>
  <c r="O224" i="2" s="1"/>
  <c r="V170" i="2"/>
  <c r="T170" i="2"/>
  <c r="U170" i="2" s="1"/>
  <c r="N170" i="2"/>
  <c r="O170" i="2" s="1"/>
  <c r="V169" i="2"/>
  <c r="T169" i="2"/>
  <c r="U169" i="2" s="1"/>
  <c r="N169" i="2"/>
  <c r="O169" i="2" s="1"/>
  <c r="V168" i="2"/>
  <c r="T168" i="2"/>
  <c r="U168" i="2" s="1"/>
  <c r="N168" i="2"/>
  <c r="O168" i="2" s="1"/>
  <c r="V167" i="2"/>
  <c r="T167" i="2"/>
  <c r="U167" i="2" s="1"/>
  <c r="N167" i="2"/>
  <c r="O167" i="2" s="1"/>
  <c r="V166" i="2"/>
  <c r="T166" i="2"/>
  <c r="U166" i="2" s="1"/>
  <c r="N166" i="2"/>
  <c r="O166" i="2" s="1"/>
  <c r="V112" i="2"/>
  <c r="T112" i="2"/>
  <c r="U112" i="2" s="1"/>
  <c r="N112" i="2"/>
  <c r="O112" i="2" s="1"/>
  <c r="V111" i="2"/>
  <c r="T111" i="2"/>
  <c r="U111" i="2" s="1"/>
  <c r="N111" i="2"/>
  <c r="O111" i="2" s="1"/>
  <c r="V110" i="2"/>
  <c r="T110" i="2"/>
  <c r="U110" i="2" s="1"/>
  <c r="N110" i="2"/>
  <c r="O110" i="2" s="1"/>
  <c r="V54" i="2"/>
  <c r="T54" i="2"/>
  <c r="U54" i="2" s="1"/>
  <c r="N54" i="2"/>
  <c r="O54" i="2" s="1"/>
  <c r="V53" i="2"/>
  <c r="T53" i="2"/>
  <c r="U53" i="2" s="1"/>
  <c r="N53" i="2"/>
  <c r="O53" i="2" s="1"/>
  <c r="V52" i="2"/>
  <c r="T52" i="2"/>
  <c r="U52" i="2" s="1"/>
  <c r="N52" i="2"/>
  <c r="O52" i="2" s="1"/>
  <c r="V542" i="2"/>
  <c r="T542" i="2"/>
  <c r="U542" i="2" s="1"/>
  <c r="N542" i="2"/>
  <c r="O542" i="2" s="1"/>
  <c r="K542" i="2"/>
  <c r="I542" i="2"/>
  <c r="T310" i="2"/>
  <c r="U310" i="2" s="1"/>
  <c r="P310" i="2"/>
  <c r="N310" i="2"/>
  <c r="O310" i="2" s="1"/>
  <c r="W310" i="2" s="1"/>
  <c r="M310" i="2"/>
  <c r="K310" i="2"/>
  <c r="I310" i="2"/>
  <c r="G310" i="2"/>
  <c r="S685" i="2"/>
  <c r="T685" i="2" s="1"/>
  <c r="R685" i="2"/>
  <c r="N685" i="2"/>
  <c r="O685" i="2" s="1"/>
  <c r="M685" i="2"/>
  <c r="P685" i="2" s="1"/>
  <c r="K685" i="2"/>
  <c r="I685" i="2"/>
  <c r="G685" i="2"/>
  <c r="S733" i="2"/>
  <c r="T733" i="2" s="1"/>
  <c r="U733" i="2" s="1"/>
  <c r="R733" i="2"/>
  <c r="O733" i="2"/>
  <c r="P733" i="2" s="1"/>
  <c r="N733" i="2"/>
  <c r="K733" i="2"/>
  <c r="I733" i="2"/>
  <c r="V733" i="2" s="1"/>
  <c r="G733" i="2"/>
  <c r="S269" i="2"/>
  <c r="T269" i="2" s="1"/>
  <c r="R269" i="2"/>
  <c r="N269" i="2"/>
  <c r="O269" i="2" s="1"/>
  <c r="M269" i="2"/>
  <c r="P269" i="2" s="1"/>
  <c r="K269" i="2"/>
  <c r="I269" i="2"/>
  <c r="G269" i="2"/>
  <c r="S404" i="2"/>
  <c r="T404" i="2" s="1"/>
  <c r="U404" i="2" s="1"/>
  <c r="R404" i="2"/>
  <c r="O404" i="2"/>
  <c r="N404" i="2"/>
  <c r="M404" i="2"/>
  <c r="P404" i="2" s="1"/>
  <c r="K404" i="2"/>
  <c r="I404" i="2"/>
  <c r="G404" i="2"/>
  <c r="S353" i="2"/>
  <c r="T353" i="2" s="1"/>
  <c r="R353" i="2"/>
  <c r="N353" i="2"/>
  <c r="O353" i="2" s="1"/>
  <c r="M353" i="2"/>
  <c r="K353" i="2"/>
  <c r="I353" i="2"/>
  <c r="G353" i="2"/>
  <c r="S109" i="2"/>
  <c r="T109" i="2" s="1"/>
  <c r="R109" i="2"/>
  <c r="N109" i="2"/>
  <c r="O109" i="2" s="1"/>
  <c r="M109" i="2"/>
  <c r="K109" i="2"/>
  <c r="I109" i="2"/>
  <c r="G109" i="2"/>
  <c r="S495" i="2"/>
  <c r="T495" i="2" s="1"/>
  <c r="R495" i="2"/>
  <c r="N495" i="2"/>
  <c r="O495" i="2" s="1"/>
  <c r="W495" i="2" s="1"/>
  <c r="M495" i="2"/>
  <c r="K495" i="2"/>
  <c r="I495" i="2"/>
  <c r="G495" i="2"/>
  <c r="S51" i="2"/>
  <c r="T51" i="2" s="1"/>
  <c r="R51" i="2"/>
  <c r="N51" i="2"/>
  <c r="O51" i="2" s="1"/>
  <c r="M51" i="2"/>
  <c r="K51" i="2"/>
  <c r="V51" i="2" s="1"/>
  <c r="I51" i="2"/>
  <c r="G51" i="2"/>
  <c r="S309" i="2"/>
  <c r="T309" i="2" s="1"/>
  <c r="W309" i="2" s="1"/>
  <c r="R309" i="2"/>
  <c r="N309" i="2"/>
  <c r="O309" i="2" s="1"/>
  <c r="M309" i="2"/>
  <c r="K309" i="2"/>
  <c r="I309" i="2"/>
  <c r="G309" i="2"/>
  <c r="S352" i="2"/>
  <c r="T352" i="2" s="1"/>
  <c r="R352" i="2"/>
  <c r="N352" i="2"/>
  <c r="O352" i="2" s="1"/>
  <c r="M352" i="2"/>
  <c r="K352" i="2"/>
  <c r="I352" i="2"/>
  <c r="G352" i="2"/>
  <c r="S308" i="2"/>
  <c r="T308" i="2" s="1"/>
  <c r="R308" i="2"/>
  <c r="U308" i="2" s="1"/>
  <c r="O308" i="2"/>
  <c r="W308" i="2" s="1"/>
  <c r="N308" i="2"/>
  <c r="M308" i="2"/>
  <c r="K308" i="2"/>
  <c r="I308" i="2"/>
  <c r="G308" i="2"/>
  <c r="S453" i="2"/>
  <c r="T453" i="2" s="1"/>
  <c r="R453" i="2"/>
  <c r="N453" i="2"/>
  <c r="O453" i="2" s="1"/>
  <c r="P453" i="2" s="1"/>
  <c r="M453" i="2"/>
  <c r="K453" i="2"/>
  <c r="I453" i="2"/>
  <c r="G453" i="2"/>
  <c r="T307" i="2"/>
  <c r="R307" i="2"/>
  <c r="O307" i="2"/>
  <c r="K307" i="2"/>
  <c r="I307" i="2"/>
  <c r="V307" i="2" s="1"/>
  <c r="G307" i="2"/>
  <c r="T638" i="2"/>
  <c r="U638" i="2" s="1"/>
  <c r="O638" i="2"/>
  <c r="N638" i="2"/>
  <c r="I638" i="2"/>
  <c r="V638" i="2" s="1"/>
  <c r="T306" i="2"/>
  <c r="S306" i="2"/>
  <c r="R306" i="2"/>
  <c r="N306" i="2"/>
  <c r="O306" i="2" s="1"/>
  <c r="W306" i="2" s="1"/>
  <c r="M306" i="2"/>
  <c r="K306" i="2"/>
  <c r="I306" i="2"/>
  <c r="G306" i="2"/>
  <c r="S589" i="2"/>
  <c r="T589" i="2" s="1"/>
  <c r="R589" i="2"/>
  <c r="N589" i="2"/>
  <c r="O589" i="2" s="1"/>
  <c r="M589" i="2"/>
  <c r="K589" i="2"/>
  <c r="I589" i="2"/>
  <c r="G589" i="2"/>
  <c r="U305" i="2"/>
  <c r="S305" i="2"/>
  <c r="T305" i="2" s="1"/>
  <c r="R305" i="2"/>
  <c r="N305" i="2"/>
  <c r="O305" i="2" s="1"/>
  <c r="W305" i="2" s="1"/>
  <c r="M305" i="2"/>
  <c r="K305" i="2"/>
  <c r="I305" i="2"/>
  <c r="G305" i="2"/>
  <c r="S732" i="2"/>
  <c r="T732" i="2" s="1"/>
  <c r="R732" i="2"/>
  <c r="N732" i="2"/>
  <c r="O732" i="2" s="1"/>
  <c r="P732" i="2" s="1"/>
  <c r="M732" i="2"/>
  <c r="K732" i="2"/>
  <c r="I732" i="2"/>
  <c r="G732" i="2"/>
  <c r="S731" i="2"/>
  <c r="T731" i="2" s="1"/>
  <c r="R731" i="2"/>
  <c r="N731" i="2"/>
  <c r="O731" i="2" s="1"/>
  <c r="K731" i="2"/>
  <c r="I731" i="2"/>
  <c r="G731" i="2"/>
  <c r="T730" i="2"/>
  <c r="S730" i="2"/>
  <c r="R730" i="2"/>
  <c r="N730" i="2"/>
  <c r="O730" i="2" s="1"/>
  <c r="M730" i="2"/>
  <c r="P730" i="2" s="1"/>
  <c r="K730" i="2"/>
  <c r="I730" i="2"/>
  <c r="G730" i="2"/>
  <c r="S268" i="2"/>
  <c r="T268" i="2" s="1"/>
  <c r="U268" i="2" s="1"/>
  <c r="R268" i="2"/>
  <c r="N268" i="2"/>
  <c r="O268" i="2" s="1"/>
  <c r="M268" i="2"/>
  <c r="K268" i="2"/>
  <c r="I268" i="2"/>
  <c r="G268" i="2"/>
  <c r="V268" i="2" s="1"/>
  <c r="S267" i="2"/>
  <c r="T267" i="2" s="1"/>
  <c r="R267" i="2"/>
  <c r="N267" i="2"/>
  <c r="O267" i="2" s="1"/>
  <c r="M267" i="2"/>
  <c r="K267" i="2"/>
  <c r="I267" i="2"/>
  <c r="G267" i="2"/>
  <c r="S403" i="2"/>
  <c r="T403" i="2" s="1"/>
  <c r="R403" i="2"/>
  <c r="N403" i="2"/>
  <c r="O403" i="2" s="1"/>
  <c r="M403" i="2"/>
  <c r="P403" i="2" s="1"/>
  <c r="K403" i="2"/>
  <c r="I403" i="2"/>
  <c r="V403" i="2" s="1"/>
  <c r="G403" i="2"/>
  <c r="S588" i="2"/>
  <c r="T588" i="2" s="1"/>
  <c r="R588" i="2"/>
  <c r="U588" i="2" s="1"/>
  <c r="N588" i="2"/>
  <c r="O588" i="2" s="1"/>
  <c r="W588" i="2" s="1"/>
  <c r="M588" i="2"/>
  <c r="K588" i="2"/>
  <c r="I588" i="2"/>
  <c r="G588" i="2"/>
  <c r="S452" i="2"/>
  <c r="T452" i="2" s="1"/>
  <c r="W452" i="2" s="1"/>
  <c r="R452" i="2"/>
  <c r="N452" i="2"/>
  <c r="O452" i="2" s="1"/>
  <c r="P452" i="2" s="1"/>
  <c r="M452" i="2"/>
  <c r="K452" i="2"/>
  <c r="I452" i="2"/>
  <c r="G452" i="2"/>
  <c r="S587" i="2"/>
  <c r="T587" i="2" s="1"/>
  <c r="R587" i="2"/>
  <c r="U587" i="2" s="1"/>
  <c r="N587" i="2"/>
  <c r="O587" i="2" s="1"/>
  <c r="W587" i="2" s="1"/>
  <c r="M587" i="2"/>
  <c r="K587" i="2"/>
  <c r="I587" i="2"/>
  <c r="G587" i="2"/>
  <c r="W494" i="2"/>
  <c r="T494" i="2"/>
  <c r="U494" i="2" s="1"/>
  <c r="O494" i="2"/>
  <c r="P494" i="2" s="1"/>
  <c r="N494" i="2"/>
  <c r="I494" i="2"/>
  <c r="V494" i="2" s="1"/>
  <c r="S304" i="2"/>
  <c r="T304" i="2" s="1"/>
  <c r="R304" i="2"/>
  <c r="O304" i="2"/>
  <c r="N304" i="2"/>
  <c r="M304" i="2"/>
  <c r="K304" i="2"/>
  <c r="I304" i="2"/>
  <c r="V304" i="2" s="1"/>
  <c r="G304" i="2"/>
  <c r="T303" i="2"/>
  <c r="U303" i="2" s="1"/>
  <c r="N303" i="2"/>
  <c r="O303" i="2" s="1"/>
  <c r="W303" i="2" s="1"/>
  <c r="M303" i="2"/>
  <c r="K303" i="2"/>
  <c r="I303" i="2"/>
  <c r="G303" i="2"/>
  <c r="S586" i="2"/>
  <c r="T586" i="2" s="1"/>
  <c r="U586" i="2" s="1"/>
  <c r="R586" i="2"/>
  <c r="N586" i="2"/>
  <c r="O586" i="2" s="1"/>
  <c r="M586" i="2"/>
  <c r="K586" i="2"/>
  <c r="I586" i="2"/>
  <c r="G586" i="2"/>
  <c r="S302" i="2"/>
  <c r="T302" i="2" s="1"/>
  <c r="U302" i="2" s="1"/>
  <c r="R302" i="2"/>
  <c r="P302" i="2"/>
  <c r="N302" i="2"/>
  <c r="O302" i="2" s="1"/>
  <c r="M302" i="2"/>
  <c r="K302" i="2"/>
  <c r="I302" i="2"/>
  <c r="V302" i="2" s="1"/>
  <c r="G302" i="2"/>
  <c r="S50" i="2"/>
  <c r="T50" i="2" s="1"/>
  <c r="U50" i="2" s="1"/>
  <c r="R50" i="2"/>
  <c r="O50" i="2"/>
  <c r="N50" i="2"/>
  <c r="M50" i="2"/>
  <c r="K50" i="2"/>
  <c r="I50" i="2"/>
  <c r="G50" i="2"/>
  <c r="T541" i="2"/>
  <c r="S541" i="2"/>
  <c r="R541" i="2"/>
  <c r="N541" i="2"/>
  <c r="O541" i="2" s="1"/>
  <c r="M541" i="2"/>
  <c r="P541" i="2" s="1"/>
  <c r="K541" i="2"/>
  <c r="I541" i="2"/>
  <c r="G541" i="2"/>
  <c r="S266" i="2"/>
  <c r="T266" i="2" s="1"/>
  <c r="R266" i="2"/>
  <c r="O266" i="2"/>
  <c r="N266" i="2"/>
  <c r="M266" i="2"/>
  <c r="K266" i="2"/>
  <c r="I266" i="2"/>
  <c r="G266" i="2"/>
  <c r="S351" i="2"/>
  <c r="T351" i="2" s="1"/>
  <c r="R351" i="2"/>
  <c r="U351" i="2" s="1"/>
  <c r="N351" i="2"/>
  <c r="O351" i="2" s="1"/>
  <c r="W351" i="2" s="1"/>
  <c r="M351" i="2"/>
  <c r="K351" i="2"/>
  <c r="V351" i="2" s="1"/>
  <c r="I351" i="2"/>
  <c r="G351" i="2"/>
  <c r="T350" i="2"/>
  <c r="S350" i="2"/>
  <c r="R350" i="2"/>
  <c r="U350" i="2" s="1"/>
  <c r="N350" i="2"/>
  <c r="O350" i="2" s="1"/>
  <c r="M350" i="2"/>
  <c r="P350" i="2" s="1"/>
  <c r="K350" i="2"/>
  <c r="I350" i="2"/>
  <c r="G350" i="2"/>
  <c r="T451" i="2"/>
  <c r="U451" i="2" s="1"/>
  <c r="S451" i="2"/>
  <c r="R451" i="2"/>
  <c r="O451" i="2"/>
  <c r="N451" i="2"/>
  <c r="M451" i="2"/>
  <c r="K451" i="2"/>
  <c r="I451" i="2"/>
  <c r="V451" i="2" s="1"/>
  <c r="G451" i="2"/>
  <c r="S265" i="2"/>
  <c r="T265" i="2" s="1"/>
  <c r="R265" i="2"/>
  <c r="N265" i="2"/>
  <c r="O265" i="2" s="1"/>
  <c r="W265" i="2" s="1"/>
  <c r="M265" i="2"/>
  <c r="K265" i="2"/>
  <c r="I265" i="2"/>
  <c r="G265" i="2"/>
  <c r="T264" i="2"/>
  <c r="S264" i="2"/>
  <c r="R264" i="2"/>
  <c r="U264" i="2" s="1"/>
  <c r="N264" i="2"/>
  <c r="O264" i="2" s="1"/>
  <c r="W264" i="2" s="1"/>
  <c r="M264" i="2"/>
  <c r="K264" i="2"/>
  <c r="V264" i="2" s="1"/>
  <c r="I264" i="2"/>
  <c r="G264" i="2"/>
  <c r="T301" i="2"/>
  <c r="U301" i="2" s="1"/>
  <c r="N301" i="2"/>
  <c r="O301" i="2" s="1"/>
  <c r="M301" i="2"/>
  <c r="K301" i="2"/>
  <c r="I301" i="2"/>
  <c r="G301" i="2"/>
  <c r="T637" i="2"/>
  <c r="S637" i="2"/>
  <c r="R637" i="2"/>
  <c r="O637" i="2"/>
  <c r="N637" i="2"/>
  <c r="M637" i="2"/>
  <c r="P637" i="2" s="1"/>
  <c r="K637" i="2"/>
  <c r="I637" i="2"/>
  <c r="G637" i="2"/>
  <c r="S263" i="2"/>
  <c r="T263" i="2" s="1"/>
  <c r="R263" i="2"/>
  <c r="O263" i="2"/>
  <c r="N263" i="2"/>
  <c r="M263" i="2"/>
  <c r="K263" i="2"/>
  <c r="I263" i="2"/>
  <c r="G263" i="2"/>
  <c r="S165" i="2"/>
  <c r="T165" i="2" s="1"/>
  <c r="R165" i="2"/>
  <c r="N165" i="2"/>
  <c r="O165" i="2" s="1"/>
  <c r="M165" i="2"/>
  <c r="K165" i="2"/>
  <c r="I165" i="2"/>
  <c r="G165" i="2"/>
  <c r="T164" i="2"/>
  <c r="R164" i="2"/>
  <c r="N164" i="2"/>
  <c r="O164" i="2" s="1"/>
  <c r="M164" i="2"/>
  <c r="K164" i="2"/>
  <c r="I164" i="2"/>
  <c r="G164" i="2"/>
  <c r="S262" i="2"/>
  <c r="T262" i="2" s="1"/>
  <c r="R262" i="2"/>
  <c r="U262" i="2" s="1"/>
  <c r="N262" i="2"/>
  <c r="O262" i="2" s="1"/>
  <c r="M262" i="2"/>
  <c r="K262" i="2"/>
  <c r="I262" i="2"/>
  <c r="G262" i="2"/>
  <c r="T684" i="2"/>
  <c r="S684" i="2"/>
  <c r="R684" i="2"/>
  <c r="O684" i="2"/>
  <c r="N684" i="2"/>
  <c r="M684" i="2"/>
  <c r="P684" i="2" s="1"/>
  <c r="K684" i="2"/>
  <c r="I684" i="2"/>
  <c r="G684" i="2"/>
  <c r="S493" i="2"/>
  <c r="T493" i="2" s="1"/>
  <c r="R493" i="2"/>
  <c r="O493" i="2"/>
  <c r="N493" i="2"/>
  <c r="M493" i="2"/>
  <c r="K493" i="2"/>
  <c r="I493" i="2"/>
  <c r="G493" i="2"/>
  <c r="S300" i="2"/>
  <c r="T300" i="2" s="1"/>
  <c r="R300" i="2"/>
  <c r="N300" i="2"/>
  <c r="O300" i="2" s="1"/>
  <c r="M300" i="2"/>
  <c r="K300" i="2"/>
  <c r="I300" i="2"/>
  <c r="G300" i="2"/>
  <c r="S349" i="2"/>
  <c r="T349" i="2" s="1"/>
  <c r="R349" i="2"/>
  <c r="N349" i="2"/>
  <c r="O349" i="2" s="1"/>
  <c r="M349" i="2"/>
  <c r="K349" i="2"/>
  <c r="I349" i="2"/>
  <c r="G349" i="2"/>
  <c r="T261" i="2"/>
  <c r="U261" i="2" s="1"/>
  <c r="S261" i="2"/>
  <c r="R261" i="2"/>
  <c r="N261" i="2"/>
  <c r="O261" i="2" s="1"/>
  <c r="M261" i="2"/>
  <c r="K261" i="2"/>
  <c r="I261" i="2"/>
  <c r="G261" i="2"/>
  <c r="S260" i="2"/>
  <c r="T260" i="2" s="1"/>
  <c r="U260" i="2" s="1"/>
  <c r="R260" i="2"/>
  <c r="N260" i="2"/>
  <c r="O260" i="2" s="1"/>
  <c r="M260" i="2"/>
  <c r="K260" i="2"/>
  <c r="I260" i="2"/>
  <c r="G260" i="2"/>
  <c r="U163" i="2"/>
  <c r="T163" i="2"/>
  <c r="O163" i="2"/>
  <c r="P163" i="2" s="1"/>
  <c r="N163" i="2"/>
  <c r="K163" i="2"/>
  <c r="I163" i="2"/>
  <c r="V163" i="2" s="1"/>
  <c r="S585" i="2"/>
  <c r="T585" i="2" s="1"/>
  <c r="U585" i="2" s="1"/>
  <c r="R585" i="2"/>
  <c r="O585" i="2"/>
  <c r="N585" i="2"/>
  <c r="M585" i="2"/>
  <c r="K585" i="2"/>
  <c r="I585" i="2"/>
  <c r="G585" i="2"/>
  <c r="S450" i="2"/>
  <c r="T450" i="2" s="1"/>
  <c r="U450" i="2" s="1"/>
  <c r="R450" i="2"/>
  <c r="N450" i="2"/>
  <c r="O450" i="2" s="1"/>
  <c r="M450" i="2"/>
  <c r="K450" i="2"/>
  <c r="I450" i="2"/>
  <c r="G450" i="2"/>
  <c r="U108" i="2"/>
  <c r="T108" i="2"/>
  <c r="O108" i="2"/>
  <c r="P108" i="2" s="1"/>
  <c r="N108" i="2"/>
  <c r="K108" i="2"/>
  <c r="I108" i="2"/>
  <c r="V108" i="2" s="1"/>
  <c r="T402" i="2"/>
  <c r="S402" i="2"/>
  <c r="R402" i="2"/>
  <c r="U402" i="2" s="1"/>
  <c r="N402" i="2"/>
  <c r="O402" i="2" s="1"/>
  <c r="W402" i="2" s="1"/>
  <c r="M402" i="2"/>
  <c r="K402" i="2"/>
  <c r="I402" i="2"/>
  <c r="G402" i="2"/>
  <c r="T299" i="2"/>
  <c r="S299" i="2"/>
  <c r="R299" i="2"/>
  <c r="N299" i="2"/>
  <c r="O299" i="2" s="1"/>
  <c r="M299" i="2"/>
  <c r="P299" i="2" s="1"/>
  <c r="K299" i="2"/>
  <c r="I299" i="2"/>
  <c r="V299" i="2" s="1"/>
  <c r="G299" i="2"/>
  <c r="S348" i="2"/>
  <c r="T348" i="2" s="1"/>
  <c r="R348" i="2"/>
  <c r="N348" i="2"/>
  <c r="O348" i="2" s="1"/>
  <c r="W348" i="2" s="1"/>
  <c r="M348" i="2"/>
  <c r="K348" i="2"/>
  <c r="I348" i="2"/>
  <c r="G348" i="2"/>
  <c r="S584" i="2"/>
  <c r="T584" i="2" s="1"/>
  <c r="R584" i="2"/>
  <c r="U584" i="2" s="1"/>
  <c r="N584" i="2"/>
  <c r="O584" i="2" s="1"/>
  <c r="M584" i="2"/>
  <c r="K584" i="2"/>
  <c r="I584" i="2"/>
  <c r="G584" i="2"/>
  <c r="S298" i="2"/>
  <c r="T298" i="2" s="1"/>
  <c r="R298" i="2"/>
  <c r="N298" i="2"/>
  <c r="O298" i="2" s="1"/>
  <c r="M298" i="2"/>
  <c r="K298" i="2"/>
  <c r="I298" i="2"/>
  <c r="G298" i="2"/>
  <c r="T49" i="2"/>
  <c r="U49" i="2" s="1"/>
  <c r="O49" i="2"/>
  <c r="W49" i="2" s="1"/>
  <c r="N49" i="2"/>
  <c r="M49" i="2"/>
  <c r="K49" i="2"/>
  <c r="I49" i="2"/>
  <c r="V49" i="2" s="1"/>
  <c r="X49" i="2" s="1"/>
  <c r="S401" i="2"/>
  <c r="T401" i="2" s="1"/>
  <c r="R401" i="2"/>
  <c r="N401" i="2"/>
  <c r="O401" i="2" s="1"/>
  <c r="W401" i="2" s="1"/>
  <c r="M401" i="2"/>
  <c r="K401" i="2"/>
  <c r="I401" i="2"/>
  <c r="G401" i="2"/>
  <c r="T107" i="2"/>
  <c r="U107" i="2" s="1"/>
  <c r="N107" i="2"/>
  <c r="O107" i="2" s="1"/>
  <c r="M107" i="2"/>
  <c r="K107" i="2"/>
  <c r="I107" i="2"/>
  <c r="T683" i="2"/>
  <c r="U683" i="2" s="1"/>
  <c r="N683" i="2"/>
  <c r="O683" i="2" s="1"/>
  <c r="P683" i="2" s="1"/>
  <c r="M683" i="2"/>
  <c r="K683" i="2"/>
  <c r="I683" i="2"/>
  <c r="T259" i="2"/>
  <c r="R259" i="2"/>
  <c r="O259" i="2"/>
  <c r="K259" i="2"/>
  <c r="I259" i="2"/>
  <c r="G259" i="2"/>
  <c r="U636" i="2"/>
  <c r="S636" i="2"/>
  <c r="T636" i="2" s="1"/>
  <c r="R636" i="2"/>
  <c r="N636" i="2"/>
  <c r="O636" i="2" s="1"/>
  <c r="M636" i="2"/>
  <c r="K636" i="2"/>
  <c r="I636" i="2"/>
  <c r="G636" i="2"/>
  <c r="T223" i="2"/>
  <c r="S223" i="2"/>
  <c r="R223" i="2"/>
  <c r="P223" i="2"/>
  <c r="O223" i="2"/>
  <c r="N223" i="2"/>
  <c r="M223" i="2"/>
  <c r="K223" i="2"/>
  <c r="I223" i="2"/>
  <c r="V223" i="2" s="1"/>
  <c r="G223" i="2"/>
  <c r="S162" i="2"/>
  <c r="T162" i="2" s="1"/>
  <c r="R162" i="2"/>
  <c r="N162" i="2"/>
  <c r="O162" i="2" s="1"/>
  <c r="M162" i="2"/>
  <c r="K162" i="2"/>
  <c r="I162" i="2"/>
  <c r="G162" i="2"/>
  <c r="S540" i="2"/>
  <c r="T540" i="2" s="1"/>
  <c r="R540" i="2"/>
  <c r="N540" i="2"/>
  <c r="O540" i="2" s="1"/>
  <c r="W540" i="2" s="1"/>
  <c r="M540" i="2"/>
  <c r="K540" i="2"/>
  <c r="I540" i="2"/>
  <c r="G540" i="2"/>
  <c r="W161" i="2"/>
  <c r="T161" i="2"/>
  <c r="U161" i="2" s="1"/>
  <c r="P161" i="2"/>
  <c r="O161" i="2"/>
  <c r="K161" i="2"/>
  <c r="I161" i="2"/>
  <c r="G161" i="2"/>
  <c r="S297" i="2"/>
  <c r="T297" i="2" s="1"/>
  <c r="R297" i="2"/>
  <c r="U297" i="2" s="1"/>
  <c r="N297" i="2"/>
  <c r="O297" i="2" s="1"/>
  <c r="W297" i="2" s="1"/>
  <c r="M297" i="2"/>
  <c r="K297" i="2"/>
  <c r="I297" i="2"/>
  <c r="G297" i="2"/>
  <c r="S729" i="2"/>
  <c r="T729" i="2" s="1"/>
  <c r="R729" i="2"/>
  <c r="P729" i="2"/>
  <c r="N729" i="2"/>
  <c r="O729" i="2" s="1"/>
  <c r="W729" i="2" s="1"/>
  <c r="M729" i="2"/>
  <c r="V729" i="2" s="1"/>
  <c r="X729" i="2" s="1"/>
  <c r="Y729" i="2" s="1"/>
  <c r="K729" i="2"/>
  <c r="I729" i="2"/>
  <c r="G729" i="2"/>
  <c r="U635" i="2"/>
  <c r="T635" i="2"/>
  <c r="N635" i="2"/>
  <c r="O635" i="2" s="1"/>
  <c r="W635" i="2" s="1"/>
  <c r="M635" i="2"/>
  <c r="K635" i="2"/>
  <c r="I635" i="2"/>
  <c r="G635" i="2"/>
  <c r="S106" i="2"/>
  <c r="T106" i="2" s="1"/>
  <c r="R106" i="2"/>
  <c r="N106" i="2"/>
  <c r="O106" i="2" s="1"/>
  <c r="M106" i="2"/>
  <c r="P106" i="2" s="1"/>
  <c r="K106" i="2"/>
  <c r="I106" i="2"/>
  <c r="G106" i="2"/>
  <c r="T728" i="2"/>
  <c r="S728" i="2"/>
  <c r="R728" i="2"/>
  <c r="O728" i="2"/>
  <c r="W728" i="2" s="1"/>
  <c r="N728" i="2"/>
  <c r="M728" i="2"/>
  <c r="P728" i="2" s="1"/>
  <c r="K728" i="2"/>
  <c r="I728" i="2"/>
  <c r="G728" i="2"/>
  <c r="S539" i="2"/>
  <c r="T539" i="2" s="1"/>
  <c r="R539" i="2"/>
  <c r="O539" i="2"/>
  <c r="P539" i="2" s="1"/>
  <c r="N539" i="2"/>
  <c r="M539" i="2"/>
  <c r="K539" i="2"/>
  <c r="I539" i="2"/>
  <c r="G539" i="2"/>
  <c r="S400" i="2"/>
  <c r="T400" i="2" s="1"/>
  <c r="R400" i="2"/>
  <c r="N400" i="2"/>
  <c r="O400" i="2" s="1"/>
  <c r="M400" i="2"/>
  <c r="K400" i="2"/>
  <c r="I400" i="2"/>
  <c r="G400" i="2"/>
  <c r="S727" i="2"/>
  <c r="T727" i="2" s="1"/>
  <c r="R727" i="2"/>
  <c r="N727" i="2"/>
  <c r="O727" i="2" s="1"/>
  <c r="M727" i="2"/>
  <c r="P727" i="2" s="1"/>
  <c r="K727" i="2"/>
  <c r="I727" i="2"/>
  <c r="G727" i="2"/>
  <c r="T160" i="2"/>
  <c r="S160" i="2"/>
  <c r="R160" i="2"/>
  <c r="U160" i="2" s="1"/>
  <c r="N160" i="2"/>
  <c r="O160" i="2" s="1"/>
  <c r="W160" i="2" s="1"/>
  <c r="M160" i="2"/>
  <c r="K160" i="2"/>
  <c r="I160" i="2"/>
  <c r="G160" i="2"/>
  <c r="T449" i="2"/>
  <c r="U449" i="2" s="1"/>
  <c r="S449" i="2"/>
  <c r="R449" i="2"/>
  <c r="N449" i="2"/>
  <c r="O449" i="2" s="1"/>
  <c r="P449" i="2" s="1"/>
  <c r="M449" i="2"/>
  <c r="K449" i="2"/>
  <c r="I449" i="2"/>
  <c r="G449" i="2"/>
  <c r="T399" i="2"/>
  <c r="R399" i="2"/>
  <c r="O399" i="2"/>
  <c r="P399" i="2" s="1"/>
  <c r="N399" i="2"/>
  <c r="M399" i="2"/>
  <c r="K399" i="2"/>
  <c r="I399" i="2"/>
  <c r="G399" i="2"/>
  <c r="S583" i="2"/>
  <c r="T583" i="2" s="1"/>
  <c r="R583" i="2"/>
  <c r="N583" i="2"/>
  <c r="O583" i="2" s="1"/>
  <c r="M583" i="2"/>
  <c r="K583" i="2"/>
  <c r="I583" i="2"/>
  <c r="G583" i="2"/>
  <c r="S582" i="2"/>
  <c r="T582" i="2" s="1"/>
  <c r="R582" i="2"/>
  <c r="N582" i="2"/>
  <c r="O582" i="2" s="1"/>
  <c r="M582" i="2"/>
  <c r="K582" i="2"/>
  <c r="I582" i="2"/>
  <c r="V582" i="2" s="1"/>
  <c r="G582" i="2"/>
  <c r="T492" i="2"/>
  <c r="S492" i="2"/>
  <c r="R492" i="2"/>
  <c r="U492" i="2" s="1"/>
  <c r="N492" i="2"/>
  <c r="O492" i="2" s="1"/>
  <c r="W492" i="2" s="1"/>
  <c r="M492" i="2"/>
  <c r="K492" i="2"/>
  <c r="I492" i="2"/>
  <c r="G492" i="2"/>
  <c r="T491" i="2"/>
  <c r="U491" i="2" s="1"/>
  <c r="S491" i="2"/>
  <c r="R491" i="2"/>
  <c r="N491" i="2"/>
  <c r="O491" i="2" s="1"/>
  <c r="M491" i="2"/>
  <c r="K491" i="2"/>
  <c r="I491" i="2"/>
  <c r="G491" i="2"/>
  <c r="S258" i="2"/>
  <c r="T258" i="2" s="1"/>
  <c r="R258" i="2"/>
  <c r="N258" i="2"/>
  <c r="O258" i="2" s="1"/>
  <c r="M258" i="2"/>
  <c r="K258" i="2"/>
  <c r="I258" i="2"/>
  <c r="G258" i="2"/>
  <c r="S726" i="2"/>
  <c r="T726" i="2" s="1"/>
  <c r="R726" i="2"/>
  <c r="U726" i="2" s="1"/>
  <c r="P726" i="2"/>
  <c r="N726" i="2"/>
  <c r="O726" i="2" s="1"/>
  <c r="M726" i="2"/>
  <c r="K726" i="2"/>
  <c r="I726" i="2"/>
  <c r="G726" i="2"/>
  <c r="T159" i="2"/>
  <c r="S159" i="2"/>
  <c r="R159" i="2"/>
  <c r="O159" i="2"/>
  <c r="N159" i="2"/>
  <c r="M159" i="2"/>
  <c r="P159" i="2" s="1"/>
  <c r="K159" i="2"/>
  <c r="I159" i="2"/>
  <c r="G159" i="2"/>
  <c r="T347" i="2"/>
  <c r="S347" i="2"/>
  <c r="R347" i="2"/>
  <c r="N347" i="2"/>
  <c r="O347" i="2" s="1"/>
  <c r="M347" i="2"/>
  <c r="K347" i="2"/>
  <c r="I347" i="2"/>
  <c r="G347" i="2"/>
  <c r="S296" i="2"/>
  <c r="T296" i="2" s="1"/>
  <c r="R296" i="2"/>
  <c r="N296" i="2"/>
  <c r="O296" i="2" s="1"/>
  <c r="M296" i="2"/>
  <c r="K296" i="2"/>
  <c r="I296" i="2"/>
  <c r="V296" i="2" s="1"/>
  <c r="G296" i="2"/>
  <c r="S581" i="2"/>
  <c r="T581" i="2" s="1"/>
  <c r="R581" i="2"/>
  <c r="U581" i="2" s="1"/>
  <c r="O581" i="2"/>
  <c r="N581" i="2"/>
  <c r="M581" i="2"/>
  <c r="P581" i="2" s="1"/>
  <c r="K581" i="2"/>
  <c r="I581" i="2"/>
  <c r="G581" i="2"/>
  <c r="T257" i="2"/>
  <c r="S257" i="2"/>
  <c r="R257" i="2"/>
  <c r="O257" i="2"/>
  <c r="N257" i="2"/>
  <c r="M257" i="2"/>
  <c r="P257" i="2" s="1"/>
  <c r="K257" i="2"/>
  <c r="I257" i="2"/>
  <c r="G257" i="2"/>
  <c r="S346" i="2"/>
  <c r="T346" i="2" s="1"/>
  <c r="U346" i="2" s="1"/>
  <c r="R346" i="2"/>
  <c r="P346" i="2"/>
  <c r="O346" i="2"/>
  <c r="N346" i="2"/>
  <c r="M346" i="2"/>
  <c r="K346" i="2"/>
  <c r="I346" i="2"/>
  <c r="G346" i="2"/>
  <c r="S105" i="2"/>
  <c r="T105" i="2" s="1"/>
  <c r="R105" i="2"/>
  <c r="O105" i="2"/>
  <c r="N105" i="2"/>
  <c r="M105" i="2"/>
  <c r="K105" i="2"/>
  <c r="I105" i="2"/>
  <c r="G105" i="2"/>
  <c r="T345" i="2"/>
  <c r="W345" i="2" s="1"/>
  <c r="S345" i="2"/>
  <c r="R345" i="2"/>
  <c r="N345" i="2"/>
  <c r="O345" i="2" s="1"/>
  <c r="M345" i="2"/>
  <c r="P345" i="2" s="1"/>
  <c r="K345" i="2"/>
  <c r="I345" i="2"/>
  <c r="G345" i="2"/>
  <c r="S448" i="2"/>
  <c r="T448" i="2" s="1"/>
  <c r="R448" i="2"/>
  <c r="N448" i="2"/>
  <c r="O448" i="2" s="1"/>
  <c r="P448" i="2" s="1"/>
  <c r="M448" i="2"/>
  <c r="K448" i="2"/>
  <c r="I448" i="2"/>
  <c r="G448" i="2"/>
  <c r="S447" i="2"/>
  <c r="T447" i="2" s="1"/>
  <c r="R447" i="2"/>
  <c r="N447" i="2"/>
  <c r="O447" i="2" s="1"/>
  <c r="W447" i="2" s="1"/>
  <c r="M447" i="2"/>
  <c r="K447" i="2"/>
  <c r="I447" i="2"/>
  <c r="G447" i="2"/>
  <c r="T344" i="2"/>
  <c r="S344" i="2"/>
  <c r="R344" i="2"/>
  <c r="N344" i="2"/>
  <c r="O344" i="2" s="1"/>
  <c r="W344" i="2" s="1"/>
  <c r="M344" i="2"/>
  <c r="P344" i="2" s="1"/>
  <c r="K344" i="2"/>
  <c r="I344" i="2"/>
  <c r="G344" i="2"/>
  <c r="T538" i="2"/>
  <c r="S538" i="2"/>
  <c r="R538" i="2"/>
  <c r="U538" i="2" s="1"/>
  <c r="N538" i="2"/>
  <c r="O538" i="2" s="1"/>
  <c r="W538" i="2" s="1"/>
  <c r="M538" i="2"/>
  <c r="K538" i="2"/>
  <c r="I538" i="2"/>
  <c r="G538" i="2"/>
  <c r="S446" i="2"/>
  <c r="T446" i="2" s="1"/>
  <c r="R446" i="2"/>
  <c r="N446" i="2"/>
  <c r="O446" i="2" s="1"/>
  <c r="M446" i="2"/>
  <c r="K446" i="2"/>
  <c r="I446" i="2"/>
  <c r="G446" i="2"/>
  <c r="T725" i="2"/>
  <c r="U725" i="2" s="1"/>
  <c r="N725" i="2"/>
  <c r="O725" i="2" s="1"/>
  <c r="P725" i="2" s="1"/>
  <c r="M725" i="2"/>
  <c r="K725" i="2"/>
  <c r="I725" i="2"/>
  <c r="G725" i="2"/>
  <c r="S48" i="2"/>
  <c r="T48" i="2" s="1"/>
  <c r="R48" i="2"/>
  <c r="N48" i="2"/>
  <c r="O48" i="2" s="1"/>
  <c r="M48" i="2"/>
  <c r="K48" i="2"/>
  <c r="I48" i="2"/>
  <c r="G48" i="2"/>
  <c r="S537" i="2"/>
  <c r="T537" i="2" s="1"/>
  <c r="R537" i="2"/>
  <c r="O537" i="2"/>
  <c r="N537" i="2"/>
  <c r="M537" i="2"/>
  <c r="P537" i="2" s="1"/>
  <c r="K537" i="2"/>
  <c r="I537" i="2"/>
  <c r="G537" i="2"/>
  <c r="U104" i="2"/>
  <c r="T104" i="2"/>
  <c r="N104" i="2"/>
  <c r="O104" i="2" s="1"/>
  <c r="M104" i="2"/>
  <c r="K104" i="2"/>
  <c r="I104" i="2"/>
  <c r="G104" i="2"/>
  <c r="T158" i="2"/>
  <c r="S158" i="2"/>
  <c r="R158" i="2"/>
  <c r="N158" i="2"/>
  <c r="O158" i="2" s="1"/>
  <c r="M158" i="2"/>
  <c r="K158" i="2"/>
  <c r="I158" i="2"/>
  <c r="G158" i="2"/>
  <c r="U724" i="2"/>
  <c r="S724" i="2"/>
  <c r="T724" i="2" s="1"/>
  <c r="R724" i="2"/>
  <c r="N724" i="2"/>
  <c r="O724" i="2" s="1"/>
  <c r="W724" i="2" s="1"/>
  <c r="M724" i="2"/>
  <c r="K724" i="2"/>
  <c r="V724" i="2" s="1"/>
  <c r="I724" i="2"/>
  <c r="G724" i="2"/>
  <c r="T157" i="2"/>
  <c r="R157" i="2"/>
  <c r="N157" i="2"/>
  <c r="O157" i="2" s="1"/>
  <c r="W157" i="2" s="1"/>
  <c r="M157" i="2"/>
  <c r="K157" i="2"/>
  <c r="I157" i="2"/>
  <c r="G157" i="2"/>
  <c r="T156" i="2"/>
  <c r="R156" i="2"/>
  <c r="N156" i="2"/>
  <c r="O156" i="2" s="1"/>
  <c r="M156" i="2"/>
  <c r="K156" i="2"/>
  <c r="I156" i="2"/>
  <c r="G156" i="2"/>
  <c r="S343" i="2"/>
  <c r="T343" i="2" s="1"/>
  <c r="R343" i="2"/>
  <c r="N343" i="2"/>
  <c r="O343" i="2" s="1"/>
  <c r="M343" i="2"/>
  <c r="K343" i="2"/>
  <c r="I343" i="2"/>
  <c r="V343" i="2" s="1"/>
  <c r="G343" i="2"/>
  <c r="T103" i="2"/>
  <c r="R103" i="2"/>
  <c r="O103" i="2"/>
  <c r="N103" i="2"/>
  <c r="M103" i="2"/>
  <c r="P103" i="2" s="1"/>
  <c r="K103" i="2"/>
  <c r="I103" i="2"/>
  <c r="G103" i="2"/>
  <c r="S634" i="2"/>
  <c r="T634" i="2" s="1"/>
  <c r="R634" i="2"/>
  <c r="O634" i="2"/>
  <c r="N634" i="2"/>
  <c r="M634" i="2"/>
  <c r="K634" i="2"/>
  <c r="I634" i="2"/>
  <c r="G634" i="2"/>
  <c r="S342" i="2"/>
  <c r="T342" i="2" s="1"/>
  <c r="R342" i="2"/>
  <c r="U342" i="2" s="1"/>
  <c r="N342" i="2"/>
  <c r="O342" i="2" s="1"/>
  <c r="M342" i="2"/>
  <c r="K342" i="2"/>
  <c r="I342" i="2"/>
  <c r="G342" i="2"/>
  <c r="T155" i="2"/>
  <c r="R155" i="2"/>
  <c r="N155" i="2"/>
  <c r="O155" i="2" s="1"/>
  <c r="W155" i="2" s="1"/>
  <c r="M155" i="2"/>
  <c r="K155" i="2"/>
  <c r="I155" i="2"/>
  <c r="G155" i="2"/>
  <c r="S341" i="2"/>
  <c r="T341" i="2" s="1"/>
  <c r="R341" i="2"/>
  <c r="U341" i="2" s="1"/>
  <c r="O341" i="2"/>
  <c r="W341" i="2" s="1"/>
  <c r="N341" i="2"/>
  <c r="M341" i="2"/>
  <c r="P341" i="2" s="1"/>
  <c r="K341" i="2"/>
  <c r="I341" i="2"/>
  <c r="G341" i="2"/>
  <c r="T633" i="2"/>
  <c r="S633" i="2"/>
  <c r="R633" i="2"/>
  <c r="O633" i="2"/>
  <c r="P633" i="2" s="1"/>
  <c r="N633" i="2"/>
  <c r="M633" i="2"/>
  <c r="K633" i="2"/>
  <c r="I633" i="2"/>
  <c r="G633" i="2"/>
  <c r="S295" i="2"/>
  <c r="T295" i="2" s="1"/>
  <c r="R295" i="2"/>
  <c r="N295" i="2"/>
  <c r="O295" i="2" s="1"/>
  <c r="M295" i="2"/>
  <c r="K295" i="2"/>
  <c r="I295" i="2"/>
  <c r="G295" i="2"/>
  <c r="S490" i="2"/>
  <c r="T490" i="2" s="1"/>
  <c r="R490" i="2"/>
  <c r="O490" i="2"/>
  <c r="N490" i="2"/>
  <c r="M490" i="2"/>
  <c r="K490" i="2"/>
  <c r="I490" i="2"/>
  <c r="G490" i="2"/>
  <c r="U398" i="2"/>
  <c r="T398" i="2"/>
  <c r="N398" i="2"/>
  <c r="O398" i="2" s="1"/>
  <c r="W398" i="2" s="1"/>
  <c r="M398" i="2"/>
  <c r="K398" i="2"/>
  <c r="I398" i="2"/>
  <c r="G398" i="2"/>
  <c r="S340" i="2"/>
  <c r="T340" i="2" s="1"/>
  <c r="R340" i="2"/>
  <c r="N340" i="2"/>
  <c r="O340" i="2" s="1"/>
  <c r="M340" i="2"/>
  <c r="V340" i="2" s="1"/>
  <c r="K340" i="2"/>
  <c r="I340" i="2"/>
  <c r="G340" i="2"/>
  <c r="S256" i="2"/>
  <c r="T256" i="2" s="1"/>
  <c r="R256" i="2"/>
  <c r="U256" i="2" s="1"/>
  <c r="P256" i="2"/>
  <c r="O256" i="2"/>
  <c r="N256" i="2"/>
  <c r="M256" i="2"/>
  <c r="K256" i="2"/>
  <c r="I256" i="2"/>
  <c r="G256" i="2"/>
  <c r="T536" i="2"/>
  <c r="U536" i="2" s="1"/>
  <c r="O536" i="2"/>
  <c r="W536" i="2" s="1"/>
  <c r="N536" i="2"/>
  <c r="M536" i="2"/>
  <c r="K536" i="2"/>
  <c r="I536" i="2"/>
  <c r="G536" i="2"/>
  <c r="T154" i="2"/>
  <c r="S154" i="2"/>
  <c r="R154" i="2"/>
  <c r="P154" i="2"/>
  <c r="N154" i="2"/>
  <c r="O154" i="2" s="1"/>
  <c r="M154" i="2"/>
  <c r="K154" i="2"/>
  <c r="I154" i="2"/>
  <c r="G154" i="2"/>
  <c r="T445" i="2"/>
  <c r="R445" i="2"/>
  <c r="N445" i="2"/>
  <c r="O445" i="2" s="1"/>
  <c r="M445" i="2"/>
  <c r="K445" i="2"/>
  <c r="I445" i="2"/>
  <c r="G445" i="2"/>
  <c r="S339" i="2"/>
  <c r="T339" i="2" s="1"/>
  <c r="R339" i="2"/>
  <c r="U339" i="2" s="1"/>
  <c r="N339" i="2"/>
  <c r="O339" i="2" s="1"/>
  <c r="P339" i="2" s="1"/>
  <c r="M339" i="2"/>
  <c r="K339" i="2"/>
  <c r="V339" i="2" s="1"/>
  <c r="I339" i="2"/>
  <c r="G339" i="2"/>
  <c r="T153" i="2"/>
  <c r="S153" i="2"/>
  <c r="R153" i="2"/>
  <c r="N153" i="2"/>
  <c r="O153" i="2" s="1"/>
  <c r="W153" i="2" s="1"/>
  <c r="M153" i="2"/>
  <c r="K153" i="2"/>
  <c r="I153" i="2"/>
  <c r="G153" i="2"/>
  <c r="S222" i="2"/>
  <c r="T222" i="2" s="1"/>
  <c r="R222" i="2"/>
  <c r="U222" i="2" s="1"/>
  <c r="N222" i="2"/>
  <c r="O222" i="2" s="1"/>
  <c r="M222" i="2"/>
  <c r="K222" i="2"/>
  <c r="I222" i="2"/>
  <c r="G222" i="2"/>
  <c r="T102" i="2"/>
  <c r="R102" i="2"/>
  <c r="O102" i="2"/>
  <c r="N102" i="2"/>
  <c r="M102" i="2"/>
  <c r="K102" i="2"/>
  <c r="I102" i="2"/>
  <c r="G102" i="2"/>
  <c r="S444" i="2"/>
  <c r="T444" i="2" s="1"/>
  <c r="U444" i="2" s="1"/>
  <c r="R444" i="2"/>
  <c r="N444" i="2"/>
  <c r="O444" i="2" s="1"/>
  <c r="M444" i="2"/>
  <c r="K444" i="2"/>
  <c r="I444" i="2"/>
  <c r="G444" i="2"/>
  <c r="T397" i="2"/>
  <c r="U397" i="2" s="1"/>
  <c r="O397" i="2"/>
  <c r="P397" i="2" s="1"/>
  <c r="N397" i="2"/>
  <c r="M397" i="2"/>
  <c r="K397" i="2"/>
  <c r="I397" i="2"/>
  <c r="V397" i="2" s="1"/>
  <c r="G397" i="2"/>
  <c r="S338" i="2"/>
  <c r="T338" i="2" s="1"/>
  <c r="R338" i="2"/>
  <c r="N338" i="2"/>
  <c r="O338" i="2" s="1"/>
  <c r="M338" i="2"/>
  <c r="K338" i="2"/>
  <c r="I338" i="2"/>
  <c r="G338" i="2"/>
  <c r="S337" i="2"/>
  <c r="T337" i="2" s="1"/>
  <c r="R337" i="2"/>
  <c r="O337" i="2"/>
  <c r="N337" i="2"/>
  <c r="M337" i="2"/>
  <c r="K337" i="2"/>
  <c r="I337" i="2"/>
  <c r="G337" i="2"/>
  <c r="T535" i="2"/>
  <c r="U535" i="2" s="1"/>
  <c r="N535" i="2"/>
  <c r="O535" i="2" s="1"/>
  <c r="M535" i="2"/>
  <c r="K535" i="2"/>
  <c r="I535" i="2"/>
  <c r="G535" i="2"/>
  <c r="T101" i="2"/>
  <c r="U101" i="2" s="1"/>
  <c r="N101" i="2"/>
  <c r="O101" i="2" s="1"/>
  <c r="P101" i="2" s="1"/>
  <c r="M101" i="2"/>
  <c r="K101" i="2"/>
  <c r="I101" i="2"/>
  <c r="G101" i="2"/>
  <c r="S221" i="2"/>
  <c r="T221" i="2" s="1"/>
  <c r="R221" i="2"/>
  <c r="N221" i="2"/>
  <c r="O221" i="2" s="1"/>
  <c r="M221" i="2"/>
  <c r="K221" i="2"/>
  <c r="I221" i="2"/>
  <c r="G221" i="2"/>
  <c r="U682" i="2"/>
  <c r="T682" i="2"/>
  <c r="O682" i="2"/>
  <c r="W682" i="2" s="1"/>
  <c r="N682" i="2"/>
  <c r="M682" i="2"/>
  <c r="K682" i="2"/>
  <c r="I682" i="2"/>
  <c r="G682" i="2"/>
  <c r="S632" i="2"/>
  <c r="T632" i="2" s="1"/>
  <c r="U632" i="2" s="1"/>
  <c r="R632" i="2"/>
  <c r="N632" i="2"/>
  <c r="O632" i="2" s="1"/>
  <c r="M632" i="2"/>
  <c r="K632" i="2"/>
  <c r="I632" i="2"/>
  <c r="G632" i="2"/>
  <c r="S580" i="2"/>
  <c r="T580" i="2" s="1"/>
  <c r="R580" i="2"/>
  <c r="N580" i="2"/>
  <c r="O580" i="2" s="1"/>
  <c r="M580" i="2"/>
  <c r="K580" i="2"/>
  <c r="I580" i="2"/>
  <c r="G580" i="2"/>
  <c r="S443" i="2"/>
  <c r="T443" i="2" s="1"/>
  <c r="U443" i="2" s="1"/>
  <c r="R443" i="2"/>
  <c r="N443" i="2"/>
  <c r="O443" i="2" s="1"/>
  <c r="M443" i="2"/>
  <c r="K443" i="2"/>
  <c r="I443" i="2"/>
  <c r="G443" i="2"/>
  <c r="S631" i="2"/>
  <c r="T631" i="2" s="1"/>
  <c r="R631" i="2"/>
  <c r="O631" i="2"/>
  <c r="P631" i="2" s="1"/>
  <c r="N631" i="2"/>
  <c r="M631" i="2"/>
  <c r="K631" i="2"/>
  <c r="I631" i="2"/>
  <c r="G631" i="2"/>
  <c r="T396" i="2"/>
  <c r="U396" i="2" s="1"/>
  <c r="N396" i="2"/>
  <c r="O396" i="2" s="1"/>
  <c r="M396" i="2"/>
  <c r="P396" i="2" s="1"/>
  <c r="K396" i="2"/>
  <c r="I396" i="2"/>
  <c r="G396" i="2"/>
  <c r="S255" i="2"/>
  <c r="T255" i="2" s="1"/>
  <c r="U255" i="2" s="1"/>
  <c r="R255" i="2"/>
  <c r="O255" i="2"/>
  <c r="N255" i="2"/>
  <c r="M255" i="2"/>
  <c r="K255" i="2"/>
  <c r="I255" i="2"/>
  <c r="G255" i="2"/>
  <c r="S220" i="2"/>
  <c r="T220" i="2" s="1"/>
  <c r="U220" i="2" s="1"/>
  <c r="R220" i="2"/>
  <c r="N220" i="2"/>
  <c r="O220" i="2" s="1"/>
  <c r="M220" i="2"/>
  <c r="K220" i="2"/>
  <c r="I220" i="2"/>
  <c r="G220" i="2"/>
  <c r="T579" i="2"/>
  <c r="S579" i="2"/>
  <c r="R579" i="2"/>
  <c r="N579" i="2"/>
  <c r="O579" i="2" s="1"/>
  <c r="M579" i="2"/>
  <c r="K579" i="2"/>
  <c r="I579" i="2"/>
  <c r="V579" i="2" s="1"/>
  <c r="G579" i="2"/>
  <c r="S723" i="2"/>
  <c r="T723" i="2" s="1"/>
  <c r="U723" i="2" s="1"/>
  <c r="R723" i="2"/>
  <c r="P723" i="2"/>
  <c r="O723" i="2"/>
  <c r="N723" i="2"/>
  <c r="M723" i="2"/>
  <c r="K723" i="2"/>
  <c r="I723" i="2"/>
  <c r="G723" i="2"/>
  <c r="S681" i="2"/>
  <c r="T681" i="2" s="1"/>
  <c r="R681" i="2"/>
  <c r="O681" i="2"/>
  <c r="P681" i="2" s="1"/>
  <c r="N681" i="2"/>
  <c r="M681" i="2"/>
  <c r="K681" i="2"/>
  <c r="I681" i="2"/>
  <c r="V681" i="2" s="1"/>
  <c r="G681" i="2"/>
  <c r="T152" i="2"/>
  <c r="U152" i="2" s="1"/>
  <c r="N152" i="2"/>
  <c r="O152" i="2" s="1"/>
  <c r="M152" i="2"/>
  <c r="K152" i="2"/>
  <c r="I152" i="2"/>
  <c r="G152" i="2"/>
  <c r="T47" i="2"/>
  <c r="R47" i="2"/>
  <c r="N47" i="2"/>
  <c r="O47" i="2" s="1"/>
  <c r="W47" i="2" s="1"/>
  <c r="M47" i="2"/>
  <c r="K47" i="2"/>
  <c r="I47" i="2"/>
  <c r="G47" i="2"/>
  <c r="T151" i="2"/>
  <c r="R151" i="2"/>
  <c r="N151" i="2"/>
  <c r="O151" i="2" s="1"/>
  <c r="M151" i="2"/>
  <c r="K151" i="2"/>
  <c r="I151" i="2"/>
  <c r="G151" i="2"/>
  <c r="S294" i="2"/>
  <c r="T294" i="2" s="1"/>
  <c r="R294" i="2"/>
  <c r="U294" i="2" s="1"/>
  <c r="N294" i="2"/>
  <c r="O294" i="2" s="1"/>
  <c r="M294" i="2"/>
  <c r="K294" i="2"/>
  <c r="I294" i="2"/>
  <c r="G294" i="2"/>
  <c r="S395" i="2"/>
  <c r="T395" i="2" s="1"/>
  <c r="U395" i="2" s="1"/>
  <c r="R395" i="2"/>
  <c r="P395" i="2"/>
  <c r="N395" i="2"/>
  <c r="O395" i="2" s="1"/>
  <c r="M395" i="2"/>
  <c r="K395" i="2"/>
  <c r="I395" i="2"/>
  <c r="G395" i="2"/>
  <c r="T150" i="2"/>
  <c r="U150" i="2" s="1"/>
  <c r="S150" i="2"/>
  <c r="R150" i="2"/>
  <c r="N150" i="2"/>
  <c r="O150" i="2" s="1"/>
  <c r="M150" i="2"/>
  <c r="K150" i="2"/>
  <c r="I150" i="2"/>
  <c r="G150" i="2"/>
  <c r="T149" i="2"/>
  <c r="R149" i="2"/>
  <c r="N149" i="2"/>
  <c r="O149" i="2" s="1"/>
  <c r="M149" i="2"/>
  <c r="K149" i="2"/>
  <c r="I149" i="2"/>
  <c r="G149" i="2"/>
  <c r="S680" i="2"/>
  <c r="T680" i="2" s="1"/>
  <c r="R680" i="2"/>
  <c r="N680" i="2"/>
  <c r="O680" i="2" s="1"/>
  <c r="W680" i="2" s="1"/>
  <c r="M680" i="2"/>
  <c r="K680" i="2"/>
  <c r="I680" i="2"/>
  <c r="G680" i="2"/>
  <c r="T394" i="2"/>
  <c r="U394" i="2" s="1"/>
  <c r="N394" i="2"/>
  <c r="O394" i="2" s="1"/>
  <c r="W394" i="2" s="1"/>
  <c r="M394" i="2"/>
  <c r="P394" i="2" s="1"/>
  <c r="K394" i="2"/>
  <c r="I394" i="2"/>
  <c r="G394" i="2"/>
  <c r="T148" i="2"/>
  <c r="R148" i="2"/>
  <c r="N148" i="2"/>
  <c r="O148" i="2" s="1"/>
  <c r="M148" i="2"/>
  <c r="K148" i="2"/>
  <c r="I148" i="2"/>
  <c r="V148" i="2" s="1"/>
  <c r="G148" i="2"/>
  <c r="S442" i="2"/>
  <c r="T442" i="2" s="1"/>
  <c r="R442" i="2"/>
  <c r="P442" i="2"/>
  <c r="O442" i="2"/>
  <c r="N442" i="2"/>
  <c r="M442" i="2"/>
  <c r="K442" i="2"/>
  <c r="I442" i="2"/>
  <c r="G442" i="2"/>
  <c r="T147" i="2"/>
  <c r="R147" i="2"/>
  <c r="O147" i="2"/>
  <c r="W147" i="2" s="1"/>
  <c r="N147" i="2"/>
  <c r="M147" i="2"/>
  <c r="K147" i="2"/>
  <c r="I147" i="2"/>
  <c r="G147" i="2"/>
  <c r="T722" i="2"/>
  <c r="S722" i="2"/>
  <c r="R722" i="2"/>
  <c r="U722" i="2" s="1"/>
  <c r="N722" i="2"/>
  <c r="O722" i="2" s="1"/>
  <c r="M722" i="2"/>
  <c r="K722" i="2"/>
  <c r="V722" i="2" s="1"/>
  <c r="I722" i="2"/>
  <c r="G722" i="2"/>
  <c r="W146" i="2"/>
  <c r="T146" i="2"/>
  <c r="U146" i="2" s="1"/>
  <c r="S146" i="2"/>
  <c r="R146" i="2"/>
  <c r="N146" i="2"/>
  <c r="O146" i="2" s="1"/>
  <c r="M146" i="2"/>
  <c r="P146" i="2" s="1"/>
  <c r="K146" i="2"/>
  <c r="I146" i="2"/>
  <c r="G146" i="2"/>
  <c r="S679" i="2"/>
  <c r="T679" i="2" s="1"/>
  <c r="U679" i="2" s="1"/>
  <c r="R679" i="2"/>
  <c r="N679" i="2"/>
  <c r="O679" i="2" s="1"/>
  <c r="W679" i="2" s="1"/>
  <c r="M679" i="2"/>
  <c r="K679" i="2"/>
  <c r="I679" i="2"/>
  <c r="G679" i="2"/>
  <c r="T578" i="2"/>
  <c r="S578" i="2"/>
  <c r="R578" i="2"/>
  <c r="U578" i="2" s="1"/>
  <c r="N578" i="2"/>
  <c r="O578" i="2" s="1"/>
  <c r="W578" i="2" s="1"/>
  <c r="M578" i="2"/>
  <c r="P578" i="2" s="1"/>
  <c r="K578" i="2"/>
  <c r="I578" i="2"/>
  <c r="G578" i="2"/>
  <c r="T577" i="2"/>
  <c r="S577" i="2"/>
  <c r="R577" i="2"/>
  <c r="U577" i="2" s="1"/>
  <c r="N577" i="2"/>
  <c r="O577" i="2" s="1"/>
  <c r="M577" i="2"/>
  <c r="K577" i="2"/>
  <c r="I577" i="2"/>
  <c r="G577" i="2"/>
  <c r="T336" i="2"/>
  <c r="S336" i="2"/>
  <c r="R336" i="2"/>
  <c r="O336" i="2"/>
  <c r="P336" i="2" s="1"/>
  <c r="N336" i="2"/>
  <c r="M336" i="2"/>
  <c r="K336" i="2"/>
  <c r="I336" i="2"/>
  <c r="G336" i="2"/>
  <c r="S489" i="2"/>
  <c r="T489" i="2" s="1"/>
  <c r="R489" i="2"/>
  <c r="O489" i="2"/>
  <c r="P489" i="2" s="1"/>
  <c r="N489" i="2"/>
  <c r="M489" i="2"/>
  <c r="K489" i="2"/>
  <c r="I489" i="2"/>
  <c r="G489" i="2"/>
  <c r="S254" i="2"/>
  <c r="T254" i="2" s="1"/>
  <c r="R254" i="2"/>
  <c r="N254" i="2"/>
  <c r="O254" i="2" s="1"/>
  <c r="M254" i="2"/>
  <c r="K254" i="2"/>
  <c r="I254" i="2"/>
  <c r="G254" i="2"/>
  <c r="T678" i="2"/>
  <c r="U678" i="2" s="1"/>
  <c r="S678" i="2"/>
  <c r="R678" i="2"/>
  <c r="O678" i="2"/>
  <c r="N678" i="2"/>
  <c r="M678" i="2"/>
  <c r="K678" i="2"/>
  <c r="I678" i="2"/>
  <c r="G678" i="2"/>
  <c r="S253" i="2"/>
  <c r="T253" i="2" s="1"/>
  <c r="U253" i="2" s="1"/>
  <c r="R253" i="2"/>
  <c r="O253" i="2"/>
  <c r="N253" i="2"/>
  <c r="M253" i="2"/>
  <c r="P253" i="2" s="1"/>
  <c r="K253" i="2"/>
  <c r="I253" i="2"/>
  <c r="G253" i="2"/>
  <c r="S721" i="2"/>
  <c r="T721" i="2" s="1"/>
  <c r="R721" i="2"/>
  <c r="N721" i="2"/>
  <c r="O721" i="2" s="1"/>
  <c r="W721" i="2" s="1"/>
  <c r="M721" i="2"/>
  <c r="K721" i="2"/>
  <c r="I721" i="2"/>
  <c r="G721" i="2"/>
  <c r="S630" i="2"/>
  <c r="T630" i="2" s="1"/>
  <c r="R630" i="2"/>
  <c r="N630" i="2"/>
  <c r="O630" i="2" s="1"/>
  <c r="W630" i="2" s="1"/>
  <c r="M630" i="2"/>
  <c r="K630" i="2"/>
  <c r="I630" i="2"/>
  <c r="G630" i="2"/>
  <c r="T393" i="2"/>
  <c r="U393" i="2" s="1"/>
  <c r="N393" i="2"/>
  <c r="O393" i="2" s="1"/>
  <c r="W393" i="2" s="1"/>
  <c r="M393" i="2"/>
  <c r="K393" i="2"/>
  <c r="I393" i="2"/>
  <c r="G393" i="2"/>
  <c r="S677" i="2"/>
  <c r="T677" i="2" s="1"/>
  <c r="R677" i="2"/>
  <c r="N677" i="2"/>
  <c r="O677" i="2" s="1"/>
  <c r="M677" i="2"/>
  <c r="K677" i="2"/>
  <c r="I677" i="2"/>
  <c r="G677" i="2"/>
  <c r="T534" i="2"/>
  <c r="U534" i="2" s="1"/>
  <c r="N534" i="2"/>
  <c r="O534" i="2" s="1"/>
  <c r="W534" i="2" s="1"/>
  <c r="M534" i="2"/>
  <c r="K534" i="2"/>
  <c r="I534" i="2"/>
  <c r="G534" i="2"/>
  <c r="S392" i="2"/>
  <c r="T392" i="2" s="1"/>
  <c r="U392" i="2" s="1"/>
  <c r="R392" i="2"/>
  <c r="N392" i="2"/>
  <c r="O392" i="2" s="1"/>
  <c r="W392" i="2" s="1"/>
  <c r="M392" i="2"/>
  <c r="K392" i="2"/>
  <c r="I392" i="2"/>
  <c r="G392" i="2"/>
  <c r="S391" i="2"/>
  <c r="T391" i="2" s="1"/>
  <c r="U391" i="2" s="1"/>
  <c r="R391" i="2"/>
  <c r="N391" i="2"/>
  <c r="O391" i="2" s="1"/>
  <c r="P391" i="2" s="1"/>
  <c r="M391" i="2"/>
  <c r="K391" i="2"/>
  <c r="I391" i="2"/>
  <c r="G391" i="2"/>
  <c r="T100" i="2"/>
  <c r="R100" i="2"/>
  <c r="N100" i="2"/>
  <c r="O100" i="2" s="1"/>
  <c r="M100" i="2"/>
  <c r="K100" i="2"/>
  <c r="I100" i="2"/>
  <c r="G100" i="2"/>
  <c r="T390" i="2"/>
  <c r="U390" i="2" s="1"/>
  <c r="S390" i="2"/>
  <c r="R390" i="2"/>
  <c r="N390" i="2"/>
  <c r="O390" i="2" s="1"/>
  <c r="M390" i="2"/>
  <c r="K390" i="2"/>
  <c r="I390" i="2"/>
  <c r="G390" i="2"/>
  <c r="S488" i="2"/>
  <c r="T488" i="2" s="1"/>
  <c r="U488" i="2" s="1"/>
  <c r="R488" i="2"/>
  <c r="O488" i="2"/>
  <c r="N488" i="2"/>
  <c r="M488" i="2"/>
  <c r="K488" i="2"/>
  <c r="I488" i="2"/>
  <c r="G488" i="2"/>
  <c r="S676" i="2"/>
  <c r="T676" i="2" s="1"/>
  <c r="R676" i="2"/>
  <c r="N676" i="2"/>
  <c r="O676" i="2" s="1"/>
  <c r="M676" i="2"/>
  <c r="K676" i="2"/>
  <c r="I676" i="2"/>
  <c r="G676" i="2"/>
  <c r="S629" i="2"/>
  <c r="T629" i="2" s="1"/>
  <c r="U629" i="2" s="1"/>
  <c r="R629" i="2"/>
  <c r="O629" i="2"/>
  <c r="N629" i="2"/>
  <c r="M629" i="2"/>
  <c r="K629" i="2"/>
  <c r="I629" i="2"/>
  <c r="V629" i="2" s="1"/>
  <c r="G629" i="2"/>
  <c r="S99" i="2"/>
  <c r="T99" i="2" s="1"/>
  <c r="U99" i="2" s="1"/>
  <c r="R99" i="2"/>
  <c r="O99" i="2"/>
  <c r="P99" i="2" s="1"/>
  <c r="N99" i="2"/>
  <c r="M99" i="2"/>
  <c r="K99" i="2"/>
  <c r="I99" i="2"/>
  <c r="G99" i="2"/>
  <c r="T628" i="2"/>
  <c r="S628" i="2"/>
  <c r="R628" i="2"/>
  <c r="N628" i="2"/>
  <c r="O628" i="2" s="1"/>
  <c r="M628" i="2"/>
  <c r="K628" i="2"/>
  <c r="I628" i="2"/>
  <c r="G628" i="2"/>
  <c r="S487" i="2"/>
  <c r="T487" i="2" s="1"/>
  <c r="R487" i="2"/>
  <c r="O487" i="2"/>
  <c r="P487" i="2" s="1"/>
  <c r="N487" i="2"/>
  <c r="M487" i="2"/>
  <c r="V487" i="2" s="1"/>
  <c r="K487" i="2"/>
  <c r="I487" i="2"/>
  <c r="G487" i="2"/>
  <c r="T576" i="2"/>
  <c r="S576" i="2"/>
  <c r="R576" i="2"/>
  <c r="U576" i="2" s="1"/>
  <c r="N576" i="2"/>
  <c r="O576" i="2" s="1"/>
  <c r="M576" i="2"/>
  <c r="K576" i="2"/>
  <c r="I576" i="2"/>
  <c r="G576" i="2"/>
  <c r="T389" i="2"/>
  <c r="S389" i="2"/>
  <c r="R389" i="2"/>
  <c r="N389" i="2"/>
  <c r="O389" i="2" s="1"/>
  <c r="W389" i="2" s="1"/>
  <c r="M389" i="2"/>
  <c r="K389" i="2"/>
  <c r="I389" i="2"/>
  <c r="G389" i="2"/>
  <c r="S533" i="2"/>
  <c r="T533" i="2" s="1"/>
  <c r="R533" i="2"/>
  <c r="N533" i="2"/>
  <c r="O533" i="2" s="1"/>
  <c r="M533" i="2"/>
  <c r="K533" i="2"/>
  <c r="I533" i="2"/>
  <c r="G533" i="2"/>
  <c r="S720" i="2"/>
  <c r="T720" i="2" s="1"/>
  <c r="R720" i="2"/>
  <c r="N720" i="2"/>
  <c r="O720" i="2" s="1"/>
  <c r="M720" i="2"/>
  <c r="K720" i="2"/>
  <c r="I720" i="2"/>
  <c r="G720" i="2"/>
  <c r="S575" i="2"/>
  <c r="T575" i="2" s="1"/>
  <c r="U575" i="2" s="1"/>
  <c r="R575" i="2"/>
  <c r="O575" i="2"/>
  <c r="N575" i="2"/>
  <c r="M575" i="2"/>
  <c r="K575" i="2"/>
  <c r="I575" i="2"/>
  <c r="V575" i="2" s="1"/>
  <c r="G575" i="2"/>
  <c r="U335" i="2"/>
  <c r="T335" i="2"/>
  <c r="O335" i="2"/>
  <c r="W335" i="2" s="1"/>
  <c r="N335" i="2"/>
  <c r="M335" i="2"/>
  <c r="K335" i="2"/>
  <c r="I335" i="2"/>
  <c r="G335" i="2"/>
  <c r="T486" i="2"/>
  <c r="S486" i="2"/>
  <c r="R486" i="2"/>
  <c r="N486" i="2"/>
  <c r="O486" i="2" s="1"/>
  <c r="M486" i="2"/>
  <c r="K486" i="2"/>
  <c r="I486" i="2"/>
  <c r="G486" i="2"/>
  <c r="T293" i="2"/>
  <c r="U293" i="2" s="1"/>
  <c r="S293" i="2"/>
  <c r="R293" i="2"/>
  <c r="N293" i="2"/>
  <c r="O293" i="2" s="1"/>
  <c r="M293" i="2"/>
  <c r="K293" i="2"/>
  <c r="I293" i="2"/>
  <c r="G293" i="2"/>
  <c r="S485" i="2"/>
  <c r="T485" i="2" s="1"/>
  <c r="U485" i="2" s="1"/>
  <c r="R485" i="2"/>
  <c r="O485" i="2"/>
  <c r="N485" i="2"/>
  <c r="M485" i="2"/>
  <c r="K485" i="2"/>
  <c r="I485" i="2"/>
  <c r="G485" i="2"/>
  <c r="S98" i="2"/>
  <c r="T98" i="2" s="1"/>
  <c r="W98" i="2" s="1"/>
  <c r="R98" i="2"/>
  <c r="N98" i="2"/>
  <c r="O98" i="2" s="1"/>
  <c r="M98" i="2"/>
  <c r="K98" i="2"/>
  <c r="I98" i="2"/>
  <c r="G98" i="2"/>
  <c r="S574" i="2"/>
  <c r="T574" i="2" s="1"/>
  <c r="R574" i="2"/>
  <c r="U574" i="2" s="1"/>
  <c r="O574" i="2"/>
  <c r="W574" i="2" s="1"/>
  <c r="N574" i="2"/>
  <c r="M574" i="2"/>
  <c r="K574" i="2"/>
  <c r="I574" i="2"/>
  <c r="G574" i="2"/>
  <c r="T484" i="2"/>
  <c r="U484" i="2" s="1"/>
  <c r="O484" i="2"/>
  <c r="N484" i="2"/>
  <c r="M484" i="2"/>
  <c r="K484" i="2"/>
  <c r="I484" i="2"/>
  <c r="G484" i="2"/>
  <c r="S719" i="2"/>
  <c r="T719" i="2" s="1"/>
  <c r="R719" i="2"/>
  <c r="N719" i="2"/>
  <c r="O719" i="2" s="1"/>
  <c r="M719" i="2"/>
  <c r="K719" i="2"/>
  <c r="I719" i="2"/>
  <c r="G719" i="2"/>
  <c r="T334" i="2"/>
  <c r="U334" i="2" s="1"/>
  <c r="S334" i="2"/>
  <c r="R334" i="2"/>
  <c r="N334" i="2"/>
  <c r="O334" i="2" s="1"/>
  <c r="M334" i="2"/>
  <c r="K334" i="2"/>
  <c r="I334" i="2"/>
  <c r="G334" i="2"/>
  <c r="S441" i="2"/>
  <c r="T441" i="2" s="1"/>
  <c r="U441" i="2" s="1"/>
  <c r="R441" i="2"/>
  <c r="N441" i="2"/>
  <c r="O441" i="2" s="1"/>
  <c r="M441" i="2"/>
  <c r="K441" i="2"/>
  <c r="I441" i="2"/>
  <c r="G441" i="2"/>
  <c r="T252" i="2"/>
  <c r="S252" i="2"/>
  <c r="R252" i="2"/>
  <c r="N252" i="2"/>
  <c r="O252" i="2" s="1"/>
  <c r="M252" i="2"/>
  <c r="K252" i="2"/>
  <c r="I252" i="2"/>
  <c r="G252" i="2"/>
  <c r="S627" i="2"/>
  <c r="T627" i="2" s="1"/>
  <c r="R627" i="2"/>
  <c r="N627" i="2"/>
  <c r="O627" i="2" s="1"/>
  <c r="W627" i="2" s="1"/>
  <c r="M627" i="2"/>
  <c r="K627" i="2"/>
  <c r="I627" i="2"/>
  <c r="G627" i="2"/>
  <c r="S388" i="2"/>
  <c r="T388" i="2" s="1"/>
  <c r="R388" i="2"/>
  <c r="N388" i="2"/>
  <c r="O388" i="2" s="1"/>
  <c r="P388" i="2" s="1"/>
  <c r="M388" i="2"/>
  <c r="K388" i="2"/>
  <c r="I388" i="2"/>
  <c r="G388" i="2"/>
  <c r="T626" i="2"/>
  <c r="S626" i="2"/>
  <c r="R626" i="2"/>
  <c r="N626" i="2"/>
  <c r="O626" i="2" s="1"/>
  <c r="M626" i="2"/>
  <c r="K626" i="2"/>
  <c r="I626" i="2"/>
  <c r="G626" i="2"/>
  <c r="S483" i="2"/>
  <c r="T483" i="2" s="1"/>
  <c r="R483" i="2"/>
  <c r="N483" i="2"/>
  <c r="O483" i="2" s="1"/>
  <c r="M483" i="2"/>
  <c r="K483" i="2"/>
  <c r="I483" i="2"/>
  <c r="G483" i="2"/>
  <c r="U46" i="2"/>
  <c r="T46" i="2"/>
  <c r="S46" i="2"/>
  <c r="R46" i="2"/>
  <c r="N46" i="2"/>
  <c r="O46" i="2" s="1"/>
  <c r="M46" i="2"/>
  <c r="K46" i="2"/>
  <c r="I46" i="2"/>
  <c r="G46" i="2"/>
  <c r="T675" i="2"/>
  <c r="U675" i="2" s="1"/>
  <c r="S675" i="2"/>
  <c r="R675" i="2"/>
  <c r="N675" i="2"/>
  <c r="O675" i="2" s="1"/>
  <c r="W675" i="2" s="1"/>
  <c r="M675" i="2"/>
  <c r="P675" i="2" s="1"/>
  <c r="K675" i="2"/>
  <c r="I675" i="2"/>
  <c r="V675" i="2" s="1"/>
  <c r="X675" i="2" s="1"/>
  <c r="Y675" i="2" s="1"/>
  <c r="G675" i="2"/>
  <c r="S532" i="2"/>
  <c r="T532" i="2" s="1"/>
  <c r="U532" i="2" s="1"/>
  <c r="R532" i="2"/>
  <c r="O532" i="2"/>
  <c r="N532" i="2"/>
  <c r="M532" i="2"/>
  <c r="P532" i="2" s="1"/>
  <c r="K532" i="2"/>
  <c r="I532" i="2"/>
  <c r="G532" i="2"/>
  <c r="S219" i="2"/>
  <c r="T219" i="2" s="1"/>
  <c r="U219" i="2" s="1"/>
  <c r="R219" i="2"/>
  <c r="N219" i="2"/>
  <c r="O219" i="2" s="1"/>
  <c r="M219" i="2"/>
  <c r="K219" i="2"/>
  <c r="I219" i="2"/>
  <c r="G219" i="2"/>
  <c r="S333" i="2"/>
  <c r="T333" i="2" s="1"/>
  <c r="R333" i="2"/>
  <c r="O333" i="2"/>
  <c r="N333" i="2"/>
  <c r="M333" i="2"/>
  <c r="K333" i="2"/>
  <c r="I333" i="2"/>
  <c r="G333" i="2"/>
  <c r="S482" i="2"/>
  <c r="T482" i="2" s="1"/>
  <c r="U482" i="2" s="1"/>
  <c r="R482" i="2"/>
  <c r="O482" i="2"/>
  <c r="N482" i="2"/>
  <c r="M482" i="2"/>
  <c r="K482" i="2"/>
  <c r="I482" i="2"/>
  <c r="G482" i="2"/>
  <c r="T573" i="2"/>
  <c r="S573" i="2"/>
  <c r="R573" i="2"/>
  <c r="U573" i="2" s="1"/>
  <c r="O573" i="2"/>
  <c r="P573" i="2" s="1"/>
  <c r="N573" i="2"/>
  <c r="M573" i="2"/>
  <c r="K573" i="2"/>
  <c r="I573" i="2"/>
  <c r="G573" i="2"/>
  <c r="S572" i="2"/>
  <c r="T572" i="2" s="1"/>
  <c r="R572" i="2"/>
  <c r="U572" i="2" s="1"/>
  <c r="N572" i="2"/>
  <c r="O572" i="2" s="1"/>
  <c r="M572" i="2"/>
  <c r="K572" i="2"/>
  <c r="I572" i="2"/>
  <c r="G572" i="2"/>
  <c r="T625" i="2"/>
  <c r="S625" i="2"/>
  <c r="R625" i="2"/>
  <c r="N625" i="2"/>
  <c r="O625" i="2" s="1"/>
  <c r="W625" i="2" s="1"/>
  <c r="M625" i="2"/>
  <c r="K625" i="2"/>
  <c r="I625" i="2"/>
  <c r="G625" i="2"/>
  <c r="S45" i="2"/>
  <c r="T45" i="2" s="1"/>
  <c r="R45" i="2"/>
  <c r="N45" i="2"/>
  <c r="O45" i="2" s="1"/>
  <c r="M45" i="2"/>
  <c r="K45" i="2"/>
  <c r="I45" i="2"/>
  <c r="G45" i="2"/>
  <c r="S481" i="2"/>
  <c r="T481" i="2" s="1"/>
  <c r="U481" i="2" s="1"/>
  <c r="R481" i="2"/>
  <c r="O481" i="2"/>
  <c r="N481" i="2"/>
  <c r="M481" i="2"/>
  <c r="K481" i="2"/>
  <c r="I481" i="2"/>
  <c r="G481" i="2"/>
  <c r="S145" i="2"/>
  <c r="T145" i="2" s="1"/>
  <c r="R145" i="2"/>
  <c r="N145" i="2"/>
  <c r="O145" i="2" s="1"/>
  <c r="M145" i="2"/>
  <c r="K145" i="2"/>
  <c r="V145" i="2" s="1"/>
  <c r="I145" i="2"/>
  <c r="G145" i="2"/>
  <c r="S624" i="2"/>
  <c r="T624" i="2" s="1"/>
  <c r="R624" i="2"/>
  <c r="N624" i="2"/>
  <c r="O624" i="2" s="1"/>
  <c r="M624" i="2"/>
  <c r="K624" i="2"/>
  <c r="I624" i="2"/>
  <c r="G624" i="2"/>
  <c r="S44" i="2"/>
  <c r="T44" i="2" s="1"/>
  <c r="R44" i="2"/>
  <c r="N44" i="2"/>
  <c r="O44" i="2" s="1"/>
  <c r="M44" i="2"/>
  <c r="K44" i="2"/>
  <c r="I44" i="2"/>
  <c r="G44" i="2"/>
  <c r="S144" i="2"/>
  <c r="T144" i="2" s="1"/>
  <c r="R144" i="2"/>
  <c r="N144" i="2"/>
  <c r="O144" i="2" s="1"/>
  <c r="W144" i="2" s="1"/>
  <c r="M144" i="2"/>
  <c r="K144" i="2"/>
  <c r="I144" i="2"/>
  <c r="G144" i="2"/>
  <c r="S143" i="2"/>
  <c r="T143" i="2" s="1"/>
  <c r="R143" i="2"/>
  <c r="N143" i="2"/>
  <c r="O143" i="2" s="1"/>
  <c r="M143" i="2"/>
  <c r="K143" i="2"/>
  <c r="I143" i="2"/>
  <c r="G143" i="2"/>
  <c r="S387" i="2"/>
  <c r="T387" i="2" s="1"/>
  <c r="U387" i="2" s="1"/>
  <c r="R387" i="2"/>
  <c r="N387" i="2"/>
  <c r="O387" i="2" s="1"/>
  <c r="M387" i="2"/>
  <c r="K387" i="2"/>
  <c r="I387" i="2"/>
  <c r="G387" i="2"/>
  <c r="T142" i="2"/>
  <c r="U142" i="2" s="1"/>
  <c r="S142" i="2"/>
  <c r="R142" i="2"/>
  <c r="N142" i="2"/>
  <c r="O142" i="2" s="1"/>
  <c r="M142" i="2"/>
  <c r="K142" i="2"/>
  <c r="I142" i="2"/>
  <c r="G142" i="2"/>
  <c r="S386" i="2"/>
  <c r="T386" i="2" s="1"/>
  <c r="R386" i="2"/>
  <c r="N386" i="2"/>
  <c r="O386" i="2" s="1"/>
  <c r="M386" i="2"/>
  <c r="K386" i="2"/>
  <c r="I386" i="2"/>
  <c r="G386" i="2"/>
  <c r="S218" i="2"/>
  <c r="T218" i="2" s="1"/>
  <c r="R218" i="2"/>
  <c r="N218" i="2"/>
  <c r="O218" i="2" s="1"/>
  <c r="M218" i="2"/>
  <c r="K218" i="2"/>
  <c r="I218" i="2"/>
  <c r="G218" i="2"/>
  <c r="S385" i="2"/>
  <c r="T385" i="2" s="1"/>
  <c r="R385" i="2"/>
  <c r="N385" i="2"/>
  <c r="O385" i="2" s="1"/>
  <c r="M385" i="2"/>
  <c r="K385" i="2"/>
  <c r="I385" i="2"/>
  <c r="G385" i="2"/>
  <c r="T292" i="2"/>
  <c r="S292" i="2"/>
  <c r="R292" i="2"/>
  <c r="U292" i="2" s="1"/>
  <c r="N292" i="2"/>
  <c r="O292" i="2" s="1"/>
  <c r="P292" i="2" s="1"/>
  <c r="M292" i="2"/>
  <c r="K292" i="2"/>
  <c r="I292" i="2"/>
  <c r="G292" i="2"/>
  <c r="S623" i="2"/>
  <c r="T623" i="2" s="1"/>
  <c r="R623" i="2"/>
  <c r="N623" i="2"/>
  <c r="O623" i="2" s="1"/>
  <c r="M623" i="2"/>
  <c r="K623" i="2"/>
  <c r="I623" i="2"/>
  <c r="G623" i="2"/>
  <c r="S332" i="2"/>
  <c r="T332" i="2" s="1"/>
  <c r="R332" i="2"/>
  <c r="U332" i="2" s="1"/>
  <c r="N332" i="2"/>
  <c r="O332" i="2" s="1"/>
  <c r="W332" i="2" s="1"/>
  <c r="M332" i="2"/>
  <c r="V332" i="2" s="1"/>
  <c r="X332" i="2" s="1"/>
  <c r="Y332" i="2" s="1"/>
  <c r="K332" i="2"/>
  <c r="I332" i="2"/>
  <c r="G332" i="2"/>
  <c r="S291" i="2"/>
  <c r="T291" i="2" s="1"/>
  <c r="R291" i="2"/>
  <c r="N291" i="2"/>
  <c r="O291" i="2" s="1"/>
  <c r="M291" i="2"/>
  <c r="K291" i="2"/>
  <c r="V291" i="2" s="1"/>
  <c r="I291" i="2"/>
  <c r="G291" i="2"/>
  <c r="T141" i="2"/>
  <c r="U141" i="2" s="1"/>
  <c r="S141" i="2"/>
  <c r="R141" i="2"/>
  <c r="N141" i="2"/>
  <c r="O141" i="2" s="1"/>
  <c r="W141" i="2" s="1"/>
  <c r="M141" i="2"/>
  <c r="K141" i="2"/>
  <c r="I141" i="2"/>
  <c r="G141" i="2"/>
  <c r="S384" i="2"/>
  <c r="T384" i="2" s="1"/>
  <c r="U384" i="2" s="1"/>
  <c r="R384" i="2"/>
  <c r="N384" i="2"/>
  <c r="O384" i="2" s="1"/>
  <c r="M384" i="2"/>
  <c r="K384" i="2"/>
  <c r="I384" i="2"/>
  <c r="G384" i="2"/>
  <c r="S331" i="2"/>
  <c r="T331" i="2" s="1"/>
  <c r="R331" i="2"/>
  <c r="N331" i="2"/>
  <c r="O331" i="2" s="1"/>
  <c r="M331" i="2"/>
  <c r="K331" i="2"/>
  <c r="I331" i="2"/>
  <c r="G331" i="2"/>
  <c r="S251" i="2"/>
  <c r="T251" i="2" s="1"/>
  <c r="U251" i="2" s="1"/>
  <c r="R251" i="2"/>
  <c r="N251" i="2"/>
  <c r="O251" i="2" s="1"/>
  <c r="M251" i="2"/>
  <c r="K251" i="2"/>
  <c r="I251" i="2"/>
  <c r="G251" i="2"/>
  <c r="T571" i="2"/>
  <c r="S571" i="2"/>
  <c r="R571" i="2"/>
  <c r="N571" i="2"/>
  <c r="O571" i="2" s="1"/>
  <c r="P571" i="2" s="1"/>
  <c r="M571" i="2"/>
  <c r="K571" i="2"/>
  <c r="I571" i="2"/>
  <c r="G571" i="2"/>
  <c r="S570" i="2"/>
  <c r="T570" i="2" s="1"/>
  <c r="U570" i="2" s="1"/>
  <c r="R570" i="2"/>
  <c r="N570" i="2"/>
  <c r="O570" i="2" s="1"/>
  <c r="M570" i="2"/>
  <c r="K570" i="2"/>
  <c r="I570" i="2"/>
  <c r="V570" i="2" s="1"/>
  <c r="G570" i="2"/>
  <c r="S43" i="2"/>
  <c r="T43" i="2" s="1"/>
  <c r="R43" i="2"/>
  <c r="O43" i="2"/>
  <c r="N43" i="2"/>
  <c r="M43" i="2"/>
  <c r="K43" i="2"/>
  <c r="I43" i="2"/>
  <c r="G43" i="2"/>
  <c r="S250" i="2"/>
  <c r="T250" i="2" s="1"/>
  <c r="U250" i="2" s="1"/>
  <c r="R250" i="2"/>
  <c r="N250" i="2"/>
  <c r="O250" i="2" s="1"/>
  <c r="M250" i="2"/>
  <c r="K250" i="2"/>
  <c r="I250" i="2"/>
  <c r="G250" i="2"/>
  <c r="T330" i="2"/>
  <c r="U330" i="2" s="1"/>
  <c r="S330" i="2"/>
  <c r="R330" i="2"/>
  <c r="O330" i="2"/>
  <c r="N330" i="2"/>
  <c r="M330" i="2"/>
  <c r="P330" i="2" s="1"/>
  <c r="K330" i="2"/>
  <c r="I330" i="2"/>
  <c r="V330" i="2" s="1"/>
  <c r="G330" i="2"/>
  <c r="S97" i="2"/>
  <c r="T97" i="2" s="1"/>
  <c r="R97" i="2"/>
  <c r="U97" i="2" s="1"/>
  <c r="N97" i="2"/>
  <c r="O97" i="2" s="1"/>
  <c r="M97" i="2"/>
  <c r="K97" i="2"/>
  <c r="I97" i="2"/>
  <c r="G97" i="2"/>
  <c r="S674" i="2"/>
  <c r="T674" i="2" s="1"/>
  <c r="R674" i="2"/>
  <c r="N674" i="2"/>
  <c r="O674" i="2" s="1"/>
  <c r="M674" i="2"/>
  <c r="K674" i="2"/>
  <c r="I674" i="2"/>
  <c r="G674" i="2"/>
  <c r="S673" i="2"/>
  <c r="T673" i="2" s="1"/>
  <c r="R673" i="2"/>
  <c r="N673" i="2"/>
  <c r="O673" i="2" s="1"/>
  <c r="M673" i="2"/>
  <c r="K673" i="2"/>
  <c r="I673" i="2"/>
  <c r="G673" i="2"/>
  <c r="T140" i="2"/>
  <c r="S140" i="2"/>
  <c r="R140" i="2"/>
  <c r="O140" i="2"/>
  <c r="N140" i="2"/>
  <c r="M140" i="2"/>
  <c r="K140" i="2"/>
  <c r="I140" i="2"/>
  <c r="G140" i="2"/>
  <c r="S383" i="2"/>
  <c r="T383" i="2" s="1"/>
  <c r="U383" i="2" s="1"/>
  <c r="R383" i="2"/>
  <c r="N383" i="2"/>
  <c r="O383" i="2" s="1"/>
  <c r="M383" i="2"/>
  <c r="P383" i="2" s="1"/>
  <c r="K383" i="2"/>
  <c r="I383" i="2"/>
  <c r="G383" i="2"/>
  <c r="S440" i="2"/>
  <c r="T440" i="2" s="1"/>
  <c r="R440" i="2"/>
  <c r="O440" i="2"/>
  <c r="N440" i="2"/>
  <c r="M440" i="2"/>
  <c r="K440" i="2"/>
  <c r="I440" i="2"/>
  <c r="G440" i="2"/>
  <c r="S96" i="2"/>
  <c r="T96" i="2" s="1"/>
  <c r="U96" i="2" s="1"/>
  <c r="R96" i="2"/>
  <c r="N96" i="2"/>
  <c r="O96" i="2" s="1"/>
  <c r="P96" i="2" s="1"/>
  <c r="M96" i="2"/>
  <c r="K96" i="2"/>
  <c r="I96" i="2"/>
  <c r="G96" i="2"/>
  <c r="T718" i="2"/>
  <c r="U718" i="2" s="1"/>
  <c r="S718" i="2"/>
  <c r="R718" i="2"/>
  <c r="O718" i="2"/>
  <c r="N718" i="2"/>
  <c r="M718" i="2"/>
  <c r="P718" i="2" s="1"/>
  <c r="K718" i="2"/>
  <c r="I718" i="2"/>
  <c r="G718" i="2"/>
  <c r="U139" i="2"/>
  <c r="S139" i="2"/>
  <c r="T139" i="2" s="1"/>
  <c r="R139" i="2"/>
  <c r="N139" i="2"/>
  <c r="O139" i="2" s="1"/>
  <c r="M139" i="2"/>
  <c r="K139" i="2"/>
  <c r="I139" i="2"/>
  <c r="G139" i="2"/>
  <c r="T42" i="2"/>
  <c r="S42" i="2"/>
  <c r="R42" i="2"/>
  <c r="N42" i="2"/>
  <c r="O42" i="2" s="1"/>
  <c r="M42" i="2"/>
  <c r="P42" i="2" s="1"/>
  <c r="K42" i="2"/>
  <c r="I42" i="2"/>
  <c r="G42" i="2"/>
  <c r="S717" i="2"/>
  <c r="T717" i="2" s="1"/>
  <c r="U717" i="2" s="1"/>
  <c r="R717" i="2"/>
  <c r="N717" i="2"/>
  <c r="O717" i="2" s="1"/>
  <c r="M717" i="2"/>
  <c r="K717" i="2"/>
  <c r="I717" i="2"/>
  <c r="G717" i="2"/>
  <c r="S716" i="2"/>
  <c r="T716" i="2" s="1"/>
  <c r="R716" i="2"/>
  <c r="O716" i="2"/>
  <c r="N716" i="2"/>
  <c r="M716" i="2"/>
  <c r="K716" i="2"/>
  <c r="I716" i="2"/>
  <c r="V716" i="2" s="1"/>
  <c r="G716" i="2"/>
  <c r="S672" i="2"/>
  <c r="T672" i="2" s="1"/>
  <c r="U672" i="2" s="1"/>
  <c r="R672" i="2"/>
  <c r="N672" i="2"/>
  <c r="O672" i="2" s="1"/>
  <c r="M672" i="2"/>
  <c r="K672" i="2"/>
  <c r="I672" i="2"/>
  <c r="G672" i="2"/>
  <c r="S439" i="2"/>
  <c r="T439" i="2" s="1"/>
  <c r="R439" i="2"/>
  <c r="O439" i="2"/>
  <c r="N439" i="2"/>
  <c r="M439" i="2"/>
  <c r="K439" i="2"/>
  <c r="I439" i="2"/>
  <c r="G439" i="2"/>
  <c r="S671" i="2"/>
  <c r="T671" i="2" s="1"/>
  <c r="U671" i="2" s="1"/>
  <c r="R671" i="2"/>
  <c r="N671" i="2"/>
  <c r="O671" i="2" s="1"/>
  <c r="M671" i="2"/>
  <c r="K671" i="2"/>
  <c r="I671" i="2"/>
  <c r="G671" i="2"/>
  <c r="S715" i="2"/>
  <c r="T715" i="2" s="1"/>
  <c r="U715" i="2" s="1"/>
  <c r="R715" i="2"/>
  <c r="O715" i="2"/>
  <c r="N715" i="2"/>
  <c r="M715" i="2"/>
  <c r="K715" i="2"/>
  <c r="I715" i="2"/>
  <c r="G715" i="2"/>
  <c r="S95" i="2"/>
  <c r="T95" i="2" s="1"/>
  <c r="U95" i="2" s="1"/>
  <c r="R95" i="2"/>
  <c r="N95" i="2"/>
  <c r="O95" i="2" s="1"/>
  <c r="P95" i="2" s="1"/>
  <c r="M95" i="2"/>
  <c r="K95" i="2"/>
  <c r="I95" i="2"/>
  <c r="G95" i="2"/>
  <c r="S249" i="2"/>
  <c r="T249" i="2" s="1"/>
  <c r="R249" i="2"/>
  <c r="N249" i="2"/>
  <c r="O249" i="2" s="1"/>
  <c r="M249" i="2"/>
  <c r="K249" i="2"/>
  <c r="I249" i="2"/>
  <c r="G249" i="2"/>
  <c r="S714" i="2"/>
  <c r="T714" i="2" s="1"/>
  <c r="U714" i="2" s="1"/>
  <c r="R714" i="2"/>
  <c r="N714" i="2"/>
  <c r="O714" i="2" s="1"/>
  <c r="M714" i="2"/>
  <c r="P714" i="2" s="1"/>
  <c r="K714" i="2"/>
  <c r="I714" i="2"/>
  <c r="G714" i="2"/>
  <c r="T622" i="2"/>
  <c r="S622" i="2"/>
  <c r="R622" i="2"/>
  <c r="N622" i="2"/>
  <c r="O622" i="2" s="1"/>
  <c r="M622" i="2"/>
  <c r="K622" i="2"/>
  <c r="I622" i="2"/>
  <c r="G622" i="2"/>
  <c r="S713" i="2"/>
  <c r="T713" i="2" s="1"/>
  <c r="U713" i="2" s="1"/>
  <c r="R713" i="2"/>
  <c r="N713" i="2"/>
  <c r="O713" i="2" s="1"/>
  <c r="M713" i="2"/>
  <c r="K713" i="2"/>
  <c r="I713" i="2"/>
  <c r="G713" i="2"/>
  <c r="S248" i="2"/>
  <c r="T248" i="2" s="1"/>
  <c r="R248" i="2"/>
  <c r="N248" i="2"/>
  <c r="O248" i="2" s="1"/>
  <c r="W248" i="2" s="1"/>
  <c r="M248" i="2"/>
  <c r="K248" i="2"/>
  <c r="I248" i="2"/>
  <c r="G248" i="2"/>
  <c r="W480" i="2"/>
  <c r="S480" i="2"/>
  <c r="T480" i="2" s="1"/>
  <c r="U480" i="2" s="1"/>
  <c r="R480" i="2"/>
  <c r="N480" i="2"/>
  <c r="O480" i="2" s="1"/>
  <c r="M480" i="2"/>
  <c r="K480" i="2"/>
  <c r="I480" i="2"/>
  <c r="G480" i="2"/>
  <c r="T569" i="2"/>
  <c r="U569" i="2" s="1"/>
  <c r="S569" i="2"/>
  <c r="R569" i="2"/>
  <c r="N569" i="2"/>
  <c r="O569" i="2" s="1"/>
  <c r="M569" i="2"/>
  <c r="K569" i="2"/>
  <c r="I569" i="2"/>
  <c r="G569" i="2"/>
  <c r="W94" i="2"/>
  <c r="S94" i="2"/>
  <c r="T94" i="2" s="1"/>
  <c r="U94" i="2" s="1"/>
  <c r="R94" i="2"/>
  <c r="N94" i="2"/>
  <c r="O94" i="2" s="1"/>
  <c r="P94" i="2" s="1"/>
  <c r="M94" i="2"/>
  <c r="K94" i="2"/>
  <c r="I94" i="2"/>
  <c r="G94" i="2"/>
  <c r="T531" i="2"/>
  <c r="S531" i="2"/>
  <c r="R531" i="2"/>
  <c r="N531" i="2"/>
  <c r="O531" i="2" s="1"/>
  <c r="M531" i="2"/>
  <c r="K531" i="2"/>
  <c r="I531" i="2"/>
  <c r="G531" i="2"/>
  <c r="U438" i="2"/>
  <c r="S438" i="2"/>
  <c r="T438" i="2" s="1"/>
  <c r="R438" i="2"/>
  <c r="N438" i="2"/>
  <c r="O438" i="2" s="1"/>
  <c r="M438" i="2"/>
  <c r="P438" i="2" s="1"/>
  <c r="K438" i="2"/>
  <c r="I438" i="2"/>
  <c r="G438" i="2"/>
  <c r="T93" i="2"/>
  <c r="S93" i="2"/>
  <c r="R93" i="2"/>
  <c r="N93" i="2"/>
  <c r="O93" i="2" s="1"/>
  <c r="M93" i="2"/>
  <c r="K93" i="2"/>
  <c r="I93" i="2"/>
  <c r="G93" i="2"/>
  <c r="S568" i="2"/>
  <c r="T568" i="2" s="1"/>
  <c r="R568" i="2"/>
  <c r="N568" i="2"/>
  <c r="O568" i="2" s="1"/>
  <c r="M568" i="2"/>
  <c r="K568" i="2"/>
  <c r="I568" i="2"/>
  <c r="V568" i="2" s="1"/>
  <c r="G568" i="2"/>
  <c r="S479" i="2"/>
  <c r="T479" i="2" s="1"/>
  <c r="R479" i="2"/>
  <c r="O479" i="2"/>
  <c r="W479" i="2" s="1"/>
  <c r="N479" i="2"/>
  <c r="M479" i="2"/>
  <c r="P479" i="2" s="1"/>
  <c r="K479" i="2"/>
  <c r="I479" i="2"/>
  <c r="G479" i="2"/>
  <c r="S382" i="2"/>
  <c r="T382" i="2" s="1"/>
  <c r="R382" i="2"/>
  <c r="N382" i="2"/>
  <c r="O382" i="2" s="1"/>
  <c r="M382" i="2"/>
  <c r="K382" i="2"/>
  <c r="I382" i="2"/>
  <c r="G382" i="2"/>
  <c r="S712" i="2"/>
  <c r="T712" i="2" s="1"/>
  <c r="U712" i="2" s="1"/>
  <c r="R712" i="2"/>
  <c r="N712" i="2"/>
  <c r="O712" i="2" s="1"/>
  <c r="W712" i="2" s="1"/>
  <c r="M712" i="2"/>
  <c r="K712" i="2"/>
  <c r="I712" i="2"/>
  <c r="G712" i="2"/>
  <c r="S217" i="2"/>
  <c r="T217" i="2" s="1"/>
  <c r="R217" i="2"/>
  <c r="N217" i="2"/>
  <c r="O217" i="2" s="1"/>
  <c r="M217" i="2"/>
  <c r="K217" i="2"/>
  <c r="I217" i="2"/>
  <c r="V217" i="2" s="1"/>
  <c r="G217" i="2"/>
  <c r="S530" i="2"/>
  <c r="T530" i="2" s="1"/>
  <c r="R530" i="2"/>
  <c r="N530" i="2"/>
  <c r="O530" i="2" s="1"/>
  <c r="M530" i="2"/>
  <c r="K530" i="2"/>
  <c r="I530" i="2"/>
  <c r="G530" i="2"/>
  <c r="S670" i="2"/>
  <c r="T670" i="2" s="1"/>
  <c r="R670" i="2"/>
  <c r="U670" i="2" s="1"/>
  <c r="N670" i="2"/>
  <c r="O670" i="2" s="1"/>
  <c r="W670" i="2" s="1"/>
  <c r="M670" i="2"/>
  <c r="K670" i="2"/>
  <c r="I670" i="2"/>
  <c r="G670" i="2"/>
  <c r="T247" i="2"/>
  <c r="S247" i="2"/>
  <c r="R247" i="2"/>
  <c r="N247" i="2"/>
  <c r="O247" i="2" s="1"/>
  <c r="M247" i="2"/>
  <c r="K247" i="2"/>
  <c r="I247" i="2"/>
  <c r="G247" i="2"/>
  <c r="S669" i="2"/>
  <c r="T669" i="2" s="1"/>
  <c r="U669" i="2" s="1"/>
  <c r="R669" i="2"/>
  <c r="N669" i="2"/>
  <c r="O669" i="2" s="1"/>
  <c r="M669" i="2"/>
  <c r="K669" i="2"/>
  <c r="I669" i="2"/>
  <c r="V669" i="2" s="1"/>
  <c r="G669" i="2"/>
  <c r="S529" i="2"/>
  <c r="T529" i="2" s="1"/>
  <c r="R529" i="2"/>
  <c r="U529" i="2" s="1"/>
  <c r="N529" i="2"/>
  <c r="O529" i="2" s="1"/>
  <c r="W529" i="2" s="1"/>
  <c r="M529" i="2"/>
  <c r="K529" i="2"/>
  <c r="I529" i="2"/>
  <c r="G529" i="2"/>
  <c r="W246" i="2"/>
  <c r="S246" i="2"/>
  <c r="T246" i="2" s="1"/>
  <c r="R246" i="2"/>
  <c r="N246" i="2"/>
  <c r="O246" i="2" s="1"/>
  <c r="M246" i="2"/>
  <c r="P246" i="2" s="1"/>
  <c r="K246" i="2"/>
  <c r="I246" i="2"/>
  <c r="G246" i="2"/>
  <c r="S138" i="2"/>
  <c r="T138" i="2" s="1"/>
  <c r="R138" i="2"/>
  <c r="N138" i="2"/>
  <c r="O138" i="2" s="1"/>
  <c r="M138" i="2"/>
  <c r="K138" i="2"/>
  <c r="I138" i="2"/>
  <c r="G138" i="2"/>
  <c r="T711" i="2"/>
  <c r="U711" i="2" s="1"/>
  <c r="S711" i="2"/>
  <c r="R711" i="2"/>
  <c r="N711" i="2"/>
  <c r="O711" i="2" s="1"/>
  <c r="W711" i="2" s="1"/>
  <c r="M711" i="2"/>
  <c r="K711" i="2"/>
  <c r="I711" i="2"/>
  <c r="G711" i="2"/>
  <c r="S41" i="2"/>
  <c r="T41" i="2" s="1"/>
  <c r="R41" i="2"/>
  <c r="N41" i="2"/>
  <c r="O41" i="2" s="1"/>
  <c r="M41" i="2"/>
  <c r="K41" i="2"/>
  <c r="I41" i="2"/>
  <c r="G41" i="2"/>
  <c r="S92" i="2"/>
  <c r="T92" i="2" s="1"/>
  <c r="R92" i="2"/>
  <c r="N92" i="2"/>
  <c r="O92" i="2" s="1"/>
  <c r="M92" i="2"/>
  <c r="P92" i="2" s="1"/>
  <c r="K92" i="2"/>
  <c r="I92" i="2"/>
  <c r="G92" i="2"/>
  <c r="T381" i="2"/>
  <c r="U381" i="2" s="1"/>
  <c r="S381" i="2"/>
  <c r="R381" i="2"/>
  <c r="N381" i="2"/>
  <c r="O381" i="2" s="1"/>
  <c r="W381" i="2" s="1"/>
  <c r="M381" i="2"/>
  <c r="K381" i="2"/>
  <c r="I381" i="2"/>
  <c r="G381" i="2"/>
  <c r="T621" i="2"/>
  <c r="S621" i="2"/>
  <c r="R621" i="2"/>
  <c r="U621" i="2" s="1"/>
  <c r="N621" i="2"/>
  <c r="O621" i="2" s="1"/>
  <c r="W621" i="2" s="1"/>
  <c r="M621" i="2"/>
  <c r="K621" i="2"/>
  <c r="I621" i="2"/>
  <c r="G621" i="2"/>
  <c r="S567" i="2"/>
  <c r="T567" i="2" s="1"/>
  <c r="U567" i="2" s="1"/>
  <c r="R567" i="2"/>
  <c r="N567" i="2"/>
  <c r="O567" i="2" s="1"/>
  <c r="W567" i="2" s="1"/>
  <c r="M567" i="2"/>
  <c r="K567" i="2"/>
  <c r="I567" i="2"/>
  <c r="G567" i="2"/>
  <c r="S40" i="2"/>
  <c r="T40" i="2" s="1"/>
  <c r="U40" i="2" s="1"/>
  <c r="R40" i="2"/>
  <c r="N40" i="2"/>
  <c r="O40" i="2" s="1"/>
  <c r="W40" i="2" s="1"/>
  <c r="M40" i="2"/>
  <c r="K40" i="2"/>
  <c r="I40" i="2"/>
  <c r="G40" i="2"/>
  <c r="T91" i="2"/>
  <c r="S91" i="2"/>
  <c r="R91" i="2"/>
  <c r="N91" i="2"/>
  <c r="O91" i="2" s="1"/>
  <c r="M91" i="2"/>
  <c r="K91" i="2"/>
  <c r="I91" i="2"/>
  <c r="G91" i="2"/>
  <c r="S39" i="2"/>
  <c r="T39" i="2" s="1"/>
  <c r="R39" i="2"/>
  <c r="N39" i="2"/>
  <c r="O39" i="2" s="1"/>
  <c r="W39" i="2" s="1"/>
  <c r="M39" i="2"/>
  <c r="K39" i="2"/>
  <c r="I39" i="2"/>
  <c r="G39" i="2"/>
  <c r="S329" i="2"/>
  <c r="T329" i="2" s="1"/>
  <c r="R329" i="2"/>
  <c r="N329" i="2"/>
  <c r="O329" i="2" s="1"/>
  <c r="P329" i="2" s="1"/>
  <c r="M329" i="2"/>
  <c r="K329" i="2"/>
  <c r="I329" i="2"/>
  <c r="G329" i="2"/>
  <c r="T528" i="2"/>
  <c r="S528" i="2"/>
  <c r="R528" i="2"/>
  <c r="N528" i="2"/>
  <c r="O528" i="2" s="1"/>
  <c r="M528" i="2"/>
  <c r="K528" i="2"/>
  <c r="I528" i="2"/>
  <c r="G528" i="2"/>
  <c r="S527" i="2"/>
  <c r="T527" i="2" s="1"/>
  <c r="U527" i="2" s="1"/>
  <c r="R527" i="2"/>
  <c r="N527" i="2"/>
  <c r="O527" i="2" s="1"/>
  <c r="W527" i="2" s="1"/>
  <c r="M527" i="2"/>
  <c r="K527" i="2"/>
  <c r="I527" i="2"/>
  <c r="G527" i="2"/>
  <c r="S668" i="2"/>
  <c r="T668" i="2" s="1"/>
  <c r="R668" i="2"/>
  <c r="N668" i="2"/>
  <c r="O668" i="2" s="1"/>
  <c r="M668" i="2"/>
  <c r="K668" i="2"/>
  <c r="I668" i="2"/>
  <c r="G668" i="2"/>
  <c r="S620" i="2"/>
  <c r="T620" i="2" s="1"/>
  <c r="R620" i="2"/>
  <c r="N620" i="2"/>
  <c r="O620" i="2" s="1"/>
  <c r="M620" i="2"/>
  <c r="P620" i="2" s="1"/>
  <c r="K620" i="2"/>
  <c r="I620" i="2"/>
  <c r="G620" i="2"/>
  <c r="S667" i="2"/>
  <c r="T667" i="2" s="1"/>
  <c r="U667" i="2" s="1"/>
  <c r="R667" i="2"/>
  <c r="N667" i="2"/>
  <c r="O667" i="2" s="1"/>
  <c r="M667" i="2"/>
  <c r="K667" i="2"/>
  <c r="I667" i="2"/>
  <c r="G667" i="2"/>
  <c r="T666" i="2"/>
  <c r="S666" i="2"/>
  <c r="R666" i="2"/>
  <c r="N666" i="2"/>
  <c r="O666" i="2" s="1"/>
  <c r="M666" i="2"/>
  <c r="K666" i="2"/>
  <c r="I666" i="2"/>
  <c r="G666" i="2"/>
  <c r="S710" i="2"/>
  <c r="T710" i="2" s="1"/>
  <c r="R710" i="2"/>
  <c r="N710" i="2"/>
  <c r="O710" i="2" s="1"/>
  <c r="M710" i="2"/>
  <c r="K710" i="2"/>
  <c r="I710" i="2"/>
  <c r="G710" i="2"/>
  <c r="S245" i="2"/>
  <c r="T245" i="2" s="1"/>
  <c r="R245" i="2"/>
  <c r="N245" i="2"/>
  <c r="O245" i="2" s="1"/>
  <c r="P245" i="2" s="1"/>
  <c r="M245" i="2"/>
  <c r="K245" i="2"/>
  <c r="I245" i="2"/>
  <c r="G245" i="2"/>
  <c r="T244" i="2"/>
  <c r="S244" i="2"/>
  <c r="R244" i="2"/>
  <c r="N244" i="2"/>
  <c r="O244" i="2" s="1"/>
  <c r="M244" i="2"/>
  <c r="K244" i="2"/>
  <c r="I244" i="2"/>
  <c r="G244" i="2"/>
  <c r="S478" i="2"/>
  <c r="T478" i="2" s="1"/>
  <c r="U478" i="2" s="1"/>
  <c r="R478" i="2"/>
  <c r="N478" i="2"/>
  <c r="O478" i="2" s="1"/>
  <c r="W478" i="2" s="1"/>
  <c r="M478" i="2"/>
  <c r="K478" i="2"/>
  <c r="I478" i="2"/>
  <c r="G478" i="2"/>
  <c r="S665" i="2"/>
  <c r="T665" i="2" s="1"/>
  <c r="R665" i="2"/>
  <c r="N665" i="2"/>
  <c r="O665" i="2" s="1"/>
  <c r="W665" i="2" s="1"/>
  <c r="M665" i="2"/>
  <c r="K665" i="2"/>
  <c r="I665" i="2"/>
  <c r="G665" i="2"/>
  <c r="S137" i="2"/>
  <c r="T137" i="2" s="1"/>
  <c r="R137" i="2"/>
  <c r="N137" i="2"/>
  <c r="O137" i="2" s="1"/>
  <c r="M137" i="2"/>
  <c r="K137" i="2"/>
  <c r="I137" i="2"/>
  <c r="V137" i="2" s="1"/>
  <c r="G137" i="2"/>
  <c r="S136" i="2"/>
  <c r="T136" i="2" s="1"/>
  <c r="R136" i="2"/>
  <c r="N136" i="2"/>
  <c r="O136" i="2" s="1"/>
  <c r="M136" i="2"/>
  <c r="K136" i="2"/>
  <c r="I136" i="2"/>
  <c r="G136" i="2"/>
  <c r="S477" i="2"/>
  <c r="T477" i="2" s="1"/>
  <c r="R477" i="2"/>
  <c r="N477" i="2"/>
  <c r="O477" i="2" s="1"/>
  <c r="M477" i="2"/>
  <c r="K477" i="2"/>
  <c r="I477" i="2"/>
  <c r="G477" i="2"/>
  <c r="S38" i="2"/>
  <c r="T38" i="2" s="1"/>
  <c r="R38" i="2"/>
  <c r="N38" i="2"/>
  <c r="O38" i="2" s="1"/>
  <c r="M38" i="2"/>
  <c r="K38" i="2"/>
  <c r="I38" i="2"/>
  <c r="G38" i="2"/>
  <c r="S90" i="2"/>
  <c r="T90" i="2" s="1"/>
  <c r="R90" i="2"/>
  <c r="O90" i="2"/>
  <c r="P90" i="2" s="1"/>
  <c r="N90" i="2"/>
  <c r="M90" i="2"/>
  <c r="K90" i="2"/>
  <c r="I90" i="2"/>
  <c r="G90" i="2"/>
  <c r="S380" i="2"/>
  <c r="T380" i="2" s="1"/>
  <c r="R380" i="2"/>
  <c r="N380" i="2"/>
  <c r="O380" i="2" s="1"/>
  <c r="M380" i="2"/>
  <c r="K380" i="2"/>
  <c r="I380" i="2"/>
  <c r="G380" i="2"/>
  <c r="S526" i="2"/>
  <c r="T526" i="2" s="1"/>
  <c r="U526" i="2" s="1"/>
  <c r="R526" i="2"/>
  <c r="N526" i="2"/>
  <c r="O526" i="2" s="1"/>
  <c r="W526" i="2" s="1"/>
  <c r="M526" i="2"/>
  <c r="K526" i="2"/>
  <c r="I526" i="2"/>
  <c r="G526" i="2"/>
  <c r="T437" i="2"/>
  <c r="S437" i="2"/>
  <c r="R437" i="2"/>
  <c r="N437" i="2"/>
  <c r="O437" i="2" s="1"/>
  <c r="M437" i="2"/>
  <c r="V437" i="2" s="1"/>
  <c r="K437" i="2"/>
  <c r="I437" i="2"/>
  <c r="G437" i="2"/>
  <c r="V566" i="2"/>
  <c r="S566" i="2"/>
  <c r="T566" i="2" s="1"/>
  <c r="U566" i="2" s="1"/>
  <c r="R566" i="2"/>
  <c r="N566" i="2"/>
  <c r="O566" i="2" s="1"/>
  <c r="M566" i="2"/>
  <c r="P566" i="2" s="1"/>
  <c r="K566" i="2"/>
  <c r="I566" i="2"/>
  <c r="G566" i="2"/>
  <c r="U89" i="2"/>
  <c r="T89" i="2"/>
  <c r="S89" i="2"/>
  <c r="R89" i="2"/>
  <c r="O89" i="2"/>
  <c r="N89" i="2"/>
  <c r="M89" i="2"/>
  <c r="K89" i="2"/>
  <c r="I89" i="2"/>
  <c r="V89" i="2" s="1"/>
  <c r="G89" i="2"/>
  <c r="S135" i="2"/>
  <c r="T135" i="2" s="1"/>
  <c r="R135" i="2"/>
  <c r="N135" i="2"/>
  <c r="O135" i="2" s="1"/>
  <c r="M135" i="2"/>
  <c r="K135" i="2"/>
  <c r="I135" i="2"/>
  <c r="V135" i="2" s="1"/>
  <c r="G135" i="2"/>
  <c r="S88" i="2"/>
  <c r="T88" i="2" s="1"/>
  <c r="R88" i="2"/>
  <c r="O88" i="2"/>
  <c r="N88" i="2"/>
  <c r="M88" i="2"/>
  <c r="K88" i="2"/>
  <c r="I88" i="2"/>
  <c r="G88" i="2"/>
  <c r="S476" i="2"/>
  <c r="T476" i="2" s="1"/>
  <c r="R476" i="2"/>
  <c r="N476" i="2"/>
  <c r="O476" i="2" s="1"/>
  <c r="M476" i="2"/>
  <c r="K476" i="2"/>
  <c r="I476" i="2"/>
  <c r="G476" i="2"/>
  <c r="T87" i="2"/>
  <c r="S87" i="2"/>
  <c r="R87" i="2"/>
  <c r="N87" i="2"/>
  <c r="O87" i="2" s="1"/>
  <c r="W87" i="2" s="1"/>
  <c r="M87" i="2"/>
  <c r="K87" i="2"/>
  <c r="I87" i="2"/>
  <c r="G87" i="2"/>
  <c r="S664" i="2"/>
  <c r="T664" i="2" s="1"/>
  <c r="U664" i="2" s="1"/>
  <c r="R664" i="2"/>
  <c r="N664" i="2"/>
  <c r="O664" i="2" s="1"/>
  <c r="M664" i="2"/>
  <c r="K664" i="2"/>
  <c r="V664" i="2" s="1"/>
  <c r="I664" i="2"/>
  <c r="G664" i="2"/>
  <c r="T37" i="2"/>
  <c r="S37" i="2"/>
  <c r="R37" i="2"/>
  <c r="N37" i="2"/>
  <c r="O37" i="2" s="1"/>
  <c r="M37" i="2"/>
  <c r="K37" i="2"/>
  <c r="I37" i="2"/>
  <c r="G37" i="2"/>
  <c r="S436" i="2"/>
  <c r="T436" i="2" s="1"/>
  <c r="U436" i="2" s="1"/>
  <c r="R436" i="2"/>
  <c r="N436" i="2"/>
  <c r="O436" i="2" s="1"/>
  <c r="M436" i="2"/>
  <c r="P436" i="2" s="1"/>
  <c r="K436" i="2"/>
  <c r="I436" i="2"/>
  <c r="G436" i="2"/>
  <c r="U663" i="2"/>
  <c r="T663" i="2"/>
  <c r="S663" i="2"/>
  <c r="R663" i="2"/>
  <c r="N663" i="2"/>
  <c r="O663" i="2" s="1"/>
  <c r="W663" i="2" s="1"/>
  <c r="M663" i="2"/>
  <c r="K663" i="2"/>
  <c r="I663" i="2"/>
  <c r="G663" i="2"/>
  <c r="S36" i="2"/>
  <c r="T36" i="2" s="1"/>
  <c r="W36" i="2" s="1"/>
  <c r="R36" i="2"/>
  <c r="N36" i="2"/>
  <c r="O36" i="2" s="1"/>
  <c r="P36" i="2" s="1"/>
  <c r="M36" i="2"/>
  <c r="K36" i="2"/>
  <c r="I36" i="2"/>
  <c r="G36" i="2"/>
  <c r="S216" i="2"/>
  <c r="T216" i="2" s="1"/>
  <c r="R216" i="2"/>
  <c r="U216" i="2" s="1"/>
  <c r="N216" i="2"/>
  <c r="O216" i="2" s="1"/>
  <c r="M216" i="2"/>
  <c r="K216" i="2"/>
  <c r="I216" i="2"/>
  <c r="G216" i="2"/>
  <c r="S35" i="2"/>
  <c r="T35" i="2" s="1"/>
  <c r="R35" i="2"/>
  <c r="U35" i="2" s="1"/>
  <c r="N35" i="2"/>
  <c r="O35" i="2" s="1"/>
  <c r="M35" i="2"/>
  <c r="K35" i="2"/>
  <c r="I35" i="2"/>
  <c r="G35" i="2"/>
  <c r="T243" i="2"/>
  <c r="S243" i="2"/>
  <c r="R243" i="2"/>
  <c r="N243" i="2"/>
  <c r="O243" i="2" s="1"/>
  <c r="P243" i="2" s="1"/>
  <c r="M243" i="2"/>
  <c r="K243" i="2"/>
  <c r="I243" i="2"/>
  <c r="G243" i="2"/>
  <c r="S709" i="2"/>
  <c r="T709" i="2" s="1"/>
  <c r="R709" i="2"/>
  <c r="N709" i="2"/>
  <c r="O709" i="2" s="1"/>
  <c r="W709" i="2" s="1"/>
  <c r="M709" i="2"/>
  <c r="K709" i="2"/>
  <c r="I709" i="2"/>
  <c r="G709" i="2"/>
  <c r="T619" i="2"/>
  <c r="S619" i="2"/>
  <c r="R619" i="2"/>
  <c r="N619" i="2"/>
  <c r="O619" i="2" s="1"/>
  <c r="W619" i="2" s="1"/>
  <c r="M619" i="2"/>
  <c r="K619" i="2"/>
  <c r="I619" i="2"/>
  <c r="G619" i="2"/>
  <c r="S475" i="2"/>
  <c r="T475" i="2" s="1"/>
  <c r="U475" i="2" s="1"/>
  <c r="R475" i="2"/>
  <c r="N475" i="2"/>
  <c r="O475" i="2" s="1"/>
  <c r="M475" i="2"/>
  <c r="P475" i="2" s="1"/>
  <c r="K475" i="2"/>
  <c r="I475" i="2"/>
  <c r="G475" i="2"/>
  <c r="S499" i="2"/>
  <c r="T499" i="2" s="1"/>
  <c r="R499" i="2"/>
  <c r="N499" i="2"/>
  <c r="O499" i="2" s="1"/>
  <c r="M499" i="2"/>
  <c r="K499" i="2"/>
  <c r="I499" i="2"/>
  <c r="G499" i="2"/>
  <c r="S134" i="2"/>
  <c r="T134" i="2" s="1"/>
  <c r="W134" i="2" s="1"/>
  <c r="R134" i="2"/>
  <c r="N134" i="2"/>
  <c r="O134" i="2" s="1"/>
  <c r="M134" i="2"/>
  <c r="P134" i="2" s="1"/>
  <c r="K134" i="2"/>
  <c r="I134" i="2"/>
  <c r="G134" i="2"/>
  <c r="S618" i="2"/>
  <c r="T618" i="2" s="1"/>
  <c r="R618" i="2"/>
  <c r="N618" i="2"/>
  <c r="O618" i="2" s="1"/>
  <c r="W618" i="2" s="1"/>
  <c r="M618" i="2"/>
  <c r="K618" i="2"/>
  <c r="I618" i="2"/>
  <c r="V618" i="2" s="1"/>
  <c r="G618" i="2"/>
  <c r="S379" i="2"/>
  <c r="T379" i="2" s="1"/>
  <c r="R379" i="2"/>
  <c r="N379" i="2"/>
  <c r="O379" i="2" s="1"/>
  <c r="W379" i="2" s="1"/>
  <c r="M379" i="2"/>
  <c r="P379" i="2" s="1"/>
  <c r="K379" i="2"/>
  <c r="I379" i="2"/>
  <c r="G379" i="2"/>
  <c r="S617" i="2"/>
  <c r="T617" i="2" s="1"/>
  <c r="R617" i="2"/>
  <c r="N617" i="2"/>
  <c r="O617" i="2" s="1"/>
  <c r="M617" i="2"/>
  <c r="K617" i="2"/>
  <c r="I617" i="2"/>
  <c r="G617" i="2"/>
  <c r="S525" i="2"/>
  <c r="T525" i="2" s="1"/>
  <c r="R525" i="2"/>
  <c r="U525" i="2" s="1"/>
  <c r="N525" i="2"/>
  <c r="O525" i="2" s="1"/>
  <c r="W525" i="2" s="1"/>
  <c r="M525" i="2"/>
  <c r="K525" i="2"/>
  <c r="I525" i="2"/>
  <c r="G525" i="2"/>
  <c r="S378" i="2"/>
  <c r="T378" i="2" s="1"/>
  <c r="R378" i="2"/>
  <c r="N378" i="2"/>
  <c r="O378" i="2" s="1"/>
  <c r="M378" i="2"/>
  <c r="K378" i="2"/>
  <c r="I378" i="2"/>
  <c r="G378" i="2"/>
  <c r="S215" i="2"/>
  <c r="T215" i="2" s="1"/>
  <c r="R215" i="2"/>
  <c r="N215" i="2"/>
  <c r="O215" i="2" s="1"/>
  <c r="M215" i="2"/>
  <c r="P215" i="2" s="1"/>
  <c r="K215" i="2"/>
  <c r="I215" i="2"/>
  <c r="G215" i="2"/>
  <c r="S524" i="2"/>
  <c r="T524" i="2" s="1"/>
  <c r="U524" i="2" s="1"/>
  <c r="R524" i="2"/>
  <c r="N524" i="2"/>
  <c r="O524" i="2" s="1"/>
  <c r="M524" i="2"/>
  <c r="K524" i="2"/>
  <c r="I524" i="2"/>
  <c r="G524" i="2"/>
  <c r="S662" i="2"/>
  <c r="T662" i="2" s="1"/>
  <c r="U662" i="2" s="1"/>
  <c r="R662" i="2"/>
  <c r="N662" i="2"/>
  <c r="O662" i="2" s="1"/>
  <c r="M662" i="2"/>
  <c r="K662" i="2"/>
  <c r="I662" i="2"/>
  <c r="G662" i="2"/>
  <c r="S523" i="2"/>
  <c r="T523" i="2" s="1"/>
  <c r="R523" i="2"/>
  <c r="N523" i="2"/>
  <c r="O523" i="2" s="1"/>
  <c r="M523" i="2"/>
  <c r="P523" i="2" s="1"/>
  <c r="K523" i="2"/>
  <c r="I523" i="2"/>
  <c r="G523" i="2"/>
  <c r="S522" i="2"/>
  <c r="T522" i="2" s="1"/>
  <c r="R522" i="2"/>
  <c r="N522" i="2"/>
  <c r="O522" i="2" s="1"/>
  <c r="M522" i="2"/>
  <c r="K522" i="2"/>
  <c r="I522" i="2"/>
  <c r="G522" i="2"/>
  <c r="S521" i="2"/>
  <c r="T521" i="2" s="1"/>
  <c r="R521" i="2"/>
  <c r="N521" i="2"/>
  <c r="O521" i="2" s="1"/>
  <c r="M521" i="2"/>
  <c r="P521" i="2" s="1"/>
  <c r="K521" i="2"/>
  <c r="I521" i="2"/>
  <c r="V521" i="2" s="1"/>
  <c r="G521" i="2"/>
  <c r="S242" i="2"/>
  <c r="T242" i="2" s="1"/>
  <c r="R242" i="2"/>
  <c r="N242" i="2"/>
  <c r="O242" i="2" s="1"/>
  <c r="M242" i="2"/>
  <c r="P242" i="2" s="1"/>
  <c r="K242" i="2"/>
  <c r="I242" i="2"/>
  <c r="G242" i="2"/>
  <c r="S133" i="2"/>
  <c r="T133" i="2" s="1"/>
  <c r="U133" i="2" s="1"/>
  <c r="R133" i="2"/>
  <c r="N133" i="2"/>
  <c r="O133" i="2" s="1"/>
  <c r="M133" i="2"/>
  <c r="K133" i="2"/>
  <c r="I133" i="2"/>
  <c r="G133" i="2"/>
  <c r="S377" i="2"/>
  <c r="T377" i="2" s="1"/>
  <c r="R377" i="2"/>
  <c r="N377" i="2"/>
  <c r="O377" i="2" s="1"/>
  <c r="M377" i="2"/>
  <c r="K377" i="2"/>
  <c r="I377" i="2"/>
  <c r="V377" i="2" s="1"/>
  <c r="G377" i="2"/>
  <c r="S376" i="2"/>
  <c r="T376" i="2" s="1"/>
  <c r="R376" i="2"/>
  <c r="U376" i="2" s="1"/>
  <c r="N376" i="2"/>
  <c r="O376" i="2" s="1"/>
  <c r="W376" i="2" s="1"/>
  <c r="M376" i="2"/>
  <c r="K376" i="2"/>
  <c r="I376" i="2"/>
  <c r="G376" i="2"/>
  <c r="S520" i="2"/>
  <c r="T520" i="2" s="1"/>
  <c r="R520" i="2"/>
  <c r="N520" i="2"/>
  <c r="O520" i="2" s="1"/>
  <c r="P520" i="2" s="1"/>
  <c r="M520" i="2"/>
  <c r="K520" i="2"/>
  <c r="I520" i="2"/>
  <c r="G520" i="2"/>
  <c r="T474" i="2"/>
  <c r="S474" i="2"/>
  <c r="R474" i="2"/>
  <c r="O474" i="2"/>
  <c r="N474" i="2"/>
  <c r="M474" i="2"/>
  <c r="K474" i="2"/>
  <c r="I474" i="2"/>
  <c r="V474" i="2" s="1"/>
  <c r="G474" i="2"/>
  <c r="S661" i="2"/>
  <c r="T661" i="2" s="1"/>
  <c r="R661" i="2"/>
  <c r="N661" i="2"/>
  <c r="O661" i="2" s="1"/>
  <c r="M661" i="2"/>
  <c r="K661" i="2"/>
  <c r="I661" i="2"/>
  <c r="V661" i="2" s="1"/>
  <c r="G661" i="2"/>
  <c r="S565" i="2"/>
  <c r="T565" i="2" s="1"/>
  <c r="R565" i="2"/>
  <c r="N565" i="2"/>
  <c r="O565" i="2" s="1"/>
  <c r="M565" i="2"/>
  <c r="K565" i="2"/>
  <c r="I565" i="2"/>
  <c r="G565" i="2"/>
  <c r="U616" i="2"/>
  <c r="S616" i="2"/>
  <c r="T616" i="2" s="1"/>
  <c r="R616" i="2"/>
  <c r="N616" i="2"/>
  <c r="O616" i="2" s="1"/>
  <c r="M616" i="2"/>
  <c r="K616" i="2"/>
  <c r="I616" i="2"/>
  <c r="G616" i="2"/>
  <c r="T375" i="2"/>
  <c r="U375" i="2" s="1"/>
  <c r="S375" i="2"/>
  <c r="R375" i="2"/>
  <c r="O375" i="2"/>
  <c r="N375" i="2"/>
  <c r="M375" i="2"/>
  <c r="K375" i="2"/>
  <c r="I375" i="2"/>
  <c r="V375" i="2" s="1"/>
  <c r="G375" i="2"/>
  <c r="S435" i="2"/>
  <c r="T435" i="2" s="1"/>
  <c r="R435" i="2"/>
  <c r="N435" i="2"/>
  <c r="O435" i="2" s="1"/>
  <c r="M435" i="2"/>
  <c r="K435" i="2"/>
  <c r="I435" i="2"/>
  <c r="G435" i="2"/>
  <c r="S241" i="2"/>
  <c r="T241" i="2" s="1"/>
  <c r="R241" i="2"/>
  <c r="N241" i="2"/>
  <c r="O241" i="2" s="1"/>
  <c r="M241" i="2"/>
  <c r="K241" i="2"/>
  <c r="I241" i="2"/>
  <c r="G241" i="2"/>
  <c r="S374" i="2"/>
  <c r="T374" i="2" s="1"/>
  <c r="R374" i="2"/>
  <c r="N374" i="2"/>
  <c r="O374" i="2" s="1"/>
  <c r="M374" i="2"/>
  <c r="P374" i="2" s="1"/>
  <c r="K374" i="2"/>
  <c r="I374" i="2"/>
  <c r="G374" i="2"/>
  <c r="T434" i="2"/>
  <c r="S434" i="2"/>
  <c r="R434" i="2"/>
  <c r="N434" i="2"/>
  <c r="O434" i="2" s="1"/>
  <c r="M434" i="2"/>
  <c r="K434" i="2"/>
  <c r="I434" i="2"/>
  <c r="G434" i="2"/>
  <c r="S473" i="2"/>
  <c r="T473" i="2" s="1"/>
  <c r="U473" i="2" s="1"/>
  <c r="R473" i="2"/>
  <c r="N473" i="2"/>
  <c r="O473" i="2" s="1"/>
  <c r="M473" i="2"/>
  <c r="K473" i="2"/>
  <c r="I473" i="2"/>
  <c r="G473" i="2"/>
  <c r="S472" i="2"/>
  <c r="T472" i="2" s="1"/>
  <c r="R472" i="2"/>
  <c r="N472" i="2"/>
  <c r="O472" i="2" s="1"/>
  <c r="M472" i="2"/>
  <c r="K472" i="2"/>
  <c r="I472" i="2"/>
  <c r="G472" i="2"/>
  <c r="S433" i="2"/>
  <c r="T433" i="2" s="1"/>
  <c r="R433" i="2"/>
  <c r="U433" i="2" s="1"/>
  <c r="N433" i="2"/>
  <c r="O433" i="2" s="1"/>
  <c r="M433" i="2"/>
  <c r="K433" i="2"/>
  <c r="I433" i="2"/>
  <c r="G433" i="2"/>
  <c r="S86" i="2"/>
  <c r="T86" i="2" s="1"/>
  <c r="U86" i="2" s="1"/>
  <c r="R86" i="2"/>
  <c r="N86" i="2"/>
  <c r="O86" i="2" s="1"/>
  <c r="M86" i="2"/>
  <c r="K86" i="2"/>
  <c r="I86" i="2"/>
  <c r="G86" i="2"/>
  <c r="S432" i="2"/>
  <c r="T432" i="2" s="1"/>
  <c r="U432" i="2" s="1"/>
  <c r="R432" i="2"/>
  <c r="N432" i="2"/>
  <c r="O432" i="2" s="1"/>
  <c r="M432" i="2"/>
  <c r="K432" i="2"/>
  <c r="I432" i="2"/>
  <c r="G432" i="2"/>
  <c r="S564" i="2"/>
  <c r="T564" i="2" s="1"/>
  <c r="R564" i="2"/>
  <c r="U564" i="2" s="1"/>
  <c r="N564" i="2"/>
  <c r="O564" i="2" s="1"/>
  <c r="W564" i="2" s="1"/>
  <c r="M564" i="2"/>
  <c r="K564" i="2"/>
  <c r="I564" i="2"/>
  <c r="G564" i="2"/>
  <c r="S431" i="2"/>
  <c r="T431" i="2" s="1"/>
  <c r="R431" i="2"/>
  <c r="P431" i="2"/>
  <c r="N431" i="2"/>
  <c r="O431" i="2" s="1"/>
  <c r="W431" i="2" s="1"/>
  <c r="M431" i="2"/>
  <c r="K431" i="2"/>
  <c r="I431" i="2"/>
  <c r="G431" i="2"/>
  <c r="S85" i="2"/>
  <c r="T85" i="2" s="1"/>
  <c r="R85" i="2"/>
  <c r="O85" i="2"/>
  <c r="N85" i="2"/>
  <c r="M85" i="2"/>
  <c r="K85" i="2"/>
  <c r="I85" i="2"/>
  <c r="G85" i="2"/>
  <c r="S84" i="2"/>
  <c r="T84" i="2" s="1"/>
  <c r="R84" i="2"/>
  <c r="N84" i="2"/>
  <c r="O84" i="2" s="1"/>
  <c r="M84" i="2"/>
  <c r="K84" i="2"/>
  <c r="I84" i="2"/>
  <c r="G84" i="2"/>
  <c r="S615" i="2"/>
  <c r="T615" i="2" s="1"/>
  <c r="R615" i="2"/>
  <c r="N615" i="2"/>
  <c r="O615" i="2" s="1"/>
  <c r="W615" i="2" s="1"/>
  <c r="M615" i="2"/>
  <c r="K615" i="2"/>
  <c r="I615" i="2"/>
  <c r="V615" i="2" s="1"/>
  <c r="G615" i="2"/>
  <c r="S563" i="2"/>
  <c r="T563" i="2" s="1"/>
  <c r="R563" i="2"/>
  <c r="U563" i="2" s="1"/>
  <c r="N563" i="2"/>
  <c r="O563" i="2" s="1"/>
  <c r="W563" i="2" s="1"/>
  <c r="M563" i="2"/>
  <c r="K563" i="2"/>
  <c r="I563" i="2"/>
  <c r="G563" i="2"/>
  <c r="S471" i="2"/>
  <c r="T471" i="2" s="1"/>
  <c r="U471" i="2" s="1"/>
  <c r="R471" i="2"/>
  <c r="O471" i="2"/>
  <c r="N471" i="2"/>
  <c r="M471" i="2"/>
  <c r="K471" i="2"/>
  <c r="I471" i="2"/>
  <c r="G471" i="2"/>
  <c r="S290" i="2"/>
  <c r="T290" i="2" s="1"/>
  <c r="R290" i="2"/>
  <c r="N290" i="2"/>
  <c r="O290" i="2" s="1"/>
  <c r="M290" i="2"/>
  <c r="K290" i="2"/>
  <c r="I290" i="2"/>
  <c r="G290" i="2"/>
  <c r="S470" i="2"/>
  <c r="T470" i="2" s="1"/>
  <c r="R470" i="2"/>
  <c r="N470" i="2"/>
  <c r="O470" i="2" s="1"/>
  <c r="M470" i="2"/>
  <c r="K470" i="2"/>
  <c r="I470" i="2"/>
  <c r="G470" i="2"/>
  <c r="S660" i="2"/>
  <c r="T660" i="2" s="1"/>
  <c r="R660" i="2"/>
  <c r="N660" i="2"/>
  <c r="O660" i="2" s="1"/>
  <c r="M660" i="2"/>
  <c r="K660" i="2"/>
  <c r="I660" i="2"/>
  <c r="G660" i="2"/>
  <c r="T614" i="2"/>
  <c r="S614" i="2"/>
  <c r="R614" i="2"/>
  <c r="N614" i="2"/>
  <c r="O614" i="2" s="1"/>
  <c r="M614" i="2"/>
  <c r="K614" i="2"/>
  <c r="I614" i="2"/>
  <c r="G614" i="2"/>
  <c r="S83" i="2"/>
  <c r="T83" i="2" s="1"/>
  <c r="U83" i="2" s="1"/>
  <c r="R83" i="2"/>
  <c r="N83" i="2"/>
  <c r="O83" i="2" s="1"/>
  <c r="M83" i="2"/>
  <c r="K83" i="2"/>
  <c r="I83" i="2"/>
  <c r="G83" i="2"/>
  <c r="S132" i="2"/>
  <c r="T132" i="2" s="1"/>
  <c r="R132" i="2"/>
  <c r="N132" i="2"/>
  <c r="O132" i="2" s="1"/>
  <c r="M132" i="2"/>
  <c r="K132" i="2"/>
  <c r="V132" i="2" s="1"/>
  <c r="I132" i="2"/>
  <c r="G132" i="2"/>
  <c r="S328" i="2"/>
  <c r="T328" i="2" s="1"/>
  <c r="U328" i="2" s="1"/>
  <c r="R328" i="2"/>
  <c r="N328" i="2"/>
  <c r="O328" i="2" s="1"/>
  <c r="M328" i="2"/>
  <c r="K328" i="2"/>
  <c r="V328" i="2" s="1"/>
  <c r="I328" i="2"/>
  <c r="G328" i="2"/>
  <c r="S430" i="2"/>
  <c r="T430" i="2" s="1"/>
  <c r="U430" i="2" s="1"/>
  <c r="R430" i="2"/>
  <c r="N430" i="2"/>
  <c r="O430" i="2" s="1"/>
  <c r="M430" i="2"/>
  <c r="K430" i="2"/>
  <c r="I430" i="2"/>
  <c r="G430" i="2"/>
  <c r="S327" i="2"/>
  <c r="T327" i="2" s="1"/>
  <c r="U327" i="2" s="1"/>
  <c r="R327" i="2"/>
  <c r="N327" i="2"/>
  <c r="O327" i="2" s="1"/>
  <c r="M327" i="2"/>
  <c r="K327" i="2"/>
  <c r="I327" i="2"/>
  <c r="G327" i="2"/>
  <c r="S659" i="2"/>
  <c r="T659" i="2" s="1"/>
  <c r="R659" i="2"/>
  <c r="U659" i="2" s="1"/>
  <c r="N659" i="2"/>
  <c r="O659" i="2" s="1"/>
  <c r="M659" i="2"/>
  <c r="K659" i="2"/>
  <c r="I659" i="2"/>
  <c r="G659" i="2"/>
  <c r="S562" i="2"/>
  <c r="T562" i="2" s="1"/>
  <c r="R562" i="2"/>
  <c r="U562" i="2" s="1"/>
  <c r="P562" i="2"/>
  <c r="N562" i="2"/>
  <c r="O562" i="2" s="1"/>
  <c r="W562" i="2" s="1"/>
  <c r="M562" i="2"/>
  <c r="K562" i="2"/>
  <c r="I562" i="2"/>
  <c r="G562" i="2"/>
  <c r="S214" i="2"/>
  <c r="T214" i="2" s="1"/>
  <c r="R214" i="2"/>
  <c r="N214" i="2"/>
  <c r="O214" i="2" s="1"/>
  <c r="W214" i="2" s="1"/>
  <c r="M214" i="2"/>
  <c r="K214" i="2"/>
  <c r="I214" i="2"/>
  <c r="G214" i="2"/>
  <c r="S240" i="2"/>
  <c r="T240" i="2" s="1"/>
  <c r="U240" i="2" s="1"/>
  <c r="R240" i="2"/>
  <c r="O240" i="2"/>
  <c r="P240" i="2" s="1"/>
  <c r="N240" i="2"/>
  <c r="M240" i="2"/>
  <c r="K240" i="2"/>
  <c r="I240" i="2"/>
  <c r="V240" i="2" s="1"/>
  <c r="G240" i="2"/>
  <c r="S519" i="2"/>
  <c r="T519" i="2" s="1"/>
  <c r="R519" i="2"/>
  <c r="N519" i="2"/>
  <c r="O519" i="2" s="1"/>
  <c r="W519" i="2" s="1"/>
  <c r="M519" i="2"/>
  <c r="K519" i="2"/>
  <c r="I519" i="2"/>
  <c r="G519" i="2"/>
  <c r="S708" i="2"/>
  <c r="T708" i="2" s="1"/>
  <c r="R708" i="2"/>
  <c r="U708" i="2" s="1"/>
  <c r="P708" i="2"/>
  <c r="N708" i="2"/>
  <c r="O708" i="2" s="1"/>
  <c r="W708" i="2" s="1"/>
  <c r="M708" i="2"/>
  <c r="K708" i="2"/>
  <c r="I708" i="2"/>
  <c r="G708" i="2"/>
  <c r="S34" i="2"/>
  <c r="T34" i="2" s="1"/>
  <c r="R34" i="2"/>
  <c r="U34" i="2" s="1"/>
  <c r="N34" i="2"/>
  <c r="O34" i="2" s="1"/>
  <c r="M34" i="2"/>
  <c r="K34" i="2"/>
  <c r="I34" i="2"/>
  <c r="G34" i="2"/>
  <c r="S613" i="2"/>
  <c r="T613" i="2" s="1"/>
  <c r="R613" i="2"/>
  <c r="N613" i="2"/>
  <c r="O613" i="2" s="1"/>
  <c r="M613" i="2"/>
  <c r="K613" i="2"/>
  <c r="I613" i="2"/>
  <c r="G613" i="2"/>
  <c r="S707" i="2"/>
  <c r="T707" i="2" s="1"/>
  <c r="R707" i="2"/>
  <c r="N707" i="2"/>
  <c r="O707" i="2" s="1"/>
  <c r="M707" i="2"/>
  <c r="K707" i="2"/>
  <c r="I707" i="2"/>
  <c r="G707" i="2"/>
  <c r="S706" i="2"/>
  <c r="T706" i="2" s="1"/>
  <c r="R706" i="2"/>
  <c r="U706" i="2" s="1"/>
  <c r="P706" i="2"/>
  <c r="N706" i="2"/>
  <c r="O706" i="2" s="1"/>
  <c r="M706" i="2"/>
  <c r="K706" i="2"/>
  <c r="I706" i="2"/>
  <c r="G706" i="2"/>
  <c r="T82" i="2"/>
  <c r="S82" i="2"/>
  <c r="R82" i="2"/>
  <c r="N82" i="2"/>
  <c r="O82" i="2" s="1"/>
  <c r="W82" i="2" s="1"/>
  <c r="M82" i="2"/>
  <c r="K82" i="2"/>
  <c r="I82" i="2"/>
  <c r="G82" i="2"/>
  <c r="S81" i="2"/>
  <c r="T81" i="2" s="1"/>
  <c r="U81" i="2" s="1"/>
  <c r="R81" i="2"/>
  <c r="O81" i="2"/>
  <c r="P81" i="2" s="1"/>
  <c r="N81" i="2"/>
  <c r="M81" i="2"/>
  <c r="K81" i="2"/>
  <c r="I81" i="2"/>
  <c r="G81" i="2"/>
  <c r="S80" i="2"/>
  <c r="T80" i="2" s="1"/>
  <c r="R80" i="2"/>
  <c r="N80" i="2"/>
  <c r="O80" i="2" s="1"/>
  <c r="W80" i="2" s="1"/>
  <c r="M80" i="2"/>
  <c r="K80" i="2"/>
  <c r="I80" i="2"/>
  <c r="G80" i="2"/>
  <c r="S373" i="2"/>
  <c r="T373" i="2" s="1"/>
  <c r="R373" i="2"/>
  <c r="P373" i="2"/>
  <c r="N373" i="2"/>
  <c r="O373" i="2" s="1"/>
  <c r="W373" i="2" s="1"/>
  <c r="M373" i="2"/>
  <c r="K373" i="2"/>
  <c r="I373" i="2"/>
  <c r="G373" i="2"/>
  <c r="S429" i="2"/>
  <c r="T429" i="2" s="1"/>
  <c r="R429" i="2"/>
  <c r="N429" i="2"/>
  <c r="O429" i="2" s="1"/>
  <c r="M429" i="2"/>
  <c r="K429" i="2"/>
  <c r="I429" i="2"/>
  <c r="G429" i="2"/>
  <c r="S239" i="2"/>
  <c r="T239" i="2" s="1"/>
  <c r="R239" i="2"/>
  <c r="N239" i="2"/>
  <c r="O239" i="2" s="1"/>
  <c r="P239" i="2" s="1"/>
  <c r="M239" i="2"/>
  <c r="K239" i="2"/>
  <c r="I239" i="2"/>
  <c r="G239" i="2"/>
  <c r="S131" i="2"/>
  <c r="T131" i="2" s="1"/>
  <c r="R131" i="2"/>
  <c r="N131" i="2"/>
  <c r="O131" i="2" s="1"/>
  <c r="M131" i="2"/>
  <c r="K131" i="2"/>
  <c r="I131" i="2"/>
  <c r="G131" i="2"/>
  <c r="S658" i="2"/>
  <c r="T658" i="2" s="1"/>
  <c r="R658" i="2"/>
  <c r="N658" i="2"/>
  <c r="O658" i="2" s="1"/>
  <c r="M658" i="2"/>
  <c r="P658" i="2" s="1"/>
  <c r="K658" i="2"/>
  <c r="I658" i="2"/>
  <c r="G658" i="2"/>
  <c r="T33" i="2"/>
  <c r="S33" i="2"/>
  <c r="R33" i="2"/>
  <c r="O33" i="2"/>
  <c r="W33" i="2" s="1"/>
  <c r="N33" i="2"/>
  <c r="M33" i="2"/>
  <c r="K33" i="2"/>
  <c r="I33" i="2"/>
  <c r="G33" i="2"/>
  <c r="T79" i="2"/>
  <c r="U79" i="2" s="1"/>
  <c r="S79" i="2"/>
  <c r="R79" i="2"/>
  <c r="N79" i="2"/>
  <c r="O79" i="2" s="1"/>
  <c r="M79" i="2"/>
  <c r="K79" i="2"/>
  <c r="I79" i="2"/>
  <c r="G79" i="2"/>
  <c r="T32" i="2"/>
  <c r="W32" i="2" s="1"/>
  <c r="S32" i="2"/>
  <c r="R32" i="2"/>
  <c r="O32" i="2"/>
  <c r="N32" i="2"/>
  <c r="M32" i="2"/>
  <c r="K32" i="2"/>
  <c r="I32" i="2"/>
  <c r="G32" i="2"/>
  <c r="S657" i="2"/>
  <c r="T657" i="2" s="1"/>
  <c r="R657" i="2"/>
  <c r="U657" i="2" s="1"/>
  <c r="P657" i="2"/>
  <c r="N657" i="2"/>
  <c r="O657" i="2" s="1"/>
  <c r="W657" i="2" s="1"/>
  <c r="M657" i="2"/>
  <c r="K657" i="2"/>
  <c r="I657" i="2"/>
  <c r="V657" i="2" s="1"/>
  <c r="G657" i="2"/>
  <c r="S469" i="2"/>
  <c r="T469" i="2" s="1"/>
  <c r="R469" i="2"/>
  <c r="U469" i="2" s="1"/>
  <c r="N469" i="2"/>
  <c r="O469" i="2" s="1"/>
  <c r="W469" i="2" s="1"/>
  <c r="M469" i="2"/>
  <c r="K469" i="2"/>
  <c r="I469" i="2"/>
  <c r="G469" i="2"/>
  <c r="T656" i="2"/>
  <c r="S656" i="2"/>
  <c r="R656" i="2"/>
  <c r="N656" i="2"/>
  <c r="O656" i="2" s="1"/>
  <c r="M656" i="2"/>
  <c r="K656" i="2"/>
  <c r="I656" i="2"/>
  <c r="G656" i="2"/>
  <c r="T518" i="2"/>
  <c r="S518" i="2"/>
  <c r="R518" i="2"/>
  <c r="O518" i="2"/>
  <c r="W518" i="2" s="1"/>
  <c r="N518" i="2"/>
  <c r="M518" i="2"/>
  <c r="K518" i="2"/>
  <c r="I518" i="2"/>
  <c r="V518" i="2" s="1"/>
  <c r="G518" i="2"/>
  <c r="S705" i="2"/>
  <c r="T705" i="2" s="1"/>
  <c r="R705" i="2"/>
  <c r="U705" i="2" s="1"/>
  <c r="O705" i="2"/>
  <c r="W705" i="2" s="1"/>
  <c r="N705" i="2"/>
  <c r="M705" i="2"/>
  <c r="K705" i="2"/>
  <c r="I705" i="2"/>
  <c r="G705" i="2"/>
  <c r="S289" i="2"/>
  <c r="T289" i="2" s="1"/>
  <c r="R289" i="2"/>
  <c r="N289" i="2"/>
  <c r="O289" i="2" s="1"/>
  <c r="P289" i="2" s="1"/>
  <c r="M289" i="2"/>
  <c r="K289" i="2"/>
  <c r="I289" i="2"/>
  <c r="G289" i="2"/>
  <c r="S213" i="2"/>
  <c r="T213" i="2" s="1"/>
  <c r="R213" i="2"/>
  <c r="N213" i="2"/>
  <c r="O213" i="2" s="1"/>
  <c r="M213" i="2"/>
  <c r="K213" i="2"/>
  <c r="I213" i="2"/>
  <c r="G213" i="2"/>
  <c r="U212" i="2"/>
  <c r="T212" i="2"/>
  <c r="S212" i="2"/>
  <c r="R212" i="2"/>
  <c r="N212" i="2"/>
  <c r="O212" i="2" s="1"/>
  <c r="M212" i="2"/>
  <c r="K212" i="2"/>
  <c r="I212" i="2"/>
  <c r="G212" i="2"/>
  <c r="T517" i="2"/>
  <c r="S517" i="2"/>
  <c r="R517" i="2"/>
  <c r="N517" i="2"/>
  <c r="O517" i="2" s="1"/>
  <c r="M517" i="2"/>
  <c r="K517" i="2"/>
  <c r="I517" i="2"/>
  <c r="G517" i="2"/>
  <c r="S31" i="2"/>
  <c r="T31" i="2" s="1"/>
  <c r="R31" i="2"/>
  <c r="N31" i="2"/>
  <c r="O31" i="2" s="1"/>
  <c r="M31" i="2"/>
  <c r="K31" i="2"/>
  <c r="I31" i="2"/>
  <c r="G31" i="2"/>
  <c r="T211" i="2"/>
  <c r="S211" i="2"/>
  <c r="R211" i="2"/>
  <c r="P211" i="2"/>
  <c r="O211" i="2"/>
  <c r="N211" i="2"/>
  <c r="M211" i="2"/>
  <c r="K211" i="2"/>
  <c r="I211" i="2"/>
  <c r="G211" i="2"/>
  <c r="S372" i="2"/>
  <c r="T372" i="2" s="1"/>
  <c r="R372" i="2"/>
  <c r="N372" i="2"/>
  <c r="O372" i="2" s="1"/>
  <c r="W372" i="2" s="1"/>
  <c r="M372" i="2"/>
  <c r="K372" i="2"/>
  <c r="I372" i="2"/>
  <c r="G372" i="2"/>
  <c r="S210" i="2"/>
  <c r="T210" i="2" s="1"/>
  <c r="R210" i="2"/>
  <c r="N210" i="2"/>
  <c r="O210" i="2" s="1"/>
  <c r="W210" i="2" s="1"/>
  <c r="M210" i="2"/>
  <c r="V210" i="2" s="1"/>
  <c r="K210" i="2"/>
  <c r="I210" i="2"/>
  <c r="G210" i="2"/>
  <c r="T209" i="2"/>
  <c r="S209" i="2"/>
  <c r="R209" i="2"/>
  <c r="N209" i="2"/>
  <c r="O209" i="2" s="1"/>
  <c r="M209" i="2"/>
  <c r="V209" i="2" s="1"/>
  <c r="K209" i="2"/>
  <c r="I209" i="2"/>
  <c r="G209" i="2"/>
  <c r="S655" i="2"/>
  <c r="T655" i="2" s="1"/>
  <c r="R655" i="2"/>
  <c r="U655" i="2" s="1"/>
  <c r="O655" i="2"/>
  <c r="N655" i="2"/>
  <c r="M655" i="2"/>
  <c r="K655" i="2"/>
  <c r="V655" i="2" s="1"/>
  <c r="I655" i="2"/>
  <c r="G655" i="2"/>
  <c r="T30" i="2"/>
  <c r="U30" i="2" s="1"/>
  <c r="S30" i="2"/>
  <c r="R30" i="2"/>
  <c r="N30" i="2"/>
  <c r="O30" i="2" s="1"/>
  <c r="M30" i="2"/>
  <c r="P30" i="2" s="1"/>
  <c r="K30" i="2"/>
  <c r="I30" i="2"/>
  <c r="G30" i="2"/>
  <c r="T654" i="2"/>
  <c r="S654" i="2"/>
  <c r="R654" i="2"/>
  <c r="N654" i="2"/>
  <c r="O654" i="2" s="1"/>
  <c r="M654" i="2"/>
  <c r="P654" i="2" s="1"/>
  <c r="K654" i="2"/>
  <c r="I654" i="2"/>
  <c r="G654" i="2"/>
  <c r="S78" i="2"/>
  <c r="T78" i="2" s="1"/>
  <c r="R78" i="2"/>
  <c r="N78" i="2"/>
  <c r="O78" i="2" s="1"/>
  <c r="M78" i="2"/>
  <c r="P78" i="2" s="1"/>
  <c r="K78" i="2"/>
  <c r="I78" i="2"/>
  <c r="G78" i="2"/>
  <c r="T516" i="2"/>
  <c r="S516" i="2"/>
  <c r="R516" i="2"/>
  <c r="P516" i="2"/>
  <c r="O516" i="2"/>
  <c r="N516" i="2"/>
  <c r="M516" i="2"/>
  <c r="K516" i="2"/>
  <c r="I516" i="2"/>
  <c r="G516" i="2"/>
  <c r="S468" i="2"/>
  <c r="T468" i="2" s="1"/>
  <c r="R468" i="2"/>
  <c r="N468" i="2"/>
  <c r="O468" i="2" s="1"/>
  <c r="M468" i="2"/>
  <c r="P468" i="2" s="1"/>
  <c r="K468" i="2"/>
  <c r="I468" i="2"/>
  <c r="G468" i="2"/>
  <c r="S77" i="2"/>
  <c r="T77" i="2" s="1"/>
  <c r="R77" i="2"/>
  <c r="N77" i="2"/>
  <c r="O77" i="2" s="1"/>
  <c r="M77" i="2"/>
  <c r="V77" i="2" s="1"/>
  <c r="K77" i="2"/>
  <c r="I77" i="2"/>
  <c r="G77" i="2"/>
  <c r="T76" i="2"/>
  <c r="S76" i="2"/>
  <c r="R76" i="2"/>
  <c r="U76" i="2" s="1"/>
  <c r="N76" i="2"/>
  <c r="O76" i="2" s="1"/>
  <c r="M76" i="2"/>
  <c r="V76" i="2" s="1"/>
  <c r="K76" i="2"/>
  <c r="I76" i="2"/>
  <c r="G76" i="2"/>
  <c r="S130" i="2"/>
  <c r="T130" i="2" s="1"/>
  <c r="R130" i="2"/>
  <c r="U130" i="2" s="1"/>
  <c r="O130" i="2"/>
  <c r="W130" i="2" s="1"/>
  <c r="N130" i="2"/>
  <c r="M130" i="2"/>
  <c r="K130" i="2"/>
  <c r="I130" i="2"/>
  <c r="G130" i="2"/>
  <c r="S653" i="2"/>
  <c r="T653" i="2" s="1"/>
  <c r="U653" i="2" s="1"/>
  <c r="R653" i="2"/>
  <c r="N653" i="2"/>
  <c r="O653" i="2" s="1"/>
  <c r="M653" i="2"/>
  <c r="K653" i="2"/>
  <c r="I653" i="2"/>
  <c r="G653" i="2"/>
  <c r="S326" i="2"/>
  <c r="T326" i="2" s="1"/>
  <c r="R326" i="2"/>
  <c r="N326" i="2"/>
  <c r="O326" i="2" s="1"/>
  <c r="M326" i="2"/>
  <c r="K326" i="2"/>
  <c r="I326" i="2"/>
  <c r="G326" i="2"/>
  <c r="S208" i="2"/>
  <c r="T208" i="2" s="1"/>
  <c r="R208" i="2"/>
  <c r="N208" i="2"/>
  <c r="O208" i="2" s="1"/>
  <c r="W208" i="2" s="1"/>
  <c r="M208" i="2"/>
  <c r="K208" i="2"/>
  <c r="I208" i="2"/>
  <c r="G208" i="2"/>
  <c r="T129" i="2"/>
  <c r="S129" i="2"/>
  <c r="R129" i="2"/>
  <c r="P129" i="2"/>
  <c r="O129" i="2"/>
  <c r="N129" i="2"/>
  <c r="M129" i="2"/>
  <c r="K129" i="2"/>
  <c r="I129" i="2"/>
  <c r="G129" i="2"/>
  <c r="S428" i="2"/>
  <c r="T428" i="2" s="1"/>
  <c r="R428" i="2"/>
  <c r="U428" i="2" s="1"/>
  <c r="N428" i="2"/>
  <c r="O428" i="2" s="1"/>
  <c r="M428" i="2"/>
  <c r="P428" i="2" s="1"/>
  <c r="K428" i="2"/>
  <c r="I428" i="2"/>
  <c r="G428" i="2"/>
  <c r="S128" i="2"/>
  <c r="T128" i="2" s="1"/>
  <c r="R128" i="2"/>
  <c r="N128" i="2"/>
  <c r="O128" i="2" s="1"/>
  <c r="W128" i="2" s="1"/>
  <c r="M128" i="2"/>
  <c r="K128" i="2"/>
  <c r="I128" i="2"/>
  <c r="G128" i="2"/>
  <c r="T238" i="2"/>
  <c r="S238" i="2"/>
  <c r="R238" i="2"/>
  <c r="N238" i="2"/>
  <c r="O238" i="2" s="1"/>
  <c r="M238" i="2"/>
  <c r="K238" i="2"/>
  <c r="I238" i="2"/>
  <c r="G238" i="2"/>
  <c r="U427" i="2"/>
  <c r="T427" i="2"/>
  <c r="S427" i="2"/>
  <c r="R427" i="2"/>
  <c r="N427" i="2"/>
  <c r="O427" i="2" s="1"/>
  <c r="W427" i="2" s="1"/>
  <c r="M427" i="2"/>
  <c r="K427" i="2"/>
  <c r="I427" i="2"/>
  <c r="G427" i="2"/>
  <c r="S426" i="2"/>
  <c r="T426" i="2" s="1"/>
  <c r="R426" i="2"/>
  <c r="N426" i="2"/>
  <c r="O426" i="2" s="1"/>
  <c r="M426" i="2"/>
  <c r="K426" i="2"/>
  <c r="I426" i="2"/>
  <c r="G426" i="2"/>
  <c r="S237" i="2"/>
  <c r="T237" i="2" s="1"/>
  <c r="R237" i="2"/>
  <c r="N237" i="2"/>
  <c r="O237" i="2" s="1"/>
  <c r="M237" i="2"/>
  <c r="K237" i="2"/>
  <c r="I237" i="2"/>
  <c r="G237" i="2"/>
  <c r="S371" i="2"/>
  <c r="T371" i="2" s="1"/>
  <c r="R371" i="2"/>
  <c r="P371" i="2"/>
  <c r="N371" i="2"/>
  <c r="O371" i="2" s="1"/>
  <c r="M371" i="2"/>
  <c r="K371" i="2"/>
  <c r="I371" i="2"/>
  <c r="G371" i="2"/>
  <c r="S467" i="2"/>
  <c r="T467" i="2" s="1"/>
  <c r="R467" i="2"/>
  <c r="O467" i="2"/>
  <c r="N467" i="2"/>
  <c r="M467" i="2"/>
  <c r="K467" i="2"/>
  <c r="I467" i="2"/>
  <c r="G467" i="2"/>
  <c r="S612" i="2"/>
  <c r="T612" i="2" s="1"/>
  <c r="R612" i="2"/>
  <c r="U612" i="2" s="1"/>
  <c r="P612" i="2"/>
  <c r="O612" i="2"/>
  <c r="W612" i="2" s="1"/>
  <c r="N612" i="2"/>
  <c r="M612" i="2"/>
  <c r="K612" i="2"/>
  <c r="I612" i="2"/>
  <c r="G612" i="2"/>
  <c r="S207" i="2"/>
  <c r="T207" i="2" s="1"/>
  <c r="R207" i="2"/>
  <c r="O207" i="2"/>
  <c r="N207" i="2"/>
  <c r="M207" i="2"/>
  <c r="K207" i="2"/>
  <c r="I207" i="2"/>
  <c r="G207" i="2"/>
  <c r="U704" i="2"/>
  <c r="T704" i="2"/>
  <c r="S704" i="2"/>
  <c r="R704" i="2"/>
  <c r="N704" i="2"/>
  <c r="O704" i="2" s="1"/>
  <c r="M704" i="2"/>
  <c r="V704" i="2" s="1"/>
  <c r="K704" i="2"/>
  <c r="I704" i="2"/>
  <c r="G704" i="2"/>
  <c r="S75" i="2"/>
  <c r="T75" i="2" s="1"/>
  <c r="R75" i="2"/>
  <c r="N75" i="2"/>
  <c r="O75" i="2" s="1"/>
  <c r="M75" i="2"/>
  <c r="P75" i="2" s="1"/>
  <c r="K75" i="2"/>
  <c r="V75" i="2" s="1"/>
  <c r="I75" i="2"/>
  <c r="G75" i="2"/>
  <c r="U703" i="2"/>
  <c r="T703" i="2"/>
  <c r="S703" i="2"/>
  <c r="R703" i="2"/>
  <c r="N703" i="2"/>
  <c r="O703" i="2" s="1"/>
  <c r="M703" i="2"/>
  <c r="K703" i="2"/>
  <c r="I703" i="2"/>
  <c r="G703" i="2"/>
  <c r="T206" i="2"/>
  <c r="S206" i="2"/>
  <c r="R206" i="2"/>
  <c r="N206" i="2"/>
  <c r="O206" i="2" s="1"/>
  <c r="M206" i="2"/>
  <c r="K206" i="2"/>
  <c r="I206" i="2"/>
  <c r="G206" i="2"/>
  <c r="S29" i="2"/>
  <c r="T29" i="2" s="1"/>
  <c r="R29" i="2"/>
  <c r="O29" i="2"/>
  <c r="P29" i="2" s="1"/>
  <c r="N29" i="2"/>
  <c r="M29" i="2"/>
  <c r="K29" i="2"/>
  <c r="I29" i="2"/>
  <c r="G29" i="2"/>
  <c r="S425" i="2"/>
  <c r="T425" i="2" s="1"/>
  <c r="R425" i="2"/>
  <c r="U425" i="2" s="1"/>
  <c r="N425" i="2"/>
  <c r="O425" i="2" s="1"/>
  <c r="W425" i="2" s="1"/>
  <c r="M425" i="2"/>
  <c r="K425" i="2"/>
  <c r="I425" i="2"/>
  <c r="G425" i="2"/>
  <c r="S236" i="2"/>
  <c r="T236" i="2" s="1"/>
  <c r="R236" i="2"/>
  <c r="N236" i="2"/>
  <c r="O236" i="2" s="1"/>
  <c r="M236" i="2"/>
  <c r="K236" i="2"/>
  <c r="I236" i="2"/>
  <c r="G236" i="2"/>
  <c r="S205" i="2"/>
  <c r="T205" i="2" s="1"/>
  <c r="R205" i="2"/>
  <c r="N205" i="2"/>
  <c r="O205" i="2" s="1"/>
  <c r="M205" i="2"/>
  <c r="K205" i="2"/>
  <c r="I205" i="2"/>
  <c r="G205" i="2"/>
  <c r="U127" i="2"/>
  <c r="S127" i="2"/>
  <c r="T127" i="2" s="1"/>
  <c r="R127" i="2"/>
  <c r="N127" i="2"/>
  <c r="O127" i="2" s="1"/>
  <c r="P127" i="2" s="1"/>
  <c r="M127" i="2"/>
  <c r="K127" i="2"/>
  <c r="I127" i="2"/>
  <c r="G127" i="2"/>
  <c r="T611" i="2"/>
  <c r="S611" i="2"/>
  <c r="R611" i="2"/>
  <c r="O611" i="2"/>
  <c r="N611" i="2"/>
  <c r="M611" i="2"/>
  <c r="K611" i="2"/>
  <c r="I611" i="2"/>
  <c r="G611" i="2"/>
  <c r="S126" i="2"/>
  <c r="T126" i="2" s="1"/>
  <c r="R126" i="2"/>
  <c r="U126" i="2" s="1"/>
  <c r="N126" i="2"/>
  <c r="O126" i="2" s="1"/>
  <c r="M126" i="2"/>
  <c r="K126" i="2"/>
  <c r="I126" i="2"/>
  <c r="V126" i="2" s="1"/>
  <c r="G126" i="2"/>
  <c r="S561" i="2"/>
  <c r="T561" i="2" s="1"/>
  <c r="R561" i="2"/>
  <c r="N561" i="2"/>
  <c r="O561" i="2" s="1"/>
  <c r="M561" i="2"/>
  <c r="K561" i="2"/>
  <c r="I561" i="2"/>
  <c r="V561" i="2" s="1"/>
  <c r="G561" i="2"/>
  <c r="S652" i="2"/>
  <c r="T652" i="2" s="1"/>
  <c r="R652" i="2"/>
  <c r="N652" i="2"/>
  <c r="O652" i="2" s="1"/>
  <c r="P652" i="2" s="1"/>
  <c r="M652" i="2"/>
  <c r="K652" i="2"/>
  <c r="V652" i="2" s="1"/>
  <c r="I652" i="2"/>
  <c r="G652" i="2"/>
  <c r="T288" i="2"/>
  <c r="S288" i="2"/>
  <c r="R288" i="2"/>
  <c r="N288" i="2"/>
  <c r="O288" i="2" s="1"/>
  <c r="M288" i="2"/>
  <c r="P288" i="2" s="1"/>
  <c r="K288" i="2"/>
  <c r="I288" i="2"/>
  <c r="G288" i="2"/>
  <c r="S325" i="2"/>
  <c r="T325" i="2" s="1"/>
  <c r="R325" i="2"/>
  <c r="N325" i="2"/>
  <c r="O325" i="2" s="1"/>
  <c r="W325" i="2" s="1"/>
  <c r="M325" i="2"/>
  <c r="K325" i="2"/>
  <c r="I325" i="2"/>
  <c r="G325" i="2"/>
  <c r="S515" i="2"/>
  <c r="T515" i="2" s="1"/>
  <c r="R515" i="2"/>
  <c r="N515" i="2"/>
  <c r="O515" i="2" s="1"/>
  <c r="M515" i="2"/>
  <c r="V515" i="2" s="1"/>
  <c r="K515" i="2"/>
  <c r="I515" i="2"/>
  <c r="G515" i="2"/>
  <c r="S74" i="2"/>
  <c r="T74" i="2" s="1"/>
  <c r="R74" i="2"/>
  <c r="N74" i="2"/>
  <c r="O74" i="2" s="1"/>
  <c r="P74" i="2" s="1"/>
  <c r="M74" i="2"/>
  <c r="K74" i="2"/>
  <c r="I74" i="2"/>
  <c r="G74" i="2"/>
  <c r="S610" i="2"/>
  <c r="T610" i="2" s="1"/>
  <c r="R610" i="2"/>
  <c r="N610" i="2"/>
  <c r="O610" i="2" s="1"/>
  <c r="M610" i="2"/>
  <c r="K610" i="2"/>
  <c r="I610" i="2"/>
  <c r="V610" i="2" s="1"/>
  <c r="G610" i="2"/>
  <c r="S204" i="2"/>
  <c r="T204" i="2" s="1"/>
  <c r="U204" i="2" s="1"/>
  <c r="R204" i="2"/>
  <c r="N204" i="2"/>
  <c r="O204" i="2" s="1"/>
  <c r="M204" i="2"/>
  <c r="P204" i="2" s="1"/>
  <c r="K204" i="2"/>
  <c r="I204" i="2"/>
  <c r="G204" i="2"/>
  <c r="S466" i="2"/>
  <c r="T466" i="2" s="1"/>
  <c r="R466" i="2"/>
  <c r="N466" i="2"/>
  <c r="O466" i="2" s="1"/>
  <c r="M466" i="2"/>
  <c r="K466" i="2"/>
  <c r="I466" i="2"/>
  <c r="G466" i="2"/>
  <c r="S424" i="2"/>
  <c r="T424" i="2" s="1"/>
  <c r="R424" i="2"/>
  <c r="U424" i="2" s="1"/>
  <c r="P424" i="2"/>
  <c r="O424" i="2"/>
  <c r="W424" i="2" s="1"/>
  <c r="N424" i="2"/>
  <c r="M424" i="2"/>
  <c r="K424" i="2"/>
  <c r="I424" i="2"/>
  <c r="G424" i="2"/>
  <c r="S73" i="2"/>
  <c r="T73" i="2" s="1"/>
  <c r="R73" i="2"/>
  <c r="N73" i="2"/>
  <c r="O73" i="2" s="1"/>
  <c r="W73" i="2" s="1"/>
  <c r="M73" i="2"/>
  <c r="K73" i="2"/>
  <c r="I73" i="2"/>
  <c r="G73" i="2"/>
  <c r="S125" i="2"/>
  <c r="T125" i="2" s="1"/>
  <c r="R125" i="2"/>
  <c r="N125" i="2"/>
  <c r="O125" i="2" s="1"/>
  <c r="M125" i="2"/>
  <c r="P125" i="2" s="1"/>
  <c r="K125" i="2"/>
  <c r="I125" i="2"/>
  <c r="V125" i="2" s="1"/>
  <c r="G125" i="2"/>
  <c r="S651" i="2"/>
  <c r="T651" i="2" s="1"/>
  <c r="R651" i="2"/>
  <c r="U651" i="2" s="1"/>
  <c r="N651" i="2"/>
  <c r="O651" i="2" s="1"/>
  <c r="M651" i="2"/>
  <c r="K651" i="2"/>
  <c r="I651" i="2"/>
  <c r="G651" i="2"/>
  <c r="S72" i="2"/>
  <c r="T72" i="2" s="1"/>
  <c r="R72" i="2"/>
  <c r="U72" i="2" s="1"/>
  <c r="N72" i="2"/>
  <c r="O72" i="2" s="1"/>
  <c r="P72" i="2" s="1"/>
  <c r="M72" i="2"/>
  <c r="K72" i="2"/>
  <c r="I72" i="2"/>
  <c r="G72" i="2"/>
  <c r="S28" i="2"/>
  <c r="T28" i="2" s="1"/>
  <c r="R28" i="2"/>
  <c r="U28" i="2" s="1"/>
  <c r="N28" i="2"/>
  <c r="O28" i="2" s="1"/>
  <c r="W28" i="2" s="1"/>
  <c r="M28" i="2"/>
  <c r="K28" i="2"/>
  <c r="I28" i="2"/>
  <c r="G28" i="2"/>
  <c r="S203" i="2"/>
  <c r="T203" i="2" s="1"/>
  <c r="U203" i="2" s="1"/>
  <c r="R203" i="2"/>
  <c r="N203" i="2"/>
  <c r="O203" i="2" s="1"/>
  <c r="M203" i="2"/>
  <c r="P203" i="2" s="1"/>
  <c r="K203" i="2"/>
  <c r="I203" i="2"/>
  <c r="G203" i="2"/>
  <c r="S702" i="2"/>
  <c r="T702" i="2" s="1"/>
  <c r="R702" i="2"/>
  <c r="N702" i="2"/>
  <c r="O702" i="2" s="1"/>
  <c r="M702" i="2"/>
  <c r="P702" i="2" s="1"/>
  <c r="K702" i="2"/>
  <c r="I702" i="2"/>
  <c r="G702" i="2"/>
  <c r="S124" i="2"/>
  <c r="T124" i="2" s="1"/>
  <c r="R124" i="2"/>
  <c r="N124" i="2"/>
  <c r="O124" i="2" s="1"/>
  <c r="M124" i="2"/>
  <c r="K124" i="2"/>
  <c r="I124" i="2"/>
  <c r="G124" i="2"/>
  <c r="T609" i="2"/>
  <c r="S609" i="2"/>
  <c r="R609" i="2"/>
  <c r="P609" i="2"/>
  <c r="O609" i="2"/>
  <c r="N609" i="2"/>
  <c r="M609" i="2"/>
  <c r="K609" i="2"/>
  <c r="I609" i="2"/>
  <c r="V609" i="2" s="1"/>
  <c r="G609" i="2"/>
  <c r="S202" i="2"/>
  <c r="T202" i="2" s="1"/>
  <c r="R202" i="2"/>
  <c r="N202" i="2"/>
  <c r="O202" i="2" s="1"/>
  <c r="W202" i="2" s="1"/>
  <c r="M202" i="2"/>
  <c r="P202" i="2" s="1"/>
  <c r="K202" i="2"/>
  <c r="I202" i="2"/>
  <c r="G202" i="2"/>
  <c r="S608" i="2"/>
  <c r="T608" i="2" s="1"/>
  <c r="R608" i="2"/>
  <c r="N608" i="2"/>
  <c r="O608" i="2" s="1"/>
  <c r="W608" i="2" s="1"/>
  <c r="M608" i="2"/>
  <c r="K608" i="2"/>
  <c r="I608" i="2"/>
  <c r="G608" i="2"/>
  <c r="U701" i="2"/>
  <c r="T701" i="2"/>
  <c r="S701" i="2"/>
  <c r="R701" i="2"/>
  <c r="N701" i="2"/>
  <c r="O701" i="2" s="1"/>
  <c r="M701" i="2"/>
  <c r="K701" i="2"/>
  <c r="I701" i="2"/>
  <c r="G701" i="2"/>
  <c r="S287" i="2"/>
  <c r="T287" i="2" s="1"/>
  <c r="R287" i="2"/>
  <c r="U287" i="2" s="1"/>
  <c r="O287" i="2"/>
  <c r="N287" i="2"/>
  <c r="M287" i="2"/>
  <c r="K287" i="2"/>
  <c r="I287" i="2"/>
  <c r="G287" i="2"/>
  <c r="S560" i="2"/>
  <c r="T560" i="2" s="1"/>
  <c r="R560" i="2"/>
  <c r="N560" i="2"/>
  <c r="O560" i="2" s="1"/>
  <c r="M560" i="2"/>
  <c r="K560" i="2"/>
  <c r="I560" i="2"/>
  <c r="V560" i="2" s="1"/>
  <c r="G560" i="2"/>
  <c r="S324" i="2"/>
  <c r="T324" i="2" s="1"/>
  <c r="R324" i="2"/>
  <c r="N324" i="2"/>
  <c r="O324" i="2" s="1"/>
  <c r="M324" i="2"/>
  <c r="K324" i="2"/>
  <c r="I324" i="2"/>
  <c r="V324" i="2" s="1"/>
  <c r="G324" i="2"/>
  <c r="S71" i="2"/>
  <c r="T71" i="2" s="1"/>
  <c r="R71" i="2"/>
  <c r="O71" i="2"/>
  <c r="P71" i="2" s="1"/>
  <c r="N71" i="2"/>
  <c r="M71" i="2"/>
  <c r="K71" i="2"/>
  <c r="V71" i="2" s="1"/>
  <c r="I71" i="2"/>
  <c r="G71" i="2"/>
  <c r="S465" i="2"/>
  <c r="T465" i="2" s="1"/>
  <c r="R465" i="2"/>
  <c r="N465" i="2"/>
  <c r="O465" i="2" s="1"/>
  <c r="W465" i="2" s="1"/>
  <c r="M465" i="2"/>
  <c r="P465" i="2" s="1"/>
  <c r="K465" i="2"/>
  <c r="I465" i="2"/>
  <c r="G465" i="2"/>
  <c r="S123" i="2"/>
  <c r="T123" i="2" s="1"/>
  <c r="R123" i="2"/>
  <c r="O123" i="2"/>
  <c r="P123" i="2" s="1"/>
  <c r="N123" i="2"/>
  <c r="M123" i="2"/>
  <c r="K123" i="2"/>
  <c r="I123" i="2"/>
  <c r="G123" i="2"/>
  <c r="S286" i="2"/>
  <c r="T286" i="2" s="1"/>
  <c r="R286" i="2"/>
  <c r="O286" i="2"/>
  <c r="N286" i="2"/>
  <c r="M286" i="2"/>
  <c r="K286" i="2"/>
  <c r="I286" i="2"/>
  <c r="G286" i="2"/>
  <c r="T201" i="2"/>
  <c r="W201" i="2" s="1"/>
  <c r="S201" i="2"/>
  <c r="R201" i="2"/>
  <c r="N201" i="2"/>
  <c r="O201" i="2" s="1"/>
  <c r="M201" i="2"/>
  <c r="K201" i="2"/>
  <c r="V201" i="2" s="1"/>
  <c r="I201" i="2"/>
  <c r="G201" i="2"/>
  <c r="T122" i="2"/>
  <c r="U122" i="2" s="1"/>
  <c r="S122" i="2"/>
  <c r="R122" i="2"/>
  <c r="N122" i="2"/>
  <c r="O122" i="2" s="1"/>
  <c r="W122" i="2" s="1"/>
  <c r="M122" i="2"/>
  <c r="K122" i="2"/>
  <c r="I122" i="2"/>
  <c r="G122" i="2"/>
  <c r="S27" i="2"/>
  <c r="T27" i="2" s="1"/>
  <c r="U27" i="2" s="1"/>
  <c r="R27" i="2"/>
  <c r="N27" i="2"/>
  <c r="O27" i="2" s="1"/>
  <c r="M27" i="2"/>
  <c r="P27" i="2" s="1"/>
  <c r="K27" i="2"/>
  <c r="I27" i="2"/>
  <c r="G27" i="2"/>
  <c r="T121" i="2"/>
  <c r="S121" i="2"/>
  <c r="R121" i="2"/>
  <c r="N121" i="2"/>
  <c r="O121" i="2" s="1"/>
  <c r="M121" i="2"/>
  <c r="P121" i="2" s="1"/>
  <c r="K121" i="2"/>
  <c r="I121" i="2"/>
  <c r="G121" i="2"/>
  <c r="S607" i="2"/>
  <c r="T607" i="2" s="1"/>
  <c r="U607" i="2" s="1"/>
  <c r="R607" i="2"/>
  <c r="N607" i="2"/>
  <c r="O607" i="2" s="1"/>
  <c r="W607" i="2" s="1"/>
  <c r="M607" i="2"/>
  <c r="P607" i="2" s="1"/>
  <c r="K607" i="2"/>
  <c r="I607" i="2"/>
  <c r="G607" i="2"/>
  <c r="T120" i="2"/>
  <c r="S120" i="2"/>
  <c r="R120" i="2"/>
  <c r="O120" i="2"/>
  <c r="W120" i="2" s="1"/>
  <c r="N120" i="2"/>
  <c r="M120" i="2"/>
  <c r="K120" i="2"/>
  <c r="I120" i="2"/>
  <c r="G120" i="2"/>
  <c r="S514" i="2"/>
  <c r="T514" i="2" s="1"/>
  <c r="R514" i="2"/>
  <c r="P514" i="2"/>
  <c r="N514" i="2"/>
  <c r="O514" i="2" s="1"/>
  <c r="M514" i="2"/>
  <c r="K514" i="2"/>
  <c r="I514" i="2"/>
  <c r="G514" i="2"/>
  <c r="S559" i="2"/>
  <c r="T559" i="2" s="1"/>
  <c r="R559" i="2"/>
  <c r="U559" i="2" s="1"/>
  <c r="O559" i="2"/>
  <c r="N559" i="2"/>
  <c r="M559" i="2"/>
  <c r="V559" i="2" s="1"/>
  <c r="K559" i="2"/>
  <c r="I559" i="2"/>
  <c r="G559" i="2"/>
  <c r="T26" i="2"/>
  <c r="U26" i="2" s="1"/>
  <c r="S26" i="2"/>
  <c r="R26" i="2"/>
  <c r="N26" i="2"/>
  <c r="O26" i="2" s="1"/>
  <c r="M26" i="2"/>
  <c r="K26" i="2"/>
  <c r="I26" i="2"/>
  <c r="G26" i="2"/>
  <c r="T25" i="2"/>
  <c r="S25" i="2"/>
  <c r="R25" i="2"/>
  <c r="O25" i="2"/>
  <c r="W25" i="2" s="1"/>
  <c r="N25" i="2"/>
  <c r="M25" i="2"/>
  <c r="K25" i="2"/>
  <c r="I25" i="2"/>
  <c r="V25" i="2" s="1"/>
  <c r="G25" i="2"/>
  <c r="S70" i="2"/>
  <c r="T70" i="2" s="1"/>
  <c r="R70" i="2"/>
  <c r="N70" i="2"/>
  <c r="O70" i="2" s="1"/>
  <c r="M70" i="2"/>
  <c r="K70" i="2"/>
  <c r="I70" i="2"/>
  <c r="G70" i="2"/>
  <c r="S285" i="2"/>
  <c r="T285" i="2" s="1"/>
  <c r="R285" i="2"/>
  <c r="N285" i="2"/>
  <c r="O285" i="2" s="1"/>
  <c r="M285" i="2"/>
  <c r="K285" i="2"/>
  <c r="I285" i="2"/>
  <c r="G285" i="2"/>
  <c r="S606" i="2"/>
  <c r="T606" i="2" s="1"/>
  <c r="U606" i="2" s="1"/>
  <c r="R606" i="2"/>
  <c r="P606" i="2"/>
  <c r="O606" i="2"/>
  <c r="W606" i="2" s="1"/>
  <c r="N606" i="2"/>
  <c r="M606" i="2"/>
  <c r="K606" i="2"/>
  <c r="I606" i="2"/>
  <c r="G606" i="2"/>
  <c r="S464" i="2"/>
  <c r="T464" i="2" s="1"/>
  <c r="R464" i="2"/>
  <c r="N464" i="2"/>
  <c r="O464" i="2" s="1"/>
  <c r="P464" i="2" s="1"/>
  <c r="M464" i="2"/>
  <c r="K464" i="2"/>
  <c r="I464" i="2"/>
  <c r="G464" i="2"/>
  <c r="S284" i="2"/>
  <c r="T284" i="2" s="1"/>
  <c r="R284" i="2"/>
  <c r="N284" i="2"/>
  <c r="O284" i="2" s="1"/>
  <c r="M284" i="2"/>
  <c r="P284" i="2" s="1"/>
  <c r="K284" i="2"/>
  <c r="I284" i="2"/>
  <c r="G284" i="2"/>
  <c r="S200" i="2"/>
  <c r="T200" i="2" s="1"/>
  <c r="R200" i="2"/>
  <c r="N200" i="2"/>
  <c r="O200" i="2" s="1"/>
  <c r="W200" i="2" s="1"/>
  <c r="M200" i="2"/>
  <c r="K200" i="2"/>
  <c r="I200" i="2"/>
  <c r="G200" i="2"/>
  <c r="S558" i="2"/>
  <c r="T558" i="2" s="1"/>
  <c r="R558" i="2"/>
  <c r="N558" i="2"/>
  <c r="O558" i="2" s="1"/>
  <c r="M558" i="2"/>
  <c r="K558" i="2"/>
  <c r="I558" i="2"/>
  <c r="G558" i="2"/>
  <c r="S323" i="2"/>
  <c r="T323" i="2" s="1"/>
  <c r="U323" i="2" s="1"/>
  <c r="R323" i="2"/>
  <c r="N323" i="2"/>
  <c r="O323" i="2" s="1"/>
  <c r="M323" i="2"/>
  <c r="K323" i="2"/>
  <c r="I323" i="2"/>
  <c r="V323" i="2" s="1"/>
  <c r="G323" i="2"/>
  <c r="S69" i="2"/>
  <c r="T69" i="2" s="1"/>
  <c r="U69" i="2" s="1"/>
  <c r="R69" i="2"/>
  <c r="N69" i="2"/>
  <c r="O69" i="2" s="1"/>
  <c r="M69" i="2"/>
  <c r="K69" i="2"/>
  <c r="I69" i="2"/>
  <c r="G69" i="2"/>
  <c r="S605" i="2"/>
  <c r="T605" i="2" s="1"/>
  <c r="R605" i="2"/>
  <c r="N605" i="2"/>
  <c r="O605" i="2" s="1"/>
  <c r="M605" i="2"/>
  <c r="K605" i="2"/>
  <c r="I605" i="2"/>
  <c r="G605" i="2"/>
  <c r="S513" i="2"/>
  <c r="T513" i="2" s="1"/>
  <c r="R513" i="2"/>
  <c r="N513" i="2"/>
  <c r="O513" i="2" s="1"/>
  <c r="W513" i="2" s="1"/>
  <c r="M513" i="2"/>
  <c r="P513" i="2" s="1"/>
  <c r="K513" i="2"/>
  <c r="I513" i="2"/>
  <c r="G513" i="2"/>
  <c r="T283" i="2"/>
  <c r="S283" i="2"/>
  <c r="R283" i="2"/>
  <c r="O283" i="2"/>
  <c r="P283" i="2" s="1"/>
  <c r="N283" i="2"/>
  <c r="M283" i="2"/>
  <c r="K283" i="2"/>
  <c r="I283" i="2"/>
  <c r="G283" i="2"/>
  <c r="S119" i="2"/>
  <c r="T119" i="2" s="1"/>
  <c r="R119" i="2"/>
  <c r="N119" i="2"/>
  <c r="O119" i="2" s="1"/>
  <c r="M119" i="2"/>
  <c r="K119" i="2"/>
  <c r="I119" i="2"/>
  <c r="G119" i="2"/>
  <c r="S24" i="2"/>
  <c r="T24" i="2" s="1"/>
  <c r="R24" i="2"/>
  <c r="O24" i="2"/>
  <c r="W24" i="2" s="1"/>
  <c r="N24" i="2"/>
  <c r="M24" i="2"/>
  <c r="K24" i="2"/>
  <c r="I24" i="2"/>
  <c r="G24" i="2"/>
  <c r="S235" i="2"/>
  <c r="T235" i="2" s="1"/>
  <c r="R235" i="2"/>
  <c r="U235" i="2" s="1"/>
  <c r="N235" i="2"/>
  <c r="O235" i="2" s="1"/>
  <c r="M235" i="2"/>
  <c r="K235" i="2"/>
  <c r="I235" i="2"/>
  <c r="G235" i="2"/>
  <c r="T604" i="2"/>
  <c r="U604" i="2" s="1"/>
  <c r="S604" i="2"/>
  <c r="R604" i="2"/>
  <c r="N604" i="2"/>
  <c r="O604" i="2" s="1"/>
  <c r="W604" i="2" s="1"/>
  <c r="M604" i="2"/>
  <c r="K604" i="2"/>
  <c r="I604" i="2"/>
  <c r="V604" i="2" s="1"/>
  <c r="G604" i="2"/>
  <c r="S118" i="2"/>
  <c r="T118" i="2" s="1"/>
  <c r="U118" i="2" s="1"/>
  <c r="R118" i="2"/>
  <c r="N118" i="2"/>
  <c r="O118" i="2" s="1"/>
  <c r="M118" i="2"/>
  <c r="K118" i="2"/>
  <c r="I118" i="2"/>
  <c r="V118" i="2" s="1"/>
  <c r="G118" i="2"/>
  <c r="T700" i="2"/>
  <c r="S700" i="2"/>
  <c r="R700" i="2"/>
  <c r="N700" i="2"/>
  <c r="O700" i="2" s="1"/>
  <c r="M700" i="2"/>
  <c r="K700" i="2"/>
  <c r="I700" i="2"/>
  <c r="V700" i="2" s="1"/>
  <c r="G700" i="2"/>
  <c r="S199" i="2"/>
  <c r="T199" i="2" s="1"/>
  <c r="U199" i="2" s="1"/>
  <c r="R199" i="2"/>
  <c r="N199" i="2"/>
  <c r="O199" i="2" s="1"/>
  <c r="W199" i="2" s="1"/>
  <c r="M199" i="2"/>
  <c r="P199" i="2" s="1"/>
  <c r="K199" i="2"/>
  <c r="I199" i="2"/>
  <c r="G199" i="2"/>
  <c r="T650" i="2"/>
  <c r="S650" i="2"/>
  <c r="R650" i="2"/>
  <c r="N650" i="2"/>
  <c r="O650" i="2" s="1"/>
  <c r="P650" i="2" s="1"/>
  <c r="M650" i="2"/>
  <c r="K650" i="2"/>
  <c r="I650" i="2"/>
  <c r="G650" i="2"/>
  <c r="S557" i="2"/>
  <c r="T557" i="2" s="1"/>
  <c r="R557" i="2"/>
  <c r="N557" i="2"/>
  <c r="O557" i="2" s="1"/>
  <c r="M557" i="2"/>
  <c r="K557" i="2"/>
  <c r="I557" i="2"/>
  <c r="G557" i="2"/>
  <c r="S603" i="2"/>
  <c r="T603" i="2" s="1"/>
  <c r="R603" i="2"/>
  <c r="N603" i="2"/>
  <c r="O603" i="2" s="1"/>
  <c r="W603" i="2" s="1"/>
  <c r="M603" i="2"/>
  <c r="K603" i="2"/>
  <c r="I603" i="2"/>
  <c r="G603" i="2"/>
  <c r="S463" i="2"/>
  <c r="T463" i="2" s="1"/>
  <c r="R463" i="2"/>
  <c r="U463" i="2" s="1"/>
  <c r="N463" i="2"/>
  <c r="O463" i="2" s="1"/>
  <c r="M463" i="2"/>
  <c r="K463" i="2"/>
  <c r="V463" i="2" s="1"/>
  <c r="I463" i="2"/>
  <c r="G463" i="2"/>
  <c r="S556" i="2"/>
  <c r="T556" i="2" s="1"/>
  <c r="U556" i="2" s="1"/>
  <c r="R556" i="2"/>
  <c r="N556" i="2"/>
  <c r="O556" i="2" s="1"/>
  <c r="W556" i="2" s="1"/>
  <c r="M556" i="2"/>
  <c r="K556" i="2"/>
  <c r="I556" i="2"/>
  <c r="V556" i="2" s="1"/>
  <c r="G556" i="2"/>
  <c r="S198" i="2"/>
  <c r="T198" i="2" s="1"/>
  <c r="R198" i="2"/>
  <c r="N198" i="2"/>
  <c r="O198" i="2" s="1"/>
  <c r="M198" i="2"/>
  <c r="K198" i="2"/>
  <c r="I198" i="2"/>
  <c r="G198" i="2"/>
  <c r="S282" i="2"/>
  <c r="T282" i="2" s="1"/>
  <c r="R282" i="2"/>
  <c r="N282" i="2"/>
  <c r="O282" i="2" s="1"/>
  <c r="M282" i="2"/>
  <c r="K282" i="2"/>
  <c r="I282" i="2"/>
  <c r="G282" i="2"/>
  <c r="S197" i="2"/>
  <c r="T197" i="2" s="1"/>
  <c r="R197" i="2"/>
  <c r="N197" i="2"/>
  <c r="O197" i="2" s="1"/>
  <c r="M197" i="2"/>
  <c r="K197" i="2"/>
  <c r="I197" i="2"/>
  <c r="G197" i="2"/>
  <c r="S555" i="2"/>
  <c r="T555" i="2" s="1"/>
  <c r="R555" i="2"/>
  <c r="O555" i="2"/>
  <c r="N555" i="2"/>
  <c r="M555" i="2"/>
  <c r="K555" i="2"/>
  <c r="I555" i="2"/>
  <c r="G555" i="2"/>
  <c r="S423" i="2"/>
  <c r="T423" i="2" s="1"/>
  <c r="R423" i="2"/>
  <c r="N423" i="2"/>
  <c r="O423" i="2" s="1"/>
  <c r="W423" i="2" s="1"/>
  <c r="M423" i="2"/>
  <c r="K423" i="2"/>
  <c r="I423" i="2"/>
  <c r="G423" i="2"/>
  <c r="S23" i="2"/>
  <c r="T23" i="2" s="1"/>
  <c r="R23" i="2"/>
  <c r="U23" i="2" s="1"/>
  <c r="N23" i="2"/>
  <c r="O23" i="2" s="1"/>
  <c r="W23" i="2" s="1"/>
  <c r="M23" i="2"/>
  <c r="V23" i="2" s="1"/>
  <c r="K23" i="2"/>
  <c r="I23" i="2"/>
  <c r="G23" i="2"/>
  <c r="S649" i="2"/>
  <c r="T649" i="2" s="1"/>
  <c r="W649" i="2" s="1"/>
  <c r="R649" i="2"/>
  <c r="U649" i="2" s="1"/>
  <c r="N649" i="2"/>
  <c r="O649" i="2" s="1"/>
  <c r="P649" i="2" s="1"/>
  <c r="M649" i="2"/>
  <c r="K649" i="2"/>
  <c r="I649" i="2"/>
  <c r="G649" i="2"/>
  <c r="S462" i="2"/>
  <c r="T462" i="2" s="1"/>
  <c r="U462" i="2" s="1"/>
  <c r="R462" i="2"/>
  <c r="O462" i="2"/>
  <c r="N462" i="2"/>
  <c r="M462" i="2"/>
  <c r="K462" i="2"/>
  <c r="I462" i="2"/>
  <c r="G462" i="2"/>
  <c r="S68" i="2"/>
  <c r="T68" i="2" s="1"/>
  <c r="U68" i="2" s="1"/>
  <c r="R68" i="2"/>
  <c r="N68" i="2"/>
  <c r="O68" i="2" s="1"/>
  <c r="P68" i="2" s="1"/>
  <c r="M68" i="2"/>
  <c r="K68" i="2"/>
  <c r="I68" i="2"/>
  <c r="G68" i="2"/>
  <c r="S196" i="2"/>
  <c r="T196" i="2" s="1"/>
  <c r="R196" i="2"/>
  <c r="N196" i="2"/>
  <c r="O196" i="2" s="1"/>
  <c r="M196" i="2"/>
  <c r="K196" i="2"/>
  <c r="I196" i="2"/>
  <c r="G196" i="2"/>
  <c r="S422" i="2"/>
  <c r="T422" i="2" s="1"/>
  <c r="R422" i="2"/>
  <c r="P422" i="2"/>
  <c r="O422" i="2"/>
  <c r="N422" i="2"/>
  <c r="M422" i="2"/>
  <c r="K422" i="2"/>
  <c r="I422" i="2"/>
  <c r="G422" i="2"/>
  <c r="T117" i="2"/>
  <c r="S117" i="2"/>
  <c r="R117" i="2"/>
  <c r="N117" i="2"/>
  <c r="O117" i="2" s="1"/>
  <c r="W117" i="2" s="1"/>
  <c r="M117" i="2"/>
  <c r="K117" i="2"/>
  <c r="I117" i="2"/>
  <c r="G117" i="2"/>
  <c r="S512" i="2"/>
  <c r="T512" i="2" s="1"/>
  <c r="R512" i="2"/>
  <c r="N512" i="2"/>
  <c r="O512" i="2" s="1"/>
  <c r="W512" i="2" s="1"/>
  <c r="M512" i="2"/>
  <c r="K512" i="2"/>
  <c r="I512" i="2"/>
  <c r="G512" i="2"/>
  <c r="S421" i="2"/>
  <c r="T421" i="2" s="1"/>
  <c r="R421" i="2"/>
  <c r="N421" i="2"/>
  <c r="O421" i="2" s="1"/>
  <c r="W421" i="2" s="1"/>
  <c r="M421" i="2"/>
  <c r="K421" i="2"/>
  <c r="I421" i="2"/>
  <c r="G421" i="2"/>
  <c r="S322" i="2"/>
  <c r="T322" i="2" s="1"/>
  <c r="R322" i="2"/>
  <c r="U322" i="2" s="1"/>
  <c r="N322" i="2"/>
  <c r="O322" i="2" s="1"/>
  <c r="M322" i="2"/>
  <c r="P322" i="2" s="1"/>
  <c r="K322" i="2"/>
  <c r="I322" i="2"/>
  <c r="G322" i="2"/>
  <c r="S648" i="2"/>
  <c r="T648" i="2" s="1"/>
  <c r="R648" i="2"/>
  <c r="U648" i="2" s="1"/>
  <c r="O648" i="2"/>
  <c r="W648" i="2" s="1"/>
  <c r="N648" i="2"/>
  <c r="M648" i="2"/>
  <c r="K648" i="2"/>
  <c r="I648" i="2"/>
  <c r="G648" i="2"/>
  <c r="S321" i="2"/>
  <c r="T321" i="2" s="1"/>
  <c r="R321" i="2"/>
  <c r="N321" i="2"/>
  <c r="O321" i="2" s="1"/>
  <c r="M321" i="2"/>
  <c r="K321" i="2"/>
  <c r="I321" i="2"/>
  <c r="G321" i="2"/>
  <c r="S234" i="2"/>
  <c r="T234" i="2" s="1"/>
  <c r="R234" i="2"/>
  <c r="N234" i="2"/>
  <c r="O234" i="2" s="1"/>
  <c r="M234" i="2"/>
  <c r="P234" i="2" s="1"/>
  <c r="K234" i="2"/>
  <c r="I234" i="2"/>
  <c r="G234" i="2"/>
  <c r="S22" i="2"/>
  <c r="T22" i="2" s="1"/>
  <c r="R22" i="2"/>
  <c r="N22" i="2"/>
  <c r="O22" i="2" s="1"/>
  <c r="M22" i="2"/>
  <c r="P22" i="2" s="1"/>
  <c r="K22" i="2"/>
  <c r="I22" i="2"/>
  <c r="G22" i="2"/>
  <c r="S699" i="2"/>
  <c r="T699" i="2" s="1"/>
  <c r="R699" i="2"/>
  <c r="P699" i="2"/>
  <c r="N699" i="2"/>
  <c r="O699" i="2" s="1"/>
  <c r="M699" i="2"/>
  <c r="K699" i="2"/>
  <c r="I699" i="2"/>
  <c r="G699" i="2"/>
  <c r="S461" i="2"/>
  <c r="T461" i="2" s="1"/>
  <c r="R461" i="2"/>
  <c r="V461" i="2" s="1"/>
  <c r="N461" i="2"/>
  <c r="O461" i="2" s="1"/>
  <c r="W461" i="2" s="1"/>
  <c r="M461" i="2"/>
  <c r="K461" i="2"/>
  <c r="I461" i="2"/>
  <c r="G461" i="2"/>
  <c r="S281" i="2"/>
  <c r="T281" i="2" s="1"/>
  <c r="R281" i="2"/>
  <c r="U281" i="2" s="1"/>
  <c r="N281" i="2"/>
  <c r="O281" i="2" s="1"/>
  <c r="W281" i="2" s="1"/>
  <c r="M281" i="2"/>
  <c r="K281" i="2"/>
  <c r="I281" i="2"/>
  <c r="G281" i="2"/>
  <c r="S67" i="2"/>
  <c r="T67" i="2" s="1"/>
  <c r="W67" i="2" s="1"/>
  <c r="R67" i="2"/>
  <c r="P67" i="2"/>
  <c r="N67" i="2"/>
  <c r="O67" i="2" s="1"/>
  <c r="M67" i="2"/>
  <c r="K67" i="2"/>
  <c r="I67" i="2"/>
  <c r="G67" i="2"/>
  <c r="T420" i="2"/>
  <c r="U420" i="2" s="1"/>
  <c r="S420" i="2"/>
  <c r="R420" i="2"/>
  <c r="N420" i="2"/>
  <c r="O420" i="2" s="1"/>
  <c r="M420" i="2"/>
  <c r="K420" i="2"/>
  <c r="I420" i="2"/>
  <c r="G420" i="2"/>
  <c r="T21" i="2"/>
  <c r="S21" i="2"/>
  <c r="R21" i="2"/>
  <c r="N21" i="2"/>
  <c r="O21" i="2" s="1"/>
  <c r="M21" i="2"/>
  <c r="K21" i="2"/>
  <c r="I21" i="2"/>
  <c r="G21" i="2"/>
  <c r="S66" i="2"/>
  <c r="T66" i="2" s="1"/>
  <c r="R66" i="2"/>
  <c r="N66" i="2"/>
  <c r="O66" i="2" s="1"/>
  <c r="M66" i="2"/>
  <c r="K66" i="2"/>
  <c r="I66" i="2"/>
  <c r="G66" i="2"/>
  <c r="S554" i="2"/>
  <c r="T554" i="2" s="1"/>
  <c r="R554" i="2"/>
  <c r="O554" i="2"/>
  <c r="P554" i="2" s="1"/>
  <c r="N554" i="2"/>
  <c r="M554" i="2"/>
  <c r="K554" i="2"/>
  <c r="I554" i="2"/>
  <c r="G554" i="2"/>
  <c r="T553" i="2"/>
  <c r="S553" i="2"/>
  <c r="R553" i="2"/>
  <c r="N553" i="2"/>
  <c r="O553" i="2" s="1"/>
  <c r="M553" i="2"/>
  <c r="K553" i="2"/>
  <c r="I553" i="2"/>
  <c r="G553" i="2"/>
  <c r="S698" i="2"/>
  <c r="T698" i="2" s="1"/>
  <c r="R698" i="2"/>
  <c r="O698" i="2"/>
  <c r="N698" i="2"/>
  <c r="M698" i="2"/>
  <c r="K698" i="2"/>
  <c r="I698" i="2"/>
  <c r="G698" i="2"/>
  <c r="S65" i="2"/>
  <c r="T65" i="2" s="1"/>
  <c r="U65" i="2" s="1"/>
  <c r="R65" i="2"/>
  <c r="N65" i="2"/>
  <c r="O65" i="2" s="1"/>
  <c r="M65" i="2"/>
  <c r="K65" i="2"/>
  <c r="I65" i="2"/>
  <c r="G65" i="2"/>
  <c r="S116" i="2"/>
  <c r="T116" i="2" s="1"/>
  <c r="U116" i="2" s="1"/>
  <c r="R116" i="2"/>
  <c r="N116" i="2"/>
  <c r="O116" i="2" s="1"/>
  <c r="M116" i="2"/>
  <c r="K116" i="2"/>
  <c r="I116" i="2"/>
  <c r="G116" i="2"/>
  <c r="S602" i="2"/>
  <c r="T602" i="2" s="1"/>
  <c r="R602" i="2"/>
  <c r="O602" i="2"/>
  <c r="N602" i="2"/>
  <c r="M602" i="2"/>
  <c r="K602" i="2"/>
  <c r="I602" i="2"/>
  <c r="G602" i="2"/>
  <c r="S195" i="2"/>
  <c r="T195" i="2" s="1"/>
  <c r="R195" i="2"/>
  <c r="N195" i="2"/>
  <c r="O195" i="2" s="1"/>
  <c r="M195" i="2"/>
  <c r="K195" i="2"/>
  <c r="I195" i="2"/>
  <c r="G195" i="2"/>
  <c r="S370" i="2"/>
  <c r="T370" i="2" s="1"/>
  <c r="R370" i="2"/>
  <c r="N370" i="2"/>
  <c r="O370" i="2" s="1"/>
  <c r="M370" i="2"/>
  <c r="K370" i="2"/>
  <c r="I370" i="2"/>
  <c r="G370" i="2"/>
  <c r="S320" i="2"/>
  <c r="T320" i="2" s="1"/>
  <c r="R320" i="2"/>
  <c r="U320" i="2" s="1"/>
  <c r="O320" i="2"/>
  <c r="P320" i="2" s="1"/>
  <c r="N320" i="2"/>
  <c r="M320" i="2"/>
  <c r="K320" i="2"/>
  <c r="I320" i="2"/>
  <c r="G320" i="2"/>
  <c r="S194" i="2"/>
  <c r="T194" i="2" s="1"/>
  <c r="R194" i="2"/>
  <c r="P194" i="2"/>
  <c r="N194" i="2"/>
  <c r="O194" i="2" s="1"/>
  <c r="M194" i="2"/>
  <c r="K194" i="2"/>
  <c r="I194" i="2"/>
  <c r="G194" i="2"/>
  <c r="S193" i="2"/>
  <c r="T193" i="2" s="1"/>
  <c r="R193" i="2"/>
  <c r="U193" i="2" s="1"/>
  <c r="O193" i="2"/>
  <c r="N193" i="2"/>
  <c r="M193" i="2"/>
  <c r="K193" i="2"/>
  <c r="I193" i="2"/>
  <c r="G193" i="2"/>
  <c r="S419" i="2"/>
  <c r="T419" i="2" s="1"/>
  <c r="R419" i="2"/>
  <c r="N419" i="2"/>
  <c r="O419" i="2" s="1"/>
  <c r="W419" i="2" s="1"/>
  <c r="M419" i="2"/>
  <c r="K419" i="2"/>
  <c r="I419" i="2"/>
  <c r="G419" i="2"/>
  <c r="S115" i="2"/>
  <c r="T115" i="2" s="1"/>
  <c r="U115" i="2" s="1"/>
  <c r="R115" i="2"/>
  <c r="N115" i="2"/>
  <c r="O115" i="2" s="1"/>
  <c r="M115" i="2"/>
  <c r="K115" i="2"/>
  <c r="I115" i="2"/>
  <c r="V115" i="2" s="1"/>
  <c r="G115" i="2"/>
  <c r="S192" i="2"/>
  <c r="T192" i="2" s="1"/>
  <c r="R192" i="2"/>
  <c r="U192" i="2" s="1"/>
  <c r="O192" i="2"/>
  <c r="N192" i="2"/>
  <c r="M192" i="2"/>
  <c r="K192" i="2"/>
  <c r="I192" i="2"/>
  <c r="G192" i="2"/>
  <c r="T20" i="2"/>
  <c r="S20" i="2"/>
  <c r="R20" i="2"/>
  <c r="N20" i="2"/>
  <c r="O20" i="2" s="1"/>
  <c r="M20" i="2"/>
  <c r="K20" i="2"/>
  <c r="I20" i="2"/>
  <c r="G20" i="2"/>
  <c r="S191" i="2"/>
  <c r="T191" i="2" s="1"/>
  <c r="R191" i="2"/>
  <c r="N191" i="2"/>
  <c r="O191" i="2" s="1"/>
  <c r="M191" i="2"/>
  <c r="K191" i="2"/>
  <c r="I191" i="2"/>
  <c r="G191" i="2"/>
  <c r="S697" i="2"/>
  <c r="T697" i="2" s="1"/>
  <c r="R697" i="2"/>
  <c r="O697" i="2"/>
  <c r="P697" i="2" s="1"/>
  <c r="N697" i="2"/>
  <c r="M697" i="2"/>
  <c r="K697" i="2"/>
  <c r="I697" i="2"/>
  <c r="G697" i="2"/>
  <c r="S418" i="2"/>
  <c r="T418" i="2" s="1"/>
  <c r="R418" i="2"/>
  <c r="N418" i="2"/>
  <c r="O418" i="2" s="1"/>
  <c r="M418" i="2"/>
  <c r="K418" i="2"/>
  <c r="I418" i="2"/>
  <c r="G418" i="2"/>
  <c r="S190" i="2"/>
  <c r="T190" i="2" s="1"/>
  <c r="R190" i="2"/>
  <c r="O190" i="2"/>
  <c r="W190" i="2" s="1"/>
  <c r="N190" i="2"/>
  <c r="M190" i="2"/>
  <c r="K190" i="2"/>
  <c r="I190" i="2"/>
  <c r="G190" i="2"/>
  <c r="S19" i="2"/>
  <c r="T19" i="2" s="1"/>
  <c r="R19" i="2"/>
  <c r="N19" i="2"/>
  <c r="O19" i="2" s="1"/>
  <c r="W19" i="2" s="1"/>
  <c r="M19" i="2"/>
  <c r="K19" i="2"/>
  <c r="I19" i="2"/>
  <c r="G19" i="2"/>
  <c r="S18" i="2"/>
  <c r="T18" i="2" s="1"/>
  <c r="R18" i="2"/>
  <c r="N18" i="2"/>
  <c r="O18" i="2" s="1"/>
  <c r="M18" i="2"/>
  <c r="K18" i="2"/>
  <c r="I18" i="2"/>
  <c r="G18" i="2"/>
  <c r="S319" i="2"/>
  <c r="T319" i="2" s="1"/>
  <c r="R319" i="2"/>
  <c r="O319" i="2"/>
  <c r="N319" i="2"/>
  <c r="M319" i="2"/>
  <c r="K319" i="2"/>
  <c r="I319" i="2"/>
  <c r="G319" i="2"/>
  <c r="S64" i="2"/>
  <c r="T64" i="2" s="1"/>
  <c r="R64" i="2"/>
  <c r="N64" i="2"/>
  <c r="O64" i="2" s="1"/>
  <c r="M64" i="2"/>
  <c r="K64" i="2"/>
  <c r="I64" i="2"/>
  <c r="G64" i="2"/>
  <c r="S601" i="2"/>
  <c r="T601" i="2" s="1"/>
  <c r="R601" i="2"/>
  <c r="N601" i="2"/>
  <c r="O601" i="2" s="1"/>
  <c r="M601" i="2"/>
  <c r="K601" i="2"/>
  <c r="I601" i="2"/>
  <c r="G601" i="2"/>
  <c r="S417" i="2"/>
  <c r="T417" i="2" s="1"/>
  <c r="R417" i="2"/>
  <c r="N417" i="2"/>
  <c r="O417" i="2" s="1"/>
  <c r="P417" i="2" s="1"/>
  <c r="M417" i="2"/>
  <c r="K417" i="2"/>
  <c r="I417" i="2"/>
  <c r="G417" i="2"/>
  <c r="S369" i="2"/>
  <c r="T369" i="2" s="1"/>
  <c r="R369" i="2"/>
  <c r="P369" i="2"/>
  <c r="N369" i="2"/>
  <c r="O369" i="2" s="1"/>
  <c r="M369" i="2"/>
  <c r="K369" i="2"/>
  <c r="I369" i="2"/>
  <c r="G369" i="2"/>
  <c r="S280" i="2"/>
  <c r="T280" i="2" s="1"/>
  <c r="R280" i="2"/>
  <c r="U280" i="2" s="1"/>
  <c r="O280" i="2"/>
  <c r="N280" i="2"/>
  <c r="M280" i="2"/>
  <c r="K280" i="2"/>
  <c r="I280" i="2"/>
  <c r="G280" i="2"/>
  <c r="S368" i="2"/>
  <c r="T368" i="2" s="1"/>
  <c r="R368" i="2"/>
  <c r="N368" i="2"/>
  <c r="O368" i="2" s="1"/>
  <c r="M368" i="2"/>
  <c r="K368" i="2"/>
  <c r="I368" i="2"/>
  <c r="G368" i="2"/>
  <c r="S552" i="2"/>
  <c r="T552" i="2" s="1"/>
  <c r="R552" i="2"/>
  <c r="N552" i="2"/>
  <c r="O552" i="2" s="1"/>
  <c r="M552" i="2"/>
  <c r="K552" i="2"/>
  <c r="I552" i="2"/>
  <c r="G552" i="2"/>
  <c r="V552" i="2" s="1"/>
  <c r="S114" i="2"/>
  <c r="T114" i="2" s="1"/>
  <c r="R114" i="2"/>
  <c r="U114" i="2" s="1"/>
  <c r="O114" i="2"/>
  <c r="N114" i="2"/>
  <c r="M114" i="2"/>
  <c r="K114" i="2"/>
  <c r="I114" i="2"/>
  <c r="G114" i="2"/>
  <c r="S17" i="2"/>
  <c r="T17" i="2" s="1"/>
  <c r="R17" i="2"/>
  <c r="N17" i="2"/>
  <c r="O17" i="2" s="1"/>
  <c r="M17" i="2"/>
  <c r="K17" i="2"/>
  <c r="I17" i="2"/>
  <c r="G17" i="2"/>
  <c r="S696" i="2"/>
  <c r="T696" i="2" s="1"/>
  <c r="R696" i="2"/>
  <c r="U696" i="2" s="1"/>
  <c r="N696" i="2"/>
  <c r="O696" i="2" s="1"/>
  <c r="M696" i="2"/>
  <c r="K696" i="2"/>
  <c r="I696" i="2"/>
  <c r="G696" i="2"/>
  <c r="S551" i="2"/>
  <c r="T551" i="2" s="1"/>
  <c r="R551" i="2"/>
  <c r="O551" i="2"/>
  <c r="P551" i="2" s="1"/>
  <c r="N551" i="2"/>
  <c r="M551" i="2"/>
  <c r="K551" i="2"/>
  <c r="I551" i="2"/>
  <c r="G551" i="2"/>
  <c r="S416" i="2"/>
  <c r="T416" i="2" s="1"/>
  <c r="R416" i="2"/>
  <c r="U416" i="2" s="1"/>
  <c r="N416" i="2"/>
  <c r="O416" i="2" s="1"/>
  <c r="M416" i="2"/>
  <c r="K416" i="2"/>
  <c r="I416" i="2"/>
  <c r="G416" i="2"/>
  <c r="S550" i="2"/>
  <c r="T550" i="2" s="1"/>
  <c r="R550" i="2"/>
  <c r="O550" i="2"/>
  <c r="W550" i="2" s="1"/>
  <c r="N550" i="2"/>
  <c r="M550" i="2"/>
  <c r="K550" i="2"/>
  <c r="I550" i="2"/>
  <c r="G550" i="2"/>
  <c r="S113" i="2"/>
  <c r="T113" i="2" s="1"/>
  <c r="R113" i="2"/>
  <c r="N113" i="2"/>
  <c r="O113" i="2" s="1"/>
  <c r="W113" i="2" s="1"/>
  <c r="M113" i="2"/>
  <c r="K113" i="2"/>
  <c r="I113" i="2"/>
  <c r="G113" i="2"/>
  <c r="S647" i="2"/>
  <c r="T647" i="2" s="1"/>
  <c r="R647" i="2"/>
  <c r="N647" i="2"/>
  <c r="O647" i="2" s="1"/>
  <c r="W647" i="2" s="1"/>
  <c r="M647" i="2"/>
  <c r="K647" i="2"/>
  <c r="I647" i="2"/>
  <c r="G647" i="2"/>
  <c r="S511" i="2"/>
  <c r="T511" i="2" s="1"/>
  <c r="R511" i="2"/>
  <c r="N511" i="2"/>
  <c r="O511" i="2" s="1"/>
  <c r="M511" i="2"/>
  <c r="K511" i="2"/>
  <c r="I511" i="2"/>
  <c r="G511" i="2"/>
  <c r="S233" i="2"/>
  <c r="T233" i="2" s="1"/>
  <c r="R233" i="2"/>
  <c r="N233" i="2"/>
  <c r="O233" i="2" s="1"/>
  <c r="M233" i="2"/>
  <c r="K233" i="2"/>
  <c r="I233" i="2"/>
  <c r="G233" i="2"/>
  <c r="S279" i="2"/>
  <c r="T279" i="2" s="1"/>
  <c r="R279" i="2"/>
  <c r="N279" i="2"/>
  <c r="O279" i="2" s="1"/>
  <c r="M279" i="2"/>
  <c r="K279" i="2"/>
  <c r="I279" i="2"/>
  <c r="G279" i="2"/>
  <c r="S510" i="2"/>
  <c r="T510" i="2" s="1"/>
  <c r="R510" i="2"/>
  <c r="U510" i="2" s="1"/>
  <c r="N510" i="2"/>
  <c r="O510" i="2" s="1"/>
  <c r="M510" i="2"/>
  <c r="K510" i="2"/>
  <c r="I510" i="2"/>
  <c r="G510" i="2"/>
  <c r="S318" i="2"/>
  <c r="T318" i="2" s="1"/>
  <c r="R318" i="2"/>
  <c r="N318" i="2"/>
  <c r="O318" i="2" s="1"/>
  <c r="M318" i="2"/>
  <c r="P318" i="2" s="1"/>
  <c r="K318" i="2"/>
  <c r="I318" i="2"/>
  <c r="G318" i="2"/>
  <c r="S63" i="2"/>
  <c r="T63" i="2" s="1"/>
  <c r="R63" i="2"/>
  <c r="U63" i="2" s="1"/>
  <c r="N63" i="2"/>
  <c r="O63" i="2" s="1"/>
  <c r="M63" i="2"/>
  <c r="V63" i="2" s="1"/>
  <c r="K63" i="2"/>
  <c r="I63" i="2"/>
  <c r="G63" i="2"/>
  <c r="S317" i="2"/>
  <c r="T317" i="2" s="1"/>
  <c r="R317" i="2"/>
  <c r="N317" i="2"/>
  <c r="O317" i="2" s="1"/>
  <c r="M317" i="2"/>
  <c r="K317" i="2"/>
  <c r="I317" i="2"/>
  <c r="G317" i="2"/>
  <c r="S509" i="2"/>
  <c r="T509" i="2" s="1"/>
  <c r="R509" i="2"/>
  <c r="N509" i="2"/>
  <c r="O509" i="2" s="1"/>
  <c r="W509" i="2" s="1"/>
  <c r="M509" i="2"/>
  <c r="K509" i="2"/>
  <c r="I509" i="2"/>
  <c r="V509" i="2" s="1"/>
  <c r="G509" i="2"/>
  <c r="S600" i="2"/>
  <c r="T600" i="2" s="1"/>
  <c r="R600" i="2"/>
  <c r="U600" i="2" s="1"/>
  <c r="O600" i="2"/>
  <c r="N600" i="2"/>
  <c r="M600" i="2"/>
  <c r="K600" i="2"/>
  <c r="I600" i="2"/>
  <c r="G600" i="2"/>
  <c r="S189" i="2"/>
  <c r="T189" i="2" s="1"/>
  <c r="R189" i="2"/>
  <c r="N189" i="2"/>
  <c r="O189" i="2" s="1"/>
  <c r="M189" i="2"/>
  <c r="K189" i="2"/>
  <c r="I189" i="2"/>
  <c r="G189" i="2"/>
  <c r="S188" i="2"/>
  <c r="T188" i="2" s="1"/>
  <c r="R188" i="2"/>
  <c r="U188" i="2" s="1"/>
  <c r="N188" i="2"/>
  <c r="O188" i="2" s="1"/>
  <c r="M188" i="2"/>
  <c r="K188" i="2"/>
  <c r="I188" i="2"/>
  <c r="G188" i="2"/>
  <c r="S187" i="2"/>
  <c r="T187" i="2" s="1"/>
  <c r="R187" i="2"/>
  <c r="N187" i="2"/>
  <c r="O187" i="2" s="1"/>
  <c r="P187" i="2" s="1"/>
  <c r="M187" i="2"/>
  <c r="K187" i="2"/>
  <c r="I187" i="2"/>
  <c r="G187" i="2"/>
  <c r="S695" i="2"/>
  <c r="T695" i="2" s="1"/>
  <c r="R695" i="2"/>
  <c r="N695" i="2"/>
  <c r="O695" i="2" s="1"/>
  <c r="W695" i="2" s="1"/>
  <c r="M695" i="2"/>
  <c r="K695" i="2"/>
  <c r="I695" i="2"/>
  <c r="G695" i="2"/>
  <c r="S62" i="2"/>
  <c r="T62" i="2" s="1"/>
  <c r="R62" i="2"/>
  <c r="N62" i="2"/>
  <c r="O62" i="2" s="1"/>
  <c r="W62" i="2" s="1"/>
  <c r="M62" i="2"/>
  <c r="V62" i="2" s="1"/>
  <c r="K62" i="2"/>
  <c r="I62" i="2"/>
  <c r="G62" i="2"/>
  <c r="S415" i="2"/>
  <c r="T415" i="2" s="1"/>
  <c r="R415" i="2"/>
  <c r="N415" i="2"/>
  <c r="O415" i="2" s="1"/>
  <c r="W415" i="2" s="1"/>
  <c r="M415" i="2"/>
  <c r="P415" i="2" s="1"/>
  <c r="K415" i="2"/>
  <c r="I415" i="2"/>
  <c r="G415" i="2"/>
  <c r="S694" i="2"/>
  <c r="T694" i="2" s="1"/>
  <c r="R694" i="2"/>
  <c r="N694" i="2"/>
  <c r="O694" i="2" s="1"/>
  <c r="M694" i="2"/>
  <c r="P694" i="2" s="1"/>
  <c r="K694" i="2"/>
  <c r="I694" i="2"/>
  <c r="G694" i="2"/>
  <c r="S16" i="2"/>
  <c r="T16" i="2" s="1"/>
  <c r="R16" i="2"/>
  <c r="N16" i="2"/>
  <c r="O16" i="2" s="1"/>
  <c r="M16" i="2"/>
  <c r="P16" i="2" s="1"/>
  <c r="K16" i="2"/>
  <c r="I16" i="2"/>
  <c r="G16" i="2"/>
  <c r="S508" i="2"/>
  <c r="T508" i="2" s="1"/>
  <c r="R508" i="2"/>
  <c r="N508" i="2"/>
  <c r="O508" i="2" s="1"/>
  <c r="M508" i="2"/>
  <c r="K508" i="2"/>
  <c r="I508" i="2"/>
  <c r="G508" i="2"/>
  <c r="S61" i="2"/>
  <c r="T61" i="2" s="1"/>
  <c r="R61" i="2"/>
  <c r="N61" i="2"/>
  <c r="O61" i="2" s="1"/>
  <c r="M61" i="2"/>
  <c r="K61" i="2"/>
  <c r="I61" i="2"/>
  <c r="G61" i="2"/>
  <c r="S60" i="2"/>
  <c r="T60" i="2" s="1"/>
  <c r="R60" i="2"/>
  <c r="N60" i="2"/>
  <c r="O60" i="2" s="1"/>
  <c r="P60" i="2" s="1"/>
  <c r="M60" i="2"/>
  <c r="K60" i="2"/>
  <c r="I60" i="2"/>
  <c r="G60" i="2"/>
  <c r="S278" i="2"/>
  <c r="T278" i="2" s="1"/>
  <c r="R278" i="2"/>
  <c r="N278" i="2"/>
  <c r="O278" i="2" s="1"/>
  <c r="M278" i="2"/>
  <c r="P278" i="2" s="1"/>
  <c r="K278" i="2"/>
  <c r="I278" i="2"/>
  <c r="G278" i="2"/>
  <c r="S693" i="2"/>
  <c r="T693" i="2" s="1"/>
  <c r="R693" i="2"/>
  <c r="N693" i="2"/>
  <c r="O693" i="2" s="1"/>
  <c r="M693" i="2"/>
  <c r="V693" i="2" s="1"/>
  <c r="K693" i="2"/>
  <c r="I693" i="2"/>
  <c r="G693" i="2"/>
  <c r="S460" i="2"/>
  <c r="T460" i="2" s="1"/>
  <c r="R460" i="2"/>
  <c r="N460" i="2"/>
  <c r="O460" i="2" s="1"/>
  <c r="M460" i="2"/>
  <c r="K460" i="2"/>
  <c r="V460" i="2" s="1"/>
  <c r="I460" i="2"/>
  <c r="G460" i="2"/>
  <c r="S414" i="2"/>
  <c r="T414" i="2" s="1"/>
  <c r="R414" i="2"/>
  <c r="N414" i="2"/>
  <c r="O414" i="2" s="1"/>
  <c r="M414" i="2"/>
  <c r="K414" i="2"/>
  <c r="I414" i="2"/>
  <c r="V414" i="2" s="1"/>
  <c r="G414" i="2"/>
  <c r="S186" i="2"/>
  <c r="T186" i="2" s="1"/>
  <c r="R186" i="2"/>
  <c r="U186" i="2" s="1"/>
  <c r="N186" i="2"/>
  <c r="O186" i="2" s="1"/>
  <c r="M186" i="2"/>
  <c r="K186" i="2"/>
  <c r="I186" i="2"/>
  <c r="G186" i="2"/>
  <c r="S59" i="2"/>
  <c r="T59" i="2" s="1"/>
  <c r="R59" i="2"/>
  <c r="N59" i="2"/>
  <c r="O59" i="2" s="1"/>
  <c r="M59" i="2"/>
  <c r="K59" i="2"/>
  <c r="I59" i="2"/>
  <c r="G59" i="2"/>
  <c r="S599" i="2"/>
  <c r="T599" i="2" s="1"/>
  <c r="R599" i="2"/>
  <c r="N599" i="2"/>
  <c r="O599" i="2" s="1"/>
  <c r="M599" i="2"/>
  <c r="K599" i="2"/>
  <c r="I599" i="2"/>
  <c r="G599" i="2"/>
  <c r="S549" i="2"/>
  <c r="T549" i="2" s="1"/>
  <c r="R549" i="2"/>
  <c r="N549" i="2"/>
  <c r="O549" i="2" s="1"/>
  <c r="P549" i="2" s="1"/>
  <c r="M549" i="2"/>
  <c r="K549" i="2"/>
  <c r="I549" i="2"/>
  <c r="G549" i="2"/>
  <c r="S459" i="2"/>
  <c r="T459" i="2" s="1"/>
  <c r="R459" i="2"/>
  <c r="N459" i="2"/>
  <c r="O459" i="2" s="1"/>
  <c r="M459" i="2"/>
  <c r="K459" i="2"/>
  <c r="I459" i="2"/>
  <c r="G459" i="2"/>
  <c r="S277" i="2"/>
  <c r="T277" i="2" s="1"/>
  <c r="R277" i="2"/>
  <c r="N277" i="2"/>
  <c r="O277" i="2" s="1"/>
  <c r="W277" i="2" s="1"/>
  <c r="M277" i="2"/>
  <c r="V277" i="2" s="1"/>
  <c r="X277" i="2" s="1"/>
  <c r="Y277" i="2" s="1"/>
  <c r="K277" i="2"/>
  <c r="I277" i="2"/>
  <c r="G277" i="2"/>
  <c r="S185" i="2"/>
  <c r="T185" i="2" s="1"/>
  <c r="R185" i="2"/>
  <c r="N185" i="2"/>
  <c r="O185" i="2" s="1"/>
  <c r="W185" i="2" s="1"/>
  <c r="M185" i="2"/>
  <c r="P185" i="2" s="1"/>
  <c r="K185" i="2"/>
  <c r="V185" i="2" s="1"/>
  <c r="I185" i="2"/>
  <c r="G185" i="2"/>
  <c r="S413" i="2"/>
  <c r="T413" i="2" s="1"/>
  <c r="R413" i="2"/>
  <c r="N413" i="2"/>
  <c r="O413" i="2" s="1"/>
  <c r="M413" i="2"/>
  <c r="K413" i="2"/>
  <c r="I413" i="2"/>
  <c r="G413" i="2"/>
  <c r="S412" i="2"/>
  <c r="T412" i="2" s="1"/>
  <c r="R412" i="2"/>
  <c r="O412" i="2"/>
  <c r="N412" i="2"/>
  <c r="M412" i="2"/>
  <c r="P412" i="2" s="1"/>
  <c r="K412" i="2"/>
  <c r="V412" i="2" s="1"/>
  <c r="I412" i="2"/>
  <c r="G412" i="2"/>
  <c r="S184" i="2"/>
  <c r="T184" i="2" s="1"/>
  <c r="R184" i="2"/>
  <c r="N184" i="2"/>
  <c r="O184" i="2" s="1"/>
  <c r="M184" i="2"/>
  <c r="K184" i="2"/>
  <c r="I184" i="2"/>
  <c r="G184" i="2"/>
  <c r="S367" i="2"/>
  <c r="T367" i="2" s="1"/>
  <c r="R367" i="2"/>
  <c r="N367" i="2"/>
  <c r="O367" i="2" s="1"/>
  <c r="M367" i="2"/>
  <c r="K367" i="2"/>
  <c r="I367" i="2"/>
  <c r="V367" i="2" s="1"/>
  <c r="G367" i="2"/>
  <c r="S366" i="2"/>
  <c r="T366" i="2" s="1"/>
  <c r="R366" i="2"/>
  <c r="N366" i="2"/>
  <c r="O366" i="2" s="1"/>
  <c r="P366" i="2" s="1"/>
  <c r="M366" i="2"/>
  <c r="K366" i="2"/>
  <c r="I366" i="2"/>
  <c r="G366" i="2"/>
  <c r="T276" i="2"/>
  <c r="S276" i="2"/>
  <c r="R276" i="2"/>
  <c r="N276" i="2"/>
  <c r="O276" i="2" s="1"/>
  <c r="W276" i="2" s="1"/>
  <c r="M276" i="2"/>
  <c r="P276" i="2" s="1"/>
  <c r="K276" i="2"/>
  <c r="I276" i="2"/>
  <c r="G276" i="2"/>
  <c r="S15" i="2"/>
  <c r="T15" i="2" s="1"/>
  <c r="R15" i="2"/>
  <c r="N15" i="2"/>
  <c r="O15" i="2" s="1"/>
  <c r="M15" i="2"/>
  <c r="K15" i="2"/>
  <c r="I15" i="2"/>
  <c r="G15" i="2"/>
  <c r="S275" i="2"/>
  <c r="T275" i="2" s="1"/>
  <c r="R275" i="2"/>
  <c r="N275" i="2"/>
  <c r="O275" i="2" s="1"/>
  <c r="W275" i="2" s="1"/>
  <c r="M275" i="2"/>
  <c r="K275" i="2"/>
  <c r="V275" i="2" s="1"/>
  <c r="I275" i="2"/>
  <c r="G275" i="2"/>
  <c r="S183" i="2"/>
  <c r="T183" i="2" s="1"/>
  <c r="R183" i="2"/>
  <c r="N183" i="2"/>
  <c r="O183" i="2" s="1"/>
  <c r="M183" i="2"/>
  <c r="K183" i="2"/>
  <c r="I183" i="2"/>
  <c r="G183" i="2"/>
  <c r="S548" i="2"/>
  <c r="T548" i="2" s="1"/>
  <c r="R548" i="2"/>
  <c r="U548" i="2" s="1"/>
  <c r="N548" i="2"/>
  <c r="O548" i="2" s="1"/>
  <c r="M548" i="2"/>
  <c r="K548" i="2"/>
  <c r="I548" i="2"/>
  <c r="G548" i="2"/>
  <c r="S182" i="2"/>
  <c r="T182" i="2" s="1"/>
  <c r="R182" i="2"/>
  <c r="N182" i="2"/>
  <c r="O182" i="2" s="1"/>
  <c r="M182" i="2"/>
  <c r="K182" i="2"/>
  <c r="I182" i="2"/>
  <c r="G182" i="2"/>
  <c r="S181" i="2"/>
  <c r="T181" i="2" s="1"/>
  <c r="R181" i="2"/>
  <c r="N181" i="2"/>
  <c r="O181" i="2" s="1"/>
  <c r="M181" i="2"/>
  <c r="K181" i="2"/>
  <c r="I181" i="2"/>
  <c r="G181" i="2"/>
  <c r="S646" i="2"/>
  <c r="T646" i="2" s="1"/>
  <c r="R646" i="2"/>
  <c r="N646" i="2"/>
  <c r="O646" i="2" s="1"/>
  <c r="M646" i="2"/>
  <c r="K646" i="2"/>
  <c r="I646" i="2"/>
  <c r="G646" i="2"/>
  <c r="S507" i="2"/>
  <c r="T507" i="2" s="1"/>
  <c r="R507" i="2"/>
  <c r="N507" i="2"/>
  <c r="O507" i="2" s="1"/>
  <c r="M507" i="2"/>
  <c r="K507" i="2"/>
  <c r="I507" i="2"/>
  <c r="G507" i="2"/>
  <c r="S14" i="2"/>
  <c r="T14" i="2" s="1"/>
  <c r="R14" i="2"/>
  <c r="N14" i="2"/>
  <c r="O14" i="2" s="1"/>
  <c r="W14" i="2" s="1"/>
  <c r="M14" i="2"/>
  <c r="K14" i="2"/>
  <c r="I14" i="2"/>
  <c r="G14" i="2"/>
  <c r="S645" i="2"/>
  <c r="T645" i="2" s="1"/>
  <c r="R645" i="2"/>
  <c r="U645" i="2" s="1"/>
  <c r="N645" i="2"/>
  <c r="O645" i="2" s="1"/>
  <c r="W645" i="2" s="1"/>
  <c r="M645" i="2"/>
  <c r="K645" i="2"/>
  <c r="I645" i="2"/>
  <c r="G645" i="2"/>
  <c r="T13" i="2"/>
  <c r="S13" i="2"/>
  <c r="R13" i="2"/>
  <c r="U13" i="2" s="1"/>
  <c r="N13" i="2"/>
  <c r="O13" i="2" s="1"/>
  <c r="W13" i="2" s="1"/>
  <c r="M13" i="2"/>
  <c r="K13" i="2"/>
  <c r="I13" i="2"/>
  <c r="G13" i="2"/>
  <c r="S180" i="2"/>
  <c r="T180" i="2" s="1"/>
  <c r="U180" i="2" s="1"/>
  <c r="R180" i="2"/>
  <c r="N180" i="2"/>
  <c r="O180" i="2" s="1"/>
  <c r="M180" i="2"/>
  <c r="K180" i="2"/>
  <c r="I180" i="2"/>
  <c r="G180" i="2"/>
  <c r="T274" i="2"/>
  <c r="S274" i="2"/>
  <c r="R274" i="2"/>
  <c r="N274" i="2"/>
  <c r="O274" i="2" s="1"/>
  <c r="M274" i="2"/>
  <c r="K274" i="2"/>
  <c r="I274" i="2"/>
  <c r="G274" i="2"/>
  <c r="S458" i="2"/>
  <c r="T458" i="2" s="1"/>
  <c r="R458" i="2"/>
  <c r="N458" i="2"/>
  <c r="O458" i="2" s="1"/>
  <c r="M458" i="2"/>
  <c r="P458" i="2" s="1"/>
  <c r="K458" i="2"/>
  <c r="I458" i="2"/>
  <c r="G458" i="2"/>
  <c r="S365" i="2"/>
  <c r="T365" i="2" s="1"/>
  <c r="R365" i="2"/>
  <c r="N365" i="2"/>
  <c r="O365" i="2" s="1"/>
  <c r="M365" i="2"/>
  <c r="K365" i="2"/>
  <c r="I365" i="2"/>
  <c r="G365" i="2"/>
  <c r="T692" i="2"/>
  <c r="S692" i="2"/>
  <c r="R692" i="2"/>
  <c r="U692" i="2" s="1"/>
  <c r="N692" i="2"/>
  <c r="O692" i="2" s="1"/>
  <c r="P692" i="2" s="1"/>
  <c r="M692" i="2"/>
  <c r="K692" i="2"/>
  <c r="I692" i="2"/>
  <c r="G692" i="2"/>
  <c r="S411" i="2"/>
  <c r="T411" i="2" s="1"/>
  <c r="R411" i="2"/>
  <c r="N411" i="2"/>
  <c r="O411" i="2" s="1"/>
  <c r="W411" i="2" s="1"/>
  <c r="M411" i="2"/>
  <c r="K411" i="2"/>
  <c r="I411" i="2"/>
  <c r="G411" i="2"/>
  <c r="V411" i="2" s="1"/>
  <c r="S644" i="2"/>
  <c r="T644" i="2" s="1"/>
  <c r="R644" i="2"/>
  <c r="N644" i="2"/>
  <c r="O644" i="2" s="1"/>
  <c r="M644" i="2"/>
  <c r="K644" i="2"/>
  <c r="I644" i="2"/>
  <c r="G644" i="2"/>
  <c r="S643" i="2"/>
  <c r="T643" i="2" s="1"/>
  <c r="R643" i="2"/>
  <c r="N643" i="2"/>
  <c r="O643" i="2" s="1"/>
  <c r="M643" i="2"/>
  <c r="K643" i="2"/>
  <c r="I643" i="2"/>
  <c r="G643" i="2"/>
  <c r="S410" i="2"/>
  <c r="T410" i="2" s="1"/>
  <c r="U410" i="2" s="1"/>
  <c r="R410" i="2"/>
  <c r="O410" i="2"/>
  <c r="N410" i="2"/>
  <c r="M410" i="2"/>
  <c r="K410" i="2"/>
  <c r="I410" i="2"/>
  <c r="G410" i="2"/>
  <c r="T179" i="2"/>
  <c r="S179" i="2"/>
  <c r="R179" i="2"/>
  <c r="N179" i="2"/>
  <c r="O179" i="2" s="1"/>
  <c r="M179" i="2"/>
  <c r="K179" i="2"/>
  <c r="I179" i="2"/>
  <c r="G179" i="2"/>
  <c r="S691" i="2"/>
  <c r="T691" i="2" s="1"/>
  <c r="R691" i="2"/>
  <c r="N691" i="2"/>
  <c r="O691" i="2" s="1"/>
  <c r="M691" i="2"/>
  <c r="K691" i="2"/>
  <c r="I691" i="2"/>
  <c r="G691" i="2"/>
  <c r="S12" i="2"/>
  <c r="T12" i="2" s="1"/>
  <c r="R12" i="2"/>
  <c r="O12" i="2"/>
  <c r="N12" i="2"/>
  <c r="M12" i="2"/>
  <c r="K12" i="2"/>
  <c r="I12" i="2"/>
  <c r="G12" i="2"/>
  <c r="S58" i="2"/>
  <c r="T58" i="2" s="1"/>
  <c r="R58" i="2"/>
  <c r="P58" i="2"/>
  <c r="N58" i="2"/>
  <c r="O58" i="2" s="1"/>
  <c r="M58" i="2"/>
  <c r="K58" i="2"/>
  <c r="I58" i="2"/>
  <c r="G58" i="2"/>
  <c r="V457" i="2"/>
  <c r="S457" i="2"/>
  <c r="T457" i="2" s="1"/>
  <c r="U457" i="2" s="1"/>
  <c r="R457" i="2"/>
  <c r="N457" i="2"/>
  <c r="O457" i="2" s="1"/>
  <c r="M457" i="2"/>
  <c r="K457" i="2"/>
  <c r="I457" i="2"/>
  <c r="G457" i="2"/>
  <c r="W11" i="2"/>
  <c r="U11" i="2"/>
  <c r="S11" i="2"/>
  <c r="T11" i="2" s="1"/>
  <c r="R11" i="2"/>
  <c r="N11" i="2"/>
  <c r="O11" i="2" s="1"/>
  <c r="M11" i="2"/>
  <c r="K11" i="2"/>
  <c r="I11" i="2"/>
  <c r="G11" i="2"/>
  <c r="S10" i="2"/>
  <c r="T10" i="2" s="1"/>
  <c r="R10" i="2"/>
  <c r="N10" i="2"/>
  <c r="O10" i="2" s="1"/>
  <c r="W10" i="2" s="1"/>
  <c r="M10" i="2"/>
  <c r="P10" i="2" s="1"/>
  <c r="K10" i="2"/>
  <c r="I10" i="2"/>
  <c r="G10" i="2"/>
  <c r="S642" i="2"/>
  <c r="T642" i="2" s="1"/>
  <c r="U642" i="2" s="1"/>
  <c r="R642" i="2"/>
  <c r="N642" i="2"/>
  <c r="O642" i="2" s="1"/>
  <c r="M642" i="2"/>
  <c r="K642" i="2"/>
  <c r="I642" i="2"/>
  <c r="G642" i="2"/>
  <c r="S9" i="2"/>
  <c r="T9" i="2" s="1"/>
  <c r="R9" i="2"/>
  <c r="N9" i="2"/>
  <c r="O9" i="2" s="1"/>
  <c r="M9" i="2"/>
  <c r="K9" i="2"/>
  <c r="I9" i="2"/>
  <c r="G9" i="2"/>
  <c r="S598" i="2"/>
  <c r="T598" i="2" s="1"/>
  <c r="R598" i="2"/>
  <c r="N598" i="2"/>
  <c r="O598" i="2" s="1"/>
  <c r="M598" i="2"/>
  <c r="K598" i="2"/>
  <c r="I598" i="2"/>
  <c r="G598" i="2"/>
  <c r="S506" i="2"/>
  <c r="T506" i="2" s="1"/>
  <c r="R506" i="2"/>
  <c r="U506" i="2" s="1"/>
  <c r="P506" i="2"/>
  <c r="O506" i="2"/>
  <c r="N506" i="2"/>
  <c r="M506" i="2"/>
  <c r="K506" i="2"/>
  <c r="I506" i="2"/>
  <c r="G506" i="2"/>
  <c r="T690" i="2"/>
  <c r="U690" i="2" s="1"/>
  <c r="S690" i="2"/>
  <c r="R690" i="2"/>
  <c r="N690" i="2"/>
  <c r="O690" i="2" s="1"/>
  <c r="M690" i="2"/>
  <c r="K690" i="2"/>
  <c r="I690" i="2"/>
  <c r="G690" i="2"/>
  <c r="T316" i="2"/>
  <c r="U316" i="2" s="1"/>
  <c r="S316" i="2"/>
  <c r="R316" i="2"/>
  <c r="N316" i="2"/>
  <c r="O316" i="2" s="1"/>
  <c r="M316" i="2"/>
  <c r="K316" i="2"/>
  <c r="I316" i="2"/>
  <c r="G316" i="2"/>
  <c r="U505" i="2"/>
  <c r="S505" i="2"/>
  <c r="T505" i="2" s="1"/>
  <c r="R505" i="2"/>
  <c r="O505" i="2"/>
  <c r="W505" i="2" s="1"/>
  <c r="N505" i="2"/>
  <c r="M505" i="2"/>
  <c r="K505" i="2"/>
  <c r="I505" i="2"/>
  <c r="G505" i="2"/>
  <c r="T456" i="2"/>
  <c r="W456" i="2" s="1"/>
  <c r="S456" i="2"/>
  <c r="R456" i="2"/>
  <c r="N456" i="2"/>
  <c r="O456" i="2" s="1"/>
  <c r="M456" i="2"/>
  <c r="P456" i="2" s="1"/>
  <c r="K456" i="2"/>
  <c r="I456" i="2"/>
  <c r="G456" i="2"/>
  <c r="S232" i="2"/>
  <c r="T232" i="2" s="1"/>
  <c r="U232" i="2" s="1"/>
  <c r="R232" i="2"/>
  <c r="N232" i="2"/>
  <c r="O232" i="2" s="1"/>
  <c r="M232" i="2"/>
  <c r="K232" i="2"/>
  <c r="I232" i="2"/>
  <c r="G232" i="2"/>
  <c r="S8" i="2"/>
  <c r="T8" i="2" s="1"/>
  <c r="R8" i="2"/>
  <c r="N8" i="2"/>
  <c r="O8" i="2" s="1"/>
  <c r="M8" i="2"/>
  <c r="K8" i="2"/>
  <c r="I8" i="2"/>
  <c r="G8" i="2"/>
  <c r="T7" i="2"/>
  <c r="W7" i="2" s="1"/>
  <c r="S7" i="2"/>
  <c r="R7" i="2"/>
  <c r="N7" i="2"/>
  <c r="O7" i="2" s="1"/>
  <c r="M7" i="2"/>
  <c r="P7" i="2" s="1"/>
  <c r="K7" i="2"/>
  <c r="I7" i="2"/>
  <c r="G7" i="2"/>
  <c r="S6" i="2"/>
  <c r="T6" i="2" s="1"/>
  <c r="R6" i="2"/>
  <c r="N6" i="2"/>
  <c r="O6" i="2" s="1"/>
  <c r="M6" i="2"/>
  <c r="K6" i="2"/>
  <c r="I6" i="2"/>
  <c r="G6" i="2"/>
  <c r="U178" i="2"/>
  <c r="T178" i="2"/>
  <c r="S178" i="2"/>
  <c r="R178" i="2"/>
  <c r="N178" i="2"/>
  <c r="O178" i="2" s="1"/>
  <c r="M178" i="2"/>
  <c r="K178" i="2"/>
  <c r="I178" i="2"/>
  <c r="G178" i="2"/>
  <c r="T5" i="2"/>
  <c r="U5" i="2" s="1"/>
  <c r="S5" i="2"/>
  <c r="R5" i="2"/>
  <c r="N5" i="2"/>
  <c r="O5" i="2" s="1"/>
  <c r="M5" i="2"/>
  <c r="K5" i="2"/>
  <c r="I5" i="2"/>
  <c r="G5" i="2"/>
  <c r="U641" i="2"/>
  <c r="S641" i="2"/>
  <c r="T641" i="2" s="1"/>
  <c r="R641" i="2"/>
  <c r="O641" i="2"/>
  <c r="W641" i="2" s="1"/>
  <c r="N641" i="2"/>
  <c r="M641" i="2"/>
  <c r="K641" i="2"/>
  <c r="I641" i="2"/>
  <c r="G641" i="2"/>
  <c r="S177" i="2"/>
  <c r="T177" i="2" s="1"/>
  <c r="R177" i="2"/>
  <c r="N177" i="2"/>
  <c r="O177" i="2" s="1"/>
  <c r="M177" i="2"/>
  <c r="P177" i="2" s="1"/>
  <c r="K177" i="2"/>
  <c r="I177" i="2"/>
  <c r="G177" i="2"/>
  <c r="S176" i="2"/>
  <c r="T176" i="2" s="1"/>
  <c r="U176" i="2" s="1"/>
  <c r="R176" i="2"/>
  <c r="N176" i="2"/>
  <c r="O176" i="2" s="1"/>
  <c r="M176" i="2"/>
  <c r="K176" i="2"/>
  <c r="I176" i="2"/>
  <c r="G176" i="2"/>
  <c r="S175" i="2"/>
  <c r="T175" i="2" s="1"/>
  <c r="R175" i="2"/>
  <c r="N175" i="2"/>
  <c r="O175" i="2" s="1"/>
  <c r="M175" i="2"/>
  <c r="K175" i="2"/>
  <c r="I175" i="2"/>
  <c r="G175" i="2"/>
  <c r="T231" i="2"/>
  <c r="S231" i="2"/>
  <c r="R231" i="2"/>
  <c r="N231" i="2"/>
  <c r="O231" i="2" s="1"/>
  <c r="W231" i="2" s="1"/>
  <c r="M231" i="2"/>
  <c r="K231" i="2"/>
  <c r="I231" i="2"/>
  <c r="V231" i="2" s="1"/>
  <c r="X231" i="2" s="1"/>
  <c r="Y231" i="2" s="1"/>
  <c r="G231" i="2"/>
  <c r="S504" i="2"/>
  <c r="T504" i="2" s="1"/>
  <c r="R504" i="2"/>
  <c r="N504" i="2"/>
  <c r="O504" i="2" s="1"/>
  <c r="M504" i="2"/>
  <c r="K504" i="2"/>
  <c r="I504" i="2"/>
  <c r="G504" i="2"/>
  <c r="U174" i="2"/>
  <c r="T174" i="2"/>
  <c r="S174" i="2"/>
  <c r="R174" i="2"/>
  <c r="O174" i="2"/>
  <c r="W174" i="2" s="1"/>
  <c r="N174" i="2"/>
  <c r="M174" i="2"/>
  <c r="K174" i="2"/>
  <c r="I174" i="2"/>
  <c r="G174" i="2"/>
  <c r="S315" i="2"/>
  <c r="T315" i="2" s="1"/>
  <c r="U315" i="2" s="1"/>
  <c r="R315" i="2"/>
  <c r="O315" i="2"/>
  <c r="N315" i="2"/>
  <c r="M315" i="2"/>
  <c r="P315" i="2" s="1"/>
  <c r="K315" i="2"/>
  <c r="I315" i="2"/>
  <c r="G315" i="2"/>
  <c r="S4" i="2"/>
  <c r="T4" i="2" s="1"/>
  <c r="R4" i="2"/>
  <c r="U4" i="2" s="1"/>
  <c r="O4" i="2"/>
  <c r="N4" i="2"/>
  <c r="M4" i="2"/>
  <c r="V4" i="2" s="1"/>
  <c r="K4" i="2"/>
  <c r="I4" i="2"/>
  <c r="G4" i="2"/>
  <c r="S173" i="2"/>
  <c r="T173" i="2" s="1"/>
  <c r="R173" i="2"/>
  <c r="U173" i="2" s="1"/>
  <c r="N173" i="2"/>
  <c r="O173" i="2" s="1"/>
  <c r="M173" i="2"/>
  <c r="K173" i="2"/>
  <c r="I173" i="2"/>
  <c r="G173" i="2"/>
  <c r="S547" i="2"/>
  <c r="T547" i="2" s="1"/>
  <c r="R547" i="2"/>
  <c r="U547" i="2" s="1"/>
  <c r="N547" i="2"/>
  <c r="O547" i="2" s="1"/>
  <c r="M547" i="2"/>
  <c r="V547" i="2" s="1"/>
  <c r="K547" i="2"/>
  <c r="I547" i="2"/>
  <c r="G547" i="2"/>
  <c r="T57" i="2"/>
  <c r="U57" i="2" s="1"/>
  <c r="S57" i="2"/>
  <c r="R57" i="2"/>
  <c r="O57" i="2"/>
  <c r="N57" i="2"/>
  <c r="M57" i="2"/>
  <c r="K57" i="2"/>
  <c r="I57" i="2"/>
  <c r="G57" i="2"/>
  <c r="T503" i="2"/>
  <c r="S503" i="2"/>
  <c r="R503" i="2"/>
  <c r="U503" i="2" s="1"/>
  <c r="N503" i="2"/>
  <c r="O503" i="2" s="1"/>
  <c r="W503" i="2" s="1"/>
  <c r="M503" i="2"/>
  <c r="K503" i="2"/>
  <c r="I503" i="2"/>
  <c r="G503" i="2"/>
  <c r="S3" i="2"/>
  <c r="T3" i="2" s="1"/>
  <c r="R3" i="2"/>
  <c r="N3" i="2"/>
  <c r="O3" i="2" s="1"/>
  <c r="W3" i="2" s="1"/>
  <c r="M3" i="2"/>
  <c r="K3" i="2"/>
  <c r="I3" i="2"/>
  <c r="G3" i="2"/>
  <c r="S597" i="2"/>
  <c r="T597" i="2" s="1"/>
  <c r="U597" i="2" s="1"/>
  <c r="R597" i="2"/>
  <c r="O597" i="2"/>
  <c r="P597" i="2" s="1"/>
  <c r="N597" i="2"/>
  <c r="M597" i="2"/>
  <c r="K597" i="2"/>
  <c r="I597" i="2"/>
  <c r="G597" i="2"/>
  <c r="T364" i="2"/>
  <c r="S364" i="2"/>
  <c r="R364" i="2"/>
  <c r="U364" i="2" s="1"/>
  <c r="N364" i="2"/>
  <c r="O364" i="2" s="1"/>
  <c r="W364" i="2" s="1"/>
  <c r="M364" i="2"/>
  <c r="P364" i="2" s="1"/>
  <c r="K364" i="2"/>
  <c r="I364" i="2"/>
  <c r="G364" i="2"/>
  <c r="S56" i="2"/>
  <c r="T56" i="2" s="1"/>
  <c r="R56" i="2"/>
  <c r="N56" i="2"/>
  <c r="O56" i="2" s="1"/>
  <c r="P56" i="2" s="1"/>
  <c r="M56" i="2"/>
  <c r="K56" i="2"/>
  <c r="I56" i="2"/>
  <c r="G56" i="2"/>
  <c r="S363" i="2"/>
  <c r="T363" i="2" s="1"/>
  <c r="R363" i="2"/>
  <c r="N363" i="2"/>
  <c r="O363" i="2" s="1"/>
  <c r="M363" i="2"/>
  <c r="K363" i="2"/>
  <c r="I363" i="2"/>
  <c r="G363" i="2"/>
  <c r="T172" i="2"/>
  <c r="U172" i="2" s="1"/>
  <c r="S172" i="2"/>
  <c r="R172" i="2"/>
  <c r="N172" i="2"/>
  <c r="O172" i="2" s="1"/>
  <c r="M172" i="2"/>
  <c r="K172" i="2"/>
  <c r="I172" i="2"/>
  <c r="G172" i="2"/>
  <c r="U362" i="2"/>
  <c r="T362" i="2"/>
  <c r="S362" i="2"/>
  <c r="R362" i="2"/>
  <c r="N362" i="2"/>
  <c r="O362" i="2" s="1"/>
  <c r="W362" i="2" s="1"/>
  <c r="M362" i="2"/>
  <c r="K362" i="2"/>
  <c r="I362" i="2"/>
  <c r="V362" i="2" s="1"/>
  <c r="G362" i="2"/>
  <c r="S273" i="2"/>
  <c r="T273" i="2" s="1"/>
  <c r="R273" i="2"/>
  <c r="N273" i="2"/>
  <c r="O273" i="2" s="1"/>
  <c r="M273" i="2"/>
  <c r="K273" i="2"/>
  <c r="I273" i="2"/>
  <c r="V273" i="2" s="1"/>
  <c r="G273" i="2"/>
  <c r="S361" i="2"/>
  <c r="T361" i="2" s="1"/>
  <c r="R361" i="2"/>
  <c r="N361" i="2"/>
  <c r="O361" i="2" s="1"/>
  <c r="M361" i="2"/>
  <c r="V361" i="2" s="1"/>
  <c r="K361" i="2"/>
  <c r="I361" i="2"/>
  <c r="G361" i="2"/>
  <c r="S2" i="2"/>
  <c r="T2" i="2" s="1"/>
  <c r="U2" i="2" s="1"/>
  <c r="R2" i="2"/>
  <c r="N2" i="2"/>
  <c r="O2" i="2" s="1"/>
  <c r="M2" i="2"/>
  <c r="K2" i="2"/>
  <c r="I2" i="2"/>
  <c r="V2" i="2" s="1"/>
  <c r="G2" i="2"/>
  <c r="S272" i="2"/>
  <c r="T272" i="2" s="1"/>
  <c r="R272" i="2"/>
  <c r="P272" i="2"/>
  <c r="O272" i="2"/>
  <c r="N272" i="2"/>
  <c r="M272" i="2"/>
  <c r="K272" i="2"/>
  <c r="I272" i="2"/>
  <c r="G272" i="2"/>
  <c r="S596" i="2"/>
  <c r="T596" i="2" s="1"/>
  <c r="R596" i="2"/>
  <c r="U596" i="2" s="1"/>
  <c r="O596" i="2"/>
  <c r="N596" i="2"/>
  <c r="M596" i="2"/>
  <c r="K596" i="2"/>
  <c r="I596" i="2"/>
  <c r="G596" i="2"/>
  <c r="S171" i="2"/>
  <c r="T171" i="2" s="1"/>
  <c r="R171" i="2"/>
  <c r="U171" i="2" s="1"/>
  <c r="N171" i="2"/>
  <c r="O171" i="2" s="1"/>
  <c r="M171" i="2"/>
  <c r="K171" i="2"/>
  <c r="I171" i="2"/>
  <c r="G171" i="2"/>
  <c r="S360" i="2"/>
  <c r="T360" i="2" s="1"/>
  <c r="R360" i="2"/>
  <c r="N360" i="2"/>
  <c r="O360" i="2" s="1"/>
  <c r="M360" i="2"/>
  <c r="V360" i="2" s="1"/>
  <c r="K360" i="2"/>
  <c r="I360" i="2"/>
  <c r="G360" i="2"/>
  <c r="T230" i="2"/>
  <c r="U230" i="2" s="1"/>
  <c r="S230" i="2"/>
  <c r="R230" i="2"/>
  <c r="O230" i="2"/>
  <c r="N230" i="2"/>
  <c r="M230" i="2"/>
  <c r="K230" i="2"/>
  <c r="I230" i="2"/>
  <c r="G230" i="2"/>
  <c r="T502" i="2"/>
  <c r="S502" i="2"/>
  <c r="R502" i="2"/>
  <c r="U502" i="2" s="1"/>
  <c r="N502" i="2"/>
  <c r="O502" i="2" s="1"/>
  <c r="W502" i="2" s="1"/>
  <c r="M502" i="2"/>
  <c r="K502" i="2"/>
  <c r="I502" i="2"/>
  <c r="G502" i="2"/>
  <c r="S501" i="2"/>
  <c r="T501" i="2" s="1"/>
  <c r="R501" i="2"/>
  <c r="O501" i="2"/>
  <c r="W501" i="2" s="1"/>
  <c r="N501" i="2"/>
  <c r="M501" i="2"/>
  <c r="K501" i="2"/>
  <c r="I501" i="2"/>
  <c r="G501" i="2"/>
  <c r="S229" i="2"/>
  <c r="T229" i="2" s="1"/>
  <c r="U229" i="2" s="1"/>
  <c r="R229" i="2"/>
  <c r="P229" i="2"/>
  <c r="O229" i="2"/>
  <c r="N229" i="2"/>
  <c r="M229" i="2"/>
  <c r="K229" i="2"/>
  <c r="I229" i="2"/>
  <c r="V229" i="2" s="1"/>
  <c r="G229" i="2"/>
  <c r="S595" i="2"/>
  <c r="T595" i="2" s="1"/>
  <c r="R595" i="2"/>
  <c r="N595" i="2"/>
  <c r="O595" i="2" s="1"/>
  <c r="W595" i="2" s="1"/>
  <c r="M595" i="2"/>
  <c r="K595" i="2"/>
  <c r="I595" i="2"/>
  <c r="G595" i="2"/>
  <c r="S314" i="2"/>
  <c r="T314" i="2" s="1"/>
  <c r="R314" i="2"/>
  <c r="N314" i="2"/>
  <c r="O314" i="2" s="1"/>
  <c r="P314" i="2" s="1"/>
  <c r="M314" i="2"/>
  <c r="V314" i="2" s="1"/>
  <c r="K314" i="2"/>
  <c r="I314" i="2"/>
  <c r="G314" i="2"/>
  <c r="S455" i="2"/>
  <c r="T455" i="2" s="1"/>
  <c r="R455" i="2"/>
  <c r="N455" i="2"/>
  <c r="O455" i="2" s="1"/>
  <c r="M455" i="2"/>
  <c r="P455" i="2" s="1"/>
  <c r="K455" i="2"/>
  <c r="I455" i="2"/>
  <c r="G455" i="2"/>
  <c r="U546" i="2"/>
  <c r="T546" i="2"/>
  <c r="S546" i="2"/>
  <c r="R546" i="2"/>
  <c r="N546" i="2"/>
  <c r="O546" i="2" s="1"/>
  <c r="M546" i="2"/>
  <c r="V546" i="2" s="1"/>
  <c r="K546" i="2"/>
  <c r="I546" i="2"/>
  <c r="G546" i="2"/>
  <c r="S594" i="2"/>
  <c r="T594" i="2" s="1"/>
  <c r="R594" i="2"/>
  <c r="U594" i="2" s="1"/>
  <c r="O594" i="2"/>
  <c r="N594" i="2"/>
  <c r="M594" i="2"/>
  <c r="K594" i="2"/>
  <c r="I594" i="2"/>
  <c r="G594" i="2"/>
  <c r="S409" i="2"/>
  <c r="T409" i="2" s="1"/>
  <c r="R409" i="2"/>
  <c r="N409" i="2"/>
  <c r="O409" i="2" s="1"/>
  <c r="M409" i="2"/>
  <c r="K409" i="2"/>
  <c r="I409" i="2"/>
  <c r="G409" i="2"/>
  <c r="S408" i="2"/>
  <c r="T408" i="2" s="1"/>
  <c r="R408" i="2"/>
  <c r="U408" i="2" s="1"/>
  <c r="O408" i="2"/>
  <c r="W408" i="2" s="1"/>
  <c r="N408" i="2"/>
  <c r="M408" i="2"/>
  <c r="K408" i="2"/>
  <c r="I408" i="2"/>
  <c r="G408" i="2"/>
  <c r="S407" i="2"/>
  <c r="T407" i="2" s="1"/>
  <c r="R407" i="2"/>
  <c r="P407" i="2"/>
  <c r="O407" i="2"/>
  <c r="W407" i="2" s="1"/>
  <c r="N407" i="2"/>
  <c r="M407" i="2"/>
  <c r="K407" i="2"/>
  <c r="I407" i="2"/>
  <c r="G407" i="2"/>
  <c r="S689" i="2"/>
  <c r="T689" i="2" s="1"/>
  <c r="R689" i="2"/>
  <c r="O689" i="2"/>
  <c r="N689" i="2"/>
  <c r="M689" i="2"/>
  <c r="P689" i="2" s="1"/>
  <c r="K689" i="2"/>
  <c r="I689" i="2"/>
  <c r="G689" i="2"/>
  <c r="S454" i="2"/>
  <c r="T454" i="2" s="1"/>
  <c r="R454" i="2"/>
  <c r="O454" i="2"/>
  <c r="P454" i="2" s="1"/>
  <c r="N454" i="2"/>
  <c r="M454" i="2"/>
  <c r="K454" i="2"/>
  <c r="I454" i="2"/>
  <c r="G454" i="2"/>
  <c r="S500" i="2"/>
  <c r="T500" i="2" s="1"/>
  <c r="R500" i="2"/>
  <c r="N500" i="2"/>
  <c r="O500" i="2" s="1"/>
  <c r="W500" i="2" s="1"/>
  <c r="M500" i="2"/>
  <c r="K500" i="2"/>
  <c r="I500" i="2"/>
  <c r="G500" i="2"/>
  <c r="U359" i="2"/>
  <c r="T359" i="2"/>
  <c r="S359" i="2"/>
  <c r="R359" i="2"/>
  <c r="N359" i="2"/>
  <c r="O359" i="2" s="1"/>
  <c r="M359" i="2"/>
  <c r="K359" i="2"/>
  <c r="I359" i="2"/>
  <c r="G359" i="2"/>
  <c r="S55" i="2"/>
  <c r="T55" i="2" s="1"/>
  <c r="R55" i="2"/>
  <c r="U55" i="2" s="1"/>
  <c r="N55" i="2"/>
  <c r="O55" i="2" s="1"/>
  <c r="M55" i="2"/>
  <c r="K55" i="2"/>
  <c r="I55" i="2"/>
  <c r="G55" i="2"/>
  <c r="S688" i="2"/>
  <c r="T688" i="2" s="1"/>
  <c r="R688" i="2"/>
  <c r="N688" i="2"/>
  <c r="O688" i="2" s="1"/>
  <c r="M688" i="2"/>
  <c r="P688" i="2" s="1"/>
  <c r="K688" i="2"/>
  <c r="I688" i="2"/>
  <c r="G688" i="2"/>
  <c r="S358" i="2"/>
  <c r="T358" i="2" s="1"/>
  <c r="R358" i="2"/>
  <c r="N358" i="2"/>
  <c r="O358" i="2" s="1"/>
  <c r="M358" i="2"/>
  <c r="K358" i="2"/>
  <c r="I358" i="2"/>
  <c r="G358" i="2"/>
  <c r="S406" i="2"/>
  <c r="T406" i="2" s="1"/>
  <c r="U406" i="2" s="1"/>
  <c r="R406" i="2"/>
  <c r="N406" i="2"/>
  <c r="O406" i="2" s="1"/>
  <c r="M406" i="2"/>
  <c r="K406" i="2"/>
  <c r="I406" i="2"/>
  <c r="G406" i="2"/>
  <c r="T545" i="2"/>
  <c r="S545" i="2"/>
  <c r="R545" i="2"/>
  <c r="O545" i="2"/>
  <c r="W545" i="2" s="1"/>
  <c r="N545" i="2"/>
  <c r="M545" i="2"/>
  <c r="K545" i="2"/>
  <c r="I545" i="2"/>
  <c r="G545" i="2"/>
  <c r="V727" i="1"/>
  <c r="X727" i="1" s="1"/>
  <c r="T727" i="1"/>
  <c r="U727" i="1" s="1"/>
  <c r="O727" i="1"/>
  <c r="W727" i="1" s="1"/>
  <c r="V726" i="1"/>
  <c r="T726" i="1"/>
  <c r="U726" i="1" s="1"/>
  <c r="O726" i="1"/>
  <c r="V587" i="1"/>
  <c r="T587" i="1"/>
  <c r="U587" i="1" s="1"/>
  <c r="O587" i="1"/>
  <c r="P587" i="1" s="1"/>
  <c r="V288" i="1"/>
  <c r="T288" i="1"/>
  <c r="U288" i="1" s="1"/>
  <c r="O288" i="1"/>
  <c r="P288" i="1" s="1"/>
  <c r="V144" i="1"/>
  <c r="T144" i="1"/>
  <c r="U144" i="1" s="1"/>
  <c r="O144" i="1"/>
  <c r="P144" i="1" s="1"/>
  <c r="V97" i="1"/>
  <c r="T97" i="1"/>
  <c r="U97" i="1" s="1"/>
  <c r="O97" i="1"/>
  <c r="P97" i="1" s="1"/>
  <c r="T725" i="1"/>
  <c r="U725" i="1" s="1"/>
  <c r="N725" i="1"/>
  <c r="O725" i="1" s="1"/>
  <c r="I725" i="1"/>
  <c r="V725" i="1" s="1"/>
  <c r="T143" i="1"/>
  <c r="U143" i="1" s="1"/>
  <c r="N143" i="1"/>
  <c r="O143" i="1" s="1"/>
  <c r="W143" i="1" s="1"/>
  <c r="M143" i="1"/>
  <c r="P143" i="1" s="1"/>
  <c r="I143" i="1"/>
  <c r="T332" i="1"/>
  <c r="U332" i="1" s="1"/>
  <c r="N332" i="1"/>
  <c r="O332" i="1" s="1"/>
  <c r="M332" i="1"/>
  <c r="K332" i="1"/>
  <c r="I332" i="1"/>
  <c r="T385" i="1"/>
  <c r="U385" i="1" s="1"/>
  <c r="N385" i="1"/>
  <c r="O385" i="1" s="1"/>
  <c r="M385" i="1"/>
  <c r="K385" i="1"/>
  <c r="I385" i="1"/>
  <c r="V385" i="1" s="1"/>
  <c r="T331" i="1"/>
  <c r="U331" i="1" s="1"/>
  <c r="N331" i="1"/>
  <c r="O331" i="1" s="1"/>
  <c r="M331" i="1"/>
  <c r="K331" i="1"/>
  <c r="I331" i="1"/>
  <c r="V331" i="1" s="1"/>
  <c r="T724" i="1"/>
  <c r="U724" i="1" s="1"/>
  <c r="N724" i="1"/>
  <c r="O724" i="1" s="1"/>
  <c r="P724" i="1" s="1"/>
  <c r="M724" i="1"/>
  <c r="K724" i="1"/>
  <c r="I724" i="1"/>
  <c r="T631" i="1"/>
  <c r="U631" i="1" s="1"/>
  <c r="N631" i="1"/>
  <c r="O631" i="1" s="1"/>
  <c r="W631" i="1" s="1"/>
  <c r="M631" i="1"/>
  <c r="K631" i="1"/>
  <c r="I631" i="1"/>
  <c r="G631" i="1"/>
  <c r="T142" i="1"/>
  <c r="U142" i="1" s="1"/>
  <c r="N142" i="1"/>
  <c r="O142" i="1" s="1"/>
  <c r="M142" i="1"/>
  <c r="K142" i="1"/>
  <c r="I142" i="1"/>
  <c r="V142" i="1" s="1"/>
  <c r="G142" i="1"/>
  <c r="U439" i="1"/>
  <c r="T439" i="1"/>
  <c r="N439" i="1"/>
  <c r="O439" i="1" s="1"/>
  <c r="W439" i="1" s="1"/>
  <c r="M439" i="1"/>
  <c r="K439" i="1"/>
  <c r="I439" i="1"/>
  <c r="V439" i="1" s="1"/>
  <c r="G439" i="1"/>
  <c r="T438" i="1"/>
  <c r="U438" i="1" s="1"/>
  <c r="N438" i="1"/>
  <c r="O438" i="1" s="1"/>
  <c r="M438" i="1"/>
  <c r="K438" i="1"/>
  <c r="I438" i="1"/>
  <c r="G438" i="1"/>
  <c r="U723" i="1"/>
  <c r="T723" i="1"/>
  <c r="N723" i="1"/>
  <c r="O723" i="1" s="1"/>
  <c r="W723" i="1" s="1"/>
  <c r="M723" i="1"/>
  <c r="K723" i="1"/>
  <c r="I723" i="1"/>
  <c r="G723" i="1"/>
  <c r="U437" i="1"/>
  <c r="T437" i="1"/>
  <c r="N437" i="1"/>
  <c r="O437" i="1" s="1"/>
  <c r="M437" i="1"/>
  <c r="K437" i="1"/>
  <c r="I437" i="1"/>
  <c r="V437" i="1" s="1"/>
  <c r="G437" i="1"/>
  <c r="T243" i="1"/>
  <c r="U243" i="1" s="1"/>
  <c r="O243" i="1"/>
  <c r="N243" i="1"/>
  <c r="M243" i="1"/>
  <c r="K243" i="1"/>
  <c r="I243" i="1"/>
  <c r="V243" i="1" s="1"/>
  <c r="G243" i="1"/>
  <c r="T675" i="1"/>
  <c r="U675" i="1" s="1"/>
  <c r="N675" i="1"/>
  <c r="O675" i="1" s="1"/>
  <c r="M675" i="1"/>
  <c r="K675" i="1"/>
  <c r="I675" i="1"/>
  <c r="G675" i="1"/>
  <c r="U586" i="1"/>
  <c r="T586" i="1"/>
  <c r="O586" i="1"/>
  <c r="W586" i="1" s="1"/>
  <c r="N586" i="1"/>
  <c r="M586" i="1"/>
  <c r="K586" i="1"/>
  <c r="I586" i="1"/>
  <c r="G586" i="1"/>
  <c r="T199" i="1"/>
  <c r="U199" i="1" s="1"/>
  <c r="N199" i="1"/>
  <c r="O199" i="1" s="1"/>
  <c r="M199" i="1"/>
  <c r="K199" i="1"/>
  <c r="I199" i="1"/>
  <c r="G199" i="1"/>
  <c r="S529" i="1"/>
  <c r="T529" i="1" s="1"/>
  <c r="U529" i="1" s="1"/>
  <c r="R529" i="1"/>
  <c r="N529" i="1"/>
  <c r="O529" i="1" s="1"/>
  <c r="M529" i="1"/>
  <c r="K529" i="1"/>
  <c r="I529" i="1"/>
  <c r="G529" i="1"/>
  <c r="S630" i="1"/>
  <c r="T630" i="1" s="1"/>
  <c r="R630" i="1"/>
  <c r="N630" i="1"/>
  <c r="O630" i="1" s="1"/>
  <c r="W630" i="1" s="1"/>
  <c r="M630" i="1"/>
  <c r="K630" i="1"/>
  <c r="I630" i="1"/>
  <c r="G630" i="1"/>
  <c r="S722" i="1"/>
  <c r="T722" i="1" s="1"/>
  <c r="R722" i="1"/>
  <c r="N722" i="1"/>
  <c r="O722" i="1" s="1"/>
  <c r="M722" i="1"/>
  <c r="V722" i="1" s="1"/>
  <c r="K722" i="1"/>
  <c r="I722" i="1"/>
  <c r="G722" i="1"/>
  <c r="S721" i="1"/>
  <c r="T721" i="1" s="1"/>
  <c r="R721" i="1"/>
  <c r="N721" i="1"/>
  <c r="O721" i="1" s="1"/>
  <c r="M721" i="1"/>
  <c r="K721" i="1"/>
  <c r="I721" i="1"/>
  <c r="G721" i="1"/>
  <c r="S384" i="1"/>
  <c r="T384" i="1" s="1"/>
  <c r="R384" i="1"/>
  <c r="U384" i="1" s="1"/>
  <c r="N384" i="1"/>
  <c r="O384" i="1" s="1"/>
  <c r="M384" i="1"/>
  <c r="K384" i="1"/>
  <c r="I384" i="1"/>
  <c r="G384" i="1"/>
  <c r="S674" i="1"/>
  <c r="T674" i="1" s="1"/>
  <c r="R674" i="1"/>
  <c r="N674" i="1"/>
  <c r="O674" i="1" s="1"/>
  <c r="M674" i="1"/>
  <c r="K674" i="1"/>
  <c r="I674" i="1"/>
  <c r="V674" i="1" s="1"/>
  <c r="G674" i="1"/>
  <c r="S383" i="1"/>
  <c r="T383" i="1" s="1"/>
  <c r="U383" i="1" s="1"/>
  <c r="R383" i="1"/>
  <c r="N383" i="1"/>
  <c r="O383" i="1" s="1"/>
  <c r="M383" i="1"/>
  <c r="K383" i="1"/>
  <c r="I383" i="1"/>
  <c r="G383" i="1"/>
  <c r="S198" i="1"/>
  <c r="T198" i="1" s="1"/>
  <c r="U198" i="1" s="1"/>
  <c r="R198" i="1"/>
  <c r="N198" i="1"/>
  <c r="O198" i="1" s="1"/>
  <c r="M198" i="1"/>
  <c r="K198" i="1"/>
  <c r="I198" i="1"/>
  <c r="G198" i="1"/>
  <c r="S382" i="1"/>
  <c r="T382" i="1" s="1"/>
  <c r="U382" i="1" s="1"/>
  <c r="R382" i="1"/>
  <c r="N382" i="1"/>
  <c r="O382" i="1" s="1"/>
  <c r="M382" i="1"/>
  <c r="K382" i="1"/>
  <c r="I382" i="1"/>
  <c r="G382" i="1"/>
  <c r="S528" i="1"/>
  <c r="T528" i="1" s="1"/>
  <c r="R528" i="1"/>
  <c r="N528" i="1"/>
  <c r="O528" i="1" s="1"/>
  <c r="M528" i="1"/>
  <c r="K528" i="1"/>
  <c r="I528" i="1"/>
  <c r="G528" i="1"/>
  <c r="S330" i="1"/>
  <c r="T330" i="1" s="1"/>
  <c r="U330" i="1" s="1"/>
  <c r="R330" i="1"/>
  <c r="P330" i="1"/>
  <c r="N330" i="1"/>
  <c r="O330" i="1" s="1"/>
  <c r="M330" i="1"/>
  <c r="K330" i="1"/>
  <c r="I330" i="1"/>
  <c r="G330" i="1"/>
  <c r="S96" i="1"/>
  <c r="T96" i="1" s="1"/>
  <c r="U96" i="1" s="1"/>
  <c r="R96" i="1"/>
  <c r="N96" i="1"/>
  <c r="O96" i="1" s="1"/>
  <c r="P96" i="1" s="1"/>
  <c r="M96" i="1"/>
  <c r="K96" i="1"/>
  <c r="I96" i="1"/>
  <c r="G96" i="1"/>
  <c r="S242" i="1"/>
  <c r="T242" i="1" s="1"/>
  <c r="U242" i="1" s="1"/>
  <c r="R242" i="1"/>
  <c r="N242" i="1"/>
  <c r="O242" i="1" s="1"/>
  <c r="M242" i="1"/>
  <c r="K242" i="1"/>
  <c r="I242" i="1"/>
  <c r="G242" i="1"/>
  <c r="S483" i="1"/>
  <c r="T483" i="1" s="1"/>
  <c r="R483" i="1"/>
  <c r="N483" i="1"/>
  <c r="O483" i="1" s="1"/>
  <c r="M483" i="1"/>
  <c r="K483" i="1"/>
  <c r="I483" i="1"/>
  <c r="G483" i="1"/>
  <c r="S673" i="1"/>
  <c r="T673" i="1" s="1"/>
  <c r="R673" i="1"/>
  <c r="N673" i="1"/>
  <c r="O673" i="1" s="1"/>
  <c r="W673" i="1" s="1"/>
  <c r="M673" i="1"/>
  <c r="K673" i="1"/>
  <c r="I673" i="1"/>
  <c r="G673" i="1"/>
  <c r="S585" i="1"/>
  <c r="T585" i="1" s="1"/>
  <c r="U585" i="1" s="1"/>
  <c r="R585" i="1"/>
  <c r="N585" i="1"/>
  <c r="O585" i="1" s="1"/>
  <c r="M585" i="1"/>
  <c r="K585" i="1"/>
  <c r="I585" i="1"/>
  <c r="G585" i="1"/>
  <c r="S527" i="1"/>
  <c r="T527" i="1" s="1"/>
  <c r="U527" i="1" s="1"/>
  <c r="R527" i="1"/>
  <c r="N527" i="1"/>
  <c r="O527" i="1" s="1"/>
  <c r="M527" i="1"/>
  <c r="K527" i="1"/>
  <c r="V527" i="1" s="1"/>
  <c r="I527" i="1"/>
  <c r="G527" i="1"/>
  <c r="S584" i="1"/>
  <c r="T584" i="1" s="1"/>
  <c r="U584" i="1" s="1"/>
  <c r="R584" i="1"/>
  <c r="N584" i="1"/>
  <c r="O584" i="1" s="1"/>
  <c r="M584" i="1"/>
  <c r="K584" i="1"/>
  <c r="I584" i="1"/>
  <c r="G584" i="1"/>
  <c r="S241" i="1"/>
  <c r="T241" i="1" s="1"/>
  <c r="R241" i="1"/>
  <c r="N241" i="1"/>
  <c r="O241" i="1" s="1"/>
  <c r="M241" i="1"/>
  <c r="K241" i="1"/>
  <c r="I241" i="1"/>
  <c r="G241" i="1"/>
  <c r="S240" i="1"/>
  <c r="T240" i="1" s="1"/>
  <c r="R240" i="1"/>
  <c r="N240" i="1"/>
  <c r="O240" i="1" s="1"/>
  <c r="P240" i="1" s="1"/>
  <c r="M240" i="1"/>
  <c r="K240" i="1"/>
  <c r="I240" i="1"/>
  <c r="G240" i="1"/>
  <c r="S629" i="1"/>
  <c r="T629" i="1" s="1"/>
  <c r="R629" i="1"/>
  <c r="U629" i="1" s="1"/>
  <c r="N629" i="1"/>
  <c r="O629" i="1" s="1"/>
  <c r="M629" i="1"/>
  <c r="K629" i="1"/>
  <c r="I629" i="1"/>
  <c r="G629" i="1"/>
  <c r="S95" i="1"/>
  <c r="T95" i="1" s="1"/>
  <c r="R95" i="1"/>
  <c r="U95" i="1" s="1"/>
  <c r="N95" i="1"/>
  <c r="O95" i="1" s="1"/>
  <c r="M95" i="1"/>
  <c r="K95" i="1"/>
  <c r="I95" i="1"/>
  <c r="G95" i="1"/>
  <c r="S436" i="1"/>
  <c r="T436" i="1" s="1"/>
  <c r="R436" i="1"/>
  <c r="N436" i="1"/>
  <c r="O436" i="1" s="1"/>
  <c r="M436" i="1"/>
  <c r="K436" i="1"/>
  <c r="I436" i="1"/>
  <c r="G436" i="1"/>
  <c r="V526" i="1"/>
  <c r="T526" i="1"/>
  <c r="W526" i="1" s="1"/>
  <c r="X526" i="1" s="1"/>
  <c r="P526" i="1"/>
  <c r="O526" i="1"/>
  <c r="V482" i="1"/>
  <c r="T482" i="1"/>
  <c r="U482" i="1" s="1"/>
  <c r="O482" i="1"/>
  <c r="W482" i="1" s="1"/>
  <c r="V435" i="1"/>
  <c r="U435" i="1"/>
  <c r="T435" i="1"/>
  <c r="P435" i="1"/>
  <c r="O435" i="1"/>
  <c r="W435" i="1" s="1"/>
  <c r="V434" i="1"/>
  <c r="T434" i="1"/>
  <c r="U434" i="1" s="1"/>
  <c r="O434" i="1"/>
  <c r="V287" i="1"/>
  <c r="U287" i="1"/>
  <c r="T287" i="1"/>
  <c r="O287" i="1"/>
  <c r="P287" i="1" s="1"/>
  <c r="V286" i="1"/>
  <c r="T286" i="1"/>
  <c r="U286" i="1" s="1"/>
  <c r="O286" i="1"/>
  <c r="W197" i="1"/>
  <c r="V197" i="1"/>
  <c r="U197" i="1"/>
  <c r="T197" i="1"/>
  <c r="O197" i="1"/>
  <c r="P197" i="1" s="1"/>
  <c r="S433" i="1"/>
  <c r="T433" i="1" s="1"/>
  <c r="R433" i="1"/>
  <c r="O433" i="1"/>
  <c r="N433" i="1"/>
  <c r="M433" i="1"/>
  <c r="K433" i="1"/>
  <c r="I433" i="1"/>
  <c r="G433" i="1"/>
  <c r="S432" i="1"/>
  <c r="T432" i="1" s="1"/>
  <c r="R432" i="1"/>
  <c r="O432" i="1"/>
  <c r="N432" i="1"/>
  <c r="M432" i="1"/>
  <c r="K432" i="1"/>
  <c r="I432" i="1"/>
  <c r="G432" i="1"/>
  <c r="T141" i="1"/>
  <c r="S141" i="1"/>
  <c r="R141" i="1"/>
  <c r="N141" i="1"/>
  <c r="O141" i="1" s="1"/>
  <c r="M141" i="1"/>
  <c r="K141" i="1"/>
  <c r="I141" i="1"/>
  <c r="G141" i="1"/>
  <c r="T672" i="1"/>
  <c r="S672" i="1"/>
  <c r="R672" i="1"/>
  <c r="N672" i="1"/>
  <c r="O672" i="1" s="1"/>
  <c r="W672" i="1" s="1"/>
  <c r="M672" i="1"/>
  <c r="K672" i="1"/>
  <c r="I672" i="1"/>
  <c r="V672" i="1" s="1"/>
  <c r="G672" i="1"/>
  <c r="T239" i="1"/>
  <c r="S239" i="1"/>
  <c r="R239" i="1"/>
  <c r="O239" i="1"/>
  <c r="W239" i="1" s="1"/>
  <c r="N239" i="1"/>
  <c r="M239" i="1"/>
  <c r="K239" i="1"/>
  <c r="I239" i="1"/>
  <c r="G239" i="1"/>
  <c r="S431" i="1"/>
  <c r="T431" i="1" s="1"/>
  <c r="R431" i="1"/>
  <c r="N431" i="1"/>
  <c r="O431" i="1" s="1"/>
  <c r="W431" i="1" s="1"/>
  <c r="M431" i="1"/>
  <c r="K431" i="1"/>
  <c r="I431" i="1"/>
  <c r="G431" i="1"/>
  <c r="S525" i="1"/>
  <c r="T525" i="1" s="1"/>
  <c r="R525" i="1"/>
  <c r="N525" i="1"/>
  <c r="O525" i="1" s="1"/>
  <c r="M525" i="1"/>
  <c r="K525" i="1"/>
  <c r="I525" i="1"/>
  <c r="G525" i="1"/>
  <c r="T238" i="1"/>
  <c r="S238" i="1"/>
  <c r="R238" i="1"/>
  <c r="O238" i="1"/>
  <c r="W238" i="1" s="1"/>
  <c r="N238" i="1"/>
  <c r="M238" i="1"/>
  <c r="K238" i="1"/>
  <c r="I238" i="1"/>
  <c r="G238" i="1"/>
  <c r="S720" i="1"/>
  <c r="T720" i="1" s="1"/>
  <c r="R720" i="1"/>
  <c r="O720" i="1"/>
  <c r="N720" i="1"/>
  <c r="M720" i="1"/>
  <c r="K720" i="1"/>
  <c r="I720" i="1"/>
  <c r="G720" i="1"/>
  <c r="S430" i="1"/>
  <c r="T430" i="1" s="1"/>
  <c r="R430" i="1"/>
  <c r="O430" i="1"/>
  <c r="N430" i="1"/>
  <c r="M430" i="1"/>
  <c r="K430" i="1"/>
  <c r="I430" i="1"/>
  <c r="G430" i="1"/>
  <c r="T237" i="1"/>
  <c r="S237" i="1"/>
  <c r="R237" i="1"/>
  <c r="N237" i="1"/>
  <c r="O237" i="1" s="1"/>
  <c r="M237" i="1"/>
  <c r="K237" i="1"/>
  <c r="I237" i="1"/>
  <c r="G237" i="1"/>
  <c r="T49" i="1"/>
  <c r="S49" i="1"/>
  <c r="R49" i="1"/>
  <c r="N49" i="1"/>
  <c r="O49" i="1" s="1"/>
  <c r="W49" i="1" s="1"/>
  <c r="M49" i="1"/>
  <c r="K49" i="1"/>
  <c r="I49" i="1"/>
  <c r="G49" i="1"/>
  <c r="T381" i="1"/>
  <c r="S381" i="1"/>
  <c r="R381" i="1"/>
  <c r="O381" i="1"/>
  <c r="W381" i="1" s="1"/>
  <c r="N381" i="1"/>
  <c r="M381" i="1"/>
  <c r="K381" i="1"/>
  <c r="I381" i="1"/>
  <c r="G381" i="1"/>
  <c r="S583" i="1"/>
  <c r="T583" i="1" s="1"/>
  <c r="R583" i="1"/>
  <c r="N583" i="1"/>
  <c r="O583" i="1" s="1"/>
  <c r="M583" i="1"/>
  <c r="K583" i="1"/>
  <c r="I583" i="1"/>
  <c r="G583" i="1"/>
  <c r="S582" i="1"/>
  <c r="T582" i="1" s="1"/>
  <c r="R582" i="1"/>
  <c r="N582" i="1"/>
  <c r="O582" i="1" s="1"/>
  <c r="M582" i="1"/>
  <c r="K582" i="1"/>
  <c r="I582" i="1"/>
  <c r="G582" i="1"/>
  <c r="T94" i="1"/>
  <c r="S94" i="1"/>
  <c r="R94" i="1"/>
  <c r="O94" i="1"/>
  <c r="W94" i="1" s="1"/>
  <c r="N94" i="1"/>
  <c r="M94" i="1"/>
  <c r="K94" i="1"/>
  <c r="I94" i="1"/>
  <c r="G94" i="1"/>
  <c r="S329" i="1"/>
  <c r="T329" i="1" s="1"/>
  <c r="R329" i="1"/>
  <c r="O329" i="1"/>
  <c r="N329" i="1"/>
  <c r="M329" i="1"/>
  <c r="K329" i="1"/>
  <c r="I329" i="1"/>
  <c r="G329" i="1"/>
  <c r="S48" i="1"/>
  <c r="T48" i="1" s="1"/>
  <c r="R48" i="1"/>
  <c r="O48" i="1"/>
  <c r="N48" i="1"/>
  <c r="M48" i="1"/>
  <c r="K48" i="1"/>
  <c r="I48" i="1"/>
  <c r="G48" i="1"/>
  <c r="T236" i="1"/>
  <c r="S236" i="1"/>
  <c r="R236" i="1"/>
  <c r="N236" i="1"/>
  <c r="O236" i="1" s="1"/>
  <c r="W236" i="1" s="1"/>
  <c r="M236" i="1"/>
  <c r="K236" i="1"/>
  <c r="I236" i="1"/>
  <c r="G236" i="1"/>
  <c r="T719" i="1"/>
  <c r="S719" i="1"/>
  <c r="R719" i="1"/>
  <c r="N719" i="1"/>
  <c r="O719" i="1" s="1"/>
  <c r="M719" i="1"/>
  <c r="K719" i="1"/>
  <c r="I719" i="1"/>
  <c r="V719" i="1" s="1"/>
  <c r="G719" i="1"/>
  <c r="T581" i="1"/>
  <c r="S581" i="1"/>
  <c r="R581" i="1"/>
  <c r="O581" i="1"/>
  <c r="N581" i="1"/>
  <c r="M581" i="1"/>
  <c r="K581" i="1"/>
  <c r="I581" i="1"/>
  <c r="G581" i="1"/>
  <c r="S580" i="1"/>
  <c r="T580" i="1" s="1"/>
  <c r="R580" i="1"/>
  <c r="N580" i="1"/>
  <c r="O580" i="1" s="1"/>
  <c r="W580" i="1" s="1"/>
  <c r="M580" i="1"/>
  <c r="K580" i="1"/>
  <c r="I580" i="1"/>
  <c r="G580" i="1"/>
  <c r="S718" i="1"/>
  <c r="T718" i="1" s="1"/>
  <c r="R718" i="1"/>
  <c r="N718" i="1"/>
  <c r="O718" i="1" s="1"/>
  <c r="M718" i="1"/>
  <c r="K718" i="1"/>
  <c r="I718" i="1"/>
  <c r="G718" i="1"/>
  <c r="S235" i="1"/>
  <c r="T235" i="1" s="1"/>
  <c r="R235" i="1"/>
  <c r="O235" i="1"/>
  <c r="W235" i="1" s="1"/>
  <c r="N235" i="1"/>
  <c r="M235" i="1"/>
  <c r="K235" i="1"/>
  <c r="I235" i="1"/>
  <c r="G235" i="1"/>
  <c r="S234" i="1"/>
  <c r="T234" i="1" s="1"/>
  <c r="R234" i="1"/>
  <c r="O234" i="1"/>
  <c r="N234" i="1"/>
  <c r="M234" i="1"/>
  <c r="K234" i="1"/>
  <c r="I234" i="1"/>
  <c r="G234" i="1"/>
  <c r="T579" i="1"/>
  <c r="S579" i="1"/>
  <c r="R579" i="1"/>
  <c r="N579" i="1"/>
  <c r="O579" i="1" s="1"/>
  <c r="W579" i="1" s="1"/>
  <c r="M579" i="1"/>
  <c r="K579" i="1"/>
  <c r="I579" i="1"/>
  <c r="G579" i="1"/>
  <c r="T196" i="1"/>
  <c r="S196" i="1"/>
  <c r="R196" i="1"/>
  <c r="O196" i="1"/>
  <c r="N196" i="1"/>
  <c r="M196" i="1"/>
  <c r="K196" i="1"/>
  <c r="I196" i="1"/>
  <c r="V196" i="1" s="1"/>
  <c r="G196" i="1"/>
  <c r="S93" i="1"/>
  <c r="T93" i="1" s="1"/>
  <c r="W93" i="1" s="1"/>
  <c r="R93" i="1"/>
  <c r="N93" i="1"/>
  <c r="O93" i="1" s="1"/>
  <c r="M93" i="1"/>
  <c r="P93" i="1" s="1"/>
  <c r="K93" i="1"/>
  <c r="I93" i="1"/>
  <c r="G93" i="1"/>
  <c r="T47" i="1"/>
  <c r="S47" i="1"/>
  <c r="R47" i="1"/>
  <c r="N47" i="1"/>
  <c r="O47" i="1" s="1"/>
  <c r="W47" i="1" s="1"/>
  <c r="M47" i="1"/>
  <c r="K47" i="1"/>
  <c r="I47" i="1"/>
  <c r="G47" i="1"/>
  <c r="T46" i="1"/>
  <c r="S46" i="1"/>
  <c r="R46" i="1"/>
  <c r="O46" i="1"/>
  <c r="N46" i="1"/>
  <c r="M46" i="1"/>
  <c r="K46" i="1"/>
  <c r="I46" i="1"/>
  <c r="G46" i="1"/>
  <c r="S92" i="1"/>
  <c r="T92" i="1" s="1"/>
  <c r="R92" i="1"/>
  <c r="P92" i="1"/>
  <c r="O92" i="1"/>
  <c r="N92" i="1"/>
  <c r="M92" i="1"/>
  <c r="K92" i="1"/>
  <c r="I92" i="1"/>
  <c r="G92" i="1"/>
  <c r="T524" i="1"/>
  <c r="S524" i="1"/>
  <c r="R524" i="1"/>
  <c r="N524" i="1"/>
  <c r="O524" i="1" s="1"/>
  <c r="W524" i="1" s="1"/>
  <c r="M524" i="1"/>
  <c r="K524" i="1"/>
  <c r="I524" i="1"/>
  <c r="G524" i="1"/>
  <c r="S380" i="1"/>
  <c r="T380" i="1" s="1"/>
  <c r="U380" i="1" s="1"/>
  <c r="R380" i="1"/>
  <c r="N380" i="1"/>
  <c r="O380" i="1" s="1"/>
  <c r="M380" i="1"/>
  <c r="K380" i="1"/>
  <c r="I380" i="1"/>
  <c r="G380" i="1"/>
  <c r="S578" i="1"/>
  <c r="T578" i="1" s="1"/>
  <c r="U578" i="1" s="1"/>
  <c r="R578" i="1"/>
  <c r="N578" i="1"/>
  <c r="O578" i="1" s="1"/>
  <c r="P578" i="1" s="1"/>
  <c r="M578" i="1"/>
  <c r="K578" i="1"/>
  <c r="I578" i="1"/>
  <c r="V578" i="1" s="1"/>
  <c r="G578" i="1"/>
  <c r="V140" i="1"/>
  <c r="T140" i="1"/>
  <c r="U140" i="1" s="1"/>
  <c r="N140" i="1"/>
  <c r="O140" i="1" s="1"/>
  <c r="P140" i="1" s="1"/>
  <c r="V139" i="1"/>
  <c r="T139" i="1"/>
  <c r="U139" i="1" s="1"/>
  <c r="O139" i="1"/>
  <c r="W139" i="1" s="1"/>
  <c r="W91" i="1"/>
  <c r="V91" i="1"/>
  <c r="T91" i="1"/>
  <c r="U91" i="1" s="1"/>
  <c r="P91" i="1"/>
  <c r="O91" i="1"/>
  <c r="V90" i="1"/>
  <c r="U90" i="1"/>
  <c r="T90" i="1"/>
  <c r="O90" i="1"/>
  <c r="V45" i="1"/>
  <c r="T45" i="1"/>
  <c r="W45" i="1" s="1"/>
  <c r="X45" i="1" s="1"/>
  <c r="P45" i="1"/>
  <c r="O45" i="1"/>
  <c r="W44" i="1"/>
  <c r="V44" i="1"/>
  <c r="X44" i="1" s="1"/>
  <c r="T44" i="1"/>
  <c r="U44" i="1" s="1"/>
  <c r="O44" i="1"/>
  <c r="P44" i="1" s="1"/>
  <c r="V43" i="1"/>
  <c r="U43" i="1"/>
  <c r="T43" i="1"/>
  <c r="O43" i="1"/>
  <c r="P43" i="1" s="1"/>
  <c r="V42" i="1"/>
  <c r="T42" i="1"/>
  <c r="U42" i="1" s="1"/>
  <c r="P42" i="1"/>
  <c r="O42" i="1"/>
  <c r="T523" i="1"/>
  <c r="U523" i="1" s="1"/>
  <c r="O523" i="1"/>
  <c r="N523" i="1"/>
  <c r="I523" i="1"/>
  <c r="V523" i="1" s="1"/>
  <c r="T481" i="1"/>
  <c r="U481" i="1" s="1"/>
  <c r="O481" i="1"/>
  <c r="N481" i="1"/>
  <c r="M481" i="1"/>
  <c r="K481" i="1"/>
  <c r="I481" i="1"/>
  <c r="V481" i="1" s="1"/>
  <c r="S233" i="1"/>
  <c r="T233" i="1" s="1"/>
  <c r="R233" i="1"/>
  <c r="N233" i="1"/>
  <c r="O233" i="1" s="1"/>
  <c r="M233" i="1"/>
  <c r="K233" i="1"/>
  <c r="I233" i="1"/>
  <c r="G233" i="1"/>
  <c r="S671" i="1"/>
  <c r="T671" i="1" s="1"/>
  <c r="R671" i="1"/>
  <c r="P671" i="1"/>
  <c r="N671" i="1"/>
  <c r="O671" i="1" s="1"/>
  <c r="M671" i="1"/>
  <c r="K671" i="1"/>
  <c r="I671" i="1"/>
  <c r="G671" i="1"/>
  <c r="W328" i="1"/>
  <c r="U328" i="1"/>
  <c r="T328" i="1"/>
  <c r="S328" i="1"/>
  <c r="R328" i="1"/>
  <c r="O328" i="1"/>
  <c r="P328" i="1" s="1"/>
  <c r="N328" i="1"/>
  <c r="M328" i="1"/>
  <c r="K328" i="1"/>
  <c r="I328" i="1"/>
  <c r="G328" i="1"/>
  <c r="S670" i="1"/>
  <c r="T670" i="1" s="1"/>
  <c r="R670" i="1"/>
  <c r="U670" i="1" s="1"/>
  <c r="N670" i="1"/>
  <c r="O670" i="1" s="1"/>
  <c r="M670" i="1"/>
  <c r="K670" i="1"/>
  <c r="I670" i="1"/>
  <c r="G670" i="1"/>
  <c r="S379" i="1"/>
  <c r="T379" i="1" s="1"/>
  <c r="U379" i="1" s="1"/>
  <c r="R379" i="1"/>
  <c r="O379" i="1"/>
  <c r="N379" i="1"/>
  <c r="M379" i="1"/>
  <c r="K379" i="1"/>
  <c r="I379" i="1"/>
  <c r="G379" i="1"/>
  <c r="T577" i="1"/>
  <c r="U577" i="1" s="1"/>
  <c r="S577" i="1"/>
  <c r="R577" i="1"/>
  <c r="N577" i="1"/>
  <c r="O577" i="1" s="1"/>
  <c r="P577" i="1" s="1"/>
  <c r="M577" i="1"/>
  <c r="K577" i="1"/>
  <c r="I577" i="1"/>
  <c r="V577" i="1" s="1"/>
  <c r="G577" i="1"/>
  <c r="T576" i="1"/>
  <c r="S576" i="1"/>
  <c r="R576" i="1"/>
  <c r="N576" i="1"/>
  <c r="O576" i="1" s="1"/>
  <c r="M576" i="1"/>
  <c r="K576" i="1"/>
  <c r="I576" i="1"/>
  <c r="G576" i="1"/>
  <c r="S429" i="1"/>
  <c r="T429" i="1" s="1"/>
  <c r="R429" i="1"/>
  <c r="N429" i="1"/>
  <c r="O429" i="1" s="1"/>
  <c r="M429" i="1"/>
  <c r="K429" i="1"/>
  <c r="I429" i="1"/>
  <c r="G429" i="1"/>
  <c r="T480" i="1"/>
  <c r="S480" i="1"/>
  <c r="R480" i="1"/>
  <c r="U480" i="1" s="1"/>
  <c r="N480" i="1"/>
  <c r="O480" i="1" s="1"/>
  <c r="W480" i="1" s="1"/>
  <c r="M480" i="1"/>
  <c r="K480" i="1"/>
  <c r="I480" i="1"/>
  <c r="G480" i="1"/>
  <c r="S232" i="1"/>
  <c r="T232" i="1" s="1"/>
  <c r="R232" i="1"/>
  <c r="N232" i="1"/>
  <c r="O232" i="1" s="1"/>
  <c r="M232" i="1"/>
  <c r="P232" i="1" s="1"/>
  <c r="K232" i="1"/>
  <c r="I232" i="1"/>
  <c r="G232" i="1"/>
  <c r="S522" i="1"/>
  <c r="T522" i="1" s="1"/>
  <c r="R522" i="1"/>
  <c r="O522" i="1"/>
  <c r="N522" i="1"/>
  <c r="M522" i="1"/>
  <c r="P522" i="1" s="1"/>
  <c r="K522" i="1"/>
  <c r="I522" i="1"/>
  <c r="G522" i="1"/>
  <c r="S428" i="1"/>
  <c r="T428" i="1" s="1"/>
  <c r="R428" i="1"/>
  <c r="U428" i="1" s="1"/>
  <c r="N428" i="1"/>
  <c r="O428" i="1" s="1"/>
  <c r="W428" i="1" s="1"/>
  <c r="M428" i="1"/>
  <c r="V428" i="1" s="1"/>
  <c r="X428" i="1" s="1"/>
  <c r="K428" i="1"/>
  <c r="I428" i="1"/>
  <c r="G428" i="1"/>
  <c r="S195" i="1"/>
  <c r="T195" i="1" s="1"/>
  <c r="R195" i="1"/>
  <c r="N195" i="1"/>
  <c r="O195" i="1" s="1"/>
  <c r="M195" i="1"/>
  <c r="K195" i="1"/>
  <c r="I195" i="1"/>
  <c r="G195" i="1"/>
  <c r="S378" i="1"/>
  <c r="T378" i="1" s="1"/>
  <c r="R378" i="1"/>
  <c r="N378" i="1"/>
  <c r="O378" i="1" s="1"/>
  <c r="M378" i="1"/>
  <c r="P378" i="1" s="1"/>
  <c r="K378" i="1"/>
  <c r="I378" i="1"/>
  <c r="G378" i="1"/>
  <c r="S138" i="1"/>
  <c r="T138" i="1" s="1"/>
  <c r="R138" i="1"/>
  <c r="N138" i="1"/>
  <c r="O138" i="1" s="1"/>
  <c r="M138" i="1"/>
  <c r="K138" i="1"/>
  <c r="I138" i="1"/>
  <c r="G138" i="1"/>
  <c r="S41" i="1"/>
  <c r="T41" i="1" s="1"/>
  <c r="R41" i="1"/>
  <c r="N41" i="1"/>
  <c r="O41" i="1" s="1"/>
  <c r="M41" i="1"/>
  <c r="K41" i="1"/>
  <c r="I41" i="1"/>
  <c r="G41" i="1"/>
  <c r="S194" i="1"/>
  <c r="T194" i="1" s="1"/>
  <c r="R194" i="1"/>
  <c r="N194" i="1"/>
  <c r="O194" i="1" s="1"/>
  <c r="W194" i="1" s="1"/>
  <c r="M194" i="1"/>
  <c r="K194" i="1"/>
  <c r="I194" i="1"/>
  <c r="G194" i="1"/>
  <c r="S327" i="1"/>
  <c r="T327" i="1" s="1"/>
  <c r="R327" i="1"/>
  <c r="N327" i="1"/>
  <c r="O327" i="1" s="1"/>
  <c r="M327" i="1"/>
  <c r="P327" i="1" s="1"/>
  <c r="K327" i="1"/>
  <c r="I327" i="1"/>
  <c r="G327" i="1"/>
  <c r="S231" i="1"/>
  <c r="T231" i="1" s="1"/>
  <c r="R231" i="1"/>
  <c r="N231" i="1"/>
  <c r="O231" i="1" s="1"/>
  <c r="M231" i="1"/>
  <c r="K231" i="1"/>
  <c r="I231" i="1"/>
  <c r="G231" i="1"/>
  <c r="S575" i="1"/>
  <c r="T575" i="1" s="1"/>
  <c r="R575" i="1"/>
  <c r="U575" i="1" s="1"/>
  <c r="N575" i="1"/>
  <c r="O575" i="1" s="1"/>
  <c r="W575" i="1" s="1"/>
  <c r="M575" i="1"/>
  <c r="K575" i="1"/>
  <c r="I575" i="1"/>
  <c r="G575" i="1"/>
  <c r="S40" i="1"/>
  <c r="T40" i="1" s="1"/>
  <c r="R40" i="1"/>
  <c r="N40" i="1"/>
  <c r="O40" i="1" s="1"/>
  <c r="W40" i="1" s="1"/>
  <c r="M40" i="1"/>
  <c r="K40" i="1"/>
  <c r="I40" i="1"/>
  <c r="G40" i="1"/>
  <c r="S230" i="1"/>
  <c r="T230" i="1" s="1"/>
  <c r="R230" i="1"/>
  <c r="N230" i="1"/>
  <c r="O230" i="1" s="1"/>
  <c r="M230" i="1"/>
  <c r="P230" i="1" s="1"/>
  <c r="K230" i="1"/>
  <c r="I230" i="1"/>
  <c r="G230" i="1"/>
  <c r="T479" i="1"/>
  <c r="U479" i="1" s="1"/>
  <c r="O479" i="1"/>
  <c r="W479" i="1" s="1"/>
  <c r="N479" i="1"/>
  <c r="M479" i="1"/>
  <c r="I479" i="1"/>
  <c r="V479" i="1" s="1"/>
  <c r="X479" i="1" s="1"/>
  <c r="T427" i="1"/>
  <c r="U427" i="1" s="1"/>
  <c r="N427" i="1"/>
  <c r="O427" i="1" s="1"/>
  <c r="M427" i="1"/>
  <c r="K427" i="1"/>
  <c r="I427" i="1"/>
  <c r="V427" i="1" s="1"/>
  <c r="T89" i="1"/>
  <c r="U89" i="1" s="1"/>
  <c r="N89" i="1"/>
  <c r="O89" i="1" s="1"/>
  <c r="W89" i="1" s="1"/>
  <c r="M89" i="1"/>
  <c r="K89" i="1"/>
  <c r="I89" i="1"/>
  <c r="T88" i="1"/>
  <c r="U88" i="1" s="1"/>
  <c r="N88" i="1"/>
  <c r="O88" i="1" s="1"/>
  <c r="W88" i="1" s="1"/>
  <c r="M88" i="1"/>
  <c r="I88" i="1"/>
  <c r="V88" i="1" s="1"/>
  <c r="T39" i="1"/>
  <c r="U39" i="1" s="1"/>
  <c r="N39" i="1"/>
  <c r="O39" i="1" s="1"/>
  <c r="M39" i="1"/>
  <c r="K39" i="1"/>
  <c r="I39" i="1"/>
  <c r="G39" i="1"/>
  <c r="T87" i="1"/>
  <c r="U87" i="1" s="1"/>
  <c r="O87" i="1"/>
  <c r="W87" i="1" s="1"/>
  <c r="N87" i="1"/>
  <c r="M87" i="1"/>
  <c r="K87" i="1"/>
  <c r="I87" i="1"/>
  <c r="G87" i="1"/>
  <c r="T326" i="1"/>
  <c r="U326" i="1" s="1"/>
  <c r="N326" i="1"/>
  <c r="O326" i="1" s="1"/>
  <c r="M326" i="1"/>
  <c r="K326" i="1"/>
  <c r="I326" i="1"/>
  <c r="G326" i="1"/>
  <c r="U426" i="1"/>
  <c r="T426" i="1"/>
  <c r="N426" i="1"/>
  <c r="O426" i="1" s="1"/>
  <c r="W426" i="1" s="1"/>
  <c r="M426" i="1"/>
  <c r="K426" i="1"/>
  <c r="I426" i="1"/>
  <c r="G426" i="1"/>
  <c r="T521" i="1"/>
  <c r="U521" i="1" s="1"/>
  <c r="N521" i="1"/>
  <c r="O521" i="1" s="1"/>
  <c r="M521" i="1"/>
  <c r="K521" i="1"/>
  <c r="I521" i="1"/>
  <c r="G521" i="1"/>
  <c r="T425" i="1"/>
  <c r="U425" i="1" s="1"/>
  <c r="O425" i="1"/>
  <c r="W425" i="1" s="1"/>
  <c r="N425" i="1"/>
  <c r="M425" i="1"/>
  <c r="K425" i="1"/>
  <c r="I425" i="1"/>
  <c r="G425" i="1"/>
  <c r="S520" i="1"/>
  <c r="T520" i="1" s="1"/>
  <c r="R520" i="1"/>
  <c r="N520" i="1"/>
  <c r="O520" i="1" s="1"/>
  <c r="M520" i="1"/>
  <c r="K520" i="1"/>
  <c r="I520" i="1"/>
  <c r="G520" i="1"/>
  <c r="S137" i="1"/>
  <c r="T137" i="1" s="1"/>
  <c r="R137" i="1"/>
  <c r="N137" i="1"/>
  <c r="O137" i="1" s="1"/>
  <c r="M137" i="1"/>
  <c r="K137" i="1"/>
  <c r="I137" i="1"/>
  <c r="G137" i="1"/>
  <c r="S574" i="1"/>
  <c r="T574" i="1" s="1"/>
  <c r="R574" i="1"/>
  <c r="N574" i="1"/>
  <c r="O574" i="1" s="1"/>
  <c r="W574" i="1" s="1"/>
  <c r="M574" i="1"/>
  <c r="K574" i="1"/>
  <c r="I574" i="1"/>
  <c r="G574" i="1"/>
  <c r="S38" i="1"/>
  <c r="T38" i="1" s="1"/>
  <c r="R38" i="1"/>
  <c r="N38" i="1"/>
  <c r="O38" i="1" s="1"/>
  <c r="M38" i="1"/>
  <c r="K38" i="1"/>
  <c r="I38" i="1"/>
  <c r="G38" i="1"/>
  <c r="S628" i="1"/>
  <c r="T628" i="1" s="1"/>
  <c r="R628" i="1"/>
  <c r="N628" i="1"/>
  <c r="O628" i="1" s="1"/>
  <c r="M628" i="1"/>
  <c r="K628" i="1"/>
  <c r="I628" i="1"/>
  <c r="G628" i="1"/>
  <c r="S669" i="1"/>
  <c r="T669" i="1" s="1"/>
  <c r="R669" i="1"/>
  <c r="N669" i="1"/>
  <c r="O669" i="1" s="1"/>
  <c r="M669" i="1"/>
  <c r="K669" i="1"/>
  <c r="I669" i="1"/>
  <c r="G669" i="1"/>
  <c r="S193" i="1"/>
  <c r="T193" i="1" s="1"/>
  <c r="R193" i="1"/>
  <c r="N193" i="1"/>
  <c r="O193" i="1" s="1"/>
  <c r="M193" i="1"/>
  <c r="K193" i="1"/>
  <c r="I193" i="1"/>
  <c r="G193" i="1"/>
  <c r="S136" i="1"/>
  <c r="T136" i="1" s="1"/>
  <c r="R136" i="1"/>
  <c r="N136" i="1"/>
  <c r="O136" i="1" s="1"/>
  <c r="W136" i="1" s="1"/>
  <c r="M136" i="1"/>
  <c r="K136" i="1"/>
  <c r="I136" i="1"/>
  <c r="G136" i="1"/>
  <c r="S285" i="1"/>
  <c r="T285" i="1" s="1"/>
  <c r="R285" i="1"/>
  <c r="N285" i="1"/>
  <c r="O285" i="1" s="1"/>
  <c r="M285" i="1"/>
  <c r="K285" i="1"/>
  <c r="I285" i="1"/>
  <c r="G285" i="1"/>
  <c r="S377" i="1"/>
  <c r="T377" i="1" s="1"/>
  <c r="R377" i="1"/>
  <c r="N377" i="1"/>
  <c r="O377" i="1" s="1"/>
  <c r="M377" i="1"/>
  <c r="K377" i="1"/>
  <c r="I377" i="1"/>
  <c r="G377" i="1"/>
  <c r="S86" i="1"/>
  <c r="T86" i="1" s="1"/>
  <c r="R86" i="1"/>
  <c r="N86" i="1"/>
  <c r="O86" i="1" s="1"/>
  <c r="W86" i="1" s="1"/>
  <c r="M86" i="1"/>
  <c r="K86" i="1"/>
  <c r="I86" i="1"/>
  <c r="G86" i="1"/>
  <c r="T376" i="1"/>
  <c r="U376" i="1" s="1"/>
  <c r="N376" i="1"/>
  <c r="O376" i="1" s="1"/>
  <c r="M376" i="1"/>
  <c r="K376" i="1"/>
  <c r="I376" i="1"/>
  <c r="G376" i="1"/>
  <c r="S229" i="1"/>
  <c r="T229" i="1" s="1"/>
  <c r="R229" i="1"/>
  <c r="N229" i="1"/>
  <c r="O229" i="1" s="1"/>
  <c r="M229" i="1"/>
  <c r="K229" i="1"/>
  <c r="I229" i="1"/>
  <c r="G229" i="1"/>
  <c r="S573" i="1"/>
  <c r="T573" i="1" s="1"/>
  <c r="R573" i="1"/>
  <c r="N573" i="1"/>
  <c r="O573" i="1" s="1"/>
  <c r="M573" i="1"/>
  <c r="K573" i="1"/>
  <c r="I573" i="1"/>
  <c r="G573" i="1"/>
  <c r="S572" i="1"/>
  <c r="T572" i="1" s="1"/>
  <c r="R572" i="1"/>
  <c r="N572" i="1"/>
  <c r="O572" i="1" s="1"/>
  <c r="W572" i="1" s="1"/>
  <c r="M572" i="1"/>
  <c r="K572" i="1"/>
  <c r="I572" i="1"/>
  <c r="G572" i="1"/>
  <c r="S85" i="1"/>
  <c r="T85" i="1" s="1"/>
  <c r="U85" i="1" s="1"/>
  <c r="R85" i="1"/>
  <c r="N85" i="1"/>
  <c r="O85" i="1" s="1"/>
  <c r="M85" i="1"/>
  <c r="P85" i="1" s="1"/>
  <c r="K85" i="1"/>
  <c r="I85" i="1"/>
  <c r="G85" i="1"/>
  <c r="S668" i="1"/>
  <c r="T668" i="1" s="1"/>
  <c r="W668" i="1" s="1"/>
  <c r="R668" i="1"/>
  <c r="N668" i="1"/>
  <c r="O668" i="1" s="1"/>
  <c r="M668" i="1"/>
  <c r="K668" i="1"/>
  <c r="I668" i="1"/>
  <c r="G668" i="1"/>
  <c r="S627" i="1"/>
  <c r="T627" i="1" s="1"/>
  <c r="R627" i="1"/>
  <c r="O627" i="1"/>
  <c r="N627" i="1"/>
  <c r="M627" i="1"/>
  <c r="K627" i="1"/>
  <c r="I627" i="1"/>
  <c r="G627" i="1"/>
  <c r="S192" i="1"/>
  <c r="T192" i="1" s="1"/>
  <c r="R192" i="1"/>
  <c r="U192" i="1" s="1"/>
  <c r="O192" i="1"/>
  <c r="W192" i="1" s="1"/>
  <c r="N192" i="1"/>
  <c r="M192" i="1"/>
  <c r="K192" i="1"/>
  <c r="I192" i="1"/>
  <c r="G192" i="1"/>
  <c r="S191" i="1"/>
  <c r="T191" i="1" s="1"/>
  <c r="U191" i="1" s="1"/>
  <c r="R191" i="1"/>
  <c r="O191" i="1"/>
  <c r="N191" i="1"/>
  <c r="M191" i="1"/>
  <c r="P191" i="1" s="1"/>
  <c r="K191" i="1"/>
  <c r="I191" i="1"/>
  <c r="G191" i="1"/>
  <c r="S424" i="1"/>
  <c r="T424" i="1" s="1"/>
  <c r="W424" i="1" s="1"/>
  <c r="R424" i="1"/>
  <c r="N424" i="1"/>
  <c r="O424" i="1" s="1"/>
  <c r="M424" i="1"/>
  <c r="P424" i="1" s="1"/>
  <c r="K424" i="1"/>
  <c r="I424" i="1"/>
  <c r="G424" i="1"/>
  <c r="T375" i="1"/>
  <c r="S375" i="1"/>
  <c r="R375" i="1"/>
  <c r="U375" i="1" s="1"/>
  <c r="O375" i="1"/>
  <c r="N375" i="1"/>
  <c r="M375" i="1"/>
  <c r="K375" i="1"/>
  <c r="I375" i="1"/>
  <c r="G375" i="1"/>
  <c r="S478" i="1"/>
  <c r="T478" i="1" s="1"/>
  <c r="R478" i="1"/>
  <c r="U478" i="1" s="1"/>
  <c r="O478" i="1"/>
  <c r="W478" i="1" s="1"/>
  <c r="N478" i="1"/>
  <c r="M478" i="1"/>
  <c r="K478" i="1"/>
  <c r="I478" i="1"/>
  <c r="G478" i="1"/>
  <c r="S667" i="1"/>
  <c r="T667" i="1" s="1"/>
  <c r="U667" i="1" s="1"/>
  <c r="R667" i="1"/>
  <c r="N667" i="1"/>
  <c r="O667" i="1" s="1"/>
  <c r="M667" i="1"/>
  <c r="P667" i="1" s="1"/>
  <c r="K667" i="1"/>
  <c r="I667" i="1"/>
  <c r="G667" i="1"/>
  <c r="T571" i="1"/>
  <c r="S571" i="1"/>
  <c r="R571" i="1"/>
  <c r="N571" i="1"/>
  <c r="O571" i="1" s="1"/>
  <c r="W571" i="1" s="1"/>
  <c r="M571" i="1"/>
  <c r="K571" i="1"/>
  <c r="I571" i="1"/>
  <c r="G571" i="1"/>
  <c r="S325" i="1"/>
  <c r="T325" i="1" s="1"/>
  <c r="R325" i="1"/>
  <c r="N325" i="1"/>
  <c r="O325" i="1" s="1"/>
  <c r="M325" i="1"/>
  <c r="K325" i="1"/>
  <c r="I325" i="1"/>
  <c r="G325" i="1"/>
  <c r="S626" i="1"/>
  <c r="T626" i="1" s="1"/>
  <c r="R626" i="1"/>
  <c r="U626" i="1" s="1"/>
  <c r="N626" i="1"/>
  <c r="O626" i="1" s="1"/>
  <c r="W626" i="1" s="1"/>
  <c r="M626" i="1"/>
  <c r="K626" i="1"/>
  <c r="I626" i="1"/>
  <c r="G626" i="1"/>
  <c r="S666" i="1"/>
  <c r="T666" i="1" s="1"/>
  <c r="U666" i="1" s="1"/>
  <c r="R666" i="1"/>
  <c r="N666" i="1"/>
  <c r="O666" i="1" s="1"/>
  <c r="P666" i="1" s="1"/>
  <c r="M666" i="1"/>
  <c r="K666" i="1"/>
  <c r="I666" i="1"/>
  <c r="G666" i="1"/>
  <c r="S717" i="1"/>
  <c r="T717" i="1" s="1"/>
  <c r="R717" i="1"/>
  <c r="N717" i="1"/>
  <c r="O717" i="1" s="1"/>
  <c r="W717" i="1" s="1"/>
  <c r="M717" i="1"/>
  <c r="K717" i="1"/>
  <c r="I717" i="1"/>
  <c r="G717" i="1"/>
  <c r="T374" i="1"/>
  <c r="S374" i="1"/>
  <c r="R374" i="1"/>
  <c r="U374" i="1" s="1"/>
  <c r="N374" i="1"/>
  <c r="O374" i="1" s="1"/>
  <c r="P374" i="1" s="1"/>
  <c r="M374" i="1"/>
  <c r="K374" i="1"/>
  <c r="I374" i="1"/>
  <c r="G374" i="1"/>
  <c r="S324" i="1"/>
  <c r="T324" i="1" s="1"/>
  <c r="R324" i="1"/>
  <c r="N324" i="1"/>
  <c r="O324" i="1" s="1"/>
  <c r="M324" i="1"/>
  <c r="K324" i="1"/>
  <c r="I324" i="1"/>
  <c r="G324" i="1"/>
  <c r="S284" i="1"/>
  <c r="T284" i="1" s="1"/>
  <c r="R284" i="1"/>
  <c r="N284" i="1"/>
  <c r="O284" i="1" s="1"/>
  <c r="M284" i="1"/>
  <c r="K284" i="1"/>
  <c r="I284" i="1"/>
  <c r="G284" i="1"/>
  <c r="S228" i="1"/>
  <c r="T228" i="1" s="1"/>
  <c r="W228" i="1" s="1"/>
  <c r="R228" i="1"/>
  <c r="N228" i="1"/>
  <c r="O228" i="1" s="1"/>
  <c r="M228" i="1"/>
  <c r="K228" i="1"/>
  <c r="I228" i="1"/>
  <c r="G228" i="1"/>
  <c r="T477" i="1"/>
  <c r="S477" i="1"/>
  <c r="R477" i="1"/>
  <c r="U477" i="1" s="1"/>
  <c r="O477" i="1"/>
  <c r="P477" i="1" s="1"/>
  <c r="N477" i="1"/>
  <c r="M477" i="1"/>
  <c r="K477" i="1"/>
  <c r="I477" i="1"/>
  <c r="G477" i="1"/>
  <c r="S476" i="1"/>
  <c r="T476" i="1" s="1"/>
  <c r="R476" i="1"/>
  <c r="N476" i="1"/>
  <c r="O476" i="1" s="1"/>
  <c r="W476" i="1" s="1"/>
  <c r="M476" i="1"/>
  <c r="K476" i="1"/>
  <c r="I476" i="1"/>
  <c r="G476" i="1"/>
  <c r="T323" i="1"/>
  <c r="U323" i="1" s="1"/>
  <c r="S323" i="1"/>
  <c r="R323" i="1"/>
  <c r="O323" i="1"/>
  <c r="N323" i="1"/>
  <c r="M323" i="1"/>
  <c r="K323" i="1"/>
  <c r="I323" i="1"/>
  <c r="G323" i="1"/>
  <c r="S665" i="1"/>
  <c r="T665" i="1" s="1"/>
  <c r="R665" i="1"/>
  <c r="N665" i="1"/>
  <c r="O665" i="1" s="1"/>
  <c r="M665" i="1"/>
  <c r="P665" i="1" s="1"/>
  <c r="K665" i="1"/>
  <c r="V665" i="1" s="1"/>
  <c r="I665" i="1"/>
  <c r="G665" i="1"/>
  <c r="T664" i="1"/>
  <c r="U664" i="1" s="1"/>
  <c r="S664" i="1"/>
  <c r="R664" i="1"/>
  <c r="N664" i="1"/>
  <c r="O664" i="1" s="1"/>
  <c r="M664" i="1"/>
  <c r="K664" i="1"/>
  <c r="I664" i="1"/>
  <c r="G664" i="1"/>
  <c r="S373" i="1"/>
  <c r="T373" i="1" s="1"/>
  <c r="R373" i="1"/>
  <c r="N373" i="1"/>
  <c r="O373" i="1" s="1"/>
  <c r="M373" i="1"/>
  <c r="K373" i="1"/>
  <c r="I373" i="1"/>
  <c r="G373" i="1"/>
  <c r="S322" i="1"/>
  <c r="T322" i="1" s="1"/>
  <c r="U322" i="1" s="1"/>
  <c r="R322" i="1"/>
  <c r="N322" i="1"/>
  <c r="O322" i="1" s="1"/>
  <c r="W322" i="1" s="1"/>
  <c r="M322" i="1"/>
  <c r="K322" i="1"/>
  <c r="I322" i="1"/>
  <c r="G322" i="1"/>
  <c r="S663" i="1"/>
  <c r="T663" i="1" s="1"/>
  <c r="W663" i="1" s="1"/>
  <c r="R663" i="1"/>
  <c r="U663" i="1" s="1"/>
  <c r="N663" i="1"/>
  <c r="O663" i="1" s="1"/>
  <c r="M663" i="1"/>
  <c r="P663" i="1" s="1"/>
  <c r="K663" i="1"/>
  <c r="I663" i="1"/>
  <c r="G663" i="1"/>
  <c r="S37" i="1"/>
  <c r="T37" i="1" s="1"/>
  <c r="R37" i="1"/>
  <c r="N37" i="1"/>
  <c r="O37" i="1" s="1"/>
  <c r="M37" i="1"/>
  <c r="K37" i="1"/>
  <c r="I37" i="1"/>
  <c r="G37" i="1"/>
  <c r="S475" i="1"/>
  <c r="T475" i="1" s="1"/>
  <c r="R475" i="1"/>
  <c r="U475" i="1" s="1"/>
  <c r="N475" i="1"/>
  <c r="O475" i="1" s="1"/>
  <c r="W475" i="1" s="1"/>
  <c r="M475" i="1"/>
  <c r="K475" i="1"/>
  <c r="I475" i="1"/>
  <c r="G475" i="1"/>
  <c r="S570" i="1"/>
  <c r="T570" i="1" s="1"/>
  <c r="R570" i="1"/>
  <c r="N570" i="1"/>
  <c r="O570" i="1" s="1"/>
  <c r="M570" i="1"/>
  <c r="K570" i="1"/>
  <c r="I570" i="1"/>
  <c r="G570" i="1"/>
  <c r="S283" i="1"/>
  <c r="T283" i="1" s="1"/>
  <c r="R283" i="1"/>
  <c r="N283" i="1"/>
  <c r="O283" i="1" s="1"/>
  <c r="M283" i="1"/>
  <c r="K283" i="1"/>
  <c r="I283" i="1"/>
  <c r="G283" i="1"/>
  <c r="S321" i="1"/>
  <c r="T321" i="1" s="1"/>
  <c r="R321" i="1"/>
  <c r="N321" i="1"/>
  <c r="O321" i="1" s="1"/>
  <c r="M321" i="1"/>
  <c r="K321" i="1"/>
  <c r="I321" i="1"/>
  <c r="G321" i="1"/>
  <c r="S372" i="1"/>
  <c r="T372" i="1" s="1"/>
  <c r="R372" i="1"/>
  <c r="N372" i="1"/>
  <c r="O372" i="1" s="1"/>
  <c r="W372" i="1" s="1"/>
  <c r="M372" i="1"/>
  <c r="K372" i="1"/>
  <c r="I372" i="1"/>
  <c r="G372" i="1"/>
  <c r="S190" i="1"/>
  <c r="T190" i="1" s="1"/>
  <c r="R190" i="1"/>
  <c r="N190" i="1"/>
  <c r="O190" i="1" s="1"/>
  <c r="W190" i="1" s="1"/>
  <c r="M190" i="1"/>
  <c r="K190" i="1"/>
  <c r="I190" i="1"/>
  <c r="G190" i="1"/>
  <c r="S189" i="1"/>
  <c r="T189" i="1" s="1"/>
  <c r="R189" i="1"/>
  <c r="N189" i="1"/>
  <c r="O189" i="1" s="1"/>
  <c r="M189" i="1"/>
  <c r="K189" i="1"/>
  <c r="I189" i="1"/>
  <c r="G189" i="1"/>
  <c r="S135" i="1"/>
  <c r="T135" i="1" s="1"/>
  <c r="R135" i="1"/>
  <c r="N135" i="1"/>
  <c r="O135" i="1" s="1"/>
  <c r="M135" i="1"/>
  <c r="K135" i="1"/>
  <c r="I135" i="1"/>
  <c r="G135" i="1"/>
  <c r="S36" i="1"/>
  <c r="T36" i="1" s="1"/>
  <c r="R36" i="1"/>
  <c r="N36" i="1"/>
  <c r="O36" i="1" s="1"/>
  <c r="M36" i="1"/>
  <c r="K36" i="1"/>
  <c r="I36" i="1"/>
  <c r="G36" i="1"/>
  <c r="V625" i="1"/>
  <c r="U625" i="1"/>
  <c r="T625" i="1"/>
  <c r="N625" i="1"/>
  <c r="O625" i="1" s="1"/>
  <c r="W625" i="1" s="1"/>
  <c r="M625" i="1"/>
  <c r="K625" i="1"/>
  <c r="I625" i="1"/>
  <c r="G625" i="1"/>
  <c r="S519" i="1"/>
  <c r="T519" i="1" s="1"/>
  <c r="R519" i="1"/>
  <c r="N519" i="1"/>
  <c r="O519" i="1" s="1"/>
  <c r="M519" i="1"/>
  <c r="K519" i="1"/>
  <c r="I519" i="1"/>
  <c r="G519" i="1"/>
  <c r="T35" i="1"/>
  <c r="U35" i="1" s="1"/>
  <c r="N35" i="1"/>
  <c r="O35" i="1" s="1"/>
  <c r="M35" i="1"/>
  <c r="K35" i="1"/>
  <c r="I35" i="1"/>
  <c r="G35" i="1"/>
  <c r="S320" i="1"/>
  <c r="T320" i="1" s="1"/>
  <c r="U320" i="1" s="1"/>
  <c r="R320" i="1"/>
  <c r="N320" i="1"/>
  <c r="O320" i="1" s="1"/>
  <c r="M320" i="1"/>
  <c r="K320" i="1"/>
  <c r="I320" i="1"/>
  <c r="G320" i="1"/>
  <c r="T423" i="1"/>
  <c r="U423" i="1" s="1"/>
  <c r="O423" i="1"/>
  <c r="N423" i="1"/>
  <c r="M423" i="1"/>
  <c r="K423" i="1"/>
  <c r="I423" i="1"/>
  <c r="G423" i="1"/>
  <c r="S84" i="1"/>
  <c r="T84" i="1" s="1"/>
  <c r="R84" i="1"/>
  <c r="N84" i="1"/>
  <c r="O84" i="1" s="1"/>
  <c r="W84" i="1" s="1"/>
  <c r="M84" i="1"/>
  <c r="K84" i="1"/>
  <c r="I84" i="1"/>
  <c r="G84" i="1"/>
  <c r="S83" i="1"/>
  <c r="T83" i="1" s="1"/>
  <c r="U83" i="1" s="1"/>
  <c r="R83" i="1"/>
  <c r="N83" i="1"/>
  <c r="O83" i="1" s="1"/>
  <c r="M83" i="1"/>
  <c r="K83" i="1"/>
  <c r="I83" i="1"/>
  <c r="G83" i="1"/>
  <c r="S662" i="1"/>
  <c r="T662" i="1" s="1"/>
  <c r="R662" i="1"/>
  <c r="N662" i="1"/>
  <c r="O662" i="1" s="1"/>
  <c r="M662" i="1"/>
  <c r="K662" i="1"/>
  <c r="I662" i="1"/>
  <c r="G662" i="1"/>
  <c r="S569" i="1"/>
  <c r="T569" i="1" s="1"/>
  <c r="R569" i="1"/>
  <c r="U569" i="1" s="1"/>
  <c r="N569" i="1"/>
  <c r="O569" i="1" s="1"/>
  <c r="M569" i="1"/>
  <c r="K569" i="1"/>
  <c r="I569" i="1"/>
  <c r="G569" i="1"/>
  <c r="S371" i="1"/>
  <c r="T371" i="1" s="1"/>
  <c r="U371" i="1" s="1"/>
  <c r="R371" i="1"/>
  <c r="O371" i="1"/>
  <c r="N371" i="1"/>
  <c r="M371" i="1"/>
  <c r="V371" i="1" s="1"/>
  <c r="K371" i="1"/>
  <c r="I371" i="1"/>
  <c r="G371" i="1"/>
  <c r="T518" i="1"/>
  <c r="U518" i="1" s="1"/>
  <c r="S518" i="1"/>
  <c r="R518" i="1"/>
  <c r="N518" i="1"/>
  <c r="O518" i="1" s="1"/>
  <c r="M518" i="1"/>
  <c r="P518" i="1" s="1"/>
  <c r="K518" i="1"/>
  <c r="I518" i="1"/>
  <c r="G518" i="1"/>
  <c r="T134" i="1"/>
  <c r="S134" i="1"/>
  <c r="R134" i="1"/>
  <c r="N134" i="1"/>
  <c r="O134" i="1" s="1"/>
  <c r="M134" i="1"/>
  <c r="K134" i="1"/>
  <c r="I134" i="1"/>
  <c r="G134" i="1"/>
  <c r="U319" i="1"/>
  <c r="T319" i="1"/>
  <c r="O319" i="1"/>
  <c r="W319" i="1" s="1"/>
  <c r="N319" i="1"/>
  <c r="M319" i="1"/>
  <c r="K319" i="1"/>
  <c r="I319" i="1"/>
  <c r="G319" i="1"/>
  <c r="T370" i="1"/>
  <c r="U370" i="1" s="1"/>
  <c r="S370" i="1"/>
  <c r="R370" i="1"/>
  <c r="N370" i="1"/>
  <c r="O370" i="1" s="1"/>
  <c r="M370" i="1"/>
  <c r="P370" i="1" s="1"/>
  <c r="K370" i="1"/>
  <c r="I370" i="1"/>
  <c r="G370" i="1"/>
  <c r="T318" i="1"/>
  <c r="U318" i="1" s="1"/>
  <c r="N318" i="1"/>
  <c r="O318" i="1" s="1"/>
  <c r="M318" i="1"/>
  <c r="K318" i="1"/>
  <c r="I318" i="1"/>
  <c r="G318" i="1"/>
  <c r="S716" i="1"/>
  <c r="T716" i="1" s="1"/>
  <c r="R716" i="1"/>
  <c r="N716" i="1"/>
  <c r="O716" i="1" s="1"/>
  <c r="W716" i="1" s="1"/>
  <c r="M716" i="1"/>
  <c r="K716" i="1"/>
  <c r="I716" i="1"/>
  <c r="G716" i="1"/>
  <c r="S474" i="1"/>
  <c r="T474" i="1" s="1"/>
  <c r="U474" i="1" s="1"/>
  <c r="R474" i="1"/>
  <c r="N474" i="1"/>
  <c r="O474" i="1" s="1"/>
  <c r="M474" i="1"/>
  <c r="K474" i="1"/>
  <c r="I474" i="1"/>
  <c r="G474" i="1"/>
  <c r="S82" i="1"/>
  <c r="T82" i="1" s="1"/>
  <c r="R82" i="1"/>
  <c r="N82" i="1"/>
  <c r="O82" i="1" s="1"/>
  <c r="M82" i="1"/>
  <c r="K82" i="1"/>
  <c r="I82" i="1"/>
  <c r="G82" i="1"/>
  <c r="S282" i="1"/>
  <c r="T282" i="1" s="1"/>
  <c r="R282" i="1"/>
  <c r="U282" i="1" s="1"/>
  <c r="N282" i="1"/>
  <c r="O282" i="1" s="1"/>
  <c r="M282" i="1"/>
  <c r="K282" i="1"/>
  <c r="I282" i="1"/>
  <c r="G282" i="1"/>
  <c r="S715" i="1"/>
  <c r="T715" i="1" s="1"/>
  <c r="R715" i="1"/>
  <c r="N715" i="1"/>
  <c r="O715" i="1" s="1"/>
  <c r="W715" i="1" s="1"/>
  <c r="M715" i="1"/>
  <c r="K715" i="1"/>
  <c r="I715" i="1"/>
  <c r="G715" i="1"/>
  <c r="S281" i="1"/>
  <c r="T281" i="1" s="1"/>
  <c r="U281" i="1" s="1"/>
  <c r="R281" i="1"/>
  <c r="N281" i="1"/>
  <c r="O281" i="1" s="1"/>
  <c r="M281" i="1"/>
  <c r="K281" i="1"/>
  <c r="I281" i="1"/>
  <c r="G281" i="1"/>
  <c r="S473" i="1"/>
  <c r="T473" i="1" s="1"/>
  <c r="R473" i="1"/>
  <c r="N473" i="1"/>
  <c r="O473" i="1" s="1"/>
  <c r="M473" i="1"/>
  <c r="K473" i="1"/>
  <c r="I473" i="1"/>
  <c r="G473" i="1"/>
  <c r="S624" i="1"/>
  <c r="T624" i="1" s="1"/>
  <c r="R624" i="1"/>
  <c r="U624" i="1" s="1"/>
  <c r="N624" i="1"/>
  <c r="O624" i="1" s="1"/>
  <c r="M624" i="1"/>
  <c r="K624" i="1"/>
  <c r="I624" i="1"/>
  <c r="G624" i="1"/>
  <c r="S227" i="1"/>
  <c r="T227" i="1" s="1"/>
  <c r="U227" i="1" s="1"/>
  <c r="R227" i="1"/>
  <c r="O227" i="1"/>
  <c r="N227" i="1"/>
  <c r="M227" i="1"/>
  <c r="V227" i="1" s="1"/>
  <c r="K227" i="1"/>
  <c r="I227" i="1"/>
  <c r="G227" i="1"/>
  <c r="T661" i="1"/>
  <c r="U661" i="1" s="1"/>
  <c r="S661" i="1"/>
  <c r="R661" i="1"/>
  <c r="N661" i="1"/>
  <c r="O661" i="1" s="1"/>
  <c r="M661" i="1"/>
  <c r="K661" i="1"/>
  <c r="I661" i="1"/>
  <c r="G661" i="1"/>
  <c r="T369" i="1"/>
  <c r="S369" i="1"/>
  <c r="R369" i="1"/>
  <c r="N369" i="1"/>
  <c r="O369" i="1" s="1"/>
  <c r="M369" i="1"/>
  <c r="K369" i="1"/>
  <c r="I369" i="1"/>
  <c r="G369" i="1"/>
  <c r="S472" i="1"/>
  <c r="T472" i="1" s="1"/>
  <c r="R472" i="1"/>
  <c r="O472" i="1"/>
  <c r="N472" i="1"/>
  <c r="M472" i="1"/>
  <c r="K472" i="1"/>
  <c r="I472" i="1"/>
  <c r="G472" i="1"/>
  <c r="V133" i="1"/>
  <c r="S133" i="1"/>
  <c r="T133" i="1" s="1"/>
  <c r="R133" i="1"/>
  <c r="N133" i="1"/>
  <c r="O133" i="1" s="1"/>
  <c r="M133" i="1"/>
  <c r="K133" i="1"/>
  <c r="I133" i="1"/>
  <c r="G133" i="1"/>
  <c r="S660" i="1"/>
  <c r="T660" i="1" s="1"/>
  <c r="U660" i="1" s="1"/>
  <c r="R660" i="1"/>
  <c r="N660" i="1"/>
  <c r="O660" i="1" s="1"/>
  <c r="M660" i="1"/>
  <c r="K660" i="1"/>
  <c r="I660" i="1"/>
  <c r="G660" i="1"/>
  <c r="S568" i="1"/>
  <c r="T568" i="1" s="1"/>
  <c r="R568" i="1"/>
  <c r="N568" i="1"/>
  <c r="O568" i="1" s="1"/>
  <c r="M568" i="1"/>
  <c r="K568" i="1"/>
  <c r="I568" i="1"/>
  <c r="G568" i="1"/>
  <c r="S81" i="1"/>
  <c r="T81" i="1" s="1"/>
  <c r="R81" i="1"/>
  <c r="N81" i="1"/>
  <c r="O81" i="1" s="1"/>
  <c r="M81" i="1"/>
  <c r="K81" i="1"/>
  <c r="I81" i="1"/>
  <c r="G81" i="1"/>
  <c r="S659" i="1"/>
  <c r="T659" i="1" s="1"/>
  <c r="R659" i="1"/>
  <c r="N659" i="1"/>
  <c r="O659" i="1" s="1"/>
  <c r="W659" i="1" s="1"/>
  <c r="M659" i="1"/>
  <c r="K659" i="1"/>
  <c r="I659" i="1"/>
  <c r="G659" i="1"/>
  <c r="S188" i="1"/>
  <c r="T188" i="1" s="1"/>
  <c r="U188" i="1" s="1"/>
  <c r="R188" i="1"/>
  <c r="N188" i="1"/>
  <c r="O188" i="1" s="1"/>
  <c r="M188" i="1"/>
  <c r="K188" i="1"/>
  <c r="I188" i="1"/>
  <c r="G188" i="1"/>
  <c r="S471" i="1"/>
  <c r="T471" i="1" s="1"/>
  <c r="R471" i="1"/>
  <c r="N471" i="1"/>
  <c r="O471" i="1" s="1"/>
  <c r="M471" i="1"/>
  <c r="K471" i="1"/>
  <c r="I471" i="1"/>
  <c r="G471" i="1"/>
  <c r="S623" i="1"/>
  <c r="T623" i="1" s="1"/>
  <c r="R623" i="1"/>
  <c r="N623" i="1"/>
  <c r="O623" i="1" s="1"/>
  <c r="M623" i="1"/>
  <c r="K623" i="1"/>
  <c r="I623" i="1"/>
  <c r="G623" i="1"/>
  <c r="S226" i="1"/>
  <c r="T226" i="1" s="1"/>
  <c r="R226" i="1"/>
  <c r="N226" i="1"/>
  <c r="O226" i="1" s="1"/>
  <c r="M226" i="1"/>
  <c r="K226" i="1"/>
  <c r="I226" i="1"/>
  <c r="G226" i="1"/>
  <c r="S422" i="1"/>
  <c r="T422" i="1" s="1"/>
  <c r="U422" i="1" s="1"/>
  <c r="R422" i="1"/>
  <c r="N422" i="1"/>
  <c r="O422" i="1" s="1"/>
  <c r="M422" i="1"/>
  <c r="K422" i="1"/>
  <c r="I422" i="1"/>
  <c r="G422" i="1"/>
  <c r="T132" i="1"/>
  <c r="U132" i="1" s="1"/>
  <c r="N132" i="1"/>
  <c r="O132" i="1" s="1"/>
  <c r="M132" i="1"/>
  <c r="K132" i="1"/>
  <c r="I132" i="1"/>
  <c r="G132" i="1"/>
  <c r="S622" i="1"/>
  <c r="T622" i="1" s="1"/>
  <c r="R622" i="1"/>
  <c r="N622" i="1"/>
  <c r="O622" i="1" s="1"/>
  <c r="W622" i="1" s="1"/>
  <c r="M622" i="1"/>
  <c r="K622" i="1"/>
  <c r="I622" i="1"/>
  <c r="G622" i="1"/>
  <c r="V622" i="1" s="1"/>
  <c r="T317" i="1"/>
  <c r="U317" i="1" s="1"/>
  <c r="N317" i="1"/>
  <c r="O317" i="1" s="1"/>
  <c r="M317" i="1"/>
  <c r="K317" i="1"/>
  <c r="I317" i="1"/>
  <c r="V317" i="1" s="1"/>
  <c r="G317" i="1"/>
  <c r="S34" i="1"/>
  <c r="T34" i="1" s="1"/>
  <c r="R34" i="1"/>
  <c r="O34" i="1"/>
  <c r="N34" i="1"/>
  <c r="M34" i="1"/>
  <c r="K34" i="1"/>
  <c r="I34" i="1"/>
  <c r="G34" i="1"/>
  <c r="S80" i="1"/>
  <c r="T80" i="1" s="1"/>
  <c r="U80" i="1" s="1"/>
  <c r="R80" i="1"/>
  <c r="O80" i="1"/>
  <c r="N80" i="1"/>
  <c r="M80" i="1"/>
  <c r="K80" i="1"/>
  <c r="I80" i="1"/>
  <c r="G80" i="1"/>
  <c r="T131" i="1"/>
  <c r="U131" i="1" s="1"/>
  <c r="S131" i="1"/>
  <c r="R131" i="1"/>
  <c r="N131" i="1"/>
  <c r="O131" i="1" s="1"/>
  <c r="M131" i="1"/>
  <c r="K131" i="1"/>
  <c r="I131" i="1"/>
  <c r="G131" i="1"/>
  <c r="W517" i="1"/>
  <c r="S517" i="1"/>
  <c r="T517" i="1" s="1"/>
  <c r="R517" i="1"/>
  <c r="N517" i="1"/>
  <c r="O517" i="1" s="1"/>
  <c r="M517" i="1"/>
  <c r="K517" i="1"/>
  <c r="I517" i="1"/>
  <c r="G517" i="1"/>
  <c r="S33" i="1"/>
  <c r="T33" i="1" s="1"/>
  <c r="R33" i="1"/>
  <c r="N33" i="1"/>
  <c r="O33" i="1" s="1"/>
  <c r="M33" i="1"/>
  <c r="K33" i="1"/>
  <c r="I33" i="1"/>
  <c r="G33" i="1"/>
  <c r="S187" i="1"/>
  <c r="T187" i="1" s="1"/>
  <c r="R187" i="1"/>
  <c r="N187" i="1"/>
  <c r="O187" i="1" s="1"/>
  <c r="M187" i="1"/>
  <c r="K187" i="1"/>
  <c r="I187" i="1"/>
  <c r="G187" i="1"/>
  <c r="S186" i="1"/>
  <c r="T186" i="1" s="1"/>
  <c r="U186" i="1" s="1"/>
  <c r="R186" i="1"/>
  <c r="N186" i="1"/>
  <c r="O186" i="1" s="1"/>
  <c r="M186" i="1"/>
  <c r="K186" i="1"/>
  <c r="I186" i="1"/>
  <c r="G186" i="1"/>
  <c r="T316" i="1"/>
  <c r="W316" i="1" s="1"/>
  <c r="S316" i="1"/>
  <c r="R316" i="1"/>
  <c r="N316" i="1"/>
  <c r="O316" i="1" s="1"/>
  <c r="P316" i="1" s="1"/>
  <c r="M316" i="1"/>
  <c r="K316" i="1"/>
  <c r="I316" i="1"/>
  <c r="G316" i="1"/>
  <c r="S567" i="1"/>
  <c r="T567" i="1" s="1"/>
  <c r="U567" i="1" s="1"/>
  <c r="R567" i="1"/>
  <c r="N567" i="1"/>
  <c r="O567" i="1" s="1"/>
  <c r="M567" i="1"/>
  <c r="K567" i="1"/>
  <c r="I567" i="1"/>
  <c r="G567" i="1"/>
  <c r="S421" i="1"/>
  <c r="T421" i="1" s="1"/>
  <c r="U421" i="1" s="1"/>
  <c r="R421" i="1"/>
  <c r="N421" i="1"/>
  <c r="O421" i="1" s="1"/>
  <c r="M421" i="1"/>
  <c r="K421" i="1"/>
  <c r="I421" i="1"/>
  <c r="G421" i="1"/>
  <c r="T32" i="1"/>
  <c r="U32" i="1" s="1"/>
  <c r="N32" i="1"/>
  <c r="O32" i="1" s="1"/>
  <c r="M32" i="1"/>
  <c r="K32" i="1"/>
  <c r="I32" i="1"/>
  <c r="G32" i="1"/>
  <c r="S130" i="1"/>
  <c r="T130" i="1" s="1"/>
  <c r="R130" i="1"/>
  <c r="O130" i="1"/>
  <c r="N130" i="1"/>
  <c r="M130" i="1"/>
  <c r="K130" i="1"/>
  <c r="I130" i="1"/>
  <c r="G130" i="1"/>
  <c r="S420" i="1"/>
  <c r="T420" i="1" s="1"/>
  <c r="U420" i="1" s="1"/>
  <c r="R420" i="1"/>
  <c r="O420" i="1"/>
  <c r="N420" i="1"/>
  <c r="M420" i="1"/>
  <c r="K420" i="1"/>
  <c r="I420" i="1"/>
  <c r="G420" i="1"/>
  <c r="T419" i="1"/>
  <c r="U419" i="1" s="1"/>
  <c r="S419" i="1"/>
  <c r="R419" i="1"/>
  <c r="N419" i="1"/>
  <c r="O419" i="1" s="1"/>
  <c r="M419" i="1"/>
  <c r="P419" i="1" s="1"/>
  <c r="K419" i="1"/>
  <c r="I419" i="1"/>
  <c r="G419" i="1"/>
  <c r="T129" i="1"/>
  <c r="S129" i="1"/>
  <c r="R129" i="1"/>
  <c r="N129" i="1"/>
  <c r="O129" i="1" s="1"/>
  <c r="P129" i="1" s="1"/>
  <c r="M129" i="1"/>
  <c r="K129" i="1"/>
  <c r="I129" i="1"/>
  <c r="G129" i="1"/>
  <c r="S566" i="1"/>
  <c r="T566" i="1" s="1"/>
  <c r="R566" i="1"/>
  <c r="O566" i="1"/>
  <c r="N566" i="1"/>
  <c r="M566" i="1"/>
  <c r="K566" i="1"/>
  <c r="I566" i="1"/>
  <c r="G566" i="1"/>
  <c r="S280" i="1"/>
  <c r="T280" i="1" s="1"/>
  <c r="U280" i="1" s="1"/>
  <c r="R280" i="1"/>
  <c r="N280" i="1"/>
  <c r="O280" i="1" s="1"/>
  <c r="M280" i="1"/>
  <c r="K280" i="1"/>
  <c r="I280" i="1"/>
  <c r="G280" i="1"/>
  <c r="T621" i="1"/>
  <c r="U621" i="1" s="1"/>
  <c r="S621" i="1"/>
  <c r="R621" i="1"/>
  <c r="N621" i="1"/>
  <c r="O621" i="1" s="1"/>
  <c r="P621" i="1" s="1"/>
  <c r="M621" i="1"/>
  <c r="K621" i="1"/>
  <c r="I621" i="1"/>
  <c r="G621" i="1"/>
  <c r="S315" i="1"/>
  <c r="T315" i="1" s="1"/>
  <c r="R315" i="1"/>
  <c r="N315" i="1"/>
  <c r="O315" i="1" s="1"/>
  <c r="M315" i="1"/>
  <c r="K315" i="1"/>
  <c r="I315" i="1"/>
  <c r="G315" i="1"/>
  <c r="S185" i="1"/>
  <c r="T185" i="1" s="1"/>
  <c r="R185" i="1"/>
  <c r="N185" i="1"/>
  <c r="O185" i="1" s="1"/>
  <c r="M185" i="1"/>
  <c r="K185" i="1"/>
  <c r="I185" i="1"/>
  <c r="G185" i="1"/>
  <c r="S368" i="1"/>
  <c r="T368" i="1" s="1"/>
  <c r="U368" i="1" s="1"/>
  <c r="R368" i="1"/>
  <c r="O368" i="1"/>
  <c r="W368" i="1" s="1"/>
  <c r="N368" i="1"/>
  <c r="M368" i="1"/>
  <c r="K368" i="1"/>
  <c r="I368" i="1"/>
  <c r="G368" i="1"/>
  <c r="S470" i="1"/>
  <c r="T470" i="1" s="1"/>
  <c r="U470" i="1" s="1"/>
  <c r="R470" i="1"/>
  <c r="N470" i="1"/>
  <c r="O470" i="1" s="1"/>
  <c r="M470" i="1"/>
  <c r="K470" i="1"/>
  <c r="I470" i="1"/>
  <c r="G470" i="1"/>
  <c r="T620" i="1"/>
  <c r="W620" i="1" s="1"/>
  <c r="S620" i="1"/>
  <c r="R620" i="1"/>
  <c r="U620" i="1" s="1"/>
  <c r="N620" i="1"/>
  <c r="O620" i="1" s="1"/>
  <c r="M620" i="1"/>
  <c r="P620" i="1" s="1"/>
  <c r="K620" i="1"/>
  <c r="I620" i="1"/>
  <c r="G620" i="1"/>
  <c r="S714" i="1"/>
  <c r="T714" i="1" s="1"/>
  <c r="U714" i="1" s="1"/>
  <c r="R714" i="1"/>
  <c r="N714" i="1"/>
  <c r="O714" i="1" s="1"/>
  <c r="M714" i="1"/>
  <c r="K714" i="1"/>
  <c r="I714" i="1"/>
  <c r="G714" i="1"/>
  <c r="S418" i="1"/>
  <c r="T418" i="1" s="1"/>
  <c r="U418" i="1" s="1"/>
  <c r="R418" i="1"/>
  <c r="N418" i="1"/>
  <c r="O418" i="1" s="1"/>
  <c r="W418" i="1" s="1"/>
  <c r="M418" i="1"/>
  <c r="K418" i="1"/>
  <c r="I418" i="1"/>
  <c r="G418" i="1"/>
  <c r="S469" i="1"/>
  <c r="T469" i="1" s="1"/>
  <c r="R469" i="1"/>
  <c r="N469" i="1"/>
  <c r="O469" i="1" s="1"/>
  <c r="M469" i="1"/>
  <c r="K469" i="1"/>
  <c r="I469" i="1"/>
  <c r="G469" i="1"/>
  <c r="S713" i="1"/>
  <c r="T713" i="1" s="1"/>
  <c r="U713" i="1" s="1"/>
  <c r="R713" i="1"/>
  <c r="N713" i="1"/>
  <c r="O713" i="1" s="1"/>
  <c r="M713" i="1"/>
  <c r="K713" i="1"/>
  <c r="I713" i="1"/>
  <c r="G713" i="1"/>
  <c r="S184" i="1"/>
  <c r="T184" i="1" s="1"/>
  <c r="R184" i="1"/>
  <c r="U184" i="1" s="1"/>
  <c r="N184" i="1"/>
  <c r="O184" i="1" s="1"/>
  <c r="W184" i="1" s="1"/>
  <c r="M184" i="1"/>
  <c r="K184" i="1"/>
  <c r="I184" i="1"/>
  <c r="G184" i="1"/>
  <c r="S619" i="1"/>
  <c r="T619" i="1" s="1"/>
  <c r="R619" i="1"/>
  <c r="N619" i="1"/>
  <c r="O619" i="1" s="1"/>
  <c r="W619" i="1" s="1"/>
  <c r="M619" i="1"/>
  <c r="K619" i="1"/>
  <c r="I619" i="1"/>
  <c r="G619" i="1"/>
  <c r="S314" i="1"/>
  <c r="T314" i="1" s="1"/>
  <c r="R314" i="1"/>
  <c r="N314" i="1"/>
  <c r="O314" i="1" s="1"/>
  <c r="M314" i="1"/>
  <c r="K314" i="1"/>
  <c r="I314" i="1"/>
  <c r="G314" i="1"/>
  <c r="W712" i="1"/>
  <c r="S712" i="1"/>
  <c r="T712" i="1" s="1"/>
  <c r="R712" i="1"/>
  <c r="N712" i="1"/>
  <c r="O712" i="1" s="1"/>
  <c r="M712" i="1"/>
  <c r="K712" i="1"/>
  <c r="I712" i="1"/>
  <c r="G712" i="1"/>
  <c r="S367" i="1"/>
  <c r="T367" i="1" s="1"/>
  <c r="R367" i="1"/>
  <c r="N367" i="1"/>
  <c r="O367" i="1" s="1"/>
  <c r="W367" i="1" s="1"/>
  <c r="M367" i="1"/>
  <c r="K367" i="1"/>
  <c r="I367" i="1"/>
  <c r="G367" i="1"/>
  <c r="S565" i="1"/>
  <c r="T565" i="1" s="1"/>
  <c r="R565" i="1"/>
  <c r="O565" i="1"/>
  <c r="W565" i="1" s="1"/>
  <c r="N565" i="1"/>
  <c r="M565" i="1"/>
  <c r="P565" i="1" s="1"/>
  <c r="K565" i="1"/>
  <c r="I565" i="1"/>
  <c r="G565" i="1"/>
  <c r="S279" i="1"/>
  <c r="T279" i="1" s="1"/>
  <c r="R279" i="1"/>
  <c r="N279" i="1"/>
  <c r="O279" i="1" s="1"/>
  <c r="P279" i="1" s="1"/>
  <c r="M279" i="1"/>
  <c r="K279" i="1"/>
  <c r="I279" i="1"/>
  <c r="G279" i="1"/>
  <c r="S468" i="1"/>
  <c r="T468" i="1" s="1"/>
  <c r="U468" i="1" s="1"/>
  <c r="R468" i="1"/>
  <c r="N468" i="1"/>
  <c r="O468" i="1" s="1"/>
  <c r="P468" i="1" s="1"/>
  <c r="M468" i="1"/>
  <c r="K468" i="1"/>
  <c r="I468" i="1"/>
  <c r="G468" i="1"/>
  <c r="S658" i="1"/>
  <c r="T658" i="1" s="1"/>
  <c r="R658" i="1"/>
  <c r="O658" i="1"/>
  <c r="W658" i="1" s="1"/>
  <c r="N658" i="1"/>
  <c r="M658" i="1"/>
  <c r="P658" i="1" s="1"/>
  <c r="K658" i="1"/>
  <c r="I658" i="1"/>
  <c r="G658" i="1"/>
  <c r="S516" i="1"/>
  <c r="T516" i="1" s="1"/>
  <c r="U516" i="1" s="1"/>
  <c r="R516" i="1"/>
  <c r="O516" i="1"/>
  <c r="W516" i="1" s="1"/>
  <c r="N516" i="1"/>
  <c r="M516" i="1"/>
  <c r="K516" i="1"/>
  <c r="I516" i="1"/>
  <c r="G516" i="1"/>
  <c r="T711" i="1"/>
  <c r="S711" i="1"/>
  <c r="R711" i="1"/>
  <c r="O711" i="1"/>
  <c r="N711" i="1"/>
  <c r="M711" i="1"/>
  <c r="P711" i="1" s="1"/>
  <c r="K711" i="1"/>
  <c r="I711" i="1"/>
  <c r="G711" i="1"/>
  <c r="S564" i="1"/>
  <c r="T564" i="1" s="1"/>
  <c r="R564" i="1"/>
  <c r="N564" i="1"/>
  <c r="O564" i="1" s="1"/>
  <c r="M564" i="1"/>
  <c r="P564" i="1" s="1"/>
  <c r="K564" i="1"/>
  <c r="I564" i="1"/>
  <c r="G564" i="1"/>
  <c r="T710" i="1"/>
  <c r="S710" i="1"/>
  <c r="R710" i="1"/>
  <c r="N710" i="1"/>
  <c r="O710" i="1" s="1"/>
  <c r="M710" i="1"/>
  <c r="K710" i="1"/>
  <c r="I710" i="1"/>
  <c r="G710" i="1"/>
  <c r="S657" i="1"/>
  <c r="T657" i="1" s="1"/>
  <c r="U657" i="1" s="1"/>
  <c r="R657" i="1"/>
  <c r="O657" i="1"/>
  <c r="N657" i="1"/>
  <c r="M657" i="1"/>
  <c r="K657" i="1"/>
  <c r="I657" i="1"/>
  <c r="G657" i="1"/>
  <c r="S709" i="1"/>
  <c r="T709" i="1" s="1"/>
  <c r="R709" i="1"/>
  <c r="N709" i="1"/>
  <c r="O709" i="1" s="1"/>
  <c r="P709" i="1" s="1"/>
  <c r="M709" i="1"/>
  <c r="K709" i="1"/>
  <c r="I709" i="1"/>
  <c r="G709" i="1"/>
  <c r="V709" i="1" s="1"/>
  <c r="S656" i="1"/>
  <c r="T656" i="1" s="1"/>
  <c r="U656" i="1" s="1"/>
  <c r="R656" i="1"/>
  <c r="P656" i="1"/>
  <c r="N656" i="1"/>
  <c r="O656" i="1" s="1"/>
  <c r="M656" i="1"/>
  <c r="K656" i="1"/>
  <c r="I656" i="1"/>
  <c r="V656" i="1" s="1"/>
  <c r="G656" i="1"/>
  <c r="T563" i="1"/>
  <c r="S563" i="1"/>
  <c r="R563" i="1"/>
  <c r="U563" i="1" s="1"/>
  <c r="N563" i="1"/>
  <c r="O563" i="1" s="1"/>
  <c r="M563" i="1"/>
  <c r="K563" i="1"/>
  <c r="I563" i="1"/>
  <c r="G563" i="1"/>
  <c r="S562" i="1"/>
  <c r="T562" i="1" s="1"/>
  <c r="U562" i="1" s="1"/>
  <c r="R562" i="1"/>
  <c r="O562" i="1"/>
  <c r="N562" i="1"/>
  <c r="M562" i="1"/>
  <c r="K562" i="1"/>
  <c r="I562" i="1"/>
  <c r="G562" i="1"/>
  <c r="S708" i="1"/>
  <c r="T708" i="1" s="1"/>
  <c r="R708" i="1"/>
  <c r="N708" i="1"/>
  <c r="O708" i="1" s="1"/>
  <c r="P708" i="1" s="1"/>
  <c r="M708" i="1"/>
  <c r="K708" i="1"/>
  <c r="I708" i="1"/>
  <c r="G708" i="1"/>
  <c r="S618" i="1"/>
  <c r="T618" i="1" s="1"/>
  <c r="U618" i="1" s="1"/>
  <c r="R618" i="1"/>
  <c r="N618" i="1"/>
  <c r="O618" i="1" s="1"/>
  <c r="M618" i="1"/>
  <c r="P618" i="1" s="1"/>
  <c r="K618" i="1"/>
  <c r="I618" i="1"/>
  <c r="G618" i="1"/>
  <c r="U278" i="1"/>
  <c r="T278" i="1"/>
  <c r="N278" i="1"/>
  <c r="O278" i="1" s="1"/>
  <c r="P278" i="1" s="1"/>
  <c r="M278" i="1"/>
  <c r="K278" i="1"/>
  <c r="I278" i="1"/>
  <c r="G278" i="1"/>
  <c r="S79" i="1"/>
  <c r="T79" i="1" s="1"/>
  <c r="R79" i="1"/>
  <c r="N79" i="1"/>
  <c r="O79" i="1" s="1"/>
  <c r="W79" i="1" s="1"/>
  <c r="M79" i="1"/>
  <c r="K79" i="1"/>
  <c r="I79" i="1"/>
  <c r="G79" i="1"/>
  <c r="S617" i="1"/>
  <c r="T617" i="1" s="1"/>
  <c r="U617" i="1" s="1"/>
  <c r="R617" i="1"/>
  <c r="P617" i="1"/>
  <c r="N617" i="1"/>
  <c r="O617" i="1" s="1"/>
  <c r="M617" i="1"/>
  <c r="K617" i="1"/>
  <c r="I617" i="1"/>
  <c r="V617" i="1" s="1"/>
  <c r="G617" i="1"/>
  <c r="T467" i="1"/>
  <c r="S467" i="1"/>
  <c r="R467" i="1"/>
  <c r="U467" i="1" s="1"/>
  <c r="N467" i="1"/>
  <c r="O467" i="1" s="1"/>
  <c r="W467" i="1" s="1"/>
  <c r="M467" i="1"/>
  <c r="K467" i="1"/>
  <c r="I467" i="1"/>
  <c r="G467" i="1"/>
  <c r="S466" i="1"/>
  <c r="T466" i="1" s="1"/>
  <c r="U466" i="1" s="1"/>
  <c r="R466" i="1"/>
  <c r="O466" i="1"/>
  <c r="K466" i="1"/>
  <c r="I466" i="1"/>
  <c r="V466" i="1" s="1"/>
  <c r="G466" i="1"/>
  <c r="S183" i="1"/>
  <c r="T183" i="1" s="1"/>
  <c r="U183" i="1" s="1"/>
  <c r="R183" i="1"/>
  <c r="N183" i="1"/>
  <c r="O183" i="1" s="1"/>
  <c r="M183" i="1"/>
  <c r="K183" i="1"/>
  <c r="I183" i="1"/>
  <c r="V183" i="1" s="1"/>
  <c r="G183" i="1"/>
  <c r="S417" i="1"/>
  <c r="T417" i="1" s="1"/>
  <c r="R417" i="1"/>
  <c r="N417" i="1"/>
  <c r="O417" i="1" s="1"/>
  <c r="M417" i="1"/>
  <c r="P417" i="1" s="1"/>
  <c r="K417" i="1"/>
  <c r="I417" i="1"/>
  <c r="G417" i="1"/>
  <c r="S416" i="1"/>
  <c r="T416" i="1" s="1"/>
  <c r="R416" i="1"/>
  <c r="O416" i="1"/>
  <c r="N416" i="1"/>
  <c r="M416" i="1"/>
  <c r="K416" i="1"/>
  <c r="I416" i="1"/>
  <c r="G416" i="1"/>
  <c r="S515" i="1"/>
  <c r="T515" i="1" s="1"/>
  <c r="R515" i="1"/>
  <c r="U515" i="1" s="1"/>
  <c r="O515" i="1"/>
  <c r="N515" i="1"/>
  <c r="M515" i="1"/>
  <c r="P515" i="1" s="1"/>
  <c r="K515" i="1"/>
  <c r="I515" i="1"/>
  <c r="V515" i="1" s="1"/>
  <c r="G515" i="1"/>
  <c r="T561" i="1"/>
  <c r="U561" i="1" s="1"/>
  <c r="S561" i="1"/>
  <c r="R561" i="1"/>
  <c r="N561" i="1"/>
  <c r="O561" i="1" s="1"/>
  <c r="M561" i="1"/>
  <c r="K561" i="1"/>
  <c r="I561" i="1"/>
  <c r="G561" i="1"/>
  <c r="T655" i="1"/>
  <c r="S655" i="1"/>
  <c r="R655" i="1"/>
  <c r="N655" i="1"/>
  <c r="O655" i="1" s="1"/>
  <c r="M655" i="1"/>
  <c r="K655" i="1"/>
  <c r="I655" i="1"/>
  <c r="G655" i="1"/>
  <c r="S128" i="1"/>
  <c r="T128" i="1" s="1"/>
  <c r="U128" i="1" s="1"/>
  <c r="R128" i="1"/>
  <c r="O128" i="1"/>
  <c r="N128" i="1"/>
  <c r="M128" i="1"/>
  <c r="K128" i="1"/>
  <c r="I128" i="1"/>
  <c r="G128" i="1"/>
  <c r="S514" i="1"/>
  <c r="T514" i="1" s="1"/>
  <c r="R514" i="1"/>
  <c r="O514" i="1"/>
  <c r="N514" i="1"/>
  <c r="M514" i="1"/>
  <c r="P514" i="1" s="1"/>
  <c r="K514" i="1"/>
  <c r="I514" i="1"/>
  <c r="V514" i="1" s="1"/>
  <c r="G514" i="1"/>
  <c r="T31" i="1"/>
  <c r="S31" i="1"/>
  <c r="R31" i="1"/>
  <c r="N31" i="1"/>
  <c r="O31" i="1" s="1"/>
  <c r="M31" i="1"/>
  <c r="K31" i="1"/>
  <c r="I31" i="1"/>
  <c r="V31" i="1" s="1"/>
  <c r="G31" i="1"/>
  <c r="T366" i="1"/>
  <c r="S366" i="1"/>
  <c r="R366" i="1"/>
  <c r="U366" i="1" s="1"/>
  <c r="N366" i="1"/>
  <c r="O366" i="1" s="1"/>
  <c r="M366" i="1"/>
  <c r="K366" i="1"/>
  <c r="I366" i="1"/>
  <c r="G366" i="1"/>
  <c r="S30" i="1"/>
  <c r="T30" i="1" s="1"/>
  <c r="U30" i="1" s="1"/>
  <c r="R30" i="1"/>
  <c r="O30" i="1"/>
  <c r="N30" i="1"/>
  <c r="M30" i="1"/>
  <c r="K30" i="1"/>
  <c r="I30" i="1"/>
  <c r="G30" i="1"/>
  <c r="S29" i="1"/>
  <c r="T29" i="1" s="1"/>
  <c r="R29" i="1"/>
  <c r="N29" i="1"/>
  <c r="O29" i="1" s="1"/>
  <c r="M29" i="1"/>
  <c r="K29" i="1"/>
  <c r="I29" i="1"/>
  <c r="V29" i="1" s="1"/>
  <c r="G29" i="1"/>
  <c r="T127" i="1"/>
  <c r="U127" i="1" s="1"/>
  <c r="S127" i="1"/>
  <c r="R127" i="1"/>
  <c r="N127" i="1"/>
  <c r="O127" i="1" s="1"/>
  <c r="M127" i="1"/>
  <c r="K127" i="1"/>
  <c r="I127" i="1"/>
  <c r="G127" i="1"/>
  <c r="T616" i="1"/>
  <c r="S616" i="1"/>
  <c r="R616" i="1"/>
  <c r="N616" i="1"/>
  <c r="O616" i="1" s="1"/>
  <c r="M616" i="1"/>
  <c r="K616" i="1"/>
  <c r="I616" i="1"/>
  <c r="G616" i="1"/>
  <c r="S182" i="1"/>
  <c r="T182" i="1" s="1"/>
  <c r="U182" i="1" s="1"/>
  <c r="R182" i="1"/>
  <c r="N182" i="1"/>
  <c r="O182" i="1" s="1"/>
  <c r="M182" i="1"/>
  <c r="K182" i="1"/>
  <c r="I182" i="1"/>
  <c r="G182" i="1"/>
  <c r="S28" i="1"/>
  <c r="T28" i="1" s="1"/>
  <c r="R28" i="1"/>
  <c r="O28" i="1"/>
  <c r="P28" i="1" s="1"/>
  <c r="N28" i="1"/>
  <c r="M28" i="1"/>
  <c r="K28" i="1"/>
  <c r="I28" i="1"/>
  <c r="V28" i="1" s="1"/>
  <c r="G28" i="1"/>
  <c r="S513" i="1"/>
  <c r="T513" i="1" s="1"/>
  <c r="U513" i="1" s="1"/>
  <c r="R513" i="1"/>
  <c r="N513" i="1"/>
  <c r="O513" i="1" s="1"/>
  <c r="M513" i="1"/>
  <c r="K513" i="1"/>
  <c r="I513" i="1"/>
  <c r="V513" i="1" s="1"/>
  <c r="G513" i="1"/>
  <c r="S225" i="1"/>
  <c r="T225" i="1" s="1"/>
  <c r="R225" i="1"/>
  <c r="N225" i="1"/>
  <c r="O225" i="1" s="1"/>
  <c r="M225" i="1"/>
  <c r="K225" i="1"/>
  <c r="I225" i="1"/>
  <c r="G225" i="1"/>
  <c r="S126" i="1"/>
  <c r="T126" i="1" s="1"/>
  <c r="R126" i="1"/>
  <c r="O126" i="1"/>
  <c r="N126" i="1"/>
  <c r="M126" i="1"/>
  <c r="K126" i="1"/>
  <c r="I126" i="1"/>
  <c r="G126" i="1"/>
  <c r="S277" i="1"/>
  <c r="T277" i="1" s="1"/>
  <c r="R277" i="1"/>
  <c r="O277" i="1"/>
  <c r="N277" i="1"/>
  <c r="M277" i="1"/>
  <c r="K277" i="1"/>
  <c r="I277" i="1"/>
  <c r="G277" i="1"/>
  <c r="S365" i="1"/>
  <c r="T365" i="1" s="1"/>
  <c r="U365" i="1" s="1"/>
  <c r="R365" i="1"/>
  <c r="N365" i="1"/>
  <c r="O365" i="1" s="1"/>
  <c r="M365" i="1"/>
  <c r="P365" i="1" s="1"/>
  <c r="K365" i="1"/>
  <c r="I365" i="1"/>
  <c r="G365" i="1"/>
  <c r="S465" i="1"/>
  <c r="T465" i="1" s="1"/>
  <c r="U465" i="1" s="1"/>
  <c r="R465" i="1"/>
  <c r="N465" i="1"/>
  <c r="O465" i="1" s="1"/>
  <c r="M465" i="1"/>
  <c r="K465" i="1"/>
  <c r="I465" i="1"/>
  <c r="G465" i="1"/>
  <c r="S415" i="1"/>
  <c r="T415" i="1" s="1"/>
  <c r="U415" i="1" s="1"/>
  <c r="R415" i="1"/>
  <c r="O415" i="1"/>
  <c r="N415" i="1"/>
  <c r="M415" i="1"/>
  <c r="P415" i="1" s="1"/>
  <c r="K415" i="1"/>
  <c r="I415" i="1"/>
  <c r="G415" i="1"/>
  <c r="S125" i="1"/>
  <c r="T125" i="1" s="1"/>
  <c r="R125" i="1"/>
  <c r="U125" i="1" s="1"/>
  <c r="N125" i="1"/>
  <c r="O125" i="1" s="1"/>
  <c r="W125" i="1" s="1"/>
  <c r="M125" i="1"/>
  <c r="K125" i="1"/>
  <c r="I125" i="1"/>
  <c r="V125" i="1" s="1"/>
  <c r="G125" i="1"/>
  <c r="S181" i="1"/>
  <c r="T181" i="1" s="1"/>
  <c r="U181" i="1" s="1"/>
  <c r="R181" i="1"/>
  <c r="N181" i="1"/>
  <c r="O181" i="1" s="1"/>
  <c r="M181" i="1"/>
  <c r="K181" i="1"/>
  <c r="I181" i="1"/>
  <c r="G181" i="1"/>
  <c r="S707" i="1"/>
  <c r="T707" i="1" s="1"/>
  <c r="U707" i="1" s="1"/>
  <c r="R707" i="1"/>
  <c r="N707" i="1"/>
  <c r="O707" i="1" s="1"/>
  <c r="M707" i="1"/>
  <c r="P707" i="1" s="1"/>
  <c r="K707" i="1"/>
  <c r="I707" i="1"/>
  <c r="G707" i="1"/>
  <c r="S654" i="1"/>
  <c r="T654" i="1" s="1"/>
  <c r="U654" i="1" s="1"/>
  <c r="R654" i="1"/>
  <c r="O654" i="1"/>
  <c r="N654" i="1"/>
  <c r="M654" i="1"/>
  <c r="P654" i="1" s="1"/>
  <c r="K654" i="1"/>
  <c r="I654" i="1"/>
  <c r="G654" i="1"/>
  <c r="S124" i="1"/>
  <c r="T124" i="1" s="1"/>
  <c r="R124" i="1"/>
  <c r="U124" i="1" s="1"/>
  <c r="O124" i="1"/>
  <c r="P124" i="1" s="1"/>
  <c r="N124" i="1"/>
  <c r="M124" i="1"/>
  <c r="K124" i="1"/>
  <c r="I124" i="1"/>
  <c r="G124" i="1"/>
  <c r="S180" i="1"/>
  <c r="T180" i="1" s="1"/>
  <c r="R180" i="1"/>
  <c r="N180" i="1"/>
  <c r="O180" i="1" s="1"/>
  <c r="M180" i="1"/>
  <c r="K180" i="1"/>
  <c r="I180" i="1"/>
  <c r="G180" i="1"/>
  <c r="U179" i="1"/>
  <c r="S179" i="1"/>
  <c r="T179" i="1" s="1"/>
  <c r="R179" i="1"/>
  <c r="O179" i="1"/>
  <c r="N179" i="1"/>
  <c r="M179" i="1"/>
  <c r="P179" i="1" s="1"/>
  <c r="K179" i="1"/>
  <c r="I179" i="1"/>
  <c r="G179" i="1"/>
  <c r="S464" i="1"/>
  <c r="T464" i="1" s="1"/>
  <c r="R464" i="1"/>
  <c r="N464" i="1"/>
  <c r="O464" i="1" s="1"/>
  <c r="M464" i="1"/>
  <c r="K464" i="1"/>
  <c r="I464" i="1"/>
  <c r="V464" i="1" s="1"/>
  <c r="G464" i="1"/>
  <c r="S463" i="1"/>
  <c r="T463" i="1" s="1"/>
  <c r="R463" i="1"/>
  <c r="N463" i="1"/>
  <c r="O463" i="1" s="1"/>
  <c r="M463" i="1"/>
  <c r="P463" i="1" s="1"/>
  <c r="K463" i="1"/>
  <c r="I463" i="1"/>
  <c r="G463" i="1"/>
  <c r="S364" i="1"/>
  <c r="T364" i="1" s="1"/>
  <c r="U364" i="1" s="1"/>
  <c r="R364" i="1"/>
  <c r="N364" i="1"/>
  <c r="O364" i="1" s="1"/>
  <c r="W364" i="1" s="1"/>
  <c r="M364" i="1"/>
  <c r="K364" i="1"/>
  <c r="I364" i="1"/>
  <c r="G364" i="1"/>
  <c r="S706" i="1"/>
  <c r="T706" i="1" s="1"/>
  <c r="U706" i="1" s="1"/>
  <c r="R706" i="1"/>
  <c r="N706" i="1"/>
  <c r="O706" i="1" s="1"/>
  <c r="M706" i="1"/>
  <c r="K706" i="1"/>
  <c r="I706" i="1"/>
  <c r="G706" i="1"/>
  <c r="S512" i="1"/>
  <c r="T512" i="1" s="1"/>
  <c r="R512" i="1"/>
  <c r="O512" i="1"/>
  <c r="N512" i="1"/>
  <c r="M512" i="1"/>
  <c r="P512" i="1" s="1"/>
  <c r="K512" i="1"/>
  <c r="I512" i="1"/>
  <c r="G512" i="1"/>
  <c r="S178" i="1"/>
  <c r="T178" i="1" s="1"/>
  <c r="R178" i="1"/>
  <c r="P178" i="1"/>
  <c r="N178" i="1"/>
  <c r="O178" i="1" s="1"/>
  <c r="M178" i="1"/>
  <c r="K178" i="1"/>
  <c r="V178" i="1" s="1"/>
  <c r="I178" i="1"/>
  <c r="G178" i="1"/>
  <c r="W462" i="1"/>
  <c r="S462" i="1"/>
  <c r="T462" i="1" s="1"/>
  <c r="R462" i="1"/>
  <c r="N462" i="1"/>
  <c r="O462" i="1" s="1"/>
  <c r="M462" i="1"/>
  <c r="P462" i="1" s="1"/>
  <c r="K462" i="1"/>
  <c r="V462" i="1" s="1"/>
  <c r="I462" i="1"/>
  <c r="G462" i="1"/>
  <c r="S27" i="1"/>
  <c r="T27" i="1" s="1"/>
  <c r="R27" i="1"/>
  <c r="U27" i="1" s="1"/>
  <c r="N27" i="1"/>
  <c r="O27" i="1" s="1"/>
  <c r="M27" i="1"/>
  <c r="P27" i="1" s="1"/>
  <c r="K27" i="1"/>
  <c r="V27" i="1" s="1"/>
  <c r="I27" i="1"/>
  <c r="G27" i="1"/>
  <c r="S177" i="1"/>
  <c r="T177" i="1" s="1"/>
  <c r="R177" i="1"/>
  <c r="N177" i="1"/>
  <c r="O177" i="1" s="1"/>
  <c r="M177" i="1"/>
  <c r="K177" i="1"/>
  <c r="I177" i="1"/>
  <c r="G177" i="1"/>
  <c r="S313" i="1"/>
  <c r="T313" i="1" s="1"/>
  <c r="R313" i="1"/>
  <c r="U313" i="1" s="1"/>
  <c r="N313" i="1"/>
  <c r="O313" i="1" s="1"/>
  <c r="M313" i="1"/>
  <c r="K313" i="1"/>
  <c r="I313" i="1"/>
  <c r="G313" i="1"/>
  <c r="T461" i="1"/>
  <c r="S461" i="1"/>
  <c r="R461" i="1"/>
  <c r="U461" i="1" s="1"/>
  <c r="N461" i="1"/>
  <c r="O461" i="1" s="1"/>
  <c r="W461" i="1" s="1"/>
  <c r="M461" i="1"/>
  <c r="K461" i="1"/>
  <c r="I461" i="1"/>
  <c r="G461" i="1"/>
  <c r="S78" i="1"/>
  <c r="T78" i="1" s="1"/>
  <c r="U78" i="1" s="1"/>
  <c r="R78" i="1"/>
  <c r="N78" i="1"/>
  <c r="O78" i="1" s="1"/>
  <c r="M78" i="1"/>
  <c r="P78" i="1" s="1"/>
  <c r="K78" i="1"/>
  <c r="I78" i="1"/>
  <c r="G78" i="1"/>
  <c r="S224" i="1"/>
  <c r="T224" i="1" s="1"/>
  <c r="R224" i="1"/>
  <c r="U224" i="1" s="1"/>
  <c r="N224" i="1"/>
  <c r="O224" i="1" s="1"/>
  <c r="W224" i="1" s="1"/>
  <c r="M224" i="1"/>
  <c r="K224" i="1"/>
  <c r="I224" i="1"/>
  <c r="G224" i="1"/>
  <c r="S223" i="1"/>
  <c r="T223" i="1" s="1"/>
  <c r="R223" i="1"/>
  <c r="N223" i="1"/>
  <c r="O223" i="1" s="1"/>
  <c r="M223" i="1"/>
  <c r="V223" i="1" s="1"/>
  <c r="K223" i="1"/>
  <c r="I223" i="1"/>
  <c r="G223" i="1"/>
  <c r="T615" i="1"/>
  <c r="S615" i="1"/>
  <c r="R615" i="1"/>
  <c r="U615" i="1" s="1"/>
  <c r="N615" i="1"/>
  <c r="O615" i="1" s="1"/>
  <c r="W615" i="1" s="1"/>
  <c r="M615" i="1"/>
  <c r="K615" i="1"/>
  <c r="I615" i="1"/>
  <c r="G615" i="1"/>
  <c r="U276" i="1"/>
  <c r="S276" i="1"/>
  <c r="T276" i="1" s="1"/>
  <c r="R276" i="1"/>
  <c r="N276" i="1"/>
  <c r="O276" i="1" s="1"/>
  <c r="W276" i="1" s="1"/>
  <c r="M276" i="1"/>
  <c r="K276" i="1"/>
  <c r="I276" i="1"/>
  <c r="G276" i="1"/>
  <c r="T275" i="1"/>
  <c r="S275" i="1"/>
  <c r="R275" i="1"/>
  <c r="P275" i="1"/>
  <c r="O275" i="1"/>
  <c r="N275" i="1"/>
  <c r="M275" i="1"/>
  <c r="K275" i="1"/>
  <c r="I275" i="1"/>
  <c r="V275" i="1" s="1"/>
  <c r="G275" i="1"/>
  <c r="S614" i="1"/>
  <c r="T614" i="1" s="1"/>
  <c r="R614" i="1"/>
  <c r="U614" i="1" s="1"/>
  <c r="N614" i="1"/>
  <c r="O614" i="1" s="1"/>
  <c r="W614" i="1" s="1"/>
  <c r="M614" i="1"/>
  <c r="K614" i="1"/>
  <c r="I614" i="1"/>
  <c r="G614" i="1"/>
  <c r="S363" i="1"/>
  <c r="T363" i="1" s="1"/>
  <c r="R363" i="1"/>
  <c r="U363" i="1" s="1"/>
  <c r="N363" i="1"/>
  <c r="O363" i="1" s="1"/>
  <c r="M363" i="1"/>
  <c r="K363" i="1"/>
  <c r="V363" i="1" s="1"/>
  <c r="I363" i="1"/>
  <c r="G363" i="1"/>
  <c r="S560" i="1"/>
  <c r="T560" i="1" s="1"/>
  <c r="U560" i="1" s="1"/>
  <c r="R560" i="1"/>
  <c r="N560" i="1"/>
  <c r="O560" i="1" s="1"/>
  <c r="M560" i="1"/>
  <c r="P560" i="1" s="1"/>
  <c r="K560" i="1"/>
  <c r="I560" i="1"/>
  <c r="G560" i="1"/>
  <c r="S274" i="1"/>
  <c r="T274" i="1" s="1"/>
  <c r="R274" i="1"/>
  <c r="N274" i="1"/>
  <c r="O274" i="1" s="1"/>
  <c r="P274" i="1" s="1"/>
  <c r="M274" i="1"/>
  <c r="K274" i="1"/>
  <c r="I274" i="1"/>
  <c r="G274" i="1"/>
  <c r="S460" i="1"/>
  <c r="T460" i="1" s="1"/>
  <c r="R460" i="1"/>
  <c r="N460" i="1"/>
  <c r="O460" i="1" s="1"/>
  <c r="M460" i="1"/>
  <c r="P460" i="1" s="1"/>
  <c r="K460" i="1"/>
  <c r="I460" i="1"/>
  <c r="G460" i="1"/>
  <c r="U414" i="1"/>
  <c r="T414" i="1"/>
  <c r="S414" i="1"/>
  <c r="R414" i="1"/>
  <c r="N414" i="1"/>
  <c r="O414" i="1" s="1"/>
  <c r="M414" i="1"/>
  <c r="K414" i="1"/>
  <c r="I414" i="1"/>
  <c r="G414" i="1"/>
  <c r="U413" i="1"/>
  <c r="S413" i="1"/>
  <c r="T413" i="1" s="1"/>
  <c r="R413" i="1"/>
  <c r="N413" i="1"/>
  <c r="O413" i="1" s="1"/>
  <c r="W413" i="1" s="1"/>
  <c r="M413" i="1"/>
  <c r="K413" i="1"/>
  <c r="I413" i="1"/>
  <c r="G413" i="1"/>
  <c r="T559" i="1"/>
  <c r="S559" i="1"/>
  <c r="R559" i="1"/>
  <c r="O559" i="1"/>
  <c r="W559" i="1" s="1"/>
  <c r="N559" i="1"/>
  <c r="M559" i="1"/>
  <c r="P559" i="1" s="1"/>
  <c r="K559" i="1"/>
  <c r="I559" i="1"/>
  <c r="G559" i="1"/>
  <c r="S123" i="1"/>
  <c r="T123" i="1" s="1"/>
  <c r="R123" i="1"/>
  <c r="N123" i="1"/>
  <c r="O123" i="1" s="1"/>
  <c r="M123" i="1"/>
  <c r="K123" i="1"/>
  <c r="I123" i="1"/>
  <c r="G123" i="1"/>
  <c r="T511" i="1"/>
  <c r="S511" i="1"/>
  <c r="R511" i="1"/>
  <c r="N511" i="1"/>
  <c r="O511" i="1" s="1"/>
  <c r="M511" i="1"/>
  <c r="K511" i="1"/>
  <c r="I511" i="1"/>
  <c r="G511" i="1"/>
  <c r="S613" i="1"/>
  <c r="T613" i="1" s="1"/>
  <c r="R613" i="1"/>
  <c r="N613" i="1"/>
  <c r="O613" i="1" s="1"/>
  <c r="M613" i="1"/>
  <c r="K613" i="1"/>
  <c r="I613" i="1"/>
  <c r="G613" i="1"/>
  <c r="S558" i="1"/>
  <c r="T558" i="1" s="1"/>
  <c r="R558" i="1"/>
  <c r="N558" i="1"/>
  <c r="O558" i="1" s="1"/>
  <c r="M558" i="1"/>
  <c r="K558" i="1"/>
  <c r="I558" i="1"/>
  <c r="G558" i="1"/>
  <c r="S122" i="1"/>
  <c r="T122" i="1" s="1"/>
  <c r="R122" i="1"/>
  <c r="U122" i="1" s="1"/>
  <c r="N122" i="1"/>
  <c r="O122" i="1" s="1"/>
  <c r="M122" i="1"/>
  <c r="P122" i="1" s="1"/>
  <c r="K122" i="1"/>
  <c r="I122" i="1"/>
  <c r="G122" i="1"/>
  <c r="T176" i="1"/>
  <c r="S176" i="1"/>
  <c r="R176" i="1"/>
  <c r="N176" i="1"/>
  <c r="O176" i="1" s="1"/>
  <c r="M176" i="1"/>
  <c r="K176" i="1"/>
  <c r="I176" i="1"/>
  <c r="G176" i="1"/>
  <c r="S557" i="1"/>
  <c r="T557" i="1" s="1"/>
  <c r="R557" i="1"/>
  <c r="U557" i="1" s="1"/>
  <c r="N557" i="1"/>
  <c r="O557" i="1" s="1"/>
  <c r="M557" i="1"/>
  <c r="K557" i="1"/>
  <c r="I557" i="1"/>
  <c r="G557" i="1"/>
  <c r="S121" i="1"/>
  <c r="T121" i="1" s="1"/>
  <c r="R121" i="1"/>
  <c r="O121" i="1"/>
  <c r="N121" i="1"/>
  <c r="M121" i="1"/>
  <c r="K121" i="1"/>
  <c r="I121" i="1"/>
  <c r="G121" i="1"/>
  <c r="S510" i="1"/>
  <c r="T510" i="1" s="1"/>
  <c r="R510" i="1"/>
  <c r="N510" i="1"/>
  <c r="O510" i="1" s="1"/>
  <c r="P510" i="1" s="1"/>
  <c r="M510" i="1"/>
  <c r="K510" i="1"/>
  <c r="I510" i="1"/>
  <c r="G510" i="1"/>
  <c r="T77" i="1"/>
  <c r="W77" i="1" s="1"/>
  <c r="S77" i="1"/>
  <c r="R77" i="1"/>
  <c r="O77" i="1"/>
  <c r="N77" i="1"/>
  <c r="M77" i="1"/>
  <c r="P77" i="1" s="1"/>
  <c r="K77" i="1"/>
  <c r="I77" i="1"/>
  <c r="G77" i="1"/>
  <c r="S273" i="1"/>
  <c r="T273" i="1" s="1"/>
  <c r="U273" i="1" s="1"/>
  <c r="R273" i="1"/>
  <c r="N273" i="1"/>
  <c r="O273" i="1" s="1"/>
  <c r="M273" i="1"/>
  <c r="K273" i="1"/>
  <c r="V273" i="1" s="1"/>
  <c r="I273" i="1"/>
  <c r="G273" i="1"/>
  <c r="T362" i="1"/>
  <c r="S362" i="1"/>
  <c r="R362" i="1"/>
  <c r="N362" i="1"/>
  <c r="O362" i="1" s="1"/>
  <c r="P362" i="1" s="1"/>
  <c r="M362" i="1"/>
  <c r="K362" i="1"/>
  <c r="I362" i="1"/>
  <c r="V362" i="1" s="1"/>
  <c r="G362" i="1"/>
  <c r="S361" i="1"/>
  <c r="T361" i="1" s="1"/>
  <c r="R361" i="1"/>
  <c r="N361" i="1"/>
  <c r="O361" i="1" s="1"/>
  <c r="W361" i="1" s="1"/>
  <c r="M361" i="1"/>
  <c r="K361" i="1"/>
  <c r="I361" i="1"/>
  <c r="G361" i="1"/>
  <c r="S120" i="1"/>
  <c r="T120" i="1" s="1"/>
  <c r="U120" i="1" s="1"/>
  <c r="R120" i="1"/>
  <c r="O120" i="1"/>
  <c r="N120" i="1"/>
  <c r="M120" i="1"/>
  <c r="K120" i="1"/>
  <c r="I120" i="1"/>
  <c r="G120" i="1"/>
  <c r="S272" i="1"/>
  <c r="T272" i="1" s="1"/>
  <c r="R272" i="1"/>
  <c r="N272" i="1"/>
  <c r="O272" i="1" s="1"/>
  <c r="M272" i="1"/>
  <c r="K272" i="1"/>
  <c r="I272" i="1"/>
  <c r="G272" i="1"/>
  <c r="S312" i="1"/>
  <c r="T312" i="1" s="1"/>
  <c r="R312" i="1"/>
  <c r="N312" i="1"/>
  <c r="O312" i="1" s="1"/>
  <c r="M312" i="1"/>
  <c r="K312" i="1"/>
  <c r="I312" i="1"/>
  <c r="G312" i="1"/>
  <c r="S76" i="1"/>
  <c r="T76" i="1" s="1"/>
  <c r="R76" i="1"/>
  <c r="N76" i="1"/>
  <c r="O76" i="1" s="1"/>
  <c r="P76" i="1" s="1"/>
  <c r="G76" i="1"/>
  <c r="V76" i="1" s="1"/>
  <c r="T705" i="1"/>
  <c r="S705" i="1"/>
  <c r="R705" i="1"/>
  <c r="U705" i="1" s="1"/>
  <c r="N705" i="1"/>
  <c r="O705" i="1" s="1"/>
  <c r="W705" i="1" s="1"/>
  <c r="M705" i="1"/>
  <c r="K705" i="1"/>
  <c r="I705" i="1"/>
  <c r="G705" i="1"/>
  <c r="S271" i="1"/>
  <c r="T271" i="1" s="1"/>
  <c r="R271" i="1"/>
  <c r="N271" i="1"/>
  <c r="O271" i="1" s="1"/>
  <c r="M271" i="1"/>
  <c r="K271" i="1"/>
  <c r="I271" i="1"/>
  <c r="G271" i="1"/>
  <c r="S459" i="1"/>
  <c r="T459" i="1" s="1"/>
  <c r="R459" i="1"/>
  <c r="O459" i="1"/>
  <c r="N459" i="1"/>
  <c r="M459" i="1"/>
  <c r="K459" i="1"/>
  <c r="I459" i="1"/>
  <c r="G459" i="1"/>
  <c r="S653" i="1"/>
  <c r="T653" i="1" s="1"/>
  <c r="R653" i="1"/>
  <c r="N653" i="1"/>
  <c r="O653" i="1" s="1"/>
  <c r="W653" i="1" s="1"/>
  <c r="M653" i="1"/>
  <c r="K653" i="1"/>
  <c r="I653" i="1"/>
  <c r="G653" i="1"/>
  <c r="S360" i="1"/>
  <c r="T360" i="1" s="1"/>
  <c r="R360" i="1"/>
  <c r="N360" i="1"/>
  <c r="O360" i="1" s="1"/>
  <c r="P360" i="1" s="1"/>
  <c r="M360" i="1"/>
  <c r="K360" i="1"/>
  <c r="I360" i="1"/>
  <c r="G360" i="1"/>
  <c r="S704" i="1"/>
  <c r="T704" i="1" s="1"/>
  <c r="R704" i="1"/>
  <c r="N704" i="1"/>
  <c r="O704" i="1" s="1"/>
  <c r="M704" i="1"/>
  <c r="K704" i="1"/>
  <c r="I704" i="1"/>
  <c r="V704" i="1" s="1"/>
  <c r="G704" i="1"/>
  <c r="T222" i="1"/>
  <c r="U222" i="1" s="1"/>
  <c r="S222" i="1"/>
  <c r="R222" i="1"/>
  <c r="N222" i="1"/>
  <c r="O222" i="1" s="1"/>
  <c r="M222" i="1"/>
  <c r="K222" i="1"/>
  <c r="I222" i="1"/>
  <c r="G222" i="1"/>
  <c r="S612" i="1"/>
  <c r="T612" i="1" s="1"/>
  <c r="U612" i="1" s="1"/>
  <c r="R612" i="1"/>
  <c r="N612" i="1"/>
  <c r="O612" i="1" s="1"/>
  <c r="M612" i="1"/>
  <c r="K612" i="1"/>
  <c r="I612" i="1"/>
  <c r="G612" i="1"/>
  <c r="T652" i="1"/>
  <c r="S652" i="1"/>
  <c r="R652" i="1"/>
  <c r="U652" i="1" s="1"/>
  <c r="N652" i="1"/>
  <c r="O652" i="1" s="1"/>
  <c r="W652" i="1" s="1"/>
  <c r="M652" i="1"/>
  <c r="P652" i="1" s="1"/>
  <c r="K652" i="1"/>
  <c r="I652" i="1"/>
  <c r="G652" i="1"/>
  <c r="S221" i="1"/>
  <c r="T221" i="1" s="1"/>
  <c r="R221" i="1"/>
  <c r="O221" i="1"/>
  <c r="W221" i="1" s="1"/>
  <c r="N221" i="1"/>
  <c r="M221" i="1"/>
  <c r="K221" i="1"/>
  <c r="I221" i="1"/>
  <c r="G221" i="1"/>
  <c r="T703" i="1"/>
  <c r="U703" i="1" s="1"/>
  <c r="S703" i="1"/>
  <c r="R703" i="1"/>
  <c r="N703" i="1"/>
  <c r="O703" i="1" s="1"/>
  <c r="W703" i="1" s="1"/>
  <c r="M703" i="1"/>
  <c r="K703" i="1"/>
  <c r="I703" i="1"/>
  <c r="G703" i="1"/>
  <c r="T458" i="1"/>
  <c r="U458" i="1" s="1"/>
  <c r="S458" i="1"/>
  <c r="R458" i="1"/>
  <c r="N458" i="1"/>
  <c r="O458" i="1" s="1"/>
  <c r="M458" i="1"/>
  <c r="K458" i="1"/>
  <c r="I458" i="1"/>
  <c r="G458" i="1"/>
  <c r="U270" i="1"/>
  <c r="T270" i="1"/>
  <c r="S270" i="1"/>
  <c r="R270" i="1"/>
  <c r="O270" i="1"/>
  <c r="N270" i="1"/>
  <c r="M270" i="1"/>
  <c r="P270" i="1" s="1"/>
  <c r="K270" i="1"/>
  <c r="I270" i="1"/>
  <c r="G270" i="1"/>
  <c r="S269" i="1"/>
  <c r="T269" i="1" s="1"/>
  <c r="R269" i="1"/>
  <c r="O269" i="1"/>
  <c r="N269" i="1"/>
  <c r="M269" i="1"/>
  <c r="K269" i="1"/>
  <c r="I269" i="1"/>
  <c r="G269" i="1"/>
  <c r="S702" i="1"/>
  <c r="T702" i="1" s="1"/>
  <c r="U702" i="1" s="1"/>
  <c r="R702" i="1"/>
  <c r="N702" i="1"/>
  <c r="O702" i="1" s="1"/>
  <c r="W702" i="1" s="1"/>
  <c r="M702" i="1"/>
  <c r="K702" i="1"/>
  <c r="I702" i="1"/>
  <c r="G702" i="1"/>
  <c r="S701" i="1"/>
  <c r="T701" i="1" s="1"/>
  <c r="U701" i="1" s="1"/>
  <c r="R701" i="1"/>
  <c r="N701" i="1"/>
  <c r="O701" i="1" s="1"/>
  <c r="M701" i="1"/>
  <c r="P701" i="1" s="1"/>
  <c r="K701" i="1"/>
  <c r="I701" i="1"/>
  <c r="G701" i="1"/>
  <c r="S220" i="1"/>
  <c r="T220" i="1" s="1"/>
  <c r="R220" i="1"/>
  <c r="O220" i="1"/>
  <c r="P220" i="1" s="1"/>
  <c r="N220" i="1"/>
  <c r="M220" i="1"/>
  <c r="K220" i="1"/>
  <c r="I220" i="1"/>
  <c r="G220" i="1"/>
  <c r="S556" i="1"/>
  <c r="T556" i="1" s="1"/>
  <c r="R556" i="1"/>
  <c r="U556" i="1" s="1"/>
  <c r="N556" i="1"/>
  <c r="O556" i="1" s="1"/>
  <c r="M556" i="1"/>
  <c r="V556" i="1" s="1"/>
  <c r="K556" i="1"/>
  <c r="I556" i="1"/>
  <c r="G556" i="1"/>
  <c r="S700" i="1"/>
  <c r="T700" i="1" s="1"/>
  <c r="R700" i="1"/>
  <c r="N700" i="1"/>
  <c r="O700" i="1" s="1"/>
  <c r="M700" i="1"/>
  <c r="K700" i="1"/>
  <c r="I700" i="1"/>
  <c r="G700" i="1"/>
  <c r="S119" i="1"/>
  <c r="T119" i="1" s="1"/>
  <c r="U119" i="1" s="1"/>
  <c r="R119" i="1"/>
  <c r="N119" i="1"/>
  <c r="O119" i="1" s="1"/>
  <c r="W119" i="1" s="1"/>
  <c r="M119" i="1"/>
  <c r="K119" i="1"/>
  <c r="I119" i="1"/>
  <c r="V119" i="1" s="1"/>
  <c r="G119" i="1"/>
  <c r="S268" i="1"/>
  <c r="T268" i="1" s="1"/>
  <c r="R268" i="1"/>
  <c r="O268" i="1"/>
  <c r="N268" i="1"/>
  <c r="M268" i="1"/>
  <c r="P268" i="1" s="1"/>
  <c r="K268" i="1"/>
  <c r="I268" i="1"/>
  <c r="G268" i="1"/>
  <c r="S311" i="1"/>
  <c r="T311" i="1" s="1"/>
  <c r="R311" i="1"/>
  <c r="O311" i="1"/>
  <c r="N311" i="1"/>
  <c r="M311" i="1"/>
  <c r="P311" i="1" s="1"/>
  <c r="K311" i="1"/>
  <c r="I311" i="1"/>
  <c r="G311" i="1"/>
  <c r="S555" i="1"/>
  <c r="T555" i="1" s="1"/>
  <c r="U555" i="1" s="1"/>
  <c r="R555" i="1"/>
  <c r="O555" i="1"/>
  <c r="N555" i="1"/>
  <c r="M555" i="1"/>
  <c r="K555" i="1"/>
  <c r="I555" i="1"/>
  <c r="G555" i="1"/>
  <c r="T175" i="1"/>
  <c r="S175" i="1"/>
  <c r="R175" i="1"/>
  <c r="U175" i="1" s="1"/>
  <c r="N175" i="1"/>
  <c r="O175" i="1" s="1"/>
  <c r="W175" i="1" s="1"/>
  <c r="M175" i="1"/>
  <c r="K175" i="1"/>
  <c r="I175" i="1"/>
  <c r="G175" i="1"/>
  <c r="S75" i="1"/>
  <c r="T75" i="1" s="1"/>
  <c r="R75" i="1"/>
  <c r="N75" i="1"/>
  <c r="O75" i="1" s="1"/>
  <c r="M75" i="1"/>
  <c r="K75" i="1"/>
  <c r="I75" i="1"/>
  <c r="G75" i="1"/>
  <c r="T554" i="1"/>
  <c r="S554" i="1"/>
  <c r="R554" i="1"/>
  <c r="N554" i="1"/>
  <c r="O554" i="1" s="1"/>
  <c r="M554" i="1"/>
  <c r="K554" i="1"/>
  <c r="I554" i="1"/>
  <c r="V554" i="1" s="1"/>
  <c r="G554" i="1"/>
  <c r="S26" i="1"/>
  <c r="T26" i="1" s="1"/>
  <c r="R26" i="1"/>
  <c r="O26" i="1"/>
  <c r="P26" i="1" s="1"/>
  <c r="K26" i="1"/>
  <c r="I26" i="1"/>
  <c r="G26" i="1"/>
  <c r="T611" i="1"/>
  <c r="S611" i="1"/>
  <c r="R611" i="1"/>
  <c r="U611" i="1" s="1"/>
  <c r="N611" i="1"/>
  <c r="O611" i="1" s="1"/>
  <c r="M611" i="1"/>
  <c r="K611" i="1"/>
  <c r="I611" i="1"/>
  <c r="G611" i="1"/>
  <c r="S74" i="1"/>
  <c r="T74" i="1" s="1"/>
  <c r="U74" i="1" s="1"/>
  <c r="R74" i="1"/>
  <c r="N74" i="1"/>
  <c r="O74" i="1" s="1"/>
  <c r="M74" i="1"/>
  <c r="K74" i="1"/>
  <c r="I74" i="1"/>
  <c r="G74" i="1"/>
  <c r="S25" i="1"/>
  <c r="T25" i="1" s="1"/>
  <c r="R25" i="1"/>
  <c r="U25" i="1" s="1"/>
  <c r="N25" i="1"/>
  <c r="O25" i="1" s="1"/>
  <c r="P25" i="1" s="1"/>
  <c r="M25" i="1"/>
  <c r="K25" i="1"/>
  <c r="I25" i="1"/>
  <c r="G25" i="1"/>
  <c r="S412" i="1"/>
  <c r="T412" i="1" s="1"/>
  <c r="R412" i="1"/>
  <c r="N412" i="1"/>
  <c r="O412" i="1" s="1"/>
  <c r="W412" i="1" s="1"/>
  <c r="M412" i="1"/>
  <c r="K412" i="1"/>
  <c r="I412" i="1"/>
  <c r="G412" i="1"/>
  <c r="S267" i="1"/>
  <c r="T267" i="1" s="1"/>
  <c r="R267" i="1"/>
  <c r="N267" i="1"/>
  <c r="O267" i="1" s="1"/>
  <c r="M267" i="1"/>
  <c r="K267" i="1"/>
  <c r="I267" i="1"/>
  <c r="G267" i="1"/>
  <c r="S509" i="1"/>
  <c r="T509" i="1" s="1"/>
  <c r="R509" i="1"/>
  <c r="U509" i="1" s="1"/>
  <c r="N509" i="1"/>
  <c r="O509" i="1" s="1"/>
  <c r="M509" i="1"/>
  <c r="K509" i="1"/>
  <c r="I509" i="1"/>
  <c r="V509" i="1" s="1"/>
  <c r="G509" i="1"/>
  <c r="S73" i="1"/>
  <c r="T73" i="1" s="1"/>
  <c r="R73" i="1"/>
  <c r="O73" i="1"/>
  <c r="P73" i="1" s="1"/>
  <c r="N73" i="1"/>
  <c r="M73" i="1"/>
  <c r="K73" i="1"/>
  <c r="I73" i="1"/>
  <c r="G73" i="1"/>
  <c r="S310" i="1"/>
  <c r="T310" i="1" s="1"/>
  <c r="R310" i="1"/>
  <c r="N310" i="1"/>
  <c r="O310" i="1" s="1"/>
  <c r="P310" i="1" s="1"/>
  <c r="M310" i="1"/>
  <c r="K310" i="1"/>
  <c r="I310" i="1"/>
  <c r="G310" i="1"/>
  <c r="T72" i="1"/>
  <c r="U72" i="1" s="1"/>
  <c r="S72" i="1"/>
  <c r="R72" i="1"/>
  <c r="N72" i="1"/>
  <c r="O72" i="1" s="1"/>
  <c r="M72" i="1"/>
  <c r="K72" i="1"/>
  <c r="I72" i="1"/>
  <c r="G72" i="1"/>
  <c r="U24" i="1"/>
  <c r="T24" i="1"/>
  <c r="S24" i="1"/>
  <c r="R24" i="1"/>
  <c r="N24" i="1"/>
  <c r="O24" i="1" s="1"/>
  <c r="M24" i="1"/>
  <c r="K24" i="1"/>
  <c r="I24" i="1"/>
  <c r="G24" i="1"/>
  <c r="S23" i="1"/>
  <c r="T23" i="1" s="1"/>
  <c r="R23" i="1"/>
  <c r="O23" i="1"/>
  <c r="N23" i="1"/>
  <c r="M23" i="1"/>
  <c r="K23" i="1"/>
  <c r="I23" i="1"/>
  <c r="G23" i="1"/>
  <c r="S22" i="1"/>
  <c r="T22" i="1" s="1"/>
  <c r="U22" i="1" s="1"/>
  <c r="R22" i="1"/>
  <c r="N22" i="1"/>
  <c r="O22" i="1" s="1"/>
  <c r="M22" i="1"/>
  <c r="K22" i="1"/>
  <c r="I22" i="1"/>
  <c r="G22" i="1"/>
  <c r="T21" i="1"/>
  <c r="S21" i="1"/>
  <c r="R21" i="1"/>
  <c r="N21" i="1"/>
  <c r="O21" i="1" s="1"/>
  <c r="M21" i="1"/>
  <c r="K21" i="1"/>
  <c r="I21" i="1"/>
  <c r="G21" i="1"/>
  <c r="S359" i="1"/>
  <c r="T359" i="1" s="1"/>
  <c r="U359" i="1" s="1"/>
  <c r="R359" i="1"/>
  <c r="N359" i="1"/>
  <c r="O359" i="1" s="1"/>
  <c r="M359" i="1"/>
  <c r="K359" i="1"/>
  <c r="I359" i="1"/>
  <c r="G359" i="1"/>
  <c r="S174" i="1"/>
  <c r="T174" i="1" s="1"/>
  <c r="R174" i="1"/>
  <c r="U174" i="1" s="1"/>
  <c r="N174" i="1"/>
  <c r="O174" i="1" s="1"/>
  <c r="P174" i="1" s="1"/>
  <c r="M174" i="1"/>
  <c r="K174" i="1"/>
  <c r="I174" i="1"/>
  <c r="G174" i="1"/>
  <c r="S309" i="1"/>
  <c r="T309" i="1" s="1"/>
  <c r="R309" i="1"/>
  <c r="N309" i="1"/>
  <c r="O309" i="1" s="1"/>
  <c r="M309" i="1"/>
  <c r="V309" i="1" s="1"/>
  <c r="K309" i="1"/>
  <c r="I309" i="1"/>
  <c r="G309" i="1"/>
  <c r="S173" i="1"/>
  <c r="T173" i="1" s="1"/>
  <c r="U173" i="1" s="1"/>
  <c r="R173" i="1"/>
  <c r="N173" i="1"/>
  <c r="O173" i="1" s="1"/>
  <c r="M173" i="1"/>
  <c r="K173" i="1"/>
  <c r="I173" i="1"/>
  <c r="G173" i="1"/>
  <c r="S651" i="1"/>
  <c r="T651" i="1" s="1"/>
  <c r="R651" i="1"/>
  <c r="N651" i="1"/>
  <c r="O651" i="1" s="1"/>
  <c r="M651" i="1"/>
  <c r="K651" i="1"/>
  <c r="I651" i="1"/>
  <c r="G651" i="1"/>
  <c r="S20" i="1"/>
  <c r="T20" i="1" s="1"/>
  <c r="R20" i="1"/>
  <c r="U20" i="1" s="1"/>
  <c r="O20" i="1"/>
  <c r="P20" i="1" s="1"/>
  <c r="N20" i="1"/>
  <c r="M20" i="1"/>
  <c r="K20" i="1"/>
  <c r="I20" i="1"/>
  <c r="G20" i="1"/>
  <c r="S358" i="1"/>
  <c r="T358" i="1" s="1"/>
  <c r="R358" i="1"/>
  <c r="N358" i="1"/>
  <c r="O358" i="1" s="1"/>
  <c r="M358" i="1"/>
  <c r="K358" i="1"/>
  <c r="I358" i="1"/>
  <c r="G358" i="1"/>
  <c r="T19" i="1"/>
  <c r="U19" i="1" s="1"/>
  <c r="S19" i="1"/>
  <c r="R19" i="1"/>
  <c r="N19" i="1"/>
  <c r="O19" i="1" s="1"/>
  <c r="M19" i="1"/>
  <c r="P19" i="1" s="1"/>
  <c r="K19" i="1"/>
  <c r="I19" i="1"/>
  <c r="G19" i="1"/>
  <c r="U411" i="1"/>
  <c r="T411" i="1"/>
  <c r="S411" i="1"/>
  <c r="R411" i="1"/>
  <c r="N411" i="1"/>
  <c r="O411" i="1" s="1"/>
  <c r="M411" i="1"/>
  <c r="K411" i="1"/>
  <c r="I411" i="1"/>
  <c r="G411" i="1"/>
  <c r="S699" i="1"/>
  <c r="T699" i="1" s="1"/>
  <c r="R699" i="1"/>
  <c r="N699" i="1"/>
  <c r="O699" i="1" s="1"/>
  <c r="P699" i="1" s="1"/>
  <c r="M699" i="1"/>
  <c r="K699" i="1"/>
  <c r="I699" i="1"/>
  <c r="G699" i="1"/>
  <c r="S266" i="1"/>
  <c r="T266" i="1" s="1"/>
  <c r="U266" i="1" s="1"/>
  <c r="R266" i="1"/>
  <c r="N266" i="1"/>
  <c r="O266" i="1" s="1"/>
  <c r="M266" i="1"/>
  <c r="K266" i="1"/>
  <c r="I266" i="1"/>
  <c r="G266" i="1"/>
  <c r="S508" i="1"/>
  <c r="T508" i="1" s="1"/>
  <c r="R508" i="1"/>
  <c r="N508" i="1"/>
  <c r="O508" i="1" s="1"/>
  <c r="M508" i="1"/>
  <c r="P508" i="1" s="1"/>
  <c r="K508" i="1"/>
  <c r="I508" i="1"/>
  <c r="G508" i="1"/>
  <c r="S219" i="1"/>
  <c r="T219" i="1" s="1"/>
  <c r="U219" i="1" s="1"/>
  <c r="R219" i="1"/>
  <c r="N219" i="1"/>
  <c r="O219" i="1" s="1"/>
  <c r="M219" i="1"/>
  <c r="K219" i="1"/>
  <c r="I219" i="1"/>
  <c r="G219" i="1"/>
  <c r="S698" i="1"/>
  <c r="T698" i="1" s="1"/>
  <c r="R698" i="1"/>
  <c r="N698" i="1"/>
  <c r="O698" i="1" s="1"/>
  <c r="P698" i="1" s="1"/>
  <c r="M698" i="1"/>
  <c r="K698" i="1"/>
  <c r="I698" i="1"/>
  <c r="G698" i="1"/>
  <c r="S650" i="1"/>
  <c r="T650" i="1" s="1"/>
  <c r="R650" i="1"/>
  <c r="N650" i="1"/>
  <c r="O650" i="1" s="1"/>
  <c r="M650" i="1"/>
  <c r="V650" i="1" s="1"/>
  <c r="K650" i="1"/>
  <c r="I650" i="1"/>
  <c r="G650" i="1"/>
  <c r="T649" i="1"/>
  <c r="U649" i="1" s="1"/>
  <c r="S649" i="1"/>
  <c r="R649" i="1"/>
  <c r="N649" i="1"/>
  <c r="O649" i="1" s="1"/>
  <c r="W649" i="1" s="1"/>
  <c r="M649" i="1"/>
  <c r="K649" i="1"/>
  <c r="I649" i="1"/>
  <c r="G649" i="1"/>
  <c r="T218" i="1"/>
  <c r="S218" i="1"/>
  <c r="R218" i="1"/>
  <c r="N218" i="1"/>
  <c r="O218" i="1" s="1"/>
  <c r="M218" i="1"/>
  <c r="K218" i="1"/>
  <c r="I218" i="1"/>
  <c r="G218" i="1"/>
  <c r="S553" i="1"/>
  <c r="T553" i="1" s="1"/>
  <c r="R553" i="1"/>
  <c r="N553" i="1"/>
  <c r="O553" i="1" s="1"/>
  <c r="M553" i="1"/>
  <c r="K553" i="1"/>
  <c r="I553" i="1"/>
  <c r="G553" i="1"/>
  <c r="S697" i="1"/>
  <c r="T697" i="1" s="1"/>
  <c r="U697" i="1" s="1"/>
  <c r="R697" i="1"/>
  <c r="O697" i="1"/>
  <c r="W697" i="1" s="1"/>
  <c r="N697" i="1"/>
  <c r="M697" i="1"/>
  <c r="K697" i="1"/>
  <c r="I697" i="1"/>
  <c r="G697" i="1"/>
  <c r="S172" i="1"/>
  <c r="T172" i="1" s="1"/>
  <c r="U172" i="1" s="1"/>
  <c r="R172" i="1"/>
  <c r="N172" i="1"/>
  <c r="O172" i="1" s="1"/>
  <c r="M172" i="1"/>
  <c r="K172" i="1"/>
  <c r="I172" i="1"/>
  <c r="G172" i="1"/>
  <c r="S696" i="1"/>
  <c r="T696" i="1" s="1"/>
  <c r="R696" i="1"/>
  <c r="N696" i="1"/>
  <c r="O696" i="1" s="1"/>
  <c r="M696" i="1"/>
  <c r="K696" i="1"/>
  <c r="I696" i="1"/>
  <c r="G696" i="1"/>
  <c r="S610" i="1"/>
  <c r="T610" i="1" s="1"/>
  <c r="R610" i="1"/>
  <c r="O610" i="1"/>
  <c r="N610" i="1"/>
  <c r="M610" i="1"/>
  <c r="K610" i="1"/>
  <c r="I610" i="1"/>
  <c r="G610" i="1"/>
  <c r="S648" i="1"/>
  <c r="T648" i="1" s="1"/>
  <c r="R648" i="1"/>
  <c r="O648" i="1"/>
  <c r="W648" i="1" s="1"/>
  <c r="N648" i="1"/>
  <c r="M648" i="1"/>
  <c r="K648" i="1"/>
  <c r="I648" i="1"/>
  <c r="G648" i="1"/>
  <c r="S609" i="1"/>
  <c r="T609" i="1" s="1"/>
  <c r="U609" i="1" s="1"/>
  <c r="R609" i="1"/>
  <c r="N609" i="1"/>
  <c r="O609" i="1" s="1"/>
  <c r="M609" i="1"/>
  <c r="P609" i="1" s="1"/>
  <c r="K609" i="1"/>
  <c r="I609" i="1"/>
  <c r="V609" i="1" s="1"/>
  <c r="G609" i="1"/>
  <c r="S647" i="1"/>
  <c r="T647" i="1" s="1"/>
  <c r="R647" i="1"/>
  <c r="N647" i="1"/>
  <c r="O647" i="1" s="1"/>
  <c r="M647" i="1"/>
  <c r="K647" i="1"/>
  <c r="I647" i="1"/>
  <c r="G647" i="1"/>
  <c r="S695" i="1"/>
  <c r="T695" i="1" s="1"/>
  <c r="R695" i="1"/>
  <c r="U695" i="1" s="1"/>
  <c r="O695" i="1"/>
  <c r="N695" i="1"/>
  <c r="M695" i="1"/>
  <c r="K695" i="1"/>
  <c r="I695" i="1"/>
  <c r="G695" i="1"/>
  <c r="S171" i="1"/>
  <c r="T171" i="1" s="1"/>
  <c r="U171" i="1" s="1"/>
  <c r="R171" i="1"/>
  <c r="N171" i="1"/>
  <c r="O171" i="1" s="1"/>
  <c r="M171" i="1"/>
  <c r="P171" i="1" s="1"/>
  <c r="K171" i="1"/>
  <c r="I171" i="1"/>
  <c r="V171" i="1" s="1"/>
  <c r="G171" i="1"/>
  <c r="S457" i="1"/>
  <c r="T457" i="1" s="1"/>
  <c r="U457" i="1" s="1"/>
  <c r="R457" i="1"/>
  <c r="N457" i="1"/>
  <c r="O457" i="1" s="1"/>
  <c r="W457" i="1" s="1"/>
  <c r="M457" i="1"/>
  <c r="K457" i="1"/>
  <c r="I457" i="1"/>
  <c r="V457" i="1" s="1"/>
  <c r="G457" i="1"/>
  <c r="S608" i="1"/>
  <c r="T608" i="1" s="1"/>
  <c r="R608" i="1"/>
  <c r="N608" i="1"/>
  <c r="O608" i="1" s="1"/>
  <c r="M608" i="1"/>
  <c r="K608" i="1"/>
  <c r="I608" i="1"/>
  <c r="G608" i="1"/>
  <c r="S607" i="1"/>
  <c r="T607" i="1" s="1"/>
  <c r="R607" i="1"/>
  <c r="O607" i="1"/>
  <c r="N607" i="1"/>
  <c r="M607" i="1"/>
  <c r="K607" i="1"/>
  <c r="V607" i="1" s="1"/>
  <c r="I607" i="1"/>
  <c r="G607" i="1"/>
  <c r="S646" i="1"/>
  <c r="T646" i="1" s="1"/>
  <c r="R646" i="1"/>
  <c r="O646" i="1"/>
  <c r="W646" i="1" s="1"/>
  <c r="N646" i="1"/>
  <c r="M646" i="1"/>
  <c r="K646" i="1"/>
  <c r="I646" i="1"/>
  <c r="G646" i="1"/>
  <c r="S308" i="1"/>
  <c r="T308" i="1" s="1"/>
  <c r="U308" i="1" s="1"/>
  <c r="R308" i="1"/>
  <c r="N308" i="1"/>
  <c r="O308" i="1" s="1"/>
  <c r="M308" i="1"/>
  <c r="K308" i="1"/>
  <c r="I308" i="1"/>
  <c r="G308" i="1"/>
  <c r="S552" i="1"/>
  <c r="T552" i="1" s="1"/>
  <c r="R552" i="1"/>
  <c r="N552" i="1"/>
  <c r="O552" i="1" s="1"/>
  <c r="M552" i="1"/>
  <c r="K552" i="1"/>
  <c r="I552" i="1"/>
  <c r="G552" i="1"/>
  <c r="S357" i="1"/>
  <c r="T357" i="1" s="1"/>
  <c r="R357" i="1"/>
  <c r="N357" i="1"/>
  <c r="O357" i="1" s="1"/>
  <c r="M357" i="1"/>
  <c r="K357" i="1"/>
  <c r="I357" i="1"/>
  <c r="G357" i="1"/>
  <c r="S410" i="1"/>
  <c r="T410" i="1" s="1"/>
  <c r="U410" i="1" s="1"/>
  <c r="R410" i="1"/>
  <c r="O410" i="1"/>
  <c r="P410" i="1" s="1"/>
  <c r="N410" i="1"/>
  <c r="M410" i="1"/>
  <c r="K410" i="1"/>
  <c r="I410" i="1"/>
  <c r="V410" i="1" s="1"/>
  <c r="G410" i="1"/>
  <c r="S71" i="1"/>
  <c r="T71" i="1" s="1"/>
  <c r="U71" i="1" s="1"/>
  <c r="R71" i="1"/>
  <c r="N71" i="1"/>
  <c r="O71" i="1" s="1"/>
  <c r="M71" i="1"/>
  <c r="K71" i="1"/>
  <c r="I71" i="1"/>
  <c r="G71" i="1"/>
  <c r="S118" i="1"/>
  <c r="T118" i="1" s="1"/>
  <c r="R118" i="1"/>
  <c r="N118" i="1"/>
  <c r="O118" i="1" s="1"/>
  <c r="M118" i="1"/>
  <c r="K118" i="1"/>
  <c r="I118" i="1"/>
  <c r="G118" i="1"/>
  <c r="S70" i="1"/>
  <c r="T70" i="1" s="1"/>
  <c r="R70" i="1"/>
  <c r="O70" i="1"/>
  <c r="N70" i="1"/>
  <c r="M70" i="1"/>
  <c r="K70" i="1"/>
  <c r="I70" i="1"/>
  <c r="G70" i="1"/>
  <c r="S409" i="1"/>
  <c r="T409" i="1" s="1"/>
  <c r="U409" i="1" s="1"/>
  <c r="R409" i="1"/>
  <c r="N409" i="1"/>
  <c r="O409" i="1" s="1"/>
  <c r="M409" i="1"/>
  <c r="P409" i="1" s="1"/>
  <c r="K409" i="1"/>
  <c r="I409" i="1"/>
  <c r="V409" i="1" s="1"/>
  <c r="G409" i="1"/>
  <c r="T117" i="1"/>
  <c r="S117" i="1"/>
  <c r="R117" i="1"/>
  <c r="N117" i="1"/>
  <c r="O117" i="1" s="1"/>
  <c r="M117" i="1"/>
  <c r="K117" i="1"/>
  <c r="I117" i="1"/>
  <c r="G117" i="1"/>
  <c r="S551" i="1"/>
  <c r="T551" i="1" s="1"/>
  <c r="U551" i="1" s="1"/>
  <c r="R551" i="1"/>
  <c r="N551" i="1"/>
  <c r="O551" i="1" s="1"/>
  <c r="M551" i="1"/>
  <c r="K551" i="1"/>
  <c r="I551" i="1"/>
  <c r="V551" i="1" s="1"/>
  <c r="G551" i="1"/>
  <c r="S307" i="1"/>
  <c r="T307" i="1" s="1"/>
  <c r="R307" i="1"/>
  <c r="U307" i="1" s="1"/>
  <c r="N307" i="1"/>
  <c r="O307" i="1" s="1"/>
  <c r="M307" i="1"/>
  <c r="K307" i="1"/>
  <c r="I307" i="1"/>
  <c r="G307" i="1"/>
  <c r="S18" i="1"/>
  <c r="T18" i="1" s="1"/>
  <c r="R18" i="1"/>
  <c r="N18" i="1"/>
  <c r="O18" i="1" s="1"/>
  <c r="M18" i="1"/>
  <c r="K18" i="1"/>
  <c r="I18" i="1"/>
  <c r="G18" i="1"/>
  <c r="S265" i="1"/>
  <c r="T265" i="1" s="1"/>
  <c r="U265" i="1" s="1"/>
  <c r="R265" i="1"/>
  <c r="N265" i="1"/>
  <c r="O265" i="1" s="1"/>
  <c r="M265" i="1"/>
  <c r="K265" i="1"/>
  <c r="I265" i="1"/>
  <c r="V265" i="1" s="1"/>
  <c r="G265" i="1"/>
  <c r="S408" i="1"/>
  <c r="T408" i="1" s="1"/>
  <c r="R408" i="1"/>
  <c r="N408" i="1"/>
  <c r="O408" i="1" s="1"/>
  <c r="M408" i="1"/>
  <c r="K408" i="1"/>
  <c r="I408" i="1"/>
  <c r="G408" i="1"/>
  <c r="S356" i="1"/>
  <c r="T356" i="1" s="1"/>
  <c r="R356" i="1"/>
  <c r="U356" i="1" s="1"/>
  <c r="N356" i="1"/>
  <c r="O356" i="1" s="1"/>
  <c r="M356" i="1"/>
  <c r="K356" i="1"/>
  <c r="I356" i="1"/>
  <c r="G356" i="1"/>
  <c r="S116" i="1"/>
  <c r="T116" i="1" s="1"/>
  <c r="R116" i="1"/>
  <c r="O116" i="1"/>
  <c r="N116" i="1"/>
  <c r="M116" i="1"/>
  <c r="K116" i="1"/>
  <c r="I116" i="1"/>
  <c r="G116" i="1"/>
  <c r="S456" i="1"/>
  <c r="T456" i="1" s="1"/>
  <c r="U456" i="1" s="1"/>
  <c r="R456" i="1"/>
  <c r="N456" i="1"/>
  <c r="O456" i="1" s="1"/>
  <c r="M456" i="1"/>
  <c r="K456" i="1"/>
  <c r="I456" i="1"/>
  <c r="G456" i="1"/>
  <c r="S355" i="1"/>
  <c r="T355" i="1" s="1"/>
  <c r="R355" i="1"/>
  <c r="U355" i="1" s="1"/>
  <c r="N355" i="1"/>
  <c r="O355" i="1" s="1"/>
  <c r="M355" i="1"/>
  <c r="K355" i="1"/>
  <c r="I355" i="1"/>
  <c r="G355" i="1"/>
  <c r="S17" i="1"/>
  <c r="T17" i="1" s="1"/>
  <c r="R17" i="1"/>
  <c r="U17" i="1" s="1"/>
  <c r="O17" i="1"/>
  <c r="N17" i="1"/>
  <c r="M17" i="1"/>
  <c r="K17" i="1"/>
  <c r="V17" i="1" s="1"/>
  <c r="I17" i="1"/>
  <c r="G17" i="1"/>
  <c r="S550" i="1"/>
  <c r="T550" i="1" s="1"/>
  <c r="R550" i="1"/>
  <c r="P550" i="1"/>
  <c r="O550" i="1"/>
  <c r="K550" i="1"/>
  <c r="I550" i="1"/>
  <c r="V550" i="1" s="1"/>
  <c r="G550" i="1"/>
  <c r="S115" i="1"/>
  <c r="T115" i="1" s="1"/>
  <c r="R115" i="1"/>
  <c r="N115" i="1"/>
  <c r="O115" i="1" s="1"/>
  <c r="M115" i="1"/>
  <c r="K115" i="1"/>
  <c r="I115" i="1"/>
  <c r="G115" i="1"/>
  <c r="S217" i="1"/>
  <c r="T217" i="1" s="1"/>
  <c r="R217" i="1"/>
  <c r="U217" i="1" s="1"/>
  <c r="N217" i="1"/>
  <c r="O217" i="1" s="1"/>
  <c r="M217" i="1"/>
  <c r="K217" i="1"/>
  <c r="I217" i="1"/>
  <c r="G217" i="1"/>
  <c r="S264" i="1"/>
  <c r="T264" i="1" s="1"/>
  <c r="U264" i="1" s="1"/>
  <c r="R264" i="1"/>
  <c r="N264" i="1"/>
  <c r="O264" i="1" s="1"/>
  <c r="M264" i="1"/>
  <c r="P264" i="1" s="1"/>
  <c r="K264" i="1"/>
  <c r="I264" i="1"/>
  <c r="G264" i="1"/>
  <c r="T114" i="1"/>
  <c r="U114" i="1" s="1"/>
  <c r="S114" i="1"/>
  <c r="R114" i="1"/>
  <c r="N114" i="1"/>
  <c r="O114" i="1" s="1"/>
  <c r="M114" i="1"/>
  <c r="P114" i="1" s="1"/>
  <c r="K114" i="1"/>
  <c r="I114" i="1"/>
  <c r="G114" i="1"/>
  <c r="U113" i="1"/>
  <c r="S113" i="1"/>
  <c r="T113" i="1" s="1"/>
  <c r="R113" i="1"/>
  <c r="N113" i="1"/>
  <c r="O113" i="1" s="1"/>
  <c r="M113" i="1"/>
  <c r="K113" i="1"/>
  <c r="I113" i="1"/>
  <c r="G113" i="1"/>
  <c r="S694" i="1"/>
  <c r="T694" i="1" s="1"/>
  <c r="R694" i="1"/>
  <c r="N694" i="1"/>
  <c r="O694" i="1" s="1"/>
  <c r="W694" i="1" s="1"/>
  <c r="M694" i="1"/>
  <c r="K694" i="1"/>
  <c r="I694" i="1"/>
  <c r="G694" i="1"/>
  <c r="S645" i="1"/>
  <c r="T645" i="1" s="1"/>
  <c r="U645" i="1" s="1"/>
  <c r="R645" i="1"/>
  <c r="N645" i="1"/>
  <c r="O645" i="1" s="1"/>
  <c r="M645" i="1"/>
  <c r="K645" i="1"/>
  <c r="I645" i="1"/>
  <c r="G645" i="1"/>
  <c r="S693" i="1"/>
  <c r="T693" i="1" s="1"/>
  <c r="W693" i="1" s="1"/>
  <c r="R693" i="1"/>
  <c r="N693" i="1"/>
  <c r="O693" i="1" s="1"/>
  <c r="M693" i="1"/>
  <c r="P693" i="1" s="1"/>
  <c r="K693" i="1"/>
  <c r="I693" i="1"/>
  <c r="G693" i="1"/>
  <c r="S644" i="1"/>
  <c r="T644" i="1" s="1"/>
  <c r="R644" i="1"/>
  <c r="N644" i="1"/>
  <c r="O644" i="1" s="1"/>
  <c r="M644" i="1"/>
  <c r="K644" i="1"/>
  <c r="I644" i="1"/>
  <c r="V644" i="1" s="1"/>
  <c r="G644" i="1"/>
  <c r="S549" i="1"/>
  <c r="T549" i="1" s="1"/>
  <c r="R549" i="1"/>
  <c r="O549" i="1"/>
  <c r="N549" i="1"/>
  <c r="M549" i="1"/>
  <c r="K549" i="1"/>
  <c r="I549" i="1"/>
  <c r="G549" i="1"/>
  <c r="S170" i="1"/>
  <c r="T170" i="1" s="1"/>
  <c r="R170" i="1"/>
  <c r="N170" i="1"/>
  <c r="O170" i="1" s="1"/>
  <c r="W170" i="1" s="1"/>
  <c r="M170" i="1"/>
  <c r="K170" i="1"/>
  <c r="I170" i="1"/>
  <c r="G170" i="1"/>
  <c r="T643" i="1"/>
  <c r="U643" i="1" s="1"/>
  <c r="S643" i="1"/>
  <c r="R643" i="1"/>
  <c r="N643" i="1"/>
  <c r="O643" i="1" s="1"/>
  <c r="W643" i="1" s="1"/>
  <c r="M643" i="1"/>
  <c r="K643" i="1"/>
  <c r="I643" i="1"/>
  <c r="G643" i="1"/>
  <c r="S407" i="1"/>
  <c r="T407" i="1" s="1"/>
  <c r="R407" i="1"/>
  <c r="N407" i="1"/>
  <c r="O407" i="1" s="1"/>
  <c r="M407" i="1"/>
  <c r="K407" i="1"/>
  <c r="I407" i="1"/>
  <c r="G407" i="1"/>
  <c r="S606" i="1"/>
  <c r="T606" i="1" s="1"/>
  <c r="R606" i="1"/>
  <c r="N606" i="1"/>
  <c r="O606" i="1" s="1"/>
  <c r="M606" i="1"/>
  <c r="P606" i="1" s="1"/>
  <c r="K606" i="1"/>
  <c r="I606" i="1"/>
  <c r="G606" i="1"/>
  <c r="S605" i="1"/>
  <c r="T605" i="1" s="1"/>
  <c r="R605" i="1"/>
  <c r="N605" i="1"/>
  <c r="O605" i="1" s="1"/>
  <c r="W605" i="1" s="1"/>
  <c r="M605" i="1"/>
  <c r="K605" i="1"/>
  <c r="I605" i="1"/>
  <c r="G605" i="1"/>
  <c r="V605" i="1" s="1"/>
  <c r="X605" i="1" s="1"/>
  <c r="S354" i="1"/>
  <c r="T354" i="1" s="1"/>
  <c r="R354" i="1"/>
  <c r="N354" i="1"/>
  <c r="O354" i="1" s="1"/>
  <c r="P354" i="1" s="1"/>
  <c r="M354" i="1"/>
  <c r="K354" i="1"/>
  <c r="I354" i="1"/>
  <c r="G354" i="1"/>
  <c r="S16" i="1"/>
  <c r="T16" i="1" s="1"/>
  <c r="R16" i="1"/>
  <c r="U16" i="1" s="1"/>
  <c r="N16" i="1"/>
  <c r="O16" i="1" s="1"/>
  <c r="M16" i="1"/>
  <c r="K16" i="1"/>
  <c r="I16" i="1"/>
  <c r="G16" i="1"/>
  <c r="S507" i="1"/>
  <c r="T507" i="1" s="1"/>
  <c r="U507" i="1" s="1"/>
  <c r="R507" i="1"/>
  <c r="N507" i="1"/>
  <c r="O507" i="1" s="1"/>
  <c r="W507" i="1" s="1"/>
  <c r="M507" i="1"/>
  <c r="K507" i="1"/>
  <c r="I507" i="1"/>
  <c r="G507" i="1"/>
  <c r="S69" i="1"/>
  <c r="T69" i="1" s="1"/>
  <c r="R69" i="1"/>
  <c r="N69" i="1"/>
  <c r="O69" i="1" s="1"/>
  <c r="W69" i="1" s="1"/>
  <c r="M69" i="1"/>
  <c r="K69" i="1"/>
  <c r="I69" i="1"/>
  <c r="G69" i="1"/>
  <c r="S68" i="1"/>
  <c r="T68" i="1" s="1"/>
  <c r="U68" i="1" s="1"/>
  <c r="R68" i="1"/>
  <c r="N68" i="1"/>
  <c r="O68" i="1" s="1"/>
  <c r="M68" i="1"/>
  <c r="K68" i="1"/>
  <c r="I68" i="1"/>
  <c r="V68" i="1" s="1"/>
  <c r="G68" i="1"/>
  <c r="S353" i="1"/>
  <c r="T353" i="1" s="1"/>
  <c r="R353" i="1"/>
  <c r="U353" i="1" s="1"/>
  <c r="N353" i="1"/>
  <c r="O353" i="1" s="1"/>
  <c r="M353" i="1"/>
  <c r="K353" i="1"/>
  <c r="I353" i="1"/>
  <c r="G353" i="1"/>
  <c r="S67" i="1"/>
  <c r="T67" i="1" s="1"/>
  <c r="R67" i="1"/>
  <c r="O67" i="1"/>
  <c r="W67" i="1" s="1"/>
  <c r="N67" i="1"/>
  <c r="M67" i="1"/>
  <c r="K67" i="1"/>
  <c r="I67" i="1"/>
  <c r="G67" i="1"/>
  <c r="S642" i="1"/>
  <c r="T642" i="1" s="1"/>
  <c r="R642" i="1"/>
  <c r="N642" i="1"/>
  <c r="O642" i="1" s="1"/>
  <c r="M642" i="1"/>
  <c r="K642" i="1"/>
  <c r="I642" i="1"/>
  <c r="G642" i="1"/>
  <c r="T112" i="1"/>
  <c r="S112" i="1"/>
  <c r="R112" i="1"/>
  <c r="N112" i="1"/>
  <c r="O112" i="1" s="1"/>
  <c r="P112" i="1" s="1"/>
  <c r="M112" i="1"/>
  <c r="K112" i="1"/>
  <c r="I112" i="1"/>
  <c r="G112" i="1"/>
  <c r="S506" i="1"/>
  <c r="T506" i="1" s="1"/>
  <c r="R506" i="1"/>
  <c r="U506" i="1" s="1"/>
  <c r="N506" i="1"/>
  <c r="O506" i="1" s="1"/>
  <c r="P506" i="1" s="1"/>
  <c r="M506" i="1"/>
  <c r="K506" i="1"/>
  <c r="I506" i="1"/>
  <c r="G506" i="1"/>
  <c r="S111" i="1"/>
  <c r="T111" i="1" s="1"/>
  <c r="U111" i="1" s="1"/>
  <c r="R111" i="1"/>
  <c r="O111" i="1"/>
  <c r="P111" i="1" s="1"/>
  <c r="N111" i="1"/>
  <c r="M111" i="1"/>
  <c r="K111" i="1"/>
  <c r="I111" i="1"/>
  <c r="G111" i="1"/>
  <c r="S604" i="1"/>
  <c r="T604" i="1" s="1"/>
  <c r="R604" i="1"/>
  <c r="P604" i="1"/>
  <c r="N604" i="1"/>
  <c r="O604" i="1" s="1"/>
  <c r="M604" i="1"/>
  <c r="K604" i="1"/>
  <c r="I604" i="1"/>
  <c r="G604" i="1"/>
  <c r="S216" i="1"/>
  <c r="T216" i="1" s="1"/>
  <c r="R216" i="1"/>
  <c r="N216" i="1"/>
  <c r="O216" i="1" s="1"/>
  <c r="M216" i="1"/>
  <c r="P216" i="1" s="1"/>
  <c r="K216" i="1"/>
  <c r="I216" i="1"/>
  <c r="G216" i="1"/>
  <c r="S110" i="1"/>
  <c r="T110" i="1" s="1"/>
  <c r="R110" i="1"/>
  <c r="N110" i="1"/>
  <c r="O110" i="1" s="1"/>
  <c r="M110" i="1"/>
  <c r="K110" i="1"/>
  <c r="I110" i="1"/>
  <c r="V110" i="1" s="1"/>
  <c r="G110" i="1"/>
  <c r="S692" i="1"/>
  <c r="T692" i="1" s="1"/>
  <c r="R692" i="1"/>
  <c r="U692" i="1" s="1"/>
  <c r="N692" i="1"/>
  <c r="O692" i="1" s="1"/>
  <c r="W692" i="1" s="1"/>
  <c r="M692" i="1"/>
  <c r="K692" i="1"/>
  <c r="V692" i="1" s="1"/>
  <c r="I692" i="1"/>
  <c r="G692" i="1"/>
  <c r="S352" i="1"/>
  <c r="T352" i="1" s="1"/>
  <c r="U352" i="1" s="1"/>
  <c r="R352" i="1"/>
  <c r="N352" i="1"/>
  <c r="O352" i="1" s="1"/>
  <c r="M352" i="1"/>
  <c r="P352" i="1" s="1"/>
  <c r="K352" i="1"/>
  <c r="I352" i="1"/>
  <c r="G352" i="1"/>
  <c r="T351" i="1"/>
  <c r="U351" i="1" s="1"/>
  <c r="S351" i="1"/>
  <c r="R351" i="1"/>
  <c r="N351" i="1"/>
  <c r="O351" i="1" s="1"/>
  <c r="W351" i="1" s="1"/>
  <c r="M351" i="1"/>
  <c r="P351" i="1" s="1"/>
  <c r="K351" i="1"/>
  <c r="I351" i="1"/>
  <c r="G351" i="1"/>
  <c r="S263" i="1"/>
  <c r="T263" i="1" s="1"/>
  <c r="U263" i="1" s="1"/>
  <c r="R263" i="1"/>
  <c r="N263" i="1"/>
  <c r="O263" i="1" s="1"/>
  <c r="M263" i="1"/>
  <c r="K263" i="1"/>
  <c r="I263" i="1"/>
  <c r="G263" i="1"/>
  <c r="S350" i="1"/>
  <c r="T350" i="1" s="1"/>
  <c r="R350" i="1"/>
  <c r="U350" i="1" s="1"/>
  <c r="N350" i="1"/>
  <c r="O350" i="1" s="1"/>
  <c r="M350" i="1"/>
  <c r="K350" i="1"/>
  <c r="I350" i="1"/>
  <c r="G350" i="1"/>
  <c r="S169" i="1"/>
  <c r="T169" i="1" s="1"/>
  <c r="R169" i="1"/>
  <c r="N169" i="1"/>
  <c r="O169" i="1" s="1"/>
  <c r="W169" i="1" s="1"/>
  <c r="M169" i="1"/>
  <c r="K169" i="1"/>
  <c r="I169" i="1"/>
  <c r="G169" i="1"/>
  <c r="S603" i="1"/>
  <c r="T603" i="1" s="1"/>
  <c r="R603" i="1"/>
  <c r="U603" i="1" s="1"/>
  <c r="N603" i="1"/>
  <c r="O603" i="1" s="1"/>
  <c r="M603" i="1"/>
  <c r="K603" i="1"/>
  <c r="I603" i="1"/>
  <c r="G603" i="1"/>
  <c r="S109" i="1"/>
  <c r="T109" i="1" s="1"/>
  <c r="R109" i="1"/>
  <c r="U109" i="1" s="1"/>
  <c r="N109" i="1"/>
  <c r="O109" i="1" s="1"/>
  <c r="P109" i="1" s="1"/>
  <c r="M109" i="1"/>
  <c r="K109" i="1"/>
  <c r="I109" i="1"/>
  <c r="G109" i="1"/>
  <c r="S262" i="1"/>
  <c r="T262" i="1" s="1"/>
  <c r="R262" i="1"/>
  <c r="P262" i="1"/>
  <c r="O262" i="1"/>
  <c r="W262" i="1" s="1"/>
  <c r="N262" i="1"/>
  <c r="M262" i="1"/>
  <c r="K262" i="1"/>
  <c r="I262" i="1"/>
  <c r="G262" i="1"/>
  <c r="S406" i="1"/>
  <c r="T406" i="1" s="1"/>
  <c r="R406" i="1"/>
  <c r="N406" i="1"/>
  <c r="O406" i="1" s="1"/>
  <c r="M406" i="1"/>
  <c r="K406" i="1"/>
  <c r="I406" i="1"/>
  <c r="G406" i="1"/>
  <c r="S108" i="1"/>
  <c r="T108" i="1" s="1"/>
  <c r="R108" i="1"/>
  <c r="N108" i="1"/>
  <c r="O108" i="1" s="1"/>
  <c r="M108" i="1"/>
  <c r="P108" i="1" s="1"/>
  <c r="K108" i="1"/>
  <c r="I108" i="1"/>
  <c r="G108" i="1"/>
  <c r="S505" i="1"/>
  <c r="T505" i="1" s="1"/>
  <c r="R505" i="1"/>
  <c r="U505" i="1" s="1"/>
  <c r="N505" i="1"/>
  <c r="O505" i="1" s="1"/>
  <c r="P505" i="1" s="1"/>
  <c r="M505" i="1"/>
  <c r="K505" i="1"/>
  <c r="I505" i="1"/>
  <c r="G505" i="1"/>
  <c r="S405" i="1"/>
  <c r="T405" i="1" s="1"/>
  <c r="R405" i="1"/>
  <c r="U405" i="1" s="1"/>
  <c r="O405" i="1"/>
  <c r="N405" i="1"/>
  <c r="M405" i="1"/>
  <c r="K405" i="1"/>
  <c r="I405" i="1"/>
  <c r="G405" i="1"/>
  <c r="S404" i="1"/>
  <c r="T404" i="1" s="1"/>
  <c r="R404" i="1"/>
  <c r="O404" i="1"/>
  <c r="N404" i="1"/>
  <c r="M404" i="1"/>
  <c r="P404" i="1" s="1"/>
  <c r="K404" i="1"/>
  <c r="I404" i="1"/>
  <c r="G404" i="1"/>
  <c r="U66" i="1"/>
  <c r="T66" i="1"/>
  <c r="S66" i="1"/>
  <c r="R66" i="1"/>
  <c r="N66" i="1"/>
  <c r="O66" i="1" s="1"/>
  <c r="W66" i="1" s="1"/>
  <c r="M66" i="1"/>
  <c r="K66" i="1"/>
  <c r="I66" i="1"/>
  <c r="G66" i="1"/>
  <c r="S602" i="1"/>
  <c r="T602" i="1" s="1"/>
  <c r="R602" i="1"/>
  <c r="N602" i="1"/>
  <c r="O602" i="1" s="1"/>
  <c r="M602" i="1"/>
  <c r="K602" i="1"/>
  <c r="I602" i="1"/>
  <c r="G602" i="1"/>
  <c r="S168" i="1"/>
  <c r="T168" i="1" s="1"/>
  <c r="R168" i="1"/>
  <c r="N168" i="1"/>
  <c r="O168" i="1" s="1"/>
  <c r="M168" i="1"/>
  <c r="K168" i="1"/>
  <c r="I168" i="1"/>
  <c r="G168" i="1"/>
  <c r="S15" i="1"/>
  <c r="T15" i="1" s="1"/>
  <c r="U15" i="1" s="1"/>
  <c r="R15" i="1"/>
  <c r="N15" i="1"/>
  <c r="O15" i="1" s="1"/>
  <c r="W15" i="1" s="1"/>
  <c r="M15" i="1"/>
  <c r="K15" i="1"/>
  <c r="I15" i="1"/>
  <c r="G15" i="1"/>
  <c r="S548" i="1"/>
  <c r="T548" i="1" s="1"/>
  <c r="R548" i="1"/>
  <c r="N548" i="1"/>
  <c r="O548" i="1" s="1"/>
  <c r="M548" i="1"/>
  <c r="P548" i="1" s="1"/>
  <c r="K548" i="1"/>
  <c r="I548" i="1"/>
  <c r="G548" i="1"/>
  <c r="S504" i="1"/>
  <c r="T504" i="1" s="1"/>
  <c r="R504" i="1"/>
  <c r="U504" i="1" s="1"/>
  <c r="N504" i="1"/>
  <c r="O504" i="1" s="1"/>
  <c r="M504" i="1"/>
  <c r="K504" i="1"/>
  <c r="I504" i="1"/>
  <c r="G504" i="1"/>
  <c r="S65" i="1"/>
  <c r="T65" i="1" s="1"/>
  <c r="R65" i="1"/>
  <c r="U65" i="1" s="1"/>
  <c r="N65" i="1"/>
  <c r="O65" i="1" s="1"/>
  <c r="M65" i="1"/>
  <c r="K65" i="1"/>
  <c r="V65" i="1" s="1"/>
  <c r="I65" i="1"/>
  <c r="G65" i="1"/>
  <c r="S215" i="1"/>
  <c r="T215" i="1" s="1"/>
  <c r="R215" i="1"/>
  <c r="N215" i="1"/>
  <c r="O215" i="1" s="1"/>
  <c r="P215" i="1" s="1"/>
  <c r="K215" i="1"/>
  <c r="I215" i="1"/>
  <c r="V215" i="1" s="1"/>
  <c r="G215" i="1"/>
  <c r="S64" i="1"/>
  <c r="T64" i="1" s="1"/>
  <c r="R64" i="1"/>
  <c r="N64" i="1"/>
  <c r="O64" i="1" s="1"/>
  <c r="W64" i="1" s="1"/>
  <c r="M64" i="1"/>
  <c r="K64" i="1"/>
  <c r="V64" i="1" s="1"/>
  <c r="I64" i="1"/>
  <c r="G64" i="1"/>
  <c r="S641" i="1"/>
  <c r="T641" i="1" s="1"/>
  <c r="R641" i="1"/>
  <c r="N641" i="1"/>
  <c r="O641" i="1" s="1"/>
  <c r="M641" i="1"/>
  <c r="P641" i="1" s="1"/>
  <c r="K641" i="1"/>
  <c r="I641" i="1"/>
  <c r="G641" i="1"/>
  <c r="S349" i="1"/>
  <c r="T349" i="1" s="1"/>
  <c r="R349" i="1"/>
  <c r="N349" i="1"/>
  <c r="O349" i="1" s="1"/>
  <c r="M349" i="1"/>
  <c r="K349" i="1"/>
  <c r="I349" i="1"/>
  <c r="V349" i="1" s="1"/>
  <c r="G349" i="1"/>
  <c r="S403" i="1"/>
  <c r="T403" i="1" s="1"/>
  <c r="R403" i="1"/>
  <c r="O403" i="1"/>
  <c r="N403" i="1"/>
  <c r="M403" i="1"/>
  <c r="P403" i="1" s="1"/>
  <c r="K403" i="1"/>
  <c r="I403" i="1"/>
  <c r="G403" i="1"/>
  <c r="S691" i="1"/>
  <c r="T691" i="1" s="1"/>
  <c r="R691" i="1"/>
  <c r="O691" i="1"/>
  <c r="N691" i="1"/>
  <c r="M691" i="1"/>
  <c r="K691" i="1"/>
  <c r="I691" i="1"/>
  <c r="G691" i="1"/>
  <c r="S402" i="1"/>
  <c r="T402" i="1" s="1"/>
  <c r="R402" i="1"/>
  <c r="N402" i="1"/>
  <c r="O402" i="1" s="1"/>
  <c r="M402" i="1"/>
  <c r="K402" i="1"/>
  <c r="I402" i="1"/>
  <c r="G402" i="1"/>
  <c r="T690" i="1"/>
  <c r="U690" i="1" s="1"/>
  <c r="S690" i="1"/>
  <c r="R690" i="1"/>
  <c r="N690" i="1"/>
  <c r="O690" i="1" s="1"/>
  <c r="W690" i="1" s="1"/>
  <c r="M690" i="1"/>
  <c r="K690" i="1"/>
  <c r="I690" i="1"/>
  <c r="G690" i="1"/>
  <c r="T214" i="1"/>
  <c r="S214" i="1"/>
  <c r="R214" i="1"/>
  <c r="U214" i="1" s="1"/>
  <c r="O214" i="1"/>
  <c r="W214" i="1" s="1"/>
  <c r="N214" i="1"/>
  <c r="M214" i="1"/>
  <c r="K214" i="1"/>
  <c r="I214" i="1"/>
  <c r="G214" i="1"/>
  <c r="S213" i="1"/>
  <c r="T213" i="1" s="1"/>
  <c r="R213" i="1"/>
  <c r="O213" i="1"/>
  <c r="N213" i="1"/>
  <c r="M213" i="1"/>
  <c r="K213" i="1"/>
  <c r="I213" i="1"/>
  <c r="G213" i="1"/>
  <c r="S455" i="1"/>
  <c r="T455" i="1" s="1"/>
  <c r="R455" i="1"/>
  <c r="U455" i="1" s="1"/>
  <c r="O455" i="1"/>
  <c r="P455" i="1" s="1"/>
  <c r="N455" i="1"/>
  <c r="M455" i="1"/>
  <c r="K455" i="1"/>
  <c r="I455" i="1"/>
  <c r="G455" i="1"/>
  <c r="S306" i="1"/>
  <c r="T306" i="1" s="1"/>
  <c r="U306" i="1" s="1"/>
  <c r="R306" i="1"/>
  <c r="N306" i="1"/>
  <c r="O306" i="1" s="1"/>
  <c r="M306" i="1"/>
  <c r="V306" i="1" s="1"/>
  <c r="K306" i="1"/>
  <c r="I306" i="1"/>
  <c r="G306" i="1"/>
  <c r="S167" i="1"/>
  <c r="T167" i="1" s="1"/>
  <c r="R167" i="1"/>
  <c r="N167" i="1"/>
  <c r="O167" i="1" s="1"/>
  <c r="M167" i="1"/>
  <c r="K167" i="1"/>
  <c r="I167" i="1"/>
  <c r="G167" i="1"/>
  <c r="S212" i="1"/>
  <c r="T212" i="1" s="1"/>
  <c r="U212" i="1" s="1"/>
  <c r="R212" i="1"/>
  <c r="N212" i="1"/>
  <c r="O212" i="1" s="1"/>
  <c r="M212" i="1"/>
  <c r="K212" i="1"/>
  <c r="I212" i="1"/>
  <c r="G212" i="1"/>
  <c r="S401" i="1"/>
  <c r="T401" i="1" s="1"/>
  <c r="R401" i="1"/>
  <c r="O401" i="1"/>
  <c r="P401" i="1" s="1"/>
  <c r="N401" i="1"/>
  <c r="M401" i="1"/>
  <c r="K401" i="1"/>
  <c r="I401" i="1"/>
  <c r="V401" i="1" s="1"/>
  <c r="G401" i="1"/>
  <c r="S689" i="1"/>
  <c r="T689" i="1" s="1"/>
  <c r="R689" i="1"/>
  <c r="O689" i="1"/>
  <c r="N689" i="1"/>
  <c r="M689" i="1"/>
  <c r="K689" i="1"/>
  <c r="I689" i="1"/>
  <c r="G689" i="1"/>
  <c r="S688" i="1"/>
  <c r="T688" i="1" s="1"/>
  <c r="R688" i="1"/>
  <c r="N688" i="1"/>
  <c r="O688" i="1" s="1"/>
  <c r="W688" i="1" s="1"/>
  <c r="M688" i="1"/>
  <c r="K688" i="1"/>
  <c r="I688" i="1"/>
  <c r="G688" i="1"/>
  <c r="S601" i="1"/>
  <c r="T601" i="1" s="1"/>
  <c r="U601" i="1" s="1"/>
  <c r="R601" i="1"/>
  <c r="N601" i="1"/>
  <c r="O601" i="1" s="1"/>
  <c r="M601" i="1"/>
  <c r="K601" i="1"/>
  <c r="I601" i="1"/>
  <c r="G601" i="1"/>
  <c r="S348" i="1"/>
  <c r="T348" i="1" s="1"/>
  <c r="R348" i="1"/>
  <c r="U348" i="1" s="1"/>
  <c r="N348" i="1"/>
  <c r="O348" i="1" s="1"/>
  <c r="M348" i="1"/>
  <c r="K348" i="1"/>
  <c r="I348" i="1"/>
  <c r="G348" i="1"/>
  <c r="S166" i="1"/>
  <c r="T166" i="1" s="1"/>
  <c r="U166" i="1" s="1"/>
  <c r="R166" i="1"/>
  <c r="N166" i="1"/>
  <c r="O166" i="1" s="1"/>
  <c r="M166" i="1"/>
  <c r="K166" i="1"/>
  <c r="I166" i="1"/>
  <c r="G166" i="1"/>
  <c r="S107" i="1"/>
  <c r="T107" i="1" s="1"/>
  <c r="R107" i="1"/>
  <c r="N107" i="1"/>
  <c r="O107" i="1" s="1"/>
  <c r="W107" i="1" s="1"/>
  <c r="M107" i="1"/>
  <c r="V107" i="1" s="1"/>
  <c r="K107" i="1"/>
  <c r="I107" i="1"/>
  <c r="G107" i="1"/>
  <c r="T600" i="1"/>
  <c r="U600" i="1" s="1"/>
  <c r="S600" i="1"/>
  <c r="R600" i="1"/>
  <c r="N600" i="1"/>
  <c r="O600" i="1" s="1"/>
  <c r="M600" i="1"/>
  <c r="K600" i="1"/>
  <c r="I600" i="1"/>
  <c r="G600" i="1"/>
  <c r="S687" i="1"/>
  <c r="T687" i="1" s="1"/>
  <c r="R687" i="1"/>
  <c r="N687" i="1"/>
  <c r="O687" i="1" s="1"/>
  <c r="M687" i="1"/>
  <c r="K687" i="1"/>
  <c r="I687" i="1"/>
  <c r="G687" i="1"/>
  <c r="S400" i="1"/>
  <c r="T400" i="1" s="1"/>
  <c r="R400" i="1"/>
  <c r="N400" i="1"/>
  <c r="O400" i="1" s="1"/>
  <c r="M400" i="1"/>
  <c r="K400" i="1"/>
  <c r="V400" i="1" s="1"/>
  <c r="I400" i="1"/>
  <c r="G400" i="1"/>
  <c r="S347" i="1"/>
  <c r="T347" i="1" s="1"/>
  <c r="U347" i="1" s="1"/>
  <c r="R347" i="1"/>
  <c r="N347" i="1"/>
  <c r="O347" i="1" s="1"/>
  <c r="M347" i="1"/>
  <c r="K347" i="1"/>
  <c r="V347" i="1" s="1"/>
  <c r="I347" i="1"/>
  <c r="G347" i="1"/>
  <c r="S399" i="1"/>
  <c r="T399" i="1" s="1"/>
  <c r="U399" i="1" s="1"/>
  <c r="R399" i="1"/>
  <c r="N399" i="1"/>
  <c r="O399" i="1" s="1"/>
  <c r="M399" i="1"/>
  <c r="K399" i="1"/>
  <c r="I399" i="1"/>
  <c r="G399" i="1"/>
  <c r="S305" i="1"/>
  <c r="T305" i="1" s="1"/>
  <c r="R305" i="1"/>
  <c r="U305" i="1" s="1"/>
  <c r="N305" i="1"/>
  <c r="O305" i="1" s="1"/>
  <c r="M305" i="1"/>
  <c r="K305" i="1"/>
  <c r="I305" i="1"/>
  <c r="G305" i="1"/>
  <c r="S640" i="1"/>
  <c r="T640" i="1" s="1"/>
  <c r="R640" i="1"/>
  <c r="O640" i="1"/>
  <c r="N640" i="1"/>
  <c r="M640" i="1"/>
  <c r="K640" i="1"/>
  <c r="I640" i="1"/>
  <c r="G640" i="1"/>
  <c r="S686" i="1"/>
  <c r="T686" i="1" s="1"/>
  <c r="R686" i="1"/>
  <c r="N686" i="1"/>
  <c r="O686" i="1" s="1"/>
  <c r="M686" i="1"/>
  <c r="K686" i="1"/>
  <c r="I686" i="1"/>
  <c r="V686" i="1" s="1"/>
  <c r="G686" i="1"/>
  <c r="S211" i="1"/>
  <c r="T211" i="1" s="1"/>
  <c r="U211" i="1" s="1"/>
  <c r="R211" i="1"/>
  <c r="N211" i="1"/>
  <c r="O211" i="1" s="1"/>
  <c r="M211" i="1"/>
  <c r="K211" i="1"/>
  <c r="I211" i="1"/>
  <c r="V211" i="1" s="1"/>
  <c r="G211" i="1"/>
  <c r="S685" i="1"/>
  <c r="T685" i="1" s="1"/>
  <c r="R685" i="1"/>
  <c r="U685" i="1" s="1"/>
  <c r="N685" i="1"/>
  <c r="O685" i="1" s="1"/>
  <c r="M685" i="1"/>
  <c r="K685" i="1"/>
  <c r="I685" i="1"/>
  <c r="G685" i="1"/>
  <c r="S599" i="1"/>
  <c r="T599" i="1" s="1"/>
  <c r="U599" i="1" s="1"/>
  <c r="R599" i="1"/>
  <c r="N599" i="1"/>
  <c r="O599" i="1" s="1"/>
  <c r="M599" i="1"/>
  <c r="K599" i="1"/>
  <c r="I599" i="1"/>
  <c r="G599" i="1"/>
  <c r="S503" i="1"/>
  <c r="T503" i="1" s="1"/>
  <c r="R503" i="1"/>
  <c r="N503" i="1"/>
  <c r="O503" i="1" s="1"/>
  <c r="W503" i="1" s="1"/>
  <c r="M503" i="1"/>
  <c r="K503" i="1"/>
  <c r="I503" i="1"/>
  <c r="V503" i="1" s="1"/>
  <c r="G503" i="1"/>
  <c r="T502" i="1"/>
  <c r="S502" i="1"/>
  <c r="R502" i="1"/>
  <c r="N502" i="1"/>
  <c r="O502" i="1" s="1"/>
  <c r="M502" i="1"/>
  <c r="K502" i="1"/>
  <c r="I502" i="1"/>
  <c r="G502" i="1"/>
  <c r="S639" i="1"/>
  <c r="T639" i="1" s="1"/>
  <c r="R639" i="1"/>
  <c r="N639" i="1"/>
  <c r="O639" i="1" s="1"/>
  <c r="M639" i="1"/>
  <c r="K639" i="1"/>
  <c r="I639" i="1"/>
  <c r="G639" i="1"/>
  <c r="S261" i="1"/>
  <c r="T261" i="1" s="1"/>
  <c r="U261" i="1" s="1"/>
  <c r="R261" i="1"/>
  <c r="N261" i="1"/>
  <c r="O261" i="1" s="1"/>
  <c r="M261" i="1"/>
  <c r="K261" i="1"/>
  <c r="I261" i="1"/>
  <c r="G261" i="1"/>
  <c r="S304" i="1"/>
  <c r="T304" i="1" s="1"/>
  <c r="U304" i="1" s="1"/>
  <c r="R304" i="1"/>
  <c r="N304" i="1"/>
  <c r="O304" i="1" s="1"/>
  <c r="W304" i="1" s="1"/>
  <c r="M304" i="1"/>
  <c r="V304" i="1" s="1"/>
  <c r="K304" i="1"/>
  <c r="I304" i="1"/>
  <c r="G304" i="1"/>
  <c r="T454" i="1"/>
  <c r="U454" i="1" s="1"/>
  <c r="S454" i="1"/>
  <c r="R454" i="1"/>
  <c r="N454" i="1"/>
  <c r="O454" i="1" s="1"/>
  <c r="M454" i="1"/>
  <c r="K454" i="1"/>
  <c r="I454" i="1"/>
  <c r="G454" i="1"/>
  <c r="S165" i="1"/>
  <c r="T165" i="1" s="1"/>
  <c r="R165" i="1"/>
  <c r="N165" i="1"/>
  <c r="O165" i="1" s="1"/>
  <c r="M165" i="1"/>
  <c r="K165" i="1"/>
  <c r="I165" i="1"/>
  <c r="G165" i="1"/>
  <c r="S164" i="1"/>
  <c r="T164" i="1" s="1"/>
  <c r="R164" i="1"/>
  <c r="O164" i="1"/>
  <c r="N164" i="1"/>
  <c r="M164" i="1"/>
  <c r="K164" i="1"/>
  <c r="I164" i="1"/>
  <c r="G164" i="1"/>
  <c r="S14" i="1"/>
  <c r="T14" i="1" s="1"/>
  <c r="U14" i="1" s="1"/>
  <c r="R14" i="1"/>
  <c r="N14" i="1"/>
  <c r="O14" i="1" s="1"/>
  <c r="M14" i="1"/>
  <c r="K14" i="1"/>
  <c r="V14" i="1" s="1"/>
  <c r="I14" i="1"/>
  <c r="G14" i="1"/>
  <c r="S163" i="1"/>
  <c r="T163" i="1" s="1"/>
  <c r="U163" i="1" s="1"/>
  <c r="R163" i="1"/>
  <c r="N163" i="1"/>
  <c r="O163" i="1" s="1"/>
  <c r="M163" i="1"/>
  <c r="K163" i="1"/>
  <c r="I163" i="1"/>
  <c r="G163" i="1"/>
  <c r="S346" i="1"/>
  <c r="T346" i="1" s="1"/>
  <c r="R346" i="1"/>
  <c r="U346" i="1" s="1"/>
  <c r="N346" i="1"/>
  <c r="O346" i="1" s="1"/>
  <c r="M346" i="1"/>
  <c r="K346" i="1"/>
  <c r="I346" i="1"/>
  <c r="G346" i="1"/>
  <c r="S501" i="1"/>
  <c r="T501" i="1" s="1"/>
  <c r="R501" i="1"/>
  <c r="O501" i="1"/>
  <c r="N501" i="1"/>
  <c r="M501" i="1"/>
  <c r="K501" i="1"/>
  <c r="I501" i="1"/>
  <c r="G501" i="1"/>
  <c r="S638" i="1"/>
  <c r="T638" i="1" s="1"/>
  <c r="R638" i="1"/>
  <c r="N638" i="1"/>
  <c r="O638" i="1" s="1"/>
  <c r="M638" i="1"/>
  <c r="K638" i="1"/>
  <c r="I638" i="1"/>
  <c r="V638" i="1" s="1"/>
  <c r="G638" i="1"/>
  <c r="S303" i="1"/>
  <c r="T303" i="1" s="1"/>
  <c r="U303" i="1" s="1"/>
  <c r="R303" i="1"/>
  <c r="N303" i="1"/>
  <c r="O303" i="1" s="1"/>
  <c r="M303" i="1"/>
  <c r="K303" i="1"/>
  <c r="I303" i="1"/>
  <c r="G303" i="1"/>
  <c r="S302" i="1"/>
  <c r="T302" i="1" s="1"/>
  <c r="R302" i="1"/>
  <c r="U302" i="1" s="1"/>
  <c r="N302" i="1"/>
  <c r="O302" i="1" s="1"/>
  <c r="M302" i="1"/>
  <c r="K302" i="1"/>
  <c r="I302" i="1"/>
  <c r="G302" i="1"/>
  <c r="S598" i="1"/>
  <c r="T598" i="1" s="1"/>
  <c r="R598" i="1"/>
  <c r="N598" i="1"/>
  <c r="O598" i="1" s="1"/>
  <c r="M598" i="1"/>
  <c r="K598" i="1"/>
  <c r="I598" i="1"/>
  <c r="G598" i="1"/>
  <c r="S684" i="1"/>
  <c r="T684" i="1" s="1"/>
  <c r="R684" i="1"/>
  <c r="N684" i="1"/>
  <c r="O684" i="1" s="1"/>
  <c r="W684" i="1" s="1"/>
  <c r="M684" i="1"/>
  <c r="K684" i="1"/>
  <c r="I684" i="1"/>
  <c r="V684" i="1" s="1"/>
  <c r="G684" i="1"/>
  <c r="S547" i="1"/>
  <c r="T547" i="1" s="1"/>
  <c r="U547" i="1" s="1"/>
  <c r="R547" i="1"/>
  <c r="N547" i="1"/>
  <c r="O547" i="1" s="1"/>
  <c r="M547" i="1"/>
  <c r="K547" i="1"/>
  <c r="I547" i="1"/>
  <c r="G547" i="1"/>
  <c r="S597" i="1"/>
  <c r="T597" i="1" s="1"/>
  <c r="R597" i="1"/>
  <c r="U597" i="1" s="1"/>
  <c r="N597" i="1"/>
  <c r="O597" i="1" s="1"/>
  <c r="M597" i="1"/>
  <c r="K597" i="1"/>
  <c r="I597" i="1"/>
  <c r="G597" i="1"/>
  <c r="S546" i="1"/>
  <c r="T546" i="1" s="1"/>
  <c r="U546" i="1" s="1"/>
  <c r="R546" i="1"/>
  <c r="N546" i="1"/>
  <c r="O546" i="1" s="1"/>
  <c r="M546" i="1"/>
  <c r="K546" i="1"/>
  <c r="I546" i="1"/>
  <c r="G546" i="1"/>
  <c r="S596" i="1"/>
  <c r="T596" i="1" s="1"/>
  <c r="R596" i="1"/>
  <c r="N596" i="1"/>
  <c r="O596" i="1" s="1"/>
  <c r="W596" i="1" s="1"/>
  <c r="M596" i="1"/>
  <c r="V596" i="1" s="1"/>
  <c r="K596" i="1"/>
  <c r="I596" i="1"/>
  <c r="G596" i="1"/>
  <c r="T545" i="1"/>
  <c r="U545" i="1" s="1"/>
  <c r="S545" i="1"/>
  <c r="R545" i="1"/>
  <c r="N545" i="1"/>
  <c r="O545" i="1" s="1"/>
  <c r="M545" i="1"/>
  <c r="K545" i="1"/>
  <c r="I545" i="1"/>
  <c r="G545" i="1"/>
  <c r="S683" i="1"/>
  <c r="T683" i="1" s="1"/>
  <c r="R683" i="1"/>
  <c r="N683" i="1"/>
  <c r="O683" i="1" s="1"/>
  <c r="M683" i="1"/>
  <c r="K683" i="1"/>
  <c r="I683" i="1"/>
  <c r="G683" i="1"/>
  <c r="S210" i="1"/>
  <c r="T210" i="1" s="1"/>
  <c r="R210" i="1"/>
  <c r="N210" i="1"/>
  <c r="O210" i="1" s="1"/>
  <c r="M210" i="1"/>
  <c r="K210" i="1"/>
  <c r="V210" i="1" s="1"/>
  <c r="I210" i="1"/>
  <c r="G210" i="1"/>
  <c r="S682" i="1"/>
  <c r="T682" i="1" s="1"/>
  <c r="U682" i="1" s="1"/>
  <c r="R682" i="1"/>
  <c r="N682" i="1"/>
  <c r="O682" i="1" s="1"/>
  <c r="M682" i="1"/>
  <c r="K682" i="1"/>
  <c r="V682" i="1" s="1"/>
  <c r="I682" i="1"/>
  <c r="G682" i="1"/>
  <c r="S209" i="1"/>
  <c r="T209" i="1" s="1"/>
  <c r="U209" i="1" s="1"/>
  <c r="R209" i="1"/>
  <c r="N209" i="1"/>
  <c r="O209" i="1" s="1"/>
  <c r="M209" i="1"/>
  <c r="K209" i="1"/>
  <c r="I209" i="1"/>
  <c r="G209" i="1"/>
  <c r="S162" i="1"/>
  <c r="T162" i="1" s="1"/>
  <c r="R162" i="1"/>
  <c r="U162" i="1" s="1"/>
  <c r="N162" i="1"/>
  <c r="O162" i="1" s="1"/>
  <c r="M162" i="1"/>
  <c r="K162" i="1"/>
  <c r="I162" i="1"/>
  <c r="G162" i="1"/>
  <c r="S637" i="1"/>
  <c r="T637" i="1" s="1"/>
  <c r="R637" i="1"/>
  <c r="O637" i="1"/>
  <c r="N637" i="1"/>
  <c r="M637" i="1"/>
  <c r="K637" i="1"/>
  <c r="I637" i="1"/>
  <c r="G637" i="1"/>
  <c r="S398" i="1"/>
  <c r="T398" i="1" s="1"/>
  <c r="R398" i="1"/>
  <c r="N398" i="1"/>
  <c r="O398" i="1" s="1"/>
  <c r="M398" i="1"/>
  <c r="K398" i="1"/>
  <c r="I398" i="1"/>
  <c r="V398" i="1" s="1"/>
  <c r="G398" i="1"/>
  <c r="S544" i="1"/>
  <c r="T544" i="1" s="1"/>
  <c r="U544" i="1" s="1"/>
  <c r="R544" i="1"/>
  <c r="N544" i="1"/>
  <c r="O544" i="1" s="1"/>
  <c r="M544" i="1"/>
  <c r="K544" i="1"/>
  <c r="I544" i="1"/>
  <c r="V544" i="1" s="1"/>
  <c r="G544" i="1"/>
  <c r="S397" i="1"/>
  <c r="T397" i="1" s="1"/>
  <c r="R397" i="1"/>
  <c r="U397" i="1" s="1"/>
  <c r="N397" i="1"/>
  <c r="O397" i="1" s="1"/>
  <c r="M397" i="1"/>
  <c r="K397" i="1"/>
  <c r="I397" i="1"/>
  <c r="G397" i="1"/>
  <c r="S543" i="1"/>
  <c r="T543" i="1" s="1"/>
  <c r="U543" i="1" s="1"/>
  <c r="R543" i="1"/>
  <c r="N543" i="1"/>
  <c r="O543" i="1" s="1"/>
  <c r="M543" i="1"/>
  <c r="K543" i="1"/>
  <c r="I543" i="1"/>
  <c r="G543" i="1"/>
  <c r="S595" i="1"/>
  <c r="T595" i="1" s="1"/>
  <c r="U595" i="1" s="1"/>
  <c r="R595" i="1"/>
  <c r="N595" i="1"/>
  <c r="O595" i="1" s="1"/>
  <c r="M595" i="1"/>
  <c r="P595" i="1" s="1"/>
  <c r="K595" i="1"/>
  <c r="I595" i="1"/>
  <c r="G595" i="1"/>
  <c r="T13" i="1"/>
  <c r="U13" i="1" s="1"/>
  <c r="S13" i="1"/>
  <c r="R13" i="1"/>
  <c r="N13" i="1"/>
  <c r="O13" i="1" s="1"/>
  <c r="M13" i="1"/>
  <c r="K13" i="1"/>
  <c r="I13" i="1"/>
  <c r="G13" i="1"/>
  <c r="S12" i="1"/>
  <c r="T12" i="1" s="1"/>
  <c r="R12" i="1"/>
  <c r="N12" i="1"/>
  <c r="O12" i="1" s="1"/>
  <c r="M12" i="1"/>
  <c r="K12" i="1"/>
  <c r="I12" i="1"/>
  <c r="G12" i="1"/>
  <c r="S301" i="1"/>
  <c r="T301" i="1" s="1"/>
  <c r="R301" i="1"/>
  <c r="O301" i="1"/>
  <c r="N301" i="1"/>
  <c r="M301" i="1"/>
  <c r="K301" i="1"/>
  <c r="I301" i="1"/>
  <c r="G301" i="1"/>
  <c r="S106" i="1"/>
  <c r="T106" i="1" s="1"/>
  <c r="U106" i="1" s="1"/>
  <c r="R106" i="1"/>
  <c r="N106" i="1"/>
  <c r="O106" i="1" s="1"/>
  <c r="M106" i="1"/>
  <c r="P106" i="1" s="1"/>
  <c r="K106" i="1"/>
  <c r="V106" i="1" s="1"/>
  <c r="I106" i="1"/>
  <c r="G106" i="1"/>
  <c r="S500" i="1"/>
  <c r="T500" i="1" s="1"/>
  <c r="U500" i="1" s="1"/>
  <c r="R500" i="1"/>
  <c r="N500" i="1"/>
  <c r="O500" i="1" s="1"/>
  <c r="M500" i="1"/>
  <c r="K500" i="1"/>
  <c r="I500" i="1"/>
  <c r="G500" i="1"/>
  <c r="S161" i="1"/>
  <c r="T161" i="1" s="1"/>
  <c r="R161" i="1"/>
  <c r="N161" i="1"/>
  <c r="O161" i="1" s="1"/>
  <c r="M161" i="1"/>
  <c r="K161" i="1"/>
  <c r="I161" i="1"/>
  <c r="G161" i="1"/>
  <c r="S160" i="1"/>
  <c r="T160" i="1" s="1"/>
  <c r="R160" i="1"/>
  <c r="O160" i="1"/>
  <c r="N160" i="1"/>
  <c r="M160" i="1"/>
  <c r="K160" i="1"/>
  <c r="I160" i="1"/>
  <c r="G160" i="1"/>
  <c r="S396" i="1"/>
  <c r="T396" i="1" s="1"/>
  <c r="R396" i="1"/>
  <c r="U396" i="1" s="1"/>
  <c r="N396" i="1"/>
  <c r="O396" i="1" s="1"/>
  <c r="M396" i="1"/>
  <c r="K396" i="1"/>
  <c r="I396" i="1"/>
  <c r="G396" i="1"/>
  <c r="S159" i="1"/>
  <c r="T159" i="1" s="1"/>
  <c r="R159" i="1"/>
  <c r="N159" i="1"/>
  <c r="O159" i="1" s="1"/>
  <c r="M159" i="1"/>
  <c r="K159" i="1"/>
  <c r="I159" i="1"/>
  <c r="G159" i="1"/>
  <c r="S11" i="1"/>
  <c r="T11" i="1" s="1"/>
  <c r="R11" i="1"/>
  <c r="N11" i="1"/>
  <c r="O11" i="1" s="1"/>
  <c r="M11" i="1"/>
  <c r="K11" i="1"/>
  <c r="I11" i="1"/>
  <c r="G11" i="1"/>
  <c r="S395" i="1"/>
  <c r="T395" i="1" s="1"/>
  <c r="U395" i="1" s="1"/>
  <c r="R395" i="1"/>
  <c r="N395" i="1"/>
  <c r="O395" i="1" s="1"/>
  <c r="W395" i="1" s="1"/>
  <c r="M395" i="1"/>
  <c r="K395" i="1"/>
  <c r="I395" i="1"/>
  <c r="G395" i="1"/>
  <c r="U345" i="1"/>
  <c r="S345" i="1"/>
  <c r="T345" i="1" s="1"/>
  <c r="R345" i="1"/>
  <c r="N345" i="1"/>
  <c r="O345" i="1" s="1"/>
  <c r="W345" i="1" s="1"/>
  <c r="M345" i="1"/>
  <c r="P345" i="1" s="1"/>
  <c r="K345" i="1"/>
  <c r="I345" i="1"/>
  <c r="G345" i="1"/>
  <c r="U344" i="1"/>
  <c r="S344" i="1"/>
  <c r="T344" i="1" s="1"/>
  <c r="R344" i="1"/>
  <c r="N344" i="1"/>
  <c r="O344" i="1" s="1"/>
  <c r="M344" i="1"/>
  <c r="K344" i="1"/>
  <c r="I344" i="1"/>
  <c r="G344" i="1"/>
  <c r="W10" i="1"/>
  <c r="S10" i="1"/>
  <c r="T10" i="1" s="1"/>
  <c r="R10" i="1"/>
  <c r="U10" i="1" s="1"/>
  <c r="P10" i="1"/>
  <c r="N10" i="1"/>
  <c r="O10" i="1" s="1"/>
  <c r="M10" i="1"/>
  <c r="K10" i="1"/>
  <c r="I10" i="1"/>
  <c r="G10" i="1"/>
  <c r="S343" i="1"/>
  <c r="T343" i="1" s="1"/>
  <c r="R343" i="1"/>
  <c r="U343" i="1" s="1"/>
  <c r="N343" i="1"/>
  <c r="O343" i="1" s="1"/>
  <c r="M343" i="1"/>
  <c r="K343" i="1"/>
  <c r="I343" i="1"/>
  <c r="G343" i="1"/>
  <c r="S636" i="1"/>
  <c r="T636" i="1" s="1"/>
  <c r="U636" i="1" s="1"/>
  <c r="R636" i="1"/>
  <c r="N636" i="1"/>
  <c r="O636" i="1" s="1"/>
  <c r="P636" i="1" s="1"/>
  <c r="M636" i="1"/>
  <c r="K636" i="1"/>
  <c r="I636" i="1"/>
  <c r="G636" i="1"/>
  <c r="S499" i="1"/>
  <c r="T499" i="1" s="1"/>
  <c r="R499" i="1"/>
  <c r="P499" i="1"/>
  <c r="N499" i="1"/>
  <c r="O499" i="1" s="1"/>
  <c r="M499" i="1"/>
  <c r="K499" i="1"/>
  <c r="I499" i="1"/>
  <c r="G499" i="1"/>
  <c r="S9" i="1"/>
  <c r="T9" i="1" s="1"/>
  <c r="R9" i="1"/>
  <c r="U9" i="1" s="1"/>
  <c r="N9" i="1"/>
  <c r="O9" i="1" s="1"/>
  <c r="P9" i="1" s="1"/>
  <c r="M9" i="1"/>
  <c r="K9" i="1"/>
  <c r="I9" i="1"/>
  <c r="G9" i="1"/>
  <c r="S105" i="1"/>
  <c r="T105" i="1" s="1"/>
  <c r="U105" i="1" s="1"/>
  <c r="R105" i="1"/>
  <c r="O105" i="1"/>
  <c r="W105" i="1" s="1"/>
  <c r="N105" i="1"/>
  <c r="M105" i="1"/>
  <c r="K105" i="1"/>
  <c r="I105" i="1"/>
  <c r="G105" i="1"/>
  <c r="S63" i="1"/>
  <c r="T63" i="1" s="1"/>
  <c r="R63" i="1"/>
  <c r="U63" i="1" s="1"/>
  <c r="N63" i="1"/>
  <c r="O63" i="1" s="1"/>
  <c r="W63" i="1" s="1"/>
  <c r="M63" i="1"/>
  <c r="K63" i="1"/>
  <c r="I63" i="1"/>
  <c r="G63" i="1"/>
  <c r="S62" i="1"/>
  <c r="T62" i="1" s="1"/>
  <c r="U62" i="1" s="1"/>
  <c r="R62" i="1"/>
  <c r="N62" i="1"/>
  <c r="O62" i="1" s="1"/>
  <c r="P62" i="1" s="1"/>
  <c r="M62" i="1"/>
  <c r="K62" i="1"/>
  <c r="I62" i="1"/>
  <c r="G62" i="1"/>
  <c r="W594" i="1"/>
  <c r="S594" i="1"/>
  <c r="T594" i="1" s="1"/>
  <c r="R594" i="1"/>
  <c r="U594" i="1" s="1"/>
  <c r="P594" i="1"/>
  <c r="N594" i="1"/>
  <c r="O594" i="1" s="1"/>
  <c r="M594" i="1"/>
  <c r="K594" i="1"/>
  <c r="I594" i="1"/>
  <c r="G594" i="1"/>
  <c r="S104" i="1"/>
  <c r="T104" i="1" s="1"/>
  <c r="R104" i="1"/>
  <c r="N104" i="1"/>
  <c r="O104" i="1" s="1"/>
  <c r="M104" i="1"/>
  <c r="K104" i="1"/>
  <c r="I104" i="1"/>
  <c r="G104" i="1"/>
  <c r="S208" i="1"/>
  <c r="T208" i="1" s="1"/>
  <c r="R208" i="1"/>
  <c r="N208" i="1"/>
  <c r="O208" i="1" s="1"/>
  <c r="W208" i="1" s="1"/>
  <c r="M208" i="1"/>
  <c r="K208" i="1"/>
  <c r="I208" i="1"/>
  <c r="G208" i="1"/>
  <c r="S542" i="1"/>
  <c r="T542" i="1" s="1"/>
  <c r="R542" i="1"/>
  <c r="N542" i="1"/>
  <c r="O542" i="1" s="1"/>
  <c r="P542" i="1" s="1"/>
  <c r="M542" i="1"/>
  <c r="K542" i="1"/>
  <c r="I542" i="1"/>
  <c r="G542" i="1"/>
  <c r="S394" i="1"/>
  <c r="T394" i="1" s="1"/>
  <c r="R394" i="1"/>
  <c r="N394" i="1"/>
  <c r="O394" i="1" s="1"/>
  <c r="P394" i="1" s="1"/>
  <c r="M394" i="1"/>
  <c r="K394" i="1"/>
  <c r="I394" i="1"/>
  <c r="G394" i="1"/>
  <c r="S593" i="1"/>
  <c r="T593" i="1" s="1"/>
  <c r="U593" i="1" s="1"/>
  <c r="R593" i="1"/>
  <c r="N593" i="1"/>
  <c r="O593" i="1" s="1"/>
  <c r="M593" i="1"/>
  <c r="K593" i="1"/>
  <c r="I593" i="1"/>
  <c r="G593" i="1"/>
  <c r="S158" i="1"/>
  <c r="T158" i="1" s="1"/>
  <c r="R158" i="1"/>
  <c r="N158" i="1"/>
  <c r="O158" i="1" s="1"/>
  <c r="M158" i="1"/>
  <c r="K158" i="1"/>
  <c r="I158" i="1"/>
  <c r="G158" i="1"/>
  <c r="S393" i="1"/>
  <c r="T393" i="1" s="1"/>
  <c r="R393" i="1"/>
  <c r="N393" i="1"/>
  <c r="O393" i="1" s="1"/>
  <c r="P393" i="1" s="1"/>
  <c r="M393" i="1"/>
  <c r="K393" i="1"/>
  <c r="I393" i="1"/>
  <c r="V393" i="1" s="1"/>
  <c r="G393" i="1"/>
  <c r="S592" i="1"/>
  <c r="T592" i="1" s="1"/>
  <c r="R592" i="1"/>
  <c r="U592" i="1" s="1"/>
  <c r="N592" i="1"/>
  <c r="O592" i="1" s="1"/>
  <c r="W592" i="1" s="1"/>
  <c r="M592" i="1"/>
  <c r="K592" i="1"/>
  <c r="I592" i="1"/>
  <c r="G592" i="1"/>
  <c r="S61" i="1"/>
  <c r="T61" i="1" s="1"/>
  <c r="U61" i="1" s="1"/>
  <c r="R61" i="1"/>
  <c r="N61" i="1"/>
  <c r="O61" i="1" s="1"/>
  <c r="M61" i="1"/>
  <c r="K61" i="1"/>
  <c r="I61" i="1"/>
  <c r="G61" i="1"/>
  <c r="W392" i="1"/>
  <c r="T392" i="1"/>
  <c r="S392" i="1"/>
  <c r="R392" i="1"/>
  <c r="N392" i="1"/>
  <c r="O392" i="1" s="1"/>
  <c r="M392" i="1"/>
  <c r="K392" i="1"/>
  <c r="I392" i="1"/>
  <c r="G392" i="1"/>
  <c r="S635" i="1"/>
  <c r="T635" i="1" s="1"/>
  <c r="R635" i="1"/>
  <c r="N635" i="1"/>
  <c r="O635" i="1" s="1"/>
  <c r="M635" i="1"/>
  <c r="K635" i="1"/>
  <c r="I635" i="1"/>
  <c r="G635" i="1"/>
  <c r="S260" i="1"/>
  <c r="T260" i="1" s="1"/>
  <c r="R260" i="1"/>
  <c r="N260" i="1"/>
  <c r="O260" i="1" s="1"/>
  <c r="M260" i="1"/>
  <c r="K260" i="1"/>
  <c r="I260" i="1"/>
  <c r="G260" i="1"/>
  <c r="S207" i="1"/>
  <c r="T207" i="1" s="1"/>
  <c r="R207" i="1"/>
  <c r="N207" i="1"/>
  <c r="O207" i="1" s="1"/>
  <c r="M207" i="1"/>
  <c r="K207" i="1"/>
  <c r="I207" i="1"/>
  <c r="V207" i="1" s="1"/>
  <c r="G207" i="1"/>
  <c r="S259" i="1"/>
  <c r="T259" i="1" s="1"/>
  <c r="R259" i="1"/>
  <c r="N259" i="1"/>
  <c r="O259" i="1" s="1"/>
  <c r="M259" i="1"/>
  <c r="K259" i="1"/>
  <c r="I259" i="1"/>
  <c r="G259" i="1"/>
  <c r="T60" i="1"/>
  <c r="U60" i="1" s="1"/>
  <c r="S60" i="1"/>
  <c r="R60" i="1"/>
  <c r="N60" i="1"/>
  <c r="O60" i="1" s="1"/>
  <c r="M60" i="1"/>
  <c r="K60" i="1"/>
  <c r="I60" i="1"/>
  <c r="G60" i="1"/>
  <c r="U681" i="1"/>
  <c r="S681" i="1"/>
  <c r="T681" i="1" s="1"/>
  <c r="R681" i="1"/>
  <c r="N681" i="1"/>
  <c r="O681" i="1" s="1"/>
  <c r="M681" i="1"/>
  <c r="K681" i="1"/>
  <c r="I681" i="1"/>
  <c r="G681" i="1"/>
  <c r="S541" i="1"/>
  <c r="T541" i="1" s="1"/>
  <c r="U541" i="1" s="1"/>
  <c r="R541" i="1"/>
  <c r="N541" i="1"/>
  <c r="O541" i="1" s="1"/>
  <c r="M541" i="1"/>
  <c r="K541" i="1"/>
  <c r="I541" i="1"/>
  <c r="G541" i="1"/>
  <c r="T206" i="1"/>
  <c r="S206" i="1"/>
  <c r="R206" i="1"/>
  <c r="N206" i="1"/>
  <c r="O206" i="1" s="1"/>
  <c r="W206" i="1" s="1"/>
  <c r="M206" i="1"/>
  <c r="K206" i="1"/>
  <c r="I206" i="1"/>
  <c r="G206" i="1"/>
  <c r="S205" i="1"/>
  <c r="T205" i="1" s="1"/>
  <c r="R205" i="1"/>
  <c r="N205" i="1"/>
  <c r="O205" i="1" s="1"/>
  <c r="M205" i="1"/>
  <c r="K205" i="1"/>
  <c r="I205" i="1"/>
  <c r="G205" i="1"/>
  <c r="T300" i="1"/>
  <c r="S300" i="1"/>
  <c r="R300" i="1"/>
  <c r="N300" i="1"/>
  <c r="O300" i="1" s="1"/>
  <c r="W300" i="1" s="1"/>
  <c r="M300" i="1"/>
  <c r="K300" i="1"/>
  <c r="I300" i="1"/>
  <c r="G300" i="1"/>
  <c r="T453" i="1"/>
  <c r="S453" i="1"/>
  <c r="R453" i="1"/>
  <c r="N453" i="1"/>
  <c r="O453" i="1" s="1"/>
  <c r="W453" i="1" s="1"/>
  <c r="M453" i="1"/>
  <c r="K453" i="1"/>
  <c r="I453" i="1"/>
  <c r="V453" i="1" s="1"/>
  <c r="G453" i="1"/>
  <c r="S204" i="1"/>
  <c r="T204" i="1" s="1"/>
  <c r="U204" i="1" s="1"/>
  <c r="R204" i="1"/>
  <c r="N204" i="1"/>
  <c r="O204" i="1" s="1"/>
  <c r="W204" i="1" s="1"/>
  <c r="M204" i="1"/>
  <c r="K204" i="1"/>
  <c r="I204" i="1"/>
  <c r="G204" i="1"/>
  <c r="S8" i="1"/>
  <c r="T8" i="1" s="1"/>
  <c r="R8" i="1"/>
  <c r="N8" i="1"/>
  <c r="O8" i="1" s="1"/>
  <c r="M8" i="1"/>
  <c r="K8" i="1"/>
  <c r="I8" i="1"/>
  <c r="G8" i="1"/>
  <c r="T59" i="1"/>
  <c r="S59" i="1"/>
  <c r="R59" i="1"/>
  <c r="N59" i="1"/>
  <c r="O59" i="1" s="1"/>
  <c r="W59" i="1" s="1"/>
  <c r="M59" i="1"/>
  <c r="K59" i="1"/>
  <c r="I59" i="1"/>
  <c r="G59" i="1"/>
  <c r="S58" i="1"/>
  <c r="T58" i="1" s="1"/>
  <c r="R58" i="1"/>
  <c r="N58" i="1"/>
  <c r="O58" i="1" s="1"/>
  <c r="M58" i="1"/>
  <c r="K58" i="1"/>
  <c r="I58" i="1"/>
  <c r="G58" i="1"/>
  <c r="S498" i="1"/>
  <c r="T498" i="1" s="1"/>
  <c r="R498" i="1"/>
  <c r="U498" i="1" s="1"/>
  <c r="O498" i="1"/>
  <c r="N498" i="1"/>
  <c r="M498" i="1"/>
  <c r="P498" i="1" s="1"/>
  <c r="K498" i="1"/>
  <c r="I498" i="1"/>
  <c r="G498" i="1"/>
  <c r="S157" i="1"/>
  <c r="T157" i="1" s="1"/>
  <c r="R157" i="1"/>
  <c r="U157" i="1" s="1"/>
  <c r="O157" i="1"/>
  <c r="N157" i="1"/>
  <c r="M157" i="1"/>
  <c r="K157" i="1"/>
  <c r="I157" i="1"/>
  <c r="G157" i="1"/>
  <c r="S156" i="1"/>
  <c r="T156" i="1" s="1"/>
  <c r="R156" i="1"/>
  <c r="N156" i="1"/>
  <c r="O156" i="1" s="1"/>
  <c r="M156" i="1"/>
  <c r="V156" i="1" s="1"/>
  <c r="K156" i="1"/>
  <c r="I156" i="1"/>
  <c r="G156" i="1"/>
  <c r="S591" i="1"/>
  <c r="T591" i="1" s="1"/>
  <c r="U591" i="1" s="1"/>
  <c r="R591" i="1"/>
  <c r="N591" i="1"/>
  <c r="O591" i="1" s="1"/>
  <c r="M591" i="1"/>
  <c r="K591" i="1"/>
  <c r="I591" i="1"/>
  <c r="G591" i="1"/>
  <c r="S497" i="1"/>
  <c r="T497" i="1" s="1"/>
  <c r="R497" i="1"/>
  <c r="U497" i="1" s="1"/>
  <c r="N497" i="1"/>
  <c r="O497" i="1" s="1"/>
  <c r="M497" i="1"/>
  <c r="K497" i="1"/>
  <c r="I497" i="1"/>
  <c r="G497" i="1"/>
  <c r="S452" i="1"/>
  <c r="T452" i="1" s="1"/>
  <c r="R452" i="1"/>
  <c r="N452" i="1"/>
  <c r="O452" i="1" s="1"/>
  <c r="M452" i="1"/>
  <c r="K452" i="1"/>
  <c r="I452" i="1"/>
  <c r="G452" i="1"/>
  <c r="S258" i="1"/>
  <c r="T258" i="1" s="1"/>
  <c r="R258" i="1"/>
  <c r="N258" i="1"/>
  <c r="O258" i="1" s="1"/>
  <c r="M258" i="1"/>
  <c r="P258" i="1" s="1"/>
  <c r="K258" i="1"/>
  <c r="I258" i="1"/>
  <c r="V258" i="1" s="1"/>
  <c r="G258" i="1"/>
  <c r="T57" i="1"/>
  <c r="U57" i="1" s="1"/>
  <c r="S57" i="1"/>
  <c r="R57" i="1"/>
  <c r="N57" i="1"/>
  <c r="O57" i="1" s="1"/>
  <c r="W57" i="1" s="1"/>
  <c r="M57" i="1"/>
  <c r="K57" i="1"/>
  <c r="I57" i="1"/>
  <c r="G57" i="1"/>
  <c r="S257" i="1"/>
  <c r="T257" i="1" s="1"/>
  <c r="R257" i="1"/>
  <c r="N257" i="1"/>
  <c r="O257" i="1" s="1"/>
  <c r="M257" i="1"/>
  <c r="K257" i="1"/>
  <c r="I257" i="1"/>
  <c r="G257" i="1"/>
  <c r="S155" i="1"/>
  <c r="T155" i="1" s="1"/>
  <c r="R155" i="1"/>
  <c r="N155" i="1"/>
  <c r="O155" i="1" s="1"/>
  <c r="M155" i="1"/>
  <c r="K155" i="1"/>
  <c r="I155" i="1"/>
  <c r="G155" i="1"/>
  <c r="S451" i="1"/>
  <c r="T451" i="1" s="1"/>
  <c r="R451" i="1"/>
  <c r="U451" i="1" s="1"/>
  <c r="N451" i="1"/>
  <c r="O451" i="1" s="1"/>
  <c r="M451" i="1"/>
  <c r="K451" i="1"/>
  <c r="I451" i="1"/>
  <c r="G451" i="1"/>
  <c r="S450" i="1"/>
  <c r="T450" i="1" s="1"/>
  <c r="U450" i="1" s="1"/>
  <c r="R450" i="1"/>
  <c r="N450" i="1"/>
  <c r="O450" i="1" s="1"/>
  <c r="M450" i="1"/>
  <c r="K450" i="1"/>
  <c r="I450" i="1"/>
  <c r="G450" i="1"/>
  <c r="S299" i="1"/>
  <c r="T299" i="1" s="1"/>
  <c r="R299" i="1"/>
  <c r="U299" i="1" s="1"/>
  <c r="N299" i="1"/>
  <c r="O299" i="1" s="1"/>
  <c r="W299" i="1" s="1"/>
  <c r="M299" i="1"/>
  <c r="K299" i="1"/>
  <c r="I299" i="1"/>
  <c r="G299" i="1"/>
  <c r="S680" i="1"/>
  <c r="T680" i="1" s="1"/>
  <c r="R680" i="1"/>
  <c r="N680" i="1"/>
  <c r="O680" i="1" s="1"/>
  <c r="M680" i="1"/>
  <c r="K680" i="1"/>
  <c r="I680" i="1"/>
  <c r="G680" i="1"/>
  <c r="S7" i="1"/>
  <c r="T7" i="1" s="1"/>
  <c r="R7" i="1"/>
  <c r="N7" i="1"/>
  <c r="O7" i="1" s="1"/>
  <c r="P7" i="1" s="1"/>
  <c r="M7" i="1"/>
  <c r="K7" i="1"/>
  <c r="I7" i="1"/>
  <c r="G7" i="1"/>
  <c r="T56" i="1"/>
  <c r="U56" i="1" s="1"/>
  <c r="S56" i="1"/>
  <c r="R56" i="1"/>
  <c r="N56" i="1"/>
  <c r="O56" i="1" s="1"/>
  <c r="P56" i="1" s="1"/>
  <c r="M56" i="1"/>
  <c r="K56" i="1"/>
  <c r="I56" i="1"/>
  <c r="V56" i="1" s="1"/>
  <c r="G56" i="1"/>
  <c r="U342" i="1"/>
  <c r="S342" i="1"/>
  <c r="T342" i="1" s="1"/>
  <c r="R342" i="1"/>
  <c r="N342" i="1"/>
  <c r="O342" i="1" s="1"/>
  <c r="M342" i="1"/>
  <c r="K342" i="1"/>
  <c r="I342" i="1"/>
  <c r="G342" i="1"/>
  <c r="S256" i="1"/>
  <c r="T256" i="1" s="1"/>
  <c r="R256" i="1"/>
  <c r="N256" i="1"/>
  <c r="O256" i="1" s="1"/>
  <c r="M256" i="1"/>
  <c r="K256" i="1"/>
  <c r="I256" i="1"/>
  <c r="G256" i="1"/>
  <c r="S203" i="1"/>
  <c r="T203" i="1" s="1"/>
  <c r="R203" i="1"/>
  <c r="U203" i="1" s="1"/>
  <c r="N203" i="1"/>
  <c r="O203" i="1" s="1"/>
  <c r="W203" i="1" s="1"/>
  <c r="M203" i="1"/>
  <c r="K203" i="1"/>
  <c r="I203" i="1"/>
  <c r="V203" i="1" s="1"/>
  <c r="X203" i="1" s="1"/>
  <c r="G203" i="1"/>
  <c r="T540" i="1"/>
  <c r="U540" i="1" s="1"/>
  <c r="S540" i="1"/>
  <c r="R540" i="1"/>
  <c r="N540" i="1"/>
  <c r="O540" i="1" s="1"/>
  <c r="P540" i="1" s="1"/>
  <c r="M540" i="1"/>
  <c r="K540" i="1"/>
  <c r="I540" i="1"/>
  <c r="V540" i="1" s="1"/>
  <c r="G540" i="1"/>
  <c r="U496" i="1"/>
  <c r="S496" i="1"/>
  <c r="T496" i="1" s="1"/>
  <c r="R496" i="1"/>
  <c r="N496" i="1"/>
  <c r="O496" i="1" s="1"/>
  <c r="M496" i="1"/>
  <c r="K496" i="1"/>
  <c r="I496" i="1"/>
  <c r="G496" i="1"/>
  <c r="S495" i="1"/>
  <c r="T495" i="1" s="1"/>
  <c r="U495" i="1" s="1"/>
  <c r="R495" i="1"/>
  <c r="N495" i="1"/>
  <c r="O495" i="1" s="1"/>
  <c r="M495" i="1"/>
  <c r="K495" i="1"/>
  <c r="I495" i="1"/>
  <c r="G495" i="1"/>
  <c r="S449" i="1"/>
  <c r="T449" i="1" s="1"/>
  <c r="R449" i="1"/>
  <c r="N449" i="1"/>
  <c r="O449" i="1" s="1"/>
  <c r="M449" i="1"/>
  <c r="V449" i="1" s="1"/>
  <c r="K449" i="1"/>
  <c r="I449" i="1"/>
  <c r="G449" i="1"/>
  <c r="S255" i="1"/>
  <c r="T255" i="1" s="1"/>
  <c r="U255" i="1" s="1"/>
  <c r="R255" i="1"/>
  <c r="N255" i="1"/>
  <c r="O255" i="1" s="1"/>
  <c r="M255" i="1"/>
  <c r="K255" i="1"/>
  <c r="I255" i="1"/>
  <c r="G255" i="1"/>
  <c r="S494" i="1"/>
  <c r="T494" i="1" s="1"/>
  <c r="R494" i="1"/>
  <c r="U494" i="1" s="1"/>
  <c r="N494" i="1"/>
  <c r="O494" i="1" s="1"/>
  <c r="M494" i="1"/>
  <c r="K494" i="1"/>
  <c r="I494" i="1"/>
  <c r="G494" i="1"/>
  <c r="S6" i="1"/>
  <c r="T6" i="1" s="1"/>
  <c r="U6" i="1" s="1"/>
  <c r="R6" i="1"/>
  <c r="O6" i="1"/>
  <c r="N6" i="1"/>
  <c r="M6" i="1"/>
  <c r="K6" i="1"/>
  <c r="I6" i="1"/>
  <c r="G6" i="1"/>
  <c r="S254" i="1"/>
  <c r="T254" i="1" s="1"/>
  <c r="R254" i="1"/>
  <c r="N254" i="1"/>
  <c r="O254" i="1" s="1"/>
  <c r="M254" i="1"/>
  <c r="K254" i="1"/>
  <c r="V254" i="1" s="1"/>
  <c r="I254" i="1"/>
  <c r="G254" i="1"/>
  <c r="S253" i="1"/>
  <c r="T253" i="1" s="1"/>
  <c r="R253" i="1"/>
  <c r="N253" i="1"/>
  <c r="O253" i="1" s="1"/>
  <c r="M253" i="1"/>
  <c r="K253" i="1"/>
  <c r="I253" i="1"/>
  <c r="G253" i="1"/>
  <c r="S252" i="1"/>
  <c r="T252" i="1" s="1"/>
  <c r="U252" i="1" s="1"/>
  <c r="R252" i="1"/>
  <c r="N252" i="1"/>
  <c r="O252" i="1" s="1"/>
  <c r="M252" i="1"/>
  <c r="K252" i="1"/>
  <c r="I252" i="1"/>
  <c r="G252" i="1"/>
  <c r="S251" i="1"/>
  <c r="T251" i="1" s="1"/>
  <c r="R251" i="1"/>
  <c r="N251" i="1"/>
  <c r="O251" i="1" s="1"/>
  <c r="M251" i="1"/>
  <c r="K251" i="1"/>
  <c r="I251" i="1"/>
  <c r="G251" i="1"/>
  <c r="S103" i="1"/>
  <c r="T103" i="1" s="1"/>
  <c r="R103" i="1"/>
  <c r="N103" i="1"/>
  <c r="O103" i="1" s="1"/>
  <c r="M103" i="1"/>
  <c r="K103" i="1"/>
  <c r="I103" i="1"/>
  <c r="G103" i="1"/>
  <c r="T154" i="1"/>
  <c r="U154" i="1" s="1"/>
  <c r="S154" i="1"/>
  <c r="R154" i="1"/>
  <c r="N154" i="1"/>
  <c r="O154" i="1" s="1"/>
  <c r="M154" i="1"/>
  <c r="K154" i="1"/>
  <c r="I154" i="1"/>
  <c r="G154" i="1"/>
  <c r="S448" i="1"/>
  <c r="T448" i="1" s="1"/>
  <c r="R448" i="1"/>
  <c r="U448" i="1" s="1"/>
  <c r="N448" i="1"/>
  <c r="O448" i="1" s="1"/>
  <c r="M448" i="1"/>
  <c r="K448" i="1"/>
  <c r="V448" i="1" s="1"/>
  <c r="I448" i="1"/>
  <c r="G448" i="1"/>
  <c r="S5" i="1"/>
  <c r="T5" i="1" s="1"/>
  <c r="U5" i="1" s="1"/>
  <c r="R5" i="1"/>
  <c r="O5" i="1"/>
  <c r="N5" i="1"/>
  <c r="M5" i="1"/>
  <c r="K5" i="1"/>
  <c r="I5" i="1"/>
  <c r="G5" i="1"/>
  <c r="S341" i="1"/>
  <c r="T341" i="1" s="1"/>
  <c r="R341" i="1"/>
  <c r="N341" i="1"/>
  <c r="O341" i="1" s="1"/>
  <c r="M341" i="1"/>
  <c r="V341" i="1" s="1"/>
  <c r="K341" i="1"/>
  <c r="I341" i="1"/>
  <c r="G341" i="1"/>
  <c r="T679" i="1"/>
  <c r="U679" i="1" s="1"/>
  <c r="S679" i="1"/>
  <c r="R679" i="1"/>
  <c r="N679" i="1"/>
  <c r="O679" i="1" s="1"/>
  <c r="M679" i="1"/>
  <c r="K679" i="1"/>
  <c r="I679" i="1"/>
  <c r="G679" i="1"/>
  <c r="S634" i="1"/>
  <c r="T634" i="1" s="1"/>
  <c r="U634" i="1" s="1"/>
  <c r="R634" i="1"/>
  <c r="N634" i="1"/>
  <c r="O634" i="1" s="1"/>
  <c r="M634" i="1"/>
  <c r="P634" i="1" s="1"/>
  <c r="K634" i="1"/>
  <c r="I634" i="1"/>
  <c r="G634" i="1"/>
  <c r="S391" i="1"/>
  <c r="T391" i="1" s="1"/>
  <c r="R391" i="1"/>
  <c r="O391" i="1"/>
  <c r="N391" i="1"/>
  <c r="M391" i="1"/>
  <c r="K391" i="1"/>
  <c r="I391" i="1"/>
  <c r="G391" i="1"/>
  <c r="S298" i="1"/>
  <c r="T298" i="1" s="1"/>
  <c r="R298" i="1"/>
  <c r="N298" i="1"/>
  <c r="O298" i="1" s="1"/>
  <c r="M298" i="1"/>
  <c r="V298" i="1" s="1"/>
  <c r="K298" i="1"/>
  <c r="I298" i="1"/>
  <c r="G298" i="1"/>
  <c r="T447" i="1"/>
  <c r="U447" i="1" s="1"/>
  <c r="S447" i="1"/>
  <c r="R447" i="1"/>
  <c r="N447" i="1"/>
  <c r="O447" i="1" s="1"/>
  <c r="P447" i="1" s="1"/>
  <c r="M447" i="1"/>
  <c r="K447" i="1"/>
  <c r="I447" i="1"/>
  <c r="G447" i="1"/>
  <c r="S390" i="1"/>
  <c r="T390" i="1" s="1"/>
  <c r="R390" i="1"/>
  <c r="N390" i="1"/>
  <c r="O390" i="1" s="1"/>
  <c r="M390" i="1"/>
  <c r="K390" i="1"/>
  <c r="I390" i="1"/>
  <c r="G390" i="1"/>
  <c r="S539" i="1"/>
  <c r="T539" i="1" s="1"/>
  <c r="U539" i="1" s="1"/>
  <c r="R539" i="1"/>
  <c r="N539" i="1"/>
  <c r="O539" i="1" s="1"/>
  <c r="M539" i="1"/>
  <c r="K539" i="1"/>
  <c r="I539" i="1"/>
  <c r="G539" i="1"/>
  <c r="S202" i="1"/>
  <c r="T202" i="1" s="1"/>
  <c r="R202" i="1"/>
  <c r="N202" i="1"/>
  <c r="O202" i="1" s="1"/>
  <c r="M202" i="1"/>
  <c r="K202" i="1"/>
  <c r="I202" i="1"/>
  <c r="G202" i="1"/>
  <c r="S493" i="1"/>
  <c r="T493" i="1" s="1"/>
  <c r="U493" i="1" s="1"/>
  <c r="R493" i="1"/>
  <c r="N493" i="1"/>
  <c r="O493" i="1" s="1"/>
  <c r="M493" i="1"/>
  <c r="K493" i="1"/>
  <c r="I493" i="1"/>
  <c r="G493" i="1"/>
  <c r="S153" i="1"/>
  <c r="T153" i="1" s="1"/>
  <c r="R153" i="1"/>
  <c r="U153" i="1" s="1"/>
  <c r="N153" i="1"/>
  <c r="O153" i="1" s="1"/>
  <c r="M153" i="1"/>
  <c r="K153" i="1"/>
  <c r="I153" i="1"/>
  <c r="G153" i="1"/>
  <c r="S340" i="1"/>
  <c r="T340" i="1" s="1"/>
  <c r="R340" i="1"/>
  <c r="O340" i="1"/>
  <c r="N340" i="1"/>
  <c r="M340" i="1"/>
  <c r="K340" i="1"/>
  <c r="I340" i="1"/>
  <c r="G340" i="1"/>
  <c r="S538" i="1"/>
  <c r="T538" i="1" s="1"/>
  <c r="R538" i="1"/>
  <c r="U538" i="1" s="1"/>
  <c r="P538" i="1"/>
  <c r="N538" i="1"/>
  <c r="O538" i="1" s="1"/>
  <c r="M538" i="1"/>
  <c r="K538" i="1"/>
  <c r="I538" i="1"/>
  <c r="G538" i="1"/>
  <c r="S102" i="1"/>
  <c r="T102" i="1" s="1"/>
  <c r="U102" i="1" s="1"/>
  <c r="R102" i="1"/>
  <c r="N102" i="1"/>
  <c r="O102" i="1" s="1"/>
  <c r="P102" i="1" s="1"/>
  <c r="M102" i="1"/>
  <c r="K102" i="1"/>
  <c r="I102" i="1"/>
  <c r="V102" i="1" s="1"/>
  <c r="G102" i="1"/>
  <c r="S389" i="1"/>
  <c r="T389" i="1" s="1"/>
  <c r="R389" i="1"/>
  <c r="U389" i="1" s="1"/>
  <c r="N389" i="1"/>
  <c r="O389" i="1" s="1"/>
  <c r="M389" i="1"/>
  <c r="K389" i="1"/>
  <c r="I389" i="1"/>
  <c r="G389" i="1"/>
  <c r="S297" i="1"/>
  <c r="T297" i="1" s="1"/>
  <c r="R297" i="1"/>
  <c r="O297" i="1"/>
  <c r="N297" i="1"/>
  <c r="M297" i="1"/>
  <c r="K297" i="1"/>
  <c r="I297" i="1"/>
  <c r="G297" i="1"/>
  <c r="S4" i="1"/>
  <c r="T4" i="1" s="1"/>
  <c r="R4" i="1"/>
  <c r="N4" i="1"/>
  <c r="O4" i="1" s="1"/>
  <c r="M4" i="1"/>
  <c r="K4" i="1"/>
  <c r="I4" i="1"/>
  <c r="V4" i="1" s="1"/>
  <c r="G4" i="1"/>
  <c r="S152" i="1"/>
  <c r="T152" i="1" s="1"/>
  <c r="U152" i="1" s="1"/>
  <c r="R152" i="1"/>
  <c r="N152" i="1"/>
  <c r="O152" i="1" s="1"/>
  <c r="P152" i="1" s="1"/>
  <c r="M152" i="1"/>
  <c r="K152" i="1"/>
  <c r="I152" i="1"/>
  <c r="V152" i="1" s="1"/>
  <c r="G152" i="1"/>
  <c r="S201" i="1"/>
  <c r="T201" i="1" s="1"/>
  <c r="R201" i="1"/>
  <c r="U201" i="1" s="1"/>
  <c r="N201" i="1"/>
  <c r="O201" i="1" s="1"/>
  <c r="M201" i="1"/>
  <c r="K201" i="1"/>
  <c r="I201" i="1"/>
  <c r="G201" i="1"/>
  <c r="S633" i="1"/>
  <c r="T633" i="1" s="1"/>
  <c r="R633" i="1"/>
  <c r="O633" i="1"/>
  <c r="N633" i="1"/>
  <c r="M633" i="1"/>
  <c r="K633" i="1"/>
  <c r="I633" i="1"/>
  <c r="G633" i="1"/>
  <c r="S388" i="1"/>
  <c r="T388" i="1" s="1"/>
  <c r="R388" i="1"/>
  <c r="N388" i="1"/>
  <c r="O388" i="1" s="1"/>
  <c r="W388" i="1" s="1"/>
  <c r="M388" i="1"/>
  <c r="K388" i="1"/>
  <c r="I388" i="1"/>
  <c r="G388" i="1"/>
  <c r="S250" i="1"/>
  <c r="T250" i="1" s="1"/>
  <c r="U250" i="1" s="1"/>
  <c r="R250" i="1"/>
  <c r="N250" i="1"/>
  <c r="O250" i="1" s="1"/>
  <c r="P250" i="1" s="1"/>
  <c r="M250" i="1"/>
  <c r="K250" i="1"/>
  <c r="I250" i="1"/>
  <c r="G250" i="1"/>
  <c r="S339" i="1"/>
  <c r="T339" i="1" s="1"/>
  <c r="R339" i="1"/>
  <c r="U339" i="1" s="1"/>
  <c r="N339" i="1"/>
  <c r="O339" i="1" s="1"/>
  <c r="M339" i="1"/>
  <c r="K339" i="1"/>
  <c r="I339" i="1"/>
  <c r="G339" i="1"/>
  <c r="S296" i="1"/>
  <c r="T296" i="1" s="1"/>
  <c r="U296" i="1" s="1"/>
  <c r="R296" i="1"/>
  <c r="N296" i="1"/>
  <c r="O296" i="1" s="1"/>
  <c r="M296" i="1"/>
  <c r="K296" i="1"/>
  <c r="I296" i="1"/>
  <c r="G296" i="1"/>
  <c r="V446" i="1"/>
  <c r="S446" i="1"/>
  <c r="T446" i="1" s="1"/>
  <c r="R446" i="1"/>
  <c r="N446" i="1"/>
  <c r="O446" i="1" s="1"/>
  <c r="M446" i="1"/>
  <c r="K446" i="1"/>
  <c r="I446" i="1"/>
  <c r="G446" i="1"/>
  <c r="S338" i="1"/>
  <c r="T338" i="1" s="1"/>
  <c r="U338" i="1" s="1"/>
  <c r="R338" i="1"/>
  <c r="N338" i="1"/>
  <c r="O338" i="1" s="1"/>
  <c r="P338" i="1" s="1"/>
  <c r="M338" i="1"/>
  <c r="K338" i="1"/>
  <c r="I338" i="1"/>
  <c r="G338" i="1"/>
  <c r="S249" i="1"/>
  <c r="T249" i="1" s="1"/>
  <c r="R249" i="1"/>
  <c r="U249" i="1" s="1"/>
  <c r="N249" i="1"/>
  <c r="O249" i="1" s="1"/>
  <c r="W249" i="1" s="1"/>
  <c r="M249" i="1"/>
  <c r="K249" i="1"/>
  <c r="I249" i="1"/>
  <c r="G249" i="1"/>
  <c r="S678" i="1"/>
  <c r="T678" i="1" s="1"/>
  <c r="R678" i="1"/>
  <c r="O678" i="1"/>
  <c r="N678" i="1"/>
  <c r="M678" i="1"/>
  <c r="K678" i="1"/>
  <c r="I678" i="1"/>
  <c r="G678" i="1"/>
  <c r="S151" i="1"/>
  <c r="T151" i="1" s="1"/>
  <c r="R151" i="1"/>
  <c r="N151" i="1"/>
  <c r="O151" i="1" s="1"/>
  <c r="M151" i="1"/>
  <c r="V151" i="1" s="1"/>
  <c r="K151" i="1"/>
  <c r="I151" i="1"/>
  <c r="G151" i="1"/>
  <c r="T150" i="1"/>
  <c r="U150" i="1" s="1"/>
  <c r="S150" i="1"/>
  <c r="R150" i="1"/>
  <c r="N150" i="1"/>
  <c r="O150" i="1" s="1"/>
  <c r="P150" i="1" s="1"/>
  <c r="M150" i="1"/>
  <c r="K150" i="1"/>
  <c r="I150" i="1"/>
  <c r="G150" i="1"/>
  <c r="U492" i="1"/>
  <c r="S492" i="1"/>
  <c r="T492" i="1" s="1"/>
  <c r="R492" i="1"/>
  <c r="N492" i="1"/>
  <c r="O492" i="1" s="1"/>
  <c r="W492" i="1" s="1"/>
  <c r="M492" i="1"/>
  <c r="K492" i="1"/>
  <c r="I492" i="1"/>
  <c r="G492" i="1"/>
  <c r="S3" i="1"/>
  <c r="T3" i="1" s="1"/>
  <c r="U3" i="1" s="1"/>
  <c r="R3" i="1"/>
  <c r="N3" i="1"/>
  <c r="O3" i="1" s="1"/>
  <c r="M3" i="1"/>
  <c r="K3" i="1"/>
  <c r="I3" i="1"/>
  <c r="G3" i="1"/>
  <c r="S248" i="1"/>
  <c r="T248" i="1" s="1"/>
  <c r="R248" i="1"/>
  <c r="P248" i="1"/>
  <c r="N248" i="1"/>
  <c r="O248" i="1" s="1"/>
  <c r="W248" i="1" s="1"/>
  <c r="M248" i="1"/>
  <c r="K248" i="1"/>
  <c r="I248" i="1"/>
  <c r="G248" i="1"/>
  <c r="V248" i="1" s="1"/>
  <c r="T537" i="1"/>
  <c r="S537" i="1"/>
  <c r="R537" i="1"/>
  <c r="N537" i="1"/>
  <c r="O537" i="1" s="1"/>
  <c r="P537" i="1" s="1"/>
  <c r="M537" i="1"/>
  <c r="K537" i="1"/>
  <c r="I537" i="1"/>
  <c r="G537" i="1"/>
  <c r="S536" i="1"/>
  <c r="T536" i="1" s="1"/>
  <c r="U536" i="1" s="1"/>
  <c r="R536" i="1"/>
  <c r="N536" i="1"/>
  <c r="O536" i="1" s="1"/>
  <c r="M536" i="1"/>
  <c r="K536" i="1"/>
  <c r="I536" i="1"/>
  <c r="G536" i="1"/>
  <c r="S55" i="1"/>
  <c r="T55" i="1" s="1"/>
  <c r="U55" i="1" s="1"/>
  <c r="R55" i="1"/>
  <c r="N55" i="1"/>
  <c r="O55" i="1" s="1"/>
  <c r="M55" i="1"/>
  <c r="K55" i="1"/>
  <c r="I55" i="1"/>
  <c r="G55" i="1"/>
  <c r="S54" i="1"/>
  <c r="T54" i="1" s="1"/>
  <c r="R54" i="1"/>
  <c r="N54" i="1"/>
  <c r="O54" i="1" s="1"/>
  <c r="P54" i="1" s="1"/>
  <c r="M54" i="1"/>
  <c r="K54" i="1"/>
  <c r="I54" i="1"/>
  <c r="G54" i="1"/>
  <c r="V54" i="1" s="1"/>
  <c r="S295" i="1"/>
  <c r="T295" i="1" s="1"/>
  <c r="R295" i="1"/>
  <c r="N295" i="1"/>
  <c r="O295" i="1" s="1"/>
  <c r="P295" i="1" s="1"/>
  <c r="M295" i="1"/>
  <c r="K295" i="1"/>
  <c r="I295" i="1"/>
  <c r="G295" i="1"/>
  <c r="S53" i="1"/>
  <c r="T53" i="1" s="1"/>
  <c r="R53" i="1"/>
  <c r="U53" i="1" s="1"/>
  <c r="N53" i="1"/>
  <c r="O53" i="1" s="1"/>
  <c r="M53" i="1"/>
  <c r="K53" i="1"/>
  <c r="I53" i="1"/>
  <c r="G53" i="1"/>
  <c r="S149" i="1"/>
  <c r="T149" i="1" s="1"/>
  <c r="U149" i="1" s="1"/>
  <c r="R149" i="1"/>
  <c r="N149" i="1"/>
  <c r="O149" i="1" s="1"/>
  <c r="M149" i="1"/>
  <c r="K149" i="1"/>
  <c r="I149" i="1"/>
  <c r="G149" i="1"/>
  <c r="S52" i="1"/>
  <c r="T52" i="1" s="1"/>
  <c r="R52" i="1"/>
  <c r="N52" i="1"/>
  <c r="O52" i="1" s="1"/>
  <c r="W52" i="1" s="1"/>
  <c r="M52" i="1"/>
  <c r="V52" i="1" s="1"/>
  <c r="X52" i="1" s="1"/>
  <c r="K52" i="1"/>
  <c r="I52" i="1"/>
  <c r="G52" i="1"/>
  <c r="S337" i="1"/>
  <c r="T337" i="1" s="1"/>
  <c r="U337" i="1" s="1"/>
  <c r="R337" i="1"/>
  <c r="N337" i="1"/>
  <c r="O337" i="1" s="1"/>
  <c r="M337" i="1"/>
  <c r="K337" i="1"/>
  <c r="I337" i="1"/>
  <c r="G337" i="1"/>
  <c r="S677" i="1"/>
  <c r="T677" i="1" s="1"/>
  <c r="R677" i="1"/>
  <c r="N677" i="1"/>
  <c r="O677" i="1" s="1"/>
  <c r="M677" i="1"/>
  <c r="K677" i="1"/>
  <c r="I677" i="1"/>
  <c r="G677" i="1"/>
  <c r="S336" i="1"/>
  <c r="T336" i="1" s="1"/>
  <c r="R336" i="1"/>
  <c r="O336" i="1"/>
  <c r="N336" i="1"/>
  <c r="M336" i="1"/>
  <c r="K336" i="1"/>
  <c r="I336" i="1"/>
  <c r="G336" i="1"/>
  <c r="S491" i="1"/>
  <c r="T491" i="1" s="1"/>
  <c r="R491" i="1"/>
  <c r="U491" i="1" s="1"/>
  <c r="N491" i="1"/>
  <c r="O491" i="1" s="1"/>
  <c r="M491" i="1"/>
  <c r="P491" i="1" s="1"/>
  <c r="K491" i="1"/>
  <c r="I491" i="1"/>
  <c r="G491" i="1"/>
  <c r="S490" i="1"/>
  <c r="T490" i="1" s="1"/>
  <c r="U490" i="1" s="1"/>
  <c r="R490" i="1"/>
  <c r="N490" i="1"/>
  <c r="O490" i="1" s="1"/>
  <c r="M490" i="1"/>
  <c r="K490" i="1"/>
  <c r="I490" i="1"/>
  <c r="G490" i="1"/>
  <c r="S148" i="1"/>
  <c r="T148" i="1" s="1"/>
  <c r="R148" i="1"/>
  <c r="U148" i="1" s="1"/>
  <c r="N148" i="1"/>
  <c r="O148" i="1" s="1"/>
  <c r="M148" i="1"/>
  <c r="K148" i="1"/>
  <c r="V148" i="1" s="1"/>
  <c r="I148" i="1"/>
  <c r="G148" i="1"/>
  <c r="S489" i="1"/>
  <c r="T489" i="1" s="1"/>
  <c r="R489" i="1"/>
  <c r="O489" i="1"/>
  <c r="N489" i="1"/>
  <c r="M489" i="1"/>
  <c r="K489" i="1"/>
  <c r="I489" i="1"/>
  <c r="G489" i="1"/>
  <c r="S147" i="1"/>
  <c r="T147" i="1" s="1"/>
  <c r="R147" i="1"/>
  <c r="N147" i="1"/>
  <c r="O147" i="1" s="1"/>
  <c r="M147" i="1"/>
  <c r="K147" i="1"/>
  <c r="I147" i="1"/>
  <c r="V147" i="1" s="1"/>
  <c r="G147" i="1"/>
  <c r="S335" i="1"/>
  <c r="T335" i="1" s="1"/>
  <c r="U335" i="1" s="1"/>
  <c r="R335" i="1"/>
  <c r="N335" i="1"/>
  <c r="O335" i="1" s="1"/>
  <c r="M335" i="1"/>
  <c r="K335" i="1"/>
  <c r="I335" i="1"/>
  <c r="G335" i="1"/>
  <c r="S294" i="1"/>
  <c r="T294" i="1" s="1"/>
  <c r="R294" i="1"/>
  <c r="N294" i="1"/>
  <c r="O294" i="1" s="1"/>
  <c r="M294" i="1"/>
  <c r="P294" i="1" s="1"/>
  <c r="K294" i="1"/>
  <c r="V294" i="1" s="1"/>
  <c r="I294" i="1"/>
  <c r="G294" i="1"/>
  <c r="S445" i="1"/>
  <c r="T445" i="1" s="1"/>
  <c r="R445" i="1"/>
  <c r="O445" i="1"/>
  <c r="W445" i="1" s="1"/>
  <c r="N445" i="1"/>
  <c r="M445" i="1"/>
  <c r="K445" i="1"/>
  <c r="I445" i="1"/>
  <c r="G445" i="1"/>
  <c r="S293" i="1"/>
  <c r="T293" i="1" s="1"/>
  <c r="W293" i="1" s="1"/>
  <c r="R293" i="1"/>
  <c r="U293" i="1" s="1"/>
  <c r="N293" i="1"/>
  <c r="O293" i="1" s="1"/>
  <c r="M293" i="1"/>
  <c r="K293" i="1"/>
  <c r="I293" i="1"/>
  <c r="G293" i="1"/>
  <c r="T590" i="1"/>
  <c r="S590" i="1"/>
  <c r="R590" i="1"/>
  <c r="U590" i="1" s="1"/>
  <c r="N590" i="1"/>
  <c r="O590" i="1" s="1"/>
  <c r="M590" i="1"/>
  <c r="K590" i="1"/>
  <c r="I590" i="1"/>
  <c r="G590" i="1"/>
  <c r="S589" i="1"/>
  <c r="T589" i="1" s="1"/>
  <c r="R589" i="1"/>
  <c r="U589" i="1" s="1"/>
  <c r="N589" i="1"/>
  <c r="O589" i="1" s="1"/>
  <c r="W589" i="1" s="1"/>
  <c r="M589" i="1"/>
  <c r="K589" i="1"/>
  <c r="I589" i="1"/>
  <c r="G589" i="1"/>
  <c r="S146" i="1"/>
  <c r="T146" i="1" s="1"/>
  <c r="U146" i="1" s="1"/>
  <c r="R146" i="1"/>
  <c r="P146" i="1"/>
  <c r="O146" i="1"/>
  <c r="W146" i="1" s="1"/>
  <c r="N146" i="1"/>
  <c r="M146" i="1"/>
  <c r="K146" i="1"/>
  <c r="I146" i="1"/>
  <c r="V146" i="1" s="1"/>
  <c r="X146" i="1" s="1"/>
  <c r="G146" i="1"/>
  <c r="S535" i="1"/>
  <c r="T535" i="1" s="1"/>
  <c r="R535" i="1"/>
  <c r="N535" i="1"/>
  <c r="O535" i="1" s="1"/>
  <c r="W535" i="1" s="1"/>
  <c r="M535" i="1"/>
  <c r="K535" i="1"/>
  <c r="I535" i="1"/>
  <c r="G535" i="1"/>
  <c r="S676" i="1"/>
  <c r="T676" i="1" s="1"/>
  <c r="R676" i="1"/>
  <c r="N676" i="1"/>
  <c r="O676" i="1" s="1"/>
  <c r="P676" i="1" s="1"/>
  <c r="M676" i="1"/>
  <c r="K676" i="1"/>
  <c r="I676" i="1"/>
  <c r="G676" i="1"/>
  <c r="W247" i="1"/>
  <c r="S247" i="1"/>
  <c r="T247" i="1" s="1"/>
  <c r="R247" i="1"/>
  <c r="U247" i="1" s="1"/>
  <c r="N247" i="1"/>
  <c r="O247" i="1" s="1"/>
  <c r="M247" i="1"/>
  <c r="K247" i="1"/>
  <c r="I247" i="1"/>
  <c r="G247" i="1"/>
  <c r="S292" i="1"/>
  <c r="T292" i="1" s="1"/>
  <c r="R292" i="1"/>
  <c r="P292" i="1"/>
  <c r="O292" i="1"/>
  <c r="N292" i="1"/>
  <c r="M292" i="1"/>
  <c r="K292" i="1"/>
  <c r="I292" i="1"/>
  <c r="G292" i="1"/>
  <c r="S387" i="1"/>
  <c r="T387" i="1" s="1"/>
  <c r="R387" i="1"/>
  <c r="U387" i="1" s="1"/>
  <c r="P387" i="1"/>
  <c r="N387" i="1"/>
  <c r="O387" i="1" s="1"/>
  <c r="M387" i="1"/>
  <c r="K387" i="1"/>
  <c r="I387" i="1"/>
  <c r="G387" i="1"/>
  <c r="S444" i="1"/>
  <c r="T444" i="1" s="1"/>
  <c r="U444" i="1" s="1"/>
  <c r="R444" i="1"/>
  <c r="N444" i="1"/>
  <c r="O444" i="1" s="1"/>
  <c r="M444" i="1"/>
  <c r="P444" i="1" s="1"/>
  <c r="K444" i="1"/>
  <c r="I444" i="1"/>
  <c r="V444" i="1" s="1"/>
  <c r="G444" i="1"/>
  <c r="S291" i="1"/>
  <c r="T291" i="1" s="1"/>
  <c r="W291" i="1" s="1"/>
  <c r="R291" i="1"/>
  <c r="U291" i="1" s="1"/>
  <c r="N291" i="1"/>
  <c r="O291" i="1" s="1"/>
  <c r="M291" i="1"/>
  <c r="K291" i="1"/>
  <c r="I291" i="1"/>
  <c r="G291" i="1"/>
  <c r="S246" i="1"/>
  <c r="T246" i="1" s="1"/>
  <c r="R246" i="1"/>
  <c r="U246" i="1" s="1"/>
  <c r="N246" i="1"/>
  <c r="O246" i="1" s="1"/>
  <c r="M246" i="1"/>
  <c r="K246" i="1"/>
  <c r="I246" i="1"/>
  <c r="G246" i="1"/>
  <c r="S534" i="1"/>
  <c r="T534" i="1" s="1"/>
  <c r="W534" i="1" s="1"/>
  <c r="R534" i="1"/>
  <c r="U534" i="1" s="1"/>
  <c r="N534" i="1"/>
  <c r="O534" i="1" s="1"/>
  <c r="M534" i="1"/>
  <c r="P534" i="1" s="1"/>
  <c r="K534" i="1"/>
  <c r="I534" i="1"/>
  <c r="G534" i="1"/>
  <c r="W101" i="1"/>
  <c r="T101" i="1"/>
  <c r="S101" i="1"/>
  <c r="R101" i="1"/>
  <c r="U101" i="1" s="1"/>
  <c r="N101" i="1"/>
  <c r="O101" i="1" s="1"/>
  <c r="M101" i="1"/>
  <c r="P101" i="1" s="1"/>
  <c r="K101" i="1"/>
  <c r="I101" i="1"/>
  <c r="G101" i="1"/>
  <c r="S245" i="1"/>
  <c r="T245" i="1" s="1"/>
  <c r="U245" i="1" s="1"/>
  <c r="R245" i="1"/>
  <c r="N245" i="1"/>
  <c r="O245" i="1" s="1"/>
  <c r="P245" i="1" s="1"/>
  <c r="M245" i="1"/>
  <c r="K245" i="1"/>
  <c r="V245" i="1" s="1"/>
  <c r="I245" i="1"/>
  <c r="G245" i="1"/>
  <c r="S488" i="1"/>
  <c r="T488" i="1" s="1"/>
  <c r="U488" i="1" s="1"/>
  <c r="R488" i="1"/>
  <c r="N488" i="1"/>
  <c r="O488" i="1" s="1"/>
  <c r="W488" i="1" s="1"/>
  <c r="M488" i="1"/>
  <c r="K488" i="1"/>
  <c r="I488" i="1"/>
  <c r="G488" i="1"/>
  <c r="S443" i="1"/>
  <c r="T443" i="1" s="1"/>
  <c r="U443" i="1" s="1"/>
  <c r="R443" i="1"/>
  <c r="N443" i="1"/>
  <c r="O443" i="1" s="1"/>
  <c r="M443" i="1"/>
  <c r="P443" i="1" s="1"/>
  <c r="K443" i="1"/>
  <c r="I443" i="1"/>
  <c r="G443" i="1"/>
  <c r="S487" i="1"/>
  <c r="T487" i="1" s="1"/>
  <c r="U487" i="1" s="1"/>
  <c r="R487" i="1"/>
  <c r="N487" i="1"/>
  <c r="O487" i="1" s="1"/>
  <c r="W487" i="1" s="1"/>
  <c r="M487" i="1"/>
  <c r="K487" i="1"/>
  <c r="I487" i="1"/>
  <c r="G487" i="1"/>
  <c r="U100" i="1"/>
  <c r="S100" i="1"/>
  <c r="T100" i="1" s="1"/>
  <c r="R100" i="1"/>
  <c r="N100" i="1"/>
  <c r="O100" i="1" s="1"/>
  <c r="W100" i="1" s="1"/>
  <c r="M100" i="1"/>
  <c r="P100" i="1" s="1"/>
  <c r="K100" i="1"/>
  <c r="I100" i="1"/>
  <c r="G100" i="1"/>
  <c r="V100" i="1" s="1"/>
  <c r="S244" i="1"/>
  <c r="T244" i="1" s="1"/>
  <c r="U244" i="1" s="1"/>
  <c r="R244" i="1"/>
  <c r="N244" i="1"/>
  <c r="O244" i="1" s="1"/>
  <c r="M244" i="1"/>
  <c r="K244" i="1"/>
  <c r="I244" i="1"/>
  <c r="G244" i="1"/>
  <c r="S2" i="1"/>
  <c r="T2" i="1" s="1"/>
  <c r="U2" i="1" s="1"/>
  <c r="R2" i="1"/>
  <c r="N2" i="1"/>
  <c r="O2" i="1" s="1"/>
  <c r="M2" i="1"/>
  <c r="K2" i="1"/>
  <c r="I2" i="1"/>
  <c r="G2" i="1"/>
  <c r="S200" i="1"/>
  <c r="T200" i="1" s="1"/>
  <c r="R200" i="1"/>
  <c r="N200" i="1"/>
  <c r="O200" i="1" s="1"/>
  <c r="M200" i="1"/>
  <c r="K200" i="1"/>
  <c r="I200" i="1"/>
  <c r="G200" i="1"/>
  <c r="S486" i="1"/>
  <c r="T486" i="1" s="1"/>
  <c r="R486" i="1"/>
  <c r="N486" i="1"/>
  <c r="O486" i="1" s="1"/>
  <c r="M486" i="1"/>
  <c r="K486" i="1"/>
  <c r="V486" i="1" s="1"/>
  <c r="I486" i="1"/>
  <c r="G486" i="1"/>
  <c r="S386" i="1"/>
  <c r="T386" i="1" s="1"/>
  <c r="R386" i="1"/>
  <c r="N386" i="1"/>
  <c r="O386" i="1" s="1"/>
  <c r="P386" i="1" s="1"/>
  <c r="M386" i="1"/>
  <c r="K386" i="1"/>
  <c r="I386" i="1"/>
  <c r="G386" i="1"/>
  <c r="S588" i="1"/>
  <c r="T588" i="1" s="1"/>
  <c r="R588" i="1"/>
  <c r="N588" i="1"/>
  <c r="O588" i="1" s="1"/>
  <c r="M588" i="1"/>
  <c r="K588" i="1"/>
  <c r="I588" i="1"/>
  <c r="G588" i="1"/>
  <c r="S334" i="1"/>
  <c r="T334" i="1" s="1"/>
  <c r="R334" i="1"/>
  <c r="N334" i="1"/>
  <c r="O334" i="1" s="1"/>
  <c r="M334" i="1"/>
  <c r="K334" i="1"/>
  <c r="I334" i="1"/>
  <c r="G334" i="1"/>
  <c r="S51" i="1"/>
  <c r="T51" i="1" s="1"/>
  <c r="U51" i="1" s="1"/>
  <c r="R51" i="1"/>
  <c r="O51" i="1"/>
  <c r="N51" i="1"/>
  <c r="M51" i="1"/>
  <c r="K51" i="1"/>
  <c r="I51" i="1"/>
  <c r="G51" i="1"/>
  <c r="S145" i="1"/>
  <c r="T145" i="1" s="1"/>
  <c r="R145" i="1"/>
  <c r="O145" i="1"/>
  <c r="N145" i="1"/>
  <c r="M145" i="1"/>
  <c r="K145" i="1"/>
  <c r="I145" i="1"/>
  <c r="G145" i="1"/>
  <c r="T485" i="1"/>
  <c r="S485" i="1"/>
  <c r="R485" i="1"/>
  <c r="O485" i="1"/>
  <c r="N485" i="1"/>
  <c r="M485" i="1"/>
  <c r="P485" i="1" s="1"/>
  <c r="K485" i="1"/>
  <c r="I485" i="1"/>
  <c r="V485" i="1" s="1"/>
  <c r="G485" i="1"/>
  <c r="S99" i="1"/>
  <c r="T99" i="1" s="1"/>
  <c r="R99" i="1"/>
  <c r="N99" i="1"/>
  <c r="O99" i="1" s="1"/>
  <c r="M99" i="1"/>
  <c r="K99" i="1"/>
  <c r="I99" i="1"/>
  <c r="G99" i="1"/>
  <c r="T442" i="1"/>
  <c r="S442" i="1"/>
  <c r="R442" i="1"/>
  <c r="U442" i="1" s="1"/>
  <c r="N442" i="1"/>
  <c r="O442" i="1" s="1"/>
  <c r="W442" i="1" s="1"/>
  <c r="M442" i="1"/>
  <c r="K442" i="1"/>
  <c r="V442" i="1" s="1"/>
  <c r="I442" i="1"/>
  <c r="G442" i="1"/>
  <c r="S533" i="1"/>
  <c r="T533" i="1" s="1"/>
  <c r="R533" i="1"/>
  <c r="U533" i="1" s="1"/>
  <c r="N533" i="1"/>
  <c r="O533" i="1" s="1"/>
  <c r="M533" i="1"/>
  <c r="K533" i="1"/>
  <c r="I533" i="1"/>
  <c r="V533" i="1" s="1"/>
  <c r="G533" i="1"/>
  <c r="T532" i="1"/>
  <c r="S532" i="1"/>
  <c r="R532" i="1"/>
  <c r="O532" i="1"/>
  <c r="N532" i="1"/>
  <c r="M532" i="1"/>
  <c r="P532" i="1" s="1"/>
  <c r="K532" i="1"/>
  <c r="I532" i="1"/>
  <c r="G532" i="1"/>
  <c r="S441" i="1"/>
  <c r="T441" i="1" s="1"/>
  <c r="R441" i="1"/>
  <c r="N441" i="1"/>
  <c r="O441" i="1" s="1"/>
  <c r="M441" i="1"/>
  <c r="K441" i="1"/>
  <c r="I441" i="1"/>
  <c r="G441" i="1"/>
  <c r="T290" i="1"/>
  <c r="S290" i="1"/>
  <c r="R290" i="1"/>
  <c r="U290" i="1" s="1"/>
  <c r="N290" i="1"/>
  <c r="O290" i="1" s="1"/>
  <c r="W290" i="1" s="1"/>
  <c r="M290" i="1"/>
  <c r="K290" i="1"/>
  <c r="I290" i="1"/>
  <c r="G290" i="1"/>
  <c r="S289" i="1"/>
  <c r="T289" i="1" s="1"/>
  <c r="R289" i="1"/>
  <c r="N289" i="1"/>
  <c r="O289" i="1" s="1"/>
  <c r="M289" i="1"/>
  <c r="K289" i="1"/>
  <c r="I289" i="1"/>
  <c r="G289" i="1"/>
  <c r="T333" i="1"/>
  <c r="S333" i="1"/>
  <c r="R333" i="1"/>
  <c r="O333" i="1"/>
  <c r="W333" i="1" s="1"/>
  <c r="N333" i="1"/>
  <c r="M333" i="1"/>
  <c r="P333" i="1" s="1"/>
  <c r="K333" i="1"/>
  <c r="I333" i="1"/>
  <c r="G333" i="1"/>
  <c r="S531" i="1"/>
  <c r="T531" i="1" s="1"/>
  <c r="R531" i="1"/>
  <c r="N531" i="1"/>
  <c r="O531" i="1" s="1"/>
  <c r="M531" i="1"/>
  <c r="K531" i="1"/>
  <c r="I531" i="1"/>
  <c r="G531" i="1"/>
  <c r="T440" i="1"/>
  <c r="S440" i="1"/>
  <c r="R440" i="1"/>
  <c r="U440" i="1" s="1"/>
  <c r="N440" i="1"/>
  <c r="O440" i="1" s="1"/>
  <c r="W440" i="1" s="1"/>
  <c r="M440" i="1"/>
  <c r="K440" i="1"/>
  <c r="I440" i="1"/>
  <c r="G440" i="1"/>
  <c r="S484" i="1"/>
  <c r="T484" i="1" s="1"/>
  <c r="R484" i="1"/>
  <c r="N484" i="1"/>
  <c r="O484" i="1" s="1"/>
  <c r="M484" i="1"/>
  <c r="P484" i="1" s="1"/>
  <c r="K484" i="1"/>
  <c r="I484" i="1"/>
  <c r="G484" i="1"/>
  <c r="T632" i="1"/>
  <c r="S632" i="1"/>
  <c r="R632" i="1"/>
  <c r="U632" i="1" s="1"/>
  <c r="O632" i="1"/>
  <c r="W632" i="1" s="1"/>
  <c r="N632" i="1"/>
  <c r="M632" i="1"/>
  <c r="P632" i="1" s="1"/>
  <c r="K632" i="1"/>
  <c r="I632" i="1"/>
  <c r="G632" i="1"/>
  <c r="S530" i="1"/>
  <c r="T530" i="1" s="1"/>
  <c r="R530" i="1"/>
  <c r="N530" i="1"/>
  <c r="O530" i="1" s="1"/>
  <c r="M530" i="1"/>
  <c r="K530" i="1"/>
  <c r="I530" i="1"/>
  <c r="G530" i="1"/>
  <c r="V98" i="1"/>
  <c r="U98" i="1"/>
  <c r="T98" i="1"/>
  <c r="O98" i="1"/>
  <c r="P98" i="1" s="1"/>
  <c r="V50" i="1"/>
  <c r="T50" i="1"/>
  <c r="W50" i="1" s="1"/>
  <c r="X50" i="1" s="1"/>
  <c r="O50" i="1"/>
  <c r="P50" i="1" s="1"/>
  <c r="W55" i="2" l="1"/>
  <c r="U360" i="2"/>
  <c r="P406" i="2"/>
  <c r="P595" i="2"/>
  <c r="P2" i="2"/>
  <c r="V406" i="2"/>
  <c r="U500" i="2"/>
  <c r="U454" i="2"/>
  <c r="V408" i="2"/>
  <c r="X408" i="2" s="1"/>
  <c r="Y408" i="2" s="1"/>
  <c r="P409" i="2"/>
  <c r="P594" i="2"/>
  <c r="V595" i="2"/>
  <c r="X595" i="2" s="1"/>
  <c r="Y595" i="2" s="1"/>
  <c r="U501" i="2"/>
  <c r="P171" i="2"/>
  <c r="U3" i="2"/>
  <c r="P173" i="2"/>
  <c r="U6" i="2"/>
  <c r="U456" i="2"/>
  <c r="P598" i="2"/>
  <c r="U10" i="2"/>
  <c r="W644" i="2"/>
  <c r="X509" i="2"/>
  <c r="Y509" i="2" s="1"/>
  <c r="W318" i="2"/>
  <c r="U552" i="2"/>
  <c r="V688" i="2"/>
  <c r="V55" i="2"/>
  <c r="U689" i="2"/>
  <c r="W409" i="2"/>
  <c r="W171" i="2"/>
  <c r="P596" i="2"/>
  <c r="W272" i="2"/>
  <c r="P362" i="2"/>
  <c r="V364" i="2"/>
  <c r="X364" i="2" s="1"/>
  <c r="Y364" i="2" s="1"/>
  <c r="W173" i="2"/>
  <c r="P4" i="2"/>
  <c r="W315" i="2"/>
  <c r="V456" i="2"/>
  <c r="X456" i="2" s="1"/>
  <c r="Y456" i="2" s="1"/>
  <c r="U9" i="2"/>
  <c r="U58" i="2"/>
  <c r="U644" i="2"/>
  <c r="W322" i="2"/>
  <c r="P197" i="2"/>
  <c r="X610" i="2"/>
  <c r="Y610" i="2" s="1"/>
  <c r="U409" i="2"/>
  <c r="W594" i="2"/>
  <c r="W273" i="2"/>
  <c r="P545" i="2"/>
  <c r="P358" i="2"/>
  <c r="P55" i="2"/>
  <c r="V689" i="2"/>
  <c r="V502" i="2"/>
  <c r="X502" i="2" s="1"/>
  <c r="Y502" i="2" s="1"/>
  <c r="V230" i="2"/>
  <c r="U272" i="2"/>
  <c r="U273" i="2"/>
  <c r="V172" i="2"/>
  <c r="V56" i="2"/>
  <c r="V597" i="2"/>
  <c r="V503" i="2"/>
  <c r="V57" i="2"/>
  <c r="P174" i="2"/>
  <c r="P176" i="2"/>
  <c r="V5" i="2"/>
  <c r="V7" i="2"/>
  <c r="X7" i="2" s="1"/>
  <c r="Y7" i="2" s="1"/>
  <c r="X411" i="2"/>
  <c r="Y411" i="2" s="1"/>
  <c r="U18" i="2"/>
  <c r="U545" i="2"/>
  <c r="W688" i="2"/>
  <c r="U407" i="2"/>
  <c r="W504" i="2"/>
  <c r="W177" i="2"/>
  <c r="V641" i="2"/>
  <c r="X641" i="2" s="1"/>
  <c r="Y641" i="2" s="1"/>
  <c r="V232" i="2"/>
  <c r="V10" i="2"/>
  <c r="X10" i="2" s="1"/>
  <c r="Y10" i="2" s="1"/>
  <c r="V11" i="2"/>
  <c r="P646" i="2"/>
  <c r="P124" i="2"/>
  <c r="W610" i="2"/>
  <c r="U688" i="2"/>
  <c r="V359" i="2"/>
  <c r="V454" i="2"/>
  <c r="V407" i="2"/>
  <c r="U455" i="2"/>
  <c r="U314" i="2"/>
  <c r="P501" i="2"/>
  <c r="P502" i="2"/>
  <c r="P230" i="2"/>
  <c r="V272" i="2"/>
  <c r="P503" i="2"/>
  <c r="P57" i="2"/>
  <c r="V315" i="2"/>
  <c r="U504" i="2"/>
  <c r="P5" i="2"/>
  <c r="V6" i="2"/>
  <c r="V642" i="2"/>
  <c r="V691" i="2"/>
  <c r="V643" i="2"/>
  <c r="V13" i="2"/>
  <c r="X13" i="2" s="1"/>
  <c r="Y13" i="2" s="1"/>
  <c r="P14" i="2"/>
  <c r="W507" i="2"/>
  <c r="V183" i="2"/>
  <c r="U194" i="2"/>
  <c r="P117" i="2"/>
  <c r="W323" i="2"/>
  <c r="U558" i="2"/>
  <c r="P73" i="2"/>
  <c r="U610" i="2"/>
  <c r="V545" i="2"/>
  <c r="V409" i="2"/>
  <c r="V594" i="2"/>
  <c r="U595" i="2"/>
  <c r="V174" i="2"/>
  <c r="X174" i="2" s="1"/>
  <c r="Y174" i="2" s="1"/>
  <c r="U177" i="2"/>
  <c r="W5" i="2"/>
  <c r="P642" i="2"/>
  <c r="P180" i="2"/>
  <c r="W689" i="2"/>
  <c r="W230" i="2"/>
  <c r="V596" i="2"/>
  <c r="X362" i="2"/>
  <c r="Y362" i="2" s="1"/>
  <c r="W57" i="2"/>
  <c r="W316" i="2"/>
  <c r="X414" i="2"/>
  <c r="Y414" i="2" s="1"/>
  <c r="P510" i="2"/>
  <c r="V558" i="2"/>
  <c r="U70" i="2"/>
  <c r="U201" i="2"/>
  <c r="U609" i="2"/>
  <c r="V72" i="2"/>
  <c r="V325" i="2"/>
  <c r="U611" i="2"/>
  <c r="U206" i="2"/>
  <c r="W75" i="2"/>
  <c r="W213" i="2"/>
  <c r="W86" i="2"/>
  <c r="P87" i="2"/>
  <c r="W380" i="2"/>
  <c r="P380" i="2"/>
  <c r="W183" i="2"/>
  <c r="V15" i="2"/>
  <c r="V413" i="2"/>
  <c r="W459" i="2"/>
  <c r="W414" i="2"/>
  <c r="W278" i="2"/>
  <c r="W694" i="2"/>
  <c r="U695" i="2"/>
  <c r="U509" i="2"/>
  <c r="U647" i="2"/>
  <c r="U369" i="2"/>
  <c r="U19" i="2"/>
  <c r="U419" i="2"/>
  <c r="U602" i="2"/>
  <c r="V21" i="2"/>
  <c r="U699" i="2"/>
  <c r="U422" i="2"/>
  <c r="U423" i="2"/>
  <c r="W282" i="2"/>
  <c r="V557" i="2"/>
  <c r="U24" i="2"/>
  <c r="U283" i="2"/>
  <c r="W605" i="2"/>
  <c r="V284" i="2"/>
  <c r="U25" i="2"/>
  <c r="W559" i="2"/>
  <c r="X559" i="2" s="1"/>
  <c r="Y559" i="2" s="1"/>
  <c r="V607" i="2"/>
  <c r="V121" i="2"/>
  <c r="V27" i="2"/>
  <c r="P324" i="2"/>
  <c r="P560" i="2"/>
  <c r="V202" i="2"/>
  <c r="V651" i="2"/>
  <c r="V74" i="2"/>
  <c r="U75" i="2"/>
  <c r="V238" i="2"/>
  <c r="V128" i="2"/>
  <c r="X128" i="2" s="1"/>
  <c r="Y128" i="2" s="1"/>
  <c r="P208" i="2"/>
  <c r="P76" i="2"/>
  <c r="W76" i="2"/>
  <c r="U213" i="2"/>
  <c r="P247" i="2"/>
  <c r="P11" i="2"/>
  <c r="V58" i="2"/>
  <c r="V179" i="2"/>
  <c r="U411" i="2"/>
  <c r="U507" i="2"/>
  <c r="U183" i="2"/>
  <c r="W413" i="2"/>
  <c r="U459" i="2"/>
  <c r="U599" i="2"/>
  <c r="U414" i="2"/>
  <c r="U694" i="2"/>
  <c r="U318" i="2"/>
  <c r="U113" i="2"/>
  <c r="U368" i="2"/>
  <c r="U417" i="2"/>
  <c r="U319" i="2"/>
  <c r="V20" i="2"/>
  <c r="V192" i="2"/>
  <c r="V553" i="2"/>
  <c r="V67" i="2"/>
  <c r="X67" i="2" s="1"/>
  <c r="Y67" i="2" s="1"/>
  <c r="W321" i="2"/>
  <c r="V421" i="2"/>
  <c r="V196" i="2"/>
  <c r="V462" i="2"/>
  <c r="U282" i="2"/>
  <c r="V603" i="2"/>
  <c r="X603" i="2" s="1"/>
  <c r="Y603" i="2" s="1"/>
  <c r="U605" i="2"/>
  <c r="V200" i="2"/>
  <c r="X200" i="2" s="1"/>
  <c r="Y200" i="2" s="1"/>
  <c r="P122" i="2"/>
  <c r="U465" i="2"/>
  <c r="W287" i="2"/>
  <c r="V701" i="2"/>
  <c r="X609" i="2"/>
  <c r="Y609" i="2" s="1"/>
  <c r="P325" i="2"/>
  <c r="X126" i="2"/>
  <c r="Y126" i="2" s="1"/>
  <c r="U426" i="2"/>
  <c r="U413" i="2"/>
  <c r="U278" i="2"/>
  <c r="U415" i="2"/>
  <c r="U317" i="2"/>
  <c r="U511" i="2"/>
  <c r="V17" i="2"/>
  <c r="V418" i="2"/>
  <c r="V194" i="2"/>
  <c r="V195" i="2"/>
  <c r="V554" i="2"/>
  <c r="P420" i="2"/>
  <c r="V281" i="2"/>
  <c r="V422" i="2"/>
  <c r="V68" i="2"/>
  <c r="U198" i="2"/>
  <c r="P604" i="2"/>
  <c r="V606" i="2"/>
  <c r="V285" i="2"/>
  <c r="P120" i="2"/>
  <c r="V123" i="2"/>
  <c r="P701" i="2"/>
  <c r="V608" i="2"/>
  <c r="X608" i="2" s="1"/>
  <c r="Y608" i="2" s="1"/>
  <c r="U124" i="2"/>
  <c r="V424" i="2"/>
  <c r="V466" i="2"/>
  <c r="V204" i="2"/>
  <c r="U74" i="2"/>
  <c r="W288" i="2"/>
  <c r="V316" i="2"/>
  <c r="V12" i="2"/>
  <c r="P410" i="2"/>
  <c r="U14" i="2"/>
  <c r="U275" i="2"/>
  <c r="U276" i="2"/>
  <c r="U185" i="2"/>
  <c r="U460" i="2"/>
  <c r="U60" i="2"/>
  <c r="U16" i="2"/>
  <c r="V189" i="2"/>
  <c r="V416" i="2"/>
  <c r="V114" i="2"/>
  <c r="V369" i="2"/>
  <c r="V64" i="2"/>
  <c r="V697" i="2"/>
  <c r="P192" i="2"/>
  <c r="V370" i="2"/>
  <c r="V65" i="2"/>
  <c r="V698" i="2"/>
  <c r="U22" i="2"/>
  <c r="V648" i="2"/>
  <c r="X648" i="2" s="1"/>
  <c r="Y648" i="2" s="1"/>
  <c r="V649" i="2"/>
  <c r="X649" i="2" s="1"/>
  <c r="Y649" i="2" s="1"/>
  <c r="V555" i="2"/>
  <c r="U197" i="2"/>
  <c r="V235" i="2"/>
  <c r="U513" i="2"/>
  <c r="P25" i="2"/>
  <c r="U120" i="2"/>
  <c r="W121" i="2"/>
  <c r="W27" i="2"/>
  <c r="P201" i="2"/>
  <c r="V465" i="2"/>
  <c r="U560" i="2"/>
  <c r="V236" i="2"/>
  <c r="V29" i="2"/>
  <c r="V206" i="2"/>
  <c r="U208" i="2"/>
  <c r="W430" i="2"/>
  <c r="V504" i="2"/>
  <c r="X504" i="2" s="1"/>
  <c r="Y504" i="2" s="1"/>
  <c r="P231" i="2"/>
  <c r="V177" i="2"/>
  <c r="X177" i="2" s="1"/>
  <c r="Y177" i="2" s="1"/>
  <c r="V505" i="2"/>
  <c r="X505" i="2" s="1"/>
  <c r="Y505" i="2" s="1"/>
  <c r="W58" i="2"/>
  <c r="X58" i="2" s="1"/>
  <c r="Y58" i="2" s="1"/>
  <c r="V644" i="2"/>
  <c r="V692" i="2"/>
  <c r="V274" i="2"/>
  <c r="V182" i="2"/>
  <c r="U366" i="2"/>
  <c r="U412" i="2"/>
  <c r="V59" i="2"/>
  <c r="V695" i="2"/>
  <c r="V600" i="2"/>
  <c r="V318" i="2"/>
  <c r="V233" i="2"/>
  <c r="V551" i="2"/>
  <c r="P114" i="2"/>
  <c r="V601" i="2"/>
  <c r="V19" i="2"/>
  <c r="V190" i="2"/>
  <c r="X190" i="2" s="1"/>
  <c r="Y190" i="2" s="1"/>
  <c r="P115" i="2"/>
  <c r="V419" i="2"/>
  <c r="V193" i="2"/>
  <c r="P602" i="2"/>
  <c r="P116" i="2"/>
  <c r="P65" i="2"/>
  <c r="W553" i="2"/>
  <c r="U421" i="2"/>
  <c r="P196" i="2"/>
  <c r="V423" i="2"/>
  <c r="U603" i="2"/>
  <c r="U650" i="2"/>
  <c r="W700" i="2"/>
  <c r="V119" i="2"/>
  <c r="U200" i="2"/>
  <c r="V26" i="2"/>
  <c r="U121" i="2"/>
  <c r="V286" i="2"/>
  <c r="U71" i="2"/>
  <c r="V702" i="2"/>
  <c r="V203" i="2"/>
  <c r="P466" i="2"/>
  <c r="U325" i="2"/>
  <c r="U288" i="2"/>
  <c r="W126" i="2"/>
  <c r="P611" i="2"/>
  <c r="V612" i="2"/>
  <c r="V129" i="2"/>
  <c r="W429" i="2"/>
  <c r="W668" i="2"/>
  <c r="W138" i="2"/>
  <c r="V506" i="2"/>
  <c r="V598" i="2"/>
  <c r="W691" i="2"/>
  <c r="V507" i="2"/>
  <c r="V548" i="2"/>
  <c r="V459" i="2"/>
  <c r="V186" i="2"/>
  <c r="V278" i="2"/>
  <c r="V508" i="2"/>
  <c r="V187" i="2"/>
  <c r="P600" i="2"/>
  <c r="V279" i="2"/>
  <c r="V511" i="2"/>
  <c r="V113" i="2"/>
  <c r="V550" i="2"/>
  <c r="X550" i="2" s="1"/>
  <c r="Y550" i="2" s="1"/>
  <c r="V368" i="2"/>
  <c r="V280" i="2"/>
  <c r="P319" i="2"/>
  <c r="P18" i="2"/>
  <c r="P19" i="2"/>
  <c r="W418" i="2"/>
  <c r="W115" i="2"/>
  <c r="X115" i="2" s="1"/>
  <c r="Y115" i="2" s="1"/>
  <c r="W194" i="2"/>
  <c r="W116" i="2"/>
  <c r="W65" i="2"/>
  <c r="W698" i="2"/>
  <c r="U553" i="2"/>
  <c r="U66" i="2"/>
  <c r="V22" i="2"/>
  <c r="V234" i="2"/>
  <c r="U117" i="2"/>
  <c r="W462" i="2"/>
  <c r="V282" i="2"/>
  <c r="V198" i="2"/>
  <c r="U700" i="2"/>
  <c r="V24" i="2"/>
  <c r="X24" i="2" s="1"/>
  <c r="Y24" i="2" s="1"/>
  <c r="V605" i="2"/>
  <c r="U464" i="2"/>
  <c r="W285" i="2"/>
  <c r="V514" i="2"/>
  <c r="U608" i="2"/>
  <c r="W609" i="2"/>
  <c r="P28" i="2"/>
  <c r="U73" i="2"/>
  <c r="W466" i="2"/>
  <c r="W74" i="2"/>
  <c r="V127" i="2"/>
  <c r="V205" i="2"/>
  <c r="P236" i="2"/>
  <c r="P425" i="2"/>
  <c r="X75" i="2"/>
  <c r="Y75" i="2" s="1"/>
  <c r="P372" i="2"/>
  <c r="U429" i="2"/>
  <c r="X330" i="2"/>
  <c r="Y330" i="2" s="1"/>
  <c r="V645" i="2"/>
  <c r="V646" i="2"/>
  <c r="P548" i="2"/>
  <c r="V276" i="2"/>
  <c r="V184" i="2"/>
  <c r="V549" i="2"/>
  <c r="P186" i="2"/>
  <c r="V61" i="2"/>
  <c r="V16" i="2"/>
  <c r="V415" i="2"/>
  <c r="X62" i="2"/>
  <c r="Y62" i="2" s="1"/>
  <c r="V317" i="2"/>
  <c r="P511" i="2"/>
  <c r="P647" i="2"/>
  <c r="P113" i="2"/>
  <c r="W416" i="2"/>
  <c r="W552" i="2"/>
  <c r="X552" i="2" s="1"/>
  <c r="Y552" i="2" s="1"/>
  <c r="W369" i="2"/>
  <c r="W18" i="2"/>
  <c r="U418" i="2"/>
  <c r="U191" i="2"/>
  <c r="U698" i="2"/>
  <c r="U67" i="2"/>
  <c r="X461" i="2"/>
  <c r="Y461" i="2" s="1"/>
  <c r="W699" i="2"/>
  <c r="P321" i="2"/>
  <c r="V322" i="2"/>
  <c r="P556" i="2"/>
  <c r="P323" i="2"/>
  <c r="U285" i="2"/>
  <c r="U466" i="2"/>
  <c r="W611" i="2"/>
  <c r="W29" i="2"/>
  <c r="W206" i="2"/>
  <c r="W703" i="2"/>
  <c r="P704" i="2"/>
  <c r="W704" i="2"/>
  <c r="P79" i="2"/>
  <c r="W79" i="2"/>
  <c r="X618" i="2"/>
  <c r="Y618" i="2" s="1"/>
  <c r="P206" i="2"/>
  <c r="P703" i="2"/>
  <c r="V371" i="2"/>
  <c r="V237" i="2"/>
  <c r="V426" i="2"/>
  <c r="W129" i="2"/>
  <c r="W516" i="2"/>
  <c r="U210" i="2"/>
  <c r="W211" i="2"/>
  <c r="P31" i="2"/>
  <c r="W658" i="2"/>
  <c r="U214" i="2"/>
  <c r="W659" i="2"/>
  <c r="V471" i="2"/>
  <c r="V85" i="2"/>
  <c r="V432" i="2"/>
  <c r="V374" i="2"/>
  <c r="P616" i="2"/>
  <c r="P565" i="2"/>
  <c r="P661" i="2"/>
  <c r="U521" i="2"/>
  <c r="U215" i="2"/>
  <c r="U499" i="2"/>
  <c r="U709" i="2"/>
  <c r="U37" i="2"/>
  <c r="V526" i="2"/>
  <c r="X526" i="2" s="1"/>
  <c r="Y526" i="2" s="1"/>
  <c r="U136" i="2"/>
  <c r="U245" i="2"/>
  <c r="U710" i="2"/>
  <c r="U620" i="2"/>
  <c r="U528" i="2"/>
  <c r="U91" i="2"/>
  <c r="W92" i="2"/>
  <c r="P217" i="2"/>
  <c r="P382" i="2"/>
  <c r="P531" i="2"/>
  <c r="V480" i="2"/>
  <c r="V249" i="2"/>
  <c r="X249" i="2" s="1"/>
  <c r="Y249" i="2" s="1"/>
  <c r="V715" i="2"/>
  <c r="V672" i="2"/>
  <c r="V571" i="2"/>
  <c r="P141" i="2"/>
  <c r="V142" i="2"/>
  <c r="U625" i="2"/>
  <c r="W395" i="2"/>
  <c r="W467" i="2"/>
  <c r="W212" i="2"/>
  <c r="P213" i="2"/>
  <c r="X518" i="2"/>
  <c r="Y518" i="2" s="1"/>
  <c r="V658" i="2"/>
  <c r="P34" i="2"/>
  <c r="X240" i="2"/>
  <c r="Y240" i="2" s="1"/>
  <c r="W240" i="2"/>
  <c r="V84" i="2"/>
  <c r="V564" i="2"/>
  <c r="X564" i="2" s="1"/>
  <c r="Y564" i="2" s="1"/>
  <c r="P86" i="2"/>
  <c r="V433" i="2"/>
  <c r="X433" i="2" s="1"/>
  <c r="Y433" i="2" s="1"/>
  <c r="V525" i="2"/>
  <c r="X525" i="2" s="1"/>
  <c r="Y525" i="2" s="1"/>
  <c r="W89" i="2"/>
  <c r="U329" i="2"/>
  <c r="U39" i="2"/>
  <c r="U138" i="2"/>
  <c r="W531" i="2"/>
  <c r="P248" i="2"/>
  <c r="V717" i="2"/>
  <c r="V96" i="2"/>
  <c r="V440" i="2"/>
  <c r="V387" i="2"/>
  <c r="V678" i="2"/>
  <c r="P678" i="2"/>
  <c r="W149" i="2"/>
  <c r="P149" i="2"/>
  <c r="W450" i="2"/>
  <c r="P467" i="2"/>
  <c r="U129" i="2"/>
  <c r="W326" i="2"/>
  <c r="W653" i="2"/>
  <c r="P130" i="2"/>
  <c r="U516" i="2"/>
  <c r="W30" i="2"/>
  <c r="P655" i="2"/>
  <c r="U211" i="2"/>
  <c r="V705" i="2"/>
  <c r="X705" i="2" s="1"/>
  <c r="Y705" i="2" s="1"/>
  <c r="U32" i="2"/>
  <c r="V707" i="2"/>
  <c r="V614" i="2"/>
  <c r="P471" i="2"/>
  <c r="V563" i="2"/>
  <c r="V431" i="2"/>
  <c r="X431" i="2" s="1"/>
  <c r="Y431" i="2" s="1"/>
  <c r="P473" i="2"/>
  <c r="U661" i="2"/>
  <c r="U474" i="2"/>
  <c r="U377" i="2"/>
  <c r="U242" i="2"/>
  <c r="U522" i="2"/>
  <c r="V378" i="2"/>
  <c r="X378" i="2" s="1"/>
  <c r="Y378" i="2" s="1"/>
  <c r="V617" i="2"/>
  <c r="V243" i="2"/>
  <c r="V36" i="2"/>
  <c r="V663" i="2"/>
  <c r="X663" i="2" s="1"/>
  <c r="Y663" i="2" s="1"/>
  <c r="U87" i="2"/>
  <c r="W437" i="2"/>
  <c r="V90" i="2"/>
  <c r="V477" i="2"/>
  <c r="V136" i="2"/>
  <c r="V665" i="2"/>
  <c r="V668" i="2"/>
  <c r="W41" i="2"/>
  <c r="U247" i="2"/>
  <c r="U382" i="2"/>
  <c r="U479" i="2"/>
  <c r="U568" i="2"/>
  <c r="U531" i="2"/>
  <c r="P480" i="2"/>
  <c r="W714" i="2"/>
  <c r="V671" i="2"/>
  <c r="V439" i="2"/>
  <c r="V250" i="2"/>
  <c r="V251" i="2"/>
  <c r="P331" i="2"/>
  <c r="P142" i="2"/>
  <c r="P680" i="2"/>
  <c r="W443" i="2"/>
  <c r="P443" i="2"/>
  <c r="U29" i="2"/>
  <c r="U467" i="2"/>
  <c r="W426" i="2"/>
  <c r="P427" i="2"/>
  <c r="V428" i="2"/>
  <c r="U326" i="2"/>
  <c r="V468" i="2"/>
  <c r="V372" i="2"/>
  <c r="V289" i="2"/>
  <c r="P705" i="2"/>
  <c r="V656" i="2"/>
  <c r="V33" i="2"/>
  <c r="V239" i="2"/>
  <c r="U373" i="2"/>
  <c r="W706" i="2"/>
  <c r="W707" i="2"/>
  <c r="P613" i="2"/>
  <c r="V708" i="2"/>
  <c r="V214" i="2"/>
  <c r="X214" i="2" s="1"/>
  <c r="Y214" i="2" s="1"/>
  <c r="V430" i="2"/>
  <c r="X430" i="2" s="1"/>
  <c r="Y430" i="2" s="1"/>
  <c r="V83" i="2"/>
  <c r="W433" i="2"/>
  <c r="W472" i="2"/>
  <c r="U434" i="2"/>
  <c r="U435" i="2"/>
  <c r="W661" i="2"/>
  <c r="U520" i="2"/>
  <c r="V523" i="2"/>
  <c r="V524" i="2"/>
  <c r="V215" i="2"/>
  <c r="V475" i="2"/>
  <c r="U437" i="2"/>
  <c r="V244" i="2"/>
  <c r="V666" i="2"/>
  <c r="V621" i="2"/>
  <c r="U246" i="2"/>
  <c r="W382" i="2"/>
  <c r="W249" i="2"/>
  <c r="W672" i="2"/>
  <c r="P716" i="2"/>
  <c r="U42" i="2"/>
  <c r="W718" i="2"/>
  <c r="W440" i="2"/>
  <c r="P140" i="2"/>
  <c r="W330" i="2"/>
  <c r="V43" i="2"/>
  <c r="W142" i="2"/>
  <c r="P387" i="2"/>
  <c r="W387" i="2"/>
  <c r="V516" i="2"/>
  <c r="W655" i="2"/>
  <c r="X655" i="2" s="1"/>
  <c r="Y655" i="2" s="1"/>
  <c r="V211" i="2"/>
  <c r="X211" i="2" s="1"/>
  <c r="Y211" i="2" s="1"/>
  <c r="V327" i="2"/>
  <c r="V660" i="2"/>
  <c r="P470" i="2"/>
  <c r="W471" i="2"/>
  <c r="U472" i="2"/>
  <c r="V133" i="2"/>
  <c r="P378" i="2"/>
  <c r="P618" i="2"/>
  <c r="V709" i="2"/>
  <c r="X709" i="2" s="1"/>
  <c r="Y709" i="2" s="1"/>
  <c r="P216" i="2"/>
  <c r="V87" i="2"/>
  <c r="X87" i="2" s="1"/>
  <c r="Y87" i="2" s="1"/>
  <c r="P38" i="2"/>
  <c r="P136" i="2"/>
  <c r="P137" i="2"/>
  <c r="P665" i="2"/>
  <c r="V478" i="2"/>
  <c r="X478" i="2" s="1"/>
  <c r="Y478" i="2" s="1"/>
  <c r="V245" i="2"/>
  <c r="P668" i="2"/>
  <c r="V527" i="2"/>
  <c r="X527" i="2" s="1"/>
  <c r="Y527" i="2" s="1"/>
  <c r="V528" i="2"/>
  <c r="X528" i="2" s="1"/>
  <c r="Y528" i="2" s="1"/>
  <c r="V91" i="2"/>
  <c r="V40" i="2"/>
  <c r="V381" i="2"/>
  <c r="X381" i="2" s="1"/>
  <c r="Y381" i="2" s="1"/>
  <c r="V41" i="2"/>
  <c r="X41" i="2" s="1"/>
  <c r="Y41" i="2" s="1"/>
  <c r="V711" i="2"/>
  <c r="V247" i="2"/>
  <c r="V712" i="2"/>
  <c r="X712" i="2" s="1"/>
  <c r="Y712" i="2" s="1"/>
  <c r="V93" i="2"/>
  <c r="U248" i="2"/>
  <c r="W671" i="2"/>
  <c r="U716" i="2"/>
  <c r="U440" i="2"/>
  <c r="U140" i="2"/>
  <c r="P250" i="2"/>
  <c r="W570" i="2"/>
  <c r="U331" i="2"/>
  <c r="V572" i="2"/>
  <c r="P333" i="2"/>
  <c r="X575" i="2"/>
  <c r="Y575" i="2" s="1"/>
  <c r="U336" i="2"/>
  <c r="X210" i="2"/>
  <c r="Y210" i="2" s="1"/>
  <c r="U289" i="2"/>
  <c r="P469" i="2"/>
  <c r="P131" i="2"/>
  <c r="P429" i="2"/>
  <c r="P430" i="2"/>
  <c r="U85" i="2"/>
  <c r="P524" i="2"/>
  <c r="W378" i="2"/>
  <c r="P499" i="2"/>
  <c r="X89" i="2"/>
  <c r="Y89" i="2" s="1"/>
  <c r="U380" i="2"/>
  <c r="P710" i="2"/>
  <c r="P667" i="2"/>
  <c r="P381" i="2"/>
  <c r="U673" i="2"/>
  <c r="U571" i="2"/>
  <c r="U386" i="2"/>
  <c r="W219" i="2"/>
  <c r="W676" i="2"/>
  <c r="P153" i="2"/>
  <c r="P724" i="2"/>
  <c r="V703" i="2"/>
  <c r="V207" i="2"/>
  <c r="P238" i="2"/>
  <c r="P209" i="2"/>
  <c r="V517" i="2"/>
  <c r="V212" i="2"/>
  <c r="X212" i="2" s="1"/>
  <c r="Y212" i="2" s="1"/>
  <c r="P518" i="2"/>
  <c r="V32" i="2"/>
  <c r="X32" i="2" s="1"/>
  <c r="Y32" i="2" s="1"/>
  <c r="U33" i="2"/>
  <c r="V82" i="2"/>
  <c r="X82" i="2" s="1"/>
  <c r="Y82" i="2" s="1"/>
  <c r="P83" i="2"/>
  <c r="U290" i="2"/>
  <c r="U84" i="2"/>
  <c r="U431" i="2"/>
  <c r="V434" i="2"/>
  <c r="P133" i="2"/>
  <c r="V242" i="2"/>
  <c r="V522" i="2"/>
  <c r="U378" i="2"/>
  <c r="U36" i="2"/>
  <c r="V436" i="2"/>
  <c r="V37" i="2"/>
  <c r="P664" i="2"/>
  <c r="U665" i="2"/>
  <c r="U668" i="2"/>
  <c r="P39" i="2"/>
  <c r="P40" i="2"/>
  <c r="P138" i="2"/>
  <c r="V246" i="2"/>
  <c r="X246" i="2" s="1"/>
  <c r="Y246" i="2" s="1"/>
  <c r="P712" i="2"/>
  <c r="V382" i="2"/>
  <c r="V531" i="2"/>
  <c r="X531" i="2" s="1"/>
  <c r="Y531" i="2" s="1"/>
  <c r="V569" i="2"/>
  <c r="W95" i="2"/>
  <c r="P623" i="2"/>
  <c r="V144" i="2"/>
  <c r="V334" i="2"/>
  <c r="U442" i="2"/>
  <c r="W298" i="2"/>
  <c r="P298" i="2"/>
  <c r="W204" i="2"/>
  <c r="P610" i="2"/>
  <c r="U205" i="2"/>
  <c r="U238" i="2"/>
  <c r="V326" i="2"/>
  <c r="V78" i="2"/>
  <c r="V654" i="2"/>
  <c r="V30" i="2"/>
  <c r="X30" i="2" s="1"/>
  <c r="Y30" i="2" s="1"/>
  <c r="U209" i="2"/>
  <c r="U518" i="2"/>
  <c r="P32" i="2"/>
  <c r="U658" i="2"/>
  <c r="V373" i="2"/>
  <c r="X373" i="2" s="1"/>
  <c r="Y373" i="2" s="1"/>
  <c r="V34" i="2"/>
  <c r="U614" i="2"/>
  <c r="V86" i="2"/>
  <c r="V473" i="2"/>
  <c r="V241" i="2"/>
  <c r="P375" i="2"/>
  <c r="V616" i="2"/>
  <c r="V520" i="2"/>
  <c r="W521" i="2"/>
  <c r="X521" i="2" s="1"/>
  <c r="Y521" i="2" s="1"/>
  <c r="W523" i="2"/>
  <c r="U379" i="2"/>
  <c r="U618" i="2"/>
  <c r="U619" i="2"/>
  <c r="W37" i="2"/>
  <c r="V476" i="2"/>
  <c r="P88" i="2"/>
  <c r="P89" i="2"/>
  <c r="V380" i="2"/>
  <c r="U137" i="2"/>
  <c r="U244" i="2"/>
  <c r="W528" i="2"/>
  <c r="V530" i="2"/>
  <c r="V713" i="2"/>
  <c r="V42" i="2"/>
  <c r="V383" i="2"/>
  <c r="V140" i="2"/>
  <c r="V674" i="2"/>
  <c r="V97" i="2"/>
  <c r="W250" i="2"/>
  <c r="W267" i="2"/>
  <c r="U267" i="2"/>
  <c r="W580" i="2"/>
  <c r="W343" i="2"/>
  <c r="X343" i="2" s="1"/>
  <c r="Y343" i="2" s="1"/>
  <c r="W296" i="2"/>
  <c r="X296" i="2" s="1"/>
  <c r="Y296" i="2" s="1"/>
  <c r="W585" i="2"/>
  <c r="W260" i="2"/>
  <c r="X264" i="2"/>
  <c r="Y264" i="2" s="1"/>
  <c r="W266" i="2"/>
  <c r="U685" i="2"/>
  <c r="U291" i="2"/>
  <c r="U623" i="2"/>
  <c r="U385" i="2"/>
  <c r="U44" i="2"/>
  <c r="U624" i="2"/>
  <c r="W46" i="2"/>
  <c r="P483" i="2"/>
  <c r="P441" i="2"/>
  <c r="V484" i="2"/>
  <c r="V98" i="2"/>
  <c r="U533" i="2"/>
  <c r="U676" i="2"/>
  <c r="V390" i="2"/>
  <c r="U677" i="2"/>
  <c r="U721" i="2"/>
  <c r="V395" i="2"/>
  <c r="X395" i="2" s="1"/>
  <c r="Y395" i="2" s="1"/>
  <c r="U580" i="2"/>
  <c r="V338" i="2"/>
  <c r="V445" i="2"/>
  <c r="V633" i="2"/>
  <c r="U634" i="2"/>
  <c r="U343" i="2"/>
  <c r="P158" i="2"/>
  <c r="U446" i="2"/>
  <c r="P447" i="2"/>
  <c r="V345" i="2"/>
  <c r="V105" i="2"/>
  <c r="W347" i="2"/>
  <c r="W449" i="2"/>
  <c r="U729" i="2"/>
  <c r="V584" i="2"/>
  <c r="V402" i="2"/>
  <c r="X402" i="2" s="1"/>
  <c r="Y402" i="2" s="1"/>
  <c r="V349" i="2"/>
  <c r="V262" i="2"/>
  <c r="U266" i="2"/>
  <c r="V586" i="2"/>
  <c r="P587" i="2"/>
  <c r="P267" i="2"/>
  <c r="V732" i="2"/>
  <c r="V308" i="2"/>
  <c r="X308" i="2" s="1"/>
  <c r="Y308" i="2" s="1"/>
  <c r="P353" i="2"/>
  <c r="W269" i="2"/>
  <c r="V481" i="2"/>
  <c r="V45" i="2"/>
  <c r="V333" i="2"/>
  <c r="W252" i="2"/>
  <c r="W334" i="2"/>
  <c r="V719" i="2"/>
  <c r="U389" i="2"/>
  <c r="W488" i="2"/>
  <c r="W390" i="2"/>
  <c r="W678" i="2"/>
  <c r="W722" i="2"/>
  <c r="V442" i="2"/>
  <c r="V47" i="2"/>
  <c r="X47" i="2" s="1"/>
  <c r="Y47" i="2" s="1"/>
  <c r="V723" i="2"/>
  <c r="V255" i="2"/>
  <c r="V631" i="2"/>
  <c r="V535" i="2"/>
  <c r="W444" i="2"/>
  <c r="W102" i="2"/>
  <c r="V154" i="2"/>
  <c r="X154" i="2" s="1"/>
  <c r="Y154" i="2" s="1"/>
  <c r="V536" i="2"/>
  <c r="V256" i="2"/>
  <c r="V295" i="2"/>
  <c r="W158" i="2"/>
  <c r="U344" i="2"/>
  <c r="V257" i="2"/>
  <c r="U347" i="2"/>
  <c r="W159" i="2"/>
  <c r="V399" i="2"/>
  <c r="V449" i="2"/>
  <c r="X449" i="2" s="1"/>
  <c r="Y449" i="2" s="1"/>
  <c r="U728" i="2"/>
  <c r="V161" i="2"/>
  <c r="V259" i="2"/>
  <c r="P493" i="2"/>
  <c r="P263" i="2"/>
  <c r="W637" i="2"/>
  <c r="V265" i="2"/>
  <c r="W50" i="2"/>
  <c r="P304" i="2"/>
  <c r="V730" i="2"/>
  <c r="X730" i="2" s="1"/>
  <c r="Y730" i="2" s="1"/>
  <c r="V305" i="2"/>
  <c r="X305" i="2" s="1"/>
  <c r="Y305" i="2" s="1"/>
  <c r="W307" i="2"/>
  <c r="X307" i="2" s="1"/>
  <c r="Y307" i="2" s="1"/>
  <c r="W109" i="2"/>
  <c r="W404" i="2"/>
  <c r="U269" i="2"/>
  <c r="V331" i="2"/>
  <c r="V623" i="2"/>
  <c r="V292" i="2"/>
  <c r="V218" i="2"/>
  <c r="V386" i="2"/>
  <c r="P625" i="2"/>
  <c r="U626" i="2"/>
  <c r="U252" i="2"/>
  <c r="P334" i="2"/>
  <c r="P484" i="2"/>
  <c r="V485" i="2"/>
  <c r="V720" i="2"/>
  <c r="P390" i="2"/>
  <c r="U630" i="2"/>
  <c r="V489" i="2"/>
  <c r="V577" i="2"/>
  <c r="P722" i="2"/>
  <c r="V680" i="2"/>
  <c r="X680" i="2" s="1"/>
  <c r="Y680" i="2" s="1"/>
  <c r="V151" i="2"/>
  <c r="V220" i="2"/>
  <c r="V396" i="2"/>
  <c r="X396" i="2" s="1"/>
  <c r="Y396" i="2" s="1"/>
  <c r="V101" i="2"/>
  <c r="P337" i="2"/>
  <c r="V398" i="2"/>
  <c r="V341" i="2"/>
  <c r="U158" i="2"/>
  <c r="U48" i="2"/>
  <c r="W581" i="2"/>
  <c r="P491" i="2"/>
  <c r="U106" i="2"/>
  <c r="P402" i="2"/>
  <c r="V450" i="2"/>
  <c r="P349" i="2"/>
  <c r="W262" i="2"/>
  <c r="W164" i="2"/>
  <c r="U165" i="2"/>
  <c r="U263" i="2"/>
  <c r="V350" i="2"/>
  <c r="P268" i="2"/>
  <c r="V731" i="2"/>
  <c r="P307" i="2"/>
  <c r="U495" i="2"/>
  <c r="U109" i="2"/>
  <c r="U483" i="2"/>
  <c r="U388" i="2"/>
  <c r="W719" i="2"/>
  <c r="P485" i="2"/>
  <c r="V293" i="2"/>
  <c r="X293" i="2" s="1"/>
  <c r="Y293" i="2" s="1"/>
  <c r="P335" i="2"/>
  <c r="P575" i="2"/>
  <c r="V533" i="2"/>
  <c r="V628" i="2"/>
  <c r="V99" i="2"/>
  <c r="V578" i="2"/>
  <c r="X578" i="2" s="1"/>
  <c r="Y578" i="2" s="1"/>
  <c r="P47" i="2"/>
  <c r="W152" i="2"/>
  <c r="P255" i="2"/>
  <c r="V443" i="2"/>
  <c r="V682" i="2"/>
  <c r="X682" i="2" s="1"/>
  <c r="Y682" i="2" s="1"/>
  <c r="W445" i="2"/>
  <c r="W154" i="2"/>
  <c r="P536" i="2"/>
  <c r="P490" i="2"/>
  <c r="V155" i="2"/>
  <c r="V342" i="2"/>
  <c r="V103" i="2"/>
  <c r="V446" i="2"/>
  <c r="U447" i="2"/>
  <c r="U345" i="2"/>
  <c r="W105" i="2"/>
  <c r="U159" i="2"/>
  <c r="V160" i="2"/>
  <c r="X160" i="2" s="1"/>
  <c r="Y160" i="2" s="1"/>
  <c r="V728" i="2"/>
  <c r="V540" i="2"/>
  <c r="W223" i="2"/>
  <c r="X223" i="2" s="1"/>
  <c r="Y223" i="2" s="1"/>
  <c r="V107" i="2"/>
  <c r="W451" i="2"/>
  <c r="X351" i="2"/>
  <c r="Y351" i="2" s="1"/>
  <c r="W586" i="2"/>
  <c r="V685" i="2"/>
  <c r="V310" i="2"/>
  <c r="X310" i="2" s="1"/>
  <c r="U719" i="2"/>
  <c r="W484" i="2"/>
  <c r="U98" i="2"/>
  <c r="W293" i="2"/>
  <c r="P720" i="2"/>
  <c r="P533" i="2"/>
  <c r="V389" i="2"/>
  <c r="X389" i="2" s="1"/>
  <c r="Y389" i="2" s="1"/>
  <c r="V676" i="2"/>
  <c r="X676" i="2" s="1"/>
  <c r="Y676" i="2" s="1"/>
  <c r="V393" i="2"/>
  <c r="X393" i="2" s="1"/>
  <c r="Y393" i="2" s="1"/>
  <c r="V721" i="2"/>
  <c r="U254" i="2"/>
  <c r="P577" i="2"/>
  <c r="V679" i="2"/>
  <c r="X679" i="2" s="1"/>
  <c r="Y679" i="2" s="1"/>
  <c r="W442" i="2"/>
  <c r="P152" i="2"/>
  <c r="W579" i="2"/>
  <c r="P220" i="2"/>
  <c r="V632" i="2"/>
  <c r="W535" i="2"/>
  <c r="V153" i="2"/>
  <c r="X153" i="2" s="1"/>
  <c r="Y153" i="2" s="1"/>
  <c r="P398" i="2"/>
  <c r="V725" i="2"/>
  <c r="V538" i="2"/>
  <c r="X538" i="2" s="1"/>
  <c r="Y538" i="2" s="1"/>
  <c r="U105" i="2"/>
  <c r="W346" i="2"/>
  <c r="V581" i="2"/>
  <c r="X581" i="2" s="1"/>
  <c r="Y581" i="2" s="1"/>
  <c r="P583" i="2"/>
  <c r="P160" i="2"/>
  <c r="U162" i="2"/>
  <c r="V585" i="2"/>
  <c r="X585" i="2" s="1"/>
  <c r="Y585" i="2" s="1"/>
  <c r="V260" i="2"/>
  <c r="W301" i="2"/>
  <c r="U265" i="2"/>
  <c r="P451" i="2"/>
  <c r="W350" i="2"/>
  <c r="P351" i="2"/>
  <c r="U403" i="2"/>
  <c r="W730" i="2"/>
  <c r="V589" i="2"/>
  <c r="U51" i="2"/>
  <c r="V483" i="2"/>
  <c r="U486" i="2"/>
  <c r="W575" i="2"/>
  <c r="W720" i="2"/>
  <c r="P629" i="2"/>
  <c r="V146" i="2"/>
  <c r="X146" i="2" s="1"/>
  <c r="Y146" i="2" s="1"/>
  <c r="W148" i="2"/>
  <c r="X148" i="2" s="1"/>
  <c r="Y148" i="2" s="1"/>
  <c r="U579" i="2"/>
  <c r="W255" i="2"/>
  <c r="W396" i="2"/>
  <c r="P682" i="2"/>
  <c r="V102" i="2"/>
  <c r="U154" i="2"/>
  <c r="W340" i="2"/>
  <c r="X340" i="2" s="1"/>
  <c r="Y340" i="2" s="1"/>
  <c r="W490" i="2"/>
  <c r="U633" i="2"/>
  <c r="P634" i="2"/>
  <c r="V156" i="2"/>
  <c r="X724" i="2"/>
  <c r="Y724" i="2" s="1"/>
  <c r="V48" i="2"/>
  <c r="U223" i="2"/>
  <c r="U299" i="2"/>
  <c r="V261" i="2"/>
  <c r="V493" i="2"/>
  <c r="V684" i="2"/>
  <c r="V637" i="2"/>
  <c r="V266" i="2"/>
  <c r="V50" i="2"/>
  <c r="V587" i="2"/>
  <c r="X587" i="2" s="1"/>
  <c r="Y587" i="2" s="1"/>
  <c r="U730" i="2"/>
  <c r="U306" i="2"/>
  <c r="P291" i="2"/>
  <c r="V143" i="2"/>
  <c r="U45" i="2"/>
  <c r="V46" i="2"/>
  <c r="V626" i="2"/>
  <c r="V252" i="2"/>
  <c r="V441" i="2"/>
  <c r="U720" i="2"/>
  <c r="P389" i="2"/>
  <c r="P676" i="2"/>
  <c r="V488" i="2"/>
  <c r="V534" i="2"/>
  <c r="P393" i="2"/>
  <c r="V253" i="2"/>
  <c r="V150" i="2"/>
  <c r="U631" i="2"/>
  <c r="V580" i="2"/>
  <c r="X580" i="2" s="1"/>
  <c r="Y580" i="2" s="1"/>
  <c r="P632" i="2"/>
  <c r="V444" i="2"/>
  <c r="U340" i="2"/>
  <c r="U490" i="2"/>
  <c r="P343" i="2"/>
  <c r="P157" i="2"/>
  <c r="V104" i="2"/>
  <c r="P446" i="2"/>
  <c r="V344" i="2"/>
  <c r="X344" i="2" s="1"/>
  <c r="Y344" i="2" s="1"/>
  <c r="P296" i="2"/>
  <c r="W491" i="2"/>
  <c r="V727" i="2"/>
  <c r="P635" i="2"/>
  <c r="U540" i="2"/>
  <c r="V298" i="2"/>
  <c r="W299" i="2"/>
  <c r="X299" i="2" s="1"/>
  <c r="Y299" i="2" s="1"/>
  <c r="P260" i="2"/>
  <c r="V452" i="2"/>
  <c r="V267" i="2"/>
  <c r="X267" i="2" s="1"/>
  <c r="Y267" i="2" s="1"/>
  <c r="V453" i="2"/>
  <c r="V309" i="2"/>
  <c r="V109" i="2"/>
  <c r="V404" i="2"/>
  <c r="X404" i="2" s="1"/>
  <c r="W685" i="2"/>
  <c r="X689" i="2"/>
  <c r="Y689" i="2" s="1"/>
  <c r="W546" i="2"/>
  <c r="P546" i="2"/>
  <c r="X230" i="2"/>
  <c r="Y230" i="2" s="1"/>
  <c r="W2" i="2"/>
  <c r="X2" i="2" s="1"/>
  <c r="Y2" i="2" s="1"/>
  <c r="W361" i="2"/>
  <c r="X361" i="2" s="1"/>
  <c r="Y361" i="2" s="1"/>
  <c r="X597" i="2"/>
  <c r="Y597" i="2" s="1"/>
  <c r="X503" i="2"/>
  <c r="Y503" i="2" s="1"/>
  <c r="X57" i="2"/>
  <c r="Y57" i="2" s="1"/>
  <c r="U8" i="2"/>
  <c r="X546" i="2"/>
  <c r="Y546" i="2" s="1"/>
  <c r="P8" i="2"/>
  <c r="W8" i="2"/>
  <c r="W406" i="2"/>
  <c r="X406" i="2" s="1"/>
  <c r="Y406" i="2" s="1"/>
  <c r="W455" i="2"/>
  <c r="U361" i="2"/>
  <c r="W172" i="2"/>
  <c r="X172" i="2" s="1"/>
  <c r="Y172" i="2" s="1"/>
  <c r="P172" i="2"/>
  <c r="P363" i="2"/>
  <c r="P504" i="2"/>
  <c r="P316" i="2"/>
  <c r="W358" i="2"/>
  <c r="X359" i="2"/>
  <c r="Y359" i="2" s="1"/>
  <c r="X407" i="2"/>
  <c r="Y407" i="2" s="1"/>
  <c r="X272" i="2"/>
  <c r="Y272" i="2" s="1"/>
  <c r="W363" i="2"/>
  <c r="X315" i="2"/>
  <c r="Y315" i="2" s="1"/>
  <c r="W690" i="2"/>
  <c r="P690" i="2"/>
  <c r="X545" i="2"/>
  <c r="Y545" i="2" s="1"/>
  <c r="U358" i="2"/>
  <c r="P359" i="2"/>
  <c r="W359" i="2"/>
  <c r="P500" i="2"/>
  <c r="X409" i="2"/>
  <c r="Y409" i="2" s="1"/>
  <c r="X594" i="2"/>
  <c r="Y594" i="2" s="1"/>
  <c r="W229" i="2"/>
  <c r="X229" i="2" s="1"/>
  <c r="Y229" i="2" s="1"/>
  <c r="U363" i="2"/>
  <c r="U56" i="2"/>
  <c r="P3" i="2"/>
  <c r="P175" i="2"/>
  <c r="W175" i="2"/>
  <c r="X5" i="2"/>
  <c r="Y5" i="2" s="1"/>
  <c r="X273" i="2"/>
  <c r="Y273" i="2" s="1"/>
  <c r="W597" i="2"/>
  <c r="X547" i="2"/>
  <c r="Y547" i="2" s="1"/>
  <c r="U175" i="2"/>
  <c r="W360" i="2"/>
  <c r="X360" i="2" s="1"/>
  <c r="Y360" i="2" s="1"/>
  <c r="P360" i="2"/>
  <c r="P547" i="2"/>
  <c r="W547" i="2"/>
  <c r="P273" i="2"/>
  <c r="P178" i="2"/>
  <c r="W178" i="2"/>
  <c r="W660" i="2"/>
  <c r="X660" i="2" s="1"/>
  <c r="Y660" i="2" s="1"/>
  <c r="P660" i="2"/>
  <c r="W598" i="2"/>
  <c r="X598" i="2" s="1"/>
  <c r="Y598" i="2" s="1"/>
  <c r="V9" i="2"/>
  <c r="P457" i="2"/>
  <c r="U12" i="2"/>
  <c r="P691" i="2"/>
  <c r="P179" i="2"/>
  <c r="W179" i="2"/>
  <c r="X179" i="2" s="1"/>
  <c r="Y179" i="2" s="1"/>
  <c r="P643" i="2"/>
  <c r="X644" i="2"/>
  <c r="Y644" i="2" s="1"/>
  <c r="V180" i="2"/>
  <c r="P507" i="2"/>
  <c r="P182" i="2"/>
  <c r="W182" i="2"/>
  <c r="X182" i="2" s="1"/>
  <c r="Y182" i="2" s="1"/>
  <c r="P183" i="2"/>
  <c r="X275" i="2"/>
  <c r="Y275" i="2" s="1"/>
  <c r="X276" i="2"/>
  <c r="Y276" i="2" s="1"/>
  <c r="U277" i="2"/>
  <c r="P459" i="2"/>
  <c r="P59" i="2"/>
  <c r="W59" i="2"/>
  <c r="P414" i="2"/>
  <c r="X278" i="2"/>
  <c r="Y278" i="2" s="1"/>
  <c r="U62" i="2"/>
  <c r="P695" i="2"/>
  <c r="P189" i="2"/>
  <c r="W189" i="2"/>
  <c r="P509" i="2"/>
  <c r="X318" i="2"/>
  <c r="Y318" i="2" s="1"/>
  <c r="U550" i="2"/>
  <c r="P416" i="2"/>
  <c r="P17" i="2"/>
  <c r="W17" i="2"/>
  <c r="X17" i="2" s="1"/>
  <c r="Y17" i="2" s="1"/>
  <c r="P552" i="2"/>
  <c r="X369" i="2"/>
  <c r="Y369" i="2" s="1"/>
  <c r="U190" i="2"/>
  <c r="P418" i="2"/>
  <c r="P20" i="2"/>
  <c r="W20" i="2"/>
  <c r="X20" i="2" s="1"/>
  <c r="Y20" i="2" s="1"/>
  <c r="X419" i="2"/>
  <c r="Y419" i="2" s="1"/>
  <c r="X194" i="2"/>
  <c r="Y194" i="2" s="1"/>
  <c r="P553" i="2"/>
  <c r="P21" i="2"/>
  <c r="W21" i="2"/>
  <c r="X281" i="2"/>
  <c r="Y281" i="2" s="1"/>
  <c r="P235" i="2"/>
  <c r="W235" i="2"/>
  <c r="X235" i="2" s="1"/>
  <c r="Y235" i="2" s="1"/>
  <c r="V3" i="2"/>
  <c r="X3" i="2" s="1"/>
  <c r="Y3" i="2" s="1"/>
  <c r="P12" i="2"/>
  <c r="W12" i="2"/>
  <c r="X12" i="2" s="1"/>
  <c r="Y12" i="2" s="1"/>
  <c r="U231" i="2"/>
  <c r="V175" i="2"/>
  <c r="W176" i="2"/>
  <c r="V8" i="2"/>
  <c r="W232" i="2"/>
  <c r="X232" i="2" s="1"/>
  <c r="Y232" i="2" s="1"/>
  <c r="U691" i="2"/>
  <c r="U179" i="2"/>
  <c r="W410" i="2"/>
  <c r="W643" i="2"/>
  <c r="X643" i="2" s="1"/>
  <c r="Y643" i="2" s="1"/>
  <c r="P644" i="2"/>
  <c r="P365" i="2"/>
  <c r="W365" i="2"/>
  <c r="W458" i="2"/>
  <c r="V14" i="2"/>
  <c r="X14" i="2" s="1"/>
  <c r="Y14" i="2" s="1"/>
  <c r="P181" i="2"/>
  <c r="W181" i="2"/>
  <c r="U182" i="2"/>
  <c r="W548" i="2"/>
  <c r="X548" i="2" s="1"/>
  <c r="Y548" i="2" s="1"/>
  <c r="P275" i="2"/>
  <c r="P599" i="2"/>
  <c r="W599" i="2"/>
  <c r="U59" i="2"/>
  <c r="W186" i="2"/>
  <c r="X186" i="2" s="1"/>
  <c r="Y186" i="2" s="1"/>
  <c r="P460" i="2"/>
  <c r="X508" i="2"/>
  <c r="Y508" i="2" s="1"/>
  <c r="V694" i="2"/>
  <c r="X694" i="2" s="1"/>
  <c r="Y694" i="2" s="1"/>
  <c r="P188" i="2"/>
  <c r="W188" i="2"/>
  <c r="U189" i="2"/>
  <c r="W600" i="2"/>
  <c r="P317" i="2"/>
  <c r="V647" i="2"/>
  <c r="X647" i="2" s="1"/>
  <c r="Y647" i="2" s="1"/>
  <c r="P696" i="2"/>
  <c r="W696" i="2"/>
  <c r="U17" i="2"/>
  <c r="W114" i="2"/>
  <c r="P368" i="2"/>
  <c r="V319" i="2"/>
  <c r="V18" i="2"/>
  <c r="X18" i="2" s="1"/>
  <c r="Y18" i="2" s="1"/>
  <c r="P191" i="2"/>
  <c r="W191" i="2"/>
  <c r="U20" i="2"/>
  <c r="W192" i="2"/>
  <c r="X192" i="2" s="1"/>
  <c r="Y192" i="2" s="1"/>
  <c r="P419" i="2"/>
  <c r="V602" i="2"/>
  <c r="V116" i="2"/>
  <c r="X116" i="2" s="1"/>
  <c r="Y116" i="2" s="1"/>
  <c r="P66" i="2"/>
  <c r="W66" i="2"/>
  <c r="U21" i="2"/>
  <c r="U321" i="2"/>
  <c r="X23" i="2"/>
  <c r="Y23" i="2" s="1"/>
  <c r="P26" i="2"/>
  <c r="W26" i="2"/>
  <c r="X26" i="2" s="1"/>
  <c r="Y26" i="2" s="1"/>
  <c r="V358" i="2"/>
  <c r="V501" i="2"/>
  <c r="X501" i="2" s="1"/>
  <c r="Y501" i="2" s="1"/>
  <c r="V176" i="2"/>
  <c r="P408" i="2"/>
  <c r="P361" i="2"/>
  <c r="P641" i="2"/>
  <c r="V178" i="2"/>
  <c r="X178" i="2" s="1"/>
  <c r="Y178" i="2" s="1"/>
  <c r="U7" i="2"/>
  <c r="P232" i="2"/>
  <c r="P505" i="2"/>
  <c r="V690" i="2"/>
  <c r="X690" i="2" s="1"/>
  <c r="Y690" i="2" s="1"/>
  <c r="U598" i="2"/>
  <c r="W457" i="2"/>
  <c r="X457" i="2" s="1"/>
  <c r="Y457" i="2" s="1"/>
  <c r="U643" i="2"/>
  <c r="P411" i="2"/>
  <c r="W692" i="2"/>
  <c r="X692" i="2" s="1"/>
  <c r="Y692" i="2" s="1"/>
  <c r="U365" i="2"/>
  <c r="P274" i="2"/>
  <c r="W274" i="2"/>
  <c r="X274" i="2" s="1"/>
  <c r="Y274" i="2" s="1"/>
  <c r="P13" i="2"/>
  <c r="X645" i="2"/>
  <c r="Y645" i="2" s="1"/>
  <c r="U181" i="2"/>
  <c r="X16" i="2"/>
  <c r="Y16" i="2" s="1"/>
  <c r="X279" i="2"/>
  <c r="Y279" i="2" s="1"/>
  <c r="X370" i="2"/>
  <c r="Y370" i="2" s="1"/>
  <c r="X421" i="2"/>
  <c r="Y421" i="2" s="1"/>
  <c r="P287" i="2"/>
  <c r="V287" i="2"/>
  <c r="X287" i="2" s="1"/>
  <c r="Y287" i="2" s="1"/>
  <c r="V500" i="2"/>
  <c r="X500" i="2" s="1"/>
  <c r="Y500" i="2" s="1"/>
  <c r="W454" i="2"/>
  <c r="X454" i="2" s="1"/>
  <c r="Y454" i="2" s="1"/>
  <c r="V455" i="2"/>
  <c r="W314" i="2"/>
  <c r="X314" i="2" s="1"/>
  <c r="Y314" i="2" s="1"/>
  <c r="V171" i="2"/>
  <c r="X171" i="2" s="1"/>
  <c r="Y171" i="2" s="1"/>
  <c r="W596" i="2"/>
  <c r="X596" i="2" s="1"/>
  <c r="Y596" i="2" s="1"/>
  <c r="V363" i="2"/>
  <c r="X363" i="2" s="1"/>
  <c r="Y363" i="2" s="1"/>
  <c r="W56" i="2"/>
  <c r="X56" i="2" s="1"/>
  <c r="Y56" i="2" s="1"/>
  <c r="V173" i="2"/>
  <c r="X173" i="2" s="1"/>
  <c r="Y173" i="2" s="1"/>
  <c r="W4" i="2"/>
  <c r="X4" i="2" s="1"/>
  <c r="Y4" i="2" s="1"/>
  <c r="P9" i="2"/>
  <c r="W9" i="2"/>
  <c r="U458" i="2"/>
  <c r="U274" i="2"/>
  <c r="W180" i="2"/>
  <c r="P645" i="2"/>
  <c r="U646" i="2"/>
  <c r="W15" i="2"/>
  <c r="X15" i="2" s="1"/>
  <c r="Y15" i="2" s="1"/>
  <c r="V366" i="2"/>
  <c r="U549" i="2"/>
  <c r="W693" i="2"/>
  <c r="X693" i="2" s="1"/>
  <c r="Y693" i="2" s="1"/>
  <c r="V60" i="2"/>
  <c r="U187" i="2"/>
  <c r="W63" i="2"/>
  <c r="X63" i="2" s="1"/>
  <c r="Y63" i="2" s="1"/>
  <c r="V510" i="2"/>
  <c r="U551" i="2"/>
  <c r="W280" i="2"/>
  <c r="X280" i="2" s="1"/>
  <c r="Y280" i="2" s="1"/>
  <c r="V417" i="2"/>
  <c r="U697" i="2"/>
  <c r="W193" i="2"/>
  <c r="X193" i="2" s="1"/>
  <c r="Y193" i="2" s="1"/>
  <c r="V320" i="2"/>
  <c r="U554" i="2"/>
  <c r="P461" i="2"/>
  <c r="W6" i="2"/>
  <c r="X6" i="2" s="1"/>
  <c r="Y6" i="2" s="1"/>
  <c r="W506" i="2"/>
  <c r="X506" i="2" s="1"/>
  <c r="Y506" i="2" s="1"/>
  <c r="X691" i="2"/>
  <c r="Y691" i="2" s="1"/>
  <c r="X507" i="2"/>
  <c r="Y507" i="2" s="1"/>
  <c r="U15" i="2"/>
  <c r="P184" i="2"/>
  <c r="W184" i="2"/>
  <c r="X184" i="2" s="1"/>
  <c r="Y184" i="2" s="1"/>
  <c r="P413" i="2"/>
  <c r="X185" i="2"/>
  <c r="Y185" i="2" s="1"/>
  <c r="X459" i="2"/>
  <c r="Y459" i="2" s="1"/>
  <c r="U693" i="2"/>
  <c r="P508" i="2"/>
  <c r="W508" i="2"/>
  <c r="X415" i="2"/>
  <c r="Y415" i="2" s="1"/>
  <c r="X695" i="2"/>
  <c r="Y695" i="2" s="1"/>
  <c r="P233" i="2"/>
  <c r="W233" i="2"/>
  <c r="X233" i="2" s="1"/>
  <c r="Y233" i="2" s="1"/>
  <c r="X113" i="2"/>
  <c r="Y113" i="2" s="1"/>
  <c r="X416" i="2"/>
  <c r="Y416" i="2" s="1"/>
  <c r="P64" i="2"/>
  <c r="W64" i="2"/>
  <c r="X64" i="2" s="1"/>
  <c r="Y64" i="2" s="1"/>
  <c r="X19" i="2"/>
  <c r="Y19" i="2" s="1"/>
  <c r="X418" i="2"/>
  <c r="Y418" i="2" s="1"/>
  <c r="P195" i="2"/>
  <c r="W195" i="2"/>
  <c r="X195" i="2" s="1"/>
  <c r="Y195" i="2" s="1"/>
  <c r="X65" i="2"/>
  <c r="Y65" i="2" s="1"/>
  <c r="X553" i="2"/>
  <c r="Y553" i="2" s="1"/>
  <c r="P463" i="2"/>
  <c r="W463" i="2"/>
  <c r="X463" i="2" s="1"/>
  <c r="Y463" i="2" s="1"/>
  <c r="P558" i="2"/>
  <c r="W558" i="2"/>
  <c r="X656" i="2"/>
  <c r="Y656" i="2" s="1"/>
  <c r="P6" i="2"/>
  <c r="W642" i="2"/>
  <c r="X642" i="2" s="1"/>
  <c r="Y642" i="2" s="1"/>
  <c r="P367" i="2"/>
  <c r="W367" i="2"/>
  <c r="X367" i="2" s="1"/>
  <c r="Y367" i="2" s="1"/>
  <c r="U184" i="2"/>
  <c r="W412" i="2"/>
  <c r="X412" i="2" s="1"/>
  <c r="Y412" i="2" s="1"/>
  <c r="X59" i="2"/>
  <c r="Y59" i="2" s="1"/>
  <c r="W460" i="2"/>
  <c r="X460" i="2" s="1"/>
  <c r="Y460" i="2" s="1"/>
  <c r="P61" i="2"/>
  <c r="W61" i="2"/>
  <c r="X61" i="2" s="1"/>
  <c r="Y61" i="2" s="1"/>
  <c r="U508" i="2"/>
  <c r="W16" i="2"/>
  <c r="X189" i="2"/>
  <c r="Y189" i="2" s="1"/>
  <c r="W317" i="2"/>
  <c r="X317" i="2" s="1"/>
  <c r="Y317" i="2" s="1"/>
  <c r="P279" i="2"/>
  <c r="W279" i="2"/>
  <c r="U233" i="2"/>
  <c r="W511" i="2"/>
  <c r="X511" i="2" s="1"/>
  <c r="Y511" i="2" s="1"/>
  <c r="W368" i="2"/>
  <c r="X368" i="2" s="1"/>
  <c r="Y368" i="2" s="1"/>
  <c r="P601" i="2"/>
  <c r="W601" i="2"/>
  <c r="X601" i="2" s="1"/>
  <c r="Y601" i="2" s="1"/>
  <c r="U64" i="2"/>
  <c r="W319" i="2"/>
  <c r="P370" i="2"/>
  <c r="W370" i="2"/>
  <c r="U195" i="2"/>
  <c r="W602" i="2"/>
  <c r="X21" i="2"/>
  <c r="Y21" i="2" s="1"/>
  <c r="V420" i="2"/>
  <c r="X11" i="2"/>
  <c r="Y11" i="2" s="1"/>
  <c r="V410" i="2"/>
  <c r="X410" i="2" s="1"/>
  <c r="Y410" i="2" s="1"/>
  <c r="V365" i="2"/>
  <c r="V458" i="2"/>
  <c r="V181" i="2"/>
  <c r="U367" i="2"/>
  <c r="V599" i="2"/>
  <c r="X599" i="2" s="1"/>
  <c r="Y599" i="2" s="1"/>
  <c r="U61" i="2"/>
  <c r="V188" i="2"/>
  <c r="X188" i="2" s="1"/>
  <c r="Y188" i="2" s="1"/>
  <c r="X600" i="2"/>
  <c r="Y600" i="2" s="1"/>
  <c r="U279" i="2"/>
  <c r="V696" i="2"/>
  <c r="X114" i="2"/>
  <c r="Y114" i="2" s="1"/>
  <c r="U601" i="2"/>
  <c r="V191" i="2"/>
  <c r="X191" i="2" s="1"/>
  <c r="Y191" i="2" s="1"/>
  <c r="U370" i="2"/>
  <c r="V66" i="2"/>
  <c r="X66" i="2" s="1"/>
  <c r="Y66" i="2" s="1"/>
  <c r="P15" i="2"/>
  <c r="P277" i="2"/>
  <c r="P693" i="2"/>
  <c r="P62" i="2"/>
  <c r="P63" i="2"/>
  <c r="P550" i="2"/>
  <c r="P280" i="2"/>
  <c r="P190" i="2"/>
  <c r="P193" i="2"/>
  <c r="P698" i="2"/>
  <c r="W234" i="2"/>
  <c r="X234" i="2" s="1"/>
  <c r="Y234" i="2" s="1"/>
  <c r="V321" i="2"/>
  <c r="X321" i="2" s="1"/>
  <c r="Y321" i="2" s="1"/>
  <c r="V512" i="2"/>
  <c r="X512" i="2" s="1"/>
  <c r="Y512" i="2" s="1"/>
  <c r="V650" i="2"/>
  <c r="X650" i="2" s="1"/>
  <c r="Y650" i="2" s="1"/>
  <c r="V283" i="2"/>
  <c r="V464" i="2"/>
  <c r="V120" i="2"/>
  <c r="X120" i="2" s="1"/>
  <c r="Y120" i="2" s="1"/>
  <c r="W71" i="2"/>
  <c r="X71" i="2" s="1"/>
  <c r="Y71" i="2" s="1"/>
  <c r="W324" i="2"/>
  <c r="W560" i="2"/>
  <c r="X560" i="2" s="1"/>
  <c r="Y560" i="2" s="1"/>
  <c r="W701" i="2"/>
  <c r="X701" i="2" s="1"/>
  <c r="Y701" i="2" s="1"/>
  <c r="V124" i="2"/>
  <c r="V73" i="2"/>
  <c r="X73" i="2" s="1"/>
  <c r="Y73" i="2" s="1"/>
  <c r="V425" i="2"/>
  <c r="X425" i="2" s="1"/>
  <c r="Y425" i="2" s="1"/>
  <c r="X76" i="2"/>
  <c r="Y76" i="2" s="1"/>
  <c r="W78" i="2"/>
  <c r="X78" i="2" s="1"/>
  <c r="Y78" i="2" s="1"/>
  <c r="W654" i="2"/>
  <c r="X654" i="2" s="1"/>
  <c r="Y654" i="2" s="1"/>
  <c r="W209" i="2"/>
  <c r="X209" i="2" s="1"/>
  <c r="Y209" i="2" s="1"/>
  <c r="V31" i="2"/>
  <c r="V469" i="2"/>
  <c r="X469" i="2" s="1"/>
  <c r="Y469" i="2" s="1"/>
  <c r="X33" i="2"/>
  <c r="Y33" i="2" s="1"/>
  <c r="W239" i="2"/>
  <c r="U239" i="2"/>
  <c r="W420" i="2"/>
  <c r="P423" i="2"/>
  <c r="V197" i="2"/>
  <c r="X197" i="2" s="1"/>
  <c r="Y197" i="2" s="1"/>
  <c r="U324" i="2"/>
  <c r="U202" i="2"/>
  <c r="V28" i="2"/>
  <c r="X28" i="2" s="1"/>
  <c r="Y28" i="2" s="1"/>
  <c r="W651" i="2"/>
  <c r="X651" i="2" s="1"/>
  <c r="Y651" i="2" s="1"/>
  <c r="X74" i="2"/>
  <c r="Y74" i="2" s="1"/>
  <c r="P561" i="2"/>
  <c r="P126" i="2"/>
  <c r="V611" i="2"/>
  <c r="X611" i="2" s="1"/>
  <c r="Y611" i="2" s="1"/>
  <c r="W205" i="2"/>
  <c r="X205" i="2" s="1"/>
  <c r="Y205" i="2" s="1"/>
  <c r="X704" i="2"/>
  <c r="Y704" i="2" s="1"/>
  <c r="P237" i="2"/>
  <c r="P426" i="2"/>
  <c r="V427" i="2"/>
  <c r="X427" i="2" s="1"/>
  <c r="Y427" i="2" s="1"/>
  <c r="U128" i="2"/>
  <c r="W428" i="2"/>
  <c r="X428" i="2" s="1"/>
  <c r="Y428" i="2" s="1"/>
  <c r="U654" i="2"/>
  <c r="U372" i="2"/>
  <c r="P517" i="2"/>
  <c r="P212" i="2"/>
  <c r="V213" i="2"/>
  <c r="X213" i="2" s="1"/>
  <c r="Y213" i="2" s="1"/>
  <c r="V131" i="2"/>
  <c r="P281" i="2"/>
  <c r="U461" i="2"/>
  <c r="V699" i="2"/>
  <c r="X699" i="2" s="1"/>
  <c r="Y699" i="2" s="1"/>
  <c r="U234" i="2"/>
  <c r="V117" i="2"/>
  <c r="X117" i="2" s="1"/>
  <c r="Y117" i="2" s="1"/>
  <c r="W422" i="2"/>
  <c r="X422" i="2" s="1"/>
  <c r="Y422" i="2" s="1"/>
  <c r="W68" i="2"/>
  <c r="X68" i="2" s="1"/>
  <c r="Y68" i="2" s="1"/>
  <c r="X282" i="2"/>
  <c r="Y282" i="2" s="1"/>
  <c r="X198" i="2"/>
  <c r="Y198" i="2" s="1"/>
  <c r="X556" i="2"/>
  <c r="Y556" i="2" s="1"/>
  <c r="W557" i="2"/>
  <c r="X557" i="2" s="1"/>
  <c r="Y557" i="2" s="1"/>
  <c r="V199" i="2"/>
  <c r="X199" i="2" s="1"/>
  <c r="Y199" i="2" s="1"/>
  <c r="X700" i="2"/>
  <c r="Y700" i="2" s="1"/>
  <c r="X604" i="2"/>
  <c r="Y604" i="2" s="1"/>
  <c r="W119" i="2"/>
  <c r="X119" i="2" s="1"/>
  <c r="Y119" i="2" s="1"/>
  <c r="V513" i="2"/>
  <c r="X513" i="2" s="1"/>
  <c r="Y513" i="2" s="1"/>
  <c r="X605" i="2"/>
  <c r="Y605" i="2" s="1"/>
  <c r="V69" i="2"/>
  <c r="X323" i="2"/>
  <c r="Y323" i="2" s="1"/>
  <c r="W284" i="2"/>
  <c r="X284" i="2" s="1"/>
  <c r="Y284" i="2" s="1"/>
  <c r="X606" i="2"/>
  <c r="Y606" i="2" s="1"/>
  <c r="X285" i="2"/>
  <c r="Y285" i="2" s="1"/>
  <c r="V70" i="2"/>
  <c r="X25" i="2"/>
  <c r="Y25" i="2" s="1"/>
  <c r="W514" i="2"/>
  <c r="X514" i="2" s="1"/>
  <c r="Y514" i="2" s="1"/>
  <c r="X465" i="2"/>
  <c r="Y465" i="2" s="1"/>
  <c r="W125" i="2"/>
  <c r="X325" i="2"/>
  <c r="Y325" i="2" s="1"/>
  <c r="W652" i="2"/>
  <c r="X652" i="2" s="1"/>
  <c r="Y652" i="2" s="1"/>
  <c r="W561" i="2"/>
  <c r="X561" i="2" s="1"/>
  <c r="Y561" i="2" s="1"/>
  <c r="W236" i="2"/>
  <c r="X236" i="2" s="1"/>
  <c r="Y236" i="2" s="1"/>
  <c r="X612" i="2"/>
  <c r="Y612" i="2" s="1"/>
  <c r="W371" i="2"/>
  <c r="X371" i="2" s="1"/>
  <c r="Y371" i="2" s="1"/>
  <c r="W237" i="2"/>
  <c r="X237" i="2" s="1"/>
  <c r="Y237" i="2" s="1"/>
  <c r="W238" i="2"/>
  <c r="X238" i="2" s="1"/>
  <c r="Y238" i="2" s="1"/>
  <c r="V208" i="2"/>
  <c r="X208" i="2" s="1"/>
  <c r="Y208" i="2" s="1"/>
  <c r="X326" i="2"/>
  <c r="Y326" i="2" s="1"/>
  <c r="V653" i="2"/>
  <c r="X653" i="2" s="1"/>
  <c r="Y653" i="2" s="1"/>
  <c r="X516" i="2"/>
  <c r="Y516" i="2" s="1"/>
  <c r="U78" i="2"/>
  <c r="W517" i="2"/>
  <c r="X517" i="2" s="1"/>
  <c r="Y517" i="2" s="1"/>
  <c r="W289" i="2"/>
  <c r="X289" i="2" s="1"/>
  <c r="Y289" i="2" s="1"/>
  <c r="P656" i="2"/>
  <c r="W656" i="2"/>
  <c r="X657" i="2"/>
  <c r="Y657" i="2" s="1"/>
  <c r="X239" i="2"/>
  <c r="Y239" i="2" s="1"/>
  <c r="P512" i="2"/>
  <c r="P555" i="2"/>
  <c r="W555" i="2"/>
  <c r="X555" i="2" s="1"/>
  <c r="Y555" i="2" s="1"/>
  <c r="P557" i="2"/>
  <c r="P119" i="2"/>
  <c r="X607" i="2"/>
  <c r="Y607" i="2" s="1"/>
  <c r="X121" i="2"/>
  <c r="Y121" i="2" s="1"/>
  <c r="X27" i="2"/>
  <c r="Y27" i="2" s="1"/>
  <c r="V122" i="2"/>
  <c r="X122" i="2" s="1"/>
  <c r="Y122" i="2" s="1"/>
  <c r="W286" i="2"/>
  <c r="X286" i="2" s="1"/>
  <c r="Y286" i="2" s="1"/>
  <c r="X202" i="2"/>
  <c r="Y202" i="2" s="1"/>
  <c r="W124" i="2"/>
  <c r="W702" i="2"/>
  <c r="X702" i="2" s="1"/>
  <c r="Y702" i="2" s="1"/>
  <c r="W203" i="2"/>
  <c r="X203" i="2" s="1"/>
  <c r="Y203" i="2" s="1"/>
  <c r="W72" i="2"/>
  <c r="X72" i="2" s="1"/>
  <c r="Y72" i="2" s="1"/>
  <c r="X424" i="2"/>
  <c r="Y424" i="2" s="1"/>
  <c r="X466" i="2"/>
  <c r="Y466" i="2" s="1"/>
  <c r="X204" i="2"/>
  <c r="Y204" i="2" s="1"/>
  <c r="U561" i="2"/>
  <c r="W127" i="2"/>
  <c r="X127" i="2" s="1"/>
  <c r="Y127" i="2" s="1"/>
  <c r="X29" i="2"/>
  <c r="Y29" i="2" s="1"/>
  <c r="X206" i="2"/>
  <c r="Y206" i="2" s="1"/>
  <c r="X703" i="2"/>
  <c r="Y703" i="2" s="1"/>
  <c r="U237" i="2"/>
  <c r="W77" i="2"/>
  <c r="X77" i="2" s="1"/>
  <c r="Y77" i="2" s="1"/>
  <c r="X372" i="2"/>
  <c r="Y372" i="2" s="1"/>
  <c r="W31" i="2"/>
  <c r="U517" i="2"/>
  <c r="U656" i="2"/>
  <c r="V429" i="2"/>
  <c r="X429" i="2" s="1"/>
  <c r="Y429" i="2" s="1"/>
  <c r="X708" i="2"/>
  <c r="Y708" i="2" s="1"/>
  <c r="W646" i="2"/>
  <c r="X646" i="2" s="1"/>
  <c r="Y646" i="2" s="1"/>
  <c r="W366" i="2"/>
  <c r="W549" i="2"/>
  <c r="X549" i="2" s="1"/>
  <c r="Y549" i="2" s="1"/>
  <c r="W60" i="2"/>
  <c r="W187" i="2"/>
  <c r="X187" i="2" s="1"/>
  <c r="Y187" i="2" s="1"/>
  <c r="W510" i="2"/>
  <c r="W551" i="2"/>
  <c r="X551" i="2" s="1"/>
  <c r="Y551" i="2" s="1"/>
  <c r="W417" i="2"/>
  <c r="W697" i="2"/>
  <c r="X697" i="2" s="1"/>
  <c r="Y697" i="2" s="1"/>
  <c r="W320" i="2"/>
  <c r="W554" i="2"/>
  <c r="X554" i="2" s="1"/>
  <c r="Y554" i="2" s="1"/>
  <c r="W22" i="2"/>
  <c r="X22" i="2" s="1"/>
  <c r="Y22" i="2" s="1"/>
  <c r="P648" i="2"/>
  <c r="U512" i="2"/>
  <c r="W196" i="2"/>
  <c r="X196" i="2" s="1"/>
  <c r="Y196" i="2" s="1"/>
  <c r="U555" i="2"/>
  <c r="W197" i="2"/>
  <c r="P282" i="2"/>
  <c r="U557" i="2"/>
  <c r="P700" i="2"/>
  <c r="P118" i="2"/>
  <c r="U119" i="2"/>
  <c r="P605" i="2"/>
  <c r="P69" i="2"/>
  <c r="U284" i="2"/>
  <c r="P285" i="2"/>
  <c r="P70" i="2"/>
  <c r="U514" i="2"/>
  <c r="U286" i="2"/>
  <c r="W123" i="2"/>
  <c r="X123" i="2" s="1"/>
  <c r="Y123" i="2" s="1"/>
  <c r="U702" i="2"/>
  <c r="U125" i="2"/>
  <c r="V288" i="2"/>
  <c r="X288" i="2" s="1"/>
  <c r="Y288" i="2" s="1"/>
  <c r="U652" i="2"/>
  <c r="U236" i="2"/>
  <c r="V467" i="2"/>
  <c r="X467" i="2" s="1"/>
  <c r="Y467" i="2" s="1"/>
  <c r="U371" i="2"/>
  <c r="P326" i="2"/>
  <c r="P653" i="2"/>
  <c r="V130" i="2"/>
  <c r="X130" i="2" s="1"/>
  <c r="Y130" i="2" s="1"/>
  <c r="U77" i="2"/>
  <c r="W468" i="2"/>
  <c r="X468" i="2" s="1"/>
  <c r="Y468" i="2" s="1"/>
  <c r="U31" i="2"/>
  <c r="P421" i="2"/>
  <c r="U196" i="2"/>
  <c r="P23" i="2"/>
  <c r="X423" i="2"/>
  <c r="Y423" i="2" s="1"/>
  <c r="P198" i="2"/>
  <c r="W198" i="2"/>
  <c r="W118" i="2"/>
  <c r="X118" i="2" s="1"/>
  <c r="Y118" i="2" s="1"/>
  <c r="W69" i="2"/>
  <c r="X558" i="2"/>
  <c r="Y558" i="2" s="1"/>
  <c r="W70" i="2"/>
  <c r="X324" i="2"/>
  <c r="Y324" i="2" s="1"/>
  <c r="W515" i="2"/>
  <c r="X515" i="2" s="1"/>
  <c r="Y515" i="2" s="1"/>
  <c r="W207" i="2"/>
  <c r="X207" i="2" s="1"/>
  <c r="Y207" i="2" s="1"/>
  <c r="W131" i="2"/>
  <c r="W613" i="2"/>
  <c r="U613" i="2"/>
  <c r="W290" i="2"/>
  <c r="P290" i="2"/>
  <c r="P84" i="2"/>
  <c r="W84" i="2"/>
  <c r="P462" i="2"/>
  <c r="X201" i="2"/>
  <c r="Y201" i="2" s="1"/>
  <c r="U123" i="2"/>
  <c r="X125" i="2"/>
  <c r="Y125" i="2" s="1"/>
  <c r="U515" i="2"/>
  <c r="U207" i="2"/>
  <c r="U468" i="2"/>
  <c r="P603" i="2"/>
  <c r="P24" i="2"/>
  <c r="P200" i="2"/>
  <c r="P559" i="2"/>
  <c r="P286" i="2"/>
  <c r="P608" i="2"/>
  <c r="P651" i="2"/>
  <c r="P515" i="2"/>
  <c r="P205" i="2"/>
  <c r="P207" i="2"/>
  <c r="P128" i="2"/>
  <c r="P77" i="2"/>
  <c r="P210" i="2"/>
  <c r="P33" i="2"/>
  <c r="U707" i="2"/>
  <c r="W83" i="2"/>
  <c r="W470" i="2"/>
  <c r="U615" i="2"/>
  <c r="P85" i="2"/>
  <c r="W85" i="2"/>
  <c r="X85" i="2" s="1"/>
  <c r="Y85" i="2" s="1"/>
  <c r="P433" i="2"/>
  <c r="P472" i="2"/>
  <c r="V435" i="2"/>
  <c r="X661" i="2"/>
  <c r="Y661" i="2" s="1"/>
  <c r="W35" i="2"/>
  <c r="P35" i="2"/>
  <c r="X37" i="2"/>
  <c r="Y37" i="2" s="1"/>
  <c r="W244" i="2"/>
  <c r="X244" i="2" s="1"/>
  <c r="Y244" i="2" s="1"/>
  <c r="P244" i="2"/>
  <c r="X658" i="2"/>
  <c r="Y658" i="2" s="1"/>
  <c r="P80" i="2"/>
  <c r="P519" i="2"/>
  <c r="U660" i="2"/>
  <c r="U470" i="2"/>
  <c r="P564" i="2"/>
  <c r="W432" i="2"/>
  <c r="X432" i="2" s="1"/>
  <c r="Y432" i="2" s="1"/>
  <c r="P432" i="2"/>
  <c r="U131" i="2"/>
  <c r="V81" i="2"/>
  <c r="W81" i="2"/>
  <c r="X83" i="2"/>
  <c r="Y83" i="2" s="1"/>
  <c r="X615" i="2"/>
  <c r="Y615" i="2" s="1"/>
  <c r="P434" i="2"/>
  <c r="W434" i="2"/>
  <c r="X434" i="2" s="1"/>
  <c r="Y434" i="2" s="1"/>
  <c r="W568" i="2"/>
  <c r="P568" i="2"/>
  <c r="P82" i="2"/>
  <c r="V706" i="2"/>
  <c r="X706" i="2" s="1"/>
  <c r="Y706" i="2" s="1"/>
  <c r="W34" i="2"/>
  <c r="X34" i="2" s="1"/>
  <c r="Y34" i="2" s="1"/>
  <c r="P214" i="2"/>
  <c r="V562" i="2"/>
  <c r="X562" i="2" s="1"/>
  <c r="Y562" i="2" s="1"/>
  <c r="V659" i="2"/>
  <c r="X659" i="2" s="1"/>
  <c r="Y659" i="2" s="1"/>
  <c r="X328" i="2"/>
  <c r="Y328" i="2" s="1"/>
  <c r="X471" i="2"/>
  <c r="Y471" i="2" s="1"/>
  <c r="W374" i="2"/>
  <c r="X374" i="2" s="1"/>
  <c r="Y374" i="2" s="1"/>
  <c r="P241" i="2"/>
  <c r="W435" i="2"/>
  <c r="P435" i="2"/>
  <c r="W375" i="2"/>
  <c r="X375" i="2" s="1"/>
  <c r="Y375" i="2" s="1"/>
  <c r="W616" i="2"/>
  <c r="X616" i="2" s="1"/>
  <c r="Y616" i="2" s="1"/>
  <c r="W565" i="2"/>
  <c r="V376" i="2"/>
  <c r="X376" i="2" s="1"/>
  <c r="Y376" i="2" s="1"/>
  <c r="W650" i="2"/>
  <c r="W283" i="2"/>
  <c r="W464" i="2"/>
  <c r="U80" i="2"/>
  <c r="U82" i="2"/>
  <c r="U519" i="2"/>
  <c r="P328" i="2"/>
  <c r="P132" i="2"/>
  <c r="V290" i="2"/>
  <c r="X290" i="2" s="1"/>
  <c r="Y290" i="2" s="1"/>
  <c r="X84" i="2"/>
  <c r="Y84" i="2" s="1"/>
  <c r="V472" i="2"/>
  <c r="X472" i="2" s="1"/>
  <c r="Y472" i="2" s="1"/>
  <c r="W473" i="2"/>
  <c r="X473" i="2" s="1"/>
  <c r="Y473" i="2" s="1"/>
  <c r="W241" i="2"/>
  <c r="X241" i="2" s="1"/>
  <c r="Y241" i="2" s="1"/>
  <c r="U565" i="2"/>
  <c r="P474" i="2"/>
  <c r="W474" i="2"/>
  <c r="X474" i="2" s="1"/>
  <c r="Y474" i="2" s="1"/>
  <c r="X36" i="2"/>
  <c r="Y36" i="2" s="1"/>
  <c r="V79" i="2"/>
  <c r="X79" i="2" s="1"/>
  <c r="Y79" i="2" s="1"/>
  <c r="V613" i="2"/>
  <c r="P659" i="2"/>
  <c r="W327" i="2"/>
  <c r="X327" i="2" s="1"/>
  <c r="Y327" i="2" s="1"/>
  <c r="P327" i="2"/>
  <c r="W328" i="2"/>
  <c r="W132" i="2"/>
  <c r="X132" i="2" s="1"/>
  <c r="Y132" i="2" s="1"/>
  <c r="V470" i="2"/>
  <c r="X563" i="2"/>
  <c r="Y563" i="2" s="1"/>
  <c r="X86" i="2"/>
  <c r="Y86" i="2" s="1"/>
  <c r="U374" i="2"/>
  <c r="U241" i="2"/>
  <c r="W520" i="2"/>
  <c r="X520" i="2" s="1"/>
  <c r="Y520" i="2" s="1"/>
  <c r="P376" i="2"/>
  <c r="W377" i="2"/>
  <c r="X377" i="2" s="1"/>
  <c r="Y377" i="2" s="1"/>
  <c r="P377" i="2"/>
  <c r="W133" i="2"/>
  <c r="X133" i="2" s="1"/>
  <c r="Y133" i="2" s="1"/>
  <c r="W242" i="2"/>
  <c r="X242" i="2" s="1"/>
  <c r="Y242" i="2" s="1"/>
  <c r="P617" i="2"/>
  <c r="W617" i="2"/>
  <c r="X617" i="2" s="1"/>
  <c r="Y617" i="2" s="1"/>
  <c r="V80" i="2"/>
  <c r="X80" i="2" s="1"/>
  <c r="Y80" i="2" s="1"/>
  <c r="P707" i="2"/>
  <c r="V519" i="2"/>
  <c r="X519" i="2" s="1"/>
  <c r="Y519" i="2" s="1"/>
  <c r="U132" i="2"/>
  <c r="P614" i="2"/>
  <c r="W614" i="2"/>
  <c r="X614" i="2" s="1"/>
  <c r="Y614" i="2" s="1"/>
  <c r="P563" i="2"/>
  <c r="P615" i="2"/>
  <c r="V565" i="2"/>
  <c r="P522" i="2"/>
  <c r="W522" i="2"/>
  <c r="X522" i="2" s="1"/>
  <c r="Y522" i="2" s="1"/>
  <c r="W662" i="2"/>
  <c r="P662" i="2"/>
  <c r="V35" i="2"/>
  <c r="V216" i="2"/>
  <c r="P476" i="2"/>
  <c r="W476" i="2"/>
  <c r="X476" i="2" s="1"/>
  <c r="Y476" i="2" s="1"/>
  <c r="W88" i="2"/>
  <c r="U135" i="2"/>
  <c r="X437" i="2"/>
  <c r="Y437" i="2" s="1"/>
  <c r="X380" i="2"/>
  <c r="Y380" i="2" s="1"/>
  <c r="W38" i="2"/>
  <c r="U477" i="2"/>
  <c r="W136" i="2"/>
  <c r="W137" i="2"/>
  <c r="X137" i="2" s="1"/>
  <c r="Y137" i="2" s="1"/>
  <c r="P478" i="2"/>
  <c r="V620" i="2"/>
  <c r="X620" i="2" s="1"/>
  <c r="Y620" i="2" s="1"/>
  <c r="P528" i="2"/>
  <c r="V529" i="2"/>
  <c r="X529" i="2" s="1"/>
  <c r="Y529" i="2" s="1"/>
  <c r="W669" i="2"/>
  <c r="X669" i="2" s="1"/>
  <c r="Y669" i="2" s="1"/>
  <c r="P669" i="2"/>
  <c r="W110" i="2"/>
  <c r="X110" i="2" s="1"/>
  <c r="P110" i="2"/>
  <c r="W224" i="2"/>
  <c r="P224" i="2"/>
  <c r="W312" i="2"/>
  <c r="P312" i="2"/>
  <c r="W497" i="2"/>
  <c r="X497" i="2" s="1"/>
  <c r="P497" i="2"/>
  <c r="W639" i="2"/>
  <c r="P639" i="2"/>
  <c r="V499" i="2"/>
  <c r="P619" i="2"/>
  <c r="U243" i="2"/>
  <c r="W436" i="2"/>
  <c r="X436" i="2" s="1"/>
  <c r="Y436" i="2" s="1"/>
  <c r="U476" i="2"/>
  <c r="U88" i="2"/>
  <c r="W566" i="2"/>
  <c r="X566" i="2" s="1"/>
  <c r="Y566" i="2" s="1"/>
  <c r="P526" i="2"/>
  <c r="U90" i="2"/>
  <c r="U38" i="2"/>
  <c r="V667" i="2"/>
  <c r="P91" i="2"/>
  <c r="W91" i="2"/>
  <c r="P567" i="2"/>
  <c r="P621" i="2"/>
  <c r="P392" i="2"/>
  <c r="V392" i="2"/>
  <c r="X392" i="2" s="1"/>
  <c r="Y392" i="2" s="1"/>
  <c r="U523" i="2"/>
  <c r="V662" i="2"/>
  <c r="U134" i="2"/>
  <c r="P709" i="2"/>
  <c r="X711" i="2"/>
  <c r="Y711" i="2" s="1"/>
  <c r="X386" i="2"/>
  <c r="Y386" i="2" s="1"/>
  <c r="W524" i="2"/>
  <c r="X524" i="2" s="1"/>
  <c r="Y524" i="2" s="1"/>
  <c r="X136" i="2"/>
  <c r="Y136" i="2" s="1"/>
  <c r="P666" i="2"/>
  <c r="W666" i="2"/>
  <c r="X666" i="2" s="1"/>
  <c r="Y666" i="2" s="1"/>
  <c r="W217" i="2"/>
  <c r="U217" i="2"/>
  <c r="W713" i="2"/>
  <c r="X713" i="2" s="1"/>
  <c r="Y713" i="2" s="1"/>
  <c r="P713" i="2"/>
  <c r="P525" i="2"/>
  <c r="U617" i="2"/>
  <c r="W499" i="2"/>
  <c r="W216" i="2"/>
  <c r="P663" i="2"/>
  <c r="W664" i="2"/>
  <c r="X664" i="2" s="1"/>
  <c r="Y664" i="2" s="1"/>
  <c r="X665" i="2"/>
  <c r="Y665" i="2" s="1"/>
  <c r="W710" i="2"/>
  <c r="U666" i="2"/>
  <c r="W667" i="2"/>
  <c r="W620" i="2"/>
  <c r="P527" i="2"/>
  <c r="V567" i="2"/>
  <c r="X567" i="2" s="1"/>
  <c r="Y567" i="2" s="1"/>
  <c r="W572" i="2"/>
  <c r="P572" i="2"/>
  <c r="V379" i="2"/>
  <c r="X379" i="2" s="1"/>
  <c r="Y379" i="2" s="1"/>
  <c r="V134" i="2"/>
  <c r="X134" i="2" s="1"/>
  <c r="Y134" i="2" s="1"/>
  <c r="V619" i="2"/>
  <c r="X619" i="2" s="1"/>
  <c r="Y619" i="2" s="1"/>
  <c r="X91" i="2"/>
  <c r="Y91" i="2" s="1"/>
  <c r="X40" i="2"/>
  <c r="Y40" i="2" s="1"/>
  <c r="P717" i="2"/>
  <c r="W717" i="2"/>
  <c r="X717" i="2" s="1"/>
  <c r="Y717" i="2" s="1"/>
  <c r="X43" i="2"/>
  <c r="Y43" i="2" s="1"/>
  <c r="X483" i="2"/>
  <c r="Y483" i="2" s="1"/>
  <c r="W215" i="2"/>
  <c r="X215" i="2" s="1"/>
  <c r="Y215" i="2" s="1"/>
  <c r="W475" i="2"/>
  <c r="X475" i="2" s="1"/>
  <c r="Y475" i="2" s="1"/>
  <c r="W243" i="2"/>
  <c r="X243" i="2" s="1"/>
  <c r="Y243" i="2" s="1"/>
  <c r="P135" i="2"/>
  <c r="W135" i="2"/>
  <c r="X135" i="2" s="1"/>
  <c r="Y135" i="2" s="1"/>
  <c r="W90" i="2"/>
  <c r="X90" i="2" s="1"/>
  <c r="Y90" i="2" s="1"/>
  <c r="P477" i="2"/>
  <c r="W477" i="2"/>
  <c r="X477" i="2" s="1"/>
  <c r="Y477" i="2" s="1"/>
  <c r="V329" i="2"/>
  <c r="X621" i="2"/>
  <c r="Y621" i="2" s="1"/>
  <c r="V92" i="2"/>
  <c r="X92" i="2" s="1"/>
  <c r="Y92" i="2" s="1"/>
  <c r="U92" i="2"/>
  <c r="P711" i="2"/>
  <c r="P251" i="2"/>
  <c r="W251" i="2"/>
  <c r="X251" i="2" s="1"/>
  <c r="Y251" i="2" s="1"/>
  <c r="P41" i="2"/>
  <c r="V670" i="2"/>
  <c r="X670" i="2" s="1"/>
  <c r="Y670" i="2" s="1"/>
  <c r="X382" i="2"/>
  <c r="Y382" i="2" s="1"/>
  <c r="W569" i="2"/>
  <c r="X569" i="2" s="1"/>
  <c r="Y569" i="2" s="1"/>
  <c r="X480" i="2"/>
  <c r="Y480" i="2" s="1"/>
  <c r="W715" i="2"/>
  <c r="X715" i="2" s="1"/>
  <c r="Y715" i="2" s="1"/>
  <c r="X671" i="2"/>
  <c r="Y671" i="2" s="1"/>
  <c r="P37" i="2"/>
  <c r="P437" i="2"/>
  <c r="V479" i="2"/>
  <c r="X479" i="2" s="1"/>
  <c r="Y479" i="2" s="1"/>
  <c r="V438" i="2"/>
  <c r="V248" i="2"/>
  <c r="X248" i="2" s="1"/>
  <c r="Y248" i="2" s="1"/>
  <c r="V714" i="2"/>
  <c r="X714" i="2" s="1"/>
  <c r="Y714" i="2" s="1"/>
  <c r="W383" i="2"/>
  <c r="X383" i="2" s="1"/>
  <c r="Y383" i="2" s="1"/>
  <c r="V673" i="2"/>
  <c r="P674" i="2"/>
  <c r="W623" i="2"/>
  <c r="V385" i="2"/>
  <c r="P218" i="2"/>
  <c r="V624" i="2"/>
  <c r="V532" i="2"/>
  <c r="P574" i="2"/>
  <c r="V574" i="2"/>
  <c r="X574" i="2" s="1"/>
  <c r="Y574" i="2" s="1"/>
  <c r="V88" i="2"/>
  <c r="V38" i="2"/>
  <c r="X38" i="2" s="1"/>
  <c r="Y38" i="2" s="1"/>
  <c r="V710" i="2"/>
  <c r="V39" i="2"/>
  <c r="X39" i="2" s="1"/>
  <c r="Y39" i="2" s="1"/>
  <c r="V138" i="2"/>
  <c r="X138" i="2" s="1"/>
  <c r="Y138" i="2" s="1"/>
  <c r="X217" i="2"/>
  <c r="Y217" i="2" s="1"/>
  <c r="P93" i="2"/>
  <c r="W93" i="2"/>
  <c r="X93" i="2" s="1"/>
  <c r="Y93" i="2" s="1"/>
  <c r="P622" i="2"/>
  <c r="W622" i="2"/>
  <c r="X672" i="2"/>
  <c r="Y672" i="2" s="1"/>
  <c r="W674" i="2"/>
  <c r="X674" i="2" s="1"/>
  <c r="Y674" i="2" s="1"/>
  <c r="P97" i="2"/>
  <c r="W97" i="2"/>
  <c r="X97" i="2" s="1"/>
  <c r="Y97" i="2" s="1"/>
  <c r="X250" i="2"/>
  <c r="Y250" i="2" s="1"/>
  <c r="X570" i="2"/>
  <c r="Y570" i="2" s="1"/>
  <c r="W218" i="2"/>
  <c r="X218" i="2" s="1"/>
  <c r="Y218" i="2" s="1"/>
  <c r="P386" i="2"/>
  <c r="W386" i="2"/>
  <c r="X387" i="2"/>
  <c r="Y387" i="2" s="1"/>
  <c r="X144" i="2"/>
  <c r="Y144" i="2" s="1"/>
  <c r="V625" i="2"/>
  <c r="X625" i="2" s="1"/>
  <c r="Y625" i="2" s="1"/>
  <c r="U41" i="2"/>
  <c r="P670" i="2"/>
  <c r="P530" i="2"/>
  <c r="U93" i="2"/>
  <c r="W438" i="2"/>
  <c r="V94" i="2"/>
  <c r="X94" i="2" s="1"/>
  <c r="Y94" i="2" s="1"/>
  <c r="U622" i="2"/>
  <c r="V95" i="2"/>
  <c r="X95" i="2" s="1"/>
  <c r="Y95" i="2" s="1"/>
  <c r="P671" i="2"/>
  <c r="V139" i="2"/>
  <c r="V718" i="2"/>
  <c r="X718" i="2" s="1"/>
  <c r="Y718" i="2" s="1"/>
  <c r="W96" i="2"/>
  <c r="X96" i="2" s="1"/>
  <c r="Y96" i="2" s="1"/>
  <c r="P673" i="2"/>
  <c r="W673" i="2"/>
  <c r="U674" i="2"/>
  <c r="V384" i="2"/>
  <c r="V141" i="2"/>
  <c r="X141" i="2" s="1"/>
  <c r="Y141" i="2" s="1"/>
  <c r="W291" i="2"/>
  <c r="P385" i="2"/>
  <c r="W385" i="2"/>
  <c r="U218" i="2"/>
  <c r="X46" i="2"/>
  <c r="Y46" i="2" s="1"/>
  <c r="W245" i="2"/>
  <c r="X245" i="2" s="1"/>
  <c r="Y245" i="2" s="1"/>
  <c r="W329" i="2"/>
  <c r="P529" i="2"/>
  <c r="W530" i="2"/>
  <c r="X530" i="2" s="1"/>
  <c r="Y530" i="2" s="1"/>
  <c r="X568" i="2"/>
  <c r="Y568" i="2" s="1"/>
  <c r="P249" i="2"/>
  <c r="P145" i="2"/>
  <c r="U530" i="2"/>
  <c r="W439" i="2"/>
  <c r="X439" i="2" s="1"/>
  <c r="Y439" i="2" s="1"/>
  <c r="W43" i="2"/>
  <c r="W143" i="2"/>
  <c r="P44" i="2"/>
  <c r="W44" i="2"/>
  <c r="W145" i="2"/>
  <c r="X145" i="2" s="1"/>
  <c r="Y145" i="2" s="1"/>
  <c r="P45" i="2"/>
  <c r="W45" i="2"/>
  <c r="X45" i="2" s="1"/>
  <c r="Y45" i="2" s="1"/>
  <c r="P630" i="2"/>
  <c r="V630" i="2"/>
  <c r="X630" i="2" s="1"/>
  <c r="Y630" i="2" s="1"/>
  <c r="W247" i="2"/>
  <c r="X247" i="2" s="1"/>
  <c r="Y247" i="2" s="1"/>
  <c r="P569" i="2"/>
  <c r="V622" i="2"/>
  <c r="X622" i="2" s="1"/>
  <c r="Y622" i="2" s="1"/>
  <c r="U249" i="2"/>
  <c r="P715" i="2"/>
  <c r="U439" i="2"/>
  <c r="P672" i="2"/>
  <c r="W42" i="2"/>
  <c r="X42" i="2" s="1"/>
  <c r="Y42" i="2" s="1"/>
  <c r="P139" i="2"/>
  <c r="W139" i="2"/>
  <c r="U43" i="2"/>
  <c r="P570" i="2"/>
  <c r="W331" i="2"/>
  <c r="X331" i="2" s="1"/>
  <c r="Y331" i="2" s="1"/>
  <c r="P384" i="2"/>
  <c r="W384" i="2"/>
  <c r="X291" i="2"/>
  <c r="Y291" i="2" s="1"/>
  <c r="X623" i="2"/>
  <c r="Y623" i="2" s="1"/>
  <c r="U143" i="2"/>
  <c r="P144" i="2"/>
  <c r="U145" i="2"/>
  <c r="W481" i="2"/>
  <c r="X481" i="2" s="1"/>
  <c r="Y481" i="2" s="1"/>
  <c r="X572" i="2"/>
  <c r="Y572" i="2" s="1"/>
  <c r="P627" i="2"/>
  <c r="V627" i="2"/>
  <c r="X627" i="2" s="1"/>
  <c r="Y627" i="2" s="1"/>
  <c r="P439" i="2"/>
  <c r="P440" i="2"/>
  <c r="P43" i="2"/>
  <c r="P332" i="2"/>
  <c r="P143" i="2"/>
  <c r="U144" i="2"/>
  <c r="V44" i="2"/>
  <c r="U333" i="2"/>
  <c r="P219" i="2"/>
  <c r="P46" i="2"/>
  <c r="P252" i="2"/>
  <c r="P98" i="2"/>
  <c r="W533" i="2"/>
  <c r="X533" i="2" s="1"/>
  <c r="Y533" i="2" s="1"/>
  <c r="V576" i="2"/>
  <c r="X576" i="2" s="1"/>
  <c r="Y576" i="2" s="1"/>
  <c r="P100" i="2"/>
  <c r="W100" i="2"/>
  <c r="P534" i="2"/>
  <c r="P677" i="2"/>
  <c r="W677" i="2"/>
  <c r="P721" i="2"/>
  <c r="P48" i="2"/>
  <c r="W48" i="2"/>
  <c r="X345" i="2"/>
  <c r="Y345" i="2" s="1"/>
  <c r="V573" i="2"/>
  <c r="W104" i="2"/>
  <c r="P104" i="2"/>
  <c r="W624" i="2"/>
  <c r="W573" i="2"/>
  <c r="W482" i="2"/>
  <c r="U627" i="2"/>
  <c r="V335" i="2"/>
  <c r="X335" i="2" s="1"/>
  <c r="Y335" i="2" s="1"/>
  <c r="P576" i="2"/>
  <c r="W576" i="2"/>
  <c r="P628" i="2"/>
  <c r="W628" i="2"/>
  <c r="X628" i="2" s="1"/>
  <c r="Y628" i="2" s="1"/>
  <c r="P338" i="2"/>
  <c r="W338" i="2"/>
  <c r="X155" i="2"/>
  <c r="Y155" i="2" s="1"/>
  <c r="P624" i="2"/>
  <c r="P481" i="2"/>
  <c r="P482" i="2"/>
  <c r="W441" i="2"/>
  <c r="X441" i="2" s="1"/>
  <c r="Y441" i="2" s="1"/>
  <c r="W485" i="2"/>
  <c r="X485" i="2" s="1"/>
  <c r="Y485" i="2" s="1"/>
  <c r="V486" i="2"/>
  <c r="X720" i="2"/>
  <c r="Y720" i="2" s="1"/>
  <c r="U628" i="2"/>
  <c r="W253" i="2"/>
  <c r="X253" i="2" s="1"/>
  <c r="Y253" i="2" s="1"/>
  <c r="V254" i="2"/>
  <c r="X722" i="2"/>
  <c r="Y722" i="2" s="1"/>
  <c r="W716" i="2"/>
  <c r="X716" i="2" s="1"/>
  <c r="Y716" i="2" s="1"/>
  <c r="W140" i="2"/>
  <c r="X140" i="2" s="1"/>
  <c r="Y140" i="2" s="1"/>
  <c r="W571" i="2"/>
  <c r="X571" i="2" s="1"/>
  <c r="Y571" i="2" s="1"/>
  <c r="W292" i="2"/>
  <c r="X292" i="2" s="1"/>
  <c r="Y292" i="2" s="1"/>
  <c r="W532" i="2"/>
  <c r="W483" i="2"/>
  <c r="V388" i="2"/>
  <c r="P293" i="2"/>
  <c r="U487" i="2"/>
  <c r="W629" i="2"/>
  <c r="X629" i="2" s="1"/>
  <c r="Y629" i="2" s="1"/>
  <c r="P488" i="2"/>
  <c r="V391" i="2"/>
  <c r="W342" i="2"/>
  <c r="X342" i="2" s="1"/>
  <c r="Y342" i="2" s="1"/>
  <c r="P342" i="2"/>
  <c r="W626" i="2"/>
  <c r="X626" i="2" s="1"/>
  <c r="Y626" i="2" s="1"/>
  <c r="X719" i="2"/>
  <c r="Y719" i="2" s="1"/>
  <c r="X484" i="2"/>
  <c r="Y484" i="2" s="1"/>
  <c r="P486" i="2"/>
  <c r="W486" i="2"/>
  <c r="V100" i="2"/>
  <c r="X100" i="2" s="1"/>
  <c r="Y100" i="2" s="1"/>
  <c r="V482" i="2"/>
  <c r="W333" i="2"/>
  <c r="X333" i="2" s="1"/>
  <c r="Y333" i="2" s="1"/>
  <c r="V219" i="2"/>
  <c r="X219" i="2" s="1"/>
  <c r="Y219" i="2" s="1"/>
  <c r="P626" i="2"/>
  <c r="X252" i="2"/>
  <c r="Y252" i="2" s="1"/>
  <c r="P719" i="2"/>
  <c r="X98" i="2"/>
  <c r="Y98" i="2" s="1"/>
  <c r="X534" i="2"/>
  <c r="Y534" i="2" s="1"/>
  <c r="V677" i="2"/>
  <c r="X677" i="2" s="1"/>
  <c r="Y677" i="2" s="1"/>
  <c r="X721" i="2"/>
  <c r="Y721" i="2" s="1"/>
  <c r="P254" i="2"/>
  <c r="W254" i="2"/>
  <c r="W336" i="2"/>
  <c r="W577" i="2"/>
  <c r="X577" i="2" s="1"/>
  <c r="Y577" i="2" s="1"/>
  <c r="V147" i="2"/>
  <c r="X147" i="2" s="1"/>
  <c r="Y147" i="2" s="1"/>
  <c r="P148" i="2"/>
  <c r="V394" i="2"/>
  <c r="X394" i="2" s="1"/>
  <c r="Y394" i="2" s="1"/>
  <c r="U680" i="2"/>
  <c r="P221" i="2"/>
  <c r="W221" i="2"/>
  <c r="W337" i="2"/>
  <c r="U338" i="2"/>
  <c r="U153" i="2"/>
  <c r="W339" i="2"/>
  <c r="X339" i="2" s="1"/>
  <c r="Y339" i="2" s="1"/>
  <c r="P445" i="2"/>
  <c r="X536" i="2"/>
  <c r="Y536" i="2" s="1"/>
  <c r="W537" i="2"/>
  <c r="V448" i="2"/>
  <c r="W257" i="2"/>
  <c r="X257" i="2" s="1"/>
  <c r="Y257" i="2" s="1"/>
  <c r="W388" i="2"/>
  <c r="W99" i="2"/>
  <c r="X99" i="2" s="1"/>
  <c r="Y99" i="2" s="1"/>
  <c r="W391" i="2"/>
  <c r="P679" i="2"/>
  <c r="P294" i="2"/>
  <c r="U681" i="2"/>
  <c r="W723" i="2"/>
  <c r="P579" i="2"/>
  <c r="U221" i="2"/>
  <c r="U337" i="2"/>
  <c r="V157" i="2"/>
  <c r="X157" i="2" s="1"/>
  <c r="Y157" i="2" s="1"/>
  <c r="U537" i="2"/>
  <c r="W446" i="2"/>
  <c r="P348" i="2"/>
  <c r="V348" i="2"/>
  <c r="X348" i="2" s="1"/>
  <c r="Y348" i="2" s="1"/>
  <c r="W489" i="2"/>
  <c r="X489" i="2" s="1"/>
  <c r="Y489" i="2" s="1"/>
  <c r="P147" i="2"/>
  <c r="P150" i="2"/>
  <c r="X398" i="2"/>
  <c r="Y398" i="2" s="1"/>
  <c r="V158" i="2"/>
  <c r="X158" i="2" s="1"/>
  <c r="Y158" i="2" s="1"/>
  <c r="U257" i="2"/>
  <c r="P401" i="2"/>
  <c r="V401" i="2"/>
  <c r="X401" i="2" s="1"/>
  <c r="Y401" i="2" s="1"/>
  <c r="W487" i="2"/>
  <c r="X487" i="2" s="1"/>
  <c r="Y487" i="2" s="1"/>
  <c r="W294" i="2"/>
  <c r="V152" i="2"/>
  <c r="X152" i="2" s="1"/>
  <c r="Y152" i="2" s="1"/>
  <c r="X443" i="2"/>
  <c r="Y443" i="2" s="1"/>
  <c r="W632" i="2"/>
  <c r="X632" i="2" s="1"/>
  <c r="Y632" i="2" s="1"/>
  <c r="X444" i="2"/>
  <c r="Y444" i="2" s="1"/>
  <c r="X102" i="2"/>
  <c r="Y102" i="2" s="1"/>
  <c r="V222" i="2"/>
  <c r="W256" i="2"/>
  <c r="X256" i="2" s="1"/>
  <c r="Y256" i="2" s="1"/>
  <c r="P340" i="2"/>
  <c r="X341" i="2"/>
  <c r="Y341" i="2" s="1"/>
  <c r="W634" i="2"/>
  <c r="W103" i="2"/>
  <c r="X103" i="2" s="1"/>
  <c r="Y103" i="2" s="1"/>
  <c r="X446" i="2"/>
  <c r="Y446" i="2" s="1"/>
  <c r="X105" i="2"/>
  <c r="Y105" i="2" s="1"/>
  <c r="V346" i="2"/>
  <c r="X346" i="2" s="1"/>
  <c r="Y346" i="2" s="1"/>
  <c r="V159" i="2"/>
  <c r="X159" i="2" s="1"/>
  <c r="Y159" i="2" s="1"/>
  <c r="W582" i="2"/>
  <c r="P582" i="2"/>
  <c r="P636" i="2"/>
  <c r="W636" i="2"/>
  <c r="W150" i="2"/>
  <c r="X150" i="2" s="1"/>
  <c r="Y150" i="2" s="1"/>
  <c r="W151" i="2"/>
  <c r="X151" i="2" s="1"/>
  <c r="Y151" i="2" s="1"/>
  <c r="X535" i="2"/>
  <c r="Y535" i="2" s="1"/>
  <c r="X338" i="2"/>
  <c r="Y338" i="2" s="1"/>
  <c r="W156" i="2"/>
  <c r="X156" i="2" s="1"/>
  <c r="Y156" i="2" s="1"/>
  <c r="P156" i="2"/>
  <c r="X104" i="2"/>
  <c r="Y104" i="2" s="1"/>
  <c r="X48" i="2"/>
  <c r="Y48" i="2" s="1"/>
  <c r="P151" i="2"/>
  <c r="V221" i="2"/>
  <c r="X221" i="2" s="1"/>
  <c r="Y221" i="2" s="1"/>
  <c r="P444" i="2"/>
  <c r="P102" i="2"/>
  <c r="P295" i="2"/>
  <c r="W295" i="2"/>
  <c r="X295" i="2" s="1"/>
  <c r="Y295" i="2" s="1"/>
  <c r="U489" i="2"/>
  <c r="V336" i="2"/>
  <c r="V149" i="2"/>
  <c r="X149" i="2" s="1"/>
  <c r="Y149" i="2" s="1"/>
  <c r="V294" i="2"/>
  <c r="X723" i="2"/>
  <c r="Y723" i="2" s="1"/>
  <c r="X579" i="2"/>
  <c r="Y579" i="2" s="1"/>
  <c r="W220" i="2"/>
  <c r="X220" i="2" s="1"/>
  <c r="Y220" i="2" s="1"/>
  <c r="P580" i="2"/>
  <c r="P535" i="2"/>
  <c r="P222" i="2"/>
  <c r="W222" i="2"/>
  <c r="U295" i="2"/>
  <c r="P155" i="2"/>
  <c r="U448" i="2"/>
  <c r="P347" i="2"/>
  <c r="W101" i="2"/>
  <c r="X101" i="2" s="1"/>
  <c r="Y101" i="2" s="1"/>
  <c r="W397" i="2"/>
  <c r="X397" i="2" s="1"/>
  <c r="Y397" i="2" s="1"/>
  <c r="W725" i="2"/>
  <c r="X725" i="2" s="1"/>
  <c r="Y725" i="2" s="1"/>
  <c r="P538" i="2"/>
  <c r="V491" i="2"/>
  <c r="X491" i="2" s="1"/>
  <c r="Y491" i="2" s="1"/>
  <c r="P584" i="2"/>
  <c r="W584" i="2"/>
  <c r="X584" i="2" s="1"/>
  <c r="Y584" i="2" s="1"/>
  <c r="X450" i="2"/>
  <c r="Y450" i="2" s="1"/>
  <c r="W261" i="2"/>
  <c r="X261" i="2" s="1"/>
  <c r="Y261" i="2" s="1"/>
  <c r="P261" i="2"/>
  <c r="V300" i="2"/>
  <c r="V263" i="2"/>
  <c r="X637" i="2"/>
  <c r="Y637" i="2" s="1"/>
  <c r="W453" i="2"/>
  <c r="V352" i="2"/>
  <c r="P352" i="2"/>
  <c r="W726" i="2"/>
  <c r="V492" i="2"/>
  <c r="X492" i="2" s="1"/>
  <c r="Y492" i="2" s="1"/>
  <c r="U582" i="2"/>
  <c r="W583" i="2"/>
  <c r="V539" i="2"/>
  <c r="X728" i="2"/>
  <c r="Y728" i="2" s="1"/>
  <c r="V683" i="2"/>
  <c r="P107" i="2"/>
  <c r="U401" i="2"/>
  <c r="U298" i="2"/>
  <c r="U348" i="2"/>
  <c r="V164" i="2"/>
  <c r="X164" i="2" s="1"/>
  <c r="V165" i="2"/>
  <c r="X266" i="2"/>
  <c r="Y266" i="2" s="1"/>
  <c r="P303" i="2"/>
  <c r="W681" i="2"/>
  <c r="X681" i="2" s="1"/>
  <c r="Y681" i="2" s="1"/>
  <c r="W631" i="2"/>
  <c r="X631" i="2" s="1"/>
  <c r="Y631" i="2" s="1"/>
  <c r="W633" i="2"/>
  <c r="X633" i="2" s="1"/>
  <c r="Y633" i="2" s="1"/>
  <c r="U296" i="2"/>
  <c r="V347" i="2"/>
  <c r="X347" i="2" s="1"/>
  <c r="Y347" i="2" s="1"/>
  <c r="P258" i="2"/>
  <c r="U583" i="2"/>
  <c r="V400" i="2"/>
  <c r="X161" i="2"/>
  <c r="W107" i="2"/>
  <c r="X107" i="2" s="1"/>
  <c r="P450" i="2"/>
  <c r="W349" i="2"/>
  <c r="X349" i="2" s="1"/>
  <c r="Y349" i="2" s="1"/>
  <c r="X262" i="2"/>
  <c r="Y262" i="2" s="1"/>
  <c r="V301" i="2"/>
  <c r="X301" i="2" s="1"/>
  <c r="Y301" i="2" s="1"/>
  <c r="V337" i="2"/>
  <c r="X337" i="2" s="1"/>
  <c r="Y337" i="2" s="1"/>
  <c r="V490" i="2"/>
  <c r="X490" i="2" s="1"/>
  <c r="Y490" i="2" s="1"/>
  <c r="V634" i="2"/>
  <c r="X634" i="2" s="1"/>
  <c r="Y634" i="2" s="1"/>
  <c r="V537" i="2"/>
  <c r="V447" i="2"/>
  <c r="X447" i="2" s="1"/>
  <c r="Y447" i="2" s="1"/>
  <c r="W258" i="2"/>
  <c r="P492" i="2"/>
  <c r="X582" i="2"/>
  <c r="Y582" i="2" s="1"/>
  <c r="V106" i="2"/>
  <c r="X106" i="2" s="1"/>
  <c r="Y106" i="2" s="1"/>
  <c r="V635" i="2"/>
  <c r="X635" i="2" s="1"/>
  <c r="Y635" i="2" s="1"/>
  <c r="X298" i="2"/>
  <c r="Y298" i="2" s="1"/>
  <c r="P585" i="2"/>
  <c r="X260" i="2"/>
  <c r="Y260" i="2" s="1"/>
  <c r="P300" i="2"/>
  <c r="W300" i="2"/>
  <c r="W684" i="2"/>
  <c r="X684" i="2" s="1"/>
  <c r="Y684" i="2" s="1"/>
  <c r="P262" i="2"/>
  <c r="P164" i="2"/>
  <c r="P264" i="2"/>
  <c r="X451" i="2"/>
  <c r="Y451" i="2" s="1"/>
  <c r="W541" i="2"/>
  <c r="W448" i="2"/>
  <c r="U258" i="2"/>
  <c r="W727" i="2"/>
  <c r="X727" i="2" s="1"/>
  <c r="Y727" i="2" s="1"/>
  <c r="X540" i="2"/>
  <c r="Y540" i="2" s="1"/>
  <c r="V636" i="2"/>
  <c r="U349" i="2"/>
  <c r="U300" i="2"/>
  <c r="U493" i="2"/>
  <c r="P165" i="2"/>
  <c r="W165" i="2"/>
  <c r="P301" i="2"/>
  <c r="X586" i="2"/>
  <c r="Y586" i="2" s="1"/>
  <c r="P105" i="2"/>
  <c r="P400" i="2"/>
  <c r="W400" i="2"/>
  <c r="V162" i="2"/>
  <c r="X162" i="2" s="1"/>
  <c r="U684" i="2"/>
  <c r="X265" i="2"/>
  <c r="Y265" i="2" s="1"/>
  <c r="U541" i="2"/>
  <c r="X403" i="2"/>
  <c r="Y403" i="2" s="1"/>
  <c r="V726" i="2"/>
  <c r="X726" i="2" s="1"/>
  <c r="Y726" i="2" s="1"/>
  <c r="V258" i="2"/>
  <c r="X258" i="2" s="1"/>
  <c r="Y258" i="2" s="1"/>
  <c r="U727" i="2"/>
  <c r="U400" i="2"/>
  <c r="U539" i="2"/>
  <c r="W106" i="2"/>
  <c r="P297" i="2"/>
  <c r="P540" i="2"/>
  <c r="P162" i="2"/>
  <c r="W162" i="2"/>
  <c r="W259" i="2"/>
  <c r="X259" i="2" s="1"/>
  <c r="P259" i="2"/>
  <c r="W683" i="2"/>
  <c r="P49" i="2"/>
  <c r="U637" i="2"/>
  <c r="X350" i="2"/>
  <c r="Y350" i="2" s="1"/>
  <c r="W302" i="2"/>
  <c r="X302" i="2" s="1"/>
  <c r="Y302" i="2" s="1"/>
  <c r="P586" i="2"/>
  <c r="P266" i="2"/>
  <c r="V541" i="2"/>
  <c r="X541" i="2" s="1"/>
  <c r="Y541" i="2" s="1"/>
  <c r="V306" i="2"/>
  <c r="X306" i="2" s="1"/>
  <c r="Y306" i="2" s="1"/>
  <c r="X453" i="2"/>
  <c r="Y453" i="2" s="1"/>
  <c r="W352" i="2"/>
  <c r="P309" i="2"/>
  <c r="V353" i="2"/>
  <c r="W166" i="2"/>
  <c r="P166" i="2"/>
  <c r="W227" i="2"/>
  <c r="P227" i="2"/>
  <c r="X270" i="2"/>
  <c r="W355" i="2"/>
  <c r="X355" i="2" s="1"/>
  <c r="P355" i="2"/>
  <c r="W544" i="2"/>
  <c r="P544" i="2"/>
  <c r="W687" i="2"/>
  <c r="X687" i="2" s="1"/>
  <c r="P687" i="2"/>
  <c r="X735" i="2"/>
  <c r="W399" i="2"/>
  <c r="X399" i="2" s="1"/>
  <c r="W108" i="2"/>
  <c r="X108" i="2" s="1"/>
  <c r="W163" i="2"/>
  <c r="X163" i="2" s="1"/>
  <c r="V588" i="2"/>
  <c r="X588" i="2" s="1"/>
  <c r="Y588" i="2" s="1"/>
  <c r="W731" i="2"/>
  <c r="X731" i="2" s="1"/>
  <c r="Y731" i="2" s="1"/>
  <c r="W732" i="2"/>
  <c r="X732" i="2" s="1"/>
  <c r="Y732" i="2" s="1"/>
  <c r="W589" i="2"/>
  <c r="X589" i="2" s="1"/>
  <c r="Y589" i="2" s="1"/>
  <c r="P51" i="2"/>
  <c r="X109" i="2"/>
  <c r="W53" i="2"/>
  <c r="X53" i="2" s="1"/>
  <c r="P53" i="2"/>
  <c r="W169" i="2"/>
  <c r="P169" i="2"/>
  <c r="X224" i="2"/>
  <c r="W271" i="2"/>
  <c r="X271" i="2" s="1"/>
  <c r="P271" i="2"/>
  <c r="X312" i="2"/>
  <c r="W405" i="2"/>
  <c r="X405" i="2" s="1"/>
  <c r="P405" i="2"/>
  <c r="W592" i="2"/>
  <c r="P592" i="2"/>
  <c r="X639" i="2"/>
  <c r="W736" i="2"/>
  <c r="P736" i="2"/>
  <c r="V303" i="2"/>
  <c r="X303" i="2" s="1"/>
  <c r="Y303" i="2" s="1"/>
  <c r="W304" i="2"/>
  <c r="X304" i="2" s="1"/>
  <c r="Y304" i="2" s="1"/>
  <c r="U452" i="2"/>
  <c r="P588" i="2"/>
  <c r="P731" i="2"/>
  <c r="P589" i="2"/>
  <c r="P306" i="2"/>
  <c r="P638" i="2"/>
  <c r="W638" i="2"/>
  <c r="X638" i="2" s="1"/>
  <c r="U352" i="2"/>
  <c r="U309" i="2"/>
  <c r="V495" i="2"/>
  <c r="X495" i="2" s="1"/>
  <c r="X685" i="2"/>
  <c r="W111" i="2"/>
  <c r="X111" i="2" s="1"/>
  <c r="P111" i="2"/>
  <c r="X166" i="2"/>
  <c r="W225" i="2"/>
  <c r="X225" i="2" s="1"/>
  <c r="P225" i="2"/>
  <c r="X227" i="2"/>
  <c r="W313" i="2"/>
  <c r="P313" i="2"/>
  <c r="W498" i="2"/>
  <c r="P498" i="2"/>
  <c r="X544" i="2"/>
  <c r="W640" i="2"/>
  <c r="X640" i="2" s="1"/>
  <c r="P640" i="2"/>
  <c r="V583" i="2"/>
  <c r="W539" i="2"/>
  <c r="V297" i="2"/>
  <c r="X297" i="2" s="1"/>
  <c r="Y297" i="2" s="1"/>
  <c r="W493" i="2"/>
  <c r="X493" i="2" s="1"/>
  <c r="Y493" i="2" s="1"/>
  <c r="W263" i="2"/>
  <c r="W268" i="2"/>
  <c r="X268" i="2" s="1"/>
  <c r="Y268" i="2" s="1"/>
  <c r="U731" i="2"/>
  <c r="U589" i="2"/>
  <c r="W51" i="2"/>
  <c r="X51" i="2" s="1"/>
  <c r="P495" i="2"/>
  <c r="W542" i="2"/>
  <c r="P542" i="2"/>
  <c r="W167" i="2"/>
  <c r="X167" i="2" s="1"/>
  <c r="P167" i="2"/>
  <c r="X169" i="2"/>
  <c r="W228" i="2"/>
  <c r="X228" i="2" s="1"/>
  <c r="P228" i="2"/>
  <c r="W356" i="2"/>
  <c r="P356" i="2"/>
  <c r="W590" i="2"/>
  <c r="X590" i="2" s="1"/>
  <c r="P590" i="2"/>
  <c r="X592" i="2"/>
  <c r="W734" i="2"/>
  <c r="P734" i="2"/>
  <c r="X736" i="2"/>
  <c r="P265" i="2"/>
  <c r="U304" i="2"/>
  <c r="V269" i="2"/>
  <c r="X269" i="2" s="1"/>
  <c r="W54" i="2"/>
  <c r="X54" i="2" s="1"/>
  <c r="P54" i="2"/>
  <c r="W170" i="2"/>
  <c r="P170" i="2"/>
  <c r="W311" i="2"/>
  <c r="X311" i="2" s="1"/>
  <c r="P311" i="2"/>
  <c r="X313" i="2"/>
  <c r="W496" i="2"/>
  <c r="X496" i="2" s="1"/>
  <c r="P496" i="2"/>
  <c r="X498" i="2"/>
  <c r="W593" i="2"/>
  <c r="P593" i="2"/>
  <c r="W737" i="2"/>
  <c r="X737" i="2" s="1"/>
  <c r="P737" i="2"/>
  <c r="X452" i="2"/>
  <c r="Y452" i="2" s="1"/>
  <c r="W403" i="2"/>
  <c r="U453" i="2"/>
  <c r="P308" i="2"/>
  <c r="P109" i="2"/>
  <c r="W353" i="2"/>
  <c r="X542" i="2"/>
  <c r="W112" i="2"/>
  <c r="X112" i="2" s="1"/>
  <c r="P112" i="2"/>
  <c r="W226" i="2"/>
  <c r="X226" i="2" s="1"/>
  <c r="P226" i="2"/>
  <c r="W354" i="2"/>
  <c r="X354" i="2" s="1"/>
  <c r="P354" i="2"/>
  <c r="X356" i="2"/>
  <c r="W543" i="2"/>
  <c r="X543" i="2" s="1"/>
  <c r="P543" i="2"/>
  <c r="W686" i="2"/>
  <c r="X686" i="2" s="1"/>
  <c r="P686" i="2"/>
  <c r="X734" i="2"/>
  <c r="P50" i="2"/>
  <c r="X494" i="2"/>
  <c r="U732" i="2"/>
  <c r="P305" i="2"/>
  <c r="X309" i="2"/>
  <c r="Y309" i="2" s="1"/>
  <c r="U353" i="2"/>
  <c r="W52" i="2"/>
  <c r="X52" i="2" s="1"/>
  <c r="P52" i="2"/>
  <c r="W168" i="2"/>
  <c r="X168" i="2" s="1"/>
  <c r="P168" i="2"/>
  <c r="X170" i="2"/>
  <c r="W270" i="2"/>
  <c r="P270" i="2"/>
  <c r="W357" i="2"/>
  <c r="X357" i="2" s="1"/>
  <c r="P357" i="2"/>
  <c r="W591" i="2"/>
  <c r="X591" i="2" s="1"/>
  <c r="P591" i="2"/>
  <c r="X593" i="2"/>
  <c r="W735" i="2"/>
  <c r="P735" i="2"/>
  <c r="W733" i="2"/>
  <c r="X733" i="2" s="1"/>
  <c r="W486" i="1"/>
  <c r="W588" i="1"/>
  <c r="P588" i="1"/>
  <c r="U441" i="1"/>
  <c r="W533" i="1"/>
  <c r="V99" i="1"/>
  <c r="V51" i="1"/>
  <c r="V588" i="1"/>
  <c r="X588" i="1" s="1"/>
  <c r="W386" i="1"/>
  <c r="U200" i="1"/>
  <c r="W444" i="1"/>
  <c r="P590" i="1"/>
  <c r="W590" i="1"/>
  <c r="V293" i="1"/>
  <c r="X293" i="1" s="1"/>
  <c r="P293" i="1"/>
  <c r="V484" i="1"/>
  <c r="V440" i="1"/>
  <c r="X440" i="1" s="1"/>
  <c r="V333" i="1"/>
  <c r="X333" i="1" s="1"/>
  <c r="U532" i="1"/>
  <c r="W485" i="1"/>
  <c r="P145" i="1"/>
  <c r="P51" i="1"/>
  <c r="X100" i="1"/>
  <c r="W246" i="1"/>
  <c r="U294" i="1"/>
  <c r="V530" i="1"/>
  <c r="P440" i="1"/>
  <c r="V443" i="1"/>
  <c r="U253" i="1"/>
  <c r="W253" i="1"/>
  <c r="W530" i="1"/>
  <c r="X530" i="1" s="1"/>
  <c r="V289" i="1"/>
  <c r="V290" i="1"/>
  <c r="X290" i="1" s="1"/>
  <c r="V532" i="1"/>
  <c r="U485" i="1"/>
  <c r="W145" i="1"/>
  <c r="W51" i="1"/>
  <c r="V334" i="1"/>
  <c r="X486" i="1"/>
  <c r="V2" i="1"/>
  <c r="P168" i="1"/>
  <c r="W168" i="1"/>
  <c r="U108" i="1"/>
  <c r="W108" i="1"/>
  <c r="V531" i="1"/>
  <c r="P290" i="1"/>
  <c r="P486" i="1"/>
  <c r="V200" i="1"/>
  <c r="V101" i="1"/>
  <c r="X101" i="1" s="1"/>
  <c r="V387" i="1"/>
  <c r="U292" i="1"/>
  <c r="U676" i="1"/>
  <c r="W349" i="1"/>
  <c r="X349" i="1" s="1"/>
  <c r="P350" i="1"/>
  <c r="X485" i="1"/>
  <c r="U531" i="1"/>
  <c r="V441" i="1"/>
  <c r="P442" i="1"/>
  <c r="U588" i="1"/>
  <c r="U486" i="1"/>
  <c r="W443" i="1"/>
  <c r="X443" i="1" s="1"/>
  <c r="V246" i="1"/>
  <c r="U58" i="1"/>
  <c r="W58" i="1"/>
  <c r="V632" i="1"/>
  <c r="U333" i="1"/>
  <c r="W441" i="1"/>
  <c r="W532" i="1"/>
  <c r="V145" i="1"/>
  <c r="X145" i="1" s="1"/>
  <c r="V291" i="1"/>
  <c r="U295" i="1"/>
  <c r="W295" i="1"/>
  <c r="U167" i="1"/>
  <c r="P65" i="1"/>
  <c r="W65" i="1"/>
  <c r="W548" i="1"/>
  <c r="U548" i="1"/>
  <c r="U147" i="1"/>
  <c r="U677" i="1"/>
  <c r="U537" i="1"/>
  <c r="U678" i="1"/>
  <c r="V493" i="1"/>
  <c r="V390" i="1"/>
  <c r="V5" i="1"/>
  <c r="X5" i="1" s="1"/>
  <c r="V154" i="1"/>
  <c r="V6" i="1"/>
  <c r="P496" i="1"/>
  <c r="V7" i="1"/>
  <c r="P450" i="1"/>
  <c r="W451" i="1"/>
  <c r="U257" i="1"/>
  <c r="U156" i="1"/>
  <c r="W498" i="1"/>
  <c r="P59" i="1"/>
  <c r="P204" i="1"/>
  <c r="P453" i="1"/>
  <c r="V300" i="1"/>
  <c r="X300" i="1" s="1"/>
  <c r="P206" i="1"/>
  <c r="V681" i="1"/>
  <c r="V259" i="1"/>
  <c r="X259" i="1" s="1"/>
  <c r="P207" i="1"/>
  <c r="P392" i="1"/>
  <c r="W158" i="1"/>
  <c r="U394" i="1"/>
  <c r="W398" i="1"/>
  <c r="U683" i="1"/>
  <c r="U596" i="1"/>
  <c r="U598" i="1"/>
  <c r="V163" i="1"/>
  <c r="X163" i="1" s="1"/>
  <c r="V261" i="1"/>
  <c r="W686" i="1"/>
  <c r="U687" i="1"/>
  <c r="U107" i="1"/>
  <c r="P690" i="1"/>
  <c r="V403" i="1"/>
  <c r="U641" i="1"/>
  <c r="P504" i="1"/>
  <c r="P15" i="1"/>
  <c r="P66" i="1"/>
  <c r="V108" i="1"/>
  <c r="V406" i="1"/>
  <c r="U169" i="1"/>
  <c r="P110" i="1"/>
  <c r="W604" i="1"/>
  <c r="V642" i="1"/>
  <c r="P68" i="1"/>
  <c r="W68" i="1"/>
  <c r="P605" i="1"/>
  <c r="V170" i="1"/>
  <c r="X170" i="1" s="1"/>
  <c r="P170" i="1"/>
  <c r="W358" i="1"/>
  <c r="P358" i="1"/>
  <c r="U651" i="1"/>
  <c r="P705" i="1"/>
  <c r="W181" i="1"/>
  <c r="P29" i="1"/>
  <c r="V295" i="1"/>
  <c r="X295" i="1" s="1"/>
  <c r="W338" i="1"/>
  <c r="X449" i="1"/>
  <c r="V301" i="1"/>
  <c r="V303" i="1"/>
  <c r="V164" i="1"/>
  <c r="P402" i="1"/>
  <c r="U64" i="1"/>
  <c r="V404" i="1"/>
  <c r="V405" i="1"/>
  <c r="V603" i="1"/>
  <c r="U696" i="1"/>
  <c r="W266" i="1"/>
  <c r="P266" i="1"/>
  <c r="U700" i="1"/>
  <c r="P224" i="1"/>
  <c r="P184" i="1"/>
  <c r="V590" i="1"/>
  <c r="X590" i="1" s="1"/>
  <c r="U445" i="1"/>
  <c r="U489" i="1"/>
  <c r="U336" i="1"/>
  <c r="V149" i="1"/>
  <c r="V537" i="1"/>
  <c r="V678" i="1"/>
  <c r="V338" i="1"/>
  <c r="V250" i="1"/>
  <c r="V201" i="1"/>
  <c r="V389" i="1"/>
  <c r="V202" i="1"/>
  <c r="P679" i="1"/>
  <c r="W341" i="1"/>
  <c r="P448" i="1"/>
  <c r="V103" i="1"/>
  <c r="W252" i="1"/>
  <c r="P253" i="1"/>
  <c r="P254" i="1"/>
  <c r="P255" i="1"/>
  <c r="W449" i="1"/>
  <c r="U59" i="1"/>
  <c r="U300" i="1"/>
  <c r="P541" i="1"/>
  <c r="W681" i="1"/>
  <c r="U158" i="1"/>
  <c r="V636" i="1"/>
  <c r="X636" i="1" s="1"/>
  <c r="V343" i="1"/>
  <c r="V396" i="1"/>
  <c r="V160" i="1"/>
  <c r="U398" i="1"/>
  <c r="U210" i="1"/>
  <c r="V547" i="1"/>
  <c r="V501" i="1"/>
  <c r="U686" i="1"/>
  <c r="U400" i="1"/>
  <c r="V601" i="1"/>
  <c r="V689" i="1"/>
  <c r="V212" i="1"/>
  <c r="V691" i="1"/>
  <c r="V641" i="1"/>
  <c r="U215" i="1"/>
  <c r="P602" i="1"/>
  <c r="U110" i="1"/>
  <c r="P69" i="1"/>
  <c r="W606" i="1"/>
  <c r="W22" i="1"/>
  <c r="P22" i="1"/>
  <c r="U267" i="1"/>
  <c r="W267" i="1"/>
  <c r="X267" i="1" s="1"/>
  <c r="W464" i="1"/>
  <c r="X464" i="1" s="1"/>
  <c r="P464" i="1"/>
  <c r="W387" i="1"/>
  <c r="P247" i="1"/>
  <c r="V337" i="1"/>
  <c r="V53" i="1"/>
  <c r="V3" i="1"/>
  <c r="V150" i="1"/>
  <c r="V296" i="1"/>
  <c r="P201" i="1"/>
  <c r="V538" i="1"/>
  <c r="P493" i="1"/>
  <c r="W202" i="1"/>
  <c r="U390" i="1"/>
  <c r="P298" i="1"/>
  <c r="P341" i="1"/>
  <c r="W448" i="1"/>
  <c r="X448" i="1" s="1"/>
  <c r="P154" i="1"/>
  <c r="U7" i="1"/>
  <c r="U680" i="1"/>
  <c r="V57" i="1"/>
  <c r="X57" i="1" s="1"/>
  <c r="U8" i="1"/>
  <c r="U259" i="1"/>
  <c r="U207" i="1"/>
  <c r="U260" i="1"/>
  <c r="U635" i="1"/>
  <c r="W393" i="1"/>
  <c r="V208" i="1"/>
  <c r="V62" i="1"/>
  <c r="V9" i="1"/>
  <c r="V344" i="1"/>
  <c r="P396" i="1"/>
  <c r="W106" i="1"/>
  <c r="X106" i="1" s="1"/>
  <c r="U637" i="1"/>
  <c r="V545" i="1"/>
  <c r="V598" i="1"/>
  <c r="W14" i="1"/>
  <c r="U639" i="1"/>
  <c r="U503" i="1"/>
  <c r="U640" i="1"/>
  <c r="V600" i="1"/>
  <c r="X600" i="1" s="1"/>
  <c r="U213" i="1"/>
  <c r="U168" i="1"/>
  <c r="P603" i="1"/>
  <c r="V351" i="1"/>
  <c r="X351" i="1" s="1"/>
  <c r="U604" i="1"/>
  <c r="U642" i="1"/>
  <c r="U67" i="1"/>
  <c r="U354" i="1"/>
  <c r="U407" i="1"/>
  <c r="U170" i="1"/>
  <c r="V264" i="1"/>
  <c r="W409" i="1"/>
  <c r="X409" i="1" s="1"/>
  <c r="U118" i="1"/>
  <c r="W363" i="1"/>
  <c r="U180" i="1"/>
  <c r="V535" i="1"/>
  <c r="X535" i="1" s="1"/>
  <c r="V445" i="1"/>
  <c r="X445" i="1" s="1"/>
  <c r="V335" i="1"/>
  <c r="V490" i="1"/>
  <c r="V492" i="1"/>
  <c r="V388" i="1"/>
  <c r="X388" i="1" s="1"/>
  <c r="W4" i="1"/>
  <c r="X4" i="1" s="1"/>
  <c r="W153" i="1"/>
  <c r="U202" i="1"/>
  <c r="U341" i="1"/>
  <c r="V155" i="1"/>
  <c r="V591" i="1"/>
  <c r="V157" i="1"/>
  <c r="U392" i="1"/>
  <c r="P208" i="1"/>
  <c r="P63" i="1"/>
  <c r="V11" i="1"/>
  <c r="X11" i="1" s="1"/>
  <c r="W396" i="1"/>
  <c r="V209" i="1"/>
  <c r="V546" i="1"/>
  <c r="W638" i="1"/>
  <c r="U165" i="1"/>
  <c r="U502" i="1"/>
  <c r="V399" i="1"/>
  <c r="X399" i="1" s="1"/>
  <c r="V166" i="1"/>
  <c r="V688" i="1"/>
  <c r="P167" i="1"/>
  <c r="V548" i="1"/>
  <c r="X548" i="1" s="1"/>
  <c r="W404" i="1"/>
  <c r="P405" i="1"/>
  <c r="W406" i="1"/>
  <c r="W603" i="1"/>
  <c r="V169" i="1"/>
  <c r="X169" i="1" s="1"/>
  <c r="V216" i="1"/>
  <c r="V604" i="1"/>
  <c r="W506" i="1"/>
  <c r="W112" i="1"/>
  <c r="W354" i="1"/>
  <c r="U606" i="1"/>
  <c r="U508" i="1"/>
  <c r="W508" i="1"/>
  <c r="U459" i="1"/>
  <c r="P312" i="1"/>
  <c r="P367" i="1"/>
  <c r="P536" i="1"/>
  <c r="P492" i="1"/>
  <c r="P446" i="1"/>
  <c r="U4" i="1"/>
  <c r="W447" i="1"/>
  <c r="U251" i="1"/>
  <c r="V450" i="1"/>
  <c r="V257" i="1"/>
  <c r="V498" i="1"/>
  <c r="V58" i="1"/>
  <c r="W541" i="1"/>
  <c r="W167" i="1"/>
  <c r="W402" i="1"/>
  <c r="X64" i="1"/>
  <c r="X65" i="1"/>
  <c r="X692" i="1"/>
  <c r="X68" i="1"/>
  <c r="W222" i="1"/>
  <c r="P222" i="1"/>
  <c r="V491" i="1"/>
  <c r="P337" i="1"/>
  <c r="V447" i="1"/>
  <c r="U391" i="1"/>
  <c r="P497" i="1"/>
  <c r="X156" i="1"/>
  <c r="P344" i="1"/>
  <c r="P11" i="1"/>
  <c r="U301" i="1"/>
  <c r="V637" i="1"/>
  <c r="U638" i="1"/>
  <c r="U164" i="1"/>
  <c r="V502" i="1"/>
  <c r="V640" i="1"/>
  <c r="V213" i="1"/>
  <c r="V214" i="1"/>
  <c r="X214" i="1" s="1"/>
  <c r="V690" i="1"/>
  <c r="X690" i="1" s="1"/>
  <c r="V402" i="1"/>
  <c r="X402" i="1" s="1"/>
  <c r="U691" i="1"/>
  <c r="P64" i="1"/>
  <c r="U404" i="1"/>
  <c r="U406" i="1"/>
  <c r="W109" i="1"/>
  <c r="V67" i="1"/>
  <c r="X67" i="1" s="1"/>
  <c r="V645" i="1"/>
  <c r="W114" i="1"/>
  <c r="X114" i="1" s="1"/>
  <c r="V116" i="1"/>
  <c r="W308" i="1"/>
  <c r="U608" i="1"/>
  <c r="W173" i="1"/>
  <c r="P177" i="1"/>
  <c r="P418" i="1"/>
  <c r="P335" i="1"/>
  <c r="W147" i="1"/>
  <c r="X147" i="1" s="1"/>
  <c r="P490" i="1"/>
  <c r="W677" i="1"/>
  <c r="U52" i="1"/>
  <c r="U248" i="1"/>
  <c r="U633" i="1"/>
  <c r="U297" i="1"/>
  <c r="U340" i="1"/>
  <c r="V539" i="1"/>
  <c r="V679" i="1"/>
  <c r="V251" i="1"/>
  <c r="V253" i="1"/>
  <c r="V255" i="1"/>
  <c r="V496" i="1"/>
  <c r="V342" i="1"/>
  <c r="V451" i="1"/>
  <c r="X451" i="1" s="1"/>
  <c r="W257" i="1"/>
  <c r="W591" i="1"/>
  <c r="W156" i="1"/>
  <c r="P58" i="1"/>
  <c r="V541" i="1"/>
  <c r="V60" i="1"/>
  <c r="V260" i="1"/>
  <c r="U208" i="1"/>
  <c r="U104" i="1"/>
  <c r="W636" i="1"/>
  <c r="U159" i="1"/>
  <c r="U160" i="1"/>
  <c r="V13" i="1"/>
  <c r="V543" i="1"/>
  <c r="W682" i="1"/>
  <c r="U684" i="1"/>
  <c r="U501" i="1"/>
  <c r="V454" i="1"/>
  <c r="V599" i="1"/>
  <c r="W347" i="1"/>
  <c r="U688" i="1"/>
  <c r="U689" i="1"/>
  <c r="P213" i="1"/>
  <c r="V15" i="1"/>
  <c r="X15" i="1" s="1"/>
  <c r="V168" i="1"/>
  <c r="X168" i="1" s="1"/>
  <c r="W405" i="1"/>
  <c r="U262" i="1"/>
  <c r="P263" i="1"/>
  <c r="U644" i="1"/>
  <c r="U115" i="1"/>
  <c r="U408" i="1"/>
  <c r="V70" i="1"/>
  <c r="V71" i="1"/>
  <c r="X71" i="1" s="1"/>
  <c r="V172" i="1"/>
  <c r="U650" i="1"/>
  <c r="V358" i="1"/>
  <c r="V20" i="1"/>
  <c r="V173" i="1"/>
  <c r="U309" i="1"/>
  <c r="P72" i="1"/>
  <c r="V310" i="1"/>
  <c r="X310" i="1" s="1"/>
  <c r="V267" i="1"/>
  <c r="U412" i="1"/>
  <c r="U75" i="1"/>
  <c r="V220" i="1"/>
  <c r="U269" i="1"/>
  <c r="V703" i="1"/>
  <c r="V653" i="1"/>
  <c r="X653" i="1" s="1"/>
  <c r="V459" i="1"/>
  <c r="X459" i="1" s="1"/>
  <c r="W76" i="1"/>
  <c r="U361" i="1"/>
  <c r="W557" i="1"/>
  <c r="W176" i="1"/>
  <c r="W122" i="1"/>
  <c r="U613" i="1"/>
  <c r="W414" i="1"/>
  <c r="X414" i="1" s="1"/>
  <c r="U462" i="1"/>
  <c r="V180" i="1"/>
  <c r="V654" i="1"/>
  <c r="P125" i="1"/>
  <c r="P465" i="1"/>
  <c r="W655" i="1"/>
  <c r="W561" i="1"/>
  <c r="W710" i="1"/>
  <c r="V516" i="1"/>
  <c r="V279" i="1"/>
  <c r="V114" i="1"/>
  <c r="U550" i="1"/>
  <c r="U116" i="1"/>
  <c r="U646" i="1"/>
  <c r="V648" i="1"/>
  <c r="X648" i="1" s="1"/>
  <c r="V649" i="1"/>
  <c r="X649" i="1" s="1"/>
  <c r="W19" i="1"/>
  <c r="X19" i="1" s="1"/>
  <c r="U21" i="1"/>
  <c r="P23" i="1"/>
  <c r="W72" i="1"/>
  <c r="W311" i="1"/>
  <c r="V700" i="1"/>
  <c r="P459" i="1"/>
  <c r="W273" i="1"/>
  <c r="X273" i="1" s="1"/>
  <c r="U511" i="1"/>
  <c r="U559" i="1"/>
  <c r="V224" i="1"/>
  <c r="X224" i="1" s="1"/>
  <c r="W179" i="1"/>
  <c r="W465" i="1"/>
  <c r="W365" i="1"/>
  <c r="V277" i="1"/>
  <c r="V127" i="1"/>
  <c r="X127" i="1" s="1"/>
  <c r="U31" i="1"/>
  <c r="U655" i="1"/>
  <c r="V278" i="1"/>
  <c r="V618" i="1"/>
  <c r="V708" i="1"/>
  <c r="U710" i="1"/>
  <c r="V314" i="1"/>
  <c r="V469" i="1"/>
  <c r="V418" i="1"/>
  <c r="X418" i="1" s="1"/>
  <c r="U185" i="1"/>
  <c r="W718" i="1"/>
  <c r="W582" i="1"/>
  <c r="V69" i="1"/>
  <c r="X69" i="1" s="1"/>
  <c r="V507" i="1"/>
  <c r="X507" i="1" s="1"/>
  <c r="V643" i="1"/>
  <c r="V693" i="1"/>
  <c r="X693" i="1" s="1"/>
  <c r="V694" i="1"/>
  <c r="X694" i="1" s="1"/>
  <c r="U18" i="1"/>
  <c r="P71" i="1"/>
  <c r="V552" i="1"/>
  <c r="V308" i="1"/>
  <c r="W609" i="1"/>
  <c r="P172" i="1"/>
  <c r="V697" i="1"/>
  <c r="X697" i="1" s="1"/>
  <c r="V553" i="1"/>
  <c r="X553" i="1" s="1"/>
  <c r="P173" i="1"/>
  <c r="V359" i="1"/>
  <c r="W21" i="1"/>
  <c r="U23" i="1"/>
  <c r="U311" i="1"/>
  <c r="V701" i="1"/>
  <c r="V312" i="1"/>
  <c r="X312" i="1" s="1"/>
  <c r="U362" i="1"/>
  <c r="V510" i="1"/>
  <c r="V276" i="1"/>
  <c r="X276" i="1" s="1"/>
  <c r="V615" i="1"/>
  <c r="V461" i="1"/>
  <c r="X461" i="1" s="1"/>
  <c r="V177" i="1"/>
  <c r="U464" i="1"/>
  <c r="V124" i="1"/>
  <c r="V707" i="1"/>
  <c r="W225" i="1"/>
  <c r="W513" i="1"/>
  <c r="W417" i="1"/>
  <c r="W183" i="1"/>
  <c r="W617" i="1"/>
  <c r="V79" i="1"/>
  <c r="U564" i="1"/>
  <c r="P619" i="1"/>
  <c r="U566" i="1"/>
  <c r="U130" i="1"/>
  <c r="U233" i="1"/>
  <c r="V456" i="1"/>
  <c r="V608" i="1"/>
  <c r="U647" i="1"/>
  <c r="W172" i="1"/>
  <c r="V508" i="1"/>
  <c r="X508" i="1" s="1"/>
  <c r="V21" i="1"/>
  <c r="V412" i="1"/>
  <c r="X412" i="1" s="1"/>
  <c r="V611" i="1"/>
  <c r="V26" i="1"/>
  <c r="V75" i="1"/>
  <c r="V175" i="1"/>
  <c r="P702" i="1"/>
  <c r="V612" i="1"/>
  <c r="U704" i="1"/>
  <c r="W459" i="1"/>
  <c r="X76" i="1"/>
  <c r="U176" i="1"/>
  <c r="V511" i="1"/>
  <c r="V559" i="1"/>
  <c r="P615" i="1"/>
  <c r="V78" i="1"/>
  <c r="P461" i="1"/>
  <c r="V181" i="1"/>
  <c r="U225" i="1"/>
  <c r="U417" i="1"/>
  <c r="U360" i="1"/>
  <c r="W616" i="1"/>
  <c r="W127" i="1"/>
  <c r="P712" i="1"/>
  <c r="P314" i="1"/>
  <c r="P469" i="1"/>
  <c r="V470" i="1"/>
  <c r="V315" i="1"/>
  <c r="V621" i="1"/>
  <c r="V420" i="1"/>
  <c r="U34" i="1"/>
  <c r="X622" i="1"/>
  <c r="V84" i="1"/>
  <c r="X84" i="1" s="1"/>
  <c r="W35" i="1"/>
  <c r="P116" i="1"/>
  <c r="V307" i="1"/>
  <c r="V117" i="1"/>
  <c r="V646" i="1"/>
  <c r="X646" i="1" s="1"/>
  <c r="U648" i="1"/>
  <c r="P697" i="1"/>
  <c r="U218" i="1"/>
  <c r="V411" i="1"/>
  <c r="U358" i="1"/>
  <c r="U310" i="1"/>
  <c r="U554" i="1"/>
  <c r="V311" i="1"/>
  <c r="X311" i="1" s="1"/>
  <c r="V268" i="1"/>
  <c r="P221" i="1"/>
  <c r="U653" i="1"/>
  <c r="V176" i="1"/>
  <c r="V313" i="1"/>
  <c r="V706" i="1"/>
  <c r="V364" i="1"/>
  <c r="U126" i="1"/>
  <c r="U616" i="1"/>
  <c r="V561" i="1"/>
  <c r="U416" i="1"/>
  <c r="V467" i="1"/>
  <c r="X467" i="1" s="1"/>
  <c r="P79" i="1"/>
  <c r="V711" i="1"/>
  <c r="U711" i="1"/>
  <c r="U279" i="1"/>
  <c r="U565" i="1"/>
  <c r="P713" i="1"/>
  <c r="P714" i="1"/>
  <c r="U69" i="1"/>
  <c r="U605" i="1"/>
  <c r="U694" i="1"/>
  <c r="W550" i="1"/>
  <c r="X550" i="1" s="1"/>
  <c r="W456" i="1"/>
  <c r="X456" i="1" s="1"/>
  <c r="U552" i="1"/>
  <c r="P457" i="1"/>
  <c r="U553" i="1"/>
  <c r="P650" i="1"/>
  <c r="V266" i="1"/>
  <c r="V699" i="1"/>
  <c r="V19" i="1"/>
  <c r="P309" i="1"/>
  <c r="V22" i="1"/>
  <c r="V23" i="1"/>
  <c r="V72" i="1"/>
  <c r="P412" i="1"/>
  <c r="W611" i="1"/>
  <c r="U26" i="1"/>
  <c r="U220" i="1"/>
  <c r="V458" i="1"/>
  <c r="X458" i="1" s="1"/>
  <c r="P612" i="1"/>
  <c r="V222" i="1"/>
  <c r="X222" i="1" s="1"/>
  <c r="U76" i="1"/>
  <c r="P272" i="1"/>
  <c r="P361" i="1"/>
  <c r="V557" i="1"/>
  <c r="X557" i="1" s="1"/>
  <c r="W511" i="1"/>
  <c r="V413" i="1"/>
  <c r="X413" i="1" s="1"/>
  <c r="V414" i="1"/>
  <c r="U223" i="1"/>
  <c r="W313" i="1"/>
  <c r="V463" i="1"/>
  <c r="V179" i="1"/>
  <c r="V365" i="1"/>
  <c r="W366" i="1"/>
  <c r="W31" i="1"/>
  <c r="X31" i="1" s="1"/>
  <c r="W563" i="1"/>
  <c r="V564" i="1"/>
  <c r="W468" i="1"/>
  <c r="U367" i="1"/>
  <c r="U712" i="1"/>
  <c r="U314" i="1"/>
  <c r="U619" i="1"/>
  <c r="U469" i="1"/>
  <c r="P470" i="1"/>
  <c r="W421" i="1"/>
  <c r="P630" i="1"/>
  <c r="W265" i="1"/>
  <c r="V651" i="1"/>
  <c r="W555" i="1"/>
  <c r="X119" i="1"/>
  <c r="W612" i="1"/>
  <c r="W120" i="1"/>
  <c r="X363" i="1"/>
  <c r="W315" i="1"/>
  <c r="P280" i="1"/>
  <c r="P132" i="1"/>
  <c r="W132" i="1"/>
  <c r="U325" i="1"/>
  <c r="W576" i="1"/>
  <c r="P576" i="1"/>
  <c r="U37" i="1"/>
  <c r="U668" i="1"/>
  <c r="W85" i="1"/>
  <c r="P572" i="1"/>
  <c r="P136" i="1"/>
  <c r="P193" i="1"/>
  <c r="P38" i="1"/>
  <c r="P194" i="1"/>
  <c r="P41" i="1"/>
  <c r="P195" i="1"/>
  <c r="U235" i="1"/>
  <c r="P580" i="1"/>
  <c r="U329" i="1"/>
  <c r="U720" i="1"/>
  <c r="P431" i="1"/>
  <c r="X672" i="1"/>
  <c r="U433" i="1"/>
  <c r="X439" i="1"/>
  <c r="P631" i="1"/>
  <c r="V186" i="1"/>
  <c r="V517" i="1"/>
  <c r="V132" i="1"/>
  <c r="X132" i="1" s="1"/>
  <c r="V422" i="1"/>
  <c r="X422" i="1" s="1"/>
  <c r="V471" i="1"/>
  <c r="V188" i="1"/>
  <c r="V81" i="1"/>
  <c r="V568" i="1"/>
  <c r="V660" i="1"/>
  <c r="U715" i="1"/>
  <c r="U716" i="1"/>
  <c r="U84" i="1"/>
  <c r="X625" i="1"/>
  <c r="U190" i="1"/>
  <c r="U570" i="1"/>
  <c r="P323" i="1"/>
  <c r="V666" i="1"/>
  <c r="U571" i="1"/>
  <c r="P478" i="1"/>
  <c r="P229" i="1"/>
  <c r="P425" i="1"/>
  <c r="X88" i="1"/>
  <c r="W327" i="1"/>
  <c r="V232" i="1"/>
  <c r="U576" i="1"/>
  <c r="V670" i="1"/>
  <c r="P139" i="1"/>
  <c r="V380" i="1"/>
  <c r="U47" i="1"/>
  <c r="V579" i="1"/>
  <c r="X579" i="1" s="1"/>
  <c r="P581" i="1"/>
  <c r="V237" i="1"/>
  <c r="U238" i="1"/>
  <c r="P239" i="1"/>
  <c r="V141" i="1"/>
  <c r="W287" i="1"/>
  <c r="X287" i="1" s="1"/>
  <c r="X435" i="1"/>
  <c r="U526" i="1"/>
  <c r="U240" i="1"/>
  <c r="U241" i="1"/>
  <c r="V585" i="1"/>
  <c r="V673" i="1"/>
  <c r="U528" i="1"/>
  <c r="W726" i="1"/>
  <c r="X726" i="1" s="1"/>
  <c r="V566" i="1"/>
  <c r="V129" i="1"/>
  <c r="V419" i="1"/>
  <c r="V32" i="1"/>
  <c r="V421" i="1"/>
  <c r="X421" i="1" s="1"/>
  <c r="V131" i="1"/>
  <c r="V472" i="1"/>
  <c r="V661" i="1"/>
  <c r="V370" i="1"/>
  <c r="V134" i="1"/>
  <c r="V518" i="1"/>
  <c r="V284" i="1"/>
  <c r="V324" i="1"/>
  <c r="V191" i="1"/>
  <c r="U627" i="1"/>
  <c r="U229" i="1"/>
  <c r="U377" i="1"/>
  <c r="U285" i="1"/>
  <c r="U669" i="1"/>
  <c r="U230" i="1"/>
  <c r="U231" i="1"/>
  <c r="U138" i="1"/>
  <c r="V671" i="1"/>
  <c r="X671" i="1" s="1"/>
  <c r="V92" i="1"/>
  <c r="U718" i="1"/>
  <c r="U582" i="1"/>
  <c r="P49" i="1"/>
  <c r="P672" i="1"/>
  <c r="U436" i="1"/>
  <c r="W240" i="1"/>
  <c r="V198" i="1"/>
  <c r="V383" i="1"/>
  <c r="V723" i="1"/>
  <c r="V438" i="1"/>
  <c r="P439" i="1"/>
  <c r="V143" i="1"/>
  <c r="P726" i="1"/>
  <c r="P187" i="1"/>
  <c r="P622" i="1"/>
  <c r="P226" i="1"/>
  <c r="P660" i="1"/>
  <c r="P133" i="1"/>
  <c r="V624" i="1"/>
  <c r="V281" i="1"/>
  <c r="V282" i="1"/>
  <c r="V82" i="1"/>
  <c r="V474" i="1"/>
  <c r="X474" i="1" s="1"/>
  <c r="V318" i="1"/>
  <c r="V569" i="1"/>
  <c r="V83" i="1"/>
  <c r="V320" i="1"/>
  <c r="V36" i="1"/>
  <c r="V189" i="1"/>
  <c r="V372" i="1"/>
  <c r="X372" i="1" s="1"/>
  <c r="V321" i="1"/>
  <c r="V283" i="1"/>
  <c r="X283" i="1" s="1"/>
  <c r="V475" i="1"/>
  <c r="X475" i="1" s="1"/>
  <c r="U373" i="1"/>
  <c r="P228" i="1"/>
  <c r="P284" i="1"/>
  <c r="P324" i="1"/>
  <c r="P717" i="1"/>
  <c r="U137" i="1"/>
  <c r="U520" i="1"/>
  <c r="W522" i="1"/>
  <c r="W379" i="1"/>
  <c r="V233" i="1"/>
  <c r="X139" i="1"/>
  <c r="U93" i="1"/>
  <c r="V235" i="1"/>
  <c r="X235" i="1" s="1"/>
  <c r="U580" i="1"/>
  <c r="P237" i="1"/>
  <c r="U431" i="1"/>
  <c r="P141" i="1"/>
  <c r="U316" i="1"/>
  <c r="W186" i="1"/>
  <c r="X186" i="1" s="1"/>
  <c r="P517" i="1"/>
  <c r="P80" i="1"/>
  <c r="W422" i="1"/>
  <c r="P227" i="1"/>
  <c r="P319" i="1"/>
  <c r="P371" i="1"/>
  <c r="V423" i="1"/>
  <c r="X423" i="1" s="1"/>
  <c r="V37" i="1"/>
  <c r="X37" i="1" s="1"/>
  <c r="V663" i="1"/>
  <c r="X663" i="1" s="1"/>
  <c r="V476" i="1"/>
  <c r="U572" i="1"/>
  <c r="U573" i="1"/>
  <c r="U86" i="1"/>
  <c r="U136" i="1"/>
  <c r="U193" i="1"/>
  <c r="U38" i="1"/>
  <c r="U574" i="1"/>
  <c r="V87" i="1"/>
  <c r="X87" i="1" s="1"/>
  <c r="V39" i="1"/>
  <c r="U40" i="1"/>
  <c r="U194" i="1"/>
  <c r="U195" i="1"/>
  <c r="P379" i="1"/>
  <c r="W380" i="1"/>
  <c r="V524" i="1"/>
  <c r="V46" i="1"/>
  <c r="P234" i="1"/>
  <c r="P48" i="1"/>
  <c r="V94" i="1"/>
  <c r="X94" i="1" s="1"/>
  <c r="P430" i="1"/>
  <c r="V238" i="1"/>
  <c r="X238" i="1" s="1"/>
  <c r="U239" i="1"/>
  <c r="P432" i="1"/>
  <c r="V240" i="1"/>
  <c r="P585" i="1"/>
  <c r="U483" i="1"/>
  <c r="V528" i="1"/>
  <c r="U721" i="1"/>
  <c r="U630" i="1"/>
  <c r="V586" i="1"/>
  <c r="X586" i="1" s="1"/>
  <c r="V675" i="1"/>
  <c r="P723" i="1"/>
  <c r="U517" i="1"/>
  <c r="U471" i="1"/>
  <c r="U568" i="1"/>
  <c r="P281" i="1"/>
  <c r="P715" i="1"/>
  <c r="P474" i="1"/>
  <c r="W370" i="1"/>
  <c r="P83" i="1"/>
  <c r="P84" i="1"/>
  <c r="P320" i="1"/>
  <c r="P35" i="1"/>
  <c r="P189" i="1"/>
  <c r="P190" i="1"/>
  <c r="P570" i="1"/>
  <c r="P475" i="1"/>
  <c r="U665" i="1"/>
  <c r="U324" i="1"/>
  <c r="P626" i="1"/>
  <c r="V667" i="1"/>
  <c r="U424" i="1"/>
  <c r="V85" i="1"/>
  <c r="X85" i="1" s="1"/>
  <c r="V572" i="1"/>
  <c r="X572" i="1" s="1"/>
  <c r="W229" i="1"/>
  <c r="V426" i="1"/>
  <c r="X426" i="1" s="1"/>
  <c r="U522" i="1"/>
  <c r="U232" i="1"/>
  <c r="V429" i="1"/>
  <c r="W671" i="1"/>
  <c r="P481" i="1"/>
  <c r="P235" i="1"/>
  <c r="P329" i="1"/>
  <c r="U49" i="1"/>
  <c r="P720" i="1"/>
  <c r="V525" i="1"/>
  <c r="U672" i="1"/>
  <c r="P433" i="1"/>
  <c r="X482" i="1"/>
  <c r="V629" i="1"/>
  <c r="V241" i="1"/>
  <c r="U673" i="1"/>
  <c r="V96" i="1"/>
  <c r="V330" i="1"/>
  <c r="P198" i="1"/>
  <c r="U674" i="1"/>
  <c r="V199" i="1"/>
  <c r="X199" i="1" s="1"/>
  <c r="P243" i="1"/>
  <c r="V724" i="1"/>
  <c r="V332" i="1"/>
  <c r="U369" i="1"/>
  <c r="W281" i="1"/>
  <c r="W474" i="1"/>
  <c r="U134" i="1"/>
  <c r="W189" i="1"/>
  <c r="X189" i="1" s="1"/>
  <c r="W283" i="1"/>
  <c r="V322" i="1"/>
  <c r="X322" i="1" s="1"/>
  <c r="V478" i="1"/>
  <c r="X478" i="1" s="1"/>
  <c r="W191" i="1"/>
  <c r="V377" i="1"/>
  <c r="V285" i="1"/>
  <c r="V669" i="1"/>
  <c r="V628" i="1"/>
  <c r="V326" i="1"/>
  <c r="X326" i="1" s="1"/>
  <c r="P87" i="1"/>
  <c r="V230" i="1"/>
  <c r="V231" i="1"/>
  <c r="V327" i="1"/>
  <c r="X327" i="1" s="1"/>
  <c r="V138" i="1"/>
  <c r="V378" i="1"/>
  <c r="X91" i="1"/>
  <c r="U524" i="1"/>
  <c r="P46" i="1"/>
  <c r="V47" i="1"/>
  <c r="X47" i="1" s="1"/>
  <c r="U579" i="1"/>
  <c r="W234" i="1"/>
  <c r="V580" i="1"/>
  <c r="X580" i="1" s="1"/>
  <c r="U236" i="1"/>
  <c r="W48" i="1"/>
  <c r="V583" i="1"/>
  <c r="X583" i="1" s="1"/>
  <c r="W430" i="1"/>
  <c r="P238" i="1"/>
  <c r="W432" i="1"/>
  <c r="V529" i="1"/>
  <c r="P586" i="1"/>
  <c r="V631" i="1"/>
  <c r="X631" i="1" s="1"/>
  <c r="W331" i="1"/>
  <c r="X331" i="1" s="1"/>
  <c r="U187" i="1"/>
  <c r="U33" i="1"/>
  <c r="U622" i="1"/>
  <c r="U226" i="1"/>
  <c r="U623" i="1"/>
  <c r="U659" i="1"/>
  <c r="U133" i="1"/>
  <c r="U472" i="1"/>
  <c r="U473" i="1"/>
  <c r="U82" i="1"/>
  <c r="U662" i="1"/>
  <c r="U519" i="1"/>
  <c r="U135" i="1"/>
  <c r="U189" i="1"/>
  <c r="U321" i="1"/>
  <c r="V323" i="1"/>
  <c r="U284" i="1"/>
  <c r="V375" i="1"/>
  <c r="P668" i="1"/>
  <c r="V573" i="1"/>
  <c r="V376" i="1"/>
  <c r="V86" i="1"/>
  <c r="X86" i="1" s="1"/>
  <c r="V193" i="1"/>
  <c r="V574" i="1"/>
  <c r="X574" i="1" s="1"/>
  <c r="V520" i="1"/>
  <c r="V425" i="1"/>
  <c r="X425" i="1" s="1"/>
  <c r="V521" i="1"/>
  <c r="P426" i="1"/>
  <c r="V575" i="1"/>
  <c r="X575" i="1" s="1"/>
  <c r="V41" i="1"/>
  <c r="V379" i="1"/>
  <c r="U671" i="1"/>
  <c r="W481" i="1"/>
  <c r="X481" i="1" s="1"/>
  <c r="U234" i="1"/>
  <c r="V581" i="1"/>
  <c r="U48" i="1"/>
  <c r="W329" i="1"/>
  <c r="P582" i="1"/>
  <c r="U430" i="1"/>
  <c r="W720" i="1"/>
  <c r="P525" i="1"/>
  <c r="U432" i="1"/>
  <c r="W433" i="1"/>
  <c r="X197" i="1"/>
  <c r="V483" i="1"/>
  <c r="V242" i="1"/>
  <c r="V721" i="1"/>
  <c r="W243" i="1"/>
  <c r="X243" i="1" s="1"/>
  <c r="W97" i="1"/>
  <c r="X97" i="1" s="1"/>
  <c r="U99" i="1"/>
  <c r="U530" i="1"/>
  <c r="W484" i="1"/>
  <c r="X484" i="1" s="1"/>
  <c r="U145" i="1"/>
  <c r="W334" i="1"/>
  <c r="X334" i="1" s="1"/>
  <c r="U484" i="1"/>
  <c r="W531" i="1"/>
  <c r="X531" i="1" s="1"/>
  <c r="P289" i="1"/>
  <c r="X533" i="1"/>
  <c r="X442" i="1"/>
  <c r="U334" i="1"/>
  <c r="P2" i="1"/>
  <c r="W2" i="1"/>
  <c r="X2" i="1" s="1"/>
  <c r="W289" i="1"/>
  <c r="X289" i="1" s="1"/>
  <c r="P200" i="1"/>
  <c r="W200" i="1"/>
  <c r="X200" i="1" s="1"/>
  <c r="W244" i="1"/>
  <c r="X632" i="1"/>
  <c r="U289" i="1"/>
  <c r="P533" i="1"/>
  <c r="U386" i="1"/>
  <c r="X7" i="1"/>
  <c r="X99" i="1"/>
  <c r="W99" i="1"/>
  <c r="P336" i="1"/>
  <c r="W336" i="1"/>
  <c r="P340" i="1"/>
  <c r="W340" i="1"/>
  <c r="X298" i="1"/>
  <c r="P680" i="1"/>
  <c r="W680" i="1"/>
  <c r="P8" i="1"/>
  <c r="W8" i="1"/>
  <c r="P635" i="1"/>
  <c r="W635" i="1"/>
  <c r="P61" i="1"/>
  <c r="W61" i="1"/>
  <c r="W542" i="1"/>
  <c r="U542" i="1"/>
  <c r="P547" i="1"/>
  <c r="W547" i="1"/>
  <c r="P601" i="1"/>
  <c r="W601" i="1"/>
  <c r="P199" i="1"/>
  <c r="W199" i="1"/>
  <c r="P332" i="1"/>
  <c r="W332" i="1"/>
  <c r="W725" i="1"/>
  <c r="P725" i="1"/>
  <c r="U50" i="1"/>
  <c r="V386" i="1"/>
  <c r="X386" i="1" s="1"/>
  <c r="P244" i="1"/>
  <c r="P487" i="1"/>
  <c r="P488" i="1"/>
  <c r="X291" i="1"/>
  <c r="X444" i="1"/>
  <c r="P535" i="1"/>
  <c r="V489" i="1"/>
  <c r="X489" i="1" s="1"/>
  <c r="W490" i="1"/>
  <c r="X490" i="1" s="1"/>
  <c r="P3" i="1"/>
  <c r="W3" i="1"/>
  <c r="X3" i="1" s="1"/>
  <c r="X338" i="1"/>
  <c r="P388" i="1"/>
  <c r="V297" i="1"/>
  <c r="W102" i="1"/>
  <c r="X102" i="1" s="1"/>
  <c r="P5" i="1"/>
  <c r="W5" i="1"/>
  <c r="X253" i="1"/>
  <c r="P449" i="1"/>
  <c r="V256" i="1"/>
  <c r="W56" i="1"/>
  <c r="P156" i="1"/>
  <c r="X58" i="1"/>
  <c r="V206" i="1"/>
  <c r="X206" i="1" s="1"/>
  <c r="W499" i="1"/>
  <c r="U499" i="1"/>
  <c r="P545" i="1"/>
  <c r="W545" i="1"/>
  <c r="P600" i="1"/>
  <c r="W600" i="1"/>
  <c r="W98" i="1"/>
  <c r="X98" i="1" s="1"/>
  <c r="P530" i="1"/>
  <c r="P531" i="1"/>
  <c r="P441" i="1"/>
  <c r="P99" i="1"/>
  <c r="P334" i="1"/>
  <c r="V534" i="1"/>
  <c r="X534" i="1" s="1"/>
  <c r="P246" i="1"/>
  <c r="P291" i="1"/>
  <c r="W292" i="1"/>
  <c r="V247" i="1"/>
  <c r="X247" i="1" s="1"/>
  <c r="V676" i="1"/>
  <c r="U535" i="1"/>
  <c r="V589" i="1"/>
  <c r="X589" i="1" s="1"/>
  <c r="P445" i="1"/>
  <c r="W294" i="1"/>
  <c r="X294" i="1" s="1"/>
  <c r="P52" i="1"/>
  <c r="P53" i="1"/>
  <c r="V55" i="1"/>
  <c r="W537" i="1"/>
  <c r="W151" i="1"/>
  <c r="X151" i="1" s="1"/>
  <c r="V249" i="1"/>
  <c r="X249" i="1" s="1"/>
  <c r="U388" i="1"/>
  <c r="P633" i="1"/>
  <c r="W633" i="1"/>
  <c r="W201" i="1"/>
  <c r="P202" i="1"/>
  <c r="P390" i="1"/>
  <c r="V391" i="1"/>
  <c r="X391" i="1" s="1"/>
  <c r="W679" i="1"/>
  <c r="X679" i="1" s="1"/>
  <c r="W103" i="1"/>
  <c r="X103" i="1" s="1"/>
  <c r="V252" i="1"/>
  <c r="X252" i="1" s="1"/>
  <c r="U449" i="1"/>
  <c r="P495" i="1"/>
  <c r="W495" i="1"/>
  <c r="W496" i="1"/>
  <c r="X496" i="1" s="1"/>
  <c r="X56" i="1"/>
  <c r="P451" i="1"/>
  <c r="P257" i="1"/>
  <c r="P57" i="1"/>
  <c r="V452" i="1"/>
  <c r="V59" i="1"/>
  <c r="X59" i="1" s="1"/>
  <c r="U453" i="1"/>
  <c r="X541" i="1"/>
  <c r="U393" i="1"/>
  <c r="P209" i="1"/>
  <c r="W209" i="1"/>
  <c r="P399" i="1"/>
  <c r="W399" i="1"/>
  <c r="P217" i="1"/>
  <c r="W217" i="1"/>
  <c r="W676" i="1"/>
  <c r="P589" i="1"/>
  <c r="P149" i="1"/>
  <c r="W149" i="1"/>
  <c r="X149" i="1" s="1"/>
  <c r="W53" i="1"/>
  <c r="X53" i="1" s="1"/>
  <c r="X537" i="1"/>
  <c r="X248" i="1"/>
  <c r="P151" i="1"/>
  <c r="P249" i="1"/>
  <c r="W250" i="1"/>
  <c r="P539" i="1"/>
  <c r="W539" i="1"/>
  <c r="W390" i="1"/>
  <c r="X390" i="1" s="1"/>
  <c r="X341" i="1"/>
  <c r="P103" i="1"/>
  <c r="P252" i="1"/>
  <c r="W255" i="1"/>
  <c r="X255" i="1" s="1"/>
  <c r="X342" i="1"/>
  <c r="P155" i="1"/>
  <c r="W155" i="1"/>
  <c r="X155" i="1" s="1"/>
  <c r="P157" i="1"/>
  <c r="W157" i="1"/>
  <c r="X157" i="1" s="1"/>
  <c r="P300" i="1"/>
  <c r="X208" i="1"/>
  <c r="P544" i="1"/>
  <c r="W544" i="1"/>
  <c r="X544" i="1" s="1"/>
  <c r="P211" i="1"/>
  <c r="W211" i="1"/>
  <c r="V244" i="1"/>
  <c r="V487" i="1"/>
  <c r="X487" i="1" s="1"/>
  <c r="V488" i="1"/>
  <c r="X488" i="1" s="1"/>
  <c r="P147" i="1"/>
  <c r="P148" i="1"/>
  <c r="V336" i="1"/>
  <c r="W337" i="1"/>
  <c r="W54" i="1"/>
  <c r="X54" i="1" s="1"/>
  <c r="V536" i="1"/>
  <c r="U151" i="1"/>
  <c r="P678" i="1"/>
  <c r="W678" i="1"/>
  <c r="X678" i="1" s="1"/>
  <c r="X250" i="1"/>
  <c r="P4" i="1"/>
  <c r="P389" i="1"/>
  <c r="V340" i="1"/>
  <c r="X340" i="1" s="1"/>
  <c r="W493" i="1"/>
  <c r="X493" i="1" s="1"/>
  <c r="W298" i="1"/>
  <c r="V634" i="1"/>
  <c r="U103" i="1"/>
  <c r="P251" i="1"/>
  <c r="W251" i="1"/>
  <c r="X251" i="1" s="1"/>
  <c r="P203" i="1"/>
  <c r="P342" i="1"/>
  <c r="V680" i="1"/>
  <c r="X680" i="1" s="1"/>
  <c r="W450" i="1"/>
  <c r="X450" i="1" s="1"/>
  <c r="U155" i="1"/>
  <c r="W258" i="1"/>
  <c r="X258" i="1" s="1"/>
  <c r="V497" i="1"/>
  <c r="X591" i="1"/>
  <c r="V8" i="1"/>
  <c r="X8" i="1" s="1"/>
  <c r="V392" i="1"/>
  <c r="X392" i="1" s="1"/>
  <c r="X393" i="1"/>
  <c r="P502" i="1"/>
  <c r="W502" i="1"/>
  <c r="X502" i="1" s="1"/>
  <c r="P489" i="1"/>
  <c r="W489" i="1"/>
  <c r="W148" i="1"/>
  <c r="X148" i="1" s="1"/>
  <c r="X337" i="1"/>
  <c r="W150" i="1"/>
  <c r="W446" i="1"/>
  <c r="X446" i="1" s="1"/>
  <c r="V339" i="1"/>
  <c r="P297" i="1"/>
  <c r="W297" i="1"/>
  <c r="W389" i="1"/>
  <c r="W154" i="1"/>
  <c r="W254" i="1"/>
  <c r="X254" i="1" s="1"/>
  <c r="V494" i="1"/>
  <c r="P256" i="1"/>
  <c r="W256" i="1"/>
  <c r="W342" i="1"/>
  <c r="P205" i="1"/>
  <c r="W205" i="1"/>
  <c r="U206" i="1"/>
  <c r="P104" i="1"/>
  <c r="W104" i="1"/>
  <c r="X396" i="1"/>
  <c r="W595" i="1"/>
  <c r="W543" i="1"/>
  <c r="X543" i="1" s="1"/>
  <c r="P543" i="1"/>
  <c r="P454" i="1"/>
  <c r="W454" i="1"/>
  <c r="X454" i="1" s="1"/>
  <c r="W245" i="1"/>
  <c r="X245" i="1" s="1"/>
  <c r="V292" i="1"/>
  <c r="X292" i="1" s="1"/>
  <c r="W335" i="1"/>
  <c r="X335" i="1" s="1"/>
  <c r="W491" i="1"/>
  <c r="V677" i="1"/>
  <c r="X677" i="1" s="1"/>
  <c r="U54" i="1"/>
  <c r="P55" i="1"/>
  <c r="W55" i="1"/>
  <c r="W536" i="1"/>
  <c r="P339" i="1"/>
  <c r="V633" i="1"/>
  <c r="X633" i="1" s="1"/>
  <c r="W152" i="1"/>
  <c r="X152" i="1" s="1"/>
  <c r="W538" i="1"/>
  <c r="X538" i="1" s="1"/>
  <c r="V153" i="1"/>
  <c r="U298" i="1"/>
  <c r="P391" i="1"/>
  <c r="W391" i="1"/>
  <c r="W634" i="1"/>
  <c r="P494" i="1"/>
  <c r="V495" i="1"/>
  <c r="X495" i="1" s="1"/>
  <c r="W540" i="1"/>
  <c r="X540" i="1" s="1"/>
  <c r="U256" i="1"/>
  <c r="W7" i="1"/>
  <c r="V299" i="1"/>
  <c r="X299" i="1" s="1"/>
  <c r="U258" i="1"/>
  <c r="P452" i="1"/>
  <c r="W452" i="1"/>
  <c r="P591" i="1"/>
  <c r="V204" i="1"/>
  <c r="X204" i="1" s="1"/>
  <c r="X453" i="1"/>
  <c r="U205" i="1"/>
  <c r="P681" i="1"/>
  <c r="W60" i="1"/>
  <c r="X60" i="1" s="1"/>
  <c r="P60" i="1"/>
  <c r="W207" i="1"/>
  <c r="X207" i="1" s="1"/>
  <c r="P158" i="1"/>
  <c r="V158" i="1"/>
  <c r="X158" i="1" s="1"/>
  <c r="W593" i="1"/>
  <c r="P593" i="1"/>
  <c r="P343" i="1"/>
  <c r="W343" i="1"/>
  <c r="X343" i="1" s="1"/>
  <c r="P163" i="1"/>
  <c r="W163" i="1"/>
  <c r="P677" i="1"/>
  <c r="X492" i="1"/>
  <c r="U446" i="1"/>
  <c r="P296" i="1"/>
  <c r="W296" i="1"/>
  <c r="W339" i="1"/>
  <c r="P153" i="1"/>
  <c r="U254" i="1"/>
  <c r="P6" i="1"/>
  <c r="W6" i="1"/>
  <c r="X6" i="1" s="1"/>
  <c r="W494" i="1"/>
  <c r="P299" i="1"/>
  <c r="U452" i="1"/>
  <c r="W497" i="1"/>
  <c r="P259" i="1"/>
  <c r="W259" i="1"/>
  <c r="W260" i="1"/>
  <c r="X260" i="1" s="1"/>
  <c r="P260" i="1"/>
  <c r="P303" i="1"/>
  <c r="W303" i="1"/>
  <c r="X303" i="1" s="1"/>
  <c r="X688" i="1"/>
  <c r="V205" i="1"/>
  <c r="V635" i="1"/>
  <c r="X635" i="1" s="1"/>
  <c r="W62" i="1"/>
  <c r="X62" i="1" s="1"/>
  <c r="W344" i="1"/>
  <c r="X344" i="1" s="1"/>
  <c r="W11" i="1"/>
  <c r="V161" i="1"/>
  <c r="V595" i="1"/>
  <c r="P397" i="1"/>
  <c r="W397" i="1"/>
  <c r="W637" i="1"/>
  <c r="P637" i="1"/>
  <c r="P162" i="1"/>
  <c r="W162" i="1"/>
  <c r="W210" i="1"/>
  <c r="X210" i="1" s="1"/>
  <c r="P210" i="1"/>
  <c r="P683" i="1"/>
  <c r="W683" i="1"/>
  <c r="W546" i="1"/>
  <c r="X546" i="1" s="1"/>
  <c r="P546" i="1"/>
  <c r="P597" i="1"/>
  <c r="W597" i="1"/>
  <c r="W598" i="1"/>
  <c r="X598" i="1" s="1"/>
  <c r="P598" i="1"/>
  <c r="P302" i="1"/>
  <c r="W302" i="1"/>
  <c r="W501" i="1"/>
  <c r="P501" i="1"/>
  <c r="P346" i="1"/>
  <c r="W346" i="1"/>
  <c r="W164" i="1"/>
  <c r="X164" i="1" s="1"/>
  <c r="P164" i="1"/>
  <c r="P165" i="1"/>
  <c r="W165" i="1"/>
  <c r="W261" i="1"/>
  <c r="X261" i="1" s="1"/>
  <c r="P261" i="1"/>
  <c r="P639" i="1"/>
  <c r="W639" i="1"/>
  <c r="W599" i="1"/>
  <c r="X599" i="1" s="1"/>
  <c r="P599" i="1"/>
  <c r="P685" i="1"/>
  <c r="W685" i="1"/>
  <c r="W640" i="1"/>
  <c r="X640" i="1" s="1"/>
  <c r="P640" i="1"/>
  <c r="P305" i="1"/>
  <c r="W305" i="1"/>
  <c r="W400" i="1"/>
  <c r="X400" i="1" s="1"/>
  <c r="P400" i="1"/>
  <c r="P687" i="1"/>
  <c r="W687" i="1"/>
  <c r="W166" i="1"/>
  <c r="P166" i="1"/>
  <c r="P348" i="1"/>
  <c r="W348" i="1"/>
  <c r="W689" i="1"/>
  <c r="X689" i="1" s="1"/>
  <c r="P689" i="1"/>
  <c r="X108" i="1"/>
  <c r="X406" i="1"/>
  <c r="P411" i="1"/>
  <c r="W411" i="1"/>
  <c r="P592" i="1"/>
  <c r="W394" i="1"/>
  <c r="W9" i="1"/>
  <c r="X9" i="1" s="1"/>
  <c r="W160" i="1"/>
  <c r="X160" i="1" s="1"/>
  <c r="P500" i="1"/>
  <c r="W500" i="1"/>
  <c r="W401" i="1"/>
  <c r="P212" i="1"/>
  <c r="W212" i="1"/>
  <c r="X404" i="1"/>
  <c r="X405" i="1"/>
  <c r="X603" i="1"/>
  <c r="W642" i="1"/>
  <c r="P642" i="1"/>
  <c r="P647" i="1"/>
  <c r="W647" i="1"/>
  <c r="V61" i="1"/>
  <c r="V394" i="1"/>
  <c r="X394" i="1" s="1"/>
  <c r="V104" i="1"/>
  <c r="V63" i="1"/>
  <c r="X63" i="1" s="1"/>
  <c r="P105" i="1"/>
  <c r="V345" i="1"/>
  <c r="X345" i="1" s="1"/>
  <c r="P395" i="1"/>
  <c r="V159" i="1"/>
  <c r="P160" i="1"/>
  <c r="P161" i="1"/>
  <c r="W161" i="1"/>
  <c r="X398" i="1"/>
  <c r="X682" i="1"/>
  <c r="X596" i="1"/>
  <c r="X684" i="1"/>
  <c r="X638" i="1"/>
  <c r="X14" i="1"/>
  <c r="X304" i="1"/>
  <c r="X503" i="1"/>
  <c r="X686" i="1"/>
  <c r="X347" i="1"/>
  <c r="X107" i="1"/>
  <c r="V455" i="1"/>
  <c r="P349" i="1"/>
  <c r="U117" i="1"/>
  <c r="W117" i="1"/>
  <c r="P695" i="1"/>
  <c r="W695" i="1"/>
  <c r="V542" i="1"/>
  <c r="V499" i="1"/>
  <c r="X499" i="1" s="1"/>
  <c r="U161" i="1"/>
  <c r="V12" i="1"/>
  <c r="U401" i="1"/>
  <c r="W691" i="1"/>
  <c r="X691" i="1" s="1"/>
  <c r="P691" i="1"/>
  <c r="U602" i="1"/>
  <c r="P406" i="1"/>
  <c r="W216" i="1"/>
  <c r="X216" i="1" s="1"/>
  <c r="U216" i="1"/>
  <c r="P704" i="1"/>
  <c r="W704" i="1"/>
  <c r="X704" i="1" s="1"/>
  <c r="W301" i="1"/>
  <c r="P13" i="1"/>
  <c r="W13" i="1"/>
  <c r="X13" i="1" s="1"/>
  <c r="X209" i="1"/>
  <c r="X545" i="1"/>
  <c r="X547" i="1"/>
  <c r="X211" i="1"/>
  <c r="X601" i="1"/>
  <c r="W306" i="1"/>
  <c r="X306" i="1" s="1"/>
  <c r="P306" i="1"/>
  <c r="W645" i="1"/>
  <c r="P645" i="1"/>
  <c r="W556" i="1"/>
  <c r="P556" i="1"/>
  <c r="P159" i="1"/>
  <c r="W159" i="1"/>
  <c r="P301" i="1"/>
  <c r="P12" i="1"/>
  <c r="W12" i="1"/>
  <c r="X401" i="1"/>
  <c r="P407" i="1"/>
  <c r="W407" i="1"/>
  <c r="V18" i="1"/>
  <c r="X18" i="1" s="1"/>
  <c r="P18" i="1"/>
  <c r="P555" i="1"/>
  <c r="V555" i="1"/>
  <c r="X555" i="1" s="1"/>
  <c r="V592" i="1"/>
  <c r="X592" i="1" s="1"/>
  <c r="V593" i="1"/>
  <c r="X593" i="1" s="1"/>
  <c r="V594" i="1"/>
  <c r="X594" i="1" s="1"/>
  <c r="V105" i="1"/>
  <c r="X105" i="1" s="1"/>
  <c r="V10" i="1"/>
  <c r="X10" i="1" s="1"/>
  <c r="V395" i="1"/>
  <c r="X395" i="1" s="1"/>
  <c r="U11" i="1"/>
  <c r="V500" i="1"/>
  <c r="U12" i="1"/>
  <c r="V397" i="1"/>
  <c r="P398" i="1"/>
  <c r="V162" i="1"/>
  <c r="P682" i="1"/>
  <c r="V683" i="1"/>
  <c r="P596" i="1"/>
  <c r="V597" i="1"/>
  <c r="X597" i="1" s="1"/>
  <c r="P684" i="1"/>
  <c r="V302" i="1"/>
  <c r="P638" i="1"/>
  <c r="V346" i="1"/>
  <c r="P14" i="1"/>
  <c r="V165" i="1"/>
  <c r="P304" i="1"/>
  <c r="V639" i="1"/>
  <c r="X639" i="1" s="1"/>
  <c r="P503" i="1"/>
  <c r="V685" i="1"/>
  <c r="P686" i="1"/>
  <c r="V305" i="1"/>
  <c r="P347" i="1"/>
  <c r="V687" i="1"/>
  <c r="P107" i="1"/>
  <c r="V348" i="1"/>
  <c r="X348" i="1" s="1"/>
  <c r="P688" i="1"/>
  <c r="X212" i="1"/>
  <c r="V167" i="1"/>
  <c r="W403" i="1"/>
  <c r="X403" i="1" s="1"/>
  <c r="U403" i="1"/>
  <c r="V66" i="1"/>
  <c r="X66" i="1" s="1"/>
  <c r="P115" i="1"/>
  <c r="W115" i="1"/>
  <c r="V109" i="1"/>
  <c r="X109" i="1" s="1"/>
  <c r="V506" i="1"/>
  <c r="X506" i="1" s="1"/>
  <c r="V353" i="1"/>
  <c r="V113" i="1"/>
  <c r="P70" i="1"/>
  <c r="W70" i="1"/>
  <c r="P118" i="1"/>
  <c r="W118" i="1"/>
  <c r="X457" i="1"/>
  <c r="X173" i="1"/>
  <c r="P24" i="1"/>
  <c r="W24" i="1"/>
  <c r="W75" i="1"/>
  <c r="W701" i="1"/>
  <c r="X701" i="1" s="1"/>
  <c r="W121" i="1"/>
  <c r="P121" i="1"/>
  <c r="P558" i="1"/>
  <c r="W558" i="1"/>
  <c r="V352" i="1"/>
  <c r="P692" i="1"/>
  <c r="W111" i="1"/>
  <c r="V112" i="1"/>
  <c r="X112" i="1" s="1"/>
  <c r="U112" i="1"/>
  <c r="P507" i="1"/>
  <c r="P16" i="1"/>
  <c r="W16" i="1"/>
  <c r="V549" i="1"/>
  <c r="U693" i="1"/>
  <c r="X264" i="1"/>
  <c r="P17" i="1"/>
  <c r="W17" i="1"/>
  <c r="X17" i="1" s="1"/>
  <c r="P355" i="1"/>
  <c r="W355" i="1"/>
  <c r="P456" i="1"/>
  <c r="W18" i="1"/>
  <c r="X117" i="1"/>
  <c r="U70" i="1"/>
  <c r="P646" i="1"/>
  <c r="X171" i="1"/>
  <c r="V610" i="1"/>
  <c r="V696" i="1"/>
  <c r="P553" i="1"/>
  <c r="W553" i="1"/>
  <c r="P218" i="1"/>
  <c r="W218" i="1"/>
  <c r="P649" i="1"/>
  <c r="V219" i="1"/>
  <c r="U699" i="1"/>
  <c r="V73" i="1"/>
  <c r="W213" i="1"/>
  <c r="X213" i="1" s="1"/>
  <c r="V504" i="1"/>
  <c r="V602" i="1"/>
  <c r="V505" i="1"/>
  <c r="W352" i="1"/>
  <c r="V357" i="1"/>
  <c r="P607" i="1"/>
  <c r="W607" i="1"/>
  <c r="X607" i="1" s="1"/>
  <c r="P608" i="1"/>
  <c r="W608" i="1"/>
  <c r="X608" i="1" s="1"/>
  <c r="X172" i="1"/>
  <c r="V698" i="1"/>
  <c r="X698" i="1" s="1"/>
  <c r="P651" i="1"/>
  <c r="W651" i="1"/>
  <c r="X651" i="1" s="1"/>
  <c r="X359" i="1"/>
  <c r="W180" i="1"/>
  <c r="X180" i="1" s="1"/>
  <c r="P180" i="1"/>
  <c r="W455" i="1"/>
  <c r="U349" i="1"/>
  <c r="W215" i="1"/>
  <c r="X215" i="1" s="1"/>
  <c r="W504" i="1"/>
  <c r="W602" i="1"/>
  <c r="W505" i="1"/>
  <c r="P169" i="1"/>
  <c r="V350" i="1"/>
  <c r="P67" i="1"/>
  <c r="P353" i="1"/>
  <c r="W353" i="1"/>
  <c r="V606" i="1"/>
  <c r="X606" i="1" s="1"/>
  <c r="P694" i="1"/>
  <c r="P113" i="1"/>
  <c r="W113" i="1"/>
  <c r="V356" i="1"/>
  <c r="X356" i="1" s="1"/>
  <c r="V408" i="1"/>
  <c r="P307" i="1"/>
  <c r="W307" i="1"/>
  <c r="X307" i="1" s="1"/>
  <c r="P551" i="1"/>
  <c r="W551" i="1"/>
  <c r="X551" i="1" s="1"/>
  <c r="P117" i="1"/>
  <c r="W410" i="1"/>
  <c r="X410" i="1" s="1"/>
  <c r="X308" i="1"/>
  <c r="U607" i="1"/>
  <c r="P648" i="1"/>
  <c r="V174" i="1"/>
  <c r="X21" i="1"/>
  <c r="W310" i="1"/>
  <c r="P509" i="1"/>
  <c r="W509" i="1"/>
  <c r="X509" i="1" s="1"/>
  <c r="P267" i="1"/>
  <c r="V74" i="1"/>
  <c r="W269" i="1"/>
  <c r="P269" i="1"/>
  <c r="P271" i="1"/>
  <c r="W271" i="1"/>
  <c r="U402" i="1"/>
  <c r="V407" i="1"/>
  <c r="X407" i="1" s="1"/>
  <c r="X643" i="1"/>
  <c r="W549" i="1"/>
  <c r="V217" i="1"/>
  <c r="V115" i="1"/>
  <c r="W116" i="1"/>
  <c r="X116" i="1" s="1"/>
  <c r="X265" i="1"/>
  <c r="V695" i="1"/>
  <c r="X695" i="1" s="1"/>
  <c r="V647" i="1"/>
  <c r="X647" i="1" s="1"/>
  <c r="P610" i="1"/>
  <c r="W610" i="1"/>
  <c r="P696" i="1"/>
  <c r="W696" i="1"/>
  <c r="W650" i="1"/>
  <c r="X650" i="1" s="1"/>
  <c r="P219" i="1"/>
  <c r="W219" i="1"/>
  <c r="X411" i="1"/>
  <c r="V25" i="1"/>
  <c r="X611" i="1"/>
  <c r="X703" i="1"/>
  <c r="X176" i="1"/>
  <c r="P214" i="1"/>
  <c r="V263" i="1"/>
  <c r="X263" i="1" s="1"/>
  <c r="W263" i="1"/>
  <c r="P549" i="1"/>
  <c r="P644" i="1"/>
  <c r="W644" i="1"/>
  <c r="X644" i="1" s="1"/>
  <c r="W264" i="1"/>
  <c r="V118" i="1"/>
  <c r="W71" i="1"/>
  <c r="P357" i="1"/>
  <c r="W357" i="1"/>
  <c r="P552" i="1"/>
  <c r="W552" i="1"/>
  <c r="X552" i="1" s="1"/>
  <c r="P308" i="1"/>
  <c r="W171" i="1"/>
  <c r="X609" i="1"/>
  <c r="U610" i="1"/>
  <c r="X266" i="1"/>
  <c r="W309" i="1"/>
  <c r="X309" i="1" s="1"/>
  <c r="P359" i="1"/>
  <c r="W359" i="1"/>
  <c r="P21" i="1"/>
  <c r="V24" i="1"/>
  <c r="X24" i="1" s="1"/>
  <c r="U73" i="1"/>
  <c r="X75" i="1"/>
  <c r="X175" i="1"/>
  <c r="V702" i="1"/>
  <c r="X702" i="1" s="1"/>
  <c r="W458" i="1"/>
  <c r="W223" i="1"/>
  <c r="P223" i="1"/>
  <c r="W641" i="1"/>
  <c r="X641" i="1" s="1"/>
  <c r="V262" i="1"/>
  <c r="X262" i="1" s="1"/>
  <c r="W350" i="1"/>
  <c r="W110" i="1"/>
  <c r="X110" i="1" s="1"/>
  <c r="V111" i="1"/>
  <c r="V16" i="1"/>
  <c r="X16" i="1" s="1"/>
  <c r="V354" i="1"/>
  <c r="X354" i="1" s="1"/>
  <c r="P643" i="1"/>
  <c r="U549" i="1"/>
  <c r="V355" i="1"/>
  <c r="X355" i="1" s="1"/>
  <c r="P356" i="1"/>
  <c r="W356" i="1"/>
  <c r="P408" i="1"/>
  <c r="W408" i="1"/>
  <c r="P265" i="1"/>
  <c r="U357" i="1"/>
  <c r="V218" i="1"/>
  <c r="X218" i="1" s="1"/>
  <c r="U698" i="1"/>
  <c r="X22" i="1"/>
  <c r="X72" i="1"/>
  <c r="P74" i="1"/>
  <c r="W74" i="1"/>
  <c r="P611" i="1"/>
  <c r="P554" i="1"/>
  <c r="W554" i="1"/>
  <c r="X554" i="1" s="1"/>
  <c r="P75" i="1"/>
  <c r="U268" i="1"/>
  <c r="P700" i="1"/>
  <c r="W700" i="1"/>
  <c r="X700" i="1" s="1"/>
  <c r="X556" i="1"/>
  <c r="U272" i="1"/>
  <c r="P613" i="1"/>
  <c r="V613" i="1"/>
  <c r="U221" i="1"/>
  <c r="U271" i="1"/>
  <c r="P557" i="1"/>
  <c r="U558" i="1"/>
  <c r="W613" i="1"/>
  <c r="P511" i="1"/>
  <c r="V274" i="1"/>
  <c r="W78" i="1"/>
  <c r="V512" i="1"/>
  <c r="P703" i="1"/>
  <c r="V360" i="1"/>
  <c r="V272" i="1"/>
  <c r="W510" i="1"/>
  <c r="X510" i="1" s="1"/>
  <c r="U121" i="1"/>
  <c r="P176" i="1"/>
  <c r="V122" i="1"/>
  <c r="X122" i="1" s="1"/>
  <c r="X559" i="1"/>
  <c r="V560" i="1"/>
  <c r="V614" i="1"/>
  <c r="X614" i="1" s="1"/>
  <c r="X462" i="1"/>
  <c r="P175" i="1"/>
  <c r="W270" i="1"/>
  <c r="V221" i="1"/>
  <c r="X221" i="1" s="1"/>
  <c r="V460" i="1"/>
  <c r="X364" i="1"/>
  <c r="X181" i="1"/>
  <c r="X125" i="1"/>
  <c r="W33" i="1"/>
  <c r="P33" i="1"/>
  <c r="W698" i="1"/>
  <c r="W699" i="1"/>
  <c r="X699" i="1" s="1"/>
  <c r="W20" i="1"/>
  <c r="X20" i="1" s="1"/>
  <c r="W174" i="1"/>
  <c r="W23" i="1"/>
  <c r="X23" i="1" s="1"/>
  <c r="W73" i="1"/>
  <c r="W25" i="1"/>
  <c r="W26" i="1"/>
  <c r="X26" i="1" s="1"/>
  <c r="W268" i="1"/>
  <c r="W220" i="1"/>
  <c r="X220" i="1" s="1"/>
  <c r="V269" i="1"/>
  <c r="X269" i="1" s="1"/>
  <c r="P458" i="1"/>
  <c r="V271" i="1"/>
  <c r="X271" i="1" s="1"/>
  <c r="W312" i="1"/>
  <c r="V120" i="1"/>
  <c r="X120" i="1" s="1"/>
  <c r="V121" i="1"/>
  <c r="V558" i="1"/>
  <c r="V123" i="1"/>
  <c r="W460" i="1"/>
  <c r="P614" i="1"/>
  <c r="W275" i="1"/>
  <c r="X275" i="1" s="1"/>
  <c r="P276" i="1"/>
  <c r="X615" i="1"/>
  <c r="P313" i="1"/>
  <c r="W177" i="1"/>
  <c r="X177" i="1" s="1"/>
  <c r="W27" i="1"/>
  <c r="X27" i="1" s="1"/>
  <c r="W178" i="1"/>
  <c r="X178" i="1" s="1"/>
  <c r="P706" i="1"/>
  <c r="P364" i="1"/>
  <c r="X179" i="1"/>
  <c r="P181" i="1"/>
  <c r="X79" i="1"/>
  <c r="W123" i="1"/>
  <c r="W274" i="1"/>
  <c r="W512" i="1"/>
  <c r="W706" i="1"/>
  <c r="X706" i="1" s="1"/>
  <c r="W463" i="1"/>
  <c r="X463" i="1" s="1"/>
  <c r="W707" i="1"/>
  <c r="P119" i="1"/>
  <c r="V652" i="1"/>
  <c r="X652" i="1" s="1"/>
  <c r="W360" i="1"/>
  <c r="V705" i="1"/>
  <c r="X705" i="1" s="1"/>
  <c r="U312" i="1"/>
  <c r="W272" i="1"/>
  <c r="P120" i="1"/>
  <c r="W362" i="1"/>
  <c r="X362" i="1" s="1"/>
  <c r="V77" i="1"/>
  <c r="X77" i="1" s="1"/>
  <c r="U77" i="1"/>
  <c r="P123" i="1"/>
  <c r="P413" i="1"/>
  <c r="U460" i="1"/>
  <c r="W560" i="1"/>
  <c r="P363" i="1"/>
  <c r="U275" i="1"/>
  <c r="U177" i="1"/>
  <c r="U178" i="1"/>
  <c r="V270" i="1"/>
  <c r="X270" i="1" s="1"/>
  <c r="P653" i="1"/>
  <c r="V361" i="1"/>
  <c r="X361" i="1" s="1"/>
  <c r="P273" i="1"/>
  <c r="U510" i="1"/>
  <c r="U123" i="1"/>
  <c r="P414" i="1"/>
  <c r="U274" i="1"/>
  <c r="X223" i="1"/>
  <c r="X78" i="1"/>
  <c r="U512" i="1"/>
  <c r="U463" i="1"/>
  <c r="X365" i="1"/>
  <c r="W130" i="1"/>
  <c r="P130" i="1"/>
  <c r="W623" i="1"/>
  <c r="P623" i="1"/>
  <c r="W654" i="1"/>
  <c r="X654" i="1" s="1"/>
  <c r="V465" i="1"/>
  <c r="X465" i="1" s="1"/>
  <c r="V126" i="1"/>
  <c r="P513" i="1"/>
  <c r="V182" i="1"/>
  <c r="P127" i="1"/>
  <c r="V30" i="1"/>
  <c r="P31" i="1"/>
  <c r="V128" i="1"/>
  <c r="P561" i="1"/>
  <c r="V416" i="1"/>
  <c r="P183" i="1"/>
  <c r="P466" i="1"/>
  <c r="W466" i="1"/>
  <c r="X466" i="1" s="1"/>
  <c r="P467" i="1"/>
  <c r="X617" i="1"/>
  <c r="U79" i="1"/>
  <c r="W564" i="1"/>
  <c r="X564" i="1" s="1"/>
  <c r="U658" i="1"/>
  <c r="P716" i="1"/>
  <c r="V716" i="1"/>
  <c r="X716" i="1" s="1"/>
  <c r="W124" i="1"/>
  <c r="W415" i="1"/>
  <c r="W277" i="1"/>
  <c r="X277" i="1" s="1"/>
  <c r="V562" i="1"/>
  <c r="V657" i="1"/>
  <c r="V368" i="1"/>
  <c r="X368" i="1" s="1"/>
  <c r="X621" i="1"/>
  <c r="P277" i="1"/>
  <c r="V225" i="1"/>
  <c r="X225" i="1" s="1"/>
  <c r="W28" i="1"/>
  <c r="X28" i="1" s="1"/>
  <c r="V616" i="1"/>
  <c r="X616" i="1" s="1"/>
  <c r="W29" i="1"/>
  <c r="X29" i="1" s="1"/>
  <c r="V366" i="1"/>
  <c r="W514" i="1"/>
  <c r="X514" i="1" s="1"/>
  <c r="V655" i="1"/>
  <c r="X655" i="1" s="1"/>
  <c r="W515" i="1"/>
  <c r="X515" i="1" s="1"/>
  <c r="V417" i="1"/>
  <c r="X417" i="1" s="1"/>
  <c r="W711" i="1"/>
  <c r="X711" i="1" s="1"/>
  <c r="X516" i="1"/>
  <c r="P321" i="1"/>
  <c r="W321" i="1"/>
  <c r="U277" i="1"/>
  <c r="W278" i="1"/>
  <c r="X278" i="1" s="1"/>
  <c r="W708" i="1"/>
  <c r="X708" i="1" s="1"/>
  <c r="V563" i="1"/>
  <c r="X563" i="1" s="1"/>
  <c r="W709" i="1"/>
  <c r="X709" i="1" s="1"/>
  <c r="P516" i="1"/>
  <c r="V565" i="1"/>
  <c r="X565" i="1" s="1"/>
  <c r="W713" i="1"/>
  <c r="X32" i="1"/>
  <c r="X568" i="1"/>
  <c r="P126" i="1"/>
  <c r="W126" i="1"/>
  <c r="P225" i="1"/>
  <c r="X513" i="1"/>
  <c r="U28" i="1"/>
  <c r="P182" i="1"/>
  <c r="W182" i="1"/>
  <c r="P616" i="1"/>
  <c r="U29" i="1"/>
  <c r="P30" i="1"/>
  <c r="W30" i="1"/>
  <c r="P366" i="1"/>
  <c r="U514" i="1"/>
  <c r="P128" i="1"/>
  <c r="W128" i="1"/>
  <c r="P655" i="1"/>
  <c r="X561" i="1"/>
  <c r="P416" i="1"/>
  <c r="W416" i="1"/>
  <c r="X183" i="1"/>
  <c r="V619" i="1"/>
  <c r="X619" i="1" s="1"/>
  <c r="V415" i="1"/>
  <c r="X415" i="1" s="1"/>
  <c r="W618" i="1"/>
  <c r="X618" i="1" s="1"/>
  <c r="U708" i="1"/>
  <c r="P562" i="1"/>
  <c r="W562" i="1"/>
  <c r="P563" i="1"/>
  <c r="W656" i="1"/>
  <c r="X656" i="1" s="1"/>
  <c r="U709" i="1"/>
  <c r="P657" i="1"/>
  <c r="W657" i="1"/>
  <c r="P710" i="1"/>
  <c r="P185" i="1"/>
  <c r="W185" i="1"/>
  <c r="P659" i="1"/>
  <c r="V659" i="1"/>
  <c r="X659" i="1" s="1"/>
  <c r="V714" i="1"/>
  <c r="X714" i="1" s="1"/>
  <c r="W714" i="1"/>
  <c r="W566" i="1"/>
  <c r="X566" i="1" s="1"/>
  <c r="P566" i="1"/>
  <c r="P32" i="1"/>
  <c r="W32" i="1"/>
  <c r="V316" i="1"/>
  <c r="X316" i="1" s="1"/>
  <c r="V34" i="1"/>
  <c r="X34" i="1" s="1"/>
  <c r="P471" i="1"/>
  <c r="W471" i="1"/>
  <c r="P188" i="1"/>
  <c r="W188" i="1"/>
  <c r="X188" i="1" s="1"/>
  <c r="W282" i="1"/>
  <c r="X282" i="1" s="1"/>
  <c r="P282" i="1"/>
  <c r="P82" i="1"/>
  <c r="W82" i="1"/>
  <c r="X82" i="1" s="1"/>
  <c r="V662" i="1"/>
  <c r="X320" i="1"/>
  <c r="V35" i="1"/>
  <c r="X35" i="1" s="1"/>
  <c r="U372" i="1"/>
  <c r="U283" i="1"/>
  <c r="W570" i="1"/>
  <c r="U717" i="1"/>
  <c r="V717" i="1"/>
  <c r="X717" i="1" s="1"/>
  <c r="P480" i="1"/>
  <c r="V480" i="1"/>
  <c r="X480" i="1" s="1"/>
  <c r="W470" i="1"/>
  <c r="X470" i="1" s="1"/>
  <c r="V280" i="1"/>
  <c r="V187" i="1"/>
  <c r="W131" i="1"/>
  <c r="X131" i="1" s="1"/>
  <c r="V226" i="1"/>
  <c r="X226" i="1" s="1"/>
  <c r="V369" i="1"/>
  <c r="P134" i="1"/>
  <c r="W134" i="1"/>
  <c r="W518" i="1"/>
  <c r="X518" i="1" s="1"/>
  <c r="V519" i="1"/>
  <c r="V190" i="1"/>
  <c r="X190" i="1" s="1"/>
  <c r="P37" i="1"/>
  <c r="W37" i="1"/>
  <c r="P192" i="1"/>
  <c r="V192" i="1"/>
  <c r="X192" i="1" s="1"/>
  <c r="X285" i="1"/>
  <c r="V658" i="1"/>
  <c r="X658" i="1" s="1"/>
  <c r="V367" i="1"/>
  <c r="X367" i="1" s="1"/>
  <c r="V184" i="1"/>
  <c r="X184" i="1" s="1"/>
  <c r="W469" i="1"/>
  <c r="X469" i="1" s="1"/>
  <c r="P368" i="1"/>
  <c r="P315" i="1"/>
  <c r="U129" i="1"/>
  <c r="W419" i="1"/>
  <c r="X419" i="1" s="1"/>
  <c r="W567" i="1"/>
  <c r="P567" i="1"/>
  <c r="P131" i="1"/>
  <c r="W81" i="1"/>
  <c r="X81" i="1" s="1"/>
  <c r="P81" i="1"/>
  <c r="P568" i="1"/>
  <c r="W568" i="1"/>
  <c r="W660" i="1"/>
  <c r="X660" i="1" s="1"/>
  <c r="V715" i="1"/>
  <c r="X715" i="1" s="1"/>
  <c r="W318" i="1"/>
  <c r="P318" i="1"/>
  <c r="W371" i="1"/>
  <c r="X371" i="1" s="1"/>
  <c r="V135" i="1"/>
  <c r="P322" i="1"/>
  <c r="V373" i="1"/>
  <c r="X373" i="1" s="1"/>
  <c r="W374" i="1"/>
  <c r="W279" i="1"/>
  <c r="X279" i="1" s="1"/>
  <c r="W314" i="1"/>
  <c r="X314" i="1" s="1"/>
  <c r="V620" i="1"/>
  <c r="X620" i="1" s="1"/>
  <c r="V185" i="1"/>
  <c r="X185" i="1" s="1"/>
  <c r="U315" i="1"/>
  <c r="W621" i="1"/>
  <c r="P420" i="1"/>
  <c r="V130" i="1"/>
  <c r="X130" i="1" s="1"/>
  <c r="V33" i="1"/>
  <c r="X33" i="1" s="1"/>
  <c r="W80" i="1"/>
  <c r="V623" i="1"/>
  <c r="X623" i="1" s="1"/>
  <c r="U81" i="1"/>
  <c r="W133" i="1"/>
  <c r="X133" i="1" s="1"/>
  <c r="P661" i="1"/>
  <c r="V473" i="1"/>
  <c r="X281" i="1"/>
  <c r="W569" i="1"/>
  <c r="X569" i="1" s="1"/>
  <c r="P569" i="1"/>
  <c r="P662" i="1"/>
  <c r="W662" i="1"/>
  <c r="W83" i="1"/>
  <c r="X83" i="1" s="1"/>
  <c r="W320" i="1"/>
  <c r="P625" i="1"/>
  <c r="V570" i="1"/>
  <c r="X570" i="1" s="1"/>
  <c r="P664" i="1"/>
  <c r="W664" i="1"/>
  <c r="V228" i="1"/>
  <c r="X228" i="1" s="1"/>
  <c r="W34" i="1"/>
  <c r="P34" i="1"/>
  <c r="W472" i="1"/>
  <c r="P472" i="1"/>
  <c r="P369" i="1"/>
  <c r="W369" i="1"/>
  <c r="W661" i="1"/>
  <c r="P519" i="1"/>
  <c r="W519" i="1"/>
  <c r="P373" i="1"/>
  <c r="W373" i="1"/>
  <c r="W665" i="1"/>
  <c r="X665" i="1" s="1"/>
  <c r="P40" i="1"/>
  <c r="V40" i="1"/>
  <c r="X40" i="1" s="1"/>
  <c r="W129" i="1"/>
  <c r="X129" i="1" s="1"/>
  <c r="W420" i="1"/>
  <c r="P186" i="1"/>
  <c r="X517" i="1"/>
  <c r="P317" i="1"/>
  <c r="W317" i="1"/>
  <c r="X317" i="1" s="1"/>
  <c r="P422" i="1"/>
  <c r="X471" i="1"/>
  <c r="W227" i="1"/>
  <c r="X227" i="1" s="1"/>
  <c r="V319" i="1"/>
  <c r="X319" i="1" s="1"/>
  <c r="W423" i="1"/>
  <c r="P423" i="1"/>
  <c r="W36" i="1"/>
  <c r="X36" i="1" s="1"/>
  <c r="P36" i="1"/>
  <c r="P135" i="1"/>
  <c r="W135" i="1"/>
  <c r="P372" i="1"/>
  <c r="W573" i="1"/>
  <c r="X573" i="1" s="1"/>
  <c r="P573" i="1"/>
  <c r="V710" i="1"/>
  <c r="X710" i="1" s="1"/>
  <c r="V468" i="1"/>
  <c r="X468" i="1" s="1"/>
  <c r="V712" i="1"/>
  <c r="X712" i="1" s="1"/>
  <c r="V713" i="1"/>
  <c r="X713" i="1" s="1"/>
  <c r="X315" i="1"/>
  <c r="W280" i="1"/>
  <c r="P421" i="1"/>
  <c r="V567" i="1"/>
  <c r="X567" i="1" s="1"/>
  <c r="W187" i="1"/>
  <c r="V80" i="1"/>
  <c r="X80" i="1" s="1"/>
  <c r="W226" i="1"/>
  <c r="W624" i="1"/>
  <c r="X624" i="1" s="1"/>
  <c r="P624" i="1"/>
  <c r="P473" i="1"/>
  <c r="W473" i="1"/>
  <c r="X318" i="1"/>
  <c r="X134" i="1"/>
  <c r="U36" i="1"/>
  <c r="P283" i="1"/>
  <c r="X476" i="1"/>
  <c r="P521" i="1"/>
  <c r="W521" i="1"/>
  <c r="X521" i="1" s="1"/>
  <c r="X578" i="1"/>
  <c r="V477" i="1"/>
  <c r="W324" i="1"/>
  <c r="X324" i="1" s="1"/>
  <c r="W666" i="1"/>
  <c r="X666" i="1" s="1"/>
  <c r="V325" i="1"/>
  <c r="W667" i="1"/>
  <c r="V668" i="1"/>
  <c r="X668" i="1" s="1"/>
  <c r="P86" i="1"/>
  <c r="V38" i="1"/>
  <c r="P88" i="1"/>
  <c r="P479" i="1"/>
  <c r="W230" i="1"/>
  <c r="P575" i="1"/>
  <c r="V195" i="1"/>
  <c r="W232" i="1"/>
  <c r="X232" i="1" s="1"/>
  <c r="U46" i="1"/>
  <c r="V718" i="1"/>
  <c r="X718" i="1" s="1"/>
  <c r="P718" i="1"/>
  <c r="V582" i="1"/>
  <c r="X582" i="1" s="1"/>
  <c r="U381" i="1"/>
  <c r="V381" i="1"/>
  <c r="X381" i="1" s="1"/>
  <c r="W722" i="1"/>
  <c r="P722" i="1"/>
  <c r="P376" i="1"/>
  <c r="W376" i="1"/>
  <c r="X376" i="1" s="1"/>
  <c r="P670" i="1"/>
  <c r="W670" i="1"/>
  <c r="X670" i="1" s="1"/>
  <c r="W523" i="1"/>
  <c r="X523" i="1" s="1"/>
  <c r="P523" i="1"/>
  <c r="P384" i="1"/>
  <c r="W384" i="1"/>
  <c r="P721" i="1"/>
  <c r="W721" i="1"/>
  <c r="W477" i="1"/>
  <c r="U228" i="1"/>
  <c r="W627" i="1"/>
  <c r="P627" i="1"/>
  <c r="P377" i="1"/>
  <c r="W377" i="1"/>
  <c r="X377" i="1" s="1"/>
  <c r="P285" i="1"/>
  <c r="W285" i="1"/>
  <c r="P231" i="1"/>
  <c r="W231" i="1"/>
  <c r="X231" i="1" s="1"/>
  <c r="W323" i="1"/>
  <c r="U476" i="1"/>
  <c r="W375" i="1"/>
  <c r="X375" i="1" s="1"/>
  <c r="P375" i="1"/>
  <c r="X191" i="1"/>
  <c r="V137" i="1"/>
  <c r="U327" i="1"/>
  <c r="V522" i="1"/>
  <c r="X522" i="1" s="1"/>
  <c r="X524" i="1"/>
  <c r="X46" i="1"/>
  <c r="V234" i="1"/>
  <c r="X234" i="1" s="1"/>
  <c r="W284" i="1"/>
  <c r="X284" i="1" s="1"/>
  <c r="W325" i="1"/>
  <c r="P325" i="1"/>
  <c r="X667" i="1"/>
  <c r="W193" i="1"/>
  <c r="X193" i="1" s="1"/>
  <c r="P669" i="1"/>
  <c r="W669" i="1"/>
  <c r="X669" i="1" s="1"/>
  <c r="P628" i="1"/>
  <c r="W628" i="1"/>
  <c r="P574" i="1"/>
  <c r="V89" i="1"/>
  <c r="X89" i="1" s="1"/>
  <c r="W41" i="1"/>
  <c r="X41" i="1" s="1"/>
  <c r="P138" i="1"/>
  <c r="W138" i="1"/>
  <c r="X138" i="1" s="1"/>
  <c r="W378" i="1"/>
  <c r="X378" i="1" s="1"/>
  <c r="W429" i="1"/>
  <c r="X429" i="1" s="1"/>
  <c r="P233" i="1"/>
  <c r="W233" i="1"/>
  <c r="X233" i="1" s="1"/>
  <c r="P90" i="1"/>
  <c r="W90" i="1"/>
  <c r="X90" i="1" s="1"/>
  <c r="V236" i="1"/>
  <c r="X236" i="1" s="1"/>
  <c r="X330" i="1"/>
  <c r="P571" i="1"/>
  <c r="V229" i="1"/>
  <c r="X229" i="1" s="1"/>
  <c r="U628" i="1"/>
  <c r="W38" i="1"/>
  <c r="P39" i="1"/>
  <c r="W39" i="1"/>
  <c r="X39" i="1" s="1"/>
  <c r="P427" i="1"/>
  <c r="W427" i="1"/>
  <c r="X427" i="1" s="1"/>
  <c r="X230" i="1"/>
  <c r="U41" i="1"/>
  <c r="U378" i="1"/>
  <c r="W195" i="1"/>
  <c r="U429" i="1"/>
  <c r="X379" i="1"/>
  <c r="W140" i="1"/>
  <c r="X140" i="1" s="1"/>
  <c r="V93" i="1"/>
  <c r="X93" i="1" s="1"/>
  <c r="V48" i="1"/>
  <c r="V664" i="1"/>
  <c r="P476" i="1"/>
  <c r="V374" i="1"/>
  <c r="X374" i="1" s="1"/>
  <c r="V626" i="1"/>
  <c r="X626" i="1" s="1"/>
  <c r="V627" i="1"/>
  <c r="V136" i="1"/>
  <c r="X136" i="1" s="1"/>
  <c r="P137" i="1"/>
  <c r="W137" i="1"/>
  <c r="P520" i="1"/>
  <c r="W520" i="1"/>
  <c r="P326" i="1"/>
  <c r="W326" i="1"/>
  <c r="P89" i="1"/>
  <c r="V194" i="1"/>
  <c r="X194" i="1" s="1"/>
  <c r="W92" i="1"/>
  <c r="X92" i="1" s="1"/>
  <c r="P428" i="1"/>
  <c r="P429" i="1"/>
  <c r="W577" i="1"/>
  <c r="X577" i="1" s="1"/>
  <c r="W43" i="1"/>
  <c r="X43" i="1" s="1"/>
  <c r="U92" i="1"/>
  <c r="W581" i="1"/>
  <c r="X581" i="1" s="1"/>
  <c r="V329" i="1"/>
  <c r="X329" i="1" s="1"/>
  <c r="U94" i="1"/>
  <c r="V95" i="1"/>
  <c r="X240" i="1"/>
  <c r="V584" i="1"/>
  <c r="X673" i="1"/>
  <c r="P382" i="1"/>
  <c r="W382" i="1"/>
  <c r="W383" i="1"/>
  <c r="X383" i="1" s="1"/>
  <c r="W674" i="1"/>
  <c r="X674" i="1" s="1"/>
  <c r="P674" i="1"/>
  <c r="P529" i="1"/>
  <c r="W529" i="1"/>
  <c r="V576" i="1"/>
  <c r="P380" i="1"/>
  <c r="P524" i="1"/>
  <c r="U581" i="1"/>
  <c r="P719" i="1"/>
  <c r="P583" i="1"/>
  <c r="V430" i="1"/>
  <c r="X430" i="1" s="1"/>
  <c r="V431" i="1"/>
  <c r="X431" i="1" s="1"/>
  <c r="V432" i="1"/>
  <c r="X432" i="1" s="1"/>
  <c r="V436" i="1"/>
  <c r="X241" i="1"/>
  <c r="P242" i="1"/>
  <c r="W242" i="1"/>
  <c r="X242" i="1" s="1"/>
  <c r="W330" i="1"/>
  <c r="W528" i="1"/>
  <c r="X528" i="1" s="1"/>
  <c r="P528" i="1"/>
  <c r="P383" i="1"/>
  <c r="U722" i="1"/>
  <c r="X723" i="1"/>
  <c r="X143" i="1"/>
  <c r="X725" i="1"/>
  <c r="W196" i="1"/>
  <c r="X196" i="1" s="1"/>
  <c r="P527" i="1"/>
  <c r="W527" i="1"/>
  <c r="X527" i="1" s="1"/>
  <c r="W483" i="1"/>
  <c r="X483" i="1" s="1"/>
  <c r="P483" i="1"/>
  <c r="P142" i="1"/>
  <c r="W142" i="1"/>
  <c r="X142" i="1" s="1"/>
  <c r="W385" i="1"/>
  <c r="X385" i="1" s="1"/>
  <c r="P385" i="1"/>
  <c r="V571" i="1"/>
  <c r="X571" i="1" s="1"/>
  <c r="V424" i="1"/>
  <c r="X424" i="1" s="1"/>
  <c r="U45" i="1"/>
  <c r="W46" i="1"/>
  <c r="P196" i="1"/>
  <c r="W719" i="1"/>
  <c r="X719" i="1" s="1"/>
  <c r="W583" i="1"/>
  <c r="W237" i="1"/>
  <c r="X237" i="1" s="1"/>
  <c r="W525" i="1"/>
  <c r="X525" i="1" s="1"/>
  <c r="W141" i="1"/>
  <c r="P286" i="1"/>
  <c r="W286" i="1"/>
  <c r="X286" i="1" s="1"/>
  <c r="W436" i="1"/>
  <c r="W95" i="1"/>
  <c r="P95" i="1"/>
  <c r="P629" i="1"/>
  <c r="W629" i="1"/>
  <c r="W241" i="1"/>
  <c r="W584" i="1"/>
  <c r="P584" i="1"/>
  <c r="P673" i="1"/>
  <c r="W198" i="1"/>
  <c r="X198" i="1" s="1"/>
  <c r="U196" i="1"/>
  <c r="P579" i="1"/>
  <c r="U719" i="1"/>
  <c r="P236" i="1"/>
  <c r="U583" i="1"/>
  <c r="P381" i="1"/>
  <c r="U237" i="1"/>
  <c r="U525" i="1"/>
  <c r="U141" i="1"/>
  <c r="W434" i="1"/>
  <c r="X434" i="1" s="1"/>
  <c r="P436" i="1"/>
  <c r="P241" i="1"/>
  <c r="W96" i="1"/>
  <c r="X96" i="1" s="1"/>
  <c r="V384" i="1"/>
  <c r="X721" i="1"/>
  <c r="V630" i="1"/>
  <c r="X630" i="1" s="1"/>
  <c r="P438" i="1"/>
  <c r="W438" i="1"/>
  <c r="X438" i="1" s="1"/>
  <c r="P331" i="1"/>
  <c r="X332" i="1"/>
  <c r="V328" i="1"/>
  <c r="X328" i="1" s="1"/>
  <c r="W42" i="1"/>
  <c r="X42" i="1" s="1"/>
  <c r="P94" i="1"/>
  <c r="V49" i="1"/>
  <c r="X49" i="1" s="1"/>
  <c r="W585" i="1"/>
  <c r="X585" i="1" s="1"/>
  <c r="V382" i="1"/>
  <c r="X529" i="1"/>
  <c r="P437" i="1"/>
  <c r="W437" i="1"/>
  <c r="X437" i="1" s="1"/>
  <c r="W578" i="1"/>
  <c r="P47" i="1"/>
  <c r="X722" i="1"/>
  <c r="P675" i="1"/>
  <c r="W675" i="1"/>
  <c r="X675" i="1" s="1"/>
  <c r="P482" i="1"/>
  <c r="W724" i="1"/>
  <c r="X724" i="1" s="1"/>
  <c r="W587" i="1"/>
  <c r="X587" i="1" s="1"/>
  <c r="V720" i="1"/>
  <c r="V239" i="1"/>
  <c r="X239" i="1" s="1"/>
  <c r="V433" i="1"/>
  <c r="X433" i="1" s="1"/>
  <c r="W288" i="1"/>
  <c r="X288" i="1" s="1"/>
  <c r="P434" i="1"/>
  <c r="W144" i="1"/>
  <c r="X144" i="1" s="1"/>
  <c r="P727" i="1"/>
  <c r="X583" i="2" l="1"/>
  <c r="Y583" i="2" s="1"/>
  <c r="X300" i="2"/>
  <c r="Y300" i="2" s="1"/>
  <c r="X336" i="2"/>
  <c r="Y336" i="2" s="1"/>
  <c r="X143" i="2"/>
  <c r="Y143" i="2" s="1"/>
  <c r="X696" i="2"/>
  <c r="Y696" i="2" s="1"/>
  <c r="X458" i="2"/>
  <c r="Y458" i="2" s="1"/>
  <c r="X50" i="2"/>
  <c r="Y50" i="2" s="1"/>
  <c r="X390" i="2"/>
  <c r="Y390" i="2" s="1"/>
  <c r="X334" i="2"/>
  <c r="Y334" i="2" s="1"/>
  <c r="X668" i="2"/>
  <c r="Y668" i="2" s="1"/>
  <c r="X678" i="2"/>
  <c r="Y678" i="2" s="1"/>
  <c r="X426" i="2"/>
  <c r="Y426" i="2" s="1"/>
  <c r="X413" i="2"/>
  <c r="Y413" i="2" s="1"/>
  <c r="X710" i="2"/>
  <c r="Y710" i="2" s="1"/>
  <c r="X365" i="2"/>
  <c r="Y365" i="2" s="1"/>
  <c r="X319" i="2"/>
  <c r="Y319" i="2" s="1"/>
  <c r="X353" i="2"/>
  <c r="X537" i="2"/>
  <c r="Y537" i="2" s="1"/>
  <c r="X44" i="2"/>
  <c r="Y44" i="2" s="1"/>
  <c r="X667" i="2"/>
  <c r="Y667" i="2" s="1"/>
  <c r="X464" i="2"/>
  <c r="Y464" i="2" s="1"/>
  <c r="X320" i="2"/>
  <c r="Y320" i="2" s="1"/>
  <c r="X9" i="2"/>
  <c r="Y9" i="2" s="1"/>
  <c r="X488" i="2"/>
  <c r="Y488" i="2" s="1"/>
  <c r="X445" i="2"/>
  <c r="Y445" i="2" s="1"/>
  <c r="X440" i="2"/>
  <c r="Y440" i="2" s="1"/>
  <c r="X142" i="2"/>
  <c r="Y142" i="2" s="1"/>
  <c r="X322" i="2"/>
  <c r="Y322" i="2" s="1"/>
  <c r="X698" i="2"/>
  <c r="Y698" i="2" s="1"/>
  <c r="X183" i="2"/>
  <c r="Y183" i="2" s="1"/>
  <c r="X283" i="2"/>
  <c r="Y283" i="2" s="1"/>
  <c r="X60" i="2"/>
  <c r="Y60" i="2" s="1"/>
  <c r="X523" i="2"/>
  <c r="Y523" i="2" s="1"/>
  <c r="X683" i="2"/>
  <c r="X352" i="2"/>
  <c r="Y352" i="2" s="1"/>
  <c r="X124" i="2"/>
  <c r="Y124" i="2" s="1"/>
  <c r="X255" i="2"/>
  <c r="Y255" i="2" s="1"/>
  <c r="X532" i="2"/>
  <c r="Y532" i="2" s="1"/>
  <c r="X455" i="2"/>
  <c r="Y455" i="2" s="1"/>
  <c r="X175" i="2"/>
  <c r="Y175" i="2" s="1"/>
  <c r="X707" i="2"/>
  <c r="Y707" i="2" s="1"/>
  <c r="X316" i="2"/>
  <c r="Y316" i="2" s="1"/>
  <c r="X55" i="2"/>
  <c r="Y55" i="2" s="1"/>
  <c r="X263" i="2"/>
  <c r="Y263" i="2" s="1"/>
  <c r="X442" i="2"/>
  <c r="Y442" i="2" s="1"/>
  <c r="X129" i="2"/>
  <c r="Y129" i="2" s="1"/>
  <c r="X462" i="2"/>
  <c r="Y462" i="2" s="1"/>
  <c r="X688" i="2"/>
  <c r="Y688" i="2" s="1"/>
  <c r="X70" i="2"/>
  <c r="Y70" i="2" s="1"/>
  <c r="X388" i="2"/>
  <c r="Y388" i="2" s="1"/>
  <c r="X254" i="2"/>
  <c r="Y254" i="2" s="1"/>
  <c r="X438" i="2"/>
  <c r="Y438" i="2" s="1"/>
  <c r="X499" i="2"/>
  <c r="Y499" i="2" s="1"/>
  <c r="X565" i="2"/>
  <c r="Y565" i="2" s="1"/>
  <c r="X470" i="2"/>
  <c r="Y470" i="2" s="1"/>
  <c r="X81" i="2"/>
  <c r="Y81" i="2" s="1"/>
  <c r="X435" i="2"/>
  <c r="Y435" i="2" s="1"/>
  <c r="X131" i="2"/>
  <c r="Y131" i="2" s="1"/>
  <c r="X417" i="2"/>
  <c r="Y417" i="2" s="1"/>
  <c r="X165" i="2"/>
  <c r="Y165" i="2" s="1"/>
  <c r="X448" i="2"/>
  <c r="Y448" i="2" s="1"/>
  <c r="X88" i="2"/>
  <c r="Y88" i="2" s="1"/>
  <c r="X385" i="2"/>
  <c r="Y385" i="2" s="1"/>
  <c r="X216" i="2"/>
  <c r="Y216" i="2" s="1"/>
  <c r="X366" i="2"/>
  <c r="Y366" i="2" s="1"/>
  <c r="X176" i="2"/>
  <c r="Y176" i="2" s="1"/>
  <c r="X180" i="2"/>
  <c r="Y180" i="2" s="1"/>
  <c r="X400" i="2"/>
  <c r="Y400" i="2" s="1"/>
  <c r="X482" i="2"/>
  <c r="Y482" i="2" s="1"/>
  <c r="X624" i="2"/>
  <c r="Y624" i="2" s="1"/>
  <c r="X613" i="2"/>
  <c r="Y613" i="2" s="1"/>
  <c r="X35" i="2"/>
  <c r="Y35" i="2" s="1"/>
  <c r="X539" i="2"/>
  <c r="Y539" i="2" s="1"/>
  <c r="X222" i="2"/>
  <c r="Y222" i="2" s="1"/>
  <c r="X391" i="2"/>
  <c r="Y391" i="2" s="1"/>
  <c r="X384" i="2"/>
  <c r="Y384" i="2" s="1"/>
  <c r="X139" i="2"/>
  <c r="Y139" i="2" s="1"/>
  <c r="X329" i="2"/>
  <c r="Y329" i="2" s="1"/>
  <c r="X69" i="2"/>
  <c r="Y69" i="2" s="1"/>
  <c r="X510" i="2"/>
  <c r="Y510" i="2" s="1"/>
  <c r="X358" i="2"/>
  <c r="Y358" i="2" s="1"/>
  <c r="X8" i="2"/>
  <c r="Y8" i="2" s="1"/>
  <c r="X602" i="2"/>
  <c r="Y602" i="2" s="1"/>
  <c r="X636" i="2"/>
  <c r="Y636" i="2" s="1"/>
  <c r="X294" i="2"/>
  <c r="Y294" i="2" s="1"/>
  <c r="X486" i="2"/>
  <c r="Y486" i="2" s="1"/>
  <c r="X573" i="2"/>
  <c r="Y573" i="2" s="1"/>
  <c r="X673" i="2"/>
  <c r="Y673" i="2" s="1"/>
  <c r="X662" i="2"/>
  <c r="Y662" i="2" s="1"/>
  <c r="X31" i="2"/>
  <c r="Y31" i="2" s="1"/>
  <c r="X181" i="2"/>
  <c r="Y181" i="2" s="1"/>
  <c r="X420" i="2"/>
  <c r="Y420" i="2" s="1"/>
  <c r="X51" i="1"/>
  <c r="X436" i="1"/>
  <c r="X323" i="1"/>
  <c r="X602" i="1"/>
  <c r="X167" i="1"/>
  <c r="X542" i="1"/>
  <c r="X61" i="1"/>
  <c r="X296" i="1"/>
  <c r="X681" i="1"/>
  <c r="X576" i="1"/>
  <c r="X472" i="1"/>
  <c r="X519" i="1"/>
  <c r="X662" i="1"/>
  <c r="X124" i="1"/>
  <c r="X504" i="1"/>
  <c r="X70" i="1"/>
  <c r="X685" i="1"/>
  <c r="X302" i="1"/>
  <c r="X397" i="1"/>
  <c r="X161" i="1"/>
  <c r="X150" i="1"/>
  <c r="X511" i="1"/>
  <c r="X420" i="1"/>
  <c r="X707" i="1"/>
  <c r="X301" i="1"/>
  <c r="X154" i="1"/>
  <c r="X201" i="1"/>
  <c r="X313" i="1"/>
  <c r="X498" i="1"/>
  <c r="X441" i="1"/>
  <c r="X387" i="1"/>
  <c r="X720" i="1"/>
  <c r="X520" i="1"/>
  <c r="X118" i="1"/>
  <c r="X500" i="1"/>
  <c r="X153" i="1"/>
  <c r="X358" i="1"/>
  <c r="X257" i="1"/>
  <c r="X532" i="1"/>
  <c r="X380" i="1"/>
  <c r="X268" i="1"/>
  <c r="X350" i="1"/>
  <c r="X141" i="1"/>
  <c r="X629" i="1"/>
  <c r="X664" i="1"/>
  <c r="X628" i="1"/>
  <c r="X321" i="1"/>
  <c r="X366" i="1"/>
  <c r="X389" i="1"/>
  <c r="X297" i="1"/>
  <c r="X604" i="1"/>
  <c r="X612" i="1"/>
  <c r="X48" i="1"/>
  <c r="X661" i="1"/>
  <c r="X696" i="1"/>
  <c r="X687" i="1"/>
  <c r="X165" i="1"/>
  <c r="X683" i="1"/>
  <c r="X645" i="1"/>
  <c r="X642" i="1"/>
  <c r="X166" i="1"/>
  <c r="X501" i="1"/>
  <c r="X637" i="1"/>
  <c r="X491" i="1"/>
  <c r="X497" i="1"/>
  <c r="X336" i="1"/>
  <c r="X539" i="1"/>
  <c r="X370" i="1"/>
  <c r="X447" i="1"/>
  <c r="X202" i="1"/>
  <c r="X246" i="1"/>
  <c r="X384" i="1"/>
  <c r="X584" i="1"/>
  <c r="X126" i="1"/>
  <c r="X477" i="1"/>
  <c r="X280" i="1"/>
  <c r="X657" i="1"/>
  <c r="X558" i="1"/>
  <c r="X272" i="1"/>
  <c r="X512" i="1"/>
  <c r="X115" i="1"/>
  <c r="X549" i="1"/>
  <c r="X352" i="1"/>
  <c r="X353" i="1"/>
  <c r="X305" i="1"/>
  <c r="X346" i="1"/>
  <c r="X162" i="1"/>
  <c r="X12" i="1"/>
  <c r="X325" i="1"/>
  <c r="X473" i="1"/>
  <c r="X627" i="1"/>
  <c r="X382" i="1"/>
  <c r="X95" i="1"/>
  <c r="X38" i="1"/>
  <c r="X369" i="1"/>
  <c r="X562" i="1"/>
  <c r="X128" i="1"/>
  <c r="X121" i="1"/>
  <c r="X460" i="1"/>
  <c r="X360" i="1"/>
  <c r="X613" i="1"/>
  <c r="X217" i="1"/>
  <c r="X174" i="1"/>
  <c r="X73" i="1"/>
  <c r="X595" i="1"/>
  <c r="X536" i="1"/>
  <c r="X244" i="1"/>
  <c r="X55" i="1"/>
  <c r="X676" i="1"/>
  <c r="X560" i="1"/>
  <c r="X274" i="1"/>
  <c r="X452" i="1"/>
  <c r="X30" i="1"/>
  <c r="X25" i="1"/>
  <c r="X74" i="1"/>
  <c r="X505" i="1"/>
  <c r="X610" i="1"/>
  <c r="X104" i="1"/>
  <c r="X339" i="1"/>
  <c r="X256" i="1"/>
  <c r="X195" i="1"/>
  <c r="X408" i="1"/>
  <c r="X219" i="1"/>
  <c r="X159" i="1"/>
  <c r="X494" i="1"/>
  <c r="X135" i="1"/>
  <c r="X182" i="1"/>
  <c r="X455" i="1"/>
  <c r="X137" i="1"/>
  <c r="X187" i="1"/>
  <c r="X416" i="1"/>
  <c r="X123" i="1"/>
  <c r="X111" i="1"/>
  <c r="X357" i="1"/>
  <c r="X113" i="1"/>
  <c r="X205" i="1"/>
  <c r="X6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LJY</author>
  </authors>
  <commentList>
    <comment ref="B1" authorId="0" shapeId="0" xr:uid="{2DEC1A56-5F17-4F12-B896-7BFB4C07B911}">
      <text>
        <r>
          <rPr>
            <b/>
            <sz val="9"/>
            <rFont val="宋体"/>
            <family val="3"/>
            <charset val="134"/>
          </rPr>
          <t>LJY:</t>
        </r>
        <r>
          <rPr>
            <sz val="9"/>
            <rFont val="宋体"/>
            <family val="3"/>
            <charset val="134"/>
          </rPr>
          <t xml:space="preserve">
请输送年级：高一、高二、高三</t>
        </r>
      </text>
    </comment>
    <comment ref="E1" authorId="0" shapeId="0" xr:uid="{0D4C1C0A-4DC2-42AE-9CD6-798F13FD0D5F}">
      <text>
        <r>
          <rPr>
            <b/>
            <sz val="9"/>
            <rFont val="宋体"/>
            <family val="3"/>
            <charset val="134"/>
          </rPr>
          <t>LJY:</t>
        </r>
        <r>
          <rPr>
            <sz val="9"/>
            <rFont val="宋体"/>
            <family val="3"/>
            <charset val="134"/>
          </rPr>
          <t xml:space="preserve">
请输入性别：男、女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LJY</author>
  </authors>
  <commentList>
    <comment ref="B1" authorId="0" shapeId="0" xr:uid="{CB09551F-13AA-49E2-BA6F-AD4966681F05}">
      <text>
        <r>
          <rPr>
            <b/>
            <sz val="9"/>
            <rFont val="宋体"/>
            <family val="3"/>
            <charset val="134"/>
          </rPr>
          <t>LJY:</t>
        </r>
        <r>
          <rPr>
            <sz val="9"/>
            <rFont val="宋体"/>
            <family val="3"/>
            <charset val="134"/>
          </rPr>
          <t xml:space="preserve">
请输送年级：高一、高二、高三</t>
        </r>
      </text>
    </comment>
    <comment ref="E1" authorId="0" shapeId="0" xr:uid="{986E7F91-C434-4BD1-B4D6-8D09ECFD5882}">
      <text>
        <r>
          <rPr>
            <b/>
            <sz val="9"/>
            <rFont val="宋体"/>
            <family val="3"/>
            <charset val="134"/>
          </rPr>
          <t>LJY:</t>
        </r>
        <r>
          <rPr>
            <sz val="9"/>
            <rFont val="宋体"/>
            <family val="3"/>
            <charset val="134"/>
          </rPr>
          <t xml:space="preserve">
请输入性别：男、女</t>
        </r>
      </text>
    </comment>
  </commentList>
</comments>
</file>

<file path=xl/sharedStrings.xml><?xml version="1.0" encoding="utf-8"?>
<sst xmlns="http://schemas.openxmlformats.org/spreadsheetml/2006/main" count="4637" uniqueCount="1505">
  <si>
    <t>序号</t>
  </si>
  <si>
    <t>年级</t>
  </si>
  <si>
    <t>班级</t>
  </si>
  <si>
    <t>姓名</t>
  </si>
  <si>
    <t>性别</t>
  </si>
  <si>
    <t>50m</t>
  </si>
  <si>
    <t>得分</t>
  </si>
  <si>
    <t>体前屈</t>
  </si>
  <si>
    <t>跳远</t>
  </si>
  <si>
    <t>引/仰</t>
  </si>
  <si>
    <t>附加值</t>
  </si>
  <si>
    <t>附加1</t>
  </si>
  <si>
    <t>引/仰总分</t>
  </si>
  <si>
    <t>耐久跑</t>
  </si>
  <si>
    <t>附加2</t>
  </si>
  <si>
    <t>长跑总分</t>
  </si>
  <si>
    <t>平均分</t>
  </si>
  <si>
    <t>附加分</t>
  </si>
  <si>
    <t>最终实际得分</t>
  </si>
  <si>
    <t>最终得分</t>
  </si>
  <si>
    <t>备注</t>
  </si>
  <si>
    <t>高一</t>
  </si>
  <si>
    <t>范玉祥</t>
  </si>
  <si>
    <t>男</t>
  </si>
  <si>
    <t>/</t>
  </si>
  <si>
    <t>人不在</t>
  </si>
  <si>
    <t>徐炉辉</t>
  </si>
  <si>
    <t>不在</t>
  </si>
  <si>
    <t>冯嘉轩</t>
  </si>
  <si>
    <t>许宇辰</t>
  </si>
  <si>
    <t>周易欣</t>
  </si>
  <si>
    <t>张家豪</t>
  </si>
  <si>
    <t>魏子博</t>
  </si>
  <si>
    <t>任瀚琦</t>
  </si>
  <si>
    <t>沈祺浩</t>
  </si>
  <si>
    <t>张毅恒</t>
  </si>
  <si>
    <t>王轶权</t>
  </si>
  <si>
    <t>寇子航</t>
  </si>
  <si>
    <t>黄睿</t>
  </si>
  <si>
    <t>张涵</t>
  </si>
  <si>
    <t>金子乔</t>
  </si>
  <si>
    <t>付俊豪</t>
  </si>
  <si>
    <t>冯炅言</t>
  </si>
  <si>
    <t>陆奔</t>
  </si>
  <si>
    <t>董煊哲</t>
  </si>
  <si>
    <t>沈鑫源</t>
  </si>
  <si>
    <t>张佳雨</t>
  </si>
  <si>
    <t>陶一铭</t>
  </si>
  <si>
    <t>赵浩然</t>
  </si>
  <si>
    <t>邵启铖</t>
  </si>
  <si>
    <t>吴宇彬</t>
  </si>
  <si>
    <t>裴钰</t>
  </si>
  <si>
    <t>张子轩</t>
  </si>
  <si>
    <t>谢鹏涛</t>
  </si>
  <si>
    <t>闫君浩</t>
  </si>
  <si>
    <t>戚家崎</t>
  </si>
  <si>
    <t>史哲涛</t>
  </si>
  <si>
    <t>沈正阳</t>
  </si>
  <si>
    <t>傅子恒</t>
  </si>
  <si>
    <t>唐鲁杰</t>
  </si>
  <si>
    <t>张陈希</t>
  </si>
  <si>
    <t>王子衿</t>
  </si>
  <si>
    <t>朱浩楷</t>
  </si>
  <si>
    <t>符号</t>
  </si>
  <si>
    <t>叶芷</t>
  </si>
  <si>
    <t>女</t>
  </si>
  <si>
    <t>单子琪</t>
  </si>
  <si>
    <t>付泓予</t>
  </si>
  <si>
    <t>谌奕洁</t>
  </si>
  <si>
    <t>陈凌小</t>
  </si>
  <si>
    <t>俞莲之</t>
  </si>
  <si>
    <t>谢鑫依</t>
  </si>
  <si>
    <t>吴欣慧</t>
  </si>
  <si>
    <t>王子佳</t>
  </si>
  <si>
    <t>刘创新</t>
  </si>
  <si>
    <t>盛行</t>
  </si>
  <si>
    <t>王逸哲</t>
  </si>
  <si>
    <t>黄一睿</t>
  </si>
  <si>
    <t>盛明威</t>
  </si>
  <si>
    <t>马智辰</t>
  </si>
  <si>
    <t>孟轶豪</t>
  </si>
  <si>
    <t>丁瓜瓜</t>
  </si>
  <si>
    <t>孟潇炀</t>
  </si>
  <si>
    <t>徐英杰</t>
  </si>
  <si>
    <t>严之宸</t>
  </si>
  <si>
    <t>詹杰森</t>
  </si>
  <si>
    <t>郑胡赢</t>
  </si>
  <si>
    <t>周孟昊</t>
  </si>
  <si>
    <t>宋俞杰</t>
  </si>
  <si>
    <t>樊弈成</t>
  </si>
  <si>
    <t>杨天奇</t>
  </si>
  <si>
    <t>陈星铖</t>
  </si>
  <si>
    <t>陈墨凡</t>
  </si>
  <si>
    <t>齐天翼</t>
  </si>
  <si>
    <t>邹吉成</t>
  </si>
  <si>
    <t>周霄航</t>
  </si>
  <si>
    <t>王泽瑞</t>
  </si>
  <si>
    <t>郭咏轩</t>
  </si>
  <si>
    <t>阚家旭</t>
  </si>
  <si>
    <t>朱俊轩</t>
  </si>
  <si>
    <t>吴兴正</t>
  </si>
  <si>
    <t>牛玺焯</t>
  </si>
  <si>
    <t>蒋晨煜</t>
  </si>
  <si>
    <t>陈智远</t>
  </si>
  <si>
    <t>蔡智函</t>
  </si>
  <si>
    <t>俞君昊</t>
  </si>
  <si>
    <t>包亦宽</t>
  </si>
  <si>
    <t>杨家泽</t>
  </si>
  <si>
    <t>汪湘皓</t>
  </si>
  <si>
    <t>郭子涵</t>
  </si>
  <si>
    <t>陈煜骐</t>
  </si>
  <si>
    <t>钱泽予</t>
  </si>
  <si>
    <t>单烨伟</t>
  </si>
  <si>
    <t>刘梓琳</t>
  </si>
  <si>
    <t>李好</t>
  </si>
  <si>
    <t>叶圣睿</t>
  </si>
  <si>
    <t>王思羽</t>
  </si>
  <si>
    <t>马晗昱</t>
  </si>
  <si>
    <t>董可馨</t>
  </si>
  <si>
    <t>唐一茗</t>
  </si>
  <si>
    <t>黄紫晴</t>
  </si>
  <si>
    <t>汪诗妤</t>
  </si>
  <si>
    <t>鲁筱楠</t>
  </si>
  <si>
    <t>曹宸煜</t>
  </si>
  <si>
    <t>王皓楠</t>
  </si>
  <si>
    <t>于嘉瑞</t>
  </si>
  <si>
    <t>胡峻青</t>
  </si>
  <si>
    <t>薛皓宸</t>
  </si>
  <si>
    <t>季子涵</t>
  </si>
  <si>
    <t>张晨洋</t>
  </si>
  <si>
    <t>傅思涵</t>
  </si>
  <si>
    <t>宣东成</t>
  </si>
  <si>
    <t>吴明泽</t>
  </si>
  <si>
    <t>王浩辰</t>
  </si>
  <si>
    <t>马哲浩</t>
  </si>
  <si>
    <t>陈靖</t>
  </si>
  <si>
    <t>傅歆杰</t>
  </si>
  <si>
    <t>章亦成</t>
  </si>
  <si>
    <t>季节</t>
  </si>
  <si>
    <t>陈杰瑞</t>
  </si>
  <si>
    <t>黄涛</t>
  </si>
  <si>
    <t>陈铭浩</t>
  </si>
  <si>
    <t>李奕阳</t>
  </si>
  <si>
    <t>何梓豪</t>
  </si>
  <si>
    <t>钱鸿洲</t>
  </si>
  <si>
    <t>何雨勤</t>
  </si>
  <si>
    <t>司马钧毅</t>
  </si>
  <si>
    <t>楼越喆</t>
  </si>
  <si>
    <t>裘雨晨</t>
  </si>
  <si>
    <t>樊子洋</t>
  </si>
  <si>
    <t>曹书宁</t>
  </si>
  <si>
    <t>郦皓楠</t>
  </si>
  <si>
    <t>潘益权</t>
  </si>
  <si>
    <t>高嘉升</t>
  </si>
  <si>
    <t>张灏哲</t>
  </si>
  <si>
    <t>林瑾翔</t>
  </si>
  <si>
    <t>何轩</t>
  </si>
  <si>
    <t>高悦峰</t>
  </si>
  <si>
    <t>阮睿轩</t>
  </si>
  <si>
    <t>李亮熙</t>
  </si>
  <si>
    <t>汤雨瑄</t>
  </si>
  <si>
    <t>施睿灵</t>
  </si>
  <si>
    <t>刘紫妍</t>
  </si>
  <si>
    <t>崔柳童</t>
  </si>
  <si>
    <t>余一可</t>
  </si>
  <si>
    <t>王若冰</t>
  </si>
  <si>
    <t>盛景怡</t>
  </si>
  <si>
    <t>黄雨薇</t>
  </si>
  <si>
    <t>施俊瑶</t>
  </si>
  <si>
    <t>朱梓依</t>
  </si>
  <si>
    <t>张童铭</t>
  </si>
  <si>
    <t>黄河</t>
  </si>
  <si>
    <t>叶钧铭</t>
  </si>
  <si>
    <t>余昊泽</t>
  </si>
  <si>
    <t>胡浩轩</t>
  </si>
  <si>
    <t>黄栩彬</t>
  </si>
  <si>
    <t>陈泽涛</t>
  </si>
  <si>
    <t>沈易聪</t>
  </si>
  <si>
    <t>郝誉哲</t>
  </si>
  <si>
    <t>潘一帆</t>
  </si>
  <si>
    <t>王浩宇</t>
  </si>
  <si>
    <t>邵祺政</t>
  </si>
  <si>
    <t>石晨希</t>
  </si>
  <si>
    <t>冯烨鸣</t>
  </si>
  <si>
    <t>王文韬</t>
  </si>
  <si>
    <t>吴悦天</t>
  </si>
  <si>
    <t>朱皓瀛</t>
  </si>
  <si>
    <t>劳逸凡</t>
  </si>
  <si>
    <t>于兴恒</t>
  </si>
  <si>
    <t>柳凌昊</t>
  </si>
  <si>
    <t>陈科嘉</t>
  </si>
  <si>
    <t>顾子瞻</t>
  </si>
  <si>
    <t>沈鼎</t>
  </si>
  <si>
    <t>陈超</t>
  </si>
  <si>
    <t>付杨帆</t>
  </si>
  <si>
    <t>金蒋轩</t>
  </si>
  <si>
    <t>倪逸涵</t>
  </si>
  <si>
    <t>周一航</t>
  </si>
  <si>
    <t>范子越</t>
  </si>
  <si>
    <t>阮炜然</t>
  </si>
  <si>
    <t>王瀚初</t>
  </si>
  <si>
    <t>尹乾宇</t>
  </si>
  <si>
    <t>朱屹茗</t>
  </si>
  <si>
    <t>任浩轩</t>
  </si>
  <si>
    <t>孔哲浩</t>
  </si>
  <si>
    <t>周子喆</t>
  </si>
  <si>
    <t>林惜鋆</t>
  </si>
  <si>
    <t>蒋晨露</t>
  </si>
  <si>
    <t>王诗烨</t>
  </si>
  <si>
    <t>朱熠果</t>
  </si>
  <si>
    <t>赵嘉诺</t>
  </si>
  <si>
    <t>黄雪炎</t>
  </si>
  <si>
    <t>樊洁妮</t>
  </si>
  <si>
    <t>王春美</t>
  </si>
  <si>
    <t>游子吟</t>
  </si>
  <si>
    <t>徐悦曈</t>
  </si>
  <si>
    <t>陶宇平</t>
  </si>
  <si>
    <t>石纭嘉</t>
  </si>
  <si>
    <t>李淑滢</t>
  </si>
  <si>
    <t>吴雨嘉</t>
  </si>
  <si>
    <t>王芷萱</t>
  </si>
  <si>
    <t>黄涵玉</t>
  </si>
  <si>
    <t>吴逸琳</t>
  </si>
  <si>
    <t>杨伊</t>
  </si>
  <si>
    <t>钟心烨</t>
  </si>
  <si>
    <t>钱炫宇</t>
  </si>
  <si>
    <t>任元杰</t>
  </si>
  <si>
    <t>张文轩</t>
  </si>
  <si>
    <t>王亿犇</t>
  </si>
  <si>
    <t>王程灏</t>
  </si>
  <si>
    <t>裘宸易</t>
  </si>
  <si>
    <t>金熠辉</t>
  </si>
  <si>
    <t>刘江博</t>
  </si>
  <si>
    <t>张泽烨</t>
  </si>
  <si>
    <t>余诗涵</t>
  </si>
  <si>
    <t>许可</t>
  </si>
  <si>
    <t>祝佳琳</t>
  </si>
  <si>
    <t>刘俞辰</t>
  </si>
  <si>
    <t>陈诺灵</t>
  </si>
  <si>
    <t>倪婧悦</t>
  </si>
  <si>
    <t>叶芊呈</t>
  </si>
  <si>
    <t>许思远</t>
  </si>
  <si>
    <t>龚琪瑶</t>
  </si>
  <si>
    <t>陈茂可</t>
  </si>
  <si>
    <t>桑紫怡</t>
  </si>
  <si>
    <t>金子雯</t>
  </si>
  <si>
    <t>林婧萱</t>
  </si>
  <si>
    <t>钱悦涵</t>
  </si>
  <si>
    <t>杨舒媛</t>
  </si>
  <si>
    <t>郑羽芹</t>
  </si>
  <si>
    <t>盛琳涵</t>
  </si>
  <si>
    <t>周睿琪</t>
  </si>
  <si>
    <t>陈思妤</t>
  </si>
  <si>
    <t>蒋妤诺</t>
  </si>
  <si>
    <t>李晗盈</t>
  </si>
  <si>
    <t>樊霖彤</t>
  </si>
  <si>
    <t>崔心语</t>
  </si>
  <si>
    <t>邵佳渝</t>
  </si>
  <si>
    <t>蒋涵婷</t>
  </si>
  <si>
    <t>王米嘉</t>
  </si>
  <si>
    <t>谢竹雅</t>
  </si>
  <si>
    <t>王紫嫣</t>
  </si>
  <si>
    <t>黄静怡</t>
  </si>
  <si>
    <t>何佳怡</t>
  </si>
  <si>
    <t>俞家瑜</t>
  </si>
  <si>
    <t>许可儿</t>
  </si>
  <si>
    <t>程美韵</t>
  </si>
  <si>
    <t>徐已檬</t>
  </si>
  <si>
    <t>王昱彤</t>
  </si>
  <si>
    <t>周祺</t>
  </si>
  <si>
    <t>徐烨豪</t>
  </si>
  <si>
    <t>李瑾昊</t>
  </si>
  <si>
    <t>劳哲文</t>
  </si>
  <si>
    <t>吴嘉懿</t>
  </si>
  <si>
    <t>王子</t>
  </si>
  <si>
    <t>冯鲁涵</t>
  </si>
  <si>
    <t>胡宇涛</t>
  </si>
  <si>
    <t>邵涵磊</t>
  </si>
  <si>
    <t>王炜杰</t>
  </si>
  <si>
    <t>施骅隽</t>
  </si>
  <si>
    <t>苗嘉棋</t>
  </si>
  <si>
    <t>施泓飞</t>
  </si>
  <si>
    <t>陈翰宇</t>
  </si>
  <si>
    <t>黄林新</t>
  </si>
  <si>
    <t>陈杭炳</t>
  </si>
  <si>
    <t>王奕鸣</t>
  </si>
  <si>
    <t>金嘉煜</t>
  </si>
  <si>
    <t>郑自康</t>
  </si>
  <si>
    <t>孙明灏</t>
  </si>
  <si>
    <t>伍豪杰</t>
  </si>
  <si>
    <t>夏汀</t>
  </si>
  <si>
    <t>王一洲</t>
  </si>
  <si>
    <t>陈铭泽</t>
  </si>
  <si>
    <t>郦政羽</t>
  </si>
  <si>
    <t>叶子俊</t>
  </si>
  <si>
    <t>陈楚扬</t>
  </si>
  <si>
    <t>张皓森</t>
  </si>
  <si>
    <t>李泽坤</t>
  </si>
  <si>
    <t>肖佳南</t>
  </si>
  <si>
    <t>冯思逾</t>
  </si>
  <si>
    <t>乐岩松</t>
  </si>
  <si>
    <t>俞琳皓</t>
  </si>
  <si>
    <t>吴子轩</t>
  </si>
  <si>
    <t>范宇哲</t>
  </si>
  <si>
    <t>宋晶晶</t>
  </si>
  <si>
    <t>傅诗芸</t>
  </si>
  <si>
    <t>惠欣淳</t>
  </si>
  <si>
    <t>李欣瑶</t>
  </si>
  <si>
    <t>陈雨鑫</t>
  </si>
  <si>
    <t>许弈如</t>
  </si>
  <si>
    <t>邵雪颖</t>
  </si>
  <si>
    <t>叶梓淇</t>
  </si>
  <si>
    <t>王敏慧</t>
  </si>
  <si>
    <t>俞敏璐</t>
  </si>
  <si>
    <t>张浩栋</t>
  </si>
  <si>
    <t>马轩</t>
  </si>
  <si>
    <t>沈子恒</t>
  </si>
  <si>
    <t>朱轩燚</t>
  </si>
  <si>
    <t>陈意锐</t>
  </si>
  <si>
    <t>假</t>
  </si>
  <si>
    <t>苏弈轩</t>
  </si>
  <si>
    <t>方森浩</t>
  </si>
  <si>
    <t>姚俊赋</t>
  </si>
  <si>
    <t>倪正淏</t>
  </si>
  <si>
    <t>滕宇杰</t>
  </si>
  <si>
    <t>诸轩源</t>
  </si>
  <si>
    <t>赖俊贤</t>
  </si>
  <si>
    <t>罗姚杰</t>
  </si>
  <si>
    <t>潘屹栋</t>
  </si>
  <si>
    <t>钱怿枨</t>
  </si>
  <si>
    <t>张文元</t>
  </si>
  <si>
    <t>徐熙懿</t>
  </si>
  <si>
    <t>陈柏高</t>
  </si>
  <si>
    <t>张承睿</t>
  </si>
  <si>
    <t>胡启渊</t>
  </si>
  <si>
    <t>罗文笑</t>
  </si>
  <si>
    <t>朱恒阳</t>
  </si>
  <si>
    <t>朱语轩</t>
  </si>
  <si>
    <t>谭卓文</t>
  </si>
  <si>
    <t>陈梦怡</t>
  </si>
  <si>
    <t>刘晨筱</t>
  </si>
  <si>
    <t>孟沁瑜</t>
  </si>
  <si>
    <t>唐蕊</t>
  </si>
  <si>
    <t>何秉玉</t>
  </si>
  <si>
    <t>唐昕</t>
  </si>
  <si>
    <t>陈浙琳</t>
  </si>
  <si>
    <t>陶雨萱</t>
  </si>
  <si>
    <t>蔡芷欣</t>
  </si>
  <si>
    <t>周思宇</t>
  </si>
  <si>
    <t>王嘉懿</t>
  </si>
  <si>
    <t>黄奕珂</t>
  </si>
  <si>
    <t>刘思琪</t>
  </si>
  <si>
    <t>吕金一</t>
  </si>
  <si>
    <t>金雨熙</t>
  </si>
  <si>
    <t>傅雨轩</t>
  </si>
  <si>
    <t>张涵颖</t>
  </si>
  <si>
    <t>安珂</t>
  </si>
  <si>
    <t>葛潇寅</t>
  </si>
  <si>
    <t>倪晨浩</t>
  </si>
  <si>
    <t>陈雨彬</t>
  </si>
  <si>
    <t>沈修齐</t>
  </si>
  <si>
    <t>吕佳宝</t>
  </si>
  <si>
    <t>叶浩然</t>
  </si>
  <si>
    <t>马天祺</t>
  </si>
  <si>
    <t>马晟熙</t>
  </si>
  <si>
    <t>诸嘉熠</t>
  </si>
  <si>
    <t>茹子琪</t>
  </si>
  <si>
    <t>尹俊涛</t>
  </si>
  <si>
    <t>朱雨</t>
  </si>
  <si>
    <t>杨汤熠</t>
  </si>
  <si>
    <t>鲁卓远</t>
  </si>
  <si>
    <t>刘一丁</t>
  </si>
  <si>
    <t>朱仕劼</t>
  </si>
  <si>
    <t>方思博</t>
  </si>
  <si>
    <t>徐浩然</t>
  </si>
  <si>
    <t>周钰轩</t>
  </si>
  <si>
    <t>王宇勋</t>
  </si>
  <si>
    <t>李雨泽</t>
  </si>
  <si>
    <t>陆弈帆</t>
  </si>
  <si>
    <t>何宇铮</t>
  </si>
  <si>
    <t>吴瑜浩</t>
  </si>
  <si>
    <t>王镱畅</t>
  </si>
  <si>
    <t>陈桓毅</t>
  </si>
  <si>
    <t>舒迎</t>
  </si>
  <si>
    <t>陈谱新</t>
  </si>
  <si>
    <t>谢沛霖</t>
  </si>
  <si>
    <t>钟卓航</t>
  </si>
  <si>
    <t>赵炜</t>
  </si>
  <si>
    <t>洪恽知</t>
  </si>
  <si>
    <t>潘泓宇</t>
  </si>
  <si>
    <t>王亦菲</t>
  </si>
  <si>
    <t>张壹一</t>
  </si>
  <si>
    <t>胡若绮</t>
  </si>
  <si>
    <t>王晨一</t>
  </si>
  <si>
    <t>竺沐瑶</t>
  </si>
  <si>
    <t>周芯语</t>
  </si>
  <si>
    <t>黄毓秀</t>
  </si>
  <si>
    <t>董湘</t>
  </si>
  <si>
    <t>吕佳阅</t>
  </si>
  <si>
    <t>袁怡涵</t>
  </si>
  <si>
    <t>刘琪</t>
  </si>
  <si>
    <t>黄易</t>
  </si>
  <si>
    <t>曹思晗</t>
  </si>
  <si>
    <t>严欣尔</t>
  </si>
  <si>
    <t>竺可悦</t>
  </si>
  <si>
    <t>王瑜晗</t>
  </si>
  <si>
    <t>单源源</t>
  </si>
  <si>
    <t>陈佳瑶</t>
  </si>
  <si>
    <t>李一朵</t>
  </si>
  <si>
    <t>谭佳怡</t>
  </si>
  <si>
    <t>周宇轩</t>
  </si>
  <si>
    <t>胡奕炜</t>
  </si>
  <si>
    <t>谢承扬</t>
  </si>
  <si>
    <t>陶宇泽</t>
  </si>
  <si>
    <t>陈子卓</t>
  </si>
  <si>
    <t>诸明阁</t>
  </si>
  <si>
    <t>王一鼎</t>
  </si>
  <si>
    <t>靳旭骞</t>
  </si>
  <si>
    <t>李宸铭</t>
  </si>
  <si>
    <t>陆蔡杭</t>
  </si>
  <si>
    <t>郑博轩</t>
  </si>
  <si>
    <t>李泽锴</t>
  </si>
  <si>
    <t>诸熠恒</t>
  </si>
  <si>
    <t>王瀚林</t>
  </si>
  <si>
    <t>钱明杰</t>
  </si>
  <si>
    <t>金煜杰</t>
  </si>
  <si>
    <t>黄子宵</t>
  </si>
  <si>
    <t>宋嘉淇</t>
  </si>
  <si>
    <t>谢安程</t>
  </si>
  <si>
    <t>刘皓杰</t>
  </si>
  <si>
    <t>顾泽然</t>
  </si>
  <si>
    <t>叶旭泽</t>
  </si>
  <si>
    <t>吴靖哲</t>
  </si>
  <si>
    <t>杨豪锋</t>
  </si>
  <si>
    <t>陈煜凯</t>
  </si>
  <si>
    <t>宋炜铖</t>
  </si>
  <si>
    <t>丁晨煜</t>
  </si>
  <si>
    <t>张君浩</t>
  </si>
  <si>
    <t>王栋煦</t>
  </si>
  <si>
    <t>程易</t>
  </si>
  <si>
    <t>钱天祺</t>
  </si>
  <si>
    <t>王嘉豪</t>
  </si>
  <si>
    <t>韦一</t>
  </si>
  <si>
    <t>姚馨怡</t>
  </si>
  <si>
    <t>李克圆</t>
  </si>
  <si>
    <t>谢瑾瑶</t>
  </si>
  <si>
    <t>赵芸萱</t>
  </si>
  <si>
    <t>邹琪</t>
  </si>
  <si>
    <t>刘雨馨</t>
  </si>
  <si>
    <t>董语甜</t>
  </si>
  <si>
    <t>娄添瑜</t>
  </si>
  <si>
    <t>章逸涵</t>
  </si>
  <si>
    <t>何雨萱</t>
  </si>
  <si>
    <t>沈青楚</t>
  </si>
  <si>
    <t>倪诗钰</t>
  </si>
  <si>
    <t>谢梓涵</t>
  </si>
  <si>
    <t>谢萌</t>
  </si>
  <si>
    <t>李绍含</t>
  </si>
  <si>
    <t>马诗卿</t>
  </si>
  <si>
    <t>唐艺然</t>
  </si>
  <si>
    <t>张雯</t>
  </si>
  <si>
    <t>邵雅晨</t>
  </si>
  <si>
    <t>王晨霄</t>
  </si>
  <si>
    <t>李雨轩</t>
  </si>
  <si>
    <t>张一弛</t>
  </si>
  <si>
    <t>丁奕天</t>
  </si>
  <si>
    <t>杨景皓</t>
  </si>
  <si>
    <t>俞子昂</t>
  </si>
  <si>
    <t>赵晗清</t>
  </si>
  <si>
    <t>马晗迪</t>
  </si>
  <si>
    <t>胡清源</t>
  </si>
  <si>
    <t>朱宸恺</t>
  </si>
  <si>
    <t>李奕诚</t>
  </si>
  <si>
    <t>魏圣杰</t>
  </si>
  <si>
    <t>沈秉钺</t>
  </si>
  <si>
    <t>张家烨</t>
  </si>
  <si>
    <t>周家毅</t>
  </si>
  <si>
    <t>陈泽楠</t>
  </si>
  <si>
    <t>丁七一</t>
  </si>
  <si>
    <t>戴浩晨</t>
  </si>
  <si>
    <t>王张驰</t>
  </si>
  <si>
    <t>唐琦邦</t>
  </si>
  <si>
    <t>陶军好</t>
  </si>
  <si>
    <t>茅宇浩</t>
  </si>
  <si>
    <t>叶林灏</t>
  </si>
  <si>
    <t>任锦逸</t>
  </si>
  <si>
    <t>赵家乐</t>
  </si>
  <si>
    <t>宣乐伊</t>
  </si>
  <si>
    <t>陈雨艳</t>
  </si>
  <si>
    <t>董阳玚</t>
  </si>
  <si>
    <t>高滢怡</t>
  </si>
  <si>
    <t>赵夏羽</t>
  </si>
  <si>
    <t>周伊莎</t>
  </si>
  <si>
    <t>高思羽</t>
  </si>
  <si>
    <t>胡婷婷</t>
  </si>
  <si>
    <t>朱元元</t>
  </si>
  <si>
    <t>沈静涵</t>
  </si>
  <si>
    <t>叶柯萱</t>
  </si>
  <si>
    <t>何怡</t>
  </si>
  <si>
    <t>吴逸磊</t>
  </si>
  <si>
    <t>王笑芮</t>
  </si>
  <si>
    <t>沈思敏</t>
  </si>
  <si>
    <t>陈沁怡</t>
  </si>
  <si>
    <t>王梓亦</t>
  </si>
  <si>
    <t>金烨</t>
  </si>
  <si>
    <t>孙颢嘉</t>
  </si>
  <si>
    <t>娄田烨</t>
  </si>
  <si>
    <t>阮卓青</t>
  </si>
  <si>
    <t>孙乐承</t>
  </si>
  <si>
    <t>许恒瑞</t>
  </si>
  <si>
    <t>樊文浩</t>
  </si>
  <si>
    <t>无成绩</t>
  </si>
  <si>
    <t>杨启瑞</t>
  </si>
  <si>
    <t>杨浩楠</t>
  </si>
  <si>
    <t>陈天佑</t>
  </si>
  <si>
    <t>王烨雷</t>
  </si>
  <si>
    <t>祁逸涵</t>
  </si>
  <si>
    <t>安君昊</t>
  </si>
  <si>
    <t>叶锦浩</t>
  </si>
  <si>
    <t>王昱凯</t>
  </si>
  <si>
    <t>蒋霖辉</t>
  </si>
  <si>
    <t>樊烨杭</t>
  </si>
  <si>
    <t>干圻昊</t>
  </si>
  <si>
    <t>高金琦</t>
  </si>
  <si>
    <t>受伤</t>
  </si>
  <si>
    <t>宋杭</t>
  </si>
  <si>
    <t>董铮皓</t>
  </si>
  <si>
    <t>陶烨凯</t>
  </si>
  <si>
    <t>沈正鸣</t>
  </si>
  <si>
    <t>章晨浩</t>
  </si>
  <si>
    <t>脚伤</t>
  </si>
  <si>
    <t>刘睿辰</t>
  </si>
  <si>
    <t>庞逸诚</t>
  </si>
  <si>
    <t>王韬寓</t>
  </si>
  <si>
    <t>陈鸿杰</t>
  </si>
  <si>
    <t>邱添</t>
  </si>
  <si>
    <t>钱科楠</t>
  </si>
  <si>
    <t>虞豪泽</t>
  </si>
  <si>
    <t>陈子跃</t>
  </si>
  <si>
    <t>病</t>
  </si>
  <si>
    <t>顾珂豪</t>
  </si>
  <si>
    <t>李君昊</t>
  </si>
  <si>
    <t>乐通</t>
  </si>
  <si>
    <t>徐赵俊</t>
  </si>
  <si>
    <t>钱逸轩</t>
  </si>
  <si>
    <t>陈世家</t>
  </si>
  <si>
    <t>郦孙昊</t>
  </si>
  <si>
    <t>俞梦瑶</t>
  </si>
  <si>
    <t>余淑琳</t>
  </si>
  <si>
    <t>王晨妤</t>
  </si>
  <si>
    <t>傅佳怡</t>
  </si>
  <si>
    <t>王妤欣</t>
  </si>
  <si>
    <t>吴婧菲</t>
  </si>
  <si>
    <t>张钰宁</t>
  </si>
  <si>
    <t>陈雨嘉</t>
  </si>
  <si>
    <t>戴梓璇</t>
  </si>
  <si>
    <t>王小蔓</t>
  </si>
  <si>
    <t>冯楚喻</t>
  </si>
  <si>
    <t>李俊涛</t>
  </si>
  <si>
    <t>殷正浩</t>
  </si>
  <si>
    <t>陈涵雨</t>
  </si>
  <si>
    <t>袁梦</t>
  </si>
  <si>
    <t>尚跃勇</t>
  </si>
  <si>
    <t>章一杭</t>
  </si>
  <si>
    <t>代小龙</t>
  </si>
  <si>
    <t>何思成</t>
  </si>
  <si>
    <t>赵振博</t>
  </si>
  <si>
    <t>江怀篡</t>
  </si>
  <si>
    <t>吴雨泽</t>
  </si>
  <si>
    <t>陈自远</t>
  </si>
  <si>
    <t>夏钰杰</t>
  </si>
  <si>
    <t>韩岳霖</t>
  </si>
  <si>
    <t>袁彰</t>
  </si>
  <si>
    <t>李晨乐</t>
  </si>
  <si>
    <t>施迪文</t>
  </si>
  <si>
    <t>心脏</t>
  </si>
  <si>
    <t>王程洋</t>
  </si>
  <si>
    <t>徐宇翔</t>
  </si>
  <si>
    <t>请假</t>
  </si>
  <si>
    <t>王启楷</t>
  </si>
  <si>
    <t>张寒河</t>
  </si>
  <si>
    <t>石佳宝</t>
  </si>
  <si>
    <t>赵轩瑜</t>
  </si>
  <si>
    <t>傅远灏</t>
  </si>
  <si>
    <t>刘安棋</t>
  </si>
  <si>
    <t>朱晨羽</t>
  </si>
  <si>
    <t>王谦语</t>
  </si>
  <si>
    <t>金子瑜</t>
  </si>
  <si>
    <t>严佳琦</t>
  </si>
  <si>
    <t>黄尹枰</t>
  </si>
  <si>
    <t>任可馨</t>
  </si>
  <si>
    <t>高海晴</t>
  </si>
  <si>
    <t>张楠</t>
  </si>
  <si>
    <t>徐伊凝</t>
  </si>
  <si>
    <t>沈奕楠</t>
  </si>
  <si>
    <t>邵熠铭</t>
  </si>
  <si>
    <t>金妍希</t>
  </si>
  <si>
    <t>谢哲雯</t>
  </si>
  <si>
    <t>刘晨欣</t>
  </si>
  <si>
    <t>张雨欣</t>
  </si>
  <si>
    <t>陈萱而</t>
  </si>
  <si>
    <t>吴素妍</t>
  </si>
  <si>
    <t>金煜瑶</t>
  </si>
  <si>
    <t>宋晨曦</t>
  </si>
  <si>
    <t>黄琬淇</t>
  </si>
  <si>
    <t>王佳璐</t>
  </si>
  <si>
    <t>邵依婷</t>
  </si>
  <si>
    <t>裴雨菡</t>
  </si>
  <si>
    <t>余张悦</t>
  </si>
  <si>
    <t>包恩桐</t>
  </si>
  <si>
    <t>王曦</t>
  </si>
  <si>
    <t>蔡可涵</t>
  </si>
  <si>
    <t>张嘉文</t>
  </si>
  <si>
    <t>管歆乐</t>
  </si>
  <si>
    <t>傅天怡</t>
  </si>
  <si>
    <t>魏涵</t>
  </si>
  <si>
    <t>高诗媛</t>
  </si>
  <si>
    <t>钱进</t>
  </si>
  <si>
    <t>鲁周祺</t>
  </si>
  <si>
    <t>陈文泽</t>
  </si>
  <si>
    <t>谭杉</t>
  </si>
  <si>
    <t>陈睿铭</t>
  </si>
  <si>
    <t>马铭俊</t>
  </si>
  <si>
    <t>赵俊耀</t>
  </si>
  <si>
    <t>何其乐</t>
  </si>
  <si>
    <t>董睿宇</t>
  </si>
  <si>
    <t>许诺</t>
  </si>
  <si>
    <t>赵翊然</t>
  </si>
  <si>
    <t>郭俊轩</t>
  </si>
  <si>
    <t>李旭曜</t>
  </si>
  <si>
    <t>王皓宇</t>
  </si>
  <si>
    <t>刘天瑞</t>
  </si>
  <si>
    <t>娄远山</t>
  </si>
  <si>
    <t>余沈诗扬</t>
  </si>
  <si>
    <t>汪煜</t>
  </si>
  <si>
    <t>病免</t>
  </si>
  <si>
    <t>扭伤</t>
  </si>
  <si>
    <t>陈泽鑫</t>
  </si>
  <si>
    <t>吴沁宇</t>
  </si>
  <si>
    <t>骨折</t>
  </si>
  <si>
    <t>马俊涛</t>
  </si>
  <si>
    <t>刘启泽</t>
  </si>
  <si>
    <t>肌痛</t>
  </si>
  <si>
    <t>严钰焓</t>
  </si>
  <si>
    <t>任黛雯</t>
  </si>
  <si>
    <t>王卓璐</t>
  </si>
  <si>
    <t>吴董婷</t>
  </si>
  <si>
    <t>陈涵斐</t>
  </si>
  <si>
    <t>兰琳婧</t>
  </si>
  <si>
    <t>陈诗筠</t>
  </si>
  <si>
    <t>孟晨喆</t>
  </si>
  <si>
    <t>沈紫涵</t>
  </si>
  <si>
    <t>童逸知</t>
  </si>
  <si>
    <t>孙孟嘉</t>
  </si>
  <si>
    <t>史妩幽</t>
  </si>
  <si>
    <t>陈珏</t>
  </si>
  <si>
    <t>X</t>
  </si>
  <si>
    <t xml:space="preserve">请假 </t>
  </si>
  <si>
    <t>杨晨怡</t>
  </si>
  <si>
    <t>鲁果</t>
  </si>
  <si>
    <t>黄鑫怡</t>
  </si>
  <si>
    <t>查沈欣</t>
  </si>
  <si>
    <t>陈渝琪</t>
  </si>
  <si>
    <t>赵思恬</t>
  </si>
  <si>
    <t>金涵瑶</t>
  </si>
  <si>
    <t>鲁瑜欣</t>
  </si>
  <si>
    <t>张佳妮</t>
  </si>
  <si>
    <t>许航硕</t>
  </si>
  <si>
    <t>贾铠睿</t>
  </si>
  <si>
    <t>蒋子皓</t>
  </si>
  <si>
    <t>金倬汉</t>
  </si>
  <si>
    <t>易子轩</t>
  </si>
  <si>
    <t>虞泽涛</t>
  </si>
  <si>
    <t>黄晨熠</t>
  </si>
  <si>
    <t>朱泽思鸣</t>
  </si>
  <si>
    <t>手术</t>
  </si>
  <si>
    <t>胡逸晨</t>
  </si>
  <si>
    <t>病假</t>
  </si>
  <si>
    <t>李天明</t>
  </si>
  <si>
    <t>周依菡</t>
  </si>
  <si>
    <t>周昕怿</t>
  </si>
  <si>
    <t>李彦菲</t>
  </si>
  <si>
    <t>金则灵</t>
  </si>
  <si>
    <t>劳晞言</t>
  </si>
  <si>
    <t>陶泺妍</t>
  </si>
  <si>
    <t>张茗玥</t>
  </si>
  <si>
    <t>王锦逸</t>
  </si>
  <si>
    <t>洪铭璐</t>
  </si>
  <si>
    <t>谢梓芸</t>
  </si>
  <si>
    <t>袁乐晨</t>
  </si>
  <si>
    <t>马紫彤</t>
  </si>
  <si>
    <t>彭雯</t>
  </si>
  <si>
    <t>叶嘉楠</t>
  </si>
  <si>
    <t>许梦煜</t>
  </si>
  <si>
    <t>杨雪彤</t>
  </si>
  <si>
    <t>姚雨宸</t>
  </si>
  <si>
    <t>黄乐怡</t>
  </si>
  <si>
    <t>汤景绚</t>
  </si>
  <si>
    <t>程妤</t>
  </si>
  <si>
    <t>郑沁钰</t>
  </si>
  <si>
    <t>罗紫萱</t>
  </si>
  <si>
    <t>钱泽萌</t>
  </si>
  <si>
    <t>高子瑜</t>
  </si>
  <si>
    <t>秦翊萌</t>
  </si>
  <si>
    <t>於子楠</t>
  </si>
  <si>
    <t>王月</t>
  </si>
  <si>
    <t>潘子诺</t>
  </si>
  <si>
    <t>鲁佳慧</t>
  </si>
  <si>
    <t>潘沁妍</t>
  </si>
  <si>
    <t>姜芦恬</t>
  </si>
  <si>
    <t>张茗萱</t>
  </si>
  <si>
    <t>袁艺萌</t>
  </si>
  <si>
    <t>王一宸</t>
  </si>
  <si>
    <t>张振宇</t>
  </si>
  <si>
    <t>劳梓轩</t>
  </si>
  <si>
    <t>王思杰</t>
  </si>
  <si>
    <t>陈恩祺</t>
  </si>
  <si>
    <t>生病</t>
  </si>
  <si>
    <t>杨逸嘉</t>
  </si>
  <si>
    <t>全奕兴</t>
  </si>
  <si>
    <t>马一言</t>
  </si>
  <si>
    <t>陈妤曦</t>
  </si>
  <si>
    <t>陈诺</t>
  </si>
  <si>
    <t>陈思悦</t>
  </si>
  <si>
    <t>俞惟允</t>
  </si>
  <si>
    <t>秦源</t>
  </si>
  <si>
    <t>王一诺</t>
  </si>
  <si>
    <t>王翊萌</t>
  </si>
  <si>
    <t>刘宸煜</t>
  </si>
  <si>
    <t>何欣诺</t>
  </si>
  <si>
    <t>王鉫钰</t>
  </si>
  <si>
    <t>平昀灵</t>
  </si>
  <si>
    <t>沈佳莲</t>
  </si>
  <si>
    <t>金佳怡</t>
  </si>
  <si>
    <t>陈沈嘉</t>
  </si>
  <si>
    <t>马昕雨</t>
  </si>
  <si>
    <t>王韵</t>
  </si>
  <si>
    <t>林涵</t>
  </si>
  <si>
    <t>陈娟</t>
  </si>
  <si>
    <t>金儒雅</t>
  </si>
  <si>
    <t>盛书禾</t>
  </si>
  <si>
    <t>罗莎</t>
  </si>
  <si>
    <t>张睿祺</t>
  </si>
  <si>
    <t>陈子墨</t>
  </si>
  <si>
    <t>袁萍</t>
  </si>
  <si>
    <t>沈星多</t>
  </si>
  <si>
    <t>陈烨涵</t>
  </si>
  <si>
    <t>丁雨晨</t>
  </si>
  <si>
    <t>唐钰榆</t>
  </si>
  <si>
    <t>金奕丹</t>
  </si>
  <si>
    <t>郑梦琦</t>
  </si>
  <si>
    <t>周妍婷</t>
  </si>
  <si>
    <t>沈歆媛</t>
  </si>
  <si>
    <t>王如意</t>
  </si>
  <si>
    <t>吴欣怡</t>
  </si>
  <si>
    <t>李子雯</t>
  </si>
  <si>
    <t>章亦冉</t>
  </si>
  <si>
    <t>毛焱琳</t>
  </si>
  <si>
    <t>不跑</t>
  </si>
  <si>
    <t>陈诗涵</t>
  </si>
  <si>
    <t>季惠怡</t>
  </si>
  <si>
    <t>宋笑晗</t>
  </si>
  <si>
    <t>樊思汛</t>
  </si>
  <si>
    <t>王梓涵</t>
  </si>
  <si>
    <t>金语涵</t>
  </si>
  <si>
    <t>高语涵</t>
  </si>
  <si>
    <t>王星宇</t>
  </si>
  <si>
    <t>高二</t>
  </si>
  <si>
    <t>丁铭浩</t>
  </si>
  <si>
    <t>俞奕如</t>
  </si>
  <si>
    <t>马可欣</t>
  </si>
  <si>
    <t>212</t>
  </si>
  <si>
    <t>冯媛</t>
  </si>
  <si>
    <t>高金傲</t>
  </si>
  <si>
    <t>章铭哲</t>
  </si>
  <si>
    <t>严行至</t>
  </si>
  <si>
    <t>尉哲皓</t>
  </si>
  <si>
    <t>王欣彤</t>
  </si>
  <si>
    <t>董方圆</t>
  </si>
  <si>
    <t>吴书灏</t>
  </si>
  <si>
    <t>全乐晨</t>
  </si>
  <si>
    <t>王振轩</t>
  </si>
  <si>
    <t>沈枫岩</t>
  </si>
  <si>
    <t>周焱</t>
  </si>
  <si>
    <t>范婷睿</t>
  </si>
  <si>
    <t>邹卓冉</t>
  </si>
  <si>
    <t>谢锦灏</t>
  </si>
  <si>
    <t>黎芮希</t>
  </si>
  <si>
    <t>王译洲</t>
  </si>
  <si>
    <t>胡陈烨</t>
  </si>
  <si>
    <t>任翔</t>
  </si>
  <si>
    <t>马子涵</t>
  </si>
  <si>
    <t>王梦楹</t>
  </si>
  <si>
    <t>陈劳俊楠</t>
  </si>
  <si>
    <t>王馨彤</t>
  </si>
  <si>
    <t>郭子铭</t>
  </si>
  <si>
    <t>徐彦卿</t>
  </si>
  <si>
    <t>叶皖怡</t>
  </si>
  <si>
    <t>张亚宸</t>
  </si>
  <si>
    <t>谢榆诺</t>
  </si>
  <si>
    <t>林一诺</t>
  </si>
  <si>
    <t>沈佳钰</t>
  </si>
  <si>
    <t>严观杰</t>
  </si>
  <si>
    <t>葛歆语</t>
  </si>
  <si>
    <t>李锦诚</t>
  </si>
  <si>
    <t>钱吕颖</t>
  </si>
  <si>
    <t>王子悦</t>
  </si>
  <si>
    <t>严梓萌</t>
  </si>
  <si>
    <t>朱一帆</t>
  </si>
  <si>
    <t>宋予涵</t>
  </si>
  <si>
    <t>杨芷琪</t>
  </si>
  <si>
    <t>李旭刚</t>
  </si>
  <si>
    <t>沈振宇</t>
  </si>
  <si>
    <t>潘姿洁</t>
  </si>
  <si>
    <t>范之瑶</t>
  </si>
  <si>
    <t>李想</t>
  </si>
  <si>
    <t>210</t>
  </si>
  <si>
    <t>黄铭涵</t>
  </si>
  <si>
    <t>何子涵</t>
  </si>
  <si>
    <t>陈雨思</t>
  </si>
  <si>
    <t>俞思辰</t>
  </si>
  <si>
    <t>李少鹏</t>
  </si>
  <si>
    <t>金隽逸</t>
  </si>
  <si>
    <t>宣飞扬</t>
  </si>
  <si>
    <t>邵一涵</t>
  </si>
  <si>
    <t>胡沛祺</t>
  </si>
  <si>
    <t>黄俊诚</t>
  </si>
  <si>
    <t>陈诗妤</t>
  </si>
  <si>
    <t>常凯</t>
  </si>
  <si>
    <t>孙语涵</t>
  </si>
  <si>
    <t>俞子晗</t>
  </si>
  <si>
    <t>冯子希</t>
  </si>
  <si>
    <t>金佳阳</t>
  </si>
  <si>
    <t>蔡悦然</t>
  </si>
  <si>
    <t>潘雨瓒</t>
  </si>
  <si>
    <t>王诗琪</t>
  </si>
  <si>
    <t>金籽言</t>
  </si>
  <si>
    <t>项靖慧</t>
  </si>
  <si>
    <t>陈蓥艺</t>
  </si>
  <si>
    <t>吴语洲</t>
  </si>
  <si>
    <t>潘远哲</t>
  </si>
  <si>
    <t>武虹秀</t>
  </si>
  <si>
    <t>李宇漫</t>
  </si>
  <si>
    <t>张剑豪</t>
  </si>
  <si>
    <t>董督悠然</t>
  </si>
  <si>
    <t>李雨珂</t>
  </si>
  <si>
    <t>徐诗涵</t>
  </si>
  <si>
    <t>陈虹霏</t>
  </si>
  <si>
    <t>陈奕安</t>
  </si>
  <si>
    <t>梁琰瑛</t>
  </si>
  <si>
    <t>蔡孟萍</t>
  </si>
  <si>
    <t>邵子瑜</t>
  </si>
  <si>
    <t>毛玮棋</t>
  </si>
  <si>
    <t>马孜铭</t>
  </si>
  <si>
    <t>张浩宇</t>
  </si>
  <si>
    <t>赵亿萱</t>
  </si>
  <si>
    <t>林芷慧</t>
  </si>
  <si>
    <t>陈君凯</t>
  </si>
  <si>
    <t>徐依楠</t>
  </si>
  <si>
    <t>赵宣祁</t>
  </si>
  <si>
    <t>张思瑶</t>
  </si>
  <si>
    <t>叶沁怡</t>
  </si>
  <si>
    <t>王超楠</t>
  </si>
  <si>
    <t>严诗涵</t>
  </si>
  <si>
    <t>徐心宇</t>
  </si>
  <si>
    <t>王栩娇</t>
  </si>
  <si>
    <t>骆驿宁</t>
  </si>
  <si>
    <t>桑雯赢</t>
  </si>
  <si>
    <t>张芷馨</t>
  </si>
  <si>
    <t>韩若鑫</t>
  </si>
  <si>
    <t>康烨</t>
  </si>
  <si>
    <t>黄佳一</t>
  </si>
  <si>
    <t>姚佳惠</t>
  </si>
  <si>
    <t>王辰光</t>
  </si>
  <si>
    <t>傅腾</t>
  </si>
  <si>
    <t>赵轩锐</t>
  </si>
  <si>
    <t>徐越</t>
  </si>
  <si>
    <t>杨卓颖</t>
  </si>
  <si>
    <t>胡思钰</t>
  </si>
  <si>
    <t>孙佳敏</t>
  </si>
  <si>
    <t>俞奕楠</t>
  </si>
  <si>
    <t>张鑫玉</t>
  </si>
  <si>
    <t>沈雅斓</t>
  </si>
  <si>
    <t>杨语晨</t>
  </si>
  <si>
    <t>王梦怡</t>
  </si>
  <si>
    <t>俞喋敏</t>
  </si>
  <si>
    <t>毛琦凯</t>
  </si>
  <si>
    <t>金佳可</t>
  </si>
  <si>
    <t>水怀若</t>
  </si>
  <si>
    <t>陈奕霏</t>
  </si>
  <si>
    <t>李梦夕</t>
  </si>
  <si>
    <t>钟加晨</t>
  </si>
  <si>
    <t>陈可钦</t>
  </si>
  <si>
    <t>王宇豪</t>
  </si>
  <si>
    <t>蔡正轩</t>
  </si>
  <si>
    <t>赵鼎烨</t>
  </si>
  <si>
    <t>张欣怡</t>
  </si>
  <si>
    <t>许夏楠</t>
  </si>
  <si>
    <t>陈雨原</t>
  </si>
  <si>
    <t>倪煜宸</t>
  </si>
  <si>
    <t>杨嘉楚</t>
  </si>
  <si>
    <t>李世钰</t>
  </si>
  <si>
    <t>郭鑫瑶</t>
  </si>
  <si>
    <t>李菡</t>
  </si>
  <si>
    <t>刘欣宜</t>
  </si>
  <si>
    <t>马雨嫣</t>
  </si>
  <si>
    <t>徐令仪</t>
  </si>
  <si>
    <t>徐心蕾</t>
  </si>
  <si>
    <t>朱一阳</t>
  </si>
  <si>
    <t>钟麒竣</t>
  </si>
  <si>
    <t>裘梓涵</t>
  </si>
  <si>
    <t>楼珅宇</t>
  </si>
  <si>
    <t>李嘉颐</t>
  </si>
  <si>
    <t>吴思语</t>
  </si>
  <si>
    <t>金欣宇</t>
  </si>
  <si>
    <t>刘一帆</t>
  </si>
  <si>
    <t>周颖超</t>
  </si>
  <si>
    <t>傅悦菲</t>
  </si>
  <si>
    <t>李潞</t>
  </si>
  <si>
    <t>马加悦</t>
  </si>
  <si>
    <t>张钰琳</t>
  </si>
  <si>
    <t>葛诗蕾</t>
  </si>
  <si>
    <t>项梓远</t>
  </si>
  <si>
    <t>成思源</t>
  </si>
  <si>
    <t>张喆钦</t>
  </si>
  <si>
    <t>李春强</t>
  </si>
  <si>
    <t>沈徐悠然</t>
  </si>
  <si>
    <t>代然</t>
  </si>
  <si>
    <t>钟亦卓</t>
  </si>
  <si>
    <t>邢若然</t>
  </si>
  <si>
    <t>王瀚冲</t>
  </si>
  <si>
    <t>郑皓匀</t>
  </si>
  <si>
    <t>赵科登</t>
  </si>
  <si>
    <t>余世梦</t>
  </si>
  <si>
    <t>全雨晨</t>
  </si>
  <si>
    <t>周畅</t>
  </si>
  <si>
    <t>傅雅玟</t>
  </si>
  <si>
    <t>郭楚妍</t>
  </si>
  <si>
    <t>薛晓楠</t>
  </si>
  <si>
    <t>孙燊</t>
  </si>
  <si>
    <t>裘子暄</t>
  </si>
  <si>
    <t>黄铭轩</t>
  </si>
  <si>
    <t>吴鹏宇</t>
  </si>
  <si>
    <t>沈可</t>
  </si>
  <si>
    <t>马艺菲</t>
  </si>
  <si>
    <t>魏子涵</t>
  </si>
  <si>
    <t>屠钰宸</t>
  </si>
  <si>
    <t>严镱洳</t>
  </si>
  <si>
    <t>骆欣岚</t>
  </si>
  <si>
    <t>陈琰琳</t>
  </si>
  <si>
    <t>陈于凡</t>
  </si>
  <si>
    <t>黄家琪</t>
  </si>
  <si>
    <t>范宏涛</t>
  </si>
  <si>
    <t>葛樱</t>
  </si>
  <si>
    <t>房鑫鹏</t>
  </si>
  <si>
    <t>孙中离</t>
  </si>
  <si>
    <t>陈文忻</t>
  </si>
  <si>
    <t>孟静楠</t>
  </si>
  <si>
    <t>陈宇萱</t>
  </si>
  <si>
    <t>吕彧</t>
  </si>
  <si>
    <t>董霖奕宸</t>
  </si>
  <si>
    <t>赵铭浩</t>
  </si>
  <si>
    <t>帅词高</t>
  </si>
  <si>
    <t>章钦如</t>
  </si>
  <si>
    <t>徐逸暄</t>
  </si>
  <si>
    <t>赵雨桐</t>
  </si>
  <si>
    <t>段志雄</t>
  </si>
  <si>
    <t>高子炫</t>
  </si>
  <si>
    <t>曾朦</t>
  </si>
  <si>
    <t>钱宇晨</t>
  </si>
  <si>
    <t>沈忆菲</t>
  </si>
  <si>
    <t>周一苇</t>
  </si>
  <si>
    <t>杨哲毅</t>
  </si>
  <si>
    <t>卢欣兰</t>
  </si>
  <si>
    <t>邵毅杰</t>
  </si>
  <si>
    <t>赵依依</t>
  </si>
  <si>
    <t>吴欣雨</t>
  </si>
  <si>
    <t>潘奕帆</t>
  </si>
  <si>
    <t>毛浩宇</t>
  </si>
  <si>
    <t>钱灵芸</t>
  </si>
  <si>
    <t>陈瑶川</t>
  </si>
  <si>
    <t>朱俊熙</t>
  </si>
  <si>
    <t>孙心钰</t>
  </si>
  <si>
    <t>郑歆桐</t>
  </si>
  <si>
    <t>黄雨涵</t>
  </si>
  <si>
    <t>陈汝冰</t>
  </si>
  <si>
    <t>邢依然</t>
  </si>
  <si>
    <t>梁焜</t>
  </si>
  <si>
    <t>陈馨</t>
  </si>
  <si>
    <t>陈灵怡</t>
  </si>
  <si>
    <t>钱丹妮</t>
  </si>
  <si>
    <t>具诚钧</t>
  </si>
  <si>
    <t>董烨鋾</t>
  </si>
  <si>
    <t>倪辰语</t>
  </si>
  <si>
    <t>陈蔷梦</t>
  </si>
  <si>
    <t>曹淇</t>
  </si>
  <si>
    <t>冯煜霖</t>
  </si>
  <si>
    <t>王鹏泽</t>
  </si>
  <si>
    <t>倪子涵</t>
  </si>
  <si>
    <t>施佳诚</t>
  </si>
  <si>
    <t>夏熠晨</t>
  </si>
  <si>
    <t>朱宗奇</t>
  </si>
  <si>
    <t>徐黄杰</t>
  </si>
  <si>
    <t>徐亦池</t>
  </si>
  <si>
    <t>束佳芮</t>
  </si>
  <si>
    <t>毛妤琪</t>
  </si>
  <si>
    <t>陶浩宇</t>
  </si>
  <si>
    <t>陈嘉顺</t>
  </si>
  <si>
    <t>丁梦</t>
  </si>
  <si>
    <t>封佳洢</t>
  </si>
  <si>
    <t>王子涵</t>
  </si>
  <si>
    <t>冯墨晗</t>
  </si>
  <si>
    <t>罗韵涵</t>
  </si>
  <si>
    <t>邹毅甯</t>
  </si>
  <si>
    <t>明佳强</t>
  </si>
  <si>
    <t>竺剡婧</t>
  </si>
  <si>
    <t>于子翀</t>
  </si>
  <si>
    <t>阮奕祺</t>
  </si>
  <si>
    <t>鲁宇辰</t>
  </si>
  <si>
    <t>王睿</t>
  </si>
  <si>
    <t>马灵杰</t>
  </si>
  <si>
    <t>吴争</t>
  </si>
  <si>
    <t>李琳方</t>
  </si>
  <si>
    <t>应铭秀</t>
  </si>
  <si>
    <t>毛仕铖</t>
  </si>
  <si>
    <t>王林楠</t>
  </si>
  <si>
    <t>徐嘉琳</t>
  </si>
  <si>
    <t>余安楠</t>
  </si>
  <si>
    <t>王宇晗</t>
  </si>
  <si>
    <t>金尔格</t>
  </si>
  <si>
    <t>汪子芮</t>
  </si>
  <si>
    <t>王越平</t>
  </si>
  <si>
    <t>徐笑阳</t>
  </si>
  <si>
    <t>占荦恩</t>
  </si>
  <si>
    <t>李义文</t>
  </si>
  <si>
    <t>吴芮暄</t>
  </si>
  <si>
    <t>孟鑫可</t>
  </si>
  <si>
    <t>赵俊豪</t>
  </si>
  <si>
    <t>高哲涵</t>
  </si>
  <si>
    <t>俞奕天</t>
  </si>
  <si>
    <t>刘鑫源</t>
  </si>
  <si>
    <t>黄雯静</t>
  </si>
  <si>
    <t>陈安琪</t>
  </si>
  <si>
    <t>方铭绎</t>
  </si>
  <si>
    <t>赵家禾</t>
  </si>
  <si>
    <t>范卓航</t>
  </si>
  <si>
    <t>傅子犇</t>
  </si>
  <si>
    <t>朱芷萱</t>
  </si>
  <si>
    <t>贾贝尔</t>
  </si>
  <si>
    <t>彭兴豪</t>
  </si>
  <si>
    <t>李艳南</t>
  </si>
  <si>
    <t>乐涵仪</t>
  </si>
  <si>
    <t>何佳</t>
  </si>
  <si>
    <t>温磊磊</t>
  </si>
  <si>
    <t>戴凡杰</t>
  </si>
  <si>
    <t>王胜宜</t>
  </si>
  <si>
    <t>叶孜昊</t>
  </si>
  <si>
    <t>冯钰涵</t>
  </si>
  <si>
    <t>谢泽楠</t>
  </si>
  <si>
    <t>寿卓尔</t>
  </si>
  <si>
    <t>张嘉琪</t>
  </si>
  <si>
    <t>张嘉芸</t>
  </si>
  <si>
    <t>陈可歆</t>
  </si>
  <si>
    <t>陈墨飞</t>
  </si>
  <si>
    <t>陈玥</t>
  </si>
  <si>
    <t>黄曜恺</t>
  </si>
  <si>
    <t>余思翰</t>
  </si>
  <si>
    <t>寿康铭</t>
  </si>
  <si>
    <t>朱晨萱</t>
  </si>
  <si>
    <t>范至真</t>
  </si>
  <si>
    <t>高卓言</t>
  </si>
  <si>
    <t>李心语</t>
  </si>
  <si>
    <t>胡承哲</t>
  </si>
  <si>
    <t>张俨嘉</t>
  </si>
  <si>
    <t>殷卓玙</t>
  </si>
  <si>
    <t>郑歆翊</t>
  </si>
  <si>
    <t>王语涵</t>
  </si>
  <si>
    <t>钱恺欣</t>
  </si>
  <si>
    <t>马沁楠</t>
  </si>
  <si>
    <t>马骏博</t>
  </si>
  <si>
    <t>严启铭</t>
  </si>
  <si>
    <t>徐溢成</t>
  </si>
  <si>
    <t>应宇菲</t>
  </si>
  <si>
    <t>余澄翼</t>
  </si>
  <si>
    <t>吴昕宸</t>
  </si>
  <si>
    <t>兰欣怡</t>
  </si>
  <si>
    <t>孔卓瑜</t>
  </si>
  <si>
    <t>余佳颖</t>
  </si>
  <si>
    <t>刘依阳</t>
  </si>
  <si>
    <t>郑媛睿</t>
  </si>
  <si>
    <t>毛王健</t>
  </si>
  <si>
    <t>阮铤锋</t>
  </si>
  <si>
    <t>王桢涵</t>
  </si>
  <si>
    <t>杨雨涵</t>
  </si>
  <si>
    <t>孙若菲</t>
  </si>
  <si>
    <t>周玥宏</t>
  </si>
  <si>
    <t>李炫宏</t>
  </si>
  <si>
    <t>叶勇浩</t>
  </si>
  <si>
    <t>袁周律</t>
  </si>
  <si>
    <t>吕荇佳</t>
  </si>
  <si>
    <t>于浩</t>
  </si>
  <si>
    <t>路子金</t>
  </si>
  <si>
    <t>高晨璐</t>
  </si>
  <si>
    <t>秦维浠</t>
  </si>
  <si>
    <t>高茗夏</t>
  </si>
  <si>
    <t>蒋梦璐</t>
  </si>
  <si>
    <t>叶昕悦</t>
  </si>
  <si>
    <t>支羽振</t>
  </si>
  <si>
    <t>周羿辰</t>
  </si>
  <si>
    <t>常书涵</t>
  </si>
  <si>
    <t>陆健洋</t>
  </si>
  <si>
    <t>沈晨炫</t>
  </si>
  <si>
    <t>陈一诺</t>
  </si>
  <si>
    <t>陈子豪</t>
  </si>
  <si>
    <t>李青富</t>
  </si>
  <si>
    <t>朱佳琪</t>
  </si>
  <si>
    <t>李芯言</t>
  </si>
  <si>
    <t>陶伶琳</t>
  </si>
  <si>
    <t>宋静怡</t>
  </si>
  <si>
    <t>王凌宵</t>
  </si>
  <si>
    <t>陶冶</t>
  </si>
  <si>
    <t>倪豪阳</t>
  </si>
  <si>
    <t>王一涵</t>
  </si>
  <si>
    <t>董润娴</t>
  </si>
  <si>
    <t>孙晨曦</t>
  </si>
  <si>
    <t>陈熠辉</t>
  </si>
  <si>
    <t>王晗静</t>
  </si>
  <si>
    <t>鄢欣悦</t>
  </si>
  <si>
    <t>陈东锦</t>
  </si>
  <si>
    <t>卢婉沁</t>
  </si>
  <si>
    <t>傅缘袁</t>
  </si>
  <si>
    <t>董子炀</t>
  </si>
  <si>
    <t>范若琳</t>
  </si>
  <si>
    <t>杨梓谦</t>
  </si>
  <si>
    <t>柯福锦</t>
  </si>
  <si>
    <t>帅欣宜</t>
  </si>
  <si>
    <t>谢哲翰</t>
  </si>
  <si>
    <t>方铮</t>
  </si>
  <si>
    <t>倪滕烨</t>
  </si>
  <si>
    <t>王榆楠</t>
  </si>
  <si>
    <t>尹成卓</t>
  </si>
  <si>
    <t>谢而凯</t>
  </si>
  <si>
    <t>杨韫祎</t>
  </si>
  <si>
    <t>卞天祺</t>
  </si>
  <si>
    <t>秦嘉雨</t>
  </si>
  <si>
    <t>刘娟娟</t>
  </si>
  <si>
    <t>沈亦豪</t>
  </si>
  <si>
    <t>宋君璘</t>
  </si>
  <si>
    <t>潘骆颖</t>
  </si>
  <si>
    <t>章星宇</t>
  </si>
  <si>
    <t>王梦涵</t>
  </si>
  <si>
    <t>陈浩亮</t>
  </si>
  <si>
    <t>周榆莹</t>
  </si>
  <si>
    <t>陈舜楠</t>
  </si>
  <si>
    <t>高棋威</t>
  </si>
  <si>
    <t>陈颜</t>
  </si>
  <si>
    <t>姜南</t>
  </si>
  <si>
    <t>童杰</t>
  </si>
  <si>
    <t>王婧涵</t>
  </si>
  <si>
    <t>孟楚楚</t>
  </si>
  <si>
    <t>姚佳欣</t>
  </si>
  <si>
    <t>徐霏羽</t>
  </si>
  <si>
    <t>陈子萱</t>
  </si>
  <si>
    <t>杜欣</t>
  </si>
  <si>
    <t>沈飞</t>
  </si>
  <si>
    <t>高忆</t>
  </si>
  <si>
    <t>吴铮宇</t>
  </si>
  <si>
    <t>胡辰洋</t>
  </si>
  <si>
    <t>张睿晨</t>
  </si>
  <si>
    <t>董奕辰</t>
  </si>
  <si>
    <t>樊俊泽</t>
  </si>
  <si>
    <t>杨雨凝</t>
  </si>
  <si>
    <t>任晨瑞</t>
  </si>
  <si>
    <t>陈一飞</t>
  </si>
  <si>
    <t>古凯铭</t>
  </si>
  <si>
    <t>陆欣妤</t>
  </si>
  <si>
    <t>尉李睿</t>
  </si>
  <si>
    <t>刘瑞雪</t>
  </si>
  <si>
    <t>陈弈宇</t>
  </si>
  <si>
    <t>吴珂</t>
  </si>
  <si>
    <t>刘语涵</t>
  </si>
  <si>
    <t>陈诗璇</t>
  </si>
  <si>
    <t>陈林灵</t>
  </si>
  <si>
    <t>葛明辉</t>
  </si>
  <si>
    <t>丁诗萱</t>
  </si>
  <si>
    <t>许子玥</t>
  </si>
  <si>
    <t>何田田</t>
  </si>
  <si>
    <t>方绍安</t>
  </si>
  <si>
    <t>李家希</t>
  </si>
  <si>
    <t>舒文笛</t>
  </si>
  <si>
    <t>孙新博</t>
  </si>
  <si>
    <t>赵祺</t>
  </si>
  <si>
    <t>简绍东</t>
  </si>
  <si>
    <t>袁博文</t>
  </si>
  <si>
    <t>杨隽铭</t>
  </si>
  <si>
    <t>周可悦</t>
  </si>
  <si>
    <t>陈子妙</t>
  </si>
  <si>
    <t>严奥鉴</t>
  </si>
  <si>
    <t>胡浩祺</t>
  </si>
  <si>
    <t>陈君忻</t>
  </si>
  <si>
    <t>马加乐</t>
  </si>
  <si>
    <t>吴徐燚</t>
  </si>
  <si>
    <t>周天祺</t>
  </si>
  <si>
    <t>凌炎彬</t>
  </si>
  <si>
    <t>丁佳慧</t>
  </si>
  <si>
    <t>赵芷菡</t>
  </si>
  <si>
    <t>葛旭妍</t>
  </si>
  <si>
    <t>杨子瑶</t>
  </si>
  <si>
    <t>胡妍</t>
  </si>
  <si>
    <t>孙毅玮</t>
  </si>
  <si>
    <t>盛昱涵</t>
  </si>
  <si>
    <t>徐正阳</t>
  </si>
  <si>
    <t>王俊凯</t>
  </si>
  <si>
    <t>资浩然</t>
  </si>
  <si>
    <t>李盈</t>
  </si>
  <si>
    <t>吴国豪</t>
  </si>
  <si>
    <t>陈锦添</t>
  </si>
  <si>
    <t>李梓晗</t>
  </si>
  <si>
    <t>孙熠铖</t>
  </si>
  <si>
    <t>沈昊枫</t>
  </si>
  <si>
    <t>章思昳</t>
  </si>
  <si>
    <t>申奕辰</t>
  </si>
  <si>
    <t>郦晨</t>
  </si>
  <si>
    <t>吴怡慧</t>
  </si>
  <si>
    <t>金添</t>
  </si>
  <si>
    <t>沈铮</t>
  </si>
  <si>
    <t>方一婧</t>
  </si>
  <si>
    <t>刘灿</t>
  </si>
  <si>
    <t>杨喆涵</t>
  </si>
  <si>
    <t>徐炜杰</t>
  </si>
  <si>
    <t>谢政轩</t>
  </si>
  <si>
    <t>郭宇航</t>
  </si>
  <si>
    <t>殷雨茜</t>
  </si>
  <si>
    <t>江熠辰</t>
  </si>
  <si>
    <t>赵泽鋆</t>
  </si>
  <si>
    <t>盛思涵</t>
  </si>
  <si>
    <t>孙翊畅</t>
  </si>
  <si>
    <t>应思琦</t>
  </si>
  <si>
    <t>王倚凡</t>
  </si>
  <si>
    <t>李兰雨</t>
  </si>
  <si>
    <t>马金柳</t>
  </si>
  <si>
    <t>沈正昊</t>
  </si>
  <si>
    <t>丁浩芸</t>
  </si>
  <si>
    <t>赵子琪</t>
  </si>
  <si>
    <t>范屠好</t>
  </si>
  <si>
    <t>陈徐伊轩</t>
  </si>
  <si>
    <t>周子睿</t>
  </si>
  <si>
    <t>俞鹏程</t>
  </si>
  <si>
    <t>李宇童</t>
  </si>
  <si>
    <t>叶宇辉</t>
  </si>
  <si>
    <t>吴立灿</t>
  </si>
  <si>
    <t>高宇泽</t>
  </si>
  <si>
    <t>付汀潇</t>
  </si>
  <si>
    <t>张灵煊</t>
  </si>
  <si>
    <t>褚景昊</t>
  </si>
  <si>
    <t>王昊宇</t>
  </si>
  <si>
    <t>刘惜缘</t>
  </si>
  <si>
    <t>王新语</t>
  </si>
  <si>
    <t>蔡语晨</t>
  </si>
  <si>
    <t>王科煜</t>
  </si>
  <si>
    <t>王炎风</t>
  </si>
  <si>
    <t>苗煜祺</t>
  </si>
  <si>
    <t>余靖泽</t>
  </si>
  <si>
    <t>严亦晗</t>
  </si>
  <si>
    <t>陈子羿</t>
  </si>
  <si>
    <t>高柯宇</t>
  </si>
  <si>
    <t>张润嘉</t>
  </si>
  <si>
    <t>叶奥栋</t>
  </si>
  <si>
    <t>吕卓凡</t>
  </si>
  <si>
    <t>凌通</t>
  </si>
  <si>
    <t>董思行</t>
  </si>
  <si>
    <t>史雨馨</t>
  </si>
  <si>
    <t>沈子初</t>
  </si>
  <si>
    <t>史志聪</t>
  </si>
  <si>
    <t>樊钰嘉</t>
  </si>
  <si>
    <t>张耀楠</t>
  </si>
  <si>
    <t>沈梓涛</t>
  </si>
  <si>
    <t>杨歆楠</t>
  </si>
  <si>
    <t>周敬轩</t>
  </si>
  <si>
    <t>陈孜滔</t>
  </si>
  <si>
    <t>李安琪</t>
  </si>
  <si>
    <t>夏屹贝</t>
  </si>
  <si>
    <t>陈俊文</t>
  </si>
  <si>
    <t>陈易鑫</t>
  </si>
  <si>
    <t>鲁铭轩</t>
  </si>
  <si>
    <t>周愉悦</t>
  </si>
  <si>
    <t>摔倒</t>
  </si>
  <si>
    <t>蒋则轩</t>
  </si>
  <si>
    <t>郭宜翔</t>
  </si>
  <si>
    <t>谢卓妍</t>
  </si>
  <si>
    <t>吴若空</t>
  </si>
  <si>
    <t>牟雅诺</t>
  </si>
  <si>
    <t>田宇诚</t>
  </si>
  <si>
    <t>边晨烨</t>
  </si>
  <si>
    <t>陶铭洲</t>
  </si>
  <si>
    <t>裘子轩</t>
  </si>
  <si>
    <t>谢智杰</t>
  </si>
  <si>
    <t>陈一桢</t>
  </si>
  <si>
    <t>孟嘉铭</t>
  </si>
  <si>
    <t>赵炜韬</t>
  </si>
  <si>
    <t>朱孜萱</t>
  </si>
  <si>
    <t>8.9.</t>
  </si>
  <si>
    <t>姚浩扬</t>
  </si>
  <si>
    <t>欧振好</t>
  </si>
  <si>
    <t>许诗宇</t>
  </si>
  <si>
    <t>邵清瑜</t>
  </si>
  <si>
    <t>胡逸凡</t>
  </si>
  <si>
    <t>俞馨怡</t>
  </si>
  <si>
    <t>俞欣瑶</t>
  </si>
  <si>
    <t>周俞</t>
  </si>
  <si>
    <t>叶陈果</t>
  </si>
  <si>
    <t>章卓洋</t>
  </si>
  <si>
    <t>袁圣昊</t>
  </si>
  <si>
    <t>孟瑜昊</t>
  </si>
  <si>
    <t>陈欣悦</t>
  </si>
  <si>
    <t>宋欣蓓</t>
  </si>
  <si>
    <t>范煜权</t>
  </si>
  <si>
    <t>石燊涛</t>
  </si>
  <si>
    <t>胡思源</t>
  </si>
  <si>
    <t>韩辰</t>
  </si>
  <si>
    <t>金炜</t>
  </si>
  <si>
    <t>高弈然</t>
  </si>
  <si>
    <t>章静盈</t>
  </si>
  <si>
    <t>汪晨炀</t>
  </si>
  <si>
    <t>张轩龙</t>
  </si>
  <si>
    <t>郑宗皓</t>
  </si>
  <si>
    <t>丁一益</t>
  </si>
  <si>
    <t>冯翰雨</t>
  </si>
  <si>
    <t>王笑容</t>
  </si>
  <si>
    <t>陈澹蕾</t>
  </si>
  <si>
    <t>孙澍权</t>
  </si>
  <si>
    <t>王昊阳</t>
  </si>
  <si>
    <t>袁馨颖</t>
  </si>
  <si>
    <t>吴子豪</t>
  </si>
  <si>
    <t>杨梦凡</t>
  </si>
  <si>
    <t>张哲豪</t>
  </si>
  <si>
    <t>俞铭轩</t>
  </si>
  <si>
    <t>王钰周</t>
  </si>
  <si>
    <t>祝恩潼</t>
  </si>
  <si>
    <t>金一硕</t>
  </si>
  <si>
    <t>徐雨晨</t>
  </si>
  <si>
    <t>徐子越</t>
  </si>
  <si>
    <t>黄子瑜</t>
  </si>
  <si>
    <t>朱熙媛</t>
  </si>
  <si>
    <t>祝锦昊</t>
  </si>
  <si>
    <t>倪志轩</t>
  </si>
  <si>
    <t>陈柯江</t>
  </si>
  <si>
    <t>方子轩</t>
  </si>
  <si>
    <t>倪思贝</t>
  </si>
  <si>
    <t>张晟杰</t>
  </si>
  <si>
    <t>樊星熠</t>
  </si>
  <si>
    <t>李承妍</t>
  </si>
  <si>
    <t>丁祺阳</t>
  </si>
  <si>
    <t>徐金晶</t>
  </si>
  <si>
    <t>彭南依</t>
  </si>
  <si>
    <t>沈豪杰</t>
  </si>
  <si>
    <t>周梓馨</t>
  </si>
  <si>
    <t>何燕川</t>
  </si>
  <si>
    <t>尉可镛</t>
  </si>
  <si>
    <t>宣铭鑫</t>
  </si>
  <si>
    <t>陈曦</t>
  </si>
  <si>
    <t>洪陈琤</t>
  </si>
  <si>
    <t>徐子昊</t>
  </si>
  <si>
    <t>叶铭宸</t>
  </si>
  <si>
    <t>邹昊轩</t>
  </si>
  <si>
    <t>王宇煊</t>
  </si>
  <si>
    <t>张桓震</t>
  </si>
  <si>
    <t>王泽涵</t>
  </si>
  <si>
    <t>宋新宸</t>
  </si>
  <si>
    <t>王晨皓</t>
  </si>
  <si>
    <t>蓝泉</t>
  </si>
  <si>
    <t>陈晨</t>
  </si>
  <si>
    <t>高宇弢</t>
  </si>
  <si>
    <t>黄政忆</t>
  </si>
  <si>
    <t>许佳能</t>
  </si>
  <si>
    <t>邵正晢</t>
  </si>
  <si>
    <t>陈嘉皓</t>
  </si>
  <si>
    <t>16..8</t>
  </si>
  <si>
    <t>沈灏然</t>
  </si>
  <si>
    <t>马文清</t>
  </si>
  <si>
    <t>冯羽潇</t>
  </si>
  <si>
    <t>王思涵</t>
  </si>
  <si>
    <t>寿宇珂</t>
  </si>
  <si>
    <t>金林轩</t>
  </si>
  <si>
    <t>王熠</t>
  </si>
  <si>
    <t>张森炀</t>
  </si>
  <si>
    <t>李绍康</t>
  </si>
  <si>
    <t>唐博然</t>
  </si>
  <si>
    <t>王子科</t>
  </si>
  <si>
    <t>贺登培</t>
  </si>
  <si>
    <t>王子锐</t>
  </si>
  <si>
    <t>金洛兴</t>
  </si>
  <si>
    <t>单单</t>
  </si>
  <si>
    <t>范旭尧</t>
  </si>
  <si>
    <t>赵璐</t>
  </si>
  <si>
    <t>邵嘉煜</t>
  </si>
  <si>
    <t>唐奕炀</t>
  </si>
  <si>
    <t>章钰琪</t>
  </si>
  <si>
    <t>徐艺欣</t>
  </si>
  <si>
    <t>朱卓晗</t>
  </si>
  <si>
    <t>虞潜</t>
  </si>
  <si>
    <t>金梓萌</t>
  </si>
  <si>
    <t>王晟涵</t>
  </si>
  <si>
    <t>陈礼锐</t>
  </si>
  <si>
    <t>田栩帆</t>
  </si>
  <si>
    <t>杨子腾</t>
  </si>
  <si>
    <t>马宇航</t>
  </si>
  <si>
    <t>张晨瑜</t>
  </si>
  <si>
    <t>余佳城</t>
  </si>
  <si>
    <t>何昊杰</t>
  </si>
  <si>
    <t>胡馨乐</t>
  </si>
  <si>
    <t>詹承烨</t>
  </si>
  <si>
    <t>诸天瑞</t>
  </si>
  <si>
    <t>何彦博</t>
  </si>
  <si>
    <t>周岐轩</t>
  </si>
  <si>
    <t>周家代</t>
  </si>
  <si>
    <t>陈嘉宇</t>
  </si>
  <si>
    <t>朱圣昊</t>
  </si>
  <si>
    <t>陈昱凝</t>
  </si>
  <si>
    <t>王正淇</t>
  </si>
  <si>
    <t>唐逸然</t>
  </si>
  <si>
    <t>傅锦诚</t>
  </si>
  <si>
    <t>胡乐天</t>
  </si>
  <si>
    <t>金子浩</t>
  </si>
  <si>
    <t>杨以恒</t>
  </si>
  <si>
    <t>戴子杰</t>
  </si>
  <si>
    <t>吴天元</t>
  </si>
  <si>
    <t>尹腾颉</t>
  </si>
  <si>
    <t>张晟益</t>
  </si>
  <si>
    <t>何天奕</t>
  </si>
  <si>
    <t>宋银樑</t>
  </si>
  <si>
    <t>李嘉涵</t>
  </si>
  <si>
    <t>林崟灏</t>
  </si>
  <si>
    <t>徐凌威</t>
  </si>
  <si>
    <t>潘思颐</t>
  </si>
  <si>
    <t>何子寅</t>
  </si>
  <si>
    <t>董镠涛</t>
  </si>
  <si>
    <t>于越</t>
  </si>
  <si>
    <t>唐润泽</t>
  </si>
  <si>
    <t>庞哲轩</t>
  </si>
  <si>
    <t>许烨恒</t>
  </si>
  <si>
    <t>蒋半城</t>
  </si>
  <si>
    <t>范昀杰</t>
  </si>
  <si>
    <t>沈泓名</t>
  </si>
  <si>
    <t>俞鲲</t>
  </si>
  <si>
    <t>沈叶飞</t>
  </si>
  <si>
    <t>周翼朗</t>
  </si>
  <si>
    <t>何甘霖</t>
  </si>
  <si>
    <t>裘智勋</t>
  </si>
  <si>
    <t>陈梦杰</t>
  </si>
  <si>
    <t>金易楠</t>
  </si>
  <si>
    <t>程绎嘉</t>
  </si>
  <si>
    <t>孙之涛</t>
  </si>
  <si>
    <t>徐子杰</t>
  </si>
  <si>
    <t>李墨然</t>
  </si>
  <si>
    <t>钱宸旭</t>
  </si>
  <si>
    <t>王羿博</t>
  </si>
  <si>
    <t>黄天宇</t>
  </si>
  <si>
    <t>完成</t>
  </si>
  <si>
    <t>曾弘毅</t>
  </si>
  <si>
    <t>何鸿远</t>
  </si>
  <si>
    <t>储闻轩</t>
  </si>
  <si>
    <t>周灵杰</t>
  </si>
  <si>
    <t>何卓赟</t>
  </si>
  <si>
    <t>周宸钰</t>
  </si>
  <si>
    <t>李乾祎</t>
  </si>
  <si>
    <t>廖仁杰</t>
  </si>
  <si>
    <t>马可歆</t>
  </si>
  <si>
    <t>王珺</t>
  </si>
  <si>
    <t>陶李天夏</t>
  </si>
  <si>
    <t>张栩嘉</t>
  </si>
  <si>
    <t>方馥郁</t>
  </si>
  <si>
    <t>罗思琪</t>
  </si>
  <si>
    <t>马可为</t>
  </si>
  <si>
    <t>刘逸萱</t>
  </si>
  <si>
    <t>陆钰婷</t>
  </si>
  <si>
    <t>王哲瑜</t>
  </si>
  <si>
    <t>吴宜轩</t>
  </si>
  <si>
    <t>齐婷婷</t>
  </si>
  <si>
    <t>陶子谦</t>
  </si>
  <si>
    <t>陈芊羽</t>
  </si>
  <si>
    <t>陈煜坤</t>
  </si>
  <si>
    <t>李俊铭</t>
  </si>
  <si>
    <t>杨艺文</t>
  </si>
  <si>
    <t>陈奕帆</t>
  </si>
  <si>
    <t>丁元皓</t>
  </si>
  <si>
    <t>罗俊恒</t>
  </si>
  <si>
    <t>徐安淇</t>
  </si>
  <si>
    <t>戈忠森</t>
  </si>
  <si>
    <t>尉文博</t>
  </si>
  <si>
    <t>杨传鲁</t>
  </si>
  <si>
    <t>俞致远</t>
  </si>
  <si>
    <t>赵胥皓</t>
  </si>
  <si>
    <t>俞平琪</t>
  </si>
  <si>
    <t>李思言</t>
  </si>
  <si>
    <t>祝明杰</t>
  </si>
  <si>
    <t>冯昊悦</t>
  </si>
  <si>
    <t>骆尽琳</t>
  </si>
  <si>
    <t>顾鸿翔</t>
  </si>
  <si>
    <t>季小云</t>
  </si>
  <si>
    <t>王紫茗</t>
  </si>
  <si>
    <t>童兆诚</t>
  </si>
  <si>
    <t>王叶萌</t>
  </si>
  <si>
    <t>卜奕涵</t>
  </si>
  <si>
    <t>蒋韩奕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</si>
</sst>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26" x14ac:knownFonts="1">
    <font>
      <sz val="11"/>
      <color theme="1"/>
      <name val="等线"/>
      <family val="2"/>
      <scheme val="minor"/>
    </font>
    <font>
      <b/>
      <sz val="12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等线"/>
      <family val="3"/>
      <charset val="134"/>
      <scheme val="minor"/>
    </font>
    <font>
      <sz val="12"/>
      <color rgb="FFFF0000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Arial"/>
      <family val="2"/>
    </font>
    <font>
      <sz val="1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color indexed="8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vertical="center"/>
    </xf>
    <xf numFmtId="176" fontId="10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6" fontId="12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177" fontId="10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10" fillId="0" borderId="0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9" borderId="1" xfId="0" applyFont="1" applyFill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176" fontId="22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6" fillId="0" borderId="0" xfId="0" applyFont="1" applyBorder="1" applyAlignment="1">
      <alignment horizontal="center" vertical="center"/>
    </xf>
  </cellXfs>
  <cellStyles count="1">
    <cellStyle name="常规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&#20307;&#27979;&#25104;&#32489;&#35745;&#31639;&#34920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据"/>
      <sheetName val="对照表"/>
      <sheetName val="算分表"/>
      <sheetName val="高一2026"/>
      <sheetName val="高二 2026"/>
      <sheetName val="平均分汇总"/>
      <sheetName val="高一2026 (平均分)"/>
      <sheetName val="高二 2026 (平均分)"/>
    </sheetNames>
    <sheetDataSet>
      <sheetData sheetId="0" refreshError="1"/>
      <sheetData sheetId="1">
        <row r="3">
          <cell r="E3" t="str">
            <v>/</v>
          </cell>
          <cell r="F3" t="str">
            <v>/</v>
          </cell>
          <cell r="G3" t="str">
            <v>/</v>
          </cell>
          <cell r="H3" t="str">
            <v>/</v>
          </cell>
          <cell r="I3" t="str">
            <v>/</v>
          </cell>
          <cell r="J3" t="str">
            <v>/</v>
          </cell>
          <cell r="K3" t="str">
            <v>/</v>
          </cell>
          <cell r="L3" t="str">
            <v>/</v>
          </cell>
          <cell r="M3" t="str">
            <v>/</v>
          </cell>
          <cell r="N3" t="str">
            <v>/</v>
          </cell>
          <cell r="O3" t="str">
            <v>/</v>
          </cell>
          <cell r="P3" t="str">
            <v>/</v>
          </cell>
          <cell r="Q3" t="str">
            <v>/</v>
          </cell>
          <cell r="R3" t="str">
            <v>/</v>
          </cell>
          <cell r="S3" t="str">
            <v>/</v>
          </cell>
          <cell r="T3" t="str">
            <v>/</v>
          </cell>
          <cell r="U3" t="str">
            <v>/</v>
          </cell>
          <cell r="V3" t="str">
            <v>/</v>
          </cell>
          <cell r="W3" t="str">
            <v>/</v>
          </cell>
          <cell r="X3" t="str">
            <v>/</v>
          </cell>
          <cell r="Z3">
            <v>0</v>
          </cell>
          <cell r="AA3">
            <v>0</v>
          </cell>
          <cell r="AB3">
            <v>-2</v>
          </cell>
          <cell r="AC3">
            <v>10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100</v>
          </cell>
          <cell r="I4">
            <v>-30</v>
          </cell>
          <cell r="J4">
            <v>-30</v>
          </cell>
          <cell r="K4">
            <v>-30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100</v>
          </cell>
          <cell r="Z4">
            <v>1</v>
          </cell>
          <cell r="AA4">
            <v>1</v>
          </cell>
          <cell r="AB4">
            <v>-0.34</v>
          </cell>
          <cell r="AC4">
            <v>9</v>
          </cell>
        </row>
        <row r="5">
          <cell r="E5">
            <v>7.1099999999999994</v>
          </cell>
          <cell r="F5">
            <v>7.01</v>
          </cell>
          <cell r="G5">
            <v>6.81</v>
          </cell>
          <cell r="H5">
            <v>95</v>
          </cell>
          <cell r="I5">
            <v>-4</v>
          </cell>
          <cell r="J5">
            <v>-2.9</v>
          </cell>
          <cell r="K5">
            <v>-1.8</v>
          </cell>
          <cell r="L5">
            <v>10</v>
          </cell>
          <cell r="M5">
            <v>170</v>
          </cell>
          <cell r="N5">
            <v>175</v>
          </cell>
          <cell r="O5">
            <v>180</v>
          </cell>
          <cell r="P5">
            <v>10</v>
          </cell>
          <cell r="Q5">
            <v>2</v>
          </cell>
          <cell r="R5">
            <v>3</v>
          </cell>
          <cell r="S5">
            <v>4</v>
          </cell>
          <cell r="T5">
            <v>10</v>
          </cell>
          <cell r="U5">
            <v>3.3099999999999996</v>
          </cell>
          <cell r="V5">
            <v>3.26</v>
          </cell>
          <cell r="W5">
            <v>3.21</v>
          </cell>
          <cell r="X5">
            <v>95</v>
          </cell>
          <cell r="Z5">
            <v>2</v>
          </cell>
          <cell r="AA5">
            <v>2</v>
          </cell>
          <cell r="AB5">
            <v>-0.31</v>
          </cell>
          <cell r="AC5">
            <v>8</v>
          </cell>
        </row>
        <row r="6">
          <cell r="E6">
            <v>7.21</v>
          </cell>
          <cell r="F6">
            <v>7.1099999999999994</v>
          </cell>
          <cell r="G6">
            <v>6.91</v>
          </cell>
          <cell r="H6">
            <v>90</v>
          </cell>
          <cell r="I6">
            <v>-3</v>
          </cell>
          <cell r="J6">
            <v>-1.9</v>
          </cell>
          <cell r="K6">
            <v>-0.8</v>
          </cell>
          <cell r="L6">
            <v>20</v>
          </cell>
          <cell r="M6">
            <v>175</v>
          </cell>
          <cell r="N6">
            <v>180</v>
          </cell>
          <cell r="O6">
            <v>185</v>
          </cell>
          <cell r="P6">
            <v>20</v>
          </cell>
          <cell r="Q6">
            <v>3</v>
          </cell>
          <cell r="R6">
            <v>4</v>
          </cell>
          <cell r="S6">
            <v>5</v>
          </cell>
          <cell r="T6">
            <v>20</v>
          </cell>
          <cell r="U6">
            <v>3.36</v>
          </cell>
          <cell r="V6">
            <v>3.3099999999999996</v>
          </cell>
          <cell r="W6">
            <v>3.26</v>
          </cell>
          <cell r="X6">
            <v>90</v>
          </cell>
          <cell r="Z6">
            <v>3</v>
          </cell>
          <cell r="AA6">
            <v>3</v>
          </cell>
          <cell r="AB6">
            <v>-0.28000000000000003</v>
          </cell>
          <cell r="AC6">
            <v>7</v>
          </cell>
        </row>
        <row r="7">
          <cell r="E7">
            <v>7.31</v>
          </cell>
          <cell r="F7">
            <v>7.21</v>
          </cell>
          <cell r="G7">
            <v>7.01</v>
          </cell>
          <cell r="H7">
            <v>85</v>
          </cell>
          <cell r="I7">
            <v>-2</v>
          </cell>
          <cell r="J7">
            <v>-0.9</v>
          </cell>
          <cell r="K7">
            <v>0.2</v>
          </cell>
          <cell r="L7">
            <v>30</v>
          </cell>
          <cell r="M7">
            <v>180</v>
          </cell>
          <cell r="N7">
            <v>185</v>
          </cell>
          <cell r="O7">
            <v>190</v>
          </cell>
          <cell r="P7">
            <v>30</v>
          </cell>
          <cell r="Q7">
            <v>4</v>
          </cell>
          <cell r="R7">
            <v>5</v>
          </cell>
          <cell r="S7">
            <v>6</v>
          </cell>
          <cell r="T7">
            <v>30</v>
          </cell>
          <cell r="U7">
            <v>3.4099999999999997</v>
          </cell>
          <cell r="V7">
            <v>3.36</v>
          </cell>
          <cell r="W7">
            <v>3.3099999999999996</v>
          </cell>
          <cell r="X7">
            <v>85</v>
          </cell>
          <cell r="Z7">
            <v>4</v>
          </cell>
          <cell r="AA7">
            <v>4</v>
          </cell>
          <cell r="AB7">
            <v>-0.25</v>
          </cell>
          <cell r="AC7">
            <v>6</v>
          </cell>
        </row>
        <row r="8">
          <cell r="E8">
            <v>7.41</v>
          </cell>
          <cell r="F8">
            <v>7.31</v>
          </cell>
          <cell r="G8">
            <v>7.1099999999999994</v>
          </cell>
          <cell r="H8">
            <v>80</v>
          </cell>
          <cell r="I8">
            <v>-1</v>
          </cell>
          <cell r="J8">
            <v>0.1</v>
          </cell>
          <cell r="K8">
            <v>1.2</v>
          </cell>
          <cell r="L8">
            <v>40</v>
          </cell>
          <cell r="M8">
            <v>185</v>
          </cell>
          <cell r="N8">
            <v>190</v>
          </cell>
          <cell r="O8">
            <v>195</v>
          </cell>
          <cell r="P8">
            <v>40</v>
          </cell>
          <cell r="Q8">
            <v>5</v>
          </cell>
          <cell r="R8">
            <v>6</v>
          </cell>
          <cell r="S8">
            <v>7</v>
          </cell>
          <cell r="T8">
            <v>40</v>
          </cell>
          <cell r="U8">
            <v>3.48</v>
          </cell>
          <cell r="V8">
            <v>3.4299999999999997</v>
          </cell>
          <cell r="W8">
            <v>3.38</v>
          </cell>
          <cell r="X8">
            <v>80</v>
          </cell>
          <cell r="Z8">
            <v>5</v>
          </cell>
          <cell r="AA8">
            <v>5</v>
          </cell>
          <cell r="AB8">
            <v>-0.22</v>
          </cell>
          <cell r="AC8">
            <v>5</v>
          </cell>
        </row>
        <row r="9">
          <cell r="E9">
            <v>7.51</v>
          </cell>
          <cell r="F9">
            <v>7.41</v>
          </cell>
          <cell r="G9">
            <v>7.21</v>
          </cell>
          <cell r="H9">
            <v>78</v>
          </cell>
          <cell r="I9">
            <v>0</v>
          </cell>
          <cell r="J9">
            <v>1.1000000000000001</v>
          </cell>
          <cell r="K9">
            <v>2.2000000000000002</v>
          </cell>
          <cell r="L9">
            <v>50</v>
          </cell>
          <cell r="M9">
            <v>190</v>
          </cell>
          <cell r="N9">
            <v>195</v>
          </cell>
          <cell r="O9">
            <v>200</v>
          </cell>
          <cell r="P9">
            <v>50</v>
          </cell>
          <cell r="Q9">
            <v>6</v>
          </cell>
          <cell r="R9">
            <v>7</v>
          </cell>
          <cell r="S9">
            <v>8</v>
          </cell>
          <cell r="T9">
            <v>50</v>
          </cell>
          <cell r="U9">
            <v>3.5599999999999996</v>
          </cell>
          <cell r="V9">
            <v>3.51</v>
          </cell>
          <cell r="W9">
            <v>3.46</v>
          </cell>
          <cell r="X9">
            <v>78</v>
          </cell>
          <cell r="Z9">
            <v>6</v>
          </cell>
          <cell r="AA9">
            <v>6</v>
          </cell>
          <cell r="AB9">
            <v>-0.19</v>
          </cell>
          <cell r="AC9">
            <v>4</v>
          </cell>
        </row>
        <row r="10">
          <cell r="E10">
            <v>7.71</v>
          </cell>
          <cell r="F10">
            <v>7.6099999999999994</v>
          </cell>
          <cell r="G10">
            <v>7.41</v>
          </cell>
          <cell r="H10">
            <v>76</v>
          </cell>
          <cell r="I10">
            <v>1</v>
          </cell>
          <cell r="J10">
            <v>2.1</v>
          </cell>
          <cell r="K10">
            <v>3.2</v>
          </cell>
          <cell r="L10">
            <v>60</v>
          </cell>
          <cell r="M10">
            <v>195</v>
          </cell>
          <cell r="N10">
            <v>200</v>
          </cell>
          <cell r="O10">
            <v>205</v>
          </cell>
          <cell r="P10">
            <v>60</v>
          </cell>
          <cell r="Q10">
            <v>7</v>
          </cell>
          <cell r="R10">
            <v>8</v>
          </cell>
          <cell r="S10">
            <v>9</v>
          </cell>
          <cell r="T10">
            <v>60</v>
          </cell>
          <cell r="U10">
            <v>4.01</v>
          </cell>
          <cell r="V10">
            <v>3.5599999999999996</v>
          </cell>
          <cell r="W10">
            <v>3.51</v>
          </cell>
          <cell r="X10">
            <v>76</v>
          </cell>
          <cell r="Z10">
            <v>7</v>
          </cell>
          <cell r="AA10">
            <v>7</v>
          </cell>
          <cell r="AB10">
            <v>-0.15</v>
          </cell>
          <cell r="AC10">
            <v>3</v>
          </cell>
        </row>
        <row r="11">
          <cell r="E11">
            <v>7.91</v>
          </cell>
          <cell r="F11">
            <v>7.81</v>
          </cell>
          <cell r="G11">
            <v>7.6099999999999994</v>
          </cell>
          <cell r="H11">
            <v>74</v>
          </cell>
          <cell r="I11">
            <v>2.4</v>
          </cell>
          <cell r="J11">
            <v>3.5</v>
          </cell>
          <cell r="K11">
            <v>4.5999999999999996</v>
          </cell>
          <cell r="L11">
            <v>62</v>
          </cell>
          <cell r="M11">
            <v>199</v>
          </cell>
          <cell r="N11">
            <v>204</v>
          </cell>
          <cell r="O11">
            <v>209</v>
          </cell>
          <cell r="P11">
            <v>62</v>
          </cell>
          <cell r="Q11">
            <v>8</v>
          </cell>
          <cell r="R11">
            <v>9</v>
          </cell>
          <cell r="S11">
            <v>10</v>
          </cell>
          <cell r="T11">
            <v>64</v>
          </cell>
          <cell r="U11">
            <v>4.0599999999999996</v>
          </cell>
          <cell r="V11">
            <v>4.01</v>
          </cell>
          <cell r="W11">
            <v>3.5599999999999996</v>
          </cell>
          <cell r="X11">
            <v>74</v>
          </cell>
          <cell r="Z11">
            <v>8</v>
          </cell>
          <cell r="AA11">
            <v>8</v>
          </cell>
          <cell r="AB11">
            <v>-0.11</v>
          </cell>
          <cell r="AC11">
            <v>2</v>
          </cell>
        </row>
        <row r="12">
          <cell r="E12">
            <v>8.11</v>
          </cell>
          <cell r="F12">
            <v>8.01</v>
          </cell>
          <cell r="G12">
            <v>7.81</v>
          </cell>
          <cell r="H12">
            <v>72</v>
          </cell>
          <cell r="I12">
            <v>3.8</v>
          </cell>
          <cell r="J12">
            <v>4.9000000000000004</v>
          </cell>
          <cell r="K12">
            <v>6</v>
          </cell>
          <cell r="L12">
            <v>64</v>
          </cell>
          <cell r="M12">
            <v>203</v>
          </cell>
          <cell r="N12">
            <v>208</v>
          </cell>
          <cell r="O12">
            <v>213</v>
          </cell>
          <cell r="P12">
            <v>64</v>
          </cell>
          <cell r="Q12">
            <v>9</v>
          </cell>
          <cell r="R12">
            <v>10</v>
          </cell>
          <cell r="S12">
            <v>11</v>
          </cell>
          <cell r="T12">
            <v>68</v>
          </cell>
          <cell r="U12">
            <v>4.1099999999999994</v>
          </cell>
          <cell r="V12">
            <v>4.0599999999999996</v>
          </cell>
          <cell r="W12">
            <v>4.01</v>
          </cell>
          <cell r="X12">
            <v>72</v>
          </cell>
          <cell r="Z12">
            <v>9</v>
          </cell>
          <cell r="AA12">
            <v>9</v>
          </cell>
          <cell r="AB12">
            <v>-7.0000000000000007E-2</v>
          </cell>
          <cell r="AC12">
            <v>1</v>
          </cell>
        </row>
        <row r="13">
          <cell r="E13">
            <v>8.31</v>
          </cell>
          <cell r="F13">
            <v>8.2099999999999991</v>
          </cell>
          <cell r="G13">
            <v>8.01</v>
          </cell>
          <cell r="H13">
            <v>70</v>
          </cell>
          <cell r="I13">
            <v>5.2</v>
          </cell>
          <cell r="J13">
            <v>6.3</v>
          </cell>
          <cell r="K13">
            <v>7.4</v>
          </cell>
          <cell r="L13">
            <v>66</v>
          </cell>
          <cell r="M13">
            <v>207</v>
          </cell>
          <cell r="N13">
            <v>212</v>
          </cell>
          <cell r="O13">
            <v>217</v>
          </cell>
          <cell r="P13">
            <v>66</v>
          </cell>
          <cell r="Q13">
            <v>10</v>
          </cell>
          <cell r="R13">
            <v>11</v>
          </cell>
          <cell r="S13">
            <v>12</v>
          </cell>
          <cell r="T13">
            <v>72</v>
          </cell>
          <cell r="U13">
            <v>4.16</v>
          </cell>
          <cell r="V13">
            <v>4.1099999999999994</v>
          </cell>
          <cell r="W13">
            <v>4.0599999999999996</v>
          </cell>
          <cell r="X13">
            <v>70</v>
          </cell>
          <cell r="Z13">
            <v>10</v>
          </cell>
          <cell r="AA13">
            <v>10</v>
          </cell>
          <cell r="AB13">
            <v>-0.03</v>
          </cell>
          <cell r="AC13">
            <v>0</v>
          </cell>
        </row>
        <row r="14">
          <cell r="E14">
            <v>8.51</v>
          </cell>
          <cell r="F14">
            <v>8.41</v>
          </cell>
          <cell r="G14">
            <v>8.2099999999999991</v>
          </cell>
          <cell r="H14">
            <v>68</v>
          </cell>
          <cell r="I14">
            <v>6.6</v>
          </cell>
          <cell r="J14">
            <v>7.7</v>
          </cell>
          <cell r="K14">
            <v>8.8000000000000007</v>
          </cell>
          <cell r="L14">
            <v>68</v>
          </cell>
          <cell r="M14">
            <v>211</v>
          </cell>
          <cell r="N14">
            <v>216</v>
          </cell>
          <cell r="O14">
            <v>221</v>
          </cell>
          <cell r="P14">
            <v>68</v>
          </cell>
          <cell r="Q14">
            <v>11</v>
          </cell>
          <cell r="R14">
            <v>12</v>
          </cell>
          <cell r="S14">
            <v>13</v>
          </cell>
          <cell r="T14">
            <v>76</v>
          </cell>
          <cell r="U14">
            <v>4.21</v>
          </cell>
          <cell r="V14">
            <v>4.16</v>
          </cell>
          <cell r="W14">
            <v>4.1099999999999994</v>
          </cell>
          <cell r="X14">
            <v>68</v>
          </cell>
        </row>
        <row r="15">
          <cell r="E15">
            <v>8.7099999999999991</v>
          </cell>
          <cell r="F15">
            <v>8.61</v>
          </cell>
          <cell r="G15">
            <v>8.41</v>
          </cell>
          <cell r="H15">
            <v>66</v>
          </cell>
          <cell r="I15">
            <v>8</v>
          </cell>
          <cell r="J15">
            <v>9.1</v>
          </cell>
          <cell r="K15">
            <v>10.199999999999999</v>
          </cell>
          <cell r="L15">
            <v>70</v>
          </cell>
          <cell r="M15">
            <v>215</v>
          </cell>
          <cell r="N15">
            <v>220</v>
          </cell>
          <cell r="O15">
            <v>225</v>
          </cell>
          <cell r="P15">
            <v>70</v>
          </cell>
          <cell r="Q15">
            <v>12</v>
          </cell>
          <cell r="R15">
            <v>13</v>
          </cell>
          <cell r="S15">
            <v>14</v>
          </cell>
          <cell r="T15">
            <v>80</v>
          </cell>
          <cell r="U15">
            <v>4.26</v>
          </cell>
          <cell r="V15">
            <v>4.21</v>
          </cell>
          <cell r="W15">
            <v>4.16</v>
          </cell>
          <cell r="X15">
            <v>66</v>
          </cell>
          <cell r="Z15">
            <v>0</v>
          </cell>
          <cell r="AA15">
            <v>0</v>
          </cell>
          <cell r="AB15">
            <v>-2</v>
          </cell>
          <cell r="AC15">
            <v>10</v>
          </cell>
        </row>
        <row r="16">
          <cell r="E16">
            <v>8.91</v>
          </cell>
          <cell r="F16">
            <v>8.81</v>
          </cell>
          <cell r="G16">
            <v>8.61</v>
          </cell>
          <cell r="H16">
            <v>64</v>
          </cell>
          <cell r="I16">
            <v>9.4</v>
          </cell>
          <cell r="J16">
            <v>10.5</v>
          </cell>
          <cell r="K16">
            <v>11.6</v>
          </cell>
          <cell r="L16">
            <v>72</v>
          </cell>
          <cell r="M16">
            <v>219</v>
          </cell>
          <cell r="N16">
            <v>224</v>
          </cell>
          <cell r="O16">
            <v>229</v>
          </cell>
          <cell r="P16">
            <v>72</v>
          </cell>
          <cell r="Q16">
            <v>13</v>
          </cell>
          <cell r="R16">
            <v>14</v>
          </cell>
          <cell r="S16">
            <v>15</v>
          </cell>
          <cell r="T16">
            <v>85</v>
          </cell>
          <cell r="U16">
            <v>4.3099999999999996</v>
          </cell>
          <cell r="V16">
            <v>4.26</v>
          </cell>
          <cell r="W16">
            <v>4.21</v>
          </cell>
          <cell r="X16">
            <v>64</v>
          </cell>
          <cell r="Z16">
            <v>2</v>
          </cell>
          <cell r="AA16">
            <v>1</v>
          </cell>
          <cell r="AB16">
            <v>-0.49</v>
          </cell>
          <cell r="AC16">
            <v>9</v>
          </cell>
        </row>
        <row r="17">
          <cell r="E17">
            <v>9.11</v>
          </cell>
          <cell r="F17">
            <v>9.01</v>
          </cell>
          <cell r="G17">
            <v>8.81</v>
          </cell>
          <cell r="H17">
            <v>62</v>
          </cell>
          <cell r="I17">
            <v>10.8</v>
          </cell>
          <cell r="J17">
            <v>11.9</v>
          </cell>
          <cell r="K17">
            <v>13</v>
          </cell>
          <cell r="L17">
            <v>74</v>
          </cell>
          <cell r="M17">
            <v>223</v>
          </cell>
          <cell r="N17">
            <v>228</v>
          </cell>
          <cell r="O17">
            <v>233</v>
          </cell>
          <cell r="P17">
            <v>74</v>
          </cell>
          <cell r="Q17">
            <v>14</v>
          </cell>
          <cell r="R17">
            <v>15</v>
          </cell>
          <cell r="S17">
            <v>16</v>
          </cell>
          <cell r="T17">
            <v>90</v>
          </cell>
          <cell r="U17">
            <v>4.3599999999999994</v>
          </cell>
          <cell r="V17">
            <v>4.3099999999999996</v>
          </cell>
          <cell r="W17">
            <v>4.26</v>
          </cell>
          <cell r="X17">
            <v>62</v>
          </cell>
          <cell r="Z17">
            <v>4</v>
          </cell>
          <cell r="AA17">
            <v>2</v>
          </cell>
          <cell r="AB17">
            <v>-0.44</v>
          </cell>
          <cell r="AC17">
            <v>8</v>
          </cell>
        </row>
        <row r="18">
          <cell r="E18">
            <v>9.31</v>
          </cell>
          <cell r="F18">
            <v>9.2099999999999991</v>
          </cell>
          <cell r="G18">
            <v>9.01</v>
          </cell>
          <cell r="H18">
            <v>60</v>
          </cell>
          <cell r="I18">
            <v>12.2</v>
          </cell>
          <cell r="J18">
            <v>13.3</v>
          </cell>
          <cell r="K18">
            <v>14.4</v>
          </cell>
          <cell r="L18">
            <v>76</v>
          </cell>
          <cell r="M18">
            <v>227</v>
          </cell>
          <cell r="N18">
            <v>232</v>
          </cell>
          <cell r="O18">
            <v>237</v>
          </cell>
          <cell r="P18">
            <v>76</v>
          </cell>
          <cell r="Q18">
            <v>15</v>
          </cell>
          <cell r="R18">
            <v>16</v>
          </cell>
          <cell r="S18">
            <v>17</v>
          </cell>
          <cell r="T18">
            <v>95</v>
          </cell>
          <cell r="U18">
            <v>4.41</v>
          </cell>
          <cell r="V18">
            <v>4.3599999999999994</v>
          </cell>
          <cell r="W18">
            <v>4.3099999999999996</v>
          </cell>
          <cell r="X18">
            <v>60</v>
          </cell>
          <cell r="Z18">
            <v>6</v>
          </cell>
          <cell r="AA18">
            <v>3</v>
          </cell>
          <cell r="AB18">
            <v>-0.39</v>
          </cell>
          <cell r="AC18">
            <v>7</v>
          </cell>
        </row>
        <row r="19">
          <cell r="E19">
            <v>9.51</v>
          </cell>
          <cell r="F19">
            <v>9.41</v>
          </cell>
          <cell r="G19">
            <v>9.2099999999999991</v>
          </cell>
          <cell r="H19">
            <v>50</v>
          </cell>
          <cell r="I19">
            <v>13.6</v>
          </cell>
          <cell r="J19">
            <v>14.7</v>
          </cell>
          <cell r="K19">
            <v>15.8</v>
          </cell>
          <cell r="L19">
            <v>78</v>
          </cell>
          <cell r="M19">
            <v>231</v>
          </cell>
          <cell r="N19">
            <v>236</v>
          </cell>
          <cell r="O19">
            <v>241</v>
          </cell>
          <cell r="P19">
            <v>78</v>
          </cell>
          <cell r="Q19">
            <v>16</v>
          </cell>
          <cell r="R19">
            <v>17</v>
          </cell>
          <cell r="S19">
            <v>18</v>
          </cell>
          <cell r="T19">
            <v>100</v>
          </cell>
          <cell r="U19">
            <v>4.46</v>
          </cell>
          <cell r="V19">
            <v>4.41</v>
          </cell>
          <cell r="W19">
            <v>4.3599999999999994</v>
          </cell>
          <cell r="X19">
            <v>50</v>
          </cell>
          <cell r="Z19">
            <v>7</v>
          </cell>
          <cell r="AA19">
            <v>4</v>
          </cell>
          <cell r="AB19">
            <v>-0.34</v>
          </cell>
          <cell r="AC19">
            <v>6</v>
          </cell>
        </row>
        <row r="20">
          <cell r="E20">
            <v>9.7099999999999991</v>
          </cell>
          <cell r="F20">
            <v>9.61</v>
          </cell>
          <cell r="G20">
            <v>9.41</v>
          </cell>
          <cell r="H20">
            <v>40</v>
          </cell>
          <cell r="I20">
            <v>15</v>
          </cell>
          <cell r="J20">
            <v>16.100000000000001</v>
          </cell>
          <cell r="K20">
            <v>17.2</v>
          </cell>
          <cell r="L20">
            <v>80</v>
          </cell>
          <cell r="M20">
            <v>235</v>
          </cell>
          <cell r="N20">
            <v>240</v>
          </cell>
          <cell r="O20">
            <v>245</v>
          </cell>
          <cell r="P20">
            <v>80</v>
          </cell>
          <cell r="U20">
            <v>5.0599999999999996</v>
          </cell>
          <cell r="V20">
            <v>5.01</v>
          </cell>
          <cell r="W20">
            <v>4.5599999999999996</v>
          </cell>
          <cell r="X20">
            <v>40</v>
          </cell>
          <cell r="Z20">
            <v>8</v>
          </cell>
          <cell r="AA20">
            <v>5</v>
          </cell>
          <cell r="AB20">
            <v>-0.28999999999999998</v>
          </cell>
          <cell r="AC20">
            <v>5</v>
          </cell>
        </row>
        <row r="21">
          <cell r="E21">
            <v>9.91</v>
          </cell>
          <cell r="F21">
            <v>9.81</v>
          </cell>
          <cell r="G21">
            <v>9.61</v>
          </cell>
          <cell r="H21">
            <v>30</v>
          </cell>
          <cell r="I21">
            <v>17.2</v>
          </cell>
          <cell r="J21">
            <v>18.3</v>
          </cell>
          <cell r="K21">
            <v>19.100000000000001</v>
          </cell>
          <cell r="L21">
            <v>85</v>
          </cell>
          <cell r="M21">
            <v>243</v>
          </cell>
          <cell r="N21">
            <v>248</v>
          </cell>
          <cell r="O21">
            <v>253</v>
          </cell>
          <cell r="P21">
            <v>85</v>
          </cell>
          <cell r="U21">
            <v>5.26</v>
          </cell>
          <cell r="V21">
            <v>5.21</v>
          </cell>
          <cell r="W21">
            <v>5.16</v>
          </cell>
          <cell r="X21">
            <v>30</v>
          </cell>
          <cell r="Z21">
            <v>9</v>
          </cell>
          <cell r="AA21">
            <v>6</v>
          </cell>
          <cell r="AB21">
            <v>-0.24</v>
          </cell>
          <cell r="AC21">
            <v>4</v>
          </cell>
        </row>
        <row r="22">
          <cell r="E22">
            <v>10.11</v>
          </cell>
          <cell r="F22">
            <v>10.01</v>
          </cell>
          <cell r="G22">
            <v>9.81</v>
          </cell>
          <cell r="H22">
            <v>20</v>
          </cell>
          <cell r="I22">
            <v>19.399999999999999</v>
          </cell>
          <cell r="J22">
            <v>20.5</v>
          </cell>
          <cell r="K22">
            <v>21</v>
          </cell>
          <cell r="L22">
            <v>90</v>
          </cell>
          <cell r="M22">
            <v>250</v>
          </cell>
          <cell r="N22">
            <v>255</v>
          </cell>
          <cell r="O22">
            <v>260</v>
          </cell>
          <cell r="P22">
            <v>90</v>
          </cell>
          <cell r="U22">
            <v>5.46</v>
          </cell>
          <cell r="V22">
            <v>5.41</v>
          </cell>
          <cell r="W22">
            <v>5.3599999999999994</v>
          </cell>
          <cell r="X22">
            <v>20</v>
          </cell>
          <cell r="Z22">
            <v>10</v>
          </cell>
          <cell r="AA22">
            <v>7</v>
          </cell>
          <cell r="AB22">
            <v>-0.19</v>
          </cell>
          <cell r="AC22">
            <v>3</v>
          </cell>
        </row>
        <row r="23">
          <cell r="E23">
            <v>10.31</v>
          </cell>
          <cell r="F23">
            <v>10.209999999999999</v>
          </cell>
          <cell r="G23">
            <v>10.01</v>
          </cell>
          <cell r="H23">
            <v>10</v>
          </cell>
          <cell r="I23">
            <v>21.5</v>
          </cell>
          <cell r="J23">
            <v>22.4</v>
          </cell>
          <cell r="K23">
            <v>22.8</v>
          </cell>
          <cell r="L23">
            <v>95</v>
          </cell>
          <cell r="M23">
            <v>255</v>
          </cell>
          <cell r="N23">
            <v>260</v>
          </cell>
          <cell r="O23">
            <v>265</v>
          </cell>
          <cell r="P23">
            <v>95</v>
          </cell>
          <cell r="U23">
            <v>6.06</v>
          </cell>
          <cell r="V23">
            <v>6.01</v>
          </cell>
          <cell r="W23">
            <v>5.56</v>
          </cell>
          <cell r="X23">
            <v>10</v>
          </cell>
          <cell r="Z23">
            <v>11</v>
          </cell>
          <cell r="AA23">
            <v>8</v>
          </cell>
          <cell r="AB23">
            <v>-0.13999999999999999</v>
          </cell>
          <cell r="AC23">
            <v>2</v>
          </cell>
        </row>
        <row r="24">
          <cell r="E24">
            <v>10.51</v>
          </cell>
          <cell r="F24">
            <v>10.41</v>
          </cell>
          <cell r="G24">
            <v>10.209999999999999</v>
          </cell>
          <cell r="H24">
            <v>0</v>
          </cell>
          <cell r="I24">
            <v>23.6</v>
          </cell>
          <cell r="J24">
            <v>24.3</v>
          </cell>
          <cell r="K24">
            <v>24.6</v>
          </cell>
          <cell r="L24">
            <v>100</v>
          </cell>
          <cell r="M24">
            <v>260</v>
          </cell>
          <cell r="N24">
            <v>265</v>
          </cell>
          <cell r="O24">
            <v>270</v>
          </cell>
          <cell r="P24">
            <v>100</v>
          </cell>
          <cell r="U24">
            <v>6.26</v>
          </cell>
          <cell r="V24">
            <v>6.21</v>
          </cell>
          <cell r="W24">
            <v>6.16</v>
          </cell>
          <cell r="X24">
            <v>0</v>
          </cell>
          <cell r="Z24">
            <v>12</v>
          </cell>
          <cell r="AA24">
            <v>9</v>
          </cell>
          <cell r="AB24">
            <v>-9.0000000000000011E-2</v>
          </cell>
          <cell r="AC24">
            <v>1</v>
          </cell>
        </row>
        <row r="25">
          <cell r="Z25">
            <v>13</v>
          </cell>
          <cell r="AA25">
            <v>10</v>
          </cell>
          <cell r="AB25">
            <v>-0.04</v>
          </cell>
          <cell r="AC25">
            <v>0</v>
          </cell>
        </row>
        <row r="27">
          <cell r="E27" t="str">
            <v>/</v>
          </cell>
          <cell r="F27" t="str">
            <v>/</v>
          </cell>
          <cell r="G27" t="str">
            <v>/</v>
          </cell>
          <cell r="H27" t="str">
            <v>/</v>
          </cell>
          <cell r="I27" t="str">
            <v>/</v>
          </cell>
          <cell r="J27" t="str">
            <v>/</v>
          </cell>
          <cell r="K27" t="str">
            <v>/</v>
          </cell>
          <cell r="L27" t="str">
            <v>/</v>
          </cell>
          <cell r="M27" t="str">
            <v>/</v>
          </cell>
          <cell r="N27" t="str">
            <v>/</v>
          </cell>
          <cell r="O27" t="str">
            <v>/</v>
          </cell>
          <cell r="P27" t="str">
            <v>/</v>
          </cell>
          <cell r="Q27" t="str">
            <v>/</v>
          </cell>
          <cell r="R27" t="str">
            <v>/</v>
          </cell>
          <cell r="S27" t="str">
            <v>/</v>
          </cell>
          <cell r="T27" t="str">
            <v>/</v>
          </cell>
          <cell r="U27" t="str">
            <v>/</v>
          </cell>
          <cell r="V27" t="str">
            <v>/</v>
          </cell>
          <cell r="W27" t="str">
            <v>/</v>
          </cell>
          <cell r="X27" t="str">
            <v>/</v>
          </cell>
        </row>
        <row r="28">
          <cell r="E28">
            <v>0</v>
          </cell>
          <cell r="F28">
            <v>0</v>
          </cell>
          <cell r="G28">
            <v>0</v>
          </cell>
          <cell r="H28">
            <v>100</v>
          </cell>
          <cell r="I28">
            <v>-30</v>
          </cell>
          <cell r="J28">
            <v>-30</v>
          </cell>
          <cell r="K28">
            <v>-30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100</v>
          </cell>
        </row>
        <row r="29">
          <cell r="E29">
            <v>7.81</v>
          </cell>
          <cell r="F29">
            <v>7.71</v>
          </cell>
          <cell r="G29">
            <v>7.6099999999999994</v>
          </cell>
          <cell r="H29">
            <v>95</v>
          </cell>
          <cell r="I29">
            <v>0.4</v>
          </cell>
          <cell r="J29">
            <v>1</v>
          </cell>
          <cell r="K29">
            <v>1.5</v>
          </cell>
          <cell r="L29">
            <v>10</v>
          </cell>
          <cell r="M29">
            <v>123</v>
          </cell>
          <cell r="N29">
            <v>124</v>
          </cell>
          <cell r="O29">
            <v>125</v>
          </cell>
          <cell r="P29">
            <v>10</v>
          </cell>
          <cell r="Q29">
            <v>13</v>
          </cell>
          <cell r="R29">
            <v>14</v>
          </cell>
          <cell r="S29">
            <v>15</v>
          </cell>
          <cell r="T29">
            <v>10</v>
          </cell>
          <cell r="U29">
            <v>3.25</v>
          </cell>
          <cell r="V29">
            <v>3.23</v>
          </cell>
          <cell r="W29">
            <v>3.21</v>
          </cell>
          <cell r="X29">
            <v>95</v>
          </cell>
        </row>
        <row r="30">
          <cell r="E30">
            <v>7.91</v>
          </cell>
          <cell r="F30">
            <v>7.81</v>
          </cell>
          <cell r="G30">
            <v>7.71</v>
          </cell>
          <cell r="H30">
            <v>90</v>
          </cell>
          <cell r="I30">
            <v>1.2</v>
          </cell>
          <cell r="J30">
            <v>1.8</v>
          </cell>
          <cell r="K30">
            <v>2.2999999999999998</v>
          </cell>
          <cell r="L30">
            <v>20</v>
          </cell>
          <cell r="M30">
            <v>128</v>
          </cell>
          <cell r="N30">
            <v>129</v>
          </cell>
          <cell r="O30">
            <v>130</v>
          </cell>
          <cell r="P30">
            <v>20</v>
          </cell>
          <cell r="Q30">
            <v>15</v>
          </cell>
          <cell r="R30">
            <v>16</v>
          </cell>
          <cell r="S30">
            <v>17</v>
          </cell>
          <cell r="T30">
            <v>20</v>
          </cell>
          <cell r="U30">
            <v>3.3099999999999996</v>
          </cell>
          <cell r="V30">
            <v>3.2899999999999996</v>
          </cell>
          <cell r="W30">
            <v>3.2699999999999996</v>
          </cell>
          <cell r="X30">
            <v>90</v>
          </cell>
        </row>
        <row r="31">
          <cell r="E31">
            <v>8.01</v>
          </cell>
          <cell r="F31">
            <v>7.91</v>
          </cell>
          <cell r="G31">
            <v>7.81</v>
          </cell>
          <cell r="H31">
            <v>85</v>
          </cell>
          <cell r="I31">
            <v>2</v>
          </cell>
          <cell r="J31">
            <v>2.6</v>
          </cell>
          <cell r="K31">
            <v>3.1</v>
          </cell>
          <cell r="L31">
            <v>30</v>
          </cell>
          <cell r="M31">
            <v>133</v>
          </cell>
          <cell r="N31">
            <v>134</v>
          </cell>
          <cell r="O31">
            <v>135</v>
          </cell>
          <cell r="P31">
            <v>30</v>
          </cell>
          <cell r="Q31">
            <v>17</v>
          </cell>
          <cell r="R31">
            <v>18</v>
          </cell>
          <cell r="S31">
            <v>19</v>
          </cell>
          <cell r="T31">
            <v>30</v>
          </cell>
          <cell r="U31">
            <v>3.3699999999999997</v>
          </cell>
          <cell r="V31">
            <v>3.3499999999999996</v>
          </cell>
          <cell r="W31">
            <v>3.3299999999999996</v>
          </cell>
          <cell r="X31">
            <v>85</v>
          </cell>
        </row>
        <row r="32">
          <cell r="E32">
            <v>8.31</v>
          </cell>
          <cell r="F32">
            <v>8.2099999999999991</v>
          </cell>
          <cell r="G32">
            <v>8.11</v>
          </cell>
          <cell r="H32">
            <v>80</v>
          </cell>
          <cell r="I32">
            <v>2.8</v>
          </cell>
          <cell r="J32">
            <v>3.4</v>
          </cell>
          <cell r="K32">
            <v>3.9</v>
          </cell>
          <cell r="L32">
            <v>40</v>
          </cell>
          <cell r="M32">
            <v>138</v>
          </cell>
          <cell r="N32">
            <v>139</v>
          </cell>
          <cell r="O32">
            <v>140</v>
          </cell>
          <cell r="P32">
            <v>40</v>
          </cell>
          <cell r="Q32">
            <v>19</v>
          </cell>
          <cell r="R32">
            <v>20</v>
          </cell>
          <cell r="S32">
            <v>21</v>
          </cell>
          <cell r="T32">
            <v>40</v>
          </cell>
          <cell r="U32">
            <v>3.44</v>
          </cell>
          <cell r="V32">
            <v>3.42</v>
          </cell>
          <cell r="W32">
            <v>3.4</v>
          </cell>
          <cell r="X32">
            <v>80</v>
          </cell>
        </row>
        <row r="33">
          <cell r="E33">
            <v>8.61</v>
          </cell>
          <cell r="F33">
            <v>8.51</v>
          </cell>
          <cell r="G33">
            <v>8.41</v>
          </cell>
          <cell r="H33">
            <v>78</v>
          </cell>
          <cell r="I33">
            <v>3.6</v>
          </cell>
          <cell r="J33">
            <v>4.2</v>
          </cell>
          <cell r="K33">
            <v>4.7</v>
          </cell>
          <cell r="L33">
            <v>50</v>
          </cell>
          <cell r="M33">
            <v>143</v>
          </cell>
          <cell r="N33">
            <v>144</v>
          </cell>
          <cell r="O33">
            <v>145</v>
          </cell>
          <cell r="P33">
            <v>50</v>
          </cell>
          <cell r="Q33">
            <v>21</v>
          </cell>
          <cell r="R33">
            <v>22</v>
          </cell>
          <cell r="S33">
            <v>23</v>
          </cell>
          <cell r="T33">
            <v>50</v>
          </cell>
          <cell r="U33">
            <v>3.51</v>
          </cell>
          <cell r="V33">
            <v>3.4899999999999998</v>
          </cell>
          <cell r="W33">
            <v>3.4699999999999998</v>
          </cell>
          <cell r="X33">
            <v>78</v>
          </cell>
        </row>
        <row r="34">
          <cell r="E34">
            <v>8.81</v>
          </cell>
          <cell r="F34">
            <v>8.7099999999999991</v>
          </cell>
          <cell r="G34">
            <v>8.61</v>
          </cell>
          <cell r="H34">
            <v>76</v>
          </cell>
          <cell r="I34">
            <v>4.4000000000000004</v>
          </cell>
          <cell r="J34">
            <v>5</v>
          </cell>
          <cell r="K34">
            <v>5.5</v>
          </cell>
          <cell r="L34">
            <v>60</v>
          </cell>
          <cell r="M34">
            <v>148</v>
          </cell>
          <cell r="N34">
            <v>149</v>
          </cell>
          <cell r="O34">
            <v>150</v>
          </cell>
          <cell r="P34">
            <v>60</v>
          </cell>
          <cell r="Q34">
            <v>23</v>
          </cell>
          <cell r="R34">
            <v>24</v>
          </cell>
          <cell r="S34">
            <v>25</v>
          </cell>
          <cell r="T34">
            <v>60</v>
          </cell>
          <cell r="U34">
            <v>3.5599999999999996</v>
          </cell>
          <cell r="V34">
            <v>3.5399999999999996</v>
          </cell>
          <cell r="W34">
            <v>3.5199999999999996</v>
          </cell>
          <cell r="X34">
            <v>76</v>
          </cell>
        </row>
        <row r="35">
          <cell r="E35">
            <v>9.01</v>
          </cell>
          <cell r="F35">
            <v>8.91</v>
          </cell>
          <cell r="G35">
            <v>8.81</v>
          </cell>
          <cell r="H35">
            <v>74</v>
          </cell>
          <cell r="I35">
            <v>5.7</v>
          </cell>
          <cell r="J35">
            <v>6.3</v>
          </cell>
          <cell r="K35">
            <v>6.8</v>
          </cell>
          <cell r="L35">
            <v>62</v>
          </cell>
          <cell r="M35">
            <v>151</v>
          </cell>
          <cell r="N35">
            <v>152</v>
          </cell>
          <cell r="O35">
            <v>153</v>
          </cell>
          <cell r="P35">
            <v>62</v>
          </cell>
          <cell r="Q35">
            <v>25</v>
          </cell>
          <cell r="R35">
            <v>26</v>
          </cell>
          <cell r="S35">
            <v>27</v>
          </cell>
          <cell r="T35">
            <v>62</v>
          </cell>
          <cell r="U35">
            <v>4.01</v>
          </cell>
          <cell r="V35">
            <v>3.59</v>
          </cell>
          <cell r="W35">
            <v>3.57</v>
          </cell>
          <cell r="X35">
            <v>74</v>
          </cell>
        </row>
        <row r="36">
          <cell r="E36">
            <v>9.2099999999999991</v>
          </cell>
          <cell r="F36">
            <v>9.11</v>
          </cell>
          <cell r="G36">
            <v>9.01</v>
          </cell>
          <cell r="H36">
            <v>72</v>
          </cell>
          <cell r="I36">
            <v>7</v>
          </cell>
          <cell r="J36">
            <v>7.6</v>
          </cell>
          <cell r="K36">
            <v>8.1</v>
          </cell>
          <cell r="L36">
            <v>64</v>
          </cell>
          <cell r="M36">
            <v>154</v>
          </cell>
          <cell r="N36">
            <v>155</v>
          </cell>
          <cell r="O36">
            <v>156</v>
          </cell>
          <cell r="P36">
            <v>64</v>
          </cell>
          <cell r="Q36">
            <v>27</v>
          </cell>
          <cell r="R36">
            <v>28</v>
          </cell>
          <cell r="S36">
            <v>29</v>
          </cell>
          <cell r="T36">
            <v>64</v>
          </cell>
          <cell r="U36">
            <v>4.0599999999999996</v>
          </cell>
          <cell r="V36">
            <v>4.04</v>
          </cell>
          <cell r="W36">
            <v>4.0199999999999996</v>
          </cell>
          <cell r="X36">
            <v>72</v>
          </cell>
        </row>
        <row r="37">
          <cell r="E37">
            <v>9.41</v>
          </cell>
          <cell r="F37">
            <v>9.31</v>
          </cell>
          <cell r="G37">
            <v>9.2099999999999991</v>
          </cell>
          <cell r="H37">
            <v>70</v>
          </cell>
          <cell r="I37">
            <v>8.3000000000000007</v>
          </cell>
          <cell r="J37">
            <v>8.9</v>
          </cell>
          <cell r="K37">
            <v>9.4</v>
          </cell>
          <cell r="L37">
            <v>66</v>
          </cell>
          <cell r="M37">
            <v>157</v>
          </cell>
          <cell r="N37">
            <v>158</v>
          </cell>
          <cell r="O37">
            <v>159</v>
          </cell>
          <cell r="P37">
            <v>66</v>
          </cell>
          <cell r="Q37">
            <v>29</v>
          </cell>
          <cell r="R37">
            <v>30</v>
          </cell>
          <cell r="S37">
            <v>31</v>
          </cell>
          <cell r="T37">
            <v>66</v>
          </cell>
          <cell r="U37">
            <v>4.1099999999999994</v>
          </cell>
          <cell r="V37">
            <v>4.09</v>
          </cell>
          <cell r="W37">
            <v>4.0699999999999994</v>
          </cell>
          <cell r="X37">
            <v>70</v>
          </cell>
        </row>
        <row r="38">
          <cell r="E38">
            <v>9.61</v>
          </cell>
          <cell r="F38">
            <v>9.51</v>
          </cell>
          <cell r="G38">
            <v>9.41</v>
          </cell>
          <cell r="H38">
            <v>68</v>
          </cell>
          <cell r="I38">
            <v>9.6</v>
          </cell>
          <cell r="J38">
            <v>10.199999999999999</v>
          </cell>
          <cell r="K38">
            <v>10.7</v>
          </cell>
          <cell r="L38">
            <v>68</v>
          </cell>
          <cell r="M38">
            <v>160</v>
          </cell>
          <cell r="N38">
            <v>161</v>
          </cell>
          <cell r="O38">
            <v>162</v>
          </cell>
          <cell r="P38">
            <v>68</v>
          </cell>
          <cell r="Q38">
            <v>31</v>
          </cell>
          <cell r="R38">
            <v>32</v>
          </cell>
          <cell r="S38">
            <v>33</v>
          </cell>
          <cell r="T38">
            <v>68</v>
          </cell>
          <cell r="U38">
            <v>4.16</v>
          </cell>
          <cell r="V38">
            <v>4.1399999999999997</v>
          </cell>
          <cell r="W38">
            <v>4.12</v>
          </cell>
          <cell r="X38">
            <v>68</v>
          </cell>
        </row>
        <row r="39">
          <cell r="E39">
            <v>9.81</v>
          </cell>
          <cell r="F39">
            <v>9.7099999999999991</v>
          </cell>
          <cell r="G39">
            <v>9.61</v>
          </cell>
          <cell r="H39">
            <v>66</v>
          </cell>
          <cell r="I39">
            <v>10.9</v>
          </cell>
          <cell r="J39">
            <v>11.5</v>
          </cell>
          <cell r="K39">
            <v>12</v>
          </cell>
          <cell r="L39">
            <v>70</v>
          </cell>
          <cell r="M39">
            <v>163</v>
          </cell>
          <cell r="N39">
            <v>164</v>
          </cell>
          <cell r="O39">
            <v>165</v>
          </cell>
          <cell r="P39">
            <v>70</v>
          </cell>
          <cell r="Q39">
            <v>33</v>
          </cell>
          <cell r="R39">
            <v>34</v>
          </cell>
          <cell r="S39">
            <v>35</v>
          </cell>
          <cell r="T39">
            <v>70</v>
          </cell>
          <cell r="U39">
            <v>4.21</v>
          </cell>
          <cell r="V39">
            <v>4.1899999999999995</v>
          </cell>
          <cell r="W39">
            <v>4.17</v>
          </cell>
          <cell r="X39">
            <v>66</v>
          </cell>
        </row>
        <row r="40">
          <cell r="E40">
            <v>10.01</v>
          </cell>
          <cell r="F40">
            <v>9.91</v>
          </cell>
          <cell r="G40">
            <v>9.81</v>
          </cell>
          <cell r="H40">
            <v>64</v>
          </cell>
          <cell r="I40">
            <v>12.2</v>
          </cell>
          <cell r="J40">
            <v>12.8</v>
          </cell>
          <cell r="K40">
            <v>13.3</v>
          </cell>
          <cell r="L40">
            <v>72</v>
          </cell>
          <cell r="M40">
            <v>166</v>
          </cell>
          <cell r="N40">
            <v>167</v>
          </cell>
          <cell r="O40">
            <v>168</v>
          </cell>
          <cell r="P40">
            <v>72</v>
          </cell>
          <cell r="Q40">
            <v>35</v>
          </cell>
          <cell r="R40">
            <v>36</v>
          </cell>
          <cell r="S40">
            <v>37</v>
          </cell>
          <cell r="T40">
            <v>72</v>
          </cell>
          <cell r="U40">
            <v>4.26</v>
          </cell>
          <cell r="V40">
            <v>4.24</v>
          </cell>
          <cell r="W40">
            <v>4.22</v>
          </cell>
          <cell r="X40">
            <v>64</v>
          </cell>
        </row>
        <row r="41">
          <cell r="E41">
            <v>10.209999999999999</v>
          </cell>
          <cell r="F41">
            <v>10.11</v>
          </cell>
          <cell r="G41">
            <v>10.01</v>
          </cell>
          <cell r="H41">
            <v>62</v>
          </cell>
          <cell r="I41">
            <v>13.5</v>
          </cell>
          <cell r="J41">
            <v>14.1</v>
          </cell>
          <cell r="K41">
            <v>14.6</v>
          </cell>
          <cell r="L41">
            <v>74</v>
          </cell>
          <cell r="M41">
            <v>169</v>
          </cell>
          <cell r="N41">
            <v>170</v>
          </cell>
          <cell r="O41">
            <v>171</v>
          </cell>
          <cell r="P41">
            <v>74</v>
          </cell>
          <cell r="Q41">
            <v>37</v>
          </cell>
          <cell r="R41">
            <v>38</v>
          </cell>
          <cell r="S41">
            <v>39</v>
          </cell>
          <cell r="T41">
            <v>74</v>
          </cell>
          <cell r="U41">
            <v>4.3099999999999996</v>
          </cell>
          <cell r="V41">
            <v>4.29</v>
          </cell>
          <cell r="W41">
            <v>4.2699999999999996</v>
          </cell>
          <cell r="X41">
            <v>62</v>
          </cell>
        </row>
        <row r="42">
          <cell r="E42">
            <v>10.41</v>
          </cell>
          <cell r="F42">
            <v>10.31</v>
          </cell>
          <cell r="G42">
            <v>10.209999999999999</v>
          </cell>
          <cell r="H42">
            <v>60</v>
          </cell>
          <cell r="I42">
            <v>14.8</v>
          </cell>
          <cell r="J42">
            <v>15.4</v>
          </cell>
          <cell r="K42">
            <v>15.9</v>
          </cell>
          <cell r="L42">
            <v>76</v>
          </cell>
          <cell r="M42">
            <v>172</v>
          </cell>
          <cell r="N42">
            <v>173</v>
          </cell>
          <cell r="O42">
            <v>174</v>
          </cell>
          <cell r="P42">
            <v>76</v>
          </cell>
          <cell r="Q42">
            <v>39</v>
          </cell>
          <cell r="R42">
            <v>40</v>
          </cell>
          <cell r="S42">
            <v>41</v>
          </cell>
          <cell r="T42">
            <v>76</v>
          </cell>
          <cell r="U42">
            <v>4.3599999999999994</v>
          </cell>
          <cell r="V42">
            <v>4.34</v>
          </cell>
          <cell r="W42">
            <v>4.3199999999999994</v>
          </cell>
          <cell r="X42">
            <v>60</v>
          </cell>
        </row>
        <row r="43">
          <cell r="E43">
            <v>10.61</v>
          </cell>
          <cell r="F43">
            <v>10.51</v>
          </cell>
          <cell r="G43">
            <v>10.41</v>
          </cell>
          <cell r="H43">
            <v>50</v>
          </cell>
          <cell r="I43">
            <v>16.100000000000001</v>
          </cell>
          <cell r="J43">
            <v>16.7</v>
          </cell>
          <cell r="K43">
            <v>17.2</v>
          </cell>
          <cell r="L43">
            <v>78</v>
          </cell>
          <cell r="M43">
            <v>175</v>
          </cell>
          <cell r="N43">
            <v>176</v>
          </cell>
          <cell r="O43">
            <v>177</v>
          </cell>
          <cell r="P43">
            <v>78</v>
          </cell>
          <cell r="Q43">
            <v>41</v>
          </cell>
          <cell r="R43">
            <v>42</v>
          </cell>
          <cell r="S43">
            <v>43</v>
          </cell>
          <cell r="T43">
            <v>78</v>
          </cell>
          <cell r="U43">
            <v>4.41</v>
          </cell>
          <cell r="V43">
            <v>4.3899999999999997</v>
          </cell>
          <cell r="W43">
            <v>4.37</v>
          </cell>
          <cell r="X43">
            <v>50</v>
          </cell>
        </row>
        <row r="44">
          <cell r="E44">
            <v>10.81</v>
          </cell>
          <cell r="F44">
            <v>10.709999999999999</v>
          </cell>
          <cell r="G44">
            <v>10.61</v>
          </cell>
          <cell r="H44">
            <v>40</v>
          </cell>
          <cell r="I44">
            <v>17.399999999999999</v>
          </cell>
          <cell r="J44">
            <v>18</v>
          </cell>
          <cell r="K44">
            <v>18.5</v>
          </cell>
          <cell r="L44">
            <v>80</v>
          </cell>
          <cell r="M44">
            <v>178</v>
          </cell>
          <cell r="N44">
            <v>179</v>
          </cell>
          <cell r="O44">
            <v>180</v>
          </cell>
          <cell r="P44">
            <v>80</v>
          </cell>
          <cell r="Q44">
            <v>43</v>
          </cell>
          <cell r="R44">
            <v>44</v>
          </cell>
          <cell r="S44">
            <v>45</v>
          </cell>
          <cell r="T44">
            <v>80</v>
          </cell>
          <cell r="U44">
            <v>4.51</v>
          </cell>
          <cell r="V44">
            <v>4.49</v>
          </cell>
          <cell r="W44">
            <v>4.47</v>
          </cell>
          <cell r="X44">
            <v>40</v>
          </cell>
        </row>
        <row r="45">
          <cell r="E45">
            <v>11.01</v>
          </cell>
          <cell r="F45">
            <v>10.91</v>
          </cell>
          <cell r="G45">
            <v>10.81</v>
          </cell>
          <cell r="H45">
            <v>30</v>
          </cell>
          <cell r="I45">
            <v>19.100000000000001</v>
          </cell>
          <cell r="J45">
            <v>19.7</v>
          </cell>
          <cell r="K45">
            <v>20.2</v>
          </cell>
          <cell r="L45">
            <v>85</v>
          </cell>
          <cell r="M45">
            <v>185</v>
          </cell>
          <cell r="N45">
            <v>186</v>
          </cell>
          <cell r="O45">
            <v>187</v>
          </cell>
          <cell r="P45">
            <v>85</v>
          </cell>
          <cell r="Q45">
            <v>46</v>
          </cell>
          <cell r="R45">
            <v>47</v>
          </cell>
          <cell r="S45">
            <v>48</v>
          </cell>
          <cell r="T45">
            <v>85</v>
          </cell>
          <cell r="U45">
            <v>5.01</v>
          </cell>
          <cell r="V45">
            <v>4.59</v>
          </cell>
          <cell r="W45">
            <v>4.5699999999999994</v>
          </cell>
          <cell r="X45">
            <v>30</v>
          </cell>
        </row>
        <row r="46">
          <cell r="E46">
            <v>11.209999999999999</v>
          </cell>
          <cell r="F46">
            <v>11.11</v>
          </cell>
          <cell r="G46">
            <v>11.01</v>
          </cell>
          <cell r="H46">
            <v>20</v>
          </cell>
          <cell r="I46">
            <v>20.8</v>
          </cell>
          <cell r="J46">
            <v>21.4</v>
          </cell>
          <cell r="K46">
            <v>21.9</v>
          </cell>
          <cell r="L46">
            <v>90</v>
          </cell>
          <cell r="M46">
            <v>192</v>
          </cell>
          <cell r="N46">
            <v>193</v>
          </cell>
          <cell r="O46">
            <v>194</v>
          </cell>
          <cell r="P46">
            <v>90</v>
          </cell>
          <cell r="Q46">
            <v>49</v>
          </cell>
          <cell r="R46">
            <v>50</v>
          </cell>
          <cell r="S46">
            <v>51</v>
          </cell>
          <cell r="T46">
            <v>90</v>
          </cell>
          <cell r="U46">
            <v>5.1099999999999994</v>
          </cell>
          <cell r="V46">
            <v>5.09</v>
          </cell>
          <cell r="W46">
            <v>5.0699999999999994</v>
          </cell>
          <cell r="X46">
            <v>20</v>
          </cell>
        </row>
        <row r="47">
          <cell r="E47">
            <v>11.41</v>
          </cell>
          <cell r="F47">
            <v>11.31</v>
          </cell>
          <cell r="G47">
            <v>11.209999999999999</v>
          </cell>
          <cell r="H47">
            <v>10</v>
          </cell>
          <cell r="I47">
            <v>22.5</v>
          </cell>
          <cell r="J47">
            <v>23.1</v>
          </cell>
          <cell r="K47">
            <v>23.6</v>
          </cell>
          <cell r="L47">
            <v>95</v>
          </cell>
          <cell r="M47">
            <v>198</v>
          </cell>
          <cell r="N47">
            <v>199</v>
          </cell>
          <cell r="O47">
            <v>200</v>
          </cell>
          <cell r="P47">
            <v>95</v>
          </cell>
          <cell r="Q47">
            <v>51</v>
          </cell>
          <cell r="R47">
            <v>52</v>
          </cell>
          <cell r="S47">
            <v>53</v>
          </cell>
          <cell r="T47">
            <v>95</v>
          </cell>
          <cell r="U47">
            <v>5.21</v>
          </cell>
          <cell r="V47">
            <v>5.1899999999999995</v>
          </cell>
          <cell r="W47">
            <v>5.17</v>
          </cell>
          <cell r="X47">
            <v>10</v>
          </cell>
        </row>
        <row r="48">
          <cell r="E48">
            <v>11.61</v>
          </cell>
          <cell r="F48">
            <v>11.51</v>
          </cell>
          <cell r="G48">
            <v>11.41</v>
          </cell>
          <cell r="H48">
            <v>0</v>
          </cell>
          <cell r="I48">
            <v>24.2</v>
          </cell>
          <cell r="J48">
            <v>24.8</v>
          </cell>
          <cell r="K48">
            <v>25.3</v>
          </cell>
          <cell r="L48">
            <v>100</v>
          </cell>
          <cell r="M48">
            <v>204</v>
          </cell>
          <cell r="N48">
            <v>205</v>
          </cell>
          <cell r="O48">
            <v>206</v>
          </cell>
          <cell r="P48">
            <v>100</v>
          </cell>
          <cell r="Q48">
            <v>53</v>
          </cell>
          <cell r="R48">
            <v>54</v>
          </cell>
          <cell r="S48">
            <v>55</v>
          </cell>
          <cell r="T48">
            <v>100</v>
          </cell>
          <cell r="U48">
            <v>5.31</v>
          </cell>
          <cell r="V48">
            <v>5.29</v>
          </cell>
          <cell r="W48">
            <v>5.27</v>
          </cell>
          <cell r="X48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7"/>
  <sheetViews>
    <sheetView tabSelected="1" workbookViewId="0">
      <selection activeCell="A97" sqref="A97:XFD98"/>
    </sheetView>
  </sheetViews>
  <sheetFormatPr defaultColWidth="10" defaultRowHeight="15.6" x14ac:dyDescent="0.25"/>
  <cols>
    <col min="1" max="3" width="6.21875" style="44" customWidth="1"/>
    <col min="4" max="4" width="8.21875" style="44" customWidth="1"/>
    <col min="5" max="5" width="6.21875" style="44" customWidth="1"/>
    <col min="6" max="6" width="7.44140625" style="44" customWidth="1"/>
    <col min="7" max="7" width="5.44140625" style="44" customWidth="1"/>
    <col min="8" max="8" width="8.5546875" style="44" customWidth="1"/>
    <col min="9" max="9" width="5.44140625" style="44" customWidth="1"/>
    <col min="10" max="10" width="6.21875" style="44" customWidth="1"/>
    <col min="11" max="11" width="5.44140625" style="44" customWidth="1"/>
    <col min="12" max="12" width="7.44140625" style="44" customWidth="1"/>
    <col min="13" max="13" width="5.44140625" style="44" customWidth="1"/>
    <col min="14" max="14" width="8.5546875" style="30" customWidth="1"/>
    <col min="15" max="15" width="7.44140625" style="45" customWidth="1"/>
    <col min="16" max="17" width="8.5546875" style="44" customWidth="1"/>
    <col min="18" max="18" width="5.44140625" style="44" customWidth="1"/>
    <col min="19" max="19" width="10.109375" style="44" customWidth="1"/>
    <col min="20" max="20" width="7.44140625" style="30" customWidth="1"/>
    <col min="21" max="22" width="7.77734375" style="30" customWidth="1"/>
    <col min="23" max="23" width="8.5546875" style="30" customWidth="1"/>
    <col min="24" max="24" width="11" style="46" customWidth="1"/>
    <col min="25" max="256" width="10" style="30"/>
    <col min="257" max="259" width="6.21875" style="30" customWidth="1"/>
    <col min="260" max="260" width="8.21875" style="30" customWidth="1"/>
    <col min="261" max="261" width="6.21875" style="30" customWidth="1"/>
    <col min="262" max="262" width="7.44140625" style="30" customWidth="1"/>
    <col min="263" max="263" width="5.44140625" style="30" customWidth="1"/>
    <col min="264" max="264" width="8.5546875" style="30" customWidth="1"/>
    <col min="265" max="265" width="5.44140625" style="30" customWidth="1"/>
    <col min="266" max="266" width="6.21875" style="30" customWidth="1"/>
    <col min="267" max="267" width="5.44140625" style="30" customWidth="1"/>
    <col min="268" max="268" width="7.44140625" style="30" customWidth="1"/>
    <col min="269" max="269" width="5.44140625" style="30" customWidth="1"/>
    <col min="270" max="270" width="8.5546875" style="30" customWidth="1"/>
    <col min="271" max="271" width="7.44140625" style="30" customWidth="1"/>
    <col min="272" max="273" width="8.5546875" style="30" customWidth="1"/>
    <col min="274" max="274" width="5.44140625" style="30" customWidth="1"/>
    <col min="275" max="275" width="10.109375" style="30" customWidth="1"/>
    <col min="276" max="276" width="7.44140625" style="30" customWidth="1"/>
    <col min="277" max="278" width="7.77734375" style="30" customWidth="1"/>
    <col min="279" max="279" width="8.5546875" style="30" customWidth="1"/>
    <col min="280" max="280" width="11" style="30" customWidth="1"/>
    <col min="281" max="512" width="10" style="30"/>
    <col min="513" max="515" width="6.21875" style="30" customWidth="1"/>
    <col min="516" max="516" width="8.21875" style="30" customWidth="1"/>
    <col min="517" max="517" width="6.21875" style="30" customWidth="1"/>
    <col min="518" max="518" width="7.44140625" style="30" customWidth="1"/>
    <col min="519" max="519" width="5.44140625" style="30" customWidth="1"/>
    <col min="520" max="520" width="8.5546875" style="30" customWidth="1"/>
    <col min="521" max="521" width="5.44140625" style="30" customWidth="1"/>
    <col min="522" max="522" width="6.21875" style="30" customWidth="1"/>
    <col min="523" max="523" width="5.44140625" style="30" customWidth="1"/>
    <col min="524" max="524" width="7.44140625" style="30" customWidth="1"/>
    <col min="525" max="525" width="5.44140625" style="30" customWidth="1"/>
    <col min="526" max="526" width="8.5546875" style="30" customWidth="1"/>
    <col min="527" max="527" width="7.44140625" style="30" customWidth="1"/>
    <col min="528" max="529" width="8.5546875" style="30" customWidth="1"/>
    <col min="530" max="530" width="5.44140625" style="30" customWidth="1"/>
    <col min="531" max="531" width="10.109375" style="30" customWidth="1"/>
    <col min="532" max="532" width="7.44140625" style="30" customWidth="1"/>
    <col min="533" max="534" width="7.77734375" style="30" customWidth="1"/>
    <col min="535" max="535" width="8.5546875" style="30" customWidth="1"/>
    <col min="536" max="536" width="11" style="30" customWidth="1"/>
    <col min="537" max="768" width="10" style="30"/>
    <col min="769" max="771" width="6.21875" style="30" customWidth="1"/>
    <col min="772" max="772" width="8.21875" style="30" customWidth="1"/>
    <col min="773" max="773" width="6.21875" style="30" customWidth="1"/>
    <col min="774" max="774" width="7.44140625" style="30" customWidth="1"/>
    <col min="775" max="775" width="5.44140625" style="30" customWidth="1"/>
    <col min="776" max="776" width="8.5546875" style="30" customWidth="1"/>
    <col min="777" max="777" width="5.44140625" style="30" customWidth="1"/>
    <col min="778" max="778" width="6.21875" style="30" customWidth="1"/>
    <col min="779" max="779" width="5.44140625" style="30" customWidth="1"/>
    <col min="780" max="780" width="7.44140625" style="30" customWidth="1"/>
    <col min="781" max="781" width="5.44140625" style="30" customWidth="1"/>
    <col min="782" max="782" width="8.5546875" style="30" customWidth="1"/>
    <col min="783" max="783" width="7.44140625" style="30" customWidth="1"/>
    <col min="784" max="785" width="8.5546875" style="30" customWidth="1"/>
    <col min="786" max="786" width="5.44140625" style="30" customWidth="1"/>
    <col min="787" max="787" width="10.109375" style="30" customWidth="1"/>
    <col min="788" max="788" width="7.44140625" style="30" customWidth="1"/>
    <col min="789" max="790" width="7.77734375" style="30" customWidth="1"/>
    <col min="791" max="791" width="8.5546875" style="30" customWidth="1"/>
    <col min="792" max="792" width="11" style="30" customWidth="1"/>
    <col min="793" max="1024" width="10" style="30"/>
    <col min="1025" max="1027" width="6.21875" style="30" customWidth="1"/>
    <col min="1028" max="1028" width="8.21875" style="30" customWidth="1"/>
    <col min="1029" max="1029" width="6.21875" style="30" customWidth="1"/>
    <col min="1030" max="1030" width="7.44140625" style="30" customWidth="1"/>
    <col min="1031" max="1031" width="5.44140625" style="30" customWidth="1"/>
    <col min="1032" max="1032" width="8.5546875" style="30" customWidth="1"/>
    <col min="1033" max="1033" width="5.44140625" style="30" customWidth="1"/>
    <col min="1034" max="1034" width="6.21875" style="30" customWidth="1"/>
    <col min="1035" max="1035" width="5.44140625" style="30" customWidth="1"/>
    <col min="1036" max="1036" width="7.44140625" style="30" customWidth="1"/>
    <col min="1037" max="1037" width="5.44140625" style="30" customWidth="1"/>
    <col min="1038" max="1038" width="8.5546875" style="30" customWidth="1"/>
    <col min="1039" max="1039" width="7.44140625" style="30" customWidth="1"/>
    <col min="1040" max="1041" width="8.5546875" style="30" customWidth="1"/>
    <col min="1042" max="1042" width="5.44140625" style="30" customWidth="1"/>
    <col min="1043" max="1043" width="10.109375" style="30" customWidth="1"/>
    <col min="1044" max="1044" width="7.44140625" style="30" customWidth="1"/>
    <col min="1045" max="1046" width="7.77734375" style="30" customWidth="1"/>
    <col min="1047" max="1047" width="8.5546875" style="30" customWidth="1"/>
    <col min="1048" max="1048" width="11" style="30" customWidth="1"/>
    <col min="1049" max="1280" width="10" style="30"/>
    <col min="1281" max="1283" width="6.21875" style="30" customWidth="1"/>
    <col min="1284" max="1284" width="8.21875" style="30" customWidth="1"/>
    <col min="1285" max="1285" width="6.21875" style="30" customWidth="1"/>
    <col min="1286" max="1286" width="7.44140625" style="30" customWidth="1"/>
    <col min="1287" max="1287" width="5.44140625" style="30" customWidth="1"/>
    <col min="1288" max="1288" width="8.5546875" style="30" customWidth="1"/>
    <col min="1289" max="1289" width="5.44140625" style="30" customWidth="1"/>
    <col min="1290" max="1290" width="6.21875" style="30" customWidth="1"/>
    <col min="1291" max="1291" width="5.44140625" style="30" customWidth="1"/>
    <col min="1292" max="1292" width="7.44140625" style="30" customWidth="1"/>
    <col min="1293" max="1293" width="5.44140625" style="30" customWidth="1"/>
    <col min="1294" max="1294" width="8.5546875" style="30" customWidth="1"/>
    <col min="1295" max="1295" width="7.44140625" style="30" customWidth="1"/>
    <col min="1296" max="1297" width="8.5546875" style="30" customWidth="1"/>
    <col min="1298" max="1298" width="5.44140625" style="30" customWidth="1"/>
    <col min="1299" max="1299" width="10.109375" style="30" customWidth="1"/>
    <col min="1300" max="1300" width="7.44140625" style="30" customWidth="1"/>
    <col min="1301" max="1302" width="7.77734375" style="30" customWidth="1"/>
    <col min="1303" max="1303" width="8.5546875" style="30" customWidth="1"/>
    <col min="1304" max="1304" width="11" style="30" customWidth="1"/>
    <col min="1305" max="1536" width="10" style="30"/>
    <col min="1537" max="1539" width="6.21875" style="30" customWidth="1"/>
    <col min="1540" max="1540" width="8.21875" style="30" customWidth="1"/>
    <col min="1541" max="1541" width="6.21875" style="30" customWidth="1"/>
    <col min="1542" max="1542" width="7.44140625" style="30" customWidth="1"/>
    <col min="1543" max="1543" width="5.44140625" style="30" customWidth="1"/>
    <col min="1544" max="1544" width="8.5546875" style="30" customWidth="1"/>
    <col min="1545" max="1545" width="5.44140625" style="30" customWidth="1"/>
    <col min="1546" max="1546" width="6.21875" style="30" customWidth="1"/>
    <col min="1547" max="1547" width="5.44140625" style="30" customWidth="1"/>
    <col min="1548" max="1548" width="7.44140625" style="30" customWidth="1"/>
    <col min="1549" max="1549" width="5.44140625" style="30" customWidth="1"/>
    <col min="1550" max="1550" width="8.5546875" style="30" customWidth="1"/>
    <col min="1551" max="1551" width="7.44140625" style="30" customWidth="1"/>
    <col min="1552" max="1553" width="8.5546875" style="30" customWidth="1"/>
    <col min="1554" max="1554" width="5.44140625" style="30" customWidth="1"/>
    <col min="1555" max="1555" width="10.109375" style="30" customWidth="1"/>
    <col min="1556" max="1556" width="7.44140625" style="30" customWidth="1"/>
    <col min="1557" max="1558" width="7.77734375" style="30" customWidth="1"/>
    <col min="1559" max="1559" width="8.5546875" style="30" customWidth="1"/>
    <col min="1560" max="1560" width="11" style="30" customWidth="1"/>
    <col min="1561" max="1792" width="10" style="30"/>
    <col min="1793" max="1795" width="6.21875" style="30" customWidth="1"/>
    <col min="1796" max="1796" width="8.21875" style="30" customWidth="1"/>
    <col min="1797" max="1797" width="6.21875" style="30" customWidth="1"/>
    <col min="1798" max="1798" width="7.44140625" style="30" customWidth="1"/>
    <col min="1799" max="1799" width="5.44140625" style="30" customWidth="1"/>
    <col min="1800" max="1800" width="8.5546875" style="30" customWidth="1"/>
    <col min="1801" max="1801" width="5.44140625" style="30" customWidth="1"/>
    <col min="1802" max="1802" width="6.21875" style="30" customWidth="1"/>
    <col min="1803" max="1803" width="5.44140625" style="30" customWidth="1"/>
    <col min="1804" max="1804" width="7.44140625" style="30" customWidth="1"/>
    <col min="1805" max="1805" width="5.44140625" style="30" customWidth="1"/>
    <col min="1806" max="1806" width="8.5546875" style="30" customWidth="1"/>
    <col min="1807" max="1807" width="7.44140625" style="30" customWidth="1"/>
    <col min="1808" max="1809" width="8.5546875" style="30" customWidth="1"/>
    <col min="1810" max="1810" width="5.44140625" style="30" customWidth="1"/>
    <col min="1811" max="1811" width="10.109375" style="30" customWidth="1"/>
    <col min="1812" max="1812" width="7.44140625" style="30" customWidth="1"/>
    <col min="1813" max="1814" width="7.77734375" style="30" customWidth="1"/>
    <col min="1815" max="1815" width="8.5546875" style="30" customWidth="1"/>
    <col min="1816" max="1816" width="11" style="30" customWidth="1"/>
    <col min="1817" max="2048" width="10" style="30"/>
    <col min="2049" max="2051" width="6.21875" style="30" customWidth="1"/>
    <col min="2052" max="2052" width="8.21875" style="30" customWidth="1"/>
    <col min="2053" max="2053" width="6.21875" style="30" customWidth="1"/>
    <col min="2054" max="2054" width="7.44140625" style="30" customWidth="1"/>
    <col min="2055" max="2055" width="5.44140625" style="30" customWidth="1"/>
    <col min="2056" max="2056" width="8.5546875" style="30" customWidth="1"/>
    <col min="2057" max="2057" width="5.44140625" style="30" customWidth="1"/>
    <col min="2058" max="2058" width="6.21875" style="30" customWidth="1"/>
    <col min="2059" max="2059" width="5.44140625" style="30" customWidth="1"/>
    <col min="2060" max="2060" width="7.44140625" style="30" customWidth="1"/>
    <col min="2061" max="2061" width="5.44140625" style="30" customWidth="1"/>
    <col min="2062" max="2062" width="8.5546875" style="30" customWidth="1"/>
    <col min="2063" max="2063" width="7.44140625" style="30" customWidth="1"/>
    <col min="2064" max="2065" width="8.5546875" style="30" customWidth="1"/>
    <col min="2066" max="2066" width="5.44140625" style="30" customWidth="1"/>
    <col min="2067" max="2067" width="10.109375" style="30" customWidth="1"/>
    <col min="2068" max="2068" width="7.44140625" style="30" customWidth="1"/>
    <col min="2069" max="2070" width="7.77734375" style="30" customWidth="1"/>
    <col min="2071" max="2071" width="8.5546875" style="30" customWidth="1"/>
    <col min="2072" max="2072" width="11" style="30" customWidth="1"/>
    <col min="2073" max="2304" width="10" style="30"/>
    <col min="2305" max="2307" width="6.21875" style="30" customWidth="1"/>
    <col min="2308" max="2308" width="8.21875" style="30" customWidth="1"/>
    <col min="2309" max="2309" width="6.21875" style="30" customWidth="1"/>
    <col min="2310" max="2310" width="7.44140625" style="30" customWidth="1"/>
    <col min="2311" max="2311" width="5.44140625" style="30" customWidth="1"/>
    <col min="2312" max="2312" width="8.5546875" style="30" customWidth="1"/>
    <col min="2313" max="2313" width="5.44140625" style="30" customWidth="1"/>
    <col min="2314" max="2314" width="6.21875" style="30" customWidth="1"/>
    <col min="2315" max="2315" width="5.44140625" style="30" customWidth="1"/>
    <col min="2316" max="2316" width="7.44140625" style="30" customWidth="1"/>
    <col min="2317" max="2317" width="5.44140625" style="30" customWidth="1"/>
    <col min="2318" max="2318" width="8.5546875" style="30" customWidth="1"/>
    <col min="2319" max="2319" width="7.44140625" style="30" customWidth="1"/>
    <col min="2320" max="2321" width="8.5546875" style="30" customWidth="1"/>
    <col min="2322" max="2322" width="5.44140625" style="30" customWidth="1"/>
    <col min="2323" max="2323" width="10.109375" style="30" customWidth="1"/>
    <col min="2324" max="2324" width="7.44140625" style="30" customWidth="1"/>
    <col min="2325" max="2326" width="7.77734375" style="30" customWidth="1"/>
    <col min="2327" max="2327" width="8.5546875" style="30" customWidth="1"/>
    <col min="2328" max="2328" width="11" style="30" customWidth="1"/>
    <col min="2329" max="2560" width="10" style="30"/>
    <col min="2561" max="2563" width="6.21875" style="30" customWidth="1"/>
    <col min="2564" max="2564" width="8.21875" style="30" customWidth="1"/>
    <col min="2565" max="2565" width="6.21875" style="30" customWidth="1"/>
    <col min="2566" max="2566" width="7.44140625" style="30" customWidth="1"/>
    <col min="2567" max="2567" width="5.44140625" style="30" customWidth="1"/>
    <col min="2568" max="2568" width="8.5546875" style="30" customWidth="1"/>
    <col min="2569" max="2569" width="5.44140625" style="30" customWidth="1"/>
    <col min="2570" max="2570" width="6.21875" style="30" customWidth="1"/>
    <col min="2571" max="2571" width="5.44140625" style="30" customWidth="1"/>
    <col min="2572" max="2572" width="7.44140625" style="30" customWidth="1"/>
    <col min="2573" max="2573" width="5.44140625" style="30" customWidth="1"/>
    <col min="2574" max="2574" width="8.5546875" style="30" customWidth="1"/>
    <col min="2575" max="2575" width="7.44140625" style="30" customWidth="1"/>
    <col min="2576" max="2577" width="8.5546875" style="30" customWidth="1"/>
    <col min="2578" max="2578" width="5.44140625" style="30" customWidth="1"/>
    <col min="2579" max="2579" width="10.109375" style="30" customWidth="1"/>
    <col min="2580" max="2580" width="7.44140625" style="30" customWidth="1"/>
    <col min="2581" max="2582" width="7.77734375" style="30" customWidth="1"/>
    <col min="2583" max="2583" width="8.5546875" style="30" customWidth="1"/>
    <col min="2584" max="2584" width="11" style="30" customWidth="1"/>
    <col min="2585" max="2816" width="10" style="30"/>
    <col min="2817" max="2819" width="6.21875" style="30" customWidth="1"/>
    <col min="2820" max="2820" width="8.21875" style="30" customWidth="1"/>
    <col min="2821" max="2821" width="6.21875" style="30" customWidth="1"/>
    <col min="2822" max="2822" width="7.44140625" style="30" customWidth="1"/>
    <col min="2823" max="2823" width="5.44140625" style="30" customWidth="1"/>
    <col min="2824" max="2824" width="8.5546875" style="30" customWidth="1"/>
    <col min="2825" max="2825" width="5.44140625" style="30" customWidth="1"/>
    <col min="2826" max="2826" width="6.21875" style="30" customWidth="1"/>
    <col min="2827" max="2827" width="5.44140625" style="30" customWidth="1"/>
    <col min="2828" max="2828" width="7.44140625" style="30" customWidth="1"/>
    <col min="2829" max="2829" width="5.44140625" style="30" customWidth="1"/>
    <col min="2830" max="2830" width="8.5546875" style="30" customWidth="1"/>
    <col min="2831" max="2831" width="7.44140625" style="30" customWidth="1"/>
    <col min="2832" max="2833" width="8.5546875" style="30" customWidth="1"/>
    <col min="2834" max="2834" width="5.44140625" style="30" customWidth="1"/>
    <col min="2835" max="2835" width="10.109375" style="30" customWidth="1"/>
    <col min="2836" max="2836" width="7.44140625" style="30" customWidth="1"/>
    <col min="2837" max="2838" width="7.77734375" style="30" customWidth="1"/>
    <col min="2839" max="2839" width="8.5546875" style="30" customWidth="1"/>
    <col min="2840" max="2840" width="11" style="30" customWidth="1"/>
    <col min="2841" max="3072" width="10" style="30"/>
    <col min="3073" max="3075" width="6.21875" style="30" customWidth="1"/>
    <col min="3076" max="3076" width="8.21875" style="30" customWidth="1"/>
    <col min="3077" max="3077" width="6.21875" style="30" customWidth="1"/>
    <col min="3078" max="3078" width="7.44140625" style="30" customWidth="1"/>
    <col min="3079" max="3079" width="5.44140625" style="30" customWidth="1"/>
    <col min="3080" max="3080" width="8.5546875" style="30" customWidth="1"/>
    <col min="3081" max="3081" width="5.44140625" style="30" customWidth="1"/>
    <col min="3082" max="3082" width="6.21875" style="30" customWidth="1"/>
    <col min="3083" max="3083" width="5.44140625" style="30" customWidth="1"/>
    <col min="3084" max="3084" width="7.44140625" style="30" customWidth="1"/>
    <col min="3085" max="3085" width="5.44140625" style="30" customWidth="1"/>
    <col min="3086" max="3086" width="8.5546875" style="30" customWidth="1"/>
    <col min="3087" max="3087" width="7.44140625" style="30" customWidth="1"/>
    <col min="3088" max="3089" width="8.5546875" style="30" customWidth="1"/>
    <col min="3090" max="3090" width="5.44140625" style="30" customWidth="1"/>
    <col min="3091" max="3091" width="10.109375" style="30" customWidth="1"/>
    <col min="3092" max="3092" width="7.44140625" style="30" customWidth="1"/>
    <col min="3093" max="3094" width="7.77734375" style="30" customWidth="1"/>
    <col min="3095" max="3095" width="8.5546875" style="30" customWidth="1"/>
    <col min="3096" max="3096" width="11" style="30" customWidth="1"/>
    <col min="3097" max="3328" width="10" style="30"/>
    <col min="3329" max="3331" width="6.21875" style="30" customWidth="1"/>
    <col min="3332" max="3332" width="8.21875" style="30" customWidth="1"/>
    <col min="3333" max="3333" width="6.21875" style="30" customWidth="1"/>
    <col min="3334" max="3334" width="7.44140625" style="30" customWidth="1"/>
    <col min="3335" max="3335" width="5.44140625" style="30" customWidth="1"/>
    <col min="3336" max="3336" width="8.5546875" style="30" customWidth="1"/>
    <col min="3337" max="3337" width="5.44140625" style="30" customWidth="1"/>
    <col min="3338" max="3338" width="6.21875" style="30" customWidth="1"/>
    <col min="3339" max="3339" width="5.44140625" style="30" customWidth="1"/>
    <col min="3340" max="3340" width="7.44140625" style="30" customWidth="1"/>
    <col min="3341" max="3341" width="5.44140625" style="30" customWidth="1"/>
    <col min="3342" max="3342" width="8.5546875" style="30" customWidth="1"/>
    <col min="3343" max="3343" width="7.44140625" style="30" customWidth="1"/>
    <col min="3344" max="3345" width="8.5546875" style="30" customWidth="1"/>
    <col min="3346" max="3346" width="5.44140625" style="30" customWidth="1"/>
    <col min="3347" max="3347" width="10.109375" style="30" customWidth="1"/>
    <col min="3348" max="3348" width="7.44140625" style="30" customWidth="1"/>
    <col min="3349" max="3350" width="7.77734375" style="30" customWidth="1"/>
    <col min="3351" max="3351" width="8.5546875" style="30" customWidth="1"/>
    <col min="3352" max="3352" width="11" style="30" customWidth="1"/>
    <col min="3353" max="3584" width="10" style="30"/>
    <col min="3585" max="3587" width="6.21875" style="30" customWidth="1"/>
    <col min="3588" max="3588" width="8.21875" style="30" customWidth="1"/>
    <col min="3589" max="3589" width="6.21875" style="30" customWidth="1"/>
    <col min="3590" max="3590" width="7.44140625" style="30" customWidth="1"/>
    <col min="3591" max="3591" width="5.44140625" style="30" customWidth="1"/>
    <col min="3592" max="3592" width="8.5546875" style="30" customWidth="1"/>
    <col min="3593" max="3593" width="5.44140625" style="30" customWidth="1"/>
    <col min="3594" max="3594" width="6.21875" style="30" customWidth="1"/>
    <col min="3595" max="3595" width="5.44140625" style="30" customWidth="1"/>
    <col min="3596" max="3596" width="7.44140625" style="30" customWidth="1"/>
    <col min="3597" max="3597" width="5.44140625" style="30" customWidth="1"/>
    <col min="3598" max="3598" width="8.5546875" style="30" customWidth="1"/>
    <col min="3599" max="3599" width="7.44140625" style="30" customWidth="1"/>
    <col min="3600" max="3601" width="8.5546875" style="30" customWidth="1"/>
    <col min="3602" max="3602" width="5.44140625" style="30" customWidth="1"/>
    <col min="3603" max="3603" width="10.109375" style="30" customWidth="1"/>
    <col min="3604" max="3604" width="7.44140625" style="30" customWidth="1"/>
    <col min="3605" max="3606" width="7.77734375" style="30" customWidth="1"/>
    <col min="3607" max="3607" width="8.5546875" style="30" customWidth="1"/>
    <col min="3608" max="3608" width="11" style="30" customWidth="1"/>
    <col min="3609" max="3840" width="10" style="30"/>
    <col min="3841" max="3843" width="6.21875" style="30" customWidth="1"/>
    <col min="3844" max="3844" width="8.21875" style="30" customWidth="1"/>
    <col min="3845" max="3845" width="6.21875" style="30" customWidth="1"/>
    <col min="3846" max="3846" width="7.44140625" style="30" customWidth="1"/>
    <col min="3847" max="3847" width="5.44140625" style="30" customWidth="1"/>
    <col min="3848" max="3848" width="8.5546875" style="30" customWidth="1"/>
    <col min="3849" max="3849" width="5.44140625" style="30" customWidth="1"/>
    <col min="3850" max="3850" width="6.21875" style="30" customWidth="1"/>
    <col min="3851" max="3851" width="5.44140625" style="30" customWidth="1"/>
    <col min="3852" max="3852" width="7.44140625" style="30" customWidth="1"/>
    <col min="3853" max="3853" width="5.44140625" style="30" customWidth="1"/>
    <col min="3854" max="3854" width="8.5546875" style="30" customWidth="1"/>
    <col min="3855" max="3855" width="7.44140625" style="30" customWidth="1"/>
    <col min="3856" max="3857" width="8.5546875" style="30" customWidth="1"/>
    <col min="3858" max="3858" width="5.44140625" style="30" customWidth="1"/>
    <col min="3859" max="3859" width="10.109375" style="30" customWidth="1"/>
    <col min="3860" max="3860" width="7.44140625" style="30" customWidth="1"/>
    <col min="3861" max="3862" width="7.77734375" style="30" customWidth="1"/>
    <col min="3863" max="3863" width="8.5546875" style="30" customWidth="1"/>
    <col min="3864" max="3864" width="11" style="30" customWidth="1"/>
    <col min="3865" max="4096" width="10" style="30"/>
    <col min="4097" max="4099" width="6.21875" style="30" customWidth="1"/>
    <col min="4100" max="4100" width="8.21875" style="30" customWidth="1"/>
    <col min="4101" max="4101" width="6.21875" style="30" customWidth="1"/>
    <col min="4102" max="4102" width="7.44140625" style="30" customWidth="1"/>
    <col min="4103" max="4103" width="5.44140625" style="30" customWidth="1"/>
    <col min="4104" max="4104" width="8.5546875" style="30" customWidth="1"/>
    <col min="4105" max="4105" width="5.44140625" style="30" customWidth="1"/>
    <col min="4106" max="4106" width="6.21875" style="30" customWidth="1"/>
    <col min="4107" max="4107" width="5.44140625" style="30" customWidth="1"/>
    <col min="4108" max="4108" width="7.44140625" style="30" customWidth="1"/>
    <col min="4109" max="4109" width="5.44140625" style="30" customWidth="1"/>
    <col min="4110" max="4110" width="8.5546875" style="30" customWidth="1"/>
    <col min="4111" max="4111" width="7.44140625" style="30" customWidth="1"/>
    <col min="4112" max="4113" width="8.5546875" style="30" customWidth="1"/>
    <col min="4114" max="4114" width="5.44140625" style="30" customWidth="1"/>
    <col min="4115" max="4115" width="10.109375" style="30" customWidth="1"/>
    <col min="4116" max="4116" width="7.44140625" style="30" customWidth="1"/>
    <col min="4117" max="4118" width="7.77734375" style="30" customWidth="1"/>
    <col min="4119" max="4119" width="8.5546875" style="30" customWidth="1"/>
    <col min="4120" max="4120" width="11" style="30" customWidth="1"/>
    <col min="4121" max="4352" width="10" style="30"/>
    <col min="4353" max="4355" width="6.21875" style="30" customWidth="1"/>
    <col min="4356" max="4356" width="8.21875" style="30" customWidth="1"/>
    <col min="4357" max="4357" width="6.21875" style="30" customWidth="1"/>
    <col min="4358" max="4358" width="7.44140625" style="30" customWidth="1"/>
    <col min="4359" max="4359" width="5.44140625" style="30" customWidth="1"/>
    <col min="4360" max="4360" width="8.5546875" style="30" customWidth="1"/>
    <col min="4361" max="4361" width="5.44140625" style="30" customWidth="1"/>
    <col min="4362" max="4362" width="6.21875" style="30" customWidth="1"/>
    <col min="4363" max="4363" width="5.44140625" style="30" customWidth="1"/>
    <col min="4364" max="4364" width="7.44140625" style="30" customWidth="1"/>
    <col min="4365" max="4365" width="5.44140625" style="30" customWidth="1"/>
    <col min="4366" max="4366" width="8.5546875" style="30" customWidth="1"/>
    <col min="4367" max="4367" width="7.44140625" style="30" customWidth="1"/>
    <col min="4368" max="4369" width="8.5546875" style="30" customWidth="1"/>
    <col min="4370" max="4370" width="5.44140625" style="30" customWidth="1"/>
    <col min="4371" max="4371" width="10.109375" style="30" customWidth="1"/>
    <col min="4372" max="4372" width="7.44140625" style="30" customWidth="1"/>
    <col min="4373" max="4374" width="7.77734375" style="30" customWidth="1"/>
    <col min="4375" max="4375" width="8.5546875" style="30" customWidth="1"/>
    <col min="4376" max="4376" width="11" style="30" customWidth="1"/>
    <col min="4377" max="4608" width="10" style="30"/>
    <col min="4609" max="4611" width="6.21875" style="30" customWidth="1"/>
    <col min="4612" max="4612" width="8.21875" style="30" customWidth="1"/>
    <col min="4613" max="4613" width="6.21875" style="30" customWidth="1"/>
    <col min="4614" max="4614" width="7.44140625" style="30" customWidth="1"/>
    <col min="4615" max="4615" width="5.44140625" style="30" customWidth="1"/>
    <col min="4616" max="4616" width="8.5546875" style="30" customWidth="1"/>
    <col min="4617" max="4617" width="5.44140625" style="30" customWidth="1"/>
    <col min="4618" max="4618" width="6.21875" style="30" customWidth="1"/>
    <col min="4619" max="4619" width="5.44140625" style="30" customWidth="1"/>
    <col min="4620" max="4620" width="7.44140625" style="30" customWidth="1"/>
    <col min="4621" max="4621" width="5.44140625" style="30" customWidth="1"/>
    <col min="4622" max="4622" width="8.5546875" style="30" customWidth="1"/>
    <col min="4623" max="4623" width="7.44140625" style="30" customWidth="1"/>
    <col min="4624" max="4625" width="8.5546875" style="30" customWidth="1"/>
    <col min="4626" max="4626" width="5.44140625" style="30" customWidth="1"/>
    <col min="4627" max="4627" width="10.109375" style="30" customWidth="1"/>
    <col min="4628" max="4628" width="7.44140625" style="30" customWidth="1"/>
    <col min="4629" max="4630" width="7.77734375" style="30" customWidth="1"/>
    <col min="4631" max="4631" width="8.5546875" style="30" customWidth="1"/>
    <col min="4632" max="4632" width="11" style="30" customWidth="1"/>
    <col min="4633" max="4864" width="10" style="30"/>
    <col min="4865" max="4867" width="6.21875" style="30" customWidth="1"/>
    <col min="4868" max="4868" width="8.21875" style="30" customWidth="1"/>
    <col min="4869" max="4869" width="6.21875" style="30" customWidth="1"/>
    <col min="4870" max="4870" width="7.44140625" style="30" customWidth="1"/>
    <col min="4871" max="4871" width="5.44140625" style="30" customWidth="1"/>
    <col min="4872" max="4872" width="8.5546875" style="30" customWidth="1"/>
    <col min="4873" max="4873" width="5.44140625" style="30" customWidth="1"/>
    <col min="4874" max="4874" width="6.21875" style="30" customWidth="1"/>
    <col min="4875" max="4875" width="5.44140625" style="30" customWidth="1"/>
    <col min="4876" max="4876" width="7.44140625" style="30" customWidth="1"/>
    <col min="4877" max="4877" width="5.44140625" style="30" customWidth="1"/>
    <col min="4878" max="4878" width="8.5546875" style="30" customWidth="1"/>
    <col min="4879" max="4879" width="7.44140625" style="30" customWidth="1"/>
    <col min="4880" max="4881" width="8.5546875" style="30" customWidth="1"/>
    <col min="4882" max="4882" width="5.44140625" style="30" customWidth="1"/>
    <col min="4883" max="4883" width="10.109375" style="30" customWidth="1"/>
    <col min="4884" max="4884" width="7.44140625" style="30" customWidth="1"/>
    <col min="4885" max="4886" width="7.77734375" style="30" customWidth="1"/>
    <col min="4887" max="4887" width="8.5546875" style="30" customWidth="1"/>
    <col min="4888" max="4888" width="11" style="30" customWidth="1"/>
    <col min="4889" max="5120" width="10" style="30"/>
    <col min="5121" max="5123" width="6.21875" style="30" customWidth="1"/>
    <col min="5124" max="5124" width="8.21875" style="30" customWidth="1"/>
    <col min="5125" max="5125" width="6.21875" style="30" customWidth="1"/>
    <col min="5126" max="5126" width="7.44140625" style="30" customWidth="1"/>
    <col min="5127" max="5127" width="5.44140625" style="30" customWidth="1"/>
    <col min="5128" max="5128" width="8.5546875" style="30" customWidth="1"/>
    <col min="5129" max="5129" width="5.44140625" style="30" customWidth="1"/>
    <col min="5130" max="5130" width="6.21875" style="30" customWidth="1"/>
    <col min="5131" max="5131" width="5.44140625" style="30" customWidth="1"/>
    <col min="5132" max="5132" width="7.44140625" style="30" customWidth="1"/>
    <col min="5133" max="5133" width="5.44140625" style="30" customWidth="1"/>
    <col min="5134" max="5134" width="8.5546875" style="30" customWidth="1"/>
    <col min="5135" max="5135" width="7.44140625" style="30" customWidth="1"/>
    <col min="5136" max="5137" width="8.5546875" style="30" customWidth="1"/>
    <col min="5138" max="5138" width="5.44140625" style="30" customWidth="1"/>
    <col min="5139" max="5139" width="10.109375" style="30" customWidth="1"/>
    <col min="5140" max="5140" width="7.44140625" style="30" customWidth="1"/>
    <col min="5141" max="5142" width="7.77734375" style="30" customWidth="1"/>
    <col min="5143" max="5143" width="8.5546875" style="30" customWidth="1"/>
    <col min="5144" max="5144" width="11" style="30" customWidth="1"/>
    <col min="5145" max="5376" width="10" style="30"/>
    <col min="5377" max="5379" width="6.21875" style="30" customWidth="1"/>
    <col min="5380" max="5380" width="8.21875" style="30" customWidth="1"/>
    <col min="5381" max="5381" width="6.21875" style="30" customWidth="1"/>
    <col min="5382" max="5382" width="7.44140625" style="30" customWidth="1"/>
    <col min="5383" max="5383" width="5.44140625" style="30" customWidth="1"/>
    <col min="5384" max="5384" width="8.5546875" style="30" customWidth="1"/>
    <col min="5385" max="5385" width="5.44140625" style="30" customWidth="1"/>
    <col min="5386" max="5386" width="6.21875" style="30" customWidth="1"/>
    <col min="5387" max="5387" width="5.44140625" style="30" customWidth="1"/>
    <col min="5388" max="5388" width="7.44140625" style="30" customWidth="1"/>
    <col min="5389" max="5389" width="5.44140625" style="30" customWidth="1"/>
    <col min="5390" max="5390" width="8.5546875" style="30" customWidth="1"/>
    <col min="5391" max="5391" width="7.44140625" style="30" customWidth="1"/>
    <col min="5392" max="5393" width="8.5546875" style="30" customWidth="1"/>
    <col min="5394" max="5394" width="5.44140625" style="30" customWidth="1"/>
    <col min="5395" max="5395" width="10.109375" style="30" customWidth="1"/>
    <col min="5396" max="5396" width="7.44140625" style="30" customWidth="1"/>
    <col min="5397" max="5398" width="7.77734375" style="30" customWidth="1"/>
    <col min="5399" max="5399" width="8.5546875" style="30" customWidth="1"/>
    <col min="5400" max="5400" width="11" style="30" customWidth="1"/>
    <col min="5401" max="5632" width="10" style="30"/>
    <col min="5633" max="5635" width="6.21875" style="30" customWidth="1"/>
    <col min="5636" max="5636" width="8.21875" style="30" customWidth="1"/>
    <col min="5637" max="5637" width="6.21875" style="30" customWidth="1"/>
    <col min="5638" max="5638" width="7.44140625" style="30" customWidth="1"/>
    <col min="5639" max="5639" width="5.44140625" style="30" customWidth="1"/>
    <col min="5640" max="5640" width="8.5546875" style="30" customWidth="1"/>
    <col min="5641" max="5641" width="5.44140625" style="30" customWidth="1"/>
    <col min="5642" max="5642" width="6.21875" style="30" customWidth="1"/>
    <col min="5643" max="5643" width="5.44140625" style="30" customWidth="1"/>
    <col min="5644" max="5644" width="7.44140625" style="30" customWidth="1"/>
    <col min="5645" max="5645" width="5.44140625" style="30" customWidth="1"/>
    <col min="5646" max="5646" width="8.5546875" style="30" customWidth="1"/>
    <col min="5647" max="5647" width="7.44140625" style="30" customWidth="1"/>
    <col min="5648" max="5649" width="8.5546875" style="30" customWidth="1"/>
    <col min="5650" max="5650" width="5.44140625" style="30" customWidth="1"/>
    <col min="5651" max="5651" width="10.109375" style="30" customWidth="1"/>
    <col min="5652" max="5652" width="7.44140625" style="30" customWidth="1"/>
    <col min="5653" max="5654" width="7.77734375" style="30" customWidth="1"/>
    <col min="5655" max="5655" width="8.5546875" style="30" customWidth="1"/>
    <col min="5656" max="5656" width="11" style="30" customWidth="1"/>
    <col min="5657" max="5888" width="10" style="30"/>
    <col min="5889" max="5891" width="6.21875" style="30" customWidth="1"/>
    <col min="5892" max="5892" width="8.21875" style="30" customWidth="1"/>
    <col min="5893" max="5893" width="6.21875" style="30" customWidth="1"/>
    <col min="5894" max="5894" width="7.44140625" style="30" customWidth="1"/>
    <col min="5895" max="5895" width="5.44140625" style="30" customWidth="1"/>
    <col min="5896" max="5896" width="8.5546875" style="30" customWidth="1"/>
    <col min="5897" max="5897" width="5.44140625" style="30" customWidth="1"/>
    <col min="5898" max="5898" width="6.21875" style="30" customWidth="1"/>
    <col min="5899" max="5899" width="5.44140625" style="30" customWidth="1"/>
    <col min="5900" max="5900" width="7.44140625" style="30" customWidth="1"/>
    <col min="5901" max="5901" width="5.44140625" style="30" customWidth="1"/>
    <col min="5902" max="5902" width="8.5546875" style="30" customWidth="1"/>
    <col min="5903" max="5903" width="7.44140625" style="30" customWidth="1"/>
    <col min="5904" max="5905" width="8.5546875" style="30" customWidth="1"/>
    <col min="5906" max="5906" width="5.44140625" style="30" customWidth="1"/>
    <col min="5907" max="5907" width="10.109375" style="30" customWidth="1"/>
    <col min="5908" max="5908" width="7.44140625" style="30" customWidth="1"/>
    <col min="5909" max="5910" width="7.77734375" style="30" customWidth="1"/>
    <col min="5911" max="5911" width="8.5546875" style="30" customWidth="1"/>
    <col min="5912" max="5912" width="11" style="30" customWidth="1"/>
    <col min="5913" max="6144" width="10" style="30"/>
    <col min="6145" max="6147" width="6.21875" style="30" customWidth="1"/>
    <col min="6148" max="6148" width="8.21875" style="30" customWidth="1"/>
    <col min="6149" max="6149" width="6.21875" style="30" customWidth="1"/>
    <col min="6150" max="6150" width="7.44140625" style="30" customWidth="1"/>
    <col min="6151" max="6151" width="5.44140625" style="30" customWidth="1"/>
    <col min="6152" max="6152" width="8.5546875" style="30" customWidth="1"/>
    <col min="6153" max="6153" width="5.44140625" style="30" customWidth="1"/>
    <col min="6154" max="6154" width="6.21875" style="30" customWidth="1"/>
    <col min="6155" max="6155" width="5.44140625" style="30" customWidth="1"/>
    <col min="6156" max="6156" width="7.44140625" style="30" customWidth="1"/>
    <col min="6157" max="6157" width="5.44140625" style="30" customWidth="1"/>
    <col min="6158" max="6158" width="8.5546875" style="30" customWidth="1"/>
    <col min="6159" max="6159" width="7.44140625" style="30" customWidth="1"/>
    <col min="6160" max="6161" width="8.5546875" style="30" customWidth="1"/>
    <col min="6162" max="6162" width="5.44140625" style="30" customWidth="1"/>
    <col min="6163" max="6163" width="10.109375" style="30" customWidth="1"/>
    <col min="6164" max="6164" width="7.44140625" style="30" customWidth="1"/>
    <col min="6165" max="6166" width="7.77734375" style="30" customWidth="1"/>
    <col min="6167" max="6167" width="8.5546875" style="30" customWidth="1"/>
    <col min="6168" max="6168" width="11" style="30" customWidth="1"/>
    <col min="6169" max="6400" width="10" style="30"/>
    <col min="6401" max="6403" width="6.21875" style="30" customWidth="1"/>
    <col min="6404" max="6404" width="8.21875" style="30" customWidth="1"/>
    <col min="6405" max="6405" width="6.21875" style="30" customWidth="1"/>
    <col min="6406" max="6406" width="7.44140625" style="30" customWidth="1"/>
    <col min="6407" max="6407" width="5.44140625" style="30" customWidth="1"/>
    <col min="6408" max="6408" width="8.5546875" style="30" customWidth="1"/>
    <col min="6409" max="6409" width="5.44140625" style="30" customWidth="1"/>
    <col min="6410" max="6410" width="6.21875" style="30" customWidth="1"/>
    <col min="6411" max="6411" width="5.44140625" style="30" customWidth="1"/>
    <col min="6412" max="6412" width="7.44140625" style="30" customWidth="1"/>
    <col min="6413" max="6413" width="5.44140625" style="30" customWidth="1"/>
    <col min="6414" max="6414" width="8.5546875" style="30" customWidth="1"/>
    <col min="6415" max="6415" width="7.44140625" style="30" customWidth="1"/>
    <col min="6416" max="6417" width="8.5546875" style="30" customWidth="1"/>
    <col min="6418" max="6418" width="5.44140625" style="30" customWidth="1"/>
    <col min="6419" max="6419" width="10.109375" style="30" customWidth="1"/>
    <col min="6420" max="6420" width="7.44140625" style="30" customWidth="1"/>
    <col min="6421" max="6422" width="7.77734375" style="30" customWidth="1"/>
    <col min="6423" max="6423" width="8.5546875" style="30" customWidth="1"/>
    <col min="6424" max="6424" width="11" style="30" customWidth="1"/>
    <col min="6425" max="6656" width="10" style="30"/>
    <col min="6657" max="6659" width="6.21875" style="30" customWidth="1"/>
    <col min="6660" max="6660" width="8.21875" style="30" customWidth="1"/>
    <col min="6661" max="6661" width="6.21875" style="30" customWidth="1"/>
    <col min="6662" max="6662" width="7.44140625" style="30" customWidth="1"/>
    <col min="6663" max="6663" width="5.44140625" style="30" customWidth="1"/>
    <col min="6664" max="6664" width="8.5546875" style="30" customWidth="1"/>
    <col min="6665" max="6665" width="5.44140625" style="30" customWidth="1"/>
    <col min="6666" max="6666" width="6.21875" style="30" customWidth="1"/>
    <col min="6667" max="6667" width="5.44140625" style="30" customWidth="1"/>
    <col min="6668" max="6668" width="7.44140625" style="30" customWidth="1"/>
    <col min="6669" max="6669" width="5.44140625" style="30" customWidth="1"/>
    <col min="6670" max="6670" width="8.5546875" style="30" customWidth="1"/>
    <col min="6671" max="6671" width="7.44140625" style="30" customWidth="1"/>
    <col min="6672" max="6673" width="8.5546875" style="30" customWidth="1"/>
    <col min="6674" max="6674" width="5.44140625" style="30" customWidth="1"/>
    <col min="6675" max="6675" width="10.109375" style="30" customWidth="1"/>
    <col min="6676" max="6676" width="7.44140625" style="30" customWidth="1"/>
    <col min="6677" max="6678" width="7.77734375" style="30" customWidth="1"/>
    <col min="6679" max="6679" width="8.5546875" style="30" customWidth="1"/>
    <col min="6680" max="6680" width="11" style="30" customWidth="1"/>
    <col min="6681" max="6912" width="10" style="30"/>
    <col min="6913" max="6915" width="6.21875" style="30" customWidth="1"/>
    <col min="6916" max="6916" width="8.21875" style="30" customWidth="1"/>
    <col min="6917" max="6917" width="6.21875" style="30" customWidth="1"/>
    <col min="6918" max="6918" width="7.44140625" style="30" customWidth="1"/>
    <col min="6919" max="6919" width="5.44140625" style="30" customWidth="1"/>
    <col min="6920" max="6920" width="8.5546875" style="30" customWidth="1"/>
    <col min="6921" max="6921" width="5.44140625" style="30" customWidth="1"/>
    <col min="6922" max="6922" width="6.21875" style="30" customWidth="1"/>
    <col min="6923" max="6923" width="5.44140625" style="30" customWidth="1"/>
    <col min="6924" max="6924" width="7.44140625" style="30" customWidth="1"/>
    <col min="6925" max="6925" width="5.44140625" style="30" customWidth="1"/>
    <col min="6926" max="6926" width="8.5546875" style="30" customWidth="1"/>
    <col min="6927" max="6927" width="7.44140625" style="30" customWidth="1"/>
    <col min="6928" max="6929" width="8.5546875" style="30" customWidth="1"/>
    <col min="6930" max="6930" width="5.44140625" style="30" customWidth="1"/>
    <col min="6931" max="6931" width="10.109375" style="30" customWidth="1"/>
    <col min="6932" max="6932" width="7.44140625" style="30" customWidth="1"/>
    <col min="6933" max="6934" width="7.77734375" style="30" customWidth="1"/>
    <col min="6935" max="6935" width="8.5546875" style="30" customWidth="1"/>
    <col min="6936" max="6936" width="11" style="30" customWidth="1"/>
    <col min="6937" max="7168" width="10" style="30"/>
    <col min="7169" max="7171" width="6.21875" style="30" customWidth="1"/>
    <col min="7172" max="7172" width="8.21875" style="30" customWidth="1"/>
    <col min="7173" max="7173" width="6.21875" style="30" customWidth="1"/>
    <col min="7174" max="7174" width="7.44140625" style="30" customWidth="1"/>
    <col min="7175" max="7175" width="5.44140625" style="30" customWidth="1"/>
    <col min="7176" max="7176" width="8.5546875" style="30" customWidth="1"/>
    <col min="7177" max="7177" width="5.44140625" style="30" customWidth="1"/>
    <col min="7178" max="7178" width="6.21875" style="30" customWidth="1"/>
    <col min="7179" max="7179" width="5.44140625" style="30" customWidth="1"/>
    <col min="7180" max="7180" width="7.44140625" style="30" customWidth="1"/>
    <col min="7181" max="7181" width="5.44140625" style="30" customWidth="1"/>
    <col min="7182" max="7182" width="8.5546875" style="30" customWidth="1"/>
    <col min="7183" max="7183" width="7.44140625" style="30" customWidth="1"/>
    <col min="7184" max="7185" width="8.5546875" style="30" customWidth="1"/>
    <col min="7186" max="7186" width="5.44140625" style="30" customWidth="1"/>
    <col min="7187" max="7187" width="10.109375" style="30" customWidth="1"/>
    <col min="7188" max="7188" width="7.44140625" style="30" customWidth="1"/>
    <col min="7189" max="7190" width="7.77734375" style="30" customWidth="1"/>
    <col min="7191" max="7191" width="8.5546875" style="30" customWidth="1"/>
    <col min="7192" max="7192" width="11" style="30" customWidth="1"/>
    <col min="7193" max="7424" width="10" style="30"/>
    <col min="7425" max="7427" width="6.21875" style="30" customWidth="1"/>
    <col min="7428" max="7428" width="8.21875" style="30" customWidth="1"/>
    <col min="7429" max="7429" width="6.21875" style="30" customWidth="1"/>
    <col min="7430" max="7430" width="7.44140625" style="30" customWidth="1"/>
    <col min="7431" max="7431" width="5.44140625" style="30" customWidth="1"/>
    <col min="7432" max="7432" width="8.5546875" style="30" customWidth="1"/>
    <col min="7433" max="7433" width="5.44140625" style="30" customWidth="1"/>
    <col min="7434" max="7434" width="6.21875" style="30" customWidth="1"/>
    <col min="7435" max="7435" width="5.44140625" style="30" customWidth="1"/>
    <col min="7436" max="7436" width="7.44140625" style="30" customWidth="1"/>
    <col min="7437" max="7437" width="5.44140625" style="30" customWidth="1"/>
    <col min="7438" max="7438" width="8.5546875" style="30" customWidth="1"/>
    <col min="7439" max="7439" width="7.44140625" style="30" customWidth="1"/>
    <col min="7440" max="7441" width="8.5546875" style="30" customWidth="1"/>
    <col min="7442" max="7442" width="5.44140625" style="30" customWidth="1"/>
    <col min="7443" max="7443" width="10.109375" style="30" customWidth="1"/>
    <col min="7444" max="7444" width="7.44140625" style="30" customWidth="1"/>
    <col min="7445" max="7446" width="7.77734375" style="30" customWidth="1"/>
    <col min="7447" max="7447" width="8.5546875" style="30" customWidth="1"/>
    <col min="7448" max="7448" width="11" style="30" customWidth="1"/>
    <col min="7449" max="7680" width="10" style="30"/>
    <col min="7681" max="7683" width="6.21875" style="30" customWidth="1"/>
    <col min="7684" max="7684" width="8.21875" style="30" customWidth="1"/>
    <col min="7685" max="7685" width="6.21875" style="30" customWidth="1"/>
    <col min="7686" max="7686" width="7.44140625" style="30" customWidth="1"/>
    <col min="7687" max="7687" width="5.44140625" style="30" customWidth="1"/>
    <col min="7688" max="7688" width="8.5546875" style="30" customWidth="1"/>
    <col min="7689" max="7689" width="5.44140625" style="30" customWidth="1"/>
    <col min="7690" max="7690" width="6.21875" style="30" customWidth="1"/>
    <col min="7691" max="7691" width="5.44140625" style="30" customWidth="1"/>
    <col min="7692" max="7692" width="7.44140625" style="30" customWidth="1"/>
    <col min="7693" max="7693" width="5.44140625" style="30" customWidth="1"/>
    <col min="7694" max="7694" width="8.5546875" style="30" customWidth="1"/>
    <col min="7695" max="7695" width="7.44140625" style="30" customWidth="1"/>
    <col min="7696" max="7697" width="8.5546875" style="30" customWidth="1"/>
    <col min="7698" max="7698" width="5.44140625" style="30" customWidth="1"/>
    <col min="7699" max="7699" width="10.109375" style="30" customWidth="1"/>
    <col min="7700" max="7700" width="7.44140625" style="30" customWidth="1"/>
    <col min="7701" max="7702" width="7.77734375" style="30" customWidth="1"/>
    <col min="7703" max="7703" width="8.5546875" style="30" customWidth="1"/>
    <col min="7704" max="7704" width="11" style="30" customWidth="1"/>
    <col min="7705" max="7936" width="10" style="30"/>
    <col min="7937" max="7939" width="6.21875" style="30" customWidth="1"/>
    <col min="7940" max="7940" width="8.21875" style="30" customWidth="1"/>
    <col min="7941" max="7941" width="6.21875" style="30" customWidth="1"/>
    <col min="7942" max="7942" width="7.44140625" style="30" customWidth="1"/>
    <col min="7943" max="7943" width="5.44140625" style="30" customWidth="1"/>
    <col min="7944" max="7944" width="8.5546875" style="30" customWidth="1"/>
    <col min="7945" max="7945" width="5.44140625" style="30" customWidth="1"/>
    <col min="7946" max="7946" width="6.21875" style="30" customWidth="1"/>
    <col min="7947" max="7947" width="5.44140625" style="30" customWidth="1"/>
    <col min="7948" max="7948" width="7.44140625" style="30" customWidth="1"/>
    <col min="7949" max="7949" width="5.44140625" style="30" customWidth="1"/>
    <col min="7950" max="7950" width="8.5546875" style="30" customWidth="1"/>
    <col min="7951" max="7951" width="7.44140625" style="30" customWidth="1"/>
    <col min="7952" max="7953" width="8.5546875" style="30" customWidth="1"/>
    <col min="7954" max="7954" width="5.44140625" style="30" customWidth="1"/>
    <col min="7955" max="7955" width="10.109375" style="30" customWidth="1"/>
    <col min="7956" max="7956" width="7.44140625" style="30" customWidth="1"/>
    <col min="7957" max="7958" width="7.77734375" style="30" customWidth="1"/>
    <col min="7959" max="7959" width="8.5546875" style="30" customWidth="1"/>
    <col min="7960" max="7960" width="11" style="30" customWidth="1"/>
    <col min="7961" max="8192" width="10" style="30"/>
    <col min="8193" max="8195" width="6.21875" style="30" customWidth="1"/>
    <col min="8196" max="8196" width="8.21875" style="30" customWidth="1"/>
    <col min="8197" max="8197" width="6.21875" style="30" customWidth="1"/>
    <col min="8198" max="8198" width="7.44140625" style="30" customWidth="1"/>
    <col min="8199" max="8199" width="5.44140625" style="30" customWidth="1"/>
    <col min="8200" max="8200" width="8.5546875" style="30" customWidth="1"/>
    <col min="8201" max="8201" width="5.44140625" style="30" customWidth="1"/>
    <col min="8202" max="8202" width="6.21875" style="30" customWidth="1"/>
    <col min="8203" max="8203" width="5.44140625" style="30" customWidth="1"/>
    <col min="8204" max="8204" width="7.44140625" style="30" customWidth="1"/>
    <col min="8205" max="8205" width="5.44140625" style="30" customWidth="1"/>
    <col min="8206" max="8206" width="8.5546875" style="30" customWidth="1"/>
    <col min="8207" max="8207" width="7.44140625" style="30" customWidth="1"/>
    <col min="8208" max="8209" width="8.5546875" style="30" customWidth="1"/>
    <col min="8210" max="8210" width="5.44140625" style="30" customWidth="1"/>
    <col min="8211" max="8211" width="10.109375" style="30" customWidth="1"/>
    <col min="8212" max="8212" width="7.44140625" style="30" customWidth="1"/>
    <col min="8213" max="8214" width="7.77734375" style="30" customWidth="1"/>
    <col min="8215" max="8215" width="8.5546875" style="30" customWidth="1"/>
    <col min="8216" max="8216" width="11" style="30" customWidth="1"/>
    <col min="8217" max="8448" width="10" style="30"/>
    <col min="8449" max="8451" width="6.21875" style="30" customWidth="1"/>
    <col min="8452" max="8452" width="8.21875" style="30" customWidth="1"/>
    <col min="8453" max="8453" width="6.21875" style="30" customWidth="1"/>
    <col min="8454" max="8454" width="7.44140625" style="30" customWidth="1"/>
    <col min="8455" max="8455" width="5.44140625" style="30" customWidth="1"/>
    <col min="8456" max="8456" width="8.5546875" style="30" customWidth="1"/>
    <col min="8457" max="8457" width="5.44140625" style="30" customWidth="1"/>
    <col min="8458" max="8458" width="6.21875" style="30" customWidth="1"/>
    <col min="8459" max="8459" width="5.44140625" style="30" customWidth="1"/>
    <col min="8460" max="8460" width="7.44140625" style="30" customWidth="1"/>
    <col min="8461" max="8461" width="5.44140625" style="30" customWidth="1"/>
    <col min="8462" max="8462" width="8.5546875" style="30" customWidth="1"/>
    <col min="8463" max="8463" width="7.44140625" style="30" customWidth="1"/>
    <col min="8464" max="8465" width="8.5546875" style="30" customWidth="1"/>
    <col min="8466" max="8466" width="5.44140625" style="30" customWidth="1"/>
    <col min="8467" max="8467" width="10.109375" style="30" customWidth="1"/>
    <col min="8468" max="8468" width="7.44140625" style="30" customWidth="1"/>
    <col min="8469" max="8470" width="7.77734375" style="30" customWidth="1"/>
    <col min="8471" max="8471" width="8.5546875" style="30" customWidth="1"/>
    <col min="8472" max="8472" width="11" style="30" customWidth="1"/>
    <col min="8473" max="8704" width="10" style="30"/>
    <col min="8705" max="8707" width="6.21875" style="30" customWidth="1"/>
    <col min="8708" max="8708" width="8.21875" style="30" customWidth="1"/>
    <col min="8709" max="8709" width="6.21875" style="30" customWidth="1"/>
    <col min="8710" max="8710" width="7.44140625" style="30" customWidth="1"/>
    <col min="8711" max="8711" width="5.44140625" style="30" customWidth="1"/>
    <col min="8712" max="8712" width="8.5546875" style="30" customWidth="1"/>
    <col min="8713" max="8713" width="5.44140625" style="30" customWidth="1"/>
    <col min="8714" max="8714" width="6.21875" style="30" customWidth="1"/>
    <col min="8715" max="8715" width="5.44140625" style="30" customWidth="1"/>
    <col min="8716" max="8716" width="7.44140625" style="30" customWidth="1"/>
    <col min="8717" max="8717" width="5.44140625" style="30" customWidth="1"/>
    <col min="8718" max="8718" width="8.5546875" style="30" customWidth="1"/>
    <col min="8719" max="8719" width="7.44140625" style="30" customWidth="1"/>
    <col min="8720" max="8721" width="8.5546875" style="30" customWidth="1"/>
    <col min="8722" max="8722" width="5.44140625" style="30" customWidth="1"/>
    <col min="8723" max="8723" width="10.109375" style="30" customWidth="1"/>
    <col min="8724" max="8724" width="7.44140625" style="30" customWidth="1"/>
    <col min="8725" max="8726" width="7.77734375" style="30" customWidth="1"/>
    <col min="8727" max="8727" width="8.5546875" style="30" customWidth="1"/>
    <col min="8728" max="8728" width="11" style="30" customWidth="1"/>
    <col min="8729" max="8960" width="10" style="30"/>
    <col min="8961" max="8963" width="6.21875" style="30" customWidth="1"/>
    <col min="8964" max="8964" width="8.21875" style="30" customWidth="1"/>
    <col min="8965" max="8965" width="6.21875" style="30" customWidth="1"/>
    <col min="8966" max="8966" width="7.44140625" style="30" customWidth="1"/>
    <col min="8967" max="8967" width="5.44140625" style="30" customWidth="1"/>
    <col min="8968" max="8968" width="8.5546875" style="30" customWidth="1"/>
    <col min="8969" max="8969" width="5.44140625" style="30" customWidth="1"/>
    <col min="8970" max="8970" width="6.21875" style="30" customWidth="1"/>
    <col min="8971" max="8971" width="5.44140625" style="30" customWidth="1"/>
    <col min="8972" max="8972" width="7.44140625" style="30" customWidth="1"/>
    <col min="8973" max="8973" width="5.44140625" style="30" customWidth="1"/>
    <col min="8974" max="8974" width="8.5546875" style="30" customWidth="1"/>
    <col min="8975" max="8975" width="7.44140625" style="30" customWidth="1"/>
    <col min="8976" max="8977" width="8.5546875" style="30" customWidth="1"/>
    <col min="8978" max="8978" width="5.44140625" style="30" customWidth="1"/>
    <col min="8979" max="8979" width="10.109375" style="30" customWidth="1"/>
    <col min="8980" max="8980" width="7.44140625" style="30" customWidth="1"/>
    <col min="8981" max="8982" width="7.77734375" style="30" customWidth="1"/>
    <col min="8983" max="8983" width="8.5546875" style="30" customWidth="1"/>
    <col min="8984" max="8984" width="11" style="30" customWidth="1"/>
    <col min="8985" max="9216" width="10" style="30"/>
    <col min="9217" max="9219" width="6.21875" style="30" customWidth="1"/>
    <col min="9220" max="9220" width="8.21875" style="30" customWidth="1"/>
    <col min="9221" max="9221" width="6.21875" style="30" customWidth="1"/>
    <col min="9222" max="9222" width="7.44140625" style="30" customWidth="1"/>
    <col min="9223" max="9223" width="5.44140625" style="30" customWidth="1"/>
    <col min="9224" max="9224" width="8.5546875" style="30" customWidth="1"/>
    <col min="9225" max="9225" width="5.44140625" style="30" customWidth="1"/>
    <col min="9226" max="9226" width="6.21875" style="30" customWidth="1"/>
    <col min="9227" max="9227" width="5.44140625" style="30" customWidth="1"/>
    <col min="9228" max="9228" width="7.44140625" style="30" customWidth="1"/>
    <col min="9229" max="9229" width="5.44140625" style="30" customWidth="1"/>
    <col min="9230" max="9230" width="8.5546875" style="30" customWidth="1"/>
    <col min="9231" max="9231" width="7.44140625" style="30" customWidth="1"/>
    <col min="9232" max="9233" width="8.5546875" style="30" customWidth="1"/>
    <col min="9234" max="9234" width="5.44140625" style="30" customWidth="1"/>
    <col min="9235" max="9235" width="10.109375" style="30" customWidth="1"/>
    <col min="9236" max="9236" width="7.44140625" style="30" customWidth="1"/>
    <col min="9237" max="9238" width="7.77734375" style="30" customWidth="1"/>
    <col min="9239" max="9239" width="8.5546875" style="30" customWidth="1"/>
    <col min="9240" max="9240" width="11" style="30" customWidth="1"/>
    <col min="9241" max="9472" width="10" style="30"/>
    <col min="9473" max="9475" width="6.21875" style="30" customWidth="1"/>
    <col min="9476" max="9476" width="8.21875" style="30" customWidth="1"/>
    <col min="9477" max="9477" width="6.21875" style="30" customWidth="1"/>
    <col min="9478" max="9478" width="7.44140625" style="30" customWidth="1"/>
    <col min="9479" max="9479" width="5.44140625" style="30" customWidth="1"/>
    <col min="9480" max="9480" width="8.5546875" style="30" customWidth="1"/>
    <col min="9481" max="9481" width="5.44140625" style="30" customWidth="1"/>
    <col min="9482" max="9482" width="6.21875" style="30" customWidth="1"/>
    <col min="9483" max="9483" width="5.44140625" style="30" customWidth="1"/>
    <col min="9484" max="9484" width="7.44140625" style="30" customWidth="1"/>
    <col min="9485" max="9485" width="5.44140625" style="30" customWidth="1"/>
    <col min="9486" max="9486" width="8.5546875" style="30" customWidth="1"/>
    <col min="9487" max="9487" width="7.44140625" style="30" customWidth="1"/>
    <col min="9488" max="9489" width="8.5546875" style="30" customWidth="1"/>
    <col min="9490" max="9490" width="5.44140625" style="30" customWidth="1"/>
    <col min="9491" max="9491" width="10.109375" style="30" customWidth="1"/>
    <col min="9492" max="9492" width="7.44140625" style="30" customWidth="1"/>
    <col min="9493" max="9494" width="7.77734375" style="30" customWidth="1"/>
    <col min="9495" max="9495" width="8.5546875" style="30" customWidth="1"/>
    <col min="9496" max="9496" width="11" style="30" customWidth="1"/>
    <col min="9497" max="9728" width="10" style="30"/>
    <col min="9729" max="9731" width="6.21875" style="30" customWidth="1"/>
    <col min="9732" max="9732" width="8.21875" style="30" customWidth="1"/>
    <col min="9733" max="9733" width="6.21875" style="30" customWidth="1"/>
    <col min="9734" max="9734" width="7.44140625" style="30" customWidth="1"/>
    <col min="9735" max="9735" width="5.44140625" style="30" customWidth="1"/>
    <col min="9736" max="9736" width="8.5546875" style="30" customWidth="1"/>
    <col min="9737" max="9737" width="5.44140625" style="30" customWidth="1"/>
    <col min="9738" max="9738" width="6.21875" style="30" customWidth="1"/>
    <col min="9739" max="9739" width="5.44140625" style="30" customWidth="1"/>
    <col min="9740" max="9740" width="7.44140625" style="30" customWidth="1"/>
    <col min="9741" max="9741" width="5.44140625" style="30" customWidth="1"/>
    <col min="9742" max="9742" width="8.5546875" style="30" customWidth="1"/>
    <col min="9743" max="9743" width="7.44140625" style="30" customWidth="1"/>
    <col min="9744" max="9745" width="8.5546875" style="30" customWidth="1"/>
    <col min="9746" max="9746" width="5.44140625" style="30" customWidth="1"/>
    <col min="9747" max="9747" width="10.109375" style="30" customWidth="1"/>
    <col min="9748" max="9748" width="7.44140625" style="30" customWidth="1"/>
    <col min="9749" max="9750" width="7.77734375" style="30" customWidth="1"/>
    <col min="9751" max="9751" width="8.5546875" style="30" customWidth="1"/>
    <col min="9752" max="9752" width="11" style="30" customWidth="1"/>
    <col min="9753" max="9984" width="10" style="30"/>
    <col min="9985" max="9987" width="6.21875" style="30" customWidth="1"/>
    <col min="9988" max="9988" width="8.21875" style="30" customWidth="1"/>
    <col min="9989" max="9989" width="6.21875" style="30" customWidth="1"/>
    <col min="9990" max="9990" width="7.44140625" style="30" customWidth="1"/>
    <col min="9991" max="9991" width="5.44140625" style="30" customWidth="1"/>
    <col min="9992" max="9992" width="8.5546875" style="30" customWidth="1"/>
    <col min="9993" max="9993" width="5.44140625" style="30" customWidth="1"/>
    <col min="9994" max="9994" width="6.21875" style="30" customWidth="1"/>
    <col min="9995" max="9995" width="5.44140625" style="30" customWidth="1"/>
    <col min="9996" max="9996" width="7.44140625" style="30" customWidth="1"/>
    <col min="9997" max="9997" width="5.44140625" style="30" customWidth="1"/>
    <col min="9998" max="9998" width="8.5546875" style="30" customWidth="1"/>
    <col min="9999" max="9999" width="7.44140625" style="30" customWidth="1"/>
    <col min="10000" max="10001" width="8.5546875" style="30" customWidth="1"/>
    <col min="10002" max="10002" width="5.44140625" style="30" customWidth="1"/>
    <col min="10003" max="10003" width="10.109375" style="30" customWidth="1"/>
    <col min="10004" max="10004" width="7.44140625" style="30" customWidth="1"/>
    <col min="10005" max="10006" width="7.77734375" style="30" customWidth="1"/>
    <col min="10007" max="10007" width="8.5546875" style="30" customWidth="1"/>
    <col min="10008" max="10008" width="11" style="30" customWidth="1"/>
    <col min="10009" max="10240" width="10" style="30"/>
    <col min="10241" max="10243" width="6.21875" style="30" customWidth="1"/>
    <col min="10244" max="10244" width="8.21875" style="30" customWidth="1"/>
    <col min="10245" max="10245" width="6.21875" style="30" customWidth="1"/>
    <col min="10246" max="10246" width="7.44140625" style="30" customWidth="1"/>
    <col min="10247" max="10247" width="5.44140625" style="30" customWidth="1"/>
    <col min="10248" max="10248" width="8.5546875" style="30" customWidth="1"/>
    <col min="10249" max="10249" width="5.44140625" style="30" customWidth="1"/>
    <col min="10250" max="10250" width="6.21875" style="30" customWidth="1"/>
    <col min="10251" max="10251" width="5.44140625" style="30" customWidth="1"/>
    <col min="10252" max="10252" width="7.44140625" style="30" customWidth="1"/>
    <col min="10253" max="10253" width="5.44140625" style="30" customWidth="1"/>
    <col min="10254" max="10254" width="8.5546875" style="30" customWidth="1"/>
    <col min="10255" max="10255" width="7.44140625" style="30" customWidth="1"/>
    <col min="10256" max="10257" width="8.5546875" style="30" customWidth="1"/>
    <col min="10258" max="10258" width="5.44140625" style="30" customWidth="1"/>
    <col min="10259" max="10259" width="10.109375" style="30" customWidth="1"/>
    <col min="10260" max="10260" width="7.44140625" style="30" customWidth="1"/>
    <col min="10261" max="10262" width="7.77734375" style="30" customWidth="1"/>
    <col min="10263" max="10263" width="8.5546875" style="30" customWidth="1"/>
    <col min="10264" max="10264" width="11" style="30" customWidth="1"/>
    <col min="10265" max="10496" width="10" style="30"/>
    <col min="10497" max="10499" width="6.21875" style="30" customWidth="1"/>
    <col min="10500" max="10500" width="8.21875" style="30" customWidth="1"/>
    <col min="10501" max="10501" width="6.21875" style="30" customWidth="1"/>
    <col min="10502" max="10502" width="7.44140625" style="30" customWidth="1"/>
    <col min="10503" max="10503" width="5.44140625" style="30" customWidth="1"/>
    <col min="10504" max="10504" width="8.5546875" style="30" customWidth="1"/>
    <col min="10505" max="10505" width="5.44140625" style="30" customWidth="1"/>
    <col min="10506" max="10506" width="6.21875" style="30" customWidth="1"/>
    <col min="10507" max="10507" width="5.44140625" style="30" customWidth="1"/>
    <col min="10508" max="10508" width="7.44140625" style="30" customWidth="1"/>
    <col min="10509" max="10509" width="5.44140625" style="30" customWidth="1"/>
    <col min="10510" max="10510" width="8.5546875" style="30" customWidth="1"/>
    <col min="10511" max="10511" width="7.44140625" style="30" customWidth="1"/>
    <col min="10512" max="10513" width="8.5546875" style="30" customWidth="1"/>
    <col min="10514" max="10514" width="5.44140625" style="30" customWidth="1"/>
    <col min="10515" max="10515" width="10.109375" style="30" customWidth="1"/>
    <col min="10516" max="10516" width="7.44140625" style="30" customWidth="1"/>
    <col min="10517" max="10518" width="7.77734375" style="30" customWidth="1"/>
    <col min="10519" max="10519" width="8.5546875" style="30" customWidth="1"/>
    <col min="10520" max="10520" width="11" style="30" customWidth="1"/>
    <col min="10521" max="10752" width="10" style="30"/>
    <col min="10753" max="10755" width="6.21875" style="30" customWidth="1"/>
    <col min="10756" max="10756" width="8.21875" style="30" customWidth="1"/>
    <col min="10757" max="10757" width="6.21875" style="30" customWidth="1"/>
    <col min="10758" max="10758" width="7.44140625" style="30" customWidth="1"/>
    <col min="10759" max="10759" width="5.44140625" style="30" customWidth="1"/>
    <col min="10760" max="10760" width="8.5546875" style="30" customWidth="1"/>
    <col min="10761" max="10761" width="5.44140625" style="30" customWidth="1"/>
    <col min="10762" max="10762" width="6.21875" style="30" customWidth="1"/>
    <col min="10763" max="10763" width="5.44140625" style="30" customWidth="1"/>
    <col min="10764" max="10764" width="7.44140625" style="30" customWidth="1"/>
    <col min="10765" max="10765" width="5.44140625" style="30" customWidth="1"/>
    <col min="10766" max="10766" width="8.5546875" style="30" customWidth="1"/>
    <col min="10767" max="10767" width="7.44140625" style="30" customWidth="1"/>
    <col min="10768" max="10769" width="8.5546875" style="30" customWidth="1"/>
    <col min="10770" max="10770" width="5.44140625" style="30" customWidth="1"/>
    <col min="10771" max="10771" width="10.109375" style="30" customWidth="1"/>
    <col min="10772" max="10772" width="7.44140625" style="30" customWidth="1"/>
    <col min="10773" max="10774" width="7.77734375" style="30" customWidth="1"/>
    <col min="10775" max="10775" width="8.5546875" style="30" customWidth="1"/>
    <col min="10776" max="10776" width="11" style="30" customWidth="1"/>
    <col min="10777" max="11008" width="10" style="30"/>
    <col min="11009" max="11011" width="6.21875" style="30" customWidth="1"/>
    <col min="11012" max="11012" width="8.21875" style="30" customWidth="1"/>
    <col min="11013" max="11013" width="6.21875" style="30" customWidth="1"/>
    <col min="11014" max="11014" width="7.44140625" style="30" customWidth="1"/>
    <col min="11015" max="11015" width="5.44140625" style="30" customWidth="1"/>
    <col min="11016" max="11016" width="8.5546875" style="30" customWidth="1"/>
    <col min="11017" max="11017" width="5.44140625" style="30" customWidth="1"/>
    <col min="11018" max="11018" width="6.21875" style="30" customWidth="1"/>
    <col min="11019" max="11019" width="5.44140625" style="30" customWidth="1"/>
    <col min="11020" max="11020" width="7.44140625" style="30" customWidth="1"/>
    <col min="11021" max="11021" width="5.44140625" style="30" customWidth="1"/>
    <col min="11022" max="11022" width="8.5546875" style="30" customWidth="1"/>
    <col min="11023" max="11023" width="7.44140625" style="30" customWidth="1"/>
    <col min="11024" max="11025" width="8.5546875" style="30" customWidth="1"/>
    <col min="11026" max="11026" width="5.44140625" style="30" customWidth="1"/>
    <col min="11027" max="11027" width="10.109375" style="30" customWidth="1"/>
    <col min="11028" max="11028" width="7.44140625" style="30" customWidth="1"/>
    <col min="11029" max="11030" width="7.77734375" style="30" customWidth="1"/>
    <col min="11031" max="11031" width="8.5546875" style="30" customWidth="1"/>
    <col min="11032" max="11032" width="11" style="30" customWidth="1"/>
    <col min="11033" max="11264" width="10" style="30"/>
    <col min="11265" max="11267" width="6.21875" style="30" customWidth="1"/>
    <col min="11268" max="11268" width="8.21875" style="30" customWidth="1"/>
    <col min="11269" max="11269" width="6.21875" style="30" customWidth="1"/>
    <col min="11270" max="11270" width="7.44140625" style="30" customWidth="1"/>
    <col min="11271" max="11271" width="5.44140625" style="30" customWidth="1"/>
    <col min="11272" max="11272" width="8.5546875" style="30" customWidth="1"/>
    <col min="11273" max="11273" width="5.44140625" style="30" customWidth="1"/>
    <col min="11274" max="11274" width="6.21875" style="30" customWidth="1"/>
    <col min="11275" max="11275" width="5.44140625" style="30" customWidth="1"/>
    <col min="11276" max="11276" width="7.44140625" style="30" customWidth="1"/>
    <col min="11277" max="11277" width="5.44140625" style="30" customWidth="1"/>
    <col min="11278" max="11278" width="8.5546875" style="30" customWidth="1"/>
    <col min="11279" max="11279" width="7.44140625" style="30" customWidth="1"/>
    <col min="11280" max="11281" width="8.5546875" style="30" customWidth="1"/>
    <col min="11282" max="11282" width="5.44140625" style="30" customWidth="1"/>
    <col min="11283" max="11283" width="10.109375" style="30" customWidth="1"/>
    <col min="11284" max="11284" width="7.44140625" style="30" customWidth="1"/>
    <col min="11285" max="11286" width="7.77734375" style="30" customWidth="1"/>
    <col min="11287" max="11287" width="8.5546875" style="30" customWidth="1"/>
    <col min="11288" max="11288" width="11" style="30" customWidth="1"/>
    <col min="11289" max="11520" width="10" style="30"/>
    <col min="11521" max="11523" width="6.21875" style="30" customWidth="1"/>
    <col min="11524" max="11524" width="8.21875" style="30" customWidth="1"/>
    <col min="11525" max="11525" width="6.21875" style="30" customWidth="1"/>
    <col min="11526" max="11526" width="7.44140625" style="30" customWidth="1"/>
    <col min="11527" max="11527" width="5.44140625" style="30" customWidth="1"/>
    <col min="11528" max="11528" width="8.5546875" style="30" customWidth="1"/>
    <col min="11529" max="11529" width="5.44140625" style="30" customWidth="1"/>
    <col min="11530" max="11530" width="6.21875" style="30" customWidth="1"/>
    <col min="11531" max="11531" width="5.44140625" style="30" customWidth="1"/>
    <col min="11532" max="11532" width="7.44140625" style="30" customWidth="1"/>
    <col min="11533" max="11533" width="5.44140625" style="30" customWidth="1"/>
    <col min="11534" max="11534" width="8.5546875" style="30" customWidth="1"/>
    <col min="11535" max="11535" width="7.44140625" style="30" customWidth="1"/>
    <col min="11536" max="11537" width="8.5546875" style="30" customWidth="1"/>
    <col min="11538" max="11538" width="5.44140625" style="30" customWidth="1"/>
    <col min="11539" max="11539" width="10.109375" style="30" customWidth="1"/>
    <col min="11540" max="11540" width="7.44140625" style="30" customWidth="1"/>
    <col min="11541" max="11542" width="7.77734375" style="30" customWidth="1"/>
    <col min="11543" max="11543" width="8.5546875" style="30" customWidth="1"/>
    <col min="11544" max="11544" width="11" style="30" customWidth="1"/>
    <col min="11545" max="11776" width="10" style="30"/>
    <col min="11777" max="11779" width="6.21875" style="30" customWidth="1"/>
    <col min="11780" max="11780" width="8.21875" style="30" customWidth="1"/>
    <col min="11781" max="11781" width="6.21875" style="30" customWidth="1"/>
    <col min="11782" max="11782" width="7.44140625" style="30" customWidth="1"/>
    <col min="11783" max="11783" width="5.44140625" style="30" customWidth="1"/>
    <col min="11784" max="11784" width="8.5546875" style="30" customWidth="1"/>
    <col min="11785" max="11785" width="5.44140625" style="30" customWidth="1"/>
    <col min="11786" max="11786" width="6.21875" style="30" customWidth="1"/>
    <col min="11787" max="11787" width="5.44140625" style="30" customWidth="1"/>
    <col min="11788" max="11788" width="7.44140625" style="30" customWidth="1"/>
    <col min="11789" max="11789" width="5.44140625" style="30" customWidth="1"/>
    <col min="11790" max="11790" width="8.5546875" style="30" customWidth="1"/>
    <col min="11791" max="11791" width="7.44140625" style="30" customWidth="1"/>
    <col min="11792" max="11793" width="8.5546875" style="30" customWidth="1"/>
    <col min="11794" max="11794" width="5.44140625" style="30" customWidth="1"/>
    <col min="11795" max="11795" width="10.109375" style="30" customWidth="1"/>
    <col min="11796" max="11796" width="7.44140625" style="30" customWidth="1"/>
    <col min="11797" max="11798" width="7.77734375" style="30" customWidth="1"/>
    <col min="11799" max="11799" width="8.5546875" style="30" customWidth="1"/>
    <col min="11800" max="11800" width="11" style="30" customWidth="1"/>
    <col min="11801" max="12032" width="10" style="30"/>
    <col min="12033" max="12035" width="6.21875" style="30" customWidth="1"/>
    <col min="12036" max="12036" width="8.21875" style="30" customWidth="1"/>
    <col min="12037" max="12037" width="6.21875" style="30" customWidth="1"/>
    <col min="12038" max="12038" width="7.44140625" style="30" customWidth="1"/>
    <col min="12039" max="12039" width="5.44140625" style="30" customWidth="1"/>
    <col min="12040" max="12040" width="8.5546875" style="30" customWidth="1"/>
    <col min="12041" max="12041" width="5.44140625" style="30" customWidth="1"/>
    <col min="12042" max="12042" width="6.21875" style="30" customWidth="1"/>
    <col min="12043" max="12043" width="5.44140625" style="30" customWidth="1"/>
    <col min="12044" max="12044" width="7.44140625" style="30" customWidth="1"/>
    <col min="12045" max="12045" width="5.44140625" style="30" customWidth="1"/>
    <col min="12046" max="12046" width="8.5546875" style="30" customWidth="1"/>
    <col min="12047" max="12047" width="7.44140625" style="30" customWidth="1"/>
    <col min="12048" max="12049" width="8.5546875" style="30" customWidth="1"/>
    <col min="12050" max="12050" width="5.44140625" style="30" customWidth="1"/>
    <col min="12051" max="12051" width="10.109375" style="30" customWidth="1"/>
    <col min="12052" max="12052" width="7.44140625" style="30" customWidth="1"/>
    <col min="12053" max="12054" width="7.77734375" style="30" customWidth="1"/>
    <col min="12055" max="12055" width="8.5546875" style="30" customWidth="1"/>
    <col min="12056" max="12056" width="11" style="30" customWidth="1"/>
    <col min="12057" max="12288" width="10" style="30"/>
    <col min="12289" max="12291" width="6.21875" style="30" customWidth="1"/>
    <col min="12292" max="12292" width="8.21875" style="30" customWidth="1"/>
    <col min="12293" max="12293" width="6.21875" style="30" customWidth="1"/>
    <col min="12294" max="12294" width="7.44140625" style="30" customWidth="1"/>
    <col min="12295" max="12295" width="5.44140625" style="30" customWidth="1"/>
    <col min="12296" max="12296" width="8.5546875" style="30" customWidth="1"/>
    <col min="12297" max="12297" width="5.44140625" style="30" customWidth="1"/>
    <col min="12298" max="12298" width="6.21875" style="30" customWidth="1"/>
    <col min="12299" max="12299" width="5.44140625" style="30" customWidth="1"/>
    <col min="12300" max="12300" width="7.44140625" style="30" customWidth="1"/>
    <col min="12301" max="12301" width="5.44140625" style="30" customWidth="1"/>
    <col min="12302" max="12302" width="8.5546875" style="30" customWidth="1"/>
    <col min="12303" max="12303" width="7.44140625" style="30" customWidth="1"/>
    <col min="12304" max="12305" width="8.5546875" style="30" customWidth="1"/>
    <col min="12306" max="12306" width="5.44140625" style="30" customWidth="1"/>
    <col min="12307" max="12307" width="10.109375" style="30" customWidth="1"/>
    <col min="12308" max="12308" width="7.44140625" style="30" customWidth="1"/>
    <col min="12309" max="12310" width="7.77734375" style="30" customWidth="1"/>
    <col min="12311" max="12311" width="8.5546875" style="30" customWidth="1"/>
    <col min="12312" max="12312" width="11" style="30" customWidth="1"/>
    <col min="12313" max="12544" width="10" style="30"/>
    <col min="12545" max="12547" width="6.21875" style="30" customWidth="1"/>
    <col min="12548" max="12548" width="8.21875" style="30" customWidth="1"/>
    <col min="12549" max="12549" width="6.21875" style="30" customWidth="1"/>
    <col min="12550" max="12550" width="7.44140625" style="30" customWidth="1"/>
    <col min="12551" max="12551" width="5.44140625" style="30" customWidth="1"/>
    <col min="12552" max="12552" width="8.5546875" style="30" customWidth="1"/>
    <col min="12553" max="12553" width="5.44140625" style="30" customWidth="1"/>
    <col min="12554" max="12554" width="6.21875" style="30" customWidth="1"/>
    <col min="12555" max="12555" width="5.44140625" style="30" customWidth="1"/>
    <col min="12556" max="12556" width="7.44140625" style="30" customWidth="1"/>
    <col min="12557" max="12557" width="5.44140625" style="30" customWidth="1"/>
    <col min="12558" max="12558" width="8.5546875" style="30" customWidth="1"/>
    <col min="12559" max="12559" width="7.44140625" style="30" customWidth="1"/>
    <col min="12560" max="12561" width="8.5546875" style="30" customWidth="1"/>
    <col min="12562" max="12562" width="5.44140625" style="30" customWidth="1"/>
    <col min="12563" max="12563" width="10.109375" style="30" customWidth="1"/>
    <col min="12564" max="12564" width="7.44140625" style="30" customWidth="1"/>
    <col min="12565" max="12566" width="7.77734375" style="30" customWidth="1"/>
    <col min="12567" max="12567" width="8.5546875" style="30" customWidth="1"/>
    <col min="12568" max="12568" width="11" style="30" customWidth="1"/>
    <col min="12569" max="12800" width="10" style="30"/>
    <col min="12801" max="12803" width="6.21875" style="30" customWidth="1"/>
    <col min="12804" max="12804" width="8.21875" style="30" customWidth="1"/>
    <col min="12805" max="12805" width="6.21875" style="30" customWidth="1"/>
    <col min="12806" max="12806" width="7.44140625" style="30" customWidth="1"/>
    <col min="12807" max="12807" width="5.44140625" style="30" customWidth="1"/>
    <col min="12808" max="12808" width="8.5546875" style="30" customWidth="1"/>
    <col min="12809" max="12809" width="5.44140625" style="30" customWidth="1"/>
    <col min="12810" max="12810" width="6.21875" style="30" customWidth="1"/>
    <col min="12811" max="12811" width="5.44140625" style="30" customWidth="1"/>
    <col min="12812" max="12812" width="7.44140625" style="30" customWidth="1"/>
    <col min="12813" max="12813" width="5.44140625" style="30" customWidth="1"/>
    <col min="12814" max="12814" width="8.5546875" style="30" customWidth="1"/>
    <col min="12815" max="12815" width="7.44140625" style="30" customWidth="1"/>
    <col min="12816" max="12817" width="8.5546875" style="30" customWidth="1"/>
    <col min="12818" max="12818" width="5.44140625" style="30" customWidth="1"/>
    <col min="12819" max="12819" width="10.109375" style="30" customWidth="1"/>
    <col min="12820" max="12820" width="7.44140625" style="30" customWidth="1"/>
    <col min="12821" max="12822" width="7.77734375" style="30" customWidth="1"/>
    <col min="12823" max="12823" width="8.5546875" style="30" customWidth="1"/>
    <col min="12824" max="12824" width="11" style="30" customWidth="1"/>
    <col min="12825" max="13056" width="10" style="30"/>
    <col min="13057" max="13059" width="6.21875" style="30" customWidth="1"/>
    <col min="13060" max="13060" width="8.21875" style="30" customWidth="1"/>
    <col min="13061" max="13061" width="6.21875" style="30" customWidth="1"/>
    <col min="13062" max="13062" width="7.44140625" style="30" customWidth="1"/>
    <col min="13063" max="13063" width="5.44140625" style="30" customWidth="1"/>
    <col min="13064" max="13064" width="8.5546875" style="30" customWidth="1"/>
    <col min="13065" max="13065" width="5.44140625" style="30" customWidth="1"/>
    <col min="13066" max="13066" width="6.21875" style="30" customWidth="1"/>
    <col min="13067" max="13067" width="5.44140625" style="30" customWidth="1"/>
    <col min="13068" max="13068" width="7.44140625" style="30" customWidth="1"/>
    <col min="13069" max="13069" width="5.44140625" style="30" customWidth="1"/>
    <col min="13070" max="13070" width="8.5546875" style="30" customWidth="1"/>
    <col min="13071" max="13071" width="7.44140625" style="30" customWidth="1"/>
    <col min="13072" max="13073" width="8.5546875" style="30" customWidth="1"/>
    <col min="13074" max="13074" width="5.44140625" style="30" customWidth="1"/>
    <col min="13075" max="13075" width="10.109375" style="30" customWidth="1"/>
    <col min="13076" max="13076" width="7.44140625" style="30" customWidth="1"/>
    <col min="13077" max="13078" width="7.77734375" style="30" customWidth="1"/>
    <col min="13079" max="13079" width="8.5546875" style="30" customWidth="1"/>
    <col min="13080" max="13080" width="11" style="30" customWidth="1"/>
    <col min="13081" max="13312" width="10" style="30"/>
    <col min="13313" max="13315" width="6.21875" style="30" customWidth="1"/>
    <col min="13316" max="13316" width="8.21875" style="30" customWidth="1"/>
    <col min="13317" max="13317" width="6.21875" style="30" customWidth="1"/>
    <col min="13318" max="13318" width="7.44140625" style="30" customWidth="1"/>
    <col min="13319" max="13319" width="5.44140625" style="30" customWidth="1"/>
    <col min="13320" max="13320" width="8.5546875" style="30" customWidth="1"/>
    <col min="13321" max="13321" width="5.44140625" style="30" customWidth="1"/>
    <col min="13322" max="13322" width="6.21875" style="30" customWidth="1"/>
    <col min="13323" max="13323" width="5.44140625" style="30" customWidth="1"/>
    <col min="13324" max="13324" width="7.44140625" style="30" customWidth="1"/>
    <col min="13325" max="13325" width="5.44140625" style="30" customWidth="1"/>
    <col min="13326" max="13326" width="8.5546875" style="30" customWidth="1"/>
    <col min="13327" max="13327" width="7.44140625" style="30" customWidth="1"/>
    <col min="13328" max="13329" width="8.5546875" style="30" customWidth="1"/>
    <col min="13330" max="13330" width="5.44140625" style="30" customWidth="1"/>
    <col min="13331" max="13331" width="10.109375" style="30" customWidth="1"/>
    <col min="13332" max="13332" width="7.44140625" style="30" customWidth="1"/>
    <col min="13333" max="13334" width="7.77734375" style="30" customWidth="1"/>
    <col min="13335" max="13335" width="8.5546875" style="30" customWidth="1"/>
    <col min="13336" max="13336" width="11" style="30" customWidth="1"/>
    <col min="13337" max="13568" width="10" style="30"/>
    <col min="13569" max="13571" width="6.21875" style="30" customWidth="1"/>
    <col min="13572" max="13572" width="8.21875" style="30" customWidth="1"/>
    <col min="13573" max="13573" width="6.21875" style="30" customWidth="1"/>
    <col min="13574" max="13574" width="7.44140625" style="30" customWidth="1"/>
    <col min="13575" max="13575" width="5.44140625" style="30" customWidth="1"/>
    <col min="13576" max="13576" width="8.5546875" style="30" customWidth="1"/>
    <col min="13577" max="13577" width="5.44140625" style="30" customWidth="1"/>
    <col min="13578" max="13578" width="6.21875" style="30" customWidth="1"/>
    <col min="13579" max="13579" width="5.44140625" style="30" customWidth="1"/>
    <col min="13580" max="13580" width="7.44140625" style="30" customWidth="1"/>
    <col min="13581" max="13581" width="5.44140625" style="30" customWidth="1"/>
    <col min="13582" max="13582" width="8.5546875" style="30" customWidth="1"/>
    <col min="13583" max="13583" width="7.44140625" style="30" customWidth="1"/>
    <col min="13584" max="13585" width="8.5546875" style="30" customWidth="1"/>
    <col min="13586" max="13586" width="5.44140625" style="30" customWidth="1"/>
    <col min="13587" max="13587" width="10.109375" style="30" customWidth="1"/>
    <col min="13588" max="13588" width="7.44140625" style="30" customWidth="1"/>
    <col min="13589" max="13590" width="7.77734375" style="30" customWidth="1"/>
    <col min="13591" max="13591" width="8.5546875" style="30" customWidth="1"/>
    <col min="13592" max="13592" width="11" style="30" customWidth="1"/>
    <col min="13593" max="13824" width="10" style="30"/>
    <col min="13825" max="13827" width="6.21875" style="30" customWidth="1"/>
    <col min="13828" max="13828" width="8.21875" style="30" customWidth="1"/>
    <col min="13829" max="13829" width="6.21875" style="30" customWidth="1"/>
    <col min="13830" max="13830" width="7.44140625" style="30" customWidth="1"/>
    <col min="13831" max="13831" width="5.44140625" style="30" customWidth="1"/>
    <col min="13832" max="13832" width="8.5546875" style="30" customWidth="1"/>
    <col min="13833" max="13833" width="5.44140625" style="30" customWidth="1"/>
    <col min="13834" max="13834" width="6.21875" style="30" customWidth="1"/>
    <col min="13835" max="13835" width="5.44140625" style="30" customWidth="1"/>
    <col min="13836" max="13836" width="7.44140625" style="30" customWidth="1"/>
    <col min="13837" max="13837" width="5.44140625" style="30" customWidth="1"/>
    <col min="13838" max="13838" width="8.5546875" style="30" customWidth="1"/>
    <col min="13839" max="13839" width="7.44140625" style="30" customWidth="1"/>
    <col min="13840" max="13841" width="8.5546875" style="30" customWidth="1"/>
    <col min="13842" max="13842" width="5.44140625" style="30" customWidth="1"/>
    <col min="13843" max="13843" width="10.109375" style="30" customWidth="1"/>
    <col min="13844" max="13844" width="7.44140625" style="30" customWidth="1"/>
    <col min="13845" max="13846" width="7.77734375" style="30" customWidth="1"/>
    <col min="13847" max="13847" width="8.5546875" style="30" customWidth="1"/>
    <col min="13848" max="13848" width="11" style="30" customWidth="1"/>
    <col min="13849" max="14080" width="10" style="30"/>
    <col min="14081" max="14083" width="6.21875" style="30" customWidth="1"/>
    <col min="14084" max="14084" width="8.21875" style="30" customWidth="1"/>
    <col min="14085" max="14085" width="6.21875" style="30" customWidth="1"/>
    <col min="14086" max="14086" width="7.44140625" style="30" customWidth="1"/>
    <col min="14087" max="14087" width="5.44140625" style="30" customWidth="1"/>
    <col min="14088" max="14088" width="8.5546875" style="30" customWidth="1"/>
    <col min="14089" max="14089" width="5.44140625" style="30" customWidth="1"/>
    <col min="14090" max="14090" width="6.21875" style="30" customWidth="1"/>
    <col min="14091" max="14091" width="5.44140625" style="30" customWidth="1"/>
    <col min="14092" max="14092" width="7.44140625" style="30" customWidth="1"/>
    <col min="14093" max="14093" width="5.44140625" style="30" customWidth="1"/>
    <col min="14094" max="14094" width="8.5546875" style="30" customWidth="1"/>
    <col min="14095" max="14095" width="7.44140625" style="30" customWidth="1"/>
    <col min="14096" max="14097" width="8.5546875" style="30" customWidth="1"/>
    <col min="14098" max="14098" width="5.44140625" style="30" customWidth="1"/>
    <col min="14099" max="14099" width="10.109375" style="30" customWidth="1"/>
    <col min="14100" max="14100" width="7.44140625" style="30" customWidth="1"/>
    <col min="14101" max="14102" width="7.77734375" style="30" customWidth="1"/>
    <col min="14103" max="14103" width="8.5546875" style="30" customWidth="1"/>
    <col min="14104" max="14104" width="11" style="30" customWidth="1"/>
    <col min="14105" max="14336" width="10" style="30"/>
    <col min="14337" max="14339" width="6.21875" style="30" customWidth="1"/>
    <col min="14340" max="14340" width="8.21875" style="30" customWidth="1"/>
    <col min="14341" max="14341" width="6.21875" style="30" customWidth="1"/>
    <col min="14342" max="14342" width="7.44140625" style="30" customWidth="1"/>
    <col min="14343" max="14343" width="5.44140625" style="30" customWidth="1"/>
    <col min="14344" max="14344" width="8.5546875" style="30" customWidth="1"/>
    <col min="14345" max="14345" width="5.44140625" style="30" customWidth="1"/>
    <col min="14346" max="14346" width="6.21875" style="30" customWidth="1"/>
    <col min="14347" max="14347" width="5.44140625" style="30" customWidth="1"/>
    <col min="14348" max="14348" width="7.44140625" style="30" customWidth="1"/>
    <col min="14349" max="14349" width="5.44140625" style="30" customWidth="1"/>
    <col min="14350" max="14350" width="8.5546875" style="30" customWidth="1"/>
    <col min="14351" max="14351" width="7.44140625" style="30" customWidth="1"/>
    <col min="14352" max="14353" width="8.5546875" style="30" customWidth="1"/>
    <col min="14354" max="14354" width="5.44140625" style="30" customWidth="1"/>
    <col min="14355" max="14355" width="10.109375" style="30" customWidth="1"/>
    <col min="14356" max="14356" width="7.44140625" style="30" customWidth="1"/>
    <col min="14357" max="14358" width="7.77734375" style="30" customWidth="1"/>
    <col min="14359" max="14359" width="8.5546875" style="30" customWidth="1"/>
    <col min="14360" max="14360" width="11" style="30" customWidth="1"/>
    <col min="14361" max="14592" width="10" style="30"/>
    <col min="14593" max="14595" width="6.21875" style="30" customWidth="1"/>
    <col min="14596" max="14596" width="8.21875" style="30" customWidth="1"/>
    <col min="14597" max="14597" width="6.21875" style="30" customWidth="1"/>
    <col min="14598" max="14598" width="7.44140625" style="30" customWidth="1"/>
    <col min="14599" max="14599" width="5.44140625" style="30" customWidth="1"/>
    <col min="14600" max="14600" width="8.5546875" style="30" customWidth="1"/>
    <col min="14601" max="14601" width="5.44140625" style="30" customWidth="1"/>
    <col min="14602" max="14602" width="6.21875" style="30" customWidth="1"/>
    <col min="14603" max="14603" width="5.44140625" style="30" customWidth="1"/>
    <col min="14604" max="14604" width="7.44140625" style="30" customWidth="1"/>
    <col min="14605" max="14605" width="5.44140625" style="30" customWidth="1"/>
    <col min="14606" max="14606" width="8.5546875" style="30" customWidth="1"/>
    <col min="14607" max="14607" width="7.44140625" style="30" customWidth="1"/>
    <col min="14608" max="14609" width="8.5546875" style="30" customWidth="1"/>
    <col min="14610" max="14610" width="5.44140625" style="30" customWidth="1"/>
    <col min="14611" max="14611" width="10.109375" style="30" customWidth="1"/>
    <col min="14612" max="14612" width="7.44140625" style="30" customWidth="1"/>
    <col min="14613" max="14614" width="7.77734375" style="30" customWidth="1"/>
    <col min="14615" max="14615" width="8.5546875" style="30" customWidth="1"/>
    <col min="14616" max="14616" width="11" style="30" customWidth="1"/>
    <col min="14617" max="14848" width="10" style="30"/>
    <col min="14849" max="14851" width="6.21875" style="30" customWidth="1"/>
    <col min="14852" max="14852" width="8.21875" style="30" customWidth="1"/>
    <col min="14853" max="14853" width="6.21875" style="30" customWidth="1"/>
    <col min="14854" max="14854" width="7.44140625" style="30" customWidth="1"/>
    <col min="14855" max="14855" width="5.44140625" style="30" customWidth="1"/>
    <col min="14856" max="14856" width="8.5546875" style="30" customWidth="1"/>
    <col min="14857" max="14857" width="5.44140625" style="30" customWidth="1"/>
    <col min="14858" max="14858" width="6.21875" style="30" customWidth="1"/>
    <col min="14859" max="14859" width="5.44140625" style="30" customWidth="1"/>
    <col min="14860" max="14860" width="7.44140625" style="30" customWidth="1"/>
    <col min="14861" max="14861" width="5.44140625" style="30" customWidth="1"/>
    <col min="14862" max="14862" width="8.5546875" style="30" customWidth="1"/>
    <col min="14863" max="14863" width="7.44140625" style="30" customWidth="1"/>
    <col min="14864" max="14865" width="8.5546875" style="30" customWidth="1"/>
    <col min="14866" max="14866" width="5.44140625" style="30" customWidth="1"/>
    <col min="14867" max="14867" width="10.109375" style="30" customWidth="1"/>
    <col min="14868" max="14868" width="7.44140625" style="30" customWidth="1"/>
    <col min="14869" max="14870" width="7.77734375" style="30" customWidth="1"/>
    <col min="14871" max="14871" width="8.5546875" style="30" customWidth="1"/>
    <col min="14872" max="14872" width="11" style="30" customWidth="1"/>
    <col min="14873" max="15104" width="10" style="30"/>
    <col min="15105" max="15107" width="6.21875" style="30" customWidth="1"/>
    <col min="15108" max="15108" width="8.21875" style="30" customWidth="1"/>
    <col min="15109" max="15109" width="6.21875" style="30" customWidth="1"/>
    <col min="15110" max="15110" width="7.44140625" style="30" customWidth="1"/>
    <col min="15111" max="15111" width="5.44140625" style="30" customWidth="1"/>
    <col min="15112" max="15112" width="8.5546875" style="30" customWidth="1"/>
    <col min="15113" max="15113" width="5.44140625" style="30" customWidth="1"/>
    <col min="15114" max="15114" width="6.21875" style="30" customWidth="1"/>
    <col min="15115" max="15115" width="5.44140625" style="30" customWidth="1"/>
    <col min="15116" max="15116" width="7.44140625" style="30" customWidth="1"/>
    <col min="15117" max="15117" width="5.44140625" style="30" customWidth="1"/>
    <col min="15118" max="15118" width="8.5546875" style="30" customWidth="1"/>
    <col min="15119" max="15119" width="7.44140625" style="30" customWidth="1"/>
    <col min="15120" max="15121" width="8.5546875" style="30" customWidth="1"/>
    <col min="15122" max="15122" width="5.44140625" style="30" customWidth="1"/>
    <col min="15123" max="15123" width="10.109375" style="30" customWidth="1"/>
    <col min="15124" max="15124" width="7.44140625" style="30" customWidth="1"/>
    <col min="15125" max="15126" width="7.77734375" style="30" customWidth="1"/>
    <col min="15127" max="15127" width="8.5546875" style="30" customWidth="1"/>
    <col min="15128" max="15128" width="11" style="30" customWidth="1"/>
    <col min="15129" max="15360" width="10" style="30"/>
    <col min="15361" max="15363" width="6.21875" style="30" customWidth="1"/>
    <col min="15364" max="15364" width="8.21875" style="30" customWidth="1"/>
    <col min="15365" max="15365" width="6.21875" style="30" customWidth="1"/>
    <col min="15366" max="15366" width="7.44140625" style="30" customWidth="1"/>
    <col min="15367" max="15367" width="5.44140625" style="30" customWidth="1"/>
    <col min="15368" max="15368" width="8.5546875" style="30" customWidth="1"/>
    <col min="15369" max="15369" width="5.44140625" style="30" customWidth="1"/>
    <col min="15370" max="15370" width="6.21875" style="30" customWidth="1"/>
    <col min="15371" max="15371" width="5.44140625" style="30" customWidth="1"/>
    <col min="15372" max="15372" width="7.44140625" style="30" customWidth="1"/>
    <col min="15373" max="15373" width="5.44140625" style="30" customWidth="1"/>
    <col min="15374" max="15374" width="8.5546875" style="30" customWidth="1"/>
    <col min="15375" max="15375" width="7.44140625" style="30" customWidth="1"/>
    <col min="15376" max="15377" width="8.5546875" style="30" customWidth="1"/>
    <col min="15378" max="15378" width="5.44140625" style="30" customWidth="1"/>
    <col min="15379" max="15379" width="10.109375" style="30" customWidth="1"/>
    <col min="15380" max="15380" width="7.44140625" style="30" customWidth="1"/>
    <col min="15381" max="15382" width="7.77734375" style="30" customWidth="1"/>
    <col min="15383" max="15383" width="8.5546875" style="30" customWidth="1"/>
    <col min="15384" max="15384" width="11" style="30" customWidth="1"/>
    <col min="15385" max="15616" width="10" style="30"/>
    <col min="15617" max="15619" width="6.21875" style="30" customWidth="1"/>
    <col min="15620" max="15620" width="8.21875" style="30" customWidth="1"/>
    <col min="15621" max="15621" width="6.21875" style="30" customWidth="1"/>
    <col min="15622" max="15622" width="7.44140625" style="30" customWidth="1"/>
    <col min="15623" max="15623" width="5.44140625" style="30" customWidth="1"/>
    <col min="15624" max="15624" width="8.5546875" style="30" customWidth="1"/>
    <col min="15625" max="15625" width="5.44140625" style="30" customWidth="1"/>
    <col min="15626" max="15626" width="6.21875" style="30" customWidth="1"/>
    <col min="15627" max="15627" width="5.44140625" style="30" customWidth="1"/>
    <col min="15628" max="15628" width="7.44140625" style="30" customWidth="1"/>
    <col min="15629" max="15629" width="5.44140625" style="30" customWidth="1"/>
    <col min="15630" max="15630" width="8.5546875" style="30" customWidth="1"/>
    <col min="15631" max="15631" width="7.44140625" style="30" customWidth="1"/>
    <col min="15632" max="15633" width="8.5546875" style="30" customWidth="1"/>
    <col min="15634" max="15634" width="5.44140625" style="30" customWidth="1"/>
    <col min="15635" max="15635" width="10.109375" style="30" customWidth="1"/>
    <col min="15636" max="15636" width="7.44140625" style="30" customWidth="1"/>
    <col min="15637" max="15638" width="7.77734375" style="30" customWidth="1"/>
    <col min="15639" max="15639" width="8.5546875" style="30" customWidth="1"/>
    <col min="15640" max="15640" width="11" style="30" customWidth="1"/>
    <col min="15641" max="15872" width="10" style="30"/>
    <col min="15873" max="15875" width="6.21875" style="30" customWidth="1"/>
    <col min="15876" max="15876" width="8.21875" style="30" customWidth="1"/>
    <col min="15877" max="15877" width="6.21875" style="30" customWidth="1"/>
    <col min="15878" max="15878" width="7.44140625" style="30" customWidth="1"/>
    <col min="15879" max="15879" width="5.44140625" style="30" customWidth="1"/>
    <col min="15880" max="15880" width="8.5546875" style="30" customWidth="1"/>
    <col min="15881" max="15881" width="5.44140625" style="30" customWidth="1"/>
    <col min="15882" max="15882" width="6.21875" style="30" customWidth="1"/>
    <col min="15883" max="15883" width="5.44140625" style="30" customWidth="1"/>
    <col min="15884" max="15884" width="7.44140625" style="30" customWidth="1"/>
    <col min="15885" max="15885" width="5.44140625" style="30" customWidth="1"/>
    <col min="15886" max="15886" width="8.5546875" style="30" customWidth="1"/>
    <col min="15887" max="15887" width="7.44140625" style="30" customWidth="1"/>
    <col min="15888" max="15889" width="8.5546875" style="30" customWidth="1"/>
    <col min="15890" max="15890" width="5.44140625" style="30" customWidth="1"/>
    <col min="15891" max="15891" width="10.109375" style="30" customWidth="1"/>
    <col min="15892" max="15892" width="7.44140625" style="30" customWidth="1"/>
    <col min="15893" max="15894" width="7.77734375" style="30" customWidth="1"/>
    <col min="15895" max="15895" width="8.5546875" style="30" customWidth="1"/>
    <col min="15896" max="15896" width="11" style="30" customWidth="1"/>
    <col min="15897" max="16128" width="10" style="30"/>
    <col min="16129" max="16131" width="6.21875" style="30" customWidth="1"/>
    <col min="16132" max="16132" width="8.21875" style="30" customWidth="1"/>
    <col min="16133" max="16133" width="6.21875" style="30" customWidth="1"/>
    <col min="16134" max="16134" width="7.44140625" style="30" customWidth="1"/>
    <col min="16135" max="16135" width="5.44140625" style="30" customWidth="1"/>
    <col min="16136" max="16136" width="8.5546875" style="30" customWidth="1"/>
    <col min="16137" max="16137" width="5.44140625" style="30" customWidth="1"/>
    <col min="16138" max="16138" width="6.21875" style="30" customWidth="1"/>
    <col min="16139" max="16139" width="5.44140625" style="30" customWidth="1"/>
    <col min="16140" max="16140" width="7.44140625" style="30" customWidth="1"/>
    <col min="16141" max="16141" width="5.44140625" style="30" customWidth="1"/>
    <col min="16142" max="16142" width="8.5546875" style="30" customWidth="1"/>
    <col min="16143" max="16143" width="7.44140625" style="30" customWidth="1"/>
    <col min="16144" max="16145" width="8.5546875" style="30" customWidth="1"/>
    <col min="16146" max="16146" width="5.44140625" style="30" customWidth="1"/>
    <col min="16147" max="16147" width="10.109375" style="30" customWidth="1"/>
    <col min="16148" max="16148" width="7.44140625" style="30" customWidth="1"/>
    <col min="16149" max="16150" width="7.77734375" style="30" customWidth="1"/>
    <col min="16151" max="16151" width="8.5546875" style="30" customWidth="1"/>
    <col min="16152" max="16152" width="11" style="30" customWidth="1"/>
    <col min="16153" max="16384" width="10" style="30"/>
  </cols>
  <sheetData>
    <row r="1" spans="1:26" s="15" customFormat="1" ht="31.2" x14ac:dyDescent="0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5" t="s">
        <v>7</v>
      </c>
      <c r="I1" s="6" t="s">
        <v>6</v>
      </c>
      <c r="J1" s="5" t="s">
        <v>8</v>
      </c>
      <c r="K1" s="6" t="s">
        <v>6</v>
      </c>
      <c r="L1" s="7" t="s">
        <v>9</v>
      </c>
      <c r="M1" s="8" t="s">
        <v>6</v>
      </c>
      <c r="N1" s="9" t="s">
        <v>10</v>
      </c>
      <c r="O1" s="10" t="s">
        <v>11</v>
      </c>
      <c r="P1" s="7" t="s">
        <v>12</v>
      </c>
      <c r="Q1" s="7" t="s">
        <v>13</v>
      </c>
      <c r="R1" s="8" t="s">
        <v>6</v>
      </c>
      <c r="S1" s="9" t="s">
        <v>10</v>
      </c>
      <c r="T1" s="10" t="s">
        <v>14</v>
      </c>
      <c r="U1" s="11" t="s">
        <v>15</v>
      </c>
      <c r="V1" s="11" t="s">
        <v>16</v>
      </c>
      <c r="W1" s="12" t="s">
        <v>17</v>
      </c>
      <c r="X1" s="13" t="s">
        <v>18</v>
      </c>
      <c r="Y1" s="14" t="s">
        <v>19</v>
      </c>
      <c r="Z1" s="15" t="s">
        <v>20</v>
      </c>
    </row>
    <row r="2" spans="1:26" x14ac:dyDescent="0.25">
      <c r="A2" s="16">
        <v>27</v>
      </c>
      <c r="B2" s="17" t="s">
        <v>21</v>
      </c>
      <c r="C2" s="16">
        <v>101</v>
      </c>
      <c r="D2" s="18" t="s">
        <v>49</v>
      </c>
      <c r="E2" s="17" t="s">
        <v>23</v>
      </c>
      <c r="F2" s="19">
        <v>7.1</v>
      </c>
      <c r="G2" s="32">
        <f>IF(B2="高三",IF($E2="男",LOOKUP(F2,[1]对照表!$G$3:$G$24,[1]对照表!$H$3:$H$24),LOOKUP(F2,[1]对照表!$G$27:$G$48,[1]对照表!$H$27:$H$48)),IF(B2="高二",IF($E2="男",LOOKUP(F2,[1]对照表!$F$3:$F$24,[1]对照表!$H$3:$H$24),LOOKUP(F2,[1]对照表!$F$27:$F$48,[1]对照表!$H$27:$H$48)),IF(B2="高一",IF($E2="男",LOOKUP(F2,[1]对照表!$E$3:$E$24,[1]对照表!$H$3:$H$24),LOOKUP(F2,[1]对照表!$E$27:$E$48,[1]对照表!$H$27:$H$48)))))</f>
        <v>100</v>
      </c>
      <c r="H2" s="21">
        <v>15.9</v>
      </c>
      <c r="I2" s="32">
        <f>IF(B2="高三",IF($E2="男",LOOKUP(H2,[1]对照表!$K$3:$K$24,[1]对照表!$L$3:$L$24),LOOKUP(H2,[1]对照表!$K$27:$K$48,[1]对照表!$L$27:$L$48)),IF(B2="高二",IF($E2="男",LOOKUP(H2,[1]对照表!$J$3:$J$24,[1]对照表!$L$3:$L$24),LOOKUP(H2,[1]对照表!$J$27:$J$48,[1]对照表!$L$27:$L$48)),IF(B2="高一",IF($E2="男",LOOKUP(H2,[1]对照表!$I$3:$I$24,[1]对照表!$L$3:$L$24),LOOKUP(H2,[1]对照表!$I$27:$I$48,[1]对照表!$L$27:$L$48)))))</f>
        <v>80</v>
      </c>
      <c r="J2" s="21">
        <v>247</v>
      </c>
      <c r="K2" s="32">
        <f>IF(B2="高三",IF($E2="男",LOOKUP(J2,[1]对照表!$O$3:$O$24,[1]对照表!$P$3:$P$24),LOOKUP(J2,[1]对照表!$O$27:$O$48,[1]对照表!$P$27:$P$48)),IF(B2="高二",IF($E2="男",LOOKUP(J2,[1]对照表!$N$3:$N$24,[1]对照表!$P$3:$P$24),LOOKUP(J2,[1]对照表!$N$27:$N$48,[1]对照表!$P$27:$P$48)),IF(B2="高一",IF($E2="男",LOOKUP(J2,[1]对照表!$M$3:$M$24,[1]对照表!$P$3:$P$24),LOOKUP(J2,[1]对照表!$M$27:$M$48,[1]对照表!$P$27:$P$48)))))</f>
        <v>85</v>
      </c>
      <c r="L2" s="21">
        <v>20</v>
      </c>
      <c r="M2" s="32">
        <f>IF(B2="高三",IF($E2="男",LOOKUP(L2,[1]对照表!$S$3:$S$24,[1]对照表!$T$3:$T$24),LOOKUP(L2,[1]对照表!$S$27:$S$48,[1]对照表!$T$27:$T$48)),IF(B2="高二",IF($E2="男",LOOKUP(L2,[1]对照表!$R$3:$R$24,[1]对照表!$T$3:$T$24),LOOKUP(L2,[1]对照表!$R$27:$R$48,[1]对照表!$T$27:$T$48)),IF(B2="高一",IF($E2="男",LOOKUP(L2,[1]对照表!$Q$3:$Q$24,[1]对照表!$T$3:$T$24),LOOKUP(L2,[1]对照表!$Q$27:$Q$48,[1]对照表!$T$27:$T$48)))))</f>
        <v>100</v>
      </c>
      <c r="N2" s="33">
        <f>IF(B2="高三",MAX(IF(E2="男",L2-18,L2-55),0),IF(B2="高二",MAX(IF(E2="男",L2-17,L2-54),0),IF(B2="高一",MAX(IF(E2="男",L2-16,L2-53),0))))</f>
        <v>4</v>
      </c>
      <c r="O2" s="23">
        <f>IF(E2="男",LOOKUP($N2,[1]对照表!$Z$3:$Z$13,[1]对照表!$AA$3:$AA$13),LOOKUP($N2,[1]对照表!$Z$15:$Z$25,[1]对照表!$AA$15:$AA$25))</f>
        <v>4</v>
      </c>
      <c r="P2" s="24">
        <f>M2+O2</f>
        <v>104</v>
      </c>
      <c r="Q2" s="25">
        <v>3.13</v>
      </c>
      <c r="R2" s="32">
        <f>IF(B2="高三",IF($E2="男",LOOKUP(Q2,[1]对照表!$W$3:$W$24,[1]对照表!$X$3:$X$24),LOOKUP(Q2,[1]对照表!$W$27:$W$48,[1]对照表!$X$27:$X$48)),IF(B2="高二",IF($E2="男",LOOKUP(Q2,[1]对照表!$V$3:$V$24,[1]对照表!$X$3:$X$24),LOOKUP(Q2,[1]对照表!$V$27:$V$48,[1]对照表!$X$27:$X$48)),IF(B2="高一",IF($E2="男",LOOKUP(Q2,[1]对照表!$U$3:$U$24,[1]对照表!$X$3:$X$24),LOOKUP(Q2,[1]对照表!$U$27:$U$48,[1]对照表!$X$27:$X$48)))))</f>
        <v>100</v>
      </c>
      <c r="S2" s="33">
        <f>ROUND(IF(IF($B2="高三",MIN(IF($E2="男",$Q2-3.2,$Q2-3.2),0),IF($B2="高二",MIN(IF($E2="男",$Q2-3.25,$Q2-3.22),0),IF($B2="高一",MIN(IF($E2="男",$Q2-3.3,$Q2-3.24),0))))&lt;-0.6,IF($B2="高三",MIN(IF($E2="男",$Q2-3.2,$Q2-3.2),0),IF($B2="高二",MIN(IF($E2="男",$Q2-3.25,$Q2-3.22),0),IF($B2="高一",MIN(IF($E2="男",$Q2-3.3,$Q2-3.24),0))))+0.4,IF($B2="高三",MIN(IF($E2="男",$Q2-3.2,$Q2-3.2),0),IF($B2="高二",MIN(IF($E2="男",$Q2-3.25,$Q2-3.22),0),IF($B2="高一",MIN(IF($E2="男",$Q2-3.3,$Q2-3.24),0))))),2)</f>
        <v>-0.17</v>
      </c>
      <c r="T2" s="23">
        <f>IF(E2="男",LOOKUP($S2,[1]对照表!$AB$3:$AB$13,[1]对照表!$AC$3:$AC$13),LOOKUP($S2,[1]对照表!$AB$15:$AB$25,[1]对照表!$AC$15:$AC$25))</f>
        <v>4</v>
      </c>
      <c r="U2" s="26">
        <f>R2+T2</f>
        <v>104</v>
      </c>
      <c r="V2" s="26">
        <f>SUM(I2,K2,M2)/3*0.3+SUM(G2,R2)/2*0.4</f>
        <v>66.5</v>
      </c>
      <c r="W2" s="27">
        <f>O2+T2</f>
        <v>8</v>
      </c>
      <c r="X2" s="28">
        <f>V2/0.7+W2</f>
        <v>103</v>
      </c>
      <c r="Y2" s="28">
        <v>103</v>
      </c>
      <c r="Z2" s="21"/>
    </row>
    <row r="3" spans="1:26" x14ac:dyDescent="0.25">
      <c r="A3" s="16">
        <v>5</v>
      </c>
      <c r="B3" s="17" t="s">
        <v>21</v>
      </c>
      <c r="C3" s="16">
        <v>101</v>
      </c>
      <c r="D3" s="18" t="s">
        <v>91</v>
      </c>
      <c r="E3" s="16" t="s">
        <v>23</v>
      </c>
      <c r="F3" s="19">
        <v>7.1</v>
      </c>
      <c r="G3" s="32">
        <f>IF(B3="高三",IF($E3="男",LOOKUP(F3,[1]对照表!$G$3:$G$24,[1]对照表!$H$3:$H$24),LOOKUP(F3,[1]对照表!$G$27:$G$48,[1]对照表!$H$27:$H$48)),IF(B3="高二",IF($E3="男",LOOKUP(F3,[1]对照表!$F$3:$F$24,[1]对照表!$H$3:$H$24),LOOKUP(F3,[1]对照表!$F$27:$F$48,[1]对照表!$H$27:$H$48)),IF(B3="高一",IF($E3="男",LOOKUP(F3,[1]对照表!$E$3:$E$24,[1]对照表!$H$3:$H$24),LOOKUP(F3,[1]对照表!$E$27:$E$48,[1]对照表!$H$27:$H$48)))))</f>
        <v>100</v>
      </c>
      <c r="H3" s="21">
        <v>18</v>
      </c>
      <c r="I3" s="32">
        <f>IF(B3="高三",IF($E3="男",LOOKUP(H3,[1]对照表!$K$3:$K$24,[1]对照表!$L$3:$L$24),LOOKUP(H3,[1]对照表!$K$27:$K$48,[1]对照表!$L$27:$L$48)),IF(B3="高二",IF($E3="男",LOOKUP(H3,[1]对照表!$J$3:$J$24,[1]对照表!$L$3:$L$24),LOOKUP(H3,[1]对照表!$J$27:$J$48,[1]对照表!$L$27:$L$48)),IF(B3="高一",IF($E3="男",LOOKUP(H3,[1]对照表!$I$3:$I$24,[1]对照表!$L$3:$L$24),LOOKUP(H3,[1]对照表!$I$27:$I$48,[1]对照表!$L$27:$L$48)))))</f>
        <v>85</v>
      </c>
      <c r="J3" s="21">
        <v>257</v>
      </c>
      <c r="K3" s="32">
        <f>IF(B3="高三",IF($E3="男",LOOKUP(J3,[1]对照表!$O$3:$O$24,[1]对照表!$P$3:$P$24),LOOKUP(J3,[1]对照表!$O$27:$O$48,[1]对照表!$P$27:$P$48)),IF(B3="高二",IF($E3="男",LOOKUP(J3,[1]对照表!$N$3:$N$24,[1]对照表!$P$3:$P$24),LOOKUP(J3,[1]对照表!$N$27:$N$48,[1]对照表!$P$27:$P$48)),IF(B3="高一",IF($E3="男",LOOKUP(J3,[1]对照表!$M$3:$M$24,[1]对照表!$P$3:$P$24),LOOKUP(J3,[1]对照表!$M$27:$M$48,[1]对照表!$P$27:$P$48)))))</f>
        <v>95</v>
      </c>
      <c r="L3" s="21">
        <v>20</v>
      </c>
      <c r="M3" s="32">
        <f>IF(B3="高三",IF($E3="男",LOOKUP(L3,[1]对照表!$S$3:$S$24,[1]对照表!$T$3:$T$24),LOOKUP(L3,[1]对照表!$S$27:$S$48,[1]对照表!$T$27:$T$48)),IF(B3="高二",IF($E3="男",LOOKUP(L3,[1]对照表!$R$3:$R$24,[1]对照表!$T$3:$T$24),LOOKUP(L3,[1]对照表!$R$27:$R$48,[1]对照表!$T$27:$T$48)),IF(B3="高一",IF($E3="男",LOOKUP(L3,[1]对照表!$Q$3:$Q$24,[1]对照表!$T$3:$T$24),LOOKUP(L3,[1]对照表!$Q$27:$Q$48,[1]对照表!$T$27:$T$48)))))</f>
        <v>100</v>
      </c>
      <c r="N3" s="33">
        <f>IF(B3="高三",MAX(IF(E3="男",L3-18,L3-55),0),IF(B3="高二",MAX(IF(E3="男",L3-17,L3-54),0),IF(B3="高一",MAX(IF(E3="男",L3-16,L3-53),0))))</f>
        <v>4</v>
      </c>
      <c r="O3" s="23">
        <f>IF(E3="男",LOOKUP($N3,[1]对照表!$Z$3:$Z$13,[1]对照表!$AA$3:$AA$13),LOOKUP($N3,[1]对照表!$Z$15:$Z$25,[1]对照表!$AA$15:$AA$25))</f>
        <v>4</v>
      </c>
      <c r="P3" s="24">
        <f>M3+O3</f>
        <v>104</v>
      </c>
      <c r="Q3" s="25">
        <v>3.39</v>
      </c>
      <c r="R3" s="32">
        <f>IF(B3="高三",IF($E3="男",LOOKUP(Q3,[1]对照表!$W$3:$W$24,[1]对照表!$X$3:$X$24),LOOKUP(Q3,[1]对照表!$W$27:$W$48,[1]对照表!$X$27:$X$48)),IF(B3="高二",IF($E3="男",LOOKUP(Q3,[1]对照表!$V$3:$V$24,[1]对照表!$X$3:$X$24),LOOKUP(Q3,[1]对照表!$V$27:$V$48,[1]对照表!$X$27:$X$48)),IF(B3="高一",IF($E3="男",LOOKUP(Q3,[1]对照表!$U$3:$U$24,[1]对照表!$X$3:$X$24),LOOKUP(Q3,[1]对照表!$U$27:$U$48,[1]对照表!$X$27:$X$48)))))</f>
        <v>90</v>
      </c>
      <c r="S3" s="33">
        <f>ROUND(IF(IF($B3="高三",MIN(IF($E3="男",$Q3-3.2,$Q3-3.2),0),IF($B3="高二",MIN(IF($E3="男",$Q3-3.25,$Q3-3.22),0),IF($B3="高一",MIN(IF($E3="男",$Q3-3.3,$Q3-3.24),0))))&lt;-0.6,IF($B3="高三",MIN(IF($E3="男",$Q3-3.2,$Q3-3.2),0),IF($B3="高二",MIN(IF($E3="男",$Q3-3.25,$Q3-3.22),0),IF($B3="高一",MIN(IF($E3="男",$Q3-3.3,$Q3-3.24),0))))+0.4,IF($B3="高三",MIN(IF($E3="男",$Q3-3.2,$Q3-3.2),0),IF($B3="高二",MIN(IF($E3="男",$Q3-3.25,$Q3-3.22),0),IF($B3="高一",MIN(IF($E3="男",$Q3-3.3,$Q3-3.24),0))))),2)</f>
        <v>0</v>
      </c>
      <c r="T3" s="23">
        <f>IF(E3="男",LOOKUP($S3,[1]对照表!$AB$3:$AB$13,[1]对照表!$AC$3:$AC$13),LOOKUP($S3,[1]对照表!$AB$15:$AB$25,[1]对照表!$AC$15:$AC$25))</f>
        <v>0</v>
      </c>
      <c r="U3" s="26">
        <f>R3+T3</f>
        <v>90</v>
      </c>
      <c r="V3" s="26">
        <f>SUM(I3,K3,M3)/3*0.3+SUM(G3,R3)/2*0.4</f>
        <v>66</v>
      </c>
      <c r="W3" s="27">
        <f>O3+T3</f>
        <v>4</v>
      </c>
      <c r="X3" s="28">
        <f>V3/0.7+W3</f>
        <v>98.285714285714292</v>
      </c>
      <c r="Y3" s="28">
        <v>98.285714285714292</v>
      </c>
      <c r="Z3" s="21"/>
    </row>
    <row r="4" spans="1:26" x14ac:dyDescent="0.25">
      <c r="A4" s="16">
        <v>1</v>
      </c>
      <c r="B4" s="17" t="s">
        <v>21</v>
      </c>
      <c r="C4" s="16">
        <v>101</v>
      </c>
      <c r="D4" s="18" t="s">
        <v>106</v>
      </c>
      <c r="E4" s="34" t="s">
        <v>23</v>
      </c>
      <c r="F4" s="19">
        <v>7.1</v>
      </c>
      <c r="G4" s="32">
        <f>IF(B4="高三",IF($E4="男",LOOKUP(F4,[1]对照表!$G$3:$G$24,[1]对照表!$H$3:$H$24),LOOKUP(F4,[1]对照表!$G$27:$G$48,[1]对照表!$H$27:$H$48)),IF(B4="高二",IF($E4="男",LOOKUP(F4,[1]对照表!$F$3:$F$24,[1]对照表!$H$3:$H$24),LOOKUP(F4,[1]对照表!$F$27:$F$48,[1]对照表!$H$27:$H$48)),IF(B4="高一",IF($E4="男",LOOKUP(F4,[1]对照表!$E$3:$E$24,[1]对照表!$H$3:$H$24),LOOKUP(F4,[1]对照表!$E$27:$E$48,[1]对照表!$H$27:$H$48)))))</f>
        <v>100</v>
      </c>
      <c r="H4" s="21">
        <v>20.100000000000001</v>
      </c>
      <c r="I4" s="32">
        <f>IF(B4="高三",IF($E4="男",LOOKUP(H4,[1]对照表!$K$3:$K$24,[1]对照表!$L$3:$L$24),LOOKUP(H4,[1]对照表!$K$27:$K$48,[1]对照表!$L$27:$L$48)),IF(B4="高二",IF($E4="男",LOOKUP(H4,[1]对照表!$J$3:$J$24,[1]对照表!$L$3:$L$24),LOOKUP(H4,[1]对照表!$J$27:$J$48,[1]对照表!$L$27:$L$48)),IF(B4="高一",IF($E4="男",LOOKUP(H4,[1]对照表!$I$3:$I$24,[1]对照表!$L$3:$L$24),LOOKUP(H4,[1]对照表!$I$27:$I$48,[1]对照表!$L$27:$L$48)))))</f>
        <v>90</v>
      </c>
      <c r="J4" s="21">
        <v>256</v>
      </c>
      <c r="K4" s="32">
        <f>IF(B4="高三",IF($E4="男",LOOKUP(J4,[1]对照表!$O$3:$O$24,[1]对照表!$P$3:$P$24),LOOKUP(J4,[1]对照表!$O$27:$O$48,[1]对照表!$P$27:$P$48)),IF(B4="高二",IF($E4="男",LOOKUP(J4,[1]对照表!$N$3:$N$24,[1]对照表!$P$3:$P$24),LOOKUP(J4,[1]对照表!$N$27:$N$48,[1]对照表!$P$27:$P$48)),IF(B4="高一",IF($E4="男",LOOKUP(J4,[1]对照表!$M$3:$M$24,[1]对照表!$P$3:$P$24),LOOKUP(J4,[1]对照表!$M$27:$M$48,[1]对照表!$P$27:$P$48)))))</f>
        <v>95</v>
      </c>
      <c r="L4" s="21">
        <v>20</v>
      </c>
      <c r="M4" s="32">
        <f>IF(B4="高三",IF($E4="男",LOOKUP(L4,[1]对照表!$S$3:$S$24,[1]对照表!$T$3:$T$24),LOOKUP(L4,[1]对照表!$S$27:$S$48,[1]对照表!$T$27:$T$48)),IF(B4="高二",IF($E4="男",LOOKUP(L4,[1]对照表!$R$3:$R$24,[1]对照表!$T$3:$T$24),LOOKUP(L4,[1]对照表!$R$27:$R$48,[1]对照表!$T$27:$T$48)),IF(B4="高一",IF($E4="男",LOOKUP(L4,[1]对照表!$Q$3:$Q$24,[1]对照表!$T$3:$T$24),LOOKUP(L4,[1]对照表!$Q$27:$Q$48,[1]对照表!$T$27:$T$48)))))</f>
        <v>100</v>
      </c>
      <c r="N4" s="33">
        <f>IF(B4="高三",MAX(IF(E4="男",L4-18,L4-55),0),IF(B4="高二",MAX(IF(E4="男",L4-17,L4-54),0),IF(B4="高一",MAX(IF(E4="男",L4-16,L4-53),0))))</f>
        <v>4</v>
      </c>
      <c r="O4" s="23">
        <f>IF(E4="男",LOOKUP($N4,[1]对照表!$Z$3:$Z$13,[1]对照表!$AA$3:$AA$13),LOOKUP($N4,[1]对照表!$Z$15:$Z$25,[1]对照表!$AA$15:$AA$25))</f>
        <v>4</v>
      </c>
      <c r="P4" s="24">
        <f>M4+O4</f>
        <v>104</v>
      </c>
      <c r="Q4" s="25">
        <v>3.51</v>
      </c>
      <c r="R4" s="32">
        <f>IF(B4="高三",IF($E4="男",LOOKUP(Q4,[1]对照表!$W$3:$W$24,[1]对照表!$X$3:$X$24),LOOKUP(Q4,[1]对照表!$W$27:$W$48,[1]对照表!$X$27:$X$48)),IF(B4="高二",IF($E4="男",LOOKUP(Q4,[1]对照表!$V$3:$V$24,[1]对照表!$X$3:$X$24),LOOKUP(Q4,[1]对照表!$V$27:$V$48,[1]对照表!$X$27:$X$48)),IF(B4="高一",IF($E4="男",LOOKUP(Q4,[1]对照表!$U$3:$U$24,[1]对照表!$X$3:$X$24),LOOKUP(Q4,[1]对照表!$U$27:$U$48,[1]对照表!$X$27:$X$48)))))</f>
        <v>80</v>
      </c>
      <c r="S4" s="33">
        <f>ROUND(IF(IF($B4="高三",MIN(IF($E4="男",$Q4-3.2,$Q4-3.2),0),IF($B4="高二",MIN(IF($E4="男",$Q4-3.25,$Q4-3.22),0),IF($B4="高一",MIN(IF($E4="男",$Q4-3.3,$Q4-3.24),0))))&lt;-0.6,IF($B4="高三",MIN(IF($E4="男",$Q4-3.2,$Q4-3.2),0),IF($B4="高二",MIN(IF($E4="男",$Q4-3.25,$Q4-3.22),0),IF($B4="高一",MIN(IF($E4="男",$Q4-3.3,$Q4-3.24),0))))+0.4,IF($B4="高三",MIN(IF($E4="男",$Q4-3.2,$Q4-3.2),0),IF($B4="高二",MIN(IF($E4="男",$Q4-3.25,$Q4-3.22),0),IF($B4="高一",MIN(IF($E4="男",$Q4-3.3,$Q4-3.24),0))))),2)</f>
        <v>0</v>
      </c>
      <c r="T4" s="23">
        <f>IF(E4="男",LOOKUP($S4,[1]对照表!$AB$3:$AB$13,[1]对照表!$AC$3:$AC$13),LOOKUP($S4,[1]对照表!$AB$15:$AB$25,[1]对照表!$AC$15:$AC$25))</f>
        <v>0</v>
      </c>
      <c r="U4" s="26">
        <f>R4+T4</f>
        <v>80</v>
      </c>
      <c r="V4" s="26">
        <f>SUM(I4,K4,M4)/3*0.3+SUM(G4,R4)/2*0.4</f>
        <v>64.5</v>
      </c>
      <c r="W4" s="27">
        <f>O4+T4</f>
        <v>4</v>
      </c>
      <c r="X4" s="28">
        <f>V4/0.7+W4</f>
        <v>96.142857142857153</v>
      </c>
      <c r="Y4" s="28">
        <v>96.142857142857153</v>
      </c>
      <c r="Z4" s="21"/>
    </row>
    <row r="5" spans="1:26" x14ac:dyDescent="0.25">
      <c r="A5" s="16">
        <v>2</v>
      </c>
      <c r="B5" s="17" t="s">
        <v>21</v>
      </c>
      <c r="C5" s="16">
        <v>101</v>
      </c>
      <c r="D5" s="18" t="s">
        <v>123</v>
      </c>
      <c r="E5" s="16" t="s">
        <v>23</v>
      </c>
      <c r="F5" s="19">
        <v>6.9</v>
      </c>
      <c r="G5" s="32">
        <f>IF(B5="高三",IF($E5="男",LOOKUP(F5,[1]对照表!$G$3:$G$24,[1]对照表!$H$3:$H$24),LOOKUP(F5,[1]对照表!$G$27:$G$48,[1]对照表!$H$27:$H$48)),IF(B5="高二",IF($E5="男",LOOKUP(F5,[1]对照表!$F$3:$F$24,[1]对照表!$H$3:$H$24),LOOKUP(F5,[1]对照表!$F$27:$F$48,[1]对照表!$H$27:$H$48)),IF(B5="高一",IF($E5="男",LOOKUP(F5,[1]对照表!$E$3:$E$24,[1]对照表!$H$3:$H$24),LOOKUP(F5,[1]对照表!$E$27:$E$48,[1]对照表!$H$27:$H$48)))))</f>
        <v>100</v>
      </c>
      <c r="H5" s="21">
        <v>13.1</v>
      </c>
      <c r="I5" s="32">
        <f>IF(B5="高三",IF($E5="男",LOOKUP(H5,[1]对照表!$K$3:$K$24,[1]对照表!$L$3:$L$24),LOOKUP(H5,[1]对照表!$K$27:$K$48,[1]对照表!$L$27:$L$48)),IF(B5="高二",IF($E5="男",LOOKUP(H5,[1]对照表!$J$3:$J$24,[1]对照表!$L$3:$L$24),LOOKUP(H5,[1]对照表!$J$27:$J$48,[1]对照表!$L$27:$L$48)),IF(B5="高一",IF($E5="男",LOOKUP(H5,[1]对照表!$I$3:$I$24,[1]对照表!$L$3:$L$24),LOOKUP(H5,[1]对照表!$I$27:$I$48,[1]对照表!$L$27:$L$48)))))</f>
        <v>76</v>
      </c>
      <c r="J5" s="21">
        <v>257</v>
      </c>
      <c r="K5" s="32">
        <f>IF(B5="高三",IF($E5="男",LOOKUP(J5,[1]对照表!$O$3:$O$24,[1]对照表!$P$3:$P$24),LOOKUP(J5,[1]对照表!$O$27:$O$48,[1]对照表!$P$27:$P$48)),IF(B5="高二",IF($E5="男",LOOKUP(J5,[1]对照表!$N$3:$N$24,[1]对照表!$P$3:$P$24),LOOKUP(J5,[1]对照表!$N$27:$N$48,[1]对照表!$P$27:$P$48)),IF(B5="高一",IF($E5="男",LOOKUP(J5,[1]对照表!$M$3:$M$24,[1]对照表!$P$3:$P$24),LOOKUP(J5,[1]对照表!$M$27:$M$48,[1]对照表!$P$27:$P$48)))))</f>
        <v>95</v>
      </c>
      <c r="L5" s="21">
        <v>17</v>
      </c>
      <c r="M5" s="32">
        <f>IF(B5="高三",IF($E5="男",LOOKUP(L5,[1]对照表!$S$3:$S$24,[1]对照表!$T$3:$T$24),LOOKUP(L5,[1]对照表!$S$27:$S$48,[1]对照表!$T$27:$T$48)),IF(B5="高二",IF($E5="男",LOOKUP(L5,[1]对照表!$R$3:$R$24,[1]对照表!$T$3:$T$24),LOOKUP(L5,[1]对照表!$R$27:$R$48,[1]对照表!$T$27:$T$48)),IF(B5="高一",IF($E5="男",LOOKUP(L5,[1]对照表!$Q$3:$Q$24,[1]对照表!$T$3:$T$24),LOOKUP(L5,[1]对照表!$Q$27:$Q$48,[1]对照表!$T$27:$T$48)))))</f>
        <v>100</v>
      </c>
      <c r="N5" s="33">
        <f>IF(B5="高三",MAX(IF(E5="男",L5-18,L5-55),0),IF(B5="高二",MAX(IF(E5="男",L5-17,L5-54),0),IF(B5="高一",MAX(IF(E5="男",L5-16,L5-53),0))))</f>
        <v>1</v>
      </c>
      <c r="O5" s="23">
        <f>IF(E5="男",LOOKUP($N5,[1]对照表!$Z$3:$Z$13,[1]对照表!$AA$3:$AA$13),LOOKUP($N5,[1]对照表!$Z$15:$Z$25,[1]对照表!$AA$15:$AA$25))</f>
        <v>1</v>
      </c>
      <c r="P5" s="24">
        <f>M5+O5</f>
        <v>101</v>
      </c>
      <c r="Q5" s="25">
        <v>3.35</v>
      </c>
      <c r="R5" s="32">
        <f>IF(B5="高三",IF($E5="男",LOOKUP(Q5,[1]对照表!$W$3:$W$24,[1]对照表!$X$3:$X$24),LOOKUP(Q5,[1]对照表!$W$27:$W$48,[1]对照表!$X$27:$X$48)),IF(B5="高二",IF($E5="男",LOOKUP(Q5,[1]对照表!$V$3:$V$24,[1]对照表!$X$3:$X$24),LOOKUP(Q5,[1]对照表!$V$27:$V$48,[1]对照表!$X$27:$X$48)),IF(B5="高一",IF($E5="男",LOOKUP(Q5,[1]对照表!$U$3:$U$24,[1]对照表!$X$3:$X$24),LOOKUP(Q5,[1]对照表!$U$27:$U$48,[1]对照表!$X$27:$X$48)))))</f>
        <v>95</v>
      </c>
      <c r="S5" s="33">
        <f>ROUND(IF(IF($B5="高三",MIN(IF($E5="男",$Q5-3.2,$Q5-3.2),0),IF($B5="高二",MIN(IF($E5="男",$Q5-3.25,$Q5-3.22),0),IF($B5="高一",MIN(IF($E5="男",$Q5-3.3,$Q5-3.24),0))))&lt;-0.6,IF($B5="高三",MIN(IF($E5="男",$Q5-3.2,$Q5-3.2),0),IF($B5="高二",MIN(IF($E5="男",$Q5-3.25,$Q5-3.22),0),IF($B5="高一",MIN(IF($E5="男",$Q5-3.3,$Q5-3.24),0))))+0.4,IF($B5="高三",MIN(IF($E5="男",$Q5-3.2,$Q5-3.2),0),IF($B5="高二",MIN(IF($E5="男",$Q5-3.25,$Q5-3.22),0),IF($B5="高一",MIN(IF($E5="男",$Q5-3.3,$Q5-3.24),0))))),2)</f>
        <v>0</v>
      </c>
      <c r="T5" s="23">
        <f>IF(E5="男",LOOKUP($S5,[1]对照表!$AB$3:$AB$13,[1]对照表!$AC$3:$AC$13),LOOKUP($S5,[1]对照表!$AB$15:$AB$25,[1]对照表!$AC$15:$AC$25))</f>
        <v>0</v>
      </c>
      <c r="U5" s="26">
        <f>R5+T5</f>
        <v>95</v>
      </c>
      <c r="V5" s="26">
        <f>SUM(I5,K5,M5)/3*0.3+SUM(G5,R5)/2*0.4</f>
        <v>66.099999999999994</v>
      </c>
      <c r="W5" s="27">
        <f>O5+T5</f>
        <v>1</v>
      </c>
      <c r="X5" s="28">
        <f>V5/0.7+W5</f>
        <v>95.428571428571431</v>
      </c>
      <c r="Y5" s="28">
        <v>95.428571428571431</v>
      </c>
      <c r="Z5" s="21"/>
    </row>
    <row r="6" spans="1:26" x14ac:dyDescent="0.25">
      <c r="A6" s="16">
        <v>34</v>
      </c>
      <c r="B6" s="17" t="s">
        <v>21</v>
      </c>
      <c r="C6" s="16">
        <v>101</v>
      </c>
      <c r="D6" s="18" t="s">
        <v>131</v>
      </c>
      <c r="E6" s="17" t="s">
        <v>23</v>
      </c>
      <c r="F6" s="19">
        <v>7.1</v>
      </c>
      <c r="G6" s="32">
        <f>IF(B6="高三",IF($E6="男",LOOKUP(F6,[1]对照表!$G$3:$G$24,[1]对照表!$H$3:$H$24),LOOKUP(F6,[1]对照表!$G$27:$G$48,[1]对照表!$H$27:$H$48)),IF(B6="高二",IF($E6="男",LOOKUP(F6,[1]对照表!$F$3:$F$24,[1]对照表!$H$3:$H$24),LOOKUP(F6,[1]对照表!$F$27:$F$48,[1]对照表!$H$27:$H$48)),IF(B6="高一",IF($E6="男",LOOKUP(F6,[1]对照表!$E$3:$E$24,[1]对照表!$H$3:$H$24),LOOKUP(F6,[1]对照表!$E$27:$E$48,[1]对照表!$H$27:$H$48)))))</f>
        <v>100</v>
      </c>
      <c r="H6" s="21">
        <v>33.5</v>
      </c>
      <c r="I6" s="32">
        <f>IF(B6="高三",IF($E6="男",LOOKUP(H6,[1]对照表!$K$3:$K$24,[1]对照表!$L$3:$L$24),LOOKUP(H6,[1]对照表!$K$27:$K$48,[1]对照表!$L$27:$L$48)),IF(B6="高二",IF($E6="男",LOOKUP(H6,[1]对照表!$J$3:$J$24,[1]对照表!$L$3:$L$24),LOOKUP(H6,[1]对照表!$J$27:$J$48,[1]对照表!$L$27:$L$48)),IF(B6="高一",IF($E6="男",LOOKUP(H6,[1]对照表!$I$3:$I$24,[1]对照表!$L$3:$L$24),LOOKUP(H6,[1]对照表!$I$27:$I$48,[1]对照表!$L$27:$L$48)))))</f>
        <v>100</v>
      </c>
      <c r="J6" s="21">
        <v>260</v>
      </c>
      <c r="K6" s="32">
        <f>IF(B6="高三",IF($E6="男",LOOKUP(J6,[1]对照表!$O$3:$O$24,[1]对照表!$P$3:$P$24),LOOKUP(J6,[1]对照表!$O$27:$O$48,[1]对照表!$P$27:$P$48)),IF(B6="高二",IF($E6="男",LOOKUP(J6,[1]对照表!$N$3:$N$24,[1]对照表!$P$3:$P$24),LOOKUP(J6,[1]对照表!$N$27:$N$48,[1]对照表!$P$27:$P$48)),IF(B6="高一",IF($E6="男",LOOKUP(J6,[1]对照表!$M$3:$M$24,[1]对照表!$P$3:$P$24),LOOKUP(J6,[1]对照表!$M$27:$M$48,[1]对照表!$P$27:$P$48)))))</f>
        <v>100</v>
      </c>
      <c r="L6" s="21">
        <v>13</v>
      </c>
      <c r="M6" s="32">
        <f>IF(B6="高三",IF($E6="男",LOOKUP(L6,[1]对照表!$S$3:$S$24,[1]对照表!$T$3:$T$24),LOOKUP(L6,[1]对照表!$S$27:$S$48,[1]对照表!$T$27:$T$48)),IF(B6="高二",IF($E6="男",LOOKUP(L6,[1]对照表!$R$3:$R$24,[1]对照表!$T$3:$T$24),LOOKUP(L6,[1]对照表!$R$27:$R$48,[1]对照表!$T$27:$T$48)),IF(B6="高一",IF($E6="男",LOOKUP(L6,[1]对照表!$Q$3:$Q$24,[1]对照表!$T$3:$T$24),LOOKUP(L6,[1]对照表!$Q$27:$Q$48,[1]对照表!$T$27:$T$48)))))</f>
        <v>85</v>
      </c>
      <c r="N6" s="33">
        <f>IF(B6="高三",MAX(IF(E6="男",L6-18,L6-55),0),IF(B6="高二",MAX(IF(E6="男",L6-17,L6-54),0),IF(B6="高一",MAX(IF(E6="男",L6-16,L6-53),0))))</f>
        <v>0</v>
      </c>
      <c r="O6" s="23">
        <f>IF(E6="男",LOOKUP($N6,[1]对照表!$Z$3:$Z$13,[1]对照表!$AA$3:$AA$13),LOOKUP($N6,[1]对照表!$Z$15:$Z$25,[1]对照表!$AA$15:$AA$25))</f>
        <v>0</v>
      </c>
      <c r="P6" s="24">
        <f>M6+O6</f>
        <v>85</v>
      </c>
      <c r="Q6" s="25">
        <v>3.4</v>
      </c>
      <c r="R6" s="32">
        <f>IF(B6="高三",IF($E6="男",LOOKUP(Q6,[1]对照表!$W$3:$W$24,[1]对照表!$X$3:$X$24),LOOKUP(Q6,[1]对照表!$W$27:$W$48,[1]对照表!$X$27:$X$48)),IF(B6="高二",IF($E6="男",LOOKUP(Q6,[1]对照表!$V$3:$V$24,[1]对照表!$X$3:$X$24),LOOKUP(Q6,[1]对照表!$V$27:$V$48,[1]对照表!$X$27:$X$48)),IF(B6="高一",IF($E6="男",LOOKUP(Q6,[1]对照表!$U$3:$U$24,[1]对照表!$X$3:$X$24),LOOKUP(Q6,[1]对照表!$U$27:$U$48,[1]对照表!$X$27:$X$48)))))</f>
        <v>90</v>
      </c>
      <c r="S6" s="33">
        <f>ROUND(IF(IF($B6="高三",MIN(IF($E6="男",$Q6-3.2,$Q6-3.2),0),IF($B6="高二",MIN(IF($E6="男",$Q6-3.25,$Q6-3.22),0),IF($B6="高一",MIN(IF($E6="男",$Q6-3.3,$Q6-3.24),0))))&lt;-0.6,IF($B6="高三",MIN(IF($E6="男",$Q6-3.2,$Q6-3.2),0),IF($B6="高二",MIN(IF($E6="男",$Q6-3.25,$Q6-3.22),0),IF($B6="高一",MIN(IF($E6="男",$Q6-3.3,$Q6-3.24),0))))+0.4,IF($B6="高三",MIN(IF($E6="男",$Q6-3.2,$Q6-3.2),0),IF($B6="高二",MIN(IF($E6="男",$Q6-3.25,$Q6-3.22),0),IF($B6="高一",MIN(IF($E6="男",$Q6-3.3,$Q6-3.24),0))))),2)</f>
        <v>0</v>
      </c>
      <c r="T6" s="23">
        <f>IF(E6="男",LOOKUP($S6,[1]对照表!$AB$3:$AB$13,[1]对照表!$AC$3:$AC$13),LOOKUP($S6,[1]对照表!$AB$15:$AB$25,[1]对照表!$AC$15:$AC$25))</f>
        <v>0</v>
      </c>
      <c r="U6" s="26">
        <f>R6+T6</f>
        <v>90</v>
      </c>
      <c r="V6" s="26">
        <f>SUM(I6,K6,M6)/3*0.3+SUM(G6,R6)/2*0.4</f>
        <v>66.5</v>
      </c>
      <c r="W6" s="27">
        <f>O6+T6</f>
        <v>0</v>
      </c>
      <c r="X6" s="28">
        <f>V6/0.7+W6</f>
        <v>95</v>
      </c>
      <c r="Y6" s="28">
        <v>95</v>
      </c>
      <c r="Z6" s="21"/>
    </row>
    <row r="7" spans="1:26" x14ac:dyDescent="0.25">
      <c r="A7" s="16">
        <v>18</v>
      </c>
      <c r="B7" s="17" t="s">
        <v>21</v>
      </c>
      <c r="C7" s="16">
        <v>101</v>
      </c>
      <c r="D7" s="18" t="s">
        <v>142</v>
      </c>
      <c r="E7" s="38" t="s">
        <v>23</v>
      </c>
      <c r="F7" s="19">
        <v>7</v>
      </c>
      <c r="G7" s="32">
        <f>IF(B7="高三",IF($E7="男",LOOKUP(F7,[1]对照表!$G$3:$G$24,[1]对照表!$H$3:$H$24),LOOKUP(F7,[1]对照表!$G$27:$G$48,[1]对照表!$H$27:$H$48)),IF(B7="高二",IF($E7="男",LOOKUP(F7,[1]对照表!$F$3:$F$24,[1]对照表!$H$3:$H$24),LOOKUP(F7,[1]对照表!$F$27:$F$48,[1]对照表!$H$27:$H$48)),IF(B7="高一",IF($E7="男",LOOKUP(F7,[1]对照表!$E$3:$E$24,[1]对照表!$H$3:$H$24),LOOKUP(F7,[1]对照表!$E$27:$E$48,[1]对照表!$H$27:$H$48)))))</f>
        <v>100</v>
      </c>
      <c r="H7" s="21">
        <v>21.6</v>
      </c>
      <c r="I7" s="32">
        <f>IF(B7="高三",IF($E7="男",LOOKUP(H7,[1]对照表!$K$3:$K$24,[1]对照表!$L$3:$L$24),LOOKUP(H7,[1]对照表!$K$27:$K$48,[1]对照表!$L$27:$L$48)),IF(B7="高二",IF($E7="男",LOOKUP(H7,[1]对照表!$J$3:$J$24,[1]对照表!$L$3:$L$24),LOOKUP(H7,[1]对照表!$J$27:$J$48,[1]对照表!$L$27:$L$48)),IF(B7="高一",IF($E7="男",LOOKUP(H7,[1]对照表!$I$3:$I$24,[1]对照表!$L$3:$L$24),LOOKUP(H7,[1]对照表!$I$27:$I$48,[1]对照表!$L$27:$L$48)))))</f>
        <v>95</v>
      </c>
      <c r="J7" s="21">
        <v>263</v>
      </c>
      <c r="K7" s="32">
        <f>IF(B7="高三",IF($E7="男",LOOKUP(J7,[1]对照表!$O$3:$O$24,[1]对照表!$P$3:$P$24),LOOKUP(J7,[1]对照表!$O$27:$O$48,[1]对照表!$P$27:$P$48)),IF(B7="高二",IF($E7="男",LOOKUP(J7,[1]对照表!$N$3:$N$24,[1]对照表!$P$3:$P$24),LOOKUP(J7,[1]对照表!$N$27:$N$48,[1]对照表!$P$27:$P$48)),IF(B7="高一",IF($E7="男",LOOKUP(J7,[1]对照表!$M$3:$M$24,[1]对照表!$P$3:$P$24),LOOKUP(J7,[1]对照表!$M$27:$M$48,[1]对照表!$P$27:$P$48)))))</f>
        <v>100</v>
      </c>
      <c r="L7" s="21">
        <v>17</v>
      </c>
      <c r="M7" s="32">
        <f>IF(B7="高三",IF($E7="男",LOOKUP(L7,[1]对照表!$S$3:$S$24,[1]对照表!$T$3:$T$24),LOOKUP(L7,[1]对照表!$S$27:$S$48,[1]对照表!$T$27:$T$48)),IF(B7="高二",IF($E7="男",LOOKUP(L7,[1]对照表!$R$3:$R$24,[1]对照表!$T$3:$T$24),LOOKUP(L7,[1]对照表!$R$27:$R$48,[1]对照表!$T$27:$T$48)),IF(B7="高一",IF($E7="男",LOOKUP(L7,[1]对照表!$Q$3:$Q$24,[1]对照表!$T$3:$T$24),LOOKUP(L7,[1]对照表!$Q$27:$Q$48,[1]对照表!$T$27:$T$48)))))</f>
        <v>100</v>
      </c>
      <c r="N7" s="33">
        <f>IF(B7="高三",MAX(IF(E7="男",L7-18,L7-55),0),IF(B7="高二",MAX(IF(E7="男",L7-17,L7-54),0),IF(B7="高一",MAX(IF(E7="男",L7-16,L7-53),0))))</f>
        <v>1</v>
      </c>
      <c r="O7" s="23">
        <f>IF(E7="男",LOOKUP($N7,[1]对照表!$Z$3:$Z$13,[1]对照表!$AA$3:$AA$13),LOOKUP($N7,[1]对照表!$Z$15:$Z$25,[1]对照表!$AA$15:$AA$25))</f>
        <v>1</v>
      </c>
      <c r="P7" s="24">
        <f>M7+O7</f>
        <v>101</v>
      </c>
      <c r="Q7" s="25">
        <v>3.56</v>
      </c>
      <c r="R7" s="32">
        <f>IF(B7="高三",IF($E7="男",LOOKUP(Q7,[1]对照表!$W$3:$W$24,[1]对照表!$X$3:$X$24),LOOKUP(Q7,[1]对照表!$W$27:$W$48,[1]对照表!$X$27:$X$48)),IF(B7="高二",IF($E7="男",LOOKUP(Q7,[1]对照表!$V$3:$V$24,[1]对照表!$X$3:$X$24),LOOKUP(Q7,[1]对照表!$V$27:$V$48,[1]对照表!$X$27:$X$48)),IF(B7="高一",IF($E7="男",LOOKUP(Q7,[1]对照表!$U$3:$U$24,[1]对照表!$X$3:$X$24),LOOKUP(Q7,[1]对照表!$U$27:$U$48,[1]对照表!$X$27:$X$48)))))</f>
        <v>78</v>
      </c>
      <c r="S7" s="33">
        <f>ROUND(IF(IF($B7="高三",MIN(IF($E7="男",$Q7-3.2,$Q7-3.2),0),IF($B7="高二",MIN(IF($E7="男",$Q7-3.25,$Q7-3.22),0),IF($B7="高一",MIN(IF($E7="男",$Q7-3.3,$Q7-3.24),0))))&lt;-0.6,IF($B7="高三",MIN(IF($E7="男",$Q7-3.2,$Q7-3.2),0),IF($B7="高二",MIN(IF($E7="男",$Q7-3.25,$Q7-3.22),0),IF($B7="高一",MIN(IF($E7="男",$Q7-3.3,$Q7-3.24),0))))+0.4,IF($B7="高三",MIN(IF($E7="男",$Q7-3.2,$Q7-3.2),0),IF($B7="高二",MIN(IF($E7="男",$Q7-3.25,$Q7-3.22),0),IF($B7="高一",MIN(IF($E7="男",$Q7-3.3,$Q7-3.24),0))))),2)</f>
        <v>0</v>
      </c>
      <c r="T7" s="23">
        <f>IF(E7="男",LOOKUP($S7,[1]对照表!$AB$3:$AB$13,[1]对照表!$AC$3:$AC$13),LOOKUP($S7,[1]对照表!$AB$15:$AB$25,[1]对照表!$AC$15:$AC$25))</f>
        <v>0</v>
      </c>
      <c r="U7" s="26">
        <f>R7+T7</f>
        <v>78</v>
      </c>
      <c r="V7" s="26">
        <f>SUM(I7,K7,M7)/3*0.3+SUM(G7,R7)/2*0.4</f>
        <v>65.099999999999994</v>
      </c>
      <c r="W7" s="27">
        <f>O7+T7</f>
        <v>1</v>
      </c>
      <c r="X7" s="28">
        <f>V7/0.7+W7</f>
        <v>94</v>
      </c>
      <c r="Y7" s="28">
        <v>94</v>
      </c>
      <c r="Z7" s="21"/>
    </row>
    <row r="8" spans="1:26" x14ac:dyDescent="0.25">
      <c r="A8" s="16">
        <v>16</v>
      </c>
      <c r="B8" s="17" t="s">
        <v>21</v>
      </c>
      <c r="C8" s="16">
        <v>101</v>
      </c>
      <c r="D8" s="18" t="s">
        <v>159</v>
      </c>
      <c r="E8" s="16" t="s">
        <v>23</v>
      </c>
      <c r="F8" s="19">
        <v>7.2</v>
      </c>
      <c r="G8" s="32">
        <f>IF(B8="高三",IF($E8="男",LOOKUP(F8,[1]对照表!$G$3:$G$24,[1]对照表!$H$3:$H$24),LOOKUP(F8,[1]对照表!$G$27:$G$48,[1]对照表!$H$27:$H$48)),IF(B8="高二",IF($E8="男",LOOKUP(F8,[1]对照表!$F$3:$F$24,[1]对照表!$H$3:$H$24),LOOKUP(F8,[1]对照表!$F$27:$F$48,[1]对照表!$H$27:$H$48)),IF(B8="高一",IF($E8="男",LOOKUP(F8,[1]对照表!$E$3:$E$24,[1]对照表!$H$3:$H$24),LOOKUP(F8,[1]对照表!$E$27:$E$48,[1]对照表!$H$27:$H$48)))))</f>
        <v>95</v>
      </c>
      <c r="H8" s="21">
        <v>31.5</v>
      </c>
      <c r="I8" s="32">
        <f>IF(B8="高三",IF($E8="男",LOOKUP(H8,[1]对照表!$K$3:$K$24,[1]对照表!$L$3:$L$24),LOOKUP(H8,[1]对照表!$K$27:$K$48,[1]对照表!$L$27:$L$48)),IF(B8="高二",IF($E8="男",LOOKUP(H8,[1]对照表!$J$3:$J$24,[1]对照表!$L$3:$L$24),LOOKUP(H8,[1]对照表!$J$27:$J$48,[1]对照表!$L$27:$L$48)),IF(B8="高一",IF($E8="男",LOOKUP(H8,[1]对照表!$I$3:$I$24,[1]对照表!$L$3:$L$24),LOOKUP(H8,[1]对照表!$I$27:$I$48,[1]对照表!$L$27:$L$48)))))</f>
        <v>100</v>
      </c>
      <c r="J8" s="21">
        <v>246</v>
      </c>
      <c r="K8" s="32">
        <f>IF(B8="高三",IF($E8="男",LOOKUP(J8,[1]对照表!$O$3:$O$24,[1]对照表!$P$3:$P$24),LOOKUP(J8,[1]对照表!$O$27:$O$48,[1]对照表!$P$27:$P$48)),IF(B8="高二",IF($E8="男",LOOKUP(J8,[1]对照表!$N$3:$N$24,[1]对照表!$P$3:$P$24),LOOKUP(J8,[1]对照表!$N$27:$N$48,[1]对照表!$P$27:$P$48)),IF(B8="高一",IF($E8="男",LOOKUP(J8,[1]对照表!$M$3:$M$24,[1]对照表!$P$3:$P$24),LOOKUP(J8,[1]对照表!$M$27:$M$48,[1]对照表!$P$27:$P$48)))))</f>
        <v>85</v>
      </c>
      <c r="L8" s="21">
        <v>9</v>
      </c>
      <c r="M8" s="32">
        <f>IF(B8="高三",IF($E8="男",LOOKUP(L8,[1]对照表!$S$3:$S$24,[1]对照表!$T$3:$T$24),LOOKUP(L8,[1]对照表!$S$27:$S$48,[1]对照表!$T$27:$T$48)),IF(B8="高二",IF($E8="男",LOOKUP(L8,[1]对照表!$R$3:$R$24,[1]对照表!$T$3:$T$24),LOOKUP(L8,[1]对照表!$R$27:$R$48,[1]对照表!$T$27:$T$48)),IF(B8="高一",IF($E8="男",LOOKUP(L8,[1]对照表!$Q$3:$Q$24,[1]对照表!$T$3:$T$24),LOOKUP(L8,[1]对照表!$Q$27:$Q$48,[1]对照表!$T$27:$T$48)))))</f>
        <v>68</v>
      </c>
      <c r="N8" s="33">
        <f>IF(B8="高三",MAX(IF(E8="男",L8-18,L8-55),0),IF(B8="高二",MAX(IF(E8="男",L8-17,L8-54),0),IF(B8="高一",MAX(IF(E8="男",L8-16,L8-53),0))))</f>
        <v>0</v>
      </c>
      <c r="O8" s="23">
        <f>IF(E8="男",LOOKUP($N8,[1]对照表!$Z$3:$Z$13,[1]对照表!$AA$3:$AA$13),LOOKUP($N8,[1]对照表!$Z$15:$Z$25,[1]对照表!$AA$15:$AA$25))</f>
        <v>0</v>
      </c>
      <c r="P8" s="24">
        <f>M8+O8</f>
        <v>68</v>
      </c>
      <c r="Q8" s="25">
        <v>3.28</v>
      </c>
      <c r="R8" s="32">
        <f>IF(B8="高三",IF($E8="男",LOOKUP(Q8,[1]对照表!$W$3:$W$24,[1]对照表!$X$3:$X$24),LOOKUP(Q8,[1]对照表!$W$27:$W$48,[1]对照表!$X$27:$X$48)),IF(B8="高二",IF($E8="男",LOOKUP(Q8,[1]对照表!$V$3:$V$24,[1]对照表!$X$3:$X$24),LOOKUP(Q8,[1]对照表!$V$27:$V$48,[1]对照表!$X$27:$X$48)),IF(B8="高一",IF($E8="男",LOOKUP(Q8,[1]对照表!$U$3:$U$24,[1]对照表!$X$3:$X$24),LOOKUP(Q8,[1]对照表!$U$27:$U$48,[1]对照表!$X$27:$X$48)))))</f>
        <v>100</v>
      </c>
      <c r="S8" s="33">
        <f>ROUND(IF(IF($B8="高三",MIN(IF($E8="男",$Q8-3.2,$Q8-3.2),0),IF($B8="高二",MIN(IF($E8="男",$Q8-3.25,$Q8-3.22),0),IF($B8="高一",MIN(IF($E8="男",$Q8-3.3,$Q8-3.24),0))))&lt;-0.6,IF($B8="高三",MIN(IF($E8="男",$Q8-3.2,$Q8-3.2),0),IF($B8="高二",MIN(IF($E8="男",$Q8-3.25,$Q8-3.22),0),IF($B8="高一",MIN(IF($E8="男",$Q8-3.3,$Q8-3.24),0))))+0.4,IF($B8="高三",MIN(IF($E8="男",$Q8-3.2,$Q8-3.2),0),IF($B8="高二",MIN(IF($E8="男",$Q8-3.25,$Q8-3.22),0),IF($B8="高一",MIN(IF($E8="男",$Q8-3.3,$Q8-3.24),0))))),2)</f>
        <v>-0.02</v>
      </c>
      <c r="T8" s="23">
        <f>IF(E8="男",LOOKUP($S8,[1]对照表!$AB$3:$AB$13,[1]对照表!$AC$3:$AC$13),LOOKUP($S8,[1]对照表!$AB$15:$AB$25,[1]对照表!$AC$15:$AC$25))</f>
        <v>0</v>
      </c>
      <c r="U8" s="26">
        <f>R8+T8</f>
        <v>100</v>
      </c>
      <c r="V8" s="26">
        <f>SUM(I8,K8,M8)/3*0.3+SUM(G8,R8)/2*0.4</f>
        <v>64.3</v>
      </c>
      <c r="W8" s="27">
        <f>O8+T8</f>
        <v>0</v>
      </c>
      <c r="X8" s="28">
        <f>V8/0.7+W8</f>
        <v>91.857142857142861</v>
      </c>
      <c r="Y8" s="28">
        <v>91.857142857142861</v>
      </c>
      <c r="Z8" s="21"/>
    </row>
    <row r="9" spans="1:26" x14ac:dyDescent="0.25">
      <c r="A9" s="16">
        <v>38</v>
      </c>
      <c r="B9" s="17" t="s">
        <v>21</v>
      </c>
      <c r="C9" s="16">
        <v>101</v>
      </c>
      <c r="D9" s="18" t="s">
        <v>186</v>
      </c>
      <c r="E9" s="17" t="s">
        <v>23</v>
      </c>
      <c r="F9" s="19">
        <v>7.1</v>
      </c>
      <c r="G9" s="32">
        <f>IF(B9="高三",IF($E9="男",LOOKUP(F9,[1]对照表!$G$3:$G$24,[1]对照表!$H$3:$H$24),LOOKUP(F9,[1]对照表!$G$27:$G$48,[1]对照表!$H$27:$H$48)),IF(B9="高二",IF($E9="男",LOOKUP(F9,[1]对照表!$F$3:$F$24,[1]对照表!$H$3:$H$24),LOOKUP(F9,[1]对照表!$F$27:$F$48,[1]对照表!$H$27:$H$48)),IF(B9="高一",IF($E9="男",LOOKUP(F9,[1]对照表!$E$3:$E$24,[1]对照表!$H$3:$H$24),LOOKUP(F9,[1]对照表!$E$27:$E$48,[1]对照表!$H$27:$H$48)))))</f>
        <v>100</v>
      </c>
      <c r="H9" s="21">
        <v>15.5</v>
      </c>
      <c r="I9" s="32">
        <f>IF(B9="高三",IF($E9="男",LOOKUP(H9,[1]对照表!$K$3:$K$24,[1]对照表!$L$3:$L$24),LOOKUP(H9,[1]对照表!$K$27:$K$48,[1]对照表!$L$27:$L$48)),IF(B9="高二",IF($E9="男",LOOKUP(H9,[1]对照表!$J$3:$J$24,[1]对照表!$L$3:$L$24),LOOKUP(H9,[1]对照表!$J$27:$J$48,[1]对照表!$L$27:$L$48)),IF(B9="高一",IF($E9="男",LOOKUP(H9,[1]对照表!$I$3:$I$24,[1]对照表!$L$3:$L$24),LOOKUP(H9,[1]对照表!$I$27:$I$48,[1]对照表!$L$27:$L$48)))))</f>
        <v>80</v>
      </c>
      <c r="J9" s="21">
        <v>228</v>
      </c>
      <c r="K9" s="32">
        <f>IF(B9="高三",IF($E9="男",LOOKUP(J9,[1]对照表!$O$3:$O$24,[1]对照表!$P$3:$P$24),LOOKUP(J9,[1]对照表!$O$27:$O$48,[1]对照表!$P$27:$P$48)),IF(B9="高二",IF($E9="男",LOOKUP(J9,[1]对照表!$N$3:$N$24,[1]对照表!$P$3:$P$24),LOOKUP(J9,[1]对照表!$N$27:$N$48,[1]对照表!$P$27:$P$48)),IF(B9="高一",IF($E9="男",LOOKUP(J9,[1]对照表!$M$3:$M$24,[1]对照表!$P$3:$P$24),LOOKUP(J9,[1]对照表!$M$27:$M$48,[1]对照表!$P$27:$P$48)))))</f>
        <v>76</v>
      </c>
      <c r="L9" s="21">
        <v>17</v>
      </c>
      <c r="M9" s="32">
        <f>IF(B9="高三",IF($E9="男",LOOKUP(L9,[1]对照表!$S$3:$S$24,[1]对照表!$T$3:$T$24),LOOKUP(L9,[1]对照表!$S$27:$S$48,[1]对照表!$T$27:$T$48)),IF(B9="高二",IF($E9="男",LOOKUP(L9,[1]对照表!$R$3:$R$24,[1]对照表!$T$3:$T$24),LOOKUP(L9,[1]对照表!$R$27:$R$48,[1]对照表!$T$27:$T$48)),IF(B9="高一",IF($E9="男",LOOKUP(L9,[1]对照表!$Q$3:$Q$24,[1]对照表!$T$3:$T$24),LOOKUP(L9,[1]对照表!$Q$27:$Q$48,[1]对照表!$T$27:$T$48)))))</f>
        <v>100</v>
      </c>
      <c r="N9" s="33">
        <f>IF(B9="高三",MAX(IF(E9="男",L9-18,L9-55),0),IF(B9="高二",MAX(IF(E9="男",L9-17,L9-54),0),IF(B9="高一",MAX(IF(E9="男",L9-16,L9-53),0))))</f>
        <v>1</v>
      </c>
      <c r="O9" s="23">
        <f>IF(E9="男",LOOKUP($N9,[1]对照表!$Z$3:$Z$13,[1]对照表!$AA$3:$AA$13),LOOKUP($N9,[1]对照表!$Z$15:$Z$25,[1]对照表!$AA$15:$AA$25))</f>
        <v>1</v>
      </c>
      <c r="P9" s="24">
        <f>M9+O9</f>
        <v>101</v>
      </c>
      <c r="Q9" s="25">
        <v>3.41</v>
      </c>
      <c r="R9" s="32">
        <f>IF(B9="高三",IF($E9="男",LOOKUP(Q9,[1]对照表!$W$3:$W$24,[1]对照表!$X$3:$X$24),LOOKUP(Q9,[1]对照表!$W$27:$W$48,[1]对照表!$X$27:$X$48)),IF(B9="高二",IF($E9="男",LOOKUP(Q9,[1]对照表!$V$3:$V$24,[1]对照表!$X$3:$X$24),LOOKUP(Q9,[1]对照表!$V$27:$V$48,[1]对照表!$X$27:$X$48)),IF(B9="高一",IF($E9="男",LOOKUP(Q9,[1]对照表!$U$3:$U$24,[1]对照表!$X$3:$X$24),LOOKUP(Q9,[1]对照表!$U$27:$U$48,[1]对照表!$X$27:$X$48)))))</f>
        <v>85</v>
      </c>
      <c r="S9" s="33">
        <f>ROUND(IF(IF($B9="高三",MIN(IF($E9="男",$Q9-3.2,$Q9-3.2),0),IF($B9="高二",MIN(IF($E9="男",$Q9-3.25,$Q9-3.22),0),IF($B9="高一",MIN(IF($E9="男",$Q9-3.3,$Q9-3.24),0))))&lt;-0.6,IF($B9="高三",MIN(IF($E9="男",$Q9-3.2,$Q9-3.2),0),IF($B9="高二",MIN(IF($E9="男",$Q9-3.25,$Q9-3.22),0),IF($B9="高一",MIN(IF($E9="男",$Q9-3.3,$Q9-3.24),0))))+0.4,IF($B9="高三",MIN(IF($E9="男",$Q9-3.2,$Q9-3.2),0),IF($B9="高二",MIN(IF($E9="男",$Q9-3.25,$Q9-3.22),0),IF($B9="高一",MIN(IF($E9="男",$Q9-3.3,$Q9-3.24),0))))),2)</f>
        <v>0</v>
      </c>
      <c r="T9" s="23">
        <f>IF(E9="男",LOOKUP($S9,[1]对照表!$AB$3:$AB$13,[1]对照表!$AC$3:$AC$13),LOOKUP($S9,[1]对照表!$AB$15:$AB$25,[1]对照表!$AC$15:$AC$25))</f>
        <v>0</v>
      </c>
      <c r="U9" s="26">
        <f>R9+T9</f>
        <v>85</v>
      </c>
      <c r="V9" s="26">
        <f>SUM(I9,K9,M9)/3*0.3+SUM(G9,R9)/2*0.4</f>
        <v>62.599999999999994</v>
      </c>
      <c r="W9" s="27">
        <f>O9+T9</f>
        <v>1</v>
      </c>
      <c r="X9" s="28">
        <f>V9/0.7+W9</f>
        <v>90.428571428571431</v>
      </c>
      <c r="Y9" s="28">
        <v>90.428571428571431</v>
      </c>
      <c r="Z9" s="21"/>
    </row>
    <row r="10" spans="1:26" x14ac:dyDescent="0.25">
      <c r="A10" s="16">
        <v>4</v>
      </c>
      <c r="B10" s="17" t="s">
        <v>21</v>
      </c>
      <c r="C10" s="16">
        <v>101</v>
      </c>
      <c r="D10" s="18" t="s">
        <v>190</v>
      </c>
      <c r="E10" s="16" t="s">
        <v>23</v>
      </c>
      <c r="F10" s="19">
        <v>7.2</v>
      </c>
      <c r="G10" s="32">
        <f>IF(B10="高三",IF($E10="男",LOOKUP(F10,[1]对照表!$G$3:$G$24,[1]对照表!$H$3:$H$24),LOOKUP(F10,[1]对照表!$G$27:$G$48,[1]对照表!$H$27:$H$48)),IF(B10="高二",IF($E10="男",LOOKUP(F10,[1]对照表!$F$3:$F$24,[1]对照表!$H$3:$H$24),LOOKUP(F10,[1]对照表!$F$27:$F$48,[1]对照表!$H$27:$H$48)),IF(B10="高一",IF($E10="男",LOOKUP(F10,[1]对照表!$E$3:$E$24,[1]对照表!$H$3:$H$24),LOOKUP(F10,[1]对照表!$E$27:$E$48,[1]对照表!$H$27:$H$48)))))</f>
        <v>95</v>
      </c>
      <c r="H10" s="21">
        <v>3.1</v>
      </c>
      <c r="I10" s="32">
        <f>IF(B10="高三",IF($E10="男",LOOKUP(H10,[1]对照表!$K$3:$K$24,[1]对照表!$L$3:$L$24),LOOKUP(H10,[1]对照表!$K$27:$K$48,[1]对照表!$L$27:$L$48)),IF(B10="高二",IF($E10="男",LOOKUP(H10,[1]对照表!$J$3:$J$24,[1]对照表!$L$3:$L$24),LOOKUP(H10,[1]对照表!$J$27:$J$48,[1]对照表!$L$27:$L$48)),IF(B10="高一",IF($E10="男",LOOKUP(H10,[1]对照表!$I$3:$I$24,[1]对照表!$L$3:$L$24),LOOKUP(H10,[1]对照表!$I$27:$I$48,[1]对照表!$L$27:$L$48)))))</f>
        <v>62</v>
      </c>
      <c r="J10" s="21">
        <v>238</v>
      </c>
      <c r="K10" s="32">
        <f>IF(B10="高三",IF($E10="男",LOOKUP(J10,[1]对照表!$O$3:$O$24,[1]对照表!$P$3:$P$24),LOOKUP(J10,[1]对照表!$O$27:$O$48,[1]对照表!$P$27:$P$48)),IF(B10="高二",IF($E10="男",LOOKUP(J10,[1]对照表!$N$3:$N$24,[1]对照表!$P$3:$P$24),LOOKUP(J10,[1]对照表!$N$27:$N$48,[1]对照表!$P$27:$P$48)),IF(B10="高一",IF($E10="男",LOOKUP(J10,[1]对照表!$M$3:$M$24,[1]对照表!$P$3:$P$24),LOOKUP(J10,[1]对照表!$M$27:$M$48,[1]对照表!$P$27:$P$48)))))</f>
        <v>80</v>
      </c>
      <c r="L10" s="21">
        <v>20</v>
      </c>
      <c r="M10" s="32">
        <f>IF(B10="高三",IF($E10="男",LOOKUP(L10,[1]对照表!$S$3:$S$24,[1]对照表!$T$3:$T$24),LOOKUP(L10,[1]对照表!$S$27:$S$48,[1]对照表!$T$27:$T$48)),IF(B10="高二",IF($E10="男",LOOKUP(L10,[1]对照表!$R$3:$R$24,[1]对照表!$T$3:$T$24),LOOKUP(L10,[1]对照表!$R$27:$R$48,[1]对照表!$T$27:$T$48)),IF(B10="高一",IF($E10="男",LOOKUP(L10,[1]对照表!$Q$3:$Q$24,[1]对照表!$T$3:$T$24),LOOKUP(L10,[1]对照表!$Q$27:$Q$48,[1]对照表!$T$27:$T$48)))))</f>
        <v>100</v>
      </c>
      <c r="N10" s="33">
        <f>IF(B10="高三",MAX(IF(E10="男",L10-18,L10-55),0),IF(B10="高二",MAX(IF(E10="男",L10-17,L10-54),0),IF(B10="高一",MAX(IF(E10="男",L10-16,L10-53),0))))</f>
        <v>4</v>
      </c>
      <c r="O10" s="23">
        <f>IF(E10="男",LOOKUP($N10,[1]对照表!$Z$3:$Z$13,[1]对照表!$AA$3:$AA$13),LOOKUP($N10,[1]对照表!$Z$15:$Z$25,[1]对照表!$AA$15:$AA$25))</f>
        <v>4</v>
      </c>
      <c r="P10" s="24">
        <f>M10+O10</f>
        <v>104</v>
      </c>
      <c r="Q10" s="25">
        <v>3.46</v>
      </c>
      <c r="R10" s="32">
        <f>IF(B10="高三",IF($E10="男",LOOKUP(Q10,[1]对照表!$W$3:$W$24,[1]对照表!$X$3:$X$24),LOOKUP(Q10,[1]对照表!$W$27:$W$48,[1]对照表!$X$27:$X$48)),IF(B10="高二",IF($E10="男",LOOKUP(Q10,[1]对照表!$V$3:$V$24,[1]对照表!$X$3:$X$24),LOOKUP(Q10,[1]对照表!$V$27:$V$48,[1]对照表!$X$27:$X$48)),IF(B10="高一",IF($E10="男",LOOKUP(Q10,[1]对照表!$U$3:$U$24,[1]对照表!$X$3:$X$24),LOOKUP(Q10,[1]对照表!$U$27:$U$48,[1]对照表!$X$27:$X$48)))))</f>
        <v>85</v>
      </c>
      <c r="S10" s="33">
        <f>ROUND(IF(IF($B10="高三",MIN(IF($E10="男",$Q10-3.2,$Q10-3.2),0),IF($B10="高二",MIN(IF($E10="男",$Q10-3.25,$Q10-3.22),0),IF($B10="高一",MIN(IF($E10="男",$Q10-3.3,$Q10-3.24),0))))&lt;-0.6,IF($B10="高三",MIN(IF($E10="男",$Q10-3.2,$Q10-3.2),0),IF($B10="高二",MIN(IF($E10="男",$Q10-3.25,$Q10-3.22),0),IF($B10="高一",MIN(IF($E10="男",$Q10-3.3,$Q10-3.24),0))))+0.4,IF($B10="高三",MIN(IF($E10="男",$Q10-3.2,$Q10-3.2),0),IF($B10="高二",MIN(IF($E10="男",$Q10-3.25,$Q10-3.22),0),IF($B10="高一",MIN(IF($E10="男",$Q10-3.3,$Q10-3.24),0))))),2)</f>
        <v>0</v>
      </c>
      <c r="T10" s="23">
        <f>IF(E10="男",LOOKUP($S10,[1]对照表!$AB$3:$AB$13,[1]对照表!$AC$3:$AC$13),LOOKUP($S10,[1]对照表!$AB$15:$AB$25,[1]对照表!$AC$15:$AC$25))</f>
        <v>0</v>
      </c>
      <c r="U10" s="26">
        <f>R10+T10</f>
        <v>85</v>
      </c>
      <c r="V10" s="26">
        <f>SUM(I10,K10,M10)/3*0.3+SUM(G10,R10)/2*0.4</f>
        <v>60.2</v>
      </c>
      <c r="W10" s="27">
        <f>O10+T10</f>
        <v>4</v>
      </c>
      <c r="X10" s="28">
        <f>V10/0.7+W10</f>
        <v>90.000000000000014</v>
      </c>
      <c r="Y10" s="28">
        <v>90.000000000000014</v>
      </c>
      <c r="Z10" s="21"/>
    </row>
    <row r="11" spans="1:26" x14ac:dyDescent="0.25">
      <c r="A11" s="16">
        <v>9</v>
      </c>
      <c r="B11" s="17" t="s">
        <v>21</v>
      </c>
      <c r="C11" s="16">
        <v>101</v>
      </c>
      <c r="D11" s="18" t="s">
        <v>194</v>
      </c>
      <c r="E11" s="16" t="s">
        <v>23</v>
      </c>
      <c r="F11" s="19">
        <v>7.1</v>
      </c>
      <c r="G11" s="32">
        <f>IF(B11="高三",IF($E11="男",LOOKUP(F11,[1]对照表!$G$3:$G$24,[1]对照表!$H$3:$H$24),LOOKUP(F11,[1]对照表!$G$27:$G$48,[1]对照表!$H$27:$H$48)),IF(B11="高二",IF($E11="男",LOOKUP(F11,[1]对照表!$F$3:$F$24,[1]对照表!$H$3:$H$24),LOOKUP(F11,[1]对照表!$F$27:$F$48,[1]对照表!$H$27:$H$48)),IF(B11="高一",IF($E11="男",LOOKUP(F11,[1]对照表!$E$3:$E$24,[1]对照表!$H$3:$H$24),LOOKUP(F11,[1]对照表!$E$27:$E$48,[1]对照表!$H$27:$H$48)))))</f>
        <v>100</v>
      </c>
      <c r="H11" s="21">
        <v>2.8</v>
      </c>
      <c r="I11" s="32">
        <f>IF(B11="高三",IF($E11="男",LOOKUP(H11,[1]对照表!$K$3:$K$24,[1]对照表!$L$3:$L$24),LOOKUP(H11,[1]对照表!$K$27:$K$48,[1]对照表!$L$27:$L$48)),IF(B11="高二",IF($E11="男",LOOKUP(H11,[1]对照表!$J$3:$J$24,[1]对照表!$L$3:$L$24),LOOKUP(H11,[1]对照表!$J$27:$J$48,[1]对照表!$L$27:$L$48)),IF(B11="高一",IF($E11="男",LOOKUP(H11,[1]对照表!$I$3:$I$24,[1]对照表!$L$3:$L$24),LOOKUP(H11,[1]对照表!$I$27:$I$48,[1]对照表!$L$27:$L$48)))))</f>
        <v>62</v>
      </c>
      <c r="J11" s="21">
        <v>236</v>
      </c>
      <c r="K11" s="32">
        <f>IF(B11="高三",IF($E11="男",LOOKUP(J11,[1]对照表!$O$3:$O$24,[1]对照表!$P$3:$P$24),LOOKUP(J11,[1]对照表!$O$27:$O$48,[1]对照表!$P$27:$P$48)),IF(B11="高二",IF($E11="男",LOOKUP(J11,[1]对照表!$N$3:$N$24,[1]对照表!$P$3:$P$24),LOOKUP(J11,[1]对照表!$N$27:$N$48,[1]对照表!$P$27:$P$48)),IF(B11="高一",IF($E11="男",LOOKUP(J11,[1]对照表!$M$3:$M$24,[1]对照表!$P$3:$P$24),LOOKUP(J11,[1]对照表!$M$27:$M$48,[1]对照表!$P$27:$P$48)))))</f>
        <v>80</v>
      </c>
      <c r="L11" s="21">
        <v>15</v>
      </c>
      <c r="M11" s="32">
        <f>IF(B11="高三",IF($E11="男",LOOKUP(L11,[1]对照表!$S$3:$S$24,[1]对照表!$T$3:$T$24),LOOKUP(L11,[1]对照表!$S$27:$S$48,[1]对照表!$T$27:$T$48)),IF(B11="高二",IF($E11="男",LOOKUP(L11,[1]对照表!$R$3:$R$24,[1]对照表!$T$3:$T$24),LOOKUP(L11,[1]对照表!$R$27:$R$48,[1]对照表!$T$27:$T$48)),IF(B11="高一",IF($E11="男",LOOKUP(L11,[1]对照表!$Q$3:$Q$24,[1]对照表!$T$3:$T$24),LOOKUP(L11,[1]对照表!$Q$27:$Q$48,[1]对照表!$T$27:$T$48)))))</f>
        <v>95</v>
      </c>
      <c r="N11" s="33">
        <f>IF(B11="高三",MAX(IF(E11="男",L11-18,L11-55),0),IF(B11="高二",MAX(IF(E11="男",L11-17,L11-54),0),IF(B11="高一",MAX(IF(E11="男",L11-16,L11-53),0))))</f>
        <v>0</v>
      </c>
      <c r="O11" s="23">
        <f>IF(E11="男",LOOKUP($N11,[1]对照表!$Z$3:$Z$13,[1]对照表!$AA$3:$AA$13),LOOKUP($N11,[1]对照表!$Z$15:$Z$25,[1]对照表!$AA$15:$AA$25))</f>
        <v>0</v>
      </c>
      <c r="P11" s="24">
        <f>M11+O11</f>
        <v>95</v>
      </c>
      <c r="Q11" s="25">
        <v>3.31</v>
      </c>
      <c r="R11" s="32">
        <f>IF(B11="高三",IF($E11="男",LOOKUP(Q11,[1]对照表!$W$3:$W$24,[1]对照表!$X$3:$X$24),LOOKUP(Q11,[1]对照表!$W$27:$W$48,[1]对照表!$X$27:$X$48)),IF(B11="高二",IF($E11="男",LOOKUP(Q11,[1]对照表!$V$3:$V$24,[1]对照表!$X$3:$X$24),LOOKUP(Q11,[1]对照表!$V$27:$V$48,[1]对照表!$X$27:$X$48)),IF(B11="高一",IF($E11="男",LOOKUP(Q11,[1]对照表!$U$3:$U$24,[1]对照表!$X$3:$X$24),LOOKUP(Q11,[1]对照表!$U$27:$U$48,[1]对照表!$X$27:$X$48)))))</f>
        <v>95</v>
      </c>
      <c r="S11" s="27">
        <f>ROUND(IF(IF($B11="高三",MIN(IF($E11="男",$Q11-3.2,$Q11-3.2),0),IF($B11="高二",MIN(IF($E11="男",$Q11-3.25,$Q11-3.22),0),IF($B11="高一",MIN(IF($E11="男",$Q11-3.3,$Q11-3.24),0))))&lt;-0.6,IF($B11="高三",MIN(IF($E11="男",$Q11-3.2,$Q11-3.2),0),IF($B11="高二",MIN(IF($E11="男",$Q11-3.25,$Q11-3.22),0),IF($B11="高一",MIN(IF($E11="男",$Q11-3.3,$Q11-3.24),0))))+0.4,IF($B11="高三",MIN(IF($E11="男",$Q11-3.2,$Q11-3.2),0),IF($B11="高二",MIN(IF($E11="男",$Q11-3.25,$Q11-3.22),0),IF($B11="高一",MIN(IF($E11="男",$Q11-3.3,$Q11-3.24),0))))),2)</f>
        <v>0</v>
      </c>
      <c r="T11" s="23">
        <f>IF(E11="男",LOOKUP($S11,[1]对照表!$AB$3:$AB$13,[1]对照表!$AC$3:$AC$13),LOOKUP($S11,[1]对照表!$AB$15:$AB$25,[1]对照表!$AC$15:$AC$25))</f>
        <v>0</v>
      </c>
      <c r="U11" s="26">
        <f>R11+T11</f>
        <v>95</v>
      </c>
      <c r="V11" s="26">
        <f>SUM(I11,K11,M11)/3*0.3+SUM(G11,R11)/2*0.4</f>
        <v>62.7</v>
      </c>
      <c r="W11" s="27">
        <f>O11+T11</f>
        <v>0</v>
      </c>
      <c r="X11" s="28">
        <f>V11/0.7+W11</f>
        <v>89.571428571428584</v>
      </c>
      <c r="Y11" s="28">
        <v>89.571428571428584</v>
      </c>
      <c r="Z11" s="21"/>
    </row>
    <row r="12" spans="1:26" x14ac:dyDescent="0.25">
      <c r="A12" s="16">
        <v>40</v>
      </c>
      <c r="B12" s="17" t="s">
        <v>21</v>
      </c>
      <c r="C12" s="16">
        <v>101</v>
      </c>
      <c r="D12" s="18" t="s">
        <v>202</v>
      </c>
      <c r="E12" s="17" t="s">
        <v>23</v>
      </c>
      <c r="F12" s="19">
        <v>7</v>
      </c>
      <c r="G12" s="32">
        <f>IF(B12="高三",IF($E12="男",LOOKUP(F12,[1]对照表!$G$3:$G$24,[1]对照表!$H$3:$H$24),LOOKUP(F12,[1]对照表!$G$27:$G$48,[1]对照表!$H$27:$H$48)),IF(B12="高二",IF($E12="男",LOOKUP(F12,[1]对照表!$F$3:$F$24,[1]对照表!$H$3:$H$24),LOOKUP(F12,[1]对照表!$F$27:$F$48,[1]对照表!$H$27:$H$48)),IF(B12="高一",IF($E12="男",LOOKUP(F12,[1]对照表!$E$3:$E$24,[1]对照表!$H$3:$H$24),LOOKUP(F12,[1]对照表!$E$27:$E$48,[1]对照表!$H$27:$H$48)))))</f>
        <v>100</v>
      </c>
      <c r="H12" s="21">
        <v>8</v>
      </c>
      <c r="I12" s="32">
        <f>IF(B12="高三",IF($E12="男",LOOKUP(H12,[1]对照表!$K$3:$K$24,[1]对照表!$L$3:$L$24),LOOKUP(H12,[1]对照表!$K$27:$K$48,[1]对照表!$L$27:$L$48)),IF(B12="高二",IF($E12="男",LOOKUP(H12,[1]对照表!$J$3:$J$24,[1]对照表!$L$3:$L$24),LOOKUP(H12,[1]对照表!$J$27:$J$48,[1]对照表!$L$27:$L$48)),IF(B12="高一",IF($E12="男",LOOKUP(H12,[1]对照表!$I$3:$I$24,[1]对照表!$L$3:$L$24),LOOKUP(H12,[1]对照表!$I$27:$I$48,[1]对照表!$L$27:$L$48)))))</f>
        <v>70</v>
      </c>
      <c r="J12" s="21">
        <v>230</v>
      </c>
      <c r="K12" s="32">
        <f>IF(B12="高三",IF($E12="男",LOOKUP(J12,[1]对照表!$O$3:$O$24,[1]对照表!$P$3:$P$24),LOOKUP(J12,[1]对照表!$O$27:$O$48,[1]对照表!$P$27:$P$48)),IF(B12="高二",IF($E12="男",LOOKUP(J12,[1]对照表!$N$3:$N$24,[1]对照表!$P$3:$P$24),LOOKUP(J12,[1]对照表!$N$27:$N$48,[1]对照表!$P$27:$P$48)),IF(B12="高一",IF($E12="男",LOOKUP(J12,[1]对照表!$M$3:$M$24,[1]对照表!$P$3:$P$24),LOOKUP(J12,[1]对照表!$M$27:$M$48,[1]对照表!$P$27:$P$48)))))</f>
        <v>76</v>
      </c>
      <c r="L12" s="21">
        <v>14</v>
      </c>
      <c r="M12" s="32">
        <f>IF(B12="高三",IF($E12="男",LOOKUP(L12,[1]对照表!$S$3:$S$24,[1]对照表!$T$3:$T$24),LOOKUP(L12,[1]对照表!$S$27:$S$48,[1]对照表!$T$27:$T$48)),IF(B12="高二",IF($E12="男",LOOKUP(L12,[1]对照表!$R$3:$R$24,[1]对照表!$T$3:$T$24),LOOKUP(L12,[1]对照表!$R$27:$R$48,[1]对照表!$T$27:$T$48)),IF(B12="高一",IF($E12="男",LOOKUP(L12,[1]对照表!$Q$3:$Q$24,[1]对照表!$T$3:$T$24),LOOKUP(L12,[1]对照表!$Q$27:$Q$48,[1]对照表!$T$27:$T$48)))))</f>
        <v>90</v>
      </c>
      <c r="N12" s="33">
        <f>IF(B12="高三",MAX(IF(E12="男",L12-18,L12-55),0),IF(B12="高二",MAX(IF(E12="男",L12-17,L12-54),0),IF(B12="高一",MAX(IF(E12="男",L12-16,L12-53),0))))</f>
        <v>0</v>
      </c>
      <c r="O12" s="23">
        <f>IF(E12="男",LOOKUP($N12,[1]对照表!$Z$3:$Z$13,[1]对照表!$AA$3:$AA$13),LOOKUP($N12,[1]对照表!$Z$15:$Z$25,[1]对照表!$AA$15:$AA$25))</f>
        <v>0</v>
      </c>
      <c r="P12" s="24">
        <f>M12+O12</f>
        <v>90</v>
      </c>
      <c r="Q12" s="25">
        <v>3.4</v>
      </c>
      <c r="R12" s="32">
        <f>IF(B12="高三",IF($E12="男",LOOKUP(Q12,[1]对照表!$W$3:$W$24,[1]对照表!$X$3:$X$24),LOOKUP(Q12,[1]对照表!$W$27:$W$48,[1]对照表!$X$27:$X$48)),IF(B12="高二",IF($E12="男",LOOKUP(Q12,[1]对照表!$V$3:$V$24,[1]对照表!$X$3:$X$24),LOOKUP(Q12,[1]对照表!$V$27:$V$48,[1]对照表!$X$27:$X$48)),IF(B12="高一",IF($E12="男",LOOKUP(Q12,[1]对照表!$U$3:$U$24,[1]对照表!$X$3:$X$24),LOOKUP(Q12,[1]对照表!$U$27:$U$48,[1]对照表!$X$27:$X$48)))))</f>
        <v>90</v>
      </c>
      <c r="S12" s="33">
        <f>ROUND(IF(IF($B12="高三",MIN(IF($E12="男",$Q12-3.2,$Q12-3.2),0),IF($B12="高二",MIN(IF($E12="男",$Q12-3.25,$Q12-3.22),0),IF($B12="高一",MIN(IF($E12="男",$Q12-3.3,$Q12-3.24),0))))&lt;-0.6,IF($B12="高三",MIN(IF($E12="男",$Q12-3.2,$Q12-3.2),0),IF($B12="高二",MIN(IF($E12="男",$Q12-3.25,$Q12-3.22),0),IF($B12="高一",MIN(IF($E12="男",$Q12-3.3,$Q12-3.24),0))))+0.4,IF($B12="高三",MIN(IF($E12="男",$Q12-3.2,$Q12-3.2),0),IF($B12="高二",MIN(IF($E12="男",$Q12-3.25,$Q12-3.22),0),IF($B12="高一",MIN(IF($E12="男",$Q12-3.3,$Q12-3.24),0))))),2)</f>
        <v>0</v>
      </c>
      <c r="T12" s="23">
        <f>IF(E12="男",LOOKUP($S12,[1]对照表!$AB$3:$AB$13,[1]对照表!$AC$3:$AC$13),LOOKUP($S12,[1]对照表!$AB$15:$AB$25,[1]对照表!$AC$15:$AC$25))</f>
        <v>0</v>
      </c>
      <c r="U12" s="26">
        <f>R12+T12</f>
        <v>90</v>
      </c>
      <c r="V12" s="26">
        <f>SUM(I12,K12,M12)/3*0.3+SUM(G12,R12)/2*0.4</f>
        <v>61.6</v>
      </c>
      <c r="W12" s="27">
        <f>O12+T12</f>
        <v>0</v>
      </c>
      <c r="X12" s="28">
        <f>V12/0.7+W12</f>
        <v>88.000000000000014</v>
      </c>
      <c r="Y12" s="28">
        <v>88.000000000000014</v>
      </c>
      <c r="Z12" s="21"/>
    </row>
    <row r="13" spans="1:26" x14ac:dyDescent="0.25">
      <c r="A13" s="16">
        <v>26</v>
      </c>
      <c r="B13" s="17" t="s">
        <v>21</v>
      </c>
      <c r="C13" s="16">
        <v>101</v>
      </c>
      <c r="D13" s="18" t="s">
        <v>203</v>
      </c>
      <c r="E13" s="17" t="s">
        <v>23</v>
      </c>
      <c r="F13" s="19">
        <v>7.1</v>
      </c>
      <c r="G13" s="32">
        <f>IF(B13="高三",IF($E13="男",LOOKUP(F13,[1]对照表!$G$3:$G$24,[1]对照表!$H$3:$H$24),LOOKUP(F13,[1]对照表!$G$27:$G$48,[1]对照表!$H$27:$H$48)),IF(B13="高二",IF($E13="男",LOOKUP(F13,[1]对照表!$F$3:$F$24,[1]对照表!$H$3:$H$24),LOOKUP(F13,[1]对照表!$F$27:$F$48,[1]对照表!$H$27:$H$48)),IF(B13="高一",IF($E13="男",LOOKUP(F13,[1]对照表!$E$3:$E$24,[1]对照表!$H$3:$H$24),LOOKUP(F13,[1]对照表!$E$27:$E$48,[1]对照表!$H$27:$H$48)))))</f>
        <v>100</v>
      </c>
      <c r="H13" s="21">
        <v>12</v>
      </c>
      <c r="I13" s="32">
        <f>IF(B13="高三",IF($E13="男",LOOKUP(H13,[1]对照表!$K$3:$K$24,[1]对照表!$L$3:$L$24),LOOKUP(H13,[1]对照表!$K$27:$K$48,[1]对照表!$L$27:$L$48)),IF(B13="高二",IF($E13="男",LOOKUP(H13,[1]对照表!$J$3:$J$24,[1]对照表!$L$3:$L$24),LOOKUP(H13,[1]对照表!$J$27:$J$48,[1]对照表!$L$27:$L$48)),IF(B13="高一",IF($E13="男",LOOKUP(H13,[1]对照表!$I$3:$I$24,[1]对照表!$L$3:$L$24),LOOKUP(H13,[1]对照表!$I$27:$I$48,[1]对照表!$L$27:$L$48)))))</f>
        <v>74</v>
      </c>
      <c r="J13" s="21">
        <v>210</v>
      </c>
      <c r="K13" s="32">
        <f>IF(B13="高三",IF($E13="男",LOOKUP(J13,[1]对照表!$O$3:$O$24,[1]对照表!$P$3:$P$24),LOOKUP(J13,[1]对照表!$O$27:$O$48,[1]对照表!$P$27:$P$48)),IF(B13="高二",IF($E13="男",LOOKUP(J13,[1]对照表!$N$3:$N$24,[1]对照表!$P$3:$P$24),LOOKUP(J13,[1]对照表!$N$27:$N$48,[1]对照表!$P$27:$P$48)),IF(B13="高一",IF($E13="男",LOOKUP(J13,[1]对照表!$M$3:$M$24,[1]对照表!$P$3:$P$24),LOOKUP(J13,[1]对照表!$M$27:$M$48,[1]对照表!$P$27:$P$48)))))</f>
        <v>66</v>
      </c>
      <c r="L13" s="21">
        <v>9</v>
      </c>
      <c r="M13" s="32">
        <f>IF(B13="高三",IF($E13="男",LOOKUP(L13,[1]对照表!$S$3:$S$24,[1]对照表!$T$3:$T$24),LOOKUP(L13,[1]对照表!$S$27:$S$48,[1]对照表!$T$27:$T$48)),IF(B13="高二",IF($E13="男",LOOKUP(L13,[1]对照表!$R$3:$R$24,[1]对照表!$T$3:$T$24),LOOKUP(L13,[1]对照表!$R$27:$R$48,[1]对照表!$T$27:$T$48)),IF(B13="高一",IF($E13="男",LOOKUP(L13,[1]对照表!$Q$3:$Q$24,[1]对照表!$T$3:$T$24),LOOKUP(L13,[1]对照表!$Q$27:$Q$48,[1]对照表!$T$27:$T$48)))))</f>
        <v>68</v>
      </c>
      <c r="N13" s="33">
        <f>IF(B13="高三",MAX(IF(E13="男",L13-18,L13-55),0),IF(B13="高二",MAX(IF(E13="男",L13-17,L13-54),0),IF(B13="高一",MAX(IF(E13="男",L13-16,L13-53),0))))</f>
        <v>0</v>
      </c>
      <c r="O13" s="23">
        <f>IF(E13="男",LOOKUP($N13,[1]对照表!$Z$3:$Z$13,[1]对照表!$AA$3:$AA$13),LOOKUP($N13,[1]对照表!$Z$15:$Z$25,[1]对照表!$AA$15:$AA$25))</f>
        <v>0</v>
      </c>
      <c r="P13" s="24">
        <f>M13+O13</f>
        <v>68</v>
      </c>
      <c r="Q13" s="25">
        <v>3.25</v>
      </c>
      <c r="R13" s="32">
        <f>IF(B13="高三",IF($E13="男",LOOKUP(Q13,[1]对照表!$W$3:$W$24,[1]对照表!$X$3:$X$24),LOOKUP(Q13,[1]对照表!$W$27:$W$48,[1]对照表!$X$27:$X$48)),IF(B13="高二",IF($E13="男",LOOKUP(Q13,[1]对照表!$V$3:$V$24,[1]对照表!$X$3:$X$24),LOOKUP(Q13,[1]对照表!$V$27:$V$48,[1]对照表!$X$27:$X$48)),IF(B13="高一",IF($E13="男",LOOKUP(Q13,[1]对照表!$U$3:$U$24,[1]对照表!$X$3:$X$24),LOOKUP(Q13,[1]对照表!$U$27:$U$48,[1]对照表!$X$27:$X$48)))))</f>
        <v>100</v>
      </c>
      <c r="S13" s="33">
        <f>ROUND(IF(IF($B13="高三",MIN(IF($E13="男",$Q13-3.2,$Q13-3.2),0),IF($B13="高二",MIN(IF($E13="男",$Q13-3.25,$Q13-3.22),0),IF($B13="高一",MIN(IF($E13="男",$Q13-3.3,$Q13-3.24),0))))&lt;-0.6,IF($B13="高三",MIN(IF($E13="男",$Q13-3.2,$Q13-3.2),0),IF($B13="高二",MIN(IF($E13="男",$Q13-3.25,$Q13-3.22),0),IF($B13="高一",MIN(IF($E13="男",$Q13-3.3,$Q13-3.24),0))))+0.4,IF($B13="高三",MIN(IF($E13="男",$Q13-3.2,$Q13-3.2),0),IF($B13="高二",MIN(IF($E13="男",$Q13-3.25,$Q13-3.22),0),IF($B13="高一",MIN(IF($E13="男",$Q13-3.3,$Q13-3.24),0))))),2)</f>
        <v>-0.05</v>
      </c>
      <c r="T13" s="23">
        <f>IF(E13="男",LOOKUP($S13,[1]对照表!$AB$3:$AB$13,[1]对照表!$AC$3:$AC$13),LOOKUP($S13,[1]对照表!$AB$15:$AB$25,[1]对照表!$AC$15:$AC$25))</f>
        <v>1</v>
      </c>
      <c r="U13" s="26">
        <f>R13+T13</f>
        <v>101</v>
      </c>
      <c r="V13" s="26">
        <f>SUM(I13,K13,M13)/3*0.3+SUM(G13,R13)/2*0.4</f>
        <v>60.8</v>
      </c>
      <c r="W13" s="27">
        <f>O13+T13</f>
        <v>1</v>
      </c>
      <c r="X13" s="28">
        <f>V13/0.7+W13</f>
        <v>87.857142857142861</v>
      </c>
      <c r="Y13" s="28">
        <v>87.857142857142861</v>
      </c>
      <c r="Z13" s="21"/>
    </row>
    <row r="14" spans="1:26" x14ac:dyDescent="0.25">
      <c r="A14" s="16">
        <v>32</v>
      </c>
      <c r="B14" s="17" t="s">
        <v>21</v>
      </c>
      <c r="C14" s="16">
        <v>101</v>
      </c>
      <c r="D14" s="18" t="s">
        <v>228</v>
      </c>
      <c r="E14" s="17" t="s">
        <v>23</v>
      </c>
      <c r="F14" s="19">
        <v>7.8</v>
      </c>
      <c r="G14" s="32">
        <f>IF(B14="高三",IF($E14="男",LOOKUP(F14,[1]对照表!$G$3:$G$24,[1]对照表!$H$3:$H$24),LOOKUP(F14,[1]对照表!$G$27:$G$48,[1]对照表!$H$27:$H$48)),IF(B14="高二",IF($E14="男",LOOKUP(F14,[1]对照表!$F$3:$F$24,[1]对照表!$H$3:$H$24),LOOKUP(F14,[1]对照表!$F$27:$F$48,[1]对照表!$H$27:$H$48)),IF(B14="高一",IF($E14="男",LOOKUP(F14,[1]对照表!$E$3:$E$24,[1]对照表!$H$3:$H$24),LOOKUP(F14,[1]对照表!$E$27:$E$48,[1]对照表!$H$27:$H$48)))))</f>
        <v>76</v>
      </c>
      <c r="H14" s="21">
        <v>9.5</v>
      </c>
      <c r="I14" s="32">
        <f>IF(B14="高三",IF($E14="男",LOOKUP(H14,[1]对照表!$K$3:$K$24,[1]对照表!$L$3:$L$24),LOOKUP(H14,[1]对照表!$K$27:$K$48,[1]对照表!$L$27:$L$48)),IF(B14="高二",IF($E14="男",LOOKUP(H14,[1]对照表!$J$3:$J$24,[1]对照表!$L$3:$L$24),LOOKUP(H14,[1]对照表!$J$27:$J$48,[1]对照表!$L$27:$L$48)),IF(B14="高一",IF($E14="男",LOOKUP(H14,[1]对照表!$I$3:$I$24,[1]对照表!$L$3:$L$24),LOOKUP(H14,[1]对照表!$I$27:$I$48,[1]对照表!$L$27:$L$48)))))</f>
        <v>72</v>
      </c>
      <c r="J14" s="21">
        <v>225</v>
      </c>
      <c r="K14" s="32">
        <f>IF(B14="高三",IF($E14="男",LOOKUP(J14,[1]对照表!$O$3:$O$24,[1]对照表!$P$3:$P$24),LOOKUP(J14,[1]对照表!$O$27:$O$48,[1]对照表!$P$27:$P$48)),IF(B14="高二",IF($E14="男",LOOKUP(J14,[1]对照表!$N$3:$N$24,[1]对照表!$P$3:$P$24),LOOKUP(J14,[1]对照表!$N$27:$N$48,[1]对照表!$P$27:$P$48)),IF(B14="高一",IF($E14="男",LOOKUP(J14,[1]对照表!$M$3:$M$24,[1]对照表!$P$3:$P$24),LOOKUP(J14,[1]对照表!$M$27:$M$48,[1]对照表!$P$27:$P$48)))))</f>
        <v>74</v>
      </c>
      <c r="L14" s="21">
        <v>26</v>
      </c>
      <c r="M14" s="32">
        <f>IF(B14="高三",IF($E14="男",LOOKUP(L14,[1]对照表!$S$3:$S$24,[1]对照表!$T$3:$T$24),LOOKUP(L14,[1]对照表!$S$27:$S$48,[1]对照表!$T$27:$T$48)),IF(B14="高二",IF($E14="男",LOOKUP(L14,[1]对照表!$R$3:$R$24,[1]对照表!$T$3:$T$24),LOOKUP(L14,[1]对照表!$R$27:$R$48,[1]对照表!$T$27:$T$48)),IF(B14="高一",IF($E14="男",LOOKUP(L14,[1]对照表!$Q$3:$Q$24,[1]对照表!$T$3:$T$24),LOOKUP(L14,[1]对照表!$Q$27:$Q$48,[1]对照表!$T$27:$T$48)))))</f>
        <v>100</v>
      </c>
      <c r="N14" s="27">
        <f>IF(B14="高三",MAX(IF(E14="男",L14-18,L14-55),0),IF(B14="高二",MAX(IF(E14="男",L14-17,L14-54),0),IF(B14="高一",MAX(IF(E14="男",L14-16,L14-53),0))))</f>
        <v>10</v>
      </c>
      <c r="O14" s="23">
        <f>IF(E14="男",LOOKUP($N14,[1]对照表!$Z$3:$Z$13,[1]对照表!$AA$3:$AA$13),LOOKUP($N14,[1]对照表!$Z$15:$Z$25,[1]对照表!$AA$15:$AA$25))</f>
        <v>10</v>
      </c>
      <c r="P14" s="24">
        <f>M14+O14</f>
        <v>110</v>
      </c>
      <c r="Q14" s="25">
        <v>4.1500000000000004</v>
      </c>
      <c r="R14" s="32">
        <f>IF(B14="高三",IF($E14="男",LOOKUP(Q14,[1]对照表!$W$3:$W$24,[1]对照表!$X$3:$X$24),LOOKUP(Q14,[1]对照表!$W$27:$W$48,[1]对照表!$X$27:$X$48)),IF(B14="高二",IF($E14="男",LOOKUP(Q14,[1]对照表!$V$3:$V$24,[1]对照表!$X$3:$X$24),LOOKUP(Q14,[1]对照表!$V$27:$V$48,[1]对照表!$X$27:$X$48)),IF(B14="高一",IF($E14="男",LOOKUP(Q14,[1]对照表!$U$3:$U$24,[1]对照表!$X$3:$X$24),LOOKUP(Q14,[1]对照表!$U$27:$U$48,[1]对照表!$X$27:$X$48)))))</f>
        <v>72</v>
      </c>
      <c r="S14" s="27">
        <f>ROUND(IF(IF($B14="高三",MIN(IF($E14="男",$Q14-3.2,$Q14-3.2),0),IF($B14="高二",MIN(IF($E14="男",$Q14-3.25,$Q14-3.22),0),IF($B14="高一",MIN(IF($E14="男",$Q14-3.3,$Q14-3.24),0))))&lt;-0.6,IF($B14="高三",MIN(IF($E14="男",$Q14-3.2,$Q14-3.2),0),IF($B14="高二",MIN(IF($E14="男",$Q14-3.25,$Q14-3.22),0),IF($B14="高一",MIN(IF($E14="男",$Q14-3.3,$Q14-3.24),0))))+0.4,IF($B14="高三",MIN(IF($E14="男",$Q14-3.2,$Q14-3.2),0),IF($B14="高二",MIN(IF($E14="男",$Q14-3.25,$Q14-3.22),0),IF($B14="高一",MIN(IF($E14="男",$Q14-3.3,$Q14-3.24),0))))),2)</f>
        <v>0</v>
      </c>
      <c r="T14" s="23">
        <f>IF(E14="男",LOOKUP($S14,[1]对照表!$AB$3:$AB$13,[1]对照表!$AC$3:$AC$13),LOOKUP($S14,[1]对照表!$AB$15:$AB$25,[1]对照表!$AC$15:$AC$25))</f>
        <v>0</v>
      </c>
      <c r="U14" s="26">
        <f>R14+T14</f>
        <v>72</v>
      </c>
      <c r="V14" s="26">
        <f>SUM(I14,K14,M14)/3*0.3+SUM(G14,R14)/2*0.4</f>
        <v>54.2</v>
      </c>
      <c r="W14" s="27">
        <f>O14+T14</f>
        <v>10</v>
      </c>
      <c r="X14" s="28">
        <f>V14/0.7+W14</f>
        <v>87.428571428571431</v>
      </c>
      <c r="Y14" s="28">
        <v>87.428571428571431</v>
      </c>
      <c r="Z14" s="21"/>
    </row>
    <row r="15" spans="1:26" x14ac:dyDescent="0.25">
      <c r="A15" s="16">
        <v>15</v>
      </c>
      <c r="B15" s="17" t="s">
        <v>21</v>
      </c>
      <c r="C15" s="16">
        <v>101</v>
      </c>
      <c r="D15" s="18" t="s">
        <v>272</v>
      </c>
      <c r="E15" s="16" t="s">
        <v>23</v>
      </c>
      <c r="F15" s="19">
        <v>7.3</v>
      </c>
      <c r="G15" s="32">
        <f>IF(B15="高三",IF($E15="男",LOOKUP(F15,[1]对照表!$G$3:$G$24,[1]对照表!$H$3:$H$24),LOOKUP(F15,[1]对照表!$G$27:$G$48,[1]对照表!$H$27:$H$48)),IF(B15="高二",IF($E15="男",LOOKUP(F15,[1]对照表!$F$3:$F$24,[1]对照表!$H$3:$H$24),LOOKUP(F15,[1]对照表!$F$27:$F$48,[1]对照表!$H$27:$H$48)),IF(B15="高一",IF($E15="男",LOOKUP(F15,[1]对照表!$E$3:$E$24,[1]对照表!$H$3:$H$24),LOOKUP(F15,[1]对照表!$E$27:$E$48,[1]对照表!$H$27:$H$48)))))</f>
        <v>90</v>
      </c>
      <c r="H15" s="21">
        <v>21.5</v>
      </c>
      <c r="I15" s="32">
        <f>IF(B15="高三",IF($E15="男",LOOKUP(H15,[1]对照表!$K$3:$K$24,[1]对照表!$L$3:$L$24),LOOKUP(H15,[1]对照表!$K$27:$K$48,[1]对照表!$L$27:$L$48)),IF(B15="高二",IF($E15="男",LOOKUP(H15,[1]对照表!$J$3:$J$24,[1]对照表!$L$3:$L$24),LOOKUP(H15,[1]对照表!$J$27:$J$48,[1]对照表!$L$27:$L$48)),IF(B15="高一",IF($E15="男",LOOKUP(H15,[1]对照表!$I$3:$I$24,[1]对照表!$L$3:$L$24),LOOKUP(H15,[1]对照表!$I$27:$I$48,[1]对照表!$L$27:$L$48)))))</f>
        <v>95</v>
      </c>
      <c r="J15" s="21">
        <v>237</v>
      </c>
      <c r="K15" s="32">
        <f>IF(B15="高三",IF($E15="男",LOOKUP(J15,[1]对照表!$O$3:$O$24,[1]对照表!$P$3:$P$24),LOOKUP(J15,[1]对照表!$O$27:$O$48,[1]对照表!$P$27:$P$48)),IF(B15="高二",IF($E15="男",LOOKUP(J15,[1]对照表!$N$3:$N$24,[1]对照表!$P$3:$P$24),LOOKUP(J15,[1]对照表!$N$27:$N$48,[1]对照表!$P$27:$P$48)),IF(B15="高一",IF($E15="男",LOOKUP(J15,[1]对照表!$M$3:$M$24,[1]对照表!$P$3:$P$24),LOOKUP(J15,[1]对照表!$M$27:$M$48,[1]对照表!$P$27:$P$48)))))</f>
        <v>80</v>
      </c>
      <c r="L15" s="21">
        <v>15</v>
      </c>
      <c r="M15" s="32">
        <f>IF(B15="高三",IF($E15="男",LOOKUP(L15,[1]对照表!$S$3:$S$24,[1]对照表!$T$3:$T$24),LOOKUP(L15,[1]对照表!$S$27:$S$48,[1]对照表!$T$27:$T$48)),IF(B15="高二",IF($E15="男",LOOKUP(L15,[1]对照表!$R$3:$R$24,[1]对照表!$T$3:$T$24),LOOKUP(L15,[1]对照表!$R$27:$R$48,[1]对照表!$T$27:$T$48)),IF(B15="高一",IF($E15="男",LOOKUP(L15,[1]对照表!$Q$3:$Q$24,[1]对照表!$T$3:$T$24),LOOKUP(L15,[1]对照表!$Q$27:$Q$48,[1]对照表!$T$27:$T$48)))))</f>
        <v>95</v>
      </c>
      <c r="N15" s="27">
        <f>IF(B15="高三",MAX(IF(E15="男",L15-18,L15-55),0),IF(B15="高二",MAX(IF(E15="男",L15-17,L15-54),0),IF(B15="高一",MAX(IF(E15="男",L15-16,L15-53),0))))</f>
        <v>0</v>
      </c>
      <c r="O15" s="23">
        <f>IF(E15="男",LOOKUP($N15,[1]对照表!$Z$3:$Z$13,[1]对照表!$AA$3:$AA$13),LOOKUP($N15,[1]对照表!$Z$15:$Z$25,[1]对照表!$AA$15:$AA$25))</f>
        <v>0</v>
      </c>
      <c r="P15" s="24">
        <f>M15+O15</f>
        <v>95</v>
      </c>
      <c r="Q15" s="25">
        <v>3.58</v>
      </c>
      <c r="R15" s="32">
        <f>IF(B15="高三",IF($E15="男",LOOKUP(Q15,[1]对照表!$W$3:$W$24,[1]对照表!$X$3:$X$24),LOOKUP(Q15,[1]对照表!$W$27:$W$48,[1]对照表!$X$27:$X$48)),IF(B15="高二",IF($E15="男",LOOKUP(Q15,[1]对照表!$V$3:$V$24,[1]对照表!$X$3:$X$24),LOOKUP(Q15,[1]对照表!$V$27:$V$48,[1]对照表!$X$27:$X$48)),IF(B15="高一",IF($E15="男",LOOKUP(Q15,[1]对照表!$U$3:$U$24,[1]对照表!$X$3:$X$24),LOOKUP(Q15,[1]对照表!$U$27:$U$48,[1]对照表!$X$27:$X$48)))))</f>
        <v>78</v>
      </c>
      <c r="S15" s="27">
        <f>ROUND(IF(IF($B15="高三",MIN(IF($E15="男",$Q15-3.2,$Q15-3.2),0),IF($B15="高二",MIN(IF($E15="男",$Q15-3.25,$Q15-3.22),0),IF($B15="高一",MIN(IF($E15="男",$Q15-3.3,$Q15-3.24),0))))&lt;-0.6,IF($B15="高三",MIN(IF($E15="男",$Q15-3.2,$Q15-3.2),0),IF($B15="高二",MIN(IF($E15="男",$Q15-3.25,$Q15-3.22),0),IF($B15="高一",MIN(IF($E15="男",$Q15-3.3,$Q15-3.24),0))))+0.4,IF($B15="高三",MIN(IF($E15="男",$Q15-3.2,$Q15-3.2),0),IF($B15="高二",MIN(IF($E15="男",$Q15-3.25,$Q15-3.22),0),IF($B15="高一",MIN(IF($E15="男",$Q15-3.3,$Q15-3.24),0))))),2)</f>
        <v>0</v>
      </c>
      <c r="T15" s="23">
        <f>IF(E15="男",LOOKUP($S15,[1]对照表!$AB$3:$AB$13,[1]对照表!$AC$3:$AC$13),LOOKUP($S15,[1]对照表!$AB$15:$AB$25,[1]对照表!$AC$15:$AC$25))</f>
        <v>0</v>
      </c>
      <c r="U15" s="26">
        <f>R15+T15</f>
        <v>78</v>
      </c>
      <c r="V15" s="26">
        <f>SUM(I15,K15,M15)/3*0.3+SUM(G15,R15)/2*0.4</f>
        <v>60.6</v>
      </c>
      <c r="W15" s="27">
        <f>O15+T15</f>
        <v>0</v>
      </c>
      <c r="X15" s="28">
        <f>V15/0.7+W15</f>
        <v>86.571428571428584</v>
      </c>
      <c r="Y15" s="28">
        <v>86.571428571428584</v>
      </c>
      <c r="Z15" s="21"/>
    </row>
    <row r="16" spans="1:26" x14ac:dyDescent="0.25">
      <c r="A16" s="16">
        <v>33</v>
      </c>
      <c r="B16" s="17" t="s">
        <v>21</v>
      </c>
      <c r="C16" s="16">
        <v>101</v>
      </c>
      <c r="D16" s="18" t="s">
        <v>302</v>
      </c>
      <c r="E16" s="17" t="s">
        <v>23</v>
      </c>
      <c r="F16" s="19">
        <v>7.5</v>
      </c>
      <c r="G16" s="32">
        <f>IF(B16="高三",IF($E16="男",LOOKUP(F16,[1]对照表!$G$3:$G$24,[1]对照表!$H$3:$H$24),LOOKUP(F16,[1]对照表!$G$27:$G$48,[1]对照表!$H$27:$H$48)),IF(B16="高二",IF($E16="男",LOOKUP(F16,[1]对照表!$F$3:$F$24,[1]对照表!$H$3:$H$24),LOOKUP(F16,[1]对照表!$F$27:$F$48,[1]对照表!$H$27:$H$48)),IF(B16="高一",IF($E16="男",LOOKUP(F16,[1]对照表!$E$3:$E$24,[1]对照表!$H$3:$H$24),LOOKUP(F16,[1]对照表!$E$27:$E$48,[1]对照表!$H$27:$H$48)))))</f>
        <v>80</v>
      </c>
      <c r="H16" s="21">
        <v>12.5</v>
      </c>
      <c r="I16" s="32">
        <f>IF(B16="高三",IF($E16="男",LOOKUP(H16,[1]对照表!$K$3:$K$24,[1]对照表!$L$3:$L$24),LOOKUP(H16,[1]对照表!$K$27:$K$48,[1]对照表!$L$27:$L$48)),IF(B16="高二",IF($E16="男",LOOKUP(H16,[1]对照表!$J$3:$J$24,[1]对照表!$L$3:$L$24),LOOKUP(H16,[1]对照表!$J$27:$J$48,[1]对照表!$L$27:$L$48)),IF(B16="高一",IF($E16="男",LOOKUP(H16,[1]对照表!$I$3:$I$24,[1]对照表!$L$3:$L$24),LOOKUP(H16,[1]对照表!$I$27:$I$48,[1]对照表!$L$27:$L$48)))))</f>
        <v>76</v>
      </c>
      <c r="J16" s="21">
        <v>228</v>
      </c>
      <c r="K16" s="32">
        <f>IF(B16="高三",IF($E16="男",LOOKUP(J16,[1]对照表!$O$3:$O$24,[1]对照表!$P$3:$P$24),LOOKUP(J16,[1]对照表!$O$27:$O$48,[1]对照表!$P$27:$P$48)),IF(B16="高二",IF($E16="男",LOOKUP(J16,[1]对照表!$N$3:$N$24,[1]对照表!$P$3:$P$24),LOOKUP(J16,[1]对照表!$N$27:$N$48,[1]对照表!$P$27:$P$48)),IF(B16="高一",IF($E16="男",LOOKUP(J16,[1]对照表!$M$3:$M$24,[1]对照表!$P$3:$P$24),LOOKUP(J16,[1]对照表!$M$27:$M$48,[1]对照表!$P$27:$P$48)))))</f>
        <v>76</v>
      </c>
      <c r="L16" s="21">
        <v>17</v>
      </c>
      <c r="M16" s="32">
        <f>IF(B16="高三",IF($E16="男",LOOKUP(L16,[1]对照表!$S$3:$S$24,[1]对照表!$T$3:$T$24),LOOKUP(L16,[1]对照表!$S$27:$S$48,[1]对照表!$T$27:$T$48)),IF(B16="高二",IF($E16="男",LOOKUP(L16,[1]对照表!$R$3:$R$24,[1]对照表!$T$3:$T$24),LOOKUP(L16,[1]对照表!$R$27:$R$48,[1]对照表!$T$27:$T$48)),IF(B16="高一",IF($E16="男",LOOKUP(L16,[1]对照表!$Q$3:$Q$24,[1]对照表!$T$3:$T$24),LOOKUP(L16,[1]对照表!$Q$27:$Q$48,[1]对照表!$T$27:$T$48)))))</f>
        <v>100</v>
      </c>
      <c r="N16" s="33">
        <f>IF(B16="高三",MAX(IF(E16="男",L16-18,L16-55),0),IF(B16="高二",MAX(IF(E16="男",L16-17,L16-54),0),IF(B16="高一",MAX(IF(E16="男",L16-16,L16-53),0))))</f>
        <v>1</v>
      </c>
      <c r="O16" s="23">
        <f>IF(E16="男",LOOKUP($N16,[1]对照表!$Z$3:$Z$13,[1]对照表!$AA$3:$AA$13),LOOKUP($N16,[1]对照表!$Z$15:$Z$25,[1]对照表!$AA$15:$AA$25))</f>
        <v>1</v>
      </c>
      <c r="P16" s="24">
        <f>M16+O16</f>
        <v>101</v>
      </c>
      <c r="Q16" s="25">
        <v>3.46</v>
      </c>
      <c r="R16" s="32">
        <f>IF(B16="高三",IF($E16="男",LOOKUP(Q16,[1]对照表!$W$3:$W$24,[1]对照表!$X$3:$X$24),LOOKUP(Q16,[1]对照表!$W$27:$W$48,[1]对照表!$X$27:$X$48)),IF(B16="高二",IF($E16="男",LOOKUP(Q16,[1]对照表!$V$3:$V$24,[1]对照表!$X$3:$X$24),LOOKUP(Q16,[1]对照表!$V$27:$V$48,[1]对照表!$X$27:$X$48)),IF(B16="高一",IF($E16="男",LOOKUP(Q16,[1]对照表!$U$3:$U$24,[1]对照表!$X$3:$X$24),LOOKUP(Q16,[1]对照表!$U$27:$U$48,[1]对照表!$X$27:$X$48)))))</f>
        <v>85</v>
      </c>
      <c r="S16" s="33">
        <f>ROUND(IF(IF($B16="高三",MIN(IF($E16="男",$Q16-3.2,$Q16-3.2),0),IF($B16="高二",MIN(IF($E16="男",$Q16-3.25,$Q16-3.22),0),IF($B16="高一",MIN(IF($E16="男",$Q16-3.3,$Q16-3.24),0))))&lt;-0.6,IF($B16="高三",MIN(IF($E16="男",$Q16-3.2,$Q16-3.2),0),IF($B16="高二",MIN(IF($E16="男",$Q16-3.25,$Q16-3.22),0),IF($B16="高一",MIN(IF($E16="男",$Q16-3.3,$Q16-3.24),0))))+0.4,IF($B16="高三",MIN(IF($E16="男",$Q16-3.2,$Q16-3.2),0),IF($B16="高二",MIN(IF($E16="男",$Q16-3.25,$Q16-3.22),0),IF($B16="高一",MIN(IF($E16="男",$Q16-3.3,$Q16-3.24),0))))),2)</f>
        <v>0</v>
      </c>
      <c r="T16" s="23">
        <f>IF(E16="男",LOOKUP($S16,[1]对照表!$AB$3:$AB$13,[1]对照表!$AC$3:$AC$13),LOOKUP($S16,[1]对照表!$AB$15:$AB$25,[1]对照表!$AC$15:$AC$25))</f>
        <v>0</v>
      </c>
      <c r="U16" s="26">
        <f>R16+T16</f>
        <v>85</v>
      </c>
      <c r="V16" s="26">
        <f>SUM(I16,K16,M16)/3*0.3+SUM(G16,R16)/2*0.4</f>
        <v>58.2</v>
      </c>
      <c r="W16" s="27">
        <f>O16+T16</f>
        <v>1</v>
      </c>
      <c r="X16" s="28">
        <f>V16/0.7+W16</f>
        <v>84.142857142857153</v>
      </c>
      <c r="Y16" s="28">
        <v>84.142857142857153</v>
      </c>
      <c r="Z16" s="21"/>
    </row>
    <row r="17" spans="1:26" x14ac:dyDescent="0.25">
      <c r="A17" s="16">
        <v>29</v>
      </c>
      <c r="B17" s="17" t="s">
        <v>21</v>
      </c>
      <c r="C17" s="16">
        <v>101</v>
      </c>
      <c r="D17" s="18" t="s">
        <v>320</v>
      </c>
      <c r="E17" s="17" t="s">
        <v>23</v>
      </c>
      <c r="F17" s="19">
        <v>7.4</v>
      </c>
      <c r="G17" s="32">
        <f>IF(B17="高三",IF($E17="男",LOOKUP(F17,[1]对照表!$G$3:$G$24,[1]对照表!$H$3:$H$24),LOOKUP(F17,[1]对照表!$G$27:$G$48,[1]对照表!$H$27:$H$48)),IF(B17="高二",IF($E17="男",LOOKUP(F17,[1]对照表!$F$3:$F$24,[1]对照表!$H$3:$H$24),LOOKUP(F17,[1]对照表!$F$27:$F$48,[1]对照表!$H$27:$H$48)),IF(B17="高一",IF($E17="男",LOOKUP(F17,[1]对照表!$E$3:$E$24,[1]对照表!$H$3:$H$24),LOOKUP(F17,[1]对照表!$E$27:$E$48,[1]对照表!$H$27:$H$48)))))</f>
        <v>85</v>
      </c>
      <c r="H17" s="21">
        <v>14</v>
      </c>
      <c r="I17" s="32">
        <f>IF(B17="高三",IF($E17="男",LOOKUP(H17,[1]对照表!$K$3:$K$24,[1]对照表!$L$3:$L$24),LOOKUP(H17,[1]对照表!$K$27:$K$48,[1]对照表!$L$27:$L$48)),IF(B17="高二",IF($E17="男",LOOKUP(H17,[1]对照表!$J$3:$J$24,[1]对照表!$L$3:$L$24),LOOKUP(H17,[1]对照表!$J$27:$J$48,[1]对照表!$L$27:$L$48)),IF(B17="高一",IF($E17="男",LOOKUP(H17,[1]对照表!$I$3:$I$24,[1]对照表!$L$3:$L$24),LOOKUP(H17,[1]对照表!$I$27:$I$48,[1]对照表!$L$27:$L$48)))))</f>
        <v>78</v>
      </c>
      <c r="J17" s="21">
        <v>237</v>
      </c>
      <c r="K17" s="32">
        <f>IF(B17="高三",IF($E17="男",LOOKUP(J17,[1]对照表!$O$3:$O$24,[1]对照表!$P$3:$P$24),LOOKUP(J17,[1]对照表!$O$27:$O$48,[1]对照表!$P$27:$P$48)),IF(B17="高二",IF($E17="男",LOOKUP(J17,[1]对照表!$N$3:$N$24,[1]对照表!$P$3:$P$24),LOOKUP(J17,[1]对照表!$N$27:$N$48,[1]对照表!$P$27:$P$48)),IF(B17="高一",IF($E17="男",LOOKUP(J17,[1]对照表!$M$3:$M$24,[1]对照表!$P$3:$P$24),LOOKUP(J17,[1]对照表!$M$27:$M$48,[1]对照表!$P$27:$P$48)))))</f>
        <v>80</v>
      </c>
      <c r="L17" s="21">
        <v>7</v>
      </c>
      <c r="M17" s="32">
        <f>IF(B17="高三",IF($E17="男",LOOKUP(L17,[1]对照表!$S$3:$S$24,[1]对照表!$T$3:$T$24),LOOKUP(L17,[1]对照表!$S$27:$S$48,[1]对照表!$T$27:$T$48)),IF(B17="高二",IF($E17="男",LOOKUP(L17,[1]对照表!$R$3:$R$24,[1]对照表!$T$3:$T$24),LOOKUP(L17,[1]对照表!$R$27:$R$48,[1]对照表!$T$27:$T$48)),IF(B17="高一",IF($E17="男",LOOKUP(L17,[1]对照表!$Q$3:$Q$24,[1]对照表!$T$3:$T$24),LOOKUP(L17,[1]对照表!$Q$27:$Q$48,[1]对照表!$T$27:$T$48)))))</f>
        <v>60</v>
      </c>
      <c r="N17" s="33">
        <f>IF(B17="高三",MAX(IF(E17="男",L17-18,L17-55),0),IF(B17="高二",MAX(IF(E17="男",L17-17,L17-54),0),IF(B17="高一",MAX(IF(E17="男",L17-16,L17-53),0))))</f>
        <v>0</v>
      </c>
      <c r="O17" s="23">
        <f>IF(E17="男",LOOKUP($N17,[1]对照表!$Z$3:$Z$13,[1]对照表!$AA$3:$AA$13),LOOKUP($N17,[1]对照表!$Z$15:$Z$25,[1]对照表!$AA$15:$AA$25))</f>
        <v>0</v>
      </c>
      <c r="P17" s="24">
        <f>M17+O17</f>
        <v>60</v>
      </c>
      <c r="Q17" s="25">
        <v>3.34</v>
      </c>
      <c r="R17" s="32">
        <f>IF(B17="高三",IF($E17="男",LOOKUP(Q17,[1]对照表!$W$3:$W$24,[1]对照表!$X$3:$X$24),LOOKUP(Q17,[1]对照表!$W$27:$W$48,[1]对照表!$X$27:$X$48)),IF(B17="高二",IF($E17="男",LOOKUP(Q17,[1]对照表!$V$3:$V$24,[1]对照表!$X$3:$X$24),LOOKUP(Q17,[1]对照表!$V$27:$V$48,[1]对照表!$X$27:$X$48)),IF(B17="高一",IF($E17="男",LOOKUP(Q17,[1]对照表!$U$3:$U$24,[1]对照表!$X$3:$X$24),LOOKUP(Q17,[1]对照表!$U$27:$U$48,[1]对照表!$X$27:$X$48)))))</f>
        <v>95</v>
      </c>
      <c r="S17" s="33">
        <f>ROUND(IF(IF($B17="高三",MIN(IF($E17="男",$Q17-3.2,$Q17-3.2),0),IF($B17="高二",MIN(IF($E17="男",$Q17-3.25,$Q17-3.22),0),IF($B17="高一",MIN(IF($E17="男",$Q17-3.3,$Q17-3.24),0))))&lt;-0.6,IF($B17="高三",MIN(IF($E17="男",$Q17-3.2,$Q17-3.2),0),IF($B17="高二",MIN(IF($E17="男",$Q17-3.25,$Q17-3.22),0),IF($B17="高一",MIN(IF($E17="男",$Q17-3.3,$Q17-3.24),0))))+0.4,IF($B17="高三",MIN(IF($E17="男",$Q17-3.2,$Q17-3.2),0),IF($B17="高二",MIN(IF($E17="男",$Q17-3.25,$Q17-3.22),0),IF($B17="高一",MIN(IF($E17="男",$Q17-3.3,$Q17-3.24),0))))),2)</f>
        <v>0</v>
      </c>
      <c r="T17" s="23">
        <f>IF(E17="男",LOOKUP($S17,[1]对照表!$AB$3:$AB$13,[1]对照表!$AC$3:$AC$13),LOOKUP($S17,[1]对照表!$AB$15:$AB$25,[1]对照表!$AC$15:$AC$25))</f>
        <v>0</v>
      </c>
      <c r="U17" s="26">
        <f>R17+T17</f>
        <v>95</v>
      </c>
      <c r="V17" s="26">
        <f>SUM(I17,K17,M17)/3*0.3+SUM(G17,R17)/2*0.4</f>
        <v>57.8</v>
      </c>
      <c r="W17" s="27">
        <f>O17+T17</f>
        <v>0</v>
      </c>
      <c r="X17" s="28">
        <f>V17/0.7+W17</f>
        <v>82.571428571428569</v>
      </c>
      <c r="Y17" s="28">
        <v>82.571428571428569</v>
      </c>
      <c r="Z17" s="21"/>
    </row>
    <row r="18" spans="1:26" x14ac:dyDescent="0.25">
      <c r="A18" s="16">
        <v>22</v>
      </c>
      <c r="B18" s="17" t="s">
        <v>21</v>
      </c>
      <c r="C18" s="16">
        <v>101</v>
      </c>
      <c r="D18" s="18" t="s">
        <v>327</v>
      </c>
      <c r="E18" s="17" t="s">
        <v>23</v>
      </c>
      <c r="F18" s="19">
        <v>6.8</v>
      </c>
      <c r="G18" s="32">
        <f>IF(B18="高三",IF($E18="男",LOOKUP(F18,[1]对照表!$G$3:$G$24,[1]对照表!$H$3:$H$24),LOOKUP(F18,[1]对照表!$G$27:$G$48,[1]对照表!$H$27:$H$48)),IF(B18="高二",IF($E18="男",LOOKUP(F18,[1]对照表!$F$3:$F$24,[1]对照表!$H$3:$H$24),LOOKUP(F18,[1]对照表!$F$27:$F$48,[1]对照表!$H$27:$H$48)),IF(B18="高一",IF($E18="男",LOOKUP(F18,[1]对照表!$E$3:$E$24,[1]对照表!$H$3:$H$24),LOOKUP(F18,[1]对照表!$E$27:$E$48,[1]对照表!$H$27:$H$48)))))</f>
        <v>100</v>
      </c>
      <c r="H18" s="21">
        <v>4.9000000000000004</v>
      </c>
      <c r="I18" s="32">
        <f>IF(B18="高三",IF($E18="男",LOOKUP(H18,[1]对照表!$K$3:$K$24,[1]对照表!$L$3:$L$24),LOOKUP(H18,[1]对照表!$K$27:$K$48,[1]对照表!$L$27:$L$48)),IF(B18="高二",IF($E18="男",LOOKUP(H18,[1]对照表!$J$3:$J$24,[1]对照表!$L$3:$L$24),LOOKUP(H18,[1]对照表!$J$27:$J$48,[1]对照表!$L$27:$L$48)),IF(B18="高一",IF($E18="男",LOOKUP(H18,[1]对照表!$I$3:$I$24,[1]对照表!$L$3:$L$24),LOOKUP(H18,[1]对照表!$I$27:$I$48,[1]对照表!$L$27:$L$48)))))</f>
        <v>64</v>
      </c>
      <c r="J18" s="21">
        <v>252</v>
      </c>
      <c r="K18" s="32">
        <f>IF(B18="高三",IF($E18="男",LOOKUP(J18,[1]对照表!$O$3:$O$24,[1]对照表!$P$3:$P$24),LOOKUP(J18,[1]对照表!$O$27:$O$48,[1]对照表!$P$27:$P$48)),IF(B18="高二",IF($E18="男",LOOKUP(J18,[1]对照表!$N$3:$N$24,[1]对照表!$P$3:$P$24),LOOKUP(J18,[1]对照表!$N$27:$N$48,[1]对照表!$P$27:$P$48)),IF(B18="高一",IF($E18="男",LOOKUP(J18,[1]对照表!$M$3:$M$24,[1]对照表!$P$3:$P$24),LOOKUP(J18,[1]对照表!$M$27:$M$48,[1]对照表!$P$27:$P$48)))))</f>
        <v>90</v>
      </c>
      <c r="L18" s="21">
        <v>7</v>
      </c>
      <c r="M18" s="32">
        <f>IF(B18="高三",IF($E18="男",LOOKUP(L18,[1]对照表!$S$3:$S$24,[1]对照表!$T$3:$T$24),LOOKUP(L18,[1]对照表!$S$27:$S$48,[1]对照表!$T$27:$T$48)),IF(B18="高二",IF($E18="男",LOOKUP(L18,[1]对照表!$R$3:$R$24,[1]对照表!$T$3:$T$24),LOOKUP(L18,[1]对照表!$R$27:$R$48,[1]对照表!$T$27:$T$48)),IF(B18="高一",IF($E18="男",LOOKUP(L18,[1]对照表!$Q$3:$Q$24,[1]对照表!$T$3:$T$24),LOOKUP(L18,[1]对照表!$Q$27:$Q$48,[1]对照表!$T$27:$T$48)))))</f>
        <v>60</v>
      </c>
      <c r="N18" s="33">
        <f>IF(B18="高三",MAX(IF(E18="男",L18-18,L18-55),0),IF(B18="高二",MAX(IF(E18="男",L18-17,L18-54),0),IF(B18="高一",MAX(IF(E18="男",L18-16,L18-53),0))))</f>
        <v>0</v>
      </c>
      <c r="O18" s="23">
        <f>IF(E18="男",LOOKUP($N18,[1]对照表!$Z$3:$Z$13,[1]对照表!$AA$3:$AA$13),LOOKUP($N18,[1]对照表!$Z$15:$Z$25,[1]对照表!$AA$15:$AA$25))</f>
        <v>0</v>
      </c>
      <c r="P18" s="24">
        <f>M18+O18</f>
        <v>60</v>
      </c>
      <c r="Q18" s="25">
        <v>3.53</v>
      </c>
      <c r="R18" s="32">
        <f>IF(B18="高三",IF($E18="男",LOOKUP(Q18,[1]对照表!$W$3:$W$24,[1]对照表!$X$3:$X$24),LOOKUP(Q18,[1]对照表!$W$27:$W$48,[1]对照表!$X$27:$X$48)),IF(B18="高二",IF($E18="男",LOOKUP(Q18,[1]对照表!$V$3:$V$24,[1]对照表!$X$3:$X$24),LOOKUP(Q18,[1]对照表!$V$27:$V$48,[1]对照表!$X$27:$X$48)),IF(B18="高一",IF($E18="男",LOOKUP(Q18,[1]对照表!$U$3:$U$24,[1]对照表!$X$3:$X$24),LOOKUP(Q18,[1]对照表!$U$27:$U$48,[1]对照表!$X$27:$X$48)))))</f>
        <v>80</v>
      </c>
      <c r="S18" s="33">
        <f>ROUND(IF(IF($B18="高三",MIN(IF($E18="男",$Q18-3.2,$Q18-3.2),0),IF($B18="高二",MIN(IF($E18="男",$Q18-3.25,$Q18-3.22),0),IF($B18="高一",MIN(IF($E18="男",$Q18-3.3,$Q18-3.24),0))))&lt;-0.6,IF($B18="高三",MIN(IF($E18="男",$Q18-3.2,$Q18-3.2),0),IF($B18="高二",MIN(IF($E18="男",$Q18-3.25,$Q18-3.22),0),IF($B18="高一",MIN(IF($E18="男",$Q18-3.3,$Q18-3.24),0))))+0.4,IF($B18="高三",MIN(IF($E18="男",$Q18-3.2,$Q18-3.2),0),IF($B18="高二",MIN(IF($E18="男",$Q18-3.25,$Q18-3.22),0),IF($B18="高一",MIN(IF($E18="男",$Q18-3.3,$Q18-3.24),0))))),2)</f>
        <v>0</v>
      </c>
      <c r="T18" s="23">
        <f>IF(E18="男",LOOKUP($S18,[1]对照表!$AB$3:$AB$13,[1]对照表!$AC$3:$AC$13),LOOKUP($S18,[1]对照表!$AB$15:$AB$25,[1]对照表!$AC$15:$AC$25))</f>
        <v>0</v>
      </c>
      <c r="U18" s="26">
        <f>R18+T18</f>
        <v>80</v>
      </c>
      <c r="V18" s="26">
        <f>SUM(I18,K18,M18)/3*0.3+SUM(G18,R18)/2*0.4</f>
        <v>57.4</v>
      </c>
      <c r="W18" s="27">
        <f>O18+T18</f>
        <v>0</v>
      </c>
      <c r="X18" s="28">
        <f>V18/0.7+W18</f>
        <v>82</v>
      </c>
      <c r="Y18" s="28">
        <v>82</v>
      </c>
      <c r="Z18" s="21"/>
    </row>
    <row r="19" spans="1:26" x14ac:dyDescent="0.25">
      <c r="A19" s="16">
        <v>35</v>
      </c>
      <c r="B19" s="17" t="s">
        <v>21</v>
      </c>
      <c r="C19" s="16">
        <v>101</v>
      </c>
      <c r="D19" s="18" t="s">
        <v>362</v>
      </c>
      <c r="E19" s="17" t="s">
        <v>23</v>
      </c>
      <c r="F19" s="19">
        <v>7.3</v>
      </c>
      <c r="G19" s="32">
        <f>IF(B19="高三",IF($E19="男",LOOKUP(F19,[1]对照表!$G$3:$G$24,[1]对照表!$H$3:$H$24),LOOKUP(F19,[1]对照表!$G$27:$G$48,[1]对照表!$H$27:$H$48)),IF(B19="高二",IF($E19="男",LOOKUP(F19,[1]对照表!$F$3:$F$24,[1]对照表!$H$3:$H$24),LOOKUP(F19,[1]对照表!$F$27:$F$48,[1]对照表!$H$27:$H$48)),IF(B19="高一",IF($E19="男",LOOKUP(F19,[1]对照表!$E$3:$E$24,[1]对照表!$H$3:$H$24),LOOKUP(F19,[1]对照表!$E$27:$E$48,[1]对照表!$H$27:$H$48)))))</f>
        <v>90</v>
      </c>
      <c r="H19" s="21">
        <v>15.5</v>
      </c>
      <c r="I19" s="32">
        <f>IF(B19="高三",IF($E19="男",LOOKUP(H19,[1]对照表!$K$3:$K$24,[1]对照表!$L$3:$L$24),LOOKUP(H19,[1]对照表!$K$27:$K$48,[1]对照表!$L$27:$L$48)),IF(B19="高二",IF($E19="男",LOOKUP(H19,[1]对照表!$J$3:$J$24,[1]对照表!$L$3:$L$24),LOOKUP(H19,[1]对照表!$J$27:$J$48,[1]对照表!$L$27:$L$48)),IF(B19="高一",IF($E19="男",LOOKUP(H19,[1]对照表!$I$3:$I$24,[1]对照表!$L$3:$L$24),LOOKUP(H19,[1]对照表!$I$27:$I$48,[1]对照表!$L$27:$L$48)))))</f>
        <v>80</v>
      </c>
      <c r="J19" s="21">
        <v>210</v>
      </c>
      <c r="K19" s="32">
        <f>IF(B19="高三",IF($E19="男",LOOKUP(J19,[1]对照表!$O$3:$O$24,[1]对照表!$P$3:$P$24),LOOKUP(J19,[1]对照表!$O$27:$O$48,[1]对照表!$P$27:$P$48)),IF(B19="高二",IF($E19="男",LOOKUP(J19,[1]对照表!$N$3:$N$24,[1]对照表!$P$3:$P$24),LOOKUP(J19,[1]对照表!$N$27:$N$48,[1]对照表!$P$27:$P$48)),IF(B19="高一",IF($E19="男",LOOKUP(J19,[1]对照表!$M$3:$M$24,[1]对照表!$P$3:$P$24),LOOKUP(J19,[1]对照表!$M$27:$M$48,[1]对照表!$P$27:$P$48)))))</f>
        <v>66</v>
      </c>
      <c r="L19" s="21">
        <v>7</v>
      </c>
      <c r="M19" s="32">
        <f>IF(B19="高三",IF($E19="男",LOOKUP(L19,[1]对照表!$S$3:$S$24,[1]对照表!$T$3:$T$24),LOOKUP(L19,[1]对照表!$S$27:$S$48,[1]对照表!$T$27:$T$48)),IF(B19="高二",IF($E19="男",LOOKUP(L19,[1]对照表!$R$3:$R$24,[1]对照表!$T$3:$T$24),LOOKUP(L19,[1]对照表!$R$27:$R$48,[1]对照表!$T$27:$T$48)),IF(B19="高一",IF($E19="男",LOOKUP(L19,[1]对照表!$Q$3:$Q$24,[1]对照表!$T$3:$T$24),LOOKUP(L19,[1]对照表!$Q$27:$Q$48,[1]对照表!$T$27:$T$48)))))</f>
        <v>60</v>
      </c>
      <c r="N19" s="33">
        <f>IF(B19="高三",MAX(IF(E19="男",L19-18,L19-55),0),IF(B19="高二",MAX(IF(E19="男",L19-17,L19-54),0),IF(B19="高一",MAX(IF(E19="男",L19-16,L19-53),0))))</f>
        <v>0</v>
      </c>
      <c r="O19" s="23">
        <f>IF(E19="男",LOOKUP($N19,[1]对照表!$Z$3:$Z$13,[1]对照表!$AA$3:$AA$13),LOOKUP($N19,[1]对照表!$Z$15:$Z$25,[1]对照表!$AA$15:$AA$25))</f>
        <v>0</v>
      </c>
      <c r="P19" s="24">
        <f>M19+O19</f>
        <v>60</v>
      </c>
      <c r="Q19" s="25">
        <v>3.39</v>
      </c>
      <c r="R19" s="32">
        <f>IF(B19="高三",IF($E19="男",LOOKUP(Q19,[1]对照表!$W$3:$W$24,[1]对照表!$X$3:$X$24),LOOKUP(Q19,[1]对照表!$W$27:$W$48,[1]对照表!$X$27:$X$48)),IF(B19="高二",IF($E19="男",LOOKUP(Q19,[1]对照表!$V$3:$V$24,[1]对照表!$X$3:$X$24),LOOKUP(Q19,[1]对照表!$V$27:$V$48,[1]对照表!$X$27:$X$48)),IF(B19="高一",IF($E19="男",LOOKUP(Q19,[1]对照表!$U$3:$U$24,[1]对照表!$X$3:$X$24),LOOKUP(Q19,[1]对照表!$U$27:$U$48,[1]对照表!$X$27:$X$48)))))</f>
        <v>90</v>
      </c>
      <c r="S19" s="33">
        <f>ROUND(IF(IF($B19="高三",MIN(IF($E19="男",$Q19-3.2,$Q19-3.2),0),IF($B19="高二",MIN(IF($E19="男",$Q19-3.25,$Q19-3.22),0),IF($B19="高一",MIN(IF($E19="男",$Q19-3.3,$Q19-3.24),0))))&lt;-0.6,IF($B19="高三",MIN(IF($E19="男",$Q19-3.2,$Q19-3.2),0),IF($B19="高二",MIN(IF($E19="男",$Q19-3.25,$Q19-3.22),0),IF($B19="高一",MIN(IF($E19="男",$Q19-3.3,$Q19-3.24),0))))+0.4,IF($B19="高三",MIN(IF($E19="男",$Q19-3.2,$Q19-3.2),0),IF($B19="高二",MIN(IF($E19="男",$Q19-3.25,$Q19-3.22),0),IF($B19="高一",MIN(IF($E19="男",$Q19-3.3,$Q19-3.24),0))))),2)</f>
        <v>0</v>
      </c>
      <c r="T19" s="23">
        <f>IF(E19="男",LOOKUP($S19,[1]对照表!$AB$3:$AB$13,[1]对照表!$AC$3:$AC$13),LOOKUP($S19,[1]对照表!$AB$15:$AB$25,[1]对照表!$AC$15:$AC$25))</f>
        <v>0</v>
      </c>
      <c r="U19" s="26">
        <f>R19+T19</f>
        <v>90</v>
      </c>
      <c r="V19" s="26">
        <f>SUM(I19,K19,M19)/3*0.3+SUM(G19,R19)/2*0.4</f>
        <v>56.6</v>
      </c>
      <c r="W19" s="27">
        <f>O19+T19</f>
        <v>0</v>
      </c>
      <c r="X19" s="28">
        <f>V19/0.7+W19</f>
        <v>80.857142857142861</v>
      </c>
      <c r="Y19" s="28">
        <v>80.857142857142861</v>
      </c>
      <c r="Z19" s="21"/>
    </row>
    <row r="20" spans="1:26" x14ac:dyDescent="0.25">
      <c r="A20" s="16">
        <v>23</v>
      </c>
      <c r="B20" s="17" t="s">
        <v>21</v>
      </c>
      <c r="C20" s="16">
        <v>101</v>
      </c>
      <c r="D20" s="18" t="s">
        <v>364</v>
      </c>
      <c r="E20" s="17" t="s">
        <v>23</v>
      </c>
      <c r="F20" s="19">
        <v>7.1</v>
      </c>
      <c r="G20" s="32">
        <f>IF(B20="高三",IF($E20="男",LOOKUP(F20,[1]对照表!$G$3:$G$24,[1]对照表!$H$3:$H$24),LOOKUP(F20,[1]对照表!$G$27:$G$48,[1]对照表!$H$27:$H$48)),IF(B20="高二",IF($E20="男",LOOKUP(F20,[1]对照表!$F$3:$F$24,[1]对照表!$H$3:$H$24),LOOKUP(F20,[1]对照表!$F$27:$F$48,[1]对照表!$H$27:$H$48)),IF(B20="高一",IF($E20="男",LOOKUP(F20,[1]对照表!$E$3:$E$24,[1]对照表!$H$3:$H$24),LOOKUP(F20,[1]对照表!$E$27:$E$48,[1]对照表!$H$27:$H$48)))))</f>
        <v>100</v>
      </c>
      <c r="H20" s="21">
        <v>10.5</v>
      </c>
      <c r="I20" s="32">
        <f>IF(B20="高三",IF($E20="男",LOOKUP(H20,[1]对照表!$K$3:$K$24,[1]对照表!$L$3:$L$24),LOOKUP(H20,[1]对照表!$K$27:$K$48,[1]对照表!$L$27:$L$48)),IF(B20="高二",IF($E20="男",LOOKUP(H20,[1]对照表!$J$3:$J$24,[1]对照表!$L$3:$L$24),LOOKUP(H20,[1]对照表!$J$27:$J$48,[1]对照表!$L$27:$L$48)),IF(B20="高一",IF($E20="男",LOOKUP(H20,[1]对照表!$I$3:$I$24,[1]对照表!$L$3:$L$24),LOOKUP(H20,[1]对照表!$I$27:$I$48,[1]对照表!$L$27:$L$48)))))</f>
        <v>72</v>
      </c>
      <c r="J20" s="21">
        <v>227</v>
      </c>
      <c r="K20" s="32">
        <f>IF(B20="高三",IF($E20="男",LOOKUP(J20,[1]对照表!$O$3:$O$24,[1]对照表!$P$3:$P$24),LOOKUP(J20,[1]对照表!$O$27:$O$48,[1]对照表!$P$27:$P$48)),IF(B20="高二",IF($E20="男",LOOKUP(J20,[1]对照表!$N$3:$N$24,[1]对照表!$P$3:$P$24),LOOKUP(J20,[1]对照表!$N$27:$N$48,[1]对照表!$P$27:$P$48)),IF(B20="高一",IF($E20="男",LOOKUP(J20,[1]对照表!$M$3:$M$24,[1]对照表!$P$3:$P$24),LOOKUP(J20,[1]对照表!$M$27:$M$48,[1]对照表!$P$27:$P$48)))))</f>
        <v>76</v>
      </c>
      <c r="L20" s="21">
        <v>7</v>
      </c>
      <c r="M20" s="32">
        <f>IF(B20="高三",IF($E20="男",LOOKUP(L20,[1]对照表!$S$3:$S$24,[1]对照表!$T$3:$T$24),LOOKUP(L20,[1]对照表!$S$27:$S$48,[1]对照表!$T$27:$T$48)),IF(B20="高二",IF($E20="男",LOOKUP(L20,[1]对照表!$R$3:$R$24,[1]对照表!$T$3:$T$24),LOOKUP(L20,[1]对照表!$R$27:$R$48,[1]对照表!$T$27:$T$48)),IF(B20="高一",IF($E20="男",LOOKUP(L20,[1]对照表!$Q$3:$Q$24,[1]对照表!$T$3:$T$24),LOOKUP(L20,[1]对照表!$Q$27:$Q$48,[1]对照表!$T$27:$T$48)))))</f>
        <v>60</v>
      </c>
      <c r="N20" s="33">
        <f>IF(B20="高三",MAX(IF(E20="男",L20-18,L20-55),0),IF(B20="高二",MAX(IF(E20="男",L20-17,L20-54),0),IF(B20="高一",MAX(IF(E20="男",L20-16,L20-53),0))))</f>
        <v>0</v>
      </c>
      <c r="O20" s="23">
        <f>IF(E20="男",LOOKUP($N20,[1]对照表!$Z$3:$Z$13,[1]对照表!$AA$3:$AA$13),LOOKUP($N20,[1]对照表!$Z$15:$Z$25,[1]对照表!$AA$15:$AA$25))</f>
        <v>0</v>
      </c>
      <c r="P20" s="24">
        <f>M20+O20</f>
        <v>60</v>
      </c>
      <c r="Q20" s="25">
        <v>4</v>
      </c>
      <c r="R20" s="32">
        <f>IF(B20="高三",IF($E20="男",LOOKUP(Q20,[1]对照表!$W$3:$W$24,[1]对照表!$X$3:$X$24),LOOKUP(Q20,[1]对照表!$W$27:$W$48,[1]对照表!$X$27:$X$48)),IF(B20="高二",IF($E20="男",LOOKUP(Q20,[1]对照表!$V$3:$V$24,[1]对照表!$X$3:$X$24),LOOKUP(Q20,[1]对照表!$V$27:$V$48,[1]对照表!$X$27:$X$48)),IF(B20="高一",IF($E20="男",LOOKUP(Q20,[1]对照表!$U$3:$U$24,[1]对照表!$X$3:$X$24),LOOKUP(Q20,[1]对照表!$U$27:$U$48,[1]对照表!$X$27:$X$48)))))</f>
        <v>78</v>
      </c>
      <c r="S20" s="33">
        <f>ROUND(IF(IF($B20="高三",MIN(IF($E20="男",$Q20-3.2,$Q20-3.2),0),IF($B20="高二",MIN(IF($E20="男",$Q20-3.25,$Q20-3.22),0),IF($B20="高一",MIN(IF($E20="男",$Q20-3.3,$Q20-3.24),0))))&lt;-0.6,IF($B20="高三",MIN(IF($E20="男",$Q20-3.2,$Q20-3.2),0),IF($B20="高二",MIN(IF($E20="男",$Q20-3.25,$Q20-3.22),0),IF($B20="高一",MIN(IF($E20="男",$Q20-3.3,$Q20-3.24),0))))+0.4,IF($B20="高三",MIN(IF($E20="男",$Q20-3.2,$Q20-3.2),0),IF($B20="高二",MIN(IF($E20="男",$Q20-3.25,$Q20-3.22),0),IF($B20="高一",MIN(IF($E20="男",$Q20-3.3,$Q20-3.24),0))))),2)</f>
        <v>0</v>
      </c>
      <c r="T20" s="23">
        <f>IF(E20="男",LOOKUP($S20,[1]对照表!$AB$3:$AB$13,[1]对照表!$AC$3:$AC$13),LOOKUP($S20,[1]对照表!$AB$15:$AB$25,[1]对照表!$AC$15:$AC$25))</f>
        <v>0</v>
      </c>
      <c r="U20" s="26">
        <f>R20+T20</f>
        <v>78</v>
      </c>
      <c r="V20" s="26">
        <f>SUM(I20,K20,M20)/3*0.3+SUM(G20,R20)/2*0.4</f>
        <v>56.4</v>
      </c>
      <c r="W20" s="27">
        <f>O20+T20</f>
        <v>0</v>
      </c>
      <c r="X20" s="28">
        <f>V20/0.7+W20</f>
        <v>80.571428571428569</v>
      </c>
      <c r="Y20" s="28">
        <v>80.571428571428569</v>
      </c>
      <c r="Z20" s="21"/>
    </row>
    <row r="21" spans="1:26" x14ac:dyDescent="0.25">
      <c r="A21" s="16">
        <v>21</v>
      </c>
      <c r="B21" s="17" t="s">
        <v>21</v>
      </c>
      <c r="C21" s="16">
        <v>101</v>
      </c>
      <c r="D21" s="18" t="s">
        <v>370</v>
      </c>
      <c r="E21" s="31" t="s">
        <v>23</v>
      </c>
      <c r="F21" s="19">
        <v>7.3</v>
      </c>
      <c r="G21" s="32">
        <f>IF(B21="高三",IF($E21="男",LOOKUP(F21,[1]对照表!$G$3:$G$24,[1]对照表!$H$3:$H$24),LOOKUP(F21,[1]对照表!$G$27:$G$48,[1]对照表!$H$27:$H$48)),IF(B21="高二",IF($E21="男",LOOKUP(F21,[1]对照表!$F$3:$F$24,[1]对照表!$H$3:$H$24),LOOKUP(F21,[1]对照表!$F$27:$F$48,[1]对照表!$H$27:$H$48)),IF(B21="高一",IF($E21="男",LOOKUP(F21,[1]对照表!$E$3:$E$24,[1]对照表!$H$3:$H$24),LOOKUP(F21,[1]对照表!$E$27:$E$48,[1]对照表!$H$27:$H$48)))))</f>
        <v>90</v>
      </c>
      <c r="H21" s="21">
        <v>14.2</v>
      </c>
      <c r="I21" s="32">
        <f>IF(B21="高三",IF($E21="男",LOOKUP(H21,[1]对照表!$K$3:$K$24,[1]对照表!$L$3:$L$24),LOOKUP(H21,[1]对照表!$K$27:$K$48,[1]对照表!$L$27:$L$48)),IF(B21="高二",IF($E21="男",LOOKUP(H21,[1]对照表!$J$3:$J$24,[1]对照表!$L$3:$L$24),LOOKUP(H21,[1]对照表!$J$27:$J$48,[1]对照表!$L$27:$L$48)),IF(B21="高一",IF($E21="男",LOOKUP(H21,[1]对照表!$I$3:$I$24,[1]对照表!$L$3:$L$24),LOOKUP(H21,[1]对照表!$I$27:$I$48,[1]对照表!$L$27:$L$48)))))</f>
        <v>78</v>
      </c>
      <c r="J21" s="21">
        <v>243</v>
      </c>
      <c r="K21" s="32">
        <f>IF(B21="高三",IF($E21="男",LOOKUP(J21,[1]对照表!$O$3:$O$24,[1]对照表!$P$3:$P$24),LOOKUP(J21,[1]对照表!$O$27:$O$48,[1]对照表!$P$27:$P$48)),IF(B21="高二",IF($E21="男",LOOKUP(J21,[1]对照表!$N$3:$N$24,[1]对照表!$P$3:$P$24),LOOKUP(J21,[1]对照表!$N$27:$N$48,[1]对照表!$P$27:$P$48)),IF(B21="高一",IF($E21="男",LOOKUP(J21,[1]对照表!$M$3:$M$24,[1]对照表!$P$3:$P$24),LOOKUP(J21,[1]对照表!$M$27:$M$48,[1]对照表!$P$27:$P$48)))))</f>
        <v>85</v>
      </c>
      <c r="L21" s="21">
        <v>7</v>
      </c>
      <c r="M21" s="32">
        <f>IF(B21="高三",IF($E21="男",LOOKUP(L21,[1]对照表!$S$3:$S$24,[1]对照表!$T$3:$T$24),LOOKUP(L21,[1]对照表!$S$27:$S$48,[1]对照表!$T$27:$T$48)),IF(B21="高二",IF($E21="男",LOOKUP(L21,[1]对照表!$R$3:$R$24,[1]对照表!$T$3:$T$24),LOOKUP(L21,[1]对照表!$R$27:$R$48,[1]对照表!$T$27:$T$48)),IF(B21="高一",IF($E21="男",LOOKUP(L21,[1]对照表!$Q$3:$Q$24,[1]对照表!$T$3:$T$24),LOOKUP(L21,[1]对照表!$Q$27:$Q$48,[1]对照表!$T$27:$T$48)))))</f>
        <v>60</v>
      </c>
      <c r="N21" s="33">
        <f>IF(B21="高三",MAX(IF(E21="男",L21-18,L21-55),0),IF(B21="高二",MAX(IF(E21="男",L21-17,L21-54),0),IF(B21="高一",MAX(IF(E21="男",L21-16,L21-53),0))))</f>
        <v>0</v>
      </c>
      <c r="O21" s="23">
        <f>IF(E21="男",LOOKUP($N21,[1]对照表!$Z$3:$Z$13,[1]对照表!$AA$3:$AA$13),LOOKUP($N21,[1]对照表!$Z$15:$Z$25,[1]对照表!$AA$15:$AA$25))</f>
        <v>0</v>
      </c>
      <c r="P21" s="24">
        <f>M21+O21</f>
        <v>60</v>
      </c>
      <c r="Q21" s="25">
        <v>3.57</v>
      </c>
      <c r="R21" s="32">
        <f>IF(B21="高三",IF($E21="男",LOOKUP(Q21,[1]对照表!$W$3:$W$24,[1]对照表!$X$3:$X$24),LOOKUP(Q21,[1]对照表!$W$27:$W$48,[1]对照表!$X$27:$X$48)),IF(B21="高二",IF($E21="男",LOOKUP(Q21,[1]对照表!$V$3:$V$24,[1]对照表!$X$3:$X$24),LOOKUP(Q21,[1]对照表!$V$27:$V$48,[1]对照表!$X$27:$X$48)),IF(B21="高一",IF($E21="男",LOOKUP(Q21,[1]对照表!$U$3:$U$24,[1]对照表!$X$3:$X$24),LOOKUP(Q21,[1]对照表!$U$27:$U$48,[1]对照表!$X$27:$X$48)))))</f>
        <v>78</v>
      </c>
      <c r="S21" s="33">
        <f>ROUND(IF(IF($B21="高三",MIN(IF($E21="男",$Q21-3.2,$Q21-3.2),0),IF($B21="高二",MIN(IF($E21="男",$Q21-3.25,$Q21-3.22),0),IF($B21="高一",MIN(IF($E21="男",$Q21-3.3,$Q21-3.24),0))))&lt;-0.6,IF($B21="高三",MIN(IF($E21="男",$Q21-3.2,$Q21-3.2),0),IF($B21="高二",MIN(IF($E21="男",$Q21-3.25,$Q21-3.22),0),IF($B21="高一",MIN(IF($E21="男",$Q21-3.3,$Q21-3.24),0))))+0.4,IF($B21="高三",MIN(IF($E21="男",$Q21-3.2,$Q21-3.2),0),IF($B21="高二",MIN(IF($E21="男",$Q21-3.25,$Q21-3.22),0),IF($B21="高一",MIN(IF($E21="男",$Q21-3.3,$Q21-3.24),0))))),2)</f>
        <v>0</v>
      </c>
      <c r="T21" s="23">
        <f>IF(E21="男",LOOKUP($S21,[1]对照表!$AB$3:$AB$13,[1]对照表!$AC$3:$AC$13),LOOKUP($S21,[1]对照表!$AB$15:$AB$25,[1]对照表!$AC$15:$AC$25))</f>
        <v>0</v>
      </c>
      <c r="U21" s="26">
        <f>R21+T21</f>
        <v>78</v>
      </c>
      <c r="V21" s="26">
        <f>SUM(I21,K21,M21)/3*0.3+SUM(G21,R21)/2*0.4</f>
        <v>55.9</v>
      </c>
      <c r="W21" s="27">
        <f>O21+T21</f>
        <v>0</v>
      </c>
      <c r="X21" s="28">
        <f>V21/0.7+W21</f>
        <v>79.857142857142861</v>
      </c>
      <c r="Y21" s="28">
        <v>79.857142857142861</v>
      </c>
      <c r="Z21" s="21"/>
    </row>
    <row r="22" spans="1:26" x14ac:dyDescent="0.25">
      <c r="A22" s="16">
        <v>20</v>
      </c>
      <c r="B22" s="17" t="s">
        <v>21</v>
      </c>
      <c r="C22" s="16">
        <v>101</v>
      </c>
      <c r="D22" s="18" t="s">
        <v>371</v>
      </c>
      <c r="E22" s="21" t="s">
        <v>23</v>
      </c>
      <c r="F22" s="19">
        <v>7.1</v>
      </c>
      <c r="G22" s="32">
        <f>IF(B22="高三",IF($E22="男",LOOKUP(F22,[1]对照表!$G$3:$G$24,[1]对照表!$H$3:$H$24),LOOKUP(F22,[1]对照表!$G$27:$G$48,[1]对照表!$H$27:$H$48)),IF(B22="高二",IF($E22="男",LOOKUP(F22,[1]对照表!$F$3:$F$24,[1]对照表!$H$3:$H$24),LOOKUP(F22,[1]对照表!$F$27:$F$48,[1]对照表!$H$27:$H$48)),IF(B22="高一",IF($E22="男",LOOKUP(F22,[1]对照表!$E$3:$E$24,[1]对照表!$H$3:$H$24),LOOKUP(F22,[1]对照表!$E$27:$E$48,[1]对照表!$H$27:$H$48)))))</f>
        <v>100</v>
      </c>
      <c r="H22" s="21">
        <v>1</v>
      </c>
      <c r="I22" s="32">
        <f>IF(B22="高三",IF($E22="男",LOOKUP(H22,[1]对照表!$K$3:$K$24,[1]对照表!$L$3:$L$24),LOOKUP(H22,[1]对照表!$K$27:$K$48,[1]对照表!$L$27:$L$48)),IF(B22="高二",IF($E22="男",LOOKUP(H22,[1]对照表!$J$3:$J$24,[1]对照表!$L$3:$L$24),LOOKUP(H22,[1]对照表!$J$27:$J$48,[1]对照表!$L$27:$L$48)),IF(B22="高一",IF($E22="男",LOOKUP(H22,[1]对照表!$I$3:$I$24,[1]对照表!$L$3:$L$24),LOOKUP(H22,[1]对照表!$I$27:$I$48,[1]对照表!$L$27:$L$48)))))</f>
        <v>60</v>
      </c>
      <c r="J22" s="21">
        <v>224</v>
      </c>
      <c r="K22" s="32">
        <f>IF(B22="高三",IF($E22="男",LOOKUP(J22,[1]对照表!$O$3:$O$24,[1]对照表!$P$3:$P$24),LOOKUP(J22,[1]对照表!$O$27:$O$48,[1]对照表!$P$27:$P$48)),IF(B22="高二",IF($E22="男",LOOKUP(J22,[1]对照表!$N$3:$N$24,[1]对照表!$P$3:$P$24),LOOKUP(J22,[1]对照表!$N$27:$N$48,[1]对照表!$P$27:$P$48)),IF(B22="高一",IF($E22="男",LOOKUP(J22,[1]对照表!$M$3:$M$24,[1]对照表!$P$3:$P$24),LOOKUP(J22,[1]对照表!$M$27:$M$48,[1]对照表!$P$27:$P$48)))))</f>
        <v>74</v>
      </c>
      <c r="L22" s="21">
        <v>10</v>
      </c>
      <c r="M22" s="32">
        <f>IF(B22="高三",IF($E22="男",LOOKUP(L22,[1]对照表!$S$3:$S$24,[1]对照表!$T$3:$T$24),LOOKUP(L22,[1]对照表!$S$27:$S$48,[1]对照表!$T$27:$T$48)),IF(B22="高二",IF($E22="男",LOOKUP(L22,[1]对照表!$R$3:$R$24,[1]对照表!$T$3:$T$24),LOOKUP(L22,[1]对照表!$R$27:$R$48,[1]对照表!$T$27:$T$48)),IF(B22="高一",IF($E22="男",LOOKUP(L22,[1]对照表!$Q$3:$Q$24,[1]对照表!$T$3:$T$24),LOOKUP(L22,[1]对照表!$Q$27:$Q$48,[1]对照表!$T$27:$T$48)))))</f>
        <v>72</v>
      </c>
      <c r="N22" s="33">
        <f>IF(B22="高三",MAX(IF(E22="男",L22-18,L22-55),0),IF(B22="高二",MAX(IF(E22="男",L22-17,L22-54),0),IF(B22="高一",MAX(IF(E22="男",L22-16,L22-53),0))))</f>
        <v>0</v>
      </c>
      <c r="O22" s="23">
        <f>IF(E22="男",LOOKUP($N22,[1]对照表!$Z$3:$Z$13,[1]对照表!$AA$3:$AA$13),LOOKUP($N22,[1]对照表!$Z$15:$Z$25,[1]对照表!$AA$15:$AA$25))</f>
        <v>0</v>
      </c>
      <c r="P22" s="24">
        <f>M22+O22</f>
        <v>72</v>
      </c>
      <c r="Q22" s="25">
        <v>4.0199999999999996</v>
      </c>
      <c r="R22" s="32">
        <f>IF(B22="高三",IF($E22="男",LOOKUP(Q22,[1]对照表!$W$3:$W$24,[1]对照表!$X$3:$X$24),LOOKUP(Q22,[1]对照表!$W$27:$W$48,[1]对照表!$X$27:$X$48)),IF(B22="高二",IF($E22="男",LOOKUP(Q22,[1]对照表!$V$3:$V$24,[1]对照表!$X$3:$X$24),LOOKUP(Q22,[1]对照表!$V$27:$V$48,[1]对照表!$X$27:$X$48)),IF(B22="高一",IF($E22="男",LOOKUP(Q22,[1]对照表!$U$3:$U$24,[1]对照表!$X$3:$X$24),LOOKUP(Q22,[1]对照表!$U$27:$U$48,[1]对照表!$X$27:$X$48)))))</f>
        <v>76</v>
      </c>
      <c r="S22" s="33">
        <f>ROUND(IF(IF($B22="高三",MIN(IF($E22="男",$Q22-3.2,$Q22-3.2),0),IF($B22="高二",MIN(IF($E22="男",$Q22-3.25,$Q22-3.22),0),IF($B22="高一",MIN(IF($E22="男",$Q22-3.3,$Q22-3.24),0))))&lt;-0.6,IF($B22="高三",MIN(IF($E22="男",$Q22-3.2,$Q22-3.2),0),IF($B22="高二",MIN(IF($E22="男",$Q22-3.25,$Q22-3.22),0),IF($B22="高一",MIN(IF($E22="男",$Q22-3.3,$Q22-3.24),0))))+0.4,IF($B22="高三",MIN(IF($E22="男",$Q22-3.2,$Q22-3.2),0),IF($B22="高二",MIN(IF($E22="男",$Q22-3.25,$Q22-3.22),0),IF($B22="高一",MIN(IF($E22="男",$Q22-3.3,$Q22-3.24),0))))),2)</f>
        <v>0</v>
      </c>
      <c r="T22" s="23">
        <f>IF(E22="男",LOOKUP($S22,[1]对照表!$AB$3:$AB$13,[1]对照表!$AC$3:$AC$13),LOOKUP($S22,[1]对照表!$AB$15:$AB$25,[1]对照表!$AC$15:$AC$25))</f>
        <v>0</v>
      </c>
      <c r="U22" s="26">
        <f>R22+T22</f>
        <v>76</v>
      </c>
      <c r="V22" s="26">
        <f>SUM(I22,K22,M22)/3*0.3+SUM(G22,R22)/2*0.4</f>
        <v>55.800000000000004</v>
      </c>
      <c r="W22" s="27">
        <f>O22+T22</f>
        <v>0</v>
      </c>
      <c r="X22" s="28">
        <f>V22/0.7+W22</f>
        <v>79.714285714285722</v>
      </c>
      <c r="Y22" s="28">
        <v>79.714285714285722</v>
      </c>
      <c r="Z22" s="21"/>
    </row>
    <row r="23" spans="1:26" x14ac:dyDescent="0.25">
      <c r="A23" s="16">
        <v>39</v>
      </c>
      <c r="B23" s="17" t="s">
        <v>21</v>
      </c>
      <c r="C23" s="16">
        <v>101</v>
      </c>
      <c r="D23" s="18" t="s">
        <v>372</v>
      </c>
      <c r="E23" s="17" t="s">
        <v>23</v>
      </c>
      <c r="F23" s="19">
        <v>7.3</v>
      </c>
      <c r="G23" s="32">
        <f>IF(B23="高三",IF($E23="男",LOOKUP(F23,[1]对照表!$G$3:$G$24,[1]对照表!$H$3:$H$24),LOOKUP(F23,[1]对照表!$G$27:$G$48,[1]对照表!$H$27:$H$48)),IF(B23="高二",IF($E23="男",LOOKUP(F23,[1]对照表!$F$3:$F$24,[1]对照表!$H$3:$H$24),LOOKUP(F23,[1]对照表!$F$27:$F$48,[1]对照表!$H$27:$H$48)),IF(B23="高一",IF($E23="男",LOOKUP(F23,[1]对照表!$E$3:$E$24,[1]对照表!$H$3:$H$24),LOOKUP(F23,[1]对照表!$E$27:$E$48,[1]对照表!$H$27:$H$48)))))</f>
        <v>90</v>
      </c>
      <c r="H23" s="21">
        <v>17.2</v>
      </c>
      <c r="I23" s="32">
        <f>IF(B23="高三",IF($E23="男",LOOKUP(H23,[1]对照表!$K$3:$K$24,[1]对照表!$L$3:$L$24),LOOKUP(H23,[1]对照表!$K$27:$K$48,[1]对照表!$L$27:$L$48)),IF(B23="高二",IF($E23="男",LOOKUP(H23,[1]对照表!$J$3:$J$24,[1]对照表!$L$3:$L$24),LOOKUP(H23,[1]对照表!$J$27:$J$48,[1]对照表!$L$27:$L$48)),IF(B23="高一",IF($E23="男",LOOKUP(H23,[1]对照表!$I$3:$I$24,[1]对照表!$L$3:$L$24),LOOKUP(H23,[1]对照表!$I$27:$I$48,[1]对照表!$L$27:$L$48)))))</f>
        <v>85</v>
      </c>
      <c r="J23" s="21">
        <v>212</v>
      </c>
      <c r="K23" s="32">
        <f>IF(B23="高三",IF($E23="男",LOOKUP(J23,[1]对照表!$O$3:$O$24,[1]对照表!$P$3:$P$24),LOOKUP(J23,[1]对照表!$O$27:$O$48,[1]对照表!$P$27:$P$48)),IF(B23="高二",IF($E23="男",LOOKUP(J23,[1]对照表!$N$3:$N$24,[1]对照表!$P$3:$P$24),LOOKUP(J23,[1]对照表!$N$27:$N$48,[1]对照表!$P$27:$P$48)),IF(B23="高一",IF($E23="男",LOOKUP(J23,[1]对照表!$M$3:$M$24,[1]对照表!$P$3:$P$24),LOOKUP(J23,[1]对照表!$M$27:$M$48,[1]对照表!$P$27:$P$48)))))</f>
        <v>68</v>
      </c>
      <c r="L23" s="21">
        <v>8</v>
      </c>
      <c r="M23" s="32">
        <f>IF(B23="高三",IF($E23="男",LOOKUP(L23,[1]对照表!$S$3:$S$24,[1]对照表!$T$3:$T$24),LOOKUP(L23,[1]对照表!$S$27:$S$48,[1]对照表!$T$27:$T$48)),IF(B23="高二",IF($E23="男",LOOKUP(L23,[1]对照表!$R$3:$R$24,[1]对照表!$T$3:$T$24),LOOKUP(L23,[1]对照表!$R$27:$R$48,[1]对照表!$T$27:$T$48)),IF(B23="高一",IF($E23="男",LOOKUP(L23,[1]对照表!$Q$3:$Q$24,[1]对照表!$T$3:$T$24),LOOKUP(L23,[1]对照表!$Q$27:$Q$48,[1]对照表!$T$27:$T$48)))))</f>
        <v>64</v>
      </c>
      <c r="N23" s="33">
        <f>IF(B23="高三",MAX(IF(E23="男",L23-18,L23-55),0),IF(B23="高二",MAX(IF(E23="男",L23-17,L23-54),0),IF(B23="高一",MAX(IF(E23="男",L23-16,L23-53),0))))</f>
        <v>0</v>
      </c>
      <c r="O23" s="23">
        <f>IF(E23="男",LOOKUP($N23,[1]对照表!$Z$3:$Z$13,[1]对照表!$AA$3:$AA$13),LOOKUP($N23,[1]对照表!$Z$15:$Z$25,[1]对照表!$AA$15:$AA$25))</f>
        <v>0</v>
      </c>
      <c r="P23" s="24">
        <f>M23+O23</f>
        <v>64</v>
      </c>
      <c r="Q23" s="25">
        <v>3.49</v>
      </c>
      <c r="R23" s="32">
        <f>IF(B23="高三",IF($E23="男",LOOKUP(Q23,[1]对照表!$W$3:$W$24,[1]对照表!$X$3:$X$24),LOOKUP(Q23,[1]对照表!$W$27:$W$48,[1]对照表!$X$27:$X$48)),IF(B23="高二",IF($E23="男",LOOKUP(Q23,[1]对照表!$V$3:$V$24,[1]对照表!$X$3:$X$24),LOOKUP(Q23,[1]对照表!$V$27:$V$48,[1]对照表!$X$27:$X$48)),IF(B23="高一",IF($E23="男",LOOKUP(Q23,[1]对照表!$U$3:$U$24,[1]对照表!$X$3:$X$24),LOOKUP(Q23,[1]对照表!$U$27:$U$48,[1]对照表!$X$27:$X$48)))))</f>
        <v>80</v>
      </c>
      <c r="S23" s="33">
        <f>ROUND(IF(IF($B23="高三",MIN(IF($E23="男",$Q23-3.2,$Q23-3.2),0),IF($B23="高二",MIN(IF($E23="男",$Q23-3.25,$Q23-3.22),0),IF($B23="高一",MIN(IF($E23="男",$Q23-3.3,$Q23-3.24),0))))&lt;-0.6,IF($B23="高三",MIN(IF($E23="男",$Q23-3.2,$Q23-3.2),0),IF($B23="高二",MIN(IF($E23="男",$Q23-3.25,$Q23-3.22),0),IF($B23="高一",MIN(IF($E23="男",$Q23-3.3,$Q23-3.24),0))))+0.4,IF($B23="高三",MIN(IF($E23="男",$Q23-3.2,$Q23-3.2),0),IF($B23="高二",MIN(IF($E23="男",$Q23-3.25,$Q23-3.22),0),IF($B23="高一",MIN(IF($E23="男",$Q23-3.3,$Q23-3.24),0))))),2)</f>
        <v>0</v>
      </c>
      <c r="T23" s="23">
        <f>IF(E23="男",LOOKUP($S23,[1]对照表!$AB$3:$AB$13,[1]对照表!$AC$3:$AC$13),LOOKUP($S23,[1]对照表!$AB$15:$AB$25,[1]对照表!$AC$15:$AC$25))</f>
        <v>0</v>
      </c>
      <c r="U23" s="26">
        <f>R23+T23</f>
        <v>80</v>
      </c>
      <c r="V23" s="26">
        <f>SUM(I23,K23,M23)/3*0.3+SUM(G23,R23)/2*0.4</f>
        <v>55.7</v>
      </c>
      <c r="W23" s="27">
        <f>O23+T23</f>
        <v>0</v>
      </c>
      <c r="X23" s="28">
        <f>V23/0.7+W23</f>
        <v>79.571428571428584</v>
      </c>
      <c r="Y23" s="28">
        <v>79.571428571428584</v>
      </c>
      <c r="Z23" s="21"/>
    </row>
    <row r="24" spans="1:26" x14ac:dyDescent="0.25">
      <c r="A24" s="16">
        <v>8</v>
      </c>
      <c r="B24" s="17" t="s">
        <v>21</v>
      </c>
      <c r="C24" s="16">
        <v>101</v>
      </c>
      <c r="D24" s="18" t="s">
        <v>373</v>
      </c>
      <c r="E24" s="16" t="s">
        <v>23</v>
      </c>
      <c r="F24" s="19">
        <v>7.6</v>
      </c>
      <c r="G24" s="32">
        <f>IF(B24="高三",IF($E24="男",LOOKUP(F24,[1]对照表!$G$3:$G$24,[1]对照表!$H$3:$H$24),LOOKUP(F24,[1]对照表!$G$27:$G$48,[1]对照表!$H$27:$H$48)),IF(B24="高二",IF($E24="男",LOOKUP(F24,[1]对照表!$F$3:$F$24,[1]对照表!$H$3:$H$24),LOOKUP(F24,[1]对照表!$F$27:$F$48,[1]对照表!$H$27:$H$48)),IF(B24="高一",IF($E24="男",LOOKUP(F24,[1]对照表!$E$3:$E$24,[1]对照表!$H$3:$H$24),LOOKUP(F24,[1]对照表!$E$27:$E$48,[1]对照表!$H$27:$H$48)))))</f>
        <v>78</v>
      </c>
      <c r="H24" s="21">
        <v>14.5</v>
      </c>
      <c r="I24" s="32">
        <f>IF(B24="高三",IF($E24="男",LOOKUP(H24,[1]对照表!$K$3:$K$24,[1]对照表!$L$3:$L$24),LOOKUP(H24,[1]对照表!$K$27:$K$48,[1]对照表!$L$27:$L$48)),IF(B24="高二",IF($E24="男",LOOKUP(H24,[1]对照表!$J$3:$J$24,[1]对照表!$L$3:$L$24),LOOKUP(H24,[1]对照表!$J$27:$J$48,[1]对照表!$L$27:$L$48)),IF(B24="高一",IF($E24="男",LOOKUP(H24,[1]对照表!$I$3:$I$24,[1]对照表!$L$3:$L$24),LOOKUP(H24,[1]对照表!$I$27:$I$48,[1]对照表!$L$27:$L$48)))))</f>
        <v>78</v>
      </c>
      <c r="J24" s="21">
        <v>250</v>
      </c>
      <c r="K24" s="32">
        <f>IF(B24="高三",IF($E24="男",LOOKUP(J24,[1]对照表!$O$3:$O$24,[1]对照表!$P$3:$P$24),LOOKUP(J24,[1]对照表!$O$27:$O$48,[1]对照表!$P$27:$P$48)),IF(B24="高二",IF($E24="男",LOOKUP(J24,[1]对照表!$N$3:$N$24,[1]对照表!$P$3:$P$24),LOOKUP(J24,[1]对照表!$N$27:$N$48,[1]对照表!$P$27:$P$48)),IF(B24="高一",IF($E24="男",LOOKUP(J24,[1]对照表!$M$3:$M$24,[1]对照表!$P$3:$P$24),LOOKUP(J24,[1]对照表!$M$27:$M$48,[1]对照表!$P$27:$P$48)))))</f>
        <v>90</v>
      </c>
      <c r="L24" s="21">
        <v>10</v>
      </c>
      <c r="M24" s="32">
        <f>IF(B24="高三",IF($E24="男",LOOKUP(L24,[1]对照表!$S$3:$S$24,[1]对照表!$T$3:$T$24),LOOKUP(L24,[1]对照表!$S$27:$S$48,[1]对照表!$T$27:$T$48)),IF(B24="高二",IF($E24="男",LOOKUP(L24,[1]对照表!$R$3:$R$24,[1]对照表!$T$3:$T$24),LOOKUP(L24,[1]对照表!$R$27:$R$48,[1]对照表!$T$27:$T$48)),IF(B24="高一",IF($E24="男",LOOKUP(L24,[1]对照表!$Q$3:$Q$24,[1]对照表!$T$3:$T$24),LOOKUP(L24,[1]对照表!$Q$27:$Q$48,[1]对照表!$T$27:$T$48)))))</f>
        <v>72</v>
      </c>
      <c r="N24" s="33">
        <f>IF(B24="高三",MAX(IF(E24="男",L24-18,L24-55),0),IF(B24="高二",MAX(IF(E24="男",L24-17,L24-54),0),IF(B24="高一",MAX(IF(E24="男",L24-16,L24-53),0))))</f>
        <v>0</v>
      </c>
      <c r="O24" s="23">
        <f>IF(E24="男",LOOKUP($N24,[1]对照表!$Z$3:$Z$13,[1]对照表!$AA$3:$AA$13),LOOKUP($N24,[1]对照表!$Z$15:$Z$25,[1]对照表!$AA$15:$AA$25))</f>
        <v>0</v>
      </c>
      <c r="P24" s="24">
        <f>M24+O24</f>
        <v>72</v>
      </c>
      <c r="Q24" s="25">
        <v>3.54</v>
      </c>
      <c r="R24" s="32">
        <f>IF(B24="高三",IF($E24="男",LOOKUP(Q24,[1]对照表!$W$3:$W$24,[1]对照表!$X$3:$X$24),LOOKUP(Q24,[1]对照表!$W$27:$W$48,[1]对照表!$X$27:$X$48)),IF(B24="高二",IF($E24="男",LOOKUP(Q24,[1]对照表!$V$3:$V$24,[1]对照表!$X$3:$X$24),LOOKUP(Q24,[1]对照表!$V$27:$V$48,[1]对照表!$X$27:$X$48)),IF(B24="高一",IF($E24="男",LOOKUP(Q24,[1]对照表!$U$3:$U$24,[1]对照表!$X$3:$X$24),LOOKUP(Q24,[1]对照表!$U$27:$U$48,[1]对照表!$X$27:$X$48)))))</f>
        <v>80</v>
      </c>
      <c r="S24" s="33">
        <f>ROUND(IF(IF($B24="高三",MIN(IF($E24="男",$Q24-3.2,$Q24-3.2),0),IF($B24="高二",MIN(IF($E24="男",$Q24-3.25,$Q24-3.22),0),IF($B24="高一",MIN(IF($E24="男",$Q24-3.3,$Q24-3.24),0))))&lt;-0.6,IF($B24="高三",MIN(IF($E24="男",$Q24-3.2,$Q24-3.2),0),IF($B24="高二",MIN(IF($E24="男",$Q24-3.25,$Q24-3.22),0),IF($B24="高一",MIN(IF($E24="男",$Q24-3.3,$Q24-3.24),0))))+0.4,IF($B24="高三",MIN(IF($E24="男",$Q24-3.2,$Q24-3.2),0),IF($B24="高二",MIN(IF($E24="男",$Q24-3.25,$Q24-3.22),0),IF($B24="高一",MIN(IF($E24="男",$Q24-3.3,$Q24-3.24),0))))),2)</f>
        <v>0</v>
      </c>
      <c r="T24" s="23">
        <f>IF(E24="男",LOOKUP($S24,[1]对照表!$AB$3:$AB$13,[1]对照表!$AC$3:$AC$13),LOOKUP($S24,[1]对照表!$AB$15:$AB$25,[1]对照表!$AC$15:$AC$25))</f>
        <v>0</v>
      </c>
      <c r="U24" s="26">
        <f>R24+T24</f>
        <v>80</v>
      </c>
      <c r="V24" s="26">
        <f>SUM(I24,K24,M24)/3*0.3+SUM(G24,R24)/2*0.4</f>
        <v>55.6</v>
      </c>
      <c r="W24" s="27">
        <f>O24+T24</f>
        <v>0</v>
      </c>
      <c r="X24" s="28">
        <f>V24/0.7+W24</f>
        <v>79.428571428571431</v>
      </c>
      <c r="Y24" s="28">
        <v>79.428571428571431</v>
      </c>
      <c r="Z24" s="21"/>
    </row>
    <row r="25" spans="1:26" x14ac:dyDescent="0.25">
      <c r="A25" s="16">
        <v>11</v>
      </c>
      <c r="B25" s="17" t="s">
        <v>21</v>
      </c>
      <c r="C25" s="16">
        <v>101</v>
      </c>
      <c r="D25" s="18" t="s">
        <v>379</v>
      </c>
      <c r="E25" s="34" t="s">
        <v>23</v>
      </c>
      <c r="F25" s="19">
        <v>7.8</v>
      </c>
      <c r="G25" s="32">
        <f>IF(B25="高三",IF($E25="男",LOOKUP(F25,[1]对照表!$G$3:$G$24,[1]对照表!$H$3:$H$24),LOOKUP(F25,[1]对照表!$G$27:$G$48,[1]对照表!$H$27:$H$48)),IF(B25="高二",IF($E25="男",LOOKUP(F25,[1]对照表!$F$3:$F$24,[1]对照表!$H$3:$H$24),LOOKUP(F25,[1]对照表!$F$27:$F$48,[1]对照表!$H$27:$H$48)),IF(B25="高一",IF($E25="男",LOOKUP(F25,[1]对照表!$E$3:$E$24,[1]对照表!$H$3:$H$24),LOOKUP(F25,[1]对照表!$E$27:$E$48,[1]对照表!$H$27:$H$48)))))</f>
        <v>76</v>
      </c>
      <c r="H25" s="21">
        <v>17.7</v>
      </c>
      <c r="I25" s="32">
        <f>IF(B25="高三",IF($E25="男",LOOKUP(H25,[1]对照表!$K$3:$K$24,[1]对照表!$L$3:$L$24),LOOKUP(H25,[1]对照表!$K$27:$K$48,[1]对照表!$L$27:$L$48)),IF(B25="高二",IF($E25="男",LOOKUP(H25,[1]对照表!$J$3:$J$24,[1]对照表!$L$3:$L$24),LOOKUP(H25,[1]对照表!$J$27:$J$48,[1]对照表!$L$27:$L$48)),IF(B25="高一",IF($E25="男",LOOKUP(H25,[1]对照表!$I$3:$I$24,[1]对照表!$L$3:$L$24),LOOKUP(H25,[1]对照表!$I$27:$I$48,[1]对照表!$L$27:$L$48)))))</f>
        <v>85</v>
      </c>
      <c r="J25" s="21">
        <v>225</v>
      </c>
      <c r="K25" s="32">
        <f>IF(B25="高三",IF($E25="男",LOOKUP(J25,[1]对照表!$O$3:$O$24,[1]对照表!$P$3:$P$24),LOOKUP(J25,[1]对照表!$O$27:$O$48,[1]对照表!$P$27:$P$48)),IF(B25="高二",IF($E25="男",LOOKUP(J25,[1]对照表!$N$3:$N$24,[1]对照表!$P$3:$P$24),LOOKUP(J25,[1]对照表!$N$27:$N$48,[1]对照表!$P$27:$P$48)),IF(B25="高一",IF($E25="男",LOOKUP(J25,[1]对照表!$M$3:$M$24,[1]对照表!$P$3:$P$24),LOOKUP(J25,[1]对照表!$M$27:$M$48,[1]对照表!$P$27:$P$48)))))</f>
        <v>74</v>
      </c>
      <c r="L25" s="21">
        <v>15</v>
      </c>
      <c r="M25" s="32">
        <f>IF(B25="高三",IF($E25="男",LOOKUP(L25,[1]对照表!$S$3:$S$24,[1]对照表!$T$3:$T$24),LOOKUP(L25,[1]对照表!$S$27:$S$48,[1]对照表!$T$27:$T$48)),IF(B25="高二",IF($E25="男",LOOKUP(L25,[1]对照表!$R$3:$R$24,[1]对照表!$T$3:$T$24),LOOKUP(L25,[1]对照表!$R$27:$R$48,[1]对照表!$T$27:$T$48)),IF(B25="高一",IF($E25="男",LOOKUP(L25,[1]对照表!$Q$3:$Q$24,[1]对照表!$T$3:$T$24),LOOKUP(L25,[1]对照表!$Q$27:$Q$48,[1]对照表!$T$27:$T$48)))))</f>
        <v>95</v>
      </c>
      <c r="N25" s="33">
        <f>IF(B25="高三",MAX(IF(E25="男",L25-18,L25-55),0),IF(B25="高二",MAX(IF(E25="男",L25-17,L25-54),0),IF(B25="高一",MAX(IF(E25="男",L25-16,L25-53),0))))</f>
        <v>0</v>
      </c>
      <c r="O25" s="23">
        <f>IF(E25="男",LOOKUP($N25,[1]对照表!$Z$3:$Z$13,[1]对照表!$AA$3:$AA$13),LOOKUP($N25,[1]对照表!$Z$15:$Z$25,[1]对照表!$AA$15:$AA$25))</f>
        <v>0</v>
      </c>
      <c r="P25" s="24">
        <f>M25+O25</f>
        <v>95</v>
      </c>
      <c r="Q25" s="25">
        <v>4.12</v>
      </c>
      <c r="R25" s="32">
        <f>IF(B25="高三",IF($E25="男",LOOKUP(Q25,[1]对照表!$W$3:$W$24,[1]对照表!$X$3:$X$24),LOOKUP(Q25,[1]对照表!$W$27:$W$48,[1]对照表!$X$27:$X$48)),IF(B25="高二",IF($E25="男",LOOKUP(Q25,[1]对照表!$V$3:$V$24,[1]对照表!$X$3:$X$24),LOOKUP(Q25,[1]对照表!$V$27:$V$48,[1]对照表!$X$27:$X$48)),IF(B25="高一",IF($E25="男",LOOKUP(Q25,[1]对照表!$U$3:$U$24,[1]对照表!$X$3:$X$24),LOOKUP(Q25,[1]对照表!$U$27:$U$48,[1]对照表!$X$27:$X$48)))))</f>
        <v>72</v>
      </c>
      <c r="S25" s="33">
        <f>ROUND(IF(IF($B25="高三",MIN(IF($E25="男",$Q25-3.2,$Q25-3.2),0),IF($B25="高二",MIN(IF($E25="男",$Q25-3.25,$Q25-3.22),0),IF($B25="高一",MIN(IF($E25="男",$Q25-3.3,$Q25-3.24),0))))&lt;-0.6,IF($B25="高三",MIN(IF($E25="男",$Q25-3.2,$Q25-3.2),0),IF($B25="高二",MIN(IF($E25="男",$Q25-3.25,$Q25-3.22),0),IF($B25="高一",MIN(IF($E25="男",$Q25-3.3,$Q25-3.24),0))))+0.4,IF($B25="高三",MIN(IF($E25="男",$Q25-3.2,$Q25-3.2),0),IF($B25="高二",MIN(IF($E25="男",$Q25-3.25,$Q25-3.22),0),IF($B25="高一",MIN(IF($E25="男",$Q25-3.3,$Q25-3.24),0))))),2)</f>
        <v>0</v>
      </c>
      <c r="T25" s="23">
        <f>IF(E25="男",LOOKUP($S25,[1]对照表!$AB$3:$AB$13,[1]对照表!$AC$3:$AC$13),LOOKUP($S25,[1]对照表!$AB$15:$AB$25,[1]对照表!$AC$15:$AC$25))</f>
        <v>0</v>
      </c>
      <c r="U25" s="26">
        <f>R25+T25</f>
        <v>72</v>
      </c>
      <c r="V25" s="26">
        <f>SUM(I25,K25,M25)/3*0.3+SUM(G25,R25)/2*0.4</f>
        <v>55</v>
      </c>
      <c r="W25" s="27">
        <f>O25+T25</f>
        <v>0</v>
      </c>
      <c r="X25" s="28">
        <f>V25/0.7+W25</f>
        <v>78.571428571428569</v>
      </c>
      <c r="Y25" s="28">
        <v>78.571428571428569</v>
      </c>
      <c r="Z25" s="21"/>
    </row>
    <row r="26" spans="1:26" x14ac:dyDescent="0.25">
      <c r="A26" s="16">
        <v>3</v>
      </c>
      <c r="B26" s="17" t="s">
        <v>21</v>
      </c>
      <c r="C26" s="16">
        <v>101</v>
      </c>
      <c r="D26" s="18" t="s">
        <v>382</v>
      </c>
      <c r="E26" s="16" t="s">
        <v>23</v>
      </c>
      <c r="F26" s="19">
        <v>6.7</v>
      </c>
      <c r="G26" s="32">
        <f>IF(B26="高三",IF($E26="男",LOOKUP(F26,[1]对照表!$G$3:$G$24,[1]对照表!$H$3:$H$24),LOOKUP(F26,[1]对照表!$G$27:$G$48,[1]对照表!$H$27:$H$48)),IF(B26="高二",IF($E26="男",LOOKUP(F26,[1]对照表!$F$3:$F$24,[1]对照表!$H$3:$H$24),LOOKUP(F26,[1]对照表!$F$27:$F$48,[1]对照表!$H$27:$H$48)),IF(B26="高一",IF($E26="男",LOOKUP(F26,[1]对照表!$E$3:$E$24,[1]对照表!$H$3:$H$24),LOOKUP(F26,[1]对照表!$E$27:$E$48,[1]对照表!$H$27:$H$48)))))</f>
        <v>100</v>
      </c>
      <c r="H26" s="21">
        <v>6.1</v>
      </c>
      <c r="I26" s="32">
        <f>IF(B26="高三",IF($E26="男",LOOKUP(H26,[1]对照表!$K$3:$K$24,[1]对照表!$L$3:$L$24),LOOKUP(H26,[1]对照表!$K$27:$K$48,[1]对照表!$L$27:$L$48)),IF(B26="高二",IF($E26="男",LOOKUP(H26,[1]对照表!$J$3:$J$24,[1]对照表!$L$3:$L$24),LOOKUP(H26,[1]对照表!$J$27:$J$48,[1]对照表!$L$27:$L$48)),IF(B26="高一",IF($E26="男",LOOKUP(H26,[1]对照表!$I$3:$I$24,[1]对照表!$L$3:$L$24),LOOKUP(H26,[1]对照表!$I$27:$I$48,[1]对照表!$L$27:$L$48)))))</f>
        <v>66</v>
      </c>
      <c r="J26" s="21">
        <v>228</v>
      </c>
      <c r="K26" s="32">
        <f>IF(B26="高三",IF($E26="男",LOOKUP(J26,[1]对照表!$O$3:$O$24,[1]对照表!$P$3:$P$24),LOOKUP(J26,[1]对照表!$O$27:$O$48,[1]对照表!$P$27:$P$48)),IF(B26="高二",IF($E26="男",LOOKUP(J26,[1]对照表!$N$3:$N$24,[1]对照表!$P$3:$P$24),LOOKUP(J26,[1]对照表!$N$27:$N$48,[1]对照表!$P$27:$P$48)),IF(B26="高一",IF($E26="男",LOOKUP(J26,[1]对照表!$M$3:$M$24,[1]对照表!$P$3:$P$24),LOOKUP(J26,[1]对照表!$M$27:$M$48,[1]对照表!$P$27:$P$48)))))</f>
        <v>76</v>
      </c>
      <c r="L26" s="21" t="s">
        <v>319</v>
      </c>
      <c r="M26" s="20">
        <v>0</v>
      </c>
      <c r="N26" s="42">
        <v>0</v>
      </c>
      <c r="O26" s="43">
        <f>IF(E26="男",LOOKUP($N26,[1]对照表!$Z$3:$Z$13,[1]对照表!$AA$3:$AA$13),LOOKUP($N26,[1]对照表!$Z$15:$Z$25,[1]对照表!$AA$15:$AA$25))</f>
        <v>0</v>
      </c>
      <c r="P26" s="24">
        <f>M26+O26</f>
        <v>0</v>
      </c>
      <c r="Q26" s="25">
        <v>3.23</v>
      </c>
      <c r="R26" s="32">
        <f>IF(B26="高三",IF($E26="男",LOOKUP(Q26,[1]对照表!$W$3:$W$24,[1]对照表!$X$3:$X$24),LOOKUP(Q26,[1]对照表!$W$27:$W$48,[1]对照表!$X$27:$X$48)),IF(B26="高二",IF($E26="男",LOOKUP(Q26,[1]对照表!$V$3:$V$24,[1]对照表!$X$3:$X$24),LOOKUP(Q26,[1]对照表!$V$27:$V$48,[1]对照表!$X$27:$X$48)),IF(B26="高一",IF($E26="男",LOOKUP(Q26,[1]对照表!$U$3:$U$24,[1]对照表!$X$3:$X$24),LOOKUP(Q26,[1]对照表!$U$27:$U$48,[1]对照表!$X$27:$X$48)))))</f>
        <v>100</v>
      </c>
      <c r="S26" s="33">
        <f>ROUND(IF(IF($B26="高三",MIN(IF($E26="男",$Q26-3.2,$Q26-3.2),0),IF($B26="高二",MIN(IF($E26="男",$Q26-3.25,$Q26-3.22),0),IF($B26="高一",MIN(IF($E26="男",$Q26-3.3,$Q26-3.24),0))))&lt;-0.6,IF($B26="高三",MIN(IF($E26="男",$Q26-3.2,$Q26-3.2),0),IF($B26="高二",MIN(IF($E26="男",$Q26-3.25,$Q26-3.22),0),IF($B26="高一",MIN(IF($E26="男",$Q26-3.3,$Q26-3.24),0))))+0.4,IF($B26="高三",MIN(IF($E26="男",$Q26-3.2,$Q26-3.2),0),IF($B26="高二",MIN(IF($E26="男",$Q26-3.25,$Q26-3.22),0),IF($B26="高一",MIN(IF($E26="男",$Q26-3.3,$Q26-3.24),0))))),2)</f>
        <v>-7.0000000000000007E-2</v>
      </c>
      <c r="T26" s="23">
        <f>IF(E26="男",LOOKUP($S26,[1]对照表!$AB$3:$AB$13,[1]对照表!$AC$3:$AC$13),LOOKUP($S26,[1]对照表!$AB$15:$AB$25,[1]对照表!$AC$15:$AC$25))</f>
        <v>1</v>
      </c>
      <c r="U26" s="26">
        <f>R26+T26</f>
        <v>101</v>
      </c>
      <c r="V26" s="26">
        <f>SUM(I26,K26,M26)/3*0.3+SUM(G26,R26)/2*0.4</f>
        <v>54.2</v>
      </c>
      <c r="W26" s="27">
        <f>O26+T26</f>
        <v>1</v>
      </c>
      <c r="X26" s="28">
        <f>V26/0.7+W26</f>
        <v>78.428571428571431</v>
      </c>
      <c r="Y26" s="28">
        <v>78.428571428571431</v>
      </c>
      <c r="Z26" s="21"/>
    </row>
    <row r="27" spans="1:26" x14ac:dyDescent="0.25">
      <c r="A27" s="16">
        <v>47</v>
      </c>
      <c r="B27" s="17" t="s">
        <v>21</v>
      </c>
      <c r="C27" s="16">
        <v>101</v>
      </c>
      <c r="D27" s="18" t="s">
        <v>443</v>
      </c>
      <c r="E27" s="16" t="s">
        <v>65</v>
      </c>
      <c r="F27" s="19">
        <v>8.5399999999999991</v>
      </c>
      <c r="G27" s="32">
        <f>IF(B27="高三",IF($E27="男",LOOKUP(F27,[1]对照表!$G$3:$G$24,[1]对照表!$H$3:$H$24),LOOKUP(F27,[1]对照表!$G$27:$G$48,[1]对照表!$H$27:$H$48)),IF(B27="高二",IF($E27="男",LOOKUP(F27,[1]对照表!$F$3:$F$24,[1]对照表!$H$3:$H$24),LOOKUP(F27,[1]对照表!$F$27:$F$48,[1]对照表!$H$27:$H$48)),IF(B27="高一",IF($E27="男",LOOKUP(F27,[1]对照表!$E$3:$E$24,[1]对照表!$H$3:$H$24),LOOKUP(F27,[1]对照表!$E$27:$E$48,[1]对照表!$H$27:$H$48)))))</f>
        <v>80</v>
      </c>
      <c r="H27" s="21">
        <v>20.5</v>
      </c>
      <c r="I27" s="32">
        <f>IF(B27="高三",IF($E27="男",LOOKUP(H27,[1]对照表!$K$3:$K$24,[1]对照表!$L$3:$L$24),LOOKUP(H27,[1]对照表!$K$27:$K$48,[1]对照表!$L$27:$L$48)),IF(B27="高二",IF($E27="男",LOOKUP(H27,[1]对照表!$J$3:$J$24,[1]对照表!$L$3:$L$24),LOOKUP(H27,[1]对照表!$J$27:$J$48,[1]对照表!$L$27:$L$48)),IF(B27="高一",IF($E27="男",LOOKUP(H27,[1]对照表!$I$3:$I$24,[1]对照表!$L$3:$L$24),LOOKUP(H27,[1]对照表!$I$27:$I$48,[1]对照表!$L$27:$L$48)))))</f>
        <v>85</v>
      </c>
      <c r="J27" s="21">
        <v>190</v>
      </c>
      <c r="K27" s="32">
        <f>IF(B27="高三",IF($E27="男",LOOKUP(J27,[1]对照表!$O$3:$O$24,[1]对照表!$P$3:$P$24),LOOKUP(J27,[1]对照表!$O$27:$O$48,[1]对照表!$P$27:$P$48)),IF(B27="高二",IF($E27="男",LOOKUP(J27,[1]对照表!$N$3:$N$24,[1]对照表!$P$3:$P$24),LOOKUP(J27,[1]对照表!$N$27:$N$48,[1]对照表!$P$27:$P$48)),IF(B27="高一",IF($E27="男",LOOKUP(J27,[1]对照表!$M$3:$M$24,[1]对照表!$P$3:$P$24),LOOKUP(J27,[1]对照表!$M$27:$M$48,[1]对照表!$P$27:$P$48)))))</f>
        <v>85</v>
      </c>
      <c r="L27" s="21">
        <v>63</v>
      </c>
      <c r="M27" s="32">
        <f>IF(B27="高三",IF($E27="男",LOOKUP(L27,[1]对照表!$S$3:$S$24,[1]对照表!$T$3:$T$24),LOOKUP(L27,[1]对照表!$S$27:$S$48,[1]对照表!$T$27:$T$48)),IF(B27="高二",IF($E27="男",LOOKUP(L27,[1]对照表!$R$3:$R$24,[1]对照表!$T$3:$T$24),LOOKUP(L27,[1]对照表!$R$27:$R$48,[1]对照表!$T$27:$T$48)),IF(B27="高一",IF($E27="男",LOOKUP(L27,[1]对照表!$Q$3:$Q$24,[1]对照表!$T$3:$T$24),LOOKUP(L27,[1]对照表!$Q$27:$Q$48,[1]对照表!$T$27:$T$48)))))</f>
        <v>100</v>
      </c>
      <c r="N27" s="33">
        <f>IF(B27="高三",MAX(IF(E27="男",L27-18,L27-55),0),IF(B27="高二",MAX(IF(E27="男",L27-17,L27-54),0),IF(B27="高一",MAX(IF(E27="男",L27-16,L27-53),0))))</f>
        <v>10</v>
      </c>
      <c r="O27" s="23">
        <f>IF(E27="男",LOOKUP($N27,[1]对照表!$Z$3:$Z$13,[1]对照表!$AA$3:$AA$13),LOOKUP($N27,[1]对照表!$Z$15:$Z$25,[1]对照表!$AA$15:$AA$25))</f>
        <v>7</v>
      </c>
      <c r="P27" s="24">
        <f>M27+O27</f>
        <v>107</v>
      </c>
      <c r="Q27" s="25">
        <v>3.39</v>
      </c>
      <c r="R27" s="32">
        <f>IF(B27="高三",IF($E27="男",LOOKUP(Q27,[1]对照表!$W$3:$W$24,[1]对照表!$X$3:$X$24),LOOKUP(Q27,[1]对照表!$W$27:$W$48,[1]对照表!$X$27:$X$48)),IF(B27="高二",IF($E27="男",LOOKUP(Q27,[1]对照表!$V$3:$V$24,[1]对照表!$X$3:$X$24),LOOKUP(Q27,[1]对照表!$V$27:$V$48,[1]对照表!$X$27:$X$48)),IF(B27="高一",IF($E27="男",LOOKUP(Q27,[1]对照表!$U$3:$U$24,[1]对照表!$X$3:$X$24),LOOKUP(Q27,[1]对照表!$U$27:$U$48,[1]对照表!$X$27:$X$48)))))</f>
        <v>85</v>
      </c>
      <c r="S27" s="27">
        <f>ROUND(IF(IF($B27="高三",MIN(IF($E27="男",$Q27-3.2,$Q27-3.2),0),IF($B27="高二",MIN(IF($E27="男",$Q27-3.25,$Q27-3.22),0),IF($B27="高一",MIN(IF($E27="男",$Q27-3.3,$Q27-3.24),0))))&lt;-0.6,IF($B27="高三",MIN(IF($E27="男",$Q27-3.2,$Q27-3.2),0),IF($B27="高二",MIN(IF($E27="男",$Q27-3.25,$Q27-3.22),0),IF($B27="高一",MIN(IF($E27="男",$Q27-3.3,$Q27-3.24),0))))+0.4,IF($B27="高三",MIN(IF($E27="男",$Q27-3.2,$Q27-3.2),0),IF($B27="高二",MIN(IF($E27="男",$Q27-3.25,$Q27-3.22),0),IF($B27="高一",MIN(IF($E27="男",$Q27-3.3,$Q27-3.24),0))))),2)</f>
        <v>0</v>
      </c>
      <c r="T27" s="23">
        <f>IF(E27="男",LOOKUP($S27,[1]对照表!$AB$3:$AB$13,[1]对照表!$AC$3:$AC$13),LOOKUP($S27,[1]对照表!$AB$15:$AB$25,[1]对照表!$AC$15:$AC$25))</f>
        <v>0</v>
      </c>
      <c r="U27" s="26">
        <f>R27+T27</f>
        <v>85</v>
      </c>
      <c r="V27" s="26">
        <f>SUM(I27,K27,M27)/3*0.3+SUM(G27,R27)/2*0.4</f>
        <v>60</v>
      </c>
      <c r="W27" s="27">
        <f>O27+T27</f>
        <v>7</v>
      </c>
      <c r="X27" s="28">
        <f>V27/0.7+W27</f>
        <v>92.714285714285722</v>
      </c>
      <c r="Y27" s="28">
        <v>92.714285714285722</v>
      </c>
      <c r="Z27" s="21"/>
    </row>
    <row r="28" spans="1:26" x14ac:dyDescent="0.25">
      <c r="A28" s="16">
        <v>6</v>
      </c>
      <c r="B28" s="17" t="s">
        <v>21</v>
      </c>
      <c r="C28" s="16">
        <v>101</v>
      </c>
      <c r="D28" s="18" t="s">
        <v>465</v>
      </c>
      <c r="E28" s="16" t="s">
        <v>23</v>
      </c>
      <c r="F28" s="19">
        <v>8.5</v>
      </c>
      <c r="G28" s="32">
        <f>IF(B28="高三",IF($E28="男",LOOKUP(F28,[1]对照表!$G$3:$G$24,[1]对照表!$H$3:$H$24),LOOKUP(F28,[1]对照表!$G$27:$G$48,[1]对照表!$H$27:$H$48)),IF(B28="高二",IF($E28="男",LOOKUP(F28,[1]对照表!$F$3:$F$24,[1]对照表!$H$3:$H$24),LOOKUP(F28,[1]对照表!$F$27:$F$48,[1]对照表!$H$27:$H$48)),IF(B28="高一",IF($E28="男",LOOKUP(F28,[1]对照表!$E$3:$E$24,[1]对照表!$H$3:$H$24),LOOKUP(F28,[1]对照表!$E$27:$E$48,[1]对照表!$H$27:$H$48)))))</f>
        <v>70</v>
      </c>
      <c r="H28" s="21">
        <v>16.5</v>
      </c>
      <c r="I28" s="32">
        <f>IF(B28="高三",IF($E28="男",LOOKUP(H28,[1]对照表!$K$3:$K$24,[1]对照表!$L$3:$L$24),LOOKUP(H28,[1]对照表!$K$27:$K$48,[1]对照表!$L$27:$L$48)),IF(B28="高二",IF($E28="男",LOOKUP(H28,[1]对照表!$J$3:$J$24,[1]对照表!$L$3:$L$24),LOOKUP(H28,[1]对照表!$J$27:$J$48,[1]对照表!$L$27:$L$48)),IF(B28="高一",IF($E28="男",LOOKUP(H28,[1]对照表!$I$3:$I$24,[1]对照表!$L$3:$L$24),LOOKUP(H28,[1]对照表!$I$27:$I$48,[1]对照表!$L$27:$L$48)))))</f>
        <v>80</v>
      </c>
      <c r="J28" s="21">
        <v>214</v>
      </c>
      <c r="K28" s="32">
        <f>IF(B28="高三",IF($E28="男",LOOKUP(J28,[1]对照表!$O$3:$O$24,[1]对照表!$P$3:$P$24),LOOKUP(J28,[1]对照表!$O$27:$O$48,[1]对照表!$P$27:$P$48)),IF(B28="高二",IF($E28="男",LOOKUP(J28,[1]对照表!$N$3:$N$24,[1]对照表!$P$3:$P$24),LOOKUP(J28,[1]对照表!$N$27:$N$48,[1]对照表!$P$27:$P$48)),IF(B28="高一",IF($E28="男",LOOKUP(J28,[1]对照表!$M$3:$M$24,[1]对照表!$P$3:$P$24),LOOKUP(J28,[1]对照表!$M$27:$M$48,[1]对照表!$P$27:$P$48)))))</f>
        <v>68</v>
      </c>
      <c r="L28" s="21">
        <v>10</v>
      </c>
      <c r="M28" s="32">
        <f>IF(B28="高三",IF($E28="男",LOOKUP(L28,[1]对照表!$S$3:$S$24,[1]对照表!$T$3:$T$24),LOOKUP(L28,[1]对照表!$S$27:$S$48,[1]对照表!$T$27:$T$48)),IF(B28="高二",IF($E28="男",LOOKUP(L28,[1]对照表!$R$3:$R$24,[1]对照表!$T$3:$T$24),LOOKUP(L28,[1]对照表!$R$27:$R$48,[1]对照表!$T$27:$T$48)),IF(B28="高一",IF($E28="男",LOOKUP(L28,[1]对照表!$Q$3:$Q$24,[1]对照表!$T$3:$T$24),LOOKUP(L28,[1]对照表!$Q$27:$Q$48,[1]对照表!$T$27:$T$48)))))</f>
        <v>72</v>
      </c>
      <c r="N28" s="33">
        <f>IF(B28="高三",MAX(IF(E28="男",L28-18,L28-55),0),IF(B28="高二",MAX(IF(E28="男",L28-17,L28-54),0),IF(B28="高一",MAX(IF(E28="男",L28-16,L28-53),0))))</f>
        <v>0</v>
      </c>
      <c r="O28" s="23">
        <f>IF(E28="男",LOOKUP($N28,[1]对照表!$Z$3:$Z$13,[1]对照表!$AA$3:$AA$13),LOOKUP($N28,[1]对照表!$Z$15:$Z$25,[1]对照表!$AA$15:$AA$25))</f>
        <v>0</v>
      </c>
      <c r="P28" s="24">
        <f>M28+O28</f>
        <v>72</v>
      </c>
      <c r="Q28" s="25">
        <v>4.0199999999999996</v>
      </c>
      <c r="R28" s="32">
        <f>IF(B28="高三",IF($E28="男",LOOKUP(Q28,[1]对照表!$W$3:$W$24,[1]对照表!$X$3:$X$24),LOOKUP(Q28,[1]对照表!$W$27:$W$48,[1]对照表!$X$27:$X$48)),IF(B28="高二",IF($E28="男",LOOKUP(Q28,[1]对照表!$V$3:$V$24,[1]对照表!$X$3:$X$24),LOOKUP(Q28,[1]对照表!$V$27:$V$48,[1]对照表!$X$27:$X$48)),IF(B28="高一",IF($E28="男",LOOKUP(Q28,[1]对照表!$U$3:$U$24,[1]对照表!$X$3:$X$24),LOOKUP(Q28,[1]对照表!$U$27:$U$48,[1]对照表!$X$27:$X$48)))))</f>
        <v>76</v>
      </c>
      <c r="S28" s="33">
        <f>ROUND(IF(IF($B28="高三",MIN(IF($E28="男",$Q28-3.2,$Q28-3.2),0),IF($B28="高二",MIN(IF($E28="男",$Q28-3.25,$Q28-3.22),0),IF($B28="高一",MIN(IF($E28="男",$Q28-3.3,$Q28-3.24),0))))&lt;-0.6,IF($B28="高三",MIN(IF($E28="男",$Q28-3.2,$Q28-3.2),0),IF($B28="高二",MIN(IF($E28="男",$Q28-3.25,$Q28-3.22),0),IF($B28="高一",MIN(IF($E28="男",$Q28-3.3,$Q28-3.24),0))))+0.4,IF($B28="高三",MIN(IF($E28="男",$Q28-3.2,$Q28-3.2),0),IF($B28="高二",MIN(IF($E28="男",$Q28-3.25,$Q28-3.22),0),IF($B28="高一",MIN(IF($E28="男",$Q28-3.3,$Q28-3.24),0))))),2)</f>
        <v>0</v>
      </c>
      <c r="T28" s="23">
        <f>IF(E28="男",LOOKUP($S28,[1]对照表!$AB$3:$AB$13,[1]对照表!$AC$3:$AC$13),LOOKUP($S28,[1]对照表!$AB$15:$AB$25,[1]对照表!$AC$15:$AC$25))</f>
        <v>0</v>
      </c>
      <c r="U28" s="26">
        <f>R28+T28</f>
        <v>76</v>
      </c>
      <c r="V28" s="26">
        <f>SUM(I28,K28,M28)/3*0.3+SUM(G28,R28)/2*0.4</f>
        <v>51.2</v>
      </c>
      <c r="W28" s="27">
        <f>O28+T28</f>
        <v>0</v>
      </c>
      <c r="X28" s="28">
        <f>V28/0.7+W28</f>
        <v>73.142857142857153</v>
      </c>
      <c r="Y28" s="28">
        <v>73.142857142857153</v>
      </c>
      <c r="Z28" s="21"/>
    </row>
    <row r="29" spans="1:26" x14ac:dyDescent="0.25">
      <c r="A29" s="16">
        <v>24</v>
      </c>
      <c r="B29" s="17" t="s">
        <v>21</v>
      </c>
      <c r="C29" s="16">
        <v>101</v>
      </c>
      <c r="D29" s="18" t="s">
        <v>469</v>
      </c>
      <c r="E29" s="17" t="s">
        <v>23</v>
      </c>
      <c r="F29" s="19">
        <v>7.5</v>
      </c>
      <c r="G29" s="32">
        <f>IF(B29="高三",IF($E29="男",LOOKUP(F29,[1]对照表!$G$3:$G$24,[1]对照表!$H$3:$H$24),LOOKUP(F29,[1]对照表!$G$27:$G$48,[1]对照表!$H$27:$H$48)),IF(B29="高二",IF($E29="男",LOOKUP(F29,[1]对照表!$F$3:$F$24,[1]对照表!$H$3:$H$24),LOOKUP(F29,[1]对照表!$F$27:$F$48,[1]对照表!$H$27:$H$48)),IF(B29="高一",IF($E29="男",LOOKUP(F29,[1]对照表!$E$3:$E$24,[1]对照表!$H$3:$H$24),LOOKUP(F29,[1]对照表!$E$27:$E$48,[1]对照表!$H$27:$H$48)))))</f>
        <v>80</v>
      </c>
      <c r="H29" s="21">
        <v>7.5</v>
      </c>
      <c r="I29" s="32">
        <f>IF(B29="高三",IF($E29="男",LOOKUP(H29,[1]对照表!$K$3:$K$24,[1]对照表!$L$3:$L$24),LOOKUP(H29,[1]对照表!$K$27:$K$48,[1]对照表!$L$27:$L$48)),IF(B29="高二",IF($E29="男",LOOKUP(H29,[1]对照表!$J$3:$J$24,[1]对照表!$L$3:$L$24),LOOKUP(H29,[1]对照表!$J$27:$J$48,[1]对照表!$L$27:$L$48)),IF(B29="高一",IF($E29="男",LOOKUP(H29,[1]对照表!$I$3:$I$24,[1]对照表!$L$3:$L$24),LOOKUP(H29,[1]对照表!$I$27:$I$48,[1]对照表!$L$27:$L$48)))))</f>
        <v>68</v>
      </c>
      <c r="J29" s="21">
        <v>202</v>
      </c>
      <c r="K29" s="32">
        <f>IF(B29="高三",IF($E29="男",LOOKUP(J29,[1]对照表!$O$3:$O$24,[1]对照表!$P$3:$P$24),LOOKUP(J29,[1]对照表!$O$27:$O$48,[1]对照表!$P$27:$P$48)),IF(B29="高二",IF($E29="男",LOOKUP(J29,[1]对照表!$N$3:$N$24,[1]对照表!$P$3:$P$24),LOOKUP(J29,[1]对照表!$N$27:$N$48,[1]对照表!$P$27:$P$48)),IF(B29="高一",IF($E29="男",LOOKUP(J29,[1]对照表!$M$3:$M$24,[1]对照表!$P$3:$P$24),LOOKUP(J29,[1]对照表!$M$27:$M$48,[1]对照表!$P$27:$P$48)))))</f>
        <v>62</v>
      </c>
      <c r="L29" s="21">
        <v>8</v>
      </c>
      <c r="M29" s="32">
        <f>IF(B29="高三",IF($E29="男",LOOKUP(L29,[1]对照表!$S$3:$S$24,[1]对照表!$T$3:$T$24),LOOKUP(L29,[1]对照表!$S$27:$S$48,[1]对照表!$T$27:$T$48)),IF(B29="高二",IF($E29="男",LOOKUP(L29,[1]对照表!$R$3:$R$24,[1]对照表!$T$3:$T$24),LOOKUP(L29,[1]对照表!$R$27:$R$48,[1]对照表!$T$27:$T$48)),IF(B29="高一",IF($E29="男",LOOKUP(L29,[1]对照表!$Q$3:$Q$24,[1]对照表!$T$3:$T$24),LOOKUP(L29,[1]对照表!$Q$27:$Q$48,[1]对照表!$T$27:$T$48)))))</f>
        <v>64</v>
      </c>
      <c r="N29" s="33">
        <f>IF(B29="高三",MAX(IF(E29="男",L29-18,L29-55),0),IF(B29="高二",MAX(IF(E29="男",L29-17,L29-54),0),IF(B29="高一",MAX(IF(E29="男",L29-16,L29-53),0))))</f>
        <v>0</v>
      </c>
      <c r="O29" s="23">
        <f>IF(E29="男",LOOKUP($N29,[1]对照表!$Z$3:$Z$13,[1]对照表!$AA$3:$AA$13),LOOKUP($N29,[1]对照表!$Z$15:$Z$25,[1]对照表!$AA$15:$AA$25))</f>
        <v>0</v>
      </c>
      <c r="P29" s="24">
        <f>M29+O29</f>
        <v>64</v>
      </c>
      <c r="Q29" s="25">
        <v>3.59</v>
      </c>
      <c r="R29" s="32">
        <f>IF(B29="高三",IF($E29="男",LOOKUP(Q29,[1]对照表!$W$3:$W$24,[1]对照表!$X$3:$X$24),LOOKUP(Q29,[1]对照表!$W$27:$W$48,[1]对照表!$X$27:$X$48)),IF(B29="高二",IF($E29="男",LOOKUP(Q29,[1]对照表!$V$3:$V$24,[1]对照表!$X$3:$X$24),LOOKUP(Q29,[1]对照表!$V$27:$V$48,[1]对照表!$X$27:$X$48)),IF(B29="高一",IF($E29="男",LOOKUP(Q29,[1]对照表!$U$3:$U$24,[1]对照表!$X$3:$X$24),LOOKUP(Q29,[1]对照表!$U$27:$U$48,[1]对照表!$X$27:$X$48)))))</f>
        <v>78</v>
      </c>
      <c r="S29" s="27">
        <f>ROUND(IF(IF($B29="高三",MIN(IF($E29="男",$Q29-3.2,$Q29-3.2),0),IF($B29="高二",MIN(IF($E29="男",$Q29-3.25,$Q29-3.22),0),IF($B29="高一",MIN(IF($E29="男",$Q29-3.3,$Q29-3.24),0))))&lt;-0.6,IF($B29="高三",MIN(IF($E29="男",$Q29-3.2,$Q29-3.2),0),IF($B29="高二",MIN(IF($E29="男",$Q29-3.25,$Q29-3.22),0),IF($B29="高一",MIN(IF($E29="男",$Q29-3.3,$Q29-3.24),0))))+0.4,IF($B29="高三",MIN(IF($E29="男",$Q29-3.2,$Q29-3.2),0),IF($B29="高二",MIN(IF($E29="男",$Q29-3.25,$Q29-3.22),0),IF($B29="高一",MIN(IF($E29="男",$Q29-3.3,$Q29-3.24),0))))),2)</f>
        <v>0</v>
      </c>
      <c r="T29" s="23">
        <f>IF(E29="男",LOOKUP($S29,[1]对照表!$AB$3:$AB$13,[1]对照表!$AC$3:$AC$13),LOOKUP($S29,[1]对照表!$AB$15:$AB$25,[1]对照表!$AC$15:$AC$25))</f>
        <v>0</v>
      </c>
      <c r="U29" s="26">
        <f>R29+T29</f>
        <v>78</v>
      </c>
      <c r="V29" s="26">
        <f>SUM(I29,K29,M29)/3*0.3+SUM(G29,R29)/2*0.4</f>
        <v>51</v>
      </c>
      <c r="W29" s="27">
        <f>O29+T29</f>
        <v>0</v>
      </c>
      <c r="X29" s="28">
        <f>V29/0.7+W29</f>
        <v>72.857142857142861</v>
      </c>
      <c r="Y29" s="28">
        <v>72.857142857142861</v>
      </c>
      <c r="Z29" s="21"/>
    </row>
    <row r="30" spans="1:26" x14ac:dyDescent="0.25">
      <c r="A30" s="16">
        <v>12</v>
      </c>
      <c r="B30" s="17" t="s">
        <v>21</v>
      </c>
      <c r="C30" s="16">
        <v>101</v>
      </c>
      <c r="D30" s="18" t="s">
        <v>470</v>
      </c>
      <c r="E30" s="16" t="s">
        <v>23</v>
      </c>
      <c r="F30" s="19">
        <v>8.3000000000000007</v>
      </c>
      <c r="G30" s="32">
        <f>IF(B30="高三",IF($E30="男",LOOKUP(F30,[1]对照表!$G$3:$G$24,[1]对照表!$H$3:$H$24),LOOKUP(F30,[1]对照表!$G$27:$G$48,[1]对照表!$H$27:$H$48)),IF(B30="高二",IF($E30="男",LOOKUP(F30,[1]对照表!$F$3:$F$24,[1]对照表!$H$3:$H$24),LOOKUP(F30,[1]对照表!$F$27:$F$48,[1]对照表!$H$27:$H$48)),IF(B30="高一",IF($E30="男",LOOKUP(F30,[1]对照表!$E$3:$E$24,[1]对照表!$H$3:$H$24),LOOKUP(F30,[1]对照表!$E$27:$E$48,[1]对照表!$H$27:$H$48)))))</f>
        <v>72</v>
      </c>
      <c r="H30" s="21">
        <v>12</v>
      </c>
      <c r="I30" s="32">
        <f>IF(B30="高三",IF($E30="男",LOOKUP(H30,[1]对照表!$K$3:$K$24,[1]对照表!$L$3:$L$24),LOOKUP(H30,[1]对照表!$K$27:$K$48,[1]对照表!$L$27:$L$48)),IF(B30="高二",IF($E30="男",LOOKUP(H30,[1]对照表!$J$3:$J$24,[1]对照表!$L$3:$L$24),LOOKUP(H30,[1]对照表!$J$27:$J$48,[1]对照表!$L$27:$L$48)),IF(B30="高一",IF($E30="男",LOOKUP(H30,[1]对照表!$I$3:$I$24,[1]对照表!$L$3:$L$24),LOOKUP(H30,[1]对照表!$I$27:$I$48,[1]对照表!$L$27:$L$48)))))</f>
        <v>74</v>
      </c>
      <c r="J30" s="21">
        <v>209</v>
      </c>
      <c r="K30" s="32">
        <f>IF(B30="高三",IF($E30="男",LOOKUP(J30,[1]对照表!$O$3:$O$24,[1]对照表!$P$3:$P$24),LOOKUP(J30,[1]对照表!$O$27:$O$48,[1]对照表!$P$27:$P$48)),IF(B30="高二",IF($E30="男",LOOKUP(J30,[1]对照表!$N$3:$N$24,[1]对照表!$P$3:$P$24),LOOKUP(J30,[1]对照表!$N$27:$N$48,[1]对照表!$P$27:$P$48)),IF(B30="高一",IF($E30="男",LOOKUP(J30,[1]对照表!$M$3:$M$24,[1]对照表!$P$3:$P$24),LOOKUP(J30,[1]对照表!$M$27:$M$48,[1]对照表!$P$27:$P$48)))))</f>
        <v>66</v>
      </c>
      <c r="L30" s="21">
        <v>8</v>
      </c>
      <c r="M30" s="32">
        <f>IF(B30="高三",IF($E30="男",LOOKUP(L30,[1]对照表!$S$3:$S$24,[1]对照表!$T$3:$T$24),LOOKUP(L30,[1]对照表!$S$27:$S$48,[1]对照表!$T$27:$T$48)),IF(B30="高二",IF($E30="男",LOOKUP(L30,[1]对照表!$R$3:$R$24,[1]对照表!$T$3:$T$24),LOOKUP(L30,[1]对照表!$R$27:$R$48,[1]对照表!$T$27:$T$48)),IF(B30="高一",IF($E30="男",LOOKUP(L30,[1]对照表!$Q$3:$Q$24,[1]对照表!$T$3:$T$24),LOOKUP(L30,[1]对照表!$Q$27:$Q$48,[1]对照表!$T$27:$T$48)))))</f>
        <v>64</v>
      </c>
      <c r="N30" s="33">
        <f>IF(B30="高三",MAX(IF(E30="男",L30-18,L30-55),0),IF(B30="高二",MAX(IF(E30="男",L30-17,L30-54),0),IF(B30="高一",MAX(IF(E30="男",L30-16,L30-53),0))))</f>
        <v>0</v>
      </c>
      <c r="O30" s="23">
        <f>IF(E30="男",LOOKUP($N30,[1]对照表!$Z$3:$Z$13,[1]对照表!$AA$3:$AA$13),LOOKUP($N30,[1]对照表!$Z$15:$Z$25,[1]对照表!$AA$15:$AA$25))</f>
        <v>0</v>
      </c>
      <c r="P30" s="24">
        <f>M30+O30</f>
        <v>64</v>
      </c>
      <c r="Q30" s="25">
        <v>3.49</v>
      </c>
      <c r="R30" s="32">
        <f>IF(B30="高三",IF($E30="男",LOOKUP(Q30,[1]对照表!$W$3:$W$24,[1]对照表!$X$3:$X$24),LOOKUP(Q30,[1]对照表!$W$27:$W$48,[1]对照表!$X$27:$X$48)),IF(B30="高二",IF($E30="男",LOOKUP(Q30,[1]对照表!$V$3:$V$24,[1]对照表!$X$3:$X$24),LOOKUP(Q30,[1]对照表!$V$27:$V$48,[1]对照表!$X$27:$X$48)),IF(B30="高一",IF($E30="男",LOOKUP(Q30,[1]对照表!$U$3:$U$24,[1]对照表!$X$3:$X$24),LOOKUP(Q30,[1]对照表!$U$27:$U$48,[1]对照表!$X$27:$X$48)))))</f>
        <v>80</v>
      </c>
      <c r="S30" s="33">
        <f>ROUND(IF(IF($B30="高三",MIN(IF($E30="男",$Q30-3.2,$Q30-3.2),0),IF($B30="高二",MIN(IF($E30="男",$Q30-3.25,$Q30-3.22),0),IF($B30="高一",MIN(IF($E30="男",$Q30-3.3,$Q30-3.24),0))))&lt;-0.6,IF($B30="高三",MIN(IF($E30="男",$Q30-3.2,$Q30-3.2),0),IF($B30="高二",MIN(IF($E30="男",$Q30-3.25,$Q30-3.22),0),IF($B30="高一",MIN(IF($E30="男",$Q30-3.3,$Q30-3.24),0))))+0.4,IF($B30="高三",MIN(IF($E30="男",$Q30-3.2,$Q30-3.2),0),IF($B30="高二",MIN(IF($E30="男",$Q30-3.25,$Q30-3.22),0),IF($B30="高一",MIN(IF($E30="男",$Q30-3.3,$Q30-3.24),0))))),2)</f>
        <v>0</v>
      </c>
      <c r="T30" s="23">
        <f>IF(E30="男",LOOKUP($S30,[1]对照表!$AB$3:$AB$13,[1]对照表!$AC$3:$AC$13),LOOKUP($S30,[1]对照表!$AB$15:$AB$25,[1]对照表!$AC$15:$AC$25))</f>
        <v>0</v>
      </c>
      <c r="U30" s="26">
        <f>R30+T30</f>
        <v>80</v>
      </c>
      <c r="V30" s="26">
        <f>SUM(I30,K30,M30)/3*0.3+SUM(G30,R30)/2*0.4</f>
        <v>50.8</v>
      </c>
      <c r="W30" s="27">
        <f>O30+T30</f>
        <v>0</v>
      </c>
      <c r="X30" s="28">
        <f>V30/0.7+W30</f>
        <v>72.571428571428569</v>
      </c>
      <c r="Y30" s="28">
        <v>72.571428571428569</v>
      </c>
      <c r="Z30" s="21"/>
    </row>
    <row r="31" spans="1:26" x14ac:dyDescent="0.25">
      <c r="A31" s="16">
        <v>17</v>
      </c>
      <c r="B31" s="17" t="s">
        <v>21</v>
      </c>
      <c r="C31" s="16">
        <v>101</v>
      </c>
      <c r="D31" s="18" t="s">
        <v>472</v>
      </c>
      <c r="E31" s="16" t="s">
        <v>23</v>
      </c>
      <c r="F31" s="19">
        <v>8.1</v>
      </c>
      <c r="G31" s="32">
        <f>IF(B31="高三",IF($E31="男",LOOKUP(F31,[1]对照表!$G$3:$G$24,[1]对照表!$H$3:$H$24),LOOKUP(F31,[1]对照表!$G$27:$G$48,[1]对照表!$H$27:$H$48)),IF(B31="高二",IF($E31="男",LOOKUP(F31,[1]对照表!$F$3:$F$24,[1]对照表!$H$3:$H$24),LOOKUP(F31,[1]对照表!$F$27:$F$48,[1]对照表!$H$27:$H$48)),IF(B31="高一",IF($E31="男",LOOKUP(F31,[1]对照表!$E$3:$E$24,[1]对照表!$H$3:$H$24),LOOKUP(F31,[1]对照表!$E$27:$E$48,[1]对照表!$H$27:$H$48)))))</f>
        <v>74</v>
      </c>
      <c r="H31" s="21">
        <v>11.5</v>
      </c>
      <c r="I31" s="32">
        <f>IF(B31="高三",IF($E31="男",LOOKUP(H31,[1]对照表!$K$3:$K$24,[1]对照表!$L$3:$L$24),LOOKUP(H31,[1]对照表!$K$27:$K$48,[1]对照表!$L$27:$L$48)),IF(B31="高二",IF($E31="男",LOOKUP(H31,[1]对照表!$J$3:$J$24,[1]对照表!$L$3:$L$24),LOOKUP(H31,[1]对照表!$J$27:$J$48,[1]对照表!$L$27:$L$48)),IF(B31="高一",IF($E31="男",LOOKUP(H31,[1]对照表!$I$3:$I$24,[1]对照表!$L$3:$L$24),LOOKUP(H31,[1]对照表!$I$27:$I$48,[1]对照表!$L$27:$L$48)))))</f>
        <v>74</v>
      </c>
      <c r="J31" s="21">
        <v>208</v>
      </c>
      <c r="K31" s="32">
        <f>IF(B31="高三",IF($E31="男",LOOKUP(J31,[1]对照表!$O$3:$O$24,[1]对照表!$P$3:$P$24),LOOKUP(J31,[1]对照表!$O$27:$O$48,[1]对照表!$P$27:$P$48)),IF(B31="高二",IF($E31="男",LOOKUP(J31,[1]对照表!$N$3:$N$24,[1]对照表!$P$3:$P$24),LOOKUP(J31,[1]对照表!$N$27:$N$48,[1]对照表!$P$27:$P$48)),IF(B31="高一",IF($E31="男",LOOKUP(J31,[1]对照表!$M$3:$M$24,[1]对照表!$P$3:$P$24),LOOKUP(J31,[1]对照表!$M$27:$M$48,[1]对照表!$P$27:$P$48)))))</f>
        <v>66</v>
      </c>
      <c r="L31" s="21">
        <v>10</v>
      </c>
      <c r="M31" s="32">
        <f>IF(B31="高三",IF($E31="男",LOOKUP(L31,[1]对照表!$S$3:$S$24,[1]对照表!$T$3:$T$24),LOOKUP(L31,[1]对照表!$S$27:$S$48,[1]对照表!$T$27:$T$48)),IF(B31="高二",IF($E31="男",LOOKUP(L31,[1]对照表!$R$3:$R$24,[1]对照表!$T$3:$T$24),LOOKUP(L31,[1]对照表!$R$27:$R$48,[1]对照表!$T$27:$T$48)),IF(B31="高一",IF($E31="男",LOOKUP(L31,[1]对照表!$Q$3:$Q$24,[1]对照表!$T$3:$T$24),LOOKUP(L31,[1]对照表!$Q$27:$Q$48,[1]对照表!$T$27:$T$48)))))</f>
        <v>72</v>
      </c>
      <c r="N31" s="33">
        <f>IF(B31="高三",MAX(IF(E31="男",L31-18,L31-55),0),IF(B31="高二",MAX(IF(E31="男",L31-17,L31-54),0),IF(B31="高一",MAX(IF(E31="男",L31-16,L31-53),0))))</f>
        <v>0</v>
      </c>
      <c r="O31" s="23">
        <f>IF(E31="男",LOOKUP($N31,[1]对照表!$Z$3:$Z$13,[1]对照表!$AA$3:$AA$13),LOOKUP($N31,[1]对照表!$Z$15:$Z$25,[1]对照表!$AA$15:$AA$25))</f>
        <v>0</v>
      </c>
      <c r="P31" s="24">
        <f>M31+O31</f>
        <v>72</v>
      </c>
      <c r="Q31" s="25">
        <v>4.08</v>
      </c>
      <c r="R31" s="32">
        <f>IF(B31="高三",IF($E31="男",LOOKUP(Q31,[1]对照表!$W$3:$W$24,[1]对照表!$X$3:$X$24),LOOKUP(Q31,[1]对照表!$W$27:$W$48,[1]对照表!$X$27:$X$48)),IF(B31="高二",IF($E31="男",LOOKUP(Q31,[1]对照表!$V$3:$V$24,[1]对照表!$X$3:$X$24),LOOKUP(Q31,[1]对照表!$V$27:$V$48,[1]对照表!$X$27:$X$48)),IF(B31="高一",IF($E31="男",LOOKUP(Q31,[1]对照表!$U$3:$U$24,[1]对照表!$X$3:$X$24),LOOKUP(Q31,[1]对照表!$U$27:$U$48,[1]对照表!$X$27:$X$48)))))</f>
        <v>74</v>
      </c>
      <c r="S31" s="33">
        <f>ROUND(IF(IF($B31="高三",MIN(IF($E31="男",$Q31-3.2,$Q31-3.2),0),IF($B31="高二",MIN(IF($E31="男",$Q31-3.25,$Q31-3.22),0),IF($B31="高一",MIN(IF($E31="男",$Q31-3.3,$Q31-3.24),0))))&lt;-0.6,IF($B31="高三",MIN(IF($E31="男",$Q31-3.2,$Q31-3.2),0),IF($B31="高二",MIN(IF($E31="男",$Q31-3.25,$Q31-3.22),0),IF($B31="高一",MIN(IF($E31="男",$Q31-3.3,$Q31-3.24),0))))+0.4,IF($B31="高三",MIN(IF($E31="男",$Q31-3.2,$Q31-3.2),0),IF($B31="高二",MIN(IF($E31="男",$Q31-3.25,$Q31-3.22),0),IF($B31="高一",MIN(IF($E31="男",$Q31-3.3,$Q31-3.24),0))))),2)</f>
        <v>0</v>
      </c>
      <c r="T31" s="23">
        <f>IF(E31="男",LOOKUP($S31,[1]对照表!$AB$3:$AB$13,[1]对照表!$AC$3:$AC$13),LOOKUP($S31,[1]对照表!$AB$15:$AB$25,[1]对照表!$AC$15:$AC$25))</f>
        <v>0</v>
      </c>
      <c r="U31" s="26">
        <f>R31+T31</f>
        <v>74</v>
      </c>
      <c r="V31" s="26">
        <f>SUM(I31,K31,M31)/3*0.3+SUM(G31,R31)/2*0.4</f>
        <v>50.8</v>
      </c>
      <c r="W31" s="27">
        <f>O31+T31</f>
        <v>0</v>
      </c>
      <c r="X31" s="28">
        <f>V31/0.7+W31</f>
        <v>72.571428571428569</v>
      </c>
      <c r="Y31" s="28">
        <v>72.571428571428569</v>
      </c>
      <c r="Z31" s="21"/>
    </row>
    <row r="32" spans="1:26" x14ac:dyDescent="0.25">
      <c r="A32" s="16">
        <v>10</v>
      </c>
      <c r="B32" s="17" t="s">
        <v>21</v>
      </c>
      <c r="C32" s="16">
        <v>101</v>
      </c>
      <c r="D32" s="18" t="s">
        <v>523</v>
      </c>
      <c r="E32" s="16" t="s">
        <v>23</v>
      </c>
      <c r="F32" s="19">
        <v>6.9</v>
      </c>
      <c r="G32" s="32">
        <f>IF(B32="高三",IF($E32="男",LOOKUP(F32,[1]对照表!$G$3:$G$24,[1]对照表!$H$3:$H$24),LOOKUP(F32,[1]对照表!$G$27:$G$48,[1]对照表!$H$27:$H$48)),IF(B32="高二",IF($E32="男",LOOKUP(F32,[1]对照表!$F$3:$F$24,[1]对照表!$H$3:$H$24),LOOKUP(F32,[1]对照表!$F$27:$F$48,[1]对照表!$H$27:$H$48)),IF(B32="高一",IF($E32="男",LOOKUP(F32,[1]对照表!$E$3:$E$24,[1]对照表!$H$3:$H$24),LOOKUP(F32,[1]对照表!$E$27:$E$48,[1]对照表!$H$27:$H$48)))))</f>
        <v>100</v>
      </c>
      <c r="H32" s="21">
        <v>3</v>
      </c>
      <c r="I32" s="32">
        <f>IF(B32="高三",IF($E32="男",LOOKUP(H32,[1]对照表!$K$3:$K$24,[1]对照表!$L$3:$L$24),LOOKUP(H32,[1]对照表!$K$27:$K$48,[1]对照表!$L$27:$L$48)),IF(B32="高二",IF($E32="男",LOOKUP(H32,[1]对照表!$J$3:$J$24,[1]对照表!$L$3:$L$24),LOOKUP(H32,[1]对照表!$J$27:$J$48,[1]对照表!$L$27:$L$48)),IF(B32="高一",IF($E32="男",LOOKUP(H32,[1]对照表!$I$3:$I$24,[1]对照表!$L$3:$L$24),LOOKUP(H32,[1]对照表!$I$27:$I$48,[1]对照表!$L$27:$L$48)))))</f>
        <v>62</v>
      </c>
      <c r="J32" s="21">
        <v>253</v>
      </c>
      <c r="K32" s="32">
        <f>IF(B32="高三",IF($E32="男",LOOKUP(J32,[1]对照表!$O$3:$O$24,[1]对照表!$P$3:$P$24),LOOKUP(J32,[1]对照表!$O$27:$O$48,[1]对照表!$P$27:$P$48)),IF(B32="高二",IF($E32="男",LOOKUP(J32,[1]对照表!$N$3:$N$24,[1]对照表!$P$3:$P$24),LOOKUP(J32,[1]对照表!$N$27:$N$48,[1]对照表!$P$27:$P$48)),IF(B32="高一",IF($E32="男",LOOKUP(J32,[1]对照表!$M$3:$M$24,[1]对照表!$P$3:$P$24),LOOKUP(J32,[1]对照表!$M$27:$M$48,[1]对照表!$P$27:$P$48)))))</f>
        <v>90</v>
      </c>
      <c r="L32" s="21">
        <v>20</v>
      </c>
      <c r="M32" s="32">
        <f>IF(B32="高三",IF($E32="男",LOOKUP(L32,[1]对照表!$S$3:$S$24,[1]对照表!$T$3:$T$24),LOOKUP(L32,[1]对照表!$S$27:$S$48,[1]对照表!$T$27:$T$48)),IF(B32="高二",IF($E32="男",LOOKUP(L32,[1]对照表!$R$3:$R$24,[1]对照表!$T$3:$T$24),LOOKUP(L32,[1]对照表!$R$27:$R$48,[1]对照表!$T$27:$T$48)),IF(B32="高一",IF($E32="男",LOOKUP(L32,[1]对照表!$Q$3:$Q$24,[1]对照表!$T$3:$T$24),LOOKUP(L32,[1]对照表!$Q$27:$Q$48,[1]对照表!$T$27:$T$48)))))</f>
        <v>100</v>
      </c>
      <c r="N32" s="33">
        <f>IF(B32="高三",MAX(IF(E32="男",L32-18,L32-55),0),IF(B32="高二",MAX(IF(E32="男",L32-17,L32-54),0),IF(B32="高一",MAX(IF(E32="男",L32-16,L32-53),0))))</f>
        <v>4</v>
      </c>
      <c r="O32" s="23">
        <f>IF(E32="男",LOOKUP($N32,[1]对照表!$Z$3:$Z$13,[1]对照表!$AA$3:$AA$13),LOOKUP($N32,[1]对照表!$Z$15:$Z$25,[1]对照表!$AA$15:$AA$25))</f>
        <v>4</v>
      </c>
      <c r="P32" s="24">
        <f>M32+O32</f>
        <v>104</v>
      </c>
      <c r="Q32" s="25"/>
      <c r="R32" s="20">
        <v>0</v>
      </c>
      <c r="S32" s="22">
        <v>0</v>
      </c>
      <c r="T32" s="23">
        <f>IF(E32="男",LOOKUP($S32,[1]对照表!$AB$3:$AB$13,[1]对照表!$AC$3:$AC$13),LOOKUP($S32,[1]对照表!$AB$15:$AB$25,[1]对照表!$AC$15:$AC$25))</f>
        <v>0</v>
      </c>
      <c r="U32" s="26">
        <f>R32+T32</f>
        <v>0</v>
      </c>
      <c r="V32" s="26">
        <f>SUM(I32,K32,M32)/3*0.3+SUM(G32,R32)/2*0.4</f>
        <v>45.2</v>
      </c>
      <c r="W32" s="27">
        <f>O32+T32</f>
        <v>4</v>
      </c>
      <c r="X32" s="28">
        <f>V32/0.7+W32</f>
        <v>68.571428571428584</v>
      </c>
      <c r="Y32" s="28">
        <v>68.571428571428584</v>
      </c>
      <c r="Z32" s="21" t="s">
        <v>524</v>
      </c>
    </row>
    <row r="33" spans="1:26" x14ac:dyDescent="0.25">
      <c r="A33" s="16">
        <v>19</v>
      </c>
      <c r="B33" s="17" t="s">
        <v>21</v>
      </c>
      <c r="C33" s="16">
        <v>101</v>
      </c>
      <c r="D33" s="18" t="s">
        <v>531</v>
      </c>
      <c r="E33" s="38" t="s">
        <v>23</v>
      </c>
      <c r="F33" s="19">
        <v>7.9</v>
      </c>
      <c r="G33" s="32">
        <f>IF(B33="高三",IF($E33="男",LOOKUP(F33,[1]对照表!$G$3:$G$24,[1]对照表!$H$3:$H$24),LOOKUP(F33,[1]对照表!$G$27:$G$48,[1]对照表!$H$27:$H$48)),IF(B33="高二",IF($E33="男",LOOKUP(F33,[1]对照表!$F$3:$F$24,[1]对照表!$H$3:$H$24),LOOKUP(F33,[1]对照表!$F$27:$F$48,[1]对照表!$H$27:$H$48)),IF(B33="高一",IF($E33="男",LOOKUP(F33,[1]对照表!$E$3:$E$24,[1]对照表!$H$3:$H$24),LOOKUP(F33,[1]对照表!$E$27:$E$48,[1]对照表!$H$27:$H$48)))))</f>
        <v>76</v>
      </c>
      <c r="H33" s="21">
        <v>12.5</v>
      </c>
      <c r="I33" s="32">
        <f>IF(B33="高三",IF($E33="男",LOOKUP(H33,[1]对照表!$K$3:$K$24,[1]对照表!$L$3:$L$24),LOOKUP(H33,[1]对照表!$K$27:$K$48,[1]对照表!$L$27:$L$48)),IF(B33="高二",IF($E33="男",LOOKUP(H33,[1]对照表!$J$3:$J$24,[1]对照表!$L$3:$L$24),LOOKUP(H33,[1]对照表!$J$27:$J$48,[1]对照表!$L$27:$L$48)),IF(B33="高一",IF($E33="男",LOOKUP(H33,[1]对照表!$I$3:$I$24,[1]对照表!$L$3:$L$24),LOOKUP(H33,[1]对照表!$I$27:$I$48,[1]对照表!$L$27:$L$48)))))</f>
        <v>76</v>
      </c>
      <c r="J33" s="21">
        <v>210</v>
      </c>
      <c r="K33" s="32">
        <f>IF(B33="高三",IF($E33="男",LOOKUP(J33,[1]对照表!$O$3:$O$24,[1]对照表!$P$3:$P$24),LOOKUP(J33,[1]对照表!$O$27:$O$48,[1]对照表!$P$27:$P$48)),IF(B33="高二",IF($E33="男",LOOKUP(J33,[1]对照表!$N$3:$N$24,[1]对照表!$P$3:$P$24),LOOKUP(J33,[1]对照表!$N$27:$N$48,[1]对照表!$P$27:$P$48)),IF(B33="高一",IF($E33="男",LOOKUP(J33,[1]对照表!$M$3:$M$24,[1]对照表!$P$3:$P$24),LOOKUP(J33,[1]对照表!$M$27:$M$48,[1]对照表!$P$27:$P$48)))))</f>
        <v>66</v>
      </c>
      <c r="L33" s="21">
        <v>6</v>
      </c>
      <c r="M33" s="32">
        <f>IF(B33="高三",IF($E33="男",LOOKUP(L33,[1]对照表!$S$3:$S$24,[1]对照表!$T$3:$T$24),LOOKUP(L33,[1]对照表!$S$27:$S$48,[1]对照表!$T$27:$T$48)),IF(B33="高二",IF($E33="男",LOOKUP(L33,[1]对照表!$R$3:$R$24,[1]对照表!$T$3:$T$24),LOOKUP(L33,[1]对照表!$R$27:$R$48,[1]对照表!$T$27:$T$48)),IF(B33="高一",IF($E33="男",LOOKUP(L33,[1]对照表!$Q$3:$Q$24,[1]对照表!$T$3:$T$24),LOOKUP(L33,[1]对照表!$Q$27:$Q$48,[1]对照表!$T$27:$T$48)))))</f>
        <v>50</v>
      </c>
      <c r="N33" s="33">
        <f>IF(B33="高三",MAX(IF(E33="男",L33-18,L33-55),0),IF(B33="高二",MAX(IF(E33="男",L33-17,L33-54),0),IF(B33="高一",MAX(IF(E33="男",L33-16,L33-53),0))))</f>
        <v>0</v>
      </c>
      <c r="O33" s="23">
        <f>IF(E33="男",LOOKUP($N33,[1]对照表!$Z$3:$Z$13,[1]对照表!$AA$3:$AA$13),LOOKUP($N33,[1]对照表!$Z$15:$Z$25,[1]对照表!$AA$15:$AA$25))</f>
        <v>0</v>
      </c>
      <c r="P33" s="24">
        <f>M33+O33</f>
        <v>50</v>
      </c>
      <c r="Q33" s="25">
        <v>4.34</v>
      </c>
      <c r="R33" s="32">
        <f>IF(B33="高三",IF($E33="男",LOOKUP(Q33,[1]对照表!$W$3:$W$24,[1]对照表!$X$3:$X$24),LOOKUP(Q33,[1]对照表!$W$27:$W$48,[1]对照表!$X$27:$X$48)),IF(B33="高二",IF($E33="男",LOOKUP(Q33,[1]对照表!$V$3:$V$24,[1]对照表!$X$3:$X$24),LOOKUP(Q33,[1]对照表!$V$27:$V$48,[1]对照表!$X$27:$X$48)),IF(B33="高一",IF($E33="男",LOOKUP(Q33,[1]对照表!$U$3:$U$24,[1]对照表!$X$3:$X$24),LOOKUP(Q33,[1]对照表!$U$27:$U$48,[1]对照表!$X$27:$X$48)))))</f>
        <v>64</v>
      </c>
      <c r="S33" s="33">
        <f>ROUND(IF(IF($B33="高三",MIN(IF($E33="男",$Q33-3.2,$Q33-3.2),0),IF($B33="高二",MIN(IF($E33="男",$Q33-3.25,$Q33-3.22),0),IF($B33="高一",MIN(IF($E33="男",$Q33-3.3,$Q33-3.24),0))))&lt;-0.6,IF($B33="高三",MIN(IF($E33="男",$Q33-3.2,$Q33-3.2),0),IF($B33="高二",MIN(IF($E33="男",$Q33-3.25,$Q33-3.22),0),IF($B33="高一",MIN(IF($E33="男",$Q33-3.3,$Q33-3.24),0))))+0.4,IF($B33="高三",MIN(IF($E33="男",$Q33-3.2,$Q33-3.2),0),IF($B33="高二",MIN(IF($E33="男",$Q33-3.25,$Q33-3.22),0),IF($B33="高一",MIN(IF($E33="男",$Q33-3.3,$Q33-3.24),0))))),2)</f>
        <v>0</v>
      </c>
      <c r="T33" s="23">
        <f>IF(E33="男",LOOKUP($S33,[1]对照表!$AB$3:$AB$13,[1]对照表!$AC$3:$AC$13),LOOKUP($S33,[1]对照表!$AB$15:$AB$25,[1]对照表!$AC$15:$AC$25))</f>
        <v>0</v>
      </c>
      <c r="U33" s="26">
        <f>R33+T33</f>
        <v>64</v>
      </c>
      <c r="V33" s="26">
        <f>SUM(I33,K33,M33)/3*0.3+SUM(G33,R33)/2*0.4</f>
        <v>47.2</v>
      </c>
      <c r="W33" s="27">
        <f>O33+T33</f>
        <v>0</v>
      </c>
      <c r="X33" s="28">
        <f>V33/0.7+W33</f>
        <v>67.428571428571431</v>
      </c>
      <c r="Y33" s="28">
        <v>67.428571428571431</v>
      </c>
      <c r="Z33" s="21"/>
    </row>
    <row r="34" spans="1:26" x14ac:dyDescent="0.25">
      <c r="A34" s="16">
        <v>25</v>
      </c>
      <c r="B34" s="17" t="s">
        <v>21</v>
      </c>
      <c r="C34" s="16">
        <v>101</v>
      </c>
      <c r="D34" s="18" t="s">
        <v>535</v>
      </c>
      <c r="E34" s="17" t="s">
        <v>23</v>
      </c>
      <c r="F34" s="19">
        <v>8.1</v>
      </c>
      <c r="G34" s="32">
        <f>IF(B34="高三",IF($E34="男",LOOKUP(F34,[1]对照表!$G$3:$G$24,[1]对照表!$H$3:$H$24),LOOKUP(F34,[1]对照表!$G$27:$G$48,[1]对照表!$H$27:$H$48)),IF(B34="高二",IF($E34="男",LOOKUP(F34,[1]对照表!$F$3:$F$24,[1]对照表!$H$3:$H$24),LOOKUP(F34,[1]对照表!$F$27:$F$48,[1]对照表!$H$27:$H$48)),IF(B34="高一",IF($E34="男",LOOKUP(F34,[1]对照表!$E$3:$E$24,[1]对照表!$H$3:$H$24),LOOKUP(F34,[1]对照表!$E$27:$E$48,[1]对照表!$H$27:$H$48)))))</f>
        <v>74</v>
      </c>
      <c r="H34" s="21">
        <v>14</v>
      </c>
      <c r="I34" s="32">
        <f>IF(B34="高三",IF($E34="男",LOOKUP(H34,[1]对照表!$K$3:$K$24,[1]对照表!$L$3:$L$24),LOOKUP(H34,[1]对照表!$K$27:$K$48,[1]对照表!$L$27:$L$48)),IF(B34="高二",IF($E34="男",LOOKUP(H34,[1]对照表!$J$3:$J$24,[1]对照表!$L$3:$L$24),LOOKUP(H34,[1]对照表!$J$27:$J$48,[1]对照表!$L$27:$L$48)),IF(B34="高一",IF($E34="男",LOOKUP(H34,[1]对照表!$I$3:$I$24,[1]对照表!$L$3:$L$24),LOOKUP(H34,[1]对照表!$I$27:$I$48,[1]对照表!$L$27:$L$48)))))</f>
        <v>78</v>
      </c>
      <c r="J34" s="21">
        <v>194</v>
      </c>
      <c r="K34" s="32">
        <f>IF(B34="高三",IF($E34="男",LOOKUP(J34,[1]对照表!$O$3:$O$24,[1]对照表!$P$3:$P$24),LOOKUP(J34,[1]对照表!$O$27:$O$48,[1]对照表!$P$27:$P$48)),IF(B34="高二",IF($E34="男",LOOKUP(J34,[1]对照表!$N$3:$N$24,[1]对照表!$P$3:$P$24),LOOKUP(J34,[1]对照表!$N$27:$N$48,[1]对照表!$P$27:$P$48)),IF(B34="高一",IF($E34="男",LOOKUP(J34,[1]对照表!$M$3:$M$24,[1]对照表!$P$3:$P$24),LOOKUP(J34,[1]对照表!$M$27:$M$48,[1]对照表!$P$27:$P$48)))))</f>
        <v>50</v>
      </c>
      <c r="L34" s="21">
        <v>8</v>
      </c>
      <c r="M34" s="32">
        <f>IF(B34="高三",IF($E34="男",LOOKUP(L34,[1]对照表!$S$3:$S$24,[1]对照表!$T$3:$T$24),LOOKUP(L34,[1]对照表!$S$27:$S$48,[1]对照表!$T$27:$T$48)),IF(B34="高二",IF($E34="男",LOOKUP(L34,[1]对照表!$R$3:$R$24,[1]对照表!$T$3:$T$24),LOOKUP(L34,[1]对照表!$R$27:$R$48,[1]对照表!$T$27:$T$48)),IF(B34="高一",IF($E34="男",LOOKUP(L34,[1]对照表!$Q$3:$Q$24,[1]对照表!$T$3:$T$24),LOOKUP(L34,[1]对照表!$Q$27:$Q$48,[1]对照表!$T$27:$T$48)))))</f>
        <v>64</v>
      </c>
      <c r="N34" s="33">
        <f>IF(B34="高三",MAX(IF(E34="男",L34-18,L34-55),0),IF(B34="高二",MAX(IF(E34="男",L34-17,L34-54),0),IF(B34="高一",MAX(IF(E34="男",L34-16,L34-53),0))))</f>
        <v>0</v>
      </c>
      <c r="O34" s="23">
        <f>IF(E34="男",LOOKUP($N34,[1]对照表!$Z$3:$Z$13,[1]对照表!$AA$3:$AA$13),LOOKUP($N34,[1]对照表!$Z$15:$Z$25,[1]对照表!$AA$15:$AA$25))</f>
        <v>0</v>
      </c>
      <c r="P34" s="24">
        <f>M34+O34</f>
        <v>64</v>
      </c>
      <c r="Q34" s="25">
        <v>4.3099999999999996</v>
      </c>
      <c r="R34" s="32">
        <f>IF(B34="高三",IF($E34="男",LOOKUP(Q34,[1]对照表!$W$3:$W$24,[1]对照表!$X$3:$X$24),LOOKUP(Q34,[1]对照表!$W$27:$W$48,[1]对照表!$X$27:$X$48)),IF(B34="高二",IF($E34="男",LOOKUP(Q34,[1]对照表!$V$3:$V$24,[1]对照表!$X$3:$X$24),LOOKUP(Q34,[1]对照表!$V$27:$V$48,[1]对照表!$X$27:$X$48)),IF(B34="高一",IF($E34="男",LOOKUP(Q34,[1]对照表!$U$3:$U$24,[1]对照表!$X$3:$X$24),LOOKUP(Q34,[1]对照表!$U$27:$U$48,[1]对照表!$X$27:$X$48)))))</f>
        <v>64</v>
      </c>
      <c r="S34" s="33">
        <f>ROUND(IF(IF($B34="高三",MIN(IF($E34="男",$Q34-3.2,$Q34-3.2),0),IF($B34="高二",MIN(IF($E34="男",$Q34-3.25,$Q34-3.22),0),IF($B34="高一",MIN(IF($E34="男",$Q34-3.3,$Q34-3.24),0))))&lt;-0.6,IF($B34="高三",MIN(IF($E34="男",$Q34-3.2,$Q34-3.2),0),IF($B34="高二",MIN(IF($E34="男",$Q34-3.25,$Q34-3.22),0),IF($B34="高一",MIN(IF($E34="男",$Q34-3.3,$Q34-3.24),0))))+0.4,IF($B34="高三",MIN(IF($E34="男",$Q34-3.2,$Q34-3.2),0),IF($B34="高二",MIN(IF($E34="男",$Q34-3.25,$Q34-3.22),0),IF($B34="高一",MIN(IF($E34="男",$Q34-3.3,$Q34-3.24),0))))),2)</f>
        <v>0</v>
      </c>
      <c r="T34" s="23">
        <f>IF(E34="男",LOOKUP($S34,[1]对照表!$AB$3:$AB$13,[1]对照表!$AC$3:$AC$13),LOOKUP($S34,[1]对照表!$AB$15:$AB$25,[1]对照表!$AC$15:$AC$25))</f>
        <v>0</v>
      </c>
      <c r="U34" s="26">
        <f>R34+T34</f>
        <v>64</v>
      </c>
      <c r="V34" s="26">
        <f>SUM(I34,K34,M34)/3*0.3+SUM(G34,R34)/2*0.4</f>
        <v>46.8</v>
      </c>
      <c r="W34" s="27">
        <f>O34+T34</f>
        <v>0</v>
      </c>
      <c r="X34" s="28">
        <f>V34/0.7+W34</f>
        <v>66.857142857142861</v>
      </c>
      <c r="Y34" s="28">
        <v>66.857142857142861</v>
      </c>
      <c r="Z34" s="21"/>
    </row>
    <row r="35" spans="1:26" x14ac:dyDescent="0.25">
      <c r="A35" s="16">
        <v>28</v>
      </c>
      <c r="B35" s="17" t="s">
        <v>21</v>
      </c>
      <c r="C35" s="16">
        <v>101</v>
      </c>
      <c r="D35" s="18" t="s">
        <v>574</v>
      </c>
      <c r="E35" s="17" t="s">
        <v>23</v>
      </c>
      <c r="F35" s="19">
        <v>7.4</v>
      </c>
      <c r="G35" s="32">
        <f>IF(B35="高三",IF($E35="男",LOOKUP(F35,[1]对照表!$G$3:$G$24,[1]对照表!$H$3:$H$24),LOOKUP(F35,[1]对照表!$G$27:$G$48,[1]对照表!$H$27:$H$48)),IF(B35="高二",IF($E35="男",LOOKUP(F35,[1]对照表!$F$3:$F$24,[1]对照表!$H$3:$H$24),LOOKUP(F35,[1]对照表!$F$27:$F$48,[1]对照表!$H$27:$H$48)),IF(B35="高一",IF($E35="男",LOOKUP(F35,[1]对照表!$E$3:$E$24,[1]对照表!$H$3:$H$24),LOOKUP(F35,[1]对照表!$E$27:$E$48,[1]对照表!$H$27:$H$48)))))</f>
        <v>85</v>
      </c>
      <c r="H35" s="21">
        <v>17.2</v>
      </c>
      <c r="I35" s="32">
        <f>IF(B35="高三",IF($E35="男",LOOKUP(H35,[1]对照表!$K$3:$K$24,[1]对照表!$L$3:$L$24),LOOKUP(H35,[1]对照表!$K$27:$K$48,[1]对照表!$L$27:$L$48)),IF(B35="高二",IF($E35="男",LOOKUP(H35,[1]对照表!$J$3:$J$24,[1]对照表!$L$3:$L$24),LOOKUP(H35,[1]对照表!$J$27:$J$48,[1]对照表!$L$27:$L$48)),IF(B35="高一",IF($E35="男",LOOKUP(H35,[1]对照表!$I$3:$I$24,[1]对照表!$L$3:$L$24),LOOKUP(H35,[1]对照表!$I$27:$I$48,[1]对照表!$L$27:$L$48)))))</f>
        <v>85</v>
      </c>
      <c r="J35" s="21">
        <v>260</v>
      </c>
      <c r="K35" s="32">
        <f>IF(B35="高三",IF($E35="男",LOOKUP(J35,[1]对照表!$O$3:$O$24,[1]对照表!$P$3:$P$24),LOOKUP(J35,[1]对照表!$O$27:$O$48,[1]对照表!$P$27:$P$48)),IF(B35="高二",IF($E35="男",LOOKUP(J35,[1]对照表!$N$3:$N$24,[1]对照表!$P$3:$P$24),LOOKUP(J35,[1]对照表!$N$27:$N$48,[1]对照表!$P$27:$P$48)),IF(B35="高一",IF($E35="男",LOOKUP(J35,[1]对照表!$M$3:$M$24,[1]对照表!$P$3:$P$24),LOOKUP(J35,[1]对照表!$M$27:$M$48,[1]对照表!$P$27:$P$48)))))</f>
        <v>100</v>
      </c>
      <c r="L35" s="21">
        <v>7</v>
      </c>
      <c r="M35" s="32">
        <f>IF(B35="高三",IF($E35="男",LOOKUP(L35,[1]对照表!$S$3:$S$24,[1]对照表!$T$3:$T$24),LOOKUP(L35,[1]对照表!$S$27:$S$48,[1]对照表!$T$27:$T$48)),IF(B35="高二",IF($E35="男",LOOKUP(L35,[1]对照表!$R$3:$R$24,[1]对照表!$T$3:$T$24),LOOKUP(L35,[1]对照表!$R$27:$R$48,[1]对照表!$T$27:$T$48)),IF(B35="高一",IF($E35="男",LOOKUP(L35,[1]对照表!$Q$3:$Q$24,[1]对照表!$T$3:$T$24),LOOKUP(L35,[1]对照表!$Q$27:$Q$48,[1]对照表!$T$27:$T$48)))))</f>
        <v>60</v>
      </c>
      <c r="N35" s="27">
        <f>IF(B35="高三",MAX(IF(E35="男",L35-18,L35-55),0),IF(B35="高二",MAX(IF(E35="男",L35-17,L35-54),0),IF(B35="高一",MAX(IF(E35="男",L35-16,L35-53),0))))</f>
        <v>0</v>
      </c>
      <c r="O35" s="23">
        <f>IF(E35="男",LOOKUP($N35,[1]对照表!$Z$3:$Z$13,[1]对照表!$AA$3:$AA$13),LOOKUP($N35,[1]对照表!$Z$15:$Z$25,[1]对照表!$AA$15:$AA$25))</f>
        <v>0</v>
      </c>
      <c r="P35" s="24">
        <f>M35+O35</f>
        <v>60</v>
      </c>
      <c r="Q35" s="25"/>
      <c r="R35" s="20">
        <v>0</v>
      </c>
      <c r="S35" s="20">
        <v>0</v>
      </c>
      <c r="T35" s="23">
        <f>IF(E35="男",LOOKUP($S35,[1]对照表!$AB$3:$AB$13,[1]对照表!$AC$3:$AC$13),LOOKUP($S35,[1]对照表!$AB$15:$AB$25,[1]对照表!$AC$15:$AC$25))</f>
        <v>0</v>
      </c>
      <c r="U35" s="26">
        <f>R35+T35</f>
        <v>0</v>
      </c>
      <c r="V35" s="26">
        <f>SUM(I35,K35,M35)/3*0.3+SUM(G35,R35)/2*0.4</f>
        <v>41.5</v>
      </c>
      <c r="W35" s="27">
        <f>O35+T35</f>
        <v>0</v>
      </c>
      <c r="X35" s="28">
        <f>V35/0.7+W35</f>
        <v>59.285714285714292</v>
      </c>
      <c r="Y35" s="28">
        <v>59.285714285714292</v>
      </c>
      <c r="Z35" s="21" t="s">
        <v>575</v>
      </c>
    </row>
    <row r="36" spans="1:26" x14ac:dyDescent="0.25">
      <c r="A36" s="16">
        <v>31</v>
      </c>
      <c r="B36" s="17" t="s">
        <v>21</v>
      </c>
      <c r="C36" s="16">
        <v>101</v>
      </c>
      <c r="D36" s="18" t="s">
        <v>579</v>
      </c>
      <c r="E36" s="31" t="s">
        <v>23</v>
      </c>
      <c r="F36" s="19">
        <v>8.1999999999999993</v>
      </c>
      <c r="G36" s="32">
        <f>IF(B36="高三",IF($E36="男",LOOKUP(F36,[1]对照表!$G$3:$G$24,[1]对照表!$H$3:$H$24),LOOKUP(F36,[1]对照表!$G$27:$G$48,[1]对照表!$H$27:$H$48)),IF(B36="高二",IF($E36="男",LOOKUP(F36,[1]对照表!$F$3:$F$24,[1]对照表!$H$3:$H$24),LOOKUP(F36,[1]对照表!$F$27:$F$48,[1]对照表!$H$27:$H$48)),IF(B36="高一",IF($E36="男",LOOKUP(F36,[1]对照表!$E$3:$E$24,[1]对照表!$H$3:$H$24),LOOKUP(F36,[1]对照表!$E$27:$E$48,[1]对照表!$H$27:$H$48)))))</f>
        <v>72</v>
      </c>
      <c r="H36" s="21">
        <v>-2.5</v>
      </c>
      <c r="I36" s="32">
        <f>IF(B36="高三",IF($E36="男",LOOKUP(H36,[1]对照表!$K$3:$K$24,[1]对照表!$L$3:$L$24),LOOKUP(H36,[1]对照表!$K$27:$K$48,[1]对照表!$L$27:$L$48)),IF(B36="高二",IF($E36="男",LOOKUP(H36,[1]对照表!$J$3:$J$24,[1]对照表!$L$3:$L$24),LOOKUP(H36,[1]对照表!$J$27:$J$48,[1]对照表!$L$27:$L$48)),IF(B36="高一",IF($E36="男",LOOKUP(H36,[1]对照表!$I$3:$I$24,[1]对照表!$L$3:$L$24),LOOKUP(H36,[1]对照表!$I$27:$I$48,[1]对照表!$L$27:$L$48)))))</f>
        <v>20</v>
      </c>
      <c r="J36" s="21">
        <v>210</v>
      </c>
      <c r="K36" s="32">
        <f>IF(B36="高三",IF($E36="男",LOOKUP(J36,[1]对照表!$O$3:$O$24,[1]对照表!$P$3:$P$24),LOOKUP(J36,[1]对照表!$O$27:$O$48,[1]对照表!$P$27:$P$48)),IF(B36="高二",IF($E36="男",LOOKUP(J36,[1]对照表!$N$3:$N$24,[1]对照表!$P$3:$P$24),LOOKUP(J36,[1]对照表!$N$27:$N$48,[1]对照表!$P$27:$P$48)),IF(B36="高一",IF($E36="男",LOOKUP(J36,[1]对照表!$M$3:$M$24,[1]对照表!$P$3:$P$24),LOOKUP(J36,[1]对照表!$M$27:$M$48,[1]对照表!$P$27:$P$48)))))</f>
        <v>66</v>
      </c>
      <c r="L36" s="21">
        <v>4</v>
      </c>
      <c r="M36" s="32">
        <f>IF(B36="高三",IF($E36="男",LOOKUP(L36,[1]对照表!$S$3:$S$24,[1]对照表!$T$3:$T$24),LOOKUP(L36,[1]对照表!$S$27:$S$48,[1]对照表!$T$27:$T$48)),IF(B36="高二",IF($E36="男",LOOKUP(L36,[1]对照表!$R$3:$R$24,[1]对照表!$T$3:$T$24),LOOKUP(L36,[1]对照表!$R$27:$R$48,[1]对照表!$T$27:$T$48)),IF(B36="高一",IF($E36="男",LOOKUP(L36,[1]对照表!$Q$3:$Q$24,[1]对照表!$T$3:$T$24),LOOKUP(L36,[1]对照表!$Q$27:$Q$48,[1]对照表!$T$27:$T$48)))))</f>
        <v>30</v>
      </c>
      <c r="N36" s="27">
        <f>IF(B36="高三",MAX(IF(E36="男",L36-18,L36-55),0),IF(B36="高二",MAX(IF(E36="男",L36-17,L36-54),0),IF(B36="高一",MAX(IF(E36="男",L36-16,L36-53),0))))</f>
        <v>0</v>
      </c>
      <c r="O36" s="23">
        <f>IF(E36="男",LOOKUP($N36,[1]对照表!$Z$3:$Z$13,[1]对照表!$AA$3:$AA$13),LOOKUP($N36,[1]对照表!$Z$15:$Z$25,[1]对照表!$AA$15:$AA$25))</f>
        <v>0</v>
      </c>
      <c r="P36" s="24">
        <f>M36+O36</f>
        <v>30</v>
      </c>
      <c r="Q36" s="25">
        <v>4.0999999999999996</v>
      </c>
      <c r="R36" s="32">
        <f>IF(B36="高三",IF($E36="男",LOOKUP(Q36,[1]对照表!$W$3:$W$24,[1]对照表!$X$3:$X$24),LOOKUP(Q36,[1]对照表!$W$27:$W$48,[1]对照表!$X$27:$X$48)),IF(B36="高二",IF($E36="男",LOOKUP(Q36,[1]对照表!$V$3:$V$24,[1]对照表!$X$3:$X$24),LOOKUP(Q36,[1]对照表!$V$27:$V$48,[1]对照表!$X$27:$X$48)),IF(B36="高一",IF($E36="男",LOOKUP(Q36,[1]对照表!$U$3:$U$24,[1]对照表!$X$3:$X$24),LOOKUP(Q36,[1]对照表!$U$27:$U$48,[1]对照表!$X$27:$X$48)))))</f>
        <v>74</v>
      </c>
      <c r="S36" s="27">
        <f>ROUND(IF(IF($B36="高三",MIN(IF($E36="男",$Q36-3.2,$Q36-3.2),0),IF($B36="高二",MIN(IF($E36="男",$Q36-3.25,$Q36-3.22),0),IF($B36="高一",MIN(IF($E36="男",$Q36-3.3,$Q36-3.24),0))))&lt;-0.6,IF($B36="高三",MIN(IF($E36="男",$Q36-3.2,$Q36-3.2),0),IF($B36="高二",MIN(IF($E36="男",$Q36-3.25,$Q36-3.22),0),IF($B36="高一",MIN(IF($E36="男",$Q36-3.3,$Q36-3.24),0))))+0.4,IF($B36="高三",MIN(IF($E36="男",$Q36-3.2,$Q36-3.2),0),IF($B36="高二",MIN(IF($E36="男",$Q36-3.25,$Q36-3.22),0),IF($B36="高一",MIN(IF($E36="男",$Q36-3.3,$Q36-3.24),0))))),2)</f>
        <v>0</v>
      </c>
      <c r="T36" s="23">
        <f>IF(E36="男",LOOKUP($S36,[1]对照表!$AB$3:$AB$13,[1]对照表!$AC$3:$AC$13),LOOKUP($S36,[1]对照表!$AB$15:$AB$25,[1]对照表!$AC$15:$AC$25))</f>
        <v>0</v>
      </c>
      <c r="U36" s="26">
        <f>R36+T36</f>
        <v>74</v>
      </c>
      <c r="V36" s="26">
        <f>SUM(I36,K36,M36)/3*0.3+SUM(G36,R36)/2*0.4</f>
        <v>40.800000000000004</v>
      </c>
      <c r="W36" s="27">
        <f>O36+T36</f>
        <v>0</v>
      </c>
      <c r="X36" s="28">
        <f>V36/0.7+W36</f>
        <v>58.285714285714299</v>
      </c>
      <c r="Y36" s="28">
        <v>58.285714285714299</v>
      </c>
      <c r="Z36" s="21"/>
    </row>
    <row r="37" spans="1:26" x14ac:dyDescent="0.25">
      <c r="A37" s="16">
        <v>42</v>
      </c>
      <c r="B37" s="17" t="s">
        <v>21</v>
      </c>
      <c r="C37" s="16">
        <v>101</v>
      </c>
      <c r="D37" s="18" t="s">
        <v>587</v>
      </c>
      <c r="E37" s="16" t="s">
        <v>65</v>
      </c>
      <c r="F37" s="19">
        <v>9.31</v>
      </c>
      <c r="G37" s="32">
        <f>IF(B37="高三",IF($E37="男",LOOKUP(F37,[1]对照表!$G$3:$G$24,[1]对照表!$H$3:$H$24),LOOKUP(F37,[1]对照表!$G$27:$G$48,[1]对照表!$H$27:$H$48)),IF(B37="高二",IF($E37="男",LOOKUP(F37,[1]对照表!$F$3:$F$24,[1]对照表!$H$3:$H$24),LOOKUP(F37,[1]对照表!$F$27:$F$48,[1]对照表!$H$27:$H$48)),IF(B37="高一",IF($E37="男",LOOKUP(F37,[1]对照表!$E$3:$E$24,[1]对照表!$H$3:$H$24),LOOKUP(F37,[1]对照表!$E$27:$E$48,[1]对照表!$H$27:$H$48)))))</f>
        <v>72</v>
      </c>
      <c r="H37" s="21">
        <v>23.5</v>
      </c>
      <c r="I37" s="32">
        <f>IF(B37="高三",IF($E37="男",LOOKUP(H37,[1]对照表!$K$3:$K$24,[1]对照表!$L$3:$L$24),LOOKUP(H37,[1]对照表!$K$27:$K$48,[1]对照表!$L$27:$L$48)),IF(B37="高二",IF($E37="男",LOOKUP(H37,[1]对照表!$J$3:$J$24,[1]对照表!$L$3:$L$24),LOOKUP(H37,[1]对照表!$J$27:$J$48,[1]对照表!$L$27:$L$48)),IF(B37="高一",IF($E37="男",LOOKUP(H37,[1]对照表!$I$3:$I$24,[1]对照表!$L$3:$L$24),LOOKUP(H37,[1]对照表!$I$27:$I$48,[1]对照表!$L$27:$L$48)))))</f>
        <v>95</v>
      </c>
      <c r="J37" s="21">
        <v>183</v>
      </c>
      <c r="K37" s="32">
        <f>IF(B37="高三",IF($E37="男",LOOKUP(J37,[1]对照表!$O$3:$O$24,[1]对照表!$P$3:$P$24),LOOKUP(J37,[1]对照表!$O$27:$O$48,[1]对照表!$P$27:$P$48)),IF(B37="高二",IF($E37="男",LOOKUP(J37,[1]对照表!$N$3:$N$24,[1]对照表!$P$3:$P$24),LOOKUP(J37,[1]对照表!$N$27:$N$48,[1]对照表!$P$27:$P$48)),IF(B37="高一",IF($E37="男",LOOKUP(J37,[1]对照表!$M$3:$M$24,[1]对照表!$P$3:$P$24),LOOKUP(J37,[1]对照表!$M$27:$M$48,[1]对照表!$P$27:$P$48)))))</f>
        <v>80</v>
      </c>
      <c r="L37" s="21">
        <v>47</v>
      </c>
      <c r="M37" s="32">
        <f>IF(B37="高三",IF($E37="男",LOOKUP(L37,[1]对照表!$S$3:$S$24,[1]对照表!$T$3:$T$24),LOOKUP(L37,[1]对照表!$S$27:$S$48,[1]对照表!$T$27:$T$48)),IF(B37="高二",IF($E37="男",LOOKUP(L37,[1]对照表!$R$3:$R$24,[1]对照表!$T$3:$T$24),LOOKUP(L37,[1]对照表!$R$27:$R$48,[1]对照表!$T$27:$T$48)),IF(B37="高一",IF($E37="男",LOOKUP(L37,[1]对照表!$Q$3:$Q$24,[1]对照表!$T$3:$T$24),LOOKUP(L37,[1]对照表!$Q$27:$Q$48,[1]对照表!$T$27:$T$48)))))</f>
        <v>85</v>
      </c>
      <c r="N37" s="33">
        <f>IF(B37="高三",MAX(IF(E37="男",L37-18,L37-55),0),IF(B37="高二",MAX(IF(E37="男",L37-17,L37-54),0),IF(B37="高一",MAX(IF(E37="男",L37-16,L37-53),0))))</f>
        <v>0</v>
      </c>
      <c r="O37" s="23">
        <f>IF(E37="男",LOOKUP($N37,[1]对照表!$Z$3:$Z$13,[1]对照表!$AA$3:$AA$13),LOOKUP($N37,[1]对照表!$Z$15:$Z$25,[1]对照表!$AA$15:$AA$25))</f>
        <v>0</v>
      </c>
      <c r="P37" s="24">
        <f>M37+O37</f>
        <v>85</v>
      </c>
      <c r="Q37" s="25">
        <v>3.48</v>
      </c>
      <c r="R37" s="32">
        <f>IF(B37="高三",IF($E37="男",LOOKUP(Q37,[1]对照表!$W$3:$W$24,[1]对照表!$X$3:$X$24),LOOKUP(Q37,[1]对照表!$W$27:$W$48,[1]对照表!$X$27:$X$48)),IF(B37="高二",IF($E37="男",LOOKUP(Q37,[1]对照表!$V$3:$V$24,[1]对照表!$X$3:$X$24),LOOKUP(Q37,[1]对照表!$V$27:$V$48,[1]对照表!$X$27:$X$48)),IF(B37="高一",IF($E37="男",LOOKUP(Q37,[1]对照表!$U$3:$U$24,[1]对照表!$X$3:$X$24),LOOKUP(Q37,[1]对照表!$U$27:$U$48,[1]对照表!$X$27:$X$48)))))</f>
        <v>80</v>
      </c>
      <c r="S37" s="33">
        <f>ROUND(IF(IF($B37="高三",MIN(IF($E37="男",$Q37-3.2,$Q37-3.2),0),IF($B37="高二",MIN(IF($E37="男",$Q37-3.25,$Q37-3.22),0),IF($B37="高一",MIN(IF($E37="男",$Q37-3.3,$Q37-3.24),0))))&lt;-0.6,IF($B37="高三",MIN(IF($E37="男",$Q37-3.2,$Q37-3.2),0),IF($B37="高二",MIN(IF($E37="男",$Q37-3.25,$Q37-3.22),0),IF($B37="高一",MIN(IF($E37="男",$Q37-3.3,$Q37-3.24),0))))+0.4,IF($B37="高三",MIN(IF($E37="男",$Q37-3.2,$Q37-3.2),0),IF($B37="高二",MIN(IF($E37="男",$Q37-3.25,$Q37-3.22),0),IF($B37="高一",MIN(IF($E37="男",$Q37-3.3,$Q37-3.24),0))))),2)</f>
        <v>0</v>
      </c>
      <c r="T37" s="23">
        <f>IF(E37="男",LOOKUP($S37,[1]对照表!$AB$3:$AB$13,[1]对照表!$AC$3:$AC$13),LOOKUP($S37,[1]对照表!$AB$15:$AB$25,[1]对照表!$AC$15:$AC$25))</f>
        <v>0</v>
      </c>
      <c r="U37" s="26">
        <f>R37+T37</f>
        <v>80</v>
      </c>
      <c r="V37" s="26">
        <f>SUM(I37,K37,M37)/3*0.3+SUM(G37,R37)/2*0.4</f>
        <v>56.400000000000006</v>
      </c>
      <c r="W37" s="27">
        <f>O37+T37</f>
        <v>0</v>
      </c>
      <c r="X37" s="28">
        <f>V37/0.7+W37</f>
        <v>80.571428571428584</v>
      </c>
      <c r="Y37" s="28">
        <v>80.571428571428584</v>
      </c>
      <c r="Z37" s="21"/>
    </row>
    <row r="38" spans="1:26" x14ac:dyDescent="0.25">
      <c r="A38" s="16">
        <v>7</v>
      </c>
      <c r="B38" s="17" t="s">
        <v>21</v>
      </c>
      <c r="C38" s="16">
        <v>101</v>
      </c>
      <c r="D38" s="18" t="s">
        <v>625</v>
      </c>
      <c r="E38" s="16" t="s">
        <v>23</v>
      </c>
      <c r="F38" s="19">
        <v>9.6999999999999993</v>
      </c>
      <c r="G38" s="32">
        <f>IF(B38="高三",IF($E38="男",LOOKUP(F38,[1]对照表!$G$3:$G$24,[1]对照表!$H$3:$H$24),LOOKUP(F38,[1]对照表!$G$27:$G$48,[1]对照表!$H$27:$H$48)),IF(B38="高二",IF($E38="男",LOOKUP(F38,[1]对照表!$F$3:$F$24,[1]对照表!$H$3:$H$24),LOOKUP(F38,[1]对照表!$F$27:$F$48,[1]对照表!$H$27:$H$48)),IF(B38="高一",IF($E38="男",LOOKUP(F38,[1]对照表!$E$3:$E$24,[1]对照表!$H$3:$H$24),LOOKUP(F38,[1]对照表!$E$27:$E$48,[1]对照表!$H$27:$H$48)))))</f>
        <v>50</v>
      </c>
      <c r="H38" s="21">
        <v>-15.5</v>
      </c>
      <c r="I38" s="32">
        <f>IF(B38="高三",IF($E38="男",LOOKUP(H38,[1]对照表!$K$3:$K$24,[1]对照表!$L$3:$L$24),LOOKUP(H38,[1]对照表!$K$27:$K$48,[1]对照表!$L$27:$L$48)),IF(B38="高二",IF($E38="男",LOOKUP(H38,[1]对照表!$J$3:$J$24,[1]对照表!$L$3:$L$24),LOOKUP(H38,[1]对照表!$J$27:$J$48,[1]对照表!$L$27:$L$48)),IF(B38="高一",IF($E38="男",LOOKUP(H38,[1]对照表!$I$3:$I$24,[1]对照表!$L$3:$L$24),LOOKUP(H38,[1]对照表!$I$27:$I$48,[1]对照表!$L$27:$L$48)))))</f>
        <v>0</v>
      </c>
      <c r="J38" s="21">
        <v>130</v>
      </c>
      <c r="K38" s="32">
        <f>IF(B38="高三",IF($E38="男",LOOKUP(J38,[1]对照表!$O$3:$O$24,[1]对照表!$P$3:$P$24),LOOKUP(J38,[1]对照表!$O$27:$O$48,[1]对照表!$P$27:$P$48)),IF(B38="高二",IF($E38="男",LOOKUP(J38,[1]对照表!$N$3:$N$24,[1]对照表!$P$3:$P$24),LOOKUP(J38,[1]对照表!$N$27:$N$48,[1]对照表!$P$27:$P$48)),IF(B38="高一",IF($E38="男",LOOKUP(J38,[1]对照表!$M$3:$M$24,[1]对照表!$P$3:$P$24),LOOKUP(J38,[1]对照表!$M$27:$M$48,[1]对照表!$P$27:$P$48)))))</f>
        <v>0</v>
      </c>
      <c r="L38" s="21">
        <v>0</v>
      </c>
      <c r="M38" s="32">
        <f>IF(B38="高三",IF($E38="男",LOOKUP(L38,[1]对照表!$S$3:$S$24,[1]对照表!$T$3:$T$24),LOOKUP(L38,[1]对照表!$S$27:$S$48,[1]对照表!$T$27:$T$48)),IF(B38="高二",IF($E38="男",LOOKUP(L38,[1]对照表!$R$3:$R$24,[1]对照表!$T$3:$T$24),LOOKUP(L38,[1]对照表!$R$27:$R$48,[1]对照表!$T$27:$T$48)),IF(B38="高一",IF($E38="男",LOOKUP(L38,[1]对照表!$Q$3:$Q$24,[1]对照表!$T$3:$T$24),LOOKUP(L38,[1]对照表!$Q$27:$Q$48,[1]对照表!$T$27:$T$48)))))</f>
        <v>0</v>
      </c>
      <c r="N38" s="33">
        <f>IF(B38="高三",MAX(IF(E38="男",L38-18,L38-55),0),IF(B38="高二",MAX(IF(E38="男",L38-17,L38-54),0),IF(B38="高一",MAX(IF(E38="男",L38-16,L38-53),0))))</f>
        <v>0</v>
      </c>
      <c r="O38" s="23">
        <f>IF(E38="男",LOOKUP($N38,[1]对照表!$Z$3:$Z$13,[1]对照表!$AA$3:$AA$13),LOOKUP($N38,[1]对照表!$Z$15:$Z$25,[1]对照表!$AA$15:$AA$25))</f>
        <v>0</v>
      </c>
      <c r="P38" s="24">
        <f>M38+O38</f>
        <v>0</v>
      </c>
      <c r="Q38" s="25">
        <v>5.0599999999999996</v>
      </c>
      <c r="R38" s="32">
        <f>IF(B38="高三",IF($E38="男",LOOKUP(Q38,[1]对照表!$W$3:$W$24,[1]对照表!$X$3:$X$24),LOOKUP(Q38,[1]对照表!$W$27:$W$48,[1]对照表!$X$27:$X$48)),IF(B38="高二",IF($E38="男",LOOKUP(Q38,[1]对照表!$V$3:$V$24,[1]对照表!$X$3:$X$24),LOOKUP(Q38,[1]对照表!$V$27:$V$48,[1]对照表!$X$27:$X$48)),IF(B38="高一",IF($E38="男",LOOKUP(Q38,[1]对照表!$U$3:$U$24,[1]对照表!$X$3:$X$24),LOOKUP(Q38,[1]对照表!$U$27:$U$48,[1]对照表!$X$27:$X$48)))))</f>
        <v>40</v>
      </c>
      <c r="S38" s="33">
        <f>ROUND(IF(IF($B38="高三",MIN(IF($E38="男",$Q38-3.2,$Q38-3.2),0),IF($B38="高二",MIN(IF($E38="男",$Q38-3.25,$Q38-3.22),0),IF($B38="高一",MIN(IF($E38="男",$Q38-3.3,$Q38-3.24),0))))&lt;-0.6,IF($B38="高三",MIN(IF($E38="男",$Q38-3.2,$Q38-3.2),0),IF($B38="高二",MIN(IF($E38="男",$Q38-3.25,$Q38-3.22),0),IF($B38="高一",MIN(IF($E38="男",$Q38-3.3,$Q38-3.24),0))))+0.4,IF($B38="高三",MIN(IF($E38="男",$Q38-3.2,$Q38-3.2),0),IF($B38="高二",MIN(IF($E38="男",$Q38-3.25,$Q38-3.22),0),IF($B38="高一",MIN(IF($E38="男",$Q38-3.3,$Q38-3.24),0))))),2)</f>
        <v>0</v>
      </c>
      <c r="T38" s="23">
        <f>IF(E38="男",LOOKUP($S38,[1]对照表!$AB$3:$AB$13,[1]对照表!$AC$3:$AC$13),LOOKUP($S38,[1]对照表!$AB$15:$AB$25,[1]对照表!$AC$15:$AC$25))</f>
        <v>0</v>
      </c>
      <c r="U38" s="26">
        <f>R38+T38</f>
        <v>40</v>
      </c>
      <c r="V38" s="26">
        <f>SUM(I38,K38,M38)/3*0.3+SUM(G38,R38)/2*0.4</f>
        <v>18</v>
      </c>
      <c r="W38" s="27">
        <f>O38+T38</f>
        <v>0</v>
      </c>
      <c r="X38" s="28">
        <f>V38/0.7+W38</f>
        <v>25.714285714285715</v>
      </c>
      <c r="Y38" s="29">
        <v>50</v>
      </c>
      <c r="Z38" s="21"/>
    </row>
    <row r="39" spans="1:26" x14ac:dyDescent="0.25">
      <c r="A39" s="16">
        <v>30</v>
      </c>
      <c r="B39" s="17" t="s">
        <v>21</v>
      </c>
      <c r="C39" s="16">
        <v>101</v>
      </c>
      <c r="D39" s="18" t="s">
        <v>634</v>
      </c>
      <c r="E39" s="17" t="s">
        <v>23</v>
      </c>
      <c r="F39" s="19" t="s">
        <v>635</v>
      </c>
      <c r="G39" s="32" t="str">
        <f>IF(B39="高三",IF($E39="男",LOOKUP(F39,[1]对照表!$G$3:$G$24,[1]对照表!$H$3:$H$24),LOOKUP(F39,[1]对照表!$G$27:$G$48,[1]对照表!$H$27:$H$48)),IF(B39="高二",IF($E39="男",LOOKUP(F39,[1]对照表!$F$3:$F$24,[1]对照表!$H$3:$H$24),LOOKUP(F39,[1]对照表!$F$27:$F$48,[1]对照表!$H$27:$H$48)),IF(B39="高一",IF($E39="男",LOOKUP(F39,[1]对照表!$E$3:$E$24,[1]对照表!$H$3:$H$24),LOOKUP(F39,[1]对照表!$E$27:$E$48,[1]对照表!$H$27:$H$48)))))</f>
        <v>/</v>
      </c>
      <c r="H39" s="21">
        <v>26.1</v>
      </c>
      <c r="I39" s="32">
        <f>IF(B39="高三",IF($E39="男",LOOKUP(H39,[1]对照表!$K$3:$K$24,[1]对照表!$L$3:$L$24),LOOKUP(H39,[1]对照表!$K$27:$K$48,[1]对照表!$L$27:$L$48)),IF(B39="高二",IF($E39="男",LOOKUP(H39,[1]对照表!$J$3:$J$24,[1]对照表!$L$3:$L$24),LOOKUP(H39,[1]对照表!$J$27:$J$48,[1]对照表!$L$27:$L$48)),IF(B39="高一",IF($E39="男",LOOKUP(H39,[1]对照表!$I$3:$I$24,[1]对照表!$L$3:$L$24),LOOKUP(H39,[1]对照表!$I$27:$I$48,[1]对照表!$L$27:$L$48)))))</f>
        <v>100</v>
      </c>
      <c r="J39" s="21">
        <v>250</v>
      </c>
      <c r="K39" s="32">
        <f>IF(B39="高三",IF($E39="男",LOOKUP(J39,[1]对照表!$O$3:$O$24,[1]对照表!$P$3:$P$24),LOOKUP(J39,[1]对照表!$O$27:$O$48,[1]对照表!$P$27:$P$48)),IF(B39="高二",IF($E39="男",LOOKUP(J39,[1]对照表!$N$3:$N$24,[1]对照表!$P$3:$P$24),LOOKUP(J39,[1]对照表!$N$27:$N$48,[1]对照表!$P$27:$P$48)),IF(B39="高一",IF($E39="男",LOOKUP(J39,[1]对照表!$M$3:$M$24,[1]对照表!$P$3:$P$24),LOOKUP(J39,[1]对照表!$M$27:$M$48,[1]对照表!$P$27:$P$48)))))</f>
        <v>90</v>
      </c>
      <c r="L39" s="21">
        <v>16</v>
      </c>
      <c r="M39" s="32">
        <f>IF(B39="高三",IF($E39="男",LOOKUP(L39,[1]对照表!$S$3:$S$24,[1]对照表!$T$3:$T$24),LOOKUP(L39,[1]对照表!$S$27:$S$48,[1]对照表!$T$27:$T$48)),IF(B39="高二",IF($E39="男",LOOKUP(L39,[1]对照表!$R$3:$R$24,[1]对照表!$T$3:$T$24),LOOKUP(L39,[1]对照表!$R$27:$R$48,[1]对照表!$T$27:$T$48)),IF(B39="高一",IF($E39="男",LOOKUP(L39,[1]对照表!$Q$3:$Q$24,[1]对照表!$T$3:$T$24),LOOKUP(L39,[1]对照表!$Q$27:$Q$48,[1]对照表!$T$27:$T$48)))))</f>
        <v>100</v>
      </c>
      <c r="N39" s="33">
        <f>IF(B39="高三",MAX(IF(E39="男",L39-18,L39-55),0),IF(B39="高二",MAX(IF(E39="男",L39-17,L39-54),0),IF(B39="高一",MAX(IF(E39="男",L39-16,L39-53),0))))</f>
        <v>0</v>
      </c>
      <c r="O39" s="23">
        <f>IF(E39="男",LOOKUP($N39,[1]对照表!$Z$3:$Z$13,[1]对照表!$AA$3:$AA$13),LOOKUP($N39,[1]对照表!$Z$15:$Z$25,[1]对照表!$AA$15:$AA$25))</f>
        <v>0</v>
      </c>
      <c r="P39" s="24">
        <f>M39+O39</f>
        <v>100</v>
      </c>
      <c r="Q39" s="25"/>
      <c r="R39" s="20">
        <v>0</v>
      </c>
      <c r="S39" s="22">
        <v>0</v>
      </c>
      <c r="T39" s="23">
        <f>IF(E39="男",LOOKUP($S39,[1]对照表!$AB$3:$AB$13,[1]对照表!$AC$3:$AC$13),LOOKUP($S39,[1]对照表!$AB$15:$AB$25,[1]对照表!$AC$15:$AC$25))</f>
        <v>0</v>
      </c>
      <c r="U39" s="26">
        <f>R39+T39</f>
        <v>0</v>
      </c>
      <c r="V39" s="26">
        <f>SUM(I39,K39,M39)/3*0.3+SUM(G39,R39)/2*0.4</f>
        <v>29</v>
      </c>
      <c r="W39" s="27">
        <f>O39+T39</f>
        <v>0</v>
      </c>
      <c r="X39" s="28">
        <f>V39/0.7+W39</f>
        <v>41.428571428571431</v>
      </c>
      <c r="Y39" s="29">
        <v>50</v>
      </c>
      <c r="Z39" s="21" t="s">
        <v>636</v>
      </c>
    </row>
    <row r="40" spans="1:26" x14ac:dyDescent="0.25">
      <c r="A40" s="16">
        <v>45</v>
      </c>
      <c r="B40" s="17" t="s">
        <v>21</v>
      </c>
      <c r="C40" s="16">
        <v>101</v>
      </c>
      <c r="D40" s="18" t="s">
        <v>644</v>
      </c>
      <c r="E40" s="16" t="s">
        <v>65</v>
      </c>
      <c r="F40" s="19">
        <v>8.9</v>
      </c>
      <c r="G40" s="32">
        <f>IF(B40="高三",IF($E40="男",LOOKUP(F40,[1]对照表!$G$3:$G$24,[1]对照表!$H$3:$H$24),LOOKUP(F40,[1]对照表!$G$27:$G$48,[1]对照表!$H$27:$H$48)),IF(B40="高二",IF($E40="男",LOOKUP(F40,[1]对照表!$F$3:$F$24,[1]对照表!$H$3:$H$24),LOOKUP(F40,[1]对照表!$F$27:$F$48,[1]对照表!$H$27:$H$48)),IF(B40="高一",IF($E40="男",LOOKUP(F40,[1]对照表!$E$3:$E$24,[1]对照表!$H$3:$H$24),LOOKUP(F40,[1]对照表!$E$27:$E$48,[1]对照表!$H$27:$H$48)))))</f>
        <v>76</v>
      </c>
      <c r="H40" s="21">
        <v>19</v>
      </c>
      <c r="I40" s="32">
        <f>IF(B40="高三",IF($E40="男",LOOKUP(H40,[1]对照表!$K$3:$K$24,[1]对照表!$L$3:$L$24),LOOKUP(H40,[1]对照表!$K$27:$K$48,[1]对照表!$L$27:$L$48)),IF(B40="高二",IF($E40="男",LOOKUP(H40,[1]对照表!$J$3:$J$24,[1]对照表!$L$3:$L$24),LOOKUP(H40,[1]对照表!$J$27:$J$48,[1]对照表!$L$27:$L$48)),IF(B40="高一",IF($E40="男",LOOKUP(H40,[1]对照表!$I$3:$I$24,[1]对照表!$L$3:$L$24),LOOKUP(H40,[1]对照表!$I$27:$I$48,[1]对照表!$L$27:$L$48)))))</f>
        <v>80</v>
      </c>
      <c r="J40" s="21">
        <v>180</v>
      </c>
      <c r="K40" s="32">
        <f>IF(B40="高三",IF($E40="男",LOOKUP(J40,[1]对照表!$O$3:$O$24,[1]对照表!$P$3:$P$24),LOOKUP(J40,[1]对照表!$O$27:$O$48,[1]对照表!$P$27:$P$48)),IF(B40="高二",IF($E40="男",LOOKUP(J40,[1]对照表!$N$3:$N$24,[1]对照表!$P$3:$P$24),LOOKUP(J40,[1]对照表!$N$27:$N$48,[1]对照表!$P$27:$P$48)),IF(B40="高一",IF($E40="男",LOOKUP(J40,[1]对照表!$M$3:$M$24,[1]对照表!$P$3:$P$24),LOOKUP(J40,[1]对照表!$M$27:$M$48,[1]对照表!$P$27:$P$48)))))</f>
        <v>80</v>
      </c>
      <c r="L40" s="21">
        <v>50</v>
      </c>
      <c r="M40" s="32">
        <f>IF(B40="高三",IF($E40="男",LOOKUP(L40,[1]对照表!$S$3:$S$24,[1]对照表!$T$3:$T$24),LOOKUP(L40,[1]对照表!$S$27:$S$48,[1]对照表!$T$27:$T$48)),IF(B40="高二",IF($E40="男",LOOKUP(L40,[1]对照表!$R$3:$R$24,[1]对照表!$T$3:$T$24),LOOKUP(L40,[1]对照表!$R$27:$R$48,[1]对照表!$T$27:$T$48)),IF(B40="高一",IF($E40="男",LOOKUP(L40,[1]对照表!$Q$3:$Q$24,[1]对照表!$T$3:$T$24),LOOKUP(L40,[1]对照表!$Q$27:$Q$48,[1]对照表!$T$27:$T$48)))))</f>
        <v>90</v>
      </c>
      <c r="N40" s="33">
        <f>IF(B40="高三",MAX(IF(E40="男",L40-18,L40-55),0),IF(B40="高二",MAX(IF(E40="男",L40-17,L40-54),0),IF(B40="高一",MAX(IF(E40="男",L40-16,L40-53),0))))</f>
        <v>0</v>
      </c>
      <c r="O40" s="23">
        <f>IF(E40="男",LOOKUP($N40,[1]对照表!$Z$3:$Z$13,[1]对照表!$AA$3:$AA$13),LOOKUP($N40,[1]对照表!$Z$15:$Z$25,[1]对照表!$AA$15:$AA$25))</f>
        <v>0</v>
      </c>
      <c r="P40" s="24">
        <f>M40+O40</f>
        <v>90</v>
      </c>
      <c r="Q40" s="25">
        <v>3.54</v>
      </c>
      <c r="R40" s="32">
        <f>IF(B40="高三",IF($E40="男",LOOKUP(Q40,[1]对照表!$W$3:$W$24,[1]对照表!$X$3:$X$24),LOOKUP(Q40,[1]对照表!$W$27:$W$48,[1]对照表!$X$27:$X$48)),IF(B40="高二",IF($E40="男",LOOKUP(Q40,[1]对照表!$V$3:$V$24,[1]对照表!$X$3:$X$24),LOOKUP(Q40,[1]对照表!$V$27:$V$48,[1]对照表!$X$27:$X$48)),IF(B40="高一",IF($E40="男",LOOKUP(Q40,[1]对照表!$U$3:$U$24,[1]对照表!$X$3:$X$24),LOOKUP(Q40,[1]对照表!$U$27:$U$48,[1]对照表!$X$27:$X$48)))))</f>
        <v>78</v>
      </c>
      <c r="S40" s="33">
        <f>ROUND(IF(IF($B40="高三",MIN(IF($E40="男",$Q40-3.2,$Q40-3.2),0),IF($B40="高二",MIN(IF($E40="男",$Q40-3.25,$Q40-3.22),0),IF($B40="高一",MIN(IF($E40="男",$Q40-3.3,$Q40-3.24),0))))&lt;-0.6,IF($B40="高三",MIN(IF($E40="男",$Q40-3.2,$Q40-3.2),0),IF($B40="高二",MIN(IF($E40="男",$Q40-3.25,$Q40-3.22),0),IF($B40="高一",MIN(IF($E40="男",$Q40-3.3,$Q40-3.24),0))))+0.4,IF($B40="高三",MIN(IF($E40="男",$Q40-3.2,$Q40-3.2),0),IF($B40="高二",MIN(IF($E40="男",$Q40-3.25,$Q40-3.22),0),IF($B40="高一",MIN(IF($E40="男",$Q40-3.3,$Q40-3.24),0))))),2)</f>
        <v>0</v>
      </c>
      <c r="T40" s="23">
        <f>IF(E40="男",LOOKUP($S40,[1]对照表!$AB$3:$AB$13,[1]对照表!$AC$3:$AC$13),LOOKUP($S40,[1]对照表!$AB$15:$AB$25,[1]对照表!$AC$15:$AC$25))</f>
        <v>0</v>
      </c>
      <c r="U40" s="26">
        <f>R40+T40</f>
        <v>78</v>
      </c>
      <c r="V40" s="26">
        <f>SUM(I40,K40,M40)/3*0.3+SUM(G40,R40)/2*0.4</f>
        <v>55.8</v>
      </c>
      <c r="W40" s="27">
        <f>O40+T40</f>
        <v>0</v>
      </c>
      <c r="X40" s="28">
        <f>V40/0.7+W40</f>
        <v>79.714285714285708</v>
      </c>
      <c r="Y40" s="28">
        <v>79.714285714285708</v>
      </c>
      <c r="Z40" s="21"/>
    </row>
    <row r="41" spans="1:26" x14ac:dyDescent="0.25">
      <c r="A41" s="16">
        <v>41</v>
      </c>
      <c r="B41" s="17" t="s">
        <v>21</v>
      </c>
      <c r="C41" s="16">
        <v>101</v>
      </c>
      <c r="D41" s="18" t="s">
        <v>649</v>
      </c>
      <c r="E41" s="34" t="s">
        <v>65</v>
      </c>
      <c r="F41" s="19">
        <v>10</v>
      </c>
      <c r="G41" s="32">
        <f>IF(B41="高三",IF($E41="男",LOOKUP(F41,[1]对照表!$G$3:$G$24,[1]对照表!$H$3:$H$24),LOOKUP(F41,[1]对照表!$G$27:$G$48,[1]对照表!$H$27:$H$48)),IF(B41="高二",IF($E41="男",LOOKUP(F41,[1]对照表!$F$3:$F$24,[1]对照表!$H$3:$H$24),LOOKUP(F41,[1]对照表!$F$27:$F$48,[1]对照表!$H$27:$H$48)),IF(B41="高一",IF($E41="男",LOOKUP(F41,[1]对照表!$E$3:$E$24,[1]对照表!$H$3:$H$24),LOOKUP(F41,[1]对照表!$E$27:$E$48,[1]对照表!$H$27:$H$48)))))</f>
        <v>66</v>
      </c>
      <c r="H41" s="21">
        <v>22.5</v>
      </c>
      <c r="I41" s="32">
        <f>IF(B41="高三",IF($E41="男",LOOKUP(H41,[1]对照表!$K$3:$K$24,[1]对照表!$L$3:$L$24),LOOKUP(H41,[1]对照表!$K$27:$K$48,[1]对照表!$L$27:$L$48)),IF(B41="高二",IF($E41="男",LOOKUP(H41,[1]对照表!$J$3:$J$24,[1]对照表!$L$3:$L$24),LOOKUP(H41,[1]对照表!$J$27:$J$48,[1]对照表!$L$27:$L$48)),IF(B41="高一",IF($E41="男",LOOKUP(H41,[1]对照表!$I$3:$I$24,[1]对照表!$L$3:$L$24),LOOKUP(H41,[1]对照表!$I$27:$I$48,[1]对照表!$L$27:$L$48)))))</f>
        <v>95</v>
      </c>
      <c r="J41" s="21">
        <v>156</v>
      </c>
      <c r="K41" s="32">
        <f>IF(B41="高三",IF($E41="男",LOOKUP(J41,[1]对照表!$O$3:$O$24,[1]对照表!$P$3:$P$24),LOOKUP(J41,[1]对照表!$O$27:$O$48,[1]对照表!$P$27:$P$48)),IF(B41="高二",IF($E41="男",LOOKUP(J41,[1]对照表!$N$3:$N$24,[1]对照表!$P$3:$P$24),LOOKUP(J41,[1]对照表!$N$27:$N$48,[1]对照表!$P$27:$P$48)),IF(B41="高一",IF($E41="男",LOOKUP(J41,[1]对照表!$M$3:$M$24,[1]对照表!$P$3:$P$24),LOOKUP(J41,[1]对照表!$M$27:$M$48,[1]对照表!$P$27:$P$48)))))</f>
        <v>64</v>
      </c>
      <c r="L41" s="21">
        <v>48</v>
      </c>
      <c r="M41" s="32">
        <f>IF(B41="高三",IF($E41="男",LOOKUP(L41,[1]对照表!$S$3:$S$24,[1]对照表!$T$3:$T$24),LOOKUP(L41,[1]对照表!$S$27:$S$48,[1]对照表!$T$27:$T$48)),IF(B41="高二",IF($E41="男",LOOKUP(L41,[1]对照表!$R$3:$R$24,[1]对照表!$T$3:$T$24),LOOKUP(L41,[1]对照表!$R$27:$R$48,[1]对照表!$T$27:$T$48)),IF(B41="高一",IF($E41="男",LOOKUP(L41,[1]对照表!$Q$3:$Q$24,[1]对照表!$T$3:$T$24),LOOKUP(L41,[1]对照表!$Q$27:$Q$48,[1]对照表!$T$27:$T$48)))))</f>
        <v>85</v>
      </c>
      <c r="N41" s="33">
        <f>IF(B41="高三",MAX(IF(E41="男",L41-18,L41-55),0),IF(B41="高二",MAX(IF(E41="男",L41-17,L41-54),0),IF(B41="高一",MAX(IF(E41="男",L41-16,L41-53),0))))</f>
        <v>0</v>
      </c>
      <c r="O41" s="23">
        <f>IF(E41="男",LOOKUP($N41,[1]对照表!$Z$3:$Z$13,[1]对照表!$AA$3:$AA$13),LOOKUP($N41,[1]对照表!$Z$15:$Z$25,[1]对照表!$AA$15:$AA$25))</f>
        <v>0</v>
      </c>
      <c r="P41" s="24">
        <f>M41+O41</f>
        <v>85</v>
      </c>
      <c r="Q41" s="25">
        <v>3.55</v>
      </c>
      <c r="R41" s="32">
        <f>IF(B41="高三",IF($E41="男",LOOKUP(Q41,[1]对照表!$W$3:$W$24,[1]对照表!$X$3:$X$24),LOOKUP(Q41,[1]对照表!$W$27:$W$48,[1]对照表!$X$27:$X$48)),IF(B41="高二",IF($E41="男",LOOKUP(Q41,[1]对照表!$V$3:$V$24,[1]对照表!$X$3:$X$24),LOOKUP(Q41,[1]对照表!$V$27:$V$48,[1]对照表!$X$27:$X$48)),IF(B41="高一",IF($E41="男",LOOKUP(Q41,[1]对照表!$U$3:$U$24,[1]对照表!$X$3:$X$24),LOOKUP(Q41,[1]对照表!$U$27:$U$48,[1]对照表!$X$27:$X$48)))))</f>
        <v>78</v>
      </c>
      <c r="S41" s="33">
        <f>ROUND(IF(IF($B41="高三",MIN(IF($E41="男",$Q41-3.2,$Q41-3.2),0),IF($B41="高二",MIN(IF($E41="男",$Q41-3.25,$Q41-3.22),0),IF($B41="高一",MIN(IF($E41="男",$Q41-3.3,$Q41-3.24),0))))&lt;-0.6,IF($B41="高三",MIN(IF($E41="男",$Q41-3.2,$Q41-3.2),0),IF($B41="高二",MIN(IF($E41="男",$Q41-3.25,$Q41-3.22),0),IF($B41="高一",MIN(IF($E41="男",$Q41-3.3,$Q41-3.24),0))))+0.4,IF($B41="高三",MIN(IF($E41="男",$Q41-3.2,$Q41-3.2),0),IF($B41="高二",MIN(IF($E41="男",$Q41-3.25,$Q41-3.22),0),IF($B41="高一",MIN(IF($E41="男",$Q41-3.3,$Q41-3.24),0))))),2)</f>
        <v>0</v>
      </c>
      <c r="T41" s="23">
        <f>IF(E41="男",LOOKUP($S41,[1]对照表!$AB$3:$AB$13,[1]对照表!$AC$3:$AC$13),LOOKUP($S41,[1]对照表!$AB$15:$AB$25,[1]对照表!$AC$15:$AC$25))</f>
        <v>0</v>
      </c>
      <c r="U41" s="26">
        <f>R41+T41</f>
        <v>78</v>
      </c>
      <c r="V41" s="26">
        <f>SUM(I41,K41,M41)/3*0.3+SUM(G41,R41)/2*0.4</f>
        <v>53.2</v>
      </c>
      <c r="W41" s="27">
        <f>O41+T41</f>
        <v>0</v>
      </c>
      <c r="X41" s="28">
        <f>V41/0.7+W41</f>
        <v>76.000000000000014</v>
      </c>
      <c r="Y41" s="28">
        <v>76.000000000000014</v>
      </c>
      <c r="Z41" s="21"/>
    </row>
    <row r="42" spans="1:26" x14ac:dyDescent="0.25">
      <c r="A42" s="16">
        <v>13</v>
      </c>
      <c r="B42" s="17" t="s">
        <v>21</v>
      </c>
      <c r="C42" s="16">
        <v>101</v>
      </c>
      <c r="D42" s="18" t="s">
        <v>669</v>
      </c>
      <c r="E42" s="16" t="s">
        <v>23</v>
      </c>
      <c r="F42" s="19"/>
      <c r="G42" s="20">
        <v>0</v>
      </c>
      <c r="H42" s="21"/>
      <c r="I42" s="20">
        <v>0</v>
      </c>
      <c r="J42" s="21"/>
      <c r="K42" s="20">
        <v>0</v>
      </c>
      <c r="L42" s="21"/>
      <c r="M42" s="20">
        <v>0</v>
      </c>
      <c r="N42" s="22">
        <v>0</v>
      </c>
      <c r="O42" s="23">
        <f>IF(E42="男",LOOKUP($N42,[1]对照表!$Z$3:$Z$13,[1]对照表!$AA$3:$AA$13),LOOKUP($N42,[1]对照表!$Z$15:$Z$25,[1]对照表!$AA$15:$AA$25))</f>
        <v>0</v>
      </c>
      <c r="P42" s="24">
        <f>M42+O42</f>
        <v>0</v>
      </c>
      <c r="Q42" s="25"/>
      <c r="R42" s="20">
        <v>0</v>
      </c>
      <c r="S42" s="22">
        <v>0</v>
      </c>
      <c r="T42" s="23">
        <f>IF(E42="男",LOOKUP($S42,[1]对照表!$AB$3:$AB$13,[1]对照表!$AC$3:$AC$13),LOOKUP($S42,[1]对照表!$AB$15:$AB$25,[1]对照表!$AC$15:$AC$25))</f>
        <v>0</v>
      </c>
      <c r="U42" s="26">
        <f>R42+T42</f>
        <v>0</v>
      </c>
      <c r="V42" s="26">
        <f>SUM(I42,K42,M42)/3*0.3+SUM(G42,R42)/2*0.4</f>
        <v>0</v>
      </c>
      <c r="W42" s="27">
        <f>O42+T42</f>
        <v>0</v>
      </c>
      <c r="X42" s="28">
        <f>V42/0.7+W42</f>
        <v>0</v>
      </c>
      <c r="Y42" s="29">
        <v>50</v>
      </c>
      <c r="Z42" s="21"/>
    </row>
    <row r="43" spans="1:26" x14ac:dyDescent="0.25">
      <c r="A43" s="16">
        <v>14</v>
      </c>
      <c r="B43" s="17" t="s">
        <v>21</v>
      </c>
      <c r="C43" s="16">
        <v>101</v>
      </c>
      <c r="D43" s="18" t="s">
        <v>670</v>
      </c>
      <c r="E43" s="16" t="s">
        <v>23</v>
      </c>
      <c r="F43" s="19"/>
      <c r="G43" s="20">
        <v>0</v>
      </c>
      <c r="H43" s="21"/>
      <c r="I43" s="20">
        <v>0</v>
      </c>
      <c r="J43" s="21"/>
      <c r="K43" s="20">
        <v>0</v>
      </c>
      <c r="L43" s="21"/>
      <c r="M43" s="20">
        <v>0</v>
      </c>
      <c r="N43" s="22">
        <v>0</v>
      </c>
      <c r="O43" s="23">
        <f>IF(E43="男",LOOKUP($N43,[1]对照表!$Z$3:$Z$13,[1]对照表!$AA$3:$AA$13),LOOKUP($N43,[1]对照表!$Z$15:$Z$25,[1]对照表!$AA$15:$AA$25))</f>
        <v>0</v>
      </c>
      <c r="P43" s="24">
        <f>M43+O43</f>
        <v>0</v>
      </c>
      <c r="Q43" s="25"/>
      <c r="R43" s="20">
        <v>0</v>
      </c>
      <c r="S43" s="22">
        <v>0</v>
      </c>
      <c r="T43" s="23">
        <f>IF(E43="男",LOOKUP($S43,[1]对照表!$AB$3:$AB$13,[1]对照表!$AC$3:$AC$13),LOOKUP($S43,[1]对照表!$AB$15:$AB$25,[1]对照表!$AC$15:$AC$25))</f>
        <v>0</v>
      </c>
      <c r="U43" s="26">
        <f>R43+T43</f>
        <v>0</v>
      </c>
      <c r="V43" s="26">
        <f>SUM(I43,K43,M43)/3*0.3+SUM(G43,R43)/2*0.4</f>
        <v>0</v>
      </c>
      <c r="W43" s="27">
        <f>O43+T43</f>
        <v>0</v>
      </c>
      <c r="X43" s="28">
        <f>V43/0.7+W43</f>
        <v>0</v>
      </c>
      <c r="Y43" s="29">
        <v>50</v>
      </c>
      <c r="Z43" s="21"/>
    </row>
    <row r="44" spans="1:26" x14ac:dyDescent="0.25">
      <c r="A44" s="16">
        <v>36</v>
      </c>
      <c r="B44" s="17" t="s">
        <v>21</v>
      </c>
      <c r="C44" s="16">
        <v>101</v>
      </c>
      <c r="D44" s="18" t="s">
        <v>671</v>
      </c>
      <c r="E44" s="17" t="s">
        <v>23</v>
      </c>
      <c r="F44" s="19"/>
      <c r="G44" s="20">
        <v>0</v>
      </c>
      <c r="H44" s="21"/>
      <c r="I44" s="20">
        <v>0</v>
      </c>
      <c r="J44" s="21"/>
      <c r="K44" s="20">
        <v>0</v>
      </c>
      <c r="L44" s="21"/>
      <c r="M44" s="20">
        <v>0</v>
      </c>
      <c r="N44" s="22">
        <v>0</v>
      </c>
      <c r="O44" s="23">
        <f>IF(E44="男",LOOKUP($N44,[1]对照表!$Z$3:$Z$13,[1]对照表!$AA$3:$AA$13),LOOKUP($N44,[1]对照表!$Z$15:$Z$25,[1]对照表!$AA$15:$AA$25))</f>
        <v>0</v>
      </c>
      <c r="P44" s="24">
        <f>M44+O44</f>
        <v>0</v>
      </c>
      <c r="Q44" s="25"/>
      <c r="R44" s="20">
        <v>0</v>
      </c>
      <c r="S44" s="22">
        <v>0</v>
      </c>
      <c r="T44" s="23">
        <f>IF(E44="男",LOOKUP($S44,[1]对照表!$AB$3:$AB$13,[1]对照表!$AC$3:$AC$13),LOOKUP($S44,[1]对照表!$AB$15:$AB$25,[1]对照表!$AC$15:$AC$25))</f>
        <v>0</v>
      </c>
      <c r="U44" s="26">
        <f>R44+T44</f>
        <v>0</v>
      </c>
      <c r="V44" s="26">
        <f>SUM(I44,K44,M44)/3*0.3+SUM(G44,R44)/2*0.4</f>
        <v>0</v>
      </c>
      <c r="W44" s="27">
        <f>O44+T44</f>
        <v>0</v>
      </c>
      <c r="X44" s="28">
        <f>V44/0.7+W44</f>
        <v>0</v>
      </c>
      <c r="Y44" s="29">
        <v>50</v>
      </c>
      <c r="Z44" s="21"/>
    </row>
    <row r="45" spans="1:26" x14ac:dyDescent="0.25">
      <c r="A45" s="16">
        <v>37</v>
      </c>
      <c r="B45" s="17" t="s">
        <v>21</v>
      </c>
      <c r="C45" s="16">
        <v>101</v>
      </c>
      <c r="D45" s="18" t="s">
        <v>672</v>
      </c>
      <c r="E45" s="17" t="s">
        <v>23</v>
      </c>
      <c r="F45" s="19"/>
      <c r="G45" s="20">
        <v>0</v>
      </c>
      <c r="H45" s="21"/>
      <c r="I45" s="20">
        <v>0</v>
      </c>
      <c r="J45" s="21"/>
      <c r="K45" s="20">
        <v>0</v>
      </c>
      <c r="L45" s="21"/>
      <c r="M45" s="20">
        <v>0</v>
      </c>
      <c r="N45" s="22">
        <v>0</v>
      </c>
      <c r="O45" s="23">
        <f>IF(E45="男",LOOKUP($N45,[1]对照表!$Z$3:$Z$13,[1]对照表!$AA$3:$AA$13),LOOKUP($N45,[1]对照表!$Z$15:$Z$25,[1]对照表!$AA$15:$AA$25))</f>
        <v>0</v>
      </c>
      <c r="P45" s="24">
        <f>M45+O45</f>
        <v>0</v>
      </c>
      <c r="Q45" s="25"/>
      <c r="R45" s="20">
        <v>0</v>
      </c>
      <c r="S45" s="22">
        <v>0</v>
      </c>
      <c r="T45" s="23">
        <f>IF(E45="男",LOOKUP($S45,[1]对照表!$AB$3:$AB$13,[1]对照表!$AC$3:$AC$13),LOOKUP($S45,[1]对照表!$AB$15:$AB$25,[1]对照表!$AC$15:$AC$25))</f>
        <v>0</v>
      </c>
      <c r="U45" s="26">
        <f>R45+T45</f>
        <v>0</v>
      </c>
      <c r="V45" s="26">
        <f>SUM(I45,K45,M45)/3*0.3+SUM(G45,R45)/2*0.4</f>
        <v>0</v>
      </c>
      <c r="W45" s="27">
        <f>O45+T45</f>
        <v>0</v>
      </c>
      <c r="X45" s="28">
        <f>V45/0.7+W45</f>
        <v>0</v>
      </c>
      <c r="Y45" s="29">
        <v>50</v>
      </c>
      <c r="Z45" s="21"/>
    </row>
    <row r="46" spans="1:26" x14ac:dyDescent="0.25">
      <c r="A46" s="16">
        <v>43</v>
      </c>
      <c r="B46" s="17" t="s">
        <v>21</v>
      </c>
      <c r="C46" s="16">
        <v>101</v>
      </c>
      <c r="D46" s="18" t="s">
        <v>683</v>
      </c>
      <c r="E46" s="16" t="s">
        <v>65</v>
      </c>
      <c r="F46" s="19">
        <v>9.31</v>
      </c>
      <c r="G46" s="32">
        <f>IF(B46="高三",IF($E46="男",LOOKUP(F46,[1]对照表!$G$3:$G$24,[1]对照表!$H$3:$H$24),LOOKUP(F46,[1]对照表!$G$27:$G$48,[1]对照表!$H$27:$H$48)),IF(B46="高二",IF($E46="男",LOOKUP(F46,[1]对照表!$F$3:$F$24,[1]对照表!$H$3:$H$24),LOOKUP(F46,[1]对照表!$F$27:$F$48,[1]对照表!$H$27:$H$48)),IF(B46="高一",IF($E46="男",LOOKUP(F46,[1]对照表!$E$3:$E$24,[1]对照表!$H$3:$H$24),LOOKUP(F46,[1]对照表!$E$27:$E$48,[1]对照表!$H$27:$H$48)))))</f>
        <v>72</v>
      </c>
      <c r="H46" s="21">
        <v>18.5</v>
      </c>
      <c r="I46" s="32">
        <f>IF(B46="高三",IF($E46="男",LOOKUP(H46,[1]对照表!$K$3:$K$24,[1]对照表!$L$3:$L$24),LOOKUP(H46,[1]对照表!$K$27:$K$48,[1]对照表!$L$27:$L$48)),IF(B46="高二",IF($E46="男",LOOKUP(H46,[1]对照表!$J$3:$J$24,[1]对照表!$L$3:$L$24),LOOKUP(H46,[1]对照表!$J$27:$J$48,[1]对照表!$L$27:$L$48)),IF(B46="高一",IF($E46="男",LOOKUP(H46,[1]对照表!$I$3:$I$24,[1]对照表!$L$3:$L$24),LOOKUP(H46,[1]对照表!$I$27:$I$48,[1]对照表!$L$27:$L$48)))))</f>
        <v>80</v>
      </c>
      <c r="J46" s="21">
        <v>176</v>
      </c>
      <c r="K46" s="32">
        <f>IF(B46="高三",IF($E46="男",LOOKUP(J46,[1]对照表!$O$3:$O$24,[1]对照表!$P$3:$P$24),LOOKUP(J46,[1]对照表!$O$27:$O$48,[1]对照表!$P$27:$P$48)),IF(B46="高二",IF($E46="男",LOOKUP(J46,[1]对照表!$N$3:$N$24,[1]对照表!$P$3:$P$24),LOOKUP(J46,[1]对照表!$N$27:$N$48,[1]对照表!$P$27:$P$48)),IF(B46="高一",IF($E46="男",LOOKUP(J46,[1]对照表!$M$3:$M$24,[1]对照表!$P$3:$P$24),LOOKUP(J46,[1]对照表!$M$27:$M$48,[1]对照表!$P$27:$P$48)))))</f>
        <v>78</v>
      </c>
      <c r="L46" s="21">
        <v>49</v>
      </c>
      <c r="M46" s="32">
        <f>IF(B46="高三",IF($E46="男",LOOKUP(L46,[1]对照表!$S$3:$S$24,[1]对照表!$T$3:$T$24),LOOKUP(L46,[1]对照表!$S$27:$S$48,[1]对照表!$T$27:$T$48)),IF(B46="高二",IF($E46="男",LOOKUP(L46,[1]对照表!$R$3:$R$24,[1]对照表!$T$3:$T$24),LOOKUP(L46,[1]对照表!$R$27:$R$48,[1]对照表!$T$27:$T$48)),IF(B46="高一",IF($E46="男",LOOKUP(L46,[1]对照表!$Q$3:$Q$24,[1]对照表!$T$3:$T$24),LOOKUP(L46,[1]对照表!$Q$27:$Q$48,[1]对照表!$T$27:$T$48)))))</f>
        <v>90</v>
      </c>
      <c r="N46" s="33">
        <f>IF(B46="高三",MAX(IF(E46="男",L46-18,L46-55),0),IF(B46="高二",MAX(IF(E46="男",L46-17,L46-54),0),IF(B46="高一",MAX(IF(E46="男",L46-16,L46-53),0))))</f>
        <v>0</v>
      </c>
      <c r="O46" s="23">
        <f>IF(E46="男",LOOKUP($N46,[1]对照表!$Z$3:$Z$13,[1]对照表!$AA$3:$AA$13),LOOKUP($N46,[1]对照表!$Z$15:$Z$25,[1]对照表!$AA$15:$AA$25))</f>
        <v>0</v>
      </c>
      <c r="P46" s="24">
        <f>M46+O46</f>
        <v>90</v>
      </c>
      <c r="Q46" s="25">
        <v>4</v>
      </c>
      <c r="R46" s="32">
        <f>IF(B46="高三",IF($E46="男",LOOKUP(Q46,[1]对照表!$W$3:$W$24,[1]对照表!$X$3:$X$24),LOOKUP(Q46,[1]对照表!$W$27:$W$48,[1]对照表!$X$27:$X$48)),IF(B46="高二",IF($E46="男",LOOKUP(Q46,[1]对照表!$V$3:$V$24,[1]对照表!$X$3:$X$24),LOOKUP(Q46,[1]对照表!$V$27:$V$48,[1]对照表!$X$27:$X$48)),IF(B46="高一",IF($E46="男",LOOKUP(Q46,[1]对照表!$U$3:$U$24,[1]对照表!$X$3:$X$24),LOOKUP(Q46,[1]对照表!$U$27:$U$48,[1]对照表!$X$27:$X$48)))))</f>
        <v>76</v>
      </c>
      <c r="S46" s="33">
        <f>ROUND(IF(IF($B46="高三",MIN(IF($E46="男",$Q46-3.2,$Q46-3.2),0),IF($B46="高二",MIN(IF($E46="男",$Q46-3.25,$Q46-3.22),0),IF($B46="高一",MIN(IF($E46="男",$Q46-3.3,$Q46-3.24),0))))&lt;-0.6,IF($B46="高三",MIN(IF($E46="男",$Q46-3.2,$Q46-3.2),0),IF($B46="高二",MIN(IF($E46="男",$Q46-3.25,$Q46-3.22),0),IF($B46="高一",MIN(IF($E46="男",$Q46-3.3,$Q46-3.24),0))))+0.4,IF($B46="高三",MIN(IF($E46="男",$Q46-3.2,$Q46-3.2),0),IF($B46="高二",MIN(IF($E46="男",$Q46-3.25,$Q46-3.22),0),IF($B46="高一",MIN(IF($E46="男",$Q46-3.3,$Q46-3.24),0))))),2)</f>
        <v>0</v>
      </c>
      <c r="T46" s="23">
        <f>IF(E46="男",LOOKUP($S46,[1]对照表!$AB$3:$AB$13,[1]对照表!$AC$3:$AC$13),LOOKUP($S46,[1]对照表!$AB$15:$AB$25,[1]对照表!$AC$15:$AC$25))</f>
        <v>0</v>
      </c>
      <c r="U46" s="26">
        <f>R46+T46</f>
        <v>76</v>
      </c>
      <c r="V46" s="26">
        <f>SUM(I46,K46,M46)/3*0.3+SUM(G46,R46)/2*0.4</f>
        <v>54.400000000000006</v>
      </c>
      <c r="W46" s="27">
        <f>O46+T46</f>
        <v>0</v>
      </c>
      <c r="X46" s="28">
        <f>V46/0.7+W46</f>
        <v>77.714285714285722</v>
      </c>
      <c r="Y46" s="28">
        <v>77.714285714285722</v>
      </c>
      <c r="Z46" s="21"/>
    </row>
    <row r="47" spans="1:26" x14ac:dyDescent="0.25">
      <c r="A47" s="16">
        <v>46</v>
      </c>
      <c r="B47" s="17" t="s">
        <v>21</v>
      </c>
      <c r="C47" s="16">
        <v>101</v>
      </c>
      <c r="D47" s="18" t="s">
        <v>684</v>
      </c>
      <c r="E47" s="16" t="s">
        <v>65</v>
      </c>
      <c r="F47" s="19">
        <v>9.7100000000000009</v>
      </c>
      <c r="G47" s="20">
        <f>IF(B47="高三",IF($E47="男",LOOKUP(F47,[1]对照表!$G$3:$G$24,[1]对照表!$H$3:$H$24),LOOKUP(F47,[1]对照表!$G$27:$G$48,[1]对照表!$H$27:$H$48)),IF(B47="高二",IF($E47="男",LOOKUP(F47,[1]对照表!$F$3:$F$24,[1]对照表!$H$3:$H$24),LOOKUP(F47,[1]对照表!$F$27:$F$48,[1]对照表!$H$27:$H$48)),IF(B47="高一",IF($E47="男",LOOKUP(F47,[1]对照表!$E$3:$E$24,[1]对照表!$H$3:$H$24),LOOKUP(F47,[1]对照表!$E$27:$E$48,[1]对照表!$H$27:$H$48)))))</f>
        <v>68</v>
      </c>
      <c r="H47" s="21">
        <v>30.5</v>
      </c>
      <c r="I47" s="32">
        <f>IF(B47="高三",IF($E47="男",LOOKUP(H47,[1]对照表!$K$3:$K$24,[1]对照表!$L$3:$L$24),LOOKUP(H47,[1]对照表!$K$27:$K$48,[1]对照表!$L$27:$L$48)),IF(B47="高二",IF($E47="男",LOOKUP(H47,[1]对照表!$J$3:$J$24,[1]对照表!$L$3:$L$24),LOOKUP(H47,[1]对照表!$J$27:$J$48,[1]对照表!$L$27:$L$48)),IF(B47="高一",IF($E47="男",LOOKUP(H47,[1]对照表!$I$3:$I$24,[1]对照表!$L$3:$L$24),LOOKUP(H47,[1]对照表!$I$27:$I$48,[1]对照表!$L$27:$L$48)))))</f>
        <v>100</v>
      </c>
      <c r="J47" s="21">
        <v>190</v>
      </c>
      <c r="K47" s="32">
        <f>IF(B47="高三",IF($E47="男",LOOKUP(J47,[1]对照表!$O$3:$O$24,[1]对照表!$P$3:$P$24),LOOKUP(J47,[1]对照表!$O$27:$O$48,[1]对照表!$P$27:$P$48)),IF(B47="高二",IF($E47="男",LOOKUP(J47,[1]对照表!$N$3:$N$24,[1]对照表!$P$3:$P$24),LOOKUP(J47,[1]对照表!$N$27:$N$48,[1]对照表!$P$27:$P$48)),IF(B47="高一",IF($E47="男",LOOKUP(J47,[1]对照表!$M$3:$M$24,[1]对照表!$P$3:$P$24),LOOKUP(J47,[1]对照表!$M$27:$M$48,[1]对照表!$P$27:$P$48)))))</f>
        <v>85</v>
      </c>
      <c r="L47" s="21">
        <v>59</v>
      </c>
      <c r="M47" s="32">
        <f>IF(B47="高三",IF($E47="男",LOOKUP(L47,[1]对照表!$S$3:$S$24,[1]对照表!$T$3:$T$24),LOOKUP(L47,[1]对照表!$S$27:$S$48,[1]对照表!$T$27:$T$48)),IF(B47="高二",IF($E47="男",LOOKUP(L47,[1]对照表!$R$3:$R$24,[1]对照表!$T$3:$T$24),LOOKUP(L47,[1]对照表!$R$27:$R$48,[1]对照表!$T$27:$T$48)),IF(B47="高一",IF($E47="男",LOOKUP(L47,[1]对照表!$Q$3:$Q$24,[1]对照表!$T$3:$T$24),LOOKUP(L47,[1]对照表!$Q$27:$Q$48,[1]对照表!$T$27:$T$48)))))</f>
        <v>100</v>
      </c>
      <c r="N47" s="33">
        <f>IF(B47="高三",MAX(IF(E47="男",L47-18,L47-55),0),IF(B47="高二",MAX(IF(E47="男",L47-17,L47-54),0),IF(B47="高一",MAX(IF(E47="男",L47-16,L47-53),0))))</f>
        <v>6</v>
      </c>
      <c r="O47" s="23">
        <f>IF(E47="男",LOOKUP($N47,[1]对照表!$Z$3:$Z$13,[1]对照表!$AA$3:$AA$13),LOOKUP($N47,[1]对照表!$Z$15:$Z$25,[1]对照表!$AA$15:$AA$25))</f>
        <v>3</v>
      </c>
      <c r="P47" s="24">
        <f>M47+O47</f>
        <v>103</v>
      </c>
      <c r="Q47" s="25">
        <v>4</v>
      </c>
      <c r="R47" s="32">
        <f>IF(B47="高三",IF($E47="男",LOOKUP(Q47,[1]对照表!$W$3:$W$24,[1]对照表!$X$3:$X$24),LOOKUP(Q47,[1]对照表!$W$27:$W$48,[1]对照表!$X$27:$X$48)),IF(B47="高二",IF($E47="男",LOOKUP(Q47,[1]对照表!$V$3:$V$24,[1]对照表!$X$3:$X$24),LOOKUP(Q47,[1]对照表!$V$27:$V$48,[1]对照表!$X$27:$X$48)),IF(B47="高一",IF($E47="男",LOOKUP(Q47,[1]对照表!$U$3:$U$24,[1]对照表!$X$3:$X$24),LOOKUP(Q47,[1]对照表!$U$27:$U$48,[1]对照表!$X$27:$X$48)))))</f>
        <v>76</v>
      </c>
      <c r="S47" s="33">
        <f>ROUND(IF(IF($B47="高三",MIN(IF($E47="男",$Q47-3.2,$Q47-3.2),0),IF($B47="高二",MIN(IF($E47="男",$Q47-3.25,$Q47-3.22),0),IF($B47="高一",MIN(IF($E47="男",$Q47-3.3,$Q47-3.24),0))))&lt;-0.6,IF($B47="高三",MIN(IF($E47="男",$Q47-3.2,$Q47-3.2),0),IF($B47="高二",MIN(IF($E47="男",$Q47-3.25,$Q47-3.22),0),IF($B47="高一",MIN(IF($E47="男",$Q47-3.3,$Q47-3.24),0))))+0.4,IF($B47="高三",MIN(IF($E47="男",$Q47-3.2,$Q47-3.2),0),IF($B47="高二",MIN(IF($E47="男",$Q47-3.25,$Q47-3.22),0),IF($B47="高一",MIN(IF($E47="男",$Q47-3.3,$Q47-3.24),0))))),2)</f>
        <v>0</v>
      </c>
      <c r="T47" s="23">
        <f>IF(E47="男",LOOKUP($S47,[1]对照表!$AB$3:$AB$13,[1]对照表!$AC$3:$AC$13),LOOKUP($S47,[1]对照表!$AB$15:$AB$25,[1]对照表!$AC$15:$AC$25))</f>
        <v>0</v>
      </c>
      <c r="U47" s="26">
        <f>R47+T47</f>
        <v>76</v>
      </c>
      <c r="V47" s="26">
        <f>SUM(I47,K47,M47)/3*0.3+SUM(G47,R47)/2*0.4</f>
        <v>57.3</v>
      </c>
      <c r="W47" s="27">
        <f>O47+T47</f>
        <v>3</v>
      </c>
      <c r="X47" s="28">
        <f>V47/0.7+W47</f>
        <v>84.857142857142861</v>
      </c>
      <c r="Y47" s="28">
        <v>84.857142857142861</v>
      </c>
      <c r="Z47" s="21"/>
    </row>
    <row r="48" spans="1:26" x14ac:dyDescent="0.25">
      <c r="A48" s="16">
        <v>48</v>
      </c>
      <c r="B48" s="17" t="s">
        <v>21</v>
      </c>
      <c r="C48" s="16">
        <v>101</v>
      </c>
      <c r="D48" s="18" t="s">
        <v>695</v>
      </c>
      <c r="E48" s="35" t="s">
        <v>65</v>
      </c>
      <c r="F48" s="19">
        <v>9.39</v>
      </c>
      <c r="G48" s="32">
        <f>IF(B48="高三",IF($E48="男",LOOKUP(F48,[1]对照表!$G$3:$G$24,[1]对照表!$H$3:$H$24),LOOKUP(F48,[1]对照表!$G$27:$G$48,[1]对照表!$H$27:$H$48)),IF(B48="高二",IF($E48="男",LOOKUP(F48,[1]对照表!$F$3:$F$24,[1]对照表!$H$3:$H$24),LOOKUP(F48,[1]对照表!$F$27:$F$48,[1]对照表!$H$27:$H$48)),IF(B48="高一",IF($E48="男",LOOKUP(F48,[1]对照表!$E$3:$E$24,[1]对照表!$H$3:$H$24),LOOKUP(F48,[1]对照表!$E$27:$E$48,[1]对照表!$H$27:$H$48)))))</f>
        <v>72</v>
      </c>
      <c r="H48" s="21">
        <v>22.5</v>
      </c>
      <c r="I48" s="32">
        <f>IF(B48="高三",IF($E48="男",LOOKUP(H48,[1]对照表!$K$3:$K$24,[1]对照表!$L$3:$L$24),LOOKUP(H48,[1]对照表!$K$27:$K$48,[1]对照表!$L$27:$L$48)),IF(B48="高二",IF($E48="男",LOOKUP(H48,[1]对照表!$J$3:$J$24,[1]对照表!$L$3:$L$24),LOOKUP(H48,[1]对照表!$J$27:$J$48,[1]对照表!$L$27:$L$48)),IF(B48="高一",IF($E48="男",LOOKUP(H48,[1]对照表!$I$3:$I$24,[1]对照表!$L$3:$L$24),LOOKUP(H48,[1]对照表!$I$27:$I$48,[1]对照表!$L$27:$L$48)))))</f>
        <v>95</v>
      </c>
      <c r="J48" s="21">
        <v>177</v>
      </c>
      <c r="K48" s="32">
        <f>IF(B48="高三",IF($E48="男",LOOKUP(J48,[1]对照表!$O$3:$O$24,[1]对照表!$P$3:$P$24),LOOKUP(J48,[1]对照表!$O$27:$O$48,[1]对照表!$P$27:$P$48)),IF(B48="高二",IF($E48="男",LOOKUP(J48,[1]对照表!$N$3:$N$24,[1]对照表!$P$3:$P$24),LOOKUP(J48,[1]对照表!$N$27:$N$48,[1]对照表!$P$27:$P$48)),IF(B48="高一",IF($E48="男",LOOKUP(J48,[1]对照表!$M$3:$M$24,[1]对照表!$P$3:$P$24),LOOKUP(J48,[1]对照表!$M$27:$M$48,[1]对照表!$P$27:$P$48)))))</f>
        <v>78</v>
      </c>
      <c r="L48" s="21">
        <v>44</v>
      </c>
      <c r="M48" s="32">
        <f>IF(B48="高三",IF($E48="男",LOOKUP(L48,[1]对照表!$S$3:$S$24,[1]对照表!$T$3:$T$24),LOOKUP(L48,[1]对照表!$S$27:$S$48,[1]对照表!$T$27:$T$48)),IF(B48="高二",IF($E48="男",LOOKUP(L48,[1]对照表!$R$3:$R$24,[1]对照表!$T$3:$T$24),LOOKUP(L48,[1]对照表!$R$27:$R$48,[1]对照表!$T$27:$T$48)),IF(B48="高一",IF($E48="男",LOOKUP(L48,[1]对照表!$Q$3:$Q$24,[1]对照表!$T$3:$T$24),LOOKUP(L48,[1]对照表!$Q$27:$Q$48,[1]对照表!$T$27:$T$48)))))</f>
        <v>80</v>
      </c>
      <c r="N48" s="33">
        <f>IF(B48="高三",MAX(IF(E48="男",L48-18,L48-55),0),IF(B48="高二",MAX(IF(E48="男",L48-17,L48-54),0),IF(B48="高一",MAX(IF(E48="男",L48-16,L48-53),0))))</f>
        <v>0</v>
      </c>
      <c r="O48" s="23">
        <f>IF(E48="男",LOOKUP($N48,[1]对照表!$Z$3:$Z$13,[1]对照表!$AA$3:$AA$13),LOOKUP($N48,[1]对照表!$Z$15:$Z$25,[1]对照表!$AA$15:$AA$25))</f>
        <v>0</v>
      </c>
      <c r="P48" s="24">
        <f>M48+O48</f>
        <v>80</v>
      </c>
      <c r="Q48" s="25">
        <v>4.0599999999999996</v>
      </c>
      <c r="R48" s="32">
        <f>IF(B48="高三",IF($E48="男",LOOKUP(Q48,[1]对照表!$W$3:$W$24,[1]对照表!$X$3:$X$24),LOOKUP(Q48,[1]对照表!$W$27:$W$48,[1]对照表!$X$27:$X$48)),IF(B48="高二",IF($E48="男",LOOKUP(Q48,[1]对照表!$V$3:$V$24,[1]对照表!$X$3:$X$24),LOOKUP(Q48,[1]对照表!$V$27:$V$48,[1]对照表!$X$27:$X$48)),IF(B48="高一",IF($E48="男",LOOKUP(Q48,[1]对照表!$U$3:$U$24,[1]对照表!$X$3:$X$24),LOOKUP(Q48,[1]对照表!$U$27:$U$48,[1]对照表!$X$27:$X$48)))))</f>
        <v>72</v>
      </c>
      <c r="S48" s="33">
        <f>ROUND(IF(IF($B48="高三",MIN(IF($E48="男",$Q48-3.2,$Q48-3.2),0),IF($B48="高二",MIN(IF($E48="男",$Q48-3.25,$Q48-3.22),0),IF($B48="高一",MIN(IF($E48="男",$Q48-3.3,$Q48-3.24),0))))&lt;-0.6,IF($B48="高三",MIN(IF($E48="男",$Q48-3.2,$Q48-3.2),0),IF($B48="高二",MIN(IF($E48="男",$Q48-3.25,$Q48-3.22),0),IF($B48="高一",MIN(IF($E48="男",$Q48-3.3,$Q48-3.24),0))))+0.4,IF($B48="高三",MIN(IF($E48="男",$Q48-3.2,$Q48-3.2),0),IF($B48="高二",MIN(IF($E48="男",$Q48-3.25,$Q48-3.22),0),IF($B48="高一",MIN(IF($E48="男",$Q48-3.3,$Q48-3.24),0))))),2)</f>
        <v>0</v>
      </c>
      <c r="T48" s="23">
        <f>IF(E48="男",LOOKUP($S48,[1]对照表!$AB$3:$AB$13,[1]对照表!$AC$3:$AC$13),LOOKUP($S48,[1]对照表!$AB$15:$AB$25,[1]对照表!$AC$15:$AC$25))</f>
        <v>0</v>
      </c>
      <c r="U48" s="26">
        <f>R48+T48</f>
        <v>72</v>
      </c>
      <c r="V48" s="26">
        <f>SUM(I48,K48,M48)/3*0.3+SUM(G48,R48)/2*0.4</f>
        <v>54.099999999999994</v>
      </c>
      <c r="W48" s="27">
        <f>O48+T48</f>
        <v>0</v>
      </c>
      <c r="X48" s="28">
        <f>V48/0.7+W48</f>
        <v>77.285714285714278</v>
      </c>
      <c r="Y48" s="28">
        <v>77.285714285714278</v>
      </c>
      <c r="Z48" s="21"/>
    </row>
    <row r="49" spans="1:26" x14ac:dyDescent="0.25">
      <c r="A49" s="16">
        <v>44</v>
      </c>
      <c r="B49" s="17" t="s">
        <v>21</v>
      </c>
      <c r="C49" s="16">
        <v>101</v>
      </c>
      <c r="D49" s="18" t="s">
        <v>701</v>
      </c>
      <c r="E49" s="16" t="s">
        <v>65</v>
      </c>
      <c r="F49" s="19">
        <v>10.050000000000001</v>
      </c>
      <c r="G49" s="32">
        <f>IF(B49="高三",IF($E49="男",LOOKUP(F49,[1]对照表!$G$3:$G$24,[1]对照表!$H$3:$H$24),LOOKUP(F49,[1]对照表!$G$27:$G$48,[1]对照表!$H$27:$H$48)),IF(B49="高二",IF($E49="男",LOOKUP(F49,[1]对照表!$F$3:$F$24,[1]对照表!$H$3:$H$24),LOOKUP(F49,[1]对照表!$F$27:$F$48,[1]对照表!$H$27:$H$48)),IF(B49="高一",IF($E49="男",LOOKUP(F49,[1]对照表!$E$3:$E$24,[1]对照表!$H$3:$H$24),LOOKUP(F49,[1]对照表!$E$27:$E$48,[1]对照表!$H$27:$H$48)))))</f>
        <v>64</v>
      </c>
      <c r="H49" s="21">
        <v>23.5</v>
      </c>
      <c r="I49" s="32">
        <f>IF(B49="高三",IF($E49="男",LOOKUP(H49,[1]对照表!$K$3:$K$24,[1]对照表!$L$3:$L$24),LOOKUP(H49,[1]对照表!$K$27:$K$48,[1]对照表!$L$27:$L$48)),IF(B49="高二",IF($E49="男",LOOKUP(H49,[1]对照表!$J$3:$J$24,[1]对照表!$L$3:$L$24),LOOKUP(H49,[1]对照表!$J$27:$J$48,[1]对照表!$L$27:$L$48)),IF(B49="高一",IF($E49="男",LOOKUP(H49,[1]对照表!$I$3:$I$24,[1]对照表!$L$3:$L$24),LOOKUP(H49,[1]对照表!$I$27:$I$48,[1]对照表!$L$27:$L$48)))))</f>
        <v>95</v>
      </c>
      <c r="J49" s="21">
        <v>155</v>
      </c>
      <c r="K49" s="32">
        <f>IF(B49="高三",IF($E49="男",LOOKUP(J49,[1]对照表!$O$3:$O$24,[1]对照表!$P$3:$P$24),LOOKUP(J49,[1]对照表!$O$27:$O$48,[1]对照表!$P$27:$P$48)),IF(B49="高二",IF($E49="男",LOOKUP(J49,[1]对照表!$N$3:$N$24,[1]对照表!$P$3:$P$24),LOOKUP(J49,[1]对照表!$N$27:$N$48,[1]对照表!$P$27:$P$48)),IF(B49="高一",IF($E49="男",LOOKUP(J49,[1]对照表!$M$3:$M$24,[1]对照表!$P$3:$P$24),LOOKUP(J49,[1]对照表!$M$27:$M$48,[1]对照表!$P$27:$P$48)))))</f>
        <v>64</v>
      </c>
      <c r="L49" s="21">
        <v>50</v>
      </c>
      <c r="M49" s="32">
        <f>IF(B49="高三",IF($E49="男",LOOKUP(L49,[1]对照表!$S$3:$S$24,[1]对照表!$T$3:$T$24),LOOKUP(L49,[1]对照表!$S$27:$S$48,[1]对照表!$T$27:$T$48)),IF(B49="高二",IF($E49="男",LOOKUP(L49,[1]对照表!$R$3:$R$24,[1]对照表!$T$3:$T$24),LOOKUP(L49,[1]对照表!$R$27:$R$48,[1]对照表!$T$27:$T$48)),IF(B49="高一",IF($E49="男",LOOKUP(L49,[1]对照表!$Q$3:$Q$24,[1]对照表!$T$3:$T$24),LOOKUP(L49,[1]对照表!$Q$27:$Q$48,[1]对照表!$T$27:$T$48)))))</f>
        <v>90</v>
      </c>
      <c r="N49" s="33">
        <f>IF(B49="高三",MAX(IF(E49="男",L49-18,L49-55),0),IF(B49="高二",MAX(IF(E49="男",L49-17,L49-54),0),IF(B49="高一",MAX(IF(E49="男",L49-16,L49-53),0))))</f>
        <v>0</v>
      </c>
      <c r="O49" s="23">
        <f>IF(E49="男",LOOKUP($N49,[1]对照表!$Z$3:$Z$13,[1]对照表!$AA$3:$AA$13),LOOKUP($N49,[1]对照表!$Z$15:$Z$25,[1]对照表!$AA$15:$AA$25))</f>
        <v>0</v>
      </c>
      <c r="P49" s="24">
        <f>M49+O49</f>
        <v>90</v>
      </c>
      <c r="Q49" s="25">
        <v>4.08</v>
      </c>
      <c r="R49" s="32">
        <f>IF(B49="高三",IF($E49="男",LOOKUP(Q49,[1]对照表!$W$3:$W$24,[1]对照表!$X$3:$X$24),LOOKUP(Q49,[1]对照表!$W$27:$W$48,[1]对照表!$X$27:$X$48)),IF(B49="高二",IF($E49="男",LOOKUP(Q49,[1]对照表!$V$3:$V$24,[1]对照表!$X$3:$X$24),LOOKUP(Q49,[1]对照表!$V$27:$V$48,[1]对照表!$X$27:$X$48)),IF(B49="高一",IF($E49="男",LOOKUP(Q49,[1]对照表!$U$3:$U$24,[1]对照表!$X$3:$X$24),LOOKUP(Q49,[1]对照表!$U$27:$U$48,[1]对照表!$X$27:$X$48)))))</f>
        <v>72</v>
      </c>
      <c r="S49" s="33">
        <f>ROUND(IF(IF($B49="高三",MIN(IF($E49="男",$Q49-3.2,$Q49-3.2),0),IF($B49="高二",MIN(IF($E49="男",$Q49-3.25,$Q49-3.22),0),IF($B49="高一",MIN(IF($E49="男",$Q49-3.3,$Q49-3.24),0))))&lt;-0.6,IF($B49="高三",MIN(IF($E49="男",$Q49-3.2,$Q49-3.2),0),IF($B49="高二",MIN(IF($E49="男",$Q49-3.25,$Q49-3.22),0),IF($B49="高一",MIN(IF($E49="男",$Q49-3.3,$Q49-3.24),0))))+0.4,IF($B49="高三",MIN(IF($E49="男",$Q49-3.2,$Q49-3.2),0),IF($B49="高二",MIN(IF($E49="男",$Q49-3.25,$Q49-3.22),0),IF($B49="高一",MIN(IF($E49="男",$Q49-3.3,$Q49-3.24),0))))),2)</f>
        <v>0</v>
      </c>
      <c r="T49" s="23">
        <f>IF(E49="男",LOOKUP($S49,[1]对照表!$AB$3:$AB$13,[1]对照表!$AC$3:$AC$13),LOOKUP($S49,[1]对照表!$AB$15:$AB$25,[1]对照表!$AC$15:$AC$25))</f>
        <v>0</v>
      </c>
      <c r="U49" s="26">
        <f>R49+T49</f>
        <v>72</v>
      </c>
      <c r="V49" s="26">
        <f>SUM(I49,K49,M49)/3*0.3+SUM(G49,R49)/2*0.4</f>
        <v>52.1</v>
      </c>
      <c r="W49" s="27">
        <f>O49+T49</f>
        <v>0</v>
      </c>
      <c r="X49" s="28">
        <f>V49/0.7+W49</f>
        <v>74.428571428571431</v>
      </c>
      <c r="Y49" s="28">
        <v>74.428571428571431</v>
      </c>
      <c r="Z49" s="21"/>
    </row>
    <row r="50" spans="1:26" x14ac:dyDescent="0.25">
      <c r="A50" s="16">
        <v>8</v>
      </c>
      <c r="B50" s="17" t="s">
        <v>21</v>
      </c>
      <c r="C50" s="16">
        <v>102</v>
      </c>
      <c r="D50" s="18" t="s">
        <v>22</v>
      </c>
      <c r="E50" s="17" t="s">
        <v>23</v>
      </c>
      <c r="F50" s="19"/>
      <c r="G50" s="20">
        <v>0</v>
      </c>
      <c r="H50" s="21"/>
      <c r="I50" s="20">
        <v>0</v>
      </c>
      <c r="J50" s="21"/>
      <c r="K50" s="20">
        <v>0</v>
      </c>
      <c r="L50" s="21"/>
      <c r="M50" s="20">
        <v>0</v>
      </c>
      <c r="N50" s="22">
        <v>0</v>
      </c>
      <c r="O50" s="23">
        <f>IF(E50="男",LOOKUP($N50,[1]对照表!$Z$3:$Z$13,[1]对照表!$AA$3:$AA$13),LOOKUP($N50,[1]对照表!$Z$15:$Z$25,[1]对照表!$AA$15:$AA$25))</f>
        <v>0</v>
      </c>
      <c r="P50" s="24">
        <f>M50+O50</f>
        <v>0</v>
      </c>
      <c r="Q50" s="25"/>
      <c r="R50" s="20">
        <v>0</v>
      </c>
      <c r="S50" s="22">
        <v>0</v>
      </c>
      <c r="T50" s="23">
        <f>IF(E50="男",LOOKUP($S50,[1]对照表!$AB$3:$AB$13,[1]对照表!$AC$3:$AC$13),LOOKUP($S50,[1]对照表!$AB$15:$AB$25,[1]对照表!$AC$15:$AC$25))</f>
        <v>0</v>
      </c>
      <c r="U50" s="26">
        <f>R50+T50</f>
        <v>0</v>
      </c>
      <c r="V50" s="26">
        <f>SUM(I50,K50,M50)/3*0.3+SUM(G50,R50)/2*0.4</f>
        <v>0</v>
      </c>
      <c r="W50" s="27">
        <f>O50+T50</f>
        <v>0</v>
      </c>
      <c r="X50" s="28">
        <f>V50/0.7+W50</f>
        <v>0</v>
      </c>
      <c r="Y50" s="29" t="s">
        <v>24</v>
      </c>
      <c r="Z50" s="21" t="s">
        <v>25</v>
      </c>
    </row>
    <row r="51" spans="1:26" x14ac:dyDescent="0.25">
      <c r="A51" s="16">
        <v>20</v>
      </c>
      <c r="B51" s="17" t="s">
        <v>21</v>
      </c>
      <c r="C51" s="16">
        <v>102</v>
      </c>
      <c r="D51" s="18" t="s">
        <v>43</v>
      </c>
      <c r="E51" s="16" t="s">
        <v>23</v>
      </c>
      <c r="F51" s="19">
        <v>6.4</v>
      </c>
      <c r="G51" s="32">
        <f>IF(B51="高三",IF($E51="男",LOOKUP(F51,[1]对照表!$G$3:$G$24,[1]对照表!$H$3:$H$24),LOOKUP(F51,[1]对照表!$G$27:$G$48,[1]对照表!$H$27:$H$48)),IF(B51="高二",IF($E51="男",LOOKUP(F51,[1]对照表!$F$3:$F$24,[1]对照表!$H$3:$H$24),LOOKUP(F51,[1]对照表!$F$27:$F$48,[1]对照表!$H$27:$H$48)),IF(B51="高一",IF($E51="男",LOOKUP(F51,[1]对照表!$E$3:$E$24,[1]对照表!$H$3:$H$24),LOOKUP(F51,[1]对照表!$E$27:$E$48,[1]对照表!$H$27:$H$48)))))</f>
        <v>100</v>
      </c>
      <c r="H51" s="21">
        <v>16</v>
      </c>
      <c r="I51" s="32">
        <f>IF(B51="高三",IF($E51="男",LOOKUP(H51,[1]对照表!$K$3:$K$24,[1]对照表!$L$3:$L$24),LOOKUP(H51,[1]对照表!$K$27:$K$48,[1]对照表!$L$27:$L$48)),IF(B51="高二",IF($E51="男",LOOKUP(H51,[1]对照表!$J$3:$J$24,[1]对照表!$L$3:$L$24),LOOKUP(H51,[1]对照表!$J$27:$J$48,[1]对照表!$L$27:$L$48)),IF(B51="高一",IF($E51="男",LOOKUP(H51,[1]对照表!$I$3:$I$24,[1]对照表!$L$3:$L$24),LOOKUP(H51,[1]对照表!$I$27:$I$48,[1]对照表!$L$27:$L$48)))))</f>
        <v>80</v>
      </c>
      <c r="J51" s="21">
        <v>245</v>
      </c>
      <c r="K51" s="32">
        <f>IF(B51="高三",IF($E51="男",LOOKUP(J51,[1]对照表!$O$3:$O$24,[1]对照表!$P$3:$P$24),LOOKUP(J51,[1]对照表!$O$27:$O$48,[1]对照表!$P$27:$P$48)),IF(B51="高二",IF($E51="男",LOOKUP(J51,[1]对照表!$N$3:$N$24,[1]对照表!$P$3:$P$24),LOOKUP(J51,[1]对照表!$N$27:$N$48,[1]对照表!$P$27:$P$48)),IF(B51="高一",IF($E51="男",LOOKUP(J51,[1]对照表!$M$3:$M$24,[1]对照表!$P$3:$P$24),LOOKUP(J51,[1]对照表!$M$27:$M$48,[1]对照表!$P$27:$P$48)))))</f>
        <v>85</v>
      </c>
      <c r="L51" s="21">
        <v>24</v>
      </c>
      <c r="M51" s="32">
        <f>IF(B51="高三",IF($E51="男",LOOKUP(L51,[1]对照表!$S$3:$S$24,[1]对照表!$T$3:$T$24),LOOKUP(L51,[1]对照表!$S$27:$S$48,[1]对照表!$T$27:$T$48)),IF(B51="高二",IF($E51="男",LOOKUP(L51,[1]对照表!$R$3:$R$24,[1]对照表!$T$3:$T$24),LOOKUP(L51,[1]对照表!$R$27:$R$48,[1]对照表!$T$27:$T$48)),IF(B51="高一",IF($E51="男",LOOKUP(L51,[1]对照表!$Q$3:$Q$24,[1]对照表!$T$3:$T$24),LOOKUP(L51,[1]对照表!$Q$27:$Q$48,[1]对照表!$T$27:$T$48)))))</f>
        <v>100</v>
      </c>
      <c r="N51" s="33">
        <f>IF(B51="高三",MAX(IF(E51="男",L51-18,L51-55),0),IF(B51="高二",MAX(IF(E51="男",L51-17,L51-54),0),IF(B51="高一",MAX(IF(E51="男",L51-16,L51-53),0))))</f>
        <v>8</v>
      </c>
      <c r="O51" s="23">
        <f>IF(E51="男",LOOKUP($N51,[1]对照表!$Z$3:$Z$13,[1]对照表!$AA$3:$AA$13),LOOKUP($N51,[1]对照表!$Z$15:$Z$25,[1]对照表!$AA$15:$AA$25))</f>
        <v>8</v>
      </c>
      <c r="P51" s="24">
        <f>M51+O51</f>
        <v>108</v>
      </c>
      <c r="Q51" s="25">
        <v>3.2</v>
      </c>
      <c r="R51" s="32">
        <f>IF(B51="高三",IF($E51="男",LOOKUP(Q51,[1]对照表!$W$3:$W$24,[1]对照表!$X$3:$X$24),LOOKUP(Q51,[1]对照表!$W$27:$W$48,[1]对照表!$X$27:$X$48)),IF(B51="高二",IF($E51="男",LOOKUP(Q51,[1]对照表!$V$3:$V$24,[1]对照表!$X$3:$X$24),LOOKUP(Q51,[1]对照表!$V$27:$V$48,[1]对照表!$X$27:$X$48)),IF(B51="高一",IF($E51="男",LOOKUP(Q51,[1]对照表!$U$3:$U$24,[1]对照表!$X$3:$X$24),LOOKUP(Q51,[1]对照表!$U$27:$U$48,[1]对照表!$X$27:$X$48)))))</f>
        <v>100</v>
      </c>
      <c r="S51" s="33">
        <f>ROUND(IF(IF($B51="高三",MIN(IF($E51="男",$Q51-3.2,$Q51-3.2),0),IF($B51="高二",MIN(IF($E51="男",$Q51-3.25,$Q51-3.22),0),IF($B51="高一",MIN(IF($E51="男",$Q51-3.3,$Q51-3.24),0))))&lt;-0.6,IF($B51="高三",MIN(IF($E51="男",$Q51-3.2,$Q51-3.2),0),IF($B51="高二",MIN(IF($E51="男",$Q51-3.25,$Q51-3.22),0),IF($B51="高一",MIN(IF($E51="男",$Q51-3.3,$Q51-3.24),0))))+0.4,IF($B51="高三",MIN(IF($E51="男",$Q51-3.2,$Q51-3.2),0),IF($B51="高二",MIN(IF($E51="男",$Q51-3.25,$Q51-3.22),0),IF($B51="高一",MIN(IF($E51="男",$Q51-3.3,$Q51-3.24),0))))),2)</f>
        <v>-0.1</v>
      </c>
      <c r="T51" s="23">
        <f>IF(E51="男",LOOKUP($S51,[1]对照表!$AB$3:$AB$13,[1]对照表!$AC$3:$AC$13),LOOKUP($S51,[1]对照表!$AB$15:$AB$25,[1]对照表!$AC$15:$AC$25))</f>
        <v>2</v>
      </c>
      <c r="U51" s="26">
        <f>R51+T51</f>
        <v>102</v>
      </c>
      <c r="V51" s="26">
        <f>SUM(I51,K51,M51)/3*0.3+SUM(G51,R51)/2*0.4</f>
        <v>66.5</v>
      </c>
      <c r="W51" s="27">
        <f>O51+T51</f>
        <v>10</v>
      </c>
      <c r="X51" s="28">
        <f>V51/0.7+W51</f>
        <v>105</v>
      </c>
      <c r="Y51" s="28">
        <v>105</v>
      </c>
      <c r="Z51" s="21"/>
    </row>
    <row r="52" spans="1:26" x14ac:dyDescent="0.25">
      <c r="A52" s="16">
        <v>21</v>
      </c>
      <c r="B52" s="17" t="s">
        <v>21</v>
      </c>
      <c r="C52" s="16">
        <v>102</v>
      </c>
      <c r="D52" s="18" t="s">
        <v>82</v>
      </c>
      <c r="E52" s="31" t="s">
        <v>23</v>
      </c>
      <c r="F52" s="19">
        <v>7</v>
      </c>
      <c r="G52" s="32">
        <f>IF(B52="高三",IF($E52="男",LOOKUP(F52,[1]对照表!$G$3:$G$24,[1]对照表!$H$3:$H$24),LOOKUP(F52,[1]对照表!$G$27:$G$48,[1]对照表!$H$27:$H$48)),IF(B52="高二",IF($E52="男",LOOKUP(F52,[1]对照表!$F$3:$F$24,[1]对照表!$H$3:$H$24),LOOKUP(F52,[1]对照表!$F$27:$F$48,[1]对照表!$H$27:$H$48)),IF(B52="高一",IF($E52="男",LOOKUP(F52,[1]对照表!$E$3:$E$24,[1]对照表!$H$3:$H$24),LOOKUP(F52,[1]对照表!$E$27:$E$48,[1]对照表!$H$27:$H$48)))))</f>
        <v>100</v>
      </c>
      <c r="H52" s="21">
        <v>11.5</v>
      </c>
      <c r="I52" s="32">
        <f>IF(B52="高三",IF($E52="男",LOOKUP(H52,[1]对照表!$K$3:$K$24,[1]对照表!$L$3:$L$24),LOOKUP(H52,[1]对照表!$K$27:$K$48,[1]对照表!$L$27:$L$48)),IF(B52="高二",IF($E52="男",LOOKUP(H52,[1]对照表!$J$3:$J$24,[1]对照表!$L$3:$L$24),LOOKUP(H52,[1]对照表!$J$27:$J$48,[1]对照表!$L$27:$L$48)),IF(B52="高一",IF($E52="男",LOOKUP(H52,[1]对照表!$I$3:$I$24,[1]对照表!$L$3:$L$24),LOOKUP(H52,[1]对照表!$I$27:$I$48,[1]对照表!$L$27:$L$48)))))</f>
        <v>74</v>
      </c>
      <c r="J52" s="21">
        <v>246</v>
      </c>
      <c r="K52" s="32">
        <f>IF(B52="高三",IF($E52="男",LOOKUP(J52,[1]对照表!$O$3:$O$24,[1]对照表!$P$3:$P$24),LOOKUP(J52,[1]对照表!$O$27:$O$48,[1]对照表!$P$27:$P$48)),IF(B52="高二",IF($E52="男",LOOKUP(J52,[1]对照表!$N$3:$N$24,[1]对照表!$P$3:$P$24),LOOKUP(J52,[1]对照表!$N$27:$N$48,[1]对照表!$P$27:$P$48)),IF(B52="高一",IF($E52="男",LOOKUP(J52,[1]对照表!$M$3:$M$24,[1]对照表!$P$3:$P$24),LOOKUP(J52,[1]对照表!$M$27:$M$48,[1]对照表!$P$27:$P$48)))))</f>
        <v>85</v>
      </c>
      <c r="L52" s="21">
        <v>21</v>
      </c>
      <c r="M52" s="32">
        <f>IF(B52="高三",IF($E52="男",LOOKUP(L52,[1]对照表!$S$3:$S$24,[1]对照表!$T$3:$T$24),LOOKUP(L52,[1]对照表!$S$27:$S$48,[1]对照表!$T$27:$T$48)),IF(B52="高二",IF($E52="男",LOOKUP(L52,[1]对照表!$R$3:$R$24,[1]对照表!$T$3:$T$24),LOOKUP(L52,[1]对照表!$R$27:$R$48,[1]对照表!$T$27:$T$48)),IF(B52="高一",IF($E52="男",LOOKUP(L52,[1]对照表!$Q$3:$Q$24,[1]对照表!$T$3:$T$24),LOOKUP(L52,[1]对照表!$Q$27:$Q$48,[1]对照表!$T$27:$T$48)))))</f>
        <v>100</v>
      </c>
      <c r="N52" s="33">
        <f>IF(B52="高三",MAX(IF(E52="男",L52-18,L52-55),0),IF(B52="高二",MAX(IF(E52="男",L52-17,L52-54),0),IF(B52="高一",MAX(IF(E52="男",L52-16,L52-53),0))))</f>
        <v>5</v>
      </c>
      <c r="O52" s="23">
        <f>IF(E52="男",LOOKUP($N52,[1]对照表!$Z$3:$Z$13,[1]对照表!$AA$3:$AA$13),LOOKUP($N52,[1]对照表!$Z$15:$Z$25,[1]对照表!$AA$15:$AA$25))</f>
        <v>5</v>
      </c>
      <c r="P52" s="24">
        <f>M52+O52</f>
        <v>105</v>
      </c>
      <c r="Q52" s="25">
        <v>3.3</v>
      </c>
      <c r="R52" s="32">
        <f>IF(B52="高三",IF($E52="男",LOOKUP(Q52,[1]对照表!$W$3:$W$24,[1]对照表!$X$3:$X$24),LOOKUP(Q52,[1]对照表!$W$27:$W$48,[1]对照表!$X$27:$X$48)),IF(B52="高二",IF($E52="男",LOOKUP(Q52,[1]对照表!$V$3:$V$24,[1]对照表!$X$3:$X$24),LOOKUP(Q52,[1]对照表!$V$27:$V$48,[1]对照表!$X$27:$X$48)),IF(B52="高一",IF($E52="男",LOOKUP(Q52,[1]对照表!$U$3:$U$24,[1]对照表!$X$3:$X$24),LOOKUP(Q52,[1]对照表!$U$27:$U$48,[1]对照表!$X$27:$X$48)))))</f>
        <v>100</v>
      </c>
      <c r="S52" s="33">
        <f>ROUND(IF(IF($B52="高三",MIN(IF($E52="男",$Q52-3.2,$Q52-3.2),0),IF($B52="高二",MIN(IF($E52="男",$Q52-3.25,$Q52-3.22),0),IF($B52="高一",MIN(IF($E52="男",$Q52-3.3,$Q52-3.24),0))))&lt;-0.6,IF($B52="高三",MIN(IF($E52="男",$Q52-3.2,$Q52-3.2),0),IF($B52="高二",MIN(IF($E52="男",$Q52-3.25,$Q52-3.22),0),IF($B52="高一",MIN(IF($E52="男",$Q52-3.3,$Q52-3.24),0))))+0.4,IF($B52="高三",MIN(IF($E52="男",$Q52-3.2,$Q52-3.2),0),IF($B52="高二",MIN(IF($E52="男",$Q52-3.25,$Q52-3.22),0),IF($B52="高一",MIN(IF($E52="男",$Q52-3.3,$Q52-3.24),0))))),2)</f>
        <v>0</v>
      </c>
      <c r="T52" s="23">
        <f>IF(E52="男",LOOKUP($S52,[1]对照表!$AB$3:$AB$13,[1]对照表!$AC$3:$AC$13),LOOKUP($S52,[1]对照表!$AB$15:$AB$25,[1]对照表!$AC$15:$AC$25))</f>
        <v>0</v>
      </c>
      <c r="U52" s="26">
        <f>R52+T52</f>
        <v>100</v>
      </c>
      <c r="V52" s="26">
        <f>SUM(I52,K52,M52)/3*0.3+SUM(G52,R52)/2*0.4</f>
        <v>65.900000000000006</v>
      </c>
      <c r="W52" s="27">
        <f>O52+T52</f>
        <v>5</v>
      </c>
      <c r="X52" s="28">
        <f>V52/0.7+W52</f>
        <v>99.142857142857153</v>
      </c>
      <c r="Y52" s="28">
        <v>99.142857142857153</v>
      </c>
      <c r="Z52" s="21"/>
    </row>
    <row r="53" spans="1:26" x14ac:dyDescent="0.25">
      <c r="A53" s="16">
        <v>30</v>
      </c>
      <c r="B53" s="17" t="s">
        <v>21</v>
      </c>
      <c r="C53" s="16">
        <v>102</v>
      </c>
      <c r="D53" s="18" t="s">
        <v>84</v>
      </c>
      <c r="E53" s="17" t="s">
        <v>23</v>
      </c>
      <c r="F53" s="19">
        <v>7.1</v>
      </c>
      <c r="G53" s="32">
        <f>IF(B53="高三",IF($E53="男",LOOKUP(F53,[1]对照表!$G$3:$G$24,[1]对照表!$H$3:$H$24),LOOKUP(F53,[1]对照表!$G$27:$G$48,[1]对照表!$H$27:$H$48)),IF(B53="高二",IF($E53="男",LOOKUP(F53,[1]对照表!$F$3:$F$24,[1]对照表!$H$3:$H$24),LOOKUP(F53,[1]对照表!$F$27:$F$48,[1]对照表!$H$27:$H$48)),IF(B53="高一",IF($E53="男",LOOKUP(F53,[1]对照表!$E$3:$E$24,[1]对照表!$H$3:$H$24),LOOKUP(F53,[1]对照表!$E$27:$E$48,[1]对照表!$H$27:$H$48)))))</f>
        <v>100</v>
      </c>
      <c r="H53" s="21">
        <v>18</v>
      </c>
      <c r="I53" s="32">
        <f>IF(B53="高三",IF($E53="男",LOOKUP(H53,[1]对照表!$K$3:$K$24,[1]对照表!$L$3:$L$24),LOOKUP(H53,[1]对照表!$K$27:$K$48,[1]对照表!$L$27:$L$48)),IF(B53="高二",IF($E53="男",LOOKUP(H53,[1]对照表!$J$3:$J$24,[1]对照表!$L$3:$L$24),LOOKUP(H53,[1]对照表!$J$27:$J$48,[1]对照表!$L$27:$L$48)),IF(B53="高一",IF($E53="男",LOOKUP(H53,[1]对照表!$I$3:$I$24,[1]对照表!$L$3:$L$24),LOOKUP(H53,[1]对照表!$I$27:$I$48,[1]对照表!$L$27:$L$48)))))</f>
        <v>85</v>
      </c>
      <c r="J53" s="21">
        <v>257</v>
      </c>
      <c r="K53" s="32">
        <f>IF(B53="高三",IF($E53="男",LOOKUP(J53,[1]对照表!$O$3:$O$24,[1]对照表!$P$3:$P$24),LOOKUP(J53,[1]对照表!$O$27:$O$48,[1]对照表!$P$27:$P$48)),IF(B53="高二",IF($E53="男",LOOKUP(J53,[1]对照表!$N$3:$N$24,[1]对照表!$P$3:$P$24),LOOKUP(J53,[1]对照表!$N$27:$N$48,[1]对照表!$P$27:$P$48)),IF(B53="高一",IF($E53="男",LOOKUP(J53,[1]对照表!$M$3:$M$24,[1]对照表!$P$3:$P$24),LOOKUP(J53,[1]对照表!$M$27:$M$48,[1]对照表!$P$27:$P$48)))))</f>
        <v>95</v>
      </c>
      <c r="L53" s="21">
        <v>26</v>
      </c>
      <c r="M53" s="32">
        <f>IF(B53="高三",IF($E53="男",LOOKUP(L53,[1]对照表!$S$3:$S$24,[1]对照表!$T$3:$T$24),LOOKUP(L53,[1]对照表!$S$27:$S$48,[1]对照表!$T$27:$T$48)),IF(B53="高二",IF($E53="男",LOOKUP(L53,[1]对照表!$R$3:$R$24,[1]对照表!$T$3:$T$24),LOOKUP(L53,[1]对照表!$R$27:$R$48,[1]对照表!$T$27:$T$48)),IF(B53="高一",IF($E53="男",LOOKUP(L53,[1]对照表!$Q$3:$Q$24,[1]对照表!$T$3:$T$24),LOOKUP(L53,[1]对照表!$Q$27:$Q$48,[1]对照表!$T$27:$T$48)))))</f>
        <v>100</v>
      </c>
      <c r="N53" s="33">
        <f>IF(B53="高三",MAX(IF(E53="男",L53-18,L53-55),0),IF(B53="高二",MAX(IF(E53="男",L53-17,L53-54),0),IF(B53="高一",MAX(IF(E53="男",L53-16,L53-53),0))))</f>
        <v>10</v>
      </c>
      <c r="O53" s="23">
        <f>IF(E53="男",LOOKUP($N53,[1]对照表!$Z$3:$Z$13,[1]对照表!$AA$3:$AA$13),LOOKUP($N53,[1]对照表!$Z$15:$Z$25,[1]对照表!$AA$15:$AA$25))</f>
        <v>10</v>
      </c>
      <c r="P53" s="24">
        <f>M53+O53</f>
        <v>110</v>
      </c>
      <c r="Q53" s="25">
        <v>4.13</v>
      </c>
      <c r="R53" s="32">
        <f>IF(B53="高三",IF($E53="男",LOOKUP(Q53,[1]对照表!$W$3:$W$24,[1]对照表!$X$3:$X$24),LOOKUP(Q53,[1]对照表!$W$27:$W$48,[1]对照表!$X$27:$X$48)),IF(B53="高二",IF($E53="男",LOOKUP(Q53,[1]对照表!$V$3:$V$24,[1]对照表!$X$3:$X$24),LOOKUP(Q53,[1]对照表!$V$27:$V$48,[1]对照表!$X$27:$X$48)),IF(B53="高一",IF($E53="男",LOOKUP(Q53,[1]对照表!$U$3:$U$24,[1]对照表!$X$3:$X$24),LOOKUP(Q53,[1]对照表!$U$27:$U$48,[1]对照表!$X$27:$X$48)))))</f>
        <v>72</v>
      </c>
      <c r="S53" s="33">
        <f>ROUND(IF(IF($B53="高三",MIN(IF($E53="男",$Q53-3.2,$Q53-3.2),0),IF($B53="高二",MIN(IF($E53="男",$Q53-3.25,$Q53-3.22),0),IF($B53="高一",MIN(IF($E53="男",$Q53-3.3,$Q53-3.24),0))))&lt;-0.6,IF($B53="高三",MIN(IF($E53="男",$Q53-3.2,$Q53-3.2),0),IF($B53="高二",MIN(IF($E53="男",$Q53-3.25,$Q53-3.22),0),IF($B53="高一",MIN(IF($E53="男",$Q53-3.3,$Q53-3.24),0))))+0.4,IF($B53="高三",MIN(IF($E53="男",$Q53-3.2,$Q53-3.2),0),IF($B53="高二",MIN(IF($E53="男",$Q53-3.25,$Q53-3.22),0),IF($B53="高一",MIN(IF($E53="男",$Q53-3.3,$Q53-3.24),0))))),2)</f>
        <v>0</v>
      </c>
      <c r="T53" s="23">
        <f>IF(E53="男",LOOKUP($S53,[1]对照表!$AB$3:$AB$13,[1]对照表!$AC$3:$AC$13),LOOKUP($S53,[1]对照表!$AB$15:$AB$25,[1]对照表!$AC$15:$AC$25))</f>
        <v>0</v>
      </c>
      <c r="U53" s="26">
        <f>R53+T53</f>
        <v>72</v>
      </c>
      <c r="V53" s="26">
        <f>SUM(I53,K53,M53)/3*0.3+SUM(G53,R53)/2*0.4</f>
        <v>62.399999999999991</v>
      </c>
      <c r="W53" s="27">
        <f>O53+T53</f>
        <v>10</v>
      </c>
      <c r="X53" s="28">
        <f>V53/0.7+W53</f>
        <v>99.142857142857139</v>
      </c>
      <c r="Y53" s="28">
        <v>99.142857142857139</v>
      </c>
      <c r="Z53" s="21"/>
    </row>
    <row r="54" spans="1:26" x14ac:dyDescent="0.25">
      <c r="A54" s="16">
        <v>35</v>
      </c>
      <c r="B54" s="17" t="s">
        <v>21</v>
      </c>
      <c r="C54" s="16">
        <v>102</v>
      </c>
      <c r="D54" s="18" t="s">
        <v>86</v>
      </c>
      <c r="E54" s="17" t="s">
        <v>23</v>
      </c>
      <c r="F54" s="19">
        <v>7</v>
      </c>
      <c r="G54" s="32">
        <f>IF(B54="高三",IF($E54="男",LOOKUP(F54,[1]对照表!$G$3:$G$24,[1]对照表!$H$3:$H$24),LOOKUP(F54,[1]对照表!$G$27:$G$48,[1]对照表!$H$27:$H$48)),IF(B54="高二",IF($E54="男",LOOKUP(F54,[1]对照表!$F$3:$F$24,[1]对照表!$H$3:$H$24),LOOKUP(F54,[1]对照表!$F$27:$F$48,[1]对照表!$H$27:$H$48)),IF(B54="高一",IF($E54="男",LOOKUP(F54,[1]对照表!$E$3:$E$24,[1]对照表!$H$3:$H$24),LOOKUP(F54,[1]对照表!$E$27:$E$48,[1]对照表!$H$27:$H$48)))))</f>
        <v>100</v>
      </c>
      <c r="H54" s="21">
        <v>21.7</v>
      </c>
      <c r="I54" s="32">
        <f>IF(B54="高三",IF($E54="男",LOOKUP(H54,[1]对照表!$K$3:$K$24,[1]对照表!$L$3:$L$24),LOOKUP(H54,[1]对照表!$K$27:$K$48,[1]对照表!$L$27:$L$48)),IF(B54="高二",IF($E54="男",LOOKUP(H54,[1]对照表!$J$3:$J$24,[1]对照表!$L$3:$L$24),LOOKUP(H54,[1]对照表!$J$27:$J$48,[1]对照表!$L$27:$L$48)),IF(B54="高一",IF($E54="男",LOOKUP(H54,[1]对照表!$I$3:$I$24,[1]对照表!$L$3:$L$24),LOOKUP(H54,[1]对照表!$I$27:$I$48,[1]对照表!$L$27:$L$48)))))</f>
        <v>95</v>
      </c>
      <c r="J54" s="21">
        <v>241</v>
      </c>
      <c r="K54" s="32">
        <f>IF(B54="高三",IF($E54="男",LOOKUP(J54,[1]对照表!$O$3:$O$24,[1]对照表!$P$3:$P$24),LOOKUP(J54,[1]对照表!$O$27:$O$48,[1]对照表!$P$27:$P$48)),IF(B54="高二",IF($E54="男",LOOKUP(J54,[1]对照表!$N$3:$N$24,[1]对照表!$P$3:$P$24),LOOKUP(J54,[1]对照表!$N$27:$N$48,[1]对照表!$P$27:$P$48)),IF(B54="高一",IF($E54="男",LOOKUP(J54,[1]对照表!$M$3:$M$24,[1]对照表!$P$3:$P$24),LOOKUP(J54,[1]对照表!$M$27:$M$48,[1]对照表!$P$27:$P$48)))))</f>
        <v>80</v>
      </c>
      <c r="L54" s="21">
        <v>20</v>
      </c>
      <c r="M54" s="32">
        <f>IF(B54="高三",IF($E54="男",LOOKUP(L54,[1]对照表!$S$3:$S$24,[1]对照表!$T$3:$T$24),LOOKUP(L54,[1]对照表!$S$27:$S$48,[1]对照表!$T$27:$T$48)),IF(B54="高二",IF($E54="男",LOOKUP(L54,[1]对照表!$R$3:$R$24,[1]对照表!$T$3:$T$24),LOOKUP(L54,[1]对照表!$R$27:$R$48,[1]对照表!$T$27:$T$48)),IF(B54="高一",IF($E54="男",LOOKUP(L54,[1]对照表!$Q$3:$Q$24,[1]对照表!$T$3:$T$24),LOOKUP(L54,[1]对照表!$Q$27:$Q$48,[1]对照表!$T$27:$T$48)))))</f>
        <v>100</v>
      </c>
      <c r="N54" s="33">
        <f>IF(B54="高三",MAX(IF(E54="男",L54-18,L54-55),0),IF(B54="高二",MAX(IF(E54="男",L54-17,L54-54),0),IF(B54="高一",MAX(IF(E54="男",L54-16,L54-53),0))))</f>
        <v>4</v>
      </c>
      <c r="O54" s="23">
        <f>IF(E54="男",LOOKUP($N54,[1]对照表!$Z$3:$Z$13,[1]对照表!$AA$3:$AA$13),LOOKUP($N54,[1]对照表!$Z$15:$Z$25,[1]对照表!$AA$15:$AA$25))</f>
        <v>4</v>
      </c>
      <c r="P54" s="24">
        <f>M54+O54</f>
        <v>104</v>
      </c>
      <c r="Q54" s="25">
        <v>3.31</v>
      </c>
      <c r="R54" s="32">
        <f>IF(B54="高三",IF($E54="男",LOOKUP(Q54,[1]对照表!$W$3:$W$24,[1]对照表!$X$3:$X$24),LOOKUP(Q54,[1]对照表!$W$27:$W$48,[1]对照表!$X$27:$X$48)),IF(B54="高二",IF($E54="男",LOOKUP(Q54,[1]对照表!$V$3:$V$24,[1]对照表!$X$3:$X$24),LOOKUP(Q54,[1]对照表!$V$27:$V$48,[1]对照表!$X$27:$X$48)),IF(B54="高一",IF($E54="男",LOOKUP(Q54,[1]对照表!$U$3:$U$24,[1]对照表!$X$3:$X$24),LOOKUP(Q54,[1]对照表!$U$27:$U$48,[1]对照表!$X$27:$X$48)))))</f>
        <v>95</v>
      </c>
      <c r="S54" s="27">
        <f>ROUND(IF(IF($B54="高三",MIN(IF($E54="男",$Q54-3.2,$Q54-3.2),0),IF($B54="高二",MIN(IF($E54="男",$Q54-3.25,$Q54-3.22),0),IF($B54="高一",MIN(IF($E54="男",$Q54-3.3,$Q54-3.24),0))))&lt;-0.6,IF($B54="高三",MIN(IF($E54="男",$Q54-3.2,$Q54-3.2),0),IF($B54="高二",MIN(IF($E54="男",$Q54-3.25,$Q54-3.22),0),IF($B54="高一",MIN(IF($E54="男",$Q54-3.3,$Q54-3.24),0))))+0.4,IF($B54="高三",MIN(IF($E54="男",$Q54-3.2,$Q54-3.2),0),IF($B54="高二",MIN(IF($E54="男",$Q54-3.25,$Q54-3.22),0),IF($B54="高一",MIN(IF($E54="男",$Q54-3.3,$Q54-3.24),0))))),2)</f>
        <v>0</v>
      </c>
      <c r="T54" s="23">
        <f>IF(E54="男",LOOKUP($S54,[1]对照表!$AB$3:$AB$13,[1]对照表!$AC$3:$AC$13),LOOKUP($S54,[1]对照表!$AB$15:$AB$25,[1]对照表!$AC$15:$AC$25))</f>
        <v>0</v>
      </c>
      <c r="U54" s="26">
        <f>R54+T54</f>
        <v>95</v>
      </c>
      <c r="V54" s="26">
        <f>SUM(I54,K54,M54)/3*0.3+SUM(G54,R54)/2*0.4</f>
        <v>66.5</v>
      </c>
      <c r="W54" s="27">
        <f>O54+T54</f>
        <v>4</v>
      </c>
      <c r="X54" s="28">
        <f>V54/0.7+W54</f>
        <v>99</v>
      </c>
      <c r="Y54" s="28">
        <v>99</v>
      </c>
      <c r="Z54" s="21"/>
    </row>
    <row r="55" spans="1:26" x14ac:dyDescent="0.25">
      <c r="A55" s="16">
        <v>36</v>
      </c>
      <c r="B55" s="17" t="s">
        <v>21</v>
      </c>
      <c r="C55" s="16">
        <v>102</v>
      </c>
      <c r="D55" s="18" t="s">
        <v>87</v>
      </c>
      <c r="E55" s="17" t="s">
        <v>23</v>
      </c>
      <c r="F55" s="19">
        <v>6.8</v>
      </c>
      <c r="G55" s="32">
        <f>IF(B55="高三",IF($E55="男",LOOKUP(F55,[1]对照表!$G$3:$G$24,[1]对照表!$H$3:$H$24),LOOKUP(F55,[1]对照表!$G$27:$G$48,[1]对照表!$H$27:$H$48)),IF(B55="高二",IF($E55="男",LOOKUP(F55,[1]对照表!$F$3:$F$24,[1]对照表!$H$3:$H$24),LOOKUP(F55,[1]对照表!$F$27:$F$48,[1]对照表!$H$27:$H$48)),IF(B55="高一",IF($E55="男",LOOKUP(F55,[1]对照表!$E$3:$E$24,[1]对照表!$H$3:$H$24),LOOKUP(F55,[1]对照表!$E$27:$E$48,[1]对照表!$H$27:$H$48)))))</f>
        <v>100</v>
      </c>
      <c r="H55" s="21">
        <v>20</v>
      </c>
      <c r="I55" s="32">
        <f>IF(B55="高三",IF($E55="男",LOOKUP(H55,[1]对照表!$K$3:$K$24,[1]对照表!$L$3:$L$24),LOOKUP(H55,[1]对照表!$K$27:$K$48,[1]对照表!$L$27:$L$48)),IF(B55="高二",IF($E55="男",LOOKUP(H55,[1]对照表!$J$3:$J$24,[1]对照表!$L$3:$L$24),LOOKUP(H55,[1]对照表!$J$27:$J$48,[1]对照表!$L$27:$L$48)),IF(B55="高一",IF($E55="男",LOOKUP(H55,[1]对照表!$I$3:$I$24,[1]对照表!$L$3:$L$24),LOOKUP(H55,[1]对照表!$I$27:$I$48,[1]对照表!$L$27:$L$48)))))</f>
        <v>90</v>
      </c>
      <c r="J55" s="21">
        <v>248</v>
      </c>
      <c r="K55" s="32">
        <f>IF(B55="高三",IF($E55="男",LOOKUP(J55,[1]对照表!$O$3:$O$24,[1]对照表!$P$3:$P$24),LOOKUP(J55,[1]对照表!$O$27:$O$48,[1]对照表!$P$27:$P$48)),IF(B55="高二",IF($E55="男",LOOKUP(J55,[1]对照表!$N$3:$N$24,[1]对照表!$P$3:$P$24),LOOKUP(J55,[1]对照表!$N$27:$N$48,[1]对照表!$P$27:$P$48)),IF(B55="高一",IF($E55="男",LOOKUP(J55,[1]对照表!$M$3:$M$24,[1]对照表!$P$3:$P$24),LOOKUP(J55,[1]对照表!$M$27:$M$48,[1]对照表!$P$27:$P$48)))))</f>
        <v>85</v>
      </c>
      <c r="L55" s="21">
        <v>20</v>
      </c>
      <c r="M55" s="32">
        <f>IF(B55="高三",IF($E55="男",LOOKUP(L55,[1]对照表!$S$3:$S$24,[1]对照表!$T$3:$T$24),LOOKUP(L55,[1]对照表!$S$27:$S$48,[1]对照表!$T$27:$T$48)),IF(B55="高二",IF($E55="男",LOOKUP(L55,[1]对照表!$R$3:$R$24,[1]对照表!$T$3:$T$24),LOOKUP(L55,[1]对照表!$R$27:$R$48,[1]对照表!$T$27:$T$48)),IF(B55="高一",IF($E55="男",LOOKUP(L55,[1]对照表!$Q$3:$Q$24,[1]对照表!$T$3:$T$24),LOOKUP(L55,[1]对照表!$Q$27:$Q$48,[1]对照表!$T$27:$T$48)))))</f>
        <v>100</v>
      </c>
      <c r="N55" s="33">
        <f>IF(B55="高三",MAX(IF(E55="男",L55-18,L55-55),0),IF(B55="高二",MAX(IF(E55="男",L55-17,L55-54),0),IF(B55="高一",MAX(IF(E55="男",L55-16,L55-53),0))))</f>
        <v>4</v>
      </c>
      <c r="O55" s="23">
        <f>IF(E55="男",LOOKUP($N55,[1]对照表!$Z$3:$Z$13,[1]对照表!$AA$3:$AA$13),LOOKUP($N55,[1]对照表!$Z$15:$Z$25,[1]对照表!$AA$15:$AA$25))</f>
        <v>4</v>
      </c>
      <c r="P55" s="24">
        <f>M55+O55</f>
        <v>104</v>
      </c>
      <c r="Q55" s="25">
        <v>3.35</v>
      </c>
      <c r="R55" s="32">
        <f>IF(B55="高三",IF($E55="男",LOOKUP(Q55,[1]对照表!$W$3:$W$24,[1]对照表!$X$3:$X$24),LOOKUP(Q55,[1]对照表!$W$27:$W$48,[1]对照表!$X$27:$X$48)),IF(B55="高二",IF($E55="男",LOOKUP(Q55,[1]对照表!$V$3:$V$24,[1]对照表!$X$3:$X$24),LOOKUP(Q55,[1]对照表!$V$27:$V$48,[1]对照表!$X$27:$X$48)),IF(B55="高一",IF($E55="男",LOOKUP(Q55,[1]对照表!$U$3:$U$24,[1]对照表!$X$3:$X$24),LOOKUP(Q55,[1]对照表!$U$27:$U$48,[1]对照表!$X$27:$X$48)))))</f>
        <v>95</v>
      </c>
      <c r="S55" s="33">
        <f>ROUND(IF(IF($B55="高三",MIN(IF($E55="男",$Q55-3.2,$Q55-3.2),0),IF($B55="高二",MIN(IF($E55="男",$Q55-3.25,$Q55-3.22),0),IF($B55="高一",MIN(IF($E55="男",$Q55-3.3,$Q55-3.24),0))))&lt;-0.6,IF($B55="高三",MIN(IF($E55="男",$Q55-3.2,$Q55-3.2),0),IF($B55="高二",MIN(IF($E55="男",$Q55-3.25,$Q55-3.22),0),IF($B55="高一",MIN(IF($E55="男",$Q55-3.3,$Q55-3.24),0))))+0.4,IF($B55="高三",MIN(IF($E55="男",$Q55-3.2,$Q55-3.2),0),IF($B55="高二",MIN(IF($E55="男",$Q55-3.25,$Q55-3.22),0),IF($B55="高一",MIN(IF($E55="男",$Q55-3.3,$Q55-3.24),0))))),2)</f>
        <v>0</v>
      </c>
      <c r="T55" s="23">
        <f>IF(E55="男",LOOKUP($S55,[1]对照表!$AB$3:$AB$13,[1]对照表!$AC$3:$AC$13),LOOKUP($S55,[1]对照表!$AB$15:$AB$25,[1]对照表!$AC$15:$AC$25))</f>
        <v>0</v>
      </c>
      <c r="U55" s="26">
        <f>R55+T55</f>
        <v>95</v>
      </c>
      <c r="V55" s="26">
        <f>SUM(I55,K55,M55)/3*0.3+SUM(G55,R55)/2*0.4</f>
        <v>66.5</v>
      </c>
      <c r="W55" s="27">
        <f>O55+T55</f>
        <v>4</v>
      </c>
      <c r="X55" s="28">
        <f>V55/0.7+W55</f>
        <v>99</v>
      </c>
      <c r="Y55" s="28">
        <v>99</v>
      </c>
      <c r="Z55" s="21"/>
    </row>
    <row r="56" spans="1:26" x14ac:dyDescent="0.25">
      <c r="A56" s="16">
        <v>3</v>
      </c>
      <c r="B56" s="17" t="s">
        <v>21</v>
      </c>
      <c r="C56" s="16">
        <v>102</v>
      </c>
      <c r="D56" s="18" t="s">
        <v>141</v>
      </c>
      <c r="E56" s="17" t="s">
        <v>23</v>
      </c>
      <c r="F56" s="19">
        <v>7</v>
      </c>
      <c r="G56" s="32">
        <f>IF(B56="高三",IF($E56="男",LOOKUP(F56,[1]对照表!$G$3:$G$24,[1]对照表!$H$3:$H$24),LOOKUP(F56,[1]对照表!$G$27:$G$48,[1]对照表!$H$27:$H$48)),IF(B56="高二",IF($E56="男",LOOKUP(F56,[1]对照表!$F$3:$F$24,[1]对照表!$H$3:$H$24),LOOKUP(F56,[1]对照表!$F$27:$F$48,[1]对照表!$H$27:$H$48)),IF(B56="高一",IF($E56="男",LOOKUP(F56,[1]对照表!$E$3:$E$24,[1]对照表!$H$3:$H$24),LOOKUP(F56,[1]对照表!$E$27:$E$48,[1]对照表!$H$27:$H$48)))))</f>
        <v>100</v>
      </c>
      <c r="H56" s="21">
        <v>14.5</v>
      </c>
      <c r="I56" s="32">
        <f>IF(B56="高三",IF($E56="男",LOOKUP(H56,[1]对照表!$K$3:$K$24,[1]对照表!$L$3:$L$24),LOOKUP(H56,[1]对照表!$K$27:$K$48,[1]对照表!$L$27:$L$48)),IF(B56="高二",IF($E56="男",LOOKUP(H56,[1]对照表!$J$3:$J$24,[1]对照表!$L$3:$L$24),LOOKUP(H56,[1]对照表!$J$27:$J$48,[1]对照表!$L$27:$L$48)),IF(B56="高一",IF($E56="男",LOOKUP(H56,[1]对照表!$I$3:$I$24,[1]对照表!$L$3:$L$24),LOOKUP(H56,[1]对照表!$I$27:$I$48,[1]对照表!$L$27:$L$48)))))</f>
        <v>78</v>
      </c>
      <c r="J56" s="21">
        <v>247</v>
      </c>
      <c r="K56" s="32">
        <f>IF(B56="高三",IF($E56="男",LOOKUP(J56,[1]对照表!$O$3:$O$24,[1]对照表!$P$3:$P$24),LOOKUP(J56,[1]对照表!$O$27:$O$48,[1]对照表!$P$27:$P$48)),IF(B56="高二",IF($E56="男",LOOKUP(J56,[1]对照表!$N$3:$N$24,[1]对照表!$P$3:$P$24),LOOKUP(J56,[1]对照表!$N$27:$N$48,[1]对照表!$P$27:$P$48)),IF(B56="高一",IF($E56="男",LOOKUP(J56,[1]对照表!$M$3:$M$24,[1]对照表!$P$3:$P$24),LOOKUP(J56,[1]对照表!$M$27:$M$48,[1]对照表!$P$27:$P$48)))))</f>
        <v>85</v>
      </c>
      <c r="L56" s="21">
        <v>21</v>
      </c>
      <c r="M56" s="32">
        <f>IF(B56="高三",IF($E56="男",LOOKUP(L56,[1]对照表!$S$3:$S$24,[1]对照表!$T$3:$T$24),LOOKUP(L56,[1]对照表!$S$27:$S$48,[1]对照表!$T$27:$T$48)),IF(B56="高二",IF($E56="男",LOOKUP(L56,[1]对照表!$R$3:$R$24,[1]对照表!$T$3:$T$24),LOOKUP(L56,[1]对照表!$R$27:$R$48,[1]对照表!$T$27:$T$48)),IF(B56="高一",IF($E56="男",LOOKUP(L56,[1]对照表!$Q$3:$Q$24,[1]对照表!$T$3:$T$24),LOOKUP(L56,[1]对照表!$Q$27:$Q$48,[1]对照表!$T$27:$T$48)))))</f>
        <v>100</v>
      </c>
      <c r="N56" s="33">
        <f>IF(B56="高三",MAX(IF(E56="男",L56-18,L56-55),0),IF(B56="高二",MAX(IF(E56="男",L56-17,L56-54),0),IF(B56="高一",MAX(IF(E56="男",L56-16,L56-53),0))))</f>
        <v>5</v>
      </c>
      <c r="O56" s="23">
        <f>IF(E56="男",LOOKUP($N56,[1]对照表!$Z$3:$Z$13,[1]对照表!$AA$3:$AA$13),LOOKUP($N56,[1]对照表!$Z$15:$Z$25,[1]对照表!$AA$15:$AA$25))</f>
        <v>5</v>
      </c>
      <c r="P56" s="24">
        <f>M56+O56</f>
        <v>105</v>
      </c>
      <c r="Q56" s="25">
        <v>3.55</v>
      </c>
      <c r="R56" s="32">
        <f>IF(B56="高三",IF($E56="男",LOOKUP(Q56,[1]对照表!$W$3:$W$24,[1]对照表!$X$3:$X$24),LOOKUP(Q56,[1]对照表!$W$27:$W$48,[1]对照表!$X$27:$X$48)),IF(B56="高二",IF($E56="男",LOOKUP(Q56,[1]对照表!$V$3:$V$24,[1]对照表!$X$3:$X$24),LOOKUP(Q56,[1]对照表!$V$27:$V$48,[1]对照表!$X$27:$X$48)),IF(B56="高一",IF($E56="男",LOOKUP(Q56,[1]对照表!$U$3:$U$24,[1]对照表!$X$3:$X$24),LOOKUP(Q56,[1]对照表!$U$27:$U$48,[1]对照表!$X$27:$X$48)))))</f>
        <v>80</v>
      </c>
      <c r="S56" s="33">
        <f>ROUND(IF(IF($B56="高三",MIN(IF($E56="男",$Q56-3.2,$Q56-3.2),0),IF($B56="高二",MIN(IF($E56="男",$Q56-3.25,$Q56-3.22),0),IF($B56="高一",MIN(IF($E56="男",$Q56-3.3,$Q56-3.24),0))))&lt;-0.6,IF($B56="高三",MIN(IF($E56="男",$Q56-3.2,$Q56-3.2),0),IF($B56="高二",MIN(IF($E56="男",$Q56-3.25,$Q56-3.22),0),IF($B56="高一",MIN(IF($E56="男",$Q56-3.3,$Q56-3.24),0))))+0.4,IF($B56="高三",MIN(IF($E56="男",$Q56-3.2,$Q56-3.2),0),IF($B56="高二",MIN(IF($E56="男",$Q56-3.25,$Q56-3.22),0),IF($B56="高一",MIN(IF($E56="男",$Q56-3.3,$Q56-3.24),0))))),2)</f>
        <v>0</v>
      </c>
      <c r="T56" s="23">
        <f>IF(E56="男",LOOKUP($S56,[1]对照表!$AB$3:$AB$13,[1]对照表!$AC$3:$AC$13),LOOKUP($S56,[1]对照表!$AB$15:$AB$25,[1]对照表!$AC$15:$AC$25))</f>
        <v>0</v>
      </c>
      <c r="U56" s="26">
        <f>R56+T56</f>
        <v>80</v>
      </c>
      <c r="V56" s="26">
        <f>SUM(I56,K56,M56)/3*0.3+SUM(G56,R56)/2*0.4</f>
        <v>62.3</v>
      </c>
      <c r="W56" s="27">
        <f>O56+T56</f>
        <v>5</v>
      </c>
      <c r="X56" s="28">
        <f>V56/0.7+W56</f>
        <v>94</v>
      </c>
      <c r="Y56" s="28">
        <v>94</v>
      </c>
      <c r="Z56" s="21"/>
    </row>
    <row r="57" spans="1:26" x14ac:dyDescent="0.25">
      <c r="A57" s="16">
        <v>7</v>
      </c>
      <c r="B57" s="17" t="s">
        <v>21</v>
      </c>
      <c r="C57" s="16">
        <v>102</v>
      </c>
      <c r="D57" s="18" t="s">
        <v>149</v>
      </c>
      <c r="E57" s="17" t="s">
        <v>23</v>
      </c>
      <c r="F57" s="19">
        <v>6.9</v>
      </c>
      <c r="G57" s="32">
        <f>IF(B57="高三",IF($E57="男",LOOKUP(F57,[1]对照表!$G$3:$G$24,[1]对照表!$H$3:$H$24),LOOKUP(F57,[1]对照表!$G$27:$G$48,[1]对照表!$H$27:$H$48)),IF(B57="高二",IF($E57="男",LOOKUP(F57,[1]对照表!$F$3:$F$24,[1]对照表!$H$3:$H$24),LOOKUP(F57,[1]对照表!$F$27:$F$48,[1]对照表!$H$27:$H$48)),IF(B57="高一",IF($E57="男",LOOKUP(F57,[1]对照表!$E$3:$E$24,[1]对照表!$H$3:$H$24),LOOKUP(F57,[1]对照表!$E$27:$E$48,[1]对照表!$H$27:$H$48)))))</f>
        <v>100</v>
      </c>
      <c r="H57" s="21">
        <v>14.5</v>
      </c>
      <c r="I57" s="32">
        <f>IF(B57="高三",IF($E57="男",LOOKUP(H57,[1]对照表!$K$3:$K$24,[1]对照表!$L$3:$L$24),LOOKUP(H57,[1]对照表!$K$27:$K$48,[1]对照表!$L$27:$L$48)),IF(B57="高二",IF($E57="男",LOOKUP(H57,[1]对照表!$J$3:$J$24,[1]对照表!$L$3:$L$24),LOOKUP(H57,[1]对照表!$J$27:$J$48,[1]对照表!$L$27:$L$48)),IF(B57="高一",IF($E57="男",LOOKUP(H57,[1]对照表!$I$3:$I$24,[1]对照表!$L$3:$L$24),LOOKUP(H57,[1]对照表!$I$27:$I$48,[1]对照表!$L$27:$L$48)))))</f>
        <v>78</v>
      </c>
      <c r="J57" s="21">
        <v>253</v>
      </c>
      <c r="K57" s="32">
        <f>IF(B57="高三",IF($E57="男",LOOKUP(J57,[1]对照表!$O$3:$O$24,[1]对照表!$P$3:$P$24),LOOKUP(J57,[1]对照表!$O$27:$O$48,[1]对照表!$P$27:$P$48)),IF(B57="高二",IF($E57="男",LOOKUP(J57,[1]对照表!$N$3:$N$24,[1]对照表!$P$3:$P$24),LOOKUP(J57,[1]对照表!$N$27:$N$48,[1]对照表!$P$27:$P$48)),IF(B57="高一",IF($E57="男",LOOKUP(J57,[1]对照表!$M$3:$M$24,[1]对照表!$P$3:$P$24),LOOKUP(J57,[1]对照表!$M$27:$M$48,[1]对照表!$P$27:$P$48)))))</f>
        <v>90</v>
      </c>
      <c r="L57" s="21">
        <v>20</v>
      </c>
      <c r="M57" s="32">
        <f>IF(B57="高三",IF($E57="男",LOOKUP(L57,[1]对照表!$S$3:$S$24,[1]对照表!$T$3:$T$24),LOOKUP(L57,[1]对照表!$S$27:$S$48,[1]对照表!$T$27:$T$48)),IF(B57="高二",IF($E57="男",LOOKUP(L57,[1]对照表!$R$3:$R$24,[1]对照表!$T$3:$T$24),LOOKUP(L57,[1]对照表!$R$27:$R$48,[1]对照表!$T$27:$T$48)),IF(B57="高一",IF($E57="男",LOOKUP(L57,[1]对照表!$Q$3:$Q$24,[1]对照表!$T$3:$T$24),LOOKUP(L57,[1]对照表!$Q$27:$Q$48,[1]对照表!$T$27:$T$48)))))</f>
        <v>100</v>
      </c>
      <c r="N57" s="27">
        <f>IF(B57="高三",MAX(IF(E57="男",L57-18,L57-55),0),IF(B57="高二",MAX(IF(E57="男",L57-17,L57-54),0),IF(B57="高一",MAX(IF(E57="男",L57-16,L57-53),0))))</f>
        <v>4</v>
      </c>
      <c r="O57" s="23">
        <f>IF(E57="男",LOOKUP($N57,[1]对照表!$Z$3:$Z$13,[1]对照表!$AA$3:$AA$13),LOOKUP($N57,[1]对照表!$Z$15:$Z$25,[1]对照表!$AA$15:$AA$25))</f>
        <v>4</v>
      </c>
      <c r="P57" s="24">
        <f>M57+O57</f>
        <v>104</v>
      </c>
      <c r="Q57" s="25">
        <v>3.56</v>
      </c>
      <c r="R57" s="32">
        <f>IF(B57="高三",IF($E57="男",LOOKUP(Q57,[1]对照表!$W$3:$W$24,[1]对照表!$X$3:$X$24),LOOKUP(Q57,[1]对照表!$W$27:$W$48,[1]对照表!$X$27:$X$48)),IF(B57="高二",IF($E57="男",LOOKUP(Q57,[1]对照表!$V$3:$V$24,[1]对照表!$X$3:$X$24),LOOKUP(Q57,[1]对照表!$V$27:$V$48,[1]对照表!$X$27:$X$48)),IF(B57="高一",IF($E57="男",LOOKUP(Q57,[1]对照表!$U$3:$U$24,[1]对照表!$X$3:$X$24),LOOKUP(Q57,[1]对照表!$U$27:$U$48,[1]对照表!$X$27:$X$48)))))</f>
        <v>78</v>
      </c>
      <c r="S57" s="27">
        <f>ROUND(IF(IF($B57="高三",MIN(IF($E57="男",$Q57-3.2,$Q57-3.2),0),IF($B57="高二",MIN(IF($E57="男",$Q57-3.25,$Q57-3.22),0),IF($B57="高一",MIN(IF($E57="男",$Q57-3.3,$Q57-3.24),0))))&lt;-0.6,IF($B57="高三",MIN(IF($E57="男",$Q57-3.2,$Q57-3.2),0),IF($B57="高二",MIN(IF($E57="男",$Q57-3.25,$Q57-3.22),0),IF($B57="高一",MIN(IF($E57="男",$Q57-3.3,$Q57-3.24),0))))+0.4,IF($B57="高三",MIN(IF($E57="男",$Q57-3.2,$Q57-3.2),0),IF($B57="高二",MIN(IF($E57="男",$Q57-3.25,$Q57-3.22),0),IF($B57="高一",MIN(IF($E57="男",$Q57-3.3,$Q57-3.24),0))))),2)</f>
        <v>0</v>
      </c>
      <c r="T57" s="23">
        <f>IF(E57="男",LOOKUP($S57,[1]对照表!$AB$3:$AB$13,[1]对照表!$AC$3:$AC$13),LOOKUP($S57,[1]对照表!$AB$15:$AB$25,[1]对照表!$AC$15:$AC$25))</f>
        <v>0</v>
      </c>
      <c r="U57" s="26">
        <f>R57+T57</f>
        <v>78</v>
      </c>
      <c r="V57" s="26">
        <f>SUM(I57,K57,M57)/3*0.3+SUM(G57,R57)/2*0.4</f>
        <v>62.4</v>
      </c>
      <c r="W57" s="27">
        <f>O57+T57</f>
        <v>4</v>
      </c>
      <c r="X57" s="28">
        <f>V57/0.7+W57</f>
        <v>93.142857142857153</v>
      </c>
      <c r="Y57" s="28">
        <v>93.142857142857153</v>
      </c>
      <c r="Z57" s="21"/>
    </row>
    <row r="58" spans="1:26" x14ac:dyDescent="0.25">
      <c r="A58" s="16">
        <v>12</v>
      </c>
      <c r="B58" s="17" t="s">
        <v>21</v>
      </c>
      <c r="C58" s="16">
        <v>102</v>
      </c>
      <c r="D58" s="18" t="s">
        <v>157</v>
      </c>
      <c r="E58" s="16" t="s">
        <v>23</v>
      </c>
      <c r="F58" s="19">
        <v>6.7</v>
      </c>
      <c r="G58" s="32">
        <f>IF(B58="高三",IF($E58="男",LOOKUP(F58,[1]对照表!$G$3:$G$24,[1]对照表!$H$3:$H$24),LOOKUP(F58,[1]对照表!$G$27:$G$48,[1]对照表!$H$27:$H$48)),IF(B58="高二",IF($E58="男",LOOKUP(F58,[1]对照表!$F$3:$F$24,[1]对照表!$H$3:$H$24),LOOKUP(F58,[1]对照表!$F$27:$F$48,[1]对照表!$H$27:$H$48)),IF(B58="高一",IF($E58="男",LOOKUP(F58,[1]对照表!$E$3:$E$24,[1]对照表!$H$3:$H$24),LOOKUP(F58,[1]对照表!$E$27:$E$48,[1]对照表!$H$27:$H$48)))))</f>
        <v>100</v>
      </c>
      <c r="H58" s="21">
        <v>11</v>
      </c>
      <c r="I58" s="32">
        <f>IF(B58="高三",IF($E58="男",LOOKUP(H58,[1]对照表!$K$3:$K$24,[1]对照表!$L$3:$L$24),LOOKUP(H58,[1]对照表!$K$27:$K$48,[1]对照表!$L$27:$L$48)),IF(B58="高二",IF($E58="男",LOOKUP(H58,[1]对照表!$J$3:$J$24,[1]对照表!$L$3:$L$24),LOOKUP(H58,[1]对照表!$J$27:$J$48,[1]对照表!$L$27:$L$48)),IF(B58="高一",IF($E58="男",LOOKUP(H58,[1]对照表!$I$3:$I$24,[1]对照表!$L$3:$L$24),LOOKUP(H58,[1]对照表!$I$27:$I$48,[1]对照表!$L$27:$L$48)))))</f>
        <v>74</v>
      </c>
      <c r="J58" s="21">
        <v>287</v>
      </c>
      <c r="K58" s="32">
        <f>IF(B58="高三",IF($E58="男",LOOKUP(J58,[1]对照表!$O$3:$O$24,[1]对照表!$P$3:$P$24),LOOKUP(J58,[1]对照表!$O$27:$O$48,[1]对照表!$P$27:$P$48)),IF(B58="高二",IF($E58="男",LOOKUP(J58,[1]对照表!$N$3:$N$24,[1]对照表!$P$3:$P$24),LOOKUP(J58,[1]对照表!$N$27:$N$48,[1]对照表!$P$27:$P$48)),IF(B58="高一",IF($E58="男",LOOKUP(J58,[1]对照表!$M$3:$M$24,[1]对照表!$P$3:$P$24),LOOKUP(J58,[1]对照表!$M$27:$M$48,[1]对照表!$P$27:$P$48)))))</f>
        <v>100</v>
      </c>
      <c r="L58" s="21">
        <v>12</v>
      </c>
      <c r="M58" s="32">
        <f>IF(B58="高三",IF($E58="男",LOOKUP(L58,[1]对照表!$S$3:$S$24,[1]对照表!$T$3:$T$24),LOOKUP(L58,[1]对照表!$S$27:$S$48,[1]对照表!$T$27:$T$48)),IF(B58="高二",IF($E58="男",LOOKUP(L58,[1]对照表!$R$3:$R$24,[1]对照表!$T$3:$T$24),LOOKUP(L58,[1]对照表!$R$27:$R$48,[1]对照表!$T$27:$T$48)),IF(B58="高一",IF($E58="男",LOOKUP(L58,[1]对照表!$Q$3:$Q$24,[1]对照表!$T$3:$T$24),LOOKUP(L58,[1]对照表!$Q$27:$Q$48,[1]对照表!$T$27:$T$48)))))</f>
        <v>80</v>
      </c>
      <c r="N58" s="33">
        <f>IF(B58="高三",MAX(IF(E58="男",L58-18,L58-55),0),IF(B58="高二",MAX(IF(E58="男",L58-17,L58-54),0),IF(B58="高一",MAX(IF(E58="男",L58-16,L58-53),0))))</f>
        <v>0</v>
      </c>
      <c r="O58" s="23">
        <f>IF(E58="男",LOOKUP($N58,[1]对照表!$Z$3:$Z$13,[1]对照表!$AA$3:$AA$13),LOOKUP($N58,[1]对照表!$Z$15:$Z$25,[1]对照表!$AA$15:$AA$25))</f>
        <v>0</v>
      </c>
      <c r="P58" s="24">
        <f>M58+O58</f>
        <v>80</v>
      </c>
      <c r="Q58" s="25">
        <v>3.35</v>
      </c>
      <c r="R58" s="32">
        <f>IF(B58="高三",IF($E58="男",LOOKUP(Q58,[1]对照表!$W$3:$W$24,[1]对照表!$X$3:$X$24),LOOKUP(Q58,[1]对照表!$W$27:$W$48,[1]对照表!$X$27:$X$48)),IF(B58="高二",IF($E58="男",LOOKUP(Q58,[1]对照表!$V$3:$V$24,[1]对照表!$X$3:$X$24),LOOKUP(Q58,[1]对照表!$V$27:$V$48,[1]对照表!$X$27:$X$48)),IF(B58="高一",IF($E58="男",LOOKUP(Q58,[1]对照表!$U$3:$U$24,[1]对照表!$X$3:$X$24),LOOKUP(Q58,[1]对照表!$U$27:$U$48,[1]对照表!$X$27:$X$48)))))</f>
        <v>95</v>
      </c>
      <c r="S58" s="33">
        <f>ROUND(IF(IF($B58="高三",MIN(IF($E58="男",$Q58-3.2,$Q58-3.2),0),IF($B58="高二",MIN(IF($E58="男",$Q58-3.25,$Q58-3.22),0),IF($B58="高一",MIN(IF($E58="男",$Q58-3.3,$Q58-3.24),0))))&lt;-0.6,IF($B58="高三",MIN(IF($E58="男",$Q58-3.2,$Q58-3.2),0),IF($B58="高二",MIN(IF($E58="男",$Q58-3.25,$Q58-3.22),0),IF($B58="高一",MIN(IF($E58="男",$Q58-3.3,$Q58-3.24),0))))+0.4,IF($B58="高三",MIN(IF($E58="男",$Q58-3.2,$Q58-3.2),0),IF($B58="高二",MIN(IF($E58="男",$Q58-3.25,$Q58-3.22),0),IF($B58="高一",MIN(IF($E58="男",$Q58-3.3,$Q58-3.24),0))))),2)</f>
        <v>0</v>
      </c>
      <c r="T58" s="23">
        <f>IF(E58="男",LOOKUP($S58,[1]对照表!$AB$3:$AB$13,[1]对照表!$AC$3:$AC$13),LOOKUP($S58,[1]对照表!$AB$15:$AB$25,[1]对照表!$AC$15:$AC$25))</f>
        <v>0</v>
      </c>
      <c r="U58" s="26">
        <f>R58+T58</f>
        <v>95</v>
      </c>
      <c r="V58" s="26">
        <f>SUM(I58,K58,M58)/3*0.3+SUM(G58,R58)/2*0.4</f>
        <v>64.400000000000006</v>
      </c>
      <c r="W58" s="27">
        <f>O58+T58</f>
        <v>0</v>
      </c>
      <c r="X58" s="28">
        <f>V58/0.7+W58</f>
        <v>92.000000000000014</v>
      </c>
      <c r="Y58" s="28">
        <v>92.000000000000014</v>
      </c>
      <c r="Z58" s="21"/>
    </row>
    <row r="59" spans="1:26" x14ac:dyDescent="0.25">
      <c r="A59" s="16">
        <v>22</v>
      </c>
      <c r="B59" s="17" t="s">
        <v>21</v>
      </c>
      <c r="C59" s="16">
        <v>102</v>
      </c>
      <c r="D59" s="18" t="s">
        <v>158</v>
      </c>
      <c r="E59" s="17" t="s">
        <v>23</v>
      </c>
      <c r="F59" s="19">
        <v>7.3</v>
      </c>
      <c r="G59" s="32">
        <f>IF(B59="高三",IF($E59="男",LOOKUP(F59,[1]对照表!$G$3:$G$24,[1]对照表!$H$3:$H$24),LOOKUP(F59,[1]对照表!$G$27:$G$48,[1]对照表!$H$27:$H$48)),IF(B59="高二",IF($E59="男",LOOKUP(F59,[1]对照表!$F$3:$F$24,[1]对照表!$H$3:$H$24),LOOKUP(F59,[1]对照表!$F$27:$F$48,[1]对照表!$H$27:$H$48)),IF(B59="高一",IF($E59="男",LOOKUP(F59,[1]对照表!$E$3:$E$24,[1]对照表!$H$3:$H$24),LOOKUP(F59,[1]对照表!$E$27:$E$48,[1]对照表!$H$27:$H$48)))))</f>
        <v>90</v>
      </c>
      <c r="H59" s="21">
        <v>16</v>
      </c>
      <c r="I59" s="32">
        <f>IF(B59="高三",IF($E59="男",LOOKUP(H59,[1]对照表!$K$3:$K$24,[1]对照表!$L$3:$L$24),LOOKUP(H59,[1]对照表!$K$27:$K$48,[1]对照表!$L$27:$L$48)),IF(B59="高二",IF($E59="男",LOOKUP(H59,[1]对照表!$J$3:$J$24,[1]对照表!$L$3:$L$24),LOOKUP(H59,[1]对照表!$J$27:$J$48,[1]对照表!$L$27:$L$48)),IF(B59="高一",IF($E59="男",LOOKUP(H59,[1]对照表!$I$3:$I$24,[1]对照表!$L$3:$L$24),LOOKUP(H59,[1]对照表!$I$27:$I$48,[1]对照表!$L$27:$L$48)))))</f>
        <v>80</v>
      </c>
      <c r="J59" s="21">
        <v>266</v>
      </c>
      <c r="K59" s="32">
        <f>IF(B59="高三",IF($E59="男",LOOKUP(J59,[1]对照表!$O$3:$O$24,[1]对照表!$P$3:$P$24),LOOKUP(J59,[1]对照表!$O$27:$O$48,[1]对照表!$P$27:$P$48)),IF(B59="高二",IF($E59="男",LOOKUP(J59,[1]对照表!$N$3:$N$24,[1]对照表!$P$3:$P$24),LOOKUP(J59,[1]对照表!$N$27:$N$48,[1]对照表!$P$27:$P$48)),IF(B59="高一",IF($E59="男",LOOKUP(J59,[1]对照表!$M$3:$M$24,[1]对照表!$P$3:$P$24),LOOKUP(J59,[1]对照表!$M$27:$M$48,[1]对照表!$P$27:$P$48)))))</f>
        <v>100</v>
      </c>
      <c r="L59" s="21">
        <v>20</v>
      </c>
      <c r="M59" s="32">
        <f>IF(B59="高三",IF($E59="男",LOOKUP(L59,[1]对照表!$S$3:$S$24,[1]对照表!$T$3:$T$24),LOOKUP(L59,[1]对照表!$S$27:$S$48,[1]对照表!$T$27:$T$48)),IF(B59="高二",IF($E59="男",LOOKUP(L59,[1]对照表!$R$3:$R$24,[1]对照表!$T$3:$T$24),LOOKUP(L59,[1]对照表!$R$27:$R$48,[1]对照表!$T$27:$T$48)),IF(B59="高一",IF($E59="男",LOOKUP(L59,[1]对照表!$Q$3:$Q$24,[1]对照表!$T$3:$T$24),LOOKUP(L59,[1]对照表!$Q$27:$Q$48,[1]对照表!$T$27:$T$48)))))</f>
        <v>100</v>
      </c>
      <c r="N59" s="33">
        <f>IF(B59="高三",MAX(IF(E59="男",L59-18,L59-55),0),IF(B59="高二",MAX(IF(E59="男",L59-17,L59-54),0),IF(B59="高一",MAX(IF(E59="男",L59-16,L59-53),0))))</f>
        <v>4</v>
      </c>
      <c r="O59" s="23">
        <f>IF(E59="男",LOOKUP($N59,[1]对照表!$Z$3:$Z$13,[1]对照表!$AA$3:$AA$13),LOOKUP($N59,[1]对照表!$Z$15:$Z$25,[1]对照表!$AA$15:$AA$25))</f>
        <v>4</v>
      </c>
      <c r="P59" s="24">
        <f>M59+O59</f>
        <v>104</v>
      </c>
      <c r="Q59" s="25">
        <v>3.59</v>
      </c>
      <c r="R59" s="32">
        <f>IF(B59="高三",IF($E59="男",LOOKUP(Q59,[1]对照表!$W$3:$W$24,[1]对照表!$X$3:$X$24),LOOKUP(Q59,[1]对照表!$W$27:$W$48,[1]对照表!$X$27:$X$48)),IF(B59="高二",IF($E59="男",LOOKUP(Q59,[1]对照表!$V$3:$V$24,[1]对照表!$X$3:$X$24),LOOKUP(Q59,[1]对照表!$V$27:$V$48,[1]对照表!$X$27:$X$48)),IF(B59="高一",IF($E59="男",LOOKUP(Q59,[1]对照表!$U$3:$U$24,[1]对照表!$X$3:$X$24),LOOKUP(Q59,[1]对照表!$U$27:$U$48,[1]对照表!$X$27:$X$48)))))</f>
        <v>78</v>
      </c>
      <c r="S59" s="33">
        <f>ROUND(IF(IF($B59="高三",MIN(IF($E59="男",$Q59-3.2,$Q59-3.2),0),IF($B59="高二",MIN(IF($E59="男",$Q59-3.25,$Q59-3.22),0),IF($B59="高一",MIN(IF($E59="男",$Q59-3.3,$Q59-3.24),0))))&lt;-0.6,IF($B59="高三",MIN(IF($E59="男",$Q59-3.2,$Q59-3.2),0),IF($B59="高二",MIN(IF($E59="男",$Q59-3.25,$Q59-3.22),0),IF($B59="高一",MIN(IF($E59="男",$Q59-3.3,$Q59-3.24),0))))+0.4,IF($B59="高三",MIN(IF($E59="男",$Q59-3.2,$Q59-3.2),0),IF($B59="高二",MIN(IF($E59="男",$Q59-3.25,$Q59-3.22),0),IF($B59="高一",MIN(IF($E59="男",$Q59-3.3,$Q59-3.24),0))))),2)</f>
        <v>0</v>
      </c>
      <c r="T59" s="23">
        <f>IF(E59="男",LOOKUP($S59,[1]对照表!$AB$3:$AB$13,[1]对照表!$AC$3:$AC$13),LOOKUP($S59,[1]对照表!$AB$15:$AB$25,[1]对照表!$AC$15:$AC$25))</f>
        <v>0</v>
      </c>
      <c r="U59" s="26">
        <f>R59+T59</f>
        <v>78</v>
      </c>
      <c r="V59" s="26">
        <f>SUM(I59,K59,M59)/3*0.3+SUM(G59,R59)/2*0.4</f>
        <v>61.599999999999994</v>
      </c>
      <c r="W59" s="27">
        <f>O59+T59</f>
        <v>4</v>
      </c>
      <c r="X59" s="28">
        <f>V59/0.7+W59</f>
        <v>92</v>
      </c>
      <c r="Y59" s="28">
        <v>92</v>
      </c>
      <c r="Z59" s="21"/>
    </row>
    <row r="60" spans="1:26" x14ac:dyDescent="0.25">
      <c r="A60" s="16">
        <v>41</v>
      </c>
      <c r="B60" s="17" t="s">
        <v>21</v>
      </c>
      <c r="C60" s="16">
        <v>102</v>
      </c>
      <c r="D60" s="18" t="s">
        <v>167</v>
      </c>
      <c r="E60" s="16" t="s">
        <v>65</v>
      </c>
      <c r="F60" s="19">
        <v>8.1</v>
      </c>
      <c r="G60" s="32">
        <f>IF(B60="高三",IF($E60="男",LOOKUP(F60,[1]对照表!$G$3:$G$24,[1]对照表!$H$3:$H$24),LOOKUP(F60,[1]对照表!$G$27:$G$48,[1]对照表!$H$27:$H$48)),IF(B60="高二",IF($E60="男",LOOKUP(F60,[1]对照表!$F$3:$F$24,[1]对照表!$H$3:$H$24),LOOKUP(F60,[1]对照表!$F$27:$F$48,[1]对照表!$H$27:$H$48)),IF(B60="高一",IF($E60="男",LOOKUP(F60,[1]对照表!$E$3:$E$24,[1]对照表!$H$3:$H$24),LOOKUP(F60,[1]对照表!$E$27:$E$48,[1]对照表!$H$27:$H$48)))))</f>
        <v>85</v>
      </c>
      <c r="H60" s="21">
        <v>11</v>
      </c>
      <c r="I60" s="32">
        <f>IF(B60="高三",IF($E60="男",LOOKUP(H60,[1]对照表!$K$3:$K$24,[1]对照表!$L$3:$L$24),LOOKUP(H60,[1]对照表!$K$27:$K$48,[1]对照表!$L$27:$L$48)),IF(B60="高二",IF($E60="男",LOOKUP(H60,[1]对照表!$J$3:$J$24,[1]对照表!$L$3:$L$24),LOOKUP(H60,[1]对照表!$J$27:$J$48,[1]对照表!$L$27:$L$48)),IF(B60="高一",IF($E60="男",LOOKUP(H60,[1]对照表!$I$3:$I$24,[1]对照表!$L$3:$L$24),LOOKUP(H60,[1]对照表!$I$27:$I$48,[1]对照表!$L$27:$L$48)))))</f>
        <v>70</v>
      </c>
      <c r="J60" s="21">
        <v>203</v>
      </c>
      <c r="K60" s="32">
        <f>IF(B60="高三",IF($E60="男",LOOKUP(J60,[1]对照表!$O$3:$O$24,[1]对照表!$P$3:$P$24),LOOKUP(J60,[1]对照表!$O$27:$O$48,[1]对照表!$P$27:$P$48)),IF(B60="高二",IF($E60="男",LOOKUP(J60,[1]对照表!$N$3:$N$24,[1]对照表!$P$3:$P$24),LOOKUP(J60,[1]对照表!$N$27:$N$48,[1]对照表!$P$27:$P$48)),IF(B60="高一",IF($E60="男",LOOKUP(J60,[1]对照表!$M$3:$M$24,[1]对照表!$P$3:$P$24),LOOKUP(J60,[1]对照表!$M$27:$M$48,[1]对照表!$P$27:$P$48)))))</f>
        <v>95</v>
      </c>
      <c r="L60" s="21">
        <v>45</v>
      </c>
      <c r="M60" s="32">
        <f>IF(B60="高三",IF($E60="男",LOOKUP(L60,[1]对照表!$S$3:$S$24,[1]对照表!$T$3:$T$24),LOOKUP(L60,[1]对照表!$S$27:$S$48,[1]对照表!$T$27:$T$48)),IF(B60="高二",IF($E60="男",LOOKUP(L60,[1]对照表!$R$3:$R$24,[1]对照表!$T$3:$T$24),LOOKUP(L60,[1]对照表!$R$27:$R$48,[1]对照表!$T$27:$T$48)),IF(B60="高一",IF($E60="男",LOOKUP(L60,[1]对照表!$Q$3:$Q$24,[1]对照表!$T$3:$T$24),LOOKUP(L60,[1]对照表!$Q$27:$Q$48,[1]对照表!$T$27:$T$48)))))</f>
        <v>80</v>
      </c>
      <c r="N60" s="33">
        <f>IF(B60="高三",MAX(IF(E60="男",L60-18,L60-55),0),IF(B60="高二",MAX(IF(E60="男",L60-17,L60-54),0),IF(B60="高一",MAX(IF(E60="男",L60-16,L60-53),0))))</f>
        <v>0</v>
      </c>
      <c r="O60" s="23">
        <f>IF(E60="男",LOOKUP($N60,[1]对照表!$Z$3:$Z$13,[1]对照表!$AA$3:$AA$13),LOOKUP($N60,[1]对照表!$Z$15:$Z$25,[1]对照表!$AA$15:$AA$25))</f>
        <v>0</v>
      </c>
      <c r="P60" s="24">
        <f>M60+O60</f>
        <v>80</v>
      </c>
      <c r="Q60" s="25">
        <v>3.16</v>
      </c>
      <c r="R60" s="32">
        <f>IF(B60="高三",IF($E60="男",LOOKUP(Q60,[1]对照表!$W$3:$W$24,[1]对照表!$X$3:$X$24),LOOKUP(Q60,[1]对照表!$W$27:$W$48,[1]对照表!$X$27:$X$48)),IF(B60="高二",IF($E60="男",LOOKUP(Q60,[1]对照表!$V$3:$V$24,[1]对照表!$X$3:$X$24),LOOKUP(Q60,[1]对照表!$V$27:$V$48,[1]对照表!$X$27:$X$48)),IF(B60="高一",IF($E60="男",LOOKUP(Q60,[1]对照表!$U$3:$U$24,[1]对照表!$X$3:$X$24),LOOKUP(Q60,[1]对照表!$U$27:$U$48,[1]对照表!$X$27:$X$48)))))</f>
        <v>100</v>
      </c>
      <c r="S60" s="33">
        <f>ROUND(IF(IF($B60="高三",MIN(IF($E60="男",$Q60-3.2,$Q60-3.2),0),IF($B60="高二",MIN(IF($E60="男",$Q60-3.25,$Q60-3.22),0),IF($B60="高一",MIN(IF($E60="男",$Q60-3.3,$Q60-3.24),0))))&lt;-0.6,IF($B60="高三",MIN(IF($E60="男",$Q60-3.2,$Q60-3.2),0),IF($B60="高二",MIN(IF($E60="男",$Q60-3.25,$Q60-3.22),0),IF($B60="高一",MIN(IF($E60="男",$Q60-3.3,$Q60-3.24),0))))+0.4,IF($B60="高三",MIN(IF($E60="男",$Q60-3.2,$Q60-3.2),0),IF($B60="高二",MIN(IF($E60="男",$Q60-3.25,$Q60-3.22),0),IF($B60="高一",MIN(IF($E60="男",$Q60-3.3,$Q60-3.24),0))))),2)</f>
        <v>-0.08</v>
      </c>
      <c r="T60" s="23">
        <f>IF(E60="男",LOOKUP($S60,[1]对照表!$AB$3:$AB$13,[1]对照表!$AC$3:$AC$13),LOOKUP($S60,[1]对照表!$AB$15:$AB$25,[1]对照表!$AC$15:$AC$25))</f>
        <v>1</v>
      </c>
      <c r="U60" s="26">
        <f>R60+T60</f>
        <v>101</v>
      </c>
      <c r="V60" s="26">
        <f>SUM(I60,K60,M60)/3*0.3+SUM(G60,R60)/2*0.4</f>
        <v>61.5</v>
      </c>
      <c r="W60" s="27">
        <f>O60+T60</f>
        <v>1</v>
      </c>
      <c r="X60" s="28">
        <f>V60/0.7+W60</f>
        <v>88.857142857142861</v>
      </c>
      <c r="Y60" s="28">
        <v>88.857142857142861</v>
      </c>
      <c r="Z60" s="21"/>
    </row>
    <row r="61" spans="1:26" x14ac:dyDescent="0.25">
      <c r="A61" s="16">
        <v>33</v>
      </c>
      <c r="B61" s="17" t="s">
        <v>21</v>
      </c>
      <c r="C61" s="16">
        <v>102</v>
      </c>
      <c r="D61" s="18" t="s">
        <v>173</v>
      </c>
      <c r="E61" s="17" t="s">
        <v>23</v>
      </c>
      <c r="F61" s="19">
        <v>7.2</v>
      </c>
      <c r="G61" s="32">
        <f>IF(B61="高三",IF($E61="男",LOOKUP(F61,[1]对照表!$G$3:$G$24,[1]对照表!$H$3:$H$24),LOOKUP(F61,[1]对照表!$G$27:$G$48,[1]对照表!$H$27:$H$48)),IF(B61="高二",IF($E61="男",LOOKUP(F61,[1]对照表!$F$3:$F$24,[1]对照表!$H$3:$H$24),LOOKUP(F61,[1]对照表!$F$27:$F$48,[1]对照表!$H$27:$H$48)),IF(B61="高一",IF($E61="男",LOOKUP(F61,[1]对照表!$E$3:$E$24,[1]对照表!$H$3:$H$24),LOOKUP(F61,[1]对照表!$E$27:$E$48,[1]对照表!$H$27:$H$48)))))</f>
        <v>95</v>
      </c>
      <c r="H61" s="21">
        <v>3.2</v>
      </c>
      <c r="I61" s="32">
        <f>IF(B61="高三",IF($E61="男",LOOKUP(H61,[1]对照表!$K$3:$K$24,[1]对照表!$L$3:$L$24),LOOKUP(H61,[1]对照表!$K$27:$K$48,[1]对照表!$L$27:$L$48)),IF(B61="高二",IF($E61="男",LOOKUP(H61,[1]对照表!$J$3:$J$24,[1]对照表!$L$3:$L$24),LOOKUP(H61,[1]对照表!$J$27:$J$48,[1]对照表!$L$27:$L$48)),IF(B61="高一",IF($E61="男",LOOKUP(H61,[1]对照表!$I$3:$I$24,[1]对照表!$L$3:$L$24),LOOKUP(H61,[1]对照表!$I$27:$I$48,[1]对照表!$L$27:$L$48)))))</f>
        <v>62</v>
      </c>
      <c r="J61" s="21">
        <v>251</v>
      </c>
      <c r="K61" s="32">
        <f>IF(B61="高三",IF($E61="男",LOOKUP(J61,[1]对照表!$O$3:$O$24,[1]对照表!$P$3:$P$24),LOOKUP(J61,[1]对照表!$O$27:$O$48,[1]对照表!$P$27:$P$48)),IF(B61="高二",IF($E61="男",LOOKUP(J61,[1]对照表!$N$3:$N$24,[1]对照表!$P$3:$P$24),LOOKUP(J61,[1]对照表!$N$27:$N$48,[1]对照表!$P$27:$P$48)),IF(B61="高一",IF($E61="男",LOOKUP(J61,[1]对照表!$M$3:$M$24,[1]对照表!$P$3:$P$24),LOOKUP(J61,[1]对照表!$M$27:$M$48,[1]对照表!$P$27:$P$48)))))</f>
        <v>90</v>
      </c>
      <c r="L61" s="21">
        <v>20</v>
      </c>
      <c r="M61" s="32">
        <f>IF(B61="高三",IF($E61="男",LOOKUP(L61,[1]对照表!$S$3:$S$24,[1]对照表!$T$3:$T$24),LOOKUP(L61,[1]对照表!$S$27:$S$48,[1]对照表!$T$27:$T$48)),IF(B61="高二",IF($E61="男",LOOKUP(L61,[1]对照表!$R$3:$R$24,[1]对照表!$T$3:$T$24),LOOKUP(L61,[1]对照表!$R$27:$R$48,[1]对照表!$T$27:$T$48)),IF(B61="高一",IF($E61="男",LOOKUP(L61,[1]对照表!$Q$3:$Q$24,[1]对照表!$T$3:$T$24),LOOKUP(L61,[1]对照表!$Q$27:$Q$48,[1]对照表!$T$27:$T$48)))))</f>
        <v>100</v>
      </c>
      <c r="N61" s="33">
        <f>IF(B61="高三",MAX(IF(E61="男",L61-18,L61-55),0),IF(B61="高二",MAX(IF(E61="男",L61-17,L61-54),0),IF(B61="高一",MAX(IF(E61="男",L61-16,L61-53),0))))</f>
        <v>4</v>
      </c>
      <c r="O61" s="23">
        <f>IF(E61="男",LOOKUP($N61,[1]对照表!$Z$3:$Z$13,[1]对照表!$AA$3:$AA$13),LOOKUP($N61,[1]对照表!$Z$15:$Z$25,[1]对照表!$AA$15:$AA$25))</f>
        <v>4</v>
      </c>
      <c r="P61" s="24">
        <f>M61+O61</f>
        <v>104</v>
      </c>
      <c r="Q61" s="25">
        <v>3.45</v>
      </c>
      <c r="R61" s="32">
        <f>IF(B61="高三",IF($E61="男",LOOKUP(Q61,[1]对照表!$W$3:$W$24,[1]对照表!$X$3:$X$24),LOOKUP(Q61,[1]对照表!$W$27:$W$48,[1]对照表!$X$27:$X$48)),IF(B61="高二",IF($E61="男",LOOKUP(Q61,[1]对照表!$V$3:$V$24,[1]对照表!$X$3:$X$24),LOOKUP(Q61,[1]对照表!$V$27:$V$48,[1]对照表!$X$27:$X$48)),IF(B61="高一",IF($E61="男",LOOKUP(Q61,[1]对照表!$U$3:$U$24,[1]对照表!$X$3:$X$24),LOOKUP(Q61,[1]对照表!$U$27:$U$48,[1]对照表!$X$27:$X$48)))))</f>
        <v>85</v>
      </c>
      <c r="S61" s="33">
        <f>ROUND(IF(IF($B61="高三",MIN(IF($E61="男",$Q61-3.2,$Q61-3.2),0),IF($B61="高二",MIN(IF($E61="男",$Q61-3.25,$Q61-3.22),0),IF($B61="高一",MIN(IF($E61="男",$Q61-3.3,$Q61-3.24),0))))&lt;-0.6,IF($B61="高三",MIN(IF($E61="男",$Q61-3.2,$Q61-3.2),0),IF($B61="高二",MIN(IF($E61="男",$Q61-3.25,$Q61-3.22),0),IF($B61="高一",MIN(IF($E61="男",$Q61-3.3,$Q61-3.24),0))))+0.4,IF($B61="高三",MIN(IF($E61="男",$Q61-3.2,$Q61-3.2),0),IF($B61="高二",MIN(IF($E61="男",$Q61-3.25,$Q61-3.22),0),IF($B61="高一",MIN(IF($E61="男",$Q61-3.3,$Q61-3.24),0))))),2)</f>
        <v>0</v>
      </c>
      <c r="T61" s="23">
        <f>IF(E61="男",LOOKUP($S61,[1]对照表!$AB$3:$AB$13,[1]对照表!$AC$3:$AC$13),LOOKUP($S61,[1]对照表!$AB$15:$AB$25,[1]对照表!$AC$15:$AC$25))</f>
        <v>0</v>
      </c>
      <c r="U61" s="26">
        <f>R61+T61</f>
        <v>85</v>
      </c>
      <c r="V61" s="26">
        <f>SUM(I61,K61,M61)/3*0.3+SUM(G61,R61)/2*0.4</f>
        <v>61.2</v>
      </c>
      <c r="W61" s="27">
        <f>O61+T61</f>
        <v>4</v>
      </c>
      <c r="X61" s="28">
        <f>V61/0.7+W61</f>
        <v>91.428571428571445</v>
      </c>
      <c r="Y61" s="28">
        <v>91.428571428571445</v>
      </c>
      <c r="Z61" s="21"/>
    </row>
    <row r="62" spans="1:26" x14ac:dyDescent="0.25">
      <c r="A62" s="16">
        <v>11</v>
      </c>
      <c r="B62" s="17" t="s">
        <v>21</v>
      </c>
      <c r="C62" s="16">
        <v>102</v>
      </c>
      <c r="D62" s="18" t="s">
        <v>183</v>
      </c>
      <c r="E62" s="34" t="s">
        <v>23</v>
      </c>
      <c r="F62" s="19">
        <v>6.5</v>
      </c>
      <c r="G62" s="32">
        <f>IF(B62="高三",IF($E62="男",LOOKUP(F62,[1]对照表!$G$3:$G$24,[1]对照表!$H$3:$H$24),LOOKUP(F62,[1]对照表!$G$27:$G$48,[1]对照表!$H$27:$H$48)),IF(B62="高二",IF($E62="男",LOOKUP(F62,[1]对照表!$F$3:$F$24,[1]对照表!$H$3:$H$24),LOOKUP(F62,[1]对照表!$F$27:$F$48,[1]对照表!$H$27:$H$48)),IF(B62="高一",IF($E62="男",LOOKUP(F62,[1]对照表!$E$3:$E$24,[1]对照表!$H$3:$H$24),LOOKUP(F62,[1]对照表!$E$27:$E$48,[1]对照表!$H$27:$H$48)))))</f>
        <v>100</v>
      </c>
      <c r="H62" s="21">
        <v>11</v>
      </c>
      <c r="I62" s="32">
        <f>IF(B62="高三",IF($E62="男",LOOKUP(H62,[1]对照表!$K$3:$K$24,[1]对照表!$L$3:$L$24),LOOKUP(H62,[1]对照表!$K$27:$K$48,[1]对照表!$L$27:$L$48)),IF(B62="高二",IF($E62="男",LOOKUP(H62,[1]对照表!$J$3:$J$24,[1]对照表!$L$3:$L$24),LOOKUP(H62,[1]对照表!$J$27:$J$48,[1]对照表!$L$27:$L$48)),IF(B62="高一",IF($E62="男",LOOKUP(H62,[1]对照表!$I$3:$I$24,[1]对照表!$L$3:$L$24),LOOKUP(H62,[1]对照表!$I$27:$I$48,[1]对照表!$L$27:$L$48)))))</f>
        <v>74</v>
      </c>
      <c r="J62" s="21">
        <v>285</v>
      </c>
      <c r="K62" s="32">
        <f>IF(B62="高三",IF($E62="男",LOOKUP(J62,[1]对照表!$O$3:$O$24,[1]对照表!$P$3:$P$24),LOOKUP(J62,[1]对照表!$O$27:$O$48,[1]对照表!$P$27:$P$48)),IF(B62="高二",IF($E62="男",LOOKUP(J62,[1]对照表!$N$3:$N$24,[1]对照表!$P$3:$P$24),LOOKUP(J62,[1]对照表!$N$27:$N$48,[1]对照表!$P$27:$P$48)),IF(B62="高一",IF($E62="男",LOOKUP(J62,[1]对照表!$M$3:$M$24,[1]对照表!$P$3:$P$24),LOOKUP(J62,[1]对照表!$M$27:$M$48,[1]对照表!$P$27:$P$48)))))</f>
        <v>100</v>
      </c>
      <c r="L62" s="21">
        <v>12</v>
      </c>
      <c r="M62" s="32">
        <f>IF(B62="高三",IF($E62="男",LOOKUP(L62,[1]对照表!$S$3:$S$24,[1]对照表!$T$3:$T$24),LOOKUP(L62,[1]对照表!$S$27:$S$48,[1]对照表!$T$27:$T$48)),IF(B62="高二",IF($E62="男",LOOKUP(L62,[1]对照表!$R$3:$R$24,[1]对照表!$T$3:$T$24),LOOKUP(L62,[1]对照表!$R$27:$R$48,[1]对照表!$T$27:$T$48)),IF(B62="高一",IF($E62="男",LOOKUP(L62,[1]对照表!$Q$3:$Q$24,[1]对照表!$T$3:$T$24),LOOKUP(L62,[1]对照表!$Q$27:$Q$48,[1]对照表!$T$27:$T$48)))))</f>
        <v>80</v>
      </c>
      <c r="N62" s="33">
        <f>IF(B62="高三",MAX(IF(E62="男",L62-18,L62-55),0),IF(B62="高二",MAX(IF(E62="男",L62-17,L62-54),0),IF(B62="高一",MAX(IF(E62="男",L62-16,L62-53),0))))</f>
        <v>0</v>
      </c>
      <c r="O62" s="23">
        <f>IF(E62="男",LOOKUP($N62,[1]对照表!$Z$3:$Z$13,[1]对照表!$AA$3:$AA$13),LOOKUP($N62,[1]对照表!$Z$15:$Z$25,[1]对照表!$AA$15:$AA$25))</f>
        <v>0</v>
      </c>
      <c r="P62" s="24">
        <f>M62+O62</f>
        <v>80</v>
      </c>
      <c r="Q62" s="25">
        <v>3.36</v>
      </c>
      <c r="R62" s="32">
        <f>IF(B62="高三",IF($E62="男",LOOKUP(Q62,[1]对照表!$W$3:$W$24,[1]对照表!$X$3:$X$24),LOOKUP(Q62,[1]对照表!$W$27:$W$48,[1]对照表!$X$27:$X$48)),IF(B62="高二",IF($E62="男",LOOKUP(Q62,[1]对照表!$V$3:$V$24,[1]对照表!$X$3:$X$24),LOOKUP(Q62,[1]对照表!$V$27:$V$48,[1]对照表!$X$27:$X$48)),IF(B62="高一",IF($E62="男",LOOKUP(Q62,[1]对照表!$U$3:$U$24,[1]对照表!$X$3:$X$24),LOOKUP(Q62,[1]对照表!$U$27:$U$48,[1]对照表!$X$27:$X$48)))))</f>
        <v>90</v>
      </c>
      <c r="S62" s="33">
        <f>ROUND(IF(IF($B62="高三",MIN(IF($E62="男",$Q62-3.2,$Q62-3.2),0),IF($B62="高二",MIN(IF($E62="男",$Q62-3.25,$Q62-3.22),0),IF($B62="高一",MIN(IF($E62="男",$Q62-3.3,$Q62-3.24),0))))&lt;-0.6,IF($B62="高三",MIN(IF($E62="男",$Q62-3.2,$Q62-3.2),0),IF($B62="高二",MIN(IF($E62="男",$Q62-3.25,$Q62-3.22),0),IF($B62="高一",MIN(IF($E62="男",$Q62-3.3,$Q62-3.24),0))))+0.4,IF($B62="高三",MIN(IF($E62="男",$Q62-3.2,$Q62-3.2),0),IF($B62="高二",MIN(IF($E62="男",$Q62-3.25,$Q62-3.22),0),IF($B62="高一",MIN(IF($E62="男",$Q62-3.3,$Q62-3.24),0))))),2)</f>
        <v>0</v>
      </c>
      <c r="T62" s="23">
        <f>IF(E62="男",LOOKUP($S62,[1]对照表!$AB$3:$AB$13,[1]对照表!$AC$3:$AC$13),LOOKUP($S62,[1]对照表!$AB$15:$AB$25,[1]对照表!$AC$15:$AC$25))</f>
        <v>0</v>
      </c>
      <c r="U62" s="26">
        <f>R62+T62</f>
        <v>90</v>
      </c>
      <c r="V62" s="26">
        <f>SUM(I62,K62,M62)/3*0.3+SUM(G62,R62)/2*0.4</f>
        <v>63.400000000000006</v>
      </c>
      <c r="W62" s="27">
        <f>O62+T62</f>
        <v>0</v>
      </c>
      <c r="X62" s="28">
        <f>V62/0.7+W62</f>
        <v>90.571428571428584</v>
      </c>
      <c r="Y62" s="28">
        <v>90.571428571428584</v>
      </c>
      <c r="Z62" s="21"/>
    </row>
    <row r="63" spans="1:26" x14ac:dyDescent="0.25">
      <c r="A63" s="16">
        <v>23</v>
      </c>
      <c r="B63" s="17" t="s">
        <v>21</v>
      </c>
      <c r="C63" s="16">
        <v>102</v>
      </c>
      <c r="D63" s="18" t="s">
        <v>184</v>
      </c>
      <c r="E63" s="17" t="s">
        <v>23</v>
      </c>
      <c r="F63" s="19">
        <v>7.2</v>
      </c>
      <c r="G63" s="32">
        <f>IF(B63="高三",IF($E63="男",LOOKUP(F63,[1]对照表!$G$3:$G$24,[1]对照表!$H$3:$H$24),LOOKUP(F63,[1]对照表!$G$27:$G$48,[1]对照表!$H$27:$H$48)),IF(B63="高二",IF($E63="男",LOOKUP(F63,[1]对照表!$F$3:$F$24,[1]对照表!$H$3:$H$24),LOOKUP(F63,[1]对照表!$F$27:$F$48,[1]对照表!$H$27:$H$48)),IF(B63="高一",IF($E63="男",LOOKUP(F63,[1]对照表!$E$3:$E$24,[1]对照表!$H$3:$H$24),LOOKUP(F63,[1]对照表!$E$27:$E$48,[1]对照表!$H$27:$H$48)))))</f>
        <v>95</v>
      </c>
      <c r="H63" s="21">
        <v>26</v>
      </c>
      <c r="I63" s="32">
        <f>IF(B63="高三",IF($E63="男",LOOKUP(H63,[1]对照表!$K$3:$K$24,[1]对照表!$L$3:$L$24),LOOKUP(H63,[1]对照表!$K$27:$K$48,[1]对照表!$L$27:$L$48)),IF(B63="高二",IF($E63="男",LOOKUP(H63,[1]对照表!$J$3:$J$24,[1]对照表!$L$3:$L$24),LOOKUP(H63,[1]对照表!$J$27:$J$48,[1]对照表!$L$27:$L$48)),IF(B63="高一",IF($E63="男",LOOKUP(H63,[1]对照表!$I$3:$I$24,[1]对照表!$L$3:$L$24),LOOKUP(H63,[1]对照表!$I$27:$I$48,[1]对照表!$L$27:$L$48)))))</f>
        <v>100</v>
      </c>
      <c r="J63" s="21">
        <v>240</v>
      </c>
      <c r="K63" s="32">
        <f>IF(B63="高三",IF($E63="男",LOOKUP(J63,[1]对照表!$O$3:$O$24,[1]对照表!$P$3:$P$24),LOOKUP(J63,[1]对照表!$O$27:$O$48,[1]对照表!$P$27:$P$48)),IF(B63="高二",IF($E63="男",LOOKUP(J63,[1]对照表!$N$3:$N$24,[1]对照表!$P$3:$P$24),LOOKUP(J63,[1]对照表!$N$27:$N$48,[1]对照表!$P$27:$P$48)),IF(B63="高一",IF($E63="男",LOOKUP(J63,[1]对照表!$M$3:$M$24,[1]对照表!$P$3:$P$24),LOOKUP(J63,[1]对照表!$M$27:$M$48,[1]对照表!$P$27:$P$48)))))</f>
        <v>80</v>
      </c>
      <c r="L63" s="21">
        <v>8</v>
      </c>
      <c r="M63" s="32">
        <f>IF(B63="高三",IF($E63="男",LOOKUP(L63,[1]对照表!$S$3:$S$24,[1]对照表!$T$3:$T$24),LOOKUP(L63,[1]对照表!$S$27:$S$48,[1]对照表!$T$27:$T$48)),IF(B63="高二",IF($E63="男",LOOKUP(L63,[1]对照表!$R$3:$R$24,[1]对照表!$T$3:$T$24),LOOKUP(L63,[1]对照表!$R$27:$R$48,[1]对照表!$T$27:$T$48)),IF(B63="高一",IF($E63="男",LOOKUP(L63,[1]对照表!$Q$3:$Q$24,[1]对照表!$T$3:$T$24),LOOKUP(L63,[1]对照表!$Q$27:$Q$48,[1]对照表!$T$27:$T$48)))))</f>
        <v>64</v>
      </c>
      <c r="N63" s="33">
        <f>IF(B63="高三",MAX(IF(E63="男",L63-18,L63-55),0),IF(B63="高二",MAX(IF(E63="男",L63-17,L63-54),0),IF(B63="高一",MAX(IF(E63="男",L63-16,L63-53),0))))</f>
        <v>0</v>
      </c>
      <c r="O63" s="23">
        <f>IF(E63="男",LOOKUP($N63,[1]对照表!$Z$3:$Z$13,[1]对照表!$AA$3:$AA$13),LOOKUP($N63,[1]对照表!$Z$15:$Z$25,[1]对照表!$AA$15:$AA$25))</f>
        <v>0</v>
      </c>
      <c r="P63" s="24">
        <f>M63+O63</f>
        <v>64</v>
      </c>
      <c r="Q63" s="25">
        <v>3.29</v>
      </c>
      <c r="R63" s="32">
        <f>IF(B63="高三",IF($E63="男",LOOKUP(Q63,[1]对照表!$W$3:$W$24,[1]对照表!$X$3:$X$24),LOOKUP(Q63,[1]对照表!$W$27:$W$48,[1]对照表!$X$27:$X$48)),IF(B63="高二",IF($E63="男",LOOKUP(Q63,[1]对照表!$V$3:$V$24,[1]对照表!$X$3:$X$24),LOOKUP(Q63,[1]对照表!$V$27:$V$48,[1]对照表!$X$27:$X$48)),IF(B63="高一",IF($E63="男",LOOKUP(Q63,[1]对照表!$U$3:$U$24,[1]对照表!$X$3:$X$24),LOOKUP(Q63,[1]对照表!$U$27:$U$48,[1]对照表!$X$27:$X$48)))))</f>
        <v>100</v>
      </c>
      <c r="S63" s="33">
        <f>ROUND(IF(IF($B63="高三",MIN(IF($E63="男",$Q63-3.2,$Q63-3.2),0),IF($B63="高二",MIN(IF($E63="男",$Q63-3.25,$Q63-3.22),0),IF($B63="高一",MIN(IF($E63="男",$Q63-3.3,$Q63-3.24),0))))&lt;-0.6,IF($B63="高三",MIN(IF($E63="男",$Q63-3.2,$Q63-3.2),0),IF($B63="高二",MIN(IF($E63="男",$Q63-3.25,$Q63-3.22),0),IF($B63="高一",MIN(IF($E63="男",$Q63-3.3,$Q63-3.24),0))))+0.4,IF($B63="高三",MIN(IF($E63="男",$Q63-3.2,$Q63-3.2),0),IF($B63="高二",MIN(IF($E63="男",$Q63-3.25,$Q63-3.22),0),IF($B63="高一",MIN(IF($E63="男",$Q63-3.3,$Q63-3.24),0))))),2)</f>
        <v>-0.01</v>
      </c>
      <c r="T63" s="23">
        <f>IF(E63="男",LOOKUP($S63,[1]对照表!$AB$3:$AB$13,[1]对照表!$AC$3:$AC$13),LOOKUP($S63,[1]对照表!$AB$15:$AB$25,[1]对照表!$AC$15:$AC$25))</f>
        <v>0</v>
      </c>
      <c r="U63" s="26">
        <f>R63+T63</f>
        <v>100</v>
      </c>
      <c r="V63" s="26">
        <f>SUM(I63,K63,M63)/3*0.3+SUM(G63,R63)/2*0.4</f>
        <v>63.4</v>
      </c>
      <c r="W63" s="27">
        <f>O63+T63</f>
        <v>0</v>
      </c>
      <c r="X63" s="28">
        <f>V63/0.7+W63</f>
        <v>90.571428571428569</v>
      </c>
      <c r="Y63" s="28">
        <v>90.571428571428569</v>
      </c>
      <c r="Z63" s="21"/>
    </row>
    <row r="64" spans="1:26" x14ac:dyDescent="0.25">
      <c r="A64" s="16">
        <v>47</v>
      </c>
      <c r="B64" s="17" t="s">
        <v>21</v>
      </c>
      <c r="C64" s="16">
        <v>102</v>
      </c>
      <c r="D64" s="18" t="s">
        <v>267</v>
      </c>
      <c r="E64" s="16" t="s">
        <v>65</v>
      </c>
      <c r="F64" s="19">
        <v>8.1</v>
      </c>
      <c r="G64" s="32">
        <f>IF(B64="高三",IF($E64="男",LOOKUP(F64,[1]对照表!$G$3:$G$24,[1]对照表!$H$3:$H$24),LOOKUP(F64,[1]对照表!$G$27:$G$48,[1]对照表!$H$27:$H$48)),IF(B64="高二",IF($E64="男",LOOKUP(F64,[1]对照表!$F$3:$F$24,[1]对照表!$H$3:$H$24),LOOKUP(F64,[1]对照表!$F$27:$F$48,[1]对照表!$H$27:$H$48)),IF(B64="高一",IF($E64="男",LOOKUP(F64,[1]对照表!$E$3:$E$24,[1]对照表!$H$3:$H$24),LOOKUP(F64,[1]对照表!$E$27:$E$48,[1]对照表!$H$27:$H$48)))))</f>
        <v>85</v>
      </c>
      <c r="H64" s="21">
        <v>17</v>
      </c>
      <c r="I64" s="32">
        <f>IF(B64="高三",IF($E64="男",LOOKUP(H64,[1]对照表!$K$3:$K$24,[1]对照表!$L$3:$L$24),LOOKUP(H64,[1]对照表!$K$27:$K$48,[1]对照表!$L$27:$L$48)),IF(B64="高二",IF($E64="男",LOOKUP(H64,[1]对照表!$J$3:$J$24,[1]对照表!$L$3:$L$24),LOOKUP(H64,[1]对照表!$J$27:$J$48,[1]对照表!$L$27:$L$48)),IF(B64="高一",IF($E64="男",LOOKUP(H64,[1]对照表!$I$3:$I$24,[1]对照表!$L$3:$L$24),LOOKUP(H64,[1]对照表!$I$27:$I$48,[1]对照表!$L$27:$L$48)))))</f>
        <v>78</v>
      </c>
      <c r="J64" s="21">
        <v>193</v>
      </c>
      <c r="K64" s="32">
        <f>IF(B64="高三",IF($E64="男",LOOKUP(J64,[1]对照表!$O$3:$O$24,[1]对照表!$P$3:$P$24),LOOKUP(J64,[1]对照表!$O$27:$O$48,[1]对照表!$P$27:$P$48)),IF(B64="高二",IF($E64="男",LOOKUP(J64,[1]对照表!$N$3:$N$24,[1]对照表!$P$3:$P$24),LOOKUP(J64,[1]对照表!$N$27:$N$48,[1]对照表!$P$27:$P$48)),IF(B64="高一",IF($E64="男",LOOKUP(J64,[1]对照表!$M$3:$M$24,[1]对照表!$P$3:$P$24),LOOKUP(J64,[1]对照表!$M$27:$M$48,[1]对照表!$P$27:$P$48)))))</f>
        <v>90</v>
      </c>
      <c r="L64" s="21">
        <v>50</v>
      </c>
      <c r="M64" s="32">
        <f>IF(B64="高三",IF($E64="男",LOOKUP(L64,[1]对照表!$S$3:$S$24,[1]对照表!$T$3:$T$24),LOOKUP(L64,[1]对照表!$S$27:$S$48,[1]对照表!$T$27:$T$48)),IF(B64="高二",IF($E64="男",LOOKUP(L64,[1]对照表!$R$3:$R$24,[1]对照表!$T$3:$T$24),LOOKUP(L64,[1]对照表!$R$27:$R$48,[1]对照表!$T$27:$T$48)),IF(B64="高一",IF($E64="男",LOOKUP(L64,[1]对照表!$Q$3:$Q$24,[1]对照表!$T$3:$T$24),LOOKUP(L64,[1]对照表!$Q$27:$Q$48,[1]对照表!$T$27:$T$48)))))</f>
        <v>90</v>
      </c>
      <c r="N64" s="27">
        <f>IF(B64="高三",MAX(IF(E64="男",L64-18,L64-55),0),IF(B64="高二",MAX(IF(E64="男",L64-17,L64-54),0),IF(B64="高一",MAX(IF(E64="男",L64-16,L64-53),0))))</f>
        <v>0</v>
      </c>
      <c r="O64" s="23">
        <f>IF(E64="男",LOOKUP($N64,[1]对照表!$Z$3:$Z$13,[1]对照表!$AA$3:$AA$13),LOOKUP($N64,[1]对照表!$Z$15:$Z$25,[1]对照表!$AA$15:$AA$25))</f>
        <v>0</v>
      </c>
      <c r="P64" s="24">
        <f>M64+O64</f>
        <v>90</v>
      </c>
      <c r="Q64" s="25">
        <v>3.3</v>
      </c>
      <c r="R64" s="32">
        <f>IF(B64="高三",IF($E64="男",LOOKUP(Q64,[1]对照表!$W$3:$W$24,[1]对照表!$X$3:$X$24),LOOKUP(Q64,[1]对照表!$W$27:$W$48,[1]对照表!$X$27:$X$48)),IF(B64="高二",IF($E64="男",LOOKUP(Q64,[1]对照表!$V$3:$V$24,[1]对照表!$X$3:$X$24),LOOKUP(Q64,[1]对照表!$V$27:$V$48,[1]对照表!$X$27:$X$48)),IF(B64="高一",IF($E64="男",LOOKUP(Q64,[1]对照表!$U$3:$U$24,[1]对照表!$X$3:$X$24),LOOKUP(Q64,[1]对照表!$U$27:$U$48,[1]对照表!$X$27:$X$48)))))</f>
        <v>95</v>
      </c>
      <c r="S64" s="27">
        <f>ROUND(IF(IF($B64="高三",MIN(IF($E64="男",$Q64-3.2,$Q64-3.2),0),IF($B64="高二",MIN(IF($E64="男",$Q64-3.25,$Q64-3.22),0),IF($B64="高一",MIN(IF($E64="男",$Q64-3.3,$Q64-3.24),0))))&lt;-0.6,IF($B64="高三",MIN(IF($E64="男",$Q64-3.2,$Q64-3.2),0),IF($B64="高二",MIN(IF($E64="男",$Q64-3.25,$Q64-3.22),0),IF($B64="高一",MIN(IF($E64="男",$Q64-3.3,$Q64-3.24),0))))+0.4,IF($B64="高三",MIN(IF($E64="男",$Q64-3.2,$Q64-3.2),0),IF($B64="高二",MIN(IF($E64="男",$Q64-3.25,$Q64-3.22),0),IF($B64="高一",MIN(IF($E64="男",$Q64-3.3,$Q64-3.24),0))))),2)</f>
        <v>0</v>
      </c>
      <c r="T64" s="23">
        <f>IF(E64="男",LOOKUP($S64,[1]对照表!$AB$3:$AB$13,[1]对照表!$AC$3:$AC$13),LOOKUP($S64,[1]对照表!$AB$15:$AB$25,[1]对照表!$AC$15:$AC$25))</f>
        <v>0</v>
      </c>
      <c r="U64" s="26">
        <f>R64+T64</f>
        <v>95</v>
      </c>
      <c r="V64" s="26">
        <f>SUM(I64,K64,M64)/3*0.3+SUM(G64,R64)/2*0.4</f>
        <v>61.8</v>
      </c>
      <c r="W64" s="27">
        <f>O64+T64</f>
        <v>0</v>
      </c>
      <c r="X64" s="28">
        <f>V64/0.7+W64</f>
        <v>88.285714285714292</v>
      </c>
      <c r="Y64" s="28">
        <v>88.285714285714292</v>
      </c>
      <c r="Z64" s="21"/>
    </row>
    <row r="65" spans="1:26" x14ac:dyDescent="0.25">
      <c r="A65" s="16">
        <v>37</v>
      </c>
      <c r="B65" s="17" t="s">
        <v>21</v>
      </c>
      <c r="C65" s="16">
        <v>102</v>
      </c>
      <c r="D65" s="18" t="s">
        <v>269</v>
      </c>
      <c r="E65" s="17" t="s">
        <v>23</v>
      </c>
      <c r="F65" s="19">
        <v>6.7</v>
      </c>
      <c r="G65" s="32">
        <f>IF(B65="高三",IF($E65="男",LOOKUP(F65,[1]对照表!$G$3:$G$24,[1]对照表!$H$3:$H$24),LOOKUP(F65,[1]对照表!$G$27:$G$48,[1]对照表!$H$27:$H$48)),IF(B65="高二",IF($E65="男",LOOKUP(F65,[1]对照表!$F$3:$F$24,[1]对照表!$H$3:$H$24),LOOKUP(F65,[1]对照表!$F$27:$F$48,[1]对照表!$H$27:$H$48)),IF(B65="高一",IF($E65="男",LOOKUP(F65,[1]对照表!$E$3:$E$24,[1]对照表!$H$3:$H$24),LOOKUP(F65,[1]对照表!$E$27:$E$48,[1]对照表!$H$27:$H$48)))))</f>
        <v>100</v>
      </c>
      <c r="H65" s="21">
        <v>13.8</v>
      </c>
      <c r="I65" s="32">
        <f>IF(B65="高三",IF($E65="男",LOOKUP(H65,[1]对照表!$K$3:$K$24,[1]对照表!$L$3:$L$24),LOOKUP(H65,[1]对照表!$K$27:$K$48,[1]对照表!$L$27:$L$48)),IF(B65="高二",IF($E65="男",LOOKUP(H65,[1]对照表!$J$3:$J$24,[1]对照表!$L$3:$L$24),LOOKUP(H65,[1]对照表!$J$27:$J$48,[1]对照表!$L$27:$L$48)),IF(B65="高一",IF($E65="男",LOOKUP(H65,[1]对照表!$I$3:$I$24,[1]对照表!$L$3:$L$24),LOOKUP(H65,[1]对照表!$I$27:$I$48,[1]对照表!$L$27:$L$48)))))</f>
        <v>78</v>
      </c>
      <c r="J65" s="21">
        <v>239</v>
      </c>
      <c r="K65" s="32">
        <f>IF(B65="高三",IF($E65="男",LOOKUP(J65,[1]对照表!$O$3:$O$24,[1]对照表!$P$3:$P$24),LOOKUP(J65,[1]对照表!$O$27:$O$48,[1]对照表!$P$27:$P$48)),IF(B65="高二",IF($E65="男",LOOKUP(J65,[1]对照表!$N$3:$N$24,[1]对照表!$P$3:$P$24),LOOKUP(J65,[1]对照表!$N$27:$N$48,[1]对照表!$P$27:$P$48)),IF(B65="高一",IF($E65="男",LOOKUP(J65,[1]对照表!$M$3:$M$24,[1]对照表!$P$3:$P$24),LOOKUP(J65,[1]对照表!$M$27:$M$48,[1]对照表!$P$27:$P$48)))))</f>
        <v>80</v>
      </c>
      <c r="L65" s="21">
        <v>12</v>
      </c>
      <c r="M65" s="32">
        <f>IF(B65="高三",IF($E65="男",LOOKUP(L65,[1]对照表!$S$3:$S$24,[1]对照表!$T$3:$T$24),LOOKUP(L65,[1]对照表!$S$27:$S$48,[1]对照表!$T$27:$T$48)),IF(B65="高二",IF($E65="男",LOOKUP(L65,[1]对照表!$R$3:$R$24,[1]对照表!$T$3:$T$24),LOOKUP(L65,[1]对照表!$R$27:$R$48,[1]对照表!$T$27:$T$48)),IF(B65="高一",IF($E65="男",LOOKUP(L65,[1]对照表!$Q$3:$Q$24,[1]对照表!$T$3:$T$24),LOOKUP(L65,[1]对照表!$Q$27:$Q$48,[1]对照表!$T$27:$T$48)))))</f>
        <v>80</v>
      </c>
      <c r="N65" s="33">
        <f>IF(B65="高三",MAX(IF(E65="男",L65-18,L65-55),0),IF(B65="高二",MAX(IF(E65="男",L65-17,L65-54),0),IF(B65="高一",MAX(IF(E65="男",L65-16,L65-53),0))))</f>
        <v>0</v>
      </c>
      <c r="O65" s="23">
        <f>IF(E65="男",LOOKUP($N65,[1]对照表!$Z$3:$Z$13,[1]对照表!$AA$3:$AA$13),LOOKUP($N65,[1]对照表!$Z$15:$Z$25,[1]对照表!$AA$15:$AA$25))</f>
        <v>0</v>
      </c>
      <c r="P65" s="24">
        <f>M65+O65</f>
        <v>80</v>
      </c>
      <c r="Q65" s="25">
        <v>3.46</v>
      </c>
      <c r="R65" s="32">
        <f>IF(B65="高三",IF($E65="男",LOOKUP(Q65,[1]对照表!$W$3:$W$24,[1]对照表!$X$3:$X$24),LOOKUP(Q65,[1]对照表!$W$27:$W$48,[1]对照表!$X$27:$X$48)),IF(B65="高二",IF($E65="男",LOOKUP(Q65,[1]对照表!$V$3:$V$24,[1]对照表!$X$3:$X$24),LOOKUP(Q65,[1]对照表!$V$27:$V$48,[1]对照表!$X$27:$X$48)),IF(B65="高一",IF($E65="男",LOOKUP(Q65,[1]对照表!$U$3:$U$24,[1]对照表!$X$3:$X$24),LOOKUP(Q65,[1]对照表!$U$27:$U$48,[1]对照表!$X$27:$X$48)))))</f>
        <v>85</v>
      </c>
      <c r="S65" s="33">
        <f>ROUND(IF(IF($B65="高三",MIN(IF($E65="男",$Q65-3.2,$Q65-3.2),0),IF($B65="高二",MIN(IF($E65="男",$Q65-3.25,$Q65-3.22),0),IF($B65="高一",MIN(IF($E65="男",$Q65-3.3,$Q65-3.24),0))))&lt;-0.6,IF($B65="高三",MIN(IF($E65="男",$Q65-3.2,$Q65-3.2),0),IF($B65="高二",MIN(IF($E65="男",$Q65-3.25,$Q65-3.22),0),IF($B65="高一",MIN(IF($E65="男",$Q65-3.3,$Q65-3.24),0))))+0.4,IF($B65="高三",MIN(IF($E65="男",$Q65-3.2,$Q65-3.2),0),IF($B65="高二",MIN(IF($E65="男",$Q65-3.25,$Q65-3.22),0),IF($B65="高一",MIN(IF($E65="男",$Q65-3.3,$Q65-3.24),0))))),2)</f>
        <v>0</v>
      </c>
      <c r="T65" s="23">
        <f>IF(E65="男",LOOKUP($S65,[1]对照表!$AB$3:$AB$13,[1]对照表!$AC$3:$AC$13),LOOKUP($S65,[1]对照表!$AB$15:$AB$25,[1]对照表!$AC$15:$AC$25))</f>
        <v>0</v>
      </c>
      <c r="U65" s="26">
        <f>R65+T65</f>
        <v>85</v>
      </c>
      <c r="V65" s="26">
        <f>SUM(I65,K65,M65)/3*0.3+SUM(G65,R65)/2*0.4</f>
        <v>60.8</v>
      </c>
      <c r="W65" s="27">
        <f>O65+T65</f>
        <v>0</v>
      </c>
      <c r="X65" s="28">
        <f>V65/0.7+W65</f>
        <v>86.857142857142861</v>
      </c>
      <c r="Y65" s="28">
        <v>86.857142857142861</v>
      </c>
      <c r="Z65" s="21"/>
    </row>
    <row r="66" spans="1:26" x14ac:dyDescent="0.25">
      <c r="A66" s="16">
        <v>9</v>
      </c>
      <c r="B66" s="17" t="s">
        <v>21</v>
      </c>
      <c r="C66" s="16">
        <v>102</v>
      </c>
      <c r="D66" s="18" t="s">
        <v>275</v>
      </c>
      <c r="E66" s="17" t="s">
        <v>23</v>
      </c>
      <c r="F66" s="19">
        <v>7.4</v>
      </c>
      <c r="G66" s="32">
        <f>IF(B66="高三",IF($E66="男",LOOKUP(F66,[1]对照表!$G$3:$G$24,[1]对照表!$H$3:$H$24),LOOKUP(F66,[1]对照表!$G$27:$G$48,[1]对照表!$H$27:$H$48)),IF(B66="高二",IF($E66="男",LOOKUP(F66,[1]对照表!$F$3:$F$24,[1]对照表!$H$3:$H$24),LOOKUP(F66,[1]对照表!$F$27:$F$48,[1]对照表!$H$27:$H$48)),IF(B66="高一",IF($E66="男",LOOKUP(F66,[1]对照表!$E$3:$E$24,[1]对照表!$H$3:$H$24),LOOKUP(F66,[1]对照表!$E$27:$E$48,[1]对照表!$H$27:$H$48)))))</f>
        <v>85</v>
      </c>
      <c r="H66" s="21">
        <v>14</v>
      </c>
      <c r="I66" s="32">
        <f>IF(B66="高三",IF($E66="男",LOOKUP(H66,[1]对照表!$K$3:$K$24,[1]对照表!$L$3:$L$24),LOOKUP(H66,[1]对照表!$K$27:$K$48,[1]对照表!$L$27:$L$48)),IF(B66="高二",IF($E66="男",LOOKUP(H66,[1]对照表!$J$3:$J$24,[1]对照表!$L$3:$L$24),LOOKUP(H66,[1]对照表!$J$27:$J$48,[1]对照表!$L$27:$L$48)),IF(B66="高一",IF($E66="男",LOOKUP(H66,[1]对照表!$I$3:$I$24,[1]对照表!$L$3:$L$24),LOOKUP(H66,[1]对照表!$I$27:$I$48,[1]对照表!$L$27:$L$48)))))</f>
        <v>78</v>
      </c>
      <c r="J66" s="21">
        <v>238</v>
      </c>
      <c r="K66" s="32">
        <f>IF(B66="高三",IF($E66="男",LOOKUP(J66,[1]对照表!$O$3:$O$24,[1]对照表!$P$3:$P$24),LOOKUP(J66,[1]对照表!$O$27:$O$48,[1]对照表!$P$27:$P$48)),IF(B66="高二",IF($E66="男",LOOKUP(J66,[1]对照表!$N$3:$N$24,[1]对照表!$P$3:$P$24),LOOKUP(J66,[1]对照表!$N$27:$N$48,[1]对照表!$P$27:$P$48)),IF(B66="高一",IF($E66="男",LOOKUP(J66,[1]对照表!$M$3:$M$24,[1]对照表!$P$3:$P$24),LOOKUP(J66,[1]对照表!$M$27:$M$48,[1]对照表!$P$27:$P$48)))))</f>
        <v>80</v>
      </c>
      <c r="L66" s="21">
        <v>19</v>
      </c>
      <c r="M66" s="32">
        <f>IF(B66="高三",IF($E66="男",LOOKUP(L66,[1]对照表!$S$3:$S$24,[1]对照表!$T$3:$T$24),LOOKUP(L66,[1]对照表!$S$27:$S$48,[1]对照表!$T$27:$T$48)),IF(B66="高二",IF($E66="男",LOOKUP(L66,[1]对照表!$R$3:$R$24,[1]对照表!$T$3:$T$24),LOOKUP(L66,[1]对照表!$R$27:$R$48,[1]对照表!$T$27:$T$48)),IF(B66="高一",IF($E66="男",LOOKUP(L66,[1]对照表!$Q$3:$Q$24,[1]对照表!$T$3:$T$24),LOOKUP(L66,[1]对照表!$Q$27:$Q$48,[1]对照表!$T$27:$T$48)))))</f>
        <v>100</v>
      </c>
      <c r="N66" s="33">
        <f>IF(B66="高三",MAX(IF(E66="男",L66-18,L66-55),0),IF(B66="高二",MAX(IF(E66="男",L66-17,L66-54),0),IF(B66="高一",MAX(IF(E66="男",L66-16,L66-53),0))))</f>
        <v>3</v>
      </c>
      <c r="O66" s="23">
        <f>IF(E66="男",LOOKUP($N66,[1]对照表!$Z$3:$Z$13,[1]对照表!$AA$3:$AA$13),LOOKUP($N66,[1]对照表!$Z$15:$Z$25,[1]对照表!$AA$15:$AA$25))</f>
        <v>3</v>
      </c>
      <c r="P66" s="24">
        <f>M66+O66</f>
        <v>103</v>
      </c>
      <c r="Q66" s="25">
        <v>3.58</v>
      </c>
      <c r="R66" s="32">
        <f>IF(B66="高三",IF($E66="男",LOOKUP(Q66,[1]对照表!$W$3:$W$24,[1]对照表!$X$3:$X$24),LOOKUP(Q66,[1]对照表!$W$27:$W$48,[1]对照表!$X$27:$X$48)),IF(B66="高二",IF($E66="男",LOOKUP(Q66,[1]对照表!$V$3:$V$24,[1]对照表!$X$3:$X$24),LOOKUP(Q66,[1]对照表!$V$27:$V$48,[1]对照表!$X$27:$X$48)),IF(B66="高一",IF($E66="男",LOOKUP(Q66,[1]对照表!$U$3:$U$24,[1]对照表!$X$3:$X$24),LOOKUP(Q66,[1]对照表!$U$27:$U$48,[1]对照表!$X$27:$X$48)))))</f>
        <v>78</v>
      </c>
      <c r="S66" s="33">
        <f>ROUND(IF(IF($B66="高三",MIN(IF($E66="男",$Q66-3.2,$Q66-3.2),0),IF($B66="高二",MIN(IF($E66="男",$Q66-3.25,$Q66-3.22),0),IF($B66="高一",MIN(IF($E66="男",$Q66-3.3,$Q66-3.24),0))))&lt;-0.6,IF($B66="高三",MIN(IF($E66="男",$Q66-3.2,$Q66-3.2),0),IF($B66="高二",MIN(IF($E66="男",$Q66-3.25,$Q66-3.22),0),IF($B66="高一",MIN(IF($E66="男",$Q66-3.3,$Q66-3.24),0))))+0.4,IF($B66="高三",MIN(IF($E66="男",$Q66-3.2,$Q66-3.2),0),IF($B66="高二",MIN(IF($E66="男",$Q66-3.25,$Q66-3.22),0),IF($B66="高一",MIN(IF($E66="男",$Q66-3.3,$Q66-3.24),0))))),2)</f>
        <v>0</v>
      </c>
      <c r="T66" s="23">
        <f>IF(E66="男",LOOKUP($S66,[1]对照表!$AB$3:$AB$13,[1]对照表!$AC$3:$AC$13),LOOKUP($S66,[1]对照表!$AB$15:$AB$25,[1]对照表!$AC$15:$AC$25))</f>
        <v>0</v>
      </c>
      <c r="U66" s="26">
        <f>R66+T66</f>
        <v>78</v>
      </c>
      <c r="V66" s="26">
        <f>SUM(I66,K66,M66)/3*0.3+SUM(G66,R66)/2*0.4</f>
        <v>58.400000000000006</v>
      </c>
      <c r="W66" s="27">
        <f>O66+T66</f>
        <v>3</v>
      </c>
      <c r="X66" s="28">
        <f>V66/0.7+W66</f>
        <v>86.428571428571445</v>
      </c>
      <c r="Y66" s="28">
        <v>86.428571428571445</v>
      </c>
      <c r="Z66" s="21"/>
    </row>
    <row r="67" spans="1:26" x14ac:dyDescent="0.25">
      <c r="A67" s="16">
        <v>17</v>
      </c>
      <c r="B67" s="17" t="s">
        <v>21</v>
      </c>
      <c r="C67" s="16">
        <v>102</v>
      </c>
      <c r="D67" s="18" t="s">
        <v>297</v>
      </c>
      <c r="E67" s="16" t="s">
        <v>23</v>
      </c>
      <c r="F67" s="19">
        <v>7.2</v>
      </c>
      <c r="G67" s="32">
        <f>IF(B67="高三",IF($E67="男",LOOKUP(F67,[1]对照表!$G$3:$G$24,[1]对照表!$H$3:$H$24),LOOKUP(F67,[1]对照表!$G$27:$G$48,[1]对照表!$H$27:$H$48)),IF(B67="高二",IF($E67="男",LOOKUP(F67,[1]对照表!$F$3:$F$24,[1]对照表!$H$3:$H$24),LOOKUP(F67,[1]对照表!$F$27:$F$48,[1]对照表!$H$27:$H$48)),IF(B67="高一",IF($E67="男",LOOKUP(F67,[1]对照表!$E$3:$E$24,[1]对照表!$H$3:$H$24),LOOKUP(F67,[1]对照表!$E$27:$E$48,[1]对照表!$H$27:$H$48)))))</f>
        <v>95</v>
      </c>
      <c r="H67" s="21">
        <v>9</v>
      </c>
      <c r="I67" s="32">
        <f>IF(B67="高三",IF($E67="男",LOOKUP(H67,[1]对照表!$K$3:$K$24,[1]对照表!$L$3:$L$24),LOOKUP(H67,[1]对照表!$K$27:$K$48,[1]对照表!$L$27:$L$48)),IF(B67="高二",IF($E67="男",LOOKUP(H67,[1]对照表!$J$3:$J$24,[1]对照表!$L$3:$L$24),LOOKUP(H67,[1]对照表!$J$27:$J$48,[1]对照表!$L$27:$L$48)),IF(B67="高一",IF($E67="男",LOOKUP(H67,[1]对照表!$I$3:$I$24,[1]对照表!$L$3:$L$24),LOOKUP(H67,[1]对照表!$I$27:$I$48,[1]对照表!$L$27:$L$48)))))</f>
        <v>70</v>
      </c>
      <c r="J67" s="21">
        <v>230</v>
      </c>
      <c r="K67" s="32">
        <f>IF(B67="高三",IF($E67="男",LOOKUP(J67,[1]对照表!$O$3:$O$24,[1]对照表!$P$3:$P$24),LOOKUP(J67,[1]对照表!$O$27:$O$48,[1]对照表!$P$27:$P$48)),IF(B67="高二",IF($E67="男",LOOKUP(J67,[1]对照表!$N$3:$N$24,[1]对照表!$P$3:$P$24),LOOKUP(J67,[1]对照表!$N$27:$N$48,[1]对照表!$P$27:$P$48)),IF(B67="高一",IF($E67="男",LOOKUP(J67,[1]对照表!$M$3:$M$24,[1]对照表!$P$3:$P$24),LOOKUP(J67,[1]对照表!$M$27:$M$48,[1]对照表!$P$27:$P$48)))))</f>
        <v>76</v>
      </c>
      <c r="L67" s="21">
        <v>16</v>
      </c>
      <c r="M67" s="32">
        <f>IF(B67="高三",IF($E67="男",LOOKUP(L67,[1]对照表!$S$3:$S$24,[1]对照表!$T$3:$T$24),LOOKUP(L67,[1]对照表!$S$27:$S$48,[1]对照表!$T$27:$T$48)),IF(B67="高二",IF($E67="男",LOOKUP(L67,[1]对照表!$R$3:$R$24,[1]对照表!$T$3:$T$24),LOOKUP(L67,[1]对照表!$R$27:$R$48,[1]对照表!$T$27:$T$48)),IF(B67="高一",IF($E67="男",LOOKUP(L67,[1]对照表!$Q$3:$Q$24,[1]对照表!$T$3:$T$24),LOOKUP(L67,[1]对照表!$Q$27:$Q$48,[1]对照表!$T$27:$T$48)))))</f>
        <v>100</v>
      </c>
      <c r="N67" s="33">
        <f>IF(B67="高三",MAX(IF(E67="男",L67-18,L67-55),0),IF(B67="高二",MAX(IF(E67="男",L67-17,L67-54),0),IF(B67="高一",MAX(IF(E67="男",L67-16,L67-53),0))))</f>
        <v>0</v>
      </c>
      <c r="O67" s="23">
        <f>IF(E67="男",LOOKUP($N67,[1]对照表!$Z$3:$Z$13,[1]对照表!$AA$3:$AA$13),LOOKUP($N67,[1]对照表!$Z$15:$Z$25,[1]对照表!$AA$15:$AA$25))</f>
        <v>0</v>
      </c>
      <c r="P67" s="24">
        <f>M67+O67</f>
        <v>100</v>
      </c>
      <c r="Q67" s="25">
        <v>3.58</v>
      </c>
      <c r="R67" s="32">
        <f>IF(B67="高三",IF($E67="男",LOOKUP(Q67,[1]对照表!$W$3:$W$24,[1]对照表!$X$3:$X$24),LOOKUP(Q67,[1]对照表!$W$27:$W$48,[1]对照表!$X$27:$X$48)),IF(B67="高二",IF($E67="男",LOOKUP(Q67,[1]对照表!$V$3:$V$24,[1]对照表!$X$3:$X$24),LOOKUP(Q67,[1]对照表!$V$27:$V$48,[1]对照表!$X$27:$X$48)),IF(B67="高一",IF($E67="男",LOOKUP(Q67,[1]对照表!$U$3:$U$24,[1]对照表!$X$3:$X$24),LOOKUP(Q67,[1]对照表!$U$27:$U$48,[1]对照表!$X$27:$X$48)))))</f>
        <v>78</v>
      </c>
      <c r="S67" s="33">
        <f>ROUND(IF(IF($B67="高三",MIN(IF($E67="男",$Q67-3.2,$Q67-3.2),0),IF($B67="高二",MIN(IF($E67="男",$Q67-3.25,$Q67-3.22),0),IF($B67="高一",MIN(IF($E67="男",$Q67-3.3,$Q67-3.24),0))))&lt;-0.6,IF($B67="高三",MIN(IF($E67="男",$Q67-3.2,$Q67-3.2),0),IF($B67="高二",MIN(IF($E67="男",$Q67-3.25,$Q67-3.22),0),IF($B67="高一",MIN(IF($E67="男",$Q67-3.3,$Q67-3.24),0))))+0.4,IF($B67="高三",MIN(IF($E67="男",$Q67-3.2,$Q67-3.2),0),IF($B67="高二",MIN(IF($E67="男",$Q67-3.25,$Q67-3.22),0),IF($B67="高一",MIN(IF($E67="男",$Q67-3.3,$Q67-3.24),0))))),2)</f>
        <v>0</v>
      </c>
      <c r="T67" s="23">
        <f>IF(E67="男",LOOKUP($S67,[1]对照表!$AB$3:$AB$13,[1]对照表!$AC$3:$AC$13),LOOKUP($S67,[1]对照表!$AB$15:$AB$25,[1]对照表!$AC$15:$AC$25))</f>
        <v>0</v>
      </c>
      <c r="U67" s="26">
        <f>R67+T67</f>
        <v>78</v>
      </c>
      <c r="V67" s="26">
        <f>SUM(I67,K67,M67)/3*0.3+SUM(G67,R67)/2*0.4</f>
        <v>59.2</v>
      </c>
      <c r="W67" s="27">
        <f>O67+T67</f>
        <v>0</v>
      </c>
      <c r="X67" s="28">
        <f>V67/0.7+W67</f>
        <v>84.571428571428584</v>
      </c>
      <c r="Y67" s="28">
        <v>84.571428571428584</v>
      </c>
      <c r="Z67" s="25"/>
    </row>
    <row r="68" spans="1:26" x14ac:dyDescent="0.25">
      <c r="A68" s="16">
        <v>10</v>
      </c>
      <c r="B68" s="17" t="s">
        <v>21</v>
      </c>
      <c r="C68" s="16">
        <v>102</v>
      </c>
      <c r="D68" s="18" t="s">
        <v>299</v>
      </c>
      <c r="E68" s="17" t="s">
        <v>23</v>
      </c>
      <c r="F68" s="19">
        <v>7.6</v>
      </c>
      <c r="G68" s="32">
        <f>IF(B68="高三",IF($E68="男",LOOKUP(F68,[1]对照表!$G$3:$G$24,[1]对照表!$H$3:$H$24),LOOKUP(F68,[1]对照表!$G$27:$G$48,[1]对照表!$H$27:$H$48)),IF(B68="高二",IF($E68="男",LOOKUP(F68,[1]对照表!$F$3:$F$24,[1]对照表!$H$3:$H$24),LOOKUP(F68,[1]对照表!$F$27:$F$48,[1]对照表!$H$27:$H$48)),IF(B68="高一",IF($E68="男",LOOKUP(F68,[1]对照表!$E$3:$E$24,[1]对照表!$H$3:$H$24),LOOKUP(F68,[1]对照表!$E$27:$E$48,[1]对照表!$H$27:$H$48)))))</f>
        <v>78</v>
      </c>
      <c r="H68" s="21">
        <v>11</v>
      </c>
      <c r="I68" s="32">
        <f>IF(B68="高三",IF($E68="男",LOOKUP(H68,[1]对照表!$K$3:$K$24,[1]对照表!$L$3:$L$24),LOOKUP(H68,[1]对照表!$K$27:$K$48,[1]对照表!$L$27:$L$48)),IF(B68="高二",IF($E68="男",LOOKUP(H68,[1]对照表!$J$3:$J$24,[1]对照表!$L$3:$L$24),LOOKUP(H68,[1]对照表!$J$27:$J$48,[1]对照表!$L$27:$L$48)),IF(B68="高一",IF($E68="男",LOOKUP(H68,[1]对照表!$I$3:$I$24,[1]对照表!$L$3:$L$24),LOOKUP(H68,[1]对照表!$I$27:$I$48,[1]对照表!$L$27:$L$48)))))</f>
        <v>74</v>
      </c>
      <c r="J68" s="21">
        <v>237</v>
      </c>
      <c r="K68" s="32">
        <f>IF(B68="高三",IF($E68="男",LOOKUP(J68,[1]对照表!$O$3:$O$24,[1]对照表!$P$3:$P$24),LOOKUP(J68,[1]对照表!$O$27:$O$48,[1]对照表!$P$27:$P$48)),IF(B68="高二",IF($E68="男",LOOKUP(J68,[1]对照表!$N$3:$N$24,[1]对照表!$P$3:$P$24),LOOKUP(J68,[1]对照表!$N$27:$N$48,[1]对照表!$P$27:$P$48)),IF(B68="高一",IF($E68="男",LOOKUP(J68,[1]对照表!$M$3:$M$24,[1]对照表!$P$3:$P$24),LOOKUP(J68,[1]对照表!$M$27:$M$48,[1]对照表!$P$27:$P$48)))))</f>
        <v>80</v>
      </c>
      <c r="L68" s="21">
        <v>19</v>
      </c>
      <c r="M68" s="32">
        <f>IF(B68="高三",IF($E68="男",LOOKUP(L68,[1]对照表!$S$3:$S$24,[1]对照表!$T$3:$T$24),LOOKUP(L68,[1]对照表!$S$27:$S$48,[1]对照表!$T$27:$T$48)),IF(B68="高二",IF($E68="男",LOOKUP(L68,[1]对照表!$R$3:$R$24,[1]对照表!$T$3:$T$24),LOOKUP(L68,[1]对照表!$R$27:$R$48,[1]对照表!$T$27:$T$48)),IF(B68="高一",IF($E68="男",LOOKUP(L68,[1]对照表!$Q$3:$Q$24,[1]对照表!$T$3:$T$24),LOOKUP(L68,[1]对照表!$Q$27:$Q$48,[1]对照表!$T$27:$T$48)))))</f>
        <v>100</v>
      </c>
      <c r="N68" s="33">
        <f>IF(B68="高三",MAX(IF(E68="男",L68-18,L68-55),0),IF(B68="高二",MAX(IF(E68="男",L68-17,L68-54),0),IF(B68="高一",MAX(IF(E68="男",L68-16,L68-53),0))))</f>
        <v>3</v>
      </c>
      <c r="O68" s="23">
        <f>IF(E68="男",LOOKUP($N68,[1]对照表!$Z$3:$Z$13,[1]对照表!$AA$3:$AA$13),LOOKUP($N68,[1]对照表!$Z$15:$Z$25,[1]对照表!$AA$15:$AA$25))</f>
        <v>3</v>
      </c>
      <c r="P68" s="24">
        <f>M68+O68</f>
        <v>103</v>
      </c>
      <c r="Q68" s="25">
        <v>3.5</v>
      </c>
      <c r="R68" s="32">
        <f>IF(B68="高三",IF($E68="男",LOOKUP(Q68,[1]对照表!$W$3:$W$24,[1]对照表!$X$3:$X$24),LOOKUP(Q68,[1]对照表!$W$27:$W$48,[1]对照表!$X$27:$X$48)),IF(B68="高二",IF($E68="男",LOOKUP(Q68,[1]对照表!$V$3:$V$24,[1]对照表!$X$3:$X$24),LOOKUP(Q68,[1]对照表!$V$27:$V$48,[1]对照表!$X$27:$X$48)),IF(B68="高一",IF($E68="男",LOOKUP(Q68,[1]对照表!$U$3:$U$24,[1]对照表!$X$3:$X$24),LOOKUP(Q68,[1]对照表!$U$27:$U$48,[1]对照表!$X$27:$X$48)))))</f>
        <v>80</v>
      </c>
      <c r="S68" s="33">
        <f>ROUND(IF(IF($B68="高三",MIN(IF($E68="男",$Q68-3.2,$Q68-3.2),0),IF($B68="高二",MIN(IF($E68="男",$Q68-3.25,$Q68-3.22),0),IF($B68="高一",MIN(IF($E68="男",$Q68-3.3,$Q68-3.24),0))))&lt;-0.6,IF($B68="高三",MIN(IF($E68="男",$Q68-3.2,$Q68-3.2),0),IF($B68="高二",MIN(IF($E68="男",$Q68-3.25,$Q68-3.22),0),IF($B68="高一",MIN(IF($E68="男",$Q68-3.3,$Q68-3.24),0))))+0.4,IF($B68="高三",MIN(IF($E68="男",$Q68-3.2,$Q68-3.2),0),IF($B68="高二",MIN(IF($E68="男",$Q68-3.25,$Q68-3.22),0),IF($B68="高一",MIN(IF($E68="男",$Q68-3.3,$Q68-3.24),0))))),2)</f>
        <v>0</v>
      </c>
      <c r="T68" s="23">
        <f>IF(E68="男",LOOKUP($S68,[1]对照表!$AB$3:$AB$13,[1]对照表!$AC$3:$AC$13),LOOKUP($S68,[1]对照表!$AB$15:$AB$25,[1]对照表!$AC$15:$AC$25))</f>
        <v>0</v>
      </c>
      <c r="U68" s="26">
        <f>R68+T68</f>
        <v>80</v>
      </c>
      <c r="V68" s="26">
        <f>SUM(I68,K68,M68)/3*0.3+SUM(G68,R68)/2*0.4</f>
        <v>57</v>
      </c>
      <c r="W68" s="27">
        <f>O68+T68</f>
        <v>3</v>
      </c>
      <c r="X68" s="28">
        <f>V68/0.7+W68</f>
        <v>84.428571428571431</v>
      </c>
      <c r="Y68" s="28">
        <v>84.428571428571431</v>
      </c>
      <c r="Z68" s="25"/>
    </row>
    <row r="69" spans="1:26" x14ac:dyDescent="0.25">
      <c r="A69" s="16">
        <v>16</v>
      </c>
      <c r="B69" s="17" t="s">
        <v>21</v>
      </c>
      <c r="C69" s="16">
        <v>102</v>
      </c>
      <c r="D69" s="18" t="s">
        <v>300</v>
      </c>
      <c r="E69" s="16" t="s">
        <v>23</v>
      </c>
      <c r="F69" s="19">
        <v>6.6</v>
      </c>
      <c r="G69" s="32">
        <f>IF(B69="高三",IF($E69="男",LOOKUP(F69,[1]对照表!$G$3:$G$24,[1]对照表!$H$3:$H$24),LOOKUP(F69,[1]对照表!$G$27:$G$48,[1]对照表!$H$27:$H$48)),IF(B69="高二",IF($E69="男",LOOKUP(F69,[1]对照表!$F$3:$F$24,[1]对照表!$H$3:$H$24),LOOKUP(F69,[1]对照表!$F$27:$F$48,[1]对照表!$H$27:$H$48)),IF(B69="高一",IF($E69="男",LOOKUP(F69,[1]对照表!$E$3:$E$24,[1]对照表!$H$3:$H$24),LOOKUP(F69,[1]对照表!$E$27:$E$48,[1]对照表!$H$27:$H$48)))))</f>
        <v>100</v>
      </c>
      <c r="H69" s="21">
        <v>8</v>
      </c>
      <c r="I69" s="32">
        <f>IF(B69="高三",IF($E69="男",LOOKUP(H69,[1]对照表!$K$3:$K$24,[1]对照表!$L$3:$L$24),LOOKUP(H69,[1]对照表!$K$27:$K$48,[1]对照表!$L$27:$L$48)),IF(B69="高二",IF($E69="男",LOOKUP(H69,[1]对照表!$J$3:$J$24,[1]对照表!$L$3:$L$24),LOOKUP(H69,[1]对照表!$J$27:$J$48,[1]对照表!$L$27:$L$48)),IF(B69="高一",IF($E69="男",LOOKUP(H69,[1]对照表!$I$3:$I$24,[1]对照表!$L$3:$L$24),LOOKUP(H69,[1]对照表!$I$27:$I$48,[1]对照表!$L$27:$L$48)))))</f>
        <v>70</v>
      </c>
      <c r="J69" s="21">
        <v>260</v>
      </c>
      <c r="K69" s="32">
        <f>IF(B69="高三",IF($E69="男",LOOKUP(J69,[1]对照表!$O$3:$O$24,[1]对照表!$P$3:$P$24),LOOKUP(J69,[1]对照表!$O$27:$O$48,[1]对照表!$P$27:$P$48)),IF(B69="高二",IF($E69="男",LOOKUP(J69,[1]对照表!$N$3:$N$24,[1]对照表!$P$3:$P$24),LOOKUP(J69,[1]对照表!$N$27:$N$48,[1]对照表!$P$27:$P$48)),IF(B69="高一",IF($E69="男",LOOKUP(J69,[1]对照表!$M$3:$M$24,[1]对照表!$P$3:$P$24),LOOKUP(J69,[1]对照表!$M$27:$M$48,[1]对照表!$P$27:$P$48)))))</f>
        <v>100</v>
      </c>
      <c r="L69" s="21">
        <v>3</v>
      </c>
      <c r="M69" s="32">
        <f>IF(B69="高三",IF($E69="男",LOOKUP(L69,[1]对照表!$S$3:$S$24,[1]对照表!$T$3:$T$24),LOOKUP(L69,[1]对照表!$S$27:$S$48,[1]对照表!$T$27:$T$48)),IF(B69="高二",IF($E69="男",LOOKUP(L69,[1]对照表!$R$3:$R$24,[1]对照表!$T$3:$T$24),LOOKUP(L69,[1]对照表!$R$27:$R$48,[1]对照表!$T$27:$T$48)),IF(B69="高一",IF($E69="男",LOOKUP(L69,[1]对照表!$Q$3:$Q$24,[1]对照表!$T$3:$T$24),LOOKUP(L69,[1]对照表!$Q$27:$Q$48,[1]对照表!$T$27:$T$48)))))</f>
        <v>20</v>
      </c>
      <c r="N69" s="33">
        <f>IF(B69="高三",MAX(IF(E69="男",L69-18,L69-55),0),IF(B69="高二",MAX(IF(E69="男",L69-17,L69-54),0),IF(B69="高一",MAX(IF(E69="男",L69-16,L69-53),0))))</f>
        <v>0</v>
      </c>
      <c r="O69" s="23">
        <f>IF(E69="男",LOOKUP($N69,[1]对照表!$Z$3:$Z$13,[1]对照表!$AA$3:$AA$13),LOOKUP($N69,[1]对照表!$Z$15:$Z$25,[1]对照表!$AA$15:$AA$25))</f>
        <v>0</v>
      </c>
      <c r="P69" s="24">
        <f>M69+O69</f>
        <v>20</v>
      </c>
      <c r="Q69" s="25">
        <v>3.29</v>
      </c>
      <c r="R69" s="32">
        <f>IF(B69="高三",IF($E69="男",LOOKUP(Q69,[1]对照表!$W$3:$W$24,[1]对照表!$X$3:$X$24),LOOKUP(Q69,[1]对照表!$W$27:$W$48,[1]对照表!$X$27:$X$48)),IF(B69="高二",IF($E69="男",LOOKUP(Q69,[1]对照表!$V$3:$V$24,[1]对照表!$X$3:$X$24),LOOKUP(Q69,[1]对照表!$V$27:$V$48,[1]对照表!$X$27:$X$48)),IF(B69="高一",IF($E69="男",LOOKUP(Q69,[1]对照表!$U$3:$U$24,[1]对照表!$X$3:$X$24),LOOKUP(Q69,[1]对照表!$U$27:$U$48,[1]对照表!$X$27:$X$48)))))</f>
        <v>100</v>
      </c>
      <c r="S69" s="33">
        <f>ROUND(IF(IF($B69="高三",MIN(IF($E69="男",$Q69-3.2,$Q69-3.2),0),IF($B69="高二",MIN(IF($E69="男",$Q69-3.25,$Q69-3.22),0),IF($B69="高一",MIN(IF($E69="男",$Q69-3.3,$Q69-3.24),0))))&lt;-0.6,IF($B69="高三",MIN(IF($E69="男",$Q69-3.2,$Q69-3.2),0),IF($B69="高二",MIN(IF($E69="男",$Q69-3.25,$Q69-3.22),0),IF($B69="高一",MIN(IF($E69="男",$Q69-3.3,$Q69-3.24),0))))+0.4,IF($B69="高三",MIN(IF($E69="男",$Q69-3.2,$Q69-3.2),0),IF($B69="高二",MIN(IF($E69="男",$Q69-3.25,$Q69-3.22),0),IF($B69="高一",MIN(IF($E69="男",$Q69-3.3,$Q69-3.24),0))))),2)</f>
        <v>-0.01</v>
      </c>
      <c r="T69" s="23">
        <f>IF(E69="男",LOOKUP($S69,[1]对照表!$AB$3:$AB$13,[1]对照表!$AC$3:$AC$13),LOOKUP($S69,[1]对照表!$AB$15:$AB$25,[1]对照表!$AC$15:$AC$25))</f>
        <v>0</v>
      </c>
      <c r="U69" s="26">
        <f>R69+T69</f>
        <v>100</v>
      </c>
      <c r="V69" s="26">
        <f>SUM(I69,K69,M69)/3*0.3+SUM(G69,R69)/2*0.4</f>
        <v>59</v>
      </c>
      <c r="W69" s="27">
        <f>O69+T69</f>
        <v>0</v>
      </c>
      <c r="X69" s="28">
        <f>V69/0.7+W69</f>
        <v>84.285714285714292</v>
      </c>
      <c r="Y69" s="28">
        <v>84.285714285714292</v>
      </c>
      <c r="Z69" s="21"/>
    </row>
    <row r="70" spans="1:26" x14ac:dyDescent="0.25">
      <c r="A70" s="16">
        <v>1</v>
      </c>
      <c r="B70" s="17" t="s">
        <v>21</v>
      </c>
      <c r="C70" s="16">
        <v>102</v>
      </c>
      <c r="D70" s="18" t="s">
        <v>332</v>
      </c>
      <c r="E70" s="31" t="s">
        <v>23</v>
      </c>
      <c r="F70" s="19">
        <v>7.2</v>
      </c>
      <c r="G70" s="32">
        <f>IF(B70="高三",IF($E70="男",LOOKUP(F70,[1]对照表!$G$3:$G$24,[1]对照表!$H$3:$H$24),LOOKUP(F70,[1]对照表!$G$27:$G$48,[1]对照表!$H$27:$H$48)),IF(B70="高二",IF($E70="男",LOOKUP(F70,[1]对照表!$F$3:$F$24,[1]对照表!$H$3:$H$24),LOOKUP(F70,[1]对照表!$F$27:$F$48,[1]对照表!$H$27:$H$48)),IF(B70="高一",IF($E70="男",LOOKUP(F70,[1]对照表!$E$3:$E$24,[1]对照表!$H$3:$H$24),LOOKUP(F70,[1]对照表!$E$27:$E$48,[1]对照表!$H$27:$H$48)))))</f>
        <v>95</v>
      </c>
      <c r="H70" s="21">
        <v>6</v>
      </c>
      <c r="I70" s="32">
        <f>IF(B70="高三",IF($E70="男",LOOKUP(H70,[1]对照表!$K$3:$K$24,[1]对照表!$L$3:$L$24),LOOKUP(H70,[1]对照表!$K$27:$K$48,[1]对照表!$L$27:$L$48)),IF(B70="高二",IF($E70="男",LOOKUP(H70,[1]对照表!$J$3:$J$24,[1]对照表!$L$3:$L$24),LOOKUP(H70,[1]对照表!$J$27:$J$48,[1]对照表!$L$27:$L$48)),IF(B70="高一",IF($E70="男",LOOKUP(H70,[1]对照表!$I$3:$I$24,[1]对照表!$L$3:$L$24),LOOKUP(H70,[1]对照表!$I$27:$I$48,[1]对照表!$L$27:$L$48)))))</f>
        <v>66</v>
      </c>
      <c r="J70" s="21">
        <v>225</v>
      </c>
      <c r="K70" s="32">
        <f>IF(B70="高三",IF($E70="男",LOOKUP(J70,[1]对照表!$O$3:$O$24,[1]对照表!$P$3:$P$24),LOOKUP(J70,[1]对照表!$O$27:$O$48,[1]对照表!$P$27:$P$48)),IF(B70="高二",IF($E70="男",LOOKUP(J70,[1]对照表!$N$3:$N$24,[1]对照表!$P$3:$P$24),LOOKUP(J70,[1]对照表!$N$27:$N$48,[1]对照表!$P$27:$P$48)),IF(B70="高一",IF($E70="男",LOOKUP(J70,[1]对照表!$M$3:$M$24,[1]对照表!$P$3:$P$24),LOOKUP(J70,[1]对照表!$M$27:$M$48,[1]对照表!$P$27:$P$48)))))</f>
        <v>74</v>
      </c>
      <c r="L70" s="21">
        <v>6</v>
      </c>
      <c r="M70" s="32">
        <f>IF(B70="高三",IF($E70="男",LOOKUP(L70,[1]对照表!$S$3:$S$24,[1]对照表!$T$3:$T$24),LOOKUP(L70,[1]对照表!$S$27:$S$48,[1]对照表!$T$27:$T$48)),IF(B70="高二",IF($E70="男",LOOKUP(L70,[1]对照表!$R$3:$R$24,[1]对照表!$T$3:$T$24),LOOKUP(L70,[1]对照表!$R$27:$R$48,[1]对照表!$T$27:$T$48)),IF(B70="高一",IF($E70="男",LOOKUP(L70,[1]对照表!$Q$3:$Q$24,[1]对照表!$T$3:$T$24),LOOKUP(L70,[1]对照表!$Q$27:$Q$48,[1]对照表!$T$27:$T$48)))))</f>
        <v>50</v>
      </c>
      <c r="N70" s="33">
        <f>IF(B70="高三",MAX(IF(E70="男",L70-18,L70-55),0),IF(B70="高二",MAX(IF(E70="男",L70-17,L70-54),0),IF(B70="高一",MAX(IF(E70="男",L70-16,L70-53),0))))</f>
        <v>0</v>
      </c>
      <c r="O70" s="23">
        <f>IF(E70="男",LOOKUP($N70,[1]对照表!$Z$3:$Z$13,[1]对照表!$AA$3:$AA$13),LOOKUP($N70,[1]对照表!$Z$15:$Z$25,[1]对照表!$AA$15:$AA$25))</f>
        <v>0</v>
      </c>
      <c r="P70" s="24">
        <f>M70+O70</f>
        <v>50</v>
      </c>
      <c r="Q70" s="25">
        <v>3.33</v>
      </c>
      <c r="R70" s="32">
        <f>IF(B70="高三",IF($E70="男",LOOKUP(Q70,[1]对照表!$W$3:$W$24,[1]对照表!$X$3:$X$24),LOOKUP(Q70,[1]对照表!$W$27:$W$48,[1]对照表!$X$27:$X$48)),IF(B70="高二",IF($E70="男",LOOKUP(Q70,[1]对照表!$V$3:$V$24,[1]对照表!$X$3:$X$24),LOOKUP(Q70,[1]对照表!$V$27:$V$48,[1]对照表!$X$27:$X$48)),IF(B70="高一",IF($E70="男",LOOKUP(Q70,[1]对照表!$U$3:$U$24,[1]对照表!$X$3:$X$24),LOOKUP(Q70,[1]对照表!$U$27:$U$48,[1]对照表!$X$27:$X$48)))))</f>
        <v>95</v>
      </c>
      <c r="S70" s="33">
        <f>ROUND(IF(IF($B70="高三",MIN(IF($E70="男",$Q70-3.2,$Q70-3.2),0),IF($B70="高二",MIN(IF($E70="男",$Q70-3.25,$Q70-3.22),0),IF($B70="高一",MIN(IF($E70="男",$Q70-3.3,$Q70-3.24),0))))&lt;-0.6,IF($B70="高三",MIN(IF($E70="男",$Q70-3.2,$Q70-3.2),0),IF($B70="高二",MIN(IF($E70="男",$Q70-3.25,$Q70-3.22),0),IF($B70="高一",MIN(IF($E70="男",$Q70-3.3,$Q70-3.24),0))))+0.4,IF($B70="高三",MIN(IF($E70="男",$Q70-3.2,$Q70-3.2),0),IF($B70="高二",MIN(IF($E70="男",$Q70-3.25,$Q70-3.22),0),IF($B70="高一",MIN(IF($E70="男",$Q70-3.3,$Q70-3.24),0))))),2)</f>
        <v>0</v>
      </c>
      <c r="T70" s="23">
        <f>IF(E70="男",LOOKUP($S70,[1]对照表!$AB$3:$AB$13,[1]对照表!$AC$3:$AC$13),LOOKUP($S70,[1]对照表!$AB$15:$AB$25,[1]对照表!$AC$15:$AC$25))</f>
        <v>0</v>
      </c>
      <c r="U70" s="26">
        <f>R70+T70</f>
        <v>95</v>
      </c>
      <c r="V70" s="26">
        <f>SUM(I70,K70,M70)/3*0.3+SUM(G70,R70)/2*0.4</f>
        <v>57</v>
      </c>
      <c r="W70" s="27">
        <f>O70+T70</f>
        <v>0</v>
      </c>
      <c r="X70" s="28">
        <f>V70/0.7+W70</f>
        <v>81.428571428571431</v>
      </c>
      <c r="Y70" s="28">
        <v>81.428571428571431</v>
      </c>
      <c r="Z70" s="21"/>
    </row>
    <row r="71" spans="1:26" x14ac:dyDescent="0.25">
      <c r="A71" s="16">
        <v>14</v>
      </c>
      <c r="B71" s="17" t="s">
        <v>21</v>
      </c>
      <c r="C71" s="16">
        <v>102</v>
      </c>
      <c r="D71" s="18" t="s">
        <v>334</v>
      </c>
      <c r="E71" s="16" t="s">
        <v>23</v>
      </c>
      <c r="F71" s="19">
        <v>6.9</v>
      </c>
      <c r="G71" s="32">
        <f>IF(B71="高三",IF($E71="男",LOOKUP(F71,[1]对照表!$G$3:$G$24,[1]对照表!$H$3:$H$24),LOOKUP(F71,[1]对照表!$G$27:$G$48,[1]对照表!$H$27:$H$48)),IF(B71="高二",IF($E71="男",LOOKUP(F71,[1]对照表!$F$3:$F$24,[1]对照表!$H$3:$H$24),LOOKUP(F71,[1]对照表!$F$27:$F$48,[1]对照表!$H$27:$H$48)),IF(B71="高一",IF($E71="男",LOOKUP(F71,[1]对照表!$E$3:$E$24,[1]对照表!$H$3:$H$24),LOOKUP(F71,[1]对照表!$E$27:$E$48,[1]对照表!$H$27:$H$48)))))</f>
        <v>100</v>
      </c>
      <c r="H71" s="21">
        <v>3.5</v>
      </c>
      <c r="I71" s="32">
        <f>IF(B71="高三",IF($E71="男",LOOKUP(H71,[1]对照表!$K$3:$K$24,[1]对照表!$L$3:$L$24),LOOKUP(H71,[1]对照表!$K$27:$K$48,[1]对照表!$L$27:$L$48)),IF(B71="高二",IF($E71="男",LOOKUP(H71,[1]对照表!$J$3:$J$24,[1]对照表!$L$3:$L$24),LOOKUP(H71,[1]对照表!$J$27:$J$48,[1]对照表!$L$27:$L$48)),IF(B71="高一",IF($E71="男",LOOKUP(H71,[1]对照表!$I$3:$I$24,[1]对照表!$L$3:$L$24),LOOKUP(H71,[1]对照表!$I$27:$I$48,[1]对照表!$L$27:$L$48)))))</f>
        <v>62</v>
      </c>
      <c r="J71" s="21">
        <v>226</v>
      </c>
      <c r="K71" s="32">
        <f>IF(B71="高三",IF($E71="男",LOOKUP(J71,[1]对照表!$O$3:$O$24,[1]对照表!$P$3:$P$24),LOOKUP(J71,[1]对照表!$O$27:$O$48,[1]对照表!$P$27:$P$48)),IF(B71="高二",IF($E71="男",LOOKUP(J71,[1]对照表!$N$3:$N$24,[1]对照表!$P$3:$P$24),LOOKUP(J71,[1]对照表!$N$27:$N$48,[1]对照表!$P$27:$P$48)),IF(B71="高一",IF($E71="男",LOOKUP(J71,[1]对照表!$M$3:$M$24,[1]对照表!$P$3:$P$24),LOOKUP(J71,[1]对照表!$M$27:$M$48,[1]对照表!$P$27:$P$48)))))</f>
        <v>74</v>
      </c>
      <c r="L71" s="21">
        <v>8</v>
      </c>
      <c r="M71" s="32">
        <f>IF(B71="高三",IF($E71="男",LOOKUP(L71,[1]对照表!$S$3:$S$24,[1]对照表!$T$3:$T$24),LOOKUP(L71,[1]对照表!$S$27:$S$48,[1]对照表!$T$27:$T$48)),IF(B71="高二",IF($E71="男",LOOKUP(L71,[1]对照表!$R$3:$R$24,[1]对照表!$T$3:$T$24),LOOKUP(L71,[1]对照表!$R$27:$R$48,[1]对照表!$T$27:$T$48)),IF(B71="高一",IF($E71="男",LOOKUP(L71,[1]对照表!$Q$3:$Q$24,[1]对照表!$T$3:$T$24),LOOKUP(L71,[1]对照表!$Q$27:$Q$48,[1]对照表!$T$27:$T$48)))))</f>
        <v>64</v>
      </c>
      <c r="N71" s="33">
        <f>IF(B71="高三",MAX(IF(E71="男",L71-18,L71-55),0),IF(B71="高二",MAX(IF(E71="男",L71-17,L71-54),0),IF(B71="高一",MAX(IF(E71="男",L71-16,L71-53),0))))</f>
        <v>0</v>
      </c>
      <c r="O71" s="23">
        <f>IF(E71="男",LOOKUP($N71,[1]对照表!$Z$3:$Z$13,[1]对照表!$AA$3:$AA$13),LOOKUP($N71,[1]对照表!$Z$15:$Z$25,[1]对照表!$AA$15:$AA$25))</f>
        <v>0</v>
      </c>
      <c r="P71" s="24">
        <f>M71+O71</f>
        <v>64</v>
      </c>
      <c r="Q71" s="25">
        <v>3.41</v>
      </c>
      <c r="R71" s="32">
        <f>IF(B71="高三",IF($E71="男",LOOKUP(Q71,[1]对照表!$W$3:$W$24,[1]对照表!$X$3:$X$24),LOOKUP(Q71,[1]对照表!$W$27:$W$48,[1]对照表!$X$27:$X$48)),IF(B71="高二",IF($E71="男",LOOKUP(Q71,[1]对照表!$V$3:$V$24,[1]对照表!$X$3:$X$24),LOOKUP(Q71,[1]对照表!$V$27:$V$48,[1]对照表!$X$27:$X$48)),IF(B71="高一",IF($E71="男",LOOKUP(Q71,[1]对照表!$U$3:$U$24,[1]对照表!$X$3:$X$24),LOOKUP(Q71,[1]对照表!$U$27:$U$48,[1]对照表!$X$27:$X$48)))))</f>
        <v>85</v>
      </c>
      <c r="S71" s="33">
        <f>ROUND(IF(IF($B71="高三",MIN(IF($E71="男",$Q71-3.2,$Q71-3.2),0),IF($B71="高二",MIN(IF($E71="男",$Q71-3.25,$Q71-3.22),0),IF($B71="高一",MIN(IF($E71="男",$Q71-3.3,$Q71-3.24),0))))&lt;-0.6,IF($B71="高三",MIN(IF($E71="男",$Q71-3.2,$Q71-3.2),0),IF($B71="高二",MIN(IF($E71="男",$Q71-3.25,$Q71-3.22),0),IF($B71="高一",MIN(IF($E71="男",$Q71-3.3,$Q71-3.24),0))))+0.4,IF($B71="高三",MIN(IF($E71="男",$Q71-3.2,$Q71-3.2),0),IF($B71="高二",MIN(IF($E71="男",$Q71-3.25,$Q71-3.22),0),IF($B71="高一",MIN(IF($E71="男",$Q71-3.3,$Q71-3.24),0))))),2)</f>
        <v>0</v>
      </c>
      <c r="T71" s="23">
        <f>IF(E71="男",LOOKUP($S71,[1]对照表!$AB$3:$AB$13,[1]对照表!$AC$3:$AC$13),LOOKUP($S71,[1]对照表!$AB$15:$AB$25,[1]对照表!$AC$15:$AC$25))</f>
        <v>0</v>
      </c>
      <c r="U71" s="26">
        <f>R71+T71</f>
        <v>85</v>
      </c>
      <c r="V71" s="26">
        <f>SUM(I71,K71,M71)/3*0.3+SUM(G71,R71)/2*0.4</f>
        <v>57</v>
      </c>
      <c r="W71" s="27">
        <f>O71+T71</f>
        <v>0</v>
      </c>
      <c r="X71" s="28">
        <f>V71/0.7+W71</f>
        <v>81.428571428571431</v>
      </c>
      <c r="Y71" s="28">
        <v>81.428571428571431</v>
      </c>
      <c r="Z71" s="21"/>
    </row>
    <row r="72" spans="1:26" x14ac:dyDescent="0.25">
      <c r="A72" s="16">
        <v>29</v>
      </c>
      <c r="B72" s="17" t="s">
        <v>21</v>
      </c>
      <c r="C72" s="16">
        <v>102</v>
      </c>
      <c r="D72" s="18" t="s">
        <v>374</v>
      </c>
      <c r="E72" s="17" t="s">
        <v>23</v>
      </c>
      <c r="F72" s="19">
        <v>6.4</v>
      </c>
      <c r="G72" s="32">
        <f>IF(B72="高三",IF($E72="男",LOOKUP(F72,[1]对照表!$G$3:$G$24,[1]对照表!$H$3:$H$24),LOOKUP(F72,[1]对照表!$G$27:$G$48,[1]对照表!$H$27:$H$48)),IF(B72="高二",IF($E72="男",LOOKUP(F72,[1]对照表!$F$3:$F$24,[1]对照表!$H$3:$H$24),LOOKUP(F72,[1]对照表!$F$27:$F$48,[1]对照表!$H$27:$H$48)),IF(B72="高一",IF($E72="男",LOOKUP(F72,[1]对照表!$E$3:$E$24,[1]对照表!$H$3:$H$24),LOOKUP(F72,[1]对照表!$E$27:$E$48,[1]对照表!$H$27:$H$48)))))</f>
        <v>100</v>
      </c>
      <c r="H72" s="21">
        <v>23.5</v>
      </c>
      <c r="I72" s="32">
        <f>IF(B72="高三",IF($E72="男",LOOKUP(H72,[1]对照表!$K$3:$K$24,[1]对照表!$L$3:$L$24),LOOKUP(H72,[1]对照表!$K$27:$K$48,[1]对照表!$L$27:$L$48)),IF(B72="高二",IF($E72="男",LOOKUP(H72,[1]对照表!$J$3:$J$24,[1]对照表!$L$3:$L$24),LOOKUP(H72,[1]对照表!$J$27:$J$48,[1]对照表!$L$27:$L$48)),IF(B72="高一",IF($E72="男",LOOKUP(H72,[1]对照表!$I$3:$I$24,[1]对照表!$L$3:$L$24),LOOKUP(H72,[1]对照表!$I$27:$I$48,[1]对照表!$L$27:$L$48)))))</f>
        <v>95</v>
      </c>
      <c r="J72" s="21">
        <v>263</v>
      </c>
      <c r="K72" s="32">
        <f>IF(B72="高三",IF($E72="男",LOOKUP(J72,[1]对照表!$O$3:$O$24,[1]对照表!$P$3:$P$24),LOOKUP(J72,[1]对照表!$O$27:$O$48,[1]对照表!$P$27:$P$48)),IF(B72="高二",IF($E72="男",LOOKUP(J72,[1]对照表!$N$3:$N$24,[1]对照表!$P$3:$P$24),LOOKUP(J72,[1]对照表!$N$27:$N$48,[1]对照表!$P$27:$P$48)),IF(B72="高一",IF($E72="男",LOOKUP(J72,[1]对照表!$M$3:$M$24,[1]对照表!$P$3:$P$24),LOOKUP(J72,[1]对照表!$M$27:$M$48,[1]对照表!$P$27:$P$48)))))</f>
        <v>100</v>
      </c>
      <c r="L72" s="21">
        <v>1</v>
      </c>
      <c r="M72" s="32">
        <f>IF(B72="高三",IF($E72="男",LOOKUP(L72,[1]对照表!$S$3:$S$24,[1]对照表!$T$3:$T$24),LOOKUP(L72,[1]对照表!$S$27:$S$48,[1]对照表!$T$27:$T$48)),IF(B72="高二",IF($E72="男",LOOKUP(L72,[1]对照表!$R$3:$R$24,[1]对照表!$T$3:$T$24),LOOKUP(L72,[1]对照表!$R$27:$R$48,[1]对照表!$T$27:$T$48)),IF(B72="高一",IF($E72="男",LOOKUP(L72,[1]对照表!$Q$3:$Q$24,[1]对照表!$T$3:$T$24),LOOKUP(L72,[1]对照表!$Q$27:$Q$48,[1]对照表!$T$27:$T$48)))))</f>
        <v>0</v>
      </c>
      <c r="N72" s="33">
        <f>IF(B72="高三",MAX(IF(E72="男",L72-18,L72-55),0),IF(B72="高二",MAX(IF(E72="男",L72-17,L72-54),0),IF(B72="高一",MAX(IF(E72="男",L72-16,L72-53),0))))</f>
        <v>0</v>
      </c>
      <c r="O72" s="23">
        <f>IF(E72="男",LOOKUP($N72,[1]对照表!$Z$3:$Z$13,[1]对照表!$AA$3:$AA$13),LOOKUP($N72,[1]对照表!$Z$15:$Z$25,[1]对照表!$AA$15:$AA$25))</f>
        <v>0</v>
      </c>
      <c r="P72" s="24">
        <f>M72+O72</f>
        <v>0</v>
      </c>
      <c r="Q72" s="25">
        <v>3.5</v>
      </c>
      <c r="R72" s="32">
        <f>IF(B72="高三",IF($E72="男",LOOKUP(Q72,[1]对照表!$W$3:$W$24,[1]对照表!$X$3:$X$24),LOOKUP(Q72,[1]对照表!$W$27:$W$48,[1]对照表!$X$27:$X$48)),IF(B72="高二",IF($E72="男",LOOKUP(Q72,[1]对照表!$V$3:$V$24,[1]对照表!$X$3:$X$24),LOOKUP(Q72,[1]对照表!$V$27:$V$48,[1]对照表!$X$27:$X$48)),IF(B72="高一",IF($E72="男",LOOKUP(Q72,[1]对照表!$U$3:$U$24,[1]对照表!$X$3:$X$24),LOOKUP(Q72,[1]对照表!$U$27:$U$48,[1]对照表!$X$27:$X$48)))))</f>
        <v>80</v>
      </c>
      <c r="S72" s="33">
        <f>ROUND(IF(IF($B72="高三",MIN(IF($E72="男",$Q72-3.2,$Q72-3.2),0),IF($B72="高二",MIN(IF($E72="男",$Q72-3.25,$Q72-3.22),0),IF($B72="高一",MIN(IF($E72="男",$Q72-3.3,$Q72-3.24),0))))&lt;-0.6,IF($B72="高三",MIN(IF($E72="男",$Q72-3.2,$Q72-3.2),0),IF($B72="高二",MIN(IF($E72="男",$Q72-3.25,$Q72-3.22),0),IF($B72="高一",MIN(IF($E72="男",$Q72-3.3,$Q72-3.24),0))))+0.4,IF($B72="高三",MIN(IF($E72="男",$Q72-3.2,$Q72-3.2),0),IF($B72="高二",MIN(IF($E72="男",$Q72-3.25,$Q72-3.22),0),IF($B72="高一",MIN(IF($E72="男",$Q72-3.3,$Q72-3.24),0))))),2)</f>
        <v>0</v>
      </c>
      <c r="T72" s="23">
        <f>IF(E72="男",LOOKUP($S72,[1]对照表!$AB$3:$AB$13,[1]对照表!$AC$3:$AC$13),LOOKUP($S72,[1]对照表!$AB$15:$AB$25,[1]对照表!$AC$15:$AC$25))</f>
        <v>0</v>
      </c>
      <c r="U72" s="26">
        <f>R72+T72</f>
        <v>80</v>
      </c>
      <c r="V72" s="26">
        <f>SUM(I72,K72,M72)/3*0.3+SUM(G72,R72)/2*0.4</f>
        <v>55.5</v>
      </c>
      <c r="W72" s="27">
        <f>O72+T72</f>
        <v>0</v>
      </c>
      <c r="X72" s="28">
        <f>V72/0.7+W72</f>
        <v>79.285714285714292</v>
      </c>
      <c r="Y72" s="28">
        <v>79.285714285714292</v>
      </c>
      <c r="Z72" s="21"/>
    </row>
    <row r="73" spans="1:26" x14ac:dyDescent="0.25">
      <c r="A73" s="16">
        <v>25</v>
      </c>
      <c r="B73" s="17" t="s">
        <v>21</v>
      </c>
      <c r="C73" s="16">
        <v>102</v>
      </c>
      <c r="D73" s="18" t="s">
        <v>376</v>
      </c>
      <c r="E73" s="17" t="s">
        <v>23</v>
      </c>
      <c r="F73" s="19">
        <v>7.4</v>
      </c>
      <c r="G73" s="32">
        <f>IF(B73="高三",IF($E73="男",LOOKUP(F73,[1]对照表!$G$3:$G$24,[1]对照表!$H$3:$H$24),LOOKUP(F73,[1]对照表!$G$27:$G$48,[1]对照表!$H$27:$H$48)),IF(B73="高二",IF($E73="男",LOOKUP(F73,[1]对照表!$F$3:$F$24,[1]对照表!$H$3:$H$24),LOOKUP(F73,[1]对照表!$F$27:$F$48,[1]对照表!$H$27:$H$48)),IF(B73="高一",IF($E73="男",LOOKUP(F73,[1]对照表!$E$3:$E$24,[1]对照表!$H$3:$H$24),LOOKUP(F73,[1]对照表!$E$27:$E$48,[1]对照表!$H$27:$H$48)))))</f>
        <v>85</v>
      </c>
      <c r="H73" s="21">
        <v>24.5</v>
      </c>
      <c r="I73" s="32">
        <f>IF(B73="高三",IF($E73="男",LOOKUP(H73,[1]对照表!$K$3:$K$24,[1]对照表!$L$3:$L$24),LOOKUP(H73,[1]对照表!$K$27:$K$48,[1]对照表!$L$27:$L$48)),IF(B73="高二",IF($E73="男",LOOKUP(H73,[1]对照表!$J$3:$J$24,[1]对照表!$L$3:$L$24),LOOKUP(H73,[1]对照表!$J$27:$J$48,[1]对照表!$L$27:$L$48)),IF(B73="高一",IF($E73="男",LOOKUP(H73,[1]对照表!$I$3:$I$24,[1]对照表!$L$3:$L$24),LOOKUP(H73,[1]对照表!$I$27:$I$48,[1]对照表!$L$27:$L$48)))))</f>
        <v>100</v>
      </c>
      <c r="J73" s="21">
        <v>235</v>
      </c>
      <c r="K73" s="32">
        <f>IF(B73="高三",IF($E73="男",LOOKUP(J73,[1]对照表!$O$3:$O$24,[1]对照表!$P$3:$P$24),LOOKUP(J73,[1]对照表!$O$27:$O$48,[1]对照表!$P$27:$P$48)),IF(B73="高二",IF($E73="男",LOOKUP(J73,[1]对照表!$N$3:$N$24,[1]对照表!$P$3:$P$24),LOOKUP(J73,[1]对照表!$N$27:$N$48,[1]对照表!$P$27:$P$48)),IF(B73="高一",IF($E73="男",LOOKUP(J73,[1]对照表!$M$3:$M$24,[1]对照表!$P$3:$P$24),LOOKUP(J73,[1]对照表!$M$27:$M$48,[1]对照表!$P$27:$P$48)))))</f>
        <v>80</v>
      </c>
      <c r="L73" s="21">
        <v>9</v>
      </c>
      <c r="M73" s="32">
        <f>IF(B73="高三",IF($E73="男",LOOKUP(L73,[1]对照表!$S$3:$S$24,[1]对照表!$T$3:$T$24),LOOKUP(L73,[1]对照表!$S$27:$S$48,[1]对照表!$T$27:$T$48)),IF(B73="高二",IF($E73="男",LOOKUP(L73,[1]对照表!$R$3:$R$24,[1]对照表!$T$3:$T$24),LOOKUP(L73,[1]对照表!$R$27:$R$48,[1]对照表!$T$27:$T$48)),IF(B73="高一",IF($E73="男",LOOKUP(L73,[1]对照表!$Q$3:$Q$24,[1]对照表!$T$3:$T$24),LOOKUP(L73,[1]对照表!$Q$27:$Q$48,[1]对照表!$T$27:$T$48)))))</f>
        <v>68</v>
      </c>
      <c r="N73" s="33">
        <f>IF(B73="高三",MAX(IF(E73="男",L73-18,L73-55),0),IF(B73="高二",MAX(IF(E73="男",L73-17,L73-54),0),IF(B73="高一",MAX(IF(E73="男",L73-16,L73-53),0))))</f>
        <v>0</v>
      </c>
      <c r="O73" s="23">
        <f>IF(E73="男",LOOKUP($N73,[1]对照表!$Z$3:$Z$13,[1]对照表!$AA$3:$AA$13),LOOKUP($N73,[1]对照表!$Z$15:$Z$25,[1]对照表!$AA$15:$AA$25))</f>
        <v>0</v>
      </c>
      <c r="P73" s="24">
        <f>M73+O73</f>
        <v>68</v>
      </c>
      <c r="Q73" s="25">
        <v>4.22</v>
      </c>
      <c r="R73" s="32">
        <f>IF(B73="高三",IF($E73="男",LOOKUP(Q73,[1]对照表!$W$3:$W$24,[1]对照表!$X$3:$X$24),LOOKUP(Q73,[1]对照表!$W$27:$W$48,[1]对照表!$X$27:$X$48)),IF(B73="高二",IF($E73="男",LOOKUP(Q73,[1]对照表!$V$3:$V$24,[1]对照表!$X$3:$X$24),LOOKUP(Q73,[1]对照表!$V$27:$V$48,[1]对照表!$X$27:$X$48)),IF(B73="高一",IF($E73="男",LOOKUP(Q73,[1]对照表!$U$3:$U$24,[1]对照表!$X$3:$X$24),LOOKUP(Q73,[1]对照表!$U$27:$U$48,[1]对照表!$X$27:$X$48)))))</f>
        <v>68</v>
      </c>
      <c r="S73" s="33">
        <f>ROUND(IF(IF($B73="高三",MIN(IF($E73="男",$Q73-3.2,$Q73-3.2),0),IF($B73="高二",MIN(IF($E73="男",$Q73-3.25,$Q73-3.22),0),IF($B73="高一",MIN(IF($E73="男",$Q73-3.3,$Q73-3.24),0))))&lt;-0.6,IF($B73="高三",MIN(IF($E73="男",$Q73-3.2,$Q73-3.2),0),IF($B73="高二",MIN(IF($E73="男",$Q73-3.25,$Q73-3.22),0),IF($B73="高一",MIN(IF($E73="男",$Q73-3.3,$Q73-3.24),0))))+0.4,IF($B73="高三",MIN(IF($E73="男",$Q73-3.2,$Q73-3.2),0),IF($B73="高二",MIN(IF($E73="男",$Q73-3.25,$Q73-3.22),0),IF($B73="高一",MIN(IF($E73="男",$Q73-3.3,$Q73-3.24),0))))),2)</f>
        <v>0</v>
      </c>
      <c r="T73" s="23">
        <f>IF(E73="男",LOOKUP($S73,[1]对照表!$AB$3:$AB$13,[1]对照表!$AC$3:$AC$13),LOOKUP($S73,[1]对照表!$AB$15:$AB$25,[1]对照表!$AC$15:$AC$25))</f>
        <v>0</v>
      </c>
      <c r="U73" s="26">
        <f>R73+T73</f>
        <v>68</v>
      </c>
      <c r="V73" s="26">
        <f>SUM(I73,K73,M73)/3*0.3+SUM(G73,R73)/2*0.4</f>
        <v>55.400000000000006</v>
      </c>
      <c r="W73" s="27">
        <f>O73+T73</f>
        <v>0</v>
      </c>
      <c r="X73" s="28">
        <f>V73/0.7+W73</f>
        <v>79.142857142857153</v>
      </c>
      <c r="Y73" s="28">
        <v>79.142857142857153</v>
      </c>
      <c r="Z73" s="21"/>
    </row>
    <row r="74" spans="1:26" x14ac:dyDescent="0.25">
      <c r="A74" s="16">
        <v>27</v>
      </c>
      <c r="B74" s="17" t="s">
        <v>21</v>
      </c>
      <c r="C74" s="16">
        <v>102</v>
      </c>
      <c r="D74" s="18" t="s">
        <v>380</v>
      </c>
      <c r="E74" s="17" t="s">
        <v>23</v>
      </c>
      <c r="F74" s="19">
        <v>7.1</v>
      </c>
      <c r="G74" s="32">
        <f>IF(B74="高三",IF($E74="男",LOOKUP(F74,[1]对照表!$G$3:$G$24,[1]对照表!$H$3:$H$24),LOOKUP(F74,[1]对照表!$G$27:$G$48,[1]对照表!$H$27:$H$48)),IF(B74="高二",IF($E74="男",LOOKUP(F74,[1]对照表!$F$3:$F$24,[1]对照表!$H$3:$H$24),LOOKUP(F74,[1]对照表!$F$27:$F$48,[1]对照表!$H$27:$H$48)),IF(B74="高一",IF($E74="男",LOOKUP(F74,[1]对照表!$E$3:$E$24,[1]对照表!$H$3:$H$24),LOOKUP(F74,[1]对照表!$E$27:$E$48,[1]对照表!$H$27:$H$48)))))</f>
        <v>100</v>
      </c>
      <c r="H74" s="21">
        <v>10</v>
      </c>
      <c r="I74" s="32">
        <f>IF(B74="高三",IF($E74="男",LOOKUP(H74,[1]对照表!$K$3:$K$24,[1]对照表!$L$3:$L$24),LOOKUP(H74,[1]对照表!$K$27:$K$48,[1]对照表!$L$27:$L$48)),IF(B74="高二",IF($E74="男",LOOKUP(H74,[1]对照表!$J$3:$J$24,[1]对照表!$L$3:$L$24),LOOKUP(H74,[1]对照表!$J$27:$J$48,[1]对照表!$L$27:$L$48)),IF(B74="高一",IF($E74="男",LOOKUP(H74,[1]对照表!$I$3:$I$24,[1]对照表!$L$3:$L$24),LOOKUP(H74,[1]对照表!$I$27:$I$48,[1]对照表!$L$27:$L$48)))))</f>
        <v>72</v>
      </c>
      <c r="J74" s="21">
        <v>226</v>
      </c>
      <c r="K74" s="32">
        <f>IF(B74="高三",IF($E74="男",LOOKUP(J74,[1]对照表!$O$3:$O$24,[1]对照表!$P$3:$P$24),LOOKUP(J74,[1]对照表!$O$27:$O$48,[1]对照表!$P$27:$P$48)),IF(B74="高二",IF($E74="男",LOOKUP(J74,[1]对照表!$N$3:$N$24,[1]对照表!$P$3:$P$24),LOOKUP(J74,[1]对照表!$N$27:$N$48,[1]对照表!$P$27:$P$48)),IF(B74="高一",IF($E74="男",LOOKUP(J74,[1]对照表!$M$3:$M$24,[1]对照表!$P$3:$P$24),LOOKUP(J74,[1]对照表!$M$27:$M$48,[1]对照表!$P$27:$P$48)))))</f>
        <v>74</v>
      </c>
      <c r="L74" s="21">
        <v>8</v>
      </c>
      <c r="M74" s="32">
        <f>IF(B74="高三",IF($E74="男",LOOKUP(L74,[1]对照表!$S$3:$S$24,[1]对照表!$T$3:$T$24),LOOKUP(L74,[1]对照表!$S$27:$S$48,[1]对照表!$T$27:$T$48)),IF(B74="高二",IF($E74="男",LOOKUP(L74,[1]对照表!$R$3:$R$24,[1]对照表!$T$3:$T$24),LOOKUP(L74,[1]对照表!$R$27:$R$48,[1]对照表!$T$27:$T$48)),IF(B74="高一",IF($E74="男",LOOKUP(L74,[1]对照表!$Q$3:$Q$24,[1]对照表!$T$3:$T$24),LOOKUP(L74,[1]对照表!$Q$27:$Q$48,[1]对照表!$T$27:$T$48)))))</f>
        <v>64</v>
      </c>
      <c r="N74" s="33">
        <f>IF(B74="高三",MAX(IF(E74="男",L74-18,L74-55),0),IF(B74="高二",MAX(IF(E74="男",L74-17,L74-54),0),IF(B74="高一",MAX(IF(E74="男",L74-16,L74-53),0))))</f>
        <v>0</v>
      </c>
      <c r="O74" s="23">
        <f>IF(E74="男",LOOKUP($N74,[1]对照表!$Z$3:$Z$13,[1]对照表!$AA$3:$AA$13),LOOKUP($N74,[1]对照表!$Z$15:$Z$25,[1]对照表!$AA$15:$AA$25))</f>
        <v>0</v>
      </c>
      <c r="P74" s="24">
        <f>M74+O74</f>
        <v>64</v>
      </c>
      <c r="Q74" s="25">
        <v>4.16</v>
      </c>
      <c r="R74" s="32">
        <f>IF(B74="高三",IF($E74="男",LOOKUP(Q74,[1]对照表!$W$3:$W$24,[1]对照表!$X$3:$X$24),LOOKUP(Q74,[1]对照表!$W$27:$W$48,[1]对照表!$X$27:$X$48)),IF(B74="高二",IF($E74="男",LOOKUP(Q74,[1]对照表!$V$3:$V$24,[1]对照表!$X$3:$X$24),LOOKUP(Q74,[1]对照表!$V$27:$V$48,[1]对照表!$X$27:$X$48)),IF(B74="高一",IF($E74="男",LOOKUP(Q74,[1]对照表!$U$3:$U$24,[1]对照表!$X$3:$X$24),LOOKUP(Q74,[1]对照表!$U$27:$U$48,[1]对照表!$X$27:$X$48)))))</f>
        <v>70</v>
      </c>
      <c r="S74" s="33">
        <f>ROUND(IF(IF($B74="高三",MIN(IF($E74="男",$Q74-3.2,$Q74-3.2),0),IF($B74="高二",MIN(IF($E74="男",$Q74-3.25,$Q74-3.22),0),IF($B74="高一",MIN(IF($E74="男",$Q74-3.3,$Q74-3.24),0))))&lt;-0.6,IF($B74="高三",MIN(IF($E74="男",$Q74-3.2,$Q74-3.2),0),IF($B74="高二",MIN(IF($E74="男",$Q74-3.25,$Q74-3.22),0),IF($B74="高一",MIN(IF($E74="男",$Q74-3.3,$Q74-3.24),0))))+0.4,IF($B74="高三",MIN(IF($E74="男",$Q74-3.2,$Q74-3.2),0),IF($B74="高二",MIN(IF($E74="男",$Q74-3.25,$Q74-3.22),0),IF($B74="高一",MIN(IF($E74="男",$Q74-3.3,$Q74-3.24),0))))),2)</f>
        <v>0</v>
      </c>
      <c r="T74" s="23">
        <f>IF(E74="男",LOOKUP($S74,[1]对照表!$AB$3:$AB$13,[1]对照表!$AC$3:$AC$13),LOOKUP($S74,[1]对照表!$AB$15:$AB$25,[1]对照表!$AC$15:$AC$25))</f>
        <v>0</v>
      </c>
      <c r="U74" s="26">
        <f>R74+T74</f>
        <v>70</v>
      </c>
      <c r="V74" s="26">
        <f>SUM(I74,K74,M74)/3*0.3+SUM(G74,R74)/2*0.4</f>
        <v>55</v>
      </c>
      <c r="W74" s="27">
        <f>O74+T74</f>
        <v>0</v>
      </c>
      <c r="X74" s="28">
        <f>V74/0.7+W74</f>
        <v>78.571428571428569</v>
      </c>
      <c r="Y74" s="28">
        <v>78.571428571428569</v>
      </c>
      <c r="Z74" s="21"/>
    </row>
    <row r="75" spans="1:26" x14ac:dyDescent="0.25">
      <c r="A75" s="16">
        <v>4</v>
      </c>
      <c r="B75" s="17" t="s">
        <v>21</v>
      </c>
      <c r="C75" s="16">
        <v>102</v>
      </c>
      <c r="D75" s="18" t="s">
        <v>384</v>
      </c>
      <c r="E75" s="17" t="s">
        <v>23</v>
      </c>
      <c r="F75" s="19">
        <v>7.5</v>
      </c>
      <c r="G75" s="32">
        <f>IF(B75="高三",IF($E75="男",LOOKUP(F75,[1]对照表!$G$3:$G$24,[1]对照表!$H$3:$H$24),LOOKUP(F75,[1]对照表!$G$27:$G$48,[1]对照表!$H$27:$H$48)),IF(B75="高二",IF($E75="男",LOOKUP(F75,[1]对照表!$F$3:$F$24,[1]对照表!$H$3:$H$24),LOOKUP(F75,[1]对照表!$F$27:$F$48,[1]对照表!$H$27:$H$48)),IF(B75="高一",IF($E75="男",LOOKUP(F75,[1]对照表!$E$3:$E$24,[1]对照表!$H$3:$H$24),LOOKUP(F75,[1]对照表!$E$27:$E$48,[1]对照表!$H$27:$H$48)))))</f>
        <v>80</v>
      </c>
      <c r="H75" s="21">
        <v>9</v>
      </c>
      <c r="I75" s="32">
        <f>IF(B75="高三",IF($E75="男",LOOKUP(H75,[1]对照表!$K$3:$K$24,[1]对照表!$L$3:$L$24),LOOKUP(H75,[1]对照表!$K$27:$K$48,[1]对照表!$L$27:$L$48)),IF(B75="高二",IF($E75="男",LOOKUP(H75,[1]对照表!$J$3:$J$24,[1]对照表!$L$3:$L$24),LOOKUP(H75,[1]对照表!$J$27:$J$48,[1]对照表!$L$27:$L$48)),IF(B75="高一",IF($E75="男",LOOKUP(H75,[1]对照表!$I$3:$I$24,[1]对照表!$L$3:$L$24),LOOKUP(H75,[1]对照表!$I$27:$I$48,[1]对照表!$L$27:$L$48)))))</f>
        <v>70</v>
      </c>
      <c r="J75" s="21">
        <v>228</v>
      </c>
      <c r="K75" s="32">
        <f>IF(B75="高三",IF($E75="男",LOOKUP(J75,[1]对照表!$O$3:$O$24,[1]对照表!$P$3:$P$24),LOOKUP(J75,[1]对照表!$O$27:$O$48,[1]对照表!$P$27:$P$48)),IF(B75="高二",IF($E75="男",LOOKUP(J75,[1]对照表!$N$3:$N$24,[1]对照表!$P$3:$P$24),LOOKUP(J75,[1]对照表!$N$27:$N$48,[1]对照表!$P$27:$P$48)),IF(B75="高一",IF($E75="男",LOOKUP(J75,[1]对照表!$M$3:$M$24,[1]对照表!$P$3:$P$24),LOOKUP(J75,[1]对照表!$M$27:$M$48,[1]对照表!$P$27:$P$48)))))</f>
        <v>76</v>
      </c>
      <c r="L75" s="21">
        <v>14</v>
      </c>
      <c r="M75" s="32">
        <f>IF(B75="高三",IF($E75="男",LOOKUP(L75,[1]对照表!$S$3:$S$24,[1]对照表!$T$3:$T$24),LOOKUP(L75,[1]对照表!$S$27:$S$48,[1]对照表!$T$27:$T$48)),IF(B75="高二",IF($E75="男",LOOKUP(L75,[1]对照表!$R$3:$R$24,[1]对照表!$T$3:$T$24),LOOKUP(L75,[1]对照表!$R$27:$R$48,[1]对照表!$T$27:$T$48)),IF(B75="高一",IF($E75="男",LOOKUP(L75,[1]对照表!$Q$3:$Q$24,[1]对照表!$T$3:$T$24),LOOKUP(L75,[1]对照表!$Q$27:$Q$48,[1]对照表!$T$27:$T$48)))))</f>
        <v>90</v>
      </c>
      <c r="N75" s="33">
        <f>IF(B75="高三",MAX(IF(E75="男",L75-18,L75-55),0),IF(B75="高二",MAX(IF(E75="男",L75-17,L75-54),0),IF(B75="高一",MAX(IF(E75="男",L75-16,L75-53),0))))</f>
        <v>0</v>
      </c>
      <c r="O75" s="23">
        <f>IF(E75="男",LOOKUP($N75,[1]对照表!$Z$3:$Z$13,[1]对照表!$AA$3:$AA$13),LOOKUP($N75,[1]对照表!$Z$15:$Z$25,[1]对照表!$AA$15:$AA$25))</f>
        <v>0</v>
      </c>
      <c r="P75" s="24">
        <f>M75+O75</f>
        <v>90</v>
      </c>
      <c r="Q75" s="25">
        <v>4.03</v>
      </c>
      <c r="R75" s="32">
        <f>IF(B75="高三",IF($E75="男",LOOKUP(Q75,[1]对照表!$W$3:$W$24,[1]对照表!$X$3:$X$24),LOOKUP(Q75,[1]对照表!$W$27:$W$48,[1]对照表!$X$27:$X$48)),IF(B75="高二",IF($E75="男",LOOKUP(Q75,[1]对照表!$V$3:$V$24,[1]对照表!$X$3:$X$24),LOOKUP(Q75,[1]对照表!$V$27:$V$48,[1]对照表!$X$27:$X$48)),IF(B75="高一",IF($E75="男",LOOKUP(Q75,[1]对照表!$U$3:$U$24,[1]对照表!$X$3:$X$24),LOOKUP(Q75,[1]对照表!$U$27:$U$48,[1]对照表!$X$27:$X$48)))))</f>
        <v>76</v>
      </c>
      <c r="S75" s="27">
        <f>ROUND(IF(IF($B75="高三",MIN(IF($E75="男",$Q75-3.2,$Q75-3.2),0),IF($B75="高二",MIN(IF($E75="男",$Q75-3.25,$Q75-3.22),0),IF($B75="高一",MIN(IF($E75="男",$Q75-3.3,$Q75-3.24),0))))&lt;-0.6,IF($B75="高三",MIN(IF($E75="男",$Q75-3.2,$Q75-3.2),0),IF($B75="高二",MIN(IF($E75="男",$Q75-3.25,$Q75-3.22),0),IF($B75="高一",MIN(IF($E75="男",$Q75-3.3,$Q75-3.24),0))))+0.4,IF($B75="高三",MIN(IF($E75="男",$Q75-3.2,$Q75-3.2),0),IF($B75="高二",MIN(IF($E75="男",$Q75-3.25,$Q75-3.22),0),IF($B75="高一",MIN(IF($E75="男",$Q75-3.3,$Q75-3.24),0))))),2)</f>
        <v>0</v>
      </c>
      <c r="T75" s="23">
        <f>IF(E75="男",LOOKUP($S75,[1]对照表!$AB$3:$AB$13,[1]对照表!$AC$3:$AC$13),LOOKUP($S75,[1]对照表!$AB$15:$AB$25,[1]对照表!$AC$15:$AC$25))</f>
        <v>0</v>
      </c>
      <c r="U75" s="26">
        <f>R75+T75</f>
        <v>76</v>
      </c>
      <c r="V75" s="26">
        <f>SUM(I75,K75,M75)/3*0.3+SUM(G75,R75)/2*0.4</f>
        <v>54.800000000000004</v>
      </c>
      <c r="W75" s="27">
        <f>O75+T75</f>
        <v>0</v>
      </c>
      <c r="X75" s="28">
        <f>V75/0.7+W75</f>
        <v>78.285714285714292</v>
      </c>
      <c r="Y75" s="28">
        <v>78.285714285714292</v>
      </c>
      <c r="Z75" s="21"/>
    </row>
    <row r="76" spans="1:26" x14ac:dyDescent="0.25">
      <c r="A76" s="16">
        <v>45</v>
      </c>
      <c r="B76" s="17" t="s">
        <v>21</v>
      </c>
      <c r="C76" s="16">
        <v>102</v>
      </c>
      <c r="D76" s="18" t="s">
        <v>409</v>
      </c>
      <c r="E76" s="16" t="s">
        <v>65</v>
      </c>
      <c r="F76" s="19">
        <v>8.7899999999999991</v>
      </c>
      <c r="G76" s="32">
        <f>IF(B76="高三",IF($E76="男",LOOKUP(F76,[1]对照表!$G$3:$G$24,[1]对照表!$H$3:$H$24),LOOKUP(F76,[1]对照表!$G$27:$G$48,[1]对照表!$H$27:$H$48)),IF(B76="高二",IF($E76="男",LOOKUP(F76,[1]对照表!$F$3:$F$24,[1]对照表!$H$3:$H$24),LOOKUP(F76,[1]对照表!$F$27:$F$48,[1]对照表!$H$27:$H$48)),IF(B76="高一",IF($E76="男",LOOKUP(F76,[1]对照表!$E$3:$E$24,[1]对照表!$H$3:$H$24),LOOKUP(F76,[1]对照表!$E$27:$E$48,[1]对照表!$H$27:$H$48)))))</f>
        <v>78</v>
      </c>
      <c r="H76" s="21"/>
      <c r="I76" s="20">
        <v>0</v>
      </c>
      <c r="J76" s="21"/>
      <c r="K76" s="20">
        <v>0</v>
      </c>
      <c r="L76" s="21"/>
      <c r="M76" s="20">
        <v>0</v>
      </c>
      <c r="N76" s="33">
        <f>IF(B76="高三",MAX(IF(E76="男",L76-18,L76-55),0),IF(B76="高二",MAX(IF(E76="男",L76-17,L76-54),0),IF(B76="高一",MAX(IF(E76="男",L76-16,L76-53),0))))</f>
        <v>0</v>
      </c>
      <c r="O76" s="23">
        <f>IF(E76="男",LOOKUP($N76,[1]对照表!$Z$3:$Z$13,[1]对照表!$AA$3:$AA$13),LOOKUP($N76,[1]对照表!$Z$15:$Z$25,[1]对照表!$AA$15:$AA$25))</f>
        <v>0</v>
      </c>
      <c r="P76" s="24">
        <f>M76+O76</f>
        <v>0</v>
      </c>
      <c r="Q76" s="25">
        <v>3.38</v>
      </c>
      <c r="R76" s="32">
        <f>IF(B76="高三",IF($E76="男",LOOKUP(Q76,[1]对照表!$W$3:$W$24,[1]对照表!$X$3:$X$24),LOOKUP(Q76,[1]对照表!$W$27:$W$48,[1]对照表!$X$27:$X$48)),IF(B76="高二",IF($E76="男",LOOKUP(Q76,[1]对照表!$V$3:$V$24,[1]对照表!$X$3:$X$24),LOOKUP(Q76,[1]对照表!$V$27:$V$48,[1]对照表!$X$27:$X$48)),IF(B76="高一",IF($E76="男",LOOKUP(Q76,[1]对照表!$U$3:$U$24,[1]对照表!$X$3:$X$24),LOOKUP(Q76,[1]对照表!$U$27:$U$48,[1]对照表!$X$27:$X$48)))))</f>
        <v>85</v>
      </c>
      <c r="S76" s="33">
        <f>ROUND(IF(IF($B76="高三",MIN(IF($E76="男",$Q76-3.2,$Q76-3.2),0),IF($B76="高二",MIN(IF($E76="男",$Q76-3.25,$Q76-3.22),0),IF($B76="高一",MIN(IF($E76="男",$Q76-3.3,$Q76-3.24),0))))&lt;-0.6,IF($B76="高三",MIN(IF($E76="男",$Q76-3.2,$Q76-3.2),0),IF($B76="高二",MIN(IF($E76="男",$Q76-3.25,$Q76-3.22),0),IF($B76="高一",MIN(IF($E76="男",$Q76-3.3,$Q76-3.24),0))))+0.4,IF($B76="高三",MIN(IF($E76="男",$Q76-3.2,$Q76-3.2),0),IF($B76="高二",MIN(IF($E76="男",$Q76-3.25,$Q76-3.22),0),IF($B76="高一",MIN(IF($E76="男",$Q76-3.3,$Q76-3.24),0))))),2)</f>
        <v>0</v>
      </c>
      <c r="T76" s="23">
        <f>IF(E76="男",LOOKUP($S76,[1]对照表!$AB$3:$AB$13,[1]对照表!$AC$3:$AC$13),LOOKUP($S76,[1]对照表!$AB$15:$AB$25,[1]对照表!$AC$15:$AC$25))</f>
        <v>0</v>
      </c>
      <c r="U76" s="26">
        <f>R76+T76</f>
        <v>85</v>
      </c>
      <c r="V76" s="26">
        <f>SUM(I76,K76,M76)/3*0.3+SUM(G76,R76)/2*0.4</f>
        <v>32.6</v>
      </c>
      <c r="W76" s="27">
        <f>O76+T76</f>
        <v>0</v>
      </c>
      <c r="X76" s="28">
        <f>V76/0.7+W76</f>
        <v>46.571428571428577</v>
      </c>
      <c r="Y76" s="29">
        <v>50</v>
      </c>
      <c r="Z76" s="21"/>
    </row>
    <row r="77" spans="1:26" x14ac:dyDescent="0.25">
      <c r="A77" s="16">
        <v>24</v>
      </c>
      <c r="B77" s="17" t="s">
        <v>21</v>
      </c>
      <c r="C77" s="16">
        <v>102</v>
      </c>
      <c r="D77" s="18" t="s">
        <v>416</v>
      </c>
      <c r="E77" s="17" t="s">
        <v>23</v>
      </c>
      <c r="F77" s="19">
        <v>7.2</v>
      </c>
      <c r="G77" s="32">
        <f>IF(B77="高三",IF($E77="男",LOOKUP(F77,[1]对照表!$G$3:$G$24,[1]对照表!$H$3:$H$24),LOOKUP(F77,[1]对照表!$G$27:$G$48,[1]对照表!$H$27:$H$48)),IF(B77="高二",IF($E77="男",LOOKUP(F77,[1]对照表!$F$3:$F$24,[1]对照表!$H$3:$H$24),LOOKUP(F77,[1]对照表!$F$27:$F$48,[1]对照表!$H$27:$H$48)),IF(B77="高一",IF($E77="男",LOOKUP(F77,[1]对照表!$E$3:$E$24,[1]对照表!$H$3:$H$24),LOOKUP(F77,[1]对照表!$E$27:$E$48,[1]对照表!$H$27:$H$48)))))</f>
        <v>95</v>
      </c>
      <c r="H77" s="21">
        <v>16</v>
      </c>
      <c r="I77" s="32">
        <f>IF(B77="高三",IF($E77="男",LOOKUP(H77,[1]对照表!$K$3:$K$24,[1]对照表!$L$3:$L$24),LOOKUP(H77,[1]对照表!$K$27:$K$48,[1]对照表!$L$27:$L$48)),IF(B77="高二",IF($E77="男",LOOKUP(H77,[1]对照表!$J$3:$J$24,[1]对照表!$L$3:$L$24),LOOKUP(H77,[1]对照表!$J$27:$J$48,[1]对照表!$L$27:$L$48)),IF(B77="高一",IF($E77="男",LOOKUP(H77,[1]对照表!$I$3:$I$24,[1]对照表!$L$3:$L$24),LOOKUP(H77,[1]对照表!$I$27:$I$48,[1]对照表!$L$27:$L$48)))))</f>
        <v>80</v>
      </c>
      <c r="J77" s="21">
        <v>237</v>
      </c>
      <c r="K77" s="32">
        <f>IF(B77="高三",IF($E77="男",LOOKUP(J77,[1]对照表!$O$3:$O$24,[1]对照表!$P$3:$P$24),LOOKUP(J77,[1]对照表!$O$27:$O$48,[1]对照表!$P$27:$P$48)),IF(B77="高二",IF($E77="男",LOOKUP(J77,[1]对照表!$N$3:$N$24,[1]对照表!$P$3:$P$24),LOOKUP(J77,[1]对照表!$N$27:$N$48,[1]对照表!$P$27:$P$48)),IF(B77="高一",IF($E77="男",LOOKUP(J77,[1]对照表!$M$3:$M$24,[1]对照表!$P$3:$P$24),LOOKUP(J77,[1]对照表!$M$27:$M$48,[1]对照表!$P$27:$P$48)))))</f>
        <v>80</v>
      </c>
      <c r="L77" s="21">
        <v>5</v>
      </c>
      <c r="M77" s="32">
        <f>IF(B77="高三",IF($E77="男",LOOKUP(L77,[1]对照表!$S$3:$S$24,[1]对照表!$T$3:$T$24),LOOKUP(L77,[1]对照表!$S$27:$S$48,[1]对照表!$T$27:$T$48)),IF(B77="高二",IF($E77="男",LOOKUP(L77,[1]对照表!$R$3:$R$24,[1]对照表!$T$3:$T$24),LOOKUP(L77,[1]对照表!$R$27:$R$48,[1]对照表!$T$27:$T$48)),IF(B77="高一",IF($E77="男",LOOKUP(L77,[1]对照表!$Q$3:$Q$24,[1]对照表!$T$3:$T$24),LOOKUP(L77,[1]对照表!$Q$27:$Q$48,[1]对照表!$T$27:$T$48)))))</f>
        <v>40</v>
      </c>
      <c r="N77" s="33">
        <f>IF(B77="高三",MAX(IF(E77="男",L77-18,L77-55),0),IF(B77="高二",MAX(IF(E77="男",L77-17,L77-54),0),IF(B77="高一",MAX(IF(E77="男",L77-16,L77-53),0))))</f>
        <v>0</v>
      </c>
      <c r="O77" s="23">
        <f>IF(E77="男",LOOKUP($N77,[1]对照表!$Z$3:$Z$13,[1]对照表!$AA$3:$AA$13),LOOKUP($N77,[1]对照表!$Z$15:$Z$25,[1]对照表!$AA$15:$AA$25))</f>
        <v>0</v>
      </c>
      <c r="P77" s="24">
        <f>M77+O77</f>
        <v>40</v>
      </c>
      <c r="Q77" s="25">
        <v>4.0999999999999996</v>
      </c>
      <c r="R77" s="32">
        <f>IF(B77="高三",IF($E77="男",LOOKUP(Q77,[1]对照表!$W$3:$W$24,[1]对照表!$X$3:$X$24),LOOKUP(Q77,[1]对照表!$W$27:$W$48,[1]对照表!$X$27:$X$48)),IF(B77="高二",IF($E77="男",LOOKUP(Q77,[1]对照表!$V$3:$V$24,[1]对照表!$X$3:$X$24),LOOKUP(Q77,[1]对照表!$V$27:$V$48,[1]对照表!$X$27:$X$48)),IF(B77="高一",IF($E77="男",LOOKUP(Q77,[1]对照表!$U$3:$U$24,[1]对照表!$X$3:$X$24),LOOKUP(Q77,[1]对照表!$U$27:$U$48,[1]对照表!$X$27:$X$48)))))</f>
        <v>74</v>
      </c>
      <c r="S77" s="33">
        <f>ROUND(IF(IF($B77="高三",MIN(IF($E77="男",$Q77-3.2,$Q77-3.2),0),IF($B77="高二",MIN(IF($E77="男",$Q77-3.25,$Q77-3.22),0),IF($B77="高一",MIN(IF($E77="男",$Q77-3.3,$Q77-3.24),0))))&lt;-0.6,IF($B77="高三",MIN(IF($E77="男",$Q77-3.2,$Q77-3.2),0),IF($B77="高二",MIN(IF($E77="男",$Q77-3.25,$Q77-3.22),0),IF($B77="高一",MIN(IF($E77="男",$Q77-3.3,$Q77-3.24),0))))+0.4,IF($B77="高三",MIN(IF($E77="男",$Q77-3.2,$Q77-3.2),0),IF($B77="高二",MIN(IF($E77="男",$Q77-3.25,$Q77-3.22),0),IF($B77="高一",MIN(IF($E77="男",$Q77-3.3,$Q77-3.24),0))))),2)</f>
        <v>0</v>
      </c>
      <c r="T77" s="23">
        <f>IF(E77="男",LOOKUP($S77,[1]对照表!$AB$3:$AB$13,[1]对照表!$AC$3:$AC$13),LOOKUP($S77,[1]对照表!$AB$15:$AB$25,[1]对照表!$AC$15:$AC$25))</f>
        <v>0</v>
      </c>
      <c r="U77" s="26">
        <f>R77+T77</f>
        <v>74</v>
      </c>
      <c r="V77" s="26">
        <f>SUM(I77,K77,M77)/3*0.3+SUM(G77,R77)/2*0.4</f>
        <v>53.800000000000004</v>
      </c>
      <c r="W77" s="27">
        <f>O77+T77</f>
        <v>0</v>
      </c>
      <c r="X77" s="28">
        <f>V77/0.7+W77</f>
        <v>76.857142857142861</v>
      </c>
      <c r="Y77" s="28">
        <v>76.857142857142861</v>
      </c>
      <c r="Z77" s="21"/>
    </row>
    <row r="78" spans="1:26" x14ac:dyDescent="0.25">
      <c r="A78" s="16">
        <v>6</v>
      </c>
      <c r="B78" s="17" t="s">
        <v>21</v>
      </c>
      <c r="C78" s="16">
        <v>102</v>
      </c>
      <c r="D78" s="18" t="s">
        <v>439</v>
      </c>
      <c r="E78" s="17" t="s">
        <v>23</v>
      </c>
      <c r="F78" s="19">
        <v>8.3000000000000007</v>
      </c>
      <c r="G78" s="32">
        <f>IF(B78="高三",IF($E78="男",LOOKUP(F78,[1]对照表!$G$3:$G$24,[1]对照表!$H$3:$H$24),LOOKUP(F78,[1]对照表!$G$27:$G$48,[1]对照表!$H$27:$H$48)),IF(B78="高二",IF($E78="男",LOOKUP(F78,[1]对照表!$F$3:$F$24,[1]对照表!$H$3:$H$24),LOOKUP(F78,[1]对照表!$F$27:$F$48,[1]对照表!$H$27:$H$48)),IF(B78="高一",IF($E78="男",LOOKUP(F78,[1]对照表!$E$3:$E$24,[1]对照表!$H$3:$H$24),LOOKUP(F78,[1]对照表!$E$27:$E$48,[1]对照表!$H$27:$H$48)))))</f>
        <v>72</v>
      </c>
      <c r="H78" s="21">
        <v>15</v>
      </c>
      <c r="I78" s="32">
        <f>IF(B78="高三",IF($E78="男",LOOKUP(H78,[1]对照表!$K$3:$K$24,[1]对照表!$L$3:$L$24),LOOKUP(H78,[1]对照表!$K$27:$K$48,[1]对照表!$L$27:$L$48)),IF(B78="高二",IF($E78="男",LOOKUP(H78,[1]对照表!$J$3:$J$24,[1]对照表!$L$3:$L$24),LOOKUP(H78,[1]对照表!$J$27:$J$48,[1]对照表!$L$27:$L$48)),IF(B78="高一",IF($E78="男",LOOKUP(H78,[1]对照表!$I$3:$I$24,[1]对照表!$L$3:$L$24),LOOKUP(H78,[1]对照表!$I$27:$I$48,[1]对照表!$L$27:$L$48)))))</f>
        <v>80</v>
      </c>
      <c r="J78" s="21">
        <v>226</v>
      </c>
      <c r="K78" s="32">
        <f>IF(B78="高三",IF($E78="男",LOOKUP(J78,[1]对照表!$O$3:$O$24,[1]对照表!$P$3:$P$24),LOOKUP(J78,[1]对照表!$O$27:$O$48,[1]对照表!$P$27:$P$48)),IF(B78="高二",IF($E78="男",LOOKUP(J78,[1]对照表!$N$3:$N$24,[1]对照表!$P$3:$P$24),LOOKUP(J78,[1]对照表!$N$27:$N$48,[1]对照表!$P$27:$P$48)),IF(B78="高一",IF($E78="男",LOOKUP(J78,[1]对照表!$M$3:$M$24,[1]对照表!$P$3:$P$24),LOOKUP(J78,[1]对照表!$M$27:$M$48,[1]对照表!$P$27:$P$48)))))</f>
        <v>74</v>
      </c>
      <c r="L78" s="21">
        <v>12</v>
      </c>
      <c r="M78" s="32">
        <f>IF(B78="高三",IF($E78="男",LOOKUP(L78,[1]对照表!$S$3:$S$24,[1]对照表!$T$3:$T$24),LOOKUP(L78,[1]对照表!$S$27:$S$48,[1]对照表!$T$27:$T$48)),IF(B78="高二",IF($E78="男",LOOKUP(L78,[1]对照表!$R$3:$R$24,[1]对照表!$T$3:$T$24),LOOKUP(L78,[1]对照表!$R$27:$R$48,[1]对照表!$T$27:$T$48)),IF(B78="高一",IF($E78="男",LOOKUP(L78,[1]对照表!$Q$3:$Q$24,[1]对照表!$T$3:$T$24),LOOKUP(L78,[1]对照表!$Q$27:$Q$48,[1]对照表!$T$27:$T$48)))))</f>
        <v>80</v>
      </c>
      <c r="N78" s="33">
        <f>IF(B78="高三",MAX(IF(E78="男",L78-18,L78-55),0),IF(B78="高二",MAX(IF(E78="男",L78-17,L78-54),0),IF(B78="高一",MAX(IF(E78="男",L78-16,L78-53),0))))</f>
        <v>0</v>
      </c>
      <c r="O78" s="23">
        <f>IF(E78="男",LOOKUP($N78,[1]对照表!$Z$3:$Z$13,[1]对照表!$AA$3:$AA$13),LOOKUP($N78,[1]对照表!$Z$15:$Z$25,[1]对照表!$AA$15:$AA$25))</f>
        <v>0</v>
      </c>
      <c r="P78" s="24">
        <f>M78+O78</f>
        <v>80</v>
      </c>
      <c r="Q78" s="25">
        <v>4.2</v>
      </c>
      <c r="R78" s="32">
        <f>IF(B78="高三",IF($E78="男",LOOKUP(Q78,[1]对照表!$W$3:$W$24,[1]对照表!$X$3:$X$24),LOOKUP(Q78,[1]对照表!$W$27:$W$48,[1]对照表!$X$27:$X$48)),IF(B78="高二",IF($E78="男",LOOKUP(Q78,[1]对照表!$V$3:$V$24,[1]对照表!$X$3:$X$24),LOOKUP(Q78,[1]对照表!$V$27:$V$48,[1]对照表!$X$27:$X$48)),IF(B78="高一",IF($E78="男",LOOKUP(Q78,[1]对照表!$U$3:$U$24,[1]对照表!$X$3:$X$24),LOOKUP(Q78,[1]对照表!$U$27:$U$48,[1]对照表!$X$27:$X$48)))))</f>
        <v>70</v>
      </c>
      <c r="S78" s="33">
        <f>ROUND(IF(IF($B78="高三",MIN(IF($E78="男",$Q78-3.2,$Q78-3.2),0),IF($B78="高二",MIN(IF($E78="男",$Q78-3.25,$Q78-3.22),0),IF($B78="高一",MIN(IF($E78="男",$Q78-3.3,$Q78-3.24),0))))&lt;-0.6,IF($B78="高三",MIN(IF($E78="男",$Q78-3.2,$Q78-3.2),0),IF($B78="高二",MIN(IF($E78="男",$Q78-3.25,$Q78-3.22),0),IF($B78="高一",MIN(IF($E78="男",$Q78-3.3,$Q78-3.24),0))))+0.4,IF($B78="高三",MIN(IF($E78="男",$Q78-3.2,$Q78-3.2),0),IF($B78="高二",MIN(IF($E78="男",$Q78-3.25,$Q78-3.22),0),IF($B78="高一",MIN(IF($E78="男",$Q78-3.3,$Q78-3.24),0))))),2)</f>
        <v>0</v>
      </c>
      <c r="T78" s="23">
        <f>IF(E78="男",LOOKUP($S78,[1]对照表!$AB$3:$AB$13,[1]对照表!$AC$3:$AC$13),LOOKUP($S78,[1]对照表!$AB$15:$AB$25,[1]对照表!$AC$15:$AC$25))</f>
        <v>0</v>
      </c>
      <c r="U78" s="26">
        <f>R78+T78</f>
        <v>70</v>
      </c>
      <c r="V78" s="26">
        <f>SUM(I78,K78,M78)/3*0.3+SUM(G78,R78)/2*0.4</f>
        <v>51.8</v>
      </c>
      <c r="W78" s="27">
        <f>O78+T78</f>
        <v>0</v>
      </c>
      <c r="X78" s="28">
        <f>V78/0.7+W78</f>
        <v>74</v>
      </c>
      <c r="Y78" s="28">
        <v>74</v>
      </c>
      <c r="Z78" s="21"/>
    </row>
    <row r="79" spans="1:26" x14ac:dyDescent="0.25">
      <c r="A79" s="16">
        <v>31</v>
      </c>
      <c r="B79" s="17" t="s">
        <v>21</v>
      </c>
      <c r="C79" s="16">
        <v>102</v>
      </c>
      <c r="D79" s="18" t="s">
        <v>484</v>
      </c>
      <c r="E79" s="31" t="s">
        <v>23</v>
      </c>
      <c r="F79" s="19">
        <v>8</v>
      </c>
      <c r="G79" s="32">
        <f>IF(B79="高三",IF($E79="男",LOOKUP(F79,[1]对照表!$G$3:$G$24,[1]对照表!$H$3:$H$24),LOOKUP(F79,[1]对照表!$G$27:$G$48,[1]对照表!$H$27:$H$48)),IF(B79="高二",IF($E79="男",LOOKUP(F79,[1]对照表!$F$3:$F$24,[1]对照表!$H$3:$H$24),LOOKUP(F79,[1]对照表!$F$27:$F$48,[1]对照表!$H$27:$H$48)),IF(B79="高一",IF($E79="男",LOOKUP(F79,[1]对照表!$E$3:$E$24,[1]对照表!$H$3:$H$24),LOOKUP(F79,[1]对照表!$E$27:$E$48,[1]对照表!$H$27:$H$48)))))</f>
        <v>74</v>
      </c>
      <c r="H79" s="21">
        <v>6.2</v>
      </c>
      <c r="I79" s="32">
        <f>IF(B79="高三",IF($E79="男",LOOKUP(H79,[1]对照表!$K$3:$K$24,[1]对照表!$L$3:$L$24),LOOKUP(H79,[1]对照表!$K$27:$K$48,[1]对照表!$L$27:$L$48)),IF(B79="高二",IF($E79="男",LOOKUP(H79,[1]对照表!$J$3:$J$24,[1]对照表!$L$3:$L$24),LOOKUP(H79,[1]对照表!$J$27:$J$48,[1]对照表!$L$27:$L$48)),IF(B79="高一",IF($E79="男",LOOKUP(H79,[1]对照表!$I$3:$I$24,[1]对照表!$L$3:$L$24),LOOKUP(H79,[1]对照表!$I$27:$I$48,[1]对照表!$L$27:$L$48)))))</f>
        <v>66</v>
      </c>
      <c r="J79" s="21">
        <v>210</v>
      </c>
      <c r="K79" s="32">
        <f>IF(B79="高三",IF($E79="男",LOOKUP(J79,[1]对照表!$O$3:$O$24,[1]对照表!$P$3:$P$24),LOOKUP(J79,[1]对照表!$O$27:$O$48,[1]对照表!$P$27:$P$48)),IF(B79="高二",IF($E79="男",LOOKUP(J79,[1]对照表!$N$3:$N$24,[1]对照表!$P$3:$P$24),LOOKUP(J79,[1]对照表!$N$27:$N$48,[1]对照表!$P$27:$P$48)),IF(B79="高一",IF($E79="男",LOOKUP(J79,[1]对照表!$M$3:$M$24,[1]对照表!$P$3:$P$24),LOOKUP(J79,[1]对照表!$M$27:$M$48,[1]对照表!$P$27:$P$48)))))</f>
        <v>66</v>
      </c>
      <c r="L79" s="21">
        <v>11</v>
      </c>
      <c r="M79" s="32">
        <f>IF(B79="高三",IF($E79="男",LOOKUP(L79,[1]对照表!$S$3:$S$24,[1]对照表!$T$3:$T$24),LOOKUP(L79,[1]对照表!$S$27:$S$48,[1]对照表!$T$27:$T$48)),IF(B79="高二",IF($E79="男",LOOKUP(L79,[1]对照表!$R$3:$R$24,[1]对照表!$T$3:$T$24),LOOKUP(L79,[1]对照表!$R$27:$R$48,[1]对照表!$T$27:$T$48)),IF(B79="高一",IF($E79="男",LOOKUP(L79,[1]对照表!$Q$3:$Q$24,[1]对照表!$T$3:$T$24),LOOKUP(L79,[1]对照表!$Q$27:$Q$48,[1]对照表!$T$27:$T$48)))))</f>
        <v>76</v>
      </c>
      <c r="N79" s="33">
        <f>IF(B79="高三",MAX(IF(E79="男",L79-18,L79-55),0),IF(B79="高二",MAX(IF(E79="男",L79-17,L79-54),0),IF(B79="高一",MAX(IF(E79="男",L79-16,L79-53),0))))</f>
        <v>0</v>
      </c>
      <c r="O79" s="23">
        <f>IF(E79="男",LOOKUP($N79,[1]对照表!$Z$3:$Z$13,[1]对照表!$AA$3:$AA$13),LOOKUP($N79,[1]对照表!$Z$15:$Z$25,[1]对照表!$AA$15:$AA$25))</f>
        <v>0</v>
      </c>
      <c r="P79" s="24">
        <f>M79+O79</f>
        <v>76</v>
      </c>
      <c r="Q79" s="25">
        <v>4.16</v>
      </c>
      <c r="R79" s="32">
        <f>IF(B79="高三",IF($E79="男",LOOKUP(Q79,[1]对照表!$W$3:$W$24,[1]对照表!$X$3:$X$24),LOOKUP(Q79,[1]对照表!$W$27:$W$48,[1]对照表!$X$27:$X$48)),IF(B79="高二",IF($E79="男",LOOKUP(Q79,[1]对照表!$V$3:$V$24,[1]对照表!$X$3:$X$24),LOOKUP(Q79,[1]对照表!$V$27:$V$48,[1]对照表!$X$27:$X$48)),IF(B79="高一",IF($E79="男",LOOKUP(Q79,[1]对照表!$U$3:$U$24,[1]对照表!$X$3:$X$24),LOOKUP(Q79,[1]对照表!$U$27:$U$48,[1]对照表!$X$27:$X$48)))))</f>
        <v>70</v>
      </c>
      <c r="S79" s="33">
        <f>ROUND(IF(IF($B79="高三",MIN(IF($E79="男",$Q79-3.2,$Q79-3.2),0),IF($B79="高二",MIN(IF($E79="男",$Q79-3.25,$Q79-3.22),0),IF($B79="高一",MIN(IF($E79="男",$Q79-3.3,$Q79-3.24),0))))&lt;-0.6,IF($B79="高三",MIN(IF($E79="男",$Q79-3.2,$Q79-3.2),0),IF($B79="高二",MIN(IF($E79="男",$Q79-3.25,$Q79-3.22),0),IF($B79="高一",MIN(IF($E79="男",$Q79-3.3,$Q79-3.24),0))))+0.4,IF($B79="高三",MIN(IF($E79="男",$Q79-3.2,$Q79-3.2),0),IF($B79="高二",MIN(IF($E79="男",$Q79-3.25,$Q79-3.22),0),IF($B79="高一",MIN(IF($E79="男",$Q79-3.3,$Q79-3.24),0))))),2)</f>
        <v>0</v>
      </c>
      <c r="T79" s="23">
        <f>IF(E79="男",LOOKUP($S79,[1]对照表!$AB$3:$AB$13,[1]对照表!$AC$3:$AC$13),LOOKUP($S79,[1]对照表!$AB$15:$AB$25,[1]对照表!$AC$15:$AC$25))</f>
        <v>0</v>
      </c>
      <c r="U79" s="26">
        <f>R79+T79</f>
        <v>70</v>
      </c>
      <c r="V79" s="26">
        <f>SUM(I79,K79,M79)/3*0.3+SUM(G79,R79)/2*0.4</f>
        <v>49.599999999999994</v>
      </c>
      <c r="W79" s="27">
        <f>O79+T79</f>
        <v>0</v>
      </c>
      <c r="X79" s="28">
        <f>V79/0.7+W79</f>
        <v>70.857142857142847</v>
      </c>
      <c r="Y79" s="28">
        <v>70.857142857142847</v>
      </c>
      <c r="Z79" s="21"/>
    </row>
    <row r="80" spans="1:26" x14ac:dyDescent="0.25">
      <c r="A80" s="16">
        <v>2</v>
      </c>
      <c r="B80" s="17" t="s">
        <v>21</v>
      </c>
      <c r="C80" s="16">
        <v>102</v>
      </c>
      <c r="D80" s="18" t="s">
        <v>534</v>
      </c>
      <c r="E80" s="17" t="s">
        <v>23</v>
      </c>
      <c r="F80" s="19">
        <v>7.6</v>
      </c>
      <c r="G80" s="32">
        <f>IF(B80="高三",IF($E80="男",LOOKUP(F80,[1]对照表!$G$3:$G$24,[1]对照表!$H$3:$H$24),LOOKUP(F80,[1]对照表!$G$27:$G$48,[1]对照表!$H$27:$H$48)),IF(B80="高二",IF($E80="男",LOOKUP(F80,[1]对照表!$F$3:$F$24,[1]对照表!$H$3:$H$24),LOOKUP(F80,[1]对照表!$F$27:$F$48,[1]对照表!$H$27:$H$48)),IF(B80="高一",IF($E80="男",LOOKUP(F80,[1]对照表!$E$3:$E$24,[1]对照表!$H$3:$H$24),LOOKUP(F80,[1]对照表!$E$27:$E$48,[1]对照表!$H$27:$H$48)))))</f>
        <v>78</v>
      </c>
      <c r="H80" s="21">
        <v>8.5</v>
      </c>
      <c r="I80" s="32">
        <f>IF(B80="高三",IF($E80="男",LOOKUP(H80,[1]对照表!$K$3:$K$24,[1]对照表!$L$3:$L$24),LOOKUP(H80,[1]对照表!$K$27:$K$48,[1]对照表!$L$27:$L$48)),IF(B80="高二",IF($E80="男",LOOKUP(H80,[1]对照表!$J$3:$J$24,[1]对照表!$L$3:$L$24),LOOKUP(H80,[1]对照表!$J$27:$J$48,[1]对照表!$L$27:$L$48)),IF(B80="高一",IF($E80="男",LOOKUP(H80,[1]对照表!$I$3:$I$24,[1]对照表!$L$3:$L$24),LOOKUP(H80,[1]对照表!$I$27:$I$48,[1]对照表!$L$27:$L$48)))))</f>
        <v>70</v>
      </c>
      <c r="J80" s="21">
        <v>217</v>
      </c>
      <c r="K80" s="32">
        <f>IF(B80="高三",IF($E80="男",LOOKUP(J80,[1]对照表!$O$3:$O$24,[1]对照表!$P$3:$P$24),LOOKUP(J80,[1]对照表!$O$27:$O$48,[1]对照表!$P$27:$P$48)),IF(B80="高二",IF($E80="男",LOOKUP(J80,[1]对照表!$N$3:$N$24,[1]对照表!$P$3:$P$24),LOOKUP(J80,[1]对照表!$N$27:$N$48,[1]对照表!$P$27:$P$48)),IF(B80="高一",IF($E80="男",LOOKUP(J80,[1]对照表!$M$3:$M$24,[1]对照表!$P$3:$P$24),LOOKUP(J80,[1]对照表!$M$27:$M$48,[1]对照表!$P$27:$P$48)))))</f>
        <v>70</v>
      </c>
      <c r="L80" s="21">
        <v>5</v>
      </c>
      <c r="M80" s="32">
        <f>IF(B80="高三",IF($E80="男",LOOKUP(L80,[1]对照表!$S$3:$S$24,[1]对照表!$T$3:$T$24),LOOKUP(L80,[1]对照表!$S$27:$S$48,[1]对照表!$T$27:$T$48)),IF(B80="高二",IF($E80="男",LOOKUP(L80,[1]对照表!$R$3:$R$24,[1]对照表!$T$3:$T$24),LOOKUP(L80,[1]对照表!$R$27:$R$48,[1]对照表!$T$27:$T$48)),IF(B80="高一",IF($E80="男",LOOKUP(L80,[1]对照表!$Q$3:$Q$24,[1]对照表!$T$3:$T$24),LOOKUP(L80,[1]对照表!$Q$27:$Q$48,[1]对照表!$T$27:$T$48)))))</f>
        <v>40</v>
      </c>
      <c r="N80" s="33">
        <f>IF(B80="高三",MAX(IF(E80="男",L80-18,L80-55),0),IF(B80="高二",MAX(IF(E80="男",L80-17,L80-54),0),IF(B80="高一",MAX(IF(E80="男",L80-16,L80-53),0))))</f>
        <v>0</v>
      </c>
      <c r="O80" s="23">
        <f>IF(E80="男",LOOKUP($N80,[1]对照表!$Z$3:$Z$13,[1]对照表!$AA$3:$AA$13),LOOKUP($N80,[1]对照表!$Z$15:$Z$25,[1]对照表!$AA$15:$AA$25))</f>
        <v>0</v>
      </c>
      <c r="P80" s="24">
        <f>M80+O80</f>
        <v>40</v>
      </c>
      <c r="Q80" s="25">
        <v>4.3</v>
      </c>
      <c r="R80" s="32">
        <f>IF(B80="高三",IF($E80="男",LOOKUP(Q80,[1]对照表!$W$3:$W$24,[1]对照表!$X$3:$X$24),LOOKUP(Q80,[1]对照表!$W$27:$W$48,[1]对照表!$X$27:$X$48)),IF(B80="高二",IF($E80="男",LOOKUP(Q80,[1]对照表!$V$3:$V$24,[1]对照表!$X$3:$X$24),LOOKUP(Q80,[1]对照表!$V$27:$V$48,[1]对照表!$X$27:$X$48)),IF(B80="高一",IF($E80="男",LOOKUP(Q80,[1]对照表!$U$3:$U$24,[1]对照表!$X$3:$X$24),LOOKUP(Q80,[1]对照表!$U$27:$U$48,[1]对照表!$X$27:$X$48)))))</f>
        <v>66</v>
      </c>
      <c r="S80" s="33">
        <f>ROUND(IF(IF($B80="高三",MIN(IF($E80="男",$Q80-3.2,$Q80-3.2),0),IF($B80="高二",MIN(IF($E80="男",$Q80-3.25,$Q80-3.22),0),IF($B80="高一",MIN(IF($E80="男",$Q80-3.3,$Q80-3.24),0))))&lt;-0.6,IF($B80="高三",MIN(IF($E80="男",$Q80-3.2,$Q80-3.2),0),IF($B80="高二",MIN(IF($E80="男",$Q80-3.25,$Q80-3.22),0),IF($B80="高一",MIN(IF($E80="男",$Q80-3.3,$Q80-3.24),0))))+0.4,IF($B80="高三",MIN(IF($E80="男",$Q80-3.2,$Q80-3.2),0),IF($B80="高二",MIN(IF($E80="男",$Q80-3.25,$Q80-3.22),0),IF($B80="高一",MIN(IF($E80="男",$Q80-3.3,$Q80-3.24),0))))),2)</f>
        <v>0</v>
      </c>
      <c r="T80" s="23">
        <f>IF(E80="男",LOOKUP($S80,[1]对照表!$AB$3:$AB$13,[1]对照表!$AC$3:$AC$13),LOOKUP($S80,[1]对照表!$AB$15:$AB$25,[1]对照表!$AC$15:$AC$25))</f>
        <v>0</v>
      </c>
      <c r="U80" s="26">
        <f>R80+T80</f>
        <v>66</v>
      </c>
      <c r="V80" s="26">
        <f>SUM(I80,K80,M80)/3*0.3+SUM(G80,R80)/2*0.4</f>
        <v>46.8</v>
      </c>
      <c r="W80" s="27">
        <f>O80+T80</f>
        <v>0</v>
      </c>
      <c r="X80" s="28">
        <f>V80/0.7+W80</f>
        <v>66.857142857142861</v>
      </c>
      <c r="Y80" s="28">
        <v>66.857142857142861</v>
      </c>
      <c r="Z80" s="21"/>
    </row>
    <row r="81" spans="1:26" x14ac:dyDescent="0.25">
      <c r="A81" s="16">
        <v>18</v>
      </c>
      <c r="B81" s="17" t="s">
        <v>21</v>
      </c>
      <c r="C81" s="16">
        <v>102</v>
      </c>
      <c r="D81" s="18" t="s">
        <v>546</v>
      </c>
      <c r="E81" s="16" t="s">
        <v>23</v>
      </c>
      <c r="F81" s="19">
        <v>7.6</v>
      </c>
      <c r="G81" s="32">
        <f>IF(B81="高三",IF($E81="男",LOOKUP(F81,[1]对照表!$G$3:$G$24,[1]对照表!$H$3:$H$24),LOOKUP(F81,[1]对照表!$G$27:$G$48,[1]对照表!$H$27:$H$48)),IF(B81="高二",IF($E81="男",LOOKUP(F81,[1]对照表!$F$3:$F$24,[1]对照表!$H$3:$H$24),LOOKUP(F81,[1]对照表!$F$27:$F$48,[1]对照表!$H$27:$H$48)),IF(B81="高一",IF($E81="男",LOOKUP(F81,[1]对照表!$E$3:$E$24,[1]对照表!$H$3:$H$24),LOOKUP(F81,[1]对照表!$E$27:$E$48,[1]对照表!$H$27:$H$48)))))</f>
        <v>78</v>
      </c>
      <c r="H81" s="21">
        <v>7</v>
      </c>
      <c r="I81" s="32">
        <f>IF(B81="高三",IF($E81="男",LOOKUP(H81,[1]对照表!$K$3:$K$24,[1]对照表!$L$3:$L$24),LOOKUP(H81,[1]对照表!$K$27:$K$48,[1]对照表!$L$27:$L$48)),IF(B81="高二",IF($E81="男",LOOKUP(H81,[1]对照表!$J$3:$J$24,[1]对照表!$L$3:$L$24),LOOKUP(H81,[1]对照表!$J$27:$J$48,[1]对照表!$L$27:$L$48)),IF(B81="高一",IF($E81="男",LOOKUP(H81,[1]对照表!$I$3:$I$24,[1]对照表!$L$3:$L$24),LOOKUP(H81,[1]对照表!$I$27:$I$48,[1]对照表!$L$27:$L$48)))))</f>
        <v>68</v>
      </c>
      <c r="J81" s="21">
        <v>205</v>
      </c>
      <c r="K81" s="32">
        <f>IF(B81="高三",IF($E81="男",LOOKUP(J81,[1]对照表!$O$3:$O$24,[1]对照表!$P$3:$P$24),LOOKUP(J81,[1]对照表!$O$27:$O$48,[1]对照表!$P$27:$P$48)),IF(B81="高二",IF($E81="男",LOOKUP(J81,[1]对照表!$N$3:$N$24,[1]对照表!$P$3:$P$24),LOOKUP(J81,[1]对照表!$N$27:$N$48,[1]对照表!$P$27:$P$48)),IF(B81="高一",IF($E81="男",LOOKUP(J81,[1]对照表!$M$3:$M$24,[1]对照表!$P$3:$P$24),LOOKUP(J81,[1]对照表!$M$27:$M$48,[1]对照表!$P$27:$P$48)))))</f>
        <v>64</v>
      </c>
      <c r="L81" s="21">
        <v>3</v>
      </c>
      <c r="M81" s="32">
        <f>IF(B81="高三",IF($E81="男",LOOKUP(L81,[1]对照表!$S$3:$S$24,[1]对照表!$T$3:$T$24),LOOKUP(L81,[1]对照表!$S$27:$S$48,[1]对照表!$T$27:$T$48)),IF(B81="高二",IF($E81="男",LOOKUP(L81,[1]对照表!$R$3:$R$24,[1]对照表!$T$3:$T$24),LOOKUP(L81,[1]对照表!$R$27:$R$48,[1]对照表!$T$27:$T$48)),IF(B81="高一",IF($E81="男",LOOKUP(L81,[1]对照表!$Q$3:$Q$24,[1]对照表!$T$3:$T$24),LOOKUP(L81,[1]对照表!$Q$27:$Q$48,[1]对照表!$T$27:$T$48)))))</f>
        <v>20</v>
      </c>
      <c r="N81" s="33">
        <f>IF(B81="高三",MAX(IF(E81="男",L81-18,L81-55),0),IF(B81="高二",MAX(IF(E81="男",L81-17,L81-54),0),IF(B81="高一",MAX(IF(E81="男",L81-16,L81-53),0))))</f>
        <v>0</v>
      </c>
      <c r="O81" s="23">
        <f>IF(E81="男",LOOKUP($N81,[1]对照表!$Z$3:$Z$13,[1]对照表!$AA$3:$AA$13),LOOKUP($N81,[1]对照表!$Z$15:$Z$25,[1]对照表!$AA$15:$AA$25))</f>
        <v>0</v>
      </c>
      <c r="P81" s="24">
        <f>M81+O81</f>
        <v>20</v>
      </c>
      <c r="Q81" s="25">
        <v>4.17</v>
      </c>
      <c r="R81" s="32">
        <f>IF(B81="高三",IF($E81="男",LOOKUP(Q81,[1]对照表!$W$3:$W$24,[1]对照表!$X$3:$X$24),LOOKUP(Q81,[1]对照表!$W$27:$W$48,[1]对照表!$X$27:$X$48)),IF(B81="高二",IF($E81="男",LOOKUP(Q81,[1]对照表!$V$3:$V$24,[1]对照表!$X$3:$X$24),LOOKUP(Q81,[1]对照表!$V$27:$V$48,[1]对照表!$X$27:$X$48)),IF(B81="高一",IF($E81="男",LOOKUP(Q81,[1]对照表!$U$3:$U$24,[1]对照表!$X$3:$X$24),LOOKUP(Q81,[1]对照表!$U$27:$U$48,[1]对照表!$X$27:$X$48)))))</f>
        <v>70</v>
      </c>
      <c r="S81" s="33">
        <f>ROUND(IF(IF($B81="高三",MIN(IF($E81="男",$Q81-3.2,$Q81-3.2),0),IF($B81="高二",MIN(IF($E81="男",$Q81-3.25,$Q81-3.22),0),IF($B81="高一",MIN(IF($E81="男",$Q81-3.3,$Q81-3.24),0))))&lt;-0.6,IF($B81="高三",MIN(IF($E81="男",$Q81-3.2,$Q81-3.2),0),IF($B81="高二",MIN(IF($E81="男",$Q81-3.25,$Q81-3.22),0),IF($B81="高一",MIN(IF($E81="男",$Q81-3.3,$Q81-3.24),0))))+0.4,IF($B81="高三",MIN(IF($E81="男",$Q81-3.2,$Q81-3.2),0),IF($B81="高二",MIN(IF($E81="男",$Q81-3.25,$Q81-3.22),0),IF($B81="高一",MIN(IF($E81="男",$Q81-3.3,$Q81-3.24),0))))),2)</f>
        <v>0</v>
      </c>
      <c r="T81" s="23">
        <f>IF(E81="男",LOOKUP($S81,[1]对照表!$AB$3:$AB$13,[1]对照表!$AC$3:$AC$13),LOOKUP($S81,[1]对照表!$AB$15:$AB$25,[1]对照表!$AC$15:$AC$25))</f>
        <v>0</v>
      </c>
      <c r="U81" s="26">
        <f>R81+T81</f>
        <v>70</v>
      </c>
      <c r="V81" s="26">
        <f>SUM(I81,K81,M81)/3*0.3+SUM(G81,R81)/2*0.4</f>
        <v>44.8</v>
      </c>
      <c r="W81" s="27">
        <f>O81+T81</f>
        <v>0</v>
      </c>
      <c r="X81" s="28">
        <f>V81/0.7+W81</f>
        <v>64</v>
      </c>
      <c r="Y81" s="28">
        <v>64</v>
      </c>
      <c r="Z81" s="21"/>
    </row>
    <row r="82" spans="1:26" x14ac:dyDescent="0.25">
      <c r="A82" s="16">
        <v>32</v>
      </c>
      <c r="B82" s="17" t="s">
        <v>21</v>
      </c>
      <c r="C82" s="16">
        <v>102</v>
      </c>
      <c r="D82" s="18" t="s">
        <v>559</v>
      </c>
      <c r="E82" s="17" t="s">
        <v>23</v>
      </c>
      <c r="F82" s="19">
        <v>7.6</v>
      </c>
      <c r="G82" s="32">
        <f>IF(B82="高三",IF($E82="男",LOOKUP(F82,[1]对照表!$G$3:$G$24,[1]对照表!$H$3:$H$24),LOOKUP(F82,[1]对照表!$G$27:$G$48,[1]对照表!$H$27:$H$48)),IF(B82="高二",IF($E82="男",LOOKUP(F82,[1]对照表!$F$3:$F$24,[1]对照表!$H$3:$H$24),LOOKUP(F82,[1]对照表!$F$27:$F$48,[1]对照表!$H$27:$H$48)),IF(B82="高一",IF($E82="男",LOOKUP(F82,[1]对照表!$E$3:$E$24,[1]对照表!$H$3:$H$24),LOOKUP(F82,[1]对照表!$E$27:$E$48,[1]对照表!$H$27:$H$48)))))</f>
        <v>78</v>
      </c>
      <c r="H82" s="21">
        <v>5.6</v>
      </c>
      <c r="I82" s="32">
        <f>IF(B82="高三",IF($E82="男",LOOKUP(H82,[1]对照表!$K$3:$K$24,[1]对照表!$L$3:$L$24),LOOKUP(H82,[1]对照表!$K$27:$K$48,[1]对照表!$L$27:$L$48)),IF(B82="高二",IF($E82="男",LOOKUP(H82,[1]对照表!$J$3:$J$24,[1]对照表!$L$3:$L$24),LOOKUP(H82,[1]对照表!$J$27:$J$48,[1]对照表!$L$27:$L$48)),IF(B82="高一",IF($E82="男",LOOKUP(H82,[1]对照表!$I$3:$I$24,[1]对照表!$L$3:$L$24),LOOKUP(H82,[1]对照表!$I$27:$I$48,[1]对照表!$L$27:$L$48)))))</f>
        <v>66</v>
      </c>
      <c r="J82" s="21">
        <v>207</v>
      </c>
      <c r="K82" s="32">
        <f>IF(B82="高三",IF($E82="男",LOOKUP(J82,[1]对照表!$O$3:$O$24,[1]对照表!$P$3:$P$24),LOOKUP(J82,[1]对照表!$O$27:$O$48,[1]对照表!$P$27:$P$48)),IF(B82="高二",IF($E82="男",LOOKUP(J82,[1]对照表!$N$3:$N$24,[1]对照表!$P$3:$P$24),LOOKUP(J82,[1]对照表!$N$27:$N$48,[1]对照表!$P$27:$P$48)),IF(B82="高一",IF($E82="男",LOOKUP(J82,[1]对照表!$M$3:$M$24,[1]对照表!$P$3:$P$24),LOOKUP(J82,[1]对照表!$M$27:$M$48,[1]对照表!$P$27:$P$48)))))</f>
        <v>66</v>
      </c>
      <c r="L82" s="21">
        <v>7</v>
      </c>
      <c r="M82" s="32">
        <f>IF(B82="高三",IF($E82="男",LOOKUP(L82,[1]对照表!$S$3:$S$24,[1]对照表!$T$3:$T$24),LOOKUP(L82,[1]对照表!$S$27:$S$48,[1]对照表!$T$27:$T$48)),IF(B82="高二",IF($E82="男",LOOKUP(L82,[1]对照表!$R$3:$R$24,[1]对照表!$T$3:$T$24),LOOKUP(L82,[1]对照表!$R$27:$R$48,[1]对照表!$T$27:$T$48)),IF(B82="高一",IF($E82="男",LOOKUP(L82,[1]对照表!$Q$3:$Q$24,[1]对照表!$T$3:$T$24),LOOKUP(L82,[1]对照表!$Q$27:$Q$48,[1]对照表!$T$27:$T$48)))))</f>
        <v>60</v>
      </c>
      <c r="N82" s="33">
        <f>IF(B82="高三",MAX(IF(E82="男",L82-18,L82-55),0),IF(B82="高二",MAX(IF(E82="男",L82-17,L82-54),0),IF(B82="高一",MAX(IF(E82="男",L82-16,L82-53),0))))</f>
        <v>0</v>
      </c>
      <c r="O82" s="23">
        <f>IF(E82="男",LOOKUP($N82,[1]对照表!$Z$3:$Z$13,[1]对照表!$AA$3:$AA$13),LOOKUP($N82,[1]对照表!$Z$15:$Z$25,[1]对照表!$AA$15:$AA$25))</f>
        <v>0</v>
      </c>
      <c r="P82" s="24">
        <f>M82+O82</f>
        <v>60</v>
      </c>
      <c r="Q82" s="25">
        <v>5.01</v>
      </c>
      <c r="R82" s="32">
        <f>IF(B82="高三",IF($E82="男",LOOKUP(Q82,[1]对照表!$W$3:$W$24,[1]对照表!$X$3:$X$24),LOOKUP(Q82,[1]对照表!$W$27:$W$48,[1]对照表!$X$27:$X$48)),IF(B82="高二",IF($E82="男",LOOKUP(Q82,[1]对照表!$V$3:$V$24,[1]对照表!$X$3:$X$24),LOOKUP(Q82,[1]对照表!$V$27:$V$48,[1]对照表!$X$27:$X$48)),IF(B82="高一",IF($E82="男",LOOKUP(Q82,[1]对照表!$U$3:$U$24,[1]对照表!$X$3:$X$24),LOOKUP(Q82,[1]对照表!$U$27:$U$48,[1]对照表!$X$27:$X$48)))))</f>
        <v>50</v>
      </c>
      <c r="S82" s="33">
        <f>ROUND(IF(IF($B82="高三",MIN(IF($E82="男",$Q82-3.2,$Q82-3.2),0),IF($B82="高二",MIN(IF($E82="男",$Q82-3.25,$Q82-3.22),0),IF($B82="高一",MIN(IF($E82="男",$Q82-3.3,$Q82-3.24),0))))&lt;-0.6,IF($B82="高三",MIN(IF($E82="男",$Q82-3.2,$Q82-3.2),0),IF($B82="高二",MIN(IF($E82="男",$Q82-3.25,$Q82-3.22),0),IF($B82="高一",MIN(IF($E82="男",$Q82-3.3,$Q82-3.24),0))))+0.4,IF($B82="高三",MIN(IF($E82="男",$Q82-3.2,$Q82-3.2),0),IF($B82="高二",MIN(IF($E82="男",$Q82-3.25,$Q82-3.22),0),IF($B82="高一",MIN(IF($E82="男",$Q82-3.3,$Q82-3.24),0))))),2)</f>
        <v>0</v>
      </c>
      <c r="T82" s="23">
        <f>IF(E82="男",LOOKUP($S82,[1]对照表!$AB$3:$AB$13,[1]对照表!$AC$3:$AC$13),LOOKUP($S82,[1]对照表!$AB$15:$AB$25,[1]对照表!$AC$15:$AC$25))</f>
        <v>0</v>
      </c>
      <c r="U82" s="26">
        <f>R82+T82</f>
        <v>50</v>
      </c>
      <c r="V82" s="26">
        <f>SUM(I82,K82,M82)/3*0.3+SUM(G82,R82)/2*0.4</f>
        <v>44.8</v>
      </c>
      <c r="W82" s="27">
        <f>O82+T82</f>
        <v>0</v>
      </c>
      <c r="X82" s="28">
        <f>V82/0.7+W82</f>
        <v>64</v>
      </c>
      <c r="Y82" s="28">
        <v>64</v>
      </c>
      <c r="Z82" s="21"/>
    </row>
    <row r="83" spans="1:26" x14ac:dyDescent="0.25">
      <c r="A83" s="16">
        <v>28</v>
      </c>
      <c r="B83" s="17" t="s">
        <v>21</v>
      </c>
      <c r="C83" s="16">
        <v>102</v>
      </c>
      <c r="D83" s="18" t="s">
        <v>570</v>
      </c>
      <c r="E83" s="17" t="s">
        <v>23</v>
      </c>
      <c r="F83" s="19">
        <v>7.7</v>
      </c>
      <c r="G83" s="32">
        <f>IF(B83="高三",IF($E83="男",LOOKUP(F83,[1]对照表!$G$3:$G$24,[1]对照表!$H$3:$H$24),LOOKUP(F83,[1]对照表!$G$27:$G$48,[1]对照表!$H$27:$H$48)),IF(B83="高二",IF($E83="男",LOOKUP(F83,[1]对照表!$F$3:$F$24,[1]对照表!$H$3:$H$24),LOOKUP(F83,[1]对照表!$F$27:$F$48,[1]对照表!$H$27:$H$48)),IF(B83="高一",IF($E83="男",LOOKUP(F83,[1]对照表!$E$3:$E$24,[1]对照表!$H$3:$H$24),LOOKUP(F83,[1]对照表!$E$27:$E$48,[1]对照表!$H$27:$H$48)))))</f>
        <v>78</v>
      </c>
      <c r="H83" s="21">
        <v>0</v>
      </c>
      <c r="I83" s="32">
        <f>IF(B83="高三",IF($E83="男",LOOKUP(H83,[1]对照表!$K$3:$K$24,[1]对照表!$L$3:$L$24),LOOKUP(H83,[1]对照表!$K$27:$K$48,[1]对照表!$L$27:$L$48)),IF(B83="高二",IF($E83="男",LOOKUP(H83,[1]对照表!$J$3:$J$24,[1]对照表!$L$3:$L$24),LOOKUP(H83,[1]对照表!$J$27:$J$48,[1]对照表!$L$27:$L$48)),IF(B83="高一",IF($E83="男",LOOKUP(H83,[1]对照表!$I$3:$I$24,[1]对照表!$L$3:$L$24),LOOKUP(H83,[1]对照表!$I$27:$I$48,[1]对照表!$L$27:$L$48)))))</f>
        <v>50</v>
      </c>
      <c r="J83" s="21">
        <v>220</v>
      </c>
      <c r="K83" s="32">
        <f>IF(B83="高三",IF($E83="男",LOOKUP(J83,[1]对照表!$O$3:$O$24,[1]对照表!$P$3:$P$24),LOOKUP(J83,[1]对照表!$O$27:$O$48,[1]对照表!$P$27:$P$48)),IF(B83="高二",IF($E83="男",LOOKUP(J83,[1]对照表!$N$3:$N$24,[1]对照表!$P$3:$P$24),LOOKUP(J83,[1]对照表!$N$27:$N$48,[1]对照表!$P$27:$P$48)),IF(B83="高一",IF($E83="男",LOOKUP(J83,[1]对照表!$M$3:$M$24,[1]对照表!$P$3:$P$24),LOOKUP(J83,[1]对照表!$M$27:$M$48,[1]对照表!$P$27:$P$48)))))</f>
        <v>72</v>
      </c>
      <c r="L83" s="21">
        <v>1</v>
      </c>
      <c r="M83" s="32">
        <f>IF(B83="高三",IF($E83="男",LOOKUP(L83,[1]对照表!$S$3:$S$24,[1]对照表!$T$3:$T$24),LOOKUP(L83,[1]对照表!$S$27:$S$48,[1]对照表!$T$27:$T$48)),IF(B83="高二",IF($E83="男",LOOKUP(L83,[1]对照表!$R$3:$R$24,[1]对照表!$T$3:$T$24),LOOKUP(L83,[1]对照表!$R$27:$R$48,[1]对照表!$T$27:$T$48)),IF(B83="高一",IF($E83="男",LOOKUP(L83,[1]对照表!$Q$3:$Q$24,[1]对照表!$T$3:$T$24),LOOKUP(L83,[1]对照表!$Q$27:$Q$48,[1]对照表!$T$27:$T$48)))))</f>
        <v>0</v>
      </c>
      <c r="N83" s="33">
        <f>IF(B83="高三",MAX(IF(E83="男",L83-18,L83-55),0),IF(B83="高二",MAX(IF(E83="男",L83-17,L83-54),0),IF(B83="高一",MAX(IF(E83="男",L83-16,L83-53),0))))</f>
        <v>0</v>
      </c>
      <c r="O83" s="23">
        <f>IF(E83="男",LOOKUP($N83,[1]对照表!$Z$3:$Z$13,[1]对照表!$AA$3:$AA$13),LOOKUP($N83,[1]对照表!$Z$15:$Z$25,[1]对照表!$AA$15:$AA$25))</f>
        <v>0</v>
      </c>
      <c r="P83" s="24">
        <f>M83+O83</f>
        <v>0</v>
      </c>
      <c r="Q83" s="25">
        <v>4.13</v>
      </c>
      <c r="R83" s="32">
        <f>IF(B83="高三",IF($E83="男",LOOKUP(Q83,[1]对照表!$W$3:$W$24,[1]对照表!$X$3:$X$24),LOOKUP(Q83,[1]对照表!$W$27:$W$48,[1]对照表!$X$27:$X$48)),IF(B83="高二",IF($E83="男",LOOKUP(Q83,[1]对照表!$V$3:$V$24,[1]对照表!$X$3:$X$24),LOOKUP(Q83,[1]对照表!$V$27:$V$48,[1]对照表!$X$27:$X$48)),IF(B83="高一",IF($E83="男",LOOKUP(Q83,[1]对照表!$U$3:$U$24,[1]对照表!$X$3:$X$24),LOOKUP(Q83,[1]对照表!$U$27:$U$48,[1]对照表!$X$27:$X$48)))))</f>
        <v>72</v>
      </c>
      <c r="S83" s="27">
        <f>ROUND(IF(IF($B83="高三",MIN(IF($E83="男",$Q83-3.2,$Q83-3.2),0),IF($B83="高二",MIN(IF($E83="男",$Q83-3.25,$Q83-3.22),0),IF($B83="高一",MIN(IF($E83="男",$Q83-3.3,$Q83-3.24),0))))&lt;-0.6,IF($B83="高三",MIN(IF($E83="男",$Q83-3.2,$Q83-3.2),0),IF($B83="高二",MIN(IF($E83="男",$Q83-3.25,$Q83-3.22),0),IF($B83="高一",MIN(IF($E83="男",$Q83-3.3,$Q83-3.24),0))))+0.4,IF($B83="高三",MIN(IF($E83="男",$Q83-3.2,$Q83-3.2),0),IF($B83="高二",MIN(IF($E83="男",$Q83-3.25,$Q83-3.22),0),IF($B83="高一",MIN(IF($E83="男",$Q83-3.3,$Q83-3.24),0))))),2)</f>
        <v>0</v>
      </c>
      <c r="T83" s="23">
        <f>IF(E83="男",LOOKUP($S83,[1]对照表!$AB$3:$AB$13,[1]对照表!$AC$3:$AC$13),LOOKUP($S83,[1]对照表!$AB$15:$AB$25,[1]对照表!$AC$15:$AC$25))</f>
        <v>0</v>
      </c>
      <c r="U83" s="26">
        <f>R83+T83</f>
        <v>72</v>
      </c>
      <c r="V83" s="26">
        <f>SUM(I83,K83,M83)/3*0.3+SUM(G83,R83)/2*0.4</f>
        <v>42.2</v>
      </c>
      <c r="W83" s="27">
        <f>O83+T83</f>
        <v>0</v>
      </c>
      <c r="X83" s="28">
        <f>V83/0.7+W83</f>
        <v>60.285714285714292</v>
      </c>
      <c r="Y83" s="28">
        <v>60.285714285714292</v>
      </c>
      <c r="Z83" s="21"/>
    </row>
    <row r="84" spans="1:26" x14ac:dyDescent="0.25">
      <c r="A84" s="16">
        <v>13</v>
      </c>
      <c r="B84" s="17" t="s">
        <v>21</v>
      </c>
      <c r="C84" s="16">
        <v>102</v>
      </c>
      <c r="D84" s="18" t="s">
        <v>571</v>
      </c>
      <c r="E84" s="16" t="s">
        <v>23</v>
      </c>
      <c r="F84" s="19">
        <v>7.9</v>
      </c>
      <c r="G84" s="32">
        <f>IF(B84="高三",IF($E84="男",LOOKUP(F84,[1]对照表!$G$3:$G$24,[1]对照表!$H$3:$H$24),LOOKUP(F84,[1]对照表!$G$27:$G$48,[1]对照表!$H$27:$H$48)),IF(B84="高二",IF($E84="男",LOOKUP(F84,[1]对照表!$F$3:$F$24,[1]对照表!$H$3:$H$24),LOOKUP(F84,[1]对照表!$F$27:$F$48,[1]对照表!$H$27:$H$48)),IF(B84="高一",IF($E84="男",LOOKUP(F84,[1]对照表!$E$3:$E$24,[1]对照表!$H$3:$H$24),LOOKUP(F84,[1]对照表!$E$27:$E$48,[1]对照表!$H$27:$H$48)))))</f>
        <v>76</v>
      </c>
      <c r="H84" s="21">
        <v>23.5</v>
      </c>
      <c r="I84" s="32">
        <f>IF(B84="高三",IF($E84="男",LOOKUP(H84,[1]对照表!$K$3:$K$24,[1]对照表!$L$3:$L$24),LOOKUP(H84,[1]对照表!$K$27:$K$48,[1]对照表!$L$27:$L$48)),IF(B84="高二",IF($E84="男",LOOKUP(H84,[1]对照表!$J$3:$J$24,[1]对照表!$L$3:$L$24),LOOKUP(H84,[1]对照表!$J$27:$J$48,[1]对照表!$L$27:$L$48)),IF(B84="高一",IF($E84="男",LOOKUP(H84,[1]对照表!$I$3:$I$24,[1]对照表!$L$3:$L$24),LOOKUP(H84,[1]对照表!$I$27:$I$48,[1]对照表!$L$27:$L$48)))))</f>
        <v>95</v>
      </c>
      <c r="J84" s="21">
        <v>224</v>
      </c>
      <c r="K84" s="32">
        <f>IF(B84="高三",IF($E84="男",LOOKUP(J84,[1]对照表!$O$3:$O$24,[1]对照表!$P$3:$P$24),LOOKUP(J84,[1]对照表!$O$27:$O$48,[1]对照表!$P$27:$P$48)),IF(B84="高二",IF($E84="男",LOOKUP(J84,[1]对照表!$N$3:$N$24,[1]对照表!$P$3:$P$24),LOOKUP(J84,[1]对照表!$N$27:$N$48,[1]对照表!$P$27:$P$48)),IF(B84="高一",IF($E84="男",LOOKUP(J84,[1]对照表!$M$3:$M$24,[1]对照表!$P$3:$P$24),LOOKUP(J84,[1]对照表!$M$27:$M$48,[1]对照表!$P$27:$P$48)))))</f>
        <v>74</v>
      </c>
      <c r="L84" s="21">
        <v>0</v>
      </c>
      <c r="M84" s="32">
        <f>IF(B84="高三",IF($E84="男",LOOKUP(L84,[1]对照表!$S$3:$S$24,[1]对照表!$T$3:$T$24),LOOKUP(L84,[1]对照表!$S$27:$S$48,[1]对照表!$T$27:$T$48)),IF(B84="高二",IF($E84="男",LOOKUP(L84,[1]对照表!$R$3:$R$24,[1]对照表!$T$3:$T$24),LOOKUP(L84,[1]对照表!$R$27:$R$48,[1]对照表!$T$27:$T$48)),IF(B84="高一",IF($E84="男",LOOKUP(L84,[1]对照表!$Q$3:$Q$24,[1]对照表!$T$3:$T$24),LOOKUP(L84,[1]对照表!$Q$27:$Q$48,[1]对照表!$T$27:$T$48)))))</f>
        <v>0</v>
      </c>
      <c r="N84" s="33">
        <f>IF(B84="高三",MAX(IF(E84="男",L84-18,L84-55),0),IF(B84="高二",MAX(IF(E84="男",L84-17,L84-54),0),IF(B84="高一",MAX(IF(E84="男",L84-16,L84-53),0))))</f>
        <v>0</v>
      </c>
      <c r="O84" s="23">
        <f>IF(E84="男",LOOKUP($N84,[1]对照表!$Z$3:$Z$13,[1]对照表!$AA$3:$AA$13),LOOKUP($N84,[1]对照表!$Z$15:$Z$25,[1]对照表!$AA$15:$AA$25))</f>
        <v>0</v>
      </c>
      <c r="P84" s="24">
        <f>M84+O84</f>
        <v>0</v>
      </c>
      <c r="Q84" s="25">
        <v>4.55</v>
      </c>
      <c r="R84" s="32">
        <f>IF(B84="高三",IF($E84="男",LOOKUP(Q84,[1]对照表!$W$3:$W$24,[1]对照表!$X$3:$X$24),LOOKUP(Q84,[1]对照表!$W$27:$W$48,[1]对照表!$X$27:$X$48)),IF(B84="高二",IF($E84="男",LOOKUP(Q84,[1]对照表!$V$3:$V$24,[1]对照表!$X$3:$X$24),LOOKUP(Q84,[1]对照表!$V$27:$V$48,[1]对照表!$X$27:$X$48)),IF(B84="高一",IF($E84="男",LOOKUP(Q84,[1]对照表!$U$3:$U$24,[1]对照表!$X$3:$X$24),LOOKUP(Q84,[1]对照表!$U$27:$U$48,[1]对照表!$X$27:$X$48)))))</f>
        <v>50</v>
      </c>
      <c r="S84" s="33">
        <f>ROUND(IF(IF($B84="高三",MIN(IF($E84="男",$Q84-3.2,$Q84-3.2),0),IF($B84="高二",MIN(IF($E84="男",$Q84-3.25,$Q84-3.22),0),IF($B84="高一",MIN(IF($E84="男",$Q84-3.3,$Q84-3.24),0))))&lt;-0.6,IF($B84="高三",MIN(IF($E84="男",$Q84-3.2,$Q84-3.2),0),IF($B84="高二",MIN(IF($E84="男",$Q84-3.25,$Q84-3.22),0),IF($B84="高一",MIN(IF($E84="男",$Q84-3.3,$Q84-3.24),0))))+0.4,IF($B84="高三",MIN(IF($E84="男",$Q84-3.2,$Q84-3.2),0),IF($B84="高二",MIN(IF($E84="男",$Q84-3.25,$Q84-3.22),0),IF($B84="高一",MIN(IF($E84="男",$Q84-3.3,$Q84-3.24),0))))),2)</f>
        <v>0</v>
      </c>
      <c r="T84" s="23">
        <f>IF(E84="男",LOOKUP($S84,[1]对照表!$AB$3:$AB$13,[1]对照表!$AC$3:$AC$13),LOOKUP($S84,[1]对照表!$AB$15:$AB$25,[1]对照表!$AC$15:$AC$25))</f>
        <v>0</v>
      </c>
      <c r="U84" s="26">
        <f>R84+T84</f>
        <v>50</v>
      </c>
      <c r="V84" s="26">
        <f>SUM(I84,K84,M84)/3*0.3+SUM(G84,R84)/2*0.4</f>
        <v>42.1</v>
      </c>
      <c r="W84" s="27">
        <f>O84+T84</f>
        <v>0</v>
      </c>
      <c r="X84" s="28">
        <f>V84/0.7+W84</f>
        <v>60.142857142857146</v>
      </c>
      <c r="Y84" s="28">
        <v>60.142857142857146</v>
      </c>
      <c r="Z84" s="21"/>
    </row>
    <row r="85" spans="1:26" x14ac:dyDescent="0.25">
      <c r="A85" s="16">
        <v>40</v>
      </c>
      <c r="B85" s="17" t="s">
        <v>21</v>
      </c>
      <c r="C85" s="16">
        <v>102</v>
      </c>
      <c r="D85" s="18" t="s">
        <v>613</v>
      </c>
      <c r="E85" s="16" t="s">
        <v>65</v>
      </c>
      <c r="F85" s="19">
        <v>9.39</v>
      </c>
      <c r="G85" s="32">
        <f>IF(B85="高三",IF($E85="男",LOOKUP(F85,[1]对照表!$G$3:$G$24,[1]对照表!$H$3:$H$24),LOOKUP(F85,[1]对照表!$G$27:$G$48,[1]对照表!$H$27:$H$48)),IF(B85="高二",IF($E85="男",LOOKUP(F85,[1]对照表!$F$3:$F$24,[1]对照表!$H$3:$H$24),LOOKUP(F85,[1]对照表!$F$27:$F$48,[1]对照表!$H$27:$H$48)),IF(B85="高一",IF($E85="男",LOOKUP(F85,[1]对照表!$E$3:$E$24,[1]对照表!$H$3:$H$24),LOOKUP(F85,[1]对照表!$E$27:$E$48,[1]对照表!$H$27:$H$48)))))</f>
        <v>72</v>
      </c>
      <c r="H85" s="21">
        <v>17</v>
      </c>
      <c r="I85" s="32">
        <f>IF(B85="高三",IF($E85="男",LOOKUP(H85,[1]对照表!$K$3:$K$24,[1]对照表!$L$3:$L$24),LOOKUP(H85,[1]对照表!$K$27:$K$48,[1]对照表!$L$27:$L$48)),IF(B85="高二",IF($E85="男",LOOKUP(H85,[1]对照表!$J$3:$J$24,[1]对照表!$L$3:$L$24),LOOKUP(H85,[1]对照表!$J$27:$J$48,[1]对照表!$L$27:$L$48)),IF(B85="高一",IF($E85="男",LOOKUP(H85,[1]对照表!$I$3:$I$24,[1]对照表!$L$3:$L$24),LOOKUP(H85,[1]对照表!$I$27:$I$48,[1]对照表!$L$27:$L$48)))))</f>
        <v>78</v>
      </c>
      <c r="J85" s="21">
        <v>165</v>
      </c>
      <c r="K85" s="32">
        <f>IF(B85="高三",IF($E85="男",LOOKUP(J85,[1]对照表!$O$3:$O$24,[1]对照表!$P$3:$P$24),LOOKUP(J85,[1]对照表!$O$27:$O$48,[1]对照表!$P$27:$P$48)),IF(B85="高二",IF($E85="男",LOOKUP(J85,[1]对照表!$N$3:$N$24,[1]对照表!$P$3:$P$24),LOOKUP(J85,[1]对照表!$N$27:$N$48,[1]对照表!$P$27:$P$48)),IF(B85="高一",IF($E85="男",LOOKUP(J85,[1]对照表!$M$3:$M$24,[1]对照表!$P$3:$P$24),LOOKUP(J85,[1]对照表!$M$27:$M$48,[1]对照表!$P$27:$P$48)))))</f>
        <v>70</v>
      </c>
      <c r="L85" s="21">
        <v>45</v>
      </c>
      <c r="M85" s="32">
        <f>IF(B85="高三",IF($E85="男",LOOKUP(L85,[1]对照表!$S$3:$S$24,[1]对照表!$T$3:$T$24),LOOKUP(L85,[1]对照表!$S$27:$S$48,[1]对照表!$T$27:$T$48)),IF(B85="高二",IF($E85="男",LOOKUP(L85,[1]对照表!$R$3:$R$24,[1]对照表!$T$3:$T$24),LOOKUP(L85,[1]对照表!$R$27:$R$48,[1]对照表!$T$27:$T$48)),IF(B85="高一",IF($E85="男",LOOKUP(L85,[1]对照表!$Q$3:$Q$24,[1]对照表!$T$3:$T$24),LOOKUP(L85,[1]对照表!$Q$27:$Q$48,[1]对照表!$T$27:$T$48)))))</f>
        <v>80</v>
      </c>
      <c r="N85" s="33">
        <f>IF(B85="高三",MAX(IF(E85="男",L85-18,L85-55),0),IF(B85="高二",MAX(IF(E85="男",L85-17,L85-54),0),IF(B85="高一",MAX(IF(E85="男",L85-16,L85-53),0))))</f>
        <v>0</v>
      </c>
      <c r="O85" s="23">
        <f>IF(E85="男",LOOKUP($N85,[1]对照表!$Z$3:$Z$13,[1]对照表!$AA$3:$AA$13),LOOKUP($N85,[1]对照表!$Z$15:$Z$25,[1]对照表!$AA$15:$AA$25))</f>
        <v>0</v>
      </c>
      <c r="P85" s="24">
        <f>M85+O85</f>
        <v>80</v>
      </c>
      <c r="Q85" s="25">
        <v>3.53</v>
      </c>
      <c r="R85" s="32">
        <f>IF(B85="高三",IF($E85="男",LOOKUP(Q85,[1]对照表!$W$3:$W$24,[1]对照表!$X$3:$X$24),LOOKUP(Q85,[1]对照表!$W$27:$W$48,[1]对照表!$X$27:$X$48)),IF(B85="高二",IF($E85="男",LOOKUP(Q85,[1]对照表!$V$3:$V$24,[1]对照表!$X$3:$X$24),LOOKUP(Q85,[1]对照表!$V$27:$V$48,[1]对照表!$X$27:$X$48)),IF(B85="高一",IF($E85="男",LOOKUP(Q85,[1]对照表!$U$3:$U$24,[1]对照表!$X$3:$X$24),LOOKUP(Q85,[1]对照表!$U$27:$U$48,[1]对照表!$X$27:$X$48)))))</f>
        <v>78</v>
      </c>
      <c r="S85" s="33">
        <f>ROUND(IF(IF($B85="高三",MIN(IF($E85="男",$Q85-3.2,$Q85-3.2),0),IF($B85="高二",MIN(IF($E85="男",$Q85-3.25,$Q85-3.22),0),IF($B85="高一",MIN(IF($E85="男",$Q85-3.3,$Q85-3.24),0))))&lt;-0.6,IF($B85="高三",MIN(IF($E85="男",$Q85-3.2,$Q85-3.2),0),IF($B85="高二",MIN(IF($E85="男",$Q85-3.25,$Q85-3.22),0),IF($B85="高一",MIN(IF($E85="男",$Q85-3.3,$Q85-3.24),0))))+0.4,IF($B85="高三",MIN(IF($E85="男",$Q85-3.2,$Q85-3.2),0),IF($B85="高二",MIN(IF($E85="男",$Q85-3.25,$Q85-3.22),0),IF($B85="高一",MIN(IF($E85="男",$Q85-3.3,$Q85-3.24),0))))),2)</f>
        <v>0</v>
      </c>
      <c r="T85" s="23">
        <f>IF(E85="男",LOOKUP($S85,[1]对照表!$AB$3:$AB$13,[1]对照表!$AC$3:$AC$13),LOOKUP($S85,[1]对照表!$AB$15:$AB$25,[1]对照表!$AC$15:$AC$25))</f>
        <v>0</v>
      </c>
      <c r="U85" s="26">
        <f>R85+T85</f>
        <v>78</v>
      </c>
      <c r="V85" s="26">
        <f>SUM(I85,K85,M85)/3*0.3+SUM(G85,R85)/2*0.4</f>
        <v>52.8</v>
      </c>
      <c r="W85" s="27">
        <f>O85+T85</f>
        <v>0</v>
      </c>
      <c r="X85" s="28">
        <f>V85/0.7+W85</f>
        <v>75.428571428571431</v>
      </c>
      <c r="Y85" s="28">
        <v>75.428571428571431</v>
      </c>
      <c r="Z85" s="21"/>
    </row>
    <row r="86" spans="1:26" x14ac:dyDescent="0.25">
      <c r="A86" s="16">
        <v>19</v>
      </c>
      <c r="B86" s="17" t="s">
        <v>21</v>
      </c>
      <c r="C86" s="16">
        <v>102</v>
      </c>
      <c r="D86" s="18" t="s">
        <v>618</v>
      </c>
      <c r="E86" s="16" t="s">
        <v>23</v>
      </c>
      <c r="F86" s="19">
        <v>8.1</v>
      </c>
      <c r="G86" s="32">
        <f>IF(B86="高三",IF($E86="男",LOOKUP(F86,[1]对照表!$G$3:$G$24,[1]对照表!$H$3:$H$24),LOOKUP(F86,[1]对照表!$G$27:$G$48,[1]对照表!$H$27:$H$48)),IF(B86="高二",IF($E86="男",LOOKUP(F86,[1]对照表!$F$3:$F$24,[1]对照表!$H$3:$H$24),LOOKUP(F86,[1]对照表!$F$27:$F$48,[1]对照表!$H$27:$H$48)),IF(B86="高一",IF($E86="男",LOOKUP(F86,[1]对照表!$E$3:$E$24,[1]对照表!$H$3:$H$24),LOOKUP(F86,[1]对照表!$E$27:$E$48,[1]对照表!$H$27:$H$48)))))</f>
        <v>74</v>
      </c>
      <c r="H86" s="21">
        <v>9</v>
      </c>
      <c r="I86" s="32">
        <f>IF(B86="高三",IF($E86="男",LOOKUP(H86,[1]对照表!$K$3:$K$24,[1]对照表!$L$3:$L$24),LOOKUP(H86,[1]对照表!$K$27:$K$48,[1]对照表!$L$27:$L$48)),IF(B86="高二",IF($E86="男",LOOKUP(H86,[1]对照表!$J$3:$J$24,[1]对照表!$L$3:$L$24),LOOKUP(H86,[1]对照表!$J$27:$J$48,[1]对照表!$L$27:$L$48)),IF(B86="高一",IF($E86="男",LOOKUP(H86,[1]对照表!$I$3:$I$24,[1]对照表!$L$3:$L$24),LOOKUP(H86,[1]对照表!$I$27:$I$48,[1]对照表!$L$27:$L$48)))))</f>
        <v>70</v>
      </c>
      <c r="J86" s="21">
        <v>207</v>
      </c>
      <c r="K86" s="32">
        <f>IF(B86="高三",IF($E86="男",LOOKUP(J86,[1]对照表!$O$3:$O$24,[1]对照表!$P$3:$P$24),LOOKUP(J86,[1]对照表!$O$27:$O$48,[1]对照表!$P$27:$P$48)),IF(B86="高二",IF($E86="男",LOOKUP(J86,[1]对照表!$N$3:$N$24,[1]对照表!$P$3:$P$24),LOOKUP(J86,[1]对照表!$N$27:$N$48,[1]对照表!$P$27:$P$48)),IF(B86="高一",IF($E86="男",LOOKUP(J86,[1]对照表!$M$3:$M$24,[1]对照表!$P$3:$P$24),LOOKUP(J86,[1]对照表!$M$27:$M$48,[1]对照表!$P$27:$P$48)))))</f>
        <v>66</v>
      </c>
      <c r="L86" s="21">
        <v>0</v>
      </c>
      <c r="M86" s="32">
        <f>IF(B86="高三",IF($E86="男",LOOKUP(L86,[1]对照表!$S$3:$S$24,[1]对照表!$T$3:$T$24),LOOKUP(L86,[1]对照表!$S$27:$S$48,[1]对照表!$T$27:$T$48)),IF(B86="高二",IF($E86="男",LOOKUP(L86,[1]对照表!$R$3:$R$24,[1]对照表!$T$3:$T$24),LOOKUP(L86,[1]对照表!$R$27:$R$48,[1]对照表!$T$27:$T$48)),IF(B86="高一",IF($E86="男",LOOKUP(L86,[1]对照表!$Q$3:$Q$24,[1]对照表!$T$3:$T$24),LOOKUP(L86,[1]对照表!$Q$27:$Q$48,[1]对照表!$T$27:$T$48)))))</f>
        <v>0</v>
      </c>
      <c r="N86" s="33">
        <f>IF(B86="高三",MAX(IF(E86="男",L86-18,L86-55),0),IF(B86="高二",MAX(IF(E86="男",L86-17,L86-54),0),IF(B86="高一",MAX(IF(E86="男",L86-16,L86-53),0))))</f>
        <v>0</v>
      </c>
      <c r="O86" s="23">
        <f>IF(E86="男",LOOKUP($N86,[1]对照表!$Z$3:$Z$13,[1]对照表!$AA$3:$AA$13),LOOKUP($N86,[1]对照表!$Z$15:$Z$25,[1]对照表!$AA$15:$AA$25))</f>
        <v>0</v>
      </c>
      <c r="P86" s="24">
        <f>M86+O86</f>
        <v>0</v>
      </c>
      <c r="Q86" s="25">
        <v>4.5</v>
      </c>
      <c r="R86" s="32">
        <f>IF(B86="高三",IF($E86="男",LOOKUP(Q86,[1]对照表!$W$3:$W$24,[1]对照表!$X$3:$X$24),LOOKUP(Q86,[1]对照表!$W$27:$W$48,[1]对照表!$X$27:$X$48)),IF(B86="高二",IF($E86="男",LOOKUP(Q86,[1]对照表!$V$3:$V$24,[1]对照表!$X$3:$X$24),LOOKUP(Q86,[1]对照表!$V$27:$V$48,[1]对照表!$X$27:$X$48)),IF(B86="高一",IF($E86="男",LOOKUP(Q86,[1]对照表!$U$3:$U$24,[1]对照表!$X$3:$X$24),LOOKUP(Q86,[1]对照表!$U$27:$U$48,[1]对照表!$X$27:$X$48)))))</f>
        <v>50</v>
      </c>
      <c r="S86" s="33">
        <f>ROUND(IF(IF($B86="高三",MIN(IF($E86="男",$Q86-3.2,$Q86-3.2),0),IF($B86="高二",MIN(IF($E86="男",$Q86-3.25,$Q86-3.22),0),IF($B86="高一",MIN(IF($E86="男",$Q86-3.3,$Q86-3.24),0))))&lt;-0.6,IF($B86="高三",MIN(IF($E86="男",$Q86-3.2,$Q86-3.2),0),IF($B86="高二",MIN(IF($E86="男",$Q86-3.25,$Q86-3.22),0),IF($B86="高一",MIN(IF($E86="男",$Q86-3.3,$Q86-3.24),0))))+0.4,IF($B86="高三",MIN(IF($E86="男",$Q86-3.2,$Q86-3.2),0),IF($B86="高二",MIN(IF($E86="男",$Q86-3.25,$Q86-3.22),0),IF($B86="高一",MIN(IF($E86="男",$Q86-3.3,$Q86-3.24),0))))),2)</f>
        <v>0</v>
      </c>
      <c r="T86" s="23">
        <f>IF(E86="男",LOOKUP($S86,[1]对照表!$AB$3:$AB$13,[1]对照表!$AC$3:$AC$13),LOOKUP($S86,[1]对照表!$AB$15:$AB$25,[1]对照表!$AC$15:$AC$25))</f>
        <v>0</v>
      </c>
      <c r="U86" s="26">
        <f>R86+T86</f>
        <v>50</v>
      </c>
      <c r="V86" s="26">
        <f>SUM(I86,K86,M86)/3*0.3+SUM(G86,R86)/2*0.4</f>
        <v>38.4</v>
      </c>
      <c r="W86" s="27">
        <f>O86+T86</f>
        <v>0</v>
      </c>
      <c r="X86" s="28">
        <f>V86/0.7+W86</f>
        <v>54.857142857142861</v>
      </c>
      <c r="Y86" s="28">
        <v>54.857142857142861</v>
      </c>
      <c r="Z86" s="21"/>
    </row>
    <row r="87" spans="1:26" x14ac:dyDescent="0.25">
      <c r="A87" s="16">
        <v>34</v>
      </c>
      <c r="B87" s="17" t="s">
        <v>21</v>
      </c>
      <c r="C87" s="16">
        <v>102</v>
      </c>
      <c r="D87" s="18" t="s">
        <v>633</v>
      </c>
      <c r="E87" s="17" t="s">
        <v>23</v>
      </c>
      <c r="F87" s="19">
        <v>12.1</v>
      </c>
      <c r="G87" s="32">
        <f>IF(B87="高三",IF($E87="男",LOOKUP(F87,[1]对照表!$G$3:$G$24,[1]对照表!$H$3:$H$24),LOOKUP(F87,[1]对照表!$G$27:$G$48,[1]对照表!$H$27:$H$48)),IF(B87="高二",IF($E87="男",LOOKUP(F87,[1]对照表!$F$3:$F$24,[1]对照表!$H$3:$H$24),LOOKUP(F87,[1]对照表!$F$27:$F$48,[1]对照表!$H$27:$H$48)),IF(B87="高一",IF($E87="男",LOOKUP(F87,[1]对照表!$E$3:$E$24,[1]对照表!$H$3:$H$24),LOOKUP(F87,[1]对照表!$E$27:$E$48,[1]对照表!$H$27:$H$48)))))</f>
        <v>0</v>
      </c>
      <c r="H87" s="21">
        <v>0</v>
      </c>
      <c r="I87" s="32">
        <f>IF(B87="高三",IF($E87="男",LOOKUP(H87,[1]对照表!$K$3:$K$24,[1]对照表!$L$3:$L$24),LOOKUP(H87,[1]对照表!$K$27:$K$48,[1]对照表!$L$27:$L$48)),IF(B87="高二",IF($E87="男",LOOKUP(H87,[1]对照表!$J$3:$J$24,[1]对照表!$L$3:$L$24),LOOKUP(H87,[1]对照表!$J$27:$J$48,[1]对照表!$L$27:$L$48)),IF(B87="高一",IF($E87="男",LOOKUP(H87,[1]对照表!$I$3:$I$24,[1]对照表!$L$3:$L$24),LOOKUP(H87,[1]对照表!$I$27:$I$48,[1]对照表!$L$27:$L$48)))))</f>
        <v>50</v>
      </c>
      <c r="J87" s="21">
        <v>186</v>
      </c>
      <c r="K87" s="32">
        <f>IF(B87="高三",IF($E87="男",LOOKUP(J87,[1]对照表!$O$3:$O$24,[1]对照表!$P$3:$P$24),LOOKUP(J87,[1]对照表!$O$27:$O$48,[1]对照表!$P$27:$P$48)),IF(B87="高二",IF($E87="男",LOOKUP(J87,[1]对照表!$N$3:$N$24,[1]对照表!$P$3:$P$24),LOOKUP(J87,[1]对照表!$N$27:$N$48,[1]对照表!$P$27:$P$48)),IF(B87="高一",IF($E87="男",LOOKUP(J87,[1]对照表!$M$3:$M$24,[1]对照表!$P$3:$P$24),LOOKUP(J87,[1]对照表!$M$27:$M$48,[1]对照表!$P$27:$P$48)))))</f>
        <v>40</v>
      </c>
      <c r="L87" s="21">
        <v>0</v>
      </c>
      <c r="M87" s="32">
        <f>IF(B87="高三",IF($E87="男",LOOKUP(L87,[1]对照表!$S$3:$S$24,[1]对照表!$T$3:$T$24),LOOKUP(L87,[1]对照表!$S$27:$S$48,[1]对照表!$T$27:$T$48)),IF(B87="高二",IF($E87="男",LOOKUP(L87,[1]对照表!$R$3:$R$24,[1]对照表!$T$3:$T$24),LOOKUP(L87,[1]对照表!$R$27:$R$48,[1]对照表!$T$27:$T$48)),IF(B87="高一",IF($E87="男",LOOKUP(L87,[1]对照表!$Q$3:$Q$24,[1]对照表!$T$3:$T$24),LOOKUP(L87,[1]对照表!$Q$27:$Q$48,[1]对照表!$T$27:$T$48)))))</f>
        <v>0</v>
      </c>
      <c r="N87" s="27">
        <f>IF(B87="高三",MAX(IF(E87="男",L87-18,L87-55),0),IF(B87="高二",MAX(IF(E87="男",L87-17,L87-54),0),IF(B87="高一",MAX(IF(E87="男",L87-16,L87-53),0))))</f>
        <v>0</v>
      </c>
      <c r="O87" s="23">
        <f>IF(E87="男",LOOKUP($N87,[1]对照表!$Z$3:$Z$13,[1]对照表!$AA$3:$AA$13),LOOKUP($N87,[1]对照表!$Z$15:$Z$25,[1]对照表!$AA$15:$AA$25))</f>
        <v>0</v>
      </c>
      <c r="P87" s="24">
        <f>M87+O87</f>
        <v>0</v>
      </c>
      <c r="Q87" s="25"/>
      <c r="R87" s="20">
        <v>0</v>
      </c>
      <c r="S87" s="20">
        <v>0</v>
      </c>
      <c r="T87" s="23">
        <f>IF(E87="男",LOOKUP($S87,[1]对照表!$AB$3:$AB$13,[1]对照表!$AC$3:$AC$13),LOOKUP($S87,[1]对照表!$AB$15:$AB$25,[1]对照表!$AC$15:$AC$25))</f>
        <v>0</v>
      </c>
      <c r="U87" s="26">
        <f>R87+T87</f>
        <v>0</v>
      </c>
      <c r="V87" s="26">
        <f>SUM(I87,K87,M87)/3*0.3+SUM(G87,R87)/2*0.4</f>
        <v>9</v>
      </c>
      <c r="W87" s="27">
        <f>O87+T87</f>
        <v>0</v>
      </c>
      <c r="X87" s="28">
        <f>V87/0.7+W87</f>
        <v>12.857142857142858</v>
      </c>
      <c r="Y87" s="29">
        <v>50</v>
      </c>
      <c r="Z87" s="21"/>
    </row>
    <row r="88" spans="1:26" x14ac:dyDescent="0.25">
      <c r="A88" s="16">
        <v>5</v>
      </c>
      <c r="B88" s="17" t="s">
        <v>21</v>
      </c>
      <c r="C88" s="16">
        <v>102</v>
      </c>
      <c r="D88" s="18" t="s">
        <v>637</v>
      </c>
      <c r="E88" s="17" t="s">
        <v>23</v>
      </c>
      <c r="F88" s="19"/>
      <c r="G88" s="20">
        <v>0</v>
      </c>
      <c r="H88" s="21">
        <v>13</v>
      </c>
      <c r="I88" s="32">
        <f>IF(B88="高三",IF($E88="男",LOOKUP(H88,[1]对照表!$K$3:$K$24,[1]对照表!$L$3:$L$24),LOOKUP(H88,[1]对照表!$K$27:$K$48,[1]对照表!$L$27:$L$48)),IF(B88="高二",IF($E88="男",LOOKUP(H88,[1]对照表!$J$3:$J$24,[1]对照表!$L$3:$L$24),LOOKUP(H88,[1]对照表!$J$27:$J$48,[1]对照表!$L$27:$L$48)),IF(B88="高一",IF($E88="男",LOOKUP(H88,[1]对照表!$I$3:$I$24,[1]对照表!$L$3:$L$24),LOOKUP(H88,[1]对照表!$I$27:$I$48,[1]对照表!$L$27:$L$48)))))</f>
        <v>76</v>
      </c>
      <c r="J88" s="21"/>
      <c r="K88" s="20">
        <v>0</v>
      </c>
      <c r="L88" s="21">
        <v>13</v>
      </c>
      <c r="M88" s="32">
        <f>IF(B88="高三",IF($E88="男",LOOKUP(L88,[1]对照表!$S$3:$S$24,[1]对照表!$T$3:$T$24),LOOKUP(L88,[1]对照表!$S$27:$S$48,[1]对照表!$T$27:$T$48)),IF(B88="高二",IF($E88="男",LOOKUP(L88,[1]对照表!$R$3:$R$24,[1]对照表!$T$3:$T$24),LOOKUP(L88,[1]对照表!$R$27:$R$48,[1]对照表!$T$27:$T$48)),IF(B88="高一",IF($E88="男",LOOKUP(L88,[1]对照表!$Q$3:$Q$24,[1]对照表!$T$3:$T$24),LOOKUP(L88,[1]对照表!$Q$27:$Q$48,[1]对照表!$T$27:$T$48)))))</f>
        <v>85</v>
      </c>
      <c r="N88" s="33">
        <f>IF(B88="高三",MAX(IF(E88="男",L88-18,L88-55),0),IF(B88="高二",MAX(IF(E88="男",L88-17,L88-54),0),IF(B88="高一",MAX(IF(E88="男",L88-16,L88-53),0))))</f>
        <v>0</v>
      </c>
      <c r="O88" s="23">
        <f>IF(E88="男",LOOKUP($N88,[1]对照表!$Z$3:$Z$13,[1]对照表!$AA$3:$AA$13),LOOKUP($N88,[1]对照表!$Z$15:$Z$25,[1]对照表!$AA$15:$AA$25))</f>
        <v>0</v>
      </c>
      <c r="P88" s="24">
        <f>M88+O88</f>
        <v>85</v>
      </c>
      <c r="Q88" s="25"/>
      <c r="R88" s="20">
        <v>0</v>
      </c>
      <c r="S88" s="22">
        <v>0</v>
      </c>
      <c r="T88" s="23">
        <f>IF(E88="男",LOOKUP($S88,[1]对照表!$AB$3:$AB$13,[1]对照表!$AC$3:$AC$13),LOOKUP($S88,[1]对照表!$AB$15:$AB$25,[1]对照表!$AC$15:$AC$25))</f>
        <v>0</v>
      </c>
      <c r="U88" s="26">
        <f>R88+T88</f>
        <v>0</v>
      </c>
      <c r="V88" s="26">
        <f>SUM(I88,K88,M88)/3*0.3+SUM(G88,R88)/2*0.4</f>
        <v>16.099999999999998</v>
      </c>
      <c r="W88" s="27">
        <f>O88+T88</f>
        <v>0</v>
      </c>
      <c r="X88" s="28">
        <f>V88/0.7+W88</f>
        <v>23</v>
      </c>
      <c r="Y88" s="29">
        <v>50</v>
      </c>
      <c r="Z88" s="21" t="s">
        <v>636</v>
      </c>
    </row>
    <row r="89" spans="1:26" x14ac:dyDescent="0.25">
      <c r="A89" s="16">
        <v>26</v>
      </c>
      <c r="B89" s="17" t="s">
        <v>21</v>
      </c>
      <c r="C89" s="16">
        <v>102</v>
      </c>
      <c r="D89" s="18" t="s">
        <v>638</v>
      </c>
      <c r="E89" s="17" t="s">
        <v>23</v>
      </c>
      <c r="F89" s="19"/>
      <c r="G89" s="20">
        <v>0</v>
      </c>
      <c r="H89" s="21">
        <v>19</v>
      </c>
      <c r="I89" s="32">
        <f>IF(B89="高三",IF($E89="男",LOOKUP(H89,[1]对照表!$K$3:$K$24,[1]对照表!$L$3:$L$24),LOOKUP(H89,[1]对照表!$K$27:$K$48,[1]对照表!$L$27:$L$48)),IF(B89="高二",IF($E89="男",LOOKUP(H89,[1]对照表!$J$3:$J$24,[1]对照表!$L$3:$L$24),LOOKUP(H89,[1]对照表!$J$27:$J$48,[1]对照表!$L$27:$L$48)),IF(B89="高一",IF($E89="男",LOOKUP(H89,[1]对照表!$I$3:$I$24,[1]对照表!$L$3:$L$24),LOOKUP(H89,[1]对照表!$I$27:$I$48,[1]对照表!$L$27:$L$48)))))</f>
        <v>85</v>
      </c>
      <c r="J89" s="21">
        <v>234</v>
      </c>
      <c r="K89" s="32">
        <f>IF(B89="高三",IF($E89="男",LOOKUP(J89,[1]对照表!$O$3:$O$24,[1]对照表!$P$3:$P$24),LOOKUP(J89,[1]对照表!$O$27:$O$48,[1]对照表!$P$27:$P$48)),IF(B89="高二",IF($E89="男",LOOKUP(J89,[1]对照表!$N$3:$N$24,[1]对照表!$P$3:$P$24),LOOKUP(J89,[1]对照表!$N$27:$N$48,[1]对照表!$P$27:$P$48)),IF(B89="高一",IF($E89="男",LOOKUP(J89,[1]对照表!$M$3:$M$24,[1]对照表!$P$3:$P$24),LOOKUP(J89,[1]对照表!$M$27:$M$48,[1]对照表!$P$27:$P$48)))))</f>
        <v>78</v>
      </c>
      <c r="L89" s="21">
        <v>11</v>
      </c>
      <c r="M89" s="32">
        <f>IF(B89="高三",IF($E89="男",LOOKUP(L89,[1]对照表!$S$3:$S$24,[1]对照表!$T$3:$T$24),LOOKUP(L89,[1]对照表!$S$27:$S$48,[1]对照表!$T$27:$T$48)),IF(B89="高二",IF($E89="男",LOOKUP(L89,[1]对照表!$R$3:$R$24,[1]对照表!$T$3:$T$24),LOOKUP(L89,[1]对照表!$R$27:$R$48,[1]对照表!$T$27:$T$48)),IF(B89="高一",IF($E89="男",LOOKUP(L89,[1]对照表!$Q$3:$Q$24,[1]对照表!$T$3:$T$24),LOOKUP(L89,[1]对照表!$Q$27:$Q$48,[1]对照表!$T$27:$T$48)))))</f>
        <v>76</v>
      </c>
      <c r="N89" s="33">
        <f>IF(B89="高三",MAX(IF(E89="男",L89-18,L89-55),0),IF(B89="高二",MAX(IF(E89="男",L89-17,L89-54),0),IF(B89="高一",MAX(IF(E89="男",L89-16,L89-53),0))))</f>
        <v>0</v>
      </c>
      <c r="O89" s="23">
        <f>IF(E89="男",LOOKUP($N89,[1]对照表!$Z$3:$Z$13,[1]对照表!$AA$3:$AA$13),LOOKUP($N89,[1]对照表!$Z$15:$Z$25,[1]对照表!$AA$15:$AA$25))</f>
        <v>0</v>
      </c>
      <c r="P89" s="24">
        <f>M89+O89</f>
        <v>76</v>
      </c>
      <c r="Q89" s="25"/>
      <c r="R89" s="20">
        <v>0</v>
      </c>
      <c r="S89" s="22">
        <v>0</v>
      </c>
      <c r="T89" s="23">
        <f>IF(E89="男",LOOKUP($S89,[1]对照表!$AB$3:$AB$13,[1]对照表!$AC$3:$AC$13),LOOKUP($S89,[1]对照表!$AB$15:$AB$25,[1]对照表!$AC$15:$AC$25))</f>
        <v>0</v>
      </c>
      <c r="U89" s="26">
        <f>R89+T89</f>
        <v>0</v>
      </c>
      <c r="V89" s="26">
        <f>SUM(I89,K89,M89)/3*0.3+SUM(G89,R89)/2*0.4</f>
        <v>23.900000000000002</v>
      </c>
      <c r="W89" s="27">
        <f>O89+T89</f>
        <v>0</v>
      </c>
      <c r="X89" s="28">
        <f>V89/0.7+W89</f>
        <v>34.142857142857146</v>
      </c>
      <c r="Y89" s="29">
        <v>50</v>
      </c>
      <c r="Z89" s="21" t="s">
        <v>639</v>
      </c>
    </row>
    <row r="90" spans="1:26" x14ac:dyDescent="0.25">
      <c r="A90" s="16">
        <v>15</v>
      </c>
      <c r="B90" s="17" t="s">
        <v>21</v>
      </c>
      <c r="C90" s="16">
        <v>102</v>
      </c>
      <c r="D90" s="18" t="s">
        <v>673</v>
      </c>
      <c r="E90" s="16" t="s">
        <v>23</v>
      </c>
      <c r="F90" s="19"/>
      <c r="G90" s="20">
        <v>0</v>
      </c>
      <c r="H90" s="21"/>
      <c r="I90" s="20">
        <v>0</v>
      </c>
      <c r="J90" s="21"/>
      <c r="K90" s="20">
        <v>0</v>
      </c>
      <c r="L90" s="21"/>
      <c r="M90" s="20">
        <v>0</v>
      </c>
      <c r="N90" s="22">
        <v>0</v>
      </c>
      <c r="O90" s="23">
        <f>IF(E90="男",LOOKUP($N90,[1]对照表!$Z$3:$Z$13,[1]对照表!$AA$3:$AA$13),LOOKUP($N90,[1]对照表!$Z$15:$Z$25,[1]对照表!$AA$15:$AA$25))</f>
        <v>0</v>
      </c>
      <c r="P90" s="24">
        <f>M90+O90</f>
        <v>0</v>
      </c>
      <c r="Q90" s="25"/>
      <c r="R90" s="20">
        <v>0</v>
      </c>
      <c r="S90" s="22">
        <v>0</v>
      </c>
      <c r="T90" s="23">
        <f>IF(E90="男",LOOKUP($S90,[1]对照表!$AB$3:$AB$13,[1]对照表!$AC$3:$AC$13),LOOKUP($S90,[1]对照表!$AB$15:$AB$25,[1]对照表!$AC$15:$AC$25))</f>
        <v>0</v>
      </c>
      <c r="U90" s="26">
        <f>R90+T90</f>
        <v>0</v>
      </c>
      <c r="V90" s="26">
        <f>SUM(I90,K90,M90)/3*0.3+SUM(G90,R90)/2*0.4</f>
        <v>0</v>
      </c>
      <c r="W90" s="27">
        <f>O90+T90</f>
        <v>0</v>
      </c>
      <c r="X90" s="28">
        <f>V90/0.7+W90</f>
        <v>0</v>
      </c>
      <c r="Y90" s="29">
        <v>50</v>
      </c>
      <c r="Z90" s="21"/>
    </row>
    <row r="91" spans="1:26" x14ac:dyDescent="0.25">
      <c r="A91" s="16">
        <v>38</v>
      </c>
      <c r="B91" s="17" t="s">
        <v>21</v>
      </c>
      <c r="C91" s="16">
        <v>102</v>
      </c>
      <c r="D91" s="18" t="s">
        <v>674</v>
      </c>
      <c r="E91" s="17" t="s">
        <v>23</v>
      </c>
      <c r="F91" s="19"/>
      <c r="G91" s="20">
        <v>0</v>
      </c>
      <c r="H91" s="21"/>
      <c r="I91" s="20">
        <v>0</v>
      </c>
      <c r="J91" s="21"/>
      <c r="K91" s="20">
        <v>0</v>
      </c>
      <c r="L91" s="21"/>
      <c r="M91" s="20">
        <v>0</v>
      </c>
      <c r="N91" s="22">
        <v>0</v>
      </c>
      <c r="O91" s="23">
        <f>IF(E91="男",LOOKUP($N91,[1]对照表!$Z$3:$Z$13,[1]对照表!$AA$3:$AA$13),LOOKUP($N91,[1]对照表!$Z$15:$Z$25,[1]对照表!$AA$15:$AA$25))</f>
        <v>0</v>
      </c>
      <c r="P91" s="24">
        <f>M91+O91</f>
        <v>0</v>
      </c>
      <c r="Q91" s="25"/>
      <c r="R91" s="20">
        <v>0</v>
      </c>
      <c r="S91" s="22">
        <v>0</v>
      </c>
      <c r="T91" s="23">
        <f>IF(E91="男",LOOKUP($S91,[1]对照表!$AB$3:$AB$13,[1]对照表!$AC$3:$AC$13),LOOKUP($S91,[1]对照表!$AB$15:$AB$25,[1]对照表!$AC$15:$AC$25))</f>
        <v>0</v>
      </c>
      <c r="U91" s="26">
        <f>R91+T91</f>
        <v>0</v>
      </c>
      <c r="V91" s="26">
        <f>SUM(I91,K91,M91)/3*0.3+SUM(G91,R91)/2*0.4</f>
        <v>0</v>
      </c>
      <c r="W91" s="27">
        <f>O91+T91</f>
        <v>0</v>
      </c>
      <c r="X91" s="28">
        <f>V91/0.7+W91</f>
        <v>0</v>
      </c>
      <c r="Y91" s="29">
        <v>50</v>
      </c>
      <c r="Z91" s="21" t="s">
        <v>675</v>
      </c>
    </row>
    <row r="92" spans="1:26" x14ac:dyDescent="0.25">
      <c r="A92" s="16">
        <v>42</v>
      </c>
      <c r="B92" s="17" t="s">
        <v>21</v>
      </c>
      <c r="C92" s="16">
        <v>102</v>
      </c>
      <c r="D92" s="18" t="s">
        <v>682</v>
      </c>
      <c r="E92" s="16" t="s">
        <v>65</v>
      </c>
      <c r="F92" s="19">
        <v>8.57</v>
      </c>
      <c r="G92" s="32">
        <f>IF(B92="高三",IF($E92="男",LOOKUP(F92,[1]对照表!$G$3:$G$24,[1]对照表!$H$3:$H$24),LOOKUP(F92,[1]对照表!$G$27:$G$48,[1]对照表!$H$27:$H$48)),IF(B92="高二",IF($E92="男",LOOKUP(F92,[1]对照表!$F$3:$F$24,[1]对照表!$H$3:$H$24),LOOKUP(F92,[1]对照表!$F$27:$F$48,[1]对照表!$H$27:$H$48)),IF(B92="高一",IF($E92="男",LOOKUP(F92,[1]对照表!$E$3:$E$24,[1]对照表!$H$3:$H$24),LOOKUP(F92,[1]对照表!$E$27:$E$48,[1]对照表!$H$27:$H$48)))))</f>
        <v>80</v>
      </c>
      <c r="H92" s="21">
        <v>19</v>
      </c>
      <c r="I92" s="32">
        <f>IF(B92="高三",IF($E92="男",LOOKUP(H92,[1]对照表!$K$3:$K$24,[1]对照表!$L$3:$L$24),LOOKUP(H92,[1]对照表!$K$27:$K$48,[1]对照表!$L$27:$L$48)),IF(B92="高二",IF($E92="男",LOOKUP(H92,[1]对照表!$J$3:$J$24,[1]对照表!$L$3:$L$24),LOOKUP(H92,[1]对照表!$J$27:$J$48,[1]对照表!$L$27:$L$48)),IF(B92="高一",IF($E92="男",LOOKUP(H92,[1]对照表!$I$3:$I$24,[1]对照表!$L$3:$L$24),LOOKUP(H92,[1]对照表!$I$27:$I$48,[1]对照表!$L$27:$L$48)))))</f>
        <v>80</v>
      </c>
      <c r="J92" s="21">
        <v>210</v>
      </c>
      <c r="K92" s="32">
        <f>IF(B92="高三",IF($E92="男",LOOKUP(J92,[1]对照表!$O$3:$O$24,[1]对照表!$P$3:$P$24),LOOKUP(J92,[1]对照表!$O$27:$O$48,[1]对照表!$P$27:$P$48)),IF(B92="高二",IF($E92="男",LOOKUP(J92,[1]对照表!$N$3:$N$24,[1]对照表!$P$3:$P$24),LOOKUP(J92,[1]对照表!$N$27:$N$48,[1]对照表!$P$27:$P$48)),IF(B92="高一",IF($E92="男",LOOKUP(J92,[1]对照表!$M$3:$M$24,[1]对照表!$P$3:$P$24),LOOKUP(J92,[1]对照表!$M$27:$M$48,[1]对照表!$P$27:$P$48)))))</f>
        <v>100</v>
      </c>
      <c r="L92" s="21">
        <v>46</v>
      </c>
      <c r="M92" s="32">
        <f>IF(B92="高三",IF($E92="男",LOOKUP(L92,[1]对照表!$S$3:$S$24,[1]对照表!$T$3:$T$24),LOOKUP(L92,[1]对照表!$S$27:$S$48,[1]对照表!$T$27:$T$48)),IF(B92="高二",IF($E92="男",LOOKUP(L92,[1]对照表!$R$3:$R$24,[1]对照表!$T$3:$T$24),LOOKUP(L92,[1]对照表!$R$27:$R$48,[1]对照表!$T$27:$T$48)),IF(B92="高一",IF($E92="男",LOOKUP(L92,[1]对照表!$Q$3:$Q$24,[1]对照表!$T$3:$T$24),LOOKUP(L92,[1]对照表!$Q$27:$Q$48,[1]对照表!$T$27:$T$48)))))</f>
        <v>85</v>
      </c>
      <c r="N92" s="33">
        <f>IF(B92="高三",MAX(IF(E92="男",L92-18,L92-55),0),IF(B92="高二",MAX(IF(E92="男",L92-17,L92-54),0),IF(B92="高一",MAX(IF(E92="男",L92-16,L92-53),0))))</f>
        <v>0</v>
      </c>
      <c r="O92" s="23">
        <f>IF(E92="男",LOOKUP($N92,[1]对照表!$Z$3:$Z$13,[1]对照表!$AA$3:$AA$13),LOOKUP($N92,[1]对照表!$Z$15:$Z$25,[1]对照表!$AA$15:$AA$25))</f>
        <v>0</v>
      </c>
      <c r="P92" s="24">
        <f>M92+O92</f>
        <v>85</v>
      </c>
      <c r="Q92" s="25">
        <v>4</v>
      </c>
      <c r="R92" s="32">
        <f>IF(B92="高三",IF($E92="男",LOOKUP(Q92,[1]对照表!$W$3:$W$24,[1]对照表!$X$3:$X$24),LOOKUP(Q92,[1]对照表!$W$27:$W$48,[1]对照表!$X$27:$X$48)),IF(B92="高二",IF($E92="男",LOOKUP(Q92,[1]对照表!$V$3:$V$24,[1]对照表!$X$3:$X$24),LOOKUP(Q92,[1]对照表!$V$27:$V$48,[1]对照表!$X$27:$X$48)),IF(B92="高一",IF($E92="男",LOOKUP(Q92,[1]对照表!$U$3:$U$24,[1]对照表!$X$3:$X$24),LOOKUP(Q92,[1]对照表!$U$27:$U$48,[1]对照表!$X$27:$X$48)))))</f>
        <v>76</v>
      </c>
      <c r="S92" s="33">
        <f>ROUND(IF(IF($B92="高三",MIN(IF($E92="男",$Q92-3.2,$Q92-3.2),0),IF($B92="高二",MIN(IF($E92="男",$Q92-3.25,$Q92-3.22),0),IF($B92="高一",MIN(IF($E92="男",$Q92-3.3,$Q92-3.24),0))))&lt;-0.6,IF($B92="高三",MIN(IF($E92="男",$Q92-3.2,$Q92-3.2),0),IF($B92="高二",MIN(IF($E92="男",$Q92-3.25,$Q92-3.22),0),IF($B92="高一",MIN(IF($E92="男",$Q92-3.3,$Q92-3.24),0))))+0.4,IF($B92="高三",MIN(IF($E92="男",$Q92-3.2,$Q92-3.2),0),IF($B92="高二",MIN(IF($E92="男",$Q92-3.25,$Q92-3.22),0),IF($B92="高一",MIN(IF($E92="男",$Q92-3.3,$Q92-3.24),0))))),2)</f>
        <v>0</v>
      </c>
      <c r="T92" s="23">
        <f>IF(E92="男",LOOKUP($S92,[1]对照表!$AB$3:$AB$13,[1]对照表!$AC$3:$AC$13),LOOKUP($S92,[1]对照表!$AB$15:$AB$25,[1]对照表!$AC$15:$AC$25))</f>
        <v>0</v>
      </c>
      <c r="U92" s="26">
        <f>R92+T92</f>
        <v>76</v>
      </c>
      <c r="V92" s="26">
        <f>SUM(I92,K92,M92)/3*0.3+SUM(G92,R92)/2*0.4</f>
        <v>57.7</v>
      </c>
      <c r="W92" s="27">
        <f>O92+T92</f>
        <v>0</v>
      </c>
      <c r="X92" s="28">
        <f>V92/0.7+W92</f>
        <v>82.428571428571445</v>
      </c>
      <c r="Y92" s="28">
        <v>82.428571428571445</v>
      </c>
      <c r="Z92" s="21"/>
    </row>
    <row r="93" spans="1:26" x14ac:dyDescent="0.25">
      <c r="A93" s="16">
        <v>48</v>
      </c>
      <c r="B93" s="17" t="s">
        <v>21</v>
      </c>
      <c r="C93" s="16">
        <v>102</v>
      </c>
      <c r="D93" s="18" t="s">
        <v>685</v>
      </c>
      <c r="E93" s="17" t="s">
        <v>65</v>
      </c>
      <c r="F93" s="19">
        <v>8.86</v>
      </c>
      <c r="G93" s="32">
        <f>IF(B93="高三",IF($E93="男",LOOKUP(F93,[1]对照表!$G$3:$G$24,[1]对照表!$H$3:$H$24),LOOKUP(F93,[1]对照表!$G$27:$G$48,[1]对照表!$H$27:$H$48)),IF(B93="高二",IF($E93="男",LOOKUP(F93,[1]对照表!$F$3:$F$24,[1]对照表!$H$3:$H$24),LOOKUP(F93,[1]对照表!$F$27:$F$48,[1]对照表!$H$27:$H$48)),IF(B93="高一",IF($E93="男",LOOKUP(F93,[1]对照表!$E$3:$E$24,[1]对照表!$H$3:$H$24),LOOKUP(F93,[1]对照表!$E$27:$E$48,[1]对照表!$H$27:$H$48)))))</f>
        <v>76</v>
      </c>
      <c r="H93" s="21">
        <v>16</v>
      </c>
      <c r="I93" s="32">
        <f>IF(B93="高三",IF($E93="男",LOOKUP(H93,[1]对照表!$K$3:$K$24,[1]对照表!$L$3:$L$24),LOOKUP(H93,[1]对照表!$K$27:$K$48,[1]对照表!$L$27:$L$48)),IF(B93="高二",IF($E93="男",LOOKUP(H93,[1]对照表!$J$3:$J$24,[1]对照表!$L$3:$L$24),LOOKUP(H93,[1]对照表!$J$27:$J$48,[1]对照表!$L$27:$L$48)),IF(B93="高一",IF($E93="男",LOOKUP(H93,[1]对照表!$I$3:$I$24,[1]对照表!$L$3:$L$24),LOOKUP(H93,[1]对照表!$I$27:$I$48,[1]对照表!$L$27:$L$48)))))</f>
        <v>76</v>
      </c>
      <c r="J93" s="21">
        <v>190</v>
      </c>
      <c r="K93" s="32">
        <f>IF(B93="高三",IF($E93="男",LOOKUP(J93,[1]对照表!$O$3:$O$24,[1]对照表!$P$3:$P$24),LOOKUP(J93,[1]对照表!$O$27:$O$48,[1]对照表!$P$27:$P$48)),IF(B93="高二",IF($E93="男",LOOKUP(J93,[1]对照表!$N$3:$N$24,[1]对照表!$P$3:$P$24),LOOKUP(J93,[1]对照表!$N$27:$N$48,[1]对照表!$P$27:$P$48)),IF(B93="高一",IF($E93="男",LOOKUP(J93,[1]对照表!$M$3:$M$24,[1]对照表!$P$3:$P$24),LOOKUP(J93,[1]对照表!$M$27:$M$48,[1]对照表!$P$27:$P$48)))))</f>
        <v>85</v>
      </c>
      <c r="L93" s="21">
        <v>57</v>
      </c>
      <c r="M93" s="32">
        <f>IF(B93="高三",IF($E93="男",LOOKUP(L93,[1]对照表!$S$3:$S$24,[1]对照表!$T$3:$T$24),LOOKUP(L93,[1]对照表!$S$27:$S$48,[1]对照表!$T$27:$T$48)),IF(B93="高二",IF($E93="男",LOOKUP(L93,[1]对照表!$R$3:$R$24,[1]对照表!$T$3:$T$24),LOOKUP(L93,[1]对照表!$R$27:$R$48,[1]对照表!$T$27:$T$48)),IF(B93="高一",IF($E93="男",LOOKUP(L93,[1]对照表!$Q$3:$Q$24,[1]对照表!$T$3:$T$24),LOOKUP(L93,[1]对照表!$Q$27:$Q$48,[1]对照表!$T$27:$T$48)))))</f>
        <v>100</v>
      </c>
      <c r="N93" s="27">
        <f>IF(B93="高三",MAX(IF(E93="男",L93-18,L93-55),0),IF(B93="高二",MAX(IF(E93="男",L93-17,L93-54),0),IF(B93="高一",MAX(IF(E93="男",L93-16,L93-53),0))))</f>
        <v>4</v>
      </c>
      <c r="O93" s="23">
        <f>IF(E93="男",LOOKUP($N93,[1]对照表!$Z$3:$Z$13,[1]对照表!$AA$3:$AA$13),LOOKUP($N93,[1]对照表!$Z$15:$Z$25,[1]对照表!$AA$15:$AA$25))</f>
        <v>2</v>
      </c>
      <c r="P93" s="24">
        <f>M93+O93</f>
        <v>102</v>
      </c>
      <c r="Q93" s="25">
        <v>4.01</v>
      </c>
      <c r="R93" s="32">
        <f>IF(B93="高三",IF($E93="男",LOOKUP(Q93,[1]对照表!$W$3:$W$24,[1]对照表!$X$3:$X$24),LOOKUP(Q93,[1]对照表!$W$27:$W$48,[1]对照表!$X$27:$X$48)),IF(B93="高二",IF($E93="男",LOOKUP(Q93,[1]对照表!$V$3:$V$24,[1]对照表!$X$3:$X$24),LOOKUP(Q93,[1]对照表!$V$27:$V$48,[1]对照表!$X$27:$X$48)),IF(B93="高一",IF($E93="男",LOOKUP(Q93,[1]对照表!$U$3:$U$24,[1]对照表!$X$3:$X$24),LOOKUP(Q93,[1]对照表!$U$27:$U$48,[1]对照表!$X$27:$X$48)))))</f>
        <v>74</v>
      </c>
      <c r="S93" s="27">
        <f>ROUND(IF(IF($B93="高三",MIN(IF($E93="男",$Q93-3.2,$Q93-3.2),0),IF($B93="高二",MIN(IF($E93="男",$Q93-3.25,$Q93-3.22),0),IF($B93="高一",MIN(IF($E93="男",$Q93-3.3,$Q93-3.24),0))))&lt;-0.6,IF($B93="高三",MIN(IF($E93="男",$Q93-3.2,$Q93-3.2),0),IF($B93="高二",MIN(IF($E93="男",$Q93-3.25,$Q93-3.22),0),IF($B93="高一",MIN(IF($E93="男",$Q93-3.3,$Q93-3.24),0))))+0.4,IF($B93="高三",MIN(IF($E93="男",$Q93-3.2,$Q93-3.2),0),IF($B93="高二",MIN(IF($E93="男",$Q93-3.25,$Q93-3.22),0),IF($B93="高一",MIN(IF($E93="男",$Q93-3.3,$Q93-3.24),0))))),2)</f>
        <v>0</v>
      </c>
      <c r="T93" s="23">
        <f>IF(E93="男",LOOKUP($S93,[1]对照表!$AB$3:$AB$13,[1]对照表!$AC$3:$AC$13),LOOKUP($S93,[1]对照表!$AB$15:$AB$25,[1]对照表!$AC$15:$AC$25))</f>
        <v>0</v>
      </c>
      <c r="U93" s="26">
        <f>R93+T93</f>
        <v>74</v>
      </c>
      <c r="V93" s="26">
        <f>SUM(I93,K93,M93)/3*0.3+SUM(G93,R93)/2*0.4</f>
        <v>56.099999999999994</v>
      </c>
      <c r="W93" s="27">
        <f>O93+T93</f>
        <v>2</v>
      </c>
      <c r="X93" s="28">
        <f>V93/0.7+W93</f>
        <v>82.142857142857139</v>
      </c>
      <c r="Y93" s="28">
        <v>82.142857142857139</v>
      </c>
      <c r="Z93" s="21"/>
    </row>
    <row r="94" spans="1:26" x14ac:dyDescent="0.25">
      <c r="A94" s="16">
        <v>46</v>
      </c>
      <c r="B94" s="17" t="s">
        <v>21</v>
      </c>
      <c r="C94" s="16">
        <v>102</v>
      </c>
      <c r="D94" s="18" t="s">
        <v>697</v>
      </c>
      <c r="E94" s="16" t="s">
        <v>65</v>
      </c>
      <c r="F94" s="19">
        <v>10.09</v>
      </c>
      <c r="G94" s="32">
        <f>IF(B94="高三",IF($E94="男",LOOKUP(F94,[1]对照表!$G$3:$G$24,[1]对照表!$H$3:$H$24),LOOKUP(F94,[1]对照表!$G$27:$G$48,[1]对照表!$H$27:$H$48)),IF(B94="高二",IF($E94="男",LOOKUP(F94,[1]对照表!$F$3:$F$24,[1]对照表!$H$3:$H$24),LOOKUP(F94,[1]对照表!$F$27:$F$48,[1]对照表!$H$27:$H$48)),IF(B94="高一",IF($E94="男",LOOKUP(F94,[1]对照表!$E$3:$E$24,[1]对照表!$H$3:$H$24),LOOKUP(F94,[1]对照表!$E$27:$E$48,[1]对照表!$H$27:$H$48)))))</f>
        <v>64</v>
      </c>
      <c r="H94" s="21">
        <v>21.5</v>
      </c>
      <c r="I94" s="32">
        <f>IF(B94="高三",IF($E94="男",LOOKUP(H94,[1]对照表!$K$3:$K$24,[1]对照表!$L$3:$L$24),LOOKUP(H94,[1]对照表!$K$27:$K$48,[1]对照表!$L$27:$L$48)),IF(B94="高二",IF($E94="男",LOOKUP(H94,[1]对照表!$J$3:$J$24,[1]对照表!$L$3:$L$24),LOOKUP(H94,[1]对照表!$J$27:$J$48,[1]对照表!$L$27:$L$48)),IF(B94="高一",IF($E94="男",LOOKUP(H94,[1]对照表!$I$3:$I$24,[1]对照表!$L$3:$L$24),LOOKUP(H94,[1]对照表!$I$27:$I$48,[1]对照表!$L$27:$L$48)))))</f>
        <v>90</v>
      </c>
      <c r="J94" s="21">
        <v>162</v>
      </c>
      <c r="K94" s="32">
        <f>IF(B94="高三",IF($E94="男",LOOKUP(J94,[1]对照表!$O$3:$O$24,[1]对照表!$P$3:$P$24),LOOKUP(J94,[1]对照表!$O$27:$O$48,[1]对照表!$P$27:$P$48)),IF(B94="高二",IF($E94="男",LOOKUP(J94,[1]对照表!$N$3:$N$24,[1]对照表!$P$3:$P$24),LOOKUP(J94,[1]对照表!$N$27:$N$48,[1]对照表!$P$27:$P$48)),IF(B94="高一",IF($E94="男",LOOKUP(J94,[1]对照表!$M$3:$M$24,[1]对照表!$P$3:$P$24),LOOKUP(J94,[1]对照表!$M$27:$M$48,[1]对照表!$P$27:$P$48)))))</f>
        <v>68</v>
      </c>
      <c r="L94" s="21">
        <v>50</v>
      </c>
      <c r="M94" s="32">
        <f>IF(B94="高三",IF($E94="男",LOOKUP(L94,[1]对照表!$S$3:$S$24,[1]对照表!$T$3:$T$24),LOOKUP(L94,[1]对照表!$S$27:$S$48,[1]对照表!$T$27:$T$48)),IF(B94="高二",IF($E94="男",LOOKUP(L94,[1]对照表!$R$3:$R$24,[1]对照表!$T$3:$T$24),LOOKUP(L94,[1]对照表!$R$27:$R$48,[1]对照表!$T$27:$T$48)),IF(B94="高一",IF($E94="男",LOOKUP(L94,[1]对照表!$Q$3:$Q$24,[1]对照表!$T$3:$T$24),LOOKUP(L94,[1]对照表!$Q$27:$Q$48,[1]对照表!$T$27:$T$48)))))</f>
        <v>90</v>
      </c>
      <c r="N94" s="33">
        <f>IF(B94="高三",MAX(IF(E94="男",L94-18,L94-55),0),IF(B94="高二",MAX(IF(E94="男",L94-17,L94-54),0),IF(B94="高一",MAX(IF(E94="男",L94-16,L94-53),0))))</f>
        <v>0</v>
      </c>
      <c r="O94" s="23">
        <f>IF(E94="男",LOOKUP($N94,[1]对照表!$Z$3:$Z$13,[1]对照表!$AA$3:$AA$13),LOOKUP($N94,[1]对照表!$Z$15:$Z$25,[1]对照表!$AA$15:$AA$25))</f>
        <v>0</v>
      </c>
      <c r="P94" s="24">
        <f>M94+O94</f>
        <v>90</v>
      </c>
      <c r="Q94" s="25">
        <v>4.0599999999999996</v>
      </c>
      <c r="R94" s="32">
        <f>IF(B94="高三",IF($E94="男",LOOKUP(Q94,[1]对照表!$W$3:$W$24,[1]对照表!$X$3:$X$24),LOOKUP(Q94,[1]对照表!$W$27:$W$48,[1]对照表!$X$27:$X$48)),IF(B94="高二",IF($E94="男",LOOKUP(Q94,[1]对照表!$V$3:$V$24,[1]对照表!$X$3:$X$24),LOOKUP(Q94,[1]对照表!$V$27:$V$48,[1]对照表!$X$27:$X$48)),IF(B94="高一",IF($E94="男",LOOKUP(Q94,[1]对照表!$U$3:$U$24,[1]对照表!$X$3:$X$24),LOOKUP(Q94,[1]对照表!$U$27:$U$48,[1]对照表!$X$27:$X$48)))))</f>
        <v>72</v>
      </c>
      <c r="S94" s="33">
        <f>ROUND(IF(IF($B94="高三",MIN(IF($E94="男",$Q94-3.2,$Q94-3.2),0),IF($B94="高二",MIN(IF($E94="男",$Q94-3.25,$Q94-3.22),0),IF($B94="高一",MIN(IF($E94="男",$Q94-3.3,$Q94-3.24),0))))&lt;-0.6,IF($B94="高三",MIN(IF($E94="男",$Q94-3.2,$Q94-3.2),0),IF($B94="高二",MIN(IF($E94="男",$Q94-3.25,$Q94-3.22),0),IF($B94="高一",MIN(IF($E94="男",$Q94-3.3,$Q94-3.24),0))))+0.4,IF($B94="高三",MIN(IF($E94="男",$Q94-3.2,$Q94-3.2),0),IF($B94="高二",MIN(IF($E94="男",$Q94-3.25,$Q94-3.22),0),IF($B94="高一",MIN(IF($E94="男",$Q94-3.3,$Q94-3.24),0))))),2)</f>
        <v>0</v>
      </c>
      <c r="T94" s="23">
        <f>IF(E94="男",LOOKUP($S94,[1]对照表!$AB$3:$AB$13,[1]对照表!$AC$3:$AC$13),LOOKUP($S94,[1]对照表!$AB$15:$AB$25,[1]对照表!$AC$15:$AC$25))</f>
        <v>0</v>
      </c>
      <c r="U94" s="26">
        <f>R94+T94</f>
        <v>72</v>
      </c>
      <c r="V94" s="26">
        <f>SUM(I94,K94,M94)/3*0.3+SUM(G94,R94)/2*0.4</f>
        <v>52</v>
      </c>
      <c r="W94" s="27">
        <f>O94+T94</f>
        <v>0</v>
      </c>
      <c r="X94" s="28">
        <f>V94/0.7+W94</f>
        <v>74.285714285714292</v>
      </c>
      <c r="Y94" s="28">
        <v>74.285714285714292</v>
      </c>
      <c r="Z94" s="21"/>
    </row>
    <row r="95" spans="1:26" x14ac:dyDescent="0.25">
      <c r="A95" s="16">
        <v>39</v>
      </c>
      <c r="B95" s="17" t="s">
        <v>21</v>
      </c>
      <c r="C95" s="16">
        <v>102</v>
      </c>
      <c r="D95" s="18" t="s">
        <v>722</v>
      </c>
      <c r="E95" s="34" t="s">
        <v>65</v>
      </c>
      <c r="F95" s="19">
        <v>10.53</v>
      </c>
      <c r="G95" s="32">
        <f>IF(B95="高三",IF($E95="男",LOOKUP(F95,[1]对照表!$G$3:$G$24,[1]对照表!$H$3:$H$24),LOOKUP(F95,[1]对照表!$G$27:$G$48,[1]对照表!$H$27:$H$48)),IF(B95="高二",IF($E95="男",LOOKUP(F95,[1]对照表!$F$3:$F$24,[1]对照表!$H$3:$H$24),LOOKUP(F95,[1]对照表!$F$27:$F$48,[1]对照表!$H$27:$H$48)),IF(B95="高一",IF($E95="男",LOOKUP(F95,[1]对照表!$E$3:$E$24,[1]对照表!$H$3:$H$24),LOOKUP(F95,[1]对照表!$E$27:$E$48,[1]对照表!$H$27:$H$48)))))</f>
        <v>60</v>
      </c>
      <c r="H95" s="21">
        <v>16</v>
      </c>
      <c r="I95" s="32">
        <f>IF(B95="高三",IF($E95="男",LOOKUP(H95,[1]对照表!$K$3:$K$24,[1]对照表!$L$3:$L$24),LOOKUP(H95,[1]对照表!$K$27:$K$48,[1]对照表!$L$27:$L$48)),IF(B95="高二",IF($E95="男",LOOKUP(H95,[1]对照表!$J$3:$J$24,[1]对照表!$L$3:$L$24),LOOKUP(H95,[1]对照表!$J$27:$J$48,[1]对照表!$L$27:$L$48)),IF(B95="高一",IF($E95="男",LOOKUP(H95,[1]对照表!$I$3:$I$24,[1]对照表!$L$3:$L$24),LOOKUP(H95,[1]对照表!$I$27:$I$48,[1]对照表!$L$27:$L$48)))))</f>
        <v>76</v>
      </c>
      <c r="J95" s="21">
        <v>168</v>
      </c>
      <c r="K95" s="32">
        <f>IF(B95="高三",IF($E95="男",LOOKUP(J95,[1]对照表!$O$3:$O$24,[1]对照表!$P$3:$P$24),LOOKUP(J95,[1]对照表!$O$27:$O$48,[1]对照表!$P$27:$P$48)),IF(B95="高二",IF($E95="男",LOOKUP(J95,[1]对照表!$N$3:$N$24,[1]对照表!$P$3:$P$24),LOOKUP(J95,[1]对照表!$N$27:$N$48,[1]对照表!$P$27:$P$48)),IF(B95="高一",IF($E95="男",LOOKUP(J95,[1]对照表!$M$3:$M$24,[1]对照表!$P$3:$P$24),LOOKUP(J95,[1]对照表!$M$27:$M$48,[1]对照表!$P$27:$P$48)))))</f>
        <v>72</v>
      </c>
      <c r="L95" s="21">
        <v>47</v>
      </c>
      <c r="M95" s="32">
        <f>IF(B95="高三",IF($E95="男",LOOKUP(L95,[1]对照表!$S$3:$S$24,[1]对照表!$T$3:$T$24),LOOKUP(L95,[1]对照表!$S$27:$S$48,[1]对照表!$T$27:$T$48)),IF(B95="高二",IF($E95="男",LOOKUP(L95,[1]对照表!$R$3:$R$24,[1]对照表!$T$3:$T$24),LOOKUP(L95,[1]对照表!$R$27:$R$48,[1]对照表!$T$27:$T$48)),IF(B95="高一",IF($E95="男",LOOKUP(L95,[1]对照表!$Q$3:$Q$24,[1]对照表!$T$3:$T$24),LOOKUP(L95,[1]对照表!$Q$27:$Q$48,[1]对照表!$T$27:$T$48)))))</f>
        <v>85</v>
      </c>
      <c r="N95" s="33">
        <f>IF(B95="高三",MAX(IF(E95="男",L95-18,L95-55),0),IF(B95="高二",MAX(IF(E95="男",L95-17,L95-54),0),IF(B95="高一",MAX(IF(E95="男",L95-16,L95-53),0))))</f>
        <v>0</v>
      </c>
      <c r="O95" s="23">
        <f>IF(E95="男",LOOKUP($N95,[1]对照表!$Z$3:$Z$13,[1]对照表!$AA$3:$AA$13),LOOKUP($N95,[1]对照表!$Z$15:$Z$25,[1]对照表!$AA$15:$AA$25))</f>
        <v>0</v>
      </c>
      <c r="P95" s="24">
        <f>M95+O95</f>
        <v>85</v>
      </c>
      <c r="Q95" s="25">
        <v>4.16</v>
      </c>
      <c r="R95" s="32">
        <f>IF(B95="高三",IF($E95="男",LOOKUP(Q95,[1]对照表!$W$3:$W$24,[1]对照表!$X$3:$X$24),LOOKUP(Q95,[1]对照表!$W$27:$W$48,[1]对照表!$X$27:$X$48)),IF(B95="高二",IF($E95="男",LOOKUP(Q95,[1]对照表!$V$3:$V$24,[1]对照表!$X$3:$X$24),LOOKUP(Q95,[1]对照表!$V$27:$V$48,[1]对照表!$X$27:$X$48)),IF(B95="高一",IF($E95="男",LOOKUP(Q95,[1]对照表!$U$3:$U$24,[1]对照表!$X$3:$X$24),LOOKUP(Q95,[1]对照表!$U$27:$U$48,[1]对照表!$X$27:$X$48)))))</f>
        <v>68</v>
      </c>
      <c r="S95" s="33">
        <f>ROUND(IF(IF($B95="高三",MIN(IF($E95="男",$Q95-3.2,$Q95-3.2),0),IF($B95="高二",MIN(IF($E95="男",$Q95-3.25,$Q95-3.22),0),IF($B95="高一",MIN(IF($E95="男",$Q95-3.3,$Q95-3.24),0))))&lt;-0.6,IF($B95="高三",MIN(IF($E95="男",$Q95-3.2,$Q95-3.2),0),IF($B95="高二",MIN(IF($E95="男",$Q95-3.25,$Q95-3.22),0),IF($B95="高一",MIN(IF($E95="男",$Q95-3.3,$Q95-3.24),0))))+0.4,IF($B95="高三",MIN(IF($E95="男",$Q95-3.2,$Q95-3.2),0),IF($B95="高二",MIN(IF($E95="男",$Q95-3.25,$Q95-3.22),0),IF($B95="高一",MIN(IF($E95="男",$Q95-3.3,$Q95-3.24),0))))),2)</f>
        <v>0</v>
      </c>
      <c r="T95" s="23">
        <f>IF(E95="男",LOOKUP($S95,[1]对照表!$AB$3:$AB$13,[1]对照表!$AC$3:$AC$13),LOOKUP($S95,[1]对照表!$AB$15:$AB$25,[1]对照表!$AC$15:$AC$25))</f>
        <v>0</v>
      </c>
      <c r="U95" s="26">
        <f>R95+T95</f>
        <v>68</v>
      </c>
      <c r="V95" s="26">
        <f>SUM(I95,K95,M95)/3*0.3+SUM(G95,R95)/2*0.4</f>
        <v>48.900000000000006</v>
      </c>
      <c r="W95" s="27">
        <f>O95+T95</f>
        <v>0</v>
      </c>
      <c r="X95" s="28">
        <f>V95/0.7+W95</f>
        <v>69.857142857142875</v>
      </c>
      <c r="Y95" s="28">
        <v>69.857142857142875</v>
      </c>
      <c r="Z95" s="21"/>
    </row>
    <row r="96" spans="1:26" x14ac:dyDescent="0.25">
      <c r="A96" s="16">
        <v>43</v>
      </c>
      <c r="B96" s="17" t="s">
        <v>21</v>
      </c>
      <c r="C96" s="16">
        <v>102</v>
      </c>
      <c r="D96" s="18" t="s">
        <v>732</v>
      </c>
      <c r="E96" s="16" t="s">
        <v>65</v>
      </c>
      <c r="F96" s="19">
        <v>8.3800000000000008</v>
      </c>
      <c r="G96" s="32">
        <f>IF(B96="高三",IF($E96="男",LOOKUP(F96,[1]对照表!$G$3:$G$24,[1]对照表!$H$3:$H$24),LOOKUP(F96,[1]对照表!$G$27:$G$48,[1]对照表!$H$27:$H$48)),IF(B96="高二",IF($E96="男",LOOKUP(F96,[1]对照表!$F$3:$F$24,[1]对照表!$H$3:$H$24),LOOKUP(F96,[1]对照表!$F$27:$F$48,[1]对照表!$H$27:$H$48)),IF(B96="高一",IF($E96="男",LOOKUP(F96,[1]对照表!$E$3:$E$24,[1]对照表!$H$3:$H$24),LOOKUP(F96,[1]对照表!$E$27:$E$48,[1]对照表!$H$27:$H$48)))))</f>
        <v>80</v>
      </c>
      <c r="H96" s="21">
        <v>22</v>
      </c>
      <c r="I96" s="32">
        <f>IF(B96="高三",IF($E96="男",LOOKUP(H96,[1]对照表!$K$3:$K$24,[1]对照表!$L$3:$L$24),LOOKUP(H96,[1]对照表!$K$27:$K$48,[1]对照表!$L$27:$L$48)),IF(B96="高二",IF($E96="男",LOOKUP(H96,[1]对照表!$J$3:$J$24,[1]对照表!$L$3:$L$24),LOOKUP(H96,[1]对照表!$J$27:$J$48,[1]对照表!$L$27:$L$48)),IF(B96="高一",IF($E96="男",LOOKUP(H96,[1]对照表!$I$3:$I$24,[1]对照表!$L$3:$L$24),LOOKUP(H96,[1]对照表!$I$27:$I$48,[1]对照表!$L$27:$L$48)))))</f>
        <v>90</v>
      </c>
      <c r="J96" s="21">
        <v>183</v>
      </c>
      <c r="K96" s="32">
        <f>IF(B96="高三",IF($E96="男",LOOKUP(J96,[1]对照表!$O$3:$O$24,[1]对照表!$P$3:$P$24),LOOKUP(J96,[1]对照表!$O$27:$O$48,[1]对照表!$P$27:$P$48)),IF(B96="高二",IF($E96="男",LOOKUP(J96,[1]对照表!$N$3:$N$24,[1]对照表!$P$3:$P$24),LOOKUP(J96,[1]对照表!$N$27:$N$48,[1]对照表!$P$27:$P$48)),IF(B96="高一",IF($E96="男",LOOKUP(J96,[1]对照表!$M$3:$M$24,[1]对照表!$P$3:$P$24),LOOKUP(J96,[1]对照表!$M$27:$M$48,[1]对照表!$P$27:$P$48)))))</f>
        <v>80</v>
      </c>
      <c r="L96" s="21">
        <v>41</v>
      </c>
      <c r="M96" s="32">
        <f>IF(B96="高三",IF($E96="男",LOOKUP(L96,[1]对照表!$S$3:$S$24,[1]对照表!$T$3:$T$24),LOOKUP(L96,[1]对照表!$S$27:$S$48,[1]对照表!$T$27:$T$48)),IF(B96="高二",IF($E96="男",LOOKUP(L96,[1]对照表!$R$3:$R$24,[1]对照表!$T$3:$T$24),LOOKUP(L96,[1]对照表!$R$27:$R$48,[1]对照表!$T$27:$T$48)),IF(B96="高一",IF($E96="男",LOOKUP(L96,[1]对照表!$Q$3:$Q$24,[1]对照表!$T$3:$T$24),LOOKUP(L96,[1]对照表!$Q$27:$Q$48,[1]对照表!$T$27:$T$48)))))</f>
        <v>78</v>
      </c>
      <c r="N96" s="33">
        <f>IF(B96="高三",MAX(IF(E96="男",L96-18,L96-55),0),IF(B96="高二",MAX(IF(E96="男",L96-17,L96-54),0),IF(B96="高一",MAX(IF(E96="男",L96-16,L96-53),0))))</f>
        <v>0</v>
      </c>
      <c r="O96" s="23">
        <f>IF(E96="男",LOOKUP($N96,[1]对照表!$Z$3:$Z$13,[1]对照表!$AA$3:$AA$13),LOOKUP($N96,[1]对照表!$Z$15:$Z$25,[1]对照表!$AA$15:$AA$25))</f>
        <v>0</v>
      </c>
      <c r="P96" s="24">
        <f>M96+O96</f>
        <v>78</v>
      </c>
      <c r="Q96" s="25">
        <v>4.24</v>
      </c>
      <c r="R96" s="32">
        <f>IF(B96="高三",IF($E96="男",LOOKUP(Q96,[1]对照表!$W$3:$W$24,[1]对照表!$X$3:$X$24),LOOKUP(Q96,[1]对照表!$W$27:$W$48,[1]对照表!$X$27:$X$48)),IF(B96="高二",IF($E96="男",LOOKUP(Q96,[1]对照表!$V$3:$V$24,[1]对照表!$X$3:$X$24),LOOKUP(Q96,[1]对照表!$V$27:$V$48,[1]对照表!$X$27:$X$48)),IF(B96="高一",IF($E96="男",LOOKUP(Q96,[1]对照表!$U$3:$U$24,[1]对照表!$X$3:$X$24),LOOKUP(Q96,[1]对照表!$U$27:$U$48,[1]对照表!$X$27:$X$48)))))</f>
        <v>66</v>
      </c>
      <c r="S96" s="33">
        <f>ROUND(IF(IF($B96="高三",MIN(IF($E96="男",$Q96-3.2,$Q96-3.2),0),IF($B96="高二",MIN(IF($E96="男",$Q96-3.25,$Q96-3.22),0),IF($B96="高一",MIN(IF($E96="男",$Q96-3.3,$Q96-3.24),0))))&lt;-0.6,IF($B96="高三",MIN(IF($E96="男",$Q96-3.2,$Q96-3.2),0),IF($B96="高二",MIN(IF($E96="男",$Q96-3.25,$Q96-3.22),0),IF($B96="高一",MIN(IF($E96="男",$Q96-3.3,$Q96-3.24),0))))+0.4,IF($B96="高三",MIN(IF($E96="男",$Q96-3.2,$Q96-3.2),0),IF($B96="高二",MIN(IF($E96="男",$Q96-3.25,$Q96-3.22),0),IF($B96="高一",MIN(IF($E96="男",$Q96-3.3,$Q96-3.24),0))))),2)</f>
        <v>0</v>
      </c>
      <c r="T96" s="23">
        <f>IF(E96="男",LOOKUP($S96,[1]对照表!$AB$3:$AB$13,[1]对照表!$AC$3:$AC$13),LOOKUP($S96,[1]对照表!$AB$15:$AB$25,[1]对照表!$AC$15:$AC$25))</f>
        <v>0</v>
      </c>
      <c r="U96" s="26">
        <f>R96+T96</f>
        <v>66</v>
      </c>
      <c r="V96" s="26">
        <f>SUM(I96,K96,M96)/3*0.3+SUM(G96,R96)/2*0.4</f>
        <v>54</v>
      </c>
      <c r="W96" s="27">
        <f>O96+T96</f>
        <v>0</v>
      </c>
      <c r="X96" s="28">
        <f>V96/0.7+W96</f>
        <v>77.142857142857153</v>
      </c>
      <c r="Y96" s="28">
        <v>77.142857142857153</v>
      </c>
      <c r="Z96" s="21"/>
    </row>
    <row r="97" spans="1:26" x14ac:dyDescent="0.25">
      <c r="A97" s="16">
        <v>44</v>
      </c>
      <c r="B97" s="17" t="s">
        <v>21</v>
      </c>
      <c r="C97" s="16">
        <v>102</v>
      </c>
      <c r="D97" s="18" t="s">
        <v>761</v>
      </c>
      <c r="E97" s="16" t="s">
        <v>65</v>
      </c>
      <c r="F97" s="19"/>
      <c r="G97" s="20">
        <v>0</v>
      </c>
      <c r="H97" s="21"/>
      <c r="I97" s="20">
        <v>0</v>
      </c>
      <c r="J97" s="21"/>
      <c r="K97" s="20">
        <v>0</v>
      </c>
      <c r="L97" s="21"/>
      <c r="M97" s="20">
        <v>0</v>
      </c>
      <c r="N97" s="22">
        <v>0</v>
      </c>
      <c r="O97" s="23">
        <f>IF(E97="男",LOOKUP($N97,[1]对照表!$Z$3:$Z$13,[1]对照表!$AA$3:$AA$13),LOOKUP($N97,[1]对照表!$Z$15:$Z$25,[1]对照表!$AA$15:$AA$25))</f>
        <v>0</v>
      </c>
      <c r="P97" s="24">
        <f>M97+O97</f>
        <v>0</v>
      </c>
      <c r="Q97" s="25"/>
      <c r="R97" s="20">
        <v>0</v>
      </c>
      <c r="S97" s="22">
        <v>0</v>
      </c>
      <c r="T97" s="23">
        <f>IF(E97="男",LOOKUP($S97,[1]对照表!$AB$3:$AB$13,[1]对照表!$AC$3:$AC$13),LOOKUP($S97,[1]对照表!$AB$15:$AB$25,[1]对照表!$AC$15:$AC$25))</f>
        <v>0</v>
      </c>
      <c r="U97" s="26">
        <f>R97+T97</f>
        <v>0</v>
      </c>
      <c r="V97" s="26">
        <f>SUM(I97,K97,M97)/3*0.3+SUM(G97,R97)/2*0.4</f>
        <v>0</v>
      </c>
      <c r="W97" s="27">
        <f>O97+T97</f>
        <v>0</v>
      </c>
      <c r="X97" s="28">
        <f>V97/0.7+W97</f>
        <v>0</v>
      </c>
      <c r="Y97" s="29">
        <v>50</v>
      </c>
      <c r="Z97" s="21"/>
    </row>
    <row r="98" spans="1:26" x14ac:dyDescent="0.25">
      <c r="A98" s="16">
        <v>31</v>
      </c>
      <c r="B98" s="17" t="s">
        <v>21</v>
      </c>
      <c r="C98" s="16">
        <v>103</v>
      </c>
      <c r="D98" s="18" t="s">
        <v>26</v>
      </c>
      <c r="E98" s="31" t="s">
        <v>23</v>
      </c>
      <c r="F98" s="19"/>
      <c r="G98" s="20">
        <v>0</v>
      </c>
      <c r="H98" s="21"/>
      <c r="I98" s="20">
        <v>0</v>
      </c>
      <c r="J98" s="21"/>
      <c r="K98" s="20">
        <v>0</v>
      </c>
      <c r="L98" s="21"/>
      <c r="M98" s="20">
        <v>0</v>
      </c>
      <c r="N98" s="22">
        <v>0</v>
      </c>
      <c r="O98" s="23">
        <f>IF(E98="男",LOOKUP($N98,[1]对照表!$Z$3:$Z$13,[1]对照表!$AA$3:$AA$13),LOOKUP($N98,[1]对照表!$Z$15:$Z$25,[1]对照表!$AA$15:$AA$25))</f>
        <v>0</v>
      </c>
      <c r="P98" s="24">
        <f>M98+O98</f>
        <v>0</v>
      </c>
      <c r="Q98" s="25"/>
      <c r="R98" s="20">
        <v>0</v>
      </c>
      <c r="S98" s="22">
        <v>0</v>
      </c>
      <c r="T98" s="23">
        <f>IF(E98="男",LOOKUP($S98,[1]对照表!$AB$3:$AB$13,[1]对照表!$AC$3:$AC$13),LOOKUP($S98,[1]对照表!$AB$15:$AB$25,[1]对照表!$AC$15:$AC$25))</f>
        <v>0</v>
      </c>
      <c r="U98" s="26">
        <f>R98+T98</f>
        <v>0</v>
      </c>
      <c r="V98" s="26">
        <f>SUM(I98,K98,M98)/3*0.3+SUM(G98,R98)/2*0.4</f>
        <v>0</v>
      </c>
      <c r="W98" s="27">
        <f>O98+T98</f>
        <v>0</v>
      </c>
      <c r="X98" s="28">
        <f>V98/0.7+W98</f>
        <v>0</v>
      </c>
      <c r="Y98" s="29" t="s">
        <v>24</v>
      </c>
      <c r="Z98" s="21" t="s">
        <v>27</v>
      </c>
    </row>
    <row r="99" spans="1:26" x14ac:dyDescent="0.25">
      <c r="A99" s="16">
        <v>12</v>
      </c>
      <c r="B99" s="17" t="s">
        <v>21</v>
      </c>
      <c r="C99" s="16">
        <v>103</v>
      </c>
      <c r="D99" s="18" t="s">
        <v>40</v>
      </c>
      <c r="E99" s="17" t="s">
        <v>23</v>
      </c>
      <c r="F99" s="19">
        <v>6.4</v>
      </c>
      <c r="G99" s="32">
        <f>IF(B99="高三",IF($E99="男",LOOKUP(F99,[1]对照表!$G$3:$G$24,[1]对照表!$H$3:$H$24),LOOKUP(F99,[1]对照表!$G$27:$G$48,[1]对照表!$H$27:$H$48)),IF(B99="高二",IF($E99="男",LOOKUP(F99,[1]对照表!$F$3:$F$24,[1]对照表!$H$3:$H$24),LOOKUP(F99,[1]对照表!$F$27:$F$48,[1]对照表!$H$27:$H$48)),IF(B99="高一",IF($E99="男",LOOKUP(F99,[1]对照表!$E$3:$E$24,[1]对照表!$H$3:$H$24),LOOKUP(F99,[1]对照表!$E$27:$E$48,[1]对照表!$H$27:$H$48)))))</f>
        <v>100</v>
      </c>
      <c r="H99" s="21">
        <v>22.5</v>
      </c>
      <c r="I99" s="32">
        <f>IF(B99="高三",IF($E99="男",LOOKUP(H99,[1]对照表!$K$3:$K$24,[1]对照表!$L$3:$L$24),LOOKUP(H99,[1]对照表!$K$27:$K$48,[1]对照表!$L$27:$L$48)),IF(B99="高二",IF($E99="男",LOOKUP(H99,[1]对照表!$J$3:$J$24,[1]对照表!$L$3:$L$24),LOOKUP(H99,[1]对照表!$J$27:$J$48,[1]对照表!$L$27:$L$48)),IF(B99="高一",IF($E99="男",LOOKUP(H99,[1]对照表!$I$3:$I$24,[1]对照表!$L$3:$L$24),LOOKUP(H99,[1]对照表!$I$27:$I$48,[1]对照表!$L$27:$L$48)))))</f>
        <v>95</v>
      </c>
      <c r="J99" s="21">
        <v>275</v>
      </c>
      <c r="K99" s="32">
        <f>IF(B99="高三",IF($E99="男",LOOKUP(J99,[1]对照表!$O$3:$O$24,[1]对照表!$P$3:$P$24),LOOKUP(J99,[1]对照表!$O$27:$O$48,[1]对照表!$P$27:$P$48)),IF(B99="高二",IF($E99="男",LOOKUP(J99,[1]对照表!$N$3:$N$24,[1]对照表!$P$3:$P$24),LOOKUP(J99,[1]对照表!$N$27:$N$48,[1]对照表!$P$27:$P$48)),IF(B99="高一",IF($E99="男",LOOKUP(J99,[1]对照表!$M$3:$M$24,[1]对照表!$P$3:$P$24),LOOKUP(J99,[1]对照表!$M$27:$M$48,[1]对照表!$P$27:$P$48)))))</f>
        <v>100</v>
      </c>
      <c r="L99" s="21">
        <v>26</v>
      </c>
      <c r="M99" s="32">
        <f>IF(B99="高三",IF($E99="男",LOOKUP(L99,[1]对照表!$S$3:$S$24,[1]对照表!$T$3:$T$24),LOOKUP(L99,[1]对照表!$S$27:$S$48,[1]对照表!$T$27:$T$48)),IF(B99="高二",IF($E99="男",LOOKUP(L99,[1]对照表!$R$3:$R$24,[1]对照表!$T$3:$T$24),LOOKUP(L99,[1]对照表!$R$27:$R$48,[1]对照表!$T$27:$T$48)),IF(B99="高一",IF($E99="男",LOOKUP(L99,[1]对照表!$Q$3:$Q$24,[1]对照表!$T$3:$T$24),LOOKUP(L99,[1]对照表!$Q$27:$Q$48,[1]对照表!$T$27:$T$48)))))</f>
        <v>100</v>
      </c>
      <c r="N99" s="33">
        <f>IF(B99="高三",MAX(IF(E99="男",L99-18,L99-55),0),IF(B99="高二",MAX(IF(E99="男",L99-17,L99-54),0),IF(B99="高一",MAX(IF(E99="男",L99-16,L99-53),0))))</f>
        <v>10</v>
      </c>
      <c r="O99" s="23">
        <f>IF(E99="男",LOOKUP($N99,[1]对照表!$Z$3:$Z$13,[1]对照表!$AA$3:$AA$13),LOOKUP($N99,[1]对照表!$Z$15:$Z$25,[1]对照表!$AA$15:$AA$25))</f>
        <v>10</v>
      </c>
      <c r="P99" s="24">
        <f>M99+O99</f>
        <v>110</v>
      </c>
      <c r="Q99" s="25">
        <v>3.39</v>
      </c>
      <c r="R99" s="32">
        <f>IF(B99="高三",IF($E99="男",LOOKUP(Q99,[1]对照表!$W$3:$W$24,[1]对照表!$X$3:$X$24),LOOKUP(Q99,[1]对照表!$W$27:$W$48,[1]对照表!$X$27:$X$48)),IF(B99="高二",IF($E99="男",LOOKUP(Q99,[1]对照表!$V$3:$V$24,[1]对照表!$X$3:$X$24),LOOKUP(Q99,[1]对照表!$V$27:$V$48,[1]对照表!$X$27:$X$48)),IF(B99="高一",IF($E99="男",LOOKUP(Q99,[1]对照表!$U$3:$U$24,[1]对照表!$X$3:$X$24),LOOKUP(Q99,[1]对照表!$U$27:$U$48,[1]对照表!$X$27:$X$48)))))</f>
        <v>90</v>
      </c>
      <c r="S99" s="33">
        <f>ROUND(IF(IF($B99="高三",MIN(IF($E99="男",$Q99-3.2,$Q99-3.2),0),IF($B99="高二",MIN(IF($E99="男",$Q99-3.25,$Q99-3.22),0),IF($B99="高一",MIN(IF($E99="男",$Q99-3.3,$Q99-3.24),0))))&lt;-0.6,IF($B99="高三",MIN(IF($E99="男",$Q99-3.2,$Q99-3.2),0),IF($B99="高二",MIN(IF($E99="男",$Q99-3.25,$Q99-3.22),0),IF($B99="高一",MIN(IF($E99="男",$Q99-3.3,$Q99-3.24),0))))+0.4,IF($B99="高三",MIN(IF($E99="男",$Q99-3.2,$Q99-3.2),0),IF($B99="高二",MIN(IF($E99="男",$Q99-3.25,$Q99-3.22),0),IF($B99="高一",MIN(IF($E99="男",$Q99-3.3,$Q99-3.24),0))))),2)</f>
        <v>0</v>
      </c>
      <c r="T99" s="23">
        <f>IF(E99="男",LOOKUP($S99,[1]对照表!$AB$3:$AB$13,[1]对照表!$AC$3:$AC$13),LOOKUP($S99,[1]对照表!$AB$15:$AB$25,[1]对照表!$AC$15:$AC$25))</f>
        <v>0</v>
      </c>
      <c r="U99" s="26">
        <f>R99+T99</f>
        <v>90</v>
      </c>
      <c r="V99" s="26">
        <f>SUM(I99,K99,M99)/3*0.3+SUM(G99,R99)/2*0.4</f>
        <v>67.5</v>
      </c>
      <c r="W99" s="27">
        <f>O99+T99</f>
        <v>10</v>
      </c>
      <c r="X99" s="28">
        <f>V99/0.7+W99</f>
        <v>106.42857142857143</v>
      </c>
      <c r="Y99" s="28">
        <v>106.42857142857143</v>
      </c>
      <c r="Z99" s="21"/>
    </row>
    <row r="100" spans="1:26" x14ac:dyDescent="0.25">
      <c r="A100" s="16">
        <v>20</v>
      </c>
      <c r="B100" s="17" t="s">
        <v>21</v>
      </c>
      <c r="C100" s="16">
        <v>103</v>
      </c>
      <c r="D100" s="18" t="s">
        <v>51</v>
      </c>
      <c r="E100" s="17" t="s">
        <v>23</v>
      </c>
      <c r="F100" s="19">
        <v>6.8</v>
      </c>
      <c r="G100" s="32">
        <f>IF(B100="高三",IF($E100="男",LOOKUP(F100,[1]对照表!$G$3:$G$24,[1]对照表!$H$3:$H$24),LOOKUP(F100,[1]对照表!$G$27:$G$48,[1]对照表!$H$27:$H$48)),IF(B100="高二",IF($E100="男",LOOKUP(F100,[1]对照表!$F$3:$F$24,[1]对照表!$H$3:$H$24),LOOKUP(F100,[1]对照表!$F$27:$F$48,[1]对照表!$H$27:$H$48)),IF(B100="高一",IF($E100="男",LOOKUP(F100,[1]对照表!$E$3:$E$24,[1]对照表!$H$3:$H$24),LOOKUP(F100,[1]对照表!$E$27:$E$48,[1]对照表!$H$27:$H$48)))))</f>
        <v>100</v>
      </c>
      <c r="H100" s="21">
        <v>6.5</v>
      </c>
      <c r="I100" s="32">
        <f>IF(B100="高三",IF($E100="男",LOOKUP(H100,[1]对照表!$K$3:$K$24,[1]对照表!$L$3:$L$24),LOOKUP(H100,[1]对照表!$K$27:$K$48,[1]对照表!$L$27:$L$48)),IF(B100="高二",IF($E100="男",LOOKUP(H100,[1]对照表!$J$3:$J$24,[1]对照表!$L$3:$L$24),LOOKUP(H100,[1]对照表!$J$27:$J$48,[1]对照表!$L$27:$L$48)),IF(B100="高一",IF($E100="男",LOOKUP(H100,[1]对照表!$I$3:$I$24,[1]对照表!$L$3:$L$24),LOOKUP(H100,[1]对照表!$I$27:$I$48,[1]对照表!$L$27:$L$48)))))</f>
        <v>66</v>
      </c>
      <c r="J100" s="21">
        <v>254</v>
      </c>
      <c r="K100" s="32">
        <f>IF(B100="高三",IF($E100="男",LOOKUP(J100,[1]对照表!$O$3:$O$24,[1]对照表!$P$3:$P$24),LOOKUP(J100,[1]对照表!$O$27:$O$48,[1]对照表!$P$27:$P$48)),IF(B100="高二",IF($E100="男",LOOKUP(J100,[1]对照表!$N$3:$N$24,[1]对照表!$P$3:$P$24),LOOKUP(J100,[1]对照表!$N$27:$N$48,[1]对照表!$P$27:$P$48)),IF(B100="高一",IF($E100="男",LOOKUP(J100,[1]对照表!$M$3:$M$24,[1]对照表!$P$3:$P$24),LOOKUP(J100,[1]对照表!$M$27:$M$48,[1]对照表!$P$27:$P$48)))))</f>
        <v>90</v>
      </c>
      <c r="L100" s="21">
        <v>26</v>
      </c>
      <c r="M100" s="32">
        <f>IF(B100="高三",IF($E100="男",LOOKUP(L100,[1]对照表!$S$3:$S$24,[1]对照表!$T$3:$T$24),LOOKUP(L100,[1]对照表!$S$27:$S$48,[1]对照表!$T$27:$T$48)),IF(B100="高二",IF($E100="男",LOOKUP(L100,[1]对照表!$R$3:$R$24,[1]对照表!$T$3:$T$24),LOOKUP(L100,[1]对照表!$R$27:$R$48,[1]对照表!$T$27:$T$48)),IF(B100="高一",IF($E100="男",LOOKUP(L100,[1]对照表!$Q$3:$Q$24,[1]对照表!$T$3:$T$24),LOOKUP(L100,[1]对照表!$Q$27:$Q$48,[1]对照表!$T$27:$T$48)))))</f>
        <v>100</v>
      </c>
      <c r="N100" s="33">
        <f>IF(B100="高三",MAX(IF(E100="男",L100-18,L100-55),0),IF(B100="高二",MAX(IF(E100="男",L100-17,L100-54),0),IF(B100="高一",MAX(IF(E100="男",L100-16,L100-53),0))))</f>
        <v>10</v>
      </c>
      <c r="O100" s="23">
        <f>IF(E100="男",LOOKUP($N100,[1]对照表!$Z$3:$Z$13,[1]对照表!$AA$3:$AA$13),LOOKUP($N100,[1]对照表!$Z$15:$Z$25,[1]对照表!$AA$15:$AA$25))</f>
        <v>10</v>
      </c>
      <c r="P100" s="24">
        <f>M100+O100</f>
        <v>110</v>
      </c>
      <c r="Q100" s="25">
        <v>3.33</v>
      </c>
      <c r="R100" s="32">
        <f>IF(B100="高三",IF($E100="男",LOOKUP(Q100,[1]对照表!$W$3:$W$24,[1]对照表!$X$3:$X$24),LOOKUP(Q100,[1]对照表!$W$27:$W$48,[1]对照表!$X$27:$X$48)),IF(B100="高二",IF($E100="男",LOOKUP(Q100,[1]对照表!$V$3:$V$24,[1]对照表!$X$3:$X$24),LOOKUP(Q100,[1]对照表!$V$27:$V$48,[1]对照表!$X$27:$X$48)),IF(B100="高一",IF($E100="男",LOOKUP(Q100,[1]对照表!$U$3:$U$24,[1]对照表!$X$3:$X$24),LOOKUP(Q100,[1]对照表!$U$27:$U$48,[1]对照表!$X$27:$X$48)))))</f>
        <v>95</v>
      </c>
      <c r="S100" s="33">
        <f>ROUND(IF(IF($B100="高三",MIN(IF($E100="男",$Q100-3.2,$Q100-3.2),0),IF($B100="高二",MIN(IF($E100="男",$Q100-3.25,$Q100-3.22),0),IF($B100="高一",MIN(IF($E100="男",$Q100-3.3,$Q100-3.24),0))))&lt;-0.6,IF($B100="高三",MIN(IF($E100="男",$Q100-3.2,$Q100-3.2),0),IF($B100="高二",MIN(IF($E100="男",$Q100-3.25,$Q100-3.22),0),IF($B100="高一",MIN(IF($E100="男",$Q100-3.3,$Q100-3.24),0))))+0.4,IF($B100="高三",MIN(IF($E100="男",$Q100-3.2,$Q100-3.2),0),IF($B100="高二",MIN(IF($E100="男",$Q100-3.25,$Q100-3.22),0),IF($B100="高一",MIN(IF($E100="男",$Q100-3.3,$Q100-3.24),0))))),2)</f>
        <v>0</v>
      </c>
      <c r="T100" s="23">
        <f>IF(E100="男",LOOKUP($S100,[1]对照表!$AB$3:$AB$13,[1]对照表!$AC$3:$AC$13),LOOKUP($S100,[1]对照表!$AB$15:$AB$25,[1]对照表!$AC$15:$AC$25))</f>
        <v>0</v>
      </c>
      <c r="U100" s="26">
        <f>R100+T100</f>
        <v>95</v>
      </c>
      <c r="V100" s="26">
        <f>SUM(I100,K100,M100)/3*0.3+SUM(G100,R100)/2*0.4</f>
        <v>64.599999999999994</v>
      </c>
      <c r="W100" s="27">
        <f>O100+T100</f>
        <v>10</v>
      </c>
      <c r="X100" s="28">
        <f>V100/0.7+W100</f>
        <v>102.28571428571428</v>
      </c>
      <c r="Y100" s="28">
        <v>102.28571428571428</v>
      </c>
      <c r="Z100" s="21"/>
    </row>
    <row r="101" spans="1:26" x14ac:dyDescent="0.25">
      <c r="A101" s="16">
        <v>24</v>
      </c>
      <c r="B101" s="17" t="s">
        <v>21</v>
      </c>
      <c r="C101" s="16">
        <v>103</v>
      </c>
      <c r="D101" s="18" t="s">
        <v>56</v>
      </c>
      <c r="E101" s="17" t="s">
        <v>23</v>
      </c>
      <c r="F101" s="19">
        <v>7.1</v>
      </c>
      <c r="G101" s="32">
        <f>IF(B101="高三",IF($E101="男",LOOKUP(F101,[1]对照表!$G$3:$G$24,[1]对照表!$H$3:$H$24),LOOKUP(F101,[1]对照表!$G$27:$G$48,[1]对照表!$H$27:$H$48)),IF(B101="高二",IF($E101="男",LOOKUP(F101,[1]对照表!$F$3:$F$24,[1]对照表!$H$3:$H$24),LOOKUP(F101,[1]对照表!$F$27:$F$48,[1]对照表!$H$27:$H$48)),IF(B101="高一",IF($E101="男",LOOKUP(F101,[1]对照表!$E$3:$E$24,[1]对照表!$H$3:$H$24),LOOKUP(F101,[1]对照表!$E$27:$E$48,[1]对照表!$H$27:$H$48)))))</f>
        <v>100</v>
      </c>
      <c r="H101" s="21">
        <v>8</v>
      </c>
      <c r="I101" s="32">
        <f>IF(B101="高三",IF($E101="男",LOOKUP(H101,[1]对照表!$K$3:$K$24,[1]对照表!$L$3:$L$24),LOOKUP(H101,[1]对照表!$K$27:$K$48,[1]对照表!$L$27:$L$48)),IF(B101="高二",IF($E101="男",LOOKUP(H101,[1]对照表!$J$3:$J$24,[1]对照表!$L$3:$L$24),LOOKUP(H101,[1]对照表!$J$27:$J$48,[1]对照表!$L$27:$L$48)),IF(B101="高一",IF($E101="男",LOOKUP(H101,[1]对照表!$I$3:$I$24,[1]对照表!$L$3:$L$24),LOOKUP(H101,[1]对照表!$I$27:$I$48,[1]对照表!$L$27:$L$48)))))</f>
        <v>70</v>
      </c>
      <c r="J101" s="21">
        <v>240</v>
      </c>
      <c r="K101" s="32">
        <f>IF(B101="高三",IF($E101="男",LOOKUP(J101,[1]对照表!$O$3:$O$24,[1]对照表!$P$3:$P$24),LOOKUP(J101,[1]对照表!$O$27:$O$48,[1]对照表!$P$27:$P$48)),IF(B101="高二",IF($E101="男",LOOKUP(J101,[1]对照表!$N$3:$N$24,[1]对照表!$P$3:$P$24),LOOKUP(J101,[1]对照表!$N$27:$N$48,[1]对照表!$P$27:$P$48)),IF(B101="高一",IF($E101="男",LOOKUP(J101,[1]对照表!$M$3:$M$24,[1]对照表!$P$3:$P$24),LOOKUP(J101,[1]对照表!$M$27:$M$48,[1]对照表!$P$27:$P$48)))))</f>
        <v>80</v>
      </c>
      <c r="L101" s="21">
        <v>27</v>
      </c>
      <c r="M101" s="32">
        <f>IF(B101="高三",IF($E101="男",LOOKUP(L101,[1]对照表!$S$3:$S$24,[1]对照表!$T$3:$T$24),LOOKUP(L101,[1]对照表!$S$27:$S$48,[1]对照表!$T$27:$T$48)),IF(B101="高二",IF($E101="男",LOOKUP(L101,[1]对照表!$R$3:$R$24,[1]对照表!$T$3:$T$24),LOOKUP(L101,[1]对照表!$R$27:$R$48,[1]对照表!$T$27:$T$48)),IF(B101="高一",IF($E101="男",LOOKUP(L101,[1]对照表!$Q$3:$Q$24,[1]对照表!$T$3:$T$24),LOOKUP(L101,[1]对照表!$Q$27:$Q$48,[1]对照表!$T$27:$T$48)))))</f>
        <v>100</v>
      </c>
      <c r="N101" s="33">
        <f>IF(B101="高三",MAX(IF(E101="男",L101-18,L101-55),0),IF(B101="高二",MAX(IF(E101="男",L101-17,L101-54),0),IF(B101="高一",MAX(IF(E101="男",L101-16,L101-53),0))))</f>
        <v>11</v>
      </c>
      <c r="O101" s="23">
        <f>IF(E101="男",LOOKUP($N101,[1]对照表!$Z$3:$Z$13,[1]对照表!$AA$3:$AA$13),LOOKUP($N101,[1]对照表!$Z$15:$Z$25,[1]对照表!$AA$15:$AA$25))</f>
        <v>10</v>
      </c>
      <c r="P101" s="24">
        <f>M101+O101</f>
        <v>110</v>
      </c>
      <c r="Q101" s="25">
        <v>3.31</v>
      </c>
      <c r="R101" s="32">
        <f>IF(B101="高三",IF($E101="男",LOOKUP(Q101,[1]对照表!$W$3:$W$24,[1]对照表!$X$3:$X$24),LOOKUP(Q101,[1]对照表!$W$27:$W$48,[1]对照表!$X$27:$X$48)),IF(B101="高二",IF($E101="男",LOOKUP(Q101,[1]对照表!$V$3:$V$24,[1]对照表!$X$3:$X$24),LOOKUP(Q101,[1]对照表!$V$27:$V$48,[1]对照表!$X$27:$X$48)),IF(B101="高一",IF($E101="男",LOOKUP(Q101,[1]对照表!$U$3:$U$24,[1]对照表!$X$3:$X$24),LOOKUP(Q101,[1]对照表!$U$27:$U$48,[1]对照表!$X$27:$X$48)))))</f>
        <v>95</v>
      </c>
      <c r="S101" s="33">
        <f>ROUND(IF(IF($B101="高三",MIN(IF($E101="男",$Q101-3.2,$Q101-3.2),0),IF($B101="高二",MIN(IF($E101="男",$Q101-3.25,$Q101-3.22),0),IF($B101="高一",MIN(IF($E101="男",$Q101-3.3,$Q101-3.24),0))))&lt;-0.6,IF($B101="高三",MIN(IF($E101="男",$Q101-3.2,$Q101-3.2),0),IF($B101="高二",MIN(IF($E101="男",$Q101-3.25,$Q101-3.22),0),IF($B101="高一",MIN(IF($E101="男",$Q101-3.3,$Q101-3.24),0))))+0.4,IF($B101="高三",MIN(IF($E101="男",$Q101-3.2,$Q101-3.2),0),IF($B101="高二",MIN(IF($E101="男",$Q101-3.25,$Q101-3.22),0),IF($B101="高一",MIN(IF($E101="男",$Q101-3.3,$Q101-3.24),0))))),2)</f>
        <v>0</v>
      </c>
      <c r="T101" s="23">
        <f>IF(E101="男",LOOKUP($S101,[1]对照表!$AB$3:$AB$13,[1]对照表!$AC$3:$AC$13),LOOKUP($S101,[1]对照表!$AB$15:$AB$25,[1]对照表!$AC$15:$AC$25))</f>
        <v>0</v>
      </c>
      <c r="U101" s="26">
        <f>R101+T101</f>
        <v>95</v>
      </c>
      <c r="V101" s="26">
        <f>SUM(I101,K101,M101)/3*0.3+SUM(G101,R101)/2*0.4</f>
        <v>64</v>
      </c>
      <c r="W101" s="27">
        <f>O101+T101</f>
        <v>10</v>
      </c>
      <c r="X101" s="28">
        <f>V101/0.7+W101</f>
        <v>101.42857142857143</v>
      </c>
      <c r="Y101" s="28">
        <v>101.42857142857143</v>
      </c>
      <c r="Z101" s="21"/>
    </row>
    <row r="102" spans="1:26" x14ac:dyDescent="0.25">
      <c r="A102" s="16">
        <v>7</v>
      </c>
      <c r="B102" s="17" t="s">
        <v>21</v>
      </c>
      <c r="C102" s="16">
        <v>103</v>
      </c>
      <c r="D102" s="18" t="s">
        <v>109</v>
      </c>
      <c r="E102" s="16" t="s">
        <v>23</v>
      </c>
      <c r="F102" s="19">
        <v>6.7</v>
      </c>
      <c r="G102" s="32">
        <f>IF(B102="高三",IF($E102="男",LOOKUP(F102,[1]对照表!$G$3:$G$24,[1]对照表!$H$3:$H$24),LOOKUP(F102,[1]对照表!$G$27:$G$48,[1]对照表!$H$27:$H$48)),IF(B102="高二",IF($E102="男",LOOKUP(F102,[1]对照表!$F$3:$F$24,[1]对照表!$H$3:$H$24),LOOKUP(F102,[1]对照表!$F$27:$F$48,[1]对照表!$H$27:$H$48)),IF(B102="高一",IF($E102="男",LOOKUP(F102,[1]对照表!$E$3:$E$24,[1]对照表!$H$3:$H$24),LOOKUP(F102,[1]对照表!$E$27:$E$48,[1]对照表!$H$27:$H$48)))))</f>
        <v>100</v>
      </c>
      <c r="H102" s="21">
        <v>15.3</v>
      </c>
      <c r="I102" s="32">
        <f>IF(B102="高三",IF($E102="男",LOOKUP(H102,[1]对照表!$K$3:$K$24,[1]对照表!$L$3:$L$24),LOOKUP(H102,[1]对照表!$K$27:$K$48,[1]对照表!$L$27:$L$48)),IF(B102="高二",IF($E102="男",LOOKUP(H102,[1]对照表!$J$3:$J$24,[1]对照表!$L$3:$L$24),LOOKUP(H102,[1]对照表!$J$27:$J$48,[1]对照表!$L$27:$L$48)),IF(B102="高一",IF($E102="男",LOOKUP(H102,[1]对照表!$I$3:$I$24,[1]对照表!$L$3:$L$24),LOOKUP(H102,[1]对照表!$I$27:$I$48,[1]对照表!$L$27:$L$48)))))</f>
        <v>80</v>
      </c>
      <c r="J102" s="21">
        <v>251</v>
      </c>
      <c r="K102" s="32">
        <f>IF(B102="高三",IF($E102="男",LOOKUP(J102,[1]对照表!$O$3:$O$24,[1]对照表!$P$3:$P$24),LOOKUP(J102,[1]对照表!$O$27:$O$48,[1]对照表!$P$27:$P$48)),IF(B102="高二",IF($E102="男",LOOKUP(J102,[1]对照表!$N$3:$N$24,[1]对照表!$P$3:$P$24),LOOKUP(J102,[1]对照表!$N$27:$N$48,[1]对照表!$P$27:$P$48)),IF(B102="高一",IF($E102="男",LOOKUP(J102,[1]对照表!$M$3:$M$24,[1]对照表!$P$3:$P$24),LOOKUP(J102,[1]对照表!$M$27:$M$48,[1]对照表!$P$27:$P$48)))))</f>
        <v>90</v>
      </c>
      <c r="L102" s="21">
        <v>16</v>
      </c>
      <c r="M102" s="32">
        <f>IF(B102="高三",IF($E102="男",LOOKUP(L102,[1]对照表!$S$3:$S$24,[1]对照表!$T$3:$T$24),LOOKUP(L102,[1]对照表!$S$27:$S$48,[1]对照表!$T$27:$T$48)),IF(B102="高二",IF($E102="男",LOOKUP(L102,[1]对照表!$R$3:$R$24,[1]对照表!$T$3:$T$24),LOOKUP(L102,[1]对照表!$R$27:$R$48,[1]对照表!$T$27:$T$48)),IF(B102="高一",IF($E102="男",LOOKUP(L102,[1]对照表!$Q$3:$Q$24,[1]对照表!$T$3:$T$24),LOOKUP(L102,[1]对照表!$Q$27:$Q$48,[1]对照表!$T$27:$T$48)))))</f>
        <v>100</v>
      </c>
      <c r="N102" s="33">
        <f>IF(B102="高三",MAX(IF(E102="男",L102-18,L102-55),0),IF(B102="高二",MAX(IF(E102="男",L102-17,L102-54),0),IF(B102="高一",MAX(IF(E102="男",L102-16,L102-53),0))))</f>
        <v>0</v>
      </c>
      <c r="O102" s="23">
        <f>IF(E102="男",LOOKUP($N102,[1]对照表!$Z$3:$Z$13,[1]对照表!$AA$3:$AA$13),LOOKUP($N102,[1]对照表!$Z$15:$Z$25,[1]对照表!$AA$15:$AA$25))</f>
        <v>0</v>
      </c>
      <c r="P102" s="24">
        <f>M102+O102</f>
        <v>100</v>
      </c>
      <c r="Q102" s="25">
        <v>3.27</v>
      </c>
      <c r="R102" s="32">
        <f>IF(B102="高三",IF($E102="男",LOOKUP(Q102,[1]对照表!$W$3:$W$24,[1]对照表!$X$3:$X$24),LOOKUP(Q102,[1]对照表!$W$27:$W$48,[1]对照表!$X$27:$X$48)),IF(B102="高二",IF($E102="男",LOOKUP(Q102,[1]对照表!$V$3:$V$24,[1]对照表!$X$3:$X$24),LOOKUP(Q102,[1]对照表!$V$27:$V$48,[1]对照表!$X$27:$X$48)),IF(B102="高一",IF($E102="男",LOOKUP(Q102,[1]对照表!$U$3:$U$24,[1]对照表!$X$3:$X$24),LOOKUP(Q102,[1]对照表!$U$27:$U$48,[1]对照表!$X$27:$X$48)))))</f>
        <v>100</v>
      </c>
      <c r="S102" s="27">
        <f>ROUND(IF(IF($B102="高三",MIN(IF($E102="男",$Q102-3.2,$Q102-3.2),0),IF($B102="高二",MIN(IF($E102="男",$Q102-3.25,$Q102-3.22),0),IF($B102="高一",MIN(IF($E102="男",$Q102-3.3,$Q102-3.24),0))))&lt;-0.6,IF($B102="高三",MIN(IF($E102="男",$Q102-3.2,$Q102-3.2),0),IF($B102="高二",MIN(IF($E102="男",$Q102-3.25,$Q102-3.22),0),IF($B102="高一",MIN(IF($E102="男",$Q102-3.3,$Q102-3.24),0))))+0.4,IF($B102="高三",MIN(IF($E102="男",$Q102-3.2,$Q102-3.2),0),IF($B102="高二",MIN(IF($E102="男",$Q102-3.25,$Q102-3.22),0),IF($B102="高一",MIN(IF($E102="男",$Q102-3.3,$Q102-3.24),0))))),2)</f>
        <v>-0.03</v>
      </c>
      <c r="T102" s="23">
        <f>IF(E102="男",LOOKUP($S102,[1]对照表!$AB$3:$AB$13,[1]对照表!$AC$3:$AC$13),LOOKUP($S102,[1]对照表!$AB$15:$AB$25,[1]对照表!$AC$15:$AC$25))</f>
        <v>0</v>
      </c>
      <c r="U102" s="26">
        <f>R102+T102</f>
        <v>100</v>
      </c>
      <c r="V102" s="26">
        <f>SUM(I102,K102,M102)/3*0.3+SUM(G102,R102)/2*0.4</f>
        <v>67</v>
      </c>
      <c r="W102" s="27">
        <f>O102+T102</f>
        <v>0</v>
      </c>
      <c r="X102" s="28">
        <f>V102/0.7+W102</f>
        <v>95.714285714285722</v>
      </c>
      <c r="Y102" s="28">
        <v>95.714285714285722</v>
      </c>
      <c r="Z102" s="21"/>
    </row>
    <row r="103" spans="1:26" x14ac:dyDescent="0.25">
      <c r="A103" s="16">
        <v>9</v>
      </c>
      <c r="B103" s="17" t="s">
        <v>21</v>
      </c>
      <c r="C103" s="16">
        <v>103</v>
      </c>
      <c r="D103" s="18" t="s">
        <v>126</v>
      </c>
      <c r="E103" s="16" t="s">
        <v>23</v>
      </c>
      <c r="F103" s="19">
        <v>6.6</v>
      </c>
      <c r="G103" s="32">
        <f>IF(B103="高三",IF($E103="男",LOOKUP(F103,[1]对照表!$G$3:$G$24,[1]对照表!$H$3:$H$24),LOOKUP(F103,[1]对照表!$G$27:$G$48,[1]对照表!$H$27:$H$48)),IF(B103="高二",IF($E103="男",LOOKUP(F103,[1]对照表!$F$3:$F$24,[1]对照表!$H$3:$H$24),LOOKUP(F103,[1]对照表!$F$27:$F$48,[1]对照表!$H$27:$H$48)),IF(B103="高一",IF($E103="男",LOOKUP(F103,[1]对照表!$E$3:$E$24,[1]对照表!$H$3:$H$24),LOOKUP(F103,[1]对照表!$E$27:$E$48,[1]对照表!$H$27:$H$48)))))</f>
        <v>100</v>
      </c>
      <c r="H103" s="21">
        <v>11</v>
      </c>
      <c r="I103" s="32">
        <f>IF(B103="高三",IF($E103="男",LOOKUP(H103,[1]对照表!$K$3:$K$24,[1]对照表!$L$3:$L$24),LOOKUP(H103,[1]对照表!$K$27:$K$48,[1]对照表!$L$27:$L$48)),IF(B103="高二",IF($E103="男",LOOKUP(H103,[1]对照表!$J$3:$J$24,[1]对照表!$L$3:$L$24),LOOKUP(H103,[1]对照表!$J$27:$J$48,[1]对照表!$L$27:$L$48)),IF(B103="高一",IF($E103="男",LOOKUP(H103,[1]对照表!$I$3:$I$24,[1]对照表!$L$3:$L$24),LOOKUP(H103,[1]对照表!$I$27:$I$48,[1]对照表!$L$27:$L$48)))))</f>
        <v>74</v>
      </c>
      <c r="J103" s="21">
        <v>280</v>
      </c>
      <c r="K103" s="32">
        <f>IF(B103="高三",IF($E103="男",LOOKUP(J103,[1]对照表!$O$3:$O$24,[1]对照表!$P$3:$P$24),LOOKUP(J103,[1]对照表!$O$27:$O$48,[1]对照表!$P$27:$P$48)),IF(B103="高二",IF($E103="男",LOOKUP(J103,[1]对照表!$N$3:$N$24,[1]对照表!$P$3:$P$24),LOOKUP(J103,[1]对照表!$N$27:$N$48,[1]对照表!$P$27:$P$48)),IF(B103="高一",IF($E103="男",LOOKUP(J103,[1]对照表!$M$3:$M$24,[1]对照表!$P$3:$P$24),LOOKUP(J103,[1]对照表!$M$27:$M$48,[1]对照表!$P$27:$P$48)))))</f>
        <v>100</v>
      </c>
      <c r="L103" s="21">
        <v>8</v>
      </c>
      <c r="M103" s="32">
        <f>IF(B103="高三",IF($E103="男",LOOKUP(L103,[1]对照表!$S$3:$S$24,[1]对照表!$T$3:$T$24),LOOKUP(L103,[1]对照表!$S$27:$S$48,[1]对照表!$T$27:$T$48)),IF(B103="高二",IF($E103="男",LOOKUP(L103,[1]对照表!$R$3:$R$24,[1]对照表!$T$3:$T$24),LOOKUP(L103,[1]对照表!$R$27:$R$48,[1]对照表!$T$27:$T$48)),IF(B103="高一",IF($E103="男",LOOKUP(L103,[1]对照表!$Q$3:$Q$24,[1]对照表!$T$3:$T$24),LOOKUP(L103,[1]对照表!$Q$27:$Q$48,[1]对照表!$T$27:$T$48)))))</f>
        <v>64</v>
      </c>
      <c r="N103" s="33">
        <f>IF(B103="高三",MAX(IF(E103="男",L103-18,L103-55),0),IF(B103="高二",MAX(IF(E103="男",L103-17,L103-54),0),IF(B103="高一",MAX(IF(E103="男",L103-16,L103-53),0))))</f>
        <v>0</v>
      </c>
      <c r="O103" s="23">
        <f>IF(E103="男",LOOKUP($N103,[1]对照表!$Z$3:$Z$13,[1]对照表!$AA$3:$AA$13),LOOKUP($N103,[1]对照表!$Z$15:$Z$25,[1]对照表!$AA$15:$AA$25))</f>
        <v>0</v>
      </c>
      <c r="P103" s="24">
        <f>M103+O103</f>
        <v>64</v>
      </c>
      <c r="Q103" s="25">
        <v>3.12</v>
      </c>
      <c r="R103" s="32">
        <f>IF(B103="高三",IF($E103="男",LOOKUP(Q103,[1]对照表!$W$3:$W$24,[1]对照表!$X$3:$X$24),LOOKUP(Q103,[1]对照表!$W$27:$W$48,[1]对照表!$X$27:$X$48)),IF(B103="高二",IF($E103="男",LOOKUP(Q103,[1]对照表!$V$3:$V$24,[1]对照表!$X$3:$X$24),LOOKUP(Q103,[1]对照表!$V$27:$V$48,[1]对照表!$X$27:$X$48)),IF(B103="高一",IF($E103="男",LOOKUP(Q103,[1]对照表!$U$3:$U$24,[1]对照表!$X$3:$X$24),LOOKUP(Q103,[1]对照表!$U$27:$U$48,[1]对照表!$X$27:$X$48)))))</f>
        <v>100</v>
      </c>
      <c r="S103" s="33">
        <f>ROUND(IF(IF($B103="高三",MIN(IF($E103="男",$Q103-3.2,$Q103-3.2),0),IF($B103="高二",MIN(IF($E103="男",$Q103-3.25,$Q103-3.22),0),IF($B103="高一",MIN(IF($E103="男",$Q103-3.3,$Q103-3.24),0))))&lt;-0.6,IF($B103="高三",MIN(IF($E103="男",$Q103-3.2,$Q103-3.2),0),IF($B103="高二",MIN(IF($E103="男",$Q103-3.25,$Q103-3.22),0),IF($B103="高一",MIN(IF($E103="男",$Q103-3.3,$Q103-3.24),0))))+0.4,IF($B103="高三",MIN(IF($E103="男",$Q103-3.2,$Q103-3.2),0),IF($B103="高二",MIN(IF($E103="男",$Q103-3.25,$Q103-3.22),0),IF($B103="高一",MIN(IF($E103="男",$Q103-3.3,$Q103-3.24),0))))),2)</f>
        <v>-0.18</v>
      </c>
      <c r="T103" s="23">
        <f>IF(E103="男",LOOKUP($S103,[1]对照表!$AB$3:$AB$13,[1]对照表!$AC$3:$AC$13),LOOKUP($S103,[1]对照表!$AB$15:$AB$25,[1]对照表!$AC$15:$AC$25))</f>
        <v>4</v>
      </c>
      <c r="U103" s="26">
        <f>R103+T103</f>
        <v>104</v>
      </c>
      <c r="V103" s="26">
        <f>SUM(I103,K103,M103)/3*0.3+SUM(G103,R103)/2*0.4</f>
        <v>63.8</v>
      </c>
      <c r="W103" s="27">
        <f>O103+T103</f>
        <v>4</v>
      </c>
      <c r="X103" s="28">
        <f>V103/0.7+W103</f>
        <v>95.142857142857139</v>
      </c>
      <c r="Y103" s="28">
        <v>95.142857142857139</v>
      </c>
      <c r="Z103" s="21"/>
    </row>
    <row r="104" spans="1:26" x14ac:dyDescent="0.25">
      <c r="A104" s="16">
        <v>21</v>
      </c>
      <c r="B104" s="17" t="s">
        <v>21</v>
      </c>
      <c r="C104" s="16">
        <v>103</v>
      </c>
      <c r="D104" s="18" t="s">
        <v>181</v>
      </c>
      <c r="E104" s="31" t="s">
        <v>23</v>
      </c>
      <c r="F104" s="19">
        <v>7.4</v>
      </c>
      <c r="G104" s="32">
        <f>IF(B104="高三",IF($E104="男",LOOKUP(F104,[1]对照表!$G$3:$G$24,[1]对照表!$H$3:$H$24),LOOKUP(F104,[1]对照表!$G$27:$G$48,[1]对照表!$H$27:$H$48)),IF(B104="高二",IF($E104="男",LOOKUP(F104,[1]对照表!$F$3:$F$24,[1]对照表!$H$3:$H$24),LOOKUP(F104,[1]对照表!$F$27:$F$48,[1]对照表!$H$27:$H$48)),IF(B104="高一",IF($E104="男",LOOKUP(F104,[1]对照表!$E$3:$E$24,[1]对照表!$H$3:$H$24),LOOKUP(F104,[1]对照表!$E$27:$E$48,[1]对照表!$H$27:$H$48)))))</f>
        <v>85</v>
      </c>
      <c r="H104" s="21">
        <v>6.5</v>
      </c>
      <c r="I104" s="32">
        <f>IF(B104="高三",IF($E104="男",LOOKUP(H104,[1]对照表!$K$3:$K$24,[1]对照表!$L$3:$L$24),LOOKUP(H104,[1]对照表!$K$27:$K$48,[1]对照表!$L$27:$L$48)),IF(B104="高二",IF($E104="男",LOOKUP(H104,[1]对照表!$J$3:$J$24,[1]对照表!$L$3:$L$24),LOOKUP(H104,[1]对照表!$J$27:$J$48,[1]对照表!$L$27:$L$48)),IF(B104="高一",IF($E104="男",LOOKUP(H104,[1]对照表!$I$3:$I$24,[1]对照表!$L$3:$L$24),LOOKUP(H104,[1]对照表!$I$27:$I$48,[1]对照表!$L$27:$L$48)))))</f>
        <v>66</v>
      </c>
      <c r="J104" s="21">
        <v>245</v>
      </c>
      <c r="K104" s="32">
        <f>IF(B104="高三",IF($E104="男",LOOKUP(J104,[1]对照表!$O$3:$O$24,[1]对照表!$P$3:$P$24),LOOKUP(J104,[1]对照表!$O$27:$O$48,[1]对照表!$P$27:$P$48)),IF(B104="高二",IF($E104="男",LOOKUP(J104,[1]对照表!$N$3:$N$24,[1]对照表!$P$3:$P$24),LOOKUP(J104,[1]对照表!$N$27:$N$48,[1]对照表!$P$27:$P$48)),IF(B104="高一",IF($E104="男",LOOKUP(J104,[1]对照表!$M$3:$M$24,[1]对照表!$P$3:$P$24),LOOKUP(J104,[1]对照表!$M$27:$M$48,[1]对照表!$P$27:$P$48)))))</f>
        <v>85</v>
      </c>
      <c r="L104" s="21">
        <v>18</v>
      </c>
      <c r="M104" s="32">
        <f>IF(B104="高三",IF($E104="男",LOOKUP(L104,[1]对照表!$S$3:$S$24,[1]对照表!$T$3:$T$24),LOOKUP(L104,[1]对照表!$S$27:$S$48,[1]对照表!$T$27:$T$48)),IF(B104="高二",IF($E104="男",LOOKUP(L104,[1]对照表!$R$3:$R$24,[1]对照表!$T$3:$T$24),LOOKUP(L104,[1]对照表!$R$27:$R$48,[1]对照表!$T$27:$T$48)),IF(B104="高一",IF($E104="男",LOOKUP(L104,[1]对照表!$Q$3:$Q$24,[1]对照表!$T$3:$T$24),LOOKUP(L104,[1]对照表!$Q$27:$Q$48,[1]对照表!$T$27:$T$48)))))</f>
        <v>100</v>
      </c>
      <c r="N104" s="33">
        <f>IF(B104="高三",MAX(IF(E104="男",L104-18,L104-55),0),IF(B104="高二",MAX(IF(E104="男",L104-17,L104-54),0),IF(B104="高一",MAX(IF(E104="男",L104-16,L104-53),0))))</f>
        <v>2</v>
      </c>
      <c r="O104" s="23">
        <f>IF(E104="男",LOOKUP($N104,[1]对照表!$Z$3:$Z$13,[1]对照表!$AA$3:$AA$13),LOOKUP($N104,[1]对照表!$Z$15:$Z$25,[1]对照表!$AA$15:$AA$25))</f>
        <v>2</v>
      </c>
      <c r="P104" s="24">
        <f>M104+O104</f>
        <v>102</v>
      </c>
      <c r="Q104" s="25">
        <v>3.29</v>
      </c>
      <c r="R104" s="32">
        <f>IF(B104="高三",IF($E104="男",LOOKUP(Q104,[1]对照表!$W$3:$W$24,[1]对照表!$X$3:$X$24),LOOKUP(Q104,[1]对照表!$W$27:$W$48,[1]对照表!$X$27:$X$48)),IF(B104="高二",IF($E104="男",LOOKUP(Q104,[1]对照表!$V$3:$V$24,[1]对照表!$X$3:$X$24),LOOKUP(Q104,[1]对照表!$V$27:$V$48,[1]对照表!$X$27:$X$48)),IF(B104="高一",IF($E104="男",LOOKUP(Q104,[1]对照表!$U$3:$U$24,[1]对照表!$X$3:$X$24),LOOKUP(Q104,[1]对照表!$U$27:$U$48,[1]对照表!$X$27:$X$48)))))</f>
        <v>100</v>
      </c>
      <c r="S104" s="33">
        <f>ROUND(IF(IF($B104="高三",MIN(IF($E104="男",$Q104-3.2,$Q104-3.2),0),IF($B104="高二",MIN(IF($E104="男",$Q104-3.25,$Q104-3.22),0),IF($B104="高一",MIN(IF($E104="男",$Q104-3.3,$Q104-3.24),0))))&lt;-0.6,IF($B104="高三",MIN(IF($E104="男",$Q104-3.2,$Q104-3.2),0),IF($B104="高二",MIN(IF($E104="男",$Q104-3.25,$Q104-3.22),0),IF($B104="高一",MIN(IF($E104="男",$Q104-3.3,$Q104-3.24),0))))+0.4,IF($B104="高三",MIN(IF($E104="男",$Q104-3.2,$Q104-3.2),0),IF($B104="高二",MIN(IF($E104="男",$Q104-3.25,$Q104-3.22),0),IF($B104="高一",MIN(IF($E104="男",$Q104-3.3,$Q104-3.24),0))))),2)</f>
        <v>-0.01</v>
      </c>
      <c r="T104" s="23">
        <f>IF(E104="男",LOOKUP($S104,[1]对照表!$AB$3:$AB$13,[1]对照表!$AC$3:$AC$13),LOOKUP($S104,[1]对照表!$AB$15:$AB$25,[1]对照表!$AC$15:$AC$25))</f>
        <v>0</v>
      </c>
      <c r="U104" s="26">
        <f>R104+T104</f>
        <v>100</v>
      </c>
      <c r="V104" s="26">
        <f>SUM(I104,K104,M104)/3*0.3+SUM(G104,R104)/2*0.4</f>
        <v>62.1</v>
      </c>
      <c r="W104" s="27">
        <f>O104+T104</f>
        <v>2</v>
      </c>
      <c r="X104" s="28">
        <f>V104/0.7+W104</f>
        <v>90.714285714285722</v>
      </c>
      <c r="Y104" s="28">
        <v>90.714285714285722</v>
      </c>
      <c r="Z104" s="21"/>
    </row>
    <row r="105" spans="1:26" x14ac:dyDescent="0.25">
      <c r="A105" s="16">
        <v>28</v>
      </c>
      <c r="B105" s="17" t="s">
        <v>21</v>
      </c>
      <c r="C105" s="16">
        <v>103</v>
      </c>
      <c r="D105" s="18" t="s">
        <v>185</v>
      </c>
      <c r="E105" s="17" t="s">
        <v>23</v>
      </c>
      <c r="F105" s="19">
        <v>7</v>
      </c>
      <c r="G105" s="32">
        <f>IF(B105="高三",IF($E105="男",LOOKUP(F105,[1]对照表!$G$3:$G$24,[1]对照表!$H$3:$H$24),LOOKUP(F105,[1]对照表!$G$27:$G$48,[1]对照表!$H$27:$H$48)),IF(B105="高二",IF($E105="男",LOOKUP(F105,[1]对照表!$F$3:$F$24,[1]对照表!$H$3:$H$24),LOOKUP(F105,[1]对照表!$F$27:$F$48,[1]对照表!$H$27:$H$48)),IF(B105="高一",IF($E105="男",LOOKUP(F105,[1]对照表!$E$3:$E$24,[1]对照表!$H$3:$H$24),LOOKUP(F105,[1]对照表!$E$27:$E$48,[1]对照表!$H$27:$H$48)))))</f>
        <v>100</v>
      </c>
      <c r="H105" s="21">
        <v>4</v>
      </c>
      <c r="I105" s="32">
        <f>IF(B105="高三",IF($E105="男",LOOKUP(H105,[1]对照表!$K$3:$K$24,[1]对照表!$L$3:$L$24),LOOKUP(H105,[1]对照表!$K$27:$K$48,[1]对照表!$L$27:$L$48)),IF(B105="高二",IF($E105="男",LOOKUP(H105,[1]对照表!$J$3:$J$24,[1]对照表!$L$3:$L$24),LOOKUP(H105,[1]对照表!$J$27:$J$48,[1]对照表!$L$27:$L$48)),IF(B105="高一",IF($E105="男",LOOKUP(H105,[1]对照表!$I$3:$I$24,[1]对照表!$L$3:$L$24),LOOKUP(H105,[1]对照表!$I$27:$I$48,[1]对照表!$L$27:$L$48)))))</f>
        <v>64</v>
      </c>
      <c r="J105" s="21">
        <v>218</v>
      </c>
      <c r="K105" s="32">
        <f>IF(B105="高三",IF($E105="男",LOOKUP(J105,[1]对照表!$O$3:$O$24,[1]对照表!$P$3:$P$24),LOOKUP(J105,[1]对照表!$O$27:$O$48,[1]对照表!$P$27:$P$48)),IF(B105="高二",IF($E105="男",LOOKUP(J105,[1]对照表!$N$3:$N$24,[1]对照表!$P$3:$P$24),LOOKUP(J105,[1]对照表!$N$27:$N$48,[1]对照表!$P$27:$P$48)),IF(B105="高一",IF($E105="男",LOOKUP(J105,[1]对照表!$M$3:$M$24,[1]对照表!$P$3:$P$24),LOOKUP(J105,[1]对照表!$M$27:$M$48,[1]对照表!$P$27:$P$48)))))</f>
        <v>70</v>
      </c>
      <c r="L105" s="21">
        <v>13</v>
      </c>
      <c r="M105" s="32">
        <f>IF(B105="高三",IF($E105="男",LOOKUP(L105,[1]对照表!$S$3:$S$24,[1]对照表!$T$3:$T$24),LOOKUP(L105,[1]对照表!$S$27:$S$48,[1]对照表!$T$27:$T$48)),IF(B105="高二",IF($E105="男",LOOKUP(L105,[1]对照表!$R$3:$R$24,[1]对照表!$T$3:$T$24),LOOKUP(L105,[1]对照表!$R$27:$R$48,[1]对照表!$T$27:$T$48)),IF(B105="高一",IF($E105="男",LOOKUP(L105,[1]对照表!$Q$3:$Q$24,[1]对照表!$T$3:$T$24),LOOKUP(L105,[1]对照表!$Q$27:$Q$48,[1]对照表!$T$27:$T$48)))))</f>
        <v>85</v>
      </c>
      <c r="N105" s="33">
        <f>IF(B105="高三",MAX(IF(E105="男",L105-18,L105-55),0),IF(B105="高二",MAX(IF(E105="男",L105-17,L105-54),0),IF(B105="高一",MAX(IF(E105="男",L105-16,L105-53),0))))</f>
        <v>0</v>
      </c>
      <c r="O105" s="23">
        <f>IF(E105="男",LOOKUP($N105,[1]对照表!$Z$3:$Z$13,[1]对照表!$AA$3:$AA$13),LOOKUP($N105,[1]对照表!$Z$15:$Z$25,[1]对照表!$AA$15:$AA$25))</f>
        <v>0</v>
      </c>
      <c r="P105" s="24">
        <f>M105+O105</f>
        <v>85</v>
      </c>
      <c r="Q105" s="25">
        <v>3.22</v>
      </c>
      <c r="R105" s="32">
        <f>IF(B105="高三",IF($E105="男",LOOKUP(Q105,[1]对照表!$W$3:$W$24,[1]对照表!$X$3:$X$24),LOOKUP(Q105,[1]对照表!$W$27:$W$48,[1]对照表!$X$27:$X$48)),IF(B105="高二",IF($E105="男",LOOKUP(Q105,[1]对照表!$V$3:$V$24,[1]对照表!$X$3:$X$24),LOOKUP(Q105,[1]对照表!$V$27:$V$48,[1]对照表!$X$27:$X$48)),IF(B105="高一",IF($E105="男",LOOKUP(Q105,[1]对照表!$U$3:$U$24,[1]对照表!$X$3:$X$24),LOOKUP(Q105,[1]对照表!$U$27:$U$48,[1]对照表!$X$27:$X$48)))))</f>
        <v>100</v>
      </c>
      <c r="S105" s="33">
        <f>ROUND(IF(IF($B105="高三",MIN(IF($E105="男",$Q105-3.2,$Q105-3.2),0),IF($B105="高二",MIN(IF($E105="男",$Q105-3.25,$Q105-3.22),0),IF($B105="高一",MIN(IF($E105="男",$Q105-3.3,$Q105-3.24),0))))&lt;-0.6,IF($B105="高三",MIN(IF($E105="男",$Q105-3.2,$Q105-3.2),0),IF($B105="高二",MIN(IF($E105="男",$Q105-3.25,$Q105-3.22),0),IF($B105="高一",MIN(IF($E105="男",$Q105-3.3,$Q105-3.24),0))))+0.4,IF($B105="高三",MIN(IF($E105="男",$Q105-3.2,$Q105-3.2),0),IF($B105="高二",MIN(IF($E105="男",$Q105-3.25,$Q105-3.22),0),IF($B105="高一",MIN(IF($E105="男",$Q105-3.3,$Q105-3.24),0))))),2)</f>
        <v>-0.08</v>
      </c>
      <c r="T105" s="23">
        <f>IF(E105="男",LOOKUP($S105,[1]对照表!$AB$3:$AB$13,[1]对照表!$AC$3:$AC$13),LOOKUP($S105,[1]对照表!$AB$15:$AB$25,[1]对照表!$AC$15:$AC$25))</f>
        <v>2</v>
      </c>
      <c r="U105" s="26">
        <f>R105+T105</f>
        <v>102</v>
      </c>
      <c r="V105" s="26">
        <f>SUM(I105,K105,M105)/3*0.3+SUM(G105,R105)/2*0.4</f>
        <v>61.9</v>
      </c>
      <c r="W105" s="27">
        <f>O105+T105</f>
        <v>2</v>
      </c>
      <c r="X105" s="28">
        <f>V105/0.7+W105</f>
        <v>90.428571428571431</v>
      </c>
      <c r="Y105" s="28">
        <v>90.428571428571431</v>
      </c>
      <c r="Z105" s="21"/>
    </row>
    <row r="106" spans="1:26" x14ac:dyDescent="0.25">
      <c r="A106" s="16">
        <v>25</v>
      </c>
      <c r="B106" s="17" t="s">
        <v>21</v>
      </c>
      <c r="C106" s="16">
        <v>103</v>
      </c>
      <c r="D106" s="18" t="s">
        <v>200</v>
      </c>
      <c r="E106" s="17" t="s">
        <v>23</v>
      </c>
      <c r="F106" s="19">
        <v>8.4</v>
      </c>
      <c r="G106" s="32">
        <f>IF(B106="高三",IF($E106="男",LOOKUP(F106,[1]对照表!$G$3:$G$24,[1]对照表!$H$3:$H$24),LOOKUP(F106,[1]对照表!$G$27:$G$48,[1]对照表!$H$27:$H$48)),IF(B106="高二",IF($E106="男",LOOKUP(F106,[1]对照表!$F$3:$F$24,[1]对照表!$H$3:$H$24),LOOKUP(F106,[1]对照表!$F$27:$F$48,[1]对照表!$H$27:$H$48)),IF(B106="高一",IF($E106="男",LOOKUP(F106,[1]对照表!$E$3:$E$24,[1]对照表!$H$3:$H$24),LOOKUP(F106,[1]对照表!$E$27:$E$48,[1]对照表!$H$27:$H$48)))))</f>
        <v>70</v>
      </c>
      <c r="H106" s="21">
        <v>16.5</v>
      </c>
      <c r="I106" s="32">
        <f>IF(B106="高三",IF($E106="男",LOOKUP(H106,[1]对照表!$K$3:$K$24,[1]对照表!$L$3:$L$24),LOOKUP(H106,[1]对照表!$K$27:$K$48,[1]对照表!$L$27:$L$48)),IF(B106="高二",IF($E106="男",LOOKUP(H106,[1]对照表!$J$3:$J$24,[1]对照表!$L$3:$L$24),LOOKUP(H106,[1]对照表!$J$27:$J$48,[1]对照表!$L$27:$L$48)),IF(B106="高一",IF($E106="男",LOOKUP(H106,[1]对照表!$I$3:$I$24,[1]对照表!$L$3:$L$24),LOOKUP(H106,[1]对照表!$I$27:$I$48,[1]对照表!$L$27:$L$48)))))</f>
        <v>80</v>
      </c>
      <c r="J106" s="21">
        <v>235</v>
      </c>
      <c r="K106" s="32">
        <f>IF(B106="高三",IF($E106="男",LOOKUP(J106,[1]对照表!$O$3:$O$24,[1]对照表!$P$3:$P$24),LOOKUP(J106,[1]对照表!$O$27:$O$48,[1]对照表!$P$27:$P$48)),IF(B106="高二",IF($E106="男",LOOKUP(J106,[1]对照表!$N$3:$N$24,[1]对照表!$P$3:$P$24),LOOKUP(J106,[1]对照表!$N$27:$N$48,[1]对照表!$P$27:$P$48)),IF(B106="高一",IF($E106="男",LOOKUP(J106,[1]对照表!$M$3:$M$24,[1]对照表!$P$3:$P$24),LOOKUP(J106,[1]对照表!$M$27:$M$48,[1]对照表!$P$27:$P$48)))))</f>
        <v>80</v>
      </c>
      <c r="L106" s="21">
        <v>30</v>
      </c>
      <c r="M106" s="32">
        <f>IF(B106="高三",IF($E106="男",LOOKUP(L106,[1]对照表!$S$3:$S$24,[1]对照表!$T$3:$T$24),LOOKUP(L106,[1]对照表!$S$27:$S$48,[1]对照表!$T$27:$T$48)),IF(B106="高二",IF($E106="男",LOOKUP(L106,[1]对照表!$R$3:$R$24,[1]对照表!$T$3:$T$24),LOOKUP(L106,[1]对照表!$R$27:$R$48,[1]对照表!$T$27:$T$48)),IF(B106="高一",IF($E106="男",LOOKUP(L106,[1]对照表!$Q$3:$Q$24,[1]对照表!$T$3:$T$24),LOOKUP(L106,[1]对照表!$Q$27:$Q$48,[1]对照表!$T$27:$T$48)))))</f>
        <v>100</v>
      </c>
      <c r="N106" s="33">
        <f>IF(B106="高三",MAX(IF(E106="男",L106-18,L106-55),0),IF(B106="高二",MAX(IF(E106="男",L106-17,L106-54),0),IF(B106="高一",MAX(IF(E106="男",L106-16,L106-53),0))))</f>
        <v>14</v>
      </c>
      <c r="O106" s="23">
        <f>IF(E106="男",LOOKUP($N106,[1]对照表!$Z$3:$Z$13,[1]对照表!$AA$3:$AA$13),LOOKUP($N106,[1]对照表!$Z$15:$Z$25,[1]对照表!$AA$15:$AA$25))</f>
        <v>10</v>
      </c>
      <c r="P106" s="24">
        <f>M106+O106</f>
        <v>110</v>
      </c>
      <c r="Q106" s="25">
        <v>4.08</v>
      </c>
      <c r="R106" s="32">
        <f>IF(B106="高三",IF($E106="男",LOOKUP(Q106,[1]对照表!$W$3:$W$24,[1]对照表!$X$3:$X$24),LOOKUP(Q106,[1]对照表!$W$27:$W$48,[1]对照表!$X$27:$X$48)),IF(B106="高二",IF($E106="男",LOOKUP(Q106,[1]对照表!$V$3:$V$24,[1]对照表!$X$3:$X$24),LOOKUP(Q106,[1]对照表!$V$27:$V$48,[1]对照表!$X$27:$X$48)),IF(B106="高一",IF($E106="男",LOOKUP(Q106,[1]对照表!$U$3:$U$24,[1]对照表!$X$3:$X$24),LOOKUP(Q106,[1]对照表!$U$27:$U$48,[1]对照表!$X$27:$X$48)))))</f>
        <v>74</v>
      </c>
      <c r="S106" s="33">
        <f>ROUND(IF(IF($B106="高三",MIN(IF($E106="男",$Q106-3.2,$Q106-3.2),0),IF($B106="高二",MIN(IF($E106="男",$Q106-3.25,$Q106-3.22),0),IF($B106="高一",MIN(IF($E106="男",$Q106-3.3,$Q106-3.24),0))))&lt;-0.6,IF($B106="高三",MIN(IF($E106="男",$Q106-3.2,$Q106-3.2),0),IF($B106="高二",MIN(IF($E106="男",$Q106-3.25,$Q106-3.22),0),IF($B106="高一",MIN(IF($E106="男",$Q106-3.3,$Q106-3.24),0))))+0.4,IF($B106="高三",MIN(IF($E106="男",$Q106-3.2,$Q106-3.2),0),IF($B106="高二",MIN(IF($E106="男",$Q106-3.25,$Q106-3.22),0),IF($B106="高一",MIN(IF($E106="男",$Q106-3.3,$Q106-3.24),0))))),2)</f>
        <v>0</v>
      </c>
      <c r="T106" s="23">
        <f>IF(E106="男",LOOKUP($S106,[1]对照表!$AB$3:$AB$13,[1]对照表!$AC$3:$AC$13),LOOKUP($S106,[1]对照表!$AB$15:$AB$25,[1]对照表!$AC$15:$AC$25))</f>
        <v>0</v>
      </c>
      <c r="U106" s="26">
        <f>R106+T106</f>
        <v>74</v>
      </c>
      <c r="V106" s="26">
        <f>SUM(I106,K106,M106)/3*0.3+SUM(G106,R106)/2*0.4</f>
        <v>54.8</v>
      </c>
      <c r="W106" s="27">
        <f>O106+T106</f>
        <v>10</v>
      </c>
      <c r="X106" s="28">
        <f>V106/0.7+W106</f>
        <v>88.285714285714292</v>
      </c>
      <c r="Y106" s="28">
        <v>88.285714285714292</v>
      </c>
      <c r="Z106" s="21"/>
    </row>
    <row r="107" spans="1:26" x14ac:dyDescent="0.25">
      <c r="A107" s="16">
        <v>46</v>
      </c>
      <c r="B107" s="17" t="s">
        <v>21</v>
      </c>
      <c r="C107" s="16">
        <v>103</v>
      </c>
      <c r="D107" s="18" t="s">
        <v>248</v>
      </c>
      <c r="E107" s="17" t="s">
        <v>65</v>
      </c>
      <c r="F107" s="19">
        <v>9.5</v>
      </c>
      <c r="G107" s="32">
        <f>IF(B107="高三",IF($E107="男",LOOKUP(F107,[1]对照表!$G$3:$G$24,[1]对照表!$H$3:$H$24),LOOKUP(F107,[1]对照表!$G$27:$G$48,[1]对照表!$H$27:$H$48)),IF(B107="高二",IF($E107="男",LOOKUP(F107,[1]对照表!$F$3:$F$24,[1]对照表!$H$3:$H$24),LOOKUP(F107,[1]对照表!$F$27:$F$48,[1]对照表!$H$27:$H$48)),IF(B107="高一",IF($E107="男",LOOKUP(F107,[1]对照表!$E$3:$E$24,[1]对照表!$H$3:$H$24),LOOKUP(F107,[1]对照表!$E$27:$E$48,[1]对照表!$H$27:$H$48)))))</f>
        <v>70</v>
      </c>
      <c r="H107" s="21">
        <v>20.5</v>
      </c>
      <c r="I107" s="32">
        <f>IF(B107="高三",IF($E107="男",LOOKUP(H107,[1]对照表!$K$3:$K$24,[1]对照表!$L$3:$L$24),LOOKUP(H107,[1]对照表!$K$27:$K$48,[1]对照表!$L$27:$L$48)),IF(B107="高二",IF($E107="男",LOOKUP(H107,[1]对照表!$J$3:$J$24,[1]对照表!$L$3:$L$24),LOOKUP(H107,[1]对照表!$J$27:$J$48,[1]对照表!$L$27:$L$48)),IF(B107="高一",IF($E107="男",LOOKUP(H107,[1]对照表!$I$3:$I$24,[1]对照表!$L$3:$L$24),LOOKUP(H107,[1]对照表!$I$27:$I$48,[1]对照表!$L$27:$L$48)))))</f>
        <v>85</v>
      </c>
      <c r="J107" s="21">
        <v>167</v>
      </c>
      <c r="K107" s="32">
        <f>IF(B107="高三",IF($E107="男",LOOKUP(J107,[1]对照表!$O$3:$O$24,[1]对照表!$P$3:$P$24),LOOKUP(J107,[1]对照表!$O$27:$O$48,[1]对照表!$P$27:$P$48)),IF(B107="高二",IF($E107="男",LOOKUP(J107,[1]对照表!$N$3:$N$24,[1]对照表!$P$3:$P$24),LOOKUP(J107,[1]对照表!$N$27:$N$48,[1]对照表!$P$27:$P$48)),IF(B107="高一",IF($E107="男",LOOKUP(J107,[1]对照表!$M$3:$M$24,[1]对照表!$P$3:$P$24),LOOKUP(J107,[1]对照表!$M$27:$M$48,[1]对照表!$P$27:$P$48)))))</f>
        <v>72</v>
      </c>
      <c r="L107" s="21">
        <v>52</v>
      </c>
      <c r="M107" s="32">
        <f>IF(B107="高三",IF($E107="男",LOOKUP(L107,[1]对照表!$S$3:$S$24,[1]对照表!$T$3:$T$24),LOOKUP(L107,[1]对照表!$S$27:$S$48,[1]对照表!$T$27:$T$48)),IF(B107="高二",IF($E107="男",LOOKUP(L107,[1]对照表!$R$3:$R$24,[1]对照表!$T$3:$T$24),LOOKUP(L107,[1]对照表!$R$27:$R$48,[1]对照表!$T$27:$T$48)),IF(B107="高一",IF($E107="男",LOOKUP(L107,[1]对照表!$Q$3:$Q$24,[1]对照表!$T$3:$T$24),LOOKUP(L107,[1]对照表!$Q$27:$Q$48,[1]对照表!$T$27:$T$48)))))</f>
        <v>95</v>
      </c>
      <c r="N107" s="27">
        <f>IF(B107="高三",MAX(IF(E107="男",L107-18,L107-55),0),IF(B107="高二",MAX(IF(E107="男",L107-17,L107-54),0),IF(B107="高一",MAX(IF(E107="男",L107-16,L107-53),0))))</f>
        <v>0</v>
      </c>
      <c r="O107" s="23">
        <f>IF(E107="男",LOOKUP($N107,[1]对照表!$Z$3:$Z$13,[1]对照表!$AA$3:$AA$13),LOOKUP($N107,[1]对照表!$Z$15:$Z$25,[1]对照表!$AA$15:$AA$25))</f>
        <v>0</v>
      </c>
      <c r="P107" s="24">
        <f>M107+O107</f>
        <v>95</v>
      </c>
      <c r="Q107" s="25">
        <v>3.26</v>
      </c>
      <c r="R107" s="32">
        <f>IF(B107="高三",IF($E107="男",LOOKUP(Q107,[1]对照表!$W$3:$W$24,[1]对照表!$X$3:$X$24),LOOKUP(Q107,[1]对照表!$W$27:$W$48,[1]对照表!$X$27:$X$48)),IF(B107="高二",IF($E107="男",LOOKUP(Q107,[1]对照表!$V$3:$V$24,[1]对照表!$X$3:$X$24),LOOKUP(Q107,[1]对照表!$V$27:$V$48,[1]对照表!$X$27:$X$48)),IF(B107="高一",IF($E107="男",LOOKUP(Q107,[1]对照表!$U$3:$U$24,[1]对照表!$X$3:$X$24),LOOKUP(Q107,[1]对照表!$U$27:$U$48,[1]对照表!$X$27:$X$48)))))</f>
        <v>95</v>
      </c>
      <c r="S107" s="27">
        <f>ROUND(IF(IF($B107="高三",MIN(IF($E107="男",$Q107-3.2,$Q107-3.2),0),IF($B107="高二",MIN(IF($E107="男",$Q107-3.25,$Q107-3.22),0),IF($B107="高一",MIN(IF($E107="男",$Q107-3.3,$Q107-3.24),0))))&lt;-0.6,IF($B107="高三",MIN(IF($E107="男",$Q107-3.2,$Q107-3.2),0),IF($B107="高二",MIN(IF($E107="男",$Q107-3.25,$Q107-3.22),0),IF($B107="高一",MIN(IF($E107="男",$Q107-3.3,$Q107-3.24),0))))+0.4,IF($B107="高三",MIN(IF($E107="男",$Q107-3.2,$Q107-3.2),0),IF($B107="高二",MIN(IF($E107="男",$Q107-3.25,$Q107-3.22),0),IF($B107="高一",MIN(IF($E107="男",$Q107-3.3,$Q107-3.24),0))))),2)</f>
        <v>0</v>
      </c>
      <c r="T107" s="23">
        <f>IF(E107="男",LOOKUP($S107,[1]对照表!$AB$3:$AB$13,[1]对照表!$AC$3:$AC$13),LOOKUP($S107,[1]对照表!$AB$15:$AB$25,[1]对照表!$AC$15:$AC$25))</f>
        <v>0</v>
      </c>
      <c r="U107" s="26">
        <f>R107+T107</f>
        <v>95</v>
      </c>
      <c r="V107" s="26">
        <f>SUM(I107,K107,M107)/3*0.3+SUM(G107,R107)/2*0.4</f>
        <v>58.2</v>
      </c>
      <c r="W107" s="27">
        <f>O107+T107</f>
        <v>0</v>
      </c>
      <c r="X107" s="28">
        <f>V107/0.7+W107</f>
        <v>83.142857142857153</v>
      </c>
      <c r="Y107" s="28">
        <v>83.142857142857153</v>
      </c>
      <c r="Z107" s="21"/>
    </row>
    <row r="108" spans="1:26" x14ac:dyDescent="0.25">
      <c r="A108" s="16">
        <v>23</v>
      </c>
      <c r="B108" s="17" t="s">
        <v>21</v>
      </c>
      <c r="C108" s="16">
        <v>103</v>
      </c>
      <c r="D108" s="18" t="s">
        <v>279</v>
      </c>
      <c r="E108" s="17" t="s">
        <v>23</v>
      </c>
      <c r="F108" s="19">
        <v>6.8</v>
      </c>
      <c r="G108" s="32">
        <f>IF(B108="高三",IF($E108="男",LOOKUP(F108,[1]对照表!$G$3:$G$24,[1]对照表!$H$3:$H$24),LOOKUP(F108,[1]对照表!$G$27:$G$48,[1]对照表!$H$27:$H$48)),IF(B108="高二",IF($E108="男",LOOKUP(F108,[1]对照表!$F$3:$F$24,[1]对照表!$H$3:$H$24),LOOKUP(F108,[1]对照表!$F$27:$F$48,[1]对照表!$H$27:$H$48)),IF(B108="高一",IF($E108="男",LOOKUP(F108,[1]对照表!$E$3:$E$24,[1]对照表!$H$3:$H$24),LOOKUP(F108,[1]对照表!$E$27:$E$48,[1]对照表!$H$27:$H$48)))))</f>
        <v>100</v>
      </c>
      <c r="H108" s="21">
        <v>1</v>
      </c>
      <c r="I108" s="32">
        <f>IF(B108="高三",IF($E108="男",LOOKUP(H108,[1]对照表!$K$3:$K$24,[1]对照表!$L$3:$L$24),LOOKUP(H108,[1]对照表!$K$27:$K$48,[1]对照表!$L$27:$L$48)),IF(B108="高二",IF($E108="男",LOOKUP(H108,[1]对照表!$J$3:$J$24,[1]对照表!$L$3:$L$24),LOOKUP(H108,[1]对照表!$J$27:$J$48,[1]对照表!$L$27:$L$48)),IF(B108="高一",IF($E108="男",LOOKUP(H108,[1]对照表!$I$3:$I$24,[1]对照表!$L$3:$L$24),LOOKUP(H108,[1]对照表!$I$27:$I$48,[1]对照表!$L$27:$L$48)))))</f>
        <v>60</v>
      </c>
      <c r="J108" s="21">
        <v>235</v>
      </c>
      <c r="K108" s="32">
        <f>IF(B108="高三",IF($E108="男",LOOKUP(J108,[1]对照表!$O$3:$O$24,[1]对照表!$P$3:$P$24),LOOKUP(J108,[1]对照表!$O$27:$O$48,[1]对照表!$P$27:$P$48)),IF(B108="高二",IF($E108="男",LOOKUP(J108,[1]对照表!$N$3:$N$24,[1]对照表!$P$3:$P$24),LOOKUP(J108,[1]对照表!$N$27:$N$48,[1]对照表!$P$27:$P$48)),IF(B108="高一",IF($E108="男",LOOKUP(J108,[1]对照表!$M$3:$M$24,[1]对照表!$P$3:$P$24),LOOKUP(J108,[1]对照表!$M$27:$M$48,[1]对照表!$P$27:$P$48)))))</f>
        <v>80</v>
      </c>
      <c r="L108" s="21">
        <v>17</v>
      </c>
      <c r="M108" s="32">
        <f>IF(B108="高三",IF($E108="男",LOOKUP(L108,[1]对照表!$S$3:$S$24,[1]对照表!$T$3:$T$24),LOOKUP(L108,[1]对照表!$S$27:$S$48,[1]对照表!$T$27:$T$48)),IF(B108="高二",IF($E108="男",LOOKUP(L108,[1]对照表!$R$3:$R$24,[1]对照表!$T$3:$T$24),LOOKUP(L108,[1]对照表!$R$27:$R$48,[1]对照表!$T$27:$T$48)),IF(B108="高一",IF($E108="男",LOOKUP(L108,[1]对照表!$Q$3:$Q$24,[1]对照表!$T$3:$T$24),LOOKUP(L108,[1]对照表!$Q$27:$Q$48,[1]对照表!$T$27:$T$48)))))</f>
        <v>100</v>
      </c>
      <c r="N108" s="33">
        <f>IF(B108="高三",MAX(IF(E108="男",L108-18,L108-55),0),IF(B108="高二",MAX(IF(E108="男",L108-17,L108-54),0),IF(B108="高一",MAX(IF(E108="男",L108-16,L108-53),0))))</f>
        <v>1</v>
      </c>
      <c r="O108" s="23">
        <f>IF(E108="男",LOOKUP($N108,[1]对照表!$Z$3:$Z$13,[1]对照表!$AA$3:$AA$13),LOOKUP($N108,[1]对照表!$Z$15:$Z$25,[1]对照表!$AA$15:$AA$25))</f>
        <v>1</v>
      </c>
      <c r="P108" s="24">
        <f>M108+O108</f>
        <v>101</v>
      </c>
      <c r="Q108" s="25">
        <v>3.57</v>
      </c>
      <c r="R108" s="32">
        <f>IF(B108="高三",IF($E108="男",LOOKUP(Q108,[1]对照表!$W$3:$W$24,[1]对照表!$X$3:$X$24),LOOKUP(Q108,[1]对照表!$W$27:$W$48,[1]对照表!$X$27:$X$48)),IF(B108="高二",IF($E108="男",LOOKUP(Q108,[1]对照表!$V$3:$V$24,[1]对照表!$X$3:$X$24),LOOKUP(Q108,[1]对照表!$V$27:$V$48,[1]对照表!$X$27:$X$48)),IF(B108="高一",IF($E108="男",LOOKUP(Q108,[1]对照表!$U$3:$U$24,[1]对照表!$X$3:$X$24),LOOKUP(Q108,[1]对照表!$U$27:$U$48,[1]对照表!$X$27:$X$48)))))</f>
        <v>78</v>
      </c>
      <c r="S108" s="33">
        <f>ROUND(IF(IF($B108="高三",MIN(IF($E108="男",$Q108-3.2,$Q108-3.2),0),IF($B108="高二",MIN(IF($E108="男",$Q108-3.25,$Q108-3.22),0),IF($B108="高一",MIN(IF($E108="男",$Q108-3.3,$Q108-3.24),0))))&lt;-0.6,IF($B108="高三",MIN(IF($E108="男",$Q108-3.2,$Q108-3.2),0),IF($B108="高二",MIN(IF($E108="男",$Q108-3.25,$Q108-3.22),0),IF($B108="高一",MIN(IF($E108="男",$Q108-3.3,$Q108-3.24),0))))+0.4,IF($B108="高三",MIN(IF($E108="男",$Q108-3.2,$Q108-3.2),0),IF($B108="高二",MIN(IF($E108="男",$Q108-3.25,$Q108-3.22),0),IF($B108="高一",MIN(IF($E108="男",$Q108-3.3,$Q108-3.24),0))))),2)</f>
        <v>0</v>
      </c>
      <c r="T108" s="23">
        <f>IF(E108="男",LOOKUP($S108,[1]对照表!$AB$3:$AB$13,[1]对照表!$AC$3:$AC$13),LOOKUP($S108,[1]对照表!$AB$15:$AB$25,[1]对照表!$AC$15:$AC$25))</f>
        <v>0</v>
      </c>
      <c r="U108" s="26">
        <f>R108+T108</f>
        <v>78</v>
      </c>
      <c r="V108" s="26">
        <f>SUM(I108,K108,M108)/3*0.3+SUM(G108,R108)/2*0.4</f>
        <v>59.6</v>
      </c>
      <c r="W108" s="27">
        <f>O108+T108</f>
        <v>1</v>
      </c>
      <c r="X108" s="28">
        <f>V108/0.7+W108</f>
        <v>86.142857142857153</v>
      </c>
      <c r="Y108" s="28">
        <v>86.142857142857153</v>
      </c>
      <c r="Z108" s="21"/>
    </row>
    <row r="109" spans="1:26" x14ac:dyDescent="0.25">
      <c r="A109" s="16">
        <v>2</v>
      </c>
      <c r="B109" s="17" t="s">
        <v>21</v>
      </c>
      <c r="C109" s="16">
        <v>103</v>
      </c>
      <c r="D109" s="18" t="s">
        <v>282</v>
      </c>
      <c r="E109" s="16" t="s">
        <v>23</v>
      </c>
      <c r="F109" s="19">
        <v>7.3</v>
      </c>
      <c r="G109" s="32">
        <f>IF(B109="高三",IF($E109="男",LOOKUP(F109,[1]对照表!$G$3:$G$24,[1]对照表!$H$3:$H$24),LOOKUP(F109,[1]对照表!$G$27:$G$48,[1]对照表!$H$27:$H$48)),IF(B109="高二",IF($E109="男",LOOKUP(F109,[1]对照表!$F$3:$F$24,[1]对照表!$H$3:$H$24),LOOKUP(F109,[1]对照表!$F$27:$F$48,[1]对照表!$H$27:$H$48)),IF(B109="高一",IF($E109="男",LOOKUP(F109,[1]对照表!$E$3:$E$24,[1]对照表!$H$3:$H$24),LOOKUP(F109,[1]对照表!$E$27:$E$48,[1]对照表!$H$27:$H$48)))))</f>
        <v>90</v>
      </c>
      <c r="H109" s="21">
        <v>17.7</v>
      </c>
      <c r="I109" s="32">
        <f>IF(B109="高三",IF($E109="男",LOOKUP(H109,[1]对照表!$K$3:$K$24,[1]对照表!$L$3:$L$24),LOOKUP(H109,[1]对照表!$K$27:$K$48,[1]对照表!$L$27:$L$48)),IF(B109="高二",IF($E109="男",LOOKUP(H109,[1]对照表!$J$3:$J$24,[1]对照表!$L$3:$L$24),LOOKUP(H109,[1]对照表!$J$27:$J$48,[1]对照表!$L$27:$L$48)),IF(B109="高一",IF($E109="男",LOOKUP(H109,[1]对照表!$I$3:$I$24,[1]对照表!$L$3:$L$24),LOOKUP(H109,[1]对照表!$I$27:$I$48,[1]对照表!$L$27:$L$48)))))</f>
        <v>85</v>
      </c>
      <c r="J109" s="21">
        <v>244</v>
      </c>
      <c r="K109" s="32">
        <f>IF(B109="高三",IF($E109="男",LOOKUP(J109,[1]对照表!$O$3:$O$24,[1]对照表!$P$3:$P$24),LOOKUP(J109,[1]对照表!$O$27:$O$48,[1]对照表!$P$27:$P$48)),IF(B109="高二",IF($E109="男",LOOKUP(J109,[1]对照表!$N$3:$N$24,[1]对照表!$P$3:$P$24),LOOKUP(J109,[1]对照表!$N$27:$N$48,[1]对照表!$P$27:$P$48)),IF(B109="高一",IF($E109="男",LOOKUP(J109,[1]对照表!$M$3:$M$24,[1]对照表!$P$3:$P$24),LOOKUP(J109,[1]对照表!$M$27:$M$48,[1]对照表!$P$27:$P$48)))))</f>
        <v>85</v>
      </c>
      <c r="L109" s="21">
        <v>6</v>
      </c>
      <c r="M109" s="32">
        <f>IF(B109="高三",IF($E109="男",LOOKUP(L109,[1]对照表!$S$3:$S$24,[1]对照表!$T$3:$T$24),LOOKUP(L109,[1]对照表!$S$27:$S$48,[1]对照表!$T$27:$T$48)),IF(B109="高二",IF($E109="男",LOOKUP(L109,[1]对照表!$R$3:$R$24,[1]对照表!$T$3:$T$24),LOOKUP(L109,[1]对照表!$R$27:$R$48,[1]对照表!$T$27:$T$48)),IF(B109="高一",IF($E109="男",LOOKUP(L109,[1]对照表!$Q$3:$Q$24,[1]对照表!$T$3:$T$24),LOOKUP(L109,[1]对照表!$Q$27:$Q$48,[1]对照表!$T$27:$T$48)))))</f>
        <v>50</v>
      </c>
      <c r="N109" s="33">
        <f>IF(B109="高三",MAX(IF(E109="男",L109-18,L109-55),0),IF(B109="高二",MAX(IF(E109="男",L109-17,L109-54),0),IF(B109="高一",MAX(IF(E109="男",L109-16,L109-53),0))))</f>
        <v>0</v>
      </c>
      <c r="O109" s="23">
        <f>IF(E109="男",LOOKUP($N109,[1]对照表!$Z$3:$Z$13,[1]对照表!$AA$3:$AA$13),LOOKUP($N109,[1]对照表!$Z$15:$Z$25,[1]对照表!$AA$15:$AA$25))</f>
        <v>0</v>
      </c>
      <c r="P109" s="24">
        <f>M109+O109</f>
        <v>50</v>
      </c>
      <c r="Q109" s="25">
        <v>3.3</v>
      </c>
      <c r="R109" s="32">
        <f>IF(B109="高三",IF($E109="男",LOOKUP(Q109,[1]对照表!$W$3:$W$24,[1]对照表!$X$3:$X$24),LOOKUP(Q109,[1]对照表!$W$27:$W$48,[1]对照表!$X$27:$X$48)),IF(B109="高二",IF($E109="男",LOOKUP(Q109,[1]对照表!$V$3:$V$24,[1]对照表!$X$3:$X$24),LOOKUP(Q109,[1]对照表!$V$27:$V$48,[1]对照表!$X$27:$X$48)),IF(B109="高一",IF($E109="男",LOOKUP(Q109,[1]对照表!$U$3:$U$24,[1]对照表!$X$3:$X$24),LOOKUP(Q109,[1]对照表!$U$27:$U$48,[1]对照表!$X$27:$X$48)))))</f>
        <v>100</v>
      </c>
      <c r="S109" s="33">
        <f>ROUND(IF(IF($B109="高三",MIN(IF($E109="男",$Q109-3.2,$Q109-3.2),0),IF($B109="高二",MIN(IF($E109="男",$Q109-3.25,$Q109-3.22),0),IF($B109="高一",MIN(IF($E109="男",$Q109-3.3,$Q109-3.24),0))))&lt;-0.6,IF($B109="高三",MIN(IF($E109="男",$Q109-3.2,$Q109-3.2),0),IF($B109="高二",MIN(IF($E109="男",$Q109-3.25,$Q109-3.22),0),IF($B109="高一",MIN(IF($E109="男",$Q109-3.3,$Q109-3.24),0))))+0.4,IF($B109="高三",MIN(IF($E109="男",$Q109-3.2,$Q109-3.2),0),IF($B109="高二",MIN(IF($E109="男",$Q109-3.25,$Q109-3.22),0),IF($B109="高一",MIN(IF($E109="男",$Q109-3.3,$Q109-3.24),0))))),2)</f>
        <v>0</v>
      </c>
      <c r="T109" s="23">
        <f>IF(E109="男",LOOKUP($S109,[1]对照表!$AB$3:$AB$13,[1]对照表!$AC$3:$AC$13),LOOKUP($S109,[1]对照表!$AB$15:$AB$25,[1]对照表!$AC$15:$AC$25))</f>
        <v>0</v>
      </c>
      <c r="U109" s="26">
        <f>R109+T109</f>
        <v>100</v>
      </c>
      <c r="V109" s="26">
        <f>SUM(I109,K109,M109)/3*0.3+SUM(G109,R109)/2*0.4</f>
        <v>60</v>
      </c>
      <c r="W109" s="27">
        <f>O109+T109</f>
        <v>0</v>
      </c>
      <c r="X109" s="28">
        <f>V109/0.7+W109</f>
        <v>85.714285714285722</v>
      </c>
      <c r="Y109" s="28">
        <v>85.714285714285722</v>
      </c>
      <c r="Z109" s="21"/>
    </row>
    <row r="110" spans="1:26" x14ac:dyDescent="0.25">
      <c r="A110" s="16">
        <v>29</v>
      </c>
      <c r="B110" s="17" t="s">
        <v>21</v>
      </c>
      <c r="C110" s="16">
        <v>103</v>
      </c>
      <c r="D110" s="18" t="s">
        <v>290</v>
      </c>
      <c r="E110" s="17" t="s">
        <v>23</v>
      </c>
      <c r="F110" s="19">
        <v>7.5</v>
      </c>
      <c r="G110" s="32">
        <f>IF(B110="高三",IF($E110="男",LOOKUP(F110,[1]对照表!$G$3:$G$24,[1]对照表!$H$3:$H$24),LOOKUP(F110,[1]对照表!$G$27:$G$48,[1]对照表!$H$27:$H$48)),IF(B110="高二",IF($E110="男",LOOKUP(F110,[1]对照表!$F$3:$F$24,[1]对照表!$H$3:$H$24),LOOKUP(F110,[1]对照表!$F$27:$F$48,[1]对照表!$H$27:$H$48)),IF(B110="高一",IF($E110="男",LOOKUP(F110,[1]对照表!$E$3:$E$24,[1]对照表!$H$3:$H$24),LOOKUP(F110,[1]对照表!$E$27:$E$48,[1]对照表!$H$27:$H$48)))))</f>
        <v>80</v>
      </c>
      <c r="H110" s="21">
        <v>6</v>
      </c>
      <c r="I110" s="32">
        <f>IF(B110="高三",IF($E110="男",LOOKUP(H110,[1]对照表!$K$3:$K$24,[1]对照表!$L$3:$L$24),LOOKUP(H110,[1]对照表!$K$27:$K$48,[1]对照表!$L$27:$L$48)),IF(B110="高二",IF($E110="男",LOOKUP(H110,[1]对照表!$J$3:$J$24,[1]对照表!$L$3:$L$24),LOOKUP(H110,[1]对照表!$J$27:$J$48,[1]对照表!$L$27:$L$48)),IF(B110="高一",IF($E110="男",LOOKUP(H110,[1]对照表!$I$3:$I$24,[1]对照表!$L$3:$L$24),LOOKUP(H110,[1]对照表!$I$27:$I$48,[1]对照表!$L$27:$L$48)))))</f>
        <v>66</v>
      </c>
      <c r="J110" s="21">
        <v>236</v>
      </c>
      <c r="K110" s="32">
        <f>IF(B110="高三",IF($E110="男",LOOKUP(J110,[1]对照表!$O$3:$O$24,[1]对照表!$P$3:$P$24),LOOKUP(J110,[1]对照表!$O$27:$O$48,[1]对照表!$P$27:$P$48)),IF(B110="高二",IF($E110="男",LOOKUP(J110,[1]对照表!$N$3:$N$24,[1]对照表!$P$3:$P$24),LOOKUP(J110,[1]对照表!$N$27:$N$48,[1]对照表!$P$27:$P$48)),IF(B110="高一",IF($E110="男",LOOKUP(J110,[1]对照表!$M$3:$M$24,[1]对照表!$P$3:$P$24),LOOKUP(J110,[1]对照表!$M$27:$M$48,[1]对照表!$P$27:$P$48)))))</f>
        <v>80</v>
      </c>
      <c r="L110" s="21">
        <v>14</v>
      </c>
      <c r="M110" s="32">
        <f>IF(B110="高三",IF($E110="男",LOOKUP(L110,[1]对照表!$S$3:$S$24,[1]对照表!$T$3:$T$24),LOOKUP(L110,[1]对照表!$S$27:$S$48,[1]对照表!$T$27:$T$48)),IF(B110="高二",IF($E110="男",LOOKUP(L110,[1]对照表!$R$3:$R$24,[1]对照表!$T$3:$T$24),LOOKUP(L110,[1]对照表!$R$27:$R$48,[1]对照表!$T$27:$T$48)),IF(B110="高一",IF($E110="男",LOOKUP(L110,[1]对照表!$Q$3:$Q$24,[1]对照表!$T$3:$T$24),LOOKUP(L110,[1]对照表!$Q$27:$Q$48,[1]对照表!$T$27:$T$48)))))</f>
        <v>90</v>
      </c>
      <c r="N110" s="33">
        <f>IF(B110="高三",MAX(IF(E110="男",L110-18,L110-55),0),IF(B110="高二",MAX(IF(E110="男",L110-17,L110-54),0),IF(B110="高一",MAX(IF(E110="男",L110-16,L110-53),0))))</f>
        <v>0</v>
      </c>
      <c r="O110" s="23">
        <f>IF(E110="男",LOOKUP($N110,[1]对照表!$Z$3:$Z$13,[1]对照表!$AA$3:$AA$13),LOOKUP($N110,[1]对照表!$Z$15:$Z$25,[1]对照表!$AA$15:$AA$25))</f>
        <v>0</v>
      </c>
      <c r="P110" s="24">
        <f>M110+O110</f>
        <v>90</v>
      </c>
      <c r="Q110" s="25">
        <v>3.27</v>
      </c>
      <c r="R110" s="32">
        <f>IF(B110="高三",IF($E110="男",LOOKUP(Q110,[1]对照表!$W$3:$W$24,[1]对照表!$X$3:$X$24),LOOKUP(Q110,[1]对照表!$W$27:$W$48,[1]对照表!$X$27:$X$48)),IF(B110="高二",IF($E110="男",LOOKUP(Q110,[1]对照表!$V$3:$V$24,[1]对照表!$X$3:$X$24),LOOKUP(Q110,[1]对照表!$V$27:$V$48,[1]对照表!$X$27:$X$48)),IF(B110="高一",IF($E110="男",LOOKUP(Q110,[1]对照表!$U$3:$U$24,[1]对照表!$X$3:$X$24),LOOKUP(Q110,[1]对照表!$U$27:$U$48,[1]对照表!$X$27:$X$48)))))</f>
        <v>100</v>
      </c>
      <c r="S110" s="33">
        <f>ROUND(IF(IF($B110="高三",MIN(IF($E110="男",$Q110-3.2,$Q110-3.2),0),IF($B110="高二",MIN(IF($E110="男",$Q110-3.25,$Q110-3.22),0),IF($B110="高一",MIN(IF($E110="男",$Q110-3.3,$Q110-3.24),0))))&lt;-0.6,IF($B110="高三",MIN(IF($E110="男",$Q110-3.2,$Q110-3.2),0),IF($B110="高二",MIN(IF($E110="男",$Q110-3.25,$Q110-3.22),0),IF($B110="高一",MIN(IF($E110="男",$Q110-3.3,$Q110-3.24),0))))+0.4,IF($B110="高三",MIN(IF($E110="男",$Q110-3.2,$Q110-3.2),0),IF($B110="高二",MIN(IF($E110="男",$Q110-3.25,$Q110-3.22),0),IF($B110="高一",MIN(IF($E110="男",$Q110-3.3,$Q110-3.24),0))))),2)</f>
        <v>-0.03</v>
      </c>
      <c r="T110" s="23">
        <f>IF(E110="男",LOOKUP($S110,[1]对照表!$AB$3:$AB$13,[1]对照表!$AC$3:$AC$13),LOOKUP($S110,[1]对照表!$AB$15:$AB$25,[1]对照表!$AC$15:$AC$25))</f>
        <v>0</v>
      </c>
      <c r="U110" s="26">
        <f>R110+T110</f>
        <v>100</v>
      </c>
      <c r="V110" s="26">
        <f>SUM(I110,K110,M110)/3*0.3+SUM(G110,R110)/2*0.4</f>
        <v>59.6</v>
      </c>
      <c r="W110" s="27">
        <f>O110+T110</f>
        <v>0</v>
      </c>
      <c r="X110" s="28">
        <f>V110/0.7+W110</f>
        <v>85.142857142857153</v>
      </c>
      <c r="Y110" s="28">
        <v>85.142857142857153</v>
      </c>
      <c r="Z110" s="21"/>
    </row>
    <row r="111" spans="1:26" x14ac:dyDescent="0.25">
      <c r="A111" s="16">
        <v>16</v>
      </c>
      <c r="B111" s="17" t="s">
        <v>21</v>
      </c>
      <c r="C111" s="16">
        <v>103</v>
      </c>
      <c r="D111" s="18" t="s">
        <v>293</v>
      </c>
      <c r="E111" s="17" t="s">
        <v>23</v>
      </c>
      <c r="F111" s="19">
        <v>7.3</v>
      </c>
      <c r="G111" s="32">
        <f>IF(B111="高三",IF($E111="男",LOOKUP(F111,[1]对照表!$G$3:$G$24,[1]对照表!$H$3:$H$24),LOOKUP(F111,[1]对照表!$G$27:$G$48,[1]对照表!$H$27:$H$48)),IF(B111="高二",IF($E111="男",LOOKUP(F111,[1]对照表!$F$3:$F$24,[1]对照表!$H$3:$H$24),LOOKUP(F111,[1]对照表!$F$27:$F$48,[1]对照表!$H$27:$H$48)),IF(B111="高一",IF($E111="男",LOOKUP(F111,[1]对照表!$E$3:$E$24,[1]对照表!$H$3:$H$24),LOOKUP(F111,[1]对照表!$E$27:$E$48,[1]对照表!$H$27:$H$48)))))</f>
        <v>90</v>
      </c>
      <c r="H111" s="21">
        <v>12.5</v>
      </c>
      <c r="I111" s="32">
        <f>IF(B111="高三",IF($E111="男",LOOKUP(H111,[1]对照表!$K$3:$K$24,[1]对照表!$L$3:$L$24),LOOKUP(H111,[1]对照表!$K$27:$K$48,[1]对照表!$L$27:$L$48)),IF(B111="高二",IF($E111="男",LOOKUP(H111,[1]对照表!$J$3:$J$24,[1]对照表!$L$3:$L$24),LOOKUP(H111,[1]对照表!$J$27:$J$48,[1]对照表!$L$27:$L$48)),IF(B111="高一",IF($E111="男",LOOKUP(H111,[1]对照表!$I$3:$I$24,[1]对照表!$L$3:$L$24),LOOKUP(H111,[1]对照表!$I$27:$I$48,[1]对照表!$L$27:$L$48)))))</f>
        <v>76</v>
      </c>
      <c r="J111" s="21">
        <v>240</v>
      </c>
      <c r="K111" s="32">
        <f>IF(B111="高三",IF($E111="男",LOOKUP(J111,[1]对照表!$O$3:$O$24,[1]对照表!$P$3:$P$24),LOOKUP(J111,[1]对照表!$O$27:$O$48,[1]对照表!$P$27:$P$48)),IF(B111="高二",IF($E111="男",LOOKUP(J111,[1]对照表!$N$3:$N$24,[1]对照表!$P$3:$P$24),LOOKUP(J111,[1]对照表!$N$27:$N$48,[1]对照表!$P$27:$P$48)),IF(B111="高一",IF($E111="男",LOOKUP(J111,[1]对照表!$M$3:$M$24,[1]对照表!$P$3:$P$24),LOOKUP(J111,[1]对照表!$M$27:$M$48,[1]对照表!$P$27:$P$48)))))</f>
        <v>80</v>
      </c>
      <c r="L111" s="21">
        <v>16</v>
      </c>
      <c r="M111" s="32">
        <f>IF(B111="高三",IF($E111="男",LOOKUP(L111,[1]对照表!$S$3:$S$24,[1]对照表!$T$3:$T$24),LOOKUP(L111,[1]对照表!$S$27:$S$48,[1]对照表!$T$27:$T$48)),IF(B111="高二",IF($E111="男",LOOKUP(L111,[1]对照表!$R$3:$R$24,[1]对照表!$T$3:$T$24),LOOKUP(L111,[1]对照表!$R$27:$R$48,[1]对照表!$T$27:$T$48)),IF(B111="高一",IF($E111="男",LOOKUP(L111,[1]对照表!$Q$3:$Q$24,[1]对照表!$T$3:$T$24),LOOKUP(L111,[1]对照表!$Q$27:$Q$48,[1]对照表!$T$27:$T$48)))))</f>
        <v>100</v>
      </c>
      <c r="N111" s="33">
        <f>IF(B111="高三",MAX(IF(E111="男",L111-18,L111-55),0),IF(B111="高二",MAX(IF(E111="男",L111-17,L111-54),0),IF(B111="高一",MAX(IF(E111="男",L111-16,L111-53),0))))</f>
        <v>0</v>
      </c>
      <c r="O111" s="23">
        <f>IF(E111="男",LOOKUP($N111,[1]对照表!$Z$3:$Z$13,[1]对照表!$AA$3:$AA$13),LOOKUP($N111,[1]对照表!$Z$15:$Z$25,[1]对照表!$AA$15:$AA$25))</f>
        <v>0</v>
      </c>
      <c r="P111" s="24">
        <f>M111+O111</f>
        <v>100</v>
      </c>
      <c r="Q111" s="25">
        <v>3.51</v>
      </c>
      <c r="R111" s="32">
        <f>IF(B111="高三",IF($E111="男",LOOKUP(Q111,[1]对照表!$W$3:$W$24,[1]对照表!$X$3:$X$24),LOOKUP(Q111,[1]对照表!$W$27:$W$48,[1]对照表!$X$27:$X$48)),IF(B111="高二",IF($E111="男",LOOKUP(Q111,[1]对照表!$V$3:$V$24,[1]对照表!$X$3:$X$24),LOOKUP(Q111,[1]对照表!$V$27:$V$48,[1]对照表!$X$27:$X$48)),IF(B111="高一",IF($E111="男",LOOKUP(Q111,[1]对照表!$U$3:$U$24,[1]对照表!$X$3:$X$24),LOOKUP(Q111,[1]对照表!$U$27:$U$48,[1]对照表!$X$27:$X$48)))))</f>
        <v>80</v>
      </c>
      <c r="S111" s="27">
        <f>ROUND(IF(IF($B111="高三",MIN(IF($E111="男",$Q111-3.2,$Q111-3.2),0),IF($B111="高二",MIN(IF($E111="男",$Q111-3.25,$Q111-3.22),0),IF($B111="高一",MIN(IF($E111="男",$Q111-3.3,$Q111-3.24),0))))&lt;-0.6,IF($B111="高三",MIN(IF($E111="男",$Q111-3.2,$Q111-3.2),0),IF($B111="高二",MIN(IF($E111="男",$Q111-3.25,$Q111-3.22),0),IF($B111="高一",MIN(IF($E111="男",$Q111-3.3,$Q111-3.24),0))))+0.4,IF($B111="高三",MIN(IF($E111="男",$Q111-3.2,$Q111-3.2),0),IF($B111="高二",MIN(IF($E111="男",$Q111-3.25,$Q111-3.22),0),IF($B111="高一",MIN(IF($E111="男",$Q111-3.3,$Q111-3.24),0))))),2)</f>
        <v>0</v>
      </c>
      <c r="T111" s="23">
        <f>IF(E111="男",LOOKUP($S111,[1]对照表!$AB$3:$AB$13,[1]对照表!$AC$3:$AC$13),LOOKUP($S111,[1]对照表!$AB$15:$AB$25,[1]对照表!$AC$15:$AC$25))</f>
        <v>0</v>
      </c>
      <c r="U111" s="26">
        <f>R111+T111</f>
        <v>80</v>
      </c>
      <c r="V111" s="26">
        <f>SUM(I111,K111,M111)/3*0.3+SUM(G111,R111)/2*0.4</f>
        <v>59.599999999999994</v>
      </c>
      <c r="W111" s="27">
        <f>O111+T111</f>
        <v>0</v>
      </c>
      <c r="X111" s="28">
        <f>V111/0.7+W111</f>
        <v>85.142857142857139</v>
      </c>
      <c r="Y111" s="28">
        <v>85.142857142857139</v>
      </c>
      <c r="Z111" s="21"/>
    </row>
    <row r="112" spans="1:26" x14ac:dyDescent="0.25">
      <c r="A112" s="16">
        <v>1</v>
      </c>
      <c r="B112" s="17" t="s">
        <v>21</v>
      </c>
      <c r="C112" s="16">
        <v>103</v>
      </c>
      <c r="D112" s="18" t="s">
        <v>295</v>
      </c>
      <c r="E112" s="34" t="s">
        <v>23</v>
      </c>
      <c r="F112" s="19">
        <v>6.7</v>
      </c>
      <c r="G112" s="32">
        <f>IF(B112="高三",IF($E112="男",LOOKUP(F112,[1]对照表!$G$3:$G$24,[1]对照表!$H$3:$H$24),LOOKUP(F112,[1]对照表!$G$27:$G$48,[1]对照表!$H$27:$H$48)),IF(B112="高二",IF($E112="男",LOOKUP(F112,[1]对照表!$F$3:$F$24,[1]对照表!$H$3:$H$24),LOOKUP(F112,[1]对照表!$F$27:$F$48,[1]对照表!$H$27:$H$48)),IF(B112="高一",IF($E112="男",LOOKUP(F112,[1]对照表!$E$3:$E$24,[1]对照表!$H$3:$H$24),LOOKUP(F112,[1]对照表!$E$27:$E$48,[1]对照表!$H$27:$H$48)))))</f>
        <v>100</v>
      </c>
      <c r="H112" s="21">
        <v>11</v>
      </c>
      <c r="I112" s="32">
        <f>IF(B112="高三",IF($E112="男",LOOKUP(H112,[1]对照表!$K$3:$K$24,[1]对照表!$L$3:$L$24),LOOKUP(H112,[1]对照表!$K$27:$K$48,[1]对照表!$L$27:$L$48)),IF(B112="高二",IF($E112="男",LOOKUP(H112,[1]对照表!$J$3:$J$24,[1]对照表!$L$3:$L$24),LOOKUP(H112,[1]对照表!$J$27:$J$48,[1]对照表!$L$27:$L$48)),IF(B112="高一",IF($E112="男",LOOKUP(H112,[1]对照表!$I$3:$I$24,[1]对照表!$L$3:$L$24),LOOKUP(H112,[1]对照表!$I$27:$I$48,[1]对照表!$L$27:$L$48)))))</f>
        <v>74</v>
      </c>
      <c r="J112" s="21">
        <v>236</v>
      </c>
      <c r="K112" s="32">
        <f>IF(B112="高三",IF($E112="男",LOOKUP(J112,[1]对照表!$O$3:$O$24,[1]对照表!$P$3:$P$24),LOOKUP(J112,[1]对照表!$O$27:$O$48,[1]对照表!$P$27:$P$48)),IF(B112="高二",IF($E112="男",LOOKUP(J112,[1]对照表!$N$3:$N$24,[1]对照表!$P$3:$P$24),LOOKUP(J112,[1]对照表!$N$27:$N$48,[1]对照表!$P$27:$P$48)),IF(B112="高一",IF($E112="男",LOOKUP(J112,[1]对照表!$M$3:$M$24,[1]对照表!$P$3:$P$24),LOOKUP(J112,[1]对照表!$M$27:$M$48,[1]对照表!$P$27:$P$48)))))</f>
        <v>80</v>
      </c>
      <c r="L112" s="21">
        <v>12</v>
      </c>
      <c r="M112" s="32">
        <f>IF(B112="高三",IF($E112="男",LOOKUP(L112,[1]对照表!$S$3:$S$24,[1]对照表!$T$3:$T$24),LOOKUP(L112,[1]对照表!$S$27:$S$48,[1]对照表!$T$27:$T$48)),IF(B112="高二",IF($E112="男",LOOKUP(L112,[1]对照表!$R$3:$R$24,[1]对照表!$T$3:$T$24),LOOKUP(L112,[1]对照表!$R$27:$R$48,[1]对照表!$T$27:$T$48)),IF(B112="高一",IF($E112="男",LOOKUP(L112,[1]对照表!$Q$3:$Q$24,[1]对照表!$T$3:$T$24),LOOKUP(L112,[1]对照表!$Q$27:$Q$48,[1]对照表!$T$27:$T$48)))))</f>
        <v>80</v>
      </c>
      <c r="N112" s="33">
        <f>IF(B112="高三",MAX(IF(E112="男",L112-18,L112-55),0),IF(B112="高二",MAX(IF(E112="男",L112-17,L112-54),0),IF(B112="高一",MAX(IF(E112="男",L112-16,L112-53),0))))</f>
        <v>0</v>
      </c>
      <c r="O112" s="23">
        <f>IF(E112="男",LOOKUP($N112,[1]对照表!$Z$3:$Z$13,[1]对照表!$AA$3:$AA$13),LOOKUP($N112,[1]对照表!$Z$15:$Z$25,[1]对照表!$AA$15:$AA$25))</f>
        <v>0</v>
      </c>
      <c r="P112" s="24">
        <f>M112+O112</f>
        <v>80</v>
      </c>
      <c r="Q112" s="25">
        <v>3.52</v>
      </c>
      <c r="R112" s="32">
        <f>IF(B112="高三",IF($E112="男",LOOKUP(Q112,[1]对照表!$W$3:$W$24,[1]对照表!$X$3:$X$24),LOOKUP(Q112,[1]对照表!$W$27:$W$48,[1]对照表!$X$27:$X$48)),IF(B112="高二",IF($E112="男",LOOKUP(Q112,[1]对照表!$V$3:$V$24,[1]对照表!$X$3:$X$24),LOOKUP(Q112,[1]对照表!$V$27:$V$48,[1]对照表!$X$27:$X$48)),IF(B112="高一",IF($E112="男",LOOKUP(Q112,[1]对照表!$U$3:$U$24,[1]对照表!$X$3:$X$24),LOOKUP(Q112,[1]对照表!$U$27:$U$48,[1]对照表!$X$27:$X$48)))))</f>
        <v>80</v>
      </c>
      <c r="S112" s="33">
        <f>ROUND(IF(IF($B112="高三",MIN(IF($E112="男",$Q112-3.2,$Q112-3.2),0),IF($B112="高二",MIN(IF($E112="男",$Q112-3.25,$Q112-3.22),0),IF($B112="高一",MIN(IF($E112="男",$Q112-3.3,$Q112-3.24),0))))&lt;-0.6,IF($B112="高三",MIN(IF($E112="男",$Q112-3.2,$Q112-3.2),0),IF($B112="高二",MIN(IF($E112="男",$Q112-3.25,$Q112-3.22),0),IF($B112="高一",MIN(IF($E112="男",$Q112-3.3,$Q112-3.24),0))))+0.4,IF($B112="高三",MIN(IF($E112="男",$Q112-3.2,$Q112-3.2),0),IF($B112="高二",MIN(IF($E112="男",$Q112-3.25,$Q112-3.22),0),IF($B112="高一",MIN(IF($E112="男",$Q112-3.3,$Q112-3.24),0))))),2)</f>
        <v>0</v>
      </c>
      <c r="T112" s="23">
        <f>IF(E112="男",LOOKUP($S112,[1]对照表!$AB$3:$AB$13,[1]对照表!$AC$3:$AC$13),LOOKUP($S112,[1]对照表!$AB$15:$AB$25,[1]对照表!$AC$15:$AC$25))</f>
        <v>0</v>
      </c>
      <c r="U112" s="26">
        <f>R112+T112</f>
        <v>80</v>
      </c>
      <c r="V112" s="26">
        <f>SUM(I112,K112,M112)/3*0.3+SUM(G112,R112)/2*0.4</f>
        <v>59.4</v>
      </c>
      <c r="W112" s="27">
        <f>O112+T112</f>
        <v>0</v>
      </c>
      <c r="X112" s="28">
        <f>V112/0.7+W112</f>
        <v>84.857142857142861</v>
      </c>
      <c r="Y112" s="28">
        <v>84.857142857142861</v>
      </c>
      <c r="Z112" s="21"/>
    </row>
    <row r="113" spans="1:26" x14ac:dyDescent="0.25">
      <c r="A113" s="16">
        <v>34</v>
      </c>
      <c r="B113" s="17" t="s">
        <v>21</v>
      </c>
      <c r="C113" s="16">
        <v>103</v>
      </c>
      <c r="D113" s="18" t="s">
        <v>314</v>
      </c>
      <c r="E113" s="17" t="s">
        <v>23</v>
      </c>
      <c r="F113" s="19">
        <v>7.7</v>
      </c>
      <c r="G113" s="32">
        <f>IF(B113="高三",IF($E113="男",LOOKUP(F113,[1]对照表!$G$3:$G$24,[1]对照表!$H$3:$H$24),LOOKUP(F113,[1]对照表!$G$27:$G$48,[1]对照表!$H$27:$H$48)),IF(B113="高二",IF($E113="男",LOOKUP(F113,[1]对照表!$F$3:$F$24,[1]对照表!$H$3:$H$24),LOOKUP(F113,[1]对照表!$F$27:$F$48,[1]对照表!$H$27:$H$48)),IF(B113="高一",IF($E113="男",LOOKUP(F113,[1]对照表!$E$3:$E$24,[1]对照表!$H$3:$H$24),LOOKUP(F113,[1]对照表!$E$27:$E$48,[1]对照表!$H$27:$H$48)))))</f>
        <v>78</v>
      </c>
      <c r="H113" s="21">
        <v>9.1999999999999993</v>
      </c>
      <c r="I113" s="32">
        <f>IF(B113="高三",IF($E113="男",LOOKUP(H113,[1]对照表!$K$3:$K$24,[1]对照表!$L$3:$L$24),LOOKUP(H113,[1]对照表!$K$27:$K$48,[1]对照表!$L$27:$L$48)),IF(B113="高二",IF($E113="男",LOOKUP(H113,[1]对照表!$J$3:$J$24,[1]对照表!$L$3:$L$24),LOOKUP(H113,[1]对照表!$J$27:$J$48,[1]对照表!$L$27:$L$48)),IF(B113="高一",IF($E113="男",LOOKUP(H113,[1]对照表!$I$3:$I$24,[1]对照表!$L$3:$L$24),LOOKUP(H113,[1]对照表!$I$27:$I$48,[1]对照表!$L$27:$L$48)))))</f>
        <v>70</v>
      </c>
      <c r="J113" s="21">
        <v>195</v>
      </c>
      <c r="K113" s="32">
        <f>IF(B113="高三",IF($E113="男",LOOKUP(J113,[1]对照表!$O$3:$O$24,[1]对照表!$P$3:$P$24),LOOKUP(J113,[1]对照表!$O$27:$O$48,[1]对照表!$P$27:$P$48)),IF(B113="高二",IF($E113="男",LOOKUP(J113,[1]对照表!$N$3:$N$24,[1]对照表!$P$3:$P$24),LOOKUP(J113,[1]对照表!$N$27:$N$48,[1]对照表!$P$27:$P$48)),IF(B113="高一",IF($E113="男",LOOKUP(J113,[1]对照表!$M$3:$M$24,[1]对照表!$P$3:$P$24),LOOKUP(J113,[1]对照表!$M$27:$M$48,[1]对照表!$P$27:$P$48)))))</f>
        <v>60</v>
      </c>
      <c r="L113" s="21">
        <v>8</v>
      </c>
      <c r="M113" s="32">
        <f>IF(B113="高三",IF($E113="男",LOOKUP(L113,[1]对照表!$S$3:$S$24,[1]对照表!$T$3:$T$24),LOOKUP(L113,[1]对照表!$S$27:$S$48,[1]对照表!$T$27:$T$48)),IF(B113="高二",IF($E113="男",LOOKUP(L113,[1]对照表!$R$3:$R$24,[1]对照表!$T$3:$T$24),LOOKUP(L113,[1]对照表!$R$27:$R$48,[1]对照表!$T$27:$T$48)),IF(B113="高一",IF($E113="男",LOOKUP(L113,[1]对照表!$Q$3:$Q$24,[1]对照表!$T$3:$T$24),LOOKUP(L113,[1]对照表!$Q$27:$Q$48,[1]对照表!$T$27:$T$48)))))</f>
        <v>64</v>
      </c>
      <c r="N113" s="33">
        <f>IF(B113="高三",MAX(IF(E113="男",L113-18,L113-55),0),IF(B113="高二",MAX(IF(E113="男",L113-17,L113-54),0),IF(B113="高一",MAX(IF(E113="男",L113-16,L113-53),0))))</f>
        <v>0</v>
      </c>
      <c r="O113" s="23">
        <f>IF(E113="男",LOOKUP($N113,[1]对照表!$Z$3:$Z$13,[1]对照表!$AA$3:$AA$13),LOOKUP($N113,[1]对照表!$Z$15:$Z$25,[1]对照表!$AA$15:$AA$25))</f>
        <v>0</v>
      </c>
      <c r="P113" s="24">
        <f>M113+O113</f>
        <v>64</v>
      </c>
      <c r="Q113" s="25">
        <v>3.08</v>
      </c>
      <c r="R113" s="32">
        <f>IF(B113="高三",IF($E113="男",LOOKUP(Q113,[1]对照表!$W$3:$W$24,[1]对照表!$X$3:$X$24),LOOKUP(Q113,[1]对照表!$W$27:$W$48,[1]对照表!$X$27:$X$48)),IF(B113="高二",IF($E113="男",LOOKUP(Q113,[1]对照表!$V$3:$V$24,[1]对照表!$X$3:$X$24),LOOKUP(Q113,[1]对照表!$V$27:$V$48,[1]对照表!$X$27:$X$48)),IF(B113="高一",IF($E113="男",LOOKUP(Q113,[1]对照表!$U$3:$U$24,[1]对照表!$X$3:$X$24),LOOKUP(Q113,[1]对照表!$U$27:$U$48,[1]对照表!$X$27:$X$48)))))</f>
        <v>100</v>
      </c>
      <c r="S113" s="33">
        <f>ROUND(IF(IF($B113="高三",MIN(IF($E113="男",$Q113-3.2,$Q113-3.2),0),IF($B113="高二",MIN(IF($E113="男",$Q113-3.25,$Q113-3.22),0),IF($B113="高一",MIN(IF($E113="男",$Q113-3.3,$Q113-3.24),0))))&lt;-0.6,IF($B113="高三",MIN(IF($E113="男",$Q113-3.2,$Q113-3.2),0),IF($B113="高二",MIN(IF($E113="男",$Q113-3.25,$Q113-3.22),0),IF($B113="高一",MIN(IF($E113="男",$Q113-3.3,$Q113-3.24),0))))+0.4,IF($B113="高三",MIN(IF($E113="男",$Q113-3.2,$Q113-3.2),0),IF($B113="高二",MIN(IF($E113="男",$Q113-3.25,$Q113-3.22),0),IF($B113="高一",MIN(IF($E113="男",$Q113-3.3,$Q113-3.24),0))))),2)</f>
        <v>-0.22</v>
      </c>
      <c r="T113" s="23">
        <f>IF(E113="男",LOOKUP($S113,[1]对照表!$AB$3:$AB$13,[1]对照表!$AC$3:$AC$13),LOOKUP($S113,[1]对照表!$AB$15:$AB$25,[1]对照表!$AC$15:$AC$25))</f>
        <v>5</v>
      </c>
      <c r="U113" s="26">
        <f>R113+T113</f>
        <v>105</v>
      </c>
      <c r="V113" s="26">
        <f>SUM(I113,K113,M113)/3*0.3+SUM(G113,R113)/2*0.4</f>
        <v>55</v>
      </c>
      <c r="W113" s="27">
        <f>O113+T113</f>
        <v>5</v>
      </c>
      <c r="X113" s="28">
        <f>V113/0.7+W113</f>
        <v>83.571428571428569</v>
      </c>
      <c r="Y113" s="28">
        <v>83.571428571428569</v>
      </c>
      <c r="Z113" s="21"/>
    </row>
    <row r="114" spans="1:26" x14ac:dyDescent="0.25">
      <c r="A114" s="16">
        <v>17</v>
      </c>
      <c r="B114" s="17" t="s">
        <v>21</v>
      </c>
      <c r="C114" s="16">
        <v>103</v>
      </c>
      <c r="D114" s="18" t="s">
        <v>315</v>
      </c>
      <c r="E114" s="17" t="s">
        <v>23</v>
      </c>
      <c r="F114" s="19">
        <v>6.9</v>
      </c>
      <c r="G114" s="32">
        <f>IF(B114="高三",IF($E114="男",LOOKUP(F114,[1]对照表!$G$3:$G$24,[1]对照表!$H$3:$H$24),LOOKUP(F114,[1]对照表!$G$27:$G$48,[1]对照表!$H$27:$H$48)),IF(B114="高二",IF($E114="男",LOOKUP(F114,[1]对照表!$F$3:$F$24,[1]对照表!$H$3:$H$24),LOOKUP(F114,[1]对照表!$F$27:$F$48,[1]对照表!$H$27:$H$48)),IF(B114="高一",IF($E114="男",LOOKUP(F114,[1]对照表!$E$3:$E$24,[1]对照表!$H$3:$H$24),LOOKUP(F114,[1]对照表!$E$27:$E$48,[1]对照表!$H$27:$H$48)))))</f>
        <v>100</v>
      </c>
      <c r="H114" s="21">
        <v>16</v>
      </c>
      <c r="I114" s="32">
        <f>IF(B114="高三",IF($E114="男",LOOKUP(H114,[1]对照表!$K$3:$K$24,[1]对照表!$L$3:$L$24),LOOKUP(H114,[1]对照表!$K$27:$K$48,[1]对照表!$L$27:$L$48)),IF(B114="高二",IF($E114="男",LOOKUP(H114,[1]对照表!$J$3:$J$24,[1]对照表!$L$3:$L$24),LOOKUP(H114,[1]对照表!$J$27:$J$48,[1]对照表!$L$27:$L$48)),IF(B114="高一",IF($E114="男",LOOKUP(H114,[1]对照表!$I$3:$I$24,[1]对照表!$L$3:$L$24),LOOKUP(H114,[1]对照表!$I$27:$I$48,[1]对照表!$L$27:$L$48)))))</f>
        <v>80</v>
      </c>
      <c r="J114" s="21">
        <v>228</v>
      </c>
      <c r="K114" s="32">
        <f>IF(B114="高三",IF($E114="男",LOOKUP(J114,[1]对照表!$O$3:$O$24,[1]对照表!$P$3:$P$24),LOOKUP(J114,[1]对照表!$O$27:$O$48,[1]对照表!$P$27:$P$48)),IF(B114="高二",IF($E114="男",LOOKUP(J114,[1]对照表!$N$3:$N$24,[1]对照表!$P$3:$P$24),LOOKUP(J114,[1]对照表!$N$27:$N$48,[1]对照表!$P$27:$P$48)),IF(B114="高一",IF($E114="男",LOOKUP(J114,[1]对照表!$M$3:$M$24,[1]对照表!$P$3:$P$24),LOOKUP(J114,[1]对照表!$M$27:$M$48,[1]对照表!$P$27:$P$48)))))</f>
        <v>76</v>
      </c>
      <c r="L114" s="21">
        <v>12</v>
      </c>
      <c r="M114" s="32">
        <f>IF(B114="高三",IF($E114="男",LOOKUP(L114,[1]对照表!$S$3:$S$24,[1]对照表!$T$3:$T$24),LOOKUP(L114,[1]对照表!$S$27:$S$48,[1]对照表!$T$27:$T$48)),IF(B114="高二",IF($E114="男",LOOKUP(L114,[1]对照表!$R$3:$R$24,[1]对照表!$T$3:$T$24),LOOKUP(L114,[1]对照表!$R$27:$R$48,[1]对照表!$T$27:$T$48)),IF(B114="高一",IF($E114="男",LOOKUP(L114,[1]对照表!$Q$3:$Q$24,[1]对照表!$T$3:$T$24),LOOKUP(L114,[1]对照表!$Q$27:$Q$48,[1]对照表!$T$27:$T$48)))))</f>
        <v>80</v>
      </c>
      <c r="N114" s="33">
        <f>IF(B114="高三",MAX(IF(E114="男",L114-18,L114-55),0),IF(B114="高二",MAX(IF(E114="男",L114-17,L114-54),0),IF(B114="高一",MAX(IF(E114="男",L114-16,L114-53),0))))</f>
        <v>0</v>
      </c>
      <c r="O114" s="23">
        <f>IF(E114="男",LOOKUP($N114,[1]对照表!$Z$3:$Z$13,[1]对照表!$AA$3:$AA$13),LOOKUP($N114,[1]对照表!$Z$15:$Z$25,[1]对照表!$AA$15:$AA$25))</f>
        <v>0</v>
      </c>
      <c r="P114" s="24">
        <f>M114+O114</f>
        <v>80</v>
      </c>
      <c r="Q114" s="25">
        <v>4.08</v>
      </c>
      <c r="R114" s="32">
        <f>IF(B114="高三",IF($E114="男",LOOKUP(Q114,[1]对照表!$W$3:$W$24,[1]对照表!$X$3:$X$24),LOOKUP(Q114,[1]对照表!$W$27:$W$48,[1]对照表!$X$27:$X$48)),IF(B114="高二",IF($E114="男",LOOKUP(Q114,[1]对照表!$V$3:$V$24,[1]对照表!$X$3:$X$24),LOOKUP(Q114,[1]对照表!$V$27:$V$48,[1]对照表!$X$27:$X$48)),IF(B114="高一",IF($E114="男",LOOKUP(Q114,[1]对照表!$U$3:$U$24,[1]对照表!$X$3:$X$24),LOOKUP(Q114,[1]对照表!$U$27:$U$48,[1]对照表!$X$27:$X$48)))))</f>
        <v>74</v>
      </c>
      <c r="S114" s="33">
        <f>ROUND(IF(IF($B114="高三",MIN(IF($E114="男",$Q114-3.2,$Q114-3.2),0),IF($B114="高二",MIN(IF($E114="男",$Q114-3.25,$Q114-3.22),0),IF($B114="高一",MIN(IF($E114="男",$Q114-3.3,$Q114-3.24),0))))&lt;-0.6,IF($B114="高三",MIN(IF($E114="男",$Q114-3.2,$Q114-3.2),0),IF($B114="高二",MIN(IF($E114="男",$Q114-3.25,$Q114-3.22),0),IF($B114="高一",MIN(IF($E114="男",$Q114-3.3,$Q114-3.24),0))))+0.4,IF($B114="高三",MIN(IF($E114="男",$Q114-3.2,$Q114-3.2),0),IF($B114="高二",MIN(IF($E114="男",$Q114-3.25,$Q114-3.22),0),IF($B114="高一",MIN(IF($E114="男",$Q114-3.3,$Q114-3.24),0))))),2)</f>
        <v>0</v>
      </c>
      <c r="T114" s="23">
        <f>IF(E114="男",LOOKUP($S114,[1]对照表!$AB$3:$AB$13,[1]对照表!$AC$3:$AC$13),LOOKUP($S114,[1]对照表!$AB$15:$AB$25,[1]对照表!$AC$15:$AC$25))</f>
        <v>0</v>
      </c>
      <c r="U114" s="26">
        <f>R114+T114</f>
        <v>74</v>
      </c>
      <c r="V114" s="26">
        <f>SUM(I114,K114,M114)/3*0.3+SUM(G114,R114)/2*0.4</f>
        <v>58.400000000000006</v>
      </c>
      <c r="W114" s="27">
        <f>O114+T114</f>
        <v>0</v>
      </c>
      <c r="X114" s="28">
        <f>V114/0.7+W114</f>
        <v>83.428571428571445</v>
      </c>
      <c r="Y114" s="28">
        <v>83.428571428571445</v>
      </c>
      <c r="Z114" s="21"/>
    </row>
    <row r="115" spans="1:26" x14ac:dyDescent="0.25">
      <c r="A115" s="16">
        <v>4</v>
      </c>
      <c r="B115" s="17" t="s">
        <v>21</v>
      </c>
      <c r="C115" s="16">
        <v>103</v>
      </c>
      <c r="D115" s="18" t="s">
        <v>318</v>
      </c>
      <c r="E115" s="16" t="s">
        <v>23</v>
      </c>
      <c r="F115" s="19">
        <v>7</v>
      </c>
      <c r="G115" s="32">
        <f>IF(B115="高三",IF($E115="男",LOOKUP(F115,[1]对照表!$G$3:$G$24,[1]对照表!$H$3:$H$24),LOOKUP(F115,[1]对照表!$G$27:$G$48,[1]对照表!$H$27:$H$48)),IF(B115="高二",IF($E115="男",LOOKUP(F115,[1]对照表!$F$3:$F$24,[1]对照表!$H$3:$H$24),LOOKUP(F115,[1]对照表!$F$27:$F$48,[1]对照表!$H$27:$H$48)),IF(B115="高一",IF($E115="男",LOOKUP(F115,[1]对照表!$E$3:$E$24,[1]对照表!$H$3:$H$24),LOOKUP(F115,[1]对照表!$E$27:$E$48,[1]对照表!$H$27:$H$48)))))</f>
        <v>100</v>
      </c>
      <c r="H115" s="21">
        <v>11.2</v>
      </c>
      <c r="I115" s="32">
        <f>IF(B115="高三",IF($E115="男",LOOKUP(H115,[1]对照表!$K$3:$K$24,[1]对照表!$L$3:$L$24),LOOKUP(H115,[1]对照表!$K$27:$K$48,[1]对照表!$L$27:$L$48)),IF(B115="高二",IF($E115="男",LOOKUP(H115,[1]对照表!$J$3:$J$24,[1]对照表!$L$3:$L$24),LOOKUP(H115,[1]对照表!$J$27:$J$48,[1]对照表!$L$27:$L$48)),IF(B115="高一",IF($E115="男",LOOKUP(H115,[1]对照表!$I$3:$I$24,[1]对照表!$L$3:$L$24),LOOKUP(H115,[1]对照表!$I$27:$I$48,[1]对照表!$L$27:$L$48)))))</f>
        <v>74</v>
      </c>
      <c r="J115" s="21">
        <v>238</v>
      </c>
      <c r="K115" s="32">
        <f>IF(B115="高三",IF($E115="男",LOOKUP(J115,[1]对照表!$O$3:$O$24,[1]对照表!$P$3:$P$24),LOOKUP(J115,[1]对照表!$O$27:$O$48,[1]对照表!$P$27:$P$48)),IF(B115="高二",IF($E115="男",LOOKUP(J115,[1]对照表!$N$3:$N$24,[1]对照表!$P$3:$P$24),LOOKUP(J115,[1]对照表!$N$27:$N$48,[1]对照表!$P$27:$P$48)),IF(B115="高一",IF($E115="男",LOOKUP(J115,[1]对照表!$M$3:$M$24,[1]对照表!$P$3:$P$24),LOOKUP(J115,[1]对照表!$M$27:$M$48,[1]对照表!$P$27:$P$48)))))</f>
        <v>80</v>
      </c>
      <c r="L115" s="21">
        <v>9</v>
      </c>
      <c r="M115" s="32">
        <f>IF(B115="高三",IF($E115="男",LOOKUP(L115,[1]对照表!$S$3:$S$24,[1]对照表!$T$3:$T$24),LOOKUP(L115,[1]对照表!$S$27:$S$48,[1]对照表!$T$27:$T$48)),IF(B115="高二",IF($E115="男",LOOKUP(L115,[1]对照表!$R$3:$R$24,[1]对照表!$T$3:$T$24),LOOKUP(L115,[1]对照表!$R$27:$R$48,[1]对照表!$T$27:$T$48)),IF(B115="高一",IF($E115="男",LOOKUP(L115,[1]对照表!$Q$3:$Q$24,[1]对照表!$T$3:$T$24),LOOKUP(L115,[1]对照表!$Q$27:$Q$48,[1]对照表!$T$27:$T$48)))))</f>
        <v>68</v>
      </c>
      <c r="N115" s="33">
        <f>IF(B115="高三",MAX(IF(E115="男",L115-18,L115-55),0),IF(B115="高二",MAX(IF(E115="男",L115-17,L115-54),0),IF(B115="高一",MAX(IF(E115="男",L115-16,L115-53),0))))</f>
        <v>0</v>
      </c>
      <c r="O115" s="23">
        <f>IF(E115="男",LOOKUP($N115,[1]对照表!$Z$3:$Z$13,[1]对照表!$AA$3:$AA$13),LOOKUP($N115,[1]对照表!$Z$15:$Z$25,[1]对照表!$AA$15:$AA$25))</f>
        <v>0</v>
      </c>
      <c r="P115" s="24">
        <f>M115+O115</f>
        <v>68</v>
      </c>
      <c r="Q115" s="25">
        <v>3.55</v>
      </c>
      <c r="R115" s="32">
        <f>IF(B115="高三",IF($E115="男",LOOKUP(Q115,[1]对照表!$W$3:$W$24,[1]对照表!$X$3:$X$24),LOOKUP(Q115,[1]对照表!$W$27:$W$48,[1]对照表!$X$27:$X$48)),IF(B115="高二",IF($E115="男",LOOKUP(Q115,[1]对照表!$V$3:$V$24,[1]对照表!$X$3:$X$24),LOOKUP(Q115,[1]对照表!$V$27:$V$48,[1]对照表!$X$27:$X$48)),IF(B115="高一",IF($E115="男",LOOKUP(Q115,[1]对照表!$U$3:$U$24,[1]对照表!$X$3:$X$24),LOOKUP(Q115,[1]对照表!$U$27:$U$48,[1]对照表!$X$27:$X$48)))))</f>
        <v>80</v>
      </c>
      <c r="S115" s="33">
        <f>ROUND(IF(IF($B115="高三",MIN(IF($E115="男",$Q115-3.2,$Q115-3.2),0),IF($B115="高二",MIN(IF($E115="男",$Q115-3.25,$Q115-3.22),0),IF($B115="高一",MIN(IF($E115="男",$Q115-3.3,$Q115-3.24),0))))&lt;-0.6,IF($B115="高三",MIN(IF($E115="男",$Q115-3.2,$Q115-3.2),0),IF($B115="高二",MIN(IF($E115="男",$Q115-3.25,$Q115-3.22),0),IF($B115="高一",MIN(IF($E115="男",$Q115-3.3,$Q115-3.24),0))))+0.4,IF($B115="高三",MIN(IF($E115="男",$Q115-3.2,$Q115-3.2),0),IF($B115="高二",MIN(IF($E115="男",$Q115-3.25,$Q115-3.22),0),IF($B115="高一",MIN(IF($E115="男",$Q115-3.3,$Q115-3.24),0))))),2)</f>
        <v>0</v>
      </c>
      <c r="T115" s="23">
        <f>IF(E115="男",LOOKUP($S115,[1]对照表!$AB$3:$AB$13,[1]对照表!$AC$3:$AC$13),LOOKUP($S115,[1]对照表!$AB$15:$AB$25,[1]对照表!$AC$15:$AC$25))</f>
        <v>0</v>
      </c>
      <c r="U115" s="26">
        <f>R115+T115</f>
        <v>80</v>
      </c>
      <c r="V115" s="26">
        <f>SUM(I115,K115,M115)/3*0.3+SUM(G115,R115)/2*0.4</f>
        <v>58.2</v>
      </c>
      <c r="W115" s="27">
        <f>O115+T115</f>
        <v>0</v>
      </c>
      <c r="X115" s="28">
        <f>V115/0.7+W115</f>
        <v>83.142857142857153</v>
      </c>
      <c r="Y115" s="28">
        <v>83.142857142857153</v>
      </c>
      <c r="Z115" s="21"/>
    </row>
    <row r="116" spans="1:26" x14ac:dyDescent="0.25">
      <c r="A116" s="16">
        <v>18</v>
      </c>
      <c r="B116" s="17" t="s">
        <v>21</v>
      </c>
      <c r="C116" s="16">
        <v>103</v>
      </c>
      <c r="D116" s="18" t="s">
        <v>323</v>
      </c>
      <c r="E116" s="17" t="s">
        <v>23</v>
      </c>
      <c r="F116" s="19">
        <v>7.1</v>
      </c>
      <c r="G116" s="32">
        <f>IF(B116="高三",IF($E116="男",LOOKUP(F116,[1]对照表!$G$3:$G$24,[1]对照表!$H$3:$H$24),LOOKUP(F116,[1]对照表!$G$27:$G$48,[1]对照表!$H$27:$H$48)),IF(B116="高二",IF($E116="男",LOOKUP(F116,[1]对照表!$F$3:$F$24,[1]对照表!$H$3:$H$24),LOOKUP(F116,[1]对照表!$F$27:$F$48,[1]对照表!$H$27:$H$48)),IF(B116="高一",IF($E116="男",LOOKUP(F116,[1]对照表!$E$3:$E$24,[1]对照表!$H$3:$H$24),LOOKUP(F116,[1]对照表!$E$27:$E$48,[1]对照表!$H$27:$H$48)))))</f>
        <v>100</v>
      </c>
      <c r="H116" s="21">
        <v>7.5</v>
      </c>
      <c r="I116" s="32">
        <f>IF(B116="高三",IF($E116="男",LOOKUP(H116,[1]对照表!$K$3:$K$24,[1]对照表!$L$3:$L$24),LOOKUP(H116,[1]对照表!$K$27:$K$48,[1]对照表!$L$27:$L$48)),IF(B116="高二",IF($E116="男",LOOKUP(H116,[1]对照表!$J$3:$J$24,[1]对照表!$L$3:$L$24),LOOKUP(H116,[1]对照表!$J$27:$J$48,[1]对照表!$L$27:$L$48)),IF(B116="高一",IF($E116="男",LOOKUP(H116,[1]对照表!$I$3:$I$24,[1]对照表!$L$3:$L$24),LOOKUP(H116,[1]对照表!$I$27:$I$48,[1]对照表!$L$27:$L$48)))))</f>
        <v>68</v>
      </c>
      <c r="J116" s="21">
        <v>230</v>
      </c>
      <c r="K116" s="32">
        <f>IF(B116="高三",IF($E116="男",LOOKUP(J116,[1]对照表!$O$3:$O$24,[1]对照表!$P$3:$P$24),LOOKUP(J116,[1]对照表!$O$27:$O$48,[1]对照表!$P$27:$P$48)),IF(B116="高二",IF($E116="男",LOOKUP(J116,[1]对照表!$N$3:$N$24,[1]对照表!$P$3:$P$24),LOOKUP(J116,[1]对照表!$N$27:$N$48,[1]对照表!$P$27:$P$48)),IF(B116="高一",IF($E116="男",LOOKUP(J116,[1]对照表!$M$3:$M$24,[1]对照表!$P$3:$P$24),LOOKUP(J116,[1]对照表!$M$27:$M$48,[1]对照表!$P$27:$P$48)))))</f>
        <v>76</v>
      </c>
      <c r="L116" s="21">
        <v>11</v>
      </c>
      <c r="M116" s="32">
        <f>IF(B116="高三",IF($E116="男",LOOKUP(L116,[1]对照表!$S$3:$S$24,[1]对照表!$T$3:$T$24),LOOKUP(L116,[1]对照表!$S$27:$S$48,[1]对照表!$T$27:$T$48)),IF(B116="高二",IF($E116="男",LOOKUP(L116,[1]对照表!$R$3:$R$24,[1]对照表!$T$3:$T$24),LOOKUP(L116,[1]对照表!$R$27:$R$48,[1]对照表!$T$27:$T$48)),IF(B116="高一",IF($E116="男",LOOKUP(L116,[1]对照表!$Q$3:$Q$24,[1]对照表!$T$3:$T$24),LOOKUP(L116,[1]对照表!$Q$27:$Q$48,[1]对照表!$T$27:$T$48)))))</f>
        <v>76</v>
      </c>
      <c r="N116" s="33">
        <f>IF(B116="高三",MAX(IF(E116="男",L116-18,L116-55),0),IF(B116="高二",MAX(IF(E116="男",L116-17,L116-54),0),IF(B116="高一",MAX(IF(E116="男",L116-16,L116-53),0))))</f>
        <v>0</v>
      </c>
      <c r="O116" s="23">
        <f>IF(E116="男",LOOKUP($N116,[1]对照表!$Z$3:$Z$13,[1]对照表!$AA$3:$AA$13),LOOKUP($N116,[1]对照表!$Z$15:$Z$25,[1]对照表!$AA$15:$AA$25))</f>
        <v>0</v>
      </c>
      <c r="P116" s="24">
        <f>M116+O116</f>
        <v>76</v>
      </c>
      <c r="Q116" s="25">
        <v>3.56</v>
      </c>
      <c r="R116" s="32">
        <f>IF(B116="高三",IF($E116="男",LOOKUP(Q116,[1]对照表!$W$3:$W$24,[1]对照表!$X$3:$X$24),LOOKUP(Q116,[1]对照表!$W$27:$W$48,[1]对照表!$X$27:$X$48)),IF(B116="高二",IF($E116="男",LOOKUP(Q116,[1]对照表!$V$3:$V$24,[1]对照表!$X$3:$X$24),LOOKUP(Q116,[1]对照表!$V$27:$V$48,[1]对照表!$X$27:$X$48)),IF(B116="高一",IF($E116="男",LOOKUP(Q116,[1]对照表!$U$3:$U$24,[1]对照表!$X$3:$X$24),LOOKUP(Q116,[1]对照表!$U$27:$U$48,[1]对照表!$X$27:$X$48)))))</f>
        <v>78</v>
      </c>
      <c r="S116" s="33">
        <f>ROUND(IF(IF($B116="高三",MIN(IF($E116="男",$Q116-3.2,$Q116-3.2),0),IF($B116="高二",MIN(IF($E116="男",$Q116-3.25,$Q116-3.22),0),IF($B116="高一",MIN(IF($E116="男",$Q116-3.3,$Q116-3.24),0))))&lt;-0.6,IF($B116="高三",MIN(IF($E116="男",$Q116-3.2,$Q116-3.2),0),IF($B116="高二",MIN(IF($E116="男",$Q116-3.25,$Q116-3.22),0),IF($B116="高一",MIN(IF($E116="男",$Q116-3.3,$Q116-3.24),0))))+0.4,IF($B116="高三",MIN(IF($E116="男",$Q116-3.2,$Q116-3.2),0),IF($B116="高二",MIN(IF($E116="男",$Q116-3.25,$Q116-3.22),0),IF($B116="高一",MIN(IF($E116="男",$Q116-3.3,$Q116-3.24),0))))),2)</f>
        <v>0</v>
      </c>
      <c r="T116" s="23">
        <f>IF(E116="男",LOOKUP($S116,[1]对照表!$AB$3:$AB$13,[1]对照表!$AC$3:$AC$13),LOOKUP($S116,[1]对照表!$AB$15:$AB$25,[1]对照表!$AC$15:$AC$25))</f>
        <v>0</v>
      </c>
      <c r="U116" s="26">
        <f>R116+T116</f>
        <v>78</v>
      </c>
      <c r="V116" s="26">
        <f>SUM(I116,K116,M116)/3*0.3+SUM(G116,R116)/2*0.4</f>
        <v>57.599999999999994</v>
      </c>
      <c r="W116" s="27">
        <f>O116+T116</f>
        <v>0</v>
      </c>
      <c r="X116" s="28">
        <f>V116/0.7+W116</f>
        <v>82.285714285714278</v>
      </c>
      <c r="Y116" s="28">
        <v>82.285714285714278</v>
      </c>
      <c r="Z116" s="21"/>
    </row>
    <row r="117" spans="1:26" x14ac:dyDescent="0.25">
      <c r="A117" s="16">
        <v>35</v>
      </c>
      <c r="B117" s="17" t="s">
        <v>21</v>
      </c>
      <c r="C117" s="16">
        <v>103</v>
      </c>
      <c r="D117" s="18" t="s">
        <v>330</v>
      </c>
      <c r="E117" s="17" t="s">
        <v>23</v>
      </c>
      <c r="F117" s="19">
        <v>7.2</v>
      </c>
      <c r="G117" s="32">
        <f>IF(B117="高三",IF($E117="男",LOOKUP(F117,[1]对照表!$G$3:$G$24,[1]对照表!$H$3:$H$24),LOOKUP(F117,[1]对照表!$G$27:$G$48,[1]对照表!$H$27:$H$48)),IF(B117="高二",IF($E117="男",LOOKUP(F117,[1]对照表!$F$3:$F$24,[1]对照表!$H$3:$H$24),LOOKUP(F117,[1]对照表!$F$27:$F$48,[1]对照表!$H$27:$H$48)),IF(B117="高一",IF($E117="男",LOOKUP(F117,[1]对照表!$E$3:$E$24,[1]对照表!$H$3:$H$24),LOOKUP(F117,[1]对照表!$E$27:$E$48,[1]对照表!$H$27:$H$48)))))</f>
        <v>95</v>
      </c>
      <c r="H117" s="21">
        <v>10.3</v>
      </c>
      <c r="I117" s="32">
        <f>IF(B117="高三",IF($E117="男",LOOKUP(H117,[1]对照表!$K$3:$K$24,[1]对照表!$L$3:$L$24),LOOKUP(H117,[1]对照表!$K$27:$K$48,[1]对照表!$L$27:$L$48)),IF(B117="高二",IF($E117="男",LOOKUP(H117,[1]对照表!$J$3:$J$24,[1]对照表!$L$3:$L$24),LOOKUP(H117,[1]对照表!$J$27:$J$48,[1]对照表!$L$27:$L$48)),IF(B117="高一",IF($E117="男",LOOKUP(H117,[1]对照表!$I$3:$I$24,[1]对照表!$L$3:$L$24),LOOKUP(H117,[1]对照表!$I$27:$I$48,[1]对照表!$L$27:$L$48)))))</f>
        <v>72</v>
      </c>
      <c r="J117" s="21">
        <v>212</v>
      </c>
      <c r="K117" s="32">
        <f>IF(B117="高三",IF($E117="男",LOOKUP(J117,[1]对照表!$O$3:$O$24,[1]对照表!$P$3:$P$24),LOOKUP(J117,[1]对照表!$O$27:$O$48,[1]对照表!$P$27:$P$48)),IF(B117="高二",IF($E117="男",LOOKUP(J117,[1]对照表!$N$3:$N$24,[1]对照表!$P$3:$P$24),LOOKUP(J117,[1]对照表!$N$27:$N$48,[1]对照表!$P$27:$P$48)),IF(B117="高一",IF($E117="男",LOOKUP(J117,[1]对照表!$M$3:$M$24,[1]对照表!$P$3:$P$24),LOOKUP(J117,[1]对照表!$M$27:$M$48,[1]对照表!$P$27:$P$48)))))</f>
        <v>68</v>
      </c>
      <c r="L117" s="21">
        <v>13</v>
      </c>
      <c r="M117" s="32">
        <f>IF(B117="高三",IF($E117="男",LOOKUP(L117,[1]对照表!$S$3:$S$24,[1]对照表!$T$3:$T$24),LOOKUP(L117,[1]对照表!$S$27:$S$48,[1]对照表!$T$27:$T$48)),IF(B117="高二",IF($E117="男",LOOKUP(L117,[1]对照表!$R$3:$R$24,[1]对照表!$T$3:$T$24),LOOKUP(L117,[1]对照表!$R$27:$R$48,[1]对照表!$T$27:$T$48)),IF(B117="高一",IF($E117="男",LOOKUP(L117,[1]对照表!$Q$3:$Q$24,[1]对照表!$T$3:$T$24),LOOKUP(L117,[1]对照表!$Q$27:$Q$48,[1]对照表!$T$27:$T$48)))))</f>
        <v>85</v>
      </c>
      <c r="N117" s="33">
        <f>IF(B117="高三",MAX(IF(E117="男",L117-18,L117-55),0),IF(B117="高二",MAX(IF(E117="男",L117-17,L117-54),0),IF(B117="高一",MAX(IF(E117="男",L117-16,L117-53),0))))</f>
        <v>0</v>
      </c>
      <c r="O117" s="23">
        <f>IF(E117="男",LOOKUP($N117,[1]对照表!$Z$3:$Z$13,[1]对照表!$AA$3:$AA$13),LOOKUP($N117,[1]对照表!$Z$15:$Z$25,[1]对照表!$AA$15:$AA$25))</f>
        <v>0</v>
      </c>
      <c r="P117" s="24">
        <f>M117+O117</f>
        <v>85</v>
      </c>
      <c r="Q117" s="25">
        <v>4</v>
      </c>
      <c r="R117" s="32">
        <f>IF(B117="高三",IF($E117="男",LOOKUP(Q117,[1]对照表!$W$3:$W$24,[1]对照表!$X$3:$X$24),LOOKUP(Q117,[1]对照表!$W$27:$W$48,[1]对照表!$X$27:$X$48)),IF(B117="高二",IF($E117="男",LOOKUP(Q117,[1]对照表!$V$3:$V$24,[1]对照表!$X$3:$X$24),LOOKUP(Q117,[1]对照表!$V$27:$V$48,[1]对照表!$X$27:$X$48)),IF(B117="高一",IF($E117="男",LOOKUP(Q117,[1]对照表!$U$3:$U$24,[1]对照表!$X$3:$X$24),LOOKUP(Q117,[1]对照表!$U$27:$U$48,[1]对照表!$X$27:$X$48)))))</f>
        <v>78</v>
      </c>
      <c r="S117" s="33">
        <f>ROUND(IF(IF($B117="高三",MIN(IF($E117="男",$Q117-3.2,$Q117-3.2),0),IF($B117="高二",MIN(IF($E117="男",$Q117-3.25,$Q117-3.22),0),IF($B117="高一",MIN(IF($E117="男",$Q117-3.3,$Q117-3.24),0))))&lt;-0.6,IF($B117="高三",MIN(IF($E117="男",$Q117-3.2,$Q117-3.2),0),IF($B117="高二",MIN(IF($E117="男",$Q117-3.25,$Q117-3.22),0),IF($B117="高一",MIN(IF($E117="男",$Q117-3.3,$Q117-3.24),0))))+0.4,IF($B117="高三",MIN(IF($E117="男",$Q117-3.2,$Q117-3.2),0),IF($B117="高二",MIN(IF($E117="男",$Q117-3.25,$Q117-3.22),0),IF($B117="高一",MIN(IF($E117="男",$Q117-3.3,$Q117-3.24),0))))),2)</f>
        <v>0</v>
      </c>
      <c r="T117" s="23">
        <f>IF(E117="男",LOOKUP($S117,[1]对照表!$AB$3:$AB$13,[1]对照表!$AC$3:$AC$13),LOOKUP($S117,[1]对照表!$AB$15:$AB$25,[1]对照表!$AC$15:$AC$25))</f>
        <v>0</v>
      </c>
      <c r="U117" s="26">
        <f>R117+T117</f>
        <v>78</v>
      </c>
      <c r="V117" s="26">
        <f>SUM(I117,K117,M117)/3*0.3+SUM(G117,R117)/2*0.4</f>
        <v>57.1</v>
      </c>
      <c r="W117" s="27">
        <f>O117+T117</f>
        <v>0</v>
      </c>
      <c r="X117" s="28">
        <f>V117/0.7+W117</f>
        <v>81.571428571428584</v>
      </c>
      <c r="Y117" s="28">
        <v>81.571428571428584</v>
      </c>
      <c r="Z117" s="21"/>
    </row>
    <row r="118" spans="1:26" x14ac:dyDescent="0.25">
      <c r="A118" s="16">
        <v>32</v>
      </c>
      <c r="B118" s="17" t="s">
        <v>21</v>
      </c>
      <c r="C118" s="16">
        <v>103</v>
      </c>
      <c r="D118" s="18" t="s">
        <v>333</v>
      </c>
      <c r="E118" s="17" t="s">
        <v>23</v>
      </c>
      <c r="F118" s="19">
        <v>6.6</v>
      </c>
      <c r="G118" s="32">
        <f>IF(B118="高三",IF($E118="男",LOOKUP(F118,[1]对照表!$G$3:$G$24,[1]对照表!$H$3:$H$24),LOOKUP(F118,[1]对照表!$G$27:$G$48,[1]对照表!$H$27:$H$48)),IF(B118="高二",IF($E118="男",LOOKUP(F118,[1]对照表!$F$3:$F$24,[1]对照表!$H$3:$H$24),LOOKUP(F118,[1]对照表!$F$27:$F$48,[1]对照表!$H$27:$H$48)),IF(B118="高一",IF($E118="男",LOOKUP(F118,[1]对照表!$E$3:$E$24,[1]对照表!$H$3:$H$24),LOOKUP(F118,[1]对照表!$E$27:$E$48,[1]对照表!$H$27:$H$48)))))</f>
        <v>100</v>
      </c>
      <c r="H118" s="21">
        <v>-5.5</v>
      </c>
      <c r="I118" s="32">
        <f>IF(B118="高三",IF($E118="男",LOOKUP(H118,[1]对照表!$K$3:$K$24,[1]对照表!$L$3:$L$24),LOOKUP(H118,[1]对照表!$K$27:$K$48,[1]对照表!$L$27:$L$48)),IF(B118="高二",IF($E118="男",LOOKUP(H118,[1]对照表!$J$3:$J$24,[1]对照表!$L$3:$L$24),LOOKUP(H118,[1]对照表!$J$27:$J$48,[1]对照表!$L$27:$L$48)),IF(B118="高一",IF($E118="男",LOOKUP(H118,[1]对照表!$I$3:$I$24,[1]对照表!$L$3:$L$24),LOOKUP(H118,[1]对照表!$I$27:$I$48,[1]对照表!$L$27:$L$48)))))</f>
        <v>0</v>
      </c>
      <c r="J118" s="21">
        <v>253</v>
      </c>
      <c r="K118" s="32">
        <f>IF(B118="高三",IF($E118="男",LOOKUP(J118,[1]对照表!$O$3:$O$24,[1]对照表!$P$3:$P$24),LOOKUP(J118,[1]对照表!$O$27:$O$48,[1]对照表!$P$27:$P$48)),IF(B118="高二",IF($E118="男",LOOKUP(J118,[1]对照表!$N$3:$N$24,[1]对照表!$P$3:$P$24),LOOKUP(J118,[1]对照表!$N$27:$N$48,[1]对照表!$P$27:$P$48)),IF(B118="高一",IF($E118="男",LOOKUP(J118,[1]对照表!$M$3:$M$24,[1]对照表!$P$3:$P$24),LOOKUP(J118,[1]对照表!$M$27:$M$48,[1]对照表!$P$27:$P$48)))))</f>
        <v>90</v>
      </c>
      <c r="L118" s="21">
        <v>16</v>
      </c>
      <c r="M118" s="32">
        <f>IF(B118="高三",IF($E118="男",LOOKUP(L118,[1]对照表!$S$3:$S$24,[1]对照表!$T$3:$T$24),LOOKUP(L118,[1]对照表!$S$27:$S$48,[1]对照表!$T$27:$T$48)),IF(B118="高二",IF($E118="男",LOOKUP(L118,[1]对照表!$R$3:$R$24,[1]对照表!$T$3:$T$24),LOOKUP(L118,[1]对照表!$R$27:$R$48,[1]对照表!$T$27:$T$48)),IF(B118="高一",IF($E118="男",LOOKUP(L118,[1]对照表!$Q$3:$Q$24,[1]对照表!$T$3:$T$24),LOOKUP(L118,[1]对照表!$Q$27:$Q$48,[1]对照表!$T$27:$T$48)))))</f>
        <v>100</v>
      </c>
      <c r="N118" s="33">
        <f>IF(B118="高三",MAX(IF(E118="男",L118-18,L118-55),0),IF(B118="高二",MAX(IF(E118="男",L118-17,L118-54),0),IF(B118="高一",MAX(IF(E118="男",L118-16,L118-53),0))))</f>
        <v>0</v>
      </c>
      <c r="O118" s="23">
        <f>IF(E118="男",LOOKUP($N118,[1]对照表!$Z$3:$Z$13,[1]对照表!$AA$3:$AA$13),LOOKUP($N118,[1]对照表!$Z$15:$Z$25,[1]对照表!$AA$15:$AA$25))</f>
        <v>0</v>
      </c>
      <c r="P118" s="24">
        <f>M118+O118</f>
        <v>100</v>
      </c>
      <c r="Q118" s="25">
        <v>3.38</v>
      </c>
      <c r="R118" s="32">
        <f>IF(B118="高三",IF($E118="男",LOOKUP(Q118,[1]对照表!$W$3:$W$24,[1]对照表!$X$3:$X$24),LOOKUP(Q118,[1]对照表!$W$27:$W$48,[1]对照表!$X$27:$X$48)),IF(B118="高二",IF($E118="男",LOOKUP(Q118,[1]对照表!$V$3:$V$24,[1]对照表!$X$3:$X$24),LOOKUP(Q118,[1]对照表!$V$27:$V$48,[1]对照表!$X$27:$X$48)),IF(B118="高一",IF($E118="男",LOOKUP(Q118,[1]对照表!$U$3:$U$24,[1]对照表!$X$3:$X$24),LOOKUP(Q118,[1]对照表!$U$27:$U$48,[1]对照表!$X$27:$X$48)))))</f>
        <v>90</v>
      </c>
      <c r="S118" s="33">
        <f>ROUND(IF(IF($B118="高三",MIN(IF($E118="男",$Q118-3.2,$Q118-3.2),0),IF($B118="高二",MIN(IF($E118="男",$Q118-3.25,$Q118-3.22),0),IF($B118="高一",MIN(IF($E118="男",$Q118-3.3,$Q118-3.24),0))))&lt;-0.6,IF($B118="高三",MIN(IF($E118="男",$Q118-3.2,$Q118-3.2),0),IF($B118="高二",MIN(IF($E118="男",$Q118-3.25,$Q118-3.22),0),IF($B118="高一",MIN(IF($E118="男",$Q118-3.3,$Q118-3.24),0))))+0.4,IF($B118="高三",MIN(IF($E118="男",$Q118-3.2,$Q118-3.2),0),IF($B118="高二",MIN(IF($E118="男",$Q118-3.25,$Q118-3.22),0),IF($B118="高一",MIN(IF($E118="男",$Q118-3.3,$Q118-3.24),0))))),2)</f>
        <v>0</v>
      </c>
      <c r="T118" s="23">
        <f>IF(E118="男",LOOKUP($S118,[1]对照表!$AB$3:$AB$13,[1]对照表!$AC$3:$AC$13),LOOKUP($S118,[1]对照表!$AB$15:$AB$25,[1]对照表!$AC$15:$AC$25))</f>
        <v>0</v>
      </c>
      <c r="U118" s="26">
        <f>R118+T118</f>
        <v>90</v>
      </c>
      <c r="V118" s="26">
        <f>SUM(I118,K118,M118)/3*0.3+SUM(G118,R118)/2*0.4</f>
        <v>57</v>
      </c>
      <c r="W118" s="27">
        <f>O118+T118</f>
        <v>0</v>
      </c>
      <c r="X118" s="28">
        <f>V118/0.7+W118</f>
        <v>81.428571428571431</v>
      </c>
      <c r="Y118" s="28">
        <v>81.428571428571431</v>
      </c>
      <c r="Z118" s="21"/>
    </row>
    <row r="119" spans="1:26" x14ac:dyDescent="0.25">
      <c r="A119" s="16">
        <v>19</v>
      </c>
      <c r="B119" s="17" t="s">
        <v>21</v>
      </c>
      <c r="C119" s="16">
        <v>103</v>
      </c>
      <c r="D119" s="18" t="s">
        <v>389</v>
      </c>
      <c r="E119" s="17" t="s">
        <v>23</v>
      </c>
      <c r="F119" s="19">
        <v>7.4</v>
      </c>
      <c r="G119" s="32">
        <f>IF(B119="高三",IF($E119="男",LOOKUP(F119,[1]对照表!$G$3:$G$24,[1]对照表!$H$3:$H$24),LOOKUP(F119,[1]对照表!$G$27:$G$48,[1]对照表!$H$27:$H$48)),IF(B119="高二",IF($E119="男",LOOKUP(F119,[1]对照表!$F$3:$F$24,[1]对照表!$H$3:$H$24),LOOKUP(F119,[1]对照表!$F$27:$F$48,[1]对照表!$H$27:$H$48)),IF(B119="高一",IF($E119="男",LOOKUP(F119,[1]对照表!$E$3:$E$24,[1]对照表!$H$3:$H$24),LOOKUP(F119,[1]对照表!$E$27:$E$48,[1]对照表!$H$27:$H$48)))))</f>
        <v>85</v>
      </c>
      <c r="H119" s="21">
        <v>6</v>
      </c>
      <c r="I119" s="32">
        <f>IF(B119="高三",IF($E119="男",LOOKUP(H119,[1]对照表!$K$3:$K$24,[1]对照表!$L$3:$L$24),LOOKUP(H119,[1]对照表!$K$27:$K$48,[1]对照表!$L$27:$L$48)),IF(B119="高二",IF($E119="男",LOOKUP(H119,[1]对照表!$J$3:$J$24,[1]对照表!$L$3:$L$24),LOOKUP(H119,[1]对照表!$J$27:$J$48,[1]对照表!$L$27:$L$48)),IF(B119="高一",IF($E119="男",LOOKUP(H119,[1]对照表!$I$3:$I$24,[1]对照表!$L$3:$L$24),LOOKUP(H119,[1]对照表!$I$27:$I$48,[1]对照表!$L$27:$L$48)))))</f>
        <v>66</v>
      </c>
      <c r="J119" s="21">
        <v>227</v>
      </c>
      <c r="K119" s="32">
        <f>IF(B119="高三",IF($E119="男",LOOKUP(J119,[1]对照表!$O$3:$O$24,[1]对照表!$P$3:$P$24),LOOKUP(J119,[1]对照表!$O$27:$O$48,[1]对照表!$P$27:$P$48)),IF(B119="高二",IF($E119="男",LOOKUP(J119,[1]对照表!$N$3:$N$24,[1]对照表!$P$3:$P$24),LOOKUP(J119,[1]对照表!$N$27:$N$48,[1]对照表!$P$27:$P$48)),IF(B119="高一",IF($E119="男",LOOKUP(J119,[1]对照表!$M$3:$M$24,[1]对照表!$P$3:$P$24),LOOKUP(J119,[1]对照表!$M$27:$M$48,[1]对照表!$P$27:$P$48)))))</f>
        <v>76</v>
      </c>
      <c r="L119" s="21">
        <v>10</v>
      </c>
      <c r="M119" s="32">
        <f>IF(B119="高三",IF($E119="男",LOOKUP(L119,[1]对照表!$S$3:$S$24,[1]对照表!$T$3:$T$24),LOOKUP(L119,[1]对照表!$S$27:$S$48,[1]对照表!$T$27:$T$48)),IF(B119="高二",IF($E119="男",LOOKUP(L119,[1]对照表!$R$3:$R$24,[1]对照表!$T$3:$T$24),LOOKUP(L119,[1]对照表!$R$27:$R$48,[1]对照表!$T$27:$T$48)),IF(B119="高一",IF($E119="男",LOOKUP(L119,[1]对照表!$Q$3:$Q$24,[1]对照表!$T$3:$T$24),LOOKUP(L119,[1]对照表!$Q$27:$Q$48,[1]对照表!$T$27:$T$48)))))</f>
        <v>72</v>
      </c>
      <c r="N119" s="33">
        <f>IF(B119="高三",MAX(IF(E119="男",L119-18,L119-55),0),IF(B119="高二",MAX(IF(E119="男",L119-17,L119-54),0),IF(B119="高一",MAX(IF(E119="男",L119-16,L119-53),0))))</f>
        <v>0</v>
      </c>
      <c r="O119" s="23">
        <f>IF(E119="男",LOOKUP($N119,[1]对照表!$Z$3:$Z$13,[1]对照表!$AA$3:$AA$13),LOOKUP($N119,[1]对照表!$Z$15:$Z$25,[1]对照表!$AA$15:$AA$25))</f>
        <v>0</v>
      </c>
      <c r="P119" s="24">
        <f>M119+O119</f>
        <v>72</v>
      </c>
      <c r="Q119" s="25">
        <v>3.53</v>
      </c>
      <c r="R119" s="32">
        <f>IF(B119="高三",IF($E119="男",LOOKUP(Q119,[1]对照表!$W$3:$W$24,[1]对照表!$X$3:$X$24),LOOKUP(Q119,[1]对照表!$W$27:$W$48,[1]对照表!$X$27:$X$48)),IF(B119="高二",IF($E119="男",LOOKUP(Q119,[1]对照表!$V$3:$V$24,[1]对照表!$X$3:$X$24),LOOKUP(Q119,[1]对照表!$V$27:$V$48,[1]对照表!$X$27:$X$48)),IF(B119="高一",IF($E119="男",LOOKUP(Q119,[1]对照表!$U$3:$U$24,[1]对照表!$X$3:$X$24),LOOKUP(Q119,[1]对照表!$U$27:$U$48,[1]对照表!$X$27:$X$48)))))</f>
        <v>80</v>
      </c>
      <c r="S119" s="33">
        <f>ROUND(IF(IF($B119="高三",MIN(IF($E119="男",$Q119-3.2,$Q119-3.2),0),IF($B119="高二",MIN(IF($E119="男",$Q119-3.25,$Q119-3.22),0),IF($B119="高一",MIN(IF($E119="男",$Q119-3.3,$Q119-3.24),0))))&lt;-0.6,IF($B119="高三",MIN(IF($E119="男",$Q119-3.2,$Q119-3.2),0),IF($B119="高二",MIN(IF($E119="男",$Q119-3.25,$Q119-3.22),0),IF($B119="高一",MIN(IF($E119="男",$Q119-3.3,$Q119-3.24),0))))+0.4,IF($B119="高三",MIN(IF($E119="男",$Q119-3.2,$Q119-3.2),0),IF($B119="高二",MIN(IF($E119="男",$Q119-3.25,$Q119-3.22),0),IF($B119="高一",MIN(IF($E119="男",$Q119-3.3,$Q119-3.24),0))))),2)</f>
        <v>0</v>
      </c>
      <c r="T119" s="23">
        <f>IF(E119="男",LOOKUP($S119,[1]对照表!$AB$3:$AB$13,[1]对照表!$AC$3:$AC$13),LOOKUP($S119,[1]对照表!$AB$15:$AB$25,[1]对照表!$AC$15:$AC$25))</f>
        <v>0</v>
      </c>
      <c r="U119" s="26">
        <f>R119+T119</f>
        <v>80</v>
      </c>
      <c r="V119" s="26">
        <f>SUM(I119,K119,M119)/3*0.3+SUM(G119,R119)/2*0.4</f>
        <v>54.4</v>
      </c>
      <c r="W119" s="27">
        <f>O119+T119</f>
        <v>0</v>
      </c>
      <c r="X119" s="28">
        <f>V119/0.7+W119</f>
        <v>77.714285714285722</v>
      </c>
      <c r="Y119" s="28">
        <v>77.714285714285722</v>
      </c>
      <c r="Z119" s="21"/>
    </row>
    <row r="120" spans="1:26" x14ac:dyDescent="0.25">
      <c r="A120" s="16">
        <v>30</v>
      </c>
      <c r="B120" s="17" t="s">
        <v>21</v>
      </c>
      <c r="C120" s="16">
        <v>103</v>
      </c>
      <c r="D120" s="18" t="s">
        <v>412</v>
      </c>
      <c r="E120" s="17" t="s">
        <v>23</v>
      </c>
      <c r="F120" s="19">
        <v>7.3</v>
      </c>
      <c r="G120" s="32">
        <f>IF(B120="高三",IF($E120="男",LOOKUP(F120,[1]对照表!$G$3:$G$24,[1]对照表!$H$3:$H$24),LOOKUP(F120,[1]对照表!$G$27:$G$48,[1]对照表!$H$27:$H$48)),IF(B120="高二",IF($E120="男",LOOKUP(F120,[1]对照表!$F$3:$F$24,[1]对照表!$H$3:$H$24),LOOKUP(F120,[1]对照表!$F$27:$F$48,[1]对照表!$H$27:$H$48)),IF(B120="高一",IF($E120="男",LOOKUP(F120,[1]对照表!$E$3:$E$24,[1]对照表!$H$3:$H$24),LOOKUP(F120,[1]对照表!$E$27:$E$48,[1]对照表!$H$27:$H$48)))))</f>
        <v>90</v>
      </c>
      <c r="H120" s="21">
        <v>8</v>
      </c>
      <c r="I120" s="32">
        <f>IF(B120="高三",IF($E120="男",LOOKUP(H120,[1]对照表!$K$3:$K$24,[1]对照表!$L$3:$L$24),LOOKUP(H120,[1]对照表!$K$27:$K$48,[1]对照表!$L$27:$L$48)),IF(B120="高二",IF($E120="男",LOOKUP(H120,[1]对照表!$J$3:$J$24,[1]对照表!$L$3:$L$24),LOOKUP(H120,[1]对照表!$J$27:$J$48,[1]对照表!$L$27:$L$48)),IF(B120="高一",IF($E120="男",LOOKUP(H120,[1]对照表!$I$3:$I$24,[1]对照表!$L$3:$L$24),LOOKUP(H120,[1]对照表!$I$27:$I$48,[1]对照表!$L$27:$L$48)))))</f>
        <v>70</v>
      </c>
      <c r="J120" s="21">
        <v>218</v>
      </c>
      <c r="K120" s="32">
        <f>IF(B120="高三",IF($E120="男",LOOKUP(J120,[1]对照表!$O$3:$O$24,[1]对照表!$P$3:$P$24),LOOKUP(J120,[1]对照表!$O$27:$O$48,[1]对照表!$P$27:$P$48)),IF(B120="高二",IF($E120="男",LOOKUP(J120,[1]对照表!$N$3:$N$24,[1]对照表!$P$3:$P$24),LOOKUP(J120,[1]对照表!$N$27:$N$48,[1]对照表!$P$27:$P$48)),IF(B120="高一",IF($E120="男",LOOKUP(J120,[1]对照表!$M$3:$M$24,[1]对照表!$P$3:$P$24),LOOKUP(J120,[1]对照表!$M$27:$M$48,[1]对照表!$P$27:$P$48)))))</f>
        <v>70</v>
      </c>
      <c r="L120" s="21">
        <v>9</v>
      </c>
      <c r="M120" s="32">
        <f>IF(B120="高三",IF($E120="男",LOOKUP(L120,[1]对照表!$S$3:$S$24,[1]对照表!$T$3:$T$24),LOOKUP(L120,[1]对照表!$S$27:$S$48,[1]对照表!$T$27:$T$48)),IF(B120="高二",IF($E120="男",LOOKUP(L120,[1]对照表!$R$3:$R$24,[1]对照表!$T$3:$T$24),LOOKUP(L120,[1]对照表!$R$27:$R$48,[1]对照表!$T$27:$T$48)),IF(B120="高一",IF($E120="男",LOOKUP(L120,[1]对照表!$Q$3:$Q$24,[1]对照表!$T$3:$T$24),LOOKUP(L120,[1]对照表!$Q$27:$Q$48,[1]对照表!$T$27:$T$48)))))</f>
        <v>68</v>
      </c>
      <c r="N120" s="33">
        <f>IF(B120="高三",MAX(IF(E120="男",L120-18,L120-55),0),IF(B120="高二",MAX(IF(E120="男",L120-17,L120-54),0),IF(B120="高一",MAX(IF(E120="男",L120-16,L120-53),0))))</f>
        <v>0</v>
      </c>
      <c r="O120" s="23">
        <f>IF(E120="男",LOOKUP($N120,[1]对照表!$Z$3:$Z$13,[1]对照表!$AA$3:$AA$13),LOOKUP($N120,[1]对照表!$Z$15:$Z$25,[1]对照表!$AA$15:$AA$25))</f>
        <v>0</v>
      </c>
      <c r="P120" s="24">
        <f>M120+O120</f>
        <v>68</v>
      </c>
      <c r="Q120" s="25">
        <v>4.0199999999999996</v>
      </c>
      <c r="R120" s="32">
        <f>IF(B120="高三",IF($E120="男",LOOKUP(Q120,[1]对照表!$W$3:$W$24,[1]对照表!$X$3:$X$24),LOOKUP(Q120,[1]对照表!$W$27:$W$48,[1]对照表!$X$27:$X$48)),IF(B120="高二",IF($E120="男",LOOKUP(Q120,[1]对照表!$V$3:$V$24,[1]对照表!$X$3:$X$24),LOOKUP(Q120,[1]对照表!$V$27:$V$48,[1]对照表!$X$27:$X$48)),IF(B120="高一",IF($E120="男",LOOKUP(Q120,[1]对照表!$U$3:$U$24,[1]对照表!$X$3:$X$24),LOOKUP(Q120,[1]对照表!$U$27:$U$48,[1]对照表!$X$27:$X$48)))))</f>
        <v>76</v>
      </c>
      <c r="S120" s="33">
        <f>ROUND(IF(IF($B120="高三",MIN(IF($E120="男",$Q120-3.2,$Q120-3.2),0),IF($B120="高二",MIN(IF($E120="男",$Q120-3.25,$Q120-3.22),0),IF($B120="高一",MIN(IF($E120="男",$Q120-3.3,$Q120-3.24),0))))&lt;-0.6,IF($B120="高三",MIN(IF($E120="男",$Q120-3.2,$Q120-3.2),0),IF($B120="高二",MIN(IF($E120="男",$Q120-3.25,$Q120-3.22),0),IF($B120="高一",MIN(IF($E120="男",$Q120-3.3,$Q120-3.24),0))))+0.4,IF($B120="高三",MIN(IF($E120="男",$Q120-3.2,$Q120-3.2),0),IF($B120="高二",MIN(IF($E120="男",$Q120-3.25,$Q120-3.22),0),IF($B120="高一",MIN(IF($E120="男",$Q120-3.3,$Q120-3.24),0))))),2)</f>
        <v>0</v>
      </c>
      <c r="T120" s="23">
        <f>IF(E120="男",LOOKUP($S120,[1]对照表!$AB$3:$AB$13,[1]对照表!$AC$3:$AC$13),LOOKUP($S120,[1]对照表!$AB$15:$AB$25,[1]对照表!$AC$15:$AC$25))</f>
        <v>0</v>
      </c>
      <c r="U120" s="26">
        <f>R120+T120</f>
        <v>76</v>
      </c>
      <c r="V120" s="26">
        <f>SUM(I120,K120,M120)/3*0.3+SUM(G120,R120)/2*0.4</f>
        <v>54</v>
      </c>
      <c r="W120" s="27">
        <f>O120+T120</f>
        <v>0</v>
      </c>
      <c r="X120" s="28">
        <f>V120/0.7+W120</f>
        <v>77.142857142857153</v>
      </c>
      <c r="Y120" s="28">
        <v>77.142857142857153</v>
      </c>
      <c r="Z120" s="21"/>
    </row>
    <row r="121" spans="1:26" x14ac:dyDescent="0.25">
      <c r="A121" s="16">
        <v>13</v>
      </c>
      <c r="B121" s="17" t="s">
        <v>21</v>
      </c>
      <c r="C121" s="16">
        <v>103</v>
      </c>
      <c r="D121" s="18" t="s">
        <v>418</v>
      </c>
      <c r="E121" s="17" t="s">
        <v>23</v>
      </c>
      <c r="F121" s="19">
        <v>7.3</v>
      </c>
      <c r="G121" s="32">
        <f>IF(B121="高三",IF($E121="男",LOOKUP(F121,[1]对照表!$G$3:$G$24,[1]对照表!$H$3:$H$24),LOOKUP(F121,[1]对照表!$G$27:$G$48,[1]对照表!$H$27:$H$48)),IF(B121="高二",IF($E121="男",LOOKUP(F121,[1]对照表!$F$3:$F$24,[1]对照表!$H$3:$H$24),LOOKUP(F121,[1]对照表!$F$27:$F$48,[1]对照表!$H$27:$H$48)),IF(B121="高一",IF($E121="男",LOOKUP(F121,[1]对照表!$E$3:$E$24,[1]对照表!$H$3:$H$24),LOOKUP(F121,[1]对照表!$E$27:$E$48,[1]对照表!$H$27:$H$48)))))</f>
        <v>90</v>
      </c>
      <c r="H121" s="21">
        <v>4</v>
      </c>
      <c r="I121" s="32">
        <f>IF(B121="高三",IF($E121="男",LOOKUP(H121,[1]对照表!$K$3:$K$24,[1]对照表!$L$3:$L$24),LOOKUP(H121,[1]对照表!$K$27:$K$48,[1]对照表!$L$27:$L$48)),IF(B121="高二",IF($E121="男",LOOKUP(H121,[1]对照表!$J$3:$J$24,[1]对照表!$L$3:$L$24),LOOKUP(H121,[1]对照表!$J$27:$J$48,[1]对照表!$L$27:$L$48)),IF(B121="高一",IF($E121="男",LOOKUP(H121,[1]对照表!$I$3:$I$24,[1]对照表!$L$3:$L$24),LOOKUP(H121,[1]对照表!$I$27:$I$48,[1]对照表!$L$27:$L$48)))))</f>
        <v>64</v>
      </c>
      <c r="J121" s="21">
        <v>230</v>
      </c>
      <c r="K121" s="32">
        <f>IF(B121="高三",IF($E121="男",LOOKUP(J121,[1]对照表!$O$3:$O$24,[1]对照表!$P$3:$P$24),LOOKUP(J121,[1]对照表!$O$27:$O$48,[1]对照表!$P$27:$P$48)),IF(B121="高二",IF($E121="男",LOOKUP(J121,[1]对照表!$N$3:$N$24,[1]对照表!$P$3:$P$24),LOOKUP(J121,[1]对照表!$N$27:$N$48,[1]对照表!$P$27:$P$48)),IF(B121="高一",IF($E121="男",LOOKUP(J121,[1]对照表!$M$3:$M$24,[1]对照表!$P$3:$P$24),LOOKUP(J121,[1]对照表!$M$27:$M$48,[1]对照表!$P$27:$P$48)))))</f>
        <v>76</v>
      </c>
      <c r="L121" s="21">
        <v>7</v>
      </c>
      <c r="M121" s="32">
        <f>IF(B121="高三",IF($E121="男",LOOKUP(L121,[1]对照表!$S$3:$S$24,[1]对照表!$T$3:$T$24),LOOKUP(L121,[1]对照表!$S$27:$S$48,[1]对照表!$T$27:$T$48)),IF(B121="高二",IF($E121="男",LOOKUP(L121,[1]对照表!$R$3:$R$24,[1]对照表!$T$3:$T$24),LOOKUP(L121,[1]对照表!$R$27:$R$48,[1]对照表!$T$27:$T$48)),IF(B121="高一",IF($E121="男",LOOKUP(L121,[1]对照表!$Q$3:$Q$24,[1]对照表!$T$3:$T$24),LOOKUP(L121,[1]对照表!$Q$27:$Q$48,[1]对照表!$T$27:$T$48)))))</f>
        <v>60</v>
      </c>
      <c r="N121" s="33">
        <f>IF(B121="高三",MAX(IF(E121="男",L121-18,L121-55),0),IF(B121="高二",MAX(IF(E121="男",L121-17,L121-54),0),IF(B121="高一",MAX(IF(E121="男",L121-16,L121-53),0))))</f>
        <v>0</v>
      </c>
      <c r="O121" s="23">
        <f>IF(E121="男",LOOKUP($N121,[1]对照表!$Z$3:$Z$13,[1]对照表!$AA$3:$AA$13),LOOKUP($N121,[1]对照表!$Z$15:$Z$25,[1]对照表!$AA$15:$AA$25))</f>
        <v>0</v>
      </c>
      <c r="P121" s="24">
        <f>M121+O121</f>
        <v>60</v>
      </c>
      <c r="Q121" s="25">
        <v>4</v>
      </c>
      <c r="R121" s="32">
        <f>IF(B121="高三",IF($E121="男",LOOKUP(Q121,[1]对照表!$W$3:$W$24,[1]对照表!$X$3:$X$24),LOOKUP(Q121,[1]对照表!$W$27:$W$48,[1]对照表!$X$27:$X$48)),IF(B121="高二",IF($E121="男",LOOKUP(Q121,[1]对照表!$V$3:$V$24,[1]对照表!$X$3:$X$24),LOOKUP(Q121,[1]对照表!$V$27:$V$48,[1]对照表!$X$27:$X$48)),IF(B121="高一",IF($E121="男",LOOKUP(Q121,[1]对照表!$U$3:$U$24,[1]对照表!$X$3:$X$24),LOOKUP(Q121,[1]对照表!$U$27:$U$48,[1]对照表!$X$27:$X$48)))))</f>
        <v>78</v>
      </c>
      <c r="S121" s="33">
        <f>ROUND(IF(IF($B121="高三",MIN(IF($E121="男",$Q121-3.2,$Q121-3.2),0),IF($B121="高二",MIN(IF($E121="男",$Q121-3.25,$Q121-3.22),0),IF($B121="高一",MIN(IF($E121="男",$Q121-3.3,$Q121-3.24),0))))&lt;-0.6,IF($B121="高三",MIN(IF($E121="男",$Q121-3.2,$Q121-3.2),0),IF($B121="高二",MIN(IF($E121="男",$Q121-3.25,$Q121-3.22),0),IF($B121="高一",MIN(IF($E121="男",$Q121-3.3,$Q121-3.24),0))))+0.4,IF($B121="高三",MIN(IF($E121="男",$Q121-3.2,$Q121-3.2),0),IF($B121="高二",MIN(IF($E121="男",$Q121-3.25,$Q121-3.22),0),IF($B121="高一",MIN(IF($E121="男",$Q121-3.3,$Q121-3.24),0))))),2)</f>
        <v>0</v>
      </c>
      <c r="T121" s="23">
        <f>IF(E121="男",LOOKUP($S121,[1]对照表!$AB$3:$AB$13,[1]对照表!$AC$3:$AC$13),LOOKUP($S121,[1]对照表!$AB$15:$AB$25,[1]对照表!$AC$15:$AC$25))</f>
        <v>0</v>
      </c>
      <c r="U121" s="26">
        <f>R121+T121</f>
        <v>78</v>
      </c>
      <c r="V121" s="26">
        <f>SUM(I121,K121,M121)/3*0.3+SUM(G121,R121)/2*0.4</f>
        <v>53.6</v>
      </c>
      <c r="W121" s="27">
        <f>O121+T121</f>
        <v>0</v>
      </c>
      <c r="X121" s="28">
        <f>V121/0.7+W121</f>
        <v>76.571428571428584</v>
      </c>
      <c r="Y121" s="28">
        <v>76.571428571428584</v>
      </c>
      <c r="Z121" s="21"/>
    </row>
    <row r="122" spans="1:26" x14ac:dyDescent="0.25">
      <c r="A122" s="16">
        <v>15</v>
      </c>
      <c r="B122" s="17" t="s">
        <v>21</v>
      </c>
      <c r="C122" s="16">
        <v>103</v>
      </c>
      <c r="D122" s="18" t="s">
        <v>421</v>
      </c>
      <c r="E122" s="17" t="s">
        <v>23</v>
      </c>
      <c r="F122" s="19">
        <v>7.3</v>
      </c>
      <c r="G122" s="32">
        <f>IF(B122="高三",IF($E122="男",LOOKUP(F122,[1]对照表!$G$3:$G$24,[1]对照表!$H$3:$H$24),LOOKUP(F122,[1]对照表!$G$27:$G$48,[1]对照表!$H$27:$H$48)),IF(B122="高二",IF($E122="男",LOOKUP(F122,[1]对照表!$F$3:$F$24,[1]对照表!$H$3:$H$24),LOOKUP(F122,[1]对照表!$F$27:$F$48,[1]对照表!$H$27:$H$48)),IF(B122="高一",IF($E122="男",LOOKUP(F122,[1]对照表!$E$3:$E$24,[1]对照表!$H$3:$H$24),LOOKUP(F122,[1]对照表!$E$27:$E$48,[1]对照表!$H$27:$H$48)))))</f>
        <v>90</v>
      </c>
      <c r="H122" s="21">
        <v>4</v>
      </c>
      <c r="I122" s="32">
        <f>IF(B122="高三",IF($E122="男",LOOKUP(H122,[1]对照表!$K$3:$K$24,[1]对照表!$L$3:$L$24),LOOKUP(H122,[1]对照表!$K$27:$K$48,[1]对照表!$L$27:$L$48)),IF(B122="高二",IF($E122="男",LOOKUP(H122,[1]对照表!$J$3:$J$24,[1]对照表!$L$3:$L$24),LOOKUP(H122,[1]对照表!$J$27:$J$48,[1]对照表!$L$27:$L$48)),IF(B122="高一",IF($E122="男",LOOKUP(H122,[1]对照表!$I$3:$I$24,[1]对照表!$L$3:$L$24),LOOKUP(H122,[1]对照表!$I$27:$I$48,[1]对照表!$L$27:$L$48)))))</f>
        <v>64</v>
      </c>
      <c r="J122" s="21">
        <v>223</v>
      </c>
      <c r="K122" s="32">
        <f>IF(B122="高三",IF($E122="男",LOOKUP(J122,[1]对照表!$O$3:$O$24,[1]对照表!$P$3:$P$24),LOOKUP(J122,[1]对照表!$O$27:$O$48,[1]对照表!$P$27:$P$48)),IF(B122="高二",IF($E122="男",LOOKUP(J122,[1]对照表!$N$3:$N$24,[1]对照表!$P$3:$P$24),LOOKUP(J122,[1]对照表!$N$27:$N$48,[1]对照表!$P$27:$P$48)),IF(B122="高一",IF($E122="男",LOOKUP(J122,[1]对照表!$M$3:$M$24,[1]对照表!$P$3:$P$24),LOOKUP(J122,[1]对照表!$M$27:$M$48,[1]对照表!$P$27:$P$48)))))</f>
        <v>74</v>
      </c>
      <c r="L122" s="21">
        <v>10</v>
      </c>
      <c r="M122" s="32">
        <f>IF(B122="高三",IF($E122="男",LOOKUP(L122,[1]对照表!$S$3:$S$24,[1]对照表!$T$3:$T$24),LOOKUP(L122,[1]对照表!$S$27:$S$48,[1]对照表!$T$27:$T$48)),IF(B122="高二",IF($E122="男",LOOKUP(L122,[1]对照表!$R$3:$R$24,[1]对照表!$T$3:$T$24),LOOKUP(L122,[1]对照表!$R$27:$R$48,[1]对照表!$T$27:$T$48)),IF(B122="高一",IF($E122="男",LOOKUP(L122,[1]对照表!$Q$3:$Q$24,[1]对照表!$T$3:$T$24),LOOKUP(L122,[1]对照表!$Q$27:$Q$48,[1]对照表!$T$27:$T$48)))))</f>
        <v>72</v>
      </c>
      <c r="N122" s="33">
        <f>IF(B122="高三",MAX(IF(E122="男",L122-18,L122-55),0),IF(B122="高二",MAX(IF(E122="男",L122-17,L122-54),0),IF(B122="高一",MAX(IF(E122="男",L122-16,L122-53),0))))</f>
        <v>0</v>
      </c>
      <c r="O122" s="23">
        <f>IF(E122="男",LOOKUP($N122,[1]对照表!$Z$3:$Z$13,[1]对照表!$AA$3:$AA$13),LOOKUP($N122,[1]对照表!$Z$15:$Z$25,[1]对照表!$AA$15:$AA$25))</f>
        <v>0</v>
      </c>
      <c r="P122" s="24">
        <f>M122+O122</f>
        <v>72</v>
      </c>
      <c r="Q122" s="25">
        <v>4.12</v>
      </c>
      <c r="R122" s="32">
        <f>IF(B122="高三",IF($E122="男",LOOKUP(Q122,[1]对照表!$W$3:$W$24,[1]对照表!$X$3:$X$24),LOOKUP(Q122,[1]对照表!$W$27:$W$48,[1]对照表!$X$27:$X$48)),IF(B122="高二",IF($E122="男",LOOKUP(Q122,[1]对照表!$V$3:$V$24,[1]对照表!$X$3:$X$24),LOOKUP(Q122,[1]对照表!$V$27:$V$48,[1]对照表!$X$27:$X$48)),IF(B122="高一",IF($E122="男",LOOKUP(Q122,[1]对照表!$U$3:$U$24,[1]对照表!$X$3:$X$24),LOOKUP(Q122,[1]对照表!$U$27:$U$48,[1]对照表!$X$27:$X$48)))))</f>
        <v>72</v>
      </c>
      <c r="S122" s="33">
        <f>ROUND(IF(IF($B122="高三",MIN(IF($E122="男",$Q122-3.2,$Q122-3.2),0),IF($B122="高二",MIN(IF($E122="男",$Q122-3.25,$Q122-3.22),0),IF($B122="高一",MIN(IF($E122="男",$Q122-3.3,$Q122-3.24),0))))&lt;-0.6,IF($B122="高三",MIN(IF($E122="男",$Q122-3.2,$Q122-3.2),0),IF($B122="高二",MIN(IF($E122="男",$Q122-3.25,$Q122-3.22),0),IF($B122="高一",MIN(IF($E122="男",$Q122-3.3,$Q122-3.24),0))))+0.4,IF($B122="高三",MIN(IF($E122="男",$Q122-3.2,$Q122-3.2),0),IF($B122="高二",MIN(IF($E122="男",$Q122-3.25,$Q122-3.22),0),IF($B122="高一",MIN(IF($E122="男",$Q122-3.3,$Q122-3.24),0))))),2)</f>
        <v>0</v>
      </c>
      <c r="T122" s="23">
        <f>IF(E122="男",LOOKUP($S122,[1]对照表!$AB$3:$AB$13,[1]对照表!$AC$3:$AC$13),LOOKUP($S122,[1]对照表!$AB$15:$AB$25,[1]对照表!$AC$15:$AC$25))</f>
        <v>0</v>
      </c>
      <c r="U122" s="26">
        <f>R122+T122</f>
        <v>72</v>
      </c>
      <c r="V122" s="26">
        <f>SUM(I122,K122,M122)/3*0.3+SUM(G122,R122)/2*0.4</f>
        <v>53.4</v>
      </c>
      <c r="W122" s="27">
        <f>O122+T122</f>
        <v>0</v>
      </c>
      <c r="X122" s="28">
        <f>V122/0.7+W122</f>
        <v>76.285714285714292</v>
      </c>
      <c r="Y122" s="28">
        <v>76.285714285714292</v>
      </c>
      <c r="Z122" s="21"/>
    </row>
    <row r="123" spans="1:26" x14ac:dyDescent="0.25">
      <c r="A123" s="16">
        <v>11</v>
      </c>
      <c r="B123" s="17" t="s">
        <v>21</v>
      </c>
      <c r="C123" s="16">
        <v>103</v>
      </c>
      <c r="D123" s="18" t="s">
        <v>425</v>
      </c>
      <c r="E123" s="31" t="s">
        <v>23</v>
      </c>
      <c r="F123" s="19">
        <v>7.4</v>
      </c>
      <c r="G123" s="32">
        <f>IF(B123="高三",IF($E123="男",LOOKUP(F123,[1]对照表!$G$3:$G$24,[1]对照表!$H$3:$H$24),LOOKUP(F123,[1]对照表!$G$27:$G$48,[1]对照表!$H$27:$H$48)),IF(B123="高二",IF($E123="男",LOOKUP(F123,[1]对照表!$F$3:$F$24,[1]对照表!$H$3:$H$24),LOOKUP(F123,[1]对照表!$F$27:$F$48,[1]对照表!$H$27:$H$48)),IF(B123="高一",IF($E123="男",LOOKUP(F123,[1]对照表!$E$3:$E$24,[1]对照表!$H$3:$H$24),LOOKUP(F123,[1]对照表!$E$27:$E$48,[1]对照表!$H$27:$H$48)))))</f>
        <v>85</v>
      </c>
      <c r="H123" s="21">
        <v>5.5</v>
      </c>
      <c r="I123" s="32">
        <f>IF(B123="高三",IF($E123="男",LOOKUP(H123,[1]对照表!$K$3:$K$24,[1]对照表!$L$3:$L$24),LOOKUP(H123,[1]对照表!$K$27:$K$48,[1]对照表!$L$27:$L$48)),IF(B123="高二",IF($E123="男",LOOKUP(H123,[1]对照表!$J$3:$J$24,[1]对照表!$L$3:$L$24),LOOKUP(H123,[1]对照表!$J$27:$J$48,[1]对照表!$L$27:$L$48)),IF(B123="高一",IF($E123="男",LOOKUP(H123,[1]对照表!$I$3:$I$24,[1]对照表!$L$3:$L$24),LOOKUP(H123,[1]对照表!$I$27:$I$48,[1]对照表!$L$27:$L$48)))))</f>
        <v>66</v>
      </c>
      <c r="J123" s="21">
        <v>243</v>
      </c>
      <c r="K123" s="32">
        <f>IF(B123="高三",IF($E123="男",LOOKUP(J123,[1]对照表!$O$3:$O$24,[1]对照表!$P$3:$P$24),LOOKUP(J123,[1]对照表!$O$27:$O$48,[1]对照表!$P$27:$P$48)),IF(B123="高二",IF($E123="男",LOOKUP(J123,[1]对照表!$N$3:$N$24,[1]对照表!$P$3:$P$24),LOOKUP(J123,[1]对照表!$N$27:$N$48,[1]对照表!$P$27:$P$48)),IF(B123="高一",IF($E123="男",LOOKUP(J123,[1]对照表!$M$3:$M$24,[1]对照表!$P$3:$P$24),LOOKUP(J123,[1]对照表!$M$27:$M$48,[1]对照表!$P$27:$P$48)))))</f>
        <v>85</v>
      </c>
      <c r="L123" s="21">
        <v>7</v>
      </c>
      <c r="M123" s="32">
        <f>IF(B123="高三",IF($E123="男",LOOKUP(L123,[1]对照表!$S$3:$S$24,[1]对照表!$T$3:$T$24),LOOKUP(L123,[1]对照表!$S$27:$S$48,[1]对照表!$T$27:$T$48)),IF(B123="高二",IF($E123="男",LOOKUP(L123,[1]对照表!$R$3:$R$24,[1]对照表!$T$3:$T$24),LOOKUP(L123,[1]对照表!$R$27:$R$48,[1]对照表!$T$27:$T$48)),IF(B123="高一",IF($E123="男",LOOKUP(L123,[1]对照表!$Q$3:$Q$24,[1]对照表!$T$3:$T$24),LOOKUP(L123,[1]对照表!$Q$27:$Q$48,[1]对照表!$T$27:$T$48)))))</f>
        <v>60</v>
      </c>
      <c r="N123" s="33">
        <f>IF(B123="高三",MAX(IF(E123="男",L123-18,L123-55),0),IF(B123="高二",MAX(IF(E123="男",L123-17,L123-54),0),IF(B123="高一",MAX(IF(E123="男",L123-16,L123-53),0))))</f>
        <v>0</v>
      </c>
      <c r="O123" s="23">
        <f>IF(E123="男",LOOKUP($N123,[1]对照表!$Z$3:$Z$13,[1]对照表!$AA$3:$AA$13),LOOKUP($N123,[1]对照表!$Z$15:$Z$25,[1]对照表!$AA$15:$AA$25))</f>
        <v>0</v>
      </c>
      <c r="P123" s="24">
        <f>M123+O123</f>
        <v>60</v>
      </c>
      <c r="Q123" s="25">
        <v>4.0599999999999996</v>
      </c>
      <c r="R123" s="32">
        <f>IF(B123="高三",IF($E123="男",LOOKUP(Q123,[1]对照表!$W$3:$W$24,[1]对照表!$X$3:$X$24),LOOKUP(Q123,[1]对照表!$W$27:$W$48,[1]对照表!$X$27:$X$48)),IF(B123="高二",IF($E123="男",LOOKUP(Q123,[1]对照表!$V$3:$V$24,[1]对照表!$X$3:$X$24),LOOKUP(Q123,[1]对照表!$V$27:$V$48,[1]对照表!$X$27:$X$48)),IF(B123="高一",IF($E123="男",LOOKUP(Q123,[1]对照表!$U$3:$U$24,[1]对照表!$X$3:$X$24),LOOKUP(Q123,[1]对照表!$U$27:$U$48,[1]对照表!$X$27:$X$48)))))</f>
        <v>74</v>
      </c>
      <c r="S123" s="33">
        <f>ROUND(IF(IF($B123="高三",MIN(IF($E123="男",$Q123-3.2,$Q123-3.2),0),IF($B123="高二",MIN(IF($E123="男",$Q123-3.25,$Q123-3.22),0),IF($B123="高一",MIN(IF($E123="男",$Q123-3.3,$Q123-3.24),0))))&lt;-0.6,IF($B123="高三",MIN(IF($E123="男",$Q123-3.2,$Q123-3.2),0),IF($B123="高二",MIN(IF($E123="男",$Q123-3.25,$Q123-3.22),0),IF($B123="高一",MIN(IF($E123="男",$Q123-3.3,$Q123-3.24),0))))+0.4,IF($B123="高三",MIN(IF($E123="男",$Q123-3.2,$Q123-3.2),0),IF($B123="高二",MIN(IF($E123="男",$Q123-3.25,$Q123-3.22),0),IF($B123="高一",MIN(IF($E123="男",$Q123-3.3,$Q123-3.24),0))))),2)</f>
        <v>0</v>
      </c>
      <c r="T123" s="23">
        <f>IF(E123="男",LOOKUP($S123,[1]对照表!$AB$3:$AB$13,[1]对照表!$AC$3:$AC$13),LOOKUP($S123,[1]对照表!$AB$15:$AB$25,[1]对照表!$AC$15:$AC$25))</f>
        <v>0</v>
      </c>
      <c r="U123" s="26">
        <f>R123+T123</f>
        <v>74</v>
      </c>
      <c r="V123" s="26">
        <f>SUM(I123,K123,M123)/3*0.3+SUM(G123,R123)/2*0.4</f>
        <v>52.9</v>
      </c>
      <c r="W123" s="27">
        <f>O123+T123</f>
        <v>0</v>
      </c>
      <c r="X123" s="28">
        <f>V123/0.7+W123</f>
        <v>75.571428571428569</v>
      </c>
      <c r="Y123" s="28">
        <v>75.571428571428569</v>
      </c>
      <c r="Z123" s="21"/>
    </row>
    <row r="124" spans="1:26" x14ac:dyDescent="0.25">
      <c r="A124" s="16">
        <v>42</v>
      </c>
      <c r="B124" s="17" t="s">
        <v>21</v>
      </c>
      <c r="C124" s="16">
        <v>103</v>
      </c>
      <c r="D124" s="18" t="s">
        <v>453</v>
      </c>
      <c r="E124" s="17" t="s">
        <v>65</v>
      </c>
      <c r="F124" s="19">
        <v>9.6</v>
      </c>
      <c r="G124" s="32">
        <f>IF(B124="高三",IF($E124="男",LOOKUP(F124,[1]对照表!$G$3:$G$24,[1]对照表!$H$3:$H$24),LOOKUP(F124,[1]对照表!$G$27:$G$48,[1]对照表!$H$27:$H$48)),IF(B124="高二",IF($E124="男",LOOKUP(F124,[1]对照表!$F$3:$F$24,[1]对照表!$H$3:$H$24),LOOKUP(F124,[1]对照表!$F$27:$F$48,[1]对照表!$H$27:$H$48)),IF(B124="高一",IF($E124="男",LOOKUP(F124,[1]对照表!$E$3:$E$24,[1]对照表!$H$3:$H$24),LOOKUP(F124,[1]对照表!$E$27:$E$48,[1]对照表!$H$27:$H$48)))))</f>
        <v>70</v>
      </c>
      <c r="H124" s="21">
        <v>13</v>
      </c>
      <c r="I124" s="32">
        <f>IF(B124="高三",IF($E124="男",LOOKUP(H124,[1]对照表!$K$3:$K$24,[1]对照表!$L$3:$L$24),LOOKUP(H124,[1]对照表!$K$27:$K$48,[1]对照表!$L$27:$L$48)),IF(B124="高二",IF($E124="男",LOOKUP(H124,[1]对照表!$J$3:$J$24,[1]对照表!$L$3:$L$24),LOOKUP(H124,[1]对照表!$J$27:$J$48,[1]对照表!$L$27:$L$48)),IF(B124="高一",IF($E124="男",LOOKUP(H124,[1]对照表!$I$3:$I$24,[1]对照表!$L$3:$L$24),LOOKUP(H124,[1]对照表!$I$27:$I$48,[1]对照表!$L$27:$L$48)))))</f>
        <v>72</v>
      </c>
      <c r="J124" s="21">
        <v>178</v>
      </c>
      <c r="K124" s="32">
        <f>IF(B124="高三",IF($E124="男",LOOKUP(J124,[1]对照表!$O$3:$O$24,[1]对照表!$P$3:$P$24),LOOKUP(J124,[1]对照表!$O$27:$O$48,[1]对照表!$P$27:$P$48)),IF(B124="高二",IF($E124="男",LOOKUP(J124,[1]对照表!$N$3:$N$24,[1]对照表!$P$3:$P$24),LOOKUP(J124,[1]对照表!$N$27:$N$48,[1]对照表!$P$27:$P$48)),IF(B124="高一",IF($E124="男",LOOKUP(J124,[1]对照表!$M$3:$M$24,[1]对照表!$P$3:$P$24),LOOKUP(J124,[1]对照表!$M$27:$M$48,[1]对照表!$P$27:$P$48)))))</f>
        <v>80</v>
      </c>
      <c r="L124" s="21">
        <v>30</v>
      </c>
      <c r="M124" s="32">
        <f>IF(B124="高三",IF($E124="男",LOOKUP(L124,[1]对照表!$S$3:$S$24,[1]对照表!$T$3:$T$24),LOOKUP(L124,[1]对照表!$S$27:$S$48,[1]对照表!$T$27:$T$48)),IF(B124="高二",IF($E124="男",LOOKUP(L124,[1]对照表!$R$3:$R$24,[1]对照表!$T$3:$T$24),LOOKUP(L124,[1]对照表!$R$27:$R$48,[1]对照表!$T$27:$T$48)),IF(B124="高一",IF($E124="男",LOOKUP(L124,[1]对照表!$Q$3:$Q$24,[1]对照表!$T$3:$T$24),LOOKUP(L124,[1]对照表!$Q$27:$Q$48,[1]对照表!$T$27:$T$48)))))</f>
        <v>66</v>
      </c>
      <c r="N124" s="33">
        <f>IF(B124="高三",MAX(IF(E124="男",L124-18,L124-55),0),IF(B124="高二",MAX(IF(E124="男",L124-17,L124-54),0),IF(B124="高一",MAX(IF(E124="男",L124-16,L124-53),0))))</f>
        <v>0</v>
      </c>
      <c r="O124" s="23">
        <f>IF(E124="男",LOOKUP($N124,[1]对照表!$Z$3:$Z$13,[1]对照表!$AA$3:$AA$13),LOOKUP($N124,[1]对照表!$Z$15:$Z$25,[1]对照表!$AA$15:$AA$25))</f>
        <v>0</v>
      </c>
      <c r="P124" s="24">
        <f>M124+O124</f>
        <v>66</v>
      </c>
      <c r="Q124" s="25">
        <v>3.39</v>
      </c>
      <c r="R124" s="32">
        <f>IF(B124="高三",IF($E124="男",LOOKUP(Q124,[1]对照表!$W$3:$W$24,[1]对照表!$X$3:$X$24),LOOKUP(Q124,[1]对照表!$W$27:$W$48,[1]对照表!$X$27:$X$48)),IF(B124="高二",IF($E124="男",LOOKUP(Q124,[1]对照表!$V$3:$V$24,[1]对照表!$X$3:$X$24),LOOKUP(Q124,[1]对照表!$V$27:$V$48,[1]对照表!$X$27:$X$48)),IF(B124="高一",IF($E124="男",LOOKUP(Q124,[1]对照表!$U$3:$U$24,[1]对照表!$X$3:$X$24),LOOKUP(Q124,[1]对照表!$U$27:$U$48,[1]对照表!$X$27:$X$48)))))</f>
        <v>85</v>
      </c>
      <c r="S124" s="33">
        <f>ROUND(IF(IF($B124="高三",MIN(IF($E124="男",$Q124-3.2,$Q124-3.2),0),IF($B124="高二",MIN(IF($E124="男",$Q124-3.25,$Q124-3.22),0),IF($B124="高一",MIN(IF($E124="男",$Q124-3.3,$Q124-3.24),0))))&lt;-0.6,IF($B124="高三",MIN(IF($E124="男",$Q124-3.2,$Q124-3.2),0),IF($B124="高二",MIN(IF($E124="男",$Q124-3.25,$Q124-3.22),0),IF($B124="高一",MIN(IF($E124="男",$Q124-3.3,$Q124-3.24),0))))+0.4,IF($B124="高三",MIN(IF($E124="男",$Q124-3.2,$Q124-3.2),0),IF($B124="高二",MIN(IF($E124="男",$Q124-3.25,$Q124-3.22),0),IF($B124="高一",MIN(IF($E124="男",$Q124-3.3,$Q124-3.24),0))))),2)</f>
        <v>0</v>
      </c>
      <c r="T124" s="23">
        <f>IF(E124="男",LOOKUP($S124,[1]对照表!$AB$3:$AB$13,[1]对照表!$AC$3:$AC$13),LOOKUP($S124,[1]对照表!$AB$15:$AB$25,[1]对照表!$AC$15:$AC$25))</f>
        <v>0</v>
      </c>
      <c r="U124" s="26">
        <f>R124+T124</f>
        <v>85</v>
      </c>
      <c r="V124" s="26">
        <f>SUM(I124,K124,M124)/3*0.3+SUM(G124,R124)/2*0.4</f>
        <v>52.8</v>
      </c>
      <c r="W124" s="27">
        <f>O124+T124</f>
        <v>0</v>
      </c>
      <c r="X124" s="28">
        <f>V124/0.7+W124</f>
        <v>75.428571428571431</v>
      </c>
      <c r="Y124" s="28">
        <v>75.428571428571431</v>
      </c>
      <c r="Z124" s="21"/>
    </row>
    <row r="125" spans="1:26" x14ac:dyDescent="0.25">
      <c r="A125" s="16">
        <v>40</v>
      </c>
      <c r="B125" s="17" t="s">
        <v>21</v>
      </c>
      <c r="C125" s="16">
        <v>103</v>
      </c>
      <c r="D125" s="18" t="s">
        <v>457</v>
      </c>
      <c r="E125" s="17" t="s">
        <v>65</v>
      </c>
      <c r="F125" s="19">
        <v>9.18</v>
      </c>
      <c r="G125" s="32">
        <f>IF(B125="高三",IF($E125="男",LOOKUP(F125,[1]对照表!$G$3:$G$24,[1]对照表!$H$3:$H$24),LOOKUP(F125,[1]对照表!$G$27:$G$48,[1]对照表!$H$27:$H$48)),IF(B125="高二",IF($E125="男",LOOKUP(F125,[1]对照表!$F$3:$F$24,[1]对照表!$H$3:$H$24),LOOKUP(F125,[1]对照表!$F$27:$F$48,[1]对照表!$H$27:$H$48)),IF(B125="高一",IF($E125="男",LOOKUP(F125,[1]对照表!$E$3:$E$24,[1]对照表!$H$3:$H$24),LOOKUP(F125,[1]对照表!$E$27:$E$48,[1]对照表!$H$27:$H$48)))))</f>
        <v>74</v>
      </c>
      <c r="H125" s="21">
        <v>11</v>
      </c>
      <c r="I125" s="32">
        <f>IF(B125="高三",IF($E125="男",LOOKUP(H125,[1]对照表!$K$3:$K$24,[1]对照表!$L$3:$L$24),LOOKUP(H125,[1]对照表!$K$27:$K$48,[1]对照表!$L$27:$L$48)),IF(B125="高二",IF($E125="男",LOOKUP(H125,[1]对照表!$J$3:$J$24,[1]对照表!$L$3:$L$24),LOOKUP(H125,[1]对照表!$J$27:$J$48,[1]对照表!$L$27:$L$48)),IF(B125="高一",IF($E125="男",LOOKUP(H125,[1]对照表!$I$3:$I$24,[1]对照表!$L$3:$L$24),LOOKUP(H125,[1]对照表!$I$27:$I$48,[1]对照表!$L$27:$L$48)))))</f>
        <v>70</v>
      </c>
      <c r="J125" s="21">
        <v>173</v>
      </c>
      <c r="K125" s="32">
        <f>IF(B125="高三",IF($E125="男",LOOKUP(J125,[1]对照表!$O$3:$O$24,[1]对照表!$P$3:$P$24),LOOKUP(J125,[1]对照表!$O$27:$O$48,[1]对照表!$P$27:$P$48)),IF(B125="高二",IF($E125="男",LOOKUP(J125,[1]对照表!$N$3:$N$24,[1]对照表!$P$3:$P$24),LOOKUP(J125,[1]对照表!$N$27:$N$48,[1]对照表!$P$27:$P$48)),IF(B125="高一",IF($E125="男",LOOKUP(J125,[1]对照表!$M$3:$M$24,[1]对照表!$P$3:$P$24),LOOKUP(J125,[1]对照表!$M$27:$M$48,[1]对照表!$P$27:$P$48)))))</f>
        <v>76</v>
      </c>
      <c r="L125" s="21">
        <v>54</v>
      </c>
      <c r="M125" s="32">
        <f>IF(B125="高三",IF($E125="男",LOOKUP(L125,[1]对照表!$S$3:$S$24,[1]对照表!$T$3:$T$24),LOOKUP(L125,[1]对照表!$S$27:$S$48,[1]对照表!$T$27:$T$48)),IF(B125="高二",IF($E125="男",LOOKUP(L125,[1]对照表!$R$3:$R$24,[1]对照表!$T$3:$T$24),LOOKUP(L125,[1]对照表!$R$27:$R$48,[1]对照表!$T$27:$T$48)),IF(B125="高一",IF($E125="男",LOOKUP(L125,[1]对照表!$Q$3:$Q$24,[1]对照表!$T$3:$T$24),LOOKUP(L125,[1]对照表!$Q$27:$Q$48,[1]对照表!$T$27:$T$48)))))</f>
        <v>100</v>
      </c>
      <c r="N125" s="33">
        <f>IF(B125="高三",MAX(IF(E125="男",L125-18,L125-55),0),IF(B125="高二",MAX(IF(E125="男",L125-17,L125-54),0),IF(B125="高一",MAX(IF(E125="男",L125-16,L125-53),0))))</f>
        <v>1</v>
      </c>
      <c r="O125" s="23">
        <f>IF(E125="男",LOOKUP($N125,[1]对照表!$Z$3:$Z$13,[1]对照表!$AA$3:$AA$13),LOOKUP($N125,[1]对照表!$Z$15:$Z$25,[1]对照表!$AA$15:$AA$25))</f>
        <v>0</v>
      </c>
      <c r="P125" s="24">
        <f>M125+O125</f>
        <v>100</v>
      </c>
      <c r="Q125" s="25">
        <v>3.4</v>
      </c>
      <c r="R125" s="32">
        <f>IF(B125="高三",IF($E125="男",LOOKUP(Q125,[1]对照表!$W$3:$W$24,[1]对照表!$X$3:$X$24),LOOKUP(Q125,[1]对照表!$W$27:$W$48,[1]对照表!$X$27:$X$48)),IF(B125="高二",IF($E125="男",LOOKUP(Q125,[1]对照表!$V$3:$V$24,[1]对照表!$X$3:$X$24),LOOKUP(Q125,[1]对照表!$V$27:$V$48,[1]对照表!$X$27:$X$48)),IF(B125="高一",IF($E125="男",LOOKUP(Q125,[1]对照表!$U$3:$U$24,[1]对照表!$X$3:$X$24),LOOKUP(Q125,[1]对照表!$U$27:$U$48,[1]对照表!$X$27:$X$48)))))</f>
        <v>85</v>
      </c>
      <c r="S125" s="33">
        <f>ROUND(IF(IF($B125="高三",MIN(IF($E125="男",$Q125-3.2,$Q125-3.2),0),IF($B125="高二",MIN(IF($E125="男",$Q125-3.25,$Q125-3.22),0),IF($B125="高一",MIN(IF($E125="男",$Q125-3.3,$Q125-3.24),0))))&lt;-0.6,IF($B125="高三",MIN(IF($E125="男",$Q125-3.2,$Q125-3.2),0),IF($B125="高二",MIN(IF($E125="男",$Q125-3.25,$Q125-3.22),0),IF($B125="高一",MIN(IF($E125="男",$Q125-3.3,$Q125-3.24),0))))+0.4,IF($B125="高三",MIN(IF($E125="男",$Q125-3.2,$Q125-3.2),0),IF($B125="高二",MIN(IF($E125="男",$Q125-3.25,$Q125-3.22),0),IF($B125="高一",MIN(IF($E125="男",$Q125-3.3,$Q125-3.24),0))))),2)</f>
        <v>0</v>
      </c>
      <c r="T125" s="23">
        <f>IF(E125="男",LOOKUP($S125,[1]对照表!$AB$3:$AB$13,[1]对照表!$AC$3:$AC$13),LOOKUP($S125,[1]对照表!$AB$15:$AB$25,[1]对照表!$AC$15:$AC$25))</f>
        <v>0</v>
      </c>
      <c r="U125" s="26">
        <f>R125+T125</f>
        <v>85</v>
      </c>
      <c r="V125" s="26">
        <f>SUM(I125,K125,M125)/3*0.3+SUM(G125,R125)/2*0.4</f>
        <v>56.4</v>
      </c>
      <c r="W125" s="27">
        <f>O125+T125</f>
        <v>0</v>
      </c>
      <c r="X125" s="28">
        <f>V125/0.7+W125</f>
        <v>80.571428571428569</v>
      </c>
      <c r="Y125" s="28">
        <v>80.571428571428569</v>
      </c>
      <c r="Z125" s="21"/>
    </row>
    <row r="126" spans="1:26" x14ac:dyDescent="0.25">
      <c r="A126" s="16">
        <v>44</v>
      </c>
      <c r="B126" s="17" t="s">
        <v>21</v>
      </c>
      <c r="C126" s="16">
        <v>103</v>
      </c>
      <c r="D126" s="18" t="s">
        <v>462</v>
      </c>
      <c r="E126" s="17" t="s">
        <v>65</v>
      </c>
      <c r="F126" s="19">
        <v>8.8800000000000008</v>
      </c>
      <c r="G126" s="32">
        <f>IF(B126="高三",IF($E126="男",LOOKUP(F126,[1]对照表!$G$3:$G$24,[1]对照表!$H$3:$H$24),LOOKUP(F126,[1]对照表!$G$27:$G$48,[1]对照表!$H$27:$H$48)),IF(B126="高二",IF($E126="男",LOOKUP(F126,[1]对照表!$F$3:$F$24,[1]对照表!$H$3:$H$24),LOOKUP(F126,[1]对照表!$F$27:$F$48,[1]对照表!$H$27:$H$48)),IF(B126="高一",IF($E126="男",LOOKUP(F126,[1]对照表!$E$3:$E$24,[1]对照表!$H$3:$H$24),LOOKUP(F126,[1]对照表!$E$27:$E$48,[1]对照表!$H$27:$H$48)))))</f>
        <v>76</v>
      </c>
      <c r="H126" s="21">
        <v>18</v>
      </c>
      <c r="I126" s="32">
        <f>IF(B126="高三",IF($E126="男",LOOKUP(H126,[1]对照表!$K$3:$K$24,[1]对照表!$L$3:$L$24),LOOKUP(H126,[1]对照表!$K$27:$K$48,[1]对照表!$L$27:$L$48)),IF(B126="高二",IF($E126="男",LOOKUP(H126,[1]对照表!$J$3:$J$24,[1]对照表!$L$3:$L$24),LOOKUP(H126,[1]对照表!$J$27:$J$48,[1]对照表!$L$27:$L$48)),IF(B126="高一",IF($E126="男",LOOKUP(H126,[1]对照表!$I$3:$I$24,[1]对照表!$L$3:$L$24),LOOKUP(H126,[1]对照表!$I$27:$I$48,[1]对照表!$L$27:$L$48)))))</f>
        <v>80</v>
      </c>
      <c r="J126" s="21">
        <v>185</v>
      </c>
      <c r="K126" s="32">
        <f>IF(B126="高三",IF($E126="男",LOOKUP(J126,[1]对照表!$O$3:$O$24,[1]对照表!$P$3:$P$24),LOOKUP(J126,[1]对照表!$O$27:$O$48,[1]对照表!$P$27:$P$48)),IF(B126="高二",IF($E126="男",LOOKUP(J126,[1]对照表!$N$3:$N$24,[1]对照表!$P$3:$P$24),LOOKUP(J126,[1]对照表!$N$27:$N$48,[1]对照表!$P$27:$P$48)),IF(B126="高一",IF($E126="男",LOOKUP(J126,[1]对照表!$M$3:$M$24,[1]对照表!$P$3:$P$24),LOOKUP(J126,[1]对照表!$M$27:$M$48,[1]对照表!$P$27:$P$48)))))</f>
        <v>85</v>
      </c>
      <c r="L126" s="21">
        <v>51</v>
      </c>
      <c r="M126" s="32">
        <f>IF(B126="高三",IF($E126="男",LOOKUP(L126,[1]对照表!$S$3:$S$24,[1]对照表!$T$3:$T$24),LOOKUP(L126,[1]对照表!$S$27:$S$48,[1]对照表!$T$27:$T$48)),IF(B126="高二",IF($E126="男",LOOKUP(L126,[1]对照表!$R$3:$R$24,[1]对照表!$T$3:$T$24),LOOKUP(L126,[1]对照表!$R$27:$R$48,[1]对照表!$T$27:$T$48)),IF(B126="高一",IF($E126="男",LOOKUP(L126,[1]对照表!$Q$3:$Q$24,[1]对照表!$T$3:$T$24),LOOKUP(L126,[1]对照表!$Q$27:$Q$48,[1]对照表!$T$27:$T$48)))))</f>
        <v>95</v>
      </c>
      <c r="N126" s="33">
        <f>IF(B126="高三",MAX(IF(E126="男",L126-18,L126-55),0),IF(B126="高二",MAX(IF(E126="男",L126-17,L126-54),0),IF(B126="高一",MAX(IF(E126="男",L126-16,L126-53),0))))</f>
        <v>0</v>
      </c>
      <c r="O126" s="23">
        <f>IF(E126="男",LOOKUP($N126,[1]对照表!$Z$3:$Z$13,[1]对照表!$AA$3:$AA$13),LOOKUP($N126,[1]对照表!$Z$15:$Z$25,[1]对照表!$AA$15:$AA$25))</f>
        <v>0</v>
      </c>
      <c r="P126" s="24">
        <f>M126+O126</f>
        <v>95</v>
      </c>
      <c r="Q126" s="25">
        <v>3.41</v>
      </c>
      <c r="R126" s="32">
        <f>IF(B126="高三",IF($E126="男",LOOKUP(Q126,[1]对照表!$W$3:$W$24,[1]对照表!$X$3:$X$24),LOOKUP(Q126,[1]对照表!$W$27:$W$48,[1]对照表!$X$27:$X$48)),IF(B126="高二",IF($E126="男",LOOKUP(Q126,[1]对照表!$V$3:$V$24,[1]对照表!$X$3:$X$24),LOOKUP(Q126,[1]对照表!$V$27:$V$48,[1]对照表!$X$27:$X$48)),IF(B126="高一",IF($E126="男",LOOKUP(Q126,[1]对照表!$U$3:$U$24,[1]对照表!$X$3:$X$24),LOOKUP(Q126,[1]对照表!$U$27:$U$48,[1]对照表!$X$27:$X$48)))))</f>
        <v>85</v>
      </c>
      <c r="S126" s="33">
        <f>ROUND(IF(IF($B126="高三",MIN(IF($E126="男",$Q126-3.2,$Q126-3.2),0),IF($B126="高二",MIN(IF($E126="男",$Q126-3.25,$Q126-3.22),0),IF($B126="高一",MIN(IF($E126="男",$Q126-3.3,$Q126-3.24),0))))&lt;-0.6,IF($B126="高三",MIN(IF($E126="男",$Q126-3.2,$Q126-3.2),0),IF($B126="高二",MIN(IF($E126="男",$Q126-3.25,$Q126-3.22),0),IF($B126="高一",MIN(IF($E126="男",$Q126-3.3,$Q126-3.24),0))))+0.4,IF($B126="高三",MIN(IF($E126="男",$Q126-3.2,$Q126-3.2),0),IF($B126="高二",MIN(IF($E126="男",$Q126-3.25,$Q126-3.22),0),IF($B126="高一",MIN(IF($E126="男",$Q126-3.3,$Q126-3.24),0))))),2)</f>
        <v>0</v>
      </c>
      <c r="T126" s="23">
        <f>IF(E126="男",LOOKUP($S126,[1]对照表!$AB$3:$AB$13,[1]对照表!$AC$3:$AC$13),LOOKUP($S126,[1]对照表!$AB$15:$AB$25,[1]对照表!$AC$15:$AC$25))</f>
        <v>0</v>
      </c>
      <c r="U126" s="26">
        <f>R126+T126</f>
        <v>85</v>
      </c>
      <c r="V126" s="26">
        <f>SUM(I126,K126,M126)/3*0.3+SUM(G126,R126)/2*0.4</f>
        <v>58.2</v>
      </c>
      <c r="W126" s="27">
        <f>O126+T126</f>
        <v>0</v>
      </c>
      <c r="X126" s="28">
        <f>V126/0.7+W126</f>
        <v>83.142857142857153</v>
      </c>
      <c r="Y126" s="28">
        <v>83.142857142857153</v>
      </c>
      <c r="Z126" s="21"/>
    </row>
    <row r="127" spans="1:26" x14ac:dyDescent="0.25">
      <c r="A127" s="16">
        <v>36</v>
      </c>
      <c r="B127" s="17" t="s">
        <v>21</v>
      </c>
      <c r="C127" s="16">
        <v>103</v>
      </c>
      <c r="D127" s="18" t="s">
        <v>468</v>
      </c>
      <c r="E127" s="17" t="s">
        <v>23</v>
      </c>
      <c r="F127" s="19">
        <v>6.9</v>
      </c>
      <c r="G127" s="32">
        <f>IF(B127="高三",IF($E127="男",LOOKUP(F127,[1]对照表!$G$3:$G$24,[1]对照表!$H$3:$H$24),LOOKUP(F127,[1]对照表!$G$27:$G$48,[1]对照表!$H$27:$H$48)),IF(B127="高二",IF($E127="男",LOOKUP(F127,[1]对照表!$F$3:$F$24,[1]对照表!$H$3:$H$24),LOOKUP(F127,[1]对照表!$F$27:$F$48,[1]对照表!$H$27:$H$48)),IF(B127="高一",IF($E127="男",LOOKUP(F127,[1]对照表!$E$3:$E$24,[1]对照表!$H$3:$H$24),LOOKUP(F127,[1]对照表!$E$27:$E$48,[1]对照表!$H$27:$H$48)))))</f>
        <v>100</v>
      </c>
      <c r="H127" s="21">
        <v>1.5</v>
      </c>
      <c r="I127" s="32">
        <f>IF(B127="高三",IF($E127="男",LOOKUP(H127,[1]对照表!$K$3:$K$24,[1]对照表!$L$3:$L$24),LOOKUP(H127,[1]对照表!$K$27:$K$48,[1]对照表!$L$27:$L$48)),IF(B127="高二",IF($E127="男",LOOKUP(H127,[1]对照表!$J$3:$J$24,[1]对照表!$L$3:$L$24),LOOKUP(H127,[1]对照表!$J$27:$J$48,[1]对照表!$L$27:$L$48)),IF(B127="高一",IF($E127="男",LOOKUP(H127,[1]对照表!$I$3:$I$24,[1]对照表!$L$3:$L$24),LOOKUP(H127,[1]对照表!$I$27:$I$48,[1]对照表!$L$27:$L$48)))))</f>
        <v>60</v>
      </c>
      <c r="J127" s="21">
        <v>250</v>
      </c>
      <c r="K127" s="32">
        <f>IF(B127="高三",IF($E127="男",LOOKUP(J127,[1]对照表!$O$3:$O$24,[1]对照表!$P$3:$P$24),LOOKUP(J127,[1]对照表!$O$27:$O$48,[1]对照表!$P$27:$P$48)),IF(B127="高二",IF($E127="男",LOOKUP(J127,[1]对照表!$N$3:$N$24,[1]对照表!$P$3:$P$24),LOOKUP(J127,[1]对照表!$N$27:$N$48,[1]对照表!$P$27:$P$48)),IF(B127="高一",IF($E127="男",LOOKUP(J127,[1]对照表!$M$3:$M$24,[1]对照表!$P$3:$P$24),LOOKUP(J127,[1]对照表!$M$27:$M$48,[1]对照表!$P$27:$P$48)))))</f>
        <v>90</v>
      </c>
      <c r="L127" s="21">
        <v>1</v>
      </c>
      <c r="M127" s="32">
        <f>IF(B127="高三",IF($E127="男",LOOKUP(L127,[1]对照表!$S$3:$S$24,[1]对照表!$T$3:$T$24),LOOKUP(L127,[1]对照表!$S$27:$S$48,[1]对照表!$T$27:$T$48)),IF(B127="高二",IF($E127="男",LOOKUP(L127,[1]对照表!$R$3:$R$24,[1]对照表!$T$3:$T$24),LOOKUP(L127,[1]对照表!$R$27:$R$48,[1]对照表!$T$27:$T$48)),IF(B127="高一",IF($E127="男",LOOKUP(L127,[1]对照表!$Q$3:$Q$24,[1]对照表!$T$3:$T$24),LOOKUP(L127,[1]对照表!$Q$27:$Q$48,[1]对照表!$T$27:$T$48)))))</f>
        <v>0</v>
      </c>
      <c r="N127" s="33">
        <f>IF(B127="高三",MAX(IF(E127="男",L127-18,L127-55),0),IF(B127="高二",MAX(IF(E127="男",L127-17,L127-54),0),IF(B127="高一",MAX(IF(E127="男",L127-16,L127-53),0))))</f>
        <v>0</v>
      </c>
      <c r="O127" s="23">
        <f>IF(E127="男",LOOKUP($N127,[1]对照表!$Z$3:$Z$13,[1]对照表!$AA$3:$AA$13),LOOKUP($N127,[1]对照表!$Z$15:$Z$25,[1]对照表!$AA$15:$AA$25))</f>
        <v>0</v>
      </c>
      <c r="P127" s="24">
        <f>M127+O127</f>
        <v>0</v>
      </c>
      <c r="Q127" s="25">
        <v>3.54</v>
      </c>
      <c r="R127" s="32">
        <f>IF(B127="高三",IF($E127="男",LOOKUP(Q127,[1]对照表!$W$3:$W$24,[1]对照表!$X$3:$X$24),LOOKUP(Q127,[1]对照表!$W$27:$W$48,[1]对照表!$X$27:$X$48)),IF(B127="高二",IF($E127="男",LOOKUP(Q127,[1]对照表!$V$3:$V$24,[1]对照表!$X$3:$X$24),LOOKUP(Q127,[1]对照表!$V$27:$V$48,[1]对照表!$X$27:$X$48)),IF(B127="高一",IF($E127="男",LOOKUP(Q127,[1]对照表!$U$3:$U$24,[1]对照表!$X$3:$X$24),LOOKUP(Q127,[1]对照表!$U$27:$U$48,[1]对照表!$X$27:$X$48)))))</f>
        <v>80</v>
      </c>
      <c r="S127" s="33">
        <f>ROUND(IF(IF($B127="高三",MIN(IF($E127="男",$Q127-3.2,$Q127-3.2),0),IF($B127="高二",MIN(IF($E127="男",$Q127-3.25,$Q127-3.22),0),IF($B127="高一",MIN(IF($E127="男",$Q127-3.3,$Q127-3.24),0))))&lt;-0.6,IF($B127="高三",MIN(IF($E127="男",$Q127-3.2,$Q127-3.2),0),IF($B127="高二",MIN(IF($E127="男",$Q127-3.25,$Q127-3.22),0),IF($B127="高一",MIN(IF($E127="男",$Q127-3.3,$Q127-3.24),0))))+0.4,IF($B127="高三",MIN(IF($E127="男",$Q127-3.2,$Q127-3.2),0),IF($B127="高二",MIN(IF($E127="男",$Q127-3.25,$Q127-3.22),0),IF($B127="高一",MIN(IF($E127="男",$Q127-3.3,$Q127-3.24),0))))),2)</f>
        <v>0</v>
      </c>
      <c r="T127" s="23">
        <f>IF(E127="男",LOOKUP($S127,[1]对照表!$AB$3:$AB$13,[1]对照表!$AC$3:$AC$13),LOOKUP($S127,[1]对照表!$AB$15:$AB$25,[1]对照表!$AC$15:$AC$25))</f>
        <v>0</v>
      </c>
      <c r="U127" s="26">
        <f>R127+T127</f>
        <v>80</v>
      </c>
      <c r="V127" s="26">
        <f>SUM(I127,K127,M127)/3*0.3+SUM(G127,R127)/2*0.4</f>
        <v>51</v>
      </c>
      <c r="W127" s="27">
        <f>O127+T127</f>
        <v>0</v>
      </c>
      <c r="X127" s="28">
        <f>V127/0.7+W127</f>
        <v>72.857142857142861</v>
      </c>
      <c r="Y127" s="28">
        <v>72.857142857142861</v>
      </c>
      <c r="Z127" s="21"/>
    </row>
    <row r="128" spans="1:26" x14ac:dyDescent="0.25">
      <c r="A128" s="16">
        <v>22</v>
      </c>
      <c r="B128" s="17" t="s">
        <v>21</v>
      </c>
      <c r="C128" s="16">
        <v>103</v>
      </c>
      <c r="D128" s="18" t="s">
        <v>474</v>
      </c>
      <c r="E128" s="17" t="s">
        <v>23</v>
      </c>
      <c r="F128" s="19">
        <v>8.1</v>
      </c>
      <c r="G128" s="32">
        <f>IF(B128="高三",IF($E128="男",LOOKUP(F128,[1]对照表!$G$3:$G$24,[1]对照表!$H$3:$H$24),LOOKUP(F128,[1]对照表!$G$27:$G$48,[1]对照表!$H$27:$H$48)),IF(B128="高二",IF($E128="男",LOOKUP(F128,[1]对照表!$F$3:$F$24,[1]对照表!$H$3:$H$24),LOOKUP(F128,[1]对照表!$F$27:$F$48,[1]对照表!$H$27:$H$48)),IF(B128="高一",IF($E128="男",LOOKUP(F128,[1]对照表!$E$3:$E$24,[1]对照表!$H$3:$H$24),LOOKUP(F128,[1]对照表!$E$27:$E$48,[1]对照表!$H$27:$H$48)))))</f>
        <v>74</v>
      </c>
      <c r="H128" s="21">
        <v>8.5</v>
      </c>
      <c r="I128" s="32">
        <f>IF(B128="高三",IF($E128="男",LOOKUP(H128,[1]对照表!$K$3:$K$24,[1]对照表!$L$3:$L$24),LOOKUP(H128,[1]对照表!$K$27:$K$48,[1]对照表!$L$27:$L$48)),IF(B128="高二",IF($E128="男",LOOKUP(H128,[1]对照表!$J$3:$J$24,[1]对照表!$L$3:$L$24),LOOKUP(H128,[1]对照表!$J$27:$J$48,[1]对照表!$L$27:$L$48)),IF(B128="高一",IF($E128="男",LOOKUP(H128,[1]对照表!$I$3:$I$24,[1]对照表!$L$3:$L$24),LOOKUP(H128,[1]对照表!$I$27:$I$48,[1]对照表!$L$27:$L$48)))))</f>
        <v>70</v>
      </c>
      <c r="J128" s="21">
        <v>220</v>
      </c>
      <c r="K128" s="32">
        <f>IF(B128="高三",IF($E128="男",LOOKUP(J128,[1]对照表!$O$3:$O$24,[1]对照表!$P$3:$P$24),LOOKUP(J128,[1]对照表!$O$27:$O$48,[1]对照表!$P$27:$P$48)),IF(B128="高二",IF($E128="男",LOOKUP(J128,[1]对照表!$N$3:$N$24,[1]对照表!$P$3:$P$24),LOOKUP(J128,[1]对照表!$N$27:$N$48,[1]对照表!$P$27:$P$48)),IF(B128="高一",IF($E128="男",LOOKUP(J128,[1]对照表!$M$3:$M$24,[1]对照表!$P$3:$P$24),LOOKUP(J128,[1]对照表!$M$27:$M$48,[1]对照表!$P$27:$P$48)))))</f>
        <v>72</v>
      </c>
      <c r="L128" s="21">
        <v>9</v>
      </c>
      <c r="M128" s="32">
        <f>IF(B128="高三",IF($E128="男",LOOKUP(L128,[1]对照表!$S$3:$S$24,[1]对照表!$T$3:$T$24),LOOKUP(L128,[1]对照表!$S$27:$S$48,[1]对照表!$T$27:$T$48)),IF(B128="高二",IF($E128="男",LOOKUP(L128,[1]对照表!$R$3:$R$24,[1]对照表!$T$3:$T$24),LOOKUP(L128,[1]对照表!$R$27:$R$48,[1]对照表!$T$27:$T$48)),IF(B128="高一",IF($E128="男",LOOKUP(L128,[1]对照表!$Q$3:$Q$24,[1]对照表!$T$3:$T$24),LOOKUP(L128,[1]对照表!$Q$27:$Q$48,[1]对照表!$T$27:$T$48)))))</f>
        <v>68</v>
      </c>
      <c r="N128" s="27">
        <f>IF(B128="高三",MAX(IF(E128="男",L128-18,L128-55),0),IF(B128="高二",MAX(IF(E128="男",L128-17,L128-54),0),IF(B128="高一",MAX(IF(E128="男",L128-16,L128-53),0))))</f>
        <v>0</v>
      </c>
      <c r="O128" s="23">
        <f>IF(E128="男",LOOKUP($N128,[1]对照表!$Z$3:$Z$13,[1]对照表!$AA$3:$AA$13),LOOKUP($N128,[1]对照表!$Z$15:$Z$25,[1]对照表!$AA$15:$AA$25))</f>
        <v>0</v>
      </c>
      <c r="P128" s="24">
        <f>M128+O128</f>
        <v>68</v>
      </c>
      <c r="Q128" s="25">
        <v>4.09</v>
      </c>
      <c r="R128" s="32">
        <f>IF(B128="高三",IF($E128="男",LOOKUP(Q128,[1]对照表!$W$3:$W$24,[1]对照表!$X$3:$X$24),LOOKUP(Q128,[1]对照表!$W$27:$W$48,[1]对照表!$X$27:$X$48)),IF(B128="高二",IF($E128="男",LOOKUP(Q128,[1]对照表!$V$3:$V$24,[1]对照表!$X$3:$X$24),LOOKUP(Q128,[1]对照表!$V$27:$V$48,[1]对照表!$X$27:$X$48)),IF(B128="高一",IF($E128="男",LOOKUP(Q128,[1]对照表!$U$3:$U$24,[1]对照表!$X$3:$X$24),LOOKUP(Q128,[1]对照表!$U$27:$U$48,[1]对照表!$X$27:$X$48)))))</f>
        <v>74</v>
      </c>
      <c r="S128" s="27">
        <f>ROUND(IF(IF($B128="高三",MIN(IF($E128="男",$Q128-3.2,$Q128-3.2),0),IF($B128="高二",MIN(IF($E128="男",$Q128-3.25,$Q128-3.22),0),IF($B128="高一",MIN(IF($E128="男",$Q128-3.3,$Q128-3.24),0))))&lt;-0.6,IF($B128="高三",MIN(IF($E128="男",$Q128-3.2,$Q128-3.2),0),IF($B128="高二",MIN(IF($E128="男",$Q128-3.25,$Q128-3.22),0),IF($B128="高一",MIN(IF($E128="男",$Q128-3.3,$Q128-3.24),0))))+0.4,IF($B128="高三",MIN(IF($E128="男",$Q128-3.2,$Q128-3.2),0),IF($B128="高二",MIN(IF($E128="男",$Q128-3.25,$Q128-3.22),0),IF($B128="高一",MIN(IF($E128="男",$Q128-3.3,$Q128-3.24),0))))),2)</f>
        <v>0</v>
      </c>
      <c r="T128" s="23">
        <f>IF(E128="男",LOOKUP($S128,[1]对照表!$AB$3:$AB$13,[1]对照表!$AC$3:$AC$13),LOOKUP($S128,[1]对照表!$AB$15:$AB$25,[1]对照表!$AC$15:$AC$25))</f>
        <v>0</v>
      </c>
      <c r="U128" s="26">
        <f>R128+T128</f>
        <v>74</v>
      </c>
      <c r="V128" s="26">
        <f>SUM(I128,K128,M128)/3*0.3+SUM(G128,R128)/2*0.4</f>
        <v>50.6</v>
      </c>
      <c r="W128" s="27">
        <f>O128+T128</f>
        <v>0</v>
      </c>
      <c r="X128" s="28">
        <f>V128/0.7+W128</f>
        <v>72.285714285714292</v>
      </c>
      <c r="Y128" s="28">
        <v>72.285714285714292</v>
      </c>
      <c r="Z128" s="21"/>
    </row>
    <row r="129" spans="1:26" x14ac:dyDescent="0.25">
      <c r="A129" s="16">
        <v>27</v>
      </c>
      <c r="B129" s="17" t="s">
        <v>21</v>
      </c>
      <c r="C129" s="16">
        <v>103</v>
      </c>
      <c r="D129" s="18" t="s">
        <v>519</v>
      </c>
      <c r="E129" s="17" t="s">
        <v>23</v>
      </c>
      <c r="F129" s="19">
        <v>7.8</v>
      </c>
      <c r="G129" s="32">
        <f>IF(B129="高三",IF($E129="男",LOOKUP(F129,[1]对照表!$G$3:$G$24,[1]对照表!$H$3:$H$24),LOOKUP(F129,[1]对照表!$G$27:$G$48,[1]对照表!$H$27:$H$48)),IF(B129="高二",IF($E129="男",LOOKUP(F129,[1]对照表!$F$3:$F$24,[1]对照表!$H$3:$H$24),LOOKUP(F129,[1]对照表!$F$27:$F$48,[1]对照表!$H$27:$H$48)),IF(B129="高一",IF($E129="男",LOOKUP(F129,[1]对照表!$E$3:$E$24,[1]对照表!$H$3:$H$24),LOOKUP(F129,[1]对照表!$E$27:$E$48,[1]对照表!$H$27:$H$48)))))</f>
        <v>76</v>
      </c>
      <c r="H129" s="21">
        <v>4.5</v>
      </c>
      <c r="I129" s="32">
        <f>IF(B129="高三",IF($E129="男",LOOKUP(H129,[1]对照表!$K$3:$K$24,[1]对照表!$L$3:$L$24),LOOKUP(H129,[1]对照表!$K$27:$K$48,[1]对照表!$L$27:$L$48)),IF(B129="高二",IF($E129="男",LOOKUP(H129,[1]对照表!$J$3:$J$24,[1]对照表!$L$3:$L$24),LOOKUP(H129,[1]对照表!$J$27:$J$48,[1]对照表!$L$27:$L$48)),IF(B129="高一",IF($E129="男",LOOKUP(H129,[1]对照表!$I$3:$I$24,[1]对照表!$L$3:$L$24),LOOKUP(H129,[1]对照表!$I$27:$I$48,[1]对照表!$L$27:$L$48)))))</f>
        <v>64</v>
      </c>
      <c r="J129" s="21">
        <v>220</v>
      </c>
      <c r="K129" s="32">
        <f>IF(B129="高三",IF($E129="男",LOOKUP(J129,[1]对照表!$O$3:$O$24,[1]对照表!$P$3:$P$24),LOOKUP(J129,[1]对照表!$O$27:$O$48,[1]对照表!$P$27:$P$48)),IF(B129="高二",IF($E129="男",LOOKUP(J129,[1]对照表!$N$3:$N$24,[1]对照表!$P$3:$P$24),LOOKUP(J129,[1]对照表!$N$27:$N$48,[1]对照表!$P$27:$P$48)),IF(B129="高一",IF($E129="男",LOOKUP(J129,[1]对照表!$M$3:$M$24,[1]对照表!$P$3:$P$24),LOOKUP(J129,[1]对照表!$M$27:$M$48,[1]对照表!$P$27:$P$48)))))</f>
        <v>72</v>
      </c>
      <c r="L129" s="21">
        <v>5</v>
      </c>
      <c r="M129" s="32">
        <f>IF(B129="高三",IF($E129="男",LOOKUP(L129,[1]对照表!$S$3:$S$24,[1]对照表!$T$3:$T$24),LOOKUP(L129,[1]对照表!$S$27:$S$48,[1]对照表!$T$27:$T$48)),IF(B129="高二",IF($E129="男",LOOKUP(L129,[1]对照表!$R$3:$R$24,[1]对照表!$T$3:$T$24),LOOKUP(L129,[1]对照表!$R$27:$R$48,[1]对照表!$T$27:$T$48)),IF(B129="高一",IF($E129="男",LOOKUP(L129,[1]对照表!$Q$3:$Q$24,[1]对照表!$T$3:$T$24),LOOKUP(L129,[1]对照表!$Q$27:$Q$48,[1]对照表!$T$27:$T$48)))))</f>
        <v>40</v>
      </c>
      <c r="N129" s="33">
        <f>IF(B129="高三",MAX(IF(E129="男",L129-18,L129-55),0),IF(B129="高二",MAX(IF(E129="男",L129-17,L129-54),0),IF(B129="高一",MAX(IF(E129="男",L129-16,L129-53),0))))</f>
        <v>0</v>
      </c>
      <c r="O129" s="23">
        <f>IF(E129="男",LOOKUP($N129,[1]对照表!$Z$3:$Z$13,[1]对照表!$AA$3:$AA$13),LOOKUP($N129,[1]对照表!$Z$15:$Z$25,[1]对照表!$AA$15:$AA$25))</f>
        <v>0</v>
      </c>
      <c r="P129" s="24">
        <f>M129+O129</f>
        <v>40</v>
      </c>
      <c r="Q129" s="25">
        <v>3.59</v>
      </c>
      <c r="R129" s="32">
        <f>IF(B129="高三",IF($E129="男",LOOKUP(Q129,[1]对照表!$W$3:$W$24,[1]对照表!$X$3:$X$24),LOOKUP(Q129,[1]对照表!$W$27:$W$48,[1]对照表!$X$27:$X$48)),IF(B129="高二",IF($E129="男",LOOKUP(Q129,[1]对照表!$V$3:$V$24,[1]对照表!$X$3:$X$24),LOOKUP(Q129,[1]对照表!$V$27:$V$48,[1]对照表!$X$27:$X$48)),IF(B129="高一",IF($E129="男",LOOKUP(Q129,[1]对照表!$U$3:$U$24,[1]对照表!$X$3:$X$24),LOOKUP(Q129,[1]对照表!$U$27:$U$48,[1]对照表!$X$27:$X$48)))))</f>
        <v>78</v>
      </c>
      <c r="S129" s="33">
        <f>ROUND(IF(IF($B129="高三",MIN(IF($E129="男",$Q129-3.2,$Q129-3.2),0),IF($B129="高二",MIN(IF($E129="男",$Q129-3.25,$Q129-3.22),0),IF($B129="高一",MIN(IF($E129="男",$Q129-3.3,$Q129-3.24),0))))&lt;-0.6,IF($B129="高三",MIN(IF($E129="男",$Q129-3.2,$Q129-3.2),0),IF($B129="高二",MIN(IF($E129="男",$Q129-3.25,$Q129-3.22),0),IF($B129="高一",MIN(IF($E129="男",$Q129-3.3,$Q129-3.24),0))))+0.4,IF($B129="高三",MIN(IF($E129="男",$Q129-3.2,$Q129-3.2),0),IF($B129="高二",MIN(IF($E129="男",$Q129-3.25,$Q129-3.22),0),IF($B129="高一",MIN(IF($E129="男",$Q129-3.3,$Q129-3.24),0))))),2)</f>
        <v>0</v>
      </c>
      <c r="T129" s="23">
        <f>IF(E129="男",LOOKUP($S129,[1]对照表!$AB$3:$AB$13,[1]对照表!$AC$3:$AC$13),LOOKUP($S129,[1]对照表!$AB$15:$AB$25,[1]对照表!$AC$15:$AC$25))</f>
        <v>0</v>
      </c>
      <c r="U129" s="26">
        <f>R129+T129</f>
        <v>78</v>
      </c>
      <c r="V129" s="26">
        <f>SUM(I129,K129,M129)/3*0.3+SUM(G129,R129)/2*0.4</f>
        <v>48.4</v>
      </c>
      <c r="W129" s="27">
        <f>O129+T129</f>
        <v>0</v>
      </c>
      <c r="X129" s="28">
        <f>V129/0.7+W129</f>
        <v>69.142857142857139</v>
      </c>
      <c r="Y129" s="28">
        <v>69.142857142857139</v>
      </c>
      <c r="Z129" s="21"/>
    </row>
    <row r="130" spans="1:26" x14ac:dyDescent="0.25">
      <c r="A130" s="16">
        <v>6</v>
      </c>
      <c r="B130" s="17" t="s">
        <v>21</v>
      </c>
      <c r="C130" s="16">
        <v>103</v>
      </c>
      <c r="D130" s="18" t="s">
        <v>522</v>
      </c>
      <c r="E130" s="16" t="s">
        <v>23</v>
      </c>
      <c r="F130" s="19">
        <v>7.9</v>
      </c>
      <c r="G130" s="32">
        <f>IF(B130="高三",IF($E130="男",LOOKUP(F130,[1]对照表!$G$3:$G$24,[1]对照表!$H$3:$H$24),LOOKUP(F130,[1]对照表!$G$27:$G$48,[1]对照表!$H$27:$H$48)),IF(B130="高二",IF($E130="男",LOOKUP(F130,[1]对照表!$F$3:$F$24,[1]对照表!$H$3:$H$24),LOOKUP(F130,[1]对照表!$F$27:$F$48,[1]对照表!$H$27:$H$48)),IF(B130="高一",IF($E130="男",LOOKUP(F130,[1]对照表!$E$3:$E$24,[1]对照表!$H$3:$H$24),LOOKUP(F130,[1]对照表!$E$27:$E$48,[1]对照表!$H$27:$H$48)))))</f>
        <v>76</v>
      </c>
      <c r="H130" s="21">
        <v>11</v>
      </c>
      <c r="I130" s="32">
        <f>IF(B130="高三",IF($E130="男",LOOKUP(H130,[1]对照表!$K$3:$K$24,[1]对照表!$L$3:$L$24),LOOKUP(H130,[1]对照表!$K$27:$K$48,[1]对照表!$L$27:$L$48)),IF(B130="高二",IF($E130="男",LOOKUP(H130,[1]对照表!$J$3:$J$24,[1]对照表!$L$3:$L$24),LOOKUP(H130,[1]对照表!$J$27:$J$48,[1]对照表!$L$27:$L$48)),IF(B130="高一",IF($E130="男",LOOKUP(H130,[1]对照表!$I$3:$I$24,[1]对照表!$L$3:$L$24),LOOKUP(H130,[1]对照表!$I$27:$I$48,[1]对照表!$L$27:$L$48)))))</f>
        <v>74</v>
      </c>
      <c r="J130" s="21">
        <v>195</v>
      </c>
      <c r="K130" s="32">
        <f>IF(B130="高三",IF($E130="男",LOOKUP(J130,[1]对照表!$O$3:$O$24,[1]对照表!$P$3:$P$24),LOOKUP(J130,[1]对照表!$O$27:$O$48,[1]对照表!$P$27:$P$48)),IF(B130="高二",IF($E130="男",LOOKUP(J130,[1]对照表!$N$3:$N$24,[1]对照表!$P$3:$P$24),LOOKUP(J130,[1]对照表!$N$27:$N$48,[1]对照表!$P$27:$P$48)),IF(B130="高一",IF($E130="男",LOOKUP(J130,[1]对照表!$M$3:$M$24,[1]对照表!$P$3:$P$24),LOOKUP(J130,[1]对照表!$M$27:$M$48,[1]对照表!$P$27:$P$48)))))</f>
        <v>60</v>
      </c>
      <c r="L130" s="21">
        <v>10</v>
      </c>
      <c r="M130" s="32">
        <f>IF(B130="高三",IF($E130="男",LOOKUP(L130,[1]对照表!$S$3:$S$24,[1]对照表!$T$3:$T$24),LOOKUP(L130,[1]对照表!$S$27:$S$48,[1]对照表!$T$27:$T$48)),IF(B130="高二",IF($E130="男",LOOKUP(L130,[1]对照表!$R$3:$R$24,[1]对照表!$T$3:$T$24),LOOKUP(L130,[1]对照表!$R$27:$R$48,[1]对照表!$T$27:$T$48)),IF(B130="高一",IF($E130="男",LOOKUP(L130,[1]对照表!$Q$3:$Q$24,[1]对照表!$T$3:$T$24),LOOKUP(L130,[1]对照表!$Q$27:$Q$48,[1]对照表!$T$27:$T$48)))))</f>
        <v>72</v>
      </c>
      <c r="N130" s="33">
        <f>IF(B130="高三",MAX(IF(E130="男",L130-18,L130-55),0),IF(B130="高二",MAX(IF(E130="男",L130-17,L130-54),0),IF(B130="高一",MAX(IF(E130="男",L130-16,L130-53),0))))</f>
        <v>0</v>
      </c>
      <c r="O130" s="23">
        <f>IF(E130="男",LOOKUP($N130,[1]对照表!$Z$3:$Z$13,[1]对照表!$AA$3:$AA$13),LOOKUP($N130,[1]对照表!$Z$15:$Z$25,[1]对照表!$AA$15:$AA$25))</f>
        <v>0</v>
      </c>
      <c r="P130" s="24">
        <f>M130+O130</f>
        <v>72</v>
      </c>
      <c r="Q130" s="25">
        <v>4.38</v>
      </c>
      <c r="R130" s="32">
        <f>IF(B130="高三",IF($E130="男",LOOKUP(Q130,[1]对照表!$W$3:$W$24,[1]对照表!$X$3:$X$24),LOOKUP(Q130,[1]对照表!$W$27:$W$48,[1]对照表!$X$27:$X$48)),IF(B130="高二",IF($E130="男",LOOKUP(Q130,[1]对照表!$V$3:$V$24,[1]对照表!$X$3:$X$24),LOOKUP(Q130,[1]对照表!$V$27:$V$48,[1]对照表!$X$27:$X$48)),IF(B130="高一",IF($E130="男",LOOKUP(Q130,[1]对照表!$U$3:$U$24,[1]对照表!$X$3:$X$24),LOOKUP(Q130,[1]对照表!$U$27:$U$48,[1]对照表!$X$27:$X$48)))))</f>
        <v>62</v>
      </c>
      <c r="S130" s="33">
        <f>ROUND(IF(IF($B130="高三",MIN(IF($E130="男",$Q130-3.2,$Q130-3.2),0),IF($B130="高二",MIN(IF($E130="男",$Q130-3.25,$Q130-3.22),0),IF($B130="高一",MIN(IF($E130="男",$Q130-3.3,$Q130-3.24),0))))&lt;-0.6,IF($B130="高三",MIN(IF($E130="男",$Q130-3.2,$Q130-3.2),0),IF($B130="高二",MIN(IF($E130="男",$Q130-3.25,$Q130-3.22),0),IF($B130="高一",MIN(IF($E130="男",$Q130-3.3,$Q130-3.24),0))))+0.4,IF($B130="高三",MIN(IF($E130="男",$Q130-3.2,$Q130-3.2),0),IF($B130="高二",MIN(IF($E130="男",$Q130-3.25,$Q130-3.22),0),IF($B130="高一",MIN(IF($E130="男",$Q130-3.3,$Q130-3.24),0))))),2)</f>
        <v>0</v>
      </c>
      <c r="T130" s="23">
        <f>IF(E130="男",LOOKUP($S130,[1]对照表!$AB$3:$AB$13,[1]对照表!$AC$3:$AC$13),LOOKUP($S130,[1]对照表!$AB$15:$AB$25,[1]对照表!$AC$15:$AC$25))</f>
        <v>0</v>
      </c>
      <c r="U130" s="26">
        <f>R130+T130</f>
        <v>62</v>
      </c>
      <c r="V130" s="26">
        <f>SUM(I130,K130,M130)/3*0.3+SUM(G130,R130)/2*0.4</f>
        <v>48.2</v>
      </c>
      <c r="W130" s="27">
        <f>O130+T130</f>
        <v>0</v>
      </c>
      <c r="X130" s="28">
        <f>V130/0.7+W130</f>
        <v>68.857142857142861</v>
      </c>
      <c r="Y130" s="28">
        <v>68.857142857142861</v>
      </c>
      <c r="Z130" s="21"/>
    </row>
    <row r="131" spans="1:26" x14ac:dyDescent="0.25">
      <c r="A131" s="16">
        <v>26</v>
      </c>
      <c r="B131" s="17" t="s">
        <v>21</v>
      </c>
      <c r="C131" s="16">
        <v>103</v>
      </c>
      <c r="D131" s="18" t="s">
        <v>533</v>
      </c>
      <c r="E131" s="17" t="s">
        <v>23</v>
      </c>
      <c r="F131" s="19">
        <v>7.5</v>
      </c>
      <c r="G131" s="32">
        <f>IF(B131="高三",IF($E131="男",LOOKUP(F131,[1]对照表!$G$3:$G$24,[1]对照表!$H$3:$H$24),LOOKUP(F131,[1]对照表!$G$27:$G$48,[1]对照表!$H$27:$H$48)),IF(B131="高二",IF($E131="男",LOOKUP(F131,[1]对照表!$F$3:$F$24,[1]对照表!$H$3:$H$24),LOOKUP(F131,[1]对照表!$F$27:$F$48,[1]对照表!$H$27:$H$48)),IF(B131="高一",IF($E131="男",LOOKUP(F131,[1]对照表!$E$3:$E$24,[1]对照表!$H$3:$H$24),LOOKUP(F131,[1]对照表!$E$27:$E$48,[1]对照表!$H$27:$H$48)))))</f>
        <v>80</v>
      </c>
      <c r="H131" s="21">
        <v>18</v>
      </c>
      <c r="I131" s="32">
        <f>IF(B131="高三",IF($E131="男",LOOKUP(H131,[1]对照表!$K$3:$K$24,[1]对照表!$L$3:$L$24),LOOKUP(H131,[1]对照表!$K$27:$K$48,[1]对照表!$L$27:$L$48)),IF(B131="高二",IF($E131="男",LOOKUP(H131,[1]对照表!$J$3:$J$24,[1]对照表!$L$3:$L$24),LOOKUP(H131,[1]对照表!$J$27:$J$48,[1]对照表!$L$27:$L$48)),IF(B131="高一",IF($E131="男",LOOKUP(H131,[1]对照表!$I$3:$I$24,[1]对照表!$L$3:$L$24),LOOKUP(H131,[1]对照表!$I$27:$I$48,[1]对照表!$L$27:$L$48)))))</f>
        <v>85</v>
      </c>
      <c r="J131" s="21">
        <v>205</v>
      </c>
      <c r="K131" s="32">
        <f>IF(B131="高三",IF($E131="男",LOOKUP(J131,[1]对照表!$O$3:$O$24,[1]对照表!$P$3:$P$24),LOOKUP(J131,[1]对照表!$O$27:$O$48,[1]对照表!$P$27:$P$48)),IF(B131="高二",IF($E131="男",LOOKUP(J131,[1]对照表!$N$3:$N$24,[1]对照表!$P$3:$P$24),LOOKUP(J131,[1]对照表!$N$27:$N$48,[1]对照表!$P$27:$P$48)),IF(B131="高一",IF($E131="男",LOOKUP(J131,[1]对照表!$M$3:$M$24,[1]对照表!$P$3:$P$24),LOOKUP(J131,[1]对照表!$M$27:$M$48,[1]对照表!$P$27:$P$48)))))</f>
        <v>64</v>
      </c>
      <c r="L131" s="21">
        <v>0</v>
      </c>
      <c r="M131" s="32">
        <f>IF(B131="高三",IF($E131="男",LOOKUP(L131,[1]对照表!$S$3:$S$24,[1]对照表!$T$3:$T$24),LOOKUP(L131,[1]对照表!$S$27:$S$48,[1]对照表!$T$27:$T$48)),IF(B131="高二",IF($E131="男",LOOKUP(L131,[1]对照表!$R$3:$R$24,[1]对照表!$T$3:$T$24),LOOKUP(L131,[1]对照表!$R$27:$R$48,[1]对照表!$T$27:$T$48)),IF(B131="高一",IF($E131="男",LOOKUP(L131,[1]对照表!$Q$3:$Q$24,[1]对照表!$T$3:$T$24),LOOKUP(L131,[1]对照表!$Q$27:$Q$48,[1]对照表!$T$27:$T$48)))))</f>
        <v>0</v>
      </c>
      <c r="N131" s="33">
        <f>IF(B131="高三",MAX(IF(E131="男",L131-18,L131-55),0),IF(B131="高二",MAX(IF(E131="男",L131-17,L131-54),0),IF(B131="高一",MAX(IF(E131="男",L131-16,L131-53),0))))</f>
        <v>0</v>
      </c>
      <c r="O131" s="23">
        <f>IF(E131="男",LOOKUP($N131,[1]对照表!$Z$3:$Z$13,[1]对照表!$AA$3:$AA$13),LOOKUP($N131,[1]对照表!$Z$15:$Z$25,[1]对照表!$AA$15:$AA$25))</f>
        <v>0</v>
      </c>
      <c r="P131" s="24">
        <f>M131+O131</f>
        <v>0</v>
      </c>
      <c r="Q131" s="25">
        <v>3.55</v>
      </c>
      <c r="R131" s="32">
        <f>IF(B131="高三",IF($E131="男",LOOKUP(Q131,[1]对照表!$W$3:$W$24,[1]对照表!$X$3:$X$24),LOOKUP(Q131,[1]对照表!$W$27:$W$48,[1]对照表!$X$27:$X$48)),IF(B131="高二",IF($E131="男",LOOKUP(Q131,[1]对照表!$V$3:$V$24,[1]对照表!$X$3:$X$24),LOOKUP(Q131,[1]对照表!$V$27:$V$48,[1]对照表!$X$27:$X$48)),IF(B131="高一",IF($E131="男",LOOKUP(Q131,[1]对照表!$U$3:$U$24,[1]对照表!$X$3:$X$24),LOOKUP(Q131,[1]对照表!$U$27:$U$48,[1]对照表!$X$27:$X$48)))))</f>
        <v>80</v>
      </c>
      <c r="S131" s="33">
        <f>ROUND(IF(IF($B131="高三",MIN(IF($E131="男",$Q131-3.2,$Q131-3.2),0),IF($B131="高二",MIN(IF($E131="男",$Q131-3.25,$Q131-3.22),0),IF($B131="高一",MIN(IF($E131="男",$Q131-3.3,$Q131-3.24),0))))&lt;-0.6,IF($B131="高三",MIN(IF($E131="男",$Q131-3.2,$Q131-3.2),0),IF($B131="高二",MIN(IF($E131="男",$Q131-3.25,$Q131-3.22),0),IF($B131="高一",MIN(IF($E131="男",$Q131-3.3,$Q131-3.24),0))))+0.4,IF($B131="高三",MIN(IF($E131="男",$Q131-3.2,$Q131-3.2),0),IF($B131="高二",MIN(IF($E131="男",$Q131-3.25,$Q131-3.22),0),IF($B131="高一",MIN(IF($E131="男",$Q131-3.3,$Q131-3.24),0))))),2)</f>
        <v>0</v>
      </c>
      <c r="T131" s="23">
        <f>IF(E131="男",LOOKUP($S131,[1]对照表!$AB$3:$AB$13,[1]对照表!$AC$3:$AC$13),LOOKUP($S131,[1]对照表!$AB$15:$AB$25,[1]对照表!$AC$15:$AC$25))</f>
        <v>0</v>
      </c>
      <c r="U131" s="26">
        <f>R131+T131</f>
        <v>80</v>
      </c>
      <c r="V131" s="26">
        <f>SUM(I131,K131,M131)/3*0.3+SUM(G131,R131)/2*0.4</f>
        <v>46.9</v>
      </c>
      <c r="W131" s="27">
        <f>O131+T131</f>
        <v>0</v>
      </c>
      <c r="X131" s="28">
        <f>V131/0.7+W131</f>
        <v>67</v>
      </c>
      <c r="Y131" s="28">
        <v>67</v>
      </c>
      <c r="Z131" s="21"/>
    </row>
    <row r="132" spans="1:26" x14ac:dyDescent="0.25">
      <c r="A132" s="16">
        <v>5</v>
      </c>
      <c r="B132" s="17" t="s">
        <v>21</v>
      </c>
      <c r="C132" s="16">
        <v>103</v>
      </c>
      <c r="D132" s="18" t="s">
        <v>538</v>
      </c>
      <c r="E132" s="16" t="s">
        <v>23</v>
      </c>
      <c r="F132" s="19">
        <v>7.1</v>
      </c>
      <c r="G132" s="32">
        <f>IF(B132="高三",IF($E132="男",LOOKUP(F132,[1]对照表!$G$3:$G$24,[1]对照表!$H$3:$H$24),LOOKUP(F132,[1]对照表!$G$27:$G$48,[1]对照表!$H$27:$H$48)),IF(B132="高二",IF($E132="男",LOOKUP(F132,[1]对照表!$F$3:$F$24,[1]对照表!$H$3:$H$24),LOOKUP(F132,[1]对照表!$F$27:$F$48,[1]对照表!$H$27:$H$48)),IF(B132="高一",IF($E132="男",LOOKUP(F132,[1]对照表!$E$3:$E$24,[1]对照表!$H$3:$H$24),LOOKUP(F132,[1]对照表!$E$27:$E$48,[1]对照表!$H$27:$H$48)))))</f>
        <v>100</v>
      </c>
      <c r="H132" s="21">
        <v>11.5</v>
      </c>
      <c r="I132" s="32">
        <f>IF(B132="高三",IF($E132="男",LOOKUP(H132,[1]对照表!$K$3:$K$24,[1]对照表!$L$3:$L$24),LOOKUP(H132,[1]对照表!$K$27:$K$48,[1]对照表!$L$27:$L$48)),IF(B132="高二",IF($E132="男",LOOKUP(H132,[1]对照表!$J$3:$J$24,[1]对照表!$L$3:$L$24),LOOKUP(H132,[1]对照表!$J$27:$J$48,[1]对照表!$L$27:$L$48)),IF(B132="高一",IF($E132="男",LOOKUP(H132,[1]对照表!$I$3:$I$24,[1]对照表!$L$3:$L$24),LOOKUP(H132,[1]对照表!$I$27:$I$48,[1]对照表!$L$27:$L$48)))))</f>
        <v>74</v>
      </c>
      <c r="J132" s="21">
        <v>235</v>
      </c>
      <c r="K132" s="32">
        <f>IF(B132="高三",IF($E132="男",LOOKUP(J132,[1]对照表!$O$3:$O$24,[1]对照表!$P$3:$P$24),LOOKUP(J132,[1]对照表!$O$27:$O$48,[1]对照表!$P$27:$P$48)),IF(B132="高二",IF($E132="男",LOOKUP(J132,[1]对照表!$N$3:$N$24,[1]对照表!$P$3:$P$24),LOOKUP(J132,[1]对照表!$N$27:$N$48,[1]对照表!$P$27:$P$48)),IF(B132="高一",IF($E132="男",LOOKUP(J132,[1]对照表!$M$3:$M$24,[1]对照表!$P$3:$P$24),LOOKUP(J132,[1]对照表!$M$27:$M$48,[1]对照表!$P$27:$P$48)))))</f>
        <v>80</v>
      </c>
      <c r="L132" s="21">
        <v>17</v>
      </c>
      <c r="M132" s="32">
        <f>IF(B132="高三",IF($E132="男",LOOKUP(L132,[1]对照表!$S$3:$S$24,[1]对照表!$T$3:$T$24),LOOKUP(L132,[1]对照表!$S$27:$S$48,[1]对照表!$T$27:$T$48)),IF(B132="高二",IF($E132="男",LOOKUP(L132,[1]对照表!$R$3:$R$24,[1]对照表!$T$3:$T$24),LOOKUP(L132,[1]对照表!$R$27:$R$48,[1]对照表!$T$27:$T$48)),IF(B132="高一",IF($E132="男",LOOKUP(L132,[1]对照表!$Q$3:$Q$24,[1]对照表!$T$3:$T$24),LOOKUP(L132,[1]对照表!$Q$27:$Q$48,[1]对照表!$T$27:$T$48)))))</f>
        <v>100</v>
      </c>
      <c r="N132" s="33">
        <f>IF(B132="高三",MAX(IF(E132="男",L132-18,L132-55),0),IF(B132="高二",MAX(IF(E132="男",L132-17,L132-54),0),IF(B132="高一",MAX(IF(E132="男",L132-16,L132-53),0))))</f>
        <v>1</v>
      </c>
      <c r="O132" s="23">
        <f>IF(E132="男",LOOKUP($N132,[1]对照表!$Z$3:$Z$13,[1]对照表!$AA$3:$AA$13),LOOKUP($N132,[1]对照表!$Z$15:$Z$25,[1]对照表!$AA$15:$AA$25))</f>
        <v>1</v>
      </c>
      <c r="P132" s="24">
        <f>M132+O132</f>
        <v>101</v>
      </c>
      <c r="Q132" s="25"/>
      <c r="R132" s="20">
        <v>0</v>
      </c>
      <c r="S132" s="22">
        <v>0</v>
      </c>
      <c r="T132" s="23">
        <f>IF(E132="男",LOOKUP($S132,[1]对照表!$AB$3:$AB$13,[1]对照表!$AC$3:$AC$13),LOOKUP($S132,[1]对照表!$AB$15:$AB$25,[1]对照表!$AC$15:$AC$25))</f>
        <v>0</v>
      </c>
      <c r="U132" s="26">
        <f>R132+T132</f>
        <v>0</v>
      </c>
      <c r="V132" s="26">
        <f>SUM(I132,K132,M132)/3*0.3+SUM(G132,R132)/2*0.4</f>
        <v>45.400000000000006</v>
      </c>
      <c r="W132" s="27">
        <f>O132+T132</f>
        <v>1</v>
      </c>
      <c r="X132" s="28">
        <f>V132/0.7+W132</f>
        <v>65.857142857142875</v>
      </c>
      <c r="Y132" s="28">
        <v>65.857142857142875</v>
      </c>
      <c r="Z132" s="21" t="s">
        <v>539</v>
      </c>
    </row>
    <row r="133" spans="1:26" x14ac:dyDescent="0.25">
      <c r="A133" s="16">
        <v>45</v>
      </c>
      <c r="B133" s="17" t="s">
        <v>21</v>
      </c>
      <c r="C133" s="16">
        <v>103</v>
      </c>
      <c r="D133" s="18" t="s">
        <v>549</v>
      </c>
      <c r="E133" s="17" t="s">
        <v>65</v>
      </c>
      <c r="F133" s="19">
        <v>9.3800000000000008</v>
      </c>
      <c r="G133" s="32">
        <f>IF(B133="高三",IF($E133="男",LOOKUP(F133,[1]对照表!$G$3:$G$24,[1]对照表!$H$3:$H$24),LOOKUP(F133,[1]对照表!$G$27:$G$48,[1]对照表!$H$27:$H$48)),IF(B133="高二",IF($E133="男",LOOKUP(F133,[1]对照表!$F$3:$F$24,[1]对照表!$H$3:$H$24),LOOKUP(F133,[1]对照表!$F$27:$F$48,[1]对照表!$H$27:$H$48)),IF(B133="高一",IF($E133="男",LOOKUP(F133,[1]对照表!$E$3:$E$24,[1]对照表!$H$3:$H$24),LOOKUP(F133,[1]对照表!$E$27:$E$48,[1]对照表!$H$27:$H$48)))))</f>
        <v>72</v>
      </c>
      <c r="H133" s="21">
        <v>22.5</v>
      </c>
      <c r="I133" s="32">
        <f>IF(B133="高三",IF($E133="男",LOOKUP(H133,[1]对照表!$K$3:$K$24,[1]对照表!$L$3:$L$24),LOOKUP(H133,[1]对照表!$K$27:$K$48,[1]对照表!$L$27:$L$48)),IF(B133="高二",IF($E133="男",LOOKUP(H133,[1]对照表!$J$3:$J$24,[1]对照表!$L$3:$L$24),LOOKUP(H133,[1]对照表!$J$27:$J$48,[1]对照表!$L$27:$L$48)),IF(B133="高一",IF($E133="男",LOOKUP(H133,[1]对照表!$I$3:$I$24,[1]对照表!$L$3:$L$24),LOOKUP(H133,[1]对照表!$I$27:$I$48,[1]对照表!$L$27:$L$48)))))</f>
        <v>95</v>
      </c>
      <c r="J133" s="21">
        <v>187</v>
      </c>
      <c r="K133" s="32">
        <f>IF(B133="高三",IF($E133="男",LOOKUP(J133,[1]对照表!$O$3:$O$24,[1]对照表!$P$3:$P$24),LOOKUP(J133,[1]对照表!$O$27:$O$48,[1]对照表!$P$27:$P$48)),IF(B133="高二",IF($E133="男",LOOKUP(J133,[1]对照表!$N$3:$N$24,[1]对照表!$P$3:$P$24),LOOKUP(J133,[1]对照表!$N$27:$N$48,[1]对照表!$P$27:$P$48)),IF(B133="高一",IF($E133="男",LOOKUP(J133,[1]对照表!$M$3:$M$24,[1]对照表!$P$3:$P$24),LOOKUP(J133,[1]对照表!$M$27:$M$48,[1]对照表!$P$27:$P$48)))))</f>
        <v>85</v>
      </c>
      <c r="L133" s="21">
        <v>55</v>
      </c>
      <c r="M133" s="32">
        <f>IF(B133="高三",IF($E133="男",LOOKUP(L133,[1]对照表!$S$3:$S$24,[1]对照表!$T$3:$T$24),LOOKUP(L133,[1]对照表!$S$27:$S$48,[1]对照表!$T$27:$T$48)),IF(B133="高二",IF($E133="男",LOOKUP(L133,[1]对照表!$R$3:$R$24,[1]对照表!$T$3:$T$24),LOOKUP(L133,[1]对照表!$R$27:$R$48,[1]对照表!$T$27:$T$48)),IF(B133="高一",IF($E133="男",LOOKUP(L133,[1]对照表!$Q$3:$Q$24,[1]对照表!$T$3:$T$24),LOOKUP(L133,[1]对照表!$Q$27:$Q$48,[1]对照表!$T$27:$T$48)))))</f>
        <v>100</v>
      </c>
      <c r="N133" s="33">
        <f>IF(B133="高三",MAX(IF(E133="男",L133-18,L133-55),0),IF(B133="高二",MAX(IF(E133="男",L133-17,L133-54),0),IF(B133="高一",MAX(IF(E133="男",L133-16,L133-53),0))))</f>
        <v>2</v>
      </c>
      <c r="O133" s="23">
        <f>IF(E133="男",LOOKUP($N133,[1]对照表!$Z$3:$Z$13,[1]对照表!$AA$3:$AA$13),LOOKUP($N133,[1]对照表!$Z$15:$Z$25,[1]对照表!$AA$15:$AA$25))</f>
        <v>1</v>
      </c>
      <c r="P133" s="24">
        <f>M133+O133</f>
        <v>101</v>
      </c>
      <c r="Q133" s="25">
        <v>3.46</v>
      </c>
      <c r="R133" s="32">
        <f>IF(B133="高三",IF($E133="男",LOOKUP(Q133,[1]对照表!$W$3:$W$24,[1]对照表!$X$3:$X$24),LOOKUP(Q133,[1]对照表!$W$27:$W$48,[1]对照表!$X$27:$X$48)),IF(B133="高二",IF($E133="男",LOOKUP(Q133,[1]对照表!$V$3:$V$24,[1]对照表!$X$3:$X$24),LOOKUP(Q133,[1]对照表!$V$27:$V$48,[1]对照表!$X$27:$X$48)),IF(B133="高一",IF($E133="男",LOOKUP(Q133,[1]对照表!$U$3:$U$24,[1]对照表!$X$3:$X$24),LOOKUP(Q133,[1]对照表!$U$27:$U$48,[1]对照表!$X$27:$X$48)))))</f>
        <v>80</v>
      </c>
      <c r="S133" s="33">
        <f>ROUND(IF(IF($B133="高三",MIN(IF($E133="男",$Q133-3.2,$Q133-3.2),0),IF($B133="高二",MIN(IF($E133="男",$Q133-3.25,$Q133-3.22),0),IF($B133="高一",MIN(IF($E133="男",$Q133-3.3,$Q133-3.24),0))))&lt;-0.6,IF($B133="高三",MIN(IF($E133="男",$Q133-3.2,$Q133-3.2),0),IF($B133="高二",MIN(IF($E133="男",$Q133-3.25,$Q133-3.22),0),IF($B133="高一",MIN(IF($E133="男",$Q133-3.3,$Q133-3.24),0))))+0.4,IF($B133="高三",MIN(IF($E133="男",$Q133-3.2,$Q133-3.2),0),IF($B133="高二",MIN(IF($E133="男",$Q133-3.25,$Q133-3.22),0),IF($B133="高一",MIN(IF($E133="男",$Q133-3.3,$Q133-3.24),0))))),2)</f>
        <v>0</v>
      </c>
      <c r="T133" s="23">
        <f>IF(E133="男",LOOKUP($S133,[1]对照表!$AB$3:$AB$13,[1]对照表!$AC$3:$AC$13),LOOKUP($S133,[1]对照表!$AB$15:$AB$25,[1]对照表!$AC$15:$AC$25))</f>
        <v>0</v>
      </c>
      <c r="U133" s="26">
        <f>R133+T133</f>
        <v>80</v>
      </c>
      <c r="V133" s="26">
        <f>SUM(I133,K133,M133)/3*0.3+SUM(G133,R133)/2*0.4</f>
        <v>58.4</v>
      </c>
      <c r="W133" s="27">
        <f>O133+T133</f>
        <v>1</v>
      </c>
      <c r="X133" s="28">
        <f>V133/0.7+W133</f>
        <v>84.428571428571431</v>
      </c>
      <c r="Y133" s="28">
        <v>84.428571428571431</v>
      </c>
      <c r="Z133" s="21"/>
    </row>
    <row r="134" spans="1:26" x14ac:dyDescent="0.25">
      <c r="A134" s="16">
        <v>8</v>
      </c>
      <c r="B134" s="17" t="s">
        <v>21</v>
      </c>
      <c r="C134" s="16">
        <v>103</v>
      </c>
      <c r="D134" s="18" t="s">
        <v>565</v>
      </c>
      <c r="E134" s="16" t="s">
        <v>23</v>
      </c>
      <c r="F134" s="19">
        <v>7.9</v>
      </c>
      <c r="G134" s="32">
        <f>IF(B134="高三",IF($E134="男",LOOKUP(F134,[1]对照表!$G$3:$G$24,[1]对照表!$H$3:$H$24),LOOKUP(F134,[1]对照表!$G$27:$G$48,[1]对照表!$H$27:$H$48)),IF(B134="高二",IF($E134="男",LOOKUP(F134,[1]对照表!$F$3:$F$24,[1]对照表!$H$3:$H$24),LOOKUP(F134,[1]对照表!$F$27:$F$48,[1]对照表!$H$27:$H$48)),IF(B134="高一",IF($E134="男",LOOKUP(F134,[1]对照表!$E$3:$E$24,[1]对照表!$H$3:$H$24),LOOKUP(F134,[1]对照表!$E$27:$E$48,[1]对照表!$H$27:$H$48)))))</f>
        <v>76</v>
      </c>
      <c r="H134" s="21">
        <v>17</v>
      </c>
      <c r="I134" s="32">
        <f>IF(B134="高三",IF($E134="男",LOOKUP(H134,[1]对照表!$K$3:$K$24,[1]对照表!$L$3:$L$24),LOOKUP(H134,[1]对照表!$K$27:$K$48,[1]对照表!$L$27:$L$48)),IF(B134="高二",IF($E134="男",LOOKUP(H134,[1]对照表!$J$3:$J$24,[1]对照表!$L$3:$L$24),LOOKUP(H134,[1]对照表!$J$27:$J$48,[1]对照表!$L$27:$L$48)),IF(B134="高一",IF($E134="男",LOOKUP(H134,[1]对照表!$I$3:$I$24,[1]对照表!$L$3:$L$24),LOOKUP(H134,[1]对照表!$I$27:$I$48,[1]对照表!$L$27:$L$48)))))</f>
        <v>80</v>
      </c>
      <c r="J134" s="21">
        <v>215</v>
      </c>
      <c r="K134" s="32">
        <f>IF(B134="高三",IF($E134="男",LOOKUP(J134,[1]对照表!$O$3:$O$24,[1]对照表!$P$3:$P$24),LOOKUP(J134,[1]对照表!$O$27:$O$48,[1]对照表!$P$27:$P$48)),IF(B134="高二",IF($E134="男",LOOKUP(J134,[1]对照表!$N$3:$N$24,[1]对照表!$P$3:$P$24),LOOKUP(J134,[1]对照表!$N$27:$N$48,[1]对照表!$P$27:$P$48)),IF(B134="高一",IF($E134="男",LOOKUP(J134,[1]对照表!$M$3:$M$24,[1]对照表!$P$3:$P$24),LOOKUP(J134,[1]对照表!$M$27:$M$48,[1]对照表!$P$27:$P$48)))))</f>
        <v>70</v>
      </c>
      <c r="L134" s="21">
        <v>0</v>
      </c>
      <c r="M134" s="32">
        <f>IF(B134="高三",IF($E134="男",LOOKUP(L134,[1]对照表!$S$3:$S$24,[1]对照表!$T$3:$T$24),LOOKUP(L134,[1]对照表!$S$27:$S$48,[1]对照表!$T$27:$T$48)),IF(B134="高二",IF($E134="男",LOOKUP(L134,[1]对照表!$R$3:$R$24,[1]对照表!$T$3:$T$24),LOOKUP(L134,[1]对照表!$R$27:$R$48,[1]对照表!$T$27:$T$48)),IF(B134="高一",IF($E134="男",LOOKUP(L134,[1]对照表!$Q$3:$Q$24,[1]对照表!$T$3:$T$24),LOOKUP(L134,[1]对照表!$Q$27:$Q$48,[1]对照表!$T$27:$T$48)))))</f>
        <v>0</v>
      </c>
      <c r="N134" s="33">
        <f>IF(B134="高三",MAX(IF(E134="男",L134-18,L134-55),0),IF(B134="高二",MAX(IF(E134="男",L134-17,L134-54),0),IF(B134="高一",MAX(IF(E134="男",L134-16,L134-53),0))))</f>
        <v>0</v>
      </c>
      <c r="O134" s="23">
        <f>IF(E134="男",LOOKUP($N134,[1]对照表!$Z$3:$Z$13,[1]对照表!$AA$3:$AA$13),LOOKUP($N134,[1]对照表!$Z$15:$Z$25,[1]对照表!$AA$15:$AA$25))</f>
        <v>0</v>
      </c>
      <c r="P134" s="24">
        <f>M134+O134</f>
        <v>0</v>
      </c>
      <c r="Q134" s="25">
        <v>4.26</v>
      </c>
      <c r="R134" s="32">
        <f>IF(B134="高三",IF($E134="男",LOOKUP(Q134,[1]对照表!$W$3:$W$24,[1]对照表!$X$3:$X$24),LOOKUP(Q134,[1]对照表!$W$27:$W$48,[1]对照表!$X$27:$X$48)),IF(B134="高二",IF($E134="男",LOOKUP(Q134,[1]对照表!$V$3:$V$24,[1]对照表!$X$3:$X$24),LOOKUP(Q134,[1]对照表!$V$27:$V$48,[1]对照表!$X$27:$X$48)),IF(B134="高一",IF($E134="男",LOOKUP(Q134,[1]对照表!$U$3:$U$24,[1]对照表!$X$3:$X$24),LOOKUP(Q134,[1]对照表!$U$27:$U$48,[1]对照表!$X$27:$X$48)))))</f>
        <v>66</v>
      </c>
      <c r="S134" s="33">
        <f>ROUND(IF(IF($B134="高三",MIN(IF($E134="男",$Q134-3.2,$Q134-3.2),0),IF($B134="高二",MIN(IF($E134="男",$Q134-3.25,$Q134-3.22),0),IF($B134="高一",MIN(IF($E134="男",$Q134-3.3,$Q134-3.24),0))))&lt;-0.6,IF($B134="高三",MIN(IF($E134="男",$Q134-3.2,$Q134-3.2),0),IF($B134="高二",MIN(IF($E134="男",$Q134-3.25,$Q134-3.22),0),IF($B134="高一",MIN(IF($E134="男",$Q134-3.3,$Q134-3.24),0))))+0.4,IF($B134="高三",MIN(IF($E134="男",$Q134-3.2,$Q134-3.2),0),IF($B134="高二",MIN(IF($E134="男",$Q134-3.25,$Q134-3.22),0),IF($B134="高一",MIN(IF($E134="男",$Q134-3.3,$Q134-3.24),0))))),2)</f>
        <v>0</v>
      </c>
      <c r="T134" s="23">
        <f>IF(E134="男",LOOKUP($S134,[1]对照表!$AB$3:$AB$13,[1]对照表!$AC$3:$AC$13),LOOKUP($S134,[1]对照表!$AB$15:$AB$25,[1]对照表!$AC$15:$AC$25))</f>
        <v>0</v>
      </c>
      <c r="U134" s="26">
        <f>R134+T134</f>
        <v>66</v>
      </c>
      <c r="V134" s="26">
        <f>SUM(I134,K134,M134)/3*0.3+SUM(G134,R134)/2*0.4</f>
        <v>43.400000000000006</v>
      </c>
      <c r="W134" s="27">
        <f>O134+T134</f>
        <v>0</v>
      </c>
      <c r="X134" s="28">
        <f>V134/0.7+W134</f>
        <v>62.000000000000014</v>
      </c>
      <c r="Y134" s="28">
        <v>62.000000000000014</v>
      </c>
      <c r="Z134" s="21"/>
    </row>
    <row r="135" spans="1:26" x14ac:dyDescent="0.25">
      <c r="A135" s="16">
        <v>33</v>
      </c>
      <c r="B135" s="17" t="s">
        <v>21</v>
      </c>
      <c r="C135" s="16">
        <v>103</v>
      </c>
      <c r="D135" s="18" t="s">
        <v>580</v>
      </c>
      <c r="E135" s="17" t="s">
        <v>23</v>
      </c>
      <c r="F135" s="19">
        <v>8.1999999999999993</v>
      </c>
      <c r="G135" s="32">
        <f>IF(B135="高三",IF($E135="男",LOOKUP(F135,[1]对照表!$G$3:$G$24,[1]对照表!$H$3:$H$24),LOOKUP(F135,[1]对照表!$G$27:$G$48,[1]对照表!$H$27:$H$48)),IF(B135="高二",IF($E135="男",LOOKUP(F135,[1]对照表!$F$3:$F$24,[1]对照表!$H$3:$H$24),LOOKUP(F135,[1]对照表!$F$27:$F$48,[1]对照表!$H$27:$H$48)),IF(B135="高一",IF($E135="男",LOOKUP(F135,[1]对照表!$E$3:$E$24,[1]对照表!$H$3:$H$24),LOOKUP(F135,[1]对照表!$E$27:$E$48,[1]对照表!$H$27:$H$48)))))</f>
        <v>72</v>
      </c>
      <c r="H135" s="21">
        <v>7</v>
      </c>
      <c r="I135" s="32">
        <f>IF(B135="高三",IF($E135="男",LOOKUP(H135,[1]对照表!$K$3:$K$24,[1]对照表!$L$3:$L$24),LOOKUP(H135,[1]对照表!$K$27:$K$48,[1]对照表!$L$27:$L$48)),IF(B135="高二",IF($E135="男",LOOKUP(H135,[1]对照表!$J$3:$J$24,[1]对照表!$L$3:$L$24),LOOKUP(H135,[1]对照表!$J$27:$J$48,[1]对照表!$L$27:$L$48)),IF(B135="高一",IF($E135="男",LOOKUP(H135,[1]对照表!$I$3:$I$24,[1]对照表!$L$3:$L$24),LOOKUP(H135,[1]对照表!$I$27:$I$48,[1]对照表!$L$27:$L$48)))))</f>
        <v>68</v>
      </c>
      <c r="J135" s="21">
        <v>199</v>
      </c>
      <c r="K135" s="32">
        <f>IF(B135="高三",IF($E135="男",LOOKUP(J135,[1]对照表!$O$3:$O$24,[1]对照表!$P$3:$P$24),LOOKUP(J135,[1]对照表!$O$27:$O$48,[1]对照表!$P$27:$P$48)),IF(B135="高二",IF($E135="男",LOOKUP(J135,[1]对照表!$N$3:$N$24,[1]对照表!$P$3:$P$24),LOOKUP(J135,[1]对照表!$N$27:$N$48,[1]对照表!$P$27:$P$48)),IF(B135="高一",IF($E135="男",LOOKUP(J135,[1]对照表!$M$3:$M$24,[1]对照表!$P$3:$P$24),LOOKUP(J135,[1]对照表!$M$27:$M$48,[1]对照表!$P$27:$P$48)))))</f>
        <v>62</v>
      </c>
      <c r="L135" s="21">
        <v>1</v>
      </c>
      <c r="M135" s="32">
        <f>IF(B135="高三",IF($E135="男",LOOKUP(L135,[1]对照表!$S$3:$S$24,[1]对照表!$T$3:$T$24),LOOKUP(L135,[1]对照表!$S$27:$S$48,[1]对照表!$T$27:$T$48)),IF(B135="高二",IF($E135="男",LOOKUP(L135,[1]对照表!$R$3:$R$24,[1]对照表!$T$3:$T$24),LOOKUP(L135,[1]对照表!$R$27:$R$48,[1]对照表!$T$27:$T$48)),IF(B135="高一",IF($E135="男",LOOKUP(L135,[1]对照表!$Q$3:$Q$24,[1]对照表!$T$3:$T$24),LOOKUP(L135,[1]对照表!$Q$27:$Q$48,[1]对照表!$T$27:$T$48)))))</f>
        <v>0</v>
      </c>
      <c r="N135" s="33">
        <f>IF(B135="高三",MAX(IF(E135="男",L135-18,L135-55),0),IF(B135="高二",MAX(IF(E135="男",L135-17,L135-54),0),IF(B135="高一",MAX(IF(E135="男",L135-16,L135-53),0))))</f>
        <v>0</v>
      </c>
      <c r="O135" s="23">
        <f>IF(E135="男",LOOKUP($N135,[1]对照表!$Z$3:$Z$13,[1]对照表!$AA$3:$AA$13),LOOKUP($N135,[1]对照表!$Z$15:$Z$25,[1]对照表!$AA$15:$AA$25))</f>
        <v>0</v>
      </c>
      <c r="P135" s="24">
        <f>M135+O135</f>
        <v>0</v>
      </c>
      <c r="Q135" s="25">
        <v>4.28</v>
      </c>
      <c r="R135" s="32">
        <f>IF(B135="高三",IF($E135="男",LOOKUP(Q135,[1]对照表!$W$3:$W$24,[1]对照表!$X$3:$X$24),LOOKUP(Q135,[1]对照表!$W$27:$W$48,[1]对照表!$X$27:$X$48)),IF(B135="高二",IF($E135="男",LOOKUP(Q135,[1]对照表!$V$3:$V$24,[1]对照表!$X$3:$X$24),LOOKUP(Q135,[1]对照表!$V$27:$V$48,[1]对照表!$X$27:$X$48)),IF(B135="高一",IF($E135="男",LOOKUP(Q135,[1]对照表!$U$3:$U$24,[1]对照表!$X$3:$X$24),LOOKUP(Q135,[1]对照表!$U$27:$U$48,[1]对照表!$X$27:$X$48)))))</f>
        <v>66</v>
      </c>
      <c r="S135" s="27">
        <f>ROUND(IF(IF($B135="高三",MIN(IF($E135="男",$Q135-3.2,$Q135-3.2),0),IF($B135="高二",MIN(IF($E135="男",$Q135-3.25,$Q135-3.22),0),IF($B135="高一",MIN(IF($E135="男",$Q135-3.3,$Q135-3.24),0))))&lt;-0.6,IF($B135="高三",MIN(IF($E135="男",$Q135-3.2,$Q135-3.2),0),IF($B135="高二",MIN(IF($E135="男",$Q135-3.25,$Q135-3.22),0),IF($B135="高一",MIN(IF($E135="男",$Q135-3.3,$Q135-3.24),0))))+0.4,IF($B135="高三",MIN(IF($E135="男",$Q135-3.2,$Q135-3.2),0),IF($B135="高二",MIN(IF($E135="男",$Q135-3.25,$Q135-3.22),0),IF($B135="高一",MIN(IF($E135="男",$Q135-3.3,$Q135-3.24),0))))),2)</f>
        <v>0</v>
      </c>
      <c r="T135" s="23">
        <f>IF(E135="男",LOOKUP($S135,[1]对照表!$AB$3:$AB$13,[1]对照表!$AC$3:$AC$13),LOOKUP($S135,[1]对照表!$AB$15:$AB$25,[1]对照表!$AC$15:$AC$25))</f>
        <v>0</v>
      </c>
      <c r="U135" s="26">
        <f>R135+T135</f>
        <v>66</v>
      </c>
      <c r="V135" s="26">
        <f>SUM(I135,K135,M135)/3*0.3+SUM(G135,R135)/2*0.4</f>
        <v>40.6</v>
      </c>
      <c r="W135" s="27">
        <f>O135+T135</f>
        <v>0</v>
      </c>
      <c r="X135" s="28">
        <f>V135/0.7+W135</f>
        <v>58.000000000000007</v>
      </c>
      <c r="Y135" s="28">
        <v>58.000000000000007</v>
      </c>
      <c r="Z135" s="21"/>
    </row>
    <row r="136" spans="1:26" x14ac:dyDescent="0.25">
      <c r="A136" s="16">
        <v>3</v>
      </c>
      <c r="B136" s="17" t="s">
        <v>21</v>
      </c>
      <c r="C136" s="16">
        <v>103</v>
      </c>
      <c r="D136" s="18" t="s">
        <v>621</v>
      </c>
      <c r="E136" s="16" t="s">
        <v>23</v>
      </c>
      <c r="F136" s="19">
        <v>8.3000000000000007</v>
      </c>
      <c r="G136" s="32">
        <f>IF(B136="高三",IF($E136="男",LOOKUP(F136,[1]对照表!$G$3:$G$24,[1]对照表!$H$3:$H$24),LOOKUP(F136,[1]对照表!$G$27:$G$48,[1]对照表!$H$27:$H$48)),IF(B136="高二",IF($E136="男",LOOKUP(F136,[1]对照表!$F$3:$F$24,[1]对照表!$H$3:$H$24),LOOKUP(F136,[1]对照表!$F$27:$F$48,[1]对照表!$H$27:$H$48)),IF(B136="高一",IF($E136="男",LOOKUP(F136,[1]对照表!$E$3:$E$24,[1]对照表!$H$3:$H$24),LOOKUP(F136,[1]对照表!$E$27:$E$48,[1]对照表!$H$27:$H$48)))))</f>
        <v>72</v>
      </c>
      <c r="H136" s="21">
        <v>-9</v>
      </c>
      <c r="I136" s="32">
        <f>IF(B136="高三",IF($E136="男",LOOKUP(H136,[1]对照表!$K$3:$K$24,[1]对照表!$L$3:$L$24),LOOKUP(H136,[1]对照表!$K$27:$K$48,[1]对照表!$L$27:$L$48)),IF(B136="高二",IF($E136="男",LOOKUP(H136,[1]对照表!$J$3:$J$24,[1]对照表!$L$3:$L$24),LOOKUP(H136,[1]对照表!$J$27:$J$48,[1]对照表!$L$27:$L$48)),IF(B136="高一",IF($E136="男",LOOKUP(H136,[1]对照表!$I$3:$I$24,[1]对照表!$L$3:$L$24),LOOKUP(H136,[1]对照表!$I$27:$I$48,[1]对照表!$L$27:$L$48)))))</f>
        <v>0</v>
      </c>
      <c r="J136" s="21">
        <v>212</v>
      </c>
      <c r="K136" s="32">
        <f>IF(B136="高三",IF($E136="男",LOOKUP(J136,[1]对照表!$O$3:$O$24,[1]对照表!$P$3:$P$24),LOOKUP(J136,[1]对照表!$O$27:$O$48,[1]对照表!$P$27:$P$48)),IF(B136="高二",IF($E136="男",LOOKUP(J136,[1]对照表!$N$3:$N$24,[1]对照表!$P$3:$P$24),LOOKUP(J136,[1]对照表!$N$27:$N$48,[1]对照表!$P$27:$P$48)),IF(B136="高一",IF($E136="男",LOOKUP(J136,[1]对照表!$M$3:$M$24,[1]对照表!$P$3:$P$24),LOOKUP(J136,[1]对照表!$M$27:$M$48,[1]对照表!$P$27:$P$48)))))</f>
        <v>68</v>
      </c>
      <c r="L136" s="21">
        <v>8</v>
      </c>
      <c r="M136" s="32">
        <f>IF(B136="高三",IF($E136="男",LOOKUP(L136,[1]对照表!$S$3:$S$24,[1]对照表!$T$3:$T$24),LOOKUP(L136,[1]对照表!$S$27:$S$48,[1]对照表!$T$27:$T$48)),IF(B136="高二",IF($E136="男",LOOKUP(L136,[1]对照表!$R$3:$R$24,[1]对照表!$T$3:$T$24),LOOKUP(L136,[1]对照表!$R$27:$R$48,[1]对照表!$T$27:$T$48)),IF(B136="高一",IF($E136="男",LOOKUP(L136,[1]对照表!$Q$3:$Q$24,[1]对照表!$T$3:$T$24),LOOKUP(L136,[1]对照表!$Q$27:$Q$48,[1]对照表!$T$27:$T$48)))))</f>
        <v>64</v>
      </c>
      <c r="N136" s="27">
        <f>IF(B136="高三",MAX(IF(E136="男",L136-18,L136-55),0),IF(B136="高二",MAX(IF(E136="男",L136-17,L136-54),0),IF(B136="高一",MAX(IF(E136="男",L136-16,L136-53),0))))</f>
        <v>0</v>
      </c>
      <c r="O136" s="23">
        <f>IF(E136="男",LOOKUP($N136,[1]对照表!$Z$3:$Z$13,[1]对照表!$AA$3:$AA$13),LOOKUP($N136,[1]对照表!$Z$15:$Z$25,[1]对照表!$AA$15:$AA$25))</f>
        <v>0</v>
      </c>
      <c r="P136" s="24">
        <f>M136+O136</f>
        <v>64</v>
      </c>
      <c r="Q136" s="25">
        <v>5.04</v>
      </c>
      <c r="R136" s="32">
        <f>IF(B136="高三",IF($E136="男",LOOKUP(Q136,[1]对照表!$W$3:$W$24,[1]对照表!$X$3:$X$24),LOOKUP(Q136,[1]对照表!$W$27:$W$48,[1]对照表!$X$27:$X$48)),IF(B136="高二",IF($E136="男",LOOKUP(Q136,[1]对照表!$V$3:$V$24,[1]对照表!$X$3:$X$24),LOOKUP(Q136,[1]对照表!$V$27:$V$48,[1]对照表!$X$27:$X$48)),IF(B136="高一",IF($E136="男",LOOKUP(Q136,[1]对照表!$U$3:$U$24,[1]对照表!$X$3:$X$24),LOOKUP(Q136,[1]对照表!$U$27:$U$48,[1]对照表!$X$27:$X$48)))))</f>
        <v>50</v>
      </c>
      <c r="S136" s="27">
        <f>ROUND(IF(IF($B136="高三",MIN(IF($E136="男",$Q136-3.2,$Q136-3.2),0),IF($B136="高二",MIN(IF($E136="男",$Q136-3.25,$Q136-3.22),0),IF($B136="高一",MIN(IF($E136="男",$Q136-3.3,$Q136-3.24),0))))&lt;-0.6,IF($B136="高三",MIN(IF($E136="男",$Q136-3.2,$Q136-3.2),0),IF($B136="高二",MIN(IF($E136="男",$Q136-3.25,$Q136-3.22),0),IF($B136="高一",MIN(IF($E136="男",$Q136-3.3,$Q136-3.24),0))))+0.4,IF($B136="高三",MIN(IF($E136="男",$Q136-3.2,$Q136-3.2),0),IF($B136="高二",MIN(IF($E136="男",$Q136-3.25,$Q136-3.22),0),IF($B136="高一",MIN(IF($E136="男",$Q136-3.3,$Q136-3.24),0))))),2)</f>
        <v>0</v>
      </c>
      <c r="T136" s="23">
        <f>IF(E136="男",LOOKUP($S136,[1]对照表!$AB$3:$AB$13,[1]对照表!$AC$3:$AC$13),LOOKUP($S136,[1]对照表!$AB$15:$AB$25,[1]对照表!$AC$15:$AC$25))</f>
        <v>0</v>
      </c>
      <c r="U136" s="26">
        <f>R136+T136</f>
        <v>50</v>
      </c>
      <c r="V136" s="26">
        <f>SUM(I136,K136,M136)/3*0.3+SUM(G136,R136)/2*0.4</f>
        <v>37.6</v>
      </c>
      <c r="W136" s="27">
        <f>O136+T136</f>
        <v>0</v>
      </c>
      <c r="X136" s="28">
        <f>V136/0.7+W136</f>
        <v>53.714285714285722</v>
      </c>
      <c r="Y136" s="28">
        <v>53.714285714285722</v>
      </c>
      <c r="Z136" s="21"/>
    </row>
    <row r="137" spans="1:26" x14ac:dyDescent="0.25">
      <c r="A137" s="16">
        <v>37</v>
      </c>
      <c r="B137" s="17" t="s">
        <v>21</v>
      </c>
      <c r="C137" s="16">
        <v>103</v>
      </c>
      <c r="D137" s="18" t="s">
        <v>627</v>
      </c>
      <c r="E137" s="17" t="s">
        <v>23</v>
      </c>
      <c r="F137" s="19">
        <v>8.3000000000000007</v>
      </c>
      <c r="G137" s="32">
        <f>IF(B137="高三",IF($E137="男",LOOKUP(F137,[1]对照表!$G$3:$G$24,[1]对照表!$H$3:$H$24),LOOKUP(F137,[1]对照表!$G$27:$G$48,[1]对照表!$H$27:$H$48)),IF(B137="高二",IF($E137="男",LOOKUP(F137,[1]对照表!$F$3:$F$24,[1]对照表!$H$3:$H$24),LOOKUP(F137,[1]对照表!$F$27:$F$48,[1]对照表!$H$27:$H$48)),IF(B137="高一",IF($E137="男",LOOKUP(F137,[1]对照表!$E$3:$E$24,[1]对照表!$H$3:$H$24),LOOKUP(F137,[1]对照表!$E$27:$E$48,[1]对照表!$H$27:$H$48)))))</f>
        <v>72</v>
      </c>
      <c r="H137" s="21">
        <v>11.6</v>
      </c>
      <c r="I137" s="32">
        <f>IF(B137="高三",IF($E137="男",LOOKUP(H137,[1]对照表!$K$3:$K$24,[1]对照表!$L$3:$L$24),LOOKUP(H137,[1]对照表!$K$27:$K$48,[1]对照表!$L$27:$L$48)),IF(B137="高二",IF($E137="男",LOOKUP(H137,[1]对照表!$J$3:$J$24,[1]对照表!$L$3:$L$24),LOOKUP(H137,[1]对照表!$J$27:$J$48,[1]对照表!$L$27:$L$48)),IF(B137="高一",IF($E137="男",LOOKUP(H137,[1]对照表!$I$3:$I$24,[1]对照表!$L$3:$L$24),LOOKUP(H137,[1]对照表!$I$27:$I$48,[1]对照表!$L$27:$L$48)))))</f>
        <v>74</v>
      </c>
      <c r="J137" s="21">
        <v>192</v>
      </c>
      <c r="K137" s="32">
        <f>IF(B137="高三",IF($E137="男",LOOKUP(J137,[1]对照表!$O$3:$O$24,[1]对照表!$P$3:$P$24),LOOKUP(J137,[1]对照表!$O$27:$O$48,[1]对照表!$P$27:$P$48)),IF(B137="高二",IF($E137="男",LOOKUP(J137,[1]对照表!$N$3:$N$24,[1]对照表!$P$3:$P$24),LOOKUP(J137,[1]对照表!$N$27:$N$48,[1]对照表!$P$27:$P$48)),IF(B137="高一",IF($E137="男",LOOKUP(J137,[1]对照表!$M$3:$M$24,[1]对照表!$P$3:$P$24),LOOKUP(J137,[1]对照表!$M$27:$M$48,[1]对照表!$P$27:$P$48)))))</f>
        <v>50</v>
      </c>
      <c r="L137" s="21">
        <v>0</v>
      </c>
      <c r="M137" s="32">
        <f>IF(B137="高三",IF($E137="男",LOOKUP(L137,[1]对照表!$S$3:$S$24,[1]对照表!$T$3:$T$24),LOOKUP(L137,[1]对照表!$S$27:$S$48,[1]对照表!$T$27:$T$48)),IF(B137="高二",IF($E137="男",LOOKUP(L137,[1]对照表!$R$3:$R$24,[1]对照表!$T$3:$T$24),LOOKUP(L137,[1]对照表!$R$27:$R$48,[1]对照表!$T$27:$T$48)),IF(B137="高一",IF($E137="男",LOOKUP(L137,[1]对照表!$Q$3:$Q$24,[1]对照表!$T$3:$T$24),LOOKUP(L137,[1]对照表!$Q$27:$Q$48,[1]对照表!$T$27:$T$48)))))</f>
        <v>0</v>
      </c>
      <c r="N137" s="33">
        <f>IF(B137="高三",MAX(IF(E137="男",L137-18,L137-55),0),IF(B137="高二",MAX(IF(E137="男",L137-17,L137-54),0),IF(B137="高一",MAX(IF(E137="男",L137-16,L137-53),0))))</f>
        <v>0</v>
      </c>
      <c r="O137" s="23">
        <f>IF(E137="男",LOOKUP($N137,[1]对照表!$Z$3:$Z$13,[1]对照表!$AA$3:$AA$13),LOOKUP($N137,[1]对照表!$Z$15:$Z$25,[1]对照表!$AA$15:$AA$25))</f>
        <v>0</v>
      </c>
      <c r="P137" s="24">
        <f>M137+O137</f>
        <v>0</v>
      </c>
      <c r="Q137" s="25">
        <v>5.15</v>
      </c>
      <c r="R137" s="32">
        <f>IF(B137="高三",IF($E137="男",LOOKUP(Q137,[1]对照表!$W$3:$W$24,[1]对照表!$X$3:$X$24),LOOKUP(Q137,[1]对照表!$W$27:$W$48,[1]对照表!$X$27:$X$48)),IF(B137="高二",IF($E137="男",LOOKUP(Q137,[1]对照表!$V$3:$V$24,[1]对照表!$X$3:$X$24),LOOKUP(Q137,[1]对照表!$V$27:$V$48,[1]对照表!$X$27:$X$48)),IF(B137="高一",IF($E137="男",LOOKUP(Q137,[1]对照表!$U$3:$U$24,[1]对照表!$X$3:$X$24),LOOKUP(Q137,[1]对照表!$U$27:$U$48,[1]对照表!$X$27:$X$48)))))</f>
        <v>40</v>
      </c>
      <c r="S137" s="33">
        <f>ROUND(IF(IF($B137="高三",MIN(IF($E137="男",$Q137-3.2,$Q137-3.2),0),IF($B137="高二",MIN(IF($E137="男",$Q137-3.25,$Q137-3.22),0),IF($B137="高一",MIN(IF($E137="男",$Q137-3.3,$Q137-3.24),0))))&lt;-0.6,IF($B137="高三",MIN(IF($E137="男",$Q137-3.2,$Q137-3.2),0),IF($B137="高二",MIN(IF($E137="男",$Q137-3.25,$Q137-3.22),0),IF($B137="高一",MIN(IF($E137="男",$Q137-3.3,$Q137-3.24),0))))+0.4,IF($B137="高三",MIN(IF($E137="男",$Q137-3.2,$Q137-3.2),0),IF($B137="高二",MIN(IF($E137="男",$Q137-3.25,$Q137-3.22),0),IF($B137="高一",MIN(IF($E137="男",$Q137-3.3,$Q137-3.24),0))))),2)</f>
        <v>0</v>
      </c>
      <c r="T137" s="23">
        <f>IF(E137="男",LOOKUP($S137,[1]对照表!$AB$3:$AB$13,[1]对照表!$AC$3:$AC$13),LOOKUP($S137,[1]对照表!$AB$15:$AB$25,[1]对照表!$AC$15:$AC$25))</f>
        <v>0</v>
      </c>
      <c r="U137" s="26">
        <f>R137+T137</f>
        <v>40</v>
      </c>
      <c r="V137" s="26">
        <f>SUM(I137,K137,M137)/3*0.3+SUM(G137,R137)/2*0.4</f>
        <v>34.800000000000004</v>
      </c>
      <c r="W137" s="27">
        <f>O137+T137</f>
        <v>0</v>
      </c>
      <c r="X137" s="28">
        <f>V137/0.7+W137</f>
        <v>49.714285714285722</v>
      </c>
      <c r="Y137" s="29">
        <v>50</v>
      </c>
      <c r="Z137" s="21"/>
    </row>
    <row r="138" spans="1:26" x14ac:dyDescent="0.25">
      <c r="A138" s="16">
        <v>41</v>
      </c>
      <c r="B138" s="17" t="s">
        <v>21</v>
      </c>
      <c r="C138" s="16">
        <v>103</v>
      </c>
      <c r="D138" s="18" t="s">
        <v>650</v>
      </c>
      <c r="E138" s="17" t="s">
        <v>65</v>
      </c>
      <c r="F138" s="19">
        <v>8.9499999999999993</v>
      </c>
      <c r="G138" s="32">
        <f>IF(B138="高三",IF($E138="男",LOOKUP(F138,[1]对照表!$G$3:$G$24,[1]对照表!$H$3:$H$24),LOOKUP(F138,[1]对照表!$G$27:$G$48,[1]对照表!$H$27:$H$48)),IF(B138="高二",IF($E138="男",LOOKUP(F138,[1]对照表!$F$3:$F$24,[1]对照表!$H$3:$H$24),LOOKUP(F138,[1]对照表!$F$27:$F$48,[1]对照表!$H$27:$H$48)),IF(B138="高一",IF($E138="男",LOOKUP(F138,[1]对照表!$E$3:$E$24,[1]对照表!$H$3:$H$24),LOOKUP(F138,[1]对照表!$E$27:$E$48,[1]对照表!$H$27:$H$48)))))</f>
        <v>76</v>
      </c>
      <c r="H138" s="21">
        <v>18</v>
      </c>
      <c r="I138" s="32">
        <f>IF(B138="高三",IF($E138="男",LOOKUP(H138,[1]对照表!$K$3:$K$24,[1]对照表!$L$3:$L$24),LOOKUP(H138,[1]对照表!$K$27:$K$48,[1]对照表!$L$27:$L$48)),IF(B138="高二",IF($E138="男",LOOKUP(H138,[1]对照表!$J$3:$J$24,[1]对照表!$L$3:$L$24),LOOKUP(H138,[1]对照表!$J$27:$J$48,[1]对照表!$L$27:$L$48)),IF(B138="高一",IF($E138="男",LOOKUP(H138,[1]对照表!$I$3:$I$24,[1]对照表!$L$3:$L$24),LOOKUP(H138,[1]对照表!$I$27:$I$48,[1]对照表!$L$27:$L$48)))))</f>
        <v>80</v>
      </c>
      <c r="J138" s="21">
        <v>172</v>
      </c>
      <c r="K138" s="32">
        <f>IF(B138="高三",IF($E138="男",LOOKUP(J138,[1]对照表!$O$3:$O$24,[1]对照表!$P$3:$P$24),LOOKUP(J138,[1]对照表!$O$27:$O$48,[1]对照表!$P$27:$P$48)),IF(B138="高二",IF($E138="男",LOOKUP(J138,[1]对照表!$N$3:$N$24,[1]对照表!$P$3:$P$24),LOOKUP(J138,[1]对照表!$N$27:$N$48,[1]对照表!$P$27:$P$48)),IF(B138="高一",IF($E138="男",LOOKUP(J138,[1]对照表!$M$3:$M$24,[1]对照表!$P$3:$P$24),LOOKUP(J138,[1]对照表!$M$27:$M$48,[1]对照表!$P$27:$P$48)))))</f>
        <v>76</v>
      </c>
      <c r="L138" s="21">
        <v>59</v>
      </c>
      <c r="M138" s="32">
        <f>IF(B138="高三",IF($E138="男",LOOKUP(L138,[1]对照表!$S$3:$S$24,[1]对照表!$T$3:$T$24),LOOKUP(L138,[1]对照表!$S$27:$S$48,[1]对照表!$T$27:$T$48)),IF(B138="高二",IF($E138="男",LOOKUP(L138,[1]对照表!$R$3:$R$24,[1]对照表!$T$3:$T$24),LOOKUP(L138,[1]对照表!$R$27:$R$48,[1]对照表!$T$27:$T$48)),IF(B138="高一",IF($E138="男",LOOKUP(L138,[1]对照表!$Q$3:$Q$24,[1]对照表!$T$3:$T$24),LOOKUP(L138,[1]对照表!$Q$27:$Q$48,[1]对照表!$T$27:$T$48)))))</f>
        <v>100</v>
      </c>
      <c r="N138" s="33">
        <f>IF(B138="高三",MAX(IF(E138="男",L138-18,L138-55),0),IF(B138="高二",MAX(IF(E138="男",L138-17,L138-54),0),IF(B138="高一",MAX(IF(E138="男",L138-16,L138-53),0))))</f>
        <v>6</v>
      </c>
      <c r="O138" s="23">
        <f>IF(E138="男",LOOKUP($N138,[1]对照表!$Z$3:$Z$13,[1]对照表!$AA$3:$AA$13),LOOKUP($N138,[1]对照表!$Z$15:$Z$25,[1]对照表!$AA$15:$AA$25))</f>
        <v>3</v>
      </c>
      <c r="P138" s="24">
        <f>M138+O138</f>
        <v>103</v>
      </c>
      <c r="Q138" s="25">
        <v>3.56</v>
      </c>
      <c r="R138" s="32">
        <f>IF(B138="高三",IF($E138="男",LOOKUP(Q138,[1]对照表!$W$3:$W$24,[1]对照表!$X$3:$X$24),LOOKUP(Q138,[1]对照表!$W$27:$W$48,[1]对照表!$X$27:$X$48)),IF(B138="高二",IF($E138="男",LOOKUP(Q138,[1]对照表!$V$3:$V$24,[1]对照表!$X$3:$X$24),LOOKUP(Q138,[1]对照表!$V$27:$V$48,[1]对照表!$X$27:$X$48)),IF(B138="高一",IF($E138="男",LOOKUP(Q138,[1]对照表!$U$3:$U$24,[1]对照表!$X$3:$X$24),LOOKUP(Q138,[1]对照表!$U$27:$U$48,[1]对照表!$X$27:$X$48)))))</f>
        <v>76</v>
      </c>
      <c r="S138" s="33">
        <f>ROUND(IF(IF($B138="高三",MIN(IF($E138="男",$Q138-3.2,$Q138-3.2),0),IF($B138="高二",MIN(IF($E138="男",$Q138-3.25,$Q138-3.22),0),IF($B138="高一",MIN(IF($E138="男",$Q138-3.3,$Q138-3.24),0))))&lt;-0.6,IF($B138="高三",MIN(IF($E138="男",$Q138-3.2,$Q138-3.2),0),IF($B138="高二",MIN(IF($E138="男",$Q138-3.25,$Q138-3.22),0),IF($B138="高一",MIN(IF($E138="男",$Q138-3.3,$Q138-3.24),0))))+0.4,IF($B138="高三",MIN(IF($E138="男",$Q138-3.2,$Q138-3.2),0),IF($B138="高二",MIN(IF($E138="男",$Q138-3.25,$Q138-3.22),0),IF($B138="高一",MIN(IF($E138="男",$Q138-3.3,$Q138-3.24),0))))),2)</f>
        <v>0</v>
      </c>
      <c r="T138" s="23">
        <f>IF(E138="男",LOOKUP($S138,[1]对照表!$AB$3:$AB$13,[1]对照表!$AC$3:$AC$13),LOOKUP($S138,[1]对照表!$AB$15:$AB$25,[1]对照表!$AC$15:$AC$25))</f>
        <v>0</v>
      </c>
      <c r="U138" s="26">
        <f>R138+T138</f>
        <v>76</v>
      </c>
      <c r="V138" s="26">
        <f>SUM(I138,K138,M138)/3*0.3+SUM(G138,R138)/2*0.4</f>
        <v>56</v>
      </c>
      <c r="W138" s="27">
        <f>O138+T138</f>
        <v>3</v>
      </c>
      <c r="X138" s="28">
        <f>V138/0.7+W138</f>
        <v>83</v>
      </c>
      <c r="Y138" s="28">
        <v>83</v>
      </c>
      <c r="Z138" s="21"/>
    </row>
    <row r="139" spans="1:26" x14ac:dyDescent="0.25">
      <c r="A139" s="16">
        <v>10</v>
      </c>
      <c r="B139" s="17" t="s">
        <v>21</v>
      </c>
      <c r="C139" s="16">
        <v>103</v>
      </c>
      <c r="D139" s="18" t="s">
        <v>676</v>
      </c>
      <c r="E139" s="16" t="s">
        <v>23</v>
      </c>
      <c r="F139" s="19"/>
      <c r="G139" s="20">
        <v>0</v>
      </c>
      <c r="H139" s="21"/>
      <c r="I139" s="20">
        <v>0</v>
      </c>
      <c r="J139" s="21"/>
      <c r="K139" s="20">
        <v>0</v>
      </c>
      <c r="L139" s="21"/>
      <c r="M139" s="20">
        <v>0</v>
      </c>
      <c r="N139" s="22">
        <v>0</v>
      </c>
      <c r="O139" s="23">
        <f>IF(E139="男",LOOKUP($N139,[1]对照表!$Z$3:$Z$13,[1]对照表!$AA$3:$AA$13),LOOKUP($N139,[1]对照表!$Z$15:$Z$25,[1]对照表!$AA$15:$AA$25))</f>
        <v>0</v>
      </c>
      <c r="P139" s="24">
        <f>M139+O139</f>
        <v>0</v>
      </c>
      <c r="Q139" s="25"/>
      <c r="R139" s="20">
        <v>0</v>
      </c>
      <c r="S139" s="22">
        <v>0</v>
      </c>
      <c r="T139" s="23">
        <f>IF(E139="男",LOOKUP($S139,[1]对照表!$AB$3:$AB$13,[1]对照表!$AC$3:$AC$13),LOOKUP($S139,[1]对照表!$AB$15:$AB$25,[1]对照表!$AC$15:$AC$25))</f>
        <v>0</v>
      </c>
      <c r="U139" s="26">
        <f>R139+T139</f>
        <v>0</v>
      </c>
      <c r="V139" s="26">
        <f>SUM(I139,K139,M139)/3*0.3+SUM(G139,R139)/2*0.4</f>
        <v>0</v>
      </c>
      <c r="W139" s="27">
        <f>O139+T139</f>
        <v>0</v>
      </c>
      <c r="X139" s="28">
        <f>V139/0.7+W139</f>
        <v>0</v>
      </c>
      <c r="Y139" s="29">
        <v>50</v>
      </c>
      <c r="Z139" s="21" t="s">
        <v>677</v>
      </c>
    </row>
    <row r="140" spans="1:26" x14ac:dyDescent="0.25">
      <c r="A140" s="16">
        <v>14</v>
      </c>
      <c r="B140" s="17" t="s">
        <v>21</v>
      </c>
      <c r="C140" s="16">
        <v>103</v>
      </c>
      <c r="D140" s="18" t="s">
        <v>678</v>
      </c>
      <c r="E140" s="17" t="s">
        <v>23</v>
      </c>
      <c r="F140" s="19"/>
      <c r="G140" s="20">
        <v>0</v>
      </c>
      <c r="H140" s="21"/>
      <c r="I140" s="32">
        <v>0</v>
      </c>
      <c r="J140" s="21"/>
      <c r="K140" s="20">
        <v>0</v>
      </c>
      <c r="L140" s="21"/>
      <c r="M140" s="20">
        <v>0</v>
      </c>
      <c r="N140" s="33">
        <f>IF(B140="高三",MAX(IF(E140="男",L140-18,L140-55),0),IF(B140="高二",MAX(IF(E140="男",L140-17,L140-54),0),IF(B140="高一",MAX(IF(E140="男",L140-16,L140-53),0))))</f>
        <v>0</v>
      </c>
      <c r="O140" s="23">
        <f>IF(E140="男",LOOKUP($N140,[1]对照表!$Z$3:$Z$13,[1]对照表!$AA$3:$AA$13),LOOKUP($N140,[1]对照表!$Z$15:$Z$25,[1]对照表!$AA$15:$AA$25))</f>
        <v>0</v>
      </c>
      <c r="P140" s="24">
        <f>M140+O140</f>
        <v>0</v>
      </c>
      <c r="Q140" s="25"/>
      <c r="R140" s="20">
        <v>0</v>
      </c>
      <c r="S140" s="20">
        <v>0</v>
      </c>
      <c r="T140" s="23">
        <f>IF(E140="男",LOOKUP($S140,[1]对照表!$AB$3:$AB$13,[1]对照表!$AC$3:$AC$13),LOOKUP($S140,[1]对照表!$AB$15:$AB$25,[1]对照表!$AC$15:$AC$25))</f>
        <v>0</v>
      </c>
      <c r="U140" s="26">
        <f>R140+T140</f>
        <v>0</v>
      </c>
      <c r="V140" s="26">
        <f>SUM(I140,K140,M140)/3*0.3+SUM(G140,R140)/2*0.4</f>
        <v>0</v>
      </c>
      <c r="W140" s="27">
        <f>O140+T140</f>
        <v>0</v>
      </c>
      <c r="X140" s="28">
        <f>V140/0.7+W140</f>
        <v>0</v>
      </c>
      <c r="Y140" s="29">
        <v>50</v>
      </c>
      <c r="Z140" s="21"/>
    </row>
    <row r="141" spans="1:26" x14ac:dyDescent="0.25">
      <c r="A141" s="16">
        <v>47</v>
      </c>
      <c r="B141" s="17" t="s">
        <v>21</v>
      </c>
      <c r="C141" s="16">
        <v>103</v>
      </c>
      <c r="D141" s="18" t="s">
        <v>710</v>
      </c>
      <c r="E141" s="17" t="s">
        <v>65</v>
      </c>
      <c r="F141" s="19">
        <v>9.3800000000000008</v>
      </c>
      <c r="G141" s="32">
        <f>IF(B141="高三",IF($E141="男",LOOKUP(F141,[1]对照表!$G$3:$G$24,[1]对照表!$H$3:$H$24),LOOKUP(F141,[1]对照表!$G$27:$G$48,[1]对照表!$H$27:$H$48)),IF(B141="高二",IF($E141="男",LOOKUP(F141,[1]对照表!$F$3:$F$24,[1]对照表!$H$3:$H$24),LOOKUP(F141,[1]对照表!$F$27:$F$48,[1]对照表!$H$27:$H$48)),IF(B141="高一",IF($E141="男",LOOKUP(F141,[1]对照表!$E$3:$E$24,[1]对照表!$H$3:$H$24),LOOKUP(F141,[1]对照表!$E$27:$E$48,[1]对照表!$H$27:$H$48)))))</f>
        <v>72</v>
      </c>
      <c r="H141" s="21">
        <v>13</v>
      </c>
      <c r="I141" s="32">
        <f>IF(B141="高三",IF($E141="男",LOOKUP(H141,[1]对照表!$K$3:$K$24,[1]对照表!$L$3:$L$24),LOOKUP(H141,[1]对照表!$K$27:$K$48,[1]对照表!$L$27:$L$48)),IF(B141="高二",IF($E141="男",LOOKUP(H141,[1]对照表!$J$3:$J$24,[1]对照表!$L$3:$L$24),LOOKUP(H141,[1]对照表!$J$27:$J$48,[1]对照表!$L$27:$L$48)),IF(B141="高一",IF($E141="男",LOOKUP(H141,[1]对照表!$I$3:$I$24,[1]对照表!$L$3:$L$24),LOOKUP(H141,[1]对照表!$I$27:$I$48,[1]对照表!$L$27:$L$48)))))</f>
        <v>72</v>
      </c>
      <c r="J141" s="21">
        <v>172</v>
      </c>
      <c r="K141" s="32">
        <f>IF(B141="高三",IF($E141="男",LOOKUP(J141,[1]对照表!$O$3:$O$24,[1]对照表!$P$3:$P$24),LOOKUP(J141,[1]对照表!$O$27:$O$48,[1]对照表!$P$27:$P$48)),IF(B141="高二",IF($E141="男",LOOKUP(J141,[1]对照表!$N$3:$N$24,[1]对照表!$P$3:$P$24),LOOKUP(J141,[1]对照表!$N$27:$N$48,[1]对照表!$P$27:$P$48)),IF(B141="高一",IF($E141="男",LOOKUP(J141,[1]对照表!$M$3:$M$24,[1]对照表!$P$3:$P$24),LOOKUP(J141,[1]对照表!$M$27:$M$48,[1]对照表!$P$27:$P$48)))))</f>
        <v>76</v>
      </c>
      <c r="L141" s="21">
        <v>48</v>
      </c>
      <c r="M141" s="32">
        <f>IF(B141="高三",IF($E141="男",LOOKUP(L141,[1]对照表!$S$3:$S$24,[1]对照表!$T$3:$T$24),LOOKUP(L141,[1]对照表!$S$27:$S$48,[1]对照表!$T$27:$T$48)),IF(B141="高二",IF($E141="男",LOOKUP(L141,[1]对照表!$R$3:$R$24,[1]对照表!$T$3:$T$24),LOOKUP(L141,[1]对照表!$R$27:$R$48,[1]对照表!$T$27:$T$48)),IF(B141="高一",IF($E141="男",LOOKUP(L141,[1]对照表!$Q$3:$Q$24,[1]对照表!$T$3:$T$24),LOOKUP(L141,[1]对照表!$Q$27:$Q$48,[1]对照表!$T$27:$T$48)))))</f>
        <v>85</v>
      </c>
      <c r="N141" s="33">
        <f>IF(B141="高三",MAX(IF(E141="男",L141-18,L141-55),0),IF(B141="高二",MAX(IF(E141="男",L141-17,L141-54),0),IF(B141="高一",MAX(IF(E141="男",L141-16,L141-53),0))))</f>
        <v>0</v>
      </c>
      <c r="O141" s="23">
        <f>IF(E141="男",LOOKUP($N141,[1]对照表!$Z$3:$Z$13,[1]对照表!$AA$3:$AA$13),LOOKUP($N141,[1]对照表!$Z$15:$Z$25,[1]对照表!$AA$15:$AA$25))</f>
        <v>0</v>
      </c>
      <c r="P141" s="24">
        <f>M141+O141</f>
        <v>85</v>
      </c>
      <c r="Q141" s="25">
        <v>4.1500000000000004</v>
      </c>
      <c r="R141" s="32">
        <f>IF(B141="高三",IF($E141="男",LOOKUP(Q141,[1]对照表!$W$3:$W$24,[1]对照表!$X$3:$X$24),LOOKUP(Q141,[1]对照表!$W$27:$W$48,[1]对照表!$X$27:$X$48)),IF(B141="高二",IF($E141="男",LOOKUP(Q141,[1]对照表!$V$3:$V$24,[1]对照表!$X$3:$X$24),LOOKUP(Q141,[1]对照表!$V$27:$V$48,[1]对照表!$X$27:$X$48)),IF(B141="高一",IF($E141="男",LOOKUP(Q141,[1]对照表!$U$3:$U$24,[1]对照表!$X$3:$X$24),LOOKUP(Q141,[1]对照表!$U$27:$U$48,[1]对照表!$X$27:$X$48)))))</f>
        <v>70</v>
      </c>
      <c r="S141" s="33">
        <f>ROUND(IF(IF($B141="高三",MIN(IF($E141="男",$Q141-3.2,$Q141-3.2),0),IF($B141="高二",MIN(IF($E141="男",$Q141-3.25,$Q141-3.22),0),IF($B141="高一",MIN(IF($E141="男",$Q141-3.3,$Q141-3.24),0))))&lt;-0.6,IF($B141="高三",MIN(IF($E141="男",$Q141-3.2,$Q141-3.2),0),IF($B141="高二",MIN(IF($E141="男",$Q141-3.25,$Q141-3.22),0),IF($B141="高一",MIN(IF($E141="男",$Q141-3.3,$Q141-3.24),0))))+0.4,IF($B141="高三",MIN(IF($E141="男",$Q141-3.2,$Q141-3.2),0),IF($B141="高二",MIN(IF($E141="男",$Q141-3.25,$Q141-3.22),0),IF($B141="高一",MIN(IF($E141="男",$Q141-3.3,$Q141-3.24),0))))),2)</f>
        <v>0</v>
      </c>
      <c r="T141" s="23">
        <f>IF(E141="男",LOOKUP($S141,[1]对照表!$AB$3:$AB$13,[1]对照表!$AC$3:$AC$13),LOOKUP($S141,[1]对照表!$AB$15:$AB$25,[1]对照表!$AC$15:$AC$25))</f>
        <v>0</v>
      </c>
      <c r="U141" s="26">
        <f>R141+T141</f>
        <v>70</v>
      </c>
      <c r="V141" s="26">
        <f>SUM(I141,K141,M141)/3*0.3+SUM(G141,R141)/2*0.4</f>
        <v>51.7</v>
      </c>
      <c r="W141" s="27">
        <f>O141+T141</f>
        <v>0</v>
      </c>
      <c r="X141" s="28">
        <f>V141/0.7+W141</f>
        <v>73.857142857142861</v>
      </c>
      <c r="Y141" s="28">
        <v>73.857142857142861</v>
      </c>
      <c r="Z141" s="21"/>
    </row>
    <row r="142" spans="1:26" x14ac:dyDescent="0.25">
      <c r="A142" s="16">
        <v>43</v>
      </c>
      <c r="B142" s="17" t="s">
        <v>21</v>
      </c>
      <c r="C142" s="16">
        <v>103</v>
      </c>
      <c r="D142" s="18" t="s">
        <v>752</v>
      </c>
      <c r="E142" s="17" t="s">
        <v>65</v>
      </c>
      <c r="F142" s="19">
        <v>8.6999999999999993</v>
      </c>
      <c r="G142" s="32">
        <f>IF(B142="高三",IF($E142="男",LOOKUP(F142,[1]对照表!$G$3:$G$24,[1]对照表!$H$3:$H$24),LOOKUP(F142,[1]对照表!$G$27:$G$48,[1]对照表!$H$27:$H$48)),IF(B142="高二",IF($E142="男",LOOKUP(F142,[1]对照表!$F$3:$F$24,[1]对照表!$H$3:$H$24),LOOKUP(F142,[1]对照表!$F$27:$F$48,[1]对照表!$H$27:$H$48)),IF(B142="高一",IF($E142="男",LOOKUP(F142,[1]对照表!$E$3:$E$24,[1]对照表!$H$3:$H$24),LOOKUP(F142,[1]对照表!$E$27:$E$48,[1]对照表!$H$27:$H$48)))))</f>
        <v>78</v>
      </c>
      <c r="H142" s="21">
        <v>19.5</v>
      </c>
      <c r="I142" s="32">
        <f>IF(B142="高三",IF($E142="男",LOOKUP(H142,[1]对照表!$K$3:$K$24,[1]对照表!$L$3:$L$24),LOOKUP(H142,[1]对照表!$K$27:$K$48,[1]对照表!$L$27:$L$48)),IF(B142="高二",IF($E142="男",LOOKUP(H142,[1]对照表!$J$3:$J$24,[1]对照表!$L$3:$L$24),LOOKUP(H142,[1]对照表!$J$27:$J$48,[1]对照表!$L$27:$L$48)),IF(B142="高一",IF($E142="男",LOOKUP(H142,[1]对照表!$I$3:$I$24,[1]对照表!$L$3:$L$24),LOOKUP(H142,[1]对照表!$I$27:$I$48,[1]对照表!$L$27:$L$48)))))</f>
        <v>85</v>
      </c>
      <c r="J142" s="21">
        <v>178</v>
      </c>
      <c r="K142" s="32">
        <f>IF(B142="高三",IF($E142="男",LOOKUP(J142,[1]对照表!$O$3:$O$24,[1]对照表!$P$3:$P$24),LOOKUP(J142,[1]对照表!$O$27:$O$48,[1]对照表!$P$27:$P$48)),IF(B142="高二",IF($E142="男",LOOKUP(J142,[1]对照表!$N$3:$N$24,[1]对照表!$P$3:$P$24),LOOKUP(J142,[1]对照表!$N$27:$N$48,[1]对照表!$P$27:$P$48)),IF(B142="高一",IF($E142="男",LOOKUP(J142,[1]对照表!$M$3:$M$24,[1]对照表!$P$3:$P$24),LOOKUP(J142,[1]对照表!$M$27:$M$48,[1]对照表!$P$27:$P$48)))))</f>
        <v>80</v>
      </c>
      <c r="L142" s="21">
        <v>55</v>
      </c>
      <c r="M142" s="32">
        <f>IF(B142="高三",IF($E142="男",LOOKUP(L142,[1]对照表!$S$3:$S$24,[1]对照表!$T$3:$T$24),LOOKUP(L142,[1]对照表!$S$27:$S$48,[1]对照表!$T$27:$T$48)),IF(B142="高二",IF($E142="男",LOOKUP(L142,[1]对照表!$R$3:$R$24,[1]对照表!$T$3:$T$24),LOOKUP(L142,[1]对照表!$R$27:$R$48,[1]对照表!$T$27:$T$48)),IF(B142="高一",IF($E142="男",LOOKUP(L142,[1]对照表!$Q$3:$Q$24,[1]对照表!$T$3:$T$24),LOOKUP(L142,[1]对照表!$Q$27:$Q$48,[1]对照表!$T$27:$T$48)))))</f>
        <v>100</v>
      </c>
      <c r="N142" s="33">
        <f>IF(B142="高三",MAX(IF(E142="男",L142-18,L142-55),0),IF(B142="高二",MAX(IF(E142="男",L142-17,L142-54),0),IF(B142="高一",MAX(IF(E142="男",L142-16,L142-53),0))))</f>
        <v>2</v>
      </c>
      <c r="O142" s="23">
        <f>IF(E142="男",LOOKUP($N142,[1]对照表!$Z$3:$Z$13,[1]对照表!$AA$3:$AA$13),LOOKUP($N142,[1]对照表!$Z$15:$Z$25,[1]对照表!$AA$15:$AA$25))</f>
        <v>1</v>
      </c>
      <c r="P142" s="24">
        <f>M142+O142</f>
        <v>101</v>
      </c>
      <c r="Q142" s="25"/>
      <c r="R142" s="20">
        <v>0</v>
      </c>
      <c r="S142" s="22">
        <v>0</v>
      </c>
      <c r="T142" s="23">
        <f>IF(E142="男",LOOKUP($S142,[1]对照表!$AB$3:$AB$13,[1]对照表!$AC$3:$AC$13),LOOKUP($S142,[1]对照表!$AB$15:$AB$25,[1]对照表!$AC$15:$AC$25))</f>
        <v>0</v>
      </c>
      <c r="U142" s="26">
        <f>R142+T142</f>
        <v>0</v>
      </c>
      <c r="V142" s="26">
        <f>SUM(I142,K142,M142)/3*0.3+SUM(G142,R142)/2*0.4</f>
        <v>42.099999999999994</v>
      </c>
      <c r="W142" s="27">
        <f>O142+T142</f>
        <v>1</v>
      </c>
      <c r="X142" s="28">
        <f>V142/0.7+W142</f>
        <v>61.142857142857139</v>
      </c>
      <c r="Y142" s="28">
        <v>61.142857142857139</v>
      </c>
      <c r="Z142" s="21" t="s">
        <v>524</v>
      </c>
    </row>
    <row r="143" spans="1:26" x14ac:dyDescent="0.25">
      <c r="A143" s="16">
        <v>38</v>
      </c>
      <c r="B143" s="17" t="s">
        <v>21</v>
      </c>
      <c r="C143" s="16">
        <v>103</v>
      </c>
      <c r="D143" s="18" t="s">
        <v>759</v>
      </c>
      <c r="E143" s="31" t="s">
        <v>65</v>
      </c>
      <c r="F143" s="19"/>
      <c r="G143" s="20">
        <v>0</v>
      </c>
      <c r="H143" s="21">
        <v>23</v>
      </c>
      <c r="I143" s="32">
        <f>IF(B143="高三",IF($E143="男",LOOKUP(H143,[1]对照表!$K$3:$K$24,[1]对照表!$L$3:$L$24),LOOKUP(H143,[1]对照表!$K$27:$K$48,[1]对照表!$L$27:$L$48)),IF(B143="高二",IF($E143="男",LOOKUP(H143,[1]对照表!$J$3:$J$24,[1]对照表!$L$3:$L$24),LOOKUP(H143,[1]对照表!$J$27:$J$48,[1]对照表!$L$27:$L$48)),IF(B143="高一",IF($E143="男",LOOKUP(H143,[1]对照表!$I$3:$I$24,[1]对照表!$L$3:$L$24),LOOKUP(H143,[1]对照表!$I$27:$I$48,[1]对照表!$L$27:$L$48)))))</f>
        <v>95</v>
      </c>
      <c r="J143" s="21"/>
      <c r="K143" s="20">
        <v>0</v>
      </c>
      <c r="L143" s="21">
        <v>43</v>
      </c>
      <c r="M143" s="32">
        <f>IF(B143="高三",IF($E143="男",LOOKUP(L143,[1]对照表!$S$3:$S$24,[1]对照表!$T$3:$T$24),LOOKUP(L143,[1]对照表!$S$27:$S$48,[1]对照表!$T$27:$T$48)),IF(B143="高二",IF($E143="男",LOOKUP(L143,[1]对照表!$R$3:$R$24,[1]对照表!$T$3:$T$24),LOOKUP(L143,[1]对照表!$R$27:$R$48,[1]对照表!$T$27:$T$48)),IF(B143="高一",IF($E143="男",LOOKUP(L143,[1]对照表!$Q$3:$Q$24,[1]对照表!$T$3:$T$24),LOOKUP(L143,[1]对照表!$Q$27:$Q$48,[1]对照表!$T$27:$T$48)))))</f>
        <v>80</v>
      </c>
      <c r="N143" s="33">
        <f>IF(B143="高三",MAX(IF(E143="男",L143-18,L143-55),0),IF(B143="高二",MAX(IF(E143="男",L143-17,L143-54),0),IF(B143="高一",MAX(IF(E143="男",L143-16,L143-53),0))))</f>
        <v>0</v>
      </c>
      <c r="O143" s="23">
        <f>IF(E143="男",LOOKUP($N143,[1]对照表!$Z$3:$Z$13,[1]对照表!$AA$3:$AA$13),LOOKUP($N143,[1]对照表!$Z$15:$Z$25,[1]对照表!$AA$15:$AA$25))</f>
        <v>0</v>
      </c>
      <c r="P143" s="24">
        <f>M143+O143</f>
        <v>80</v>
      </c>
      <c r="Q143" s="25"/>
      <c r="R143" s="20">
        <v>0</v>
      </c>
      <c r="S143" s="22">
        <v>0</v>
      </c>
      <c r="T143" s="23">
        <f>IF(E143="男",LOOKUP($S143,[1]对照表!$AB$3:$AB$13,[1]对照表!$AC$3:$AC$13),LOOKUP($S143,[1]对照表!$AB$15:$AB$25,[1]对照表!$AC$15:$AC$25))</f>
        <v>0</v>
      </c>
      <c r="U143" s="26">
        <f>R143+T143</f>
        <v>0</v>
      </c>
      <c r="V143" s="26">
        <f>SUM(I143,K143,M143)/3*0.3+SUM(G143,R143)/2*0.4</f>
        <v>17.5</v>
      </c>
      <c r="W143" s="27">
        <f>O143+T143</f>
        <v>0</v>
      </c>
      <c r="X143" s="28">
        <f>V143/0.7+W143</f>
        <v>25</v>
      </c>
      <c r="Y143" s="29">
        <v>50</v>
      </c>
      <c r="Z143" s="21" t="s">
        <v>578</v>
      </c>
    </row>
    <row r="144" spans="1:26" x14ac:dyDescent="0.25">
      <c r="A144" s="16">
        <v>39</v>
      </c>
      <c r="B144" s="17" t="s">
        <v>21</v>
      </c>
      <c r="C144" s="16">
        <v>103</v>
      </c>
      <c r="D144" s="18" t="s">
        <v>762</v>
      </c>
      <c r="E144" s="17" t="s">
        <v>65</v>
      </c>
      <c r="F144" s="19"/>
      <c r="G144" s="20">
        <v>0</v>
      </c>
      <c r="H144" s="21"/>
      <c r="I144" s="20">
        <v>0</v>
      </c>
      <c r="J144" s="21"/>
      <c r="K144" s="20">
        <v>0</v>
      </c>
      <c r="L144" s="21"/>
      <c r="M144" s="20">
        <v>0</v>
      </c>
      <c r="N144" s="22">
        <v>0</v>
      </c>
      <c r="O144" s="23">
        <f>IF(E144="男",LOOKUP($N144,[1]对照表!$Z$3:$Z$13,[1]对照表!$AA$3:$AA$13),LOOKUP($N144,[1]对照表!$Z$15:$Z$25,[1]对照表!$AA$15:$AA$25))</f>
        <v>0</v>
      </c>
      <c r="P144" s="24">
        <f>M144+O144</f>
        <v>0</v>
      </c>
      <c r="Q144" s="25"/>
      <c r="R144" s="20">
        <v>0</v>
      </c>
      <c r="S144" s="22">
        <v>0</v>
      </c>
      <c r="T144" s="23">
        <f>IF(E144="男",LOOKUP($S144,[1]对照表!$AB$3:$AB$13,[1]对照表!$AC$3:$AC$13),LOOKUP($S144,[1]对照表!$AB$15:$AB$25,[1]对照表!$AC$15:$AC$25))</f>
        <v>0</v>
      </c>
      <c r="U144" s="26">
        <f>R144+T144</f>
        <v>0</v>
      </c>
      <c r="V144" s="26">
        <f>SUM(I144,K144,M144)/3*0.3+SUM(G144,R144)/2*0.4</f>
        <v>0</v>
      </c>
      <c r="W144" s="27">
        <f>O144+T144</f>
        <v>0</v>
      </c>
      <c r="X144" s="28">
        <f>V144/0.7+W144</f>
        <v>0</v>
      </c>
      <c r="Y144" s="29">
        <v>50</v>
      </c>
      <c r="Z144" s="25"/>
    </row>
    <row r="145" spans="1:26" x14ac:dyDescent="0.25">
      <c r="A145" s="16">
        <v>6</v>
      </c>
      <c r="B145" s="17" t="s">
        <v>21</v>
      </c>
      <c r="C145" s="16">
        <v>105</v>
      </c>
      <c r="D145" s="18" t="s">
        <v>42</v>
      </c>
      <c r="E145" s="17" t="s">
        <v>23</v>
      </c>
      <c r="F145" s="19">
        <v>6.8</v>
      </c>
      <c r="G145" s="32">
        <f>IF(B145="高三",IF($E145="男",LOOKUP(F145,[1]对照表!$G$3:$G$24,[1]对照表!$H$3:$H$24),LOOKUP(F145,[1]对照表!$G$27:$G$48,[1]对照表!$H$27:$H$48)),IF(B145="高二",IF($E145="男",LOOKUP(F145,[1]对照表!$F$3:$F$24,[1]对照表!$H$3:$H$24),LOOKUP(F145,[1]对照表!$F$27:$F$48,[1]对照表!$H$27:$H$48)),IF(B145="高一",IF($E145="男",LOOKUP(F145,[1]对照表!$E$3:$E$24,[1]对照表!$H$3:$H$24),LOOKUP(F145,[1]对照表!$E$27:$E$48,[1]对照表!$H$27:$H$48)))))</f>
        <v>100</v>
      </c>
      <c r="H145" s="21">
        <v>11.3</v>
      </c>
      <c r="I145" s="32">
        <f>IF(B145="高三",IF($E145="男",LOOKUP(H145,[1]对照表!$K$3:$K$24,[1]对照表!$L$3:$L$24),LOOKUP(H145,[1]对照表!$K$27:$K$48,[1]对照表!$L$27:$L$48)),IF(B145="高二",IF($E145="男",LOOKUP(H145,[1]对照表!$J$3:$J$24,[1]对照表!$L$3:$L$24),LOOKUP(H145,[1]对照表!$J$27:$J$48,[1]对照表!$L$27:$L$48)),IF(B145="高一",IF($E145="男",LOOKUP(H145,[1]对照表!$I$3:$I$24,[1]对照表!$L$3:$L$24),LOOKUP(H145,[1]对照表!$I$27:$I$48,[1]对照表!$L$27:$L$48)))))</f>
        <v>74</v>
      </c>
      <c r="J145" s="21">
        <v>250</v>
      </c>
      <c r="K145" s="32">
        <f>IF(B145="高三",IF($E145="男",LOOKUP(J145,[1]对照表!$O$3:$O$24,[1]对照表!$P$3:$P$24),LOOKUP(J145,[1]对照表!$O$27:$O$48,[1]对照表!$P$27:$P$48)),IF(B145="高二",IF($E145="男",LOOKUP(J145,[1]对照表!$N$3:$N$24,[1]对照表!$P$3:$P$24),LOOKUP(J145,[1]对照表!$N$27:$N$48,[1]对照表!$P$27:$P$48)),IF(B145="高一",IF($E145="男",LOOKUP(J145,[1]对照表!$M$3:$M$24,[1]对照表!$P$3:$P$24),LOOKUP(J145,[1]对照表!$M$27:$M$48,[1]对照表!$P$27:$P$48)))))</f>
        <v>90</v>
      </c>
      <c r="L145" s="21">
        <v>26</v>
      </c>
      <c r="M145" s="32">
        <f>IF(B145="高三",IF($E145="男",LOOKUP(L145,[1]对照表!$S$3:$S$24,[1]对照表!$T$3:$T$24),LOOKUP(L145,[1]对照表!$S$27:$S$48,[1]对照表!$T$27:$T$48)),IF(B145="高二",IF($E145="男",LOOKUP(L145,[1]对照表!$R$3:$R$24,[1]对照表!$T$3:$T$24),LOOKUP(L145,[1]对照表!$R$27:$R$48,[1]对照表!$T$27:$T$48)),IF(B145="高一",IF($E145="男",LOOKUP(L145,[1]对照表!$Q$3:$Q$24,[1]对照表!$T$3:$T$24),LOOKUP(L145,[1]对照表!$Q$27:$Q$48,[1]对照表!$T$27:$T$48)))))</f>
        <v>100</v>
      </c>
      <c r="N145" s="33">
        <f>IF(B145="高三",MAX(IF(E145="男",L145-18,L145-55),0),IF(B145="高二",MAX(IF(E145="男",L145-17,L145-54),0),IF(B145="高一",MAX(IF(E145="男",L145-16,L145-53),0))))</f>
        <v>10</v>
      </c>
      <c r="O145" s="23">
        <f>IF(E145="男",LOOKUP($N145,[1]对照表!$Z$3:$Z$13,[1]对照表!$AA$3:$AA$13),LOOKUP($N145,[1]对照表!$Z$15:$Z$25,[1]对照表!$AA$15:$AA$25))</f>
        <v>10</v>
      </c>
      <c r="P145" s="24">
        <f>M145+O145</f>
        <v>110</v>
      </c>
      <c r="Q145" s="25">
        <v>3.23</v>
      </c>
      <c r="R145" s="32">
        <f>IF(B145="高三",IF($E145="男",LOOKUP(Q145,[1]对照表!$W$3:$W$24,[1]对照表!$X$3:$X$24),LOOKUP(Q145,[1]对照表!$W$27:$W$48,[1]对照表!$X$27:$X$48)),IF(B145="高二",IF($E145="男",LOOKUP(Q145,[1]对照表!$V$3:$V$24,[1]对照表!$X$3:$X$24),LOOKUP(Q145,[1]对照表!$V$27:$V$48,[1]对照表!$X$27:$X$48)),IF(B145="高一",IF($E145="男",LOOKUP(Q145,[1]对照表!$U$3:$U$24,[1]对照表!$X$3:$X$24),LOOKUP(Q145,[1]对照表!$U$27:$U$48,[1]对照表!$X$27:$X$48)))))</f>
        <v>100</v>
      </c>
      <c r="S145" s="33">
        <f>ROUND(IF(IF($B145="高三",MIN(IF($E145="男",$Q145-3.2,$Q145-3.2),0),IF($B145="高二",MIN(IF($E145="男",$Q145-3.25,$Q145-3.22),0),IF($B145="高一",MIN(IF($E145="男",$Q145-3.3,$Q145-3.24),0))))&lt;-0.6,IF($B145="高三",MIN(IF($E145="男",$Q145-3.2,$Q145-3.2),0),IF($B145="高二",MIN(IF($E145="男",$Q145-3.25,$Q145-3.22),0),IF($B145="高一",MIN(IF($E145="男",$Q145-3.3,$Q145-3.24),0))))+0.4,IF($B145="高三",MIN(IF($E145="男",$Q145-3.2,$Q145-3.2),0),IF($B145="高二",MIN(IF($E145="男",$Q145-3.25,$Q145-3.22),0),IF($B145="高一",MIN(IF($E145="男",$Q145-3.3,$Q145-3.24),0))))),2)</f>
        <v>-7.0000000000000007E-2</v>
      </c>
      <c r="T145" s="23">
        <f>IF(E145="男",LOOKUP($S145,[1]对照表!$AB$3:$AB$13,[1]对照表!$AC$3:$AC$13),LOOKUP($S145,[1]对照表!$AB$15:$AB$25,[1]对照表!$AC$15:$AC$25))</f>
        <v>1</v>
      </c>
      <c r="U145" s="26">
        <f>R145+T145</f>
        <v>101</v>
      </c>
      <c r="V145" s="26">
        <f>SUM(I145,K145,M145)/3*0.3+SUM(G145,R145)/2*0.4</f>
        <v>66.400000000000006</v>
      </c>
      <c r="W145" s="27">
        <f>O145+T145</f>
        <v>11</v>
      </c>
      <c r="X145" s="28">
        <f>V145/0.7+W145</f>
        <v>105.85714285714288</v>
      </c>
      <c r="Y145" s="28">
        <v>105.85714285714288</v>
      </c>
      <c r="Z145" s="25"/>
    </row>
    <row r="146" spans="1:26" x14ac:dyDescent="0.25">
      <c r="A146" s="16">
        <v>39</v>
      </c>
      <c r="B146" s="17" t="s">
        <v>21</v>
      </c>
      <c r="C146" s="16">
        <v>105</v>
      </c>
      <c r="D146" s="18" t="s">
        <v>67</v>
      </c>
      <c r="E146" s="17" t="s">
        <v>65</v>
      </c>
      <c r="F146" s="19">
        <v>8.07</v>
      </c>
      <c r="G146" s="32">
        <f>IF(B146="高三",IF($E146="男",LOOKUP(F146,[1]对照表!$G$3:$G$24,[1]对照表!$H$3:$H$24),LOOKUP(F146,[1]对照表!$G$27:$G$48,[1]对照表!$H$27:$H$48)),IF(B146="高二",IF($E146="男",LOOKUP(F146,[1]对照表!$F$3:$F$24,[1]对照表!$H$3:$H$24),LOOKUP(F146,[1]对照表!$F$27:$F$48,[1]对照表!$H$27:$H$48)),IF(B146="高一",IF($E146="男",LOOKUP(F146,[1]对照表!$E$3:$E$24,[1]对照表!$H$3:$H$24),LOOKUP(F146,[1]对照表!$E$27:$E$48,[1]对照表!$H$27:$H$48)))))</f>
        <v>85</v>
      </c>
      <c r="H146" s="21">
        <v>30</v>
      </c>
      <c r="I146" s="32">
        <f>IF(B146="高三",IF($E146="男",LOOKUP(H146,[1]对照表!$K$3:$K$24,[1]对照表!$L$3:$L$24),LOOKUP(H146,[1]对照表!$K$27:$K$48,[1]对照表!$L$27:$L$48)),IF(B146="高二",IF($E146="男",LOOKUP(H146,[1]对照表!$J$3:$J$24,[1]对照表!$L$3:$L$24),LOOKUP(H146,[1]对照表!$J$27:$J$48,[1]对照表!$L$27:$L$48)),IF(B146="高一",IF($E146="男",LOOKUP(H146,[1]对照表!$I$3:$I$24,[1]对照表!$L$3:$L$24),LOOKUP(H146,[1]对照表!$I$27:$I$48,[1]对照表!$L$27:$L$48)))))</f>
        <v>100</v>
      </c>
      <c r="J146" s="21">
        <v>195</v>
      </c>
      <c r="K146" s="32">
        <f>IF(B146="高三",IF($E146="男",LOOKUP(J146,[1]对照表!$O$3:$O$24,[1]对照表!$P$3:$P$24),LOOKUP(J146,[1]对照表!$O$27:$O$48,[1]对照表!$P$27:$P$48)),IF(B146="高二",IF($E146="男",LOOKUP(J146,[1]对照表!$N$3:$N$24,[1]对照表!$P$3:$P$24),LOOKUP(J146,[1]对照表!$N$27:$N$48,[1]对照表!$P$27:$P$48)),IF(B146="高一",IF($E146="男",LOOKUP(J146,[1]对照表!$M$3:$M$24,[1]对照表!$P$3:$P$24),LOOKUP(J146,[1]对照表!$M$27:$M$48,[1]对照表!$P$27:$P$48)))))</f>
        <v>90</v>
      </c>
      <c r="L146" s="21">
        <v>57</v>
      </c>
      <c r="M146" s="32">
        <f>IF(B146="高三",IF($E146="男",LOOKUP(L146,[1]对照表!$S$3:$S$24,[1]对照表!$T$3:$T$24),LOOKUP(L146,[1]对照表!$S$27:$S$48,[1]对照表!$T$27:$T$48)),IF(B146="高二",IF($E146="男",LOOKUP(L146,[1]对照表!$R$3:$R$24,[1]对照表!$T$3:$T$24),LOOKUP(L146,[1]对照表!$R$27:$R$48,[1]对照表!$T$27:$T$48)),IF(B146="高一",IF($E146="男",LOOKUP(L146,[1]对照表!$Q$3:$Q$24,[1]对照表!$T$3:$T$24),LOOKUP(L146,[1]对照表!$Q$27:$Q$48,[1]对照表!$T$27:$T$48)))))</f>
        <v>100</v>
      </c>
      <c r="N146" s="33">
        <f>IF(B146="高三",MAX(IF(E146="男",L146-18,L146-55),0),IF(B146="高二",MAX(IF(E146="男",L146-17,L146-54),0),IF(B146="高一",MAX(IF(E146="男",L146-16,L146-53),0))))</f>
        <v>4</v>
      </c>
      <c r="O146" s="23">
        <f>IF(E146="男",LOOKUP($N146,[1]对照表!$Z$3:$Z$13,[1]对照表!$AA$3:$AA$13),LOOKUP($N146,[1]对照表!$Z$15:$Z$25,[1]对照表!$AA$15:$AA$25))</f>
        <v>2</v>
      </c>
      <c r="P146" s="24">
        <f>M146+O146</f>
        <v>102</v>
      </c>
      <c r="Q146" s="25">
        <v>3.01</v>
      </c>
      <c r="R146" s="32">
        <f>IF(B146="高三",IF($E146="男",LOOKUP(Q146,[1]对照表!$W$3:$W$24,[1]对照表!$X$3:$X$24),LOOKUP(Q146,[1]对照表!$W$27:$W$48,[1]对照表!$X$27:$X$48)),IF(B146="高二",IF($E146="男",LOOKUP(Q146,[1]对照表!$V$3:$V$24,[1]对照表!$X$3:$X$24),LOOKUP(Q146,[1]对照表!$V$27:$V$48,[1]对照表!$X$27:$X$48)),IF(B146="高一",IF($E146="男",LOOKUP(Q146,[1]对照表!$U$3:$U$24,[1]对照表!$X$3:$X$24),LOOKUP(Q146,[1]对照表!$U$27:$U$48,[1]对照表!$X$27:$X$48)))))</f>
        <v>100</v>
      </c>
      <c r="S146" s="33">
        <f>ROUND(IF(IF($B146="高三",MIN(IF($E146="男",$Q146-3.2,$Q146-3.2),0),IF($B146="高二",MIN(IF($E146="男",$Q146-3.25,$Q146-3.22),0),IF($B146="高一",MIN(IF($E146="男",$Q146-3.3,$Q146-3.24),0))))&lt;-0.6,IF($B146="高三",MIN(IF($E146="男",$Q146-3.2,$Q146-3.2),0),IF($B146="高二",MIN(IF($E146="男",$Q146-3.25,$Q146-3.22),0),IF($B146="高一",MIN(IF($E146="男",$Q146-3.3,$Q146-3.24),0))))+0.4,IF($B146="高三",MIN(IF($E146="男",$Q146-3.2,$Q146-3.2),0),IF($B146="高二",MIN(IF($E146="男",$Q146-3.25,$Q146-3.22),0),IF($B146="高一",MIN(IF($E146="男",$Q146-3.3,$Q146-3.24),0))))),2)</f>
        <v>-0.23</v>
      </c>
      <c r="T146" s="23">
        <f>IF(E146="男",LOOKUP($S146,[1]对照表!$AB$3:$AB$13,[1]对照表!$AC$3:$AC$13),LOOKUP($S146,[1]对照表!$AB$15:$AB$25,[1]对照表!$AC$15:$AC$25))</f>
        <v>4</v>
      </c>
      <c r="U146" s="26">
        <f>R146+T146</f>
        <v>104</v>
      </c>
      <c r="V146" s="26">
        <f>SUM(I146,K146,M146)/3*0.3+SUM(G146,R146)/2*0.4</f>
        <v>66</v>
      </c>
      <c r="W146" s="27">
        <f>O146+T146</f>
        <v>6</v>
      </c>
      <c r="X146" s="28">
        <f>V146/0.7+W146</f>
        <v>100.28571428571429</v>
      </c>
      <c r="Y146" s="28">
        <v>100.28571428571429</v>
      </c>
      <c r="Z146" s="21"/>
    </row>
    <row r="147" spans="1:26" x14ac:dyDescent="0.25">
      <c r="A147" s="16">
        <v>9</v>
      </c>
      <c r="B147" s="17" t="s">
        <v>21</v>
      </c>
      <c r="C147" s="16">
        <v>105</v>
      </c>
      <c r="D147" s="18" t="s">
        <v>74</v>
      </c>
      <c r="E147" s="17" t="s">
        <v>23</v>
      </c>
      <c r="F147" s="19">
        <v>6.8</v>
      </c>
      <c r="G147" s="32">
        <f>IF(B147="高三",IF($E147="男",LOOKUP(F147,[1]对照表!$G$3:$G$24,[1]对照表!$H$3:$H$24),LOOKUP(F147,[1]对照表!$G$27:$G$48,[1]对照表!$H$27:$H$48)),IF(B147="高二",IF($E147="男",LOOKUP(F147,[1]对照表!$F$3:$F$24,[1]对照表!$H$3:$H$24),LOOKUP(F147,[1]对照表!$F$27:$F$48,[1]对照表!$H$27:$H$48)),IF(B147="高一",IF($E147="男",LOOKUP(F147,[1]对照表!$E$3:$E$24,[1]对照表!$H$3:$H$24),LOOKUP(F147,[1]对照表!$E$27:$E$48,[1]对照表!$H$27:$H$48)))))</f>
        <v>100</v>
      </c>
      <c r="H147" s="21">
        <v>17.5</v>
      </c>
      <c r="I147" s="32">
        <f>IF(B147="高三",IF($E147="男",LOOKUP(H147,[1]对照表!$K$3:$K$24,[1]对照表!$L$3:$L$24),LOOKUP(H147,[1]对照表!$K$27:$K$48,[1]对照表!$L$27:$L$48)),IF(B147="高二",IF($E147="男",LOOKUP(H147,[1]对照表!$J$3:$J$24,[1]对照表!$L$3:$L$24),LOOKUP(H147,[1]对照表!$J$27:$J$48,[1]对照表!$L$27:$L$48)),IF(B147="高一",IF($E147="男",LOOKUP(H147,[1]对照表!$I$3:$I$24,[1]对照表!$L$3:$L$24),LOOKUP(H147,[1]对照表!$I$27:$I$48,[1]对照表!$L$27:$L$48)))))</f>
        <v>85</v>
      </c>
      <c r="J147" s="21">
        <v>240</v>
      </c>
      <c r="K147" s="32">
        <f>IF(B147="高三",IF($E147="男",LOOKUP(J147,[1]对照表!$O$3:$O$24,[1]对照表!$P$3:$P$24),LOOKUP(J147,[1]对照表!$O$27:$O$48,[1]对照表!$P$27:$P$48)),IF(B147="高二",IF($E147="男",LOOKUP(J147,[1]对照表!$N$3:$N$24,[1]对照表!$P$3:$P$24),LOOKUP(J147,[1]对照表!$N$27:$N$48,[1]对照表!$P$27:$P$48)),IF(B147="高一",IF($E147="男",LOOKUP(J147,[1]对照表!$M$3:$M$24,[1]对照表!$P$3:$P$24),LOOKUP(J147,[1]对照表!$M$27:$M$48,[1]对照表!$P$27:$P$48)))))</f>
        <v>80</v>
      </c>
      <c r="L147" s="21">
        <v>16</v>
      </c>
      <c r="M147" s="32">
        <f>IF(B147="高三",IF($E147="男",LOOKUP(L147,[1]对照表!$S$3:$S$24,[1]对照表!$T$3:$T$24),LOOKUP(L147,[1]对照表!$S$27:$S$48,[1]对照表!$T$27:$T$48)),IF(B147="高二",IF($E147="男",LOOKUP(L147,[1]对照表!$R$3:$R$24,[1]对照表!$T$3:$T$24),LOOKUP(L147,[1]对照表!$R$27:$R$48,[1]对照表!$T$27:$T$48)),IF(B147="高一",IF($E147="男",LOOKUP(L147,[1]对照表!$Q$3:$Q$24,[1]对照表!$T$3:$T$24),LOOKUP(L147,[1]对照表!$Q$27:$Q$48,[1]对照表!$T$27:$T$48)))))</f>
        <v>100</v>
      </c>
      <c r="N147" s="33">
        <f>IF(B147="高三",MAX(IF(E147="男",L147-18,L147-55),0),IF(B147="高二",MAX(IF(E147="男",L147-17,L147-54),0),IF(B147="高一",MAX(IF(E147="男",L147-16,L147-53),0))))</f>
        <v>0</v>
      </c>
      <c r="O147" s="23">
        <f>IF(E147="男",LOOKUP($N147,[1]对照表!$Z$3:$Z$13,[1]对照表!$AA$3:$AA$13),LOOKUP($N147,[1]对照表!$Z$15:$Z$25,[1]对照表!$AA$15:$AA$25))</f>
        <v>0</v>
      </c>
      <c r="P147" s="24">
        <f>M147+O147</f>
        <v>100</v>
      </c>
      <c r="Q147" s="25">
        <v>3.1</v>
      </c>
      <c r="R147" s="32">
        <f>IF(B147="高三",IF($E147="男",LOOKUP(Q147,[1]对照表!$W$3:$W$24,[1]对照表!$X$3:$X$24),LOOKUP(Q147,[1]对照表!$W$27:$W$48,[1]对照表!$X$27:$X$48)),IF(B147="高二",IF($E147="男",LOOKUP(Q147,[1]对照表!$V$3:$V$24,[1]对照表!$X$3:$X$24),LOOKUP(Q147,[1]对照表!$V$27:$V$48,[1]对照表!$X$27:$X$48)),IF(B147="高一",IF($E147="男",LOOKUP(Q147,[1]对照表!$U$3:$U$24,[1]对照表!$X$3:$X$24),LOOKUP(Q147,[1]对照表!$U$27:$U$48,[1]对照表!$X$27:$X$48)))))</f>
        <v>100</v>
      </c>
      <c r="S147" s="33">
        <f>ROUND(IF(IF($B147="高三",MIN(IF($E147="男",$Q147-3.2,$Q147-3.2),0),IF($B147="高二",MIN(IF($E147="男",$Q147-3.25,$Q147-3.22),0),IF($B147="高一",MIN(IF($E147="男",$Q147-3.3,$Q147-3.24),0))))&lt;-0.6,IF($B147="高三",MIN(IF($E147="男",$Q147-3.2,$Q147-3.2),0),IF($B147="高二",MIN(IF($E147="男",$Q147-3.25,$Q147-3.22),0),IF($B147="高一",MIN(IF($E147="男",$Q147-3.3,$Q147-3.24),0))))+0.4,IF($B147="高三",MIN(IF($E147="男",$Q147-3.2,$Q147-3.2),0),IF($B147="高二",MIN(IF($E147="男",$Q147-3.25,$Q147-3.22),0),IF($B147="高一",MIN(IF($E147="男",$Q147-3.3,$Q147-3.24),0))))),2)</f>
        <v>-0.2</v>
      </c>
      <c r="T147" s="23">
        <f>IF(E147="男",LOOKUP($S147,[1]对照表!$AB$3:$AB$13,[1]对照表!$AC$3:$AC$13),LOOKUP($S147,[1]对照表!$AB$15:$AB$25,[1]对照表!$AC$15:$AC$25))</f>
        <v>5</v>
      </c>
      <c r="U147" s="26">
        <f>R147+T147</f>
        <v>105</v>
      </c>
      <c r="V147" s="26">
        <f>SUM(I147,K147,M147)/3*0.3+SUM(G147,R147)/2*0.4</f>
        <v>66.5</v>
      </c>
      <c r="W147" s="27">
        <f>O147+T147</f>
        <v>5</v>
      </c>
      <c r="X147" s="28">
        <f>V147/0.7+W147</f>
        <v>100</v>
      </c>
      <c r="Y147" s="28">
        <v>100</v>
      </c>
      <c r="Z147" s="21"/>
    </row>
    <row r="148" spans="1:26" x14ac:dyDescent="0.25">
      <c r="A148" s="16">
        <v>19</v>
      </c>
      <c r="B148" s="17" t="s">
        <v>21</v>
      </c>
      <c r="C148" s="16">
        <v>105</v>
      </c>
      <c r="D148" s="18" t="s">
        <v>76</v>
      </c>
      <c r="E148" s="17" t="s">
        <v>23</v>
      </c>
      <c r="F148" s="19">
        <v>6.9</v>
      </c>
      <c r="G148" s="32">
        <f>IF(B148="高三",IF($E148="男",LOOKUP(F148,[1]对照表!$G$3:$G$24,[1]对照表!$H$3:$H$24),LOOKUP(F148,[1]对照表!$G$27:$G$48,[1]对照表!$H$27:$H$48)),IF(B148="高二",IF($E148="男",LOOKUP(F148,[1]对照表!$F$3:$F$24,[1]对照表!$H$3:$H$24),LOOKUP(F148,[1]对照表!$F$27:$F$48,[1]对照表!$H$27:$H$48)),IF(B148="高一",IF($E148="男",LOOKUP(F148,[1]对照表!$E$3:$E$24,[1]对照表!$H$3:$H$24),LOOKUP(F148,[1]对照表!$E$27:$E$48,[1]对照表!$H$27:$H$48)))))</f>
        <v>100</v>
      </c>
      <c r="H148" s="21">
        <v>15.7</v>
      </c>
      <c r="I148" s="32">
        <f>IF(B148="高三",IF($E148="男",LOOKUP(H148,[1]对照表!$K$3:$K$24,[1]对照表!$L$3:$L$24),LOOKUP(H148,[1]对照表!$K$27:$K$48,[1]对照表!$L$27:$L$48)),IF(B148="高二",IF($E148="男",LOOKUP(H148,[1]对照表!$J$3:$J$24,[1]对照表!$L$3:$L$24),LOOKUP(H148,[1]对照表!$J$27:$J$48,[1]对照表!$L$27:$L$48)),IF(B148="高一",IF($E148="男",LOOKUP(H148,[1]对照表!$I$3:$I$24,[1]对照表!$L$3:$L$24),LOOKUP(H148,[1]对照表!$I$27:$I$48,[1]对照表!$L$27:$L$48)))))</f>
        <v>80</v>
      </c>
      <c r="J148" s="21">
        <v>216</v>
      </c>
      <c r="K148" s="32">
        <f>IF(B148="高三",IF($E148="男",LOOKUP(J148,[1]对照表!$O$3:$O$24,[1]对照表!$P$3:$P$24),LOOKUP(J148,[1]对照表!$O$27:$O$48,[1]对照表!$P$27:$P$48)),IF(B148="高二",IF($E148="男",LOOKUP(J148,[1]对照表!$N$3:$N$24,[1]对照表!$P$3:$P$24),LOOKUP(J148,[1]对照表!$N$27:$N$48,[1]对照表!$P$27:$P$48)),IF(B148="高一",IF($E148="男",LOOKUP(J148,[1]对照表!$M$3:$M$24,[1]对照表!$P$3:$P$24),LOOKUP(J148,[1]对照表!$M$27:$M$48,[1]对照表!$P$27:$P$48)))))</f>
        <v>70</v>
      </c>
      <c r="L148" s="21">
        <v>26</v>
      </c>
      <c r="M148" s="32">
        <f>IF(B148="高三",IF($E148="男",LOOKUP(L148,[1]对照表!$S$3:$S$24,[1]对照表!$T$3:$T$24),LOOKUP(L148,[1]对照表!$S$27:$S$48,[1]对照表!$T$27:$T$48)),IF(B148="高二",IF($E148="男",LOOKUP(L148,[1]对照表!$R$3:$R$24,[1]对照表!$T$3:$T$24),LOOKUP(L148,[1]对照表!$R$27:$R$48,[1]对照表!$T$27:$T$48)),IF(B148="高一",IF($E148="男",LOOKUP(L148,[1]对照表!$Q$3:$Q$24,[1]对照表!$T$3:$T$24),LOOKUP(L148,[1]对照表!$Q$27:$Q$48,[1]对照表!$T$27:$T$48)))))</f>
        <v>100</v>
      </c>
      <c r="N148" s="33">
        <f>IF(B148="高三",MAX(IF(E148="男",L148-18,L148-55),0),IF(B148="高二",MAX(IF(E148="男",L148-17,L148-54),0),IF(B148="高一",MAX(IF(E148="男",L148-16,L148-53),0))))</f>
        <v>10</v>
      </c>
      <c r="O148" s="23">
        <f>IF(E148="男",LOOKUP($N148,[1]对照表!$Z$3:$Z$13,[1]对照表!$AA$3:$AA$13),LOOKUP($N148,[1]对照表!$Z$15:$Z$25,[1]对照表!$AA$15:$AA$25))</f>
        <v>10</v>
      </c>
      <c r="P148" s="24">
        <f>M148+O148</f>
        <v>110</v>
      </c>
      <c r="Q148" s="25">
        <v>3.4</v>
      </c>
      <c r="R148" s="32">
        <f>IF(B148="高三",IF($E148="男",LOOKUP(Q148,[1]对照表!$W$3:$W$24,[1]对照表!$X$3:$X$24),LOOKUP(Q148,[1]对照表!$W$27:$W$48,[1]对照表!$X$27:$X$48)),IF(B148="高二",IF($E148="男",LOOKUP(Q148,[1]对照表!$V$3:$V$24,[1]对照表!$X$3:$X$24),LOOKUP(Q148,[1]对照表!$V$27:$V$48,[1]对照表!$X$27:$X$48)),IF(B148="高一",IF($E148="男",LOOKUP(Q148,[1]对照表!$U$3:$U$24,[1]对照表!$X$3:$X$24),LOOKUP(Q148,[1]对照表!$U$27:$U$48,[1]对照表!$X$27:$X$48)))))</f>
        <v>90</v>
      </c>
      <c r="S148" s="33">
        <f>ROUND(IF(IF($B148="高三",MIN(IF($E148="男",$Q148-3.2,$Q148-3.2),0),IF($B148="高二",MIN(IF($E148="男",$Q148-3.25,$Q148-3.22),0),IF($B148="高一",MIN(IF($E148="男",$Q148-3.3,$Q148-3.24),0))))&lt;-0.6,IF($B148="高三",MIN(IF($E148="男",$Q148-3.2,$Q148-3.2),0),IF($B148="高二",MIN(IF($E148="男",$Q148-3.25,$Q148-3.22),0),IF($B148="高一",MIN(IF($E148="男",$Q148-3.3,$Q148-3.24),0))))+0.4,IF($B148="高三",MIN(IF($E148="男",$Q148-3.2,$Q148-3.2),0),IF($B148="高二",MIN(IF($E148="男",$Q148-3.25,$Q148-3.22),0),IF($B148="高一",MIN(IF($E148="男",$Q148-3.3,$Q148-3.24),0))))),2)</f>
        <v>0</v>
      </c>
      <c r="T148" s="23">
        <f>IF(E148="男",LOOKUP($S148,[1]对照表!$AB$3:$AB$13,[1]对照表!$AC$3:$AC$13),LOOKUP($S148,[1]对照表!$AB$15:$AB$25,[1]对照表!$AC$15:$AC$25))</f>
        <v>0</v>
      </c>
      <c r="U148" s="26">
        <f>R148+T148</f>
        <v>90</v>
      </c>
      <c r="V148" s="26">
        <f>SUM(I148,K148,M148)/3*0.3+SUM(G148,R148)/2*0.4</f>
        <v>63</v>
      </c>
      <c r="W148" s="27">
        <f>O148+T148</f>
        <v>10</v>
      </c>
      <c r="X148" s="28">
        <f>V148/0.7+W148</f>
        <v>100</v>
      </c>
      <c r="Y148" s="28">
        <v>100</v>
      </c>
      <c r="Z148" s="21"/>
    </row>
    <row r="149" spans="1:26" x14ac:dyDescent="0.25">
      <c r="A149" s="16">
        <v>23</v>
      </c>
      <c r="B149" s="17" t="s">
        <v>21</v>
      </c>
      <c r="C149" s="16">
        <v>105</v>
      </c>
      <c r="D149" s="18" t="s">
        <v>83</v>
      </c>
      <c r="E149" s="17" t="s">
        <v>23</v>
      </c>
      <c r="F149" s="19">
        <v>6.9</v>
      </c>
      <c r="G149" s="32">
        <f>IF(B149="高三",IF($E149="男",LOOKUP(F149,[1]对照表!$G$3:$G$24,[1]对照表!$H$3:$H$24),LOOKUP(F149,[1]对照表!$G$27:$G$48,[1]对照表!$H$27:$H$48)),IF(B149="高二",IF($E149="男",LOOKUP(F149,[1]对照表!$F$3:$F$24,[1]对照表!$H$3:$H$24),LOOKUP(F149,[1]对照表!$F$27:$F$48,[1]对照表!$H$27:$H$48)),IF(B149="高一",IF($E149="男",LOOKUP(F149,[1]对照表!$E$3:$E$24,[1]对照表!$H$3:$H$24),LOOKUP(F149,[1]对照表!$E$27:$E$48,[1]对照表!$H$27:$H$48)))))</f>
        <v>100</v>
      </c>
      <c r="H149" s="21">
        <v>9</v>
      </c>
      <c r="I149" s="32">
        <f>IF(B149="高三",IF($E149="男",LOOKUP(H149,[1]对照表!$K$3:$K$24,[1]对照表!$L$3:$L$24),LOOKUP(H149,[1]对照表!$K$27:$K$48,[1]对照表!$L$27:$L$48)),IF(B149="高二",IF($E149="男",LOOKUP(H149,[1]对照表!$J$3:$J$24,[1]对照表!$L$3:$L$24),LOOKUP(H149,[1]对照表!$J$27:$J$48,[1]对照表!$L$27:$L$48)),IF(B149="高一",IF($E149="男",LOOKUP(H149,[1]对照表!$I$3:$I$24,[1]对照表!$L$3:$L$24),LOOKUP(H149,[1]对照表!$I$27:$I$48,[1]对照表!$L$27:$L$48)))))</f>
        <v>70</v>
      </c>
      <c r="J149" s="21">
        <v>245</v>
      </c>
      <c r="K149" s="32">
        <f>IF(B149="高三",IF($E149="男",LOOKUP(J149,[1]对照表!$O$3:$O$24,[1]对照表!$P$3:$P$24),LOOKUP(J149,[1]对照表!$O$27:$O$48,[1]对照表!$P$27:$P$48)),IF(B149="高二",IF($E149="男",LOOKUP(J149,[1]对照表!$N$3:$N$24,[1]对照表!$P$3:$P$24),LOOKUP(J149,[1]对照表!$N$27:$N$48,[1]对照表!$P$27:$P$48)),IF(B149="高一",IF($E149="男",LOOKUP(J149,[1]对照表!$M$3:$M$24,[1]对照表!$P$3:$P$24),LOOKUP(J149,[1]对照表!$M$27:$M$48,[1]对照表!$P$27:$P$48)))))</f>
        <v>85</v>
      </c>
      <c r="L149" s="21">
        <v>23</v>
      </c>
      <c r="M149" s="32">
        <f>IF(B149="高三",IF($E149="男",LOOKUP(L149,[1]对照表!$S$3:$S$24,[1]对照表!$T$3:$T$24),LOOKUP(L149,[1]对照表!$S$27:$S$48,[1]对照表!$T$27:$T$48)),IF(B149="高二",IF($E149="男",LOOKUP(L149,[1]对照表!$R$3:$R$24,[1]对照表!$T$3:$T$24),LOOKUP(L149,[1]对照表!$R$27:$R$48,[1]对照表!$T$27:$T$48)),IF(B149="高一",IF($E149="男",LOOKUP(L149,[1]对照表!$Q$3:$Q$24,[1]对照表!$T$3:$T$24),LOOKUP(L149,[1]对照表!$Q$27:$Q$48,[1]对照表!$T$27:$T$48)))))</f>
        <v>100</v>
      </c>
      <c r="N149" s="33">
        <f>IF(B149="高三",MAX(IF(E149="男",L149-18,L149-55),0),IF(B149="高二",MAX(IF(E149="男",L149-17,L149-54),0),IF(B149="高一",MAX(IF(E149="男",L149-16,L149-53),0))))</f>
        <v>7</v>
      </c>
      <c r="O149" s="23">
        <f>IF(E149="男",LOOKUP($N149,[1]对照表!$Z$3:$Z$13,[1]对照表!$AA$3:$AA$13),LOOKUP($N149,[1]对照表!$Z$15:$Z$25,[1]对照表!$AA$15:$AA$25))</f>
        <v>7</v>
      </c>
      <c r="P149" s="24">
        <f>M149+O149</f>
        <v>107</v>
      </c>
      <c r="Q149" s="25">
        <v>3.33</v>
      </c>
      <c r="R149" s="32">
        <f>IF(B149="高三",IF($E149="男",LOOKUP(Q149,[1]对照表!$W$3:$W$24,[1]对照表!$X$3:$X$24),LOOKUP(Q149,[1]对照表!$W$27:$W$48,[1]对照表!$X$27:$X$48)),IF(B149="高二",IF($E149="男",LOOKUP(Q149,[1]对照表!$V$3:$V$24,[1]对照表!$X$3:$X$24),LOOKUP(Q149,[1]对照表!$V$27:$V$48,[1]对照表!$X$27:$X$48)),IF(B149="高一",IF($E149="男",LOOKUP(Q149,[1]对照表!$U$3:$U$24,[1]对照表!$X$3:$X$24),LOOKUP(Q149,[1]对照表!$U$27:$U$48,[1]对照表!$X$27:$X$48)))))</f>
        <v>95</v>
      </c>
      <c r="S149" s="33">
        <f>ROUND(IF(IF($B149="高三",MIN(IF($E149="男",$Q149-3.2,$Q149-3.2),0),IF($B149="高二",MIN(IF($E149="男",$Q149-3.25,$Q149-3.22),0),IF($B149="高一",MIN(IF($E149="男",$Q149-3.3,$Q149-3.24),0))))&lt;-0.6,IF($B149="高三",MIN(IF($E149="男",$Q149-3.2,$Q149-3.2),0),IF($B149="高二",MIN(IF($E149="男",$Q149-3.25,$Q149-3.22),0),IF($B149="高一",MIN(IF($E149="男",$Q149-3.3,$Q149-3.24),0))))+0.4,IF($B149="高三",MIN(IF($E149="男",$Q149-3.2,$Q149-3.2),0),IF($B149="高二",MIN(IF($E149="男",$Q149-3.25,$Q149-3.22),0),IF($B149="高一",MIN(IF($E149="男",$Q149-3.3,$Q149-3.24),0))))),2)</f>
        <v>0</v>
      </c>
      <c r="T149" s="23">
        <f>IF(E149="男",LOOKUP($S149,[1]对照表!$AB$3:$AB$13,[1]对照表!$AC$3:$AC$13),LOOKUP($S149,[1]对照表!$AB$15:$AB$25,[1]对照表!$AC$15:$AC$25))</f>
        <v>0</v>
      </c>
      <c r="U149" s="26">
        <f>R149+T149</f>
        <v>95</v>
      </c>
      <c r="V149" s="26">
        <f>SUM(I149,K149,M149)/3*0.3+SUM(G149,R149)/2*0.4</f>
        <v>64.5</v>
      </c>
      <c r="W149" s="27">
        <f>O149+T149</f>
        <v>7</v>
      </c>
      <c r="X149" s="28">
        <f>V149/0.7+W149</f>
        <v>99.142857142857153</v>
      </c>
      <c r="Y149" s="28">
        <v>99.142857142857153</v>
      </c>
      <c r="Z149" s="21"/>
    </row>
    <row r="150" spans="1:26" x14ac:dyDescent="0.25">
      <c r="A150" s="16">
        <v>12</v>
      </c>
      <c r="B150" s="17" t="s">
        <v>21</v>
      </c>
      <c r="C150" s="16">
        <v>105</v>
      </c>
      <c r="D150" s="18" t="s">
        <v>93</v>
      </c>
      <c r="E150" s="17" t="s">
        <v>23</v>
      </c>
      <c r="F150" s="19">
        <v>6.6</v>
      </c>
      <c r="G150" s="32">
        <f>IF(B150="高三",IF($E150="男",LOOKUP(F150,[1]对照表!$G$3:$G$24,[1]对照表!$H$3:$H$24),LOOKUP(F150,[1]对照表!$G$27:$G$48,[1]对照表!$H$27:$H$48)),IF(B150="高二",IF($E150="男",LOOKUP(F150,[1]对照表!$F$3:$F$24,[1]对照表!$H$3:$H$24),LOOKUP(F150,[1]对照表!$F$27:$F$48,[1]对照表!$H$27:$H$48)),IF(B150="高一",IF($E150="男",LOOKUP(F150,[1]对照表!$E$3:$E$24,[1]对照表!$H$3:$H$24),LOOKUP(F150,[1]对照表!$E$27:$E$48,[1]对照表!$H$27:$H$48)))))</f>
        <v>100</v>
      </c>
      <c r="H150" s="21">
        <v>15</v>
      </c>
      <c r="I150" s="32">
        <f>IF(B150="高三",IF($E150="男",LOOKUP(H150,[1]对照表!$K$3:$K$24,[1]对照表!$L$3:$L$24),LOOKUP(H150,[1]对照表!$K$27:$K$48,[1]对照表!$L$27:$L$48)),IF(B150="高二",IF($E150="男",LOOKUP(H150,[1]对照表!$J$3:$J$24,[1]对照表!$L$3:$L$24),LOOKUP(H150,[1]对照表!$J$27:$J$48,[1]对照表!$L$27:$L$48)),IF(B150="高一",IF($E150="男",LOOKUP(H150,[1]对照表!$I$3:$I$24,[1]对照表!$L$3:$L$24),LOOKUP(H150,[1]对照表!$I$27:$I$48,[1]对照表!$L$27:$L$48)))))</f>
        <v>80</v>
      </c>
      <c r="J150" s="21">
        <v>260</v>
      </c>
      <c r="K150" s="32">
        <f>IF(B150="高三",IF($E150="男",LOOKUP(J150,[1]对照表!$O$3:$O$24,[1]对照表!$P$3:$P$24),LOOKUP(J150,[1]对照表!$O$27:$O$48,[1]对照表!$P$27:$P$48)),IF(B150="高二",IF($E150="男",LOOKUP(J150,[1]对照表!$N$3:$N$24,[1]对照表!$P$3:$P$24),LOOKUP(J150,[1]对照表!$N$27:$N$48,[1]对照表!$P$27:$P$48)),IF(B150="高一",IF($E150="男",LOOKUP(J150,[1]对照表!$M$3:$M$24,[1]对照表!$P$3:$P$24),LOOKUP(J150,[1]对照表!$M$27:$M$48,[1]对照表!$P$27:$P$48)))))</f>
        <v>100</v>
      </c>
      <c r="L150" s="21">
        <v>14</v>
      </c>
      <c r="M150" s="32">
        <f>IF(B150="高三",IF($E150="男",LOOKUP(L150,[1]对照表!$S$3:$S$24,[1]对照表!$T$3:$T$24),LOOKUP(L150,[1]对照表!$S$27:$S$48,[1]对照表!$T$27:$T$48)),IF(B150="高二",IF($E150="男",LOOKUP(L150,[1]对照表!$R$3:$R$24,[1]对照表!$T$3:$T$24),LOOKUP(L150,[1]对照表!$R$27:$R$48,[1]对照表!$T$27:$T$48)),IF(B150="高一",IF($E150="男",LOOKUP(L150,[1]对照表!$Q$3:$Q$24,[1]对照表!$T$3:$T$24),LOOKUP(L150,[1]对照表!$Q$27:$Q$48,[1]对照表!$T$27:$T$48)))))</f>
        <v>90</v>
      </c>
      <c r="N150" s="33">
        <f>IF(B150="高三",MAX(IF(E150="男",L150-18,L150-55),0),IF(B150="高二",MAX(IF(E150="男",L150-17,L150-54),0),IF(B150="高一",MAX(IF(E150="男",L150-16,L150-53),0))))</f>
        <v>0</v>
      </c>
      <c r="O150" s="23">
        <f>IF(E150="男",LOOKUP($N150,[1]对照表!$Z$3:$Z$13,[1]对照表!$AA$3:$AA$13),LOOKUP($N150,[1]对照表!$Z$15:$Z$25,[1]对照表!$AA$15:$AA$25))</f>
        <v>0</v>
      </c>
      <c r="P150" s="24">
        <f>M150+O150</f>
        <v>90</v>
      </c>
      <c r="Q150" s="25">
        <v>3.2</v>
      </c>
      <c r="R150" s="32">
        <f>IF(B150="高三",IF($E150="男",LOOKUP(Q150,[1]对照表!$W$3:$W$24,[1]对照表!$X$3:$X$24),LOOKUP(Q150,[1]对照表!$W$27:$W$48,[1]对照表!$X$27:$X$48)),IF(B150="高二",IF($E150="男",LOOKUP(Q150,[1]对照表!$V$3:$V$24,[1]对照表!$X$3:$X$24),LOOKUP(Q150,[1]对照表!$V$27:$V$48,[1]对照表!$X$27:$X$48)),IF(B150="高一",IF($E150="男",LOOKUP(Q150,[1]对照表!$U$3:$U$24,[1]对照表!$X$3:$X$24),LOOKUP(Q150,[1]对照表!$U$27:$U$48,[1]对照表!$X$27:$X$48)))))</f>
        <v>100</v>
      </c>
      <c r="S150" s="33">
        <f>ROUND(IF(IF($B150="高三",MIN(IF($E150="男",$Q150-3.2,$Q150-3.2),0),IF($B150="高二",MIN(IF($E150="男",$Q150-3.25,$Q150-3.22),0),IF($B150="高一",MIN(IF($E150="男",$Q150-3.3,$Q150-3.24),0))))&lt;-0.6,IF($B150="高三",MIN(IF($E150="男",$Q150-3.2,$Q150-3.2),0),IF($B150="高二",MIN(IF($E150="男",$Q150-3.25,$Q150-3.22),0),IF($B150="高一",MIN(IF($E150="男",$Q150-3.3,$Q150-3.24),0))))+0.4,IF($B150="高三",MIN(IF($E150="男",$Q150-3.2,$Q150-3.2),0),IF($B150="高二",MIN(IF($E150="男",$Q150-3.25,$Q150-3.22),0),IF($B150="高一",MIN(IF($E150="男",$Q150-3.3,$Q150-3.24),0))))),2)</f>
        <v>-0.1</v>
      </c>
      <c r="T150" s="23">
        <f>IF(E150="男",LOOKUP($S150,[1]对照表!$AB$3:$AB$13,[1]对照表!$AC$3:$AC$13),LOOKUP($S150,[1]对照表!$AB$15:$AB$25,[1]对照表!$AC$15:$AC$25))</f>
        <v>2</v>
      </c>
      <c r="U150" s="26">
        <f>R150+T150</f>
        <v>102</v>
      </c>
      <c r="V150" s="26">
        <f>SUM(I150,K150,M150)/3*0.3+SUM(G150,R150)/2*0.4</f>
        <v>67</v>
      </c>
      <c r="W150" s="27">
        <f>O150+T150</f>
        <v>2</v>
      </c>
      <c r="X150" s="28">
        <f>V150/0.7+W150</f>
        <v>97.714285714285722</v>
      </c>
      <c r="Y150" s="28">
        <v>97.714285714285722</v>
      </c>
      <c r="Z150" s="21"/>
    </row>
    <row r="151" spans="1:26" x14ac:dyDescent="0.25">
      <c r="A151" s="16">
        <v>35</v>
      </c>
      <c r="B151" s="17" t="s">
        <v>21</v>
      </c>
      <c r="C151" s="16">
        <v>105</v>
      </c>
      <c r="D151" s="18" t="s">
        <v>94</v>
      </c>
      <c r="E151" s="16" t="s">
        <v>23</v>
      </c>
      <c r="F151" s="19">
        <v>6.8</v>
      </c>
      <c r="G151" s="32">
        <f>IF(B151="高三",IF($E151="男",LOOKUP(F151,[1]对照表!$G$3:$G$24,[1]对照表!$H$3:$H$24),LOOKUP(F151,[1]对照表!$G$27:$G$48,[1]对照表!$H$27:$H$48)),IF(B151="高二",IF($E151="男",LOOKUP(F151,[1]对照表!$F$3:$F$24,[1]对照表!$H$3:$H$24),LOOKUP(F151,[1]对照表!$F$27:$F$48,[1]对照表!$H$27:$H$48)),IF(B151="高一",IF($E151="男",LOOKUP(F151,[1]对照表!$E$3:$E$24,[1]对照表!$H$3:$H$24),LOOKUP(F151,[1]对照表!$E$27:$E$48,[1]对照表!$H$27:$H$48)))))</f>
        <v>100</v>
      </c>
      <c r="H151" s="21">
        <v>24.5</v>
      </c>
      <c r="I151" s="32">
        <f>IF(B151="高三",IF($E151="男",LOOKUP(H151,[1]对照表!$K$3:$K$24,[1]对照表!$L$3:$L$24),LOOKUP(H151,[1]对照表!$K$27:$K$48,[1]对照表!$L$27:$L$48)),IF(B151="高二",IF($E151="男",LOOKUP(H151,[1]对照表!$J$3:$J$24,[1]对照表!$L$3:$L$24),LOOKUP(H151,[1]对照表!$J$27:$J$48,[1]对照表!$L$27:$L$48)),IF(B151="高一",IF($E151="男",LOOKUP(H151,[1]对照表!$I$3:$I$24,[1]对照表!$L$3:$L$24),LOOKUP(H151,[1]对照表!$I$27:$I$48,[1]对照表!$L$27:$L$48)))))</f>
        <v>100</v>
      </c>
      <c r="J151" s="21">
        <v>220</v>
      </c>
      <c r="K151" s="32">
        <f>IF(B151="高三",IF($E151="男",LOOKUP(J151,[1]对照表!$O$3:$O$24,[1]对照表!$P$3:$P$24),LOOKUP(J151,[1]对照表!$O$27:$O$48,[1]对照表!$P$27:$P$48)),IF(B151="高二",IF($E151="男",LOOKUP(J151,[1]对照表!$N$3:$N$24,[1]对照表!$P$3:$P$24),LOOKUP(J151,[1]对照表!$N$27:$N$48,[1]对照表!$P$27:$P$48)),IF(B151="高一",IF($E151="男",LOOKUP(J151,[1]对照表!$M$3:$M$24,[1]对照表!$P$3:$P$24),LOOKUP(J151,[1]对照表!$M$27:$M$48,[1]对照表!$P$27:$P$48)))))</f>
        <v>72</v>
      </c>
      <c r="L151" s="21">
        <v>14</v>
      </c>
      <c r="M151" s="32">
        <f>IF(B151="高三",IF($E151="男",LOOKUP(L151,[1]对照表!$S$3:$S$24,[1]对照表!$T$3:$T$24),LOOKUP(L151,[1]对照表!$S$27:$S$48,[1]对照表!$T$27:$T$48)),IF(B151="高二",IF($E151="男",LOOKUP(L151,[1]对照表!$R$3:$R$24,[1]对照表!$T$3:$T$24),LOOKUP(L151,[1]对照表!$R$27:$R$48,[1]对照表!$T$27:$T$48)),IF(B151="高一",IF($E151="男",LOOKUP(L151,[1]对照表!$Q$3:$Q$24,[1]对照表!$T$3:$T$24),LOOKUP(L151,[1]对照表!$Q$27:$Q$48,[1]对照表!$T$27:$T$48)))))</f>
        <v>90</v>
      </c>
      <c r="N151" s="33">
        <f>IF(B151="高三",MAX(IF(E151="男",L151-18,L151-55),0),IF(B151="高二",MAX(IF(E151="男",L151-17,L151-54),0),IF(B151="高一",MAX(IF(E151="男",L151-16,L151-53),0))))</f>
        <v>0</v>
      </c>
      <c r="O151" s="23">
        <f>IF(E151="男",LOOKUP($N151,[1]对照表!$Z$3:$Z$13,[1]对照表!$AA$3:$AA$13),LOOKUP($N151,[1]对照表!$Z$15:$Z$25,[1]对照表!$AA$15:$AA$25))</f>
        <v>0</v>
      </c>
      <c r="P151" s="24">
        <f>M151+O151</f>
        <v>90</v>
      </c>
      <c r="Q151" s="25">
        <v>3.18</v>
      </c>
      <c r="R151" s="32">
        <f>IF(B151="高三",IF($E151="男",LOOKUP(Q151,[1]对照表!$W$3:$W$24,[1]对照表!$X$3:$X$24),LOOKUP(Q151,[1]对照表!$W$27:$W$48,[1]对照表!$X$27:$X$48)),IF(B151="高二",IF($E151="男",LOOKUP(Q151,[1]对照表!$V$3:$V$24,[1]对照表!$X$3:$X$24),LOOKUP(Q151,[1]对照表!$V$27:$V$48,[1]对照表!$X$27:$X$48)),IF(B151="高一",IF($E151="男",LOOKUP(Q151,[1]对照表!$U$3:$U$24,[1]对照表!$X$3:$X$24),LOOKUP(Q151,[1]对照表!$U$27:$U$48,[1]对照表!$X$27:$X$48)))))</f>
        <v>100</v>
      </c>
      <c r="S151" s="33">
        <f>ROUND(IF(IF($B151="高三",MIN(IF($E151="男",$Q151-3.2,$Q151-3.2),0),IF($B151="高二",MIN(IF($E151="男",$Q151-3.25,$Q151-3.22),0),IF($B151="高一",MIN(IF($E151="男",$Q151-3.3,$Q151-3.24),0))))&lt;-0.6,IF($B151="高三",MIN(IF($E151="男",$Q151-3.2,$Q151-3.2),0),IF($B151="高二",MIN(IF($E151="男",$Q151-3.25,$Q151-3.22),0),IF($B151="高一",MIN(IF($E151="男",$Q151-3.3,$Q151-3.24),0))))+0.4,IF($B151="高三",MIN(IF($E151="男",$Q151-3.2,$Q151-3.2),0),IF($B151="高二",MIN(IF($E151="男",$Q151-3.25,$Q151-3.22),0),IF($B151="高一",MIN(IF($E151="男",$Q151-3.3,$Q151-3.24),0))))),2)</f>
        <v>-0.12</v>
      </c>
      <c r="T151" s="23">
        <f>IF(E151="男",LOOKUP($S151,[1]对照表!$AB$3:$AB$13,[1]对照表!$AC$3:$AC$13),LOOKUP($S151,[1]对照表!$AB$15:$AB$25,[1]对照表!$AC$15:$AC$25))</f>
        <v>3</v>
      </c>
      <c r="U151" s="26">
        <f>R151+T151</f>
        <v>103</v>
      </c>
      <c r="V151" s="26">
        <f>SUM(I151,K151,M151)/3*0.3+SUM(G151,R151)/2*0.4</f>
        <v>66.2</v>
      </c>
      <c r="W151" s="27">
        <f>O151+T151</f>
        <v>3</v>
      </c>
      <c r="X151" s="28">
        <f>V151/0.7+W151</f>
        <v>97.571428571428584</v>
      </c>
      <c r="Y151" s="28">
        <v>97.571428571428584</v>
      </c>
      <c r="Z151" s="21"/>
    </row>
    <row r="152" spans="1:26" x14ac:dyDescent="0.25">
      <c r="A152" s="16">
        <v>26</v>
      </c>
      <c r="B152" s="17" t="s">
        <v>21</v>
      </c>
      <c r="C152" s="16">
        <v>105</v>
      </c>
      <c r="D152" s="18" t="s">
        <v>105</v>
      </c>
      <c r="E152" s="17" t="s">
        <v>23</v>
      </c>
      <c r="F152" s="19">
        <v>6.6</v>
      </c>
      <c r="G152" s="32">
        <f>IF(B152="高三",IF($E152="男",LOOKUP(F152,[1]对照表!$G$3:$G$24,[1]对照表!$H$3:$H$24),LOOKUP(F152,[1]对照表!$G$27:$G$48,[1]对照表!$H$27:$H$48)),IF(B152="高二",IF($E152="男",LOOKUP(F152,[1]对照表!$F$3:$F$24,[1]对照表!$H$3:$H$24),LOOKUP(F152,[1]对照表!$F$27:$F$48,[1]对照表!$H$27:$H$48)),IF(B152="高一",IF($E152="男",LOOKUP(F152,[1]对照表!$E$3:$E$24,[1]对照表!$H$3:$H$24),LOOKUP(F152,[1]对照表!$E$27:$E$48,[1]对照表!$H$27:$H$48)))))</f>
        <v>100</v>
      </c>
      <c r="H152" s="21">
        <v>15.5</v>
      </c>
      <c r="I152" s="32">
        <f>IF(B152="高三",IF($E152="男",LOOKUP(H152,[1]对照表!$K$3:$K$24,[1]对照表!$L$3:$L$24),LOOKUP(H152,[1]对照表!$K$27:$K$48,[1]对照表!$L$27:$L$48)),IF(B152="高二",IF($E152="男",LOOKUP(H152,[1]对照表!$J$3:$J$24,[1]对照表!$L$3:$L$24),LOOKUP(H152,[1]对照表!$J$27:$J$48,[1]对照表!$L$27:$L$48)),IF(B152="高一",IF($E152="男",LOOKUP(H152,[1]对照表!$I$3:$I$24,[1]对照表!$L$3:$L$24),LOOKUP(H152,[1]对照表!$I$27:$I$48,[1]对照表!$L$27:$L$48)))))</f>
        <v>80</v>
      </c>
      <c r="J152" s="21">
        <v>260</v>
      </c>
      <c r="K152" s="32">
        <f>IF(B152="高三",IF($E152="男",LOOKUP(J152,[1]对照表!$O$3:$O$24,[1]对照表!$P$3:$P$24),LOOKUP(J152,[1]对照表!$O$27:$O$48,[1]对照表!$P$27:$P$48)),IF(B152="高二",IF($E152="男",LOOKUP(J152,[1]对照表!$N$3:$N$24,[1]对照表!$P$3:$P$24),LOOKUP(J152,[1]对照表!$N$27:$N$48,[1]对照表!$P$27:$P$48)),IF(B152="高一",IF($E152="男",LOOKUP(J152,[1]对照表!$M$3:$M$24,[1]对照表!$P$3:$P$24),LOOKUP(J152,[1]对照表!$M$27:$M$48,[1]对照表!$P$27:$P$48)))))</f>
        <v>100</v>
      </c>
      <c r="L152" s="21">
        <v>18</v>
      </c>
      <c r="M152" s="32">
        <f>IF(B152="高三",IF($E152="男",LOOKUP(L152,[1]对照表!$S$3:$S$24,[1]对照表!$T$3:$T$24),LOOKUP(L152,[1]对照表!$S$27:$S$48,[1]对照表!$T$27:$T$48)),IF(B152="高二",IF($E152="男",LOOKUP(L152,[1]对照表!$R$3:$R$24,[1]对照表!$T$3:$T$24),LOOKUP(L152,[1]对照表!$R$27:$R$48,[1]对照表!$T$27:$T$48)),IF(B152="高一",IF($E152="男",LOOKUP(L152,[1]对照表!$Q$3:$Q$24,[1]对照表!$T$3:$T$24),LOOKUP(L152,[1]对照表!$Q$27:$Q$48,[1]对照表!$T$27:$T$48)))))</f>
        <v>100</v>
      </c>
      <c r="N152" s="33">
        <f>IF(B152="高三",MAX(IF(E152="男",L152-18,L152-55),0),IF(B152="高二",MAX(IF(E152="男",L152-17,L152-54),0),IF(B152="高一",MAX(IF(E152="男",L152-16,L152-53),0))))</f>
        <v>2</v>
      </c>
      <c r="O152" s="23">
        <f>IF(E152="男",LOOKUP($N152,[1]对照表!$Z$3:$Z$13,[1]对照表!$AA$3:$AA$13),LOOKUP($N152,[1]对照表!$Z$15:$Z$25,[1]对照表!$AA$15:$AA$25))</f>
        <v>2</v>
      </c>
      <c r="P152" s="24">
        <f>M152+O152</f>
        <v>102</v>
      </c>
      <c r="Q152" s="25">
        <v>3.38</v>
      </c>
      <c r="R152" s="32">
        <f>IF(B152="高三",IF($E152="男",LOOKUP(Q152,[1]对照表!$W$3:$W$24,[1]对照表!$X$3:$X$24),LOOKUP(Q152,[1]对照表!$W$27:$W$48,[1]对照表!$X$27:$X$48)),IF(B152="高二",IF($E152="男",LOOKUP(Q152,[1]对照表!$V$3:$V$24,[1]对照表!$X$3:$X$24),LOOKUP(Q152,[1]对照表!$V$27:$V$48,[1]对照表!$X$27:$X$48)),IF(B152="高一",IF($E152="男",LOOKUP(Q152,[1]对照表!$U$3:$U$24,[1]对照表!$X$3:$X$24),LOOKUP(Q152,[1]对照表!$U$27:$U$48,[1]对照表!$X$27:$X$48)))))</f>
        <v>90</v>
      </c>
      <c r="S152" s="33">
        <f>ROUND(IF(IF($B152="高三",MIN(IF($E152="男",$Q152-3.2,$Q152-3.2),0),IF($B152="高二",MIN(IF($E152="男",$Q152-3.25,$Q152-3.22),0),IF($B152="高一",MIN(IF($E152="男",$Q152-3.3,$Q152-3.24),0))))&lt;-0.6,IF($B152="高三",MIN(IF($E152="男",$Q152-3.2,$Q152-3.2),0),IF($B152="高二",MIN(IF($E152="男",$Q152-3.25,$Q152-3.22),0),IF($B152="高一",MIN(IF($E152="男",$Q152-3.3,$Q152-3.24),0))))+0.4,IF($B152="高三",MIN(IF($E152="男",$Q152-3.2,$Q152-3.2),0),IF($B152="高二",MIN(IF($E152="男",$Q152-3.25,$Q152-3.22),0),IF($B152="高一",MIN(IF($E152="男",$Q152-3.3,$Q152-3.24),0))))),2)</f>
        <v>0</v>
      </c>
      <c r="T152" s="23">
        <f>IF(E152="男",LOOKUP($S152,[1]对照表!$AB$3:$AB$13,[1]对照表!$AC$3:$AC$13),LOOKUP($S152,[1]对照表!$AB$15:$AB$25,[1]对照表!$AC$15:$AC$25))</f>
        <v>0</v>
      </c>
      <c r="U152" s="26">
        <f>R152+T152</f>
        <v>90</v>
      </c>
      <c r="V152" s="26">
        <f>SUM(I152,K152,M152)/3*0.3+SUM(G152,R152)/2*0.4</f>
        <v>66</v>
      </c>
      <c r="W152" s="27">
        <f>O152+T152</f>
        <v>2</v>
      </c>
      <c r="X152" s="28">
        <f>V152/0.7+W152</f>
        <v>96.285714285714292</v>
      </c>
      <c r="Y152" s="28">
        <v>96.285714285714292</v>
      </c>
      <c r="Z152" s="21"/>
    </row>
    <row r="153" spans="1:26" x14ac:dyDescent="0.25">
      <c r="A153" s="16">
        <v>4</v>
      </c>
      <c r="B153" s="17" t="s">
        <v>21</v>
      </c>
      <c r="C153" s="16">
        <v>105</v>
      </c>
      <c r="D153" s="18" t="s">
        <v>112</v>
      </c>
      <c r="E153" s="17" t="s">
        <v>23</v>
      </c>
      <c r="F153" s="19">
        <v>7.4</v>
      </c>
      <c r="G153" s="32">
        <f>IF(B153="高三",IF($E153="男",LOOKUP(F153,[1]对照表!$G$3:$G$24,[1]对照表!$H$3:$H$24),LOOKUP(F153,[1]对照表!$G$27:$G$48,[1]对照表!$H$27:$H$48)),IF(B153="高二",IF($E153="男",LOOKUP(F153,[1]对照表!$F$3:$F$24,[1]对照表!$H$3:$H$24),LOOKUP(F153,[1]对照表!$F$27:$F$48,[1]对照表!$H$27:$H$48)),IF(B153="高一",IF($E153="男",LOOKUP(F153,[1]对照表!$E$3:$E$24,[1]对照表!$H$3:$H$24),LOOKUP(F153,[1]对照表!$E$27:$E$48,[1]对照表!$H$27:$H$48)))))</f>
        <v>85</v>
      </c>
      <c r="H153" s="21">
        <v>17.899999999999999</v>
      </c>
      <c r="I153" s="32">
        <f>IF(B153="高三",IF($E153="男",LOOKUP(H153,[1]对照表!$K$3:$K$24,[1]对照表!$L$3:$L$24),LOOKUP(H153,[1]对照表!$K$27:$K$48,[1]对照表!$L$27:$L$48)),IF(B153="高二",IF($E153="男",LOOKUP(H153,[1]对照表!$J$3:$J$24,[1]对照表!$L$3:$L$24),LOOKUP(H153,[1]对照表!$J$27:$J$48,[1]对照表!$L$27:$L$48)),IF(B153="高一",IF($E153="男",LOOKUP(H153,[1]对照表!$I$3:$I$24,[1]对照表!$L$3:$L$24),LOOKUP(H153,[1]对照表!$I$27:$I$48,[1]对照表!$L$27:$L$48)))))</f>
        <v>85</v>
      </c>
      <c r="J153" s="21">
        <v>233</v>
      </c>
      <c r="K153" s="32">
        <f>IF(B153="高三",IF($E153="男",LOOKUP(J153,[1]对照表!$O$3:$O$24,[1]对照表!$P$3:$P$24),LOOKUP(J153,[1]对照表!$O$27:$O$48,[1]对照表!$P$27:$P$48)),IF(B153="高二",IF($E153="男",LOOKUP(J153,[1]对照表!$N$3:$N$24,[1]对照表!$P$3:$P$24),LOOKUP(J153,[1]对照表!$N$27:$N$48,[1]对照表!$P$27:$P$48)),IF(B153="高一",IF($E153="男",LOOKUP(J153,[1]对照表!$M$3:$M$24,[1]对照表!$P$3:$P$24),LOOKUP(J153,[1]对照表!$M$27:$M$48,[1]对照表!$P$27:$P$48)))))</f>
        <v>78</v>
      </c>
      <c r="L153" s="21">
        <v>21</v>
      </c>
      <c r="M153" s="32">
        <f>IF(B153="高三",IF($E153="男",LOOKUP(L153,[1]对照表!$S$3:$S$24,[1]对照表!$T$3:$T$24),LOOKUP(L153,[1]对照表!$S$27:$S$48,[1]对照表!$T$27:$T$48)),IF(B153="高二",IF($E153="男",LOOKUP(L153,[1]对照表!$R$3:$R$24,[1]对照表!$T$3:$T$24),LOOKUP(L153,[1]对照表!$R$27:$R$48,[1]对照表!$T$27:$T$48)),IF(B153="高一",IF($E153="男",LOOKUP(L153,[1]对照表!$Q$3:$Q$24,[1]对照表!$T$3:$T$24),LOOKUP(L153,[1]对照表!$Q$27:$Q$48,[1]对照表!$T$27:$T$48)))))</f>
        <v>100</v>
      </c>
      <c r="N153" s="33">
        <f>IF(B153="高三",MAX(IF(E153="男",L153-18,L153-55),0),IF(B153="高二",MAX(IF(E153="男",L153-17,L153-54),0),IF(B153="高一",MAX(IF(E153="男",L153-16,L153-53),0))))</f>
        <v>5</v>
      </c>
      <c r="O153" s="23">
        <f>IF(E153="男",LOOKUP($N153,[1]对照表!$Z$3:$Z$13,[1]对照表!$AA$3:$AA$13),LOOKUP($N153,[1]对照表!$Z$15:$Z$25,[1]对照表!$AA$15:$AA$25))</f>
        <v>5</v>
      </c>
      <c r="P153" s="24">
        <f>M153+O153</f>
        <v>105</v>
      </c>
      <c r="Q153" s="25">
        <v>3.3</v>
      </c>
      <c r="R153" s="32">
        <f>IF(B153="高三",IF($E153="男",LOOKUP(Q153,[1]对照表!$W$3:$W$24,[1]对照表!$X$3:$X$24),LOOKUP(Q153,[1]对照表!$W$27:$W$48,[1]对照表!$X$27:$X$48)),IF(B153="高二",IF($E153="男",LOOKUP(Q153,[1]对照表!$V$3:$V$24,[1]对照表!$X$3:$X$24),LOOKUP(Q153,[1]对照表!$V$27:$V$48,[1]对照表!$X$27:$X$48)),IF(B153="高一",IF($E153="男",LOOKUP(Q153,[1]对照表!$U$3:$U$24,[1]对照表!$X$3:$X$24),LOOKUP(Q153,[1]对照表!$U$27:$U$48,[1]对照表!$X$27:$X$48)))))</f>
        <v>100</v>
      </c>
      <c r="S153" s="33">
        <f>ROUND(IF(IF($B153="高三",MIN(IF($E153="男",$Q153-3.2,$Q153-3.2),0),IF($B153="高二",MIN(IF($E153="男",$Q153-3.25,$Q153-3.22),0),IF($B153="高一",MIN(IF($E153="男",$Q153-3.3,$Q153-3.24),0))))&lt;-0.6,IF($B153="高三",MIN(IF($E153="男",$Q153-3.2,$Q153-3.2),0),IF($B153="高二",MIN(IF($E153="男",$Q153-3.25,$Q153-3.22),0),IF($B153="高一",MIN(IF($E153="男",$Q153-3.3,$Q153-3.24),0))))+0.4,IF($B153="高三",MIN(IF($E153="男",$Q153-3.2,$Q153-3.2),0),IF($B153="高二",MIN(IF($E153="男",$Q153-3.25,$Q153-3.22),0),IF($B153="高一",MIN(IF($E153="男",$Q153-3.3,$Q153-3.24),0))))),2)</f>
        <v>0</v>
      </c>
      <c r="T153" s="23">
        <f>IF(E153="男",LOOKUP($S153,[1]对照表!$AB$3:$AB$13,[1]对照表!$AC$3:$AC$13),LOOKUP($S153,[1]对照表!$AB$15:$AB$25,[1]对照表!$AC$15:$AC$25))</f>
        <v>0</v>
      </c>
      <c r="U153" s="26">
        <f>R153+T153</f>
        <v>100</v>
      </c>
      <c r="V153" s="26">
        <f>SUM(I153,K153,M153)/3*0.3+SUM(G153,R153)/2*0.4</f>
        <v>63.3</v>
      </c>
      <c r="W153" s="27">
        <f>O153+T153</f>
        <v>5</v>
      </c>
      <c r="X153" s="28">
        <f>V153/0.7+W153</f>
        <v>95.428571428571431</v>
      </c>
      <c r="Y153" s="28">
        <v>95.428571428571431</v>
      </c>
      <c r="Z153" s="21"/>
    </row>
    <row r="154" spans="1:26" x14ac:dyDescent="0.25">
      <c r="A154" s="16">
        <v>25</v>
      </c>
      <c r="B154" s="17" t="s">
        <v>21</v>
      </c>
      <c r="C154" s="16">
        <v>105</v>
      </c>
      <c r="D154" s="18" t="s">
        <v>125</v>
      </c>
      <c r="E154" s="17" t="s">
        <v>23</v>
      </c>
      <c r="F154" s="19">
        <v>7</v>
      </c>
      <c r="G154" s="32">
        <f>IF(B154="高三",IF($E154="男",LOOKUP(F154,[1]对照表!$G$3:$G$24,[1]对照表!$H$3:$H$24),LOOKUP(F154,[1]对照表!$G$27:$G$48,[1]对照表!$H$27:$H$48)),IF(B154="高二",IF($E154="男",LOOKUP(F154,[1]对照表!$F$3:$F$24,[1]对照表!$H$3:$H$24),LOOKUP(F154,[1]对照表!$F$27:$F$48,[1]对照表!$H$27:$H$48)),IF(B154="高一",IF($E154="男",LOOKUP(F154,[1]对照表!$E$3:$E$24,[1]对照表!$H$3:$H$24),LOOKUP(F154,[1]对照表!$E$27:$E$48,[1]对照表!$H$27:$H$48)))))</f>
        <v>100</v>
      </c>
      <c r="H154" s="21">
        <v>10.5</v>
      </c>
      <c r="I154" s="32">
        <f>IF(B154="高三",IF($E154="男",LOOKUP(H154,[1]对照表!$K$3:$K$24,[1]对照表!$L$3:$L$24),LOOKUP(H154,[1]对照表!$K$27:$K$48,[1]对照表!$L$27:$L$48)),IF(B154="高二",IF($E154="男",LOOKUP(H154,[1]对照表!$J$3:$J$24,[1]对照表!$L$3:$L$24),LOOKUP(H154,[1]对照表!$J$27:$J$48,[1]对照表!$L$27:$L$48)),IF(B154="高一",IF($E154="男",LOOKUP(H154,[1]对照表!$I$3:$I$24,[1]对照表!$L$3:$L$24),LOOKUP(H154,[1]对照表!$I$27:$I$48,[1]对照表!$L$27:$L$48)))))</f>
        <v>72</v>
      </c>
      <c r="J154" s="21">
        <v>250</v>
      </c>
      <c r="K154" s="32">
        <f>IF(B154="高三",IF($E154="男",LOOKUP(J154,[1]对照表!$O$3:$O$24,[1]对照表!$P$3:$P$24),LOOKUP(J154,[1]对照表!$O$27:$O$48,[1]对照表!$P$27:$P$48)),IF(B154="高二",IF($E154="男",LOOKUP(J154,[1]对照表!$N$3:$N$24,[1]对照表!$P$3:$P$24),LOOKUP(J154,[1]对照表!$N$27:$N$48,[1]对照表!$P$27:$P$48)),IF(B154="高一",IF($E154="男",LOOKUP(J154,[1]对照表!$M$3:$M$24,[1]对照表!$P$3:$P$24),LOOKUP(J154,[1]对照表!$M$27:$M$48,[1]对照表!$P$27:$P$48)))))</f>
        <v>90</v>
      </c>
      <c r="L154" s="21">
        <v>18</v>
      </c>
      <c r="M154" s="32">
        <f>IF(B154="高三",IF($E154="男",LOOKUP(L154,[1]对照表!$S$3:$S$24,[1]对照表!$T$3:$T$24),LOOKUP(L154,[1]对照表!$S$27:$S$48,[1]对照表!$T$27:$T$48)),IF(B154="高二",IF($E154="男",LOOKUP(L154,[1]对照表!$R$3:$R$24,[1]对照表!$T$3:$T$24),LOOKUP(L154,[1]对照表!$R$27:$R$48,[1]对照表!$T$27:$T$48)),IF(B154="高一",IF($E154="男",LOOKUP(L154,[1]对照表!$Q$3:$Q$24,[1]对照表!$T$3:$T$24),LOOKUP(L154,[1]对照表!$Q$27:$Q$48,[1]对照表!$T$27:$T$48)))))</f>
        <v>100</v>
      </c>
      <c r="N154" s="33">
        <f>IF(B154="高三",MAX(IF(E154="男",L154-18,L154-55),0),IF(B154="高二",MAX(IF(E154="男",L154-17,L154-54),0),IF(B154="高一",MAX(IF(E154="男",L154-16,L154-53),0))))</f>
        <v>2</v>
      </c>
      <c r="O154" s="23">
        <f>IF(E154="男",LOOKUP($N154,[1]对照表!$Z$3:$Z$13,[1]对照表!$AA$3:$AA$13),LOOKUP($N154,[1]对照表!$Z$15:$Z$25,[1]对照表!$AA$15:$AA$25))</f>
        <v>2</v>
      </c>
      <c r="P154" s="24">
        <f>M154+O154</f>
        <v>102</v>
      </c>
      <c r="Q154" s="25">
        <v>3.34</v>
      </c>
      <c r="R154" s="32">
        <f>IF(B154="高三",IF($E154="男",LOOKUP(Q154,[1]对照表!$W$3:$W$24,[1]对照表!$X$3:$X$24),LOOKUP(Q154,[1]对照表!$W$27:$W$48,[1]对照表!$X$27:$X$48)),IF(B154="高二",IF($E154="男",LOOKUP(Q154,[1]对照表!$V$3:$V$24,[1]对照表!$X$3:$X$24),LOOKUP(Q154,[1]对照表!$V$27:$V$48,[1]对照表!$X$27:$X$48)),IF(B154="高一",IF($E154="男",LOOKUP(Q154,[1]对照表!$U$3:$U$24,[1]对照表!$X$3:$X$24),LOOKUP(Q154,[1]对照表!$U$27:$U$48,[1]对照表!$X$27:$X$48)))))</f>
        <v>95</v>
      </c>
      <c r="S154" s="33">
        <f>ROUND(IF(IF($B154="高三",MIN(IF($E154="男",$Q154-3.2,$Q154-3.2),0),IF($B154="高二",MIN(IF($E154="男",$Q154-3.25,$Q154-3.22),0),IF($B154="高一",MIN(IF($E154="男",$Q154-3.3,$Q154-3.24),0))))&lt;-0.6,IF($B154="高三",MIN(IF($E154="男",$Q154-3.2,$Q154-3.2),0),IF($B154="高二",MIN(IF($E154="男",$Q154-3.25,$Q154-3.22),0),IF($B154="高一",MIN(IF($E154="男",$Q154-3.3,$Q154-3.24),0))))+0.4,IF($B154="高三",MIN(IF($E154="男",$Q154-3.2,$Q154-3.2),0),IF($B154="高二",MIN(IF($E154="男",$Q154-3.25,$Q154-3.22),0),IF($B154="高一",MIN(IF($E154="男",$Q154-3.3,$Q154-3.24),0))))),2)</f>
        <v>0</v>
      </c>
      <c r="T154" s="23">
        <f>IF(E154="男",LOOKUP($S154,[1]对照表!$AB$3:$AB$13,[1]对照表!$AC$3:$AC$13),LOOKUP($S154,[1]对照表!$AB$15:$AB$25,[1]对照表!$AC$15:$AC$25))</f>
        <v>0</v>
      </c>
      <c r="U154" s="26">
        <f>R154+T154</f>
        <v>95</v>
      </c>
      <c r="V154" s="26">
        <f>SUM(I154,K154,M154)/3*0.3+SUM(G154,R154)/2*0.4</f>
        <v>65.2</v>
      </c>
      <c r="W154" s="27">
        <f>O154+T154</f>
        <v>2</v>
      </c>
      <c r="X154" s="28">
        <f>V154/0.7+W154</f>
        <v>95.142857142857153</v>
      </c>
      <c r="Y154" s="28">
        <v>95.142857142857153</v>
      </c>
      <c r="Z154" s="21"/>
    </row>
    <row r="155" spans="1:26" x14ac:dyDescent="0.25">
      <c r="A155" s="16">
        <v>10</v>
      </c>
      <c r="B155" s="17" t="s">
        <v>21</v>
      </c>
      <c r="C155" s="16">
        <v>105</v>
      </c>
      <c r="D155" s="18" t="s">
        <v>147</v>
      </c>
      <c r="E155" s="17" t="s">
        <v>23</v>
      </c>
      <c r="F155" s="19">
        <v>6.8</v>
      </c>
      <c r="G155" s="32">
        <f>IF(B155="高三",IF($E155="男",LOOKUP(F155,[1]对照表!$G$3:$G$24,[1]对照表!$H$3:$H$24),LOOKUP(F155,[1]对照表!$G$27:$G$48,[1]对照表!$H$27:$H$48)),IF(B155="高二",IF($E155="男",LOOKUP(F155,[1]对照表!$F$3:$F$24,[1]对照表!$H$3:$H$24),LOOKUP(F155,[1]对照表!$F$27:$F$48,[1]对照表!$H$27:$H$48)),IF(B155="高一",IF($E155="男",LOOKUP(F155,[1]对照表!$E$3:$E$24,[1]对照表!$H$3:$H$24),LOOKUP(F155,[1]对照表!$E$27:$E$48,[1]对照表!$H$27:$H$48)))))</f>
        <v>100</v>
      </c>
      <c r="H155" s="21">
        <v>12.1</v>
      </c>
      <c r="I155" s="32">
        <f>IF(B155="高三",IF($E155="男",LOOKUP(H155,[1]对照表!$K$3:$K$24,[1]对照表!$L$3:$L$24),LOOKUP(H155,[1]对照表!$K$27:$K$48,[1]对照表!$L$27:$L$48)),IF(B155="高二",IF($E155="男",LOOKUP(H155,[1]对照表!$J$3:$J$24,[1]对照表!$L$3:$L$24),LOOKUP(H155,[1]对照表!$J$27:$J$48,[1]对照表!$L$27:$L$48)),IF(B155="高一",IF($E155="男",LOOKUP(H155,[1]对照表!$I$3:$I$24,[1]对照表!$L$3:$L$24),LOOKUP(H155,[1]对照表!$I$27:$I$48,[1]对照表!$L$27:$L$48)))))</f>
        <v>74</v>
      </c>
      <c r="J155" s="21">
        <v>240</v>
      </c>
      <c r="K155" s="32">
        <f>IF(B155="高三",IF($E155="男",LOOKUP(J155,[1]对照表!$O$3:$O$24,[1]对照表!$P$3:$P$24),LOOKUP(J155,[1]对照表!$O$27:$O$48,[1]对照表!$P$27:$P$48)),IF(B155="高二",IF($E155="男",LOOKUP(J155,[1]对照表!$N$3:$N$24,[1]对照表!$P$3:$P$24),LOOKUP(J155,[1]对照表!$N$27:$N$48,[1]对照表!$P$27:$P$48)),IF(B155="高一",IF($E155="男",LOOKUP(J155,[1]对照表!$M$3:$M$24,[1]对照表!$P$3:$P$24),LOOKUP(J155,[1]对照表!$M$27:$M$48,[1]对照表!$P$27:$P$48)))))</f>
        <v>80</v>
      </c>
      <c r="L155" s="21">
        <v>16</v>
      </c>
      <c r="M155" s="32">
        <f>IF(B155="高三",IF($E155="男",LOOKUP(L155,[1]对照表!$S$3:$S$24,[1]对照表!$T$3:$T$24),LOOKUP(L155,[1]对照表!$S$27:$S$48,[1]对照表!$T$27:$T$48)),IF(B155="高二",IF($E155="男",LOOKUP(L155,[1]对照表!$R$3:$R$24,[1]对照表!$T$3:$T$24),LOOKUP(L155,[1]对照表!$R$27:$R$48,[1]对照表!$T$27:$T$48)),IF(B155="高一",IF($E155="男",LOOKUP(L155,[1]对照表!$Q$3:$Q$24,[1]对照表!$T$3:$T$24),LOOKUP(L155,[1]对照表!$Q$27:$Q$48,[1]对照表!$T$27:$T$48)))))</f>
        <v>100</v>
      </c>
      <c r="N155" s="33">
        <f>IF(B155="高三",MAX(IF(E155="男",L155-18,L155-55),0),IF(B155="高二",MAX(IF(E155="男",L155-17,L155-54),0),IF(B155="高一",MAX(IF(E155="男",L155-16,L155-53),0))))</f>
        <v>0</v>
      </c>
      <c r="O155" s="23">
        <f>IF(E155="男",LOOKUP($N155,[1]对照表!$Z$3:$Z$13,[1]对照表!$AA$3:$AA$13),LOOKUP($N155,[1]对照表!$Z$15:$Z$25,[1]对照表!$AA$15:$AA$25))</f>
        <v>0</v>
      </c>
      <c r="P155" s="24">
        <f>M155+O155</f>
        <v>100</v>
      </c>
      <c r="Q155" s="25">
        <v>3.29</v>
      </c>
      <c r="R155" s="32">
        <f>IF(B155="高三",IF($E155="男",LOOKUP(Q155,[1]对照表!$W$3:$W$24,[1]对照表!$X$3:$X$24),LOOKUP(Q155,[1]对照表!$W$27:$W$48,[1]对照表!$X$27:$X$48)),IF(B155="高二",IF($E155="男",LOOKUP(Q155,[1]对照表!$V$3:$V$24,[1]对照表!$X$3:$X$24),LOOKUP(Q155,[1]对照表!$V$27:$V$48,[1]对照表!$X$27:$X$48)),IF(B155="高一",IF($E155="男",LOOKUP(Q155,[1]对照表!$U$3:$U$24,[1]对照表!$X$3:$X$24),LOOKUP(Q155,[1]对照表!$U$27:$U$48,[1]对照表!$X$27:$X$48)))))</f>
        <v>100</v>
      </c>
      <c r="S155" s="33">
        <f>ROUND(IF(IF($B155="高三",MIN(IF($E155="男",$Q155-3.2,$Q155-3.2),0),IF($B155="高二",MIN(IF($E155="男",$Q155-3.25,$Q155-3.22),0),IF($B155="高一",MIN(IF($E155="男",$Q155-3.3,$Q155-3.24),0))))&lt;-0.6,IF($B155="高三",MIN(IF($E155="男",$Q155-3.2,$Q155-3.2),0),IF($B155="高二",MIN(IF($E155="男",$Q155-3.25,$Q155-3.22),0),IF($B155="高一",MIN(IF($E155="男",$Q155-3.3,$Q155-3.24),0))))+0.4,IF($B155="高三",MIN(IF($E155="男",$Q155-3.2,$Q155-3.2),0),IF($B155="高二",MIN(IF($E155="男",$Q155-3.25,$Q155-3.22),0),IF($B155="高一",MIN(IF($E155="男",$Q155-3.3,$Q155-3.24),0))))),2)</f>
        <v>-0.01</v>
      </c>
      <c r="T155" s="23">
        <f>IF(E155="男",LOOKUP($S155,[1]对照表!$AB$3:$AB$13,[1]对照表!$AC$3:$AC$13),LOOKUP($S155,[1]对照表!$AB$15:$AB$25,[1]对照表!$AC$15:$AC$25))</f>
        <v>0</v>
      </c>
      <c r="U155" s="26">
        <f>R155+T155</f>
        <v>100</v>
      </c>
      <c r="V155" s="26">
        <f>SUM(I155,K155,M155)/3*0.3+SUM(G155,R155)/2*0.4</f>
        <v>65.400000000000006</v>
      </c>
      <c r="W155" s="27">
        <f>O155+T155</f>
        <v>0</v>
      </c>
      <c r="X155" s="28">
        <f>V155/0.7+W155</f>
        <v>93.428571428571445</v>
      </c>
      <c r="Y155" s="28">
        <v>93.428571428571445</v>
      </c>
      <c r="Z155" s="21"/>
    </row>
    <row r="156" spans="1:26" x14ac:dyDescent="0.25">
      <c r="A156" s="16">
        <v>27</v>
      </c>
      <c r="B156" s="17" t="s">
        <v>21</v>
      </c>
      <c r="C156" s="16">
        <v>105</v>
      </c>
      <c r="D156" s="18" t="s">
        <v>154</v>
      </c>
      <c r="E156" s="17" t="s">
        <v>23</v>
      </c>
      <c r="F156" s="19">
        <v>6.8</v>
      </c>
      <c r="G156" s="32">
        <f>IF(B156="高三",IF($E156="男",LOOKUP(F156,[1]对照表!$G$3:$G$24,[1]对照表!$H$3:$H$24),LOOKUP(F156,[1]对照表!$G$27:$G$48,[1]对照表!$H$27:$H$48)),IF(B156="高二",IF($E156="男",LOOKUP(F156,[1]对照表!$F$3:$F$24,[1]对照表!$H$3:$H$24),LOOKUP(F156,[1]对照表!$F$27:$F$48,[1]对照表!$H$27:$H$48)),IF(B156="高一",IF($E156="男",LOOKUP(F156,[1]对照表!$E$3:$E$24,[1]对照表!$H$3:$H$24),LOOKUP(F156,[1]对照表!$E$27:$E$48,[1]对照表!$H$27:$H$48)))))</f>
        <v>100</v>
      </c>
      <c r="H156" s="21">
        <v>15</v>
      </c>
      <c r="I156" s="32">
        <f>IF(B156="高三",IF($E156="男",LOOKUP(H156,[1]对照表!$K$3:$K$24,[1]对照表!$L$3:$L$24),LOOKUP(H156,[1]对照表!$K$27:$K$48,[1]对照表!$L$27:$L$48)),IF(B156="高二",IF($E156="男",LOOKUP(H156,[1]对照表!$J$3:$J$24,[1]对照表!$L$3:$L$24),LOOKUP(H156,[1]对照表!$J$27:$J$48,[1]对照表!$L$27:$L$48)),IF(B156="高一",IF($E156="男",LOOKUP(H156,[1]对照表!$I$3:$I$24,[1]对照表!$L$3:$L$24),LOOKUP(H156,[1]对照表!$I$27:$I$48,[1]对照表!$L$27:$L$48)))))</f>
        <v>80</v>
      </c>
      <c r="J156" s="21">
        <v>211</v>
      </c>
      <c r="K156" s="32">
        <f>IF(B156="高三",IF($E156="男",LOOKUP(J156,[1]对照表!$O$3:$O$24,[1]对照表!$P$3:$P$24),LOOKUP(J156,[1]对照表!$O$27:$O$48,[1]对照表!$P$27:$P$48)),IF(B156="高二",IF($E156="男",LOOKUP(J156,[1]对照表!$N$3:$N$24,[1]对照表!$P$3:$P$24),LOOKUP(J156,[1]对照表!$N$27:$N$48,[1]对照表!$P$27:$P$48)),IF(B156="高一",IF($E156="男",LOOKUP(J156,[1]对照表!$M$3:$M$24,[1]对照表!$P$3:$P$24),LOOKUP(J156,[1]对照表!$M$27:$M$48,[1]对照表!$P$27:$P$48)))))</f>
        <v>68</v>
      </c>
      <c r="L156" s="21">
        <v>20</v>
      </c>
      <c r="M156" s="32">
        <f>IF(B156="高三",IF($E156="男",LOOKUP(L156,[1]对照表!$S$3:$S$24,[1]对照表!$T$3:$T$24),LOOKUP(L156,[1]对照表!$S$27:$S$48,[1]对照表!$T$27:$T$48)),IF(B156="高二",IF($E156="男",LOOKUP(L156,[1]对照表!$R$3:$R$24,[1]对照表!$T$3:$T$24),LOOKUP(L156,[1]对照表!$R$27:$R$48,[1]对照表!$T$27:$T$48)),IF(B156="高一",IF($E156="男",LOOKUP(L156,[1]对照表!$Q$3:$Q$24,[1]对照表!$T$3:$T$24),LOOKUP(L156,[1]对照表!$Q$27:$Q$48,[1]对照表!$T$27:$T$48)))))</f>
        <v>100</v>
      </c>
      <c r="N156" s="33">
        <f>IF(B156="高三",MAX(IF(E156="男",L156-18,L156-55),0),IF(B156="高二",MAX(IF(E156="男",L156-17,L156-54),0),IF(B156="高一",MAX(IF(E156="男",L156-16,L156-53),0))))</f>
        <v>4</v>
      </c>
      <c r="O156" s="23">
        <f>IF(E156="男",LOOKUP($N156,[1]对照表!$Z$3:$Z$13,[1]对照表!$AA$3:$AA$13),LOOKUP($N156,[1]对照表!$Z$15:$Z$25,[1]对照表!$AA$15:$AA$25))</f>
        <v>4</v>
      </c>
      <c r="P156" s="24">
        <f>M156+O156</f>
        <v>104</v>
      </c>
      <c r="Q156" s="25">
        <v>3.47</v>
      </c>
      <c r="R156" s="32">
        <f>IF(B156="高三",IF($E156="男",LOOKUP(Q156,[1]对照表!$W$3:$W$24,[1]对照表!$X$3:$X$24),LOOKUP(Q156,[1]对照表!$W$27:$W$48,[1]对照表!$X$27:$X$48)),IF(B156="高二",IF($E156="男",LOOKUP(Q156,[1]对照表!$V$3:$V$24,[1]对照表!$X$3:$X$24),LOOKUP(Q156,[1]对照表!$V$27:$V$48,[1]对照表!$X$27:$X$48)),IF(B156="高一",IF($E156="男",LOOKUP(Q156,[1]对照表!$U$3:$U$24,[1]对照表!$X$3:$X$24),LOOKUP(Q156,[1]对照表!$U$27:$U$48,[1]对照表!$X$27:$X$48)))))</f>
        <v>85</v>
      </c>
      <c r="S156" s="33">
        <f>ROUND(IF(IF($B156="高三",MIN(IF($E156="男",$Q156-3.2,$Q156-3.2),0),IF($B156="高二",MIN(IF($E156="男",$Q156-3.25,$Q156-3.22),0),IF($B156="高一",MIN(IF($E156="男",$Q156-3.3,$Q156-3.24),0))))&lt;-0.6,IF($B156="高三",MIN(IF($E156="男",$Q156-3.2,$Q156-3.2),0),IF($B156="高二",MIN(IF($E156="男",$Q156-3.25,$Q156-3.22),0),IF($B156="高一",MIN(IF($E156="男",$Q156-3.3,$Q156-3.24),0))))+0.4,IF($B156="高三",MIN(IF($E156="男",$Q156-3.2,$Q156-3.2),0),IF($B156="高二",MIN(IF($E156="男",$Q156-3.25,$Q156-3.22),0),IF($B156="高一",MIN(IF($E156="男",$Q156-3.3,$Q156-3.24),0))))),2)</f>
        <v>0</v>
      </c>
      <c r="T156" s="23">
        <f>IF(E156="男",LOOKUP($S156,[1]对照表!$AB$3:$AB$13,[1]对照表!$AC$3:$AC$13),LOOKUP($S156,[1]对照表!$AB$15:$AB$25,[1]对照表!$AC$15:$AC$25))</f>
        <v>0</v>
      </c>
      <c r="U156" s="26">
        <f>R156+T156</f>
        <v>85</v>
      </c>
      <c r="V156" s="26">
        <f>SUM(I156,K156,M156)/3*0.3+SUM(G156,R156)/2*0.4</f>
        <v>61.8</v>
      </c>
      <c r="W156" s="27">
        <f>O156+T156</f>
        <v>4</v>
      </c>
      <c r="X156" s="28">
        <f>V156/0.7+W156</f>
        <v>92.285714285714292</v>
      </c>
      <c r="Y156" s="28">
        <v>92.285714285714292</v>
      </c>
      <c r="Z156" s="21"/>
    </row>
    <row r="157" spans="1:26" x14ac:dyDescent="0.25">
      <c r="A157" s="16">
        <v>8</v>
      </c>
      <c r="B157" s="17" t="s">
        <v>21</v>
      </c>
      <c r="C157" s="16">
        <v>105</v>
      </c>
      <c r="D157" s="18" t="s">
        <v>155</v>
      </c>
      <c r="E157" s="17" t="s">
        <v>23</v>
      </c>
      <c r="F157" s="19">
        <v>7.2</v>
      </c>
      <c r="G157" s="32">
        <f>IF(B157="高三",IF($E157="男",LOOKUP(F157,[1]对照表!$G$3:$G$24,[1]对照表!$H$3:$H$24),LOOKUP(F157,[1]对照表!$G$27:$G$48,[1]对照表!$H$27:$H$48)),IF(B157="高二",IF($E157="男",LOOKUP(F157,[1]对照表!$F$3:$F$24,[1]对照表!$H$3:$H$24),LOOKUP(F157,[1]对照表!$F$27:$F$48,[1]对照表!$H$27:$H$48)),IF(B157="高一",IF($E157="男",LOOKUP(F157,[1]对照表!$E$3:$E$24,[1]对照表!$H$3:$H$24),LOOKUP(F157,[1]对照表!$E$27:$E$48,[1]对照表!$H$27:$H$48)))))</f>
        <v>95</v>
      </c>
      <c r="H157" s="21">
        <v>12</v>
      </c>
      <c r="I157" s="32">
        <f>IF(B157="高三",IF($E157="男",LOOKUP(H157,[1]对照表!$K$3:$K$24,[1]对照表!$L$3:$L$24),LOOKUP(H157,[1]对照表!$K$27:$K$48,[1]对照表!$L$27:$L$48)),IF(B157="高二",IF($E157="男",LOOKUP(H157,[1]对照表!$J$3:$J$24,[1]对照表!$L$3:$L$24),LOOKUP(H157,[1]对照表!$J$27:$J$48,[1]对照表!$L$27:$L$48)),IF(B157="高一",IF($E157="男",LOOKUP(H157,[1]对照表!$I$3:$I$24,[1]对照表!$L$3:$L$24),LOOKUP(H157,[1]对照表!$I$27:$I$48,[1]对照表!$L$27:$L$48)))))</f>
        <v>74</v>
      </c>
      <c r="J157" s="21">
        <v>225</v>
      </c>
      <c r="K157" s="32">
        <f>IF(B157="高三",IF($E157="男",LOOKUP(J157,[1]对照表!$O$3:$O$24,[1]对照表!$P$3:$P$24),LOOKUP(J157,[1]对照表!$O$27:$O$48,[1]对照表!$P$27:$P$48)),IF(B157="高二",IF($E157="男",LOOKUP(J157,[1]对照表!$N$3:$N$24,[1]对照表!$P$3:$P$24),LOOKUP(J157,[1]对照表!$N$27:$N$48,[1]对照表!$P$27:$P$48)),IF(B157="高一",IF($E157="男",LOOKUP(J157,[1]对照表!$M$3:$M$24,[1]对照表!$P$3:$P$24),LOOKUP(J157,[1]对照表!$M$27:$M$48,[1]对照表!$P$27:$P$48)))))</f>
        <v>74</v>
      </c>
      <c r="L157" s="21">
        <v>16</v>
      </c>
      <c r="M157" s="32">
        <f>IF(B157="高三",IF($E157="男",LOOKUP(L157,[1]对照表!$S$3:$S$24,[1]对照表!$T$3:$T$24),LOOKUP(L157,[1]对照表!$S$27:$S$48,[1]对照表!$T$27:$T$48)),IF(B157="高二",IF($E157="男",LOOKUP(L157,[1]对照表!$R$3:$R$24,[1]对照表!$T$3:$T$24),LOOKUP(L157,[1]对照表!$R$27:$R$48,[1]对照表!$T$27:$T$48)),IF(B157="高一",IF($E157="男",LOOKUP(L157,[1]对照表!$Q$3:$Q$24,[1]对照表!$T$3:$T$24),LOOKUP(L157,[1]对照表!$Q$27:$Q$48,[1]对照表!$T$27:$T$48)))))</f>
        <v>100</v>
      </c>
      <c r="N157" s="33">
        <f>IF(B157="高三",MAX(IF(E157="男",L157-18,L157-55),0),IF(B157="高二",MAX(IF(E157="男",L157-17,L157-54),0),IF(B157="高一",MAX(IF(E157="男",L157-16,L157-53),0))))</f>
        <v>0</v>
      </c>
      <c r="O157" s="23">
        <f>IF(E157="男",LOOKUP($N157,[1]对照表!$Z$3:$Z$13,[1]对照表!$AA$3:$AA$13),LOOKUP($N157,[1]对照表!$Z$15:$Z$25,[1]对照表!$AA$15:$AA$25))</f>
        <v>0</v>
      </c>
      <c r="P157" s="24">
        <f>M157+O157</f>
        <v>100</v>
      </c>
      <c r="Q157" s="25">
        <v>3.26</v>
      </c>
      <c r="R157" s="32">
        <f>IF(B157="高三",IF($E157="男",LOOKUP(Q157,[1]对照表!$W$3:$W$24,[1]对照表!$X$3:$X$24),LOOKUP(Q157,[1]对照表!$W$27:$W$48,[1]对照表!$X$27:$X$48)),IF(B157="高二",IF($E157="男",LOOKUP(Q157,[1]对照表!$V$3:$V$24,[1]对照表!$X$3:$X$24),LOOKUP(Q157,[1]对照表!$V$27:$V$48,[1]对照表!$X$27:$X$48)),IF(B157="高一",IF($E157="男",LOOKUP(Q157,[1]对照表!$U$3:$U$24,[1]对照表!$X$3:$X$24),LOOKUP(Q157,[1]对照表!$U$27:$U$48,[1]对照表!$X$27:$X$48)))))</f>
        <v>100</v>
      </c>
      <c r="S157" s="33">
        <f>ROUND(IF(IF($B157="高三",MIN(IF($E157="男",$Q157-3.2,$Q157-3.2),0),IF($B157="高二",MIN(IF($E157="男",$Q157-3.25,$Q157-3.22),0),IF($B157="高一",MIN(IF($E157="男",$Q157-3.3,$Q157-3.24),0))))&lt;-0.6,IF($B157="高三",MIN(IF($E157="男",$Q157-3.2,$Q157-3.2),0),IF($B157="高二",MIN(IF($E157="男",$Q157-3.25,$Q157-3.22),0),IF($B157="高一",MIN(IF($E157="男",$Q157-3.3,$Q157-3.24),0))))+0.4,IF($B157="高三",MIN(IF($E157="男",$Q157-3.2,$Q157-3.2),0),IF($B157="高二",MIN(IF($E157="男",$Q157-3.25,$Q157-3.22),0),IF($B157="高一",MIN(IF($E157="男",$Q157-3.3,$Q157-3.24),0))))),2)</f>
        <v>-0.04</v>
      </c>
      <c r="T157" s="23">
        <f>IF(E157="男",LOOKUP($S157,[1]对照表!$AB$3:$AB$13,[1]对照表!$AC$3:$AC$13),LOOKUP($S157,[1]对照表!$AB$15:$AB$25,[1]对照表!$AC$15:$AC$25))</f>
        <v>1</v>
      </c>
      <c r="U157" s="26">
        <f>R157+T157</f>
        <v>101</v>
      </c>
      <c r="V157" s="26">
        <f>SUM(I157,K157,M157)/3*0.3+SUM(G157,R157)/2*0.4</f>
        <v>63.8</v>
      </c>
      <c r="W157" s="27">
        <f>O157+T157</f>
        <v>1</v>
      </c>
      <c r="X157" s="28">
        <f>V157/0.7+W157</f>
        <v>92.142857142857139</v>
      </c>
      <c r="Y157" s="28">
        <v>92.142857142857139</v>
      </c>
      <c r="Z157" s="21"/>
    </row>
    <row r="158" spans="1:26" x14ac:dyDescent="0.25">
      <c r="A158" s="16">
        <v>3</v>
      </c>
      <c r="B158" s="17" t="s">
        <v>21</v>
      </c>
      <c r="C158" s="16">
        <v>105</v>
      </c>
      <c r="D158" s="18" t="s">
        <v>176</v>
      </c>
      <c r="E158" s="17" t="s">
        <v>23</v>
      </c>
      <c r="F158" s="19">
        <v>7</v>
      </c>
      <c r="G158" s="32">
        <f>IF(B158="高三",IF($E158="男",LOOKUP(F158,[1]对照表!$G$3:$G$24,[1]对照表!$H$3:$H$24),LOOKUP(F158,[1]对照表!$G$27:$G$48,[1]对照表!$H$27:$H$48)),IF(B158="高二",IF($E158="男",LOOKUP(F158,[1]对照表!$F$3:$F$24,[1]对照表!$H$3:$H$24),LOOKUP(F158,[1]对照表!$F$27:$F$48,[1]对照表!$H$27:$H$48)),IF(B158="高一",IF($E158="男",LOOKUP(F158,[1]对照表!$E$3:$E$24,[1]对照表!$H$3:$H$24),LOOKUP(F158,[1]对照表!$E$27:$E$48,[1]对照表!$H$27:$H$48)))))</f>
        <v>100</v>
      </c>
      <c r="H158" s="21">
        <v>5</v>
      </c>
      <c r="I158" s="32">
        <f>IF(B158="高三",IF($E158="男",LOOKUP(H158,[1]对照表!$K$3:$K$24,[1]对照表!$L$3:$L$24),LOOKUP(H158,[1]对照表!$K$27:$K$48,[1]对照表!$L$27:$L$48)),IF(B158="高二",IF($E158="男",LOOKUP(H158,[1]对照表!$J$3:$J$24,[1]对照表!$L$3:$L$24),LOOKUP(H158,[1]对照表!$J$27:$J$48,[1]对照表!$L$27:$L$48)),IF(B158="高一",IF($E158="男",LOOKUP(H158,[1]对照表!$I$3:$I$24,[1]对照表!$L$3:$L$24),LOOKUP(H158,[1]对照表!$I$27:$I$48,[1]对照表!$L$27:$L$48)))))</f>
        <v>64</v>
      </c>
      <c r="J158" s="21">
        <v>245</v>
      </c>
      <c r="K158" s="32">
        <f>IF(B158="高三",IF($E158="男",LOOKUP(J158,[1]对照表!$O$3:$O$24,[1]对照表!$P$3:$P$24),LOOKUP(J158,[1]对照表!$O$27:$O$48,[1]对照表!$P$27:$P$48)),IF(B158="高二",IF($E158="男",LOOKUP(J158,[1]对照表!$N$3:$N$24,[1]对照表!$P$3:$P$24),LOOKUP(J158,[1]对照表!$N$27:$N$48,[1]对照表!$P$27:$P$48)),IF(B158="高一",IF($E158="男",LOOKUP(J158,[1]对照表!$M$3:$M$24,[1]对照表!$P$3:$P$24),LOOKUP(J158,[1]对照表!$M$27:$M$48,[1]对照表!$P$27:$P$48)))))</f>
        <v>85</v>
      </c>
      <c r="L158" s="21">
        <v>14</v>
      </c>
      <c r="M158" s="32">
        <f>IF(B158="高三",IF($E158="男",LOOKUP(L158,[1]对照表!$S$3:$S$24,[1]对照表!$T$3:$T$24),LOOKUP(L158,[1]对照表!$S$27:$S$48,[1]对照表!$T$27:$T$48)),IF(B158="高二",IF($E158="男",LOOKUP(L158,[1]对照表!$R$3:$R$24,[1]对照表!$T$3:$T$24),LOOKUP(L158,[1]对照表!$R$27:$R$48,[1]对照表!$T$27:$T$48)),IF(B158="高一",IF($E158="男",LOOKUP(L158,[1]对照表!$Q$3:$Q$24,[1]对照表!$T$3:$T$24),LOOKUP(L158,[1]对照表!$Q$27:$Q$48,[1]对照表!$T$27:$T$48)))))</f>
        <v>90</v>
      </c>
      <c r="N158" s="33">
        <f>IF(B158="高三",MAX(IF(E158="男",L158-18,L158-55),0),IF(B158="高二",MAX(IF(E158="男",L158-17,L158-54),0),IF(B158="高一",MAX(IF(E158="男",L158-16,L158-53),0))))</f>
        <v>0</v>
      </c>
      <c r="O158" s="23">
        <f>IF(E158="男",LOOKUP($N158,[1]对照表!$Z$3:$Z$13,[1]对照表!$AA$3:$AA$13),LOOKUP($N158,[1]对照表!$Z$15:$Z$25,[1]对照表!$AA$15:$AA$25))</f>
        <v>0</v>
      </c>
      <c r="P158" s="24">
        <f>M158+O158</f>
        <v>90</v>
      </c>
      <c r="Q158" s="25">
        <v>3.29</v>
      </c>
      <c r="R158" s="32">
        <f>IF(B158="高三",IF($E158="男",LOOKUP(Q158,[1]对照表!$W$3:$W$24,[1]对照表!$X$3:$X$24),LOOKUP(Q158,[1]对照表!$W$27:$W$48,[1]对照表!$X$27:$X$48)),IF(B158="高二",IF($E158="男",LOOKUP(Q158,[1]对照表!$V$3:$V$24,[1]对照表!$X$3:$X$24),LOOKUP(Q158,[1]对照表!$V$27:$V$48,[1]对照表!$X$27:$X$48)),IF(B158="高一",IF($E158="男",LOOKUP(Q158,[1]对照表!$U$3:$U$24,[1]对照表!$X$3:$X$24),LOOKUP(Q158,[1]对照表!$U$27:$U$48,[1]对照表!$X$27:$X$48)))))</f>
        <v>100</v>
      </c>
      <c r="S158" s="33">
        <f>ROUND(IF(IF($B158="高三",MIN(IF($E158="男",$Q158-3.2,$Q158-3.2),0),IF($B158="高二",MIN(IF($E158="男",$Q158-3.25,$Q158-3.22),0),IF($B158="高一",MIN(IF($E158="男",$Q158-3.3,$Q158-3.24),0))))&lt;-0.6,IF($B158="高三",MIN(IF($E158="男",$Q158-3.2,$Q158-3.2),0),IF($B158="高二",MIN(IF($E158="男",$Q158-3.25,$Q158-3.22),0),IF($B158="高一",MIN(IF($E158="男",$Q158-3.3,$Q158-3.24),0))))+0.4,IF($B158="高三",MIN(IF($E158="男",$Q158-3.2,$Q158-3.2),0),IF($B158="高二",MIN(IF($E158="男",$Q158-3.25,$Q158-3.22),0),IF($B158="高一",MIN(IF($E158="男",$Q158-3.3,$Q158-3.24),0))))),2)</f>
        <v>-0.01</v>
      </c>
      <c r="T158" s="23">
        <f>IF(E158="男",LOOKUP($S158,[1]对照表!$AB$3:$AB$13,[1]对照表!$AC$3:$AC$13),LOOKUP($S158,[1]对照表!$AB$15:$AB$25,[1]对照表!$AC$15:$AC$25))</f>
        <v>0</v>
      </c>
      <c r="U158" s="26">
        <f>R158+T158</f>
        <v>100</v>
      </c>
      <c r="V158" s="26">
        <f>SUM(I158,K158,M158)/3*0.3+SUM(G158,R158)/2*0.4</f>
        <v>63.900000000000006</v>
      </c>
      <c r="W158" s="27">
        <f>O158+T158</f>
        <v>0</v>
      </c>
      <c r="X158" s="28">
        <f>V158/0.7+W158</f>
        <v>91.285714285714306</v>
      </c>
      <c r="Y158" s="28">
        <v>91.285714285714306</v>
      </c>
      <c r="Z158" s="21"/>
    </row>
    <row r="159" spans="1:26" x14ac:dyDescent="0.25">
      <c r="A159" s="16">
        <v>7</v>
      </c>
      <c r="B159" s="17" t="s">
        <v>21</v>
      </c>
      <c r="C159" s="16">
        <v>105</v>
      </c>
      <c r="D159" s="18" t="s">
        <v>195</v>
      </c>
      <c r="E159" s="17" t="s">
        <v>23</v>
      </c>
      <c r="F159" s="19">
        <v>7.2</v>
      </c>
      <c r="G159" s="32">
        <f>IF(B159="高三",IF($E159="男",LOOKUP(F159,[1]对照表!$G$3:$G$24,[1]对照表!$H$3:$H$24),LOOKUP(F159,[1]对照表!$G$27:$G$48,[1]对照表!$H$27:$H$48)),IF(B159="高二",IF($E159="男",LOOKUP(F159,[1]对照表!$F$3:$F$24,[1]对照表!$H$3:$H$24),LOOKUP(F159,[1]对照表!$F$27:$F$48,[1]对照表!$H$27:$H$48)),IF(B159="高一",IF($E159="男",LOOKUP(F159,[1]对照表!$E$3:$E$24,[1]对照表!$H$3:$H$24),LOOKUP(F159,[1]对照表!$E$27:$E$48,[1]对照表!$H$27:$H$48)))))</f>
        <v>95</v>
      </c>
      <c r="H159" s="21">
        <v>9.1</v>
      </c>
      <c r="I159" s="32">
        <f>IF(B159="高三",IF($E159="男",LOOKUP(H159,[1]对照表!$K$3:$K$24,[1]对照表!$L$3:$L$24),LOOKUP(H159,[1]对照表!$K$27:$K$48,[1]对照表!$L$27:$L$48)),IF(B159="高二",IF($E159="男",LOOKUP(H159,[1]对照表!$J$3:$J$24,[1]对照表!$L$3:$L$24),LOOKUP(H159,[1]对照表!$J$27:$J$48,[1]对照表!$L$27:$L$48)),IF(B159="高一",IF($E159="男",LOOKUP(H159,[1]对照表!$I$3:$I$24,[1]对照表!$L$3:$L$24),LOOKUP(H159,[1]对照表!$I$27:$I$48,[1]对照表!$L$27:$L$48)))))</f>
        <v>70</v>
      </c>
      <c r="J159" s="21">
        <v>233</v>
      </c>
      <c r="K159" s="32">
        <f>IF(B159="高三",IF($E159="男",LOOKUP(J159,[1]对照表!$O$3:$O$24,[1]对照表!$P$3:$P$24),LOOKUP(J159,[1]对照表!$O$27:$O$48,[1]对照表!$P$27:$P$48)),IF(B159="高二",IF($E159="男",LOOKUP(J159,[1]对照表!$N$3:$N$24,[1]对照表!$P$3:$P$24),LOOKUP(J159,[1]对照表!$N$27:$N$48,[1]对照表!$P$27:$P$48)),IF(B159="高一",IF($E159="男",LOOKUP(J159,[1]对照表!$M$3:$M$24,[1]对照表!$P$3:$P$24),LOOKUP(J159,[1]对照表!$M$27:$M$48,[1]对照表!$P$27:$P$48)))))</f>
        <v>78</v>
      </c>
      <c r="L159" s="21">
        <v>20</v>
      </c>
      <c r="M159" s="32">
        <f>IF(B159="高三",IF($E159="男",LOOKUP(L159,[1]对照表!$S$3:$S$24,[1]对照表!$T$3:$T$24),LOOKUP(L159,[1]对照表!$S$27:$S$48,[1]对照表!$T$27:$T$48)),IF(B159="高二",IF($E159="男",LOOKUP(L159,[1]对照表!$R$3:$R$24,[1]对照表!$T$3:$T$24),LOOKUP(L159,[1]对照表!$R$27:$R$48,[1]对照表!$T$27:$T$48)),IF(B159="高一",IF($E159="男",LOOKUP(L159,[1]对照表!$Q$3:$Q$24,[1]对照表!$T$3:$T$24),LOOKUP(L159,[1]对照表!$Q$27:$Q$48,[1]对照表!$T$27:$T$48)))))</f>
        <v>100</v>
      </c>
      <c r="N159" s="33">
        <f>IF(B159="高三",MAX(IF(E159="男",L159-18,L159-55),0),IF(B159="高二",MAX(IF(E159="男",L159-17,L159-54),0),IF(B159="高一",MAX(IF(E159="男",L159-16,L159-53),0))))</f>
        <v>4</v>
      </c>
      <c r="O159" s="23">
        <f>IF(E159="男",LOOKUP($N159,[1]对照表!$Z$3:$Z$13,[1]对照表!$AA$3:$AA$13),LOOKUP($N159,[1]对照表!$Z$15:$Z$25,[1]对照表!$AA$15:$AA$25))</f>
        <v>4</v>
      </c>
      <c r="P159" s="24">
        <f>M159+O159</f>
        <v>104</v>
      </c>
      <c r="Q159" s="25">
        <v>3.54</v>
      </c>
      <c r="R159" s="32">
        <f>IF(B159="高三",IF($E159="男",LOOKUP(Q159,[1]对照表!$W$3:$W$24,[1]对照表!$X$3:$X$24),LOOKUP(Q159,[1]对照表!$W$27:$W$48,[1]对照表!$X$27:$X$48)),IF(B159="高二",IF($E159="男",LOOKUP(Q159,[1]对照表!$V$3:$V$24,[1]对照表!$X$3:$X$24),LOOKUP(Q159,[1]对照表!$V$27:$V$48,[1]对照表!$X$27:$X$48)),IF(B159="高一",IF($E159="男",LOOKUP(Q159,[1]对照表!$U$3:$U$24,[1]对照表!$X$3:$X$24),LOOKUP(Q159,[1]对照表!$U$27:$U$48,[1]对照表!$X$27:$X$48)))))</f>
        <v>80</v>
      </c>
      <c r="S159" s="33">
        <f>ROUND(IF(IF($B159="高三",MIN(IF($E159="男",$Q159-3.2,$Q159-3.2),0),IF($B159="高二",MIN(IF($E159="男",$Q159-3.25,$Q159-3.22),0),IF($B159="高一",MIN(IF($E159="男",$Q159-3.3,$Q159-3.24),0))))&lt;-0.6,IF($B159="高三",MIN(IF($E159="男",$Q159-3.2,$Q159-3.2),0),IF($B159="高二",MIN(IF($E159="男",$Q159-3.25,$Q159-3.22),0),IF($B159="高一",MIN(IF($E159="男",$Q159-3.3,$Q159-3.24),0))))+0.4,IF($B159="高三",MIN(IF($E159="男",$Q159-3.2,$Q159-3.2),0),IF($B159="高二",MIN(IF($E159="男",$Q159-3.25,$Q159-3.22),0),IF($B159="高一",MIN(IF($E159="男",$Q159-3.3,$Q159-3.24),0))))),2)</f>
        <v>0</v>
      </c>
      <c r="T159" s="23">
        <f>IF(E159="男",LOOKUP($S159,[1]对照表!$AB$3:$AB$13,[1]对照表!$AC$3:$AC$13),LOOKUP($S159,[1]对照表!$AB$15:$AB$25,[1]对照表!$AC$15:$AC$25))</f>
        <v>0</v>
      </c>
      <c r="U159" s="26">
        <f>R159+T159</f>
        <v>80</v>
      </c>
      <c r="V159" s="26">
        <f>SUM(I159,K159,M159)/3*0.3+SUM(G159,R159)/2*0.4</f>
        <v>59.8</v>
      </c>
      <c r="W159" s="27">
        <f>O159+T159</f>
        <v>4</v>
      </c>
      <c r="X159" s="28">
        <f>V159/0.7+W159</f>
        <v>89.428571428571431</v>
      </c>
      <c r="Y159" s="28">
        <v>89.428571428571431</v>
      </c>
      <c r="Z159" s="21"/>
    </row>
    <row r="160" spans="1:26" x14ac:dyDescent="0.25">
      <c r="A160" s="16">
        <v>33</v>
      </c>
      <c r="B160" s="17" t="s">
        <v>21</v>
      </c>
      <c r="C160" s="16">
        <v>105</v>
      </c>
      <c r="D160" s="18" t="s">
        <v>197</v>
      </c>
      <c r="E160" s="16" t="s">
        <v>23</v>
      </c>
      <c r="F160" s="19">
        <v>7.1</v>
      </c>
      <c r="G160" s="32">
        <f>IF(B160="高三",IF($E160="男",LOOKUP(F160,[1]对照表!$G$3:$G$24,[1]对照表!$H$3:$H$24),LOOKUP(F160,[1]对照表!$G$27:$G$48,[1]对照表!$H$27:$H$48)),IF(B160="高二",IF($E160="男",LOOKUP(F160,[1]对照表!$F$3:$F$24,[1]对照表!$H$3:$H$24),LOOKUP(F160,[1]对照表!$F$27:$F$48,[1]对照表!$H$27:$H$48)),IF(B160="高一",IF($E160="男",LOOKUP(F160,[1]对照表!$E$3:$E$24,[1]对照表!$H$3:$H$24),LOOKUP(F160,[1]对照表!$E$27:$E$48,[1]对照表!$H$27:$H$48)))))</f>
        <v>100</v>
      </c>
      <c r="H160" s="21">
        <v>7</v>
      </c>
      <c r="I160" s="32">
        <f>IF(B160="高三",IF($E160="男",LOOKUP(H160,[1]对照表!$K$3:$K$24,[1]对照表!$L$3:$L$24),LOOKUP(H160,[1]对照表!$K$27:$K$48,[1]对照表!$L$27:$L$48)),IF(B160="高二",IF($E160="男",LOOKUP(H160,[1]对照表!$J$3:$J$24,[1]对照表!$L$3:$L$24),LOOKUP(H160,[1]对照表!$J$27:$J$48,[1]对照表!$L$27:$L$48)),IF(B160="高一",IF($E160="男",LOOKUP(H160,[1]对照表!$I$3:$I$24,[1]对照表!$L$3:$L$24),LOOKUP(H160,[1]对照表!$I$27:$I$48,[1]对照表!$L$27:$L$48)))))</f>
        <v>68</v>
      </c>
      <c r="J160" s="21">
        <v>243</v>
      </c>
      <c r="K160" s="32">
        <f>IF(B160="高三",IF($E160="男",LOOKUP(J160,[1]对照表!$O$3:$O$24,[1]对照表!$P$3:$P$24),LOOKUP(J160,[1]对照表!$O$27:$O$48,[1]对照表!$P$27:$P$48)),IF(B160="高二",IF($E160="男",LOOKUP(J160,[1]对照表!$N$3:$N$24,[1]对照表!$P$3:$P$24),LOOKUP(J160,[1]对照表!$N$27:$N$48,[1]对照表!$P$27:$P$48)),IF(B160="高一",IF($E160="男",LOOKUP(J160,[1]对照表!$M$3:$M$24,[1]对照表!$P$3:$P$24),LOOKUP(J160,[1]对照表!$M$27:$M$48,[1]对照表!$P$27:$P$48)))))</f>
        <v>85</v>
      </c>
      <c r="L160" s="21">
        <v>16</v>
      </c>
      <c r="M160" s="32">
        <f>IF(B160="高三",IF($E160="男",LOOKUP(L160,[1]对照表!$S$3:$S$24,[1]对照表!$T$3:$T$24),LOOKUP(L160,[1]对照表!$S$27:$S$48,[1]对照表!$T$27:$T$48)),IF(B160="高二",IF($E160="男",LOOKUP(L160,[1]对照表!$R$3:$R$24,[1]对照表!$T$3:$T$24),LOOKUP(L160,[1]对照表!$R$27:$R$48,[1]对照表!$T$27:$T$48)),IF(B160="高一",IF($E160="男",LOOKUP(L160,[1]对照表!$Q$3:$Q$24,[1]对照表!$T$3:$T$24),LOOKUP(L160,[1]对照表!$Q$27:$Q$48,[1]对照表!$T$27:$T$48)))))</f>
        <v>100</v>
      </c>
      <c r="N160" s="33">
        <f>IF(B160="高三",MAX(IF(E160="男",L160-18,L160-55),0),IF(B160="高二",MAX(IF(E160="男",L160-17,L160-54),0),IF(B160="高一",MAX(IF(E160="男",L160-16,L160-53),0))))</f>
        <v>0</v>
      </c>
      <c r="O160" s="23">
        <f>IF(E160="男",LOOKUP($N160,[1]对照表!$Z$3:$Z$13,[1]对照表!$AA$3:$AA$13),LOOKUP($N160,[1]对照表!$Z$15:$Z$25,[1]对照表!$AA$15:$AA$25))</f>
        <v>0</v>
      </c>
      <c r="P160" s="24">
        <f>M160+O160</f>
        <v>100</v>
      </c>
      <c r="Q160" s="25">
        <v>3.46</v>
      </c>
      <c r="R160" s="32">
        <f>IF(B160="高三",IF($E160="男",LOOKUP(Q160,[1]对照表!$W$3:$W$24,[1]对照表!$X$3:$X$24),LOOKUP(Q160,[1]对照表!$W$27:$W$48,[1]对照表!$X$27:$X$48)),IF(B160="高二",IF($E160="男",LOOKUP(Q160,[1]对照表!$V$3:$V$24,[1]对照表!$X$3:$X$24),LOOKUP(Q160,[1]对照表!$V$27:$V$48,[1]对照表!$X$27:$X$48)),IF(B160="高一",IF($E160="男",LOOKUP(Q160,[1]对照表!$U$3:$U$24,[1]对照表!$X$3:$X$24),LOOKUP(Q160,[1]对照表!$U$27:$U$48,[1]对照表!$X$27:$X$48)))))</f>
        <v>85</v>
      </c>
      <c r="S160" s="33">
        <f>ROUND(IF(IF($B160="高三",MIN(IF($E160="男",$Q160-3.2,$Q160-3.2),0),IF($B160="高二",MIN(IF($E160="男",$Q160-3.25,$Q160-3.22),0),IF($B160="高一",MIN(IF($E160="男",$Q160-3.3,$Q160-3.24),0))))&lt;-0.6,IF($B160="高三",MIN(IF($E160="男",$Q160-3.2,$Q160-3.2),0),IF($B160="高二",MIN(IF($E160="男",$Q160-3.25,$Q160-3.22),0),IF($B160="高一",MIN(IF($E160="男",$Q160-3.3,$Q160-3.24),0))))+0.4,IF($B160="高三",MIN(IF($E160="男",$Q160-3.2,$Q160-3.2),0),IF($B160="高二",MIN(IF($E160="男",$Q160-3.25,$Q160-3.22),0),IF($B160="高一",MIN(IF($E160="男",$Q160-3.3,$Q160-3.24),0))))),2)</f>
        <v>0</v>
      </c>
      <c r="T160" s="23">
        <f>IF(E160="男",LOOKUP($S160,[1]对照表!$AB$3:$AB$13,[1]对照表!$AC$3:$AC$13),LOOKUP($S160,[1]对照表!$AB$15:$AB$25,[1]对照表!$AC$15:$AC$25))</f>
        <v>0</v>
      </c>
      <c r="U160" s="26">
        <f>R160+T160</f>
        <v>85</v>
      </c>
      <c r="V160" s="26">
        <f>SUM(I160,K160,M160)/3*0.3+SUM(G160,R160)/2*0.4</f>
        <v>62.3</v>
      </c>
      <c r="W160" s="27">
        <f>O160+T160</f>
        <v>0</v>
      </c>
      <c r="X160" s="28">
        <f>V160/0.7+W160</f>
        <v>89</v>
      </c>
      <c r="Y160" s="28">
        <v>89</v>
      </c>
      <c r="Z160" s="21"/>
    </row>
    <row r="161" spans="1:26" x14ac:dyDescent="0.25">
      <c r="A161" s="16">
        <v>5</v>
      </c>
      <c r="B161" s="17" t="s">
        <v>21</v>
      </c>
      <c r="C161" s="16">
        <v>105</v>
      </c>
      <c r="D161" s="18" t="s">
        <v>198</v>
      </c>
      <c r="E161" s="17" t="s">
        <v>23</v>
      </c>
      <c r="F161" s="19">
        <v>7</v>
      </c>
      <c r="G161" s="32">
        <f>IF(B161="高三",IF($E161="男",LOOKUP(F161,[1]对照表!$G$3:$G$24,[1]对照表!$H$3:$H$24),LOOKUP(F161,[1]对照表!$G$27:$G$48,[1]对照表!$H$27:$H$48)),IF(B161="高二",IF($E161="男",LOOKUP(F161,[1]对照表!$F$3:$F$24,[1]对照表!$H$3:$H$24),LOOKUP(F161,[1]对照表!$F$27:$F$48,[1]对照表!$H$27:$H$48)),IF(B161="高一",IF($E161="男",LOOKUP(F161,[1]对照表!$E$3:$E$24,[1]对照表!$H$3:$H$24),LOOKUP(F161,[1]对照表!$E$27:$E$48,[1]对照表!$H$27:$H$48)))))</f>
        <v>100</v>
      </c>
      <c r="H161" s="21">
        <v>10.8</v>
      </c>
      <c r="I161" s="32">
        <f>IF(B161="高三",IF($E161="男",LOOKUP(H161,[1]对照表!$K$3:$K$24,[1]对照表!$L$3:$L$24),LOOKUP(H161,[1]对照表!$K$27:$K$48,[1]对照表!$L$27:$L$48)),IF(B161="高二",IF($E161="男",LOOKUP(H161,[1]对照表!$J$3:$J$24,[1]对照表!$L$3:$L$24),LOOKUP(H161,[1]对照表!$J$27:$J$48,[1]对照表!$L$27:$L$48)),IF(B161="高一",IF($E161="男",LOOKUP(H161,[1]对照表!$I$3:$I$24,[1]对照表!$L$3:$L$24),LOOKUP(H161,[1]对照表!$I$27:$I$48,[1]对照表!$L$27:$L$48)))))</f>
        <v>74</v>
      </c>
      <c r="J161" s="21">
        <v>242</v>
      </c>
      <c r="K161" s="32">
        <f>IF(B161="高三",IF($E161="男",LOOKUP(J161,[1]对照表!$O$3:$O$24,[1]对照表!$P$3:$P$24),LOOKUP(J161,[1]对照表!$O$27:$O$48,[1]对照表!$P$27:$P$48)),IF(B161="高二",IF($E161="男",LOOKUP(J161,[1]对照表!$N$3:$N$24,[1]对照表!$P$3:$P$24),LOOKUP(J161,[1]对照表!$N$27:$N$48,[1]对照表!$P$27:$P$48)),IF(B161="高一",IF($E161="男",LOOKUP(J161,[1]对照表!$M$3:$M$24,[1]对照表!$P$3:$P$24),LOOKUP(J161,[1]对照表!$M$27:$M$48,[1]对照表!$P$27:$P$48)))))</f>
        <v>80</v>
      </c>
      <c r="L161" s="21">
        <v>13</v>
      </c>
      <c r="M161" s="32">
        <f>IF(B161="高三",IF($E161="男",LOOKUP(L161,[1]对照表!$S$3:$S$24,[1]对照表!$T$3:$T$24),LOOKUP(L161,[1]对照表!$S$27:$S$48,[1]对照表!$T$27:$T$48)),IF(B161="高二",IF($E161="男",LOOKUP(L161,[1]对照表!$R$3:$R$24,[1]对照表!$T$3:$T$24),LOOKUP(L161,[1]对照表!$R$27:$R$48,[1]对照表!$T$27:$T$48)),IF(B161="高一",IF($E161="男",LOOKUP(L161,[1]对照表!$Q$3:$Q$24,[1]对照表!$T$3:$T$24),LOOKUP(L161,[1]对照表!$Q$27:$Q$48,[1]对照表!$T$27:$T$48)))))</f>
        <v>85</v>
      </c>
      <c r="N161" s="33">
        <f>IF(B161="高三",MAX(IF(E161="男",L161-18,L161-55),0),IF(B161="高二",MAX(IF(E161="男",L161-17,L161-54),0),IF(B161="高一",MAX(IF(E161="男",L161-16,L161-53),0))))</f>
        <v>0</v>
      </c>
      <c r="O161" s="23">
        <f>IF(E161="男",LOOKUP($N161,[1]对照表!$Z$3:$Z$13,[1]对照表!$AA$3:$AA$13),LOOKUP($N161,[1]对照表!$Z$15:$Z$25,[1]对照表!$AA$15:$AA$25))</f>
        <v>0</v>
      </c>
      <c r="P161" s="24">
        <f>M161+O161</f>
        <v>85</v>
      </c>
      <c r="Q161" s="25">
        <v>3.39</v>
      </c>
      <c r="R161" s="32">
        <f>IF(B161="高三",IF($E161="男",LOOKUP(Q161,[1]对照表!$W$3:$W$24,[1]对照表!$X$3:$X$24),LOOKUP(Q161,[1]对照表!$W$27:$W$48,[1]对照表!$X$27:$X$48)),IF(B161="高二",IF($E161="男",LOOKUP(Q161,[1]对照表!$V$3:$V$24,[1]对照表!$X$3:$X$24),LOOKUP(Q161,[1]对照表!$V$27:$V$48,[1]对照表!$X$27:$X$48)),IF(B161="高一",IF($E161="男",LOOKUP(Q161,[1]对照表!$U$3:$U$24,[1]对照表!$X$3:$X$24),LOOKUP(Q161,[1]对照表!$U$27:$U$48,[1]对照表!$X$27:$X$48)))))</f>
        <v>90</v>
      </c>
      <c r="S161" s="33">
        <f>ROUND(IF(IF($B161="高三",MIN(IF($E161="男",$Q161-3.2,$Q161-3.2),0),IF($B161="高二",MIN(IF($E161="男",$Q161-3.25,$Q161-3.22),0),IF($B161="高一",MIN(IF($E161="男",$Q161-3.3,$Q161-3.24),0))))&lt;-0.6,IF($B161="高三",MIN(IF($E161="男",$Q161-3.2,$Q161-3.2),0),IF($B161="高二",MIN(IF($E161="男",$Q161-3.25,$Q161-3.22),0),IF($B161="高一",MIN(IF($E161="男",$Q161-3.3,$Q161-3.24),0))))+0.4,IF($B161="高三",MIN(IF($E161="男",$Q161-3.2,$Q161-3.2),0),IF($B161="高二",MIN(IF($E161="男",$Q161-3.25,$Q161-3.22),0),IF($B161="高一",MIN(IF($E161="男",$Q161-3.3,$Q161-3.24),0))))),2)</f>
        <v>0</v>
      </c>
      <c r="T161" s="23">
        <f>IF(E161="男",LOOKUP($S161,[1]对照表!$AB$3:$AB$13,[1]对照表!$AC$3:$AC$13),LOOKUP($S161,[1]对照表!$AB$15:$AB$25,[1]对照表!$AC$15:$AC$25))</f>
        <v>0</v>
      </c>
      <c r="U161" s="26">
        <f>R161+T161</f>
        <v>90</v>
      </c>
      <c r="V161" s="26">
        <f>SUM(I161,K161,M161)/3*0.3+SUM(G161,R161)/2*0.4</f>
        <v>61.900000000000006</v>
      </c>
      <c r="W161" s="27">
        <f>O161+T161</f>
        <v>0</v>
      </c>
      <c r="X161" s="28">
        <f>V161/0.7+W161</f>
        <v>88.428571428571445</v>
      </c>
      <c r="Y161" s="28">
        <v>88.428571428571445</v>
      </c>
      <c r="Z161" s="21"/>
    </row>
    <row r="162" spans="1:26" x14ac:dyDescent="0.25">
      <c r="A162" s="16">
        <v>54</v>
      </c>
      <c r="B162" s="17" t="s">
        <v>21</v>
      </c>
      <c r="C162" s="16">
        <v>105</v>
      </c>
      <c r="D162" s="18" t="s">
        <v>210</v>
      </c>
      <c r="E162" s="17" t="s">
        <v>65</v>
      </c>
      <c r="F162" s="19">
        <v>8.61</v>
      </c>
      <c r="G162" s="32">
        <f>IF(B162="高三",IF($E162="男",LOOKUP(F162,[1]对照表!$G$3:$G$24,[1]对照表!$H$3:$H$24),LOOKUP(F162,[1]对照表!$G$27:$G$48,[1]对照表!$H$27:$H$48)),IF(B162="高二",IF($E162="男",LOOKUP(F162,[1]对照表!$F$3:$F$24,[1]对照表!$H$3:$H$24),LOOKUP(F162,[1]对照表!$F$27:$F$48,[1]对照表!$H$27:$H$48)),IF(B162="高一",IF($E162="男",LOOKUP(F162,[1]对照表!$E$3:$E$24,[1]对照表!$H$3:$H$24),LOOKUP(F162,[1]对照表!$E$27:$E$48,[1]对照表!$H$27:$H$48)))))</f>
        <v>78</v>
      </c>
      <c r="H162" s="21">
        <v>25</v>
      </c>
      <c r="I162" s="32">
        <f>IF(B162="高三",IF($E162="男",LOOKUP(H162,[1]对照表!$K$3:$K$24,[1]对照表!$L$3:$L$24),LOOKUP(H162,[1]对照表!$K$27:$K$48,[1]对照表!$L$27:$L$48)),IF(B162="高二",IF($E162="男",LOOKUP(H162,[1]对照表!$J$3:$J$24,[1]对照表!$L$3:$L$24),LOOKUP(H162,[1]对照表!$J$27:$J$48,[1]对照表!$L$27:$L$48)),IF(B162="高一",IF($E162="男",LOOKUP(H162,[1]对照表!$I$3:$I$24,[1]对照表!$L$3:$L$24),LOOKUP(H162,[1]对照表!$I$27:$I$48,[1]对照表!$L$27:$L$48)))))</f>
        <v>100</v>
      </c>
      <c r="J162" s="21">
        <v>210</v>
      </c>
      <c r="K162" s="32">
        <f>IF(B162="高三",IF($E162="男",LOOKUP(J162,[1]对照表!$O$3:$O$24,[1]对照表!$P$3:$P$24),LOOKUP(J162,[1]对照表!$O$27:$O$48,[1]对照表!$P$27:$P$48)),IF(B162="高二",IF($E162="男",LOOKUP(J162,[1]对照表!$N$3:$N$24,[1]对照表!$P$3:$P$24),LOOKUP(J162,[1]对照表!$N$27:$N$48,[1]对照表!$P$27:$P$48)),IF(B162="高一",IF($E162="男",LOOKUP(J162,[1]对照表!$M$3:$M$24,[1]对照表!$P$3:$P$24),LOOKUP(J162,[1]对照表!$M$27:$M$48,[1]对照表!$P$27:$P$48)))))</f>
        <v>100</v>
      </c>
      <c r="L162" s="21">
        <v>56</v>
      </c>
      <c r="M162" s="32">
        <f>IF(B162="高三",IF($E162="男",LOOKUP(L162,[1]对照表!$S$3:$S$24,[1]对照表!$T$3:$T$24),LOOKUP(L162,[1]对照表!$S$27:$S$48,[1]对照表!$T$27:$T$48)),IF(B162="高二",IF($E162="男",LOOKUP(L162,[1]对照表!$R$3:$R$24,[1]对照表!$T$3:$T$24),LOOKUP(L162,[1]对照表!$R$27:$R$48,[1]对照表!$T$27:$T$48)),IF(B162="高一",IF($E162="男",LOOKUP(L162,[1]对照表!$Q$3:$Q$24,[1]对照表!$T$3:$T$24),LOOKUP(L162,[1]对照表!$Q$27:$Q$48,[1]对照表!$T$27:$T$48)))))</f>
        <v>100</v>
      </c>
      <c r="N162" s="33">
        <f>IF(B162="高三",MAX(IF(E162="男",L162-18,L162-55),0),IF(B162="高二",MAX(IF(E162="男",L162-17,L162-54),0),IF(B162="高一",MAX(IF(E162="男",L162-16,L162-53),0))))</f>
        <v>3</v>
      </c>
      <c r="O162" s="23">
        <f>IF(E162="男",LOOKUP($N162,[1]对照表!$Z$3:$Z$13,[1]对照表!$AA$3:$AA$13),LOOKUP($N162,[1]对照表!$Z$15:$Z$25,[1]对照表!$AA$15:$AA$25))</f>
        <v>1</v>
      </c>
      <c r="P162" s="24">
        <f>M162+O162</f>
        <v>101</v>
      </c>
      <c r="Q162" s="25">
        <v>3.21</v>
      </c>
      <c r="R162" s="32">
        <f>IF(B162="高三",IF($E162="男",LOOKUP(Q162,[1]对照表!$W$3:$W$24,[1]对照表!$X$3:$X$24),LOOKUP(Q162,[1]对照表!$W$27:$W$48,[1]对照表!$X$27:$X$48)),IF(B162="高二",IF($E162="男",LOOKUP(Q162,[1]对照表!$V$3:$V$24,[1]对照表!$X$3:$X$24),LOOKUP(Q162,[1]对照表!$V$27:$V$48,[1]对照表!$X$27:$X$48)),IF(B162="高一",IF($E162="男",LOOKUP(Q162,[1]对照表!$U$3:$U$24,[1]对照表!$X$3:$X$24),LOOKUP(Q162,[1]对照表!$U$27:$U$48,[1]对照表!$X$27:$X$48)))))</f>
        <v>100</v>
      </c>
      <c r="S162" s="33">
        <f>ROUND(IF(IF($B162="高三",MIN(IF($E162="男",$Q162-3.2,$Q162-3.2),0),IF($B162="高二",MIN(IF($E162="男",$Q162-3.25,$Q162-3.22),0),IF($B162="高一",MIN(IF($E162="男",$Q162-3.3,$Q162-3.24),0))))&lt;-0.6,IF($B162="高三",MIN(IF($E162="男",$Q162-3.2,$Q162-3.2),0),IF($B162="高二",MIN(IF($E162="男",$Q162-3.25,$Q162-3.22),0),IF($B162="高一",MIN(IF($E162="男",$Q162-3.3,$Q162-3.24),0))))+0.4,IF($B162="高三",MIN(IF($E162="男",$Q162-3.2,$Q162-3.2),0),IF($B162="高二",MIN(IF($E162="男",$Q162-3.25,$Q162-3.22),0),IF($B162="高一",MIN(IF($E162="男",$Q162-3.3,$Q162-3.24),0))))),2)</f>
        <v>-0.03</v>
      </c>
      <c r="T162" s="23">
        <f>IF(E162="男",LOOKUP($S162,[1]对照表!$AB$3:$AB$13,[1]对照表!$AC$3:$AC$13),LOOKUP($S162,[1]对照表!$AB$15:$AB$25,[1]对照表!$AC$15:$AC$25))</f>
        <v>0</v>
      </c>
      <c r="U162" s="26">
        <f>R162+T162</f>
        <v>100</v>
      </c>
      <c r="V162" s="26">
        <f>SUM(I162,K162,M162)/3*0.3+SUM(G162,R162)/2*0.4</f>
        <v>65.599999999999994</v>
      </c>
      <c r="W162" s="27">
        <f>O162+T162</f>
        <v>1</v>
      </c>
      <c r="X162" s="28">
        <f>V162/0.7+W162</f>
        <v>94.714285714285708</v>
      </c>
      <c r="Y162" s="28">
        <v>94.714285714285708</v>
      </c>
      <c r="Z162" s="21"/>
    </row>
    <row r="163" spans="1:26" x14ac:dyDescent="0.25">
      <c r="A163" s="16">
        <v>28</v>
      </c>
      <c r="B163" s="17" t="s">
        <v>21</v>
      </c>
      <c r="C163" s="16">
        <v>105</v>
      </c>
      <c r="D163" s="18" t="s">
        <v>227</v>
      </c>
      <c r="E163" s="17" t="s">
        <v>23</v>
      </c>
      <c r="F163" s="19">
        <v>7.4</v>
      </c>
      <c r="G163" s="32">
        <f>IF(B163="高三",IF($E163="男",LOOKUP(F163,[1]对照表!$G$3:$G$24,[1]对照表!$H$3:$H$24),LOOKUP(F163,[1]对照表!$G$27:$G$48,[1]对照表!$H$27:$H$48)),IF(B163="高二",IF($E163="男",LOOKUP(F163,[1]对照表!$F$3:$F$24,[1]对照表!$H$3:$H$24),LOOKUP(F163,[1]对照表!$F$27:$F$48,[1]对照表!$H$27:$H$48)),IF(B163="高一",IF($E163="男",LOOKUP(F163,[1]对照表!$E$3:$E$24,[1]对照表!$H$3:$H$24),LOOKUP(F163,[1]对照表!$E$27:$E$48,[1]对照表!$H$27:$H$48)))))</f>
        <v>85</v>
      </c>
      <c r="H163" s="21">
        <v>14</v>
      </c>
      <c r="I163" s="32">
        <f>IF(B163="高三",IF($E163="男",LOOKUP(H163,[1]对照表!$K$3:$K$24,[1]对照表!$L$3:$L$24),LOOKUP(H163,[1]对照表!$K$27:$K$48,[1]对照表!$L$27:$L$48)),IF(B163="高二",IF($E163="男",LOOKUP(H163,[1]对照表!$J$3:$J$24,[1]对照表!$L$3:$L$24),LOOKUP(H163,[1]对照表!$J$27:$J$48,[1]对照表!$L$27:$L$48)),IF(B163="高一",IF($E163="男",LOOKUP(H163,[1]对照表!$I$3:$I$24,[1]对照表!$L$3:$L$24),LOOKUP(H163,[1]对照表!$I$27:$I$48,[1]对照表!$L$27:$L$48)))))</f>
        <v>78</v>
      </c>
      <c r="J163" s="21">
        <v>230</v>
      </c>
      <c r="K163" s="32">
        <f>IF(B163="高三",IF($E163="男",LOOKUP(J163,[1]对照表!$O$3:$O$24,[1]对照表!$P$3:$P$24),LOOKUP(J163,[1]对照表!$O$27:$O$48,[1]对照表!$P$27:$P$48)),IF(B163="高二",IF($E163="男",LOOKUP(J163,[1]对照表!$N$3:$N$24,[1]对照表!$P$3:$P$24),LOOKUP(J163,[1]对照表!$N$27:$N$48,[1]对照表!$P$27:$P$48)),IF(B163="高一",IF($E163="男",LOOKUP(J163,[1]对照表!$M$3:$M$24,[1]对照表!$P$3:$P$24),LOOKUP(J163,[1]对照表!$M$27:$M$48,[1]对照表!$P$27:$P$48)))))</f>
        <v>76</v>
      </c>
      <c r="L163" s="21">
        <v>20</v>
      </c>
      <c r="M163" s="32">
        <f>IF(B163="高三",IF($E163="男",LOOKUP(L163,[1]对照表!$S$3:$S$24,[1]对照表!$T$3:$T$24),LOOKUP(L163,[1]对照表!$S$27:$S$48,[1]对照表!$T$27:$T$48)),IF(B163="高二",IF($E163="男",LOOKUP(L163,[1]对照表!$R$3:$R$24,[1]对照表!$T$3:$T$24),LOOKUP(L163,[1]对照表!$R$27:$R$48,[1]对照表!$T$27:$T$48)),IF(B163="高一",IF($E163="男",LOOKUP(L163,[1]对照表!$Q$3:$Q$24,[1]对照表!$T$3:$T$24),LOOKUP(L163,[1]对照表!$Q$27:$Q$48,[1]对照表!$T$27:$T$48)))))</f>
        <v>100</v>
      </c>
      <c r="N163" s="33">
        <f>IF(B163="高三",MAX(IF(E163="男",L163-18,L163-55),0),IF(B163="高二",MAX(IF(E163="男",L163-17,L163-54),0),IF(B163="高一",MAX(IF(E163="男",L163-16,L163-53),0))))</f>
        <v>4</v>
      </c>
      <c r="O163" s="23">
        <f>IF(E163="男",LOOKUP($N163,[1]对照表!$Z$3:$Z$13,[1]对照表!$AA$3:$AA$13),LOOKUP($N163,[1]对照表!$Z$15:$Z$25,[1]对照表!$AA$15:$AA$25))</f>
        <v>4</v>
      </c>
      <c r="P163" s="24">
        <f>M163+O163</f>
        <v>104</v>
      </c>
      <c r="Q163" s="25">
        <v>3.53</v>
      </c>
      <c r="R163" s="32">
        <f>IF(B163="高三",IF($E163="男",LOOKUP(Q163,[1]对照表!$W$3:$W$24,[1]对照表!$X$3:$X$24),LOOKUP(Q163,[1]对照表!$W$27:$W$48,[1]对照表!$X$27:$X$48)),IF(B163="高二",IF($E163="男",LOOKUP(Q163,[1]对照表!$V$3:$V$24,[1]对照表!$X$3:$X$24),LOOKUP(Q163,[1]对照表!$V$27:$V$48,[1]对照表!$X$27:$X$48)),IF(B163="高一",IF($E163="男",LOOKUP(Q163,[1]对照表!$U$3:$U$24,[1]对照表!$X$3:$X$24),LOOKUP(Q163,[1]对照表!$U$27:$U$48,[1]对照表!$X$27:$X$48)))))</f>
        <v>80</v>
      </c>
      <c r="S163" s="33">
        <f>ROUND(IF(IF($B163="高三",MIN(IF($E163="男",$Q163-3.2,$Q163-3.2),0),IF($B163="高二",MIN(IF($E163="男",$Q163-3.25,$Q163-3.22),0),IF($B163="高一",MIN(IF($E163="男",$Q163-3.3,$Q163-3.24),0))))&lt;-0.6,IF($B163="高三",MIN(IF($E163="男",$Q163-3.2,$Q163-3.2),0),IF($B163="高二",MIN(IF($E163="男",$Q163-3.25,$Q163-3.22),0),IF($B163="高一",MIN(IF($E163="男",$Q163-3.3,$Q163-3.24),0))))+0.4,IF($B163="高三",MIN(IF($E163="男",$Q163-3.2,$Q163-3.2),0),IF($B163="高二",MIN(IF($E163="男",$Q163-3.25,$Q163-3.22),0),IF($B163="高一",MIN(IF($E163="男",$Q163-3.3,$Q163-3.24),0))))),2)</f>
        <v>0</v>
      </c>
      <c r="T163" s="23">
        <f>IF(E163="男",LOOKUP($S163,[1]对照表!$AB$3:$AB$13,[1]对照表!$AC$3:$AC$13),LOOKUP($S163,[1]对照表!$AB$15:$AB$25,[1]对照表!$AC$15:$AC$25))</f>
        <v>0</v>
      </c>
      <c r="U163" s="26">
        <f>R163+T163</f>
        <v>80</v>
      </c>
      <c r="V163" s="26">
        <f>SUM(I163,K163,M163)/3*0.3+SUM(G163,R163)/2*0.4</f>
        <v>58.400000000000006</v>
      </c>
      <c r="W163" s="27">
        <f>O163+T163</f>
        <v>4</v>
      </c>
      <c r="X163" s="28">
        <f>V163/0.7+W163</f>
        <v>87.428571428571445</v>
      </c>
      <c r="Y163" s="28">
        <v>87.428571428571445</v>
      </c>
      <c r="Z163" s="21"/>
    </row>
    <row r="164" spans="1:26" x14ac:dyDescent="0.25">
      <c r="A164" s="16">
        <v>18</v>
      </c>
      <c r="B164" s="17" t="s">
        <v>21</v>
      </c>
      <c r="C164" s="16">
        <v>105</v>
      </c>
      <c r="D164" s="18" t="s">
        <v>229</v>
      </c>
      <c r="E164" s="17" t="s">
        <v>23</v>
      </c>
      <c r="F164" s="19">
        <v>7</v>
      </c>
      <c r="G164" s="32">
        <f>IF(B164="高三",IF($E164="男",LOOKUP(F164,[1]对照表!$G$3:$G$24,[1]对照表!$H$3:$H$24),LOOKUP(F164,[1]对照表!$G$27:$G$48,[1]对照表!$H$27:$H$48)),IF(B164="高二",IF($E164="男",LOOKUP(F164,[1]对照表!$F$3:$F$24,[1]对照表!$H$3:$H$24),LOOKUP(F164,[1]对照表!$F$27:$F$48,[1]对照表!$H$27:$H$48)),IF(B164="高一",IF($E164="男",LOOKUP(F164,[1]对照表!$E$3:$E$24,[1]对照表!$H$3:$H$24),LOOKUP(F164,[1]对照表!$E$27:$E$48,[1]对照表!$H$27:$H$48)))))</f>
        <v>100</v>
      </c>
      <c r="H164" s="21">
        <v>9.1999999999999993</v>
      </c>
      <c r="I164" s="32">
        <f>IF(B164="高三",IF($E164="男",LOOKUP(H164,[1]对照表!$K$3:$K$24,[1]对照表!$L$3:$L$24),LOOKUP(H164,[1]对照表!$K$27:$K$48,[1]对照表!$L$27:$L$48)),IF(B164="高二",IF($E164="男",LOOKUP(H164,[1]对照表!$J$3:$J$24,[1]对照表!$L$3:$L$24),LOOKUP(H164,[1]对照表!$J$27:$J$48,[1]对照表!$L$27:$L$48)),IF(B164="高一",IF($E164="男",LOOKUP(H164,[1]对照表!$I$3:$I$24,[1]对照表!$L$3:$L$24),LOOKUP(H164,[1]对照表!$I$27:$I$48,[1]对照表!$L$27:$L$48)))))</f>
        <v>70</v>
      </c>
      <c r="J164" s="21">
        <v>228</v>
      </c>
      <c r="K164" s="32">
        <f>IF(B164="高三",IF($E164="男",LOOKUP(J164,[1]对照表!$O$3:$O$24,[1]对照表!$P$3:$P$24),LOOKUP(J164,[1]对照表!$O$27:$O$48,[1]对照表!$P$27:$P$48)),IF(B164="高二",IF($E164="男",LOOKUP(J164,[1]对照表!$N$3:$N$24,[1]对照表!$P$3:$P$24),LOOKUP(J164,[1]对照表!$N$27:$N$48,[1]对照表!$P$27:$P$48)),IF(B164="高一",IF($E164="男",LOOKUP(J164,[1]对照表!$M$3:$M$24,[1]对照表!$P$3:$P$24),LOOKUP(J164,[1]对照表!$M$27:$M$48,[1]对照表!$P$27:$P$48)))))</f>
        <v>76</v>
      </c>
      <c r="L164" s="21">
        <v>13</v>
      </c>
      <c r="M164" s="32">
        <f>IF(B164="高三",IF($E164="男",LOOKUP(L164,[1]对照表!$S$3:$S$24,[1]对照表!$T$3:$T$24),LOOKUP(L164,[1]对照表!$S$27:$S$48,[1]对照表!$T$27:$T$48)),IF(B164="高二",IF($E164="男",LOOKUP(L164,[1]对照表!$R$3:$R$24,[1]对照表!$T$3:$T$24),LOOKUP(L164,[1]对照表!$R$27:$R$48,[1]对照表!$T$27:$T$48)),IF(B164="高一",IF($E164="男",LOOKUP(L164,[1]对照表!$Q$3:$Q$24,[1]对照表!$T$3:$T$24),LOOKUP(L164,[1]对照表!$Q$27:$Q$48,[1]对照表!$T$27:$T$48)))))</f>
        <v>85</v>
      </c>
      <c r="N164" s="33">
        <f>IF(B164="高三",MAX(IF(E164="男",L164-18,L164-55),0),IF(B164="高二",MAX(IF(E164="男",L164-17,L164-54),0),IF(B164="高一",MAX(IF(E164="男",L164-16,L164-53),0))))</f>
        <v>0</v>
      </c>
      <c r="O164" s="23">
        <f>IF(E164="男",LOOKUP($N164,[1]对照表!$Z$3:$Z$13,[1]对照表!$AA$3:$AA$13),LOOKUP($N164,[1]对照表!$Z$15:$Z$25,[1]对照表!$AA$15:$AA$25))</f>
        <v>0</v>
      </c>
      <c r="P164" s="24">
        <f>M164+O164</f>
        <v>85</v>
      </c>
      <c r="Q164" s="25">
        <v>3.36</v>
      </c>
      <c r="R164" s="32">
        <f>IF(B164="高三",IF($E164="男",LOOKUP(Q164,[1]对照表!$W$3:$W$24,[1]对照表!$X$3:$X$24),LOOKUP(Q164,[1]对照表!$W$27:$W$48,[1]对照表!$X$27:$X$48)),IF(B164="高二",IF($E164="男",LOOKUP(Q164,[1]对照表!$V$3:$V$24,[1]对照表!$X$3:$X$24),LOOKUP(Q164,[1]对照表!$V$27:$V$48,[1]对照表!$X$27:$X$48)),IF(B164="高一",IF($E164="男",LOOKUP(Q164,[1]对照表!$U$3:$U$24,[1]对照表!$X$3:$X$24),LOOKUP(Q164,[1]对照表!$U$27:$U$48,[1]对照表!$X$27:$X$48)))))</f>
        <v>90</v>
      </c>
      <c r="S164" s="33">
        <f>ROUND(IF(IF($B164="高三",MIN(IF($E164="男",$Q164-3.2,$Q164-3.2),0),IF($B164="高二",MIN(IF($E164="男",$Q164-3.25,$Q164-3.22),0),IF($B164="高一",MIN(IF($E164="男",$Q164-3.3,$Q164-3.24),0))))&lt;-0.6,IF($B164="高三",MIN(IF($E164="男",$Q164-3.2,$Q164-3.2),0),IF($B164="高二",MIN(IF($E164="男",$Q164-3.25,$Q164-3.22),0),IF($B164="高一",MIN(IF($E164="男",$Q164-3.3,$Q164-3.24),0))))+0.4,IF($B164="高三",MIN(IF($E164="男",$Q164-3.2,$Q164-3.2),0),IF($B164="高二",MIN(IF($E164="男",$Q164-3.25,$Q164-3.22),0),IF($B164="高一",MIN(IF($E164="男",$Q164-3.3,$Q164-3.24),0))))),2)</f>
        <v>0</v>
      </c>
      <c r="T164" s="23">
        <f>IF(E164="男",LOOKUP($S164,[1]对照表!$AB$3:$AB$13,[1]对照表!$AC$3:$AC$13),LOOKUP($S164,[1]对照表!$AB$15:$AB$25,[1]对照表!$AC$15:$AC$25))</f>
        <v>0</v>
      </c>
      <c r="U164" s="26">
        <f>R164+T164</f>
        <v>90</v>
      </c>
      <c r="V164" s="26">
        <f>SUM(I164,K164,M164)/3*0.3+SUM(G164,R164)/2*0.4</f>
        <v>61.099999999999994</v>
      </c>
      <c r="W164" s="27">
        <f>O164+T164</f>
        <v>0</v>
      </c>
      <c r="X164" s="28">
        <f>V164/0.7+W164</f>
        <v>87.285714285714278</v>
      </c>
      <c r="Y164" s="28">
        <v>87.285714285714278</v>
      </c>
      <c r="Z164" s="21"/>
    </row>
    <row r="165" spans="1:26" x14ac:dyDescent="0.25">
      <c r="A165" s="16">
        <v>14</v>
      </c>
      <c r="B165" s="17" t="s">
        <v>21</v>
      </c>
      <c r="C165" s="16">
        <v>105</v>
      </c>
      <c r="D165" s="18" t="s">
        <v>230</v>
      </c>
      <c r="E165" s="17" t="s">
        <v>23</v>
      </c>
      <c r="F165" s="19">
        <v>7.4</v>
      </c>
      <c r="G165" s="32">
        <f>IF(B165="高三",IF($E165="男",LOOKUP(F165,[1]对照表!$G$3:$G$24,[1]对照表!$H$3:$H$24),LOOKUP(F165,[1]对照表!$G$27:$G$48,[1]对照表!$H$27:$H$48)),IF(B165="高二",IF($E165="男",LOOKUP(F165,[1]对照表!$F$3:$F$24,[1]对照表!$H$3:$H$24),LOOKUP(F165,[1]对照表!$F$27:$F$48,[1]对照表!$H$27:$H$48)),IF(B165="高一",IF($E165="男",LOOKUP(F165,[1]对照表!$E$3:$E$24,[1]对照表!$H$3:$H$24),LOOKUP(F165,[1]对照表!$E$27:$E$48,[1]对照表!$H$27:$H$48)))))</f>
        <v>85</v>
      </c>
      <c r="H165" s="21">
        <v>25</v>
      </c>
      <c r="I165" s="32">
        <f>IF(B165="高三",IF($E165="男",LOOKUP(H165,[1]对照表!$K$3:$K$24,[1]对照表!$L$3:$L$24),LOOKUP(H165,[1]对照表!$K$27:$K$48,[1]对照表!$L$27:$L$48)),IF(B165="高二",IF($E165="男",LOOKUP(H165,[1]对照表!$J$3:$J$24,[1]对照表!$L$3:$L$24),LOOKUP(H165,[1]对照表!$J$27:$J$48,[1]对照表!$L$27:$L$48)),IF(B165="高一",IF($E165="男",LOOKUP(H165,[1]对照表!$I$3:$I$24,[1]对照表!$L$3:$L$24),LOOKUP(H165,[1]对照表!$I$27:$I$48,[1]对照表!$L$27:$L$48)))))</f>
        <v>100</v>
      </c>
      <c r="J165" s="21">
        <v>239</v>
      </c>
      <c r="K165" s="32">
        <f>IF(B165="高三",IF($E165="男",LOOKUP(J165,[1]对照表!$O$3:$O$24,[1]对照表!$P$3:$P$24),LOOKUP(J165,[1]对照表!$O$27:$O$48,[1]对照表!$P$27:$P$48)),IF(B165="高二",IF($E165="男",LOOKUP(J165,[1]对照表!$N$3:$N$24,[1]对照表!$P$3:$P$24),LOOKUP(J165,[1]对照表!$N$27:$N$48,[1]对照表!$P$27:$P$48)),IF(B165="高一",IF($E165="男",LOOKUP(J165,[1]对照表!$M$3:$M$24,[1]对照表!$P$3:$P$24),LOOKUP(J165,[1]对照表!$M$27:$M$48,[1]对照表!$P$27:$P$48)))))</f>
        <v>80</v>
      </c>
      <c r="L165" s="21">
        <v>16</v>
      </c>
      <c r="M165" s="32">
        <f>IF(B165="高三",IF($E165="男",LOOKUP(L165,[1]对照表!$S$3:$S$24,[1]对照表!$T$3:$T$24),LOOKUP(L165,[1]对照表!$S$27:$S$48,[1]对照表!$T$27:$T$48)),IF(B165="高二",IF($E165="男",LOOKUP(L165,[1]对照表!$R$3:$R$24,[1]对照表!$T$3:$T$24),LOOKUP(L165,[1]对照表!$R$27:$R$48,[1]对照表!$T$27:$T$48)),IF(B165="高一",IF($E165="男",LOOKUP(L165,[1]对照表!$Q$3:$Q$24,[1]对照表!$T$3:$T$24),LOOKUP(L165,[1]对照表!$Q$27:$Q$48,[1]对照表!$T$27:$T$48)))))</f>
        <v>100</v>
      </c>
      <c r="N165" s="33">
        <f>IF(B165="高三",MAX(IF(E165="男",L165-18,L165-55),0),IF(B165="高二",MAX(IF(E165="男",L165-17,L165-54),0),IF(B165="高一",MAX(IF(E165="男",L165-16,L165-53),0))))</f>
        <v>0</v>
      </c>
      <c r="O165" s="23">
        <f>IF(E165="男",LOOKUP($N165,[1]对照表!$Z$3:$Z$13,[1]对照表!$AA$3:$AA$13),LOOKUP($N165,[1]对照表!$Z$15:$Z$25,[1]对照表!$AA$15:$AA$25))</f>
        <v>0</v>
      </c>
      <c r="P165" s="24">
        <f>M165+O165</f>
        <v>100</v>
      </c>
      <c r="Q165" s="25">
        <v>3.51</v>
      </c>
      <c r="R165" s="32">
        <f>IF(B165="高三",IF($E165="男",LOOKUP(Q165,[1]对照表!$W$3:$W$24,[1]对照表!$X$3:$X$24),LOOKUP(Q165,[1]对照表!$W$27:$W$48,[1]对照表!$X$27:$X$48)),IF(B165="高二",IF($E165="男",LOOKUP(Q165,[1]对照表!$V$3:$V$24,[1]对照表!$X$3:$X$24),LOOKUP(Q165,[1]对照表!$V$27:$V$48,[1]对照表!$X$27:$X$48)),IF(B165="高一",IF($E165="男",LOOKUP(Q165,[1]对照表!$U$3:$U$24,[1]对照表!$X$3:$X$24),LOOKUP(Q165,[1]对照表!$U$27:$U$48,[1]对照表!$X$27:$X$48)))))</f>
        <v>80</v>
      </c>
      <c r="S165" s="33">
        <f>ROUND(IF(IF($B165="高三",MIN(IF($E165="男",$Q165-3.2,$Q165-3.2),0),IF($B165="高二",MIN(IF($E165="男",$Q165-3.25,$Q165-3.22),0),IF($B165="高一",MIN(IF($E165="男",$Q165-3.3,$Q165-3.24),0))))&lt;-0.6,IF($B165="高三",MIN(IF($E165="男",$Q165-3.2,$Q165-3.2),0),IF($B165="高二",MIN(IF($E165="男",$Q165-3.25,$Q165-3.22),0),IF($B165="高一",MIN(IF($E165="男",$Q165-3.3,$Q165-3.24),0))))+0.4,IF($B165="高三",MIN(IF($E165="男",$Q165-3.2,$Q165-3.2),0),IF($B165="高二",MIN(IF($E165="男",$Q165-3.25,$Q165-3.22),0),IF($B165="高一",MIN(IF($E165="男",$Q165-3.3,$Q165-3.24),0))))),2)</f>
        <v>0</v>
      </c>
      <c r="T165" s="23">
        <f>IF(E165="男",LOOKUP($S165,[1]对照表!$AB$3:$AB$13,[1]对照表!$AC$3:$AC$13),LOOKUP($S165,[1]对照表!$AB$15:$AB$25,[1]对照表!$AC$15:$AC$25))</f>
        <v>0</v>
      </c>
      <c r="U165" s="26">
        <f>R165+T165</f>
        <v>80</v>
      </c>
      <c r="V165" s="26">
        <f>SUM(I165,K165,M165)/3*0.3+SUM(G165,R165)/2*0.4</f>
        <v>61</v>
      </c>
      <c r="W165" s="27">
        <f>O165+T165</f>
        <v>0</v>
      </c>
      <c r="X165" s="28">
        <f>V165/0.7+W165</f>
        <v>87.142857142857153</v>
      </c>
      <c r="Y165" s="28">
        <v>87.142857142857153</v>
      </c>
      <c r="Z165" s="21"/>
    </row>
    <row r="166" spans="1:26" x14ac:dyDescent="0.25">
      <c r="A166" s="16">
        <v>55</v>
      </c>
      <c r="B166" s="17" t="s">
        <v>21</v>
      </c>
      <c r="C166" s="16">
        <v>105</v>
      </c>
      <c r="D166" s="18" t="s">
        <v>249</v>
      </c>
      <c r="E166" s="17" t="s">
        <v>65</v>
      </c>
      <c r="F166" s="19">
        <v>8.4</v>
      </c>
      <c r="G166" s="32">
        <f>IF(B166="高三",IF($E166="男",LOOKUP(F166,[1]对照表!$G$3:$G$24,[1]对照表!$H$3:$H$24),LOOKUP(F166,[1]对照表!$G$27:$G$48,[1]对照表!$H$27:$H$48)),IF(B166="高二",IF($E166="男",LOOKUP(F166,[1]对照表!$F$3:$F$24,[1]对照表!$H$3:$H$24),LOOKUP(F166,[1]对照表!$F$27:$F$48,[1]对照表!$H$27:$H$48)),IF(B166="高一",IF($E166="男",LOOKUP(F166,[1]对照表!$E$3:$E$24,[1]对照表!$H$3:$H$24),LOOKUP(F166,[1]对照表!$E$27:$E$48,[1]对照表!$H$27:$H$48)))))</f>
        <v>80</v>
      </c>
      <c r="H166" s="21">
        <v>6.5</v>
      </c>
      <c r="I166" s="32">
        <f>IF(B166="高三",IF($E166="男",LOOKUP(H166,[1]对照表!$K$3:$K$24,[1]对照表!$L$3:$L$24),LOOKUP(H166,[1]对照表!$K$27:$K$48,[1]对照表!$L$27:$L$48)),IF(B166="高二",IF($E166="男",LOOKUP(H166,[1]对照表!$J$3:$J$24,[1]对照表!$L$3:$L$24),LOOKUP(H166,[1]对照表!$J$27:$J$48,[1]对照表!$L$27:$L$48)),IF(B166="高一",IF($E166="男",LOOKUP(H166,[1]对照表!$I$3:$I$24,[1]对照表!$L$3:$L$24),LOOKUP(H166,[1]对照表!$I$27:$I$48,[1]对照表!$L$27:$L$48)))))</f>
        <v>62</v>
      </c>
      <c r="J166" s="21">
        <v>190</v>
      </c>
      <c r="K166" s="32">
        <f>IF(B166="高三",IF($E166="男",LOOKUP(J166,[1]对照表!$O$3:$O$24,[1]对照表!$P$3:$P$24),LOOKUP(J166,[1]对照表!$O$27:$O$48,[1]对照表!$P$27:$P$48)),IF(B166="高二",IF($E166="男",LOOKUP(J166,[1]对照表!$N$3:$N$24,[1]对照表!$P$3:$P$24),LOOKUP(J166,[1]对照表!$N$27:$N$48,[1]对照表!$P$27:$P$48)),IF(B166="高一",IF($E166="男",LOOKUP(J166,[1]对照表!$M$3:$M$24,[1]对照表!$P$3:$P$24),LOOKUP(J166,[1]对照表!$M$27:$M$48,[1]对照表!$P$27:$P$48)))))</f>
        <v>85</v>
      </c>
      <c r="L166" s="21">
        <v>56</v>
      </c>
      <c r="M166" s="32">
        <f>IF(B166="高三",IF($E166="男",LOOKUP(L166,[1]对照表!$S$3:$S$24,[1]对照表!$T$3:$T$24),LOOKUP(L166,[1]对照表!$S$27:$S$48,[1]对照表!$T$27:$T$48)),IF(B166="高二",IF($E166="男",LOOKUP(L166,[1]对照表!$R$3:$R$24,[1]对照表!$T$3:$T$24),LOOKUP(L166,[1]对照表!$R$27:$R$48,[1]对照表!$T$27:$T$48)),IF(B166="高一",IF($E166="男",LOOKUP(L166,[1]对照表!$Q$3:$Q$24,[1]对照表!$T$3:$T$24),LOOKUP(L166,[1]对照表!$Q$27:$Q$48,[1]对照表!$T$27:$T$48)))))</f>
        <v>100</v>
      </c>
      <c r="N166" s="33">
        <f>IF(B166="高三",MAX(IF(E166="男",L166-18,L166-55),0),IF(B166="高二",MAX(IF(E166="男",L166-17,L166-54),0),IF(B166="高一",MAX(IF(E166="男",L166-16,L166-53),0))))</f>
        <v>3</v>
      </c>
      <c r="O166" s="23">
        <f>IF(E166="男",LOOKUP($N166,[1]对照表!$Z$3:$Z$13,[1]对照表!$AA$3:$AA$13),LOOKUP($N166,[1]对照表!$Z$15:$Z$25,[1]对照表!$AA$15:$AA$25))</f>
        <v>1</v>
      </c>
      <c r="P166" s="24">
        <f>M166+O166</f>
        <v>101</v>
      </c>
      <c r="Q166" s="25">
        <v>3.27</v>
      </c>
      <c r="R166" s="32">
        <f>IF(B166="高三",IF($E166="男",LOOKUP(Q166,[1]对照表!$W$3:$W$24,[1]对照表!$X$3:$X$24),LOOKUP(Q166,[1]对照表!$W$27:$W$48,[1]对照表!$X$27:$X$48)),IF(B166="高二",IF($E166="男",LOOKUP(Q166,[1]对照表!$V$3:$V$24,[1]对照表!$X$3:$X$24),LOOKUP(Q166,[1]对照表!$V$27:$V$48,[1]对照表!$X$27:$X$48)),IF(B166="高一",IF($E166="男",LOOKUP(Q166,[1]对照表!$U$3:$U$24,[1]对照表!$X$3:$X$24),LOOKUP(Q166,[1]对照表!$U$27:$U$48,[1]对照表!$X$27:$X$48)))))</f>
        <v>95</v>
      </c>
      <c r="S166" s="33">
        <f>ROUND(IF(IF($B166="高三",MIN(IF($E166="男",$Q166-3.2,$Q166-3.2),0),IF($B166="高二",MIN(IF($E166="男",$Q166-3.25,$Q166-3.22),0),IF($B166="高一",MIN(IF($E166="男",$Q166-3.3,$Q166-3.24),0))))&lt;-0.6,IF($B166="高三",MIN(IF($E166="男",$Q166-3.2,$Q166-3.2),0),IF($B166="高二",MIN(IF($E166="男",$Q166-3.25,$Q166-3.22),0),IF($B166="高一",MIN(IF($E166="男",$Q166-3.3,$Q166-3.24),0))))+0.4,IF($B166="高三",MIN(IF($E166="男",$Q166-3.2,$Q166-3.2),0),IF($B166="高二",MIN(IF($E166="男",$Q166-3.25,$Q166-3.22),0),IF($B166="高一",MIN(IF($E166="男",$Q166-3.3,$Q166-3.24),0))))),2)</f>
        <v>0</v>
      </c>
      <c r="T166" s="23">
        <f>IF(E166="男",LOOKUP($S166,[1]对照表!$AB$3:$AB$13,[1]对照表!$AC$3:$AC$13),LOOKUP($S166,[1]对照表!$AB$15:$AB$25,[1]对照表!$AC$15:$AC$25))</f>
        <v>0</v>
      </c>
      <c r="U166" s="26">
        <f>R166+T166</f>
        <v>95</v>
      </c>
      <c r="V166" s="26">
        <f>SUM(I166,K166,M166)/3*0.3+SUM(G166,R166)/2*0.4</f>
        <v>59.7</v>
      </c>
      <c r="W166" s="27">
        <f>O166+T166</f>
        <v>1</v>
      </c>
      <c r="X166" s="28">
        <f>V166/0.7+W166</f>
        <v>86.285714285714292</v>
      </c>
      <c r="Y166" s="28">
        <v>86.285714285714292</v>
      </c>
      <c r="Z166" s="21"/>
    </row>
    <row r="167" spans="1:26" x14ac:dyDescent="0.25">
      <c r="A167" s="16">
        <v>38</v>
      </c>
      <c r="B167" s="17" t="s">
        <v>21</v>
      </c>
      <c r="C167" s="16">
        <v>105</v>
      </c>
      <c r="D167" s="18" t="s">
        <v>256</v>
      </c>
      <c r="E167" s="17" t="s">
        <v>65</v>
      </c>
      <c r="F167" s="19">
        <v>9.0500000000000007</v>
      </c>
      <c r="G167" s="32">
        <f>IF(B167="高三",IF($E167="男",LOOKUP(F167,[1]对照表!$G$3:$G$24,[1]对照表!$H$3:$H$24),LOOKUP(F167,[1]对照表!$G$27:$G$48,[1]对照表!$H$27:$H$48)),IF(B167="高二",IF($E167="男",LOOKUP(F167,[1]对照表!$F$3:$F$24,[1]对照表!$H$3:$H$24),LOOKUP(F167,[1]对照表!$F$27:$F$48,[1]对照表!$H$27:$H$48)),IF(B167="高一",IF($E167="男",LOOKUP(F167,[1]对照表!$E$3:$E$24,[1]对照表!$H$3:$H$24),LOOKUP(F167,[1]对照表!$E$27:$E$48,[1]对照表!$H$27:$H$48)))))</f>
        <v>74</v>
      </c>
      <c r="H167" s="21">
        <v>17.5</v>
      </c>
      <c r="I167" s="32">
        <f>IF(B167="高三",IF($E167="男",LOOKUP(H167,[1]对照表!$K$3:$K$24,[1]对照表!$L$3:$L$24),LOOKUP(H167,[1]对照表!$K$27:$K$48,[1]对照表!$L$27:$L$48)),IF(B167="高二",IF($E167="男",LOOKUP(H167,[1]对照表!$J$3:$J$24,[1]对照表!$L$3:$L$24),LOOKUP(H167,[1]对照表!$J$27:$J$48,[1]对照表!$L$27:$L$48)),IF(B167="高一",IF($E167="男",LOOKUP(H167,[1]对照表!$I$3:$I$24,[1]对照表!$L$3:$L$24),LOOKUP(H167,[1]对照表!$I$27:$I$48,[1]对照表!$L$27:$L$48)))))</f>
        <v>80</v>
      </c>
      <c r="J167" s="21">
        <v>188</v>
      </c>
      <c r="K167" s="32">
        <f>IF(B167="高三",IF($E167="男",LOOKUP(J167,[1]对照表!$O$3:$O$24,[1]对照表!$P$3:$P$24),LOOKUP(J167,[1]对照表!$O$27:$O$48,[1]对照表!$P$27:$P$48)),IF(B167="高二",IF($E167="男",LOOKUP(J167,[1]对照表!$N$3:$N$24,[1]对照表!$P$3:$P$24),LOOKUP(J167,[1]对照表!$N$27:$N$48,[1]对照表!$P$27:$P$48)),IF(B167="高一",IF($E167="男",LOOKUP(J167,[1]对照表!$M$3:$M$24,[1]对照表!$P$3:$P$24),LOOKUP(J167,[1]对照表!$M$27:$M$48,[1]对照表!$P$27:$P$48)))))</f>
        <v>85</v>
      </c>
      <c r="L167" s="21">
        <v>56</v>
      </c>
      <c r="M167" s="32">
        <f>IF(B167="高三",IF($E167="男",LOOKUP(L167,[1]对照表!$S$3:$S$24,[1]对照表!$T$3:$T$24),LOOKUP(L167,[1]对照表!$S$27:$S$48,[1]对照表!$T$27:$T$48)),IF(B167="高二",IF($E167="男",LOOKUP(L167,[1]对照表!$R$3:$R$24,[1]对照表!$T$3:$T$24),LOOKUP(L167,[1]对照表!$R$27:$R$48,[1]对照表!$T$27:$T$48)),IF(B167="高一",IF($E167="男",LOOKUP(L167,[1]对照表!$Q$3:$Q$24,[1]对照表!$T$3:$T$24),LOOKUP(L167,[1]对照表!$Q$27:$Q$48,[1]对照表!$T$27:$T$48)))))</f>
        <v>100</v>
      </c>
      <c r="N167" s="33">
        <f>IF(B167="高三",MAX(IF(E167="男",L167-18,L167-55),0),IF(B167="高二",MAX(IF(E167="男",L167-17,L167-54),0),IF(B167="高一",MAX(IF(E167="男",L167-16,L167-53),0))))</f>
        <v>3</v>
      </c>
      <c r="O167" s="23">
        <f>IF(E167="男",LOOKUP($N167,[1]对照表!$Z$3:$Z$13,[1]对照表!$AA$3:$AA$13),LOOKUP($N167,[1]对照表!$Z$15:$Z$25,[1]对照表!$AA$15:$AA$25))</f>
        <v>1</v>
      </c>
      <c r="P167" s="24">
        <f>M167+O167</f>
        <v>101</v>
      </c>
      <c r="Q167" s="25">
        <v>3.28</v>
      </c>
      <c r="R167" s="32">
        <f>IF(B167="高三",IF($E167="男",LOOKUP(Q167,[1]对照表!$W$3:$W$24,[1]对照表!$X$3:$X$24),LOOKUP(Q167,[1]对照表!$W$27:$W$48,[1]对照表!$X$27:$X$48)),IF(B167="高二",IF($E167="男",LOOKUP(Q167,[1]对照表!$V$3:$V$24,[1]对照表!$X$3:$X$24),LOOKUP(Q167,[1]对照表!$V$27:$V$48,[1]对照表!$X$27:$X$48)),IF(B167="高一",IF($E167="男",LOOKUP(Q167,[1]对照表!$U$3:$U$24,[1]对照表!$X$3:$X$24),LOOKUP(Q167,[1]对照表!$U$27:$U$48,[1]对照表!$X$27:$X$48)))))</f>
        <v>95</v>
      </c>
      <c r="S167" s="33">
        <f>ROUND(IF(IF($B167="高三",MIN(IF($E167="男",$Q167-3.2,$Q167-3.2),0),IF($B167="高二",MIN(IF($E167="男",$Q167-3.25,$Q167-3.22),0),IF($B167="高一",MIN(IF($E167="男",$Q167-3.3,$Q167-3.24),0))))&lt;-0.6,IF($B167="高三",MIN(IF($E167="男",$Q167-3.2,$Q167-3.2),0),IF($B167="高二",MIN(IF($E167="男",$Q167-3.25,$Q167-3.22),0),IF($B167="高一",MIN(IF($E167="男",$Q167-3.3,$Q167-3.24),0))))+0.4,IF($B167="高三",MIN(IF($E167="男",$Q167-3.2,$Q167-3.2),0),IF($B167="高二",MIN(IF($E167="男",$Q167-3.25,$Q167-3.22),0),IF($B167="高一",MIN(IF($E167="男",$Q167-3.3,$Q167-3.24),0))))),2)</f>
        <v>0</v>
      </c>
      <c r="T167" s="23">
        <f>IF(E167="男",LOOKUP($S167,[1]对照表!$AB$3:$AB$13,[1]对照表!$AC$3:$AC$13),LOOKUP($S167,[1]对照表!$AB$15:$AB$25,[1]对照表!$AC$15:$AC$25))</f>
        <v>0</v>
      </c>
      <c r="U167" s="26">
        <f>R167+T167</f>
        <v>95</v>
      </c>
      <c r="V167" s="26">
        <f>SUM(I167,K167,M167)/3*0.3+SUM(G167,R167)/2*0.4</f>
        <v>60.3</v>
      </c>
      <c r="W167" s="27">
        <f>O167+T167</f>
        <v>1</v>
      </c>
      <c r="X167" s="28">
        <f>V167/0.7+W167</f>
        <v>87.142857142857139</v>
      </c>
      <c r="Y167" s="28">
        <v>87.142857142857139</v>
      </c>
      <c r="Z167" s="21"/>
    </row>
    <row r="168" spans="1:26" x14ac:dyDescent="0.25">
      <c r="A168" s="16">
        <v>21</v>
      </c>
      <c r="B168" s="17" t="s">
        <v>21</v>
      </c>
      <c r="C168" s="16">
        <v>105</v>
      </c>
      <c r="D168" s="18" t="s">
        <v>273</v>
      </c>
      <c r="E168" s="31" t="s">
        <v>23</v>
      </c>
      <c r="F168" s="19">
        <v>7.1</v>
      </c>
      <c r="G168" s="32">
        <f>IF(B168="高三",IF($E168="男",LOOKUP(F168,[1]对照表!$G$3:$G$24,[1]对照表!$H$3:$H$24),LOOKUP(F168,[1]对照表!$G$27:$G$48,[1]对照表!$H$27:$H$48)),IF(B168="高二",IF($E168="男",LOOKUP(F168,[1]对照表!$F$3:$F$24,[1]对照表!$H$3:$H$24),LOOKUP(F168,[1]对照表!$F$27:$F$48,[1]对照表!$H$27:$H$48)),IF(B168="高一",IF($E168="男",LOOKUP(F168,[1]对照表!$E$3:$E$24,[1]对照表!$H$3:$H$24),LOOKUP(F168,[1]对照表!$E$27:$E$48,[1]对照表!$H$27:$H$48)))))</f>
        <v>100</v>
      </c>
      <c r="H168" s="21">
        <v>13</v>
      </c>
      <c r="I168" s="32">
        <f>IF(B168="高三",IF($E168="男",LOOKUP(H168,[1]对照表!$K$3:$K$24,[1]对照表!$L$3:$L$24),LOOKUP(H168,[1]对照表!$K$27:$K$48,[1]对照表!$L$27:$L$48)),IF(B168="高二",IF($E168="男",LOOKUP(H168,[1]对照表!$J$3:$J$24,[1]对照表!$L$3:$L$24),LOOKUP(H168,[1]对照表!$J$27:$J$48,[1]对照表!$L$27:$L$48)),IF(B168="高一",IF($E168="男",LOOKUP(H168,[1]对照表!$I$3:$I$24,[1]对照表!$L$3:$L$24),LOOKUP(H168,[1]对照表!$I$27:$I$48,[1]对照表!$L$27:$L$48)))))</f>
        <v>76</v>
      </c>
      <c r="J168" s="21">
        <v>250</v>
      </c>
      <c r="K168" s="32">
        <f>IF(B168="高三",IF($E168="男",LOOKUP(J168,[1]对照表!$O$3:$O$24,[1]对照表!$P$3:$P$24),LOOKUP(J168,[1]对照表!$O$27:$O$48,[1]对照表!$P$27:$P$48)),IF(B168="高二",IF($E168="男",LOOKUP(J168,[1]对照表!$N$3:$N$24,[1]对照表!$P$3:$P$24),LOOKUP(J168,[1]对照表!$N$27:$N$48,[1]对照表!$P$27:$P$48)),IF(B168="高一",IF($E168="男",LOOKUP(J168,[1]对照表!$M$3:$M$24,[1]对照表!$P$3:$P$24),LOOKUP(J168,[1]对照表!$M$27:$M$48,[1]对照表!$P$27:$P$48)))))</f>
        <v>90</v>
      </c>
      <c r="L168" s="21">
        <v>6</v>
      </c>
      <c r="M168" s="32">
        <f>IF(B168="高三",IF($E168="男",LOOKUP(L168,[1]对照表!$S$3:$S$24,[1]对照表!$T$3:$T$24),LOOKUP(L168,[1]对照表!$S$27:$S$48,[1]对照表!$T$27:$T$48)),IF(B168="高二",IF($E168="男",LOOKUP(L168,[1]对照表!$R$3:$R$24,[1]对照表!$T$3:$T$24),LOOKUP(L168,[1]对照表!$R$27:$R$48,[1]对照表!$T$27:$T$48)),IF(B168="高一",IF($E168="男",LOOKUP(L168,[1]对照表!$Q$3:$Q$24,[1]对照表!$T$3:$T$24),LOOKUP(L168,[1]对照表!$Q$27:$Q$48,[1]对照表!$T$27:$T$48)))))</f>
        <v>50</v>
      </c>
      <c r="N168" s="33">
        <f>IF(B168="高三",MAX(IF(E168="男",L168-18,L168-55),0),IF(B168="高二",MAX(IF(E168="男",L168-17,L168-54),0),IF(B168="高一",MAX(IF(E168="男",L168-16,L168-53),0))))</f>
        <v>0</v>
      </c>
      <c r="O168" s="23">
        <f>IF(E168="男",LOOKUP($N168,[1]对照表!$Z$3:$Z$13,[1]对照表!$AA$3:$AA$13),LOOKUP($N168,[1]对照表!$Z$15:$Z$25,[1]对照表!$AA$15:$AA$25))</f>
        <v>0</v>
      </c>
      <c r="P168" s="24">
        <f>M168+O168</f>
        <v>50</v>
      </c>
      <c r="Q168" s="25">
        <v>3.34</v>
      </c>
      <c r="R168" s="32">
        <f>IF(B168="高三",IF($E168="男",LOOKUP(Q168,[1]对照表!$W$3:$W$24,[1]对照表!$X$3:$X$24),LOOKUP(Q168,[1]对照表!$W$27:$W$48,[1]对照表!$X$27:$X$48)),IF(B168="高二",IF($E168="男",LOOKUP(Q168,[1]对照表!$V$3:$V$24,[1]对照表!$X$3:$X$24),LOOKUP(Q168,[1]对照表!$V$27:$V$48,[1]对照表!$X$27:$X$48)),IF(B168="高一",IF($E168="男",LOOKUP(Q168,[1]对照表!$U$3:$U$24,[1]对照表!$X$3:$X$24),LOOKUP(Q168,[1]对照表!$U$27:$U$48,[1]对照表!$X$27:$X$48)))))</f>
        <v>95</v>
      </c>
      <c r="S168" s="33">
        <f>ROUND(IF(IF($B168="高三",MIN(IF($E168="男",$Q168-3.2,$Q168-3.2),0),IF($B168="高二",MIN(IF($E168="男",$Q168-3.25,$Q168-3.22),0),IF($B168="高一",MIN(IF($E168="男",$Q168-3.3,$Q168-3.24),0))))&lt;-0.6,IF($B168="高三",MIN(IF($E168="男",$Q168-3.2,$Q168-3.2),0),IF($B168="高二",MIN(IF($E168="男",$Q168-3.25,$Q168-3.22),0),IF($B168="高一",MIN(IF($E168="男",$Q168-3.3,$Q168-3.24),0))))+0.4,IF($B168="高三",MIN(IF($E168="男",$Q168-3.2,$Q168-3.2),0),IF($B168="高二",MIN(IF($E168="男",$Q168-3.25,$Q168-3.22),0),IF($B168="高一",MIN(IF($E168="男",$Q168-3.3,$Q168-3.24),0))))),2)</f>
        <v>0</v>
      </c>
      <c r="T168" s="23">
        <f>IF(E168="男",LOOKUP($S168,[1]对照表!$AB$3:$AB$13,[1]对照表!$AC$3:$AC$13),LOOKUP($S168,[1]对照表!$AB$15:$AB$25,[1]对照表!$AC$15:$AC$25))</f>
        <v>0</v>
      </c>
      <c r="U168" s="26">
        <f>R168+T168</f>
        <v>95</v>
      </c>
      <c r="V168" s="26">
        <f>SUM(I168,K168,M168)/3*0.3+SUM(G168,R168)/2*0.4</f>
        <v>60.599999999999994</v>
      </c>
      <c r="W168" s="27">
        <f>O168+T168</f>
        <v>0</v>
      </c>
      <c r="X168" s="28">
        <f>V168/0.7+W168</f>
        <v>86.571428571428569</v>
      </c>
      <c r="Y168" s="28">
        <v>86.571428571428569</v>
      </c>
      <c r="Z168" s="21"/>
    </row>
    <row r="169" spans="1:26" x14ac:dyDescent="0.25">
      <c r="A169" s="16">
        <v>1</v>
      </c>
      <c r="B169" s="17" t="s">
        <v>21</v>
      </c>
      <c r="C169" s="16">
        <v>105</v>
      </c>
      <c r="D169" s="18" t="s">
        <v>284</v>
      </c>
      <c r="E169" s="31" t="s">
        <v>23</v>
      </c>
      <c r="F169" s="19">
        <v>7.2</v>
      </c>
      <c r="G169" s="32">
        <f>IF(B169="高三",IF($E169="男",LOOKUP(F169,[1]对照表!$G$3:$G$24,[1]对照表!$H$3:$H$24),LOOKUP(F169,[1]对照表!$G$27:$G$48,[1]对照表!$H$27:$H$48)),IF(B169="高二",IF($E169="男",LOOKUP(F169,[1]对照表!$F$3:$F$24,[1]对照表!$H$3:$H$24),LOOKUP(F169,[1]对照表!$F$27:$F$48,[1]对照表!$H$27:$H$48)),IF(B169="高一",IF($E169="男",LOOKUP(F169,[1]对照表!$E$3:$E$24,[1]对照表!$H$3:$H$24),LOOKUP(F169,[1]对照表!$E$27:$E$48,[1]对照表!$H$27:$H$48)))))</f>
        <v>95</v>
      </c>
      <c r="H169" s="21">
        <v>9</v>
      </c>
      <c r="I169" s="32">
        <f>IF(B169="高三",IF($E169="男",LOOKUP(H169,[1]对照表!$K$3:$K$24,[1]对照表!$L$3:$L$24),LOOKUP(H169,[1]对照表!$K$27:$K$48,[1]对照表!$L$27:$L$48)),IF(B169="高二",IF($E169="男",LOOKUP(H169,[1]对照表!$J$3:$J$24,[1]对照表!$L$3:$L$24),LOOKUP(H169,[1]对照表!$J$27:$J$48,[1]对照表!$L$27:$L$48)),IF(B169="高一",IF($E169="男",LOOKUP(H169,[1]对照表!$I$3:$I$24,[1]对照表!$L$3:$L$24),LOOKUP(H169,[1]对照表!$I$27:$I$48,[1]对照表!$L$27:$L$48)))))</f>
        <v>70</v>
      </c>
      <c r="J169" s="21">
        <v>260</v>
      </c>
      <c r="K169" s="32">
        <f>IF(B169="高三",IF($E169="男",LOOKUP(J169,[1]对照表!$O$3:$O$24,[1]对照表!$P$3:$P$24),LOOKUP(J169,[1]对照表!$O$27:$O$48,[1]对照表!$P$27:$P$48)),IF(B169="高二",IF($E169="男",LOOKUP(J169,[1]对照表!$N$3:$N$24,[1]对照表!$P$3:$P$24),LOOKUP(J169,[1]对照表!$N$27:$N$48,[1]对照表!$P$27:$P$48)),IF(B169="高一",IF($E169="男",LOOKUP(J169,[1]对照表!$M$3:$M$24,[1]对照表!$P$3:$P$24),LOOKUP(J169,[1]对照表!$M$27:$M$48,[1]对照表!$P$27:$P$48)))))</f>
        <v>100</v>
      </c>
      <c r="L169" s="21">
        <v>12</v>
      </c>
      <c r="M169" s="32">
        <f>IF(B169="高三",IF($E169="男",LOOKUP(L169,[1]对照表!$S$3:$S$24,[1]对照表!$T$3:$T$24),LOOKUP(L169,[1]对照表!$S$27:$S$48,[1]对照表!$T$27:$T$48)),IF(B169="高二",IF($E169="男",LOOKUP(L169,[1]对照表!$R$3:$R$24,[1]对照表!$T$3:$T$24),LOOKUP(L169,[1]对照表!$R$27:$R$48,[1]对照表!$T$27:$T$48)),IF(B169="高一",IF($E169="男",LOOKUP(L169,[1]对照表!$Q$3:$Q$24,[1]对照表!$T$3:$T$24),LOOKUP(L169,[1]对照表!$Q$27:$Q$48,[1]对照表!$T$27:$T$48)))))</f>
        <v>80</v>
      </c>
      <c r="N169" s="33">
        <f>IF(B169="高三",MAX(IF(E169="男",L169-18,L169-55),0),IF(B169="高二",MAX(IF(E169="男",L169-17,L169-54),0),IF(B169="高一",MAX(IF(E169="男",L169-16,L169-53),0))))</f>
        <v>0</v>
      </c>
      <c r="O169" s="23">
        <f>IF(E169="男",LOOKUP($N169,[1]对照表!$Z$3:$Z$13,[1]对照表!$AA$3:$AA$13),LOOKUP($N169,[1]对照表!$Z$15:$Z$25,[1]对照表!$AA$15:$AA$25))</f>
        <v>0</v>
      </c>
      <c r="P169" s="24">
        <f>M169+O169</f>
        <v>80</v>
      </c>
      <c r="Q169" s="25">
        <v>3.52</v>
      </c>
      <c r="R169" s="32">
        <f>IF(B169="高三",IF($E169="男",LOOKUP(Q169,[1]对照表!$W$3:$W$24,[1]对照表!$X$3:$X$24),LOOKUP(Q169,[1]对照表!$W$27:$W$48,[1]对照表!$X$27:$X$48)),IF(B169="高二",IF($E169="男",LOOKUP(Q169,[1]对照表!$V$3:$V$24,[1]对照表!$X$3:$X$24),LOOKUP(Q169,[1]对照表!$V$27:$V$48,[1]对照表!$X$27:$X$48)),IF(B169="高一",IF($E169="男",LOOKUP(Q169,[1]对照表!$U$3:$U$24,[1]对照表!$X$3:$X$24),LOOKUP(Q169,[1]对照表!$U$27:$U$48,[1]对照表!$X$27:$X$48)))))</f>
        <v>80</v>
      </c>
      <c r="S169" s="33">
        <f>ROUND(IF(IF($B169="高三",MIN(IF($E169="男",$Q169-3.2,$Q169-3.2),0),IF($B169="高二",MIN(IF($E169="男",$Q169-3.25,$Q169-3.22),0),IF($B169="高一",MIN(IF($E169="男",$Q169-3.3,$Q169-3.24),0))))&lt;-0.6,IF($B169="高三",MIN(IF($E169="男",$Q169-3.2,$Q169-3.2),0),IF($B169="高二",MIN(IF($E169="男",$Q169-3.25,$Q169-3.22),0),IF($B169="高一",MIN(IF($E169="男",$Q169-3.3,$Q169-3.24),0))))+0.4,IF($B169="高三",MIN(IF($E169="男",$Q169-3.2,$Q169-3.2),0),IF($B169="高二",MIN(IF($E169="男",$Q169-3.25,$Q169-3.22),0),IF($B169="高一",MIN(IF($E169="男",$Q169-3.3,$Q169-3.24),0))))),2)</f>
        <v>0</v>
      </c>
      <c r="T169" s="23">
        <f>IF(E169="男",LOOKUP($S169,[1]对照表!$AB$3:$AB$13,[1]对照表!$AC$3:$AC$13),LOOKUP($S169,[1]对照表!$AB$15:$AB$25,[1]对照表!$AC$15:$AC$25))</f>
        <v>0</v>
      </c>
      <c r="U169" s="26">
        <f>R169+T169</f>
        <v>80</v>
      </c>
      <c r="V169" s="26">
        <f>SUM(I169,K169,M169)/3*0.3+SUM(G169,R169)/2*0.4</f>
        <v>60</v>
      </c>
      <c r="W169" s="27">
        <f>O169+T169</f>
        <v>0</v>
      </c>
      <c r="X169" s="28">
        <f>V169/0.7+W169</f>
        <v>85.714285714285722</v>
      </c>
      <c r="Y169" s="28">
        <v>85.714285714285722</v>
      </c>
      <c r="Z169" s="21"/>
    </row>
    <row r="170" spans="1:26" x14ac:dyDescent="0.25">
      <c r="A170" s="16">
        <v>37</v>
      </c>
      <c r="B170" s="17" t="s">
        <v>21</v>
      </c>
      <c r="C170" s="16">
        <v>105</v>
      </c>
      <c r="D170" s="18" t="s">
        <v>308</v>
      </c>
      <c r="E170" s="17" t="s">
        <v>65</v>
      </c>
      <c r="F170" s="19">
        <v>9.2200000000000006</v>
      </c>
      <c r="G170" s="32">
        <f>IF(B170="高三",IF($E170="男",LOOKUP(F170,[1]对照表!$G$3:$G$24,[1]对照表!$H$3:$H$24),LOOKUP(F170,[1]对照表!$G$27:$G$48,[1]对照表!$H$27:$H$48)),IF(B170="高二",IF($E170="男",LOOKUP(F170,[1]对照表!$F$3:$F$24,[1]对照表!$H$3:$H$24),LOOKUP(F170,[1]对照表!$F$27:$F$48,[1]对照表!$H$27:$H$48)),IF(B170="高一",IF($E170="男",LOOKUP(F170,[1]对照表!$E$3:$E$24,[1]对照表!$H$3:$H$24),LOOKUP(F170,[1]对照表!$E$27:$E$48,[1]对照表!$H$27:$H$48)))))</f>
        <v>72</v>
      </c>
      <c r="H170" s="21">
        <v>13</v>
      </c>
      <c r="I170" s="32">
        <f>IF(B170="高三",IF($E170="男",LOOKUP(H170,[1]对照表!$K$3:$K$24,[1]对照表!$L$3:$L$24),LOOKUP(H170,[1]对照表!$K$27:$K$48,[1]对照表!$L$27:$L$48)),IF(B170="高二",IF($E170="男",LOOKUP(H170,[1]对照表!$J$3:$J$24,[1]对照表!$L$3:$L$24),LOOKUP(H170,[1]对照表!$J$27:$J$48,[1]对照表!$L$27:$L$48)),IF(B170="高一",IF($E170="男",LOOKUP(H170,[1]对照表!$I$3:$I$24,[1]对照表!$L$3:$L$24),LOOKUP(H170,[1]对照表!$I$27:$I$48,[1]对照表!$L$27:$L$48)))))</f>
        <v>72</v>
      </c>
      <c r="J170" s="21">
        <v>196</v>
      </c>
      <c r="K170" s="32">
        <f>IF(B170="高三",IF($E170="男",LOOKUP(J170,[1]对照表!$O$3:$O$24,[1]对照表!$P$3:$P$24),LOOKUP(J170,[1]对照表!$O$27:$O$48,[1]对照表!$P$27:$P$48)),IF(B170="高二",IF($E170="男",LOOKUP(J170,[1]对照表!$N$3:$N$24,[1]对照表!$P$3:$P$24),LOOKUP(J170,[1]对照表!$N$27:$N$48,[1]对照表!$P$27:$P$48)),IF(B170="高一",IF($E170="男",LOOKUP(J170,[1]对照表!$M$3:$M$24,[1]对照表!$P$3:$P$24),LOOKUP(J170,[1]对照表!$M$27:$M$48,[1]对照表!$P$27:$P$48)))))</f>
        <v>90</v>
      </c>
      <c r="L170" s="21">
        <v>55</v>
      </c>
      <c r="M170" s="32">
        <f>IF(B170="高三",IF($E170="男",LOOKUP(L170,[1]对照表!$S$3:$S$24,[1]对照表!$T$3:$T$24),LOOKUP(L170,[1]对照表!$S$27:$S$48,[1]对照表!$T$27:$T$48)),IF(B170="高二",IF($E170="男",LOOKUP(L170,[1]对照表!$R$3:$R$24,[1]对照表!$T$3:$T$24),LOOKUP(L170,[1]对照表!$R$27:$R$48,[1]对照表!$T$27:$T$48)),IF(B170="高一",IF($E170="男",LOOKUP(L170,[1]对照表!$Q$3:$Q$24,[1]对照表!$T$3:$T$24),LOOKUP(L170,[1]对照表!$Q$27:$Q$48,[1]对照表!$T$27:$T$48)))))</f>
        <v>100</v>
      </c>
      <c r="N170" s="33">
        <f>IF(B170="高三",MAX(IF(E170="男",L170-18,L170-55),0),IF(B170="高二",MAX(IF(E170="男",L170-17,L170-54),0),IF(B170="高一",MAX(IF(E170="男",L170-16,L170-53),0))))</f>
        <v>2</v>
      </c>
      <c r="O170" s="23">
        <f>IF(E170="男",LOOKUP($N170,[1]对照表!$Z$3:$Z$13,[1]对照表!$AA$3:$AA$13),LOOKUP($N170,[1]对照表!$Z$15:$Z$25,[1]对照表!$AA$15:$AA$25))</f>
        <v>1</v>
      </c>
      <c r="P170" s="24">
        <f>M170+O170</f>
        <v>101</v>
      </c>
      <c r="Q170" s="25">
        <v>3.3</v>
      </c>
      <c r="R170" s="32">
        <f>IF(B170="高三",IF($E170="男",LOOKUP(Q170,[1]对照表!$W$3:$W$24,[1]对照表!$X$3:$X$24),LOOKUP(Q170,[1]对照表!$W$27:$W$48,[1]对照表!$X$27:$X$48)),IF(B170="高二",IF($E170="男",LOOKUP(Q170,[1]对照表!$V$3:$V$24,[1]对照表!$X$3:$X$24),LOOKUP(Q170,[1]对照表!$V$27:$V$48,[1]对照表!$X$27:$X$48)),IF(B170="高一",IF($E170="男",LOOKUP(Q170,[1]对照表!$U$3:$U$24,[1]对照表!$X$3:$X$24),LOOKUP(Q170,[1]对照表!$U$27:$U$48,[1]对照表!$X$27:$X$48)))))</f>
        <v>95</v>
      </c>
      <c r="S170" s="33">
        <f>ROUND(IF(IF($B170="高三",MIN(IF($E170="男",$Q170-3.2,$Q170-3.2),0),IF($B170="高二",MIN(IF($E170="男",$Q170-3.25,$Q170-3.22),0),IF($B170="高一",MIN(IF($E170="男",$Q170-3.3,$Q170-3.24),0))))&lt;-0.6,IF($B170="高三",MIN(IF($E170="男",$Q170-3.2,$Q170-3.2),0),IF($B170="高二",MIN(IF($E170="男",$Q170-3.25,$Q170-3.22),0),IF($B170="高一",MIN(IF($E170="男",$Q170-3.3,$Q170-3.24),0))))+0.4,IF($B170="高三",MIN(IF($E170="男",$Q170-3.2,$Q170-3.2),0),IF($B170="高二",MIN(IF($E170="男",$Q170-3.25,$Q170-3.22),0),IF($B170="高一",MIN(IF($E170="男",$Q170-3.3,$Q170-3.24),0))))),2)</f>
        <v>0</v>
      </c>
      <c r="T170" s="23">
        <f>IF(E170="男",LOOKUP($S170,[1]对照表!$AB$3:$AB$13,[1]对照表!$AC$3:$AC$13),LOOKUP($S170,[1]对照表!$AB$15:$AB$25,[1]对照表!$AC$15:$AC$25))</f>
        <v>0</v>
      </c>
      <c r="U170" s="26">
        <f>R170+T170</f>
        <v>95</v>
      </c>
      <c r="V170" s="26">
        <f>SUM(I170,K170,M170)/3*0.3+SUM(G170,R170)/2*0.4</f>
        <v>59.599999999999994</v>
      </c>
      <c r="W170" s="27">
        <f>O170+T170</f>
        <v>1</v>
      </c>
      <c r="X170" s="28">
        <f>V170/0.7+W170</f>
        <v>86.142857142857139</v>
      </c>
      <c r="Y170" s="28">
        <v>86.142857142857139</v>
      </c>
      <c r="Z170" s="21"/>
    </row>
    <row r="171" spans="1:26" x14ac:dyDescent="0.25">
      <c r="A171" s="16">
        <v>40</v>
      </c>
      <c r="B171" s="17" t="s">
        <v>21</v>
      </c>
      <c r="C171" s="16">
        <v>105</v>
      </c>
      <c r="D171" s="18" t="s">
        <v>343</v>
      </c>
      <c r="E171" s="17" t="s">
        <v>65</v>
      </c>
      <c r="F171" s="19">
        <v>8.57</v>
      </c>
      <c r="G171" s="32">
        <f>IF(B171="高三",IF($E171="男",LOOKUP(F171,[1]对照表!$G$3:$G$24,[1]对照表!$H$3:$H$24),LOOKUP(F171,[1]对照表!$G$27:$G$48,[1]对照表!$H$27:$H$48)),IF(B171="高二",IF($E171="男",LOOKUP(F171,[1]对照表!$F$3:$F$24,[1]对照表!$H$3:$H$24),LOOKUP(F171,[1]对照表!$F$27:$F$48,[1]对照表!$H$27:$H$48)),IF(B171="高一",IF($E171="男",LOOKUP(F171,[1]对照表!$E$3:$E$24,[1]对照表!$H$3:$H$24),LOOKUP(F171,[1]对照表!$E$27:$E$48,[1]对照表!$H$27:$H$48)))))</f>
        <v>80</v>
      </c>
      <c r="H171" s="21">
        <v>18</v>
      </c>
      <c r="I171" s="32">
        <f>IF(B171="高三",IF($E171="男",LOOKUP(H171,[1]对照表!$K$3:$K$24,[1]对照表!$L$3:$L$24),LOOKUP(H171,[1]对照表!$K$27:$K$48,[1]对照表!$L$27:$L$48)),IF(B171="高二",IF($E171="男",LOOKUP(H171,[1]对照表!$J$3:$J$24,[1]对照表!$L$3:$L$24),LOOKUP(H171,[1]对照表!$J$27:$J$48,[1]对照表!$L$27:$L$48)),IF(B171="高一",IF($E171="男",LOOKUP(H171,[1]对照表!$I$3:$I$24,[1]对照表!$L$3:$L$24),LOOKUP(H171,[1]对照表!$I$27:$I$48,[1]对照表!$L$27:$L$48)))))</f>
        <v>80</v>
      </c>
      <c r="J171" s="21">
        <v>178</v>
      </c>
      <c r="K171" s="32">
        <f>IF(B171="高三",IF($E171="男",LOOKUP(J171,[1]对照表!$O$3:$O$24,[1]对照表!$P$3:$P$24),LOOKUP(J171,[1]对照表!$O$27:$O$48,[1]对照表!$P$27:$P$48)),IF(B171="高二",IF($E171="男",LOOKUP(J171,[1]对照表!$N$3:$N$24,[1]对照表!$P$3:$P$24),LOOKUP(J171,[1]对照表!$N$27:$N$48,[1]对照表!$P$27:$P$48)),IF(B171="高一",IF($E171="男",LOOKUP(J171,[1]对照表!$M$3:$M$24,[1]对照表!$P$3:$P$24),LOOKUP(J171,[1]对照表!$M$27:$M$48,[1]对照表!$P$27:$P$48)))))</f>
        <v>80</v>
      </c>
      <c r="L171" s="21">
        <v>51</v>
      </c>
      <c r="M171" s="32">
        <f>IF(B171="高三",IF($E171="男",LOOKUP(L171,[1]对照表!$S$3:$S$24,[1]对照表!$T$3:$T$24),LOOKUP(L171,[1]对照表!$S$27:$S$48,[1]对照表!$T$27:$T$48)),IF(B171="高二",IF($E171="男",LOOKUP(L171,[1]对照表!$R$3:$R$24,[1]对照表!$T$3:$T$24),LOOKUP(L171,[1]对照表!$R$27:$R$48,[1]对照表!$T$27:$T$48)),IF(B171="高一",IF($E171="男",LOOKUP(L171,[1]对照表!$Q$3:$Q$24,[1]对照表!$T$3:$T$24),LOOKUP(L171,[1]对照表!$Q$27:$Q$48,[1]对照表!$T$27:$T$48)))))</f>
        <v>95</v>
      </c>
      <c r="N171" s="33">
        <f>IF(B171="高三",MAX(IF(E171="男",L171-18,L171-55),0),IF(B171="高二",MAX(IF(E171="男",L171-17,L171-54),0),IF(B171="高一",MAX(IF(E171="男",L171-16,L171-53),0))))</f>
        <v>0</v>
      </c>
      <c r="O171" s="23">
        <f>IF(E171="男",LOOKUP($N171,[1]对照表!$Z$3:$Z$13,[1]对照表!$AA$3:$AA$13),LOOKUP($N171,[1]对照表!$Z$15:$Z$25,[1]对照表!$AA$15:$AA$25))</f>
        <v>0</v>
      </c>
      <c r="P171" s="24">
        <f>M171+O171</f>
        <v>95</v>
      </c>
      <c r="Q171" s="25">
        <v>3.33</v>
      </c>
      <c r="R171" s="32">
        <f>IF(B171="高三",IF($E171="男",LOOKUP(Q171,[1]对照表!$W$3:$W$24,[1]对照表!$X$3:$X$24),LOOKUP(Q171,[1]对照表!$W$27:$W$48,[1]对照表!$X$27:$X$48)),IF(B171="高二",IF($E171="男",LOOKUP(Q171,[1]对照表!$V$3:$V$24,[1]对照表!$X$3:$X$24),LOOKUP(Q171,[1]对照表!$V$27:$V$48,[1]对照表!$X$27:$X$48)),IF(B171="高一",IF($E171="男",LOOKUP(Q171,[1]对照表!$U$3:$U$24,[1]对照表!$X$3:$X$24),LOOKUP(Q171,[1]对照表!$U$27:$U$48,[1]对照表!$X$27:$X$48)))))</f>
        <v>90</v>
      </c>
      <c r="S171" s="33">
        <f>ROUND(IF(IF($B171="高三",MIN(IF($E171="男",$Q171-3.2,$Q171-3.2),0),IF($B171="高二",MIN(IF($E171="男",$Q171-3.25,$Q171-3.22),0),IF($B171="高一",MIN(IF($E171="男",$Q171-3.3,$Q171-3.24),0))))&lt;-0.6,IF($B171="高三",MIN(IF($E171="男",$Q171-3.2,$Q171-3.2),0),IF($B171="高二",MIN(IF($E171="男",$Q171-3.25,$Q171-3.22),0),IF($B171="高一",MIN(IF($E171="男",$Q171-3.3,$Q171-3.24),0))))+0.4,IF($B171="高三",MIN(IF($E171="男",$Q171-3.2,$Q171-3.2),0),IF($B171="高二",MIN(IF($E171="男",$Q171-3.25,$Q171-3.22),0),IF($B171="高一",MIN(IF($E171="男",$Q171-3.3,$Q171-3.24),0))))),2)</f>
        <v>0</v>
      </c>
      <c r="T171" s="23">
        <f>IF(E171="男",LOOKUP($S171,[1]对照表!$AB$3:$AB$13,[1]对照表!$AC$3:$AC$13),LOOKUP($S171,[1]对照表!$AB$15:$AB$25,[1]对照表!$AC$15:$AC$25))</f>
        <v>0</v>
      </c>
      <c r="U171" s="26">
        <f>R171+T171</f>
        <v>90</v>
      </c>
      <c r="V171" s="26">
        <f>SUM(I171,K171,M171)/3*0.3+SUM(G171,R171)/2*0.4</f>
        <v>59.5</v>
      </c>
      <c r="W171" s="27">
        <f>O171+T171</f>
        <v>0</v>
      </c>
      <c r="X171" s="28">
        <f>V171/0.7+W171</f>
        <v>85</v>
      </c>
      <c r="Y171" s="28">
        <v>85</v>
      </c>
      <c r="Z171" s="21"/>
    </row>
    <row r="172" spans="1:26" x14ac:dyDescent="0.25">
      <c r="A172" s="16">
        <v>42</v>
      </c>
      <c r="B172" s="17" t="s">
        <v>21</v>
      </c>
      <c r="C172" s="16">
        <v>105</v>
      </c>
      <c r="D172" s="18" t="s">
        <v>350</v>
      </c>
      <c r="E172" s="17" t="s">
        <v>65</v>
      </c>
      <c r="F172" s="19">
        <v>8.92</v>
      </c>
      <c r="G172" s="32">
        <f>IF(B172="高三",IF($E172="男",LOOKUP(F172,[1]对照表!$G$3:$G$24,[1]对照表!$H$3:$H$24),LOOKUP(F172,[1]对照表!$G$27:$G$48,[1]对照表!$H$27:$H$48)),IF(B172="高二",IF($E172="男",LOOKUP(F172,[1]对照表!$F$3:$F$24,[1]对照表!$H$3:$H$24),LOOKUP(F172,[1]对照表!$F$27:$F$48,[1]对照表!$H$27:$H$48)),IF(B172="高一",IF($E172="男",LOOKUP(F172,[1]对照表!$E$3:$E$24,[1]对照表!$H$3:$H$24),LOOKUP(F172,[1]对照表!$E$27:$E$48,[1]对照表!$H$27:$H$48)))))</f>
        <v>76</v>
      </c>
      <c r="H172" s="21">
        <v>22.5</v>
      </c>
      <c r="I172" s="32">
        <f>IF(B172="高三",IF($E172="男",LOOKUP(H172,[1]对照表!$K$3:$K$24,[1]对照表!$L$3:$L$24),LOOKUP(H172,[1]对照表!$K$27:$K$48,[1]对照表!$L$27:$L$48)),IF(B172="高二",IF($E172="男",LOOKUP(H172,[1]对照表!$J$3:$J$24,[1]对照表!$L$3:$L$24),LOOKUP(H172,[1]对照表!$J$27:$J$48,[1]对照表!$L$27:$L$48)),IF(B172="高一",IF($E172="男",LOOKUP(H172,[1]对照表!$I$3:$I$24,[1]对照表!$L$3:$L$24),LOOKUP(H172,[1]对照表!$I$27:$I$48,[1]对照表!$L$27:$L$48)))))</f>
        <v>95</v>
      </c>
      <c r="J172" s="21">
        <v>182</v>
      </c>
      <c r="K172" s="32">
        <f>IF(B172="高三",IF($E172="男",LOOKUP(J172,[1]对照表!$O$3:$O$24,[1]对照表!$P$3:$P$24),LOOKUP(J172,[1]对照表!$O$27:$O$48,[1]对照表!$P$27:$P$48)),IF(B172="高二",IF($E172="男",LOOKUP(J172,[1]对照表!$N$3:$N$24,[1]对照表!$P$3:$P$24),LOOKUP(J172,[1]对照表!$N$27:$N$48,[1]对照表!$P$27:$P$48)),IF(B172="高一",IF($E172="男",LOOKUP(J172,[1]对照表!$M$3:$M$24,[1]对照表!$P$3:$P$24),LOOKUP(J172,[1]对照表!$M$27:$M$48,[1]对照表!$P$27:$P$48)))))</f>
        <v>80</v>
      </c>
      <c r="L172" s="21">
        <v>55</v>
      </c>
      <c r="M172" s="32">
        <f>IF(B172="高三",IF($E172="男",LOOKUP(L172,[1]对照表!$S$3:$S$24,[1]对照表!$T$3:$T$24),LOOKUP(L172,[1]对照表!$S$27:$S$48,[1]对照表!$T$27:$T$48)),IF(B172="高二",IF($E172="男",LOOKUP(L172,[1]对照表!$R$3:$R$24,[1]对照表!$T$3:$T$24),LOOKUP(L172,[1]对照表!$R$27:$R$48,[1]对照表!$T$27:$T$48)),IF(B172="高一",IF($E172="男",LOOKUP(L172,[1]对照表!$Q$3:$Q$24,[1]对照表!$T$3:$T$24),LOOKUP(L172,[1]对照表!$Q$27:$Q$48,[1]对照表!$T$27:$T$48)))))</f>
        <v>100</v>
      </c>
      <c r="N172" s="33">
        <f>IF(B172="高三",MAX(IF(E172="男",L172-18,L172-55),0),IF(B172="高二",MAX(IF(E172="男",L172-17,L172-54),0),IF(B172="高一",MAX(IF(E172="男",L172-16,L172-53),0))))</f>
        <v>2</v>
      </c>
      <c r="O172" s="23">
        <f>IF(E172="男",LOOKUP($N172,[1]对照表!$Z$3:$Z$13,[1]对照表!$AA$3:$AA$13),LOOKUP($N172,[1]对照表!$Z$15:$Z$25,[1]对照表!$AA$15:$AA$25))</f>
        <v>1</v>
      </c>
      <c r="P172" s="24">
        <f>M172+O172</f>
        <v>101</v>
      </c>
      <c r="Q172" s="25">
        <v>3.34</v>
      </c>
      <c r="R172" s="32">
        <f>IF(B172="高三",IF($E172="男",LOOKUP(Q172,[1]对照表!$W$3:$W$24,[1]对照表!$X$3:$X$24),LOOKUP(Q172,[1]对照表!$W$27:$W$48,[1]对照表!$X$27:$X$48)),IF(B172="高二",IF($E172="男",LOOKUP(Q172,[1]对照表!$V$3:$V$24,[1]对照表!$X$3:$X$24),LOOKUP(Q172,[1]对照表!$V$27:$V$48,[1]对照表!$X$27:$X$48)),IF(B172="高一",IF($E172="男",LOOKUP(Q172,[1]对照表!$U$3:$U$24,[1]对照表!$X$3:$X$24),LOOKUP(Q172,[1]对照表!$U$27:$U$48,[1]对照表!$X$27:$X$48)))))</f>
        <v>90</v>
      </c>
      <c r="S172" s="33">
        <f>ROUND(IF(IF($B172="高三",MIN(IF($E172="男",$Q172-3.2,$Q172-3.2),0),IF($B172="高二",MIN(IF($E172="男",$Q172-3.25,$Q172-3.22),0),IF($B172="高一",MIN(IF($E172="男",$Q172-3.3,$Q172-3.24),0))))&lt;-0.6,IF($B172="高三",MIN(IF($E172="男",$Q172-3.2,$Q172-3.2),0),IF($B172="高二",MIN(IF($E172="男",$Q172-3.25,$Q172-3.22),0),IF($B172="高一",MIN(IF($E172="男",$Q172-3.3,$Q172-3.24),0))))+0.4,IF($B172="高三",MIN(IF($E172="男",$Q172-3.2,$Q172-3.2),0),IF($B172="高二",MIN(IF($E172="男",$Q172-3.25,$Q172-3.22),0),IF($B172="高一",MIN(IF($E172="男",$Q172-3.3,$Q172-3.24),0))))),2)</f>
        <v>0</v>
      </c>
      <c r="T172" s="23">
        <f>IF(E172="男",LOOKUP($S172,[1]对照表!$AB$3:$AB$13,[1]对照表!$AC$3:$AC$13),LOOKUP($S172,[1]对照表!$AB$15:$AB$25,[1]对照表!$AC$15:$AC$25))</f>
        <v>0</v>
      </c>
      <c r="U172" s="26">
        <f>R172+T172</f>
        <v>90</v>
      </c>
      <c r="V172" s="26">
        <f>SUM(I172,K172,M172)/3*0.3+SUM(G172,R172)/2*0.4</f>
        <v>60.7</v>
      </c>
      <c r="W172" s="27">
        <f>O172+T172</f>
        <v>1</v>
      </c>
      <c r="X172" s="28">
        <f>V172/0.7+W172</f>
        <v>87.714285714285722</v>
      </c>
      <c r="Y172" s="28">
        <v>87.714285714285722</v>
      </c>
      <c r="Z172" s="21"/>
    </row>
    <row r="173" spans="1:26" x14ac:dyDescent="0.25">
      <c r="A173" s="16">
        <v>15</v>
      </c>
      <c r="B173" s="17" t="s">
        <v>21</v>
      </c>
      <c r="C173" s="16">
        <v>105</v>
      </c>
      <c r="D173" s="18" t="s">
        <v>366</v>
      </c>
      <c r="E173" s="17" t="s">
        <v>23</v>
      </c>
      <c r="F173" s="19">
        <v>7.2</v>
      </c>
      <c r="G173" s="32">
        <f>IF(B173="高三",IF($E173="男",LOOKUP(F173,[1]对照表!$G$3:$G$24,[1]对照表!$H$3:$H$24),LOOKUP(F173,[1]对照表!$G$27:$G$48,[1]对照表!$H$27:$H$48)),IF(B173="高二",IF($E173="男",LOOKUP(F173,[1]对照表!$F$3:$F$24,[1]对照表!$H$3:$H$24),LOOKUP(F173,[1]对照表!$F$27:$F$48,[1]对照表!$H$27:$H$48)),IF(B173="高一",IF($E173="男",LOOKUP(F173,[1]对照表!$E$3:$E$24,[1]对照表!$H$3:$H$24),LOOKUP(F173,[1]对照表!$E$27:$E$48,[1]对照表!$H$27:$H$48)))))</f>
        <v>95</v>
      </c>
      <c r="H173" s="21">
        <v>15.6</v>
      </c>
      <c r="I173" s="32">
        <f>IF(B173="高三",IF($E173="男",LOOKUP(H173,[1]对照表!$K$3:$K$24,[1]对照表!$L$3:$L$24),LOOKUP(H173,[1]对照表!$K$27:$K$48,[1]对照表!$L$27:$L$48)),IF(B173="高二",IF($E173="男",LOOKUP(H173,[1]对照表!$J$3:$J$24,[1]对照表!$L$3:$L$24),LOOKUP(H173,[1]对照表!$J$27:$J$48,[1]对照表!$L$27:$L$48)),IF(B173="高一",IF($E173="男",LOOKUP(H173,[1]对照表!$I$3:$I$24,[1]对照表!$L$3:$L$24),LOOKUP(H173,[1]对照表!$I$27:$I$48,[1]对照表!$L$27:$L$48)))))</f>
        <v>80</v>
      </c>
      <c r="J173" s="21">
        <v>219</v>
      </c>
      <c r="K173" s="32">
        <f>IF(B173="高三",IF($E173="男",LOOKUP(J173,[1]对照表!$O$3:$O$24,[1]对照表!$P$3:$P$24),LOOKUP(J173,[1]对照表!$O$27:$O$48,[1]对照表!$P$27:$P$48)),IF(B173="高二",IF($E173="男",LOOKUP(J173,[1]对照表!$N$3:$N$24,[1]对照表!$P$3:$P$24),LOOKUP(J173,[1]对照表!$N$27:$N$48,[1]对照表!$P$27:$P$48)),IF(B173="高一",IF($E173="男",LOOKUP(J173,[1]对照表!$M$3:$M$24,[1]对照表!$P$3:$P$24),LOOKUP(J173,[1]对照表!$M$27:$M$48,[1]对照表!$P$27:$P$48)))))</f>
        <v>72</v>
      </c>
      <c r="L173" s="21">
        <v>7</v>
      </c>
      <c r="M173" s="32">
        <f>IF(B173="高三",IF($E173="男",LOOKUP(L173,[1]对照表!$S$3:$S$24,[1]对照表!$T$3:$T$24),LOOKUP(L173,[1]对照表!$S$27:$S$48,[1]对照表!$T$27:$T$48)),IF(B173="高二",IF($E173="男",LOOKUP(L173,[1]对照表!$R$3:$R$24,[1]对照表!$T$3:$T$24),LOOKUP(L173,[1]对照表!$R$27:$R$48,[1]对照表!$T$27:$T$48)),IF(B173="高一",IF($E173="男",LOOKUP(L173,[1]对照表!$Q$3:$Q$24,[1]对照表!$T$3:$T$24),LOOKUP(L173,[1]对照表!$Q$27:$Q$48,[1]对照表!$T$27:$T$48)))))</f>
        <v>60</v>
      </c>
      <c r="N173" s="27">
        <f>IF(B173="高三",MAX(IF(E173="男",L173-18,L173-55),0),IF(B173="高二",MAX(IF(E173="男",L173-17,L173-54),0),IF(B173="高一",MAX(IF(E173="男",L173-16,L173-53),0))))</f>
        <v>0</v>
      </c>
      <c r="O173" s="23">
        <f>IF(E173="男",LOOKUP($N173,[1]对照表!$Z$3:$Z$13,[1]对照表!$AA$3:$AA$13),LOOKUP($N173,[1]对照表!$Z$15:$Z$25,[1]对照表!$AA$15:$AA$25))</f>
        <v>0</v>
      </c>
      <c r="P173" s="24">
        <f>M173+O173</f>
        <v>60</v>
      </c>
      <c r="Q173" s="25">
        <v>3.49</v>
      </c>
      <c r="R173" s="32">
        <f>IF(B173="高三",IF($E173="男",LOOKUP(Q173,[1]对照表!$W$3:$W$24,[1]对照表!$X$3:$X$24),LOOKUP(Q173,[1]对照表!$W$27:$W$48,[1]对照表!$X$27:$X$48)),IF(B173="高二",IF($E173="男",LOOKUP(Q173,[1]对照表!$V$3:$V$24,[1]对照表!$X$3:$X$24),LOOKUP(Q173,[1]对照表!$V$27:$V$48,[1]对照表!$X$27:$X$48)),IF(B173="高一",IF($E173="男",LOOKUP(Q173,[1]对照表!$U$3:$U$24,[1]对照表!$X$3:$X$24),LOOKUP(Q173,[1]对照表!$U$27:$U$48,[1]对照表!$X$27:$X$48)))))</f>
        <v>80</v>
      </c>
      <c r="S173" s="27">
        <f>ROUND(IF(IF($B173="高三",MIN(IF($E173="男",$Q173-3.2,$Q173-3.2),0),IF($B173="高二",MIN(IF($E173="男",$Q173-3.25,$Q173-3.22),0),IF($B173="高一",MIN(IF($E173="男",$Q173-3.3,$Q173-3.24),0))))&lt;-0.6,IF($B173="高三",MIN(IF($E173="男",$Q173-3.2,$Q173-3.2),0),IF($B173="高二",MIN(IF($E173="男",$Q173-3.25,$Q173-3.22),0),IF($B173="高一",MIN(IF($E173="男",$Q173-3.3,$Q173-3.24),0))))+0.4,IF($B173="高三",MIN(IF($E173="男",$Q173-3.2,$Q173-3.2),0),IF($B173="高二",MIN(IF($E173="男",$Q173-3.25,$Q173-3.22),0),IF($B173="高一",MIN(IF($E173="男",$Q173-3.3,$Q173-3.24),0))))),2)</f>
        <v>0</v>
      </c>
      <c r="T173" s="23">
        <f>IF(E173="男",LOOKUP($S173,[1]对照表!$AB$3:$AB$13,[1]对照表!$AC$3:$AC$13),LOOKUP($S173,[1]对照表!$AB$15:$AB$25,[1]对照表!$AC$15:$AC$25))</f>
        <v>0</v>
      </c>
      <c r="U173" s="26">
        <f>R173+T173</f>
        <v>80</v>
      </c>
      <c r="V173" s="26">
        <f>SUM(I173,K173,M173)/3*0.3+SUM(G173,R173)/2*0.4</f>
        <v>56.2</v>
      </c>
      <c r="W173" s="27">
        <f>O173+T173</f>
        <v>0</v>
      </c>
      <c r="X173" s="28">
        <f>V173/0.7+W173</f>
        <v>80.285714285714292</v>
      </c>
      <c r="Y173" s="28">
        <v>80.285714285714292</v>
      </c>
      <c r="Z173" s="21"/>
    </row>
    <row r="174" spans="1:26" x14ac:dyDescent="0.25">
      <c r="A174" s="16">
        <v>34</v>
      </c>
      <c r="B174" s="17" t="s">
        <v>21</v>
      </c>
      <c r="C174" s="16">
        <v>105</v>
      </c>
      <c r="D174" s="18" t="s">
        <v>368</v>
      </c>
      <c r="E174" s="16" t="s">
        <v>23</v>
      </c>
      <c r="F174" s="19">
        <v>7.9</v>
      </c>
      <c r="G174" s="32">
        <f>IF(B174="高三",IF($E174="男",LOOKUP(F174,[1]对照表!$G$3:$G$24,[1]对照表!$H$3:$H$24),LOOKUP(F174,[1]对照表!$G$27:$G$48,[1]对照表!$H$27:$H$48)),IF(B174="高二",IF($E174="男",LOOKUP(F174,[1]对照表!$F$3:$F$24,[1]对照表!$H$3:$H$24),LOOKUP(F174,[1]对照表!$F$27:$F$48,[1]对照表!$H$27:$H$48)),IF(B174="高一",IF($E174="男",LOOKUP(F174,[1]对照表!$E$3:$E$24,[1]对照表!$H$3:$H$24),LOOKUP(F174,[1]对照表!$E$27:$E$48,[1]对照表!$H$27:$H$48)))))</f>
        <v>76</v>
      </c>
      <c r="H174" s="21">
        <v>26</v>
      </c>
      <c r="I174" s="32">
        <f>IF(B174="高三",IF($E174="男",LOOKUP(H174,[1]对照表!$K$3:$K$24,[1]对照表!$L$3:$L$24),LOOKUP(H174,[1]对照表!$K$27:$K$48,[1]对照表!$L$27:$L$48)),IF(B174="高二",IF($E174="男",LOOKUP(H174,[1]对照表!$J$3:$J$24,[1]对照表!$L$3:$L$24),LOOKUP(H174,[1]对照表!$J$27:$J$48,[1]对照表!$L$27:$L$48)),IF(B174="高一",IF($E174="男",LOOKUP(H174,[1]对照表!$I$3:$I$24,[1]对照表!$L$3:$L$24),LOOKUP(H174,[1]对照表!$I$27:$I$48,[1]对照表!$L$27:$L$48)))))</f>
        <v>100</v>
      </c>
      <c r="J174" s="21">
        <v>203</v>
      </c>
      <c r="K174" s="32">
        <f>IF(B174="高三",IF($E174="男",LOOKUP(J174,[1]对照表!$O$3:$O$24,[1]对照表!$P$3:$P$24),LOOKUP(J174,[1]对照表!$O$27:$O$48,[1]对照表!$P$27:$P$48)),IF(B174="高二",IF($E174="男",LOOKUP(J174,[1]对照表!$N$3:$N$24,[1]对照表!$P$3:$P$24),LOOKUP(J174,[1]对照表!$N$27:$N$48,[1]对照表!$P$27:$P$48)),IF(B174="高一",IF($E174="男",LOOKUP(J174,[1]对照表!$M$3:$M$24,[1]对照表!$P$3:$P$24),LOOKUP(J174,[1]对照表!$M$27:$M$48,[1]对照表!$P$27:$P$48)))))</f>
        <v>64</v>
      </c>
      <c r="L174" s="21">
        <v>16</v>
      </c>
      <c r="M174" s="32">
        <f>IF(B174="高三",IF($E174="男",LOOKUP(L174,[1]对照表!$S$3:$S$24,[1]对照表!$T$3:$T$24),LOOKUP(L174,[1]对照表!$S$27:$S$48,[1]对照表!$T$27:$T$48)),IF(B174="高二",IF($E174="男",LOOKUP(L174,[1]对照表!$R$3:$R$24,[1]对照表!$T$3:$T$24),LOOKUP(L174,[1]对照表!$R$27:$R$48,[1]对照表!$T$27:$T$48)),IF(B174="高一",IF($E174="男",LOOKUP(L174,[1]对照表!$Q$3:$Q$24,[1]对照表!$T$3:$T$24),LOOKUP(L174,[1]对照表!$Q$27:$Q$48,[1]对照表!$T$27:$T$48)))))</f>
        <v>100</v>
      </c>
      <c r="N174" s="33">
        <f>IF(B174="高三",MAX(IF(E174="男",L174-18,L174-55),0),IF(B174="高二",MAX(IF(E174="男",L174-17,L174-54),0),IF(B174="高一",MAX(IF(E174="男",L174-16,L174-53),0))))</f>
        <v>0</v>
      </c>
      <c r="O174" s="23">
        <f>IF(E174="男",LOOKUP($N174,[1]对照表!$Z$3:$Z$13,[1]对照表!$AA$3:$AA$13),LOOKUP($N174,[1]对照表!$Z$15:$Z$25,[1]对照表!$AA$15:$AA$25))</f>
        <v>0</v>
      </c>
      <c r="P174" s="24">
        <f>M174+O174</f>
        <v>100</v>
      </c>
      <c r="Q174" s="25">
        <v>4.1100000000000003</v>
      </c>
      <c r="R174" s="32">
        <f>IF(B174="高三",IF($E174="男",LOOKUP(Q174,[1]对照表!$W$3:$W$24,[1]对照表!$X$3:$X$24),LOOKUP(Q174,[1]对照表!$W$27:$W$48,[1]对照表!$X$27:$X$48)),IF(B174="高二",IF($E174="男",LOOKUP(Q174,[1]对照表!$V$3:$V$24,[1]对照表!$X$3:$X$24),LOOKUP(Q174,[1]对照表!$V$27:$V$48,[1]对照表!$X$27:$X$48)),IF(B174="高一",IF($E174="男",LOOKUP(Q174,[1]对照表!$U$3:$U$24,[1]对照表!$X$3:$X$24),LOOKUP(Q174,[1]对照表!$U$27:$U$48,[1]对照表!$X$27:$X$48)))))</f>
        <v>72</v>
      </c>
      <c r="S174" s="33">
        <f>ROUND(IF(IF($B174="高三",MIN(IF($E174="男",$Q174-3.2,$Q174-3.2),0),IF($B174="高二",MIN(IF($E174="男",$Q174-3.25,$Q174-3.22),0),IF($B174="高一",MIN(IF($E174="男",$Q174-3.3,$Q174-3.24),0))))&lt;-0.6,IF($B174="高三",MIN(IF($E174="男",$Q174-3.2,$Q174-3.2),0),IF($B174="高二",MIN(IF($E174="男",$Q174-3.25,$Q174-3.22),0),IF($B174="高一",MIN(IF($E174="男",$Q174-3.3,$Q174-3.24),0))))+0.4,IF($B174="高三",MIN(IF($E174="男",$Q174-3.2,$Q174-3.2),0),IF($B174="高二",MIN(IF($E174="男",$Q174-3.25,$Q174-3.22),0),IF($B174="高一",MIN(IF($E174="男",$Q174-3.3,$Q174-3.24),0))))),2)</f>
        <v>0</v>
      </c>
      <c r="T174" s="23">
        <f>IF(E174="男",LOOKUP($S174,[1]对照表!$AB$3:$AB$13,[1]对照表!$AC$3:$AC$13),LOOKUP($S174,[1]对照表!$AB$15:$AB$25,[1]对照表!$AC$15:$AC$25))</f>
        <v>0</v>
      </c>
      <c r="U174" s="26">
        <f>R174+T174</f>
        <v>72</v>
      </c>
      <c r="V174" s="26">
        <f>SUM(I174,K174,M174)/3*0.3+SUM(G174,R174)/2*0.4</f>
        <v>56</v>
      </c>
      <c r="W174" s="27">
        <f>O174+T174</f>
        <v>0</v>
      </c>
      <c r="X174" s="28">
        <f>V174/0.7+W174</f>
        <v>80</v>
      </c>
      <c r="Y174" s="28">
        <v>80</v>
      </c>
      <c r="Z174" s="21"/>
    </row>
    <row r="175" spans="1:26" x14ac:dyDescent="0.25">
      <c r="A175" s="16">
        <v>22</v>
      </c>
      <c r="B175" s="17" t="s">
        <v>21</v>
      </c>
      <c r="C175" s="16">
        <v>105</v>
      </c>
      <c r="D175" s="18" t="s">
        <v>385</v>
      </c>
      <c r="E175" s="17" t="s">
        <v>23</v>
      </c>
      <c r="F175" s="19">
        <v>8</v>
      </c>
      <c r="G175" s="32">
        <f>IF(B175="高三",IF($E175="男",LOOKUP(F175,[1]对照表!$G$3:$G$24,[1]对照表!$H$3:$H$24),LOOKUP(F175,[1]对照表!$G$27:$G$48,[1]对照表!$H$27:$H$48)),IF(B175="高二",IF($E175="男",LOOKUP(F175,[1]对照表!$F$3:$F$24,[1]对照表!$H$3:$H$24),LOOKUP(F175,[1]对照表!$F$27:$F$48,[1]对照表!$H$27:$H$48)),IF(B175="高一",IF($E175="男",LOOKUP(F175,[1]对照表!$E$3:$E$24,[1]对照表!$H$3:$H$24),LOOKUP(F175,[1]对照表!$E$27:$E$48,[1]对照表!$H$27:$H$48)))))</f>
        <v>74</v>
      </c>
      <c r="H175" s="21">
        <v>17.5</v>
      </c>
      <c r="I175" s="32">
        <f>IF(B175="高三",IF($E175="男",LOOKUP(H175,[1]对照表!$K$3:$K$24,[1]对照表!$L$3:$L$24),LOOKUP(H175,[1]对照表!$K$27:$K$48,[1]对照表!$L$27:$L$48)),IF(B175="高二",IF($E175="男",LOOKUP(H175,[1]对照表!$J$3:$J$24,[1]对照表!$L$3:$L$24),LOOKUP(H175,[1]对照表!$J$27:$J$48,[1]对照表!$L$27:$L$48)),IF(B175="高一",IF($E175="男",LOOKUP(H175,[1]对照表!$I$3:$I$24,[1]对照表!$L$3:$L$24),LOOKUP(H175,[1]对照表!$I$27:$I$48,[1]对照表!$L$27:$L$48)))))</f>
        <v>85</v>
      </c>
      <c r="J175" s="21">
        <v>222</v>
      </c>
      <c r="K175" s="32">
        <f>IF(B175="高三",IF($E175="男",LOOKUP(J175,[1]对照表!$O$3:$O$24,[1]对照表!$P$3:$P$24),LOOKUP(J175,[1]对照表!$O$27:$O$48,[1]对照表!$P$27:$P$48)),IF(B175="高二",IF($E175="男",LOOKUP(J175,[1]对照表!$N$3:$N$24,[1]对照表!$P$3:$P$24),LOOKUP(J175,[1]对照表!$N$27:$N$48,[1]对照表!$P$27:$P$48)),IF(B175="高一",IF($E175="男",LOOKUP(J175,[1]对照表!$M$3:$M$24,[1]对照表!$P$3:$P$24),LOOKUP(J175,[1]对照表!$M$27:$M$48,[1]对照表!$P$27:$P$48)))))</f>
        <v>72</v>
      </c>
      <c r="L175" s="21">
        <v>10</v>
      </c>
      <c r="M175" s="32">
        <f>IF(B175="高三",IF($E175="男",LOOKUP(L175,[1]对照表!$S$3:$S$24,[1]对照表!$T$3:$T$24),LOOKUP(L175,[1]对照表!$S$27:$S$48,[1]对照表!$T$27:$T$48)),IF(B175="高二",IF($E175="男",LOOKUP(L175,[1]对照表!$R$3:$R$24,[1]对照表!$T$3:$T$24),LOOKUP(L175,[1]对照表!$R$27:$R$48,[1]对照表!$T$27:$T$48)),IF(B175="高一",IF($E175="男",LOOKUP(L175,[1]对照表!$Q$3:$Q$24,[1]对照表!$T$3:$T$24),LOOKUP(L175,[1]对照表!$Q$27:$Q$48,[1]对照表!$T$27:$T$48)))))</f>
        <v>72</v>
      </c>
      <c r="N175" s="33">
        <f>IF(B175="高三",MAX(IF(E175="男",L175-18,L175-55),0),IF(B175="高二",MAX(IF(E175="男",L175-17,L175-54),0),IF(B175="高一",MAX(IF(E175="男",L175-16,L175-53),0))))</f>
        <v>0</v>
      </c>
      <c r="O175" s="23">
        <f>IF(E175="男",LOOKUP($N175,[1]对照表!$Z$3:$Z$13,[1]对照表!$AA$3:$AA$13),LOOKUP($N175,[1]对照表!$Z$15:$Z$25,[1]对照表!$AA$15:$AA$25))</f>
        <v>0</v>
      </c>
      <c r="P175" s="24">
        <f>M175+O175</f>
        <v>72</v>
      </c>
      <c r="Q175" s="25">
        <v>3.42</v>
      </c>
      <c r="R175" s="32">
        <f>IF(B175="高三",IF($E175="男",LOOKUP(Q175,[1]对照表!$W$3:$W$24,[1]对照表!$X$3:$X$24),LOOKUP(Q175,[1]对照表!$W$27:$W$48,[1]对照表!$X$27:$X$48)),IF(B175="高二",IF($E175="男",LOOKUP(Q175,[1]对照表!$V$3:$V$24,[1]对照表!$X$3:$X$24),LOOKUP(Q175,[1]对照表!$V$27:$V$48,[1]对照表!$X$27:$X$48)),IF(B175="高一",IF($E175="男",LOOKUP(Q175,[1]对照表!$U$3:$U$24,[1]对照表!$X$3:$X$24),LOOKUP(Q175,[1]对照表!$U$27:$U$48,[1]对照表!$X$27:$X$48)))))</f>
        <v>85</v>
      </c>
      <c r="S175" s="33">
        <f>ROUND(IF(IF($B175="高三",MIN(IF($E175="男",$Q175-3.2,$Q175-3.2),0),IF($B175="高二",MIN(IF($E175="男",$Q175-3.25,$Q175-3.22),0),IF($B175="高一",MIN(IF($E175="男",$Q175-3.3,$Q175-3.24),0))))&lt;-0.6,IF($B175="高三",MIN(IF($E175="男",$Q175-3.2,$Q175-3.2),0),IF($B175="高二",MIN(IF($E175="男",$Q175-3.25,$Q175-3.22),0),IF($B175="高一",MIN(IF($E175="男",$Q175-3.3,$Q175-3.24),0))))+0.4,IF($B175="高三",MIN(IF($E175="男",$Q175-3.2,$Q175-3.2),0),IF($B175="高二",MIN(IF($E175="男",$Q175-3.25,$Q175-3.22),0),IF($B175="高一",MIN(IF($E175="男",$Q175-3.3,$Q175-3.24),0))))),2)</f>
        <v>0</v>
      </c>
      <c r="T175" s="23">
        <f>IF(E175="男",LOOKUP($S175,[1]对照表!$AB$3:$AB$13,[1]对照表!$AC$3:$AC$13),LOOKUP($S175,[1]对照表!$AB$15:$AB$25,[1]对照表!$AC$15:$AC$25))</f>
        <v>0</v>
      </c>
      <c r="U175" s="26">
        <f>R175+T175</f>
        <v>85</v>
      </c>
      <c r="V175" s="26">
        <f>SUM(I175,K175,M175)/3*0.3+SUM(G175,R175)/2*0.4</f>
        <v>54.7</v>
      </c>
      <c r="W175" s="27">
        <f>O175+T175</f>
        <v>0</v>
      </c>
      <c r="X175" s="28">
        <f>V175/0.7+W175</f>
        <v>78.142857142857153</v>
      </c>
      <c r="Y175" s="28">
        <v>78.142857142857153</v>
      </c>
      <c r="Z175" s="21"/>
    </row>
    <row r="176" spans="1:26" x14ac:dyDescent="0.25">
      <c r="A176" s="16">
        <v>32</v>
      </c>
      <c r="B176" s="17" t="s">
        <v>21</v>
      </c>
      <c r="C176" s="16">
        <v>105</v>
      </c>
      <c r="D176" s="18" t="s">
        <v>420</v>
      </c>
      <c r="E176" s="16" t="s">
        <v>23</v>
      </c>
      <c r="F176" s="19">
        <v>7.4</v>
      </c>
      <c r="G176" s="32">
        <f>IF(B176="高三",IF($E176="男",LOOKUP(F176,[1]对照表!$G$3:$G$24,[1]对照表!$H$3:$H$24),LOOKUP(F176,[1]对照表!$G$27:$G$48,[1]对照表!$H$27:$H$48)),IF(B176="高二",IF($E176="男",LOOKUP(F176,[1]对照表!$F$3:$F$24,[1]对照表!$H$3:$H$24),LOOKUP(F176,[1]对照表!$F$27:$F$48,[1]对照表!$H$27:$H$48)),IF(B176="高一",IF($E176="男",LOOKUP(F176,[1]对照表!$E$3:$E$24,[1]对照表!$H$3:$H$24),LOOKUP(F176,[1]对照表!$E$27:$E$48,[1]对照表!$H$27:$H$48)))))</f>
        <v>85</v>
      </c>
      <c r="H176" s="21">
        <v>9</v>
      </c>
      <c r="I176" s="32">
        <f>IF(B176="高三",IF($E176="男",LOOKUP(H176,[1]对照表!$K$3:$K$24,[1]对照表!$L$3:$L$24),LOOKUP(H176,[1]对照表!$K$27:$K$48,[1]对照表!$L$27:$L$48)),IF(B176="高二",IF($E176="男",LOOKUP(H176,[1]对照表!$J$3:$J$24,[1]对照表!$L$3:$L$24),LOOKUP(H176,[1]对照表!$J$27:$J$48,[1]对照表!$L$27:$L$48)),IF(B176="高一",IF($E176="男",LOOKUP(H176,[1]对照表!$I$3:$I$24,[1]对照表!$L$3:$L$24),LOOKUP(H176,[1]对照表!$I$27:$I$48,[1]对照表!$L$27:$L$48)))))</f>
        <v>70</v>
      </c>
      <c r="J176" s="21">
        <v>224</v>
      </c>
      <c r="K176" s="32">
        <f>IF(B176="高三",IF($E176="男",LOOKUP(J176,[1]对照表!$O$3:$O$24,[1]对照表!$P$3:$P$24),LOOKUP(J176,[1]对照表!$O$27:$O$48,[1]对照表!$P$27:$P$48)),IF(B176="高二",IF($E176="男",LOOKUP(J176,[1]对照表!$N$3:$N$24,[1]对照表!$P$3:$P$24),LOOKUP(J176,[1]对照表!$N$27:$N$48,[1]对照表!$P$27:$P$48)),IF(B176="高一",IF($E176="男",LOOKUP(J176,[1]对照表!$M$3:$M$24,[1]对照表!$P$3:$P$24),LOOKUP(J176,[1]对照表!$M$27:$M$48,[1]对照表!$P$27:$P$48)))))</f>
        <v>74</v>
      </c>
      <c r="L176" s="21">
        <v>8</v>
      </c>
      <c r="M176" s="32">
        <f>IF(B176="高三",IF($E176="男",LOOKUP(L176,[1]对照表!$S$3:$S$24,[1]对照表!$T$3:$T$24),LOOKUP(L176,[1]对照表!$S$27:$S$48,[1]对照表!$T$27:$T$48)),IF(B176="高二",IF($E176="男",LOOKUP(L176,[1]对照表!$R$3:$R$24,[1]对照表!$T$3:$T$24),LOOKUP(L176,[1]对照表!$R$27:$R$48,[1]对照表!$T$27:$T$48)),IF(B176="高一",IF($E176="男",LOOKUP(L176,[1]对照表!$Q$3:$Q$24,[1]对照表!$T$3:$T$24),LOOKUP(L176,[1]对照表!$Q$27:$Q$48,[1]对照表!$T$27:$T$48)))))</f>
        <v>64</v>
      </c>
      <c r="N176" s="33">
        <f>IF(B176="高三",MAX(IF(E176="男",L176-18,L176-55),0),IF(B176="高二",MAX(IF(E176="男",L176-17,L176-54),0),IF(B176="高一",MAX(IF(E176="男",L176-16,L176-53),0))))</f>
        <v>0</v>
      </c>
      <c r="O176" s="23">
        <f>IF(E176="男",LOOKUP($N176,[1]对照表!$Z$3:$Z$13,[1]对照表!$AA$3:$AA$13),LOOKUP($N176,[1]对照表!$Z$15:$Z$25,[1]对照表!$AA$15:$AA$25))</f>
        <v>0</v>
      </c>
      <c r="P176" s="24">
        <f>M176+O176</f>
        <v>64</v>
      </c>
      <c r="Q176" s="25">
        <v>3.59</v>
      </c>
      <c r="R176" s="32">
        <f>IF(B176="高三",IF($E176="男",LOOKUP(Q176,[1]对照表!$W$3:$W$24,[1]对照表!$X$3:$X$24),LOOKUP(Q176,[1]对照表!$W$27:$W$48,[1]对照表!$X$27:$X$48)),IF(B176="高二",IF($E176="男",LOOKUP(Q176,[1]对照表!$V$3:$V$24,[1]对照表!$X$3:$X$24),LOOKUP(Q176,[1]对照表!$V$27:$V$48,[1]对照表!$X$27:$X$48)),IF(B176="高一",IF($E176="男",LOOKUP(Q176,[1]对照表!$U$3:$U$24,[1]对照表!$X$3:$X$24),LOOKUP(Q176,[1]对照表!$U$27:$U$48,[1]对照表!$X$27:$X$48)))))</f>
        <v>78</v>
      </c>
      <c r="S176" s="33">
        <f>ROUND(IF(IF($B176="高三",MIN(IF($E176="男",$Q176-3.2,$Q176-3.2),0),IF($B176="高二",MIN(IF($E176="男",$Q176-3.25,$Q176-3.22),0),IF($B176="高一",MIN(IF($E176="男",$Q176-3.3,$Q176-3.24),0))))&lt;-0.6,IF($B176="高三",MIN(IF($E176="男",$Q176-3.2,$Q176-3.2),0),IF($B176="高二",MIN(IF($E176="男",$Q176-3.25,$Q176-3.22),0),IF($B176="高一",MIN(IF($E176="男",$Q176-3.3,$Q176-3.24),0))))+0.4,IF($B176="高三",MIN(IF($E176="男",$Q176-3.2,$Q176-3.2),0),IF($B176="高二",MIN(IF($E176="男",$Q176-3.25,$Q176-3.22),0),IF($B176="高一",MIN(IF($E176="男",$Q176-3.3,$Q176-3.24),0))))),2)</f>
        <v>0</v>
      </c>
      <c r="T176" s="23">
        <f>IF(E176="男",LOOKUP($S176,[1]对照表!$AB$3:$AB$13,[1]对照表!$AC$3:$AC$13),LOOKUP($S176,[1]对照表!$AB$15:$AB$25,[1]对照表!$AC$15:$AC$25))</f>
        <v>0</v>
      </c>
      <c r="U176" s="26">
        <f>R176+T176</f>
        <v>78</v>
      </c>
      <c r="V176" s="26">
        <f>SUM(I176,K176,M176)/3*0.3+SUM(G176,R176)/2*0.4</f>
        <v>53.4</v>
      </c>
      <c r="W176" s="27">
        <f>O176+T176</f>
        <v>0</v>
      </c>
      <c r="X176" s="28">
        <f>V176/0.7+W176</f>
        <v>76.285714285714292</v>
      </c>
      <c r="Y176" s="28">
        <v>76.285714285714292</v>
      </c>
      <c r="Z176" s="21"/>
    </row>
    <row r="177" spans="1:26" x14ac:dyDescent="0.25">
      <c r="A177" s="16">
        <v>49</v>
      </c>
      <c r="B177" s="17" t="s">
        <v>21</v>
      </c>
      <c r="C177" s="16">
        <v>105</v>
      </c>
      <c r="D177" s="18" t="s">
        <v>442</v>
      </c>
      <c r="E177" s="17" t="s">
        <v>65</v>
      </c>
      <c r="F177" s="19">
        <v>10.3</v>
      </c>
      <c r="G177" s="32">
        <f>IF(B177="高三",IF($E177="男",LOOKUP(F177,[1]对照表!$G$3:$G$24,[1]对照表!$H$3:$H$24),LOOKUP(F177,[1]对照表!$G$27:$G$48,[1]对照表!$H$27:$H$48)),IF(B177="高二",IF($E177="男",LOOKUP(F177,[1]对照表!$F$3:$F$24,[1]对照表!$H$3:$H$24),LOOKUP(F177,[1]对照表!$F$27:$F$48,[1]对照表!$H$27:$H$48)),IF(B177="高一",IF($E177="男",LOOKUP(F177,[1]对照表!$E$3:$E$24,[1]对照表!$H$3:$H$24),LOOKUP(F177,[1]对照表!$E$27:$E$48,[1]对照表!$H$27:$H$48)))))</f>
        <v>62</v>
      </c>
      <c r="H177" s="21">
        <v>7</v>
      </c>
      <c r="I177" s="32">
        <f>IF(B177="高三",IF($E177="男",LOOKUP(H177,[1]对照表!$K$3:$K$24,[1]对照表!$L$3:$L$24),LOOKUP(H177,[1]对照表!$K$27:$K$48,[1]对照表!$L$27:$L$48)),IF(B177="高二",IF($E177="男",LOOKUP(H177,[1]对照表!$J$3:$J$24,[1]对照表!$L$3:$L$24),LOOKUP(H177,[1]对照表!$J$27:$J$48,[1]对照表!$L$27:$L$48)),IF(B177="高一",IF($E177="男",LOOKUP(H177,[1]对照表!$I$3:$I$24,[1]对照表!$L$3:$L$24),LOOKUP(H177,[1]对照表!$I$27:$I$48,[1]对照表!$L$27:$L$48)))))</f>
        <v>64</v>
      </c>
      <c r="J177" s="21">
        <v>167</v>
      </c>
      <c r="K177" s="32">
        <f>IF(B177="高三",IF($E177="男",LOOKUP(J177,[1]对照表!$O$3:$O$24,[1]对照表!$P$3:$P$24),LOOKUP(J177,[1]对照表!$O$27:$O$48,[1]对照表!$P$27:$P$48)),IF(B177="高二",IF($E177="男",LOOKUP(J177,[1]对照表!$N$3:$N$24,[1]对照表!$P$3:$P$24),LOOKUP(J177,[1]对照表!$N$27:$N$48,[1]对照表!$P$27:$P$48)),IF(B177="高一",IF($E177="男",LOOKUP(J177,[1]对照表!$M$3:$M$24,[1]对照表!$P$3:$P$24),LOOKUP(J177,[1]对照表!$M$27:$M$48,[1]对照表!$P$27:$P$48)))))</f>
        <v>72</v>
      </c>
      <c r="L177" s="21">
        <v>51</v>
      </c>
      <c r="M177" s="32">
        <f>IF(B177="高三",IF($E177="男",LOOKUP(L177,[1]对照表!$S$3:$S$24,[1]对照表!$T$3:$T$24),LOOKUP(L177,[1]对照表!$S$27:$S$48,[1]对照表!$T$27:$T$48)),IF(B177="高二",IF($E177="男",LOOKUP(L177,[1]对照表!$R$3:$R$24,[1]对照表!$T$3:$T$24),LOOKUP(L177,[1]对照表!$R$27:$R$48,[1]对照表!$T$27:$T$48)),IF(B177="高一",IF($E177="男",LOOKUP(L177,[1]对照表!$Q$3:$Q$24,[1]对照表!$T$3:$T$24),LOOKUP(L177,[1]对照表!$Q$27:$Q$48,[1]对照表!$T$27:$T$48)))))</f>
        <v>95</v>
      </c>
      <c r="N177" s="33">
        <f>IF(B177="高三",MAX(IF(E177="男",L177-18,L177-55),0),IF(B177="高二",MAX(IF(E177="男",L177-17,L177-54),0),IF(B177="高一",MAX(IF(E177="男",L177-16,L177-53),0))))</f>
        <v>0</v>
      </c>
      <c r="O177" s="23">
        <f>IF(E177="男",LOOKUP($N177,[1]对照表!$Z$3:$Z$13,[1]对照表!$AA$3:$AA$13),LOOKUP($N177,[1]对照表!$Z$15:$Z$25,[1]对照表!$AA$15:$AA$25))</f>
        <v>0</v>
      </c>
      <c r="P177" s="24">
        <f>M177+O177</f>
        <v>95</v>
      </c>
      <c r="Q177" s="25">
        <v>3.38</v>
      </c>
      <c r="R177" s="32">
        <f>IF(B177="高三",IF($E177="男",LOOKUP(Q177,[1]对照表!$W$3:$W$24,[1]对照表!$X$3:$X$24),LOOKUP(Q177,[1]对照表!$W$27:$W$48,[1]对照表!$X$27:$X$48)),IF(B177="高二",IF($E177="男",LOOKUP(Q177,[1]对照表!$V$3:$V$24,[1]对照表!$X$3:$X$24),LOOKUP(Q177,[1]对照表!$V$27:$V$48,[1]对照表!$X$27:$X$48)),IF(B177="高一",IF($E177="男",LOOKUP(Q177,[1]对照表!$U$3:$U$24,[1]对照表!$X$3:$X$24),LOOKUP(Q177,[1]对照表!$U$27:$U$48,[1]对照表!$X$27:$X$48)))))</f>
        <v>85</v>
      </c>
      <c r="S177" s="33">
        <f>ROUND(IF(IF($B177="高三",MIN(IF($E177="男",$Q177-3.2,$Q177-3.2),0),IF($B177="高二",MIN(IF($E177="男",$Q177-3.25,$Q177-3.22),0),IF($B177="高一",MIN(IF($E177="男",$Q177-3.3,$Q177-3.24),0))))&lt;-0.6,IF($B177="高三",MIN(IF($E177="男",$Q177-3.2,$Q177-3.2),0),IF($B177="高二",MIN(IF($E177="男",$Q177-3.25,$Q177-3.22),0),IF($B177="高一",MIN(IF($E177="男",$Q177-3.3,$Q177-3.24),0))))+0.4,IF($B177="高三",MIN(IF($E177="男",$Q177-3.2,$Q177-3.2),0),IF($B177="高二",MIN(IF($E177="男",$Q177-3.25,$Q177-3.22),0),IF($B177="高一",MIN(IF($E177="男",$Q177-3.3,$Q177-3.24),0))))),2)</f>
        <v>0</v>
      </c>
      <c r="T177" s="23">
        <f>IF(E177="男",LOOKUP($S177,[1]对照表!$AB$3:$AB$13,[1]对照表!$AC$3:$AC$13),LOOKUP($S177,[1]对照表!$AB$15:$AB$25,[1]对照表!$AC$15:$AC$25))</f>
        <v>0</v>
      </c>
      <c r="U177" s="26">
        <f>R177+T177</f>
        <v>85</v>
      </c>
      <c r="V177" s="26">
        <f>SUM(I177,K177,M177)/3*0.3+SUM(G177,R177)/2*0.4</f>
        <v>52.5</v>
      </c>
      <c r="W177" s="27">
        <f>O177+T177</f>
        <v>0</v>
      </c>
      <c r="X177" s="28">
        <f>V177/0.7+W177</f>
        <v>75</v>
      </c>
      <c r="Y177" s="28">
        <v>75</v>
      </c>
      <c r="Z177" s="21"/>
    </row>
    <row r="178" spans="1:26" x14ac:dyDescent="0.25">
      <c r="A178" s="16">
        <v>50</v>
      </c>
      <c r="B178" s="17" t="s">
        <v>21</v>
      </c>
      <c r="C178" s="16">
        <v>105</v>
      </c>
      <c r="D178" s="18" t="s">
        <v>445</v>
      </c>
      <c r="E178" s="17" t="s">
        <v>65</v>
      </c>
      <c r="F178" s="19">
        <v>8.6199999999999992</v>
      </c>
      <c r="G178" s="32">
        <f>IF(B178="高三",IF($E178="男",LOOKUP(F178,[1]对照表!$G$3:$G$24,[1]对照表!$H$3:$H$24),LOOKUP(F178,[1]对照表!$G$27:$G$48,[1]对照表!$H$27:$H$48)),IF(B178="高二",IF($E178="男",LOOKUP(F178,[1]对照表!$F$3:$F$24,[1]对照表!$H$3:$H$24),LOOKUP(F178,[1]对照表!$F$27:$F$48,[1]对照表!$H$27:$H$48)),IF(B178="高一",IF($E178="男",LOOKUP(F178,[1]对照表!$E$3:$E$24,[1]对照表!$H$3:$H$24),LOOKUP(F178,[1]对照表!$E$27:$E$48,[1]对照表!$H$27:$H$48)))))</f>
        <v>78</v>
      </c>
      <c r="H178" s="21">
        <v>20</v>
      </c>
      <c r="I178" s="32">
        <f>IF(B178="高三",IF($E178="男",LOOKUP(H178,[1]对照表!$K$3:$K$24,[1]对照表!$L$3:$L$24),LOOKUP(H178,[1]对照表!$K$27:$K$48,[1]对照表!$L$27:$L$48)),IF(B178="高二",IF($E178="男",LOOKUP(H178,[1]对照表!$J$3:$J$24,[1]对照表!$L$3:$L$24),LOOKUP(H178,[1]对照表!$J$27:$J$48,[1]对照表!$L$27:$L$48)),IF(B178="高一",IF($E178="男",LOOKUP(H178,[1]对照表!$I$3:$I$24,[1]对照表!$L$3:$L$24),LOOKUP(H178,[1]对照表!$I$27:$I$48,[1]对照表!$L$27:$L$48)))))</f>
        <v>85</v>
      </c>
      <c r="J178" s="21">
        <v>206</v>
      </c>
      <c r="K178" s="32">
        <f>IF(B178="高三",IF($E178="男",LOOKUP(J178,[1]对照表!$O$3:$O$24,[1]对照表!$P$3:$P$24),LOOKUP(J178,[1]对照表!$O$27:$O$48,[1]对照表!$P$27:$P$48)),IF(B178="高二",IF($E178="男",LOOKUP(J178,[1]对照表!$N$3:$N$24,[1]对照表!$P$3:$P$24),LOOKUP(J178,[1]对照表!$N$27:$N$48,[1]对照表!$P$27:$P$48)),IF(B178="高一",IF($E178="男",LOOKUP(J178,[1]对照表!$M$3:$M$24,[1]对照表!$P$3:$P$24),LOOKUP(J178,[1]对照表!$M$27:$M$48,[1]对照表!$P$27:$P$48)))))</f>
        <v>100</v>
      </c>
      <c r="L178" s="21">
        <v>51</v>
      </c>
      <c r="M178" s="32">
        <f>IF(B178="高三",IF($E178="男",LOOKUP(L178,[1]对照表!$S$3:$S$24,[1]对照表!$T$3:$T$24),LOOKUP(L178,[1]对照表!$S$27:$S$48,[1]对照表!$T$27:$T$48)),IF(B178="高二",IF($E178="男",LOOKUP(L178,[1]对照表!$R$3:$R$24,[1]对照表!$T$3:$T$24),LOOKUP(L178,[1]对照表!$R$27:$R$48,[1]对照表!$T$27:$T$48)),IF(B178="高一",IF($E178="男",LOOKUP(L178,[1]对照表!$Q$3:$Q$24,[1]对照表!$T$3:$T$24),LOOKUP(L178,[1]对照表!$Q$27:$Q$48,[1]对照表!$T$27:$T$48)))))</f>
        <v>95</v>
      </c>
      <c r="N178" s="33">
        <f>IF(B178="高三",MAX(IF(E178="男",L178-18,L178-55),0),IF(B178="高二",MAX(IF(E178="男",L178-17,L178-54),0),IF(B178="高一",MAX(IF(E178="男",L178-16,L178-53),0))))</f>
        <v>0</v>
      </c>
      <c r="O178" s="23">
        <f>IF(E178="男",LOOKUP($N178,[1]对照表!$Z$3:$Z$13,[1]对照表!$AA$3:$AA$13),LOOKUP($N178,[1]对照表!$Z$15:$Z$25,[1]对照表!$AA$15:$AA$25))</f>
        <v>0</v>
      </c>
      <c r="P178" s="24">
        <f>M178+O178</f>
        <v>95</v>
      </c>
      <c r="Q178" s="25">
        <v>3.39</v>
      </c>
      <c r="R178" s="32">
        <f>IF(B178="高三",IF($E178="男",LOOKUP(Q178,[1]对照表!$W$3:$W$24,[1]对照表!$X$3:$X$24),LOOKUP(Q178,[1]对照表!$W$27:$W$48,[1]对照表!$X$27:$X$48)),IF(B178="高二",IF($E178="男",LOOKUP(Q178,[1]对照表!$V$3:$V$24,[1]对照表!$X$3:$X$24),LOOKUP(Q178,[1]对照表!$V$27:$V$48,[1]对照表!$X$27:$X$48)),IF(B178="高一",IF($E178="男",LOOKUP(Q178,[1]对照表!$U$3:$U$24,[1]对照表!$X$3:$X$24),LOOKUP(Q178,[1]对照表!$U$27:$U$48,[1]对照表!$X$27:$X$48)))))</f>
        <v>85</v>
      </c>
      <c r="S178" s="33">
        <f>ROUND(IF(IF($B178="高三",MIN(IF($E178="男",$Q178-3.2,$Q178-3.2),0),IF($B178="高二",MIN(IF($E178="男",$Q178-3.25,$Q178-3.22),0),IF($B178="高一",MIN(IF($E178="男",$Q178-3.3,$Q178-3.24),0))))&lt;-0.6,IF($B178="高三",MIN(IF($E178="男",$Q178-3.2,$Q178-3.2),0),IF($B178="高二",MIN(IF($E178="男",$Q178-3.25,$Q178-3.22),0),IF($B178="高一",MIN(IF($E178="男",$Q178-3.3,$Q178-3.24),0))))+0.4,IF($B178="高三",MIN(IF($E178="男",$Q178-3.2,$Q178-3.2),0),IF($B178="高二",MIN(IF($E178="男",$Q178-3.25,$Q178-3.22),0),IF($B178="高一",MIN(IF($E178="男",$Q178-3.3,$Q178-3.24),0))))),2)</f>
        <v>0</v>
      </c>
      <c r="T178" s="23">
        <f>IF(E178="男",LOOKUP($S178,[1]对照表!$AB$3:$AB$13,[1]对照表!$AC$3:$AC$13),LOOKUP($S178,[1]对照表!$AB$15:$AB$25,[1]对照表!$AC$15:$AC$25))</f>
        <v>0</v>
      </c>
      <c r="U178" s="26">
        <f>R178+T178</f>
        <v>85</v>
      </c>
      <c r="V178" s="26">
        <f>SUM(I178,K178,M178)/3*0.3+SUM(G178,R178)/2*0.4</f>
        <v>60.599999999999994</v>
      </c>
      <c r="W178" s="27">
        <f>O178+T178</f>
        <v>0</v>
      </c>
      <c r="X178" s="28">
        <f>V178/0.7+W178</f>
        <v>86.571428571428569</v>
      </c>
      <c r="Y178" s="28">
        <v>86.571428571428569</v>
      </c>
      <c r="Z178" s="21"/>
    </row>
    <row r="179" spans="1:26" x14ac:dyDescent="0.25">
      <c r="A179" s="16">
        <v>53</v>
      </c>
      <c r="B179" s="17" t="s">
        <v>21</v>
      </c>
      <c r="C179" s="16">
        <v>105</v>
      </c>
      <c r="D179" s="18" t="s">
        <v>451</v>
      </c>
      <c r="E179" s="17" t="s">
        <v>65</v>
      </c>
      <c r="F179" s="19">
        <v>9.4</v>
      </c>
      <c r="G179" s="32">
        <f>IF(B179="高三",IF($E179="男",LOOKUP(F179,[1]对照表!$G$3:$G$24,[1]对照表!$H$3:$H$24),LOOKUP(F179,[1]对照表!$G$27:$G$48,[1]对照表!$H$27:$H$48)),IF(B179="高二",IF($E179="男",LOOKUP(F179,[1]对照表!$F$3:$F$24,[1]对照表!$H$3:$H$24),LOOKUP(F179,[1]对照表!$F$27:$F$48,[1]对照表!$H$27:$H$48)),IF(B179="高一",IF($E179="男",LOOKUP(F179,[1]对照表!$E$3:$E$24,[1]对照表!$H$3:$H$24),LOOKUP(F179,[1]对照表!$E$27:$E$48,[1]对照表!$H$27:$H$48)))))</f>
        <v>72</v>
      </c>
      <c r="H179" s="21">
        <v>19.5</v>
      </c>
      <c r="I179" s="32">
        <f>IF(B179="高三",IF($E179="男",LOOKUP(H179,[1]对照表!$K$3:$K$24,[1]对照表!$L$3:$L$24),LOOKUP(H179,[1]对照表!$K$27:$K$48,[1]对照表!$L$27:$L$48)),IF(B179="高二",IF($E179="男",LOOKUP(H179,[1]对照表!$J$3:$J$24,[1]对照表!$L$3:$L$24),LOOKUP(H179,[1]对照表!$J$27:$J$48,[1]对照表!$L$27:$L$48)),IF(B179="高一",IF($E179="男",LOOKUP(H179,[1]对照表!$I$3:$I$24,[1]对照表!$L$3:$L$24),LOOKUP(H179,[1]对照表!$I$27:$I$48,[1]对照表!$L$27:$L$48)))))</f>
        <v>85</v>
      </c>
      <c r="J179" s="21">
        <v>165</v>
      </c>
      <c r="K179" s="32">
        <f>IF(B179="高三",IF($E179="男",LOOKUP(J179,[1]对照表!$O$3:$O$24,[1]对照表!$P$3:$P$24),LOOKUP(J179,[1]对照表!$O$27:$O$48,[1]对照表!$P$27:$P$48)),IF(B179="高二",IF($E179="男",LOOKUP(J179,[1]对照表!$N$3:$N$24,[1]对照表!$P$3:$P$24),LOOKUP(J179,[1]对照表!$N$27:$N$48,[1]对照表!$P$27:$P$48)),IF(B179="高一",IF($E179="男",LOOKUP(J179,[1]对照表!$M$3:$M$24,[1]对照表!$P$3:$P$24),LOOKUP(J179,[1]对照表!$M$27:$M$48,[1]对照表!$P$27:$P$48)))))</f>
        <v>70</v>
      </c>
      <c r="L179" s="21">
        <v>47</v>
      </c>
      <c r="M179" s="32">
        <f>IF(B179="高三",IF($E179="男",LOOKUP(L179,[1]对照表!$S$3:$S$24,[1]对照表!$T$3:$T$24),LOOKUP(L179,[1]对照表!$S$27:$S$48,[1]对照表!$T$27:$T$48)),IF(B179="高二",IF($E179="男",LOOKUP(L179,[1]对照表!$R$3:$R$24,[1]对照表!$T$3:$T$24),LOOKUP(L179,[1]对照表!$R$27:$R$48,[1]对照表!$T$27:$T$48)),IF(B179="高一",IF($E179="男",LOOKUP(L179,[1]对照表!$Q$3:$Q$24,[1]对照表!$T$3:$T$24),LOOKUP(L179,[1]对照表!$Q$27:$Q$48,[1]对照表!$T$27:$T$48)))))</f>
        <v>85</v>
      </c>
      <c r="N179" s="33">
        <f>IF(B179="高三",MAX(IF(E179="男",L179-18,L179-55),0),IF(B179="高二",MAX(IF(E179="男",L179-17,L179-54),0),IF(B179="高一",MAX(IF(E179="男",L179-16,L179-53),0))))</f>
        <v>0</v>
      </c>
      <c r="O179" s="23">
        <f>IF(E179="男",LOOKUP($N179,[1]对照表!$Z$3:$Z$13,[1]对照表!$AA$3:$AA$13),LOOKUP($N179,[1]对照表!$Z$15:$Z$25,[1]对照表!$AA$15:$AA$25))</f>
        <v>0</v>
      </c>
      <c r="P179" s="24">
        <f>M179+O179</f>
        <v>85</v>
      </c>
      <c r="Q179" s="25">
        <v>3.39</v>
      </c>
      <c r="R179" s="32">
        <f>IF(B179="高三",IF($E179="男",LOOKUP(Q179,[1]对照表!$W$3:$W$24,[1]对照表!$X$3:$X$24),LOOKUP(Q179,[1]对照表!$W$27:$W$48,[1]对照表!$X$27:$X$48)),IF(B179="高二",IF($E179="男",LOOKUP(Q179,[1]对照表!$V$3:$V$24,[1]对照表!$X$3:$X$24),LOOKUP(Q179,[1]对照表!$V$27:$V$48,[1]对照表!$X$27:$X$48)),IF(B179="高一",IF($E179="男",LOOKUP(Q179,[1]对照表!$U$3:$U$24,[1]对照表!$X$3:$X$24),LOOKUP(Q179,[1]对照表!$U$27:$U$48,[1]对照表!$X$27:$X$48)))))</f>
        <v>85</v>
      </c>
      <c r="S179" s="33">
        <f>ROUND(IF(IF($B179="高三",MIN(IF($E179="男",$Q179-3.2,$Q179-3.2),0),IF($B179="高二",MIN(IF($E179="男",$Q179-3.25,$Q179-3.22),0),IF($B179="高一",MIN(IF($E179="男",$Q179-3.3,$Q179-3.24),0))))&lt;-0.6,IF($B179="高三",MIN(IF($E179="男",$Q179-3.2,$Q179-3.2),0),IF($B179="高二",MIN(IF($E179="男",$Q179-3.25,$Q179-3.22),0),IF($B179="高一",MIN(IF($E179="男",$Q179-3.3,$Q179-3.24),0))))+0.4,IF($B179="高三",MIN(IF($E179="男",$Q179-3.2,$Q179-3.2),0),IF($B179="高二",MIN(IF($E179="男",$Q179-3.25,$Q179-3.22),0),IF($B179="高一",MIN(IF($E179="男",$Q179-3.3,$Q179-3.24),0))))),2)</f>
        <v>0</v>
      </c>
      <c r="T179" s="23">
        <f>IF(E179="男",LOOKUP($S179,[1]对照表!$AB$3:$AB$13,[1]对照表!$AC$3:$AC$13),LOOKUP($S179,[1]对照表!$AB$15:$AB$25,[1]对照表!$AC$15:$AC$25))</f>
        <v>0</v>
      </c>
      <c r="U179" s="26">
        <f>R179+T179</f>
        <v>85</v>
      </c>
      <c r="V179" s="26">
        <f>SUM(I179,K179,M179)/3*0.3+SUM(G179,R179)/2*0.4</f>
        <v>55.400000000000006</v>
      </c>
      <c r="W179" s="27">
        <f>O179+T179</f>
        <v>0</v>
      </c>
      <c r="X179" s="28">
        <f>V179/0.7+W179</f>
        <v>79.142857142857153</v>
      </c>
      <c r="Y179" s="28">
        <v>79.142857142857153</v>
      </c>
      <c r="Z179" s="21"/>
    </row>
    <row r="180" spans="1:26" x14ac:dyDescent="0.25">
      <c r="A180" s="16">
        <v>41</v>
      </c>
      <c r="B180" s="17" t="s">
        <v>21</v>
      </c>
      <c r="C180" s="16">
        <v>105</v>
      </c>
      <c r="D180" s="18" t="s">
        <v>452</v>
      </c>
      <c r="E180" s="17" t="s">
        <v>65</v>
      </c>
      <c r="F180" s="19">
        <v>9.52</v>
      </c>
      <c r="G180" s="32">
        <f>IF(B180="高三",IF($E180="男",LOOKUP(F180,[1]对照表!$G$3:$G$24,[1]对照表!$H$3:$H$24),LOOKUP(F180,[1]对照表!$G$27:$G$48,[1]对照表!$H$27:$H$48)),IF(B180="高二",IF($E180="男",LOOKUP(F180,[1]对照表!$F$3:$F$24,[1]对照表!$H$3:$H$24),LOOKUP(F180,[1]对照表!$F$27:$F$48,[1]对照表!$H$27:$H$48)),IF(B180="高一",IF($E180="男",LOOKUP(F180,[1]对照表!$E$3:$E$24,[1]对照表!$H$3:$H$24),LOOKUP(F180,[1]对照表!$E$27:$E$48,[1]对照表!$H$27:$H$48)))))</f>
        <v>70</v>
      </c>
      <c r="H180" s="21">
        <v>16</v>
      </c>
      <c r="I180" s="32">
        <f>IF(B180="高三",IF($E180="男",LOOKUP(H180,[1]对照表!$K$3:$K$24,[1]对照表!$L$3:$L$24),LOOKUP(H180,[1]对照表!$K$27:$K$48,[1]对照表!$L$27:$L$48)),IF(B180="高二",IF($E180="男",LOOKUP(H180,[1]对照表!$J$3:$J$24,[1]对照表!$L$3:$L$24),LOOKUP(H180,[1]对照表!$J$27:$J$48,[1]对照表!$L$27:$L$48)),IF(B180="高一",IF($E180="男",LOOKUP(H180,[1]对照表!$I$3:$I$24,[1]对照表!$L$3:$L$24),LOOKUP(H180,[1]对照表!$I$27:$I$48,[1]对照表!$L$27:$L$48)))))</f>
        <v>76</v>
      </c>
      <c r="J180" s="21">
        <v>160</v>
      </c>
      <c r="K180" s="32">
        <f>IF(B180="高三",IF($E180="男",LOOKUP(J180,[1]对照表!$O$3:$O$24,[1]对照表!$P$3:$P$24),LOOKUP(J180,[1]对照表!$O$27:$O$48,[1]对照表!$P$27:$P$48)),IF(B180="高二",IF($E180="男",LOOKUP(J180,[1]对照表!$N$3:$N$24,[1]对照表!$P$3:$P$24),LOOKUP(J180,[1]对照表!$N$27:$N$48,[1]对照表!$P$27:$P$48)),IF(B180="高一",IF($E180="男",LOOKUP(J180,[1]对照表!$M$3:$M$24,[1]对照表!$P$3:$P$24),LOOKUP(J180,[1]对照表!$M$27:$M$48,[1]对照表!$P$27:$P$48)))))</f>
        <v>68</v>
      </c>
      <c r="L180" s="21">
        <v>50</v>
      </c>
      <c r="M180" s="32">
        <f>IF(B180="高三",IF($E180="男",LOOKUP(L180,[1]对照表!$S$3:$S$24,[1]对照表!$T$3:$T$24),LOOKUP(L180,[1]对照表!$S$27:$S$48,[1]对照表!$T$27:$T$48)),IF(B180="高二",IF($E180="男",LOOKUP(L180,[1]对照表!$R$3:$R$24,[1]对照表!$T$3:$T$24),LOOKUP(L180,[1]对照表!$R$27:$R$48,[1]对照表!$T$27:$T$48)),IF(B180="高一",IF($E180="男",LOOKUP(L180,[1]对照表!$Q$3:$Q$24,[1]对照表!$T$3:$T$24),LOOKUP(L180,[1]对照表!$Q$27:$Q$48,[1]对照表!$T$27:$T$48)))))</f>
        <v>90</v>
      </c>
      <c r="N180" s="33">
        <f>IF(B180="高三",MAX(IF(E180="男",L180-18,L180-55),0),IF(B180="高二",MAX(IF(E180="男",L180-17,L180-54),0),IF(B180="高一",MAX(IF(E180="男",L180-16,L180-53),0))))</f>
        <v>0</v>
      </c>
      <c r="O180" s="23">
        <f>IF(E180="男",LOOKUP($N180,[1]对照表!$Z$3:$Z$13,[1]对照表!$AA$3:$AA$13),LOOKUP($N180,[1]对照表!$Z$15:$Z$25,[1]对照表!$AA$15:$AA$25))</f>
        <v>0</v>
      </c>
      <c r="P180" s="24">
        <f>M180+O180</f>
        <v>90</v>
      </c>
      <c r="Q180" s="25">
        <v>3.39</v>
      </c>
      <c r="R180" s="32">
        <f>IF(B180="高三",IF($E180="男",LOOKUP(Q180,[1]对照表!$W$3:$W$24,[1]对照表!$X$3:$X$24),LOOKUP(Q180,[1]对照表!$W$27:$W$48,[1]对照表!$X$27:$X$48)),IF(B180="高二",IF($E180="男",LOOKUP(Q180,[1]对照表!$V$3:$V$24,[1]对照表!$X$3:$X$24),LOOKUP(Q180,[1]对照表!$V$27:$V$48,[1]对照表!$X$27:$X$48)),IF(B180="高一",IF($E180="男",LOOKUP(Q180,[1]对照表!$U$3:$U$24,[1]对照表!$X$3:$X$24),LOOKUP(Q180,[1]对照表!$U$27:$U$48,[1]对照表!$X$27:$X$48)))))</f>
        <v>85</v>
      </c>
      <c r="S180" s="33">
        <f>ROUND(IF(IF($B180="高三",MIN(IF($E180="男",$Q180-3.2,$Q180-3.2),0),IF($B180="高二",MIN(IF($E180="男",$Q180-3.25,$Q180-3.22),0),IF($B180="高一",MIN(IF($E180="男",$Q180-3.3,$Q180-3.24),0))))&lt;-0.6,IF($B180="高三",MIN(IF($E180="男",$Q180-3.2,$Q180-3.2),0),IF($B180="高二",MIN(IF($E180="男",$Q180-3.25,$Q180-3.22),0),IF($B180="高一",MIN(IF($E180="男",$Q180-3.3,$Q180-3.24),0))))+0.4,IF($B180="高三",MIN(IF($E180="男",$Q180-3.2,$Q180-3.2),0),IF($B180="高二",MIN(IF($E180="男",$Q180-3.25,$Q180-3.22),0),IF($B180="高一",MIN(IF($E180="男",$Q180-3.3,$Q180-3.24),0))))),2)</f>
        <v>0</v>
      </c>
      <c r="T180" s="23">
        <f>IF(E180="男",LOOKUP($S180,[1]对照表!$AB$3:$AB$13,[1]对照表!$AC$3:$AC$13),LOOKUP($S180,[1]对照表!$AB$15:$AB$25,[1]对照表!$AC$15:$AC$25))</f>
        <v>0</v>
      </c>
      <c r="U180" s="26">
        <f>R180+T180</f>
        <v>85</v>
      </c>
      <c r="V180" s="26">
        <f>SUM(I180,K180,M180)/3*0.3+SUM(G180,R180)/2*0.4</f>
        <v>54.4</v>
      </c>
      <c r="W180" s="27">
        <f>O180+T180</f>
        <v>0</v>
      </c>
      <c r="X180" s="28">
        <f>V180/0.7+W180</f>
        <v>77.714285714285722</v>
      </c>
      <c r="Y180" s="28">
        <v>77.714285714285722</v>
      </c>
      <c r="Z180" s="21"/>
    </row>
    <row r="181" spans="1:26" x14ac:dyDescent="0.25">
      <c r="A181" s="16">
        <v>51</v>
      </c>
      <c r="B181" s="17" t="s">
        <v>21</v>
      </c>
      <c r="C181" s="16">
        <v>105</v>
      </c>
      <c r="D181" s="18" t="s">
        <v>456</v>
      </c>
      <c r="E181" s="17" t="s">
        <v>65</v>
      </c>
      <c r="F181" s="19">
        <v>9.08</v>
      </c>
      <c r="G181" s="32">
        <f>IF(B181="高三",IF($E181="男",LOOKUP(F181,[1]对照表!$G$3:$G$24,[1]对照表!$H$3:$H$24),LOOKUP(F181,[1]对照表!$G$27:$G$48,[1]对照表!$H$27:$H$48)),IF(B181="高二",IF($E181="男",LOOKUP(F181,[1]对照表!$F$3:$F$24,[1]对照表!$H$3:$H$24),LOOKUP(F181,[1]对照表!$F$27:$F$48,[1]对照表!$H$27:$H$48)),IF(B181="高一",IF($E181="男",LOOKUP(F181,[1]对照表!$E$3:$E$24,[1]对照表!$H$3:$H$24),LOOKUP(F181,[1]对照表!$E$27:$E$48,[1]对照表!$H$27:$H$48)))))</f>
        <v>74</v>
      </c>
      <c r="H181" s="21">
        <v>4</v>
      </c>
      <c r="I181" s="32">
        <f>IF(B181="高三",IF($E181="男",LOOKUP(H181,[1]对照表!$K$3:$K$24,[1]对照表!$L$3:$L$24),LOOKUP(H181,[1]对照表!$K$27:$K$48,[1]对照表!$L$27:$L$48)),IF(B181="高二",IF($E181="男",LOOKUP(H181,[1]对照表!$J$3:$J$24,[1]对照表!$L$3:$L$24),LOOKUP(H181,[1]对照表!$J$27:$J$48,[1]对照表!$L$27:$L$48)),IF(B181="高一",IF($E181="男",LOOKUP(H181,[1]对照表!$I$3:$I$24,[1]对照表!$L$3:$L$24),LOOKUP(H181,[1]对照表!$I$27:$I$48,[1]对照表!$L$27:$L$48)))))</f>
        <v>50</v>
      </c>
      <c r="J181" s="21">
        <v>198</v>
      </c>
      <c r="K181" s="32">
        <f>IF(B181="高三",IF($E181="男",LOOKUP(J181,[1]对照表!$O$3:$O$24,[1]对照表!$P$3:$P$24),LOOKUP(J181,[1]对照表!$O$27:$O$48,[1]对照表!$P$27:$P$48)),IF(B181="高二",IF($E181="男",LOOKUP(J181,[1]对照表!$N$3:$N$24,[1]对照表!$P$3:$P$24),LOOKUP(J181,[1]对照表!$N$27:$N$48,[1]对照表!$P$27:$P$48)),IF(B181="高一",IF($E181="男",LOOKUP(J181,[1]对照表!$M$3:$M$24,[1]对照表!$P$3:$P$24),LOOKUP(J181,[1]对照表!$M$27:$M$48,[1]对照表!$P$27:$P$48)))))</f>
        <v>95</v>
      </c>
      <c r="L181" s="21">
        <v>52</v>
      </c>
      <c r="M181" s="32">
        <f>IF(B181="高三",IF($E181="男",LOOKUP(L181,[1]对照表!$S$3:$S$24,[1]对照表!$T$3:$T$24),LOOKUP(L181,[1]对照表!$S$27:$S$48,[1]对照表!$T$27:$T$48)),IF(B181="高二",IF($E181="男",LOOKUP(L181,[1]对照表!$R$3:$R$24,[1]对照表!$T$3:$T$24),LOOKUP(L181,[1]对照表!$R$27:$R$48,[1]对照表!$T$27:$T$48)),IF(B181="高一",IF($E181="男",LOOKUP(L181,[1]对照表!$Q$3:$Q$24,[1]对照表!$T$3:$T$24),LOOKUP(L181,[1]对照表!$Q$27:$Q$48,[1]对照表!$T$27:$T$48)))))</f>
        <v>95</v>
      </c>
      <c r="N181" s="33">
        <f>IF(B181="高三",MAX(IF(E181="男",L181-18,L181-55),0),IF(B181="高二",MAX(IF(E181="男",L181-17,L181-54),0),IF(B181="高一",MAX(IF(E181="男",L181-16,L181-53),0))))</f>
        <v>0</v>
      </c>
      <c r="O181" s="23">
        <f>IF(E181="男",LOOKUP($N181,[1]对照表!$Z$3:$Z$13,[1]对照表!$AA$3:$AA$13),LOOKUP($N181,[1]对照表!$Z$15:$Z$25,[1]对照表!$AA$15:$AA$25))</f>
        <v>0</v>
      </c>
      <c r="P181" s="24">
        <f>M181+O181</f>
        <v>95</v>
      </c>
      <c r="Q181" s="25">
        <v>3.4</v>
      </c>
      <c r="R181" s="32">
        <f>IF(B181="高三",IF($E181="男",LOOKUP(Q181,[1]对照表!$W$3:$W$24,[1]对照表!$X$3:$X$24),LOOKUP(Q181,[1]对照表!$W$27:$W$48,[1]对照表!$X$27:$X$48)),IF(B181="高二",IF($E181="男",LOOKUP(Q181,[1]对照表!$V$3:$V$24,[1]对照表!$X$3:$X$24),LOOKUP(Q181,[1]对照表!$V$27:$V$48,[1]对照表!$X$27:$X$48)),IF(B181="高一",IF($E181="男",LOOKUP(Q181,[1]对照表!$U$3:$U$24,[1]对照表!$X$3:$X$24),LOOKUP(Q181,[1]对照表!$U$27:$U$48,[1]对照表!$X$27:$X$48)))))</f>
        <v>85</v>
      </c>
      <c r="S181" s="33">
        <f>ROUND(IF(IF($B181="高三",MIN(IF($E181="男",$Q181-3.2,$Q181-3.2),0),IF($B181="高二",MIN(IF($E181="男",$Q181-3.25,$Q181-3.22),0),IF($B181="高一",MIN(IF($E181="男",$Q181-3.3,$Q181-3.24),0))))&lt;-0.6,IF($B181="高三",MIN(IF($E181="男",$Q181-3.2,$Q181-3.2),0),IF($B181="高二",MIN(IF($E181="男",$Q181-3.25,$Q181-3.22),0),IF($B181="高一",MIN(IF($E181="男",$Q181-3.3,$Q181-3.24),0))))+0.4,IF($B181="高三",MIN(IF($E181="男",$Q181-3.2,$Q181-3.2),0),IF($B181="高二",MIN(IF($E181="男",$Q181-3.25,$Q181-3.22),0),IF($B181="高一",MIN(IF($E181="男",$Q181-3.3,$Q181-3.24),0))))),2)</f>
        <v>0</v>
      </c>
      <c r="T181" s="23">
        <f>IF(E181="男",LOOKUP($S181,[1]对照表!$AB$3:$AB$13,[1]对照表!$AC$3:$AC$13),LOOKUP($S181,[1]对照表!$AB$15:$AB$25,[1]对照表!$AC$15:$AC$25))</f>
        <v>0</v>
      </c>
      <c r="U181" s="26">
        <f>R181+T181</f>
        <v>85</v>
      </c>
      <c r="V181" s="26">
        <f>SUM(I181,K181,M181)/3*0.3+SUM(G181,R181)/2*0.4</f>
        <v>55.8</v>
      </c>
      <c r="W181" s="27">
        <f>O181+T181</f>
        <v>0</v>
      </c>
      <c r="X181" s="28">
        <f>V181/0.7+W181</f>
        <v>79.714285714285708</v>
      </c>
      <c r="Y181" s="28">
        <v>79.714285714285708</v>
      </c>
      <c r="Z181" s="21"/>
    </row>
    <row r="182" spans="1:26" x14ac:dyDescent="0.25">
      <c r="A182" s="16">
        <v>24</v>
      </c>
      <c r="B182" s="17" t="s">
        <v>21</v>
      </c>
      <c r="C182" s="16">
        <v>105</v>
      </c>
      <c r="D182" s="18" t="s">
        <v>466</v>
      </c>
      <c r="E182" s="17" t="s">
        <v>23</v>
      </c>
      <c r="F182" s="19">
        <v>6.8</v>
      </c>
      <c r="G182" s="32">
        <f>IF(B182="高三",IF($E182="男",LOOKUP(F182,[1]对照表!$G$3:$G$24,[1]对照表!$H$3:$H$24),LOOKUP(F182,[1]对照表!$G$27:$G$48,[1]对照表!$H$27:$H$48)),IF(B182="高二",IF($E182="男",LOOKUP(F182,[1]对照表!$F$3:$F$24,[1]对照表!$H$3:$H$24),LOOKUP(F182,[1]对照表!$F$27:$F$48,[1]对照表!$H$27:$H$48)),IF(B182="高一",IF($E182="男",LOOKUP(F182,[1]对照表!$E$3:$E$24,[1]对照表!$H$3:$H$24),LOOKUP(F182,[1]对照表!$E$27:$E$48,[1]对照表!$H$27:$H$48)))))</f>
        <v>100</v>
      </c>
      <c r="H182" s="21">
        <v>9</v>
      </c>
      <c r="I182" s="32">
        <f>IF(B182="高三",IF($E182="男",LOOKUP(H182,[1]对照表!$K$3:$K$24,[1]对照表!$L$3:$L$24),LOOKUP(H182,[1]对照表!$K$27:$K$48,[1]对照表!$L$27:$L$48)),IF(B182="高二",IF($E182="男",LOOKUP(H182,[1]对照表!$J$3:$J$24,[1]对照表!$L$3:$L$24),LOOKUP(H182,[1]对照表!$J$27:$J$48,[1]对照表!$L$27:$L$48)),IF(B182="高一",IF($E182="男",LOOKUP(H182,[1]对照表!$I$3:$I$24,[1]对照表!$L$3:$L$24),LOOKUP(H182,[1]对照表!$I$27:$I$48,[1]对照表!$L$27:$L$48)))))</f>
        <v>70</v>
      </c>
      <c r="J182" s="21">
        <v>247</v>
      </c>
      <c r="K182" s="32">
        <f>IF(B182="高三",IF($E182="男",LOOKUP(J182,[1]对照表!$O$3:$O$24,[1]对照表!$P$3:$P$24),LOOKUP(J182,[1]对照表!$O$27:$O$48,[1]对照表!$P$27:$P$48)),IF(B182="高二",IF($E182="男",LOOKUP(J182,[1]对照表!$N$3:$N$24,[1]对照表!$P$3:$P$24),LOOKUP(J182,[1]对照表!$N$27:$N$48,[1]对照表!$P$27:$P$48)),IF(B182="高一",IF($E182="男",LOOKUP(J182,[1]对照表!$M$3:$M$24,[1]对照表!$P$3:$P$24),LOOKUP(J182,[1]对照表!$M$27:$M$48,[1]对照表!$P$27:$P$48)))))</f>
        <v>85</v>
      </c>
      <c r="L182" s="21">
        <v>0</v>
      </c>
      <c r="M182" s="32">
        <f>IF(B182="高三",IF($E182="男",LOOKUP(L182,[1]对照表!$S$3:$S$24,[1]对照表!$T$3:$T$24),LOOKUP(L182,[1]对照表!$S$27:$S$48,[1]对照表!$T$27:$T$48)),IF(B182="高二",IF($E182="男",LOOKUP(L182,[1]对照表!$R$3:$R$24,[1]对照表!$T$3:$T$24),LOOKUP(L182,[1]对照表!$R$27:$R$48,[1]对照表!$T$27:$T$48)),IF(B182="高一",IF($E182="男",LOOKUP(L182,[1]对照表!$Q$3:$Q$24,[1]对照表!$T$3:$T$24),LOOKUP(L182,[1]对照表!$Q$27:$Q$48,[1]对照表!$T$27:$T$48)))))</f>
        <v>0</v>
      </c>
      <c r="N182" s="33">
        <f>IF(B182="高三",MAX(IF(E182="男",L182-18,L182-55),0),IF(B182="高二",MAX(IF(E182="男",L182-17,L182-54),0),IF(B182="高一",MAX(IF(E182="男",L182-16,L182-53),0))))</f>
        <v>0</v>
      </c>
      <c r="O182" s="23">
        <f>IF(E182="男",LOOKUP($N182,[1]对照表!$Z$3:$Z$13,[1]对照表!$AA$3:$AA$13),LOOKUP($N182,[1]对照表!$Z$15:$Z$25,[1]对照表!$AA$15:$AA$25))</f>
        <v>0</v>
      </c>
      <c r="P182" s="24">
        <f>M182+O182</f>
        <v>0</v>
      </c>
      <c r="Q182" s="25">
        <v>3.56</v>
      </c>
      <c r="R182" s="32">
        <f>IF(B182="高三",IF($E182="男",LOOKUP(Q182,[1]对照表!$W$3:$W$24,[1]对照表!$X$3:$X$24),LOOKUP(Q182,[1]对照表!$W$27:$W$48,[1]对照表!$X$27:$X$48)),IF(B182="高二",IF($E182="男",LOOKUP(Q182,[1]对照表!$V$3:$V$24,[1]对照表!$X$3:$X$24),LOOKUP(Q182,[1]对照表!$V$27:$V$48,[1]对照表!$X$27:$X$48)),IF(B182="高一",IF($E182="男",LOOKUP(Q182,[1]对照表!$U$3:$U$24,[1]对照表!$X$3:$X$24),LOOKUP(Q182,[1]对照表!$U$27:$U$48,[1]对照表!$X$27:$X$48)))))</f>
        <v>78</v>
      </c>
      <c r="S182" s="33">
        <f>ROUND(IF(IF($B182="高三",MIN(IF($E182="男",$Q182-3.2,$Q182-3.2),0),IF($B182="高二",MIN(IF($E182="男",$Q182-3.25,$Q182-3.22),0),IF($B182="高一",MIN(IF($E182="男",$Q182-3.3,$Q182-3.24),0))))&lt;-0.6,IF($B182="高三",MIN(IF($E182="男",$Q182-3.2,$Q182-3.2),0),IF($B182="高二",MIN(IF($E182="男",$Q182-3.25,$Q182-3.22),0),IF($B182="高一",MIN(IF($E182="男",$Q182-3.3,$Q182-3.24),0))))+0.4,IF($B182="高三",MIN(IF($E182="男",$Q182-3.2,$Q182-3.2),0),IF($B182="高二",MIN(IF($E182="男",$Q182-3.25,$Q182-3.22),0),IF($B182="高一",MIN(IF($E182="男",$Q182-3.3,$Q182-3.24),0))))),2)</f>
        <v>0</v>
      </c>
      <c r="T182" s="23">
        <f>IF(E182="男",LOOKUP($S182,[1]对照表!$AB$3:$AB$13,[1]对照表!$AC$3:$AC$13),LOOKUP($S182,[1]对照表!$AB$15:$AB$25,[1]对照表!$AC$15:$AC$25))</f>
        <v>0</v>
      </c>
      <c r="U182" s="26">
        <f>R182+T182</f>
        <v>78</v>
      </c>
      <c r="V182" s="26">
        <f>SUM(I182,K182,M182)/3*0.3+SUM(G182,R182)/2*0.4</f>
        <v>51.1</v>
      </c>
      <c r="W182" s="27">
        <f>O182+T182</f>
        <v>0</v>
      </c>
      <c r="X182" s="28">
        <f>V182/0.7+W182</f>
        <v>73</v>
      </c>
      <c r="Y182" s="28">
        <v>73</v>
      </c>
      <c r="Z182" s="21"/>
    </row>
    <row r="183" spans="1:26" x14ac:dyDescent="0.25">
      <c r="A183" s="16">
        <v>20</v>
      </c>
      <c r="B183" s="17" t="s">
        <v>21</v>
      </c>
      <c r="C183" s="16">
        <v>105</v>
      </c>
      <c r="D183" s="18" t="s">
        <v>480</v>
      </c>
      <c r="E183" s="17" t="s">
        <v>23</v>
      </c>
      <c r="F183" s="19">
        <v>7.4</v>
      </c>
      <c r="G183" s="32">
        <f>IF(B183="高三",IF($E183="男",LOOKUP(F183,[1]对照表!$G$3:$G$24,[1]对照表!$H$3:$H$24),LOOKUP(F183,[1]对照表!$G$27:$G$48,[1]对照表!$H$27:$H$48)),IF(B183="高二",IF($E183="男",LOOKUP(F183,[1]对照表!$F$3:$F$24,[1]对照表!$H$3:$H$24),LOOKUP(F183,[1]对照表!$F$27:$F$48,[1]对照表!$H$27:$H$48)),IF(B183="高一",IF($E183="男",LOOKUP(F183,[1]对照表!$E$3:$E$24,[1]对照表!$H$3:$H$24),LOOKUP(F183,[1]对照表!$E$27:$E$48,[1]对照表!$H$27:$H$48)))))</f>
        <v>85</v>
      </c>
      <c r="H183" s="21">
        <v>0.4</v>
      </c>
      <c r="I183" s="32">
        <f>IF(B183="高三",IF($E183="男",LOOKUP(H183,[1]对照表!$K$3:$K$24,[1]对照表!$L$3:$L$24),LOOKUP(H183,[1]对照表!$K$27:$K$48,[1]对照表!$L$27:$L$48)),IF(B183="高二",IF($E183="男",LOOKUP(H183,[1]对照表!$J$3:$J$24,[1]对照表!$L$3:$L$24),LOOKUP(H183,[1]对照表!$J$27:$J$48,[1]对照表!$L$27:$L$48)),IF(B183="高一",IF($E183="男",LOOKUP(H183,[1]对照表!$I$3:$I$24,[1]对照表!$L$3:$L$24),LOOKUP(H183,[1]对照表!$I$27:$I$48,[1]对照表!$L$27:$L$48)))))</f>
        <v>50</v>
      </c>
      <c r="J183" s="21">
        <v>207</v>
      </c>
      <c r="K183" s="32">
        <f>IF(B183="高三",IF($E183="男",LOOKUP(J183,[1]对照表!$O$3:$O$24,[1]对照表!$P$3:$P$24),LOOKUP(J183,[1]对照表!$O$27:$O$48,[1]对照表!$P$27:$P$48)),IF(B183="高二",IF($E183="男",LOOKUP(J183,[1]对照表!$N$3:$N$24,[1]对照表!$P$3:$P$24),LOOKUP(J183,[1]对照表!$N$27:$N$48,[1]对照表!$P$27:$P$48)),IF(B183="高一",IF($E183="男",LOOKUP(J183,[1]对照表!$M$3:$M$24,[1]对照表!$P$3:$P$24),LOOKUP(J183,[1]对照表!$M$27:$M$48,[1]对照表!$P$27:$P$48)))))</f>
        <v>66</v>
      </c>
      <c r="L183" s="21">
        <v>5</v>
      </c>
      <c r="M183" s="32">
        <f>IF(B183="高三",IF($E183="男",LOOKUP(L183,[1]对照表!$S$3:$S$24,[1]对照表!$T$3:$T$24),LOOKUP(L183,[1]对照表!$S$27:$S$48,[1]对照表!$T$27:$T$48)),IF(B183="高二",IF($E183="男",LOOKUP(L183,[1]对照表!$R$3:$R$24,[1]对照表!$T$3:$T$24),LOOKUP(L183,[1]对照表!$R$27:$R$48,[1]对照表!$T$27:$T$48)),IF(B183="高一",IF($E183="男",LOOKUP(L183,[1]对照表!$Q$3:$Q$24,[1]对照表!$T$3:$T$24),LOOKUP(L183,[1]对照表!$Q$27:$Q$48,[1]对照表!$T$27:$T$48)))))</f>
        <v>40</v>
      </c>
      <c r="N183" s="33">
        <f>IF(B183="高三",MAX(IF(E183="男",L183-18,L183-55),0),IF(B183="高二",MAX(IF(E183="男",L183-17,L183-54),0),IF(B183="高一",MAX(IF(E183="男",L183-16,L183-53),0))))</f>
        <v>0</v>
      </c>
      <c r="O183" s="23">
        <f>IF(E183="男",LOOKUP($N183,[1]对照表!$Z$3:$Z$13,[1]对照表!$AA$3:$AA$13),LOOKUP($N183,[1]对照表!$Z$15:$Z$25,[1]对照表!$AA$15:$AA$25))</f>
        <v>0</v>
      </c>
      <c r="P183" s="24">
        <f>M183+O183</f>
        <v>40</v>
      </c>
      <c r="Q183" s="25">
        <v>3.45</v>
      </c>
      <c r="R183" s="32">
        <f>IF(B183="高三",IF($E183="男",LOOKUP(Q183,[1]对照表!$W$3:$W$24,[1]对照表!$X$3:$X$24),LOOKUP(Q183,[1]对照表!$W$27:$W$48,[1]对照表!$X$27:$X$48)),IF(B183="高二",IF($E183="男",LOOKUP(Q183,[1]对照表!$V$3:$V$24,[1]对照表!$X$3:$X$24),LOOKUP(Q183,[1]对照表!$V$27:$V$48,[1]对照表!$X$27:$X$48)),IF(B183="高一",IF($E183="男",LOOKUP(Q183,[1]对照表!$U$3:$U$24,[1]对照表!$X$3:$X$24),LOOKUP(Q183,[1]对照表!$U$27:$U$48,[1]对照表!$X$27:$X$48)))))</f>
        <v>85</v>
      </c>
      <c r="S183" s="33">
        <f>ROUND(IF(IF($B183="高三",MIN(IF($E183="男",$Q183-3.2,$Q183-3.2),0),IF($B183="高二",MIN(IF($E183="男",$Q183-3.25,$Q183-3.22),0),IF($B183="高一",MIN(IF($E183="男",$Q183-3.3,$Q183-3.24),0))))&lt;-0.6,IF($B183="高三",MIN(IF($E183="男",$Q183-3.2,$Q183-3.2),0),IF($B183="高二",MIN(IF($E183="男",$Q183-3.25,$Q183-3.22),0),IF($B183="高一",MIN(IF($E183="男",$Q183-3.3,$Q183-3.24),0))))+0.4,IF($B183="高三",MIN(IF($E183="男",$Q183-3.2,$Q183-3.2),0),IF($B183="高二",MIN(IF($E183="男",$Q183-3.25,$Q183-3.22),0),IF($B183="高一",MIN(IF($E183="男",$Q183-3.3,$Q183-3.24),0))))),2)</f>
        <v>0</v>
      </c>
      <c r="T183" s="23">
        <f>IF(E183="男",LOOKUP($S183,[1]对照表!$AB$3:$AB$13,[1]对照表!$AC$3:$AC$13),LOOKUP($S183,[1]对照表!$AB$15:$AB$25,[1]对照表!$AC$15:$AC$25))</f>
        <v>0</v>
      </c>
      <c r="U183" s="26">
        <f>R183+T183</f>
        <v>85</v>
      </c>
      <c r="V183" s="26">
        <f>SUM(I183,K183,M183)/3*0.3+SUM(G183,R183)/2*0.4</f>
        <v>49.6</v>
      </c>
      <c r="W183" s="27">
        <f>O183+T183</f>
        <v>0</v>
      </c>
      <c r="X183" s="28">
        <f>V183/0.7+W183</f>
        <v>70.857142857142861</v>
      </c>
      <c r="Y183" s="28">
        <v>70.857142857142861</v>
      </c>
      <c r="Z183" s="21"/>
    </row>
    <row r="184" spans="1:26" x14ac:dyDescent="0.25">
      <c r="A184" s="16">
        <v>44</v>
      </c>
      <c r="B184" s="17" t="s">
        <v>21</v>
      </c>
      <c r="C184" s="16">
        <v>105</v>
      </c>
      <c r="D184" s="18" t="s">
        <v>505</v>
      </c>
      <c r="E184" s="17" t="s">
        <v>65</v>
      </c>
      <c r="F184" s="19">
        <v>9.4499999999999993</v>
      </c>
      <c r="G184" s="32">
        <f>IF(B184="高三",IF($E184="男",LOOKUP(F184,[1]对照表!$G$3:$G$24,[1]对照表!$H$3:$H$24),LOOKUP(F184,[1]对照表!$G$27:$G$48,[1]对照表!$H$27:$H$48)),IF(B184="高二",IF($E184="男",LOOKUP(F184,[1]对照表!$F$3:$F$24,[1]对照表!$H$3:$H$24),LOOKUP(F184,[1]对照表!$F$27:$F$48,[1]对照表!$H$27:$H$48)),IF(B184="高一",IF($E184="男",LOOKUP(F184,[1]对照表!$E$3:$E$24,[1]对照表!$H$3:$H$24),LOOKUP(F184,[1]对照表!$E$27:$E$48,[1]对照表!$H$27:$H$48)))))</f>
        <v>70</v>
      </c>
      <c r="H184" s="21">
        <v>17.5</v>
      </c>
      <c r="I184" s="32">
        <f>IF(B184="高三",IF($E184="男",LOOKUP(H184,[1]对照表!$K$3:$K$24,[1]对照表!$L$3:$L$24),LOOKUP(H184,[1]对照表!$K$27:$K$48,[1]对照表!$L$27:$L$48)),IF(B184="高二",IF($E184="男",LOOKUP(H184,[1]对照表!$J$3:$J$24,[1]对照表!$L$3:$L$24),LOOKUP(H184,[1]对照表!$J$27:$J$48,[1]对照表!$L$27:$L$48)),IF(B184="高一",IF($E184="男",LOOKUP(H184,[1]对照表!$I$3:$I$24,[1]对照表!$L$3:$L$24),LOOKUP(H184,[1]对照表!$I$27:$I$48,[1]对照表!$L$27:$L$48)))))</f>
        <v>80</v>
      </c>
      <c r="J184" s="21">
        <v>162</v>
      </c>
      <c r="K184" s="32">
        <f>IF(B184="高三",IF($E184="男",LOOKUP(J184,[1]对照表!$O$3:$O$24,[1]对照表!$P$3:$P$24),LOOKUP(J184,[1]对照表!$O$27:$O$48,[1]对照表!$P$27:$P$48)),IF(B184="高二",IF($E184="男",LOOKUP(J184,[1]对照表!$N$3:$N$24,[1]对照表!$P$3:$P$24),LOOKUP(J184,[1]对照表!$N$27:$N$48,[1]对照表!$P$27:$P$48)),IF(B184="高一",IF($E184="男",LOOKUP(J184,[1]对照表!$M$3:$M$24,[1]对照表!$P$3:$P$24),LOOKUP(J184,[1]对照表!$M$27:$M$48,[1]对照表!$P$27:$P$48)))))</f>
        <v>68</v>
      </c>
      <c r="L184" s="21">
        <v>43</v>
      </c>
      <c r="M184" s="32">
        <f>IF(B184="高三",IF($E184="男",LOOKUP(L184,[1]对照表!$S$3:$S$24,[1]对照表!$T$3:$T$24),LOOKUP(L184,[1]对照表!$S$27:$S$48,[1]对照表!$T$27:$T$48)),IF(B184="高二",IF($E184="男",LOOKUP(L184,[1]对照表!$R$3:$R$24,[1]对照表!$T$3:$T$24),LOOKUP(L184,[1]对照表!$R$27:$R$48,[1]对照表!$T$27:$T$48)),IF(B184="高一",IF($E184="男",LOOKUP(L184,[1]对照表!$Q$3:$Q$24,[1]对照表!$T$3:$T$24),LOOKUP(L184,[1]对照表!$Q$27:$Q$48,[1]对照表!$T$27:$T$48)))))</f>
        <v>80</v>
      </c>
      <c r="N184" s="33">
        <f>IF(B184="高三",MAX(IF(E184="男",L184-18,L184-55),0),IF(B184="高二",MAX(IF(E184="男",L184-17,L184-54),0),IF(B184="高一",MAX(IF(E184="男",L184-16,L184-53),0))))</f>
        <v>0</v>
      </c>
      <c r="O184" s="23">
        <f>IF(E184="男",LOOKUP($N184,[1]对照表!$Z$3:$Z$13,[1]对照表!$AA$3:$AA$13),LOOKUP($N184,[1]对照表!$Z$15:$Z$25,[1]对照表!$AA$15:$AA$25))</f>
        <v>0</v>
      </c>
      <c r="P184" s="24">
        <f>M184+O184</f>
        <v>80</v>
      </c>
      <c r="Q184" s="25">
        <v>3.45</v>
      </c>
      <c r="R184" s="32">
        <f>IF(B184="高三",IF($E184="男",LOOKUP(Q184,[1]对照表!$W$3:$W$24,[1]对照表!$X$3:$X$24),LOOKUP(Q184,[1]对照表!$W$27:$W$48,[1]对照表!$X$27:$X$48)),IF(B184="高二",IF($E184="男",LOOKUP(Q184,[1]对照表!$V$3:$V$24,[1]对照表!$X$3:$X$24),LOOKUP(Q184,[1]对照表!$V$27:$V$48,[1]对照表!$X$27:$X$48)),IF(B184="高一",IF($E184="男",LOOKUP(Q184,[1]对照表!$U$3:$U$24,[1]对照表!$X$3:$X$24),LOOKUP(Q184,[1]对照表!$U$27:$U$48,[1]对照表!$X$27:$X$48)))))</f>
        <v>80</v>
      </c>
      <c r="S184" s="33">
        <f>ROUND(IF(IF($B184="高三",MIN(IF($E184="男",$Q184-3.2,$Q184-3.2),0),IF($B184="高二",MIN(IF($E184="男",$Q184-3.25,$Q184-3.22),0),IF($B184="高一",MIN(IF($E184="男",$Q184-3.3,$Q184-3.24),0))))&lt;-0.6,IF($B184="高三",MIN(IF($E184="男",$Q184-3.2,$Q184-3.2),0),IF($B184="高二",MIN(IF($E184="男",$Q184-3.25,$Q184-3.22),0),IF($B184="高一",MIN(IF($E184="男",$Q184-3.3,$Q184-3.24),0))))+0.4,IF($B184="高三",MIN(IF($E184="男",$Q184-3.2,$Q184-3.2),0),IF($B184="高二",MIN(IF($E184="男",$Q184-3.25,$Q184-3.22),0),IF($B184="高一",MIN(IF($E184="男",$Q184-3.3,$Q184-3.24),0))))),2)</f>
        <v>0</v>
      </c>
      <c r="T184" s="23">
        <f>IF(E184="男",LOOKUP($S184,[1]对照表!$AB$3:$AB$13,[1]对照表!$AC$3:$AC$13),LOOKUP($S184,[1]对照表!$AB$15:$AB$25,[1]对照表!$AC$15:$AC$25))</f>
        <v>0</v>
      </c>
      <c r="U184" s="26">
        <f>R184+T184</f>
        <v>80</v>
      </c>
      <c r="V184" s="26">
        <f>SUM(I184,K184,M184)/3*0.3+SUM(G184,R184)/2*0.4</f>
        <v>52.8</v>
      </c>
      <c r="W184" s="27">
        <f>O184+T184</f>
        <v>0</v>
      </c>
      <c r="X184" s="28">
        <f>V184/0.7+W184</f>
        <v>75.428571428571431</v>
      </c>
      <c r="Y184" s="28">
        <v>75.428571428571431</v>
      </c>
      <c r="Z184" s="21"/>
    </row>
    <row r="185" spans="1:26" x14ac:dyDescent="0.25">
      <c r="A185" s="16">
        <v>2</v>
      </c>
      <c r="B185" s="17" t="s">
        <v>21</v>
      </c>
      <c r="C185" s="16">
        <v>105</v>
      </c>
      <c r="D185" s="18" t="s">
        <v>514</v>
      </c>
      <c r="E185" s="17" t="s">
        <v>23</v>
      </c>
      <c r="F185" s="19">
        <v>7.5</v>
      </c>
      <c r="G185" s="32">
        <f>IF(B185="高三",IF($E185="男",LOOKUP(F185,[1]对照表!$G$3:$G$24,[1]对照表!$H$3:$H$24),LOOKUP(F185,[1]对照表!$G$27:$G$48,[1]对照表!$H$27:$H$48)),IF(B185="高二",IF($E185="男",LOOKUP(F185,[1]对照表!$F$3:$F$24,[1]对照表!$H$3:$H$24),LOOKUP(F185,[1]对照表!$F$27:$F$48,[1]对照表!$H$27:$H$48)),IF(B185="高一",IF($E185="男",LOOKUP(F185,[1]对照表!$E$3:$E$24,[1]对照表!$H$3:$H$24),LOOKUP(F185,[1]对照表!$E$27:$E$48,[1]对照表!$H$27:$H$48)))))</f>
        <v>80</v>
      </c>
      <c r="H185" s="21">
        <v>4</v>
      </c>
      <c r="I185" s="32">
        <f>IF(B185="高三",IF($E185="男",LOOKUP(H185,[1]对照表!$K$3:$K$24,[1]对照表!$L$3:$L$24),LOOKUP(H185,[1]对照表!$K$27:$K$48,[1]对照表!$L$27:$L$48)),IF(B185="高二",IF($E185="男",LOOKUP(H185,[1]对照表!$J$3:$J$24,[1]对照表!$L$3:$L$24),LOOKUP(H185,[1]对照表!$J$27:$J$48,[1]对照表!$L$27:$L$48)),IF(B185="高一",IF($E185="男",LOOKUP(H185,[1]对照表!$I$3:$I$24,[1]对照表!$L$3:$L$24),LOOKUP(H185,[1]对照表!$I$27:$I$48,[1]对照表!$L$27:$L$48)))))</f>
        <v>64</v>
      </c>
      <c r="J185" s="21">
        <v>210</v>
      </c>
      <c r="K185" s="32">
        <f>IF(B185="高三",IF($E185="男",LOOKUP(J185,[1]对照表!$O$3:$O$24,[1]对照表!$P$3:$P$24),LOOKUP(J185,[1]对照表!$O$27:$O$48,[1]对照表!$P$27:$P$48)),IF(B185="高二",IF($E185="男",LOOKUP(J185,[1]对照表!$N$3:$N$24,[1]对照表!$P$3:$P$24),LOOKUP(J185,[1]对照表!$N$27:$N$48,[1]对照表!$P$27:$P$48)),IF(B185="高一",IF($E185="男",LOOKUP(J185,[1]对照表!$M$3:$M$24,[1]对照表!$P$3:$P$24),LOOKUP(J185,[1]对照表!$M$27:$M$48,[1]对照表!$P$27:$P$48)))))</f>
        <v>66</v>
      </c>
      <c r="L185" s="21">
        <v>11</v>
      </c>
      <c r="M185" s="32">
        <f>IF(B185="高三",IF($E185="男",LOOKUP(L185,[1]对照表!$S$3:$S$24,[1]对照表!$T$3:$T$24),LOOKUP(L185,[1]对照表!$S$27:$S$48,[1]对照表!$T$27:$T$48)),IF(B185="高二",IF($E185="男",LOOKUP(L185,[1]对照表!$R$3:$R$24,[1]对照表!$T$3:$T$24),LOOKUP(L185,[1]对照表!$R$27:$R$48,[1]对照表!$T$27:$T$48)),IF(B185="高一",IF($E185="男",LOOKUP(L185,[1]对照表!$Q$3:$Q$24,[1]对照表!$T$3:$T$24),LOOKUP(L185,[1]对照表!$Q$27:$Q$48,[1]对照表!$T$27:$T$48)))))</f>
        <v>76</v>
      </c>
      <c r="N185" s="33">
        <f>IF(B185="高三",MAX(IF(E185="男",L185-18,L185-55),0),IF(B185="高二",MAX(IF(E185="男",L185-17,L185-54),0),IF(B185="高一",MAX(IF(E185="男",L185-16,L185-53),0))))</f>
        <v>0</v>
      </c>
      <c r="O185" s="23">
        <f>IF(E185="男",LOOKUP($N185,[1]对照表!$Z$3:$Z$13,[1]对照表!$AA$3:$AA$13),LOOKUP($N185,[1]对照表!$Z$15:$Z$25,[1]对照表!$AA$15:$AA$25))</f>
        <v>0</v>
      </c>
      <c r="P185" s="24">
        <f>M185+O185</f>
        <v>76</v>
      </c>
      <c r="Q185" s="25">
        <v>4.4000000000000004</v>
      </c>
      <c r="R185" s="32">
        <f>IF(B185="高三",IF($E185="男",LOOKUP(Q185,[1]对照表!$W$3:$W$24,[1]对照表!$X$3:$X$24),LOOKUP(Q185,[1]对照表!$W$27:$W$48,[1]对照表!$X$27:$X$48)),IF(B185="高二",IF($E185="男",LOOKUP(Q185,[1]对照表!$V$3:$V$24,[1]对照表!$X$3:$X$24),LOOKUP(Q185,[1]对照表!$V$27:$V$48,[1]对照表!$X$27:$X$48)),IF(B185="高一",IF($E185="男",LOOKUP(Q185,[1]对照表!$U$3:$U$24,[1]对照表!$X$3:$X$24),LOOKUP(Q185,[1]对照表!$U$27:$U$48,[1]对照表!$X$27:$X$48)))))</f>
        <v>62</v>
      </c>
      <c r="S185" s="33">
        <f>ROUND(IF(IF($B185="高三",MIN(IF($E185="男",$Q185-3.2,$Q185-3.2),0),IF($B185="高二",MIN(IF($E185="男",$Q185-3.25,$Q185-3.22),0),IF($B185="高一",MIN(IF($E185="男",$Q185-3.3,$Q185-3.24),0))))&lt;-0.6,IF($B185="高三",MIN(IF($E185="男",$Q185-3.2,$Q185-3.2),0),IF($B185="高二",MIN(IF($E185="男",$Q185-3.25,$Q185-3.22),0),IF($B185="高一",MIN(IF($E185="男",$Q185-3.3,$Q185-3.24),0))))+0.4,IF($B185="高三",MIN(IF($E185="男",$Q185-3.2,$Q185-3.2),0),IF($B185="高二",MIN(IF($E185="男",$Q185-3.25,$Q185-3.22),0),IF($B185="高一",MIN(IF($E185="男",$Q185-3.3,$Q185-3.24),0))))),2)</f>
        <v>0</v>
      </c>
      <c r="T185" s="23">
        <f>IF(E185="男",LOOKUP($S185,[1]对照表!$AB$3:$AB$13,[1]对照表!$AC$3:$AC$13),LOOKUP($S185,[1]对照表!$AB$15:$AB$25,[1]对照表!$AC$15:$AC$25))</f>
        <v>0</v>
      </c>
      <c r="U185" s="26">
        <f>R185+T185</f>
        <v>62</v>
      </c>
      <c r="V185" s="26">
        <f>SUM(I185,K185,M185)/3*0.3+SUM(G185,R185)/2*0.4</f>
        <v>49</v>
      </c>
      <c r="W185" s="27">
        <f>O185+T185</f>
        <v>0</v>
      </c>
      <c r="X185" s="28">
        <f>V185/0.7+W185</f>
        <v>70</v>
      </c>
      <c r="Y185" s="28">
        <v>70</v>
      </c>
      <c r="Z185" s="21"/>
    </row>
    <row r="186" spans="1:26" x14ac:dyDescent="0.25">
      <c r="A186" s="16">
        <v>16</v>
      </c>
      <c r="B186" s="17" t="s">
        <v>21</v>
      </c>
      <c r="C186" s="16">
        <v>105</v>
      </c>
      <c r="D186" s="18" t="s">
        <v>528</v>
      </c>
      <c r="E186" s="17" t="s">
        <v>23</v>
      </c>
      <c r="F186" s="19">
        <v>7.4</v>
      </c>
      <c r="G186" s="32">
        <f>IF(B186="高三",IF($E186="男",LOOKUP(F186,[1]对照表!$G$3:$G$24,[1]对照表!$H$3:$H$24),LOOKUP(F186,[1]对照表!$G$27:$G$48,[1]对照表!$H$27:$H$48)),IF(B186="高二",IF($E186="男",LOOKUP(F186,[1]对照表!$F$3:$F$24,[1]对照表!$H$3:$H$24),LOOKUP(F186,[1]对照表!$F$27:$F$48,[1]对照表!$H$27:$H$48)),IF(B186="高一",IF($E186="男",LOOKUP(F186,[1]对照表!$E$3:$E$24,[1]对照表!$H$3:$H$24),LOOKUP(F186,[1]对照表!$E$27:$E$48,[1]对照表!$H$27:$H$48)))))</f>
        <v>85</v>
      </c>
      <c r="H186" s="21">
        <v>11.5</v>
      </c>
      <c r="I186" s="32">
        <f>IF(B186="高三",IF($E186="男",LOOKUP(H186,[1]对照表!$K$3:$K$24,[1]对照表!$L$3:$L$24),LOOKUP(H186,[1]对照表!$K$27:$K$48,[1]对照表!$L$27:$L$48)),IF(B186="高二",IF($E186="男",LOOKUP(H186,[1]对照表!$J$3:$J$24,[1]对照表!$L$3:$L$24),LOOKUP(H186,[1]对照表!$J$27:$J$48,[1]对照表!$L$27:$L$48)),IF(B186="高一",IF($E186="男",LOOKUP(H186,[1]对照表!$I$3:$I$24,[1]对照表!$L$3:$L$24),LOOKUP(H186,[1]对照表!$I$27:$I$48,[1]对照表!$L$27:$L$48)))))</f>
        <v>74</v>
      </c>
      <c r="J186" s="21">
        <v>201</v>
      </c>
      <c r="K186" s="32">
        <f>IF(B186="高三",IF($E186="男",LOOKUP(J186,[1]对照表!$O$3:$O$24,[1]对照表!$P$3:$P$24),LOOKUP(J186,[1]对照表!$O$27:$O$48,[1]对照表!$P$27:$P$48)),IF(B186="高二",IF($E186="男",LOOKUP(J186,[1]对照表!$N$3:$N$24,[1]对照表!$P$3:$P$24),LOOKUP(J186,[1]对照表!$N$27:$N$48,[1]对照表!$P$27:$P$48)),IF(B186="高一",IF($E186="男",LOOKUP(J186,[1]对照表!$M$3:$M$24,[1]对照表!$P$3:$P$24),LOOKUP(J186,[1]对照表!$M$27:$M$48,[1]对照表!$P$27:$P$48)))))</f>
        <v>62</v>
      </c>
      <c r="L186" s="21">
        <v>0</v>
      </c>
      <c r="M186" s="32">
        <f>IF(B186="高三",IF($E186="男",LOOKUP(L186,[1]对照表!$S$3:$S$24,[1]对照表!$T$3:$T$24),LOOKUP(L186,[1]对照表!$S$27:$S$48,[1]对照表!$T$27:$T$48)),IF(B186="高二",IF($E186="男",LOOKUP(L186,[1]对照表!$R$3:$R$24,[1]对照表!$T$3:$T$24),LOOKUP(L186,[1]对照表!$R$27:$R$48,[1]对照表!$T$27:$T$48)),IF(B186="高一",IF($E186="男",LOOKUP(L186,[1]对照表!$Q$3:$Q$24,[1]对照表!$T$3:$T$24),LOOKUP(L186,[1]对照表!$Q$27:$Q$48,[1]对照表!$T$27:$T$48)))))</f>
        <v>0</v>
      </c>
      <c r="N186" s="33">
        <f>IF(B186="高三",MAX(IF(E186="男",L186-18,L186-55),0),IF(B186="高二",MAX(IF(E186="男",L186-17,L186-54),0),IF(B186="高一",MAX(IF(E186="男",L186-16,L186-53),0))))</f>
        <v>0</v>
      </c>
      <c r="O186" s="23">
        <f>IF(E186="男",LOOKUP($N186,[1]对照表!$Z$3:$Z$13,[1]对照表!$AA$3:$AA$13),LOOKUP($N186,[1]对照表!$Z$15:$Z$25,[1]对照表!$AA$15:$AA$25))</f>
        <v>0</v>
      </c>
      <c r="P186" s="24">
        <f>M186+O186</f>
        <v>0</v>
      </c>
      <c r="Q186" s="25">
        <v>3.46</v>
      </c>
      <c r="R186" s="32">
        <f>IF(B186="高三",IF($E186="男",LOOKUP(Q186,[1]对照表!$W$3:$W$24,[1]对照表!$X$3:$X$24),LOOKUP(Q186,[1]对照表!$W$27:$W$48,[1]对照表!$X$27:$X$48)),IF(B186="高二",IF($E186="男",LOOKUP(Q186,[1]对照表!$V$3:$V$24,[1]对照表!$X$3:$X$24),LOOKUP(Q186,[1]对照表!$V$27:$V$48,[1]对照表!$X$27:$X$48)),IF(B186="高一",IF($E186="男",LOOKUP(Q186,[1]对照表!$U$3:$U$24,[1]对照表!$X$3:$X$24),LOOKUP(Q186,[1]对照表!$U$27:$U$48,[1]对照表!$X$27:$X$48)))))</f>
        <v>85</v>
      </c>
      <c r="S186" s="33">
        <f>ROUND(IF(IF($B186="高三",MIN(IF($E186="男",$Q186-3.2,$Q186-3.2),0),IF($B186="高二",MIN(IF($E186="男",$Q186-3.25,$Q186-3.22),0),IF($B186="高一",MIN(IF($E186="男",$Q186-3.3,$Q186-3.24),0))))&lt;-0.6,IF($B186="高三",MIN(IF($E186="男",$Q186-3.2,$Q186-3.2),0),IF($B186="高二",MIN(IF($E186="男",$Q186-3.25,$Q186-3.22),0),IF($B186="高一",MIN(IF($E186="男",$Q186-3.3,$Q186-3.24),0))))+0.4,IF($B186="高三",MIN(IF($E186="男",$Q186-3.2,$Q186-3.2),0),IF($B186="高二",MIN(IF($E186="男",$Q186-3.25,$Q186-3.22),0),IF($B186="高一",MIN(IF($E186="男",$Q186-3.3,$Q186-3.24),0))))),2)</f>
        <v>0</v>
      </c>
      <c r="T186" s="23">
        <f>IF(E186="男",LOOKUP($S186,[1]对照表!$AB$3:$AB$13,[1]对照表!$AC$3:$AC$13),LOOKUP($S186,[1]对照表!$AB$15:$AB$25,[1]对照表!$AC$15:$AC$25))</f>
        <v>0</v>
      </c>
      <c r="U186" s="26">
        <f>R186+T186</f>
        <v>85</v>
      </c>
      <c r="V186" s="26">
        <f>SUM(I186,K186,M186)/3*0.3+SUM(G186,R186)/2*0.4</f>
        <v>47.6</v>
      </c>
      <c r="W186" s="27">
        <f>O186+T186</f>
        <v>0</v>
      </c>
      <c r="X186" s="28">
        <f>V186/0.7+W186</f>
        <v>68</v>
      </c>
      <c r="Y186" s="28">
        <v>68</v>
      </c>
      <c r="Z186" s="21"/>
    </row>
    <row r="187" spans="1:26" x14ac:dyDescent="0.25">
      <c r="A187" s="16">
        <v>30</v>
      </c>
      <c r="B187" s="17" t="s">
        <v>21</v>
      </c>
      <c r="C187" s="16">
        <v>105</v>
      </c>
      <c r="D187" s="18" t="s">
        <v>529</v>
      </c>
      <c r="E187" s="17" t="s">
        <v>23</v>
      </c>
      <c r="F187" s="19">
        <v>7.5</v>
      </c>
      <c r="G187" s="32">
        <f>IF(B187="高三",IF($E187="男",LOOKUP(F187,[1]对照表!$G$3:$G$24,[1]对照表!$H$3:$H$24),LOOKUP(F187,[1]对照表!$G$27:$G$48,[1]对照表!$H$27:$H$48)),IF(B187="高二",IF($E187="男",LOOKUP(F187,[1]对照表!$F$3:$F$24,[1]对照表!$H$3:$H$24),LOOKUP(F187,[1]对照表!$F$27:$F$48,[1]对照表!$H$27:$H$48)),IF(B187="高一",IF($E187="男",LOOKUP(F187,[1]对照表!$E$3:$E$24,[1]对照表!$H$3:$H$24),LOOKUP(F187,[1]对照表!$E$27:$E$48,[1]对照表!$H$27:$H$48)))))</f>
        <v>80</v>
      </c>
      <c r="H187" s="21">
        <v>7.5</v>
      </c>
      <c r="I187" s="32">
        <f>IF(B187="高三",IF($E187="男",LOOKUP(H187,[1]对照表!$K$3:$K$24,[1]对照表!$L$3:$L$24),LOOKUP(H187,[1]对照表!$K$27:$K$48,[1]对照表!$L$27:$L$48)),IF(B187="高二",IF($E187="男",LOOKUP(H187,[1]对照表!$J$3:$J$24,[1]对照表!$L$3:$L$24),LOOKUP(H187,[1]对照表!$J$27:$J$48,[1]对照表!$L$27:$L$48)),IF(B187="高一",IF($E187="男",LOOKUP(H187,[1]对照表!$I$3:$I$24,[1]对照表!$L$3:$L$24),LOOKUP(H187,[1]对照表!$I$27:$I$48,[1]对照表!$L$27:$L$48)))))</f>
        <v>68</v>
      </c>
      <c r="J187" s="21">
        <v>194</v>
      </c>
      <c r="K187" s="32">
        <f>IF(B187="高三",IF($E187="男",LOOKUP(J187,[1]对照表!$O$3:$O$24,[1]对照表!$P$3:$P$24),LOOKUP(J187,[1]对照表!$O$27:$O$48,[1]对照表!$P$27:$P$48)),IF(B187="高二",IF($E187="男",LOOKUP(J187,[1]对照表!$N$3:$N$24,[1]对照表!$P$3:$P$24),LOOKUP(J187,[1]对照表!$N$27:$N$48,[1]对照表!$P$27:$P$48)),IF(B187="高一",IF($E187="男",LOOKUP(J187,[1]对照表!$M$3:$M$24,[1]对照表!$P$3:$P$24),LOOKUP(J187,[1]对照表!$M$27:$M$48,[1]对照表!$P$27:$P$48)))))</f>
        <v>50</v>
      </c>
      <c r="L187" s="21">
        <v>9</v>
      </c>
      <c r="M187" s="32">
        <f>IF(B187="高三",IF($E187="男",LOOKUP(L187,[1]对照表!$S$3:$S$24,[1]对照表!$T$3:$T$24),LOOKUP(L187,[1]对照表!$S$27:$S$48,[1]对照表!$T$27:$T$48)),IF(B187="高二",IF($E187="男",LOOKUP(L187,[1]对照表!$R$3:$R$24,[1]对照表!$T$3:$T$24),LOOKUP(L187,[1]对照表!$R$27:$R$48,[1]对照表!$T$27:$T$48)),IF(B187="高一",IF($E187="男",LOOKUP(L187,[1]对照表!$Q$3:$Q$24,[1]对照表!$T$3:$T$24),LOOKUP(L187,[1]对照表!$Q$27:$Q$48,[1]对照表!$T$27:$T$48)))))</f>
        <v>68</v>
      </c>
      <c r="N187" s="33">
        <f>IF(B187="高三",MAX(IF(E187="男",L187-18,L187-55),0),IF(B187="高二",MAX(IF(E187="男",L187-17,L187-54),0),IF(B187="高一",MAX(IF(E187="男",L187-16,L187-53),0))))</f>
        <v>0</v>
      </c>
      <c r="O187" s="23">
        <f>IF(E187="男",LOOKUP($N187,[1]对照表!$Z$3:$Z$13,[1]对照表!$AA$3:$AA$13),LOOKUP($N187,[1]对照表!$Z$15:$Z$25,[1]对照表!$AA$15:$AA$25))</f>
        <v>0</v>
      </c>
      <c r="P187" s="24">
        <f>M187+O187</f>
        <v>68</v>
      </c>
      <c r="Q187" s="25">
        <v>4.33</v>
      </c>
      <c r="R187" s="32">
        <f>IF(B187="高三",IF($E187="男",LOOKUP(Q187,[1]对照表!$W$3:$W$24,[1]对照表!$X$3:$X$24),LOOKUP(Q187,[1]对照表!$W$27:$W$48,[1]对照表!$X$27:$X$48)),IF(B187="高二",IF($E187="男",LOOKUP(Q187,[1]对照表!$V$3:$V$24,[1]对照表!$X$3:$X$24),LOOKUP(Q187,[1]对照表!$V$27:$V$48,[1]对照表!$X$27:$X$48)),IF(B187="高一",IF($E187="男",LOOKUP(Q187,[1]对照表!$U$3:$U$24,[1]对照表!$X$3:$X$24),LOOKUP(Q187,[1]对照表!$U$27:$U$48,[1]对照表!$X$27:$X$48)))))</f>
        <v>64</v>
      </c>
      <c r="S187" s="33">
        <f>ROUND(IF(IF($B187="高三",MIN(IF($E187="男",$Q187-3.2,$Q187-3.2),0),IF($B187="高二",MIN(IF($E187="男",$Q187-3.25,$Q187-3.22),0),IF($B187="高一",MIN(IF($E187="男",$Q187-3.3,$Q187-3.24),0))))&lt;-0.6,IF($B187="高三",MIN(IF($E187="男",$Q187-3.2,$Q187-3.2),0),IF($B187="高二",MIN(IF($E187="男",$Q187-3.25,$Q187-3.22),0),IF($B187="高一",MIN(IF($E187="男",$Q187-3.3,$Q187-3.24),0))))+0.4,IF($B187="高三",MIN(IF($E187="男",$Q187-3.2,$Q187-3.2),0),IF($B187="高二",MIN(IF($E187="男",$Q187-3.25,$Q187-3.22),0),IF($B187="高一",MIN(IF($E187="男",$Q187-3.3,$Q187-3.24),0))))),2)</f>
        <v>0</v>
      </c>
      <c r="T187" s="23">
        <f>IF(E187="男",LOOKUP($S187,[1]对照表!$AB$3:$AB$13,[1]对照表!$AC$3:$AC$13),LOOKUP($S187,[1]对照表!$AB$15:$AB$25,[1]对照表!$AC$15:$AC$25))</f>
        <v>0</v>
      </c>
      <c r="U187" s="26">
        <f>R187+T187</f>
        <v>64</v>
      </c>
      <c r="V187" s="26">
        <f>SUM(I187,K187,M187)/3*0.3+SUM(G187,R187)/2*0.4</f>
        <v>47.4</v>
      </c>
      <c r="W187" s="27">
        <f>O187+T187</f>
        <v>0</v>
      </c>
      <c r="X187" s="28">
        <f>V187/0.7+W187</f>
        <v>67.714285714285722</v>
      </c>
      <c r="Y187" s="28">
        <v>67.714285714285722</v>
      </c>
      <c r="Z187" s="21" t="s">
        <v>530</v>
      </c>
    </row>
    <row r="188" spans="1:26" x14ac:dyDescent="0.25">
      <c r="A188" s="16">
        <v>13</v>
      </c>
      <c r="B188" s="17" t="s">
        <v>21</v>
      </c>
      <c r="C188" s="16">
        <v>105</v>
      </c>
      <c r="D188" s="18" t="s">
        <v>544</v>
      </c>
      <c r="E188" s="17" t="s">
        <v>23</v>
      </c>
      <c r="F188" s="19">
        <v>8.5</v>
      </c>
      <c r="G188" s="32">
        <f>IF(B188="高三",IF($E188="男",LOOKUP(F188,[1]对照表!$G$3:$G$24,[1]对照表!$H$3:$H$24),LOOKUP(F188,[1]对照表!$G$27:$G$48,[1]对照表!$H$27:$H$48)),IF(B188="高二",IF($E188="男",LOOKUP(F188,[1]对照表!$F$3:$F$24,[1]对照表!$H$3:$H$24),LOOKUP(F188,[1]对照表!$F$27:$F$48,[1]对照表!$H$27:$H$48)),IF(B188="高一",IF($E188="男",LOOKUP(F188,[1]对照表!$E$3:$E$24,[1]对照表!$H$3:$H$24),LOOKUP(F188,[1]对照表!$E$27:$E$48,[1]对照表!$H$27:$H$48)))))</f>
        <v>70</v>
      </c>
      <c r="H188" s="21">
        <v>3.5</v>
      </c>
      <c r="I188" s="32">
        <f>IF(B188="高三",IF($E188="男",LOOKUP(H188,[1]对照表!$K$3:$K$24,[1]对照表!$L$3:$L$24),LOOKUP(H188,[1]对照表!$K$27:$K$48,[1]对照表!$L$27:$L$48)),IF(B188="高二",IF($E188="男",LOOKUP(H188,[1]对照表!$J$3:$J$24,[1]对照表!$L$3:$L$24),LOOKUP(H188,[1]对照表!$J$27:$J$48,[1]对照表!$L$27:$L$48)),IF(B188="高一",IF($E188="男",LOOKUP(H188,[1]对照表!$I$3:$I$24,[1]对照表!$L$3:$L$24),LOOKUP(H188,[1]对照表!$I$27:$I$48,[1]对照表!$L$27:$L$48)))))</f>
        <v>62</v>
      </c>
      <c r="J188" s="21">
        <v>186</v>
      </c>
      <c r="K188" s="32">
        <f>IF(B188="高三",IF($E188="男",LOOKUP(J188,[1]对照表!$O$3:$O$24,[1]对照表!$P$3:$P$24),LOOKUP(J188,[1]对照表!$O$27:$O$48,[1]对照表!$P$27:$P$48)),IF(B188="高二",IF($E188="男",LOOKUP(J188,[1]对照表!$N$3:$N$24,[1]对照表!$P$3:$P$24),LOOKUP(J188,[1]对照表!$N$27:$N$48,[1]对照表!$P$27:$P$48)),IF(B188="高一",IF($E188="男",LOOKUP(J188,[1]对照表!$M$3:$M$24,[1]对照表!$P$3:$P$24),LOOKUP(J188,[1]对照表!$M$27:$M$48,[1]对照表!$P$27:$P$48)))))</f>
        <v>40</v>
      </c>
      <c r="L188" s="21">
        <v>7</v>
      </c>
      <c r="M188" s="32">
        <f>IF(B188="高三",IF($E188="男",LOOKUP(L188,[1]对照表!$S$3:$S$24,[1]对照表!$T$3:$T$24),LOOKUP(L188,[1]对照表!$S$27:$S$48,[1]对照表!$T$27:$T$48)),IF(B188="高二",IF($E188="男",LOOKUP(L188,[1]对照表!$R$3:$R$24,[1]对照表!$T$3:$T$24),LOOKUP(L188,[1]对照表!$R$27:$R$48,[1]对照表!$T$27:$T$48)),IF(B188="高一",IF($E188="男",LOOKUP(L188,[1]对照表!$Q$3:$Q$24,[1]对照表!$T$3:$T$24),LOOKUP(L188,[1]对照表!$Q$27:$Q$48,[1]对照表!$T$27:$T$48)))))</f>
        <v>60</v>
      </c>
      <c r="N188" s="33">
        <f>IF(B188="高三",MAX(IF(E188="男",L188-18,L188-55),0),IF(B188="高二",MAX(IF(E188="男",L188-17,L188-54),0),IF(B188="高一",MAX(IF(E188="男",L188-16,L188-53),0))))</f>
        <v>0</v>
      </c>
      <c r="O188" s="23">
        <f>IF(E188="男",LOOKUP($N188,[1]对照表!$Z$3:$Z$13,[1]对照表!$AA$3:$AA$13),LOOKUP($N188,[1]对照表!$Z$15:$Z$25,[1]对照表!$AA$15:$AA$25))</f>
        <v>0</v>
      </c>
      <c r="P188" s="24">
        <f>M188+O188</f>
        <v>60</v>
      </c>
      <c r="Q188" s="39">
        <v>4.08</v>
      </c>
      <c r="R188" s="32">
        <f>IF(B188="高三",IF($E188="男",LOOKUP(Q188,[1]对照表!$W$3:$W$24,[1]对照表!$X$3:$X$24),LOOKUP(Q188,[1]对照表!$W$27:$W$48,[1]对照表!$X$27:$X$48)),IF(B188="高二",IF($E188="男",LOOKUP(Q188,[1]对照表!$V$3:$V$24,[1]对照表!$X$3:$X$24),LOOKUP(Q188,[1]对照表!$V$27:$V$48,[1]对照表!$X$27:$X$48)),IF(B188="高一",IF($E188="男",LOOKUP(Q188,[1]对照表!$U$3:$U$24,[1]对照表!$X$3:$X$24),LOOKUP(Q188,[1]对照表!$U$27:$U$48,[1]对照表!$X$27:$X$48)))))</f>
        <v>74</v>
      </c>
      <c r="S188" s="33">
        <f>ROUND(IF(IF($B188="高三",MIN(IF($E188="男",$Q188-3.2,$Q188-3.2),0),IF($B188="高二",MIN(IF($E188="男",$Q188-3.25,$Q188-3.22),0),IF($B188="高一",MIN(IF($E188="男",$Q188-3.3,$Q188-3.24),0))))&lt;-0.6,IF($B188="高三",MIN(IF($E188="男",$Q188-3.2,$Q188-3.2),0),IF($B188="高二",MIN(IF($E188="男",$Q188-3.25,$Q188-3.22),0),IF($B188="高一",MIN(IF($E188="男",$Q188-3.3,$Q188-3.24),0))))+0.4,IF($B188="高三",MIN(IF($E188="男",$Q188-3.2,$Q188-3.2),0),IF($B188="高二",MIN(IF($E188="男",$Q188-3.25,$Q188-3.22),0),IF($B188="高一",MIN(IF($E188="男",$Q188-3.3,$Q188-3.24),0))))),2)</f>
        <v>0</v>
      </c>
      <c r="T188" s="23">
        <f>IF(E188="男",LOOKUP($S188,[1]对照表!$AB$3:$AB$13,[1]对照表!$AC$3:$AC$13),LOOKUP($S188,[1]对照表!$AB$15:$AB$25,[1]对照表!$AC$15:$AC$25))</f>
        <v>0</v>
      </c>
      <c r="U188" s="26">
        <f>R188+T188</f>
        <v>74</v>
      </c>
      <c r="V188" s="26">
        <f>SUM(I188,K188,M188)/3*0.3+SUM(G188,R188)/2*0.4</f>
        <v>45</v>
      </c>
      <c r="W188" s="27">
        <f>O188+T188</f>
        <v>0</v>
      </c>
      <c r="X188" s="28">
        <f>V188/0.7+W188</f>
        <v>64.285714285714292</v>
      </c>
      <c r="Y188" s="28">
        <v>64.285714285714292</v>
      </c>
      <c r="Z188" s="21"/>
    </row>
    <row r="189" spans="1:26" x14ac:dyDescent="0.25">
      <c r="A189" s="16">
        <v>17</v>
      </c>
      <c r="B189" s="17" t="s">
        <v>21</v>
      </c>
      <c r="C189" s="16">
        <v>105</v>
      </c>
      <c r="D189" s="18" t="s">
        <v>581</v>
      </c>
      <c r="E189" s="17" t="s">
        <v>23</v>
      </c>
      <c r="F189" s="19">
        <v>7.5</v>
      </c>
      <c r="G189" s="32">
        <f>IF(B189="高三",IF($E189="男",LOOKUP(F189,[1]对照表!$G$3:$G$24,[1]对照表!$H$3:$H$24),LOOKUP(F189,[1]对照表!$G$27:$G$48,[1]对照表!$H$27:$H$48)),IF(B189="高二",IF($E189="男",LOOKUP(F189,[1]对照表!$F$3:$F$24,[1]对照表!$H$3:$H$24),LOOKUP(F189,[1]对照表!$F$27:$F$48,[1]对照表!$H$27:$H$48)),IF(B189="高一",IF($E189="男",LOOKUP(F189,[1]对照表!$E$3:$E$24,[1]对照表!$H$3:$H$24),LOOKUP(F189,[1]对照表!$E$27:$E$48,[1]对照表!$H$27:$H$48)))))</f>
        <v>80</v>
      </c>
      <c r="H189" s="21">
        <v>9</v>
      </c>
      <c r="I189" s="32">
        <f>IF(B189="高三",IF($E189="男",LOOKUP(H189,[1]对照表!$K$3:$K$24,[1]对照表!$L$3:$L$24),LOOKUP(H189,[1]对照表!$K$27:$K$48,[1]对照表!$L$27:$L$48)),IF(B189="高二",IF($E189="男",LOOKUP(H189,[1]对照表!$J$3:$J$24,[1]对照表!$L$3:$L$24),LOOKUP(H189,[1]对照表!$J$27:$J$48,[1]对照表!$L$27:$L$48)),IF(B189="高一",IF($E189="男",LOOKUP(H189,[1]对照表!$I$3:$I$24,[1]对照表!$L$3:$L$24),LOOKUP(H189,[1]对照表!$I$27:$I$48,[1]对照表!$L$27:$L$48)))))</f>
        <v>70</v>
      </c>
      <c r="J189" s="21">
        <v>175</v>
      </c>
      <c r="K189" s="32">
        <f>IF(B189="高三",IF($E189="男",LOOKUP(J189,[1]对照表!$O$3:$O$24,[1]对照表!$P$3:$P$24),LOOKUP(J189,[1]对照表!$O$27:$O$48,[1]对照表!$P$27:$P$48)),IF(B189="高二",IF($E189="男",LOOKUP(J189,[1]对照表!$N$3:$N$24,[1]对照表!$P$3:$P$24),LOOKUP(J189,[1]对照表!$N$27:$N$48,[1]对照表!$P$27:$P$48)),IF(B189="高一",IF($E189="男",LOOKUP(J189,[1]对照表!$M$3:$M$24,[1]对照表!$P$3:$P$24),LOOKUP(J189,[1]对照表!$M$27:$M$48,[1]对照表!$P$27:$P$48)))))</f>
        <v>20</v>
      </c>
      <c r="L189" s="21">
        <v>2</v>
      </c>
      <c r="M189" s="32">
        <f>IF(B189="高三",IF($E189="男",LOOKUP(L189,[1]对照表!$S$3:$S$24,[1]对照表!$T$3:$T$24),LOOKUP(L189,[1]对照表!$S$27:$S$48,[1]对照表!$T$27:$T$48)),IF(B189="高二",IF($E189="男",LOOKUP(L189,[1]对照表!$R$3:$R$24,[1]对照表!$T$3:$T$24),LOOKUP(L189,[1]对照表!$R$27:$R$48,[1]对照表!$T$27:$T$48)),IF(B189="高一",IF($E189="男",LOOKUP(L189,[1]对照表!$Q$3:$Q$24,[1]对照表!$T$3:$T$24),LOOKUP(L189,[1]对照表!$Q$27:$Q$48,[1]对照表!$T$27:$T$48)))))</f>
        <v>10</v>
      </c>
      <c r="N189" s="33">
        <f>IF(B189="高三",MAX(IF(E189="男",L189-18,L189-55),0),IF(B189="高二",MAX(IF(E189="男",L189-17,L189-54),0),IF(B189="高一",MAX(IF(E189="男",L189-16,L189-53),0))))</f>
        <v>0</v>
      </c>
      <c r="O189" s="23">
        <f>IF(E189="男",LOOKUP($N189,[1]对照表!$Z$3:$Z$13,[1]对照表!$AA$3:$AA$13),LOOKUP($N189,[1]对照表!$Z$15:$Z$25,[1]对照表!$AA$15:$AA$25))</f>
        <v>0</v>
      </c>
      <c r="P189" s="24">
        <f>M189+O189</f>
        <v>10</v>
      </c>
      <c r="Q189" s="25">
        <v>4.12</v>
      </c>
      <c r="R189" s="32">
        <f>IF(B189="高三",IF($E189="男",LOOKUP(Q189,[1]对照表!$W$3:$W$24,[1]对照表!$X$3:$X$24),LOOKUP(Q189,[1]对照表!$W$27:$W$48,[1]对照表!$X$27:$X$48)),IF(B189="高二",IF($E189="男",LOOKUP(Q189,[1]对照表!$V$3:$V$24,[1]对照表!$X$3:$X$24),LOOKUP(Q189,[1]对照表!$V$27:$V$48,[1]对照表!$X$27:$X$48)),IF(B189="高一",IF($E189="男",LOOKUP(Q189,[1]对照表!$U$3:$U$24,[1]对照表!$X$3:$X$24),LOOKUP(Q189,[1]对照表!$U$27:$U$48,[1]对照表!$X$27:$X$48)))))</f>
        <v>72</v>
      </c>
      <c r="S189" s="33">
        <f>ROUND(IF(IF($B189="高三",MIN(IF($E189="男",$Q189-3.2,$Q189-3.2),0),IF($B189="高二",MIN(IF($E189="男",$Q189-3.25,$Q189-3.22),0),IF($B189="高一",MIN(IF($E189="男",$Q189-3.3,$Q189-3.24),0))))&lt;-0.6,IF($B189="高三",MIN(IF($E189="男",$Q189-3.2,$Q189-3.2),0),IF($B189="高二",MIN(IF($E189="男",$Q189-3.25,$Q189-3.22),0),IF($B189="高一",MIN(IF($E189="男",$Q189-3.3,$Q189-3.24),0))))+0.4,IF($B189="高三",MIN(IF($E189="男",$Q189-3.2,$Q189-3.2),0),IF($B189="高二",MIN(IF($E189="男",$Q189-3.25,$Q189-3.22),0),IF($B189="高一",MIN(IF($E189="男",$Q189-3.3,$Q189-3.24),0))))),2)</f>
        <v>0</v>
      </c>
      <c r="T189" s="23">
        <f>IF(E189="男",LOOKUP($S189,[1]对照表!$AB$3:$AB$13,[1]对照表!$AC$3:$AC$13),LOOKUP($S189,[1]对照表!$AB$15:$AB$25,[1]对照表!$AC$15:$AC$25))</f>
        <v>0</v>
      </c>
      <c r="U189" s="26">
        <f>R189+T189</f>
        <v>72</v>
      </c>
      <c r="V189" s="26">
        <f>SUM(I189,K189,M189)/3*0.3+SUM(G189,R189)/2*0.4</f>
        <v>40.400000000000006</v>
      </c>
      <c r="W189" s="27">
        <f>O189+T189</f>
        <v>0</v>
      </c>
      <c r="X189" s="28">
        <f>V189/0.7+W189</f>
        <v>57.71428571428573</v>
      </c>
      <c r="Y189" s="28">
        <v>57.71428571428573</v>
      </c>
      <c r="Z189" s="21"/>
    </row>
    <row r="190" spans="1:26" x14ac:dyDescent="0.25">
      <c r="A190" s="16">
        <v>31</v>
      </c>
      <c r="B190" s="17" t="s">
        <v>21</v>
      </c>
      <c r="C190" s="16">
        <v>105</v>
      </c>
      <c r="D190" s="18" t="s">
        <v>582</v>
      </c>
      <c r="E190" s="34" t="s">
        <v>23</v>
      </c>
      <c r="F190" s="19">
        <v>7.6</v>
      </c>
      <c r="G190" s="32">
        <f>IF(B190="高三",IF($E190="男",LOOKUP(F190,[1]对照表!$G$3:$G$24,[1]对照表!$H$3:$H$24),LOOKUP(F190,[1]对照表!$G$27:$G$48,[1]对照表!$H$27:$H$48)),IF(B190="高二",IF($E190="男",LOOKUP(F190,[1]对照表!$F$3:$F$24,[1]对照表!$H$3:$H$24),LOOKUP(F190,[1]对照表!$F$27:$F$48,[1]对照表!$H$27:$H$48)),IF(B190="高一",IF($E190="男",LOOKUP(F190,[1]对照表!$E$3:$E$24,[1]对照表!$H$3:$H$24),LOOKUP(F190,[1]对照表!$E$27:$E$48,[1]对照表!$H$27:$H$48)))))</f>
        <v>78</v>
      </c>
      <c r="H190" s="21">
        <v>9</v>
      </c>
      <c r="I190" s="32">
        <f>IF(B190="高三",IF($E190="男",LOOKUP(H190,[1]对照表!$K$3:$K$24,[1]对照表!$L$3:$L$24),LOOKUP(H190,[1]对照表!$K$27:$K$48,[1]对照表!$L$27:$L$48)),IF(B190="高二",IF($E190="男",LOOKUP(H190,[1]对照表!$J$3:$J$24,[1]对照表!$L$3:$L$24),LOOKUP(H190,[1]对照表!$J$27:$J$48,[1]对照表!$L$27:$L$48)),IF(B190="高一",IF($E190="男",LOOKUP(H190,[1]对照表!$I$3:$I$24,[1]对照表!$L$3:$L$24),LOOKUP(H190,[1]对照表!$I$27:$I$48,[1]对照表!$L$27:$L$48)))))</f>
        <v>70</v>
      </c>
      <c r="J190" s="21">
        <v>210</v>
      </c>
      <c r="K190" s="32">
        <f>IF(B190="高三",IF($E190="男",LOOKUP(J190,[1]对照表!$O$3:$O$24,[1]对照表!$P$3:$P$24),LOOKUP(J190,[1]对照表!$O$27:$O$48,[1]对照表!$P$27:$P$48)),IF(B190="高二",IF($E190="男",LOOKUP(J190,[1]对照表!$N$3:$N$24,[1]对照表!$P$3:$P$24),LOOKUP(J190,[1]对照表!$N$27:$N$48,[1]对照表!$P$27:$P$48)),IF(B190="高一",IF($E190="男",LOOKUP(J190,[1]对照表!$M$3:$M$24,[1]对照表!$P$3:$P$24),LOOKUP(J190,[1]对照表!$M$27:$M$48,[1]对照表!$P$27:$P$48)))))</f>
        <v>66</v>
      </c>
      <c r="L190" s="21">
        <v>2</v>
      </c>
      <c r="M190" s="32">
        <f>IF(B190="高三",IF($E190="男",LOOKUP(L190,[1]对照表!$S$3:$S$24,[1]对照表!$T$3:$T$24),LOOKUP(L190,[1]对照表!$S$27:$S$48,[1]对照表!$T$27:$T$48)),IF(B190="高二",IF($E190="男",LOOKUP(L190,[1]对照表!$R$3:$R$24,[1]对照表!$T$3:$T$24),LOOKUP(L190,[1]对照表!$R$27:$R$48,[1]对照表!$T$27:$T$48)),IF(B190="高一",IF($E190="男",LOOKUP(L190,[1]对照表!$Q$3:$Q$24,[1]对照表!$T$3:$T$24),LOOKUP(L190,[1]对照表!$Q$27:$Q$48,[1]对照表!$T$27:$T$48)))))</f>
        <v>10</v>
      </c>
      <c r="N190" s="33">
        <f>IF(B190="高三",MAX(IF(E190="男",L190-18,L190-55),0),IF(B190="高二",MAX(IF(E190="男",L190-17,L190-54),0),IF(B190="高一",MAX(IF(E190="男",L190-16,L190-53),0))))</f>
        <v>0</v>
      </c>
      <c r="O190" s="23">
        <f>IF(E190="男",LOOKUP($N190,[1]对照表!$Z$3:$Z$13,[1]对照表!$AA$3:$AA$13),LOOKUP($N190,[1]对照表!$Z$15:$Z$25,[1]对照表!$AA$15:$AA$25))</f>
        <v>0</v>
      </c>
      <c r="P190" s="24">
        <f>M190+O190</f>
        <v>10</v>
      </c>
      <c r="Q190" s="25">
        <v>4.4800000000000004</v>
      </c>
      <c r="R190" s="32">
        <f>IF(B190="高三",IF($E190="男",LOOKUP(Q190,[1]对照表!$W$3:$W$24,[1]对照表!$X$3:$X$24),LOOKUP(Q190,[1]对照表!$W$27:$W$48,[1]对照表!$X$27:$X$48)),IF(B190="高二",IF($E190="男",LOOKUP(Q190,[1]对照表!$V$3:$V$24,[1]对照表!$X$3:$X$24),LOOKUP(Q190,[1]对照表!$V$27:$V$48,[1]对照表!$X$27:$X$48)),IF(B190="高一",IF($E190="男",LOOKUP(Q190,[1]对照表!$U$3:$U$24,[1]对照表!$X$3:$X$24),LOOKUP(Q190,[1]对照表!$U$27:$U$48,[1]对照表!$X$27:$X$48)))))</f>
        <v>50</v>
      </c>
      <c r="S190" s="33">
        <f>ROUND(IF(IF($B190="高三",MIN(IF($E190="男",$Q190-3.2,$Q190-3.2),0),IF($B190="高二",MIN(IF($E190="男",$Q190-3.25,$Q190-3.22),0),IF($B190="高一",MIN(IF($E190="男",$Q190-3.3,$Q190-3.24),0))))&lt;-0.6,IF($B190="高三",MIN(IF($E190="男",$Q190-3.2,$Q190-3.2),0),IF($B190="高二",MIN(IF($E190="男",$Q190-3.25,$Q190-3.22),0),IF($B190="高一",MIN(IF($E190="男",$Q190-3.3,$Q190-3.24),0))))+0.4,IF($B190="高三",MIN(IF($E190="男",$Q190-3.2,$Q190-3.2),0),IF($B190="高二",MIN(IF($E190="男",$Q190-3.25,$Q190-3.22),0),IF($B190="高一",MIN(IF($E190="男",$Q190-3.3,$Q190-3.24),0))))),2)</f>
        <v>0</v>
      </c>
      <c r="T190" s="23">
        <f>IF(E190="男",LOOKUP($S190,[1]对照表!$AB$3:$AB$13,[1]对照表!$AC$3:$AC$13),LOOKUP($S190,[1]对照表!$AB$15:$AB$25,[1]对照表!$AC$15:$AC$25))</f>
        <v>0</v>
      </c>
      <c r="U190" s="26">
        <f>R190+T190</f>
        <v>50</v>
      </c>
      <c r="V190" s="26">
        <f>SUM(I190,K190,M190)/3*0.3+SUM(G190,R190)/2*0.4</f>
        <v>40.200000000000003</v>
      </c>
      <c r="W190" s="27">
        <f>O190+T190</f>
        <v>0</v>
      </c>
      <c r="X190" s="28">
        <f>V190/0.7+W190</f>
        <v>57.428571428571438</v>
      </c>
      <c r="Y190" s="28">
        <v>57.428571428571438</v>
      </c>
      <c r="Z190" s="21"/>
    </row>
    <row r="191" spans="1:26" x14ac:dyDescent="0.25">
      <c r="A191" s="16">
        <v>36</v>
      </c>
      <c r="B191" s="17" t="s">
        <v>21</v>
      </c>
      <c r="C191" s="16">
        <v>105</v>
      </c>
      <c r="D191" s="18" t="s">
        <v>609</v>
      </c>
      <c r="E191" s="31" t="s">
        <v>65</v>
      </c>
      <c r="F191" s="19">
        <v>9.8699999999999992</v>
      </c>
      <c r="G191" s="32">
        <f>IF(B191="高三",IF($E191="男",LOOKUP(F191,[1]对照表!$G$3:$G$24,[1]对照表!$H$3:$H$24),LOOKUP(F191,[1]对照表!$G$27:$G$48,[1]对照表!$H$27:$H$48)),IF(B191="高二",IF($E191="男",LOOKUP(F191,[1]对照表!$F$3:$F$24,[1]对照表!$H$3:$H$24),LOOKUP(F191,[1]对照表!$F$27:$F$48,[1]对照表!$H$27:$H$48)),IF(B191="高一",IF($E191="男",LOOKUP(F191,[1]对照表!$E$3:$E$24,[1]对照表!$H$3:$H$24),LOOKUP(F191,[1]对照表!$E$27:$E$48,[1]对照表!$H$27:$H$48)))))</f>
        <v>66</v>
      </c>
      <c r="H191" s="21">
        <v>12.5</v>
      </c>
      <c r="I191" s="32">
        <f>IF(B191="高三",IF($E191="男",LOOKUP(H191,[1]对照表!$K$3:$K$24,[1]对照表!$L$3:$L$24),LOOKUP(H191,[1]对照表!$K$27:$K$48,[1]对照表!$L$27:$L$48)),IF(B191="高二",IF($E191="男",LOOKUP(H191,[1]对照表!$J$3:$J$24,[1]对照表!$L$3:$L$24),LOOKUP(H191,[1]对照表!$J$27:$J$48,[1]对照表!$L$27:$L$48)),IF(B191="高一",IF($E191="男",LOOKUP(H191,[1]对照表!$I$3:$I$24,[1]对照表!$L$3:$L$24),LOOKUP(H191,[1]对照表!$I$27:$I$48,[1]对照表!$L$27:$L$48)))))</f>
        <v>72</v>
      </c>
      <c r="J191" s="21">
        <v>155</v>
      </c>
      <c r="K191" s="32">
        <f>IF(B191="高三",IF($E191="男",LOOKUP(J191,[1]对照表!$O$3:$O$24,[1]对照表!$P$3:$P$24),LOOKUP(J191,[1]对照表!$O$27:$O$48,[1]对照表!$P$27:$P$48)),IF(B191="高二",IF($E191="男",LOOKUP(J191,[1]对照表!$N$3:$N$24,[1]对照表!$P$3:$P$24),LOOKUP(J191,[1]对照表!$N$27:$N$48,[1]对照表!$P$27:$P$48)),IF(B191="高一",IF($E191="男",LOOKUP(J191,[1]对照表!$M$3:$M$24,[1]对照表!$P$3:$P$24),LOOKUP(J191,[1]对照表!$M$27:$M$48,[1]对照表!$P$27:$P$48)))))</f>
        <v>64</v>
      </c>
      <c r="L191" s="21">
        <v>37</v>
      </c>
      <c r="M191" s="32">
        <f>IF(B191="高三",IF($E191="男",LOOKUP(L191,[1]对照表!$S$3:$S$24,[1]对照表!$T$3:$T$24),LOOKUP(L191,[1]对照表!$S$27:$S$48,[1]对照表!$T$27:$T$48)),IF(B191="高二",IF($E191="男",LOOKUP(L191,[1]对照表!$R$3:$R$24,[1]对照表!$T$3:$T$24),LOOKUP(L191,[1]对照表!$R$27:$R$48,[1]对照表!$T$27:$T$48)),IF(B191="高一",IF($E191="男",LOOKUP(L191,[1]对照表!$Q$3:$Q$24,[1]对照表!$T$3:$T$24),LOOKUP(L191,[1]对照表!$Q$27:$Q$48,[1]对照表!$T$27:$T$48)))))</f>
        <v>74</v>
      </c>
      <c r="N191" s="33">
        <f>IF(B191="高三",MAX(IF(E191="男",L191-18,L191-55),0),IF(B191="高二",MAX(IF(E191="男",L191-17,L191-54),0),IF(B191="高一",MAX(IF(E191="男",L191-16,L191-53),0))))</f>
        <v>0</v>
      </c>
      <c r="O191" s="23">
        <f>IF(E191="男",LOOKUP($N191,[1]对照表!$Z$3:$Z$13,[1]对照表!$AA$3:$AA$13),LOOKUP($N191,[1]对照表!$Z$15:$Z$25,[1]对照表!$AA$15:$AA$25))</f>
        <v>0</v>
      </c>
      <c r="P191" s="24">
        <f>M191+O191</f>
        <v>74</v>
      </c>
      <c r="Q191" s="25">
        <v>3.51</v>
      </c>
      <c r="R191" s="32">
        <f>IF(B191="高三",IF($E191="男",LOOKUP(Q191,[1]对照表!$W$3:$W$24,[1]对照表!$X$3:$X$24),LOOKUP(Q191,[1]对照表!$W$27:$W$48,[1]对照表!$X$27:$X$48)),IF(B191="高二",IF($E191="男",LOOKUP(Q191,[1]对照表!$V$3:$V$24,[1]对照表!$X$3:$X$24),LOOKUP(Q191,[1]对照表!$V$27:$V$48,[1]对照表!$X$27:$X$48)),IF(B191="高一",IF($E191="男",LOOKUP(Q191,[1]对照表!$U$3:$U$24,[1]对照表!$X$3:$X$24),LOOKUP(Q191,[1]对照表!$U$27:$U$48,[1]对照表!$X$27:$X$48)))))</f>
        <v>78</v>
      </c>
      <c r="S191" s="33">
        <f>ROUND(IF(IF($B191="高三",MIN(IF($E191="男",$Q191-3.2,$Q191-3.2),0),IF($B191="高二",MIN(IF($E191="男",$Q191-3.25,$Q191-3.22),0),IF($B191="高一",MIN(IF($E191="男",$Q191-3.3,$Q191-3.24),0))))&lt;-0.6,IF($B191="高三",MIN(IF($E191="男",$Q191-3.2,$Q191-3.2),0),IF($B191="高二",MIN(IF($E191="男",$Q191-3.25,$Q191-3.22),0),IF($B191="高一",MIN(IF($E191="男",$Q191-3.3,$Q191-3.24),0))))+0.4,IF($B191="高三",MIN(IF($E191="男",$Q191-3.2,$Q191-3.2),0),IF($B191="高二",MIN(IF($E191="男",$Q191-3.25,$Q191-3.22),0),IF($B191="高一",MIN(IF($E191="男",$Q191-3.3,$Q191-3.24),0))))),2)</f>
        <v>0</v>
      </c>
      <c r="T191" s="23">
        <f>IF(E191="男",LOOKUP($S191,[1]对照表!$AB$3:$AB$13,[1]对照表!$AC$3:$AC$13),LOOKUP($S191,[1]对照表!$AB$15:$AB$25,[1]对照表!$AC$15:$AC$25))</f>
        <v>0</v>
      </c>
      <c r="U191" s="26">
        <f>R191+T191</f>
        <v>78</v>
      </c>
      <c r="V191" s="26">
        <f>SUM(I191,K191,M191)/3*0.3+SUM(G191,R191)/2*0.4</f>
        <v>49.8</v>
      </c>
      <c r="W191" s="27">
        <f>O191+T191</f>
        <v>0</v>
      </c>
      <c r="X191" s="28">
        <f>V191/0.7+W191</f>
        <v>71.142857142857139</v>
      </c>
      <c r="Y191" s="28">
        <v>71.142857142857139</v>
      </c>
      <c r="Z191" s="21"/>
    </row>
    <row r="192" spans="1:26" x14ac:dyDescent="0.25">
      <c r="A192" s="16">
        <v>47</v>
      </c>
      <c r="B192" s="17" t="s">
        <v>21</v>
      </c>
      <c r="C192" s="16">
        <v>105</v>
      </c>
      <c r="D192" s="18" t="s">
        <v>610</v>
      </c>
      <c r="E192" s="17" t="s">
        <v>65</v>
      </c>
      <c r="F192" s="19">
        <v>10.08</v>
      </c>
      <c r="G192" s="32">
        <f>IF(B192="高三",IF($E192="男",LOOKUP(F192,[1]对照表!$G$3:$G$24,[1]对照表!$H$3:$H$24),LOOKUP(F192,[1]对照表!$G$27:$G$48,[1]对照表!$H$27:$H$48)),IF(B192="高二",IF($E192="男",LOOKUP(F192,[1]对照表!$F$3:$F$24,[1]对照表!$H$3:$H$24),LOOKUP(F192,[1]对照表!$F$27:$F$48,[1]对照表!$H$27:$H$48)),IF(B192="高一",IF($E192="男",LOOKUP(F192,[1]对照表!$E$3:$E$24,[1]对照表!$H$3:$H$24),LOOKUP(F192,[1]对照表!$E$27:$E$48,[1]对照表!$H$27:$H$48)))))</f>
        <v>64</v>
      </c>
      <c r="H192" s="21">
        <v>0</v>
      </c>
      <c r="I192" s="32">
        <f>IF(B192="高三",IF($E192="男",LOOKUP(H192,[1]对照表!$K$3:$K$24,[1]对照表!$L$3:$L$24),LOOKUP(H192,[1]对照表!$K$27:$K$48,[1]对照表!$L$27:$L$48)),IF(B192="高二",IF($E192="男",LOOKUP(H192,[1]对照表!$J$3:$J$24,[1]对照表!$L$3:$L$24),LOOKUP(H192,[1]对照表!$J$27:$J$48,[1]对照表!$L$27:$L$48)),IF(B192="高一",IF($E192="男",LOOKUP(H192,[1]对照表!$I$3:$I$24,[1]对照表!$L$3:$L$24),LOOKUP(H192,[1]对照表!$I$27:$I$48,[1]对照表!$L$27:$L$48)))))</f>
        <v>0</v>
      </c>
      <c r="J192" s="21">
        <v>160</v>
      </c>
      <c r="K192" s="32">
        <f>IF(B192="高三",IF($E192="男",LOOKUP(J192,[1]对照表!$O$3:$O$24,[1]对照表!$P$3:$P$24),LOOKUP(J192,[1]对照表!$O$27:$O$48,[1]对照表!$P$27:$P$48)),IF(B192="高二",IF($E192="男",LOOKUP(J192,[1]对照表!$N$3:$N$24,[1]对照表!$P$3:$P$24),LOOKUP(J192,[1]对照表!$N$27:$N$48,[1]对照表!$P$27:$P$48)),IF(B192="高一",IF($E192="男",LOOKUP(J192,[1]对照表!$M$3:$M$24,[1]对照表!$P$3:$P$24),LOOKUP(J192,[1]对照表!$M$27:$M$48,[1]对照表!$P$27:$P$48)))))</f>
        <v>68</v>
      </c>
      <c r="L192" s="21">
        <v>46</v>
      </c>
      <c r="M192" s="32">
        <f>IF(B192="高三",IF($E192="男",LOOKUP(L192,[1]对照表!$S$3:$S$24,[1]对照表!$T$3:$T$24),LOOKUP(L192,[1]对照表!$S$27:$S$48,[1]对照表!$T$27:$T$48)),IF(B192="高二",IF($E192="男",LOOKUP(L192,[1]对照表!$R$3:$R$24,[1]对照表!$T$3:$T$24),LOOKUP(L192,[1]对照表!$R$27:$R$48,[1]对照表!$T$27:$T$48)),IF(B192="高一",IF($E192="男",LOOKUP(L192,[1]对照表!$Q$3:$Q$24,[1]对照表!$T$3:$T$24),LOOKUP(L192,[1]对照表!$Q$27:$Q$48,[1]对照表!$T$27:$T$48)))))</f>
        <v>85</v>
      </c>
      <c r="N192" s="33">
        <f>IF(B192="高三",MAX(IF(E192="男",L192-18,L192-55),0),IF(B192="高二",MAX(IF(E192="男",L192-17,L192-54),0),IF(B192="高一",MAX(IF(E192="男",L192-16,L192-53),0))))</f>
        <v>0</v>
      </c>
      <c r="O192" s="23">
        <f>IF(E192="男",LOOKUP($N192,[1]对照表!$Z$3:$Z$13,[1]对照表!$AA$3:$AA$13),LOOKUP($N192,[1]对照表!$Z$15:$Z$25,[1]对照表!$AA$15:$AA$25))</f>
        <v>0</v>
      </c>
      <c r="P192" s="24">
        <f>M192+O192</f>
        <v>85</v>
      </c>
      <c r="Q192" s="25">
        <v>3.51</v>
      </c>
      <c r="R192" s="32">
        <f>IF(B192="高三",IF($E192="男",LOOKUP(Q192,[1]对照表!$W$3:$W$24,[1]对照表!$X$3:$X$24),LOOKUP(Q192,[1]对照表!$W$27:$W$48,[1]对照表!$X$27:$X$48)),IF(B192="高二",IF($E192="男",LOOKUP(Q192,[1]对照表!$V$3:$V$24,[1]对照表!$X$3:$X$24),LOOKUP(Q192,[1]对照表!$V$27:$V$48,[1]对照表!$X$27:$X$48)),IF(B192="高一",IF($E192="男",LOOKUP(Q192,[1]对照表!$U$3:$U$24,[1]对照表!$X$3:$X$24),LOOKUP(Q192,[1]对照表!$U$27:$U$48,[1]对照表!$X$27:$X$48)))))</f>
        <v>78</v>
      </c>
      <c r="S192" s="33">
        <f>ROUND(IF(IF($B192="高三",MIN(IF($E192="男",$Q192-3.2,$Q192-3.2),0),IF($B192="高二",MIN(IF($E192="男",$Q192-3.25,$Q192-3.22),0),IF($B192="高一",MIN(IF($E192="男",$Q192-3.3,$Q192-3.24),0))))&lt;-0.6,IF($B192="高三",MIN(IF($E192="男",$Q192-3.2,$Q192-3.2),0),IF($B192="高二",MIN(IF($E192="男",$Q192-3.25,$Q192-3.22),0),IF($B192="高一",MIN(IF($E192="男",$Q192-3.3,$Q192-3.24),0))))+0.4,IF($B192="高三",MIN(IF($E192="男",$Q192-3.2,$Q192-3.2),0),IF($B192="高二",MIN(IF($E192="男",$Q192-3.25,$Q192-3.22),0),IF($B192="高一",MIN(IF($E192="男",$Q192-3.3,$Q192-3.24),0))))),2)</f>
        <v>0</v>
      </c>
      <c r="T192" s="23">
        <f>IF(E192="男",LOOKUP($S192,[1]对照表!$AB$3:$AB$13,[1]对照表!$AC$3:$AC$13),LOOKUP($S192,[1]对照表!$AB$15:$AB$25,[1]对照表!$AC$15:$AC$25))</f>
        <v>0</v>
      </c>
      <c r="U192" s="26">
        <f>R192+T192</f>
        <v>78</v>
      </c>
      <c r="V192" s="26">
        <f>SUM(I192,K192,M192)/3*0.3+SUM(G192,R192)/2*0.4</f>
        <v>43.7</v>
      </c>
      <c r="W192" s="27">
        <f>O192+T192</f>
        <v>0</v>
      </c>
      <c r="X192" s="28">
        <f>V192/0.7+W192</f>
        <v>62.428571428571438</v>
      </c>
      <c r="Y192" s="28">
        <v>62.428571428571438</v>
      </c>
      <c r="Z192" s="21"/>
    </row>
    <row r="193" spans="1:26" x14ac:dyDescent="0.25">
      <c r="A193" s="16">
        <v>11</v>
      </c>
      <c r="B193" s="17" t="s">
        <v>21</v>
      </c>
      <c r="C193" s="16">
        <v>105</v>
      </c>
      <c r="D193" s="18" t="s">
        <v>622</v>
      </c>
      <c r="E193" s="31" t="s">
        <v>23</v>
      </c>
      <c r="F193" s="19">
        <v>8.3000000000000007</v>
      </c>
      <c r="G193" s="32">
        <f>IF(B193="高三",IF($E193="男",LOOKUP(F193,[1]对照表!$G$3:$G$24,[1]对照表!$H$3:$H$24),LOOKUP(F193,[1]对照表!$G$27:$G$48,[1]对照表!$H$27:$H$48)),IF(B193="高二",IF($E193="男",LOOKUP(F193,[1]对照表!$F$3:$F$24,[1]对照表!$H$3:$H$24),LOOKUP(F193,[1]对照表!$F$27:$F$48,[1]对照表!$H$27:$H$48)),IF(B193="高一",IF($E193="男",LOOKUP(F193,[1]对照表!$E$3:$E$24,[1]对照表!$H$3:$H$24),LOOKUP(F193,[1]对照表!$E$27:$E$48,[1]对照表!$H$27:$H$48)))))</f>
        <v>72</v>
      </c>
      <c r="H193" s="21">
        <v>7.3</v>
      </c>
      <c r="I193" s="32">
        <f>IF(B193="高三",IF($E193="男",LOOKUP(H193,[1]对照表!$K$3:$K$24,[1]对照表!$L$3:$L$24),LOOKUP(H193,[1]对照表!$K$27:$K$48,[1]对照表!$L$27:$L$48)),IF(B193="高二",IF($E193="男",LOOKUP(H193,[1]对照表!$J$3:$J$24,[1]对照表!$L$3:$L$24),LOOKUP(H193,[1]对照表!$J$27:$J$48,[1]对照表!$L$27:$L$48)),IF(B193="高一",IF($E193="男",LOOKUP(H193,[1]对照表!$I$3:$I$24,[1]对照表!$L$3:$L$24),LOOKUP(H193,[1]对照表!$I$27:$I$48,[1]对照表!$L$27:$L$48)))))</f>
        <v>68</v>
      </c>
      <c r="J193" s="21">
        <v>189</v>
      </c>
      <c r="K193" s="32">
        <f>IF(B193="高三",IF($E193="男",LOOKUP(J193,[1]对照表!$O$3:$O$24,[1]对照表!$P$3:$P$24),LOOKUP(J193,[1]对照表!$O$27:$O$48,[1]对照表!$P$27:$P$48)),IF(B193="高二",IF($E193="男",LOOKUP(J193,[1]对照表!$N$3:$N$24,[1]对照表!$P$3:$P$24),LOOKUP(J193,[1]对照表!$N$27:$N$48,[1]对照表!$P$27:$P$48)),IF(B193="高一",IF($E193="男",LOOKUP(J193,[1]对照表!$M$3:$M$24,[1]对照表!$P$3:$P$24),LOOKUP(J193,[1]对照表!$M$27:$M$48,[1]对照表!$P$27:$P$48)))))</f>
        <v>40</v>
      </c>
      <c r="L193" s="21">
        <v>0</v>
      </c>
      <c r="M193" s="32">
        <f>IF(B193="高三",IF($E193="男",LOOKUP(L193,[1]对照表!$S$3:$S$24,[1]对照表!$T$3:$T$24),LOOKUP(L193,[1]对照表!$S$27:$S$48,[1]对照表!$T$27:$T$48)),IF(B193="高二",IF($E193="男",LOOKUP(L193,[1]对照表!$R$3:$R$24,[1]对照表!$T$3:$T$24),LOOKUP(L193,[1]对照表!$R$27:$R$48,[1]对照表!$T$27:$T$48)),IF(B193="高一",IF($E193="男",LOOKUP(L193,[1]对照表!$Q$3:$Q$24,[1]对照表!$T$3:$T$24),LOOKUP(L193,[1]对照表!$Q$27:$Q$48,[1]对照表!$T$27:$T$48)))))</f>
        <v>0</v>
      </c>
      <c r="N193" s="33">
        <f>IF(B193="高三",MAX(IF(E193="男",L193-18,L193-55),0),IF(B193="高二",MAX(IF(E193="男",L193-17,L193-54),0),IF(B193="高一",MAX(IF(E193="男",L193-16,L193-53),0))))</f>
        <v>0</v>
      </c>
      <c r="O193" s="23">
        <f>IF(E193="男",LOOKUP($N193,[1]对照表!$Z$3:$Z$13,[1]对照表!$AA$3:$AA$13),LOOKUP($N193,[1]对照表!$Z$15:$Z$25,[1]对照表!$AA$15:$AA$25))</f>
        <v>0</v>
      </c>
      <c r="P193" s="24">
        <f>M193+O193</f>
        <v>0</v>
      </c>
      <c r="Q193" s="25">
        <v>4.47</v>
      </c>
      <c r="R193" s="32">
        <f>IF(B193="高三",IF($E193="男",LOOKUP(Q193,[1]对照表!$W$3:$W$24,[1]对照表!$X$3:$X$24),LOOKUP(Q193,[1]对照表!$W$27:$W$48,[1]对照表!$X$27:$X$48)),IF(B193="高二",IF($E193="男",LOOKUP(Q193,[1]对照表!$V$3:$V$24,[1]对照表!$X$3:$X$24),LOOKUP(Q193,[1]对照表!$V$27:$V$48,[1]对照表!$X$27:$X$48)),IF(B193="高一",IF($E193="男",LOOKUP(Q193,[1]对照表!$U$3:$U$24,[1]对照表!$X$3:$X$24),LOOKUP(Q193,[1]对照表!$U$27:$U$48,[1]对照表!$X$27:$X$48)))))</f>
        <v>50</v>
      </c>
      <c r="S193" s="33">
        <f>ROUND(IF(IF($B193="高三",MIN(IF($E193="男",$Q193-3.2,$Q193-3.2),0),IF($B193="高二",MIN(IF($E193="男",$Q193-3.25,$Q193-3.22),0),IF($B193="高一",MIN(IF($E193="男",$Q193-3.3,$Q193-3.24),0))))&lt;-0.6,IF($B193="高三",MIN(IF($E193="男",$Q193-3.2,$Q193-3.2),0),IF($B193="高二",MIN(IF($E193="男",$Q193-3.25,$Q193-3.22),0),IF($B193="高一",MIN(IF($E193="男",$Q193-3.3,$Q193-3.24),0))))+0.4,IF($B193="高三",MIN(IF($E193="男",$Q193-3.2,$Q193-3.2),0),IF($B193="高二",MIN(IF($E193="男",$Q193-3.25,$Q193-3.22),0),IF($B193="高一",MIN(IF($E193="男",$Q193-3.3,$Q193-3.24),0))))),2)</f>
        <v>0</v>
      </c>
      <c r="T193" s="23">
        <f>IF(E193="男",LOOKUP($S193,[1]对照表!$AB$3:$AB$13,[1]对照表!$AC$3:$AC$13),LOOKUP($S193,[1]对照表!$AB$15:$AB$25,[1]对照表!$AC$15:$AC$25))</f>
        <v>0</v>
      </c>
      <c r="U193" s="26">
        <f>R193+T193</f>
        <v>50</v>
      </c>
      <c r="V193" s="26">
        <f>SUM(I193,K193,M193)/3*0.3+SUM(G193,R193)/2*0.4</f>
        <v>35.200000000000003</v>
      </c>
      <c r="W193" s="27">
        <f>O193+T193</f>
        <v>0</v>
      </c>
      <c r="X193" s="28">
        <f>V193/0.7+W193</f>
        <v>50.285714285714292</v>
      </c>
      <c r="Y193" s="28">
        <v>50.285714285714292</v>
      </c>
      <c r="Z193" s="21"/>
    </row>
    <row r="194" spans="1:26" x14ac:dyDescent="0.25">
      <c r="A194" s="16">
        <v>43</v>
      </c>
      <c r="B194" s="17" t="s">
        <v>21</v>
      </c>
      <c r="C194" s="16">
        <v>105</v>
      </c>
      <c r="D194" s="18" t="s">
        <v>648</v>
      </c>
      <c r="E194" s="17" t="s">
        <v>65</v>
      </c>
      <c r="F194" s="19">
        <v>9.82</v>
      </c>
      <c r="G194" s="32">
        <f>IF(B194="高三",IF($E194="男",LOOKUP(F194,[1]对照表!$G$3:$G$24,[1]对照表!$H$3:$H$24),LOOKUP(F194,[1]对照表!$G$27:$G$48,[1]对照表!$H$27:$H$48)),IF(B194="高二",IF($E194="男",LOOKUP(F194,[1]对照表!$F$3:$F$24,[1]对照表!$H$3:$H$24),LOOKUP(F194,[1]对照表!$F$27:$F$48,[1]对照表!$H$27:$H$48)),IF(B194="高一",IF($E194="男",LOOKUP(F194,[1]对照表!$E$3:$E$24,[1]对照表!$H$3:$H$24),LOOKUP(F194,[1]对照表!$E$27:$E$48,[1]对照表!$H$27:$H$48)))))</f>
        <v>66</v>
      </c>
      <c r="H194" s="21">
        <v>22</v>
      </c>
      <c r="I194" s="32">
        <f>IF(B194="高三",IF($E194="男",LOOKUP(H194,[1]对照表!$K$3:$K$24,[1]对照表!$L$3:$L$24),LOOKUP(H194,[1]对照表!$K$27:$K$48,[1]对照表!$L$27:$L$48)),IF(B194="高二",IF($E194="男",LOOKUP(H194,[1]对照表!$J$3:$J$24,[1]对照表!$L$3:$L$24),LOOKUP(H194,[1]对照表!$J$27:$J$48,[1]对照表!$L$27:$L$48)),IF(B194="高一",IF($E194="男",LOOKUP(H194,[1]对照表!$I$3:$I$24,[1]对照表!$L$3:$L$24),LOOKUP(H194,[1]对照表!$I$27:$I$48,[1]对照表!$L$27:$L$48)))))</f>
        <v>90</v>
      </c>
      <c r="J194" s="21">
        <v>160</v>
      </c>
      <c r="K194" s="32">
        <f>IF(B194="高三",IF($E194="男",LOOKUP(J194,[1]对照表!$O$3:$O$24,[1]对照表!$P$3:$P$24),LOOKUP(J194,[1]对照表!$O$27:$O$48,[1]对照表!$P$27:$P$48)),IF(B194="高二",IF($E194="男",LOOKUP(J194,[1]对照表!$N$3:$N$24,[1]对照表!$P$3:$P$24),LOOKUP(J194,[1]对照表!$N$27:$N$48,[1]对照表!$P$27:$P$48)),IF(B194="高一",IF($E194="男",LOOKUP(J194,[1]对照表!$M$3:$M$24,[1]对照表!$P$3:$P$24),LOOKUP(J194,[1]对照表!$M$27:$M$48,[1]对照表!$P$27:$P$48)))))</f>
        <v>68</v>
      </c>
      <c r="L194" s="21">
        <v>37</v>
      </c>
      <c r="M194" s="32">
        <f>IF(B194="高三",IF($E194="男",LOOKUP(L194,[1]对照表!$S$3:$S$24,[1]对照表!$T$3:$T$24),LOOKUP(L194,[1]对照表!$S$27:$S$48,[1]对照表!$T$27:$T$48)),IF(B194="高二",IF($E194="男",LOOKUP(L194,[1]对照表!$R$3:$R$24,[1]对照表!$T$3:$T$24),LOOKUP(L194,[1]对照表!$R$27:$R$48,[1]对照表!$T$27:$T$48)),IF(B194="高一",IF($E194="男",LOOKUP(L194,[1]对照表!$Q$3:$Q$24,[1]对照表!$T$3:$T$24),LOOKUP(L194,[1]对照表!$Q$27:$Q$48,[1]对照表!$T$27:$T$48)))))</f>
        <v>74</v>
      </c>
      <c r="N194" s="33">
        <f>IF(B194="高三",MAX(IF(E194="男",L194-18,L194-55),0),IF(B194="高二",MAX(IF(E194="男",L194-17,L194-54),0),IF(B194="高一",MAX(IF(E194="男",L194-16,L194-53),0))))</f>
        <v>0</v>
      </c>
      <c r="O194" s="23">
        <f>IF(E194="男",LOOKUP($N194,[1]对照表!$Z$3:$Z$13,[1]对照表!$AA$3:$AA$13),LOOKUP($N194,[1]对照表!$Z$15:$Z$25,[1]对照表!$AA$15:$AA$25))</f>
        <v>0</v>
      </c>
      <c r="P194" s="24">
        <f>M194+O194</f>
        <v>74</v>
      </c>
      <c r="Q194" s="25">
        <v>3.55</v>
      </c>
      <c r="R194" s="32">
        <f>IF(B194="高三",IF($E194="男",LOOKUP(Q194,[1]对照表!$W$3:$W$24,[1]对照表!$X$3:$X$24),LOOKUP(Q194,[1]对照表!$W$27:$W$48,[1]对照表!$X$27:$X$48)),IF(B194="高二",IF($E194="男",LOOKUP(Q194,[1]对照表!$V$3:$V$24,[1]对照表!$X$3:$X$24),LOOKUP(Q194,[1]对照表!$V$27:$V$48,[1]对照表!$X$27:$X$48)),IF(B194="高一",IF($E194="男",LOOKUP(Q194,[1]对照表!$U$3:$U$24,[1]对照表!$X$3:$X$24),LOOKUP(Q194,[1]对照表!$U$27:$U$48,[1]对照表!$X$27:$X$48)))))</f>
        <v>78</v>
      </c>
      <c r="S194" s="33">
        <f>ROUND(IF(IF($B194="高三",MIN(IF($E194="男",$Q194-3.2,$Q194-3.2),0),IF($B194="高二",MIN(IF($E194="男",$Q194-3.25,$Q194-3.22),0),IF($B194="高一",MIN(IF($E194="男",$Q194-3.3,$Q194-3.24),0))))&lt;-0.6,IF($B194="高三",MIN(IF($E194="男",$Q194-3.2,$Q194-3.2),0),IF($B194="高二",MIN(IF($E194="男",$Q194-3.25,$Q194-3.22),0),IF($B194="高一",MIN(IF($E194="男",$Q194-3.3,$Q194-3.24),0))))+0.4,IF($B194="高三",MIN(IF($E194="男",$Q194-3.2,$Q194-3.2),0),IF($B194="高二",MIN(IF($E194="男",$Q194-3.25,$Q194-3.22),0),IF($B194="高一",MIN(IF($E194="男",$Q194-3.3,$Q194-3.24),0))))),2)</f>
        <v>0</v>
      </c>
      <c r="T194" s="23">
        <f>IF(E194="男",LOOKUP($S194,[1]对照表!$AB$3:$AB$13,[1]对照表!$AC$3:$AC$13),LOOKUP($S194,[1]对照表!$AB$15:$AB$25,[1]对照表!$AC$15:$AC$25))</f>
        <v>0</v>
      </c>
      <c r="U194" s="26">
        <f>R194+T194</f>
        <v>78</v>
      </c>
      <c r="V194" s="26">
        <f>SUM(I194,K194,M194)/3*0.3+SUM(G194,R194)/2*0.4</f>
        <v>52</v>
      </c>
      <c r="W194" s="27">
        <f>O194+T194</f>
        <v>0</v>
      </c>
      <c r="X194" s="28">
        <f>V194/0.7+W194</f>
        <v>74.285714285714292</v>
      </c>
      <c r="Y194" s="28">
        <v>74.285714285714292</v>
      </c>
      <c r="Z194" s="21"/>
    </row>
    <row r="195" spans="1:26" x14ac:dyDescent="0.25">
      <c r="A195" s="16">
        <v>45</v>
      </c>
      <c r="B195" s="17" t="s">
        <v>21</v>
      </c>
      <c r="C195" s="16">
        <v>105</v>
      </c>
      <c r="D195" s="18" t="s">
        <v>652</v>
      </c>
      <c r="E195" s="17" t="s">
        <v>65</v>
      </c>
      <c r="F195" s="19">
        <v>9.4499999999999993</v>
      </c>
      <c r="G195" s="32">
        <f>IF(B195="高三",IF($E195="男",LOOKUP(F195,[1]对照表!$G$3:$G$24,[1]对照表!$H$3:$H$24),LOOKUP(F195,[1]对照表!$G$27:$G$48,[1]对照表!$H$27:$H$48)),IF(B195="高二",IF($E195="男",LOOKUP(F195,[1]对照表!$F$3:$F$24,[1]对照表!$H$3:$H$24),LOOKUP(F195,[1]对照表!$F$27:$F$48,[1]对照表!$H$27:$H$48)),IF(B195="高一",IF($E195="男",LOOKUP(F195,[1]对照表!$E$3:$E$24,[1]对照表!$H$3:$H$24),LOOKUP(F195,[1]对照表!$E$27:$E$48,[1]对照表!$H$27:$H$48)))))</f>
        <v>70</v>
      </c>
      <c r="H195" s="21">
        <v>16</v>
      </c>
      <c r="I195" s="32">
        <f>IF(B195="高三",IF($E195="男",LOOKUP(H195,[1]对照表!$K$3:$K$24,[1]对照表!$L$3:$L$24),LOOKUP(H195,[1]对照表!$K$27:$K$48,[1]对照表!$L$27:$L$48)),IF(B195="高二",IF($E195="男",LOOKUP(H195,[1]对照表!$J$3:$J$24,[1]对照表!$L$3:$L$24),LOOKUP(H195,[1]对照表!$J$27:$J$48,[1]对照表!$L$27:$L$48)),IF(B195="高一",IF($E195="男",LOOKUP(H195,[1]对照表!$I$3:$I$24,[1]对照表!$L$3:$L$24),LOOKUP(H195,[1]对照表!$I$27:$I$48,[1]对照表!$L$27:$L$48)))))</f>
        <v>76</v>
      </c>
      <c r="J195" s="21">
        <v>191</v>
      </c>
      <c r="K195" s="32">
        <f>IF(B195="高三",IF($E195="男",LOOKUP(J195,[1]对照表!$O$3:$O$24,[1]对照表!$P$3:$P$24),LOOKUP(J195,[1]对照表!$O$27:$O$48,[1]对照表!$P$27:$P$48)),IF(B195="高二",IF($E195="男",LOOKUP(J195,[1]对照表!$N$3:$N$24,[1]对照表!$P$3:$P$24),LOOKUP(J195,[1]对照表!$N$27:$N$48,[1]对照表!$P$27:$P$48)),IF(B195="高一",IF($E195="男",LOOKUP(J195,[1]对照表!$M$3:$M$24,[1]对照表!$P$3:$P$24),LOOKUP(J195,[1]对照表!$M$27:$M$48,[1]对照表!$P$27:$P$48)))))</f>
        <v>85</v>
      </c>
      <c r="L195" s="21">
        <v>54</v>
      </c>
      <c r="M195" s="32">
        <f>IF(B195="高三",IF($E195="男",LOOKUP(L195,[1]对照表!$S$3:$S$24,[1]对照表!$T$3:$T$24),LOOKUP(L195,[1]对照表!$S$27:$S$48,[1]对照表!$T$27:$T$48)),IF(B195="高二",IF($E195="男",LOOKUP(L195,[1]对照表!$R$3:$R$24,[1]对照表!$T$3:$T$24),LOOKUP(L195,[1]对照表!$R$27:$R$48,[1]对照表!$T$27:$T$48)),IF(B195="高一",IF($E195="男",LOOKUP(L195,[1]对照表!$Q$3:$Q$24,[1]对照表!$T$3:$T$24),LOOKUP(L195,[1]对照表!$Q$27:$Q$48,[1]对照表!$T$27:$T$48)))))</f>
        <v>100</v>
      </c>
      <c r="N195" s="33">
        <f>IF(B195="高三",MAX(IF(E195="男",L195-18,L195-55),0),IF(B195="高二",MAX(IF(E195="男",L195-17,L195-54),0),IF(B195="高一",MAX(IF(E195="男",L195-16,L195-53),0))))</f>
        <v>1</v>
      </c>
      <c r="O195" s="23">
        <f>IF(E195="男",LOOKUP($N195,[1]对照表!$Z$3:$Z$13,[1]对照表!$AA$3:$AA$13),LOOKUP($N195,[1]对照表!$Z$15:$Z$25,[1]对照表!$AA$15:$AA$25))</f>
        <v>0</v>
      </c>
      <c r="P195" s="24">
        <f>M195+O195</f>
        <v>100</v>
      </c>
      <c r="Q195" s="25">
        <v>3.56</v>
      </c>
      <c r="R195" s="32">
        <f>IF(B195="高三",IF($E195="男",LOOKUP(Q195,[1]对照表!$W$3:$W$24,[1]对照表!$X$3:$X$24),LOOKUP(Q195,[1]对照表!$W$27:$W$48,[1]对照表!$X$27:$X$48)),IF(B195="高二",IF($E195="男",LOOKUP(Q195,[1]对照表!$V$3:$V$24,[1]对照表!$X$3:$X$24),LOOKUP(Q195,[1]对照表!$V$27:$V$48,[1]对照表!$X$27:$X$48)),IF(B195="高一",IF($E195="男",LOOKUP(Q195,[1]对照表!$U$3:$U$24,[1]对照表!$X$3:$X$24),LOOKUP(Q195,[1]对照表!$U$27:$U$48,[1]对照表!$X$27:$X$48)))))</f>
        <v>76</v>
      </c>
      <c r="S195" s="33">
        <f>ROUND(IF(IF($B195="高三",MIN(IF($E195="男",$Q195-3.2,$Q195-3.2),0),IF($B195="高二",MIN(IF($E195="男",$Q195-3.25,$Q195-3.22),0),IF($B195="高一",MIN(IF($E195="男",$Q195-3.3,$Q195-3.24),0))))&lt;-0.6,IF($B195="高三",MIN(IF($E195="男",$Q195-3.2,$Q195-3.2),0),IF($B195="高二",MIN(IF($E195="男",$Q195-3.25,$Q195-3.22),0),IF($B195="高一",MIN(IF($E195="男",$Q195-3.3,$Q195-3.24),0))))+0.4,IF($B195="高三",MIN(IF($E195="男",$Q195-3.2,$Q195-3.2),0),IF($B195="高二",MIN(IF($E195="男",$Q195-3.25,$Q195-3.22),0),IF($B195="高一",MIN(IF($E195="男",$Q195-3.3,$Q195-3.24),0))))),2)</f>
        <v>0</v>
      </c>
      <c r="T195" s="23">
        <f>IF(E195="男",LOOKUP($S195,[1]对照表!$AB$3:$AB$13,[1]对照表!$AC$3:$AC$13),LOOKUP($S195,[1]对照表!$AB$15:$AB$25,[1]对照表!$AC$15:$AC$25))</f>
        <v>0</v>
      </c>
      <c r="U195" s="26">
        <f>R195+T195</f>
        <v>76</v>
      </c>
      <c r="V195" s="26">
        <f>SUM(I195,K195,M195)/3*0.3+SUM(G195,R195)/2*0.4</f>
        <v>55.3</v>
      </c>
      <c r="W195" s="27">
        <f>O195+T195</f>
        <v>0</v>
      </c>
      <c r="X195" s="28">
        <f>V195/0.7+W195</f>
        <v>79</v>
      </c>
      <c r="Y195" s="28">
        <v>79</v>
      </c>
      <c r="Z195" s="21"/>
    </row>
    <row r="196" spans="1:26" x14ac:dyDescent="0.25">
      <c r="A196" s="16">
        <v>46</v>
      </c>
      <c r="B196" s="17" t="s">
        <v>21</v>
      </c>
      <c r="C196" s="16">
        <v>105</v>
      </c>
      <c r="D196" s="18" t="s">
        <v>686</v>
      </c>
      <c r="E196" s="31" t="s">
        <v>65</v>
      </c>
      <c r="F196" s="19">
        <v>9.74</v>
      </c>
      <c r="G196" s="32">
        <f>IF(B196="高三",IF($E196="男",LOOKUP(F196,[1]对照表!$G$3:$G$24,[1]对照表!$H$3:$H$24),LOOKUP(F196,[1]对照表!$G$27:$G$48,[1]对照表!$H$27:$H$48)),IF(B196="高二",IF($E196="男",LOOKUP(F196,[1]对照表!$F$3:$F$24,[1]对照表!$H$3:$H$24),LOOKUP(F196,[1]对照表!$F$27:$F$48,[1]对照表!$H$27:$H$48)),IF(B196="高一",IF($E196="男",LOOKUP(F196,[1]对照表!$E$3:$E$24,[1]对照表!$H$3:$H$24),LOOKUP(F196,[1]对照表!$E$27:$E$48,[1]对照表!$H$27:$H$48)))))</f>
        <v>68</v>
      </c>
      <c r="H196" s="21">
        <v>12</v>
      </c>
      <c r="I196" s="32">
        <f>IF(B196="高三",IF($E196="男",LOOKUP(H196,[1]对照表!$K$3:$K$24,[1]对照表!$L$3:$L$24),LOOKUP(H196,[1]对照表!$K$27:$K$48,[1]对照表!$L$27:$L$48)),IF(B196="高二",IF($E196="男",LOOKUP(H196,[1]对照表!$J$3:$J$24,[1]对照表!$L$3:$L$24),LOOKUP(H196,[1]对照表!$J$27:$J$48,[1]对照表!$L$27:$L$48)),IF(B196="高一",IF($E196="男",LOOKUP(H196,[1]对照表!$I$3:$I$24,[1]对照表!$L$3:$L$24),LOOKUP(H196,[1]对照表!$I$27:$I$48,[1]对照表!$L$27:$L$48)))))</f>
        <v>70</v>
      </c>
      <c r="J196" s="21">
        <v>166</v>
      </c>
      <c r="K196" s="32">
        <f>IF(B196="高三",IF($E196="男",LOOKUP(J196,[1]对照表!$O$3:$O$24,[1]对照表!$P$3:$P$24),LOOKUP(J196,[1]对照表!$O$27:$O$48,[1]对照表!$P$27:$P$48)),IF(B196="高二",IF($E196="男",LOOKUP(J196,[1]对照表!$N$3:$N$24,[1]对照表!$P$3:$P$24),LOOKUP(J196,[1]对照表!$N$27:$N$48,[1]对照表!$P$27:$P$48)),IF(B196="高一",IF($E196="男",LOOKUP(J196,[1]对照表!$M$3:$M$24,[1]对照表!$P$3:$P$24),LOOKUP(J196,[1]对照表!$M$27:$M$48,[1]对照表!$P$27:$P$48)))))</f>
        <v>72</v>
      </c>
      <c r="L196" s="21">
        <v>40</v>
      </c>
      <c r="M196" s="32">
        <f>IF(B196="高三",IF($E196="男",LOOKUP(L196,[1]对照表!$S$3:$S$24,[1]对照表!$T$3:$T$24),LOOKUP(L196,[1]对照表!$S$27:$S$48,[1]对照表!$T$27:$T$48)),IF(B196="高二",IF($E196="男",LOOKUP(L196,[1]对照表!$R$3:$R$24,[1]对照表!$T$3:$T$24),LOOKUP(L196,[1]对照表!$R$27:$R$48,[1]对照表!$T$27:$T$48)),IF(B196="高一",IF($E196="男",LOOKUP(L196,[1]对照表!$Q$3:$Q$24,[1]对照表!$T$3:$T$24),LOOKUP(L196,[1]对照表!$Q$27:$Q$48,[1]对照表!$T$27:$T$48)))))</f>
        <v>76</v>
      </c>
      <c r="N196" s="33">
        <f>IF(B196="高三",MAX(IF(E196="男",L196-18,L196-55),0),IF(B196="高二",MAX(IF(E196="男",L196-17,L196-54),0),IF(B196="高一",MAX(IF(E196="男",L196-16,L196-53),0))))</f>
        <v>0</v>
      </c>
      <c r="O196" s="23">
        <f>IF(E196="男",LOOKUP($N196,[1]对照表!$Z$3:$Z$13,[1]对照表!$AA$3:$AA$13),LOOKUP($N196,[1]对照表!$Z$15:$Z$25,[1]对照表!$AA$15:$AA$25))</f>
        <v>0</v>
      </c>
      <c r="P196" s="24">
        <f>M196+O196</f>
        <v>76</v>
      </c>
      <c r="Q196" s="25">
        <v>4.01</v>
      </c>
      <c r="R196" s="32">
        <f>IF(B196="高三",IF($E196="男",LOOKUP(Q196,[1]对照表!$W$3:$W$24,[1]对照表!$X$3:$X$24),LOOKUP(Q196,[1]对照表!$W$27:$W$48,[1]对照表!$X$27:$X$48)),IF(B196="高二",IF($E196="男",LOOKUP(Q196,[1]对照表!$V$3:$V$24,[1]对照表!$X$3:$X$24),LOOKUP(Q196,[1]对照表!$V$27:$V$48,[1]对照表!$X$27:$X$48)),IF(B196="高一",IF($E196="男",LOOKUP(Q196,[1]对照表!$U$3:$U$24,[1]对照表!$X$3:$X$24),LOOKUP(Q196,[1]对照表!$U$27:$U$48,[1]对照表!$X$27:$X$48)))))</f>
        <v>74</v>
      </c>
      <c r="S196" s="27">
        <f>ROUND(IF(IF($B196="高三",MIN(IF($E196="男",$Q196-3.2,$Q196-3.2),0),IF($B196="高二",MIN(IF($E196="男",$Q196-3.25,$Q196-3.22),0),IF($B196="高一",MIN(IF($E196="男",$Q196-3.3,$Q196-3.24),0))))&lt;-0.6,IF($B196="高三",MIN(IF($E196="男",$Q196-3.2,$Q196-3.2),0),IF($B196="高二",MIN(IF($E196="男",$Q196-3.25,$Q196-3.22),0),IF($B196="高一",MIN(IF($E196="男",$Q196-3.3,$Q196-3.24),0))))+0.4,IF($B196="高三",MIN(IF($E196="男",$Q196-3.2,$Q196-3.2),0),IF($B196="高二",MIN(IF($E196="男",$Q196-3.25,$Q196-3.22),0),IF($B196="高一",MIN(IF($E196="男",$Q196-3.3,$Q196-3.24),0))))),2)</f>
        <v>0</v>
      </c>
      <c r="T196" s="23">
        <f>IF(E196="男",LOOKUP($S196,[1]对照表!$AB$3:$AB$13,[1]对照表!$AC$3:$AC$13),LOOKUP($S196,[1]对照表!$AB$15:$AB$25,[1]对照表!$AC$15:$AC$25))</f>
        <v>0</v>
      </c>
      <c r="U196" s="26">
        <f>R196+T196</f>
        <v>74</v>
      </c>
      <c r="V196" s="26">
        <f>SUM(I196,K196,M196)/3*0.3+SUM(G196,R196)/2*0.4</f>
        <v>50.2</v>
      </c>
      <c r="W196" s="27">
        <f>O196+T196</f>
        <v>0</v>
      </c>
      <c r="X196" s="28">
        <f>V196/0.7+W196</f>
        <v>71.714285714285722</v>
      </c>
      <c r="Y196" s="28">
        <v>71.714285714285722</v>
      </c>
      <c r="Z196" s="21"/>
    </row>
    <row r="197" spans="1:26" x14ac:dyDescent="0.25">
      <c r="A197" s="16">
        <v>29</v>
      </c>
      <c r="B197" s="17" t="s">
        <v>21</v>
      </c>
      <c r="C197" s="16">
        <v>105</v>
      </c>
      <c r="D197" s="18" t="s">
        <v>713</v>
      </c>
      <c r="E197" s="17" t="s">
        <v>23</v>
      </c>
      <c r="F197" s="19"/>
      <c r="G197" s="20">
        <v>0</v>
      </c>
      <c r="H197" s="21"/>
      <c r="I197" s="20">
        <v>0</v>
      </c>
      <c r="J197" s="21"/>
      <c r="K197" s="20">
        <v>0</v>
      </c>
      <c r="L197" s="21"/>
      <c r="M197" s="20">
        <v>0</v>
      </c>
      <c r="N197" s="22">
        <v>0</v>
      </c>
      <c r="O197" s="23">
        <f>IF(E197="男",LOOKUP($N197,[1]对照表!$Z$3:$Z$13,[1]对照表!$AA$3:$AA$13),LOOKUP($N197,[1]对照表!$Z$15:$Z$25,[1]对照表!$AA$15:$AA$25))</f>
        <v>0</v>
      </c>
      <c r="P197" s="24">
        <f>M197+O197</f>
        <v>0</v>
      </c>
      <c r="Q197" s="25"/>
      <c r="R197" s="20">
        <v>0</v>
      </c>
      <c r="S197" s="22">
        <v>0</v>
      </c>
      <c r="T197" s="23">
        <f>IF(E197="男",LOOKUP($S197,[1]对照表!$AB$3:$AB$13,[1]对照表!$AC$3:$AC$13),LOOKUP($S197,[1]对照表!$AB$15:$AB$25,[1]对照表!$AC$15:$AC$25))</f>
        <v>0</v>
      </c>
      <c r="U197" s="26">
        <f>R197+T197</f>
        <v>0</v>
      </c>
      <c r="V197" s="26">
        <f>SUM(I197,K197,M197)/3*0.3+SUM(G197,R197)/2*0.4</f>
        <v>0</v>
      </c>
      <c r="W197" s="27">
        <f>O197+T197</f>
        <v>0</v>
      </c>
      <c r="X197" s="28">
        <f>V197/0.7+W197</f>
        <v>0</v>
      </c>
      <c r="Y197" s="29">
        <v>50</v>
      </c>
      <c r="Z197" s="21" t="s">
        <v>578</v>
      </c>
    </row>
    <row r="198" spans="1:26" x14ac:dyDescent="0.25">
      <c r="A198" s="16">
        <v>48</v>
      </c>
      <c r="B198" s="17" t="s">
        <v>21</v>
      </c>
      <c r="C198" s="16">
        <v>105</v>
      </c>
      <c r="D198" s="18" t="s">
        <v>736</v>
      </c>
      <c r="E198" s="17" t="s">
        <v>65</v>
      </c>
      <c r="F198" s="19">
        <v>9.74</v>
      </c>
      <c r="G198" s="32">
        <f>IF(B198="高三",IF($E198="男",LOOKUP(F198,[1]对照表!$G$3:$G$24,[1]对照表!$H$3:$H$24),LOOKUP(F198,[1]对照表!$G$27:$G$48,[1]对照表!$H$27:$H$48)),IF(B198="高二",IF($E198="男",LOOKUP(F198,[1]对照表!$F$3:$F$24,[1]对照表!$H$3:$H$24),LOOKUP(F198,[1]对照表!$F$27:$F$48,[1]对照表!$H$27:$H$48)),IF(B198="高一",IF($E198="男",LOOKUP(F198,[1]对照表!$E$3:$E$24,[1]对照表!$H$3:$H$24),LOOKUP(F198,[1]对照表!$E$27:$E$48,[1]对照表!$H$27:$H$48)))))</f>
        <v>68</v>
      </c>
      <c r="H198" s="21">
        <v>24</v>
      </c>
      <c r="I198" s="32">
        <f>IF(B198="高三",IF($E198="男",LOOKUP(H198,[1]对照表!$K$3:$K$24,[1]对照表!$L$3:$L$24),LOOKUP(H198,[1]对照表!$K$27:$K$48,[1]对照表!$L$27:$L$48)),IF(B198="高二",IF($E198="男",LOOKUP(H198,[1]对照表!$J$3:$J$24,[1]对照表!$L$3:$L$24),LOOKUP(H198,[1]对照表!$J$27:$J$48,[1]对照表!$L$27:$L$48)),IF(B198="高一",IF($E198="男",LOOKUP(H198,[1]对照表!$I$3:$I$24,[1]对照表!$L$3:$L$24),LOOKUP(H198,[1]对照表!$I$27:$I$48,[1]对照表!$L$27:$L$48)))))</f>
        <v>95</v>
      </c>
      <c r="J198" s="21">
        <v>153</v>
      </c>
      <c r="K198" s="32">
        <f>IF(B198="高三",IF($E198="男",LOOKUP(J198,[1]对照表!$O$3:$O$24,[1]对照表!$P$3:$P$24),LOOKUP(J198,[1]对照表!$O$27:$O$48,[1]对照表!$P$27:$P$48)),IF(B198="高二",IF($E198="男",LOOKUP(J198,[1]对照表!$N$3:$N$24,[1]对照表!$P$3:$P$24),LOOKUP(J198,[1]对照表!$N$27:$N$48,[1]对照表!$P$27:$P$48)),IF(B198="高一",IF($E198="男",LOOKUP(J198,[1]对照表!$M$3:$M$24,[1]对照表!$P$3:$P$24),LOOKUP(J198,[1]对照表!$M$27:$M$48,[1]对照表!$P$27:$P$48)))))</f>
        <v>62</v>
      </c>
      <c r="L198" s="21">
        <v>48</v>
      </c>
      <c r="M198" s="32">
        <f>IF(B198="高三",IF($E198="男",LOOKUP(L198,[1]对照表!$S$3:$S$24,[1]对照表!$T$3:$T$24),LOOKUP(L198,[1]对照表!$S$27:$S$48,[1]对照表!$T$27:$T$48)),IF(B198="高二",IF($E198="男",LOOKUP(L198,[1]对照表!$R$3:$R$24,[1]对照表!$T$3:$T$24),LOOKUP(L198,[1]对照表!$R$27:$R$48,[1]对照表!$T$27:$T$48)),IF(B198="高一",IF($E198="男",LOOKUP(L198,[1]对照表!$Q$3:$Q$24,[1]对照表!$T$3:$T$24),LOOKUP(L198,[1]对照表!$Q$27:$Q$48,[1]对照表!$T$27:$T$48)))))</f>
        <v>85</v>
      </c>
      <c r="N198" s="33">
        <f>IF(B198="高三",MAX(IF(E198="男",L198-18,L198-55),0),IF(B198="高二",MAX(IF(E198="男",L198-17,L198-54),0),IF(B198="高一",MAX(IF(E198="男",L198-16,L198-53),0))))</f>
        <v>0</v>
      </c>
      <c r="O198" s="23">
        <f>IF(E198="男",LOOKUP($N198,[1]对照表!$Z$3:$Z$13,[1]对照表!$AA$3:$AA$13),LOOKUP($N198,[1]对照表!$Z$15:$Z$25,[1]对照表!$AA$15:$AA$25))</f>
        <v>0</v>
      </c>
      <c r="P198" s="24">
        <f>M198+O198</f>
        <v>85</v>
      </c>
      <c r="Q198" s="25">
        <v>4.42</v>
      </c>
      <c r="R198" s="32">
        <f>IF(B198="高三",IF($E198="男",LOOKUP(Q198,[1]对照表!$W$3:$W$24,[1]对照表!$X$3:$X$24),LOOKUP(Q198,[1]对照表!$W$27:$W$48,[1]对照表!$X$27:$X$48)),IF(B198="高二",IF($E198="男",LOOKUP(Q198,[1]对照表!$V$3:$V$24,[1]对照表!$X$3:$X$24),LOOKUP(Q198,[1]对照表!$V$27:$V$48,[1]对照表!$X$27:$X$48)),IF(B198="高一",IF($E198="男",LOOKUP(Q198,[1]对照表!$U$3:$U$24,[1]对照表!$X$3:$X$24),LOOKUP(Q198,[1]对照表!$U$27:$U$48,[1]对照表!$X$27:$X$48)))))</f>
        <v>50</v>
      </c>
      <c r="S198" s="33">
        <f>ROUND(IF(IF($B198="高三",MIN(IF($E198="男",$Q198-3.2,$Q198-3.2),0),IF($B198="高二",MIN(IF($E198="男",$Q198-3.25,$Q198-3.22),0),IF($B198="高一",MIN(IF($E198="男",$Q198-3.3,$Q198-3.24),0))))&lt;-0.6,IF($B198="高三",MIN(IF($E198="男",$Q198-3.2,$Q198-3.2),0),IF($B198="高二",MIN(IF($E198="男",$Q198-3.25,$Q198-3.22),0),IF($B198="高一",MIN(IF($E198="男",$Q198-3.3,$Q198-3.24),0))))+0.4,IF($B198="高三",MIN(IF($E198="男",$Q198-3.2,$Q198-3.2),0),IF($B198="高二",MIN(IF($E198="男",$Q198-3.25,$Q198-3.22),0),IF($B198="高一",MIN(IF($E198="男",$Q198-3.3,$Q198-3.24),0))))),2)</f>
        <v>0</v>
      </c>
      <c r="T198" s="23">
        <f>IF(E198="男",LOOKUP($S198,[1]对照表!$AB$3:$AB$13,[1]对照表!$AC$3:$AC$13),LOOKUP($S198,[1]对照表!$AB$15:$AB$25,[1]对照表!$AC$15:$AC$25))</f>
        <v>0</v>
      </c>
      <c r="U198" s="26">
        <f>R198+T198</f>
        <v>50</v>
      </c>
      <c r="V198" s="26">
        <f>SUM(I198,K198,M198)/3*0.3+SUM(G198,R198)/2*0.4</f>
        <v>47.8</v>
      </c>
      <c r="W198" s="27">
        <f>O198+T198</f>
        <v>0</v>
      </c>
      <c r="X198" s="28">
        <f>V198/0.7+W198</f>
        <v>68.285714285714292</v>
      </c>
      <c r="Y198" s="28">
        <v>68.285714285714292</v>
      </c>
      <c r="Z198" s="21"/>
    </row>
    <row r="199" spans="1:26" x14ac:dyDescent="0.25">
      <c r="A199" s="16">
        <v>52</v>
      </c>
      <c r="B199" s="17" t="s">
        <v>21</v>
      </c>
      <c r="C199" s="16">
        <v>105</v>
      </c>
      <c r="D199" s="18" t="s">
        <v>744</v>
      </c>
      <c r="E199" s="17" t="s">
        <v>65</v>
      </c>
      <c r="F199" s="19">
        <v>7.88</v>
      </c>
      <c r="G199" s="32">
        <f>IF(B199="高三",IF($E199="男",LOOKUP(F199,[1]对照表!$G$3:$G$24,[1]对照表!$H$3:$H$24),LOOKUP(F199,[1]对照表!$G$27:$G$48,[1]对照表!$H$27:$H$48)),IF(B199="高二",IF($E199="男",LOOKUP(F199,[1]对照表!$F$3:$F$24,[1]对照表!$H$3:$H$24),LOOKUP(F199,[1]对照表!$F$27:$F$48,[1]对照表!$H$27:$H$48)),IF(B199="高一",IF($E199="男",LOOKUP(F199,[1]对照表!$E$3:$E$24,[1]对照表!$H$3:$H$24),LOOKUP(F199,[1]对照表!$E$27:$E$48,[1]对照表!$H$27:$H$48)))))</f>
        <v>95</v>
      </c>
      <c r="H199" s="21">
        <v>20</v>
      </c>
      <c r="I199" s="32">
        <f>IF(B199="高三",IF($E199="男",LOOKUP(H199,[1]对照表!$K$3:$K$24,[1]对照表!$L$3:$L$24),LOOKUP(H199,[1]对照表!$K$27:$K$48,[1]对照表!$L$27:$L$48)),IF(B199="高二",IF($E199="男",LOOKUP(H199,[1]对照表!$J$3:$J$24,[1]对照表!$L$3:$L$24),LOOKUP(H199,[1]对照表!$J$27:$J$48,[1]对照表!$L$27:$L$48)),IF(B199="高一",IF($E199="男",LOOKUP(H199,[1]对照表!$I$3:$I$24,[1]对照表!$L$3:$L$24),LOOKUP(H199,[1]对照表!$I$27:$I$48,[1]对照表!$L$27:$L$48)))))</f>
        <v>85</v>
      </c>
      <c r="J199" s="21">
        <v>205</v>
      </c>
      <c r="K199" s="32">
        <f>IF(B199="高三",IF($E199="男",LOOKUP(J199,[1]对照表!$O$3:$O$24,[1]对照表!$P$3:$P$24),LOOKUP(J199,[1]对照表!$O$27:$O$48,[1]对照表!$P$27:$P$48)),IF(B199="高二",IF($E199="男",LOOKUP(J199,[1]对照表!$N$3:$N$24,[1]对照表!$P$3:$P$24),LOOKUP(J199,[1]对照表!$N$27:$N$48,[1]对照表!$P$27:$P$48)),IF(B199="高一",IF($E199="男",LOOKUP(J199,[1]对照表!$M$3:$M$24,[1]对照表!$P$3:$P$24),LOOKUP(J199,[1]对照表!$M$27:$M$48,[1]对照表!$P$27:$P$48)))))</f>
        <v>100</v>
      </c>
      <c r="L199" s="21">
        <v>59</v>
      </c>
      <c r="M199" s="32">
        <f>IF(B199="高三",IF($E199="男",LOOKUP(L199,[1]对照表!$S$3:$S$24,[1]对照表!$T$3:$T$24),LOOKUP(L199,[1]对照表!$S$27:$S$48,[1]对照表!$T$27:$T$48)),IF(B199="高二",IF($E199="男",LOOKUP(L199,[1]对照表!$R$3:$R$24,[1]对照表!$T$3:$T$24),LOOKUP(L199,[1]对照表!$R$27:$R$48,[1]对照表!$T$27:$T$48)),IF(B199="高一",IF($E199="男",LOOKUP(L199,[1]对照表!$Q$3:$Q$24,[1]对照表!$T$3:$T$24),LOOKUP(L199,[1]对照表!$Q$27:$Q$48,[1]对照表!$T$27:$T$48)))))</f>
        <v>100</v>
      </c>
      <c r="N199" s="33">
        <f>IF(B199="高三",MAX(IF(E199="男",L199-18,L199-55),0),IF(B199="高二",MAX(IF(E199="男",L199-17,L199-54),0),IF(B199="高一",MAX(IF(E199="男",L199-16,L199-53),0))))</f>
        <v>6</v>
      </c>
      <c r="O199" s="23">
        <f>IF(E199="男",LOOKUP($N199,[1]对照表!$Z$3:$Z$13,[1]对照表!$AA$3:$AA$13),LOOKUP($N199,[1]对照表!$Z$15:$Z$25,[1]对照表!$AA$15:$AA$25))</f>
        <v>3</v>
      </c>
      <c r="P199" s="24">
        <f>M199+O199</f>
        <v>103</v>
      </c>
      <c r="Q199" s="25" t="s">
        <v>578</v>
      </c>
      <c r="R199" s="20">
        <v>0</v>
      </c>
      <c r="S199" s="22">
        <v>0</v>
      </c>
      <c r="T199" s="23">
        <f>IF(E199="男",LOOKUP($S199,[1]对照表!$AB$3:$AB$13,[1]对照表!$AC$3:$AC$13),LOOKUP($S199,[1]对照表!$AB$15:$AB$25,[1]对照表!$AC$15:$AC$25))</f>
        <v>0</v>
      </c>
      <c r="U199" s="26">
        <f>R199+T199</f>
        <v>0</v>
      </c>
      <c r="V199" s="26">
        <f>SUM(I199,K199,M199)/3*0.3+SUM(G199,R199)/2*0.4</f>
        <v>47.5</v>
      </c>
      <c r="W199" s="27">
        <f>O199+T199</f>
        <v>3</v>
      </c>
      <c r="X199" s="28">
        <f>V199/0.7+W199</f>
        <v>70.857142857142861</v>
      </c>
      <c r="Y199" s="28">
        <v>70.857142857142861</v>
      </c>
      <c r="Z199" s="21"/>
    </row>
    <row r="200" spans="1:26" x14ac:dyDescent="0.25">
      <c r="A200" s="16">
        <v>8</v>
      </c>
      <c r="B200" s="17" t="s">
        <v>21</v>
      </c>
      <c r="C200" s="16">
        <v>106</v>
      </c>
      <c r="D200" s="18" t="s">
        <v>48</v>
      </c>
      <c r="E200" s="17" t="s">
        <v>23</v>
      </c>
      <c r="F200" s="19">
        <v>7</v>
      </c>
      <c r="G200" s="32">
        <f>IF(B200="高三",IF($E200="男",LOOKUP(F200,[1]对照表!$G$3:$G$24,[1]对照表!$H$3:$H$24),LOOKUP(F200,[1]对照表!$G$27:$G$48,[1]对照表!$H$27:$H$48)),IF(B200="高二",IF($E200="男",LOOKUP(F200,[1]对照表!$F$3:$F$24,[1]对照表!$H$3:$H$24),LOOKUP(F200,[1]对照表!$F$27:$F$48,[1]对照表!$H$27:$H$48)),IF(B200="高一",IF($E200="男",LOOKUP(F200,[1]对照表!$E$3:$E$24,[1]对照表!$H$3:$H$24),LOOKUP(F200,[1]对照表!$E$27:$E$48,[1]对照表!$H$27:$H$48)))))</f>
        <v>100</v>
      </c>
      <c r="H200" s="21">
        <v>18.399999999999999</v>
      </c>
      <c r="I200" s="32">
        <f>IF(B200="高三",IF($E200="男",LOOKUP(H200,[1]对照表!$K$3:$K$24,[1]对照表!$L$3:$L$24),LOOKUP(H200,[1]对照表!$K$27:$K$48,[1]对照表!$L$27:$L$48)),IF(B200="高二",IF($E200="男",LOOKUP(H200,[1]对照表!$J$3:$J$24,[1]对照表!$L$3:$L$24),LOOKUP(H200,[1]对照表!$J$27:$J$48,[1]对照表!$L$27:$L$48)),IF(B200="高一",IF($E200="男",LOOKUP(H200,[1]对照表!$I$3:$I$24,[1]对照表!$L$3:$L$24),LOOKUP(H200,[1]对照表!$I$27:$I$48,[1]对照表!$L$27:$L$48)))))</f>
        <v>85</v>
      </c>
      <c r="J200" s="21">
        <v>255</v>
      </c>
      <c r="K200" s="32">
        <f>IF(B200="高三",IF($E200="男",LOOKUP(J200,[1]对照表!$O$3:$O$24,[1]对照表!$P$3:$P$24),LOOKUP(J200,[1]对照表!$O$27:$O$48,[1]对照表!$P$27:$P$48)),IF(B200="高二",IF($E200="男",LOOKUP(J200,[1]对照表!$N$3:$N$24,[1]对照表!$P$3:$P$24),LOOKUP(J200,[1]对照表!$N$27:$N$48,[1]对照表!$P$27:$P$48)),IF(B200="高一",IF($E200="男",LOOKUP(J200,[1]对照表!$M$3:$M$24,[1]对照表!$P$3:$P$24),LOOKUP(J200,[1]对照表!$M$27:$M$48,[1]对照表!$P$27:$P$48)))))</f>
        <v>95</v>
      </c>
      <c r="L200" s="21">
        <v>22</v>
      </c>
      <c r="M200" s="32">
        <f>IF(B200="高三",IF($E200="男",LOOKUP(L200,[1]对照表!$S$3:$S$24,[1]对照表!$T$3:$T$24),LOOKUP(L200,[1]对照表!$S$27:$S$48,[1]对照表!$T$27:$T$48)),IF(B200="高二",IF($E200="男",LOOKUP(L200,[1]对照表!$R$3:$R$24,[1]对照表!$T$3:$T$24),LOOKUP(L200,[1]对照表!$R$27:$R$48,[1]对照表!$T$27:$T$48)),IF(B200="高一",IF($E200="男",LOOKUP(L200,[1]对照表!$Q$3:$Q$24,[1]对照表!$T$3:$T$24),LOOKUP(L200,[1]对照表!$Q$27:$Q$48,[1]对照表!$T$27:$T$48)))))</f>
        <v>100</v>
      </c>
      <c r="N200" s="33">
        <f>IF(B200="高三",MAX(IF(E200="男",L200-18,L200-55),0),IF(B200="高二",MAX(IF(E200="男",L200-17,L200-54),0),IF(B200="高一",MAX(IF(E200="男",L200-16,L200-53),0))))</f>
        <v>6</v>
      </c>
      <c r="O200" s="23">
        <f>IF(E200="男",LOOKUP($N200,[1]对照表!$Z$3:$Z$13,[1]对照表!$AA$3:$AA$13),LOOKUP($N200,[1]对照表!$Z$15:$Z$25,[1]对照表!$AA$15:$AA$25))</f>
        <v>6</v>
      </c>
      <c r="P200" s="24">
        <f>M200+O200</f>
        <v>106</v>
      </c>
      <c r="Q200" s="25">
        <v>3.3</v>
      </c>
      <c r="R200" s="32">
        <f>IF(B200="高三",IF($E200="男",LOOKUP(Q200,[1]对照表!$W$3:$W$24,[1]对照表!$X$3:$X$24),LOOKUP(Q200,[1]对照表!$W$27:$W$48,[1]对照表!$X$27:$X$48)),IF(B200="高二",IF($E200="男",LOOKUP(Q200,[1]对照表!$V$3:$V$24,[1]对照表!$X$3:$X$24),LOOKUP(Q200,[1]对照表!$V$27:$V$48,[1]对照表!$X$27:$X$48)),IF(B200="高一",IF($E200="男",LOOKUP(Q200,[1]对照表!$U$3:$U$24,[1]对照表!$X$3:$X$24),LOOKUP(Q200,[1]对照表!$U$27:$U$48,[1]对照表!$X$27:$X$48)))))</f>
        <v>100</v>
      </c>
      <c r="S200" s="33">
        <f>ROUND(IF(IF($B200="高三",MIN(IF($E200="男",$Q200-3.2,$Q200-3.2),0),IF($B200="高二",MIN(IF($E200="男",$Q200-3.25,$Q200-3.22),0),IF($B200="高一",MIN(IF($E200="男",$Q200-3.3,$Q200-3.24),0))))&lt;-0.6,IF($B200="高三",MIN(IF($E200="男",$Q200-3.2,$Q200-3.2),0),IF($B200="高二",MIN(IF($E200="男",$Q200-3.25,$Q200-3.22),0),IF($B200="高一",MIN(IF($E200="男",$Q200-3.3,$Q200-3.24),0))))+0.4,IF($B200="高三",MIN(IF($E200="男",$Q200-3.2,$Q200-3.2),0),IF($B200="高二",MIN(IF($E200="男",$Q200-3.25,$Q200-3.22),0),IF($B200="高一",MIN(IF($E200="男",$Q200-3.3,$Q200-3.24),0))))),2)</f>
        <v>0</v>
      </c>
      <c r="T200" s="23">
        <f>IF(E200="男",LOOKUP($S200,[1]对照表!$AB$3:$AB$13,[1]对照表!$AC$3:$AC$13),LOOKUP($S200,[1]对照表!$AB$15:$AB$25,[1]对照表!$AC$15:$AC$25))</f>
        <v>0</v>
      </c>
      <c r="U200" s="26">
        <f>R200+T200</f>
        <v>100</v>
      </c>
      <c r="V200" s="26">
        <f>SUM(I200,K200,M200)/3*0.3+SUM(G200,R200)/2*0.4</f>
        <v>68</v>
      </c>
      <c r="W200" s="27">
        <f>O200+T200</f>
        <v>6</v>
      </c>
      <c r="X200" s="28">
        <f>V200/0.7+W200</f>
        <v>103.14285714285715</v>
      </c>
      <c r="Y200" s="28">
        <v>103.14285714285715</v>
      </c>
      <c r="Z200" s="21"/>
    </row>
    <row r="201" spans="1:26" x14ac:dyDescent="0.25">
      <c r="A201" s="16">
        <v>1</v>
      </c>
      <c r="B201" s="17" t="s">
        <v>21</v>
      </c>
      <c r="C201" s="16">
        <v>106</v>
      </c>
      <c r="D201" s="18" t="s">
        <v>104</v>
      </c>
      <c r="E201" s="31" t="s">
        <v>23</v>
      </c>
      <c r="F201" s="19">
        <v>7.1</v>
      </c>
      <c r="G201" s="32">
        <f>IF(B201="高三",IF($E201="男",LOOKUP(F201,[1]对照表!$G$3:$G$24,[1]对照表!$H$3:$H$24),LOOKUP(F201,[1]对照表!$G$27:$G$48,[1]对照表!$H$27:$H$48)),IF(B201="高二",IF($E201="男",LOOKUP(F201,[1]对照表!$F$3:$F$24,[1]对照表!$H$3:$H$24),LOOKUP(F201,[1]对照表!$F$27:$F$48,[1]对照表!$H$27:$H$48)),IF(B201="高一",IF($E201="男",LOOKUP(F201,[1]对照表!$E$3:$E$24,[1]对照表!$H$3:$H$24),LOOKUP(F201,[1]对照表!$E$27:$E$48,[1]对照表!$H$27:$H$48)))))</f>
        <v>100</v>
      </c>
      <c r="H201" s="21">
        <v>22</v>
      </c>
      <c r="I201" s="32">
        <f>IF(B201="高三",IF($E201="男",LOOKUP(H201,[1]对照表!$K$3:$K$24,[1]对照表!$L$3:$L$24),LOOKUP(H201,[1]对照表!$K$27:$K$48,[1]对照表!$L$27:$L$48)),IF(B201="高二",IF($E201="男",LOOKUP(H201,[1]对照表!$J$3:$J$24,[1]对照表!$L$3:$L$24),LOOKUP(H201,[1]对照表!$J$27:$J$48,[1]对照表!$L$27:$L$48)),IF(B201="高一",IF($E201="男",LOOKUP(H201,[1]对照表!$I$3:$I$24,[1]对照表!$L$3:$L$24),LOOKUP(H201,[1]对照表!$I$27:$I$48,[1]对照表!$L$27:$L$48)))))</f>
        <v>95</v>
      </c>
      <c r="J201" s="21">
        <v>220</v>
      </c>
      <c r="K201" s="32">
        <f>IF(B201="高三",IF($E201="男",LOOKUP(J201,[1]对照表!$O$3:$O$24,[1]对照表!$P$3:$P$24),LOOKUP(J201,[1]对照表!$O$27:$O$48,[1]对照表!$P$27:$P$48)),IF(B201="高二",IF($E201="男",LOOKUP(J201,[1]对照表!$N$3:$N$24,[1]对照表!$P$3:$P$24),LOOKUP(J201,[1]对照表!$N$27:$N$48,[1]对照表!$P$27:$P$48)),IF(B201="高一",IF($E201="男",LOOKUP(J201,[1]对照表!$M$3:$M$24,[1]对照表!$P$3:$P$24),LOOKUP(J201,[1]对照表!$M$27:$M$48,[1]对照表!$P$27:$P$48)))))</f>
        <v>72</v>
      </c>
      <c r="L201" s="21">
        <v>16</v>
      </c>
      <c r="M201" s="32">
        <f>IF(B201="高三",IF($E201="男",LOOKUP(L201,[1]对照表!$S$3:$S$24,[1]对照表!$T$3:$T$24),LOOKUP(L201,[1]对照表!$S$27:$S$48,[1]对照表!$T$27:$T$48)),IF(B201="高二",IF($E201="男",LOOKUP(L201,[1]对照表!$R$3:$R$24,[1]对照表!$T$3:$T$24),LOOKUP(L201,[1]对照表!$R$27:$R$48,[1]对照表!$T$27:$T$48)),IF(B201="高一",IF($E201="男",LOOKUP(L201,[1]对照表!$Q$3:$Q$24,[1]对照表!$T$3:$T$24),LOOKUP(L201,[1]对照表!$Q$27:$Q$48,[1]对照表!$T$27:$T$48)))))</f>
        <v>100</v>
      </c>
      <c r="N201" s="33">
        <f>IF(B201="高三",MAX(IF(E201="男",L201-18,L201-55),0),IF(B201="高二",MAX(IF(E201="男",L201-17,L201-54),0),IF(B201="高一",MAX(IF(E201="男",L201-16,L201-53),0))))</f>
        <v>0</v>
      </c>
      <c r="O201" s="23">
        <f>IF(E201="男",LOOKUP($N201,[1]对照表!$Z$3:$Z$13,[1]对照表!$AA$3:$AA$13),LOOKUP($N201,[1]对照表!$Z$15:$Z$25,[1]对照表!$AA$15:$AA$25))</f>
        <v>0</v>
      </c>
      <c r="P201" s="24">
        <f>M201+O201</f>
        <v>100</v>
      </c>
      <c r="Q201" s="25">
        <v>3.25</v>
      </c>
      <c r="R201" s="32">
        <f>IF(B201="高三",IF($E201="男",LOOKUP(Q201,[1]对照表!$W$3:$W$24,[1]对照表!$X$3:$X$24),LOOKUP(Q201,[1]对照表!$W$27:$W$48,[1]对照表!$X$27:$X$48)),IF(B201="高二",IF($E201="男",LOOKUP(Q201,[1]对照表!$V$3:$V$24,[1]对照表!$X$3:$X$24),LOOKUP(Q201,[1]对照表!$V$27:$V$48,[1]对照表!$X$27:$X$48)),IF(B201="高一",IF($E201="男",LOOKUP(Q201,[1]对照表!$U$3:$U$24,[1]对照表!$X$3:$X$24),LOOKUP(Q201,[1]对照表!$U$27:$U$48,[1]对照表!$X$27:$X$48)))))</f>
        <v>100</v>
      </c>
      <c r="S201" s="33">
        <f>ROUND(IF(IF($B201="高三",MIN(IF($E201="男",$Q201-3.2,$Q201-3.2),0),IF($B201="高二",MIN(IF($E201="男",$Q201-3.25,$Q201-3.22),0),IF($B201="高一",MIN(IF($E201="男",$Q201-3.3,$Q201-3.24),0))))&lt;-0.6,IF($B201="高三",MIN(IF($E201="男",$Q201-3.2,$Q201-3.2),0),IF($B201="高二",MIN(IF($E201="男",$Q201-3.25,$Q201-3.22),0),IF($B201="高一",MIN(IF($E201="男",$Q201-3.3,$Q201-3.24),0))))+0.4,IF($B201="高三",MIN(IF($E201="男",$Q201-3.2,$Q201-3.2),0),IF($B201="高二",MIN(IF($E201="男",$Q201-3.25,$Q201-3.22),0),IF($B201="高一",MIN(IF($E201="男",$Q201-3.3,$Q201-3.24),0))))),2)</f>
        <v>-0.05</v>
      </c>
      <c r="T201" s="23">
        <f>IF(E201="男",LOOKUP($S201,[1]对照表!$AB$3:$AB$13,[1]对照表!$AC$3:$AC$13),LOOKUP($S201,[1]对照表!$AB$15:$AB$25,[1]对照表!$AC$15:$AC$25))</f>
        <v>1</v>
      </c>
      <c r="U201" s="26">
        <f>R201+T201</f>
        <v>101</v>
      </c>
      <c r="V201" s="26">
        <f>SUM(I201,K201,M201)/3*0.3+SUM(G201,R201)/2*0.4</f>
        <v>66.7</v>
      </c>
      <c r="W201" s="27">
        <f>O201+T201</f>
        <v>1</v>
      </c>
      <c r="X201" s="28">
        <f>V201/0.7+W201</f>
        <v>96.285714285714292</v>
      </c>
      <c r="Y201" s="28">
        <v>96.285714285714292</v>
      </c>
      <c r="Z201" s="21"/>
    </row>
    <row r="202" spans="1:26" x14ac:dyDescent="0.25">
      <c r="A202" s="16">
        <v>22</v>
      </c>
      <c r="B202" s="17" t="s">
        <v>21</v>
      </c>
      <c r="C202" s="16">
        <v>106</v>
      </c>
      <c r="D202" s="18" t="s">
        <v>114</v>
      </c>
      <c r="E202" s="17" t="s">
        <v>65</v>
      </c>
      <c r="F202" s="19">
        <v>8.4</v>
      </c>
      <c r="G202" s="32">
        <f>IF(B202="高三",IF($E202="男",LOOKUP(F202,[1]对照表!$G$3:$G$24,[1]对照表!$H$3:$H$24),LOOKUP(F202,[1]对照表!$G$27:$G$48,[1]对照表!$H$27:$H$48)),IF(B202="高二",IF($E202="男",LOOKUP(F202,[1]对照表!$F$3:$F$24,[1]对照表!$H$3:$H$24),LOOKUP(F202,[1]对照表!$F$27:$F$48,[1]对照表!$H$27:$H$48)),IF(B202="高一",IF($E202="男",LOOKUP(F202,[1]对照表!$E$3:$E$24,[1]对照表!$H$3:$H$24),LOOKUP(F202,[1]对照表!$E$27:$E$48,[1]对照表!$H$27:$H$48)))))</f>
        <v>80</v>
      </c>
      <c r="H202" s="21">
        <v>19</v>
      </c>
      <c r="I202" s="32">
        <f>IF(B202="高三",IF($E202="男",LOOKUP(H202,[1]对照表!$K$3:$K$24,[1]对照表!$L$3:$L$24),LOOKUP(H202,[1]对照表!$K$27:$K$48,[1]对照表!$L$27:$L$48)),IF(B202="高二",IF($E202="男",LOOKUP(H202,[1]对照表!$J$3:$J$24,[1]对照表!$L$3:$L$24),LOOKUP(H202,[1]对照表!$J$27:$J$48,[1]对照表!$L$27:$L$48)),IF(B202="高一",IF($E202="男",LOOKUP(H202,[1]对照表!$I$3:$I$24,[1]对照表!$L$3:$L$24),LOOKUP(H202,[1]对照表!$I$27:$I$48,[1]对照表!$L$27:$L$48)))))</f>
        <v>80</v>
      </c>
      <c r="J202" s="21">
        <v>200</v>
      </c>
      <c r="K202" s="32">
        <f>IF(B202="高三",IF($E202="男",LOOKUP(J202,[1]对照表!$O$3:$O$24,[1]对照表!$P$3:$P$24),LOOKUP(J202,[1]对照表!$O$27:$O$48,[1]对照表!$P$27:$P$48)),IF(B202="高二",IF($E202="男",LOOKUP(J202,[1]对照表!$N$3:$N$24,[1]对照表!$P$3:$P$24),LOOKUP(J202,[1]对照表!$N$27:$N$48,[1]对照表!$P$27:$P$48)),IF(B202="高一",IF($E202="男",LOOKUP(J202,[1]对照表!$M$3:$M$24,[1]对照表!$P$3:$P$24),LOOKUP(J202,[1]对照表!$M$27:$M$48,[1]对照表!$P$27:$P$48)))))</f>
        <v>95</v>
      </c>
      <c r="L202" s="21">
        <v>56</v>
      </c>
      <c r="M202" s="32">
        <f>IF(B202="高三",IF($E202="男",LOOKUP(L202,[1]对照表!$S$3:$S$24,[1]对照表!$T$3:$T$24),LOOKUP(L202,[1]对照表!$S$27:$S$48,[1]对照表!$T$27:$T$48)),IF(B202="高二",IF($E202="男",LOOKUP(L202,[1]对照表!$R$3:$R$24,[1]对照表!$T$3:$T$24),LOOKUP(L202,[1]对照表!$R$27:$R$48,[1]对照表!$T$27:$T$48)),IF(B202="高一",IF($E202="男",LOOKUP(L202,[1]对照表!$Q$3:$Q$24,[1]对照表!$T$3:$T$24),LOOKUP(L202,[1]对照表!$Q$27:$Q$48,[1]对照表!$T$27:$T$48)))))</f>
        <v>100</v>
      </c>
      <c r="N202" s="33">
        <f>IF(B202="高三",MAX(IF(E202="男",L202-18,L202-55),0),IF(B202="高二",MAX(IF(E202="男",L202-17,L202-54),0),IF(B202="高一",MAX(IF(E202="男",L202-16,L202-53),0))))</f>
        <v>3</v>
      </c>
      <c r="O202" s="23">
        <f>IF(E202="男",LOOKUP($N202,[1]对照表!$Z$3:$Z$13,[1]对照表!$AA$3:$AA$13),LOOKUP($N202,[1]对照表!$Z$15:$Z$25,[1]对照表!$AA$15:$AA$25))</f>
        <v>1</v>
      </c>
      <c r="P202" s="24">
        <f>M202+O202</f>
        <v>101</v>
      </c>
      <c r="Q202" s="25">
        <v>3.06</v>
      </c>
      <c r="R202" s="32">
        <f>IF(B202="高三",IF($E202="男",LOOKUP(Q202,[1]对照表!$W$3:$W$24,[1]对照表!$X$3:$X$24),LOOKUP(Q202,[1]对照表!$W$27:$W$48,[1]对照表!$X$27:$X$48)),IF(B202="高二",IF($E202="男",LOOKUP(Q202,[1]对照表!$V$3:$V$24,[1]对照表!$X$3:$X$24),LOOKUP(Q202,[1]对照表!$V$27:$V$48,[1]对照表!$X$27:$X$48)),IF(B202="高一",IF($E202="男",LOOKUP(Q202,[1]对照表!$U$3:$U$24,[1]对照表!$X$3:$X$24),LOOKUP(Q202,[1]对照表!$U$27:$U$48,[1]对照表!$X$27:$X$48)))))</f>
        <v>100</v>
      </c>
      <c r="S202" s="33">
        <f>ROUND(IF(IF($B202="高三",MIN(IF($E202="男",$Q202-3.2,$Q202-3.2),0),IF($B202="高二",MIN(IF($E202="男",$Q202-3.25,$Q202-3.22),0),IF($B202="高一",MIN(IF($E202="男",$Q202-3.3,$Q202-3.24),0))))&lt;-0.6,IF($B202="高三",MIN(IF($E202="男",$Q202-3.2,$Q202-3.2),0),IF($B202="高二",MIN(IF($E202="男",$Q202-3.25,$Q202-3.22),0),IF($B202="高一",MIN(IF($E202="男",$Q202-3.3,$Q202-3.24),0))))+0.4,IF($B202="高三",MIN(IF($E202="男",$Q202-3.2,$Q202-3.2),0),IF($B202="高二",MIN(IF($E202="男",$Q202-3.25,$Q202-3.22),0),IF($B202="高一",MIN(IF($E202="男",$Q202-3.3,$Q202-3.24),0))))),2)</f>
        <v>-0.18</v>
      </c>
      <c r="T202" s="23">
        <f>IF(E202="男",LOOKUP($S202,[1]对照表!$AB$3:$AB$13,[1]对照表!$AC$3:$AC$13),LOOKUP($S202,[1]对照表!$AB$15:$AB$25,[1]对照表!$AC$15:$AC$25))</f>
        <v>3</v>
      </c>
      <c r="U202" s="26">
        <f>R202+T202</f>
        <v>103</v>
      </c>
      <c r="V202" s="26">
        <f>SUM(I202,K202,M202)/3*0.3+SUM(G202,R202)/2*0.4</f>
        <v>63.5</v>
      </c>
      <c r="W202" s="27">
        <f>O202+T202</f>
        <v>4</v>
      </c>
      <c r="X202" s="28">
        <f>V202/0.7+W202</f>
        <v>94.714285714285722</v>
      </c>
      <c r="Y202" s="28">
        <v>94.714285714285722</v>
      </c>
      <c r="Z202" s="21"/>
    </row>
    <row r="203" spans="1:26" x14ac:dyDescent="0.25">
      <c r="A203" s="16">
        <v>2</v>
      </c>
      <c r="B203" s="17" t="s">
        <v>21</v>
      </c>
      <c r="C203" s="16">
        <v>106</v>
      </c>
      <c r="D203" s="18" t="s">
        <v>138</v>
      </c>
      <c r="E203" s="17" t="s">
        <v>23</v>
      </c>
      <c r="F203" s="19">
        <v>7</v>
      </c>
      <c r="G203" s="32">
        <f>IF(B203="高三",IF($E203="男",LOOKUP(F203,[1]对照表!$G$3:$G$24,[1]对照表!$H$3:$H$24),LOOKUP(F203,[1]对照表!$G$27:$G$48,[1]对照表!$H$27:$H$48)),IF(B203="高二",IF($E203="男",LOOKUP(F203,[1]对照表!$F$3:$F$24,[1]对照表!$H$3:$H$24),LOOKUP(F203,[1]对照表!$F$27:$F$48,[1]对照表!$H$27:$H$48)),IF(B203="高一",IF($E203="男",LOOKUP(F203,[1]对照表!$E$3:$E$24,[1]对照表!$H$3:$H$24),LOOKUP(F203,[1]对照表!$E$27:$E$48,[1]对照表!$H$27:$H$48)))))</f>
        <v>100</v>
      </c>
      <c r="H203" s="21">
        <v>11.3</v>
      </c>
      <c r="I203" s="32">
        <f>IF(B203="高三",IF($E203="男",LOOKUP(H203,[1]对照表!$K$3:$K$24,[1]对照表!$L$3:$L$24),LOOKUP(H203,[1]对照表!$K$27:$K$48,[1]对照表!$L$27:$L$48)),IF(B203="高二",IF($E203="男",LOOKUP(H203,[1]对照表!$J$3:$J$24,[1]对照表!$L$3:$L$24),LOOKUP(H203,[1]对照表!$J$27:$J$48,[1]对照表!$L$27:$L$48)),IF(B203="高一",IF($E203="男",LOOKUP(H203,[1]对照表!$I$3:$I$24,[1]对照表!$L$3:$L$24),LOOKUP(H203,[1]对照表!$I$27:$I$48,[1]对照表!$L$27:$L$48)))))</f>
        <v>74</v>
      </c>
      <c r="J203" s="21">
        <v>232</v>
      </c>
      <c r="K203" s="32">
        <f>IF(B203="高三",IF($E203="男",LOOKUP(J203,[1]对照表!$O$3:$O$24,[1]对照表!$P$3:$P$24),LOOKUP(J203,[1]对照表!$O$27:$O$48,[1]对照表!$P$27:$P$48)),IF(B203="高二",IF($E203="男",LOOKUP(J203,[1]对照表!$N$3:$N$24,[1]对照表!$P$3:$P$24),LOOKUP(J203,[1]对照表!$N$27:$N$48,[1]对照表!$P$27:$P$48)),IF(B203="高一",IF($E203="男",LOOKUP(J203,[1]对照表!$M$3:$M$24,[1]对照表!$P$3:$P$24),LOOKUP(J203,[1]对照表!$M$27:$M$48,[1]对照表!$P$27:$P$48)))))</f>
        <v>78</v>
      </c>
      <c r="L203" s="21">
        <v>20</v>
      </c>
      <c r="M203" s="32">
        <f>IF(B203="高三",IF($E203="男",LOOKUP(L203,[1]对照表!$S$3:$S$24,[1]对照表!$T$3:$T$24),LOOKUP(L203,[1]对照表!$S$27:$S$48,[1]对照表!$T$27:$T$48)),IF(B203="高二",IF($E203="男",LOOKUP(L203,[1]对照表!$R$3:$R$24,[1]对照表!$T$3:$T$24),LOOKUP(L203,[1]对照表!$R$27:$R$48,[1]对照表!$T$27:$T$48)),IF(B203="高一",IF($E203="男",LOOKUP(L203,[1]对照表!$Q$3:$Q$24,[1]对照表!$T$3:$T$24),LOOKUP(L203,[1]对照表!$Q$27:$Q$48,[1]对照表!$T$27:$T$48)))))</f>
        <v>100</v>
      </c>
      <c r="N203" s="33">
        <f>IF(B203="高三",MAX(IF(E203="男",L203-18,L203-55),0),IF(B203="高二",MAX(IF(E203="男",L203-17,L203-54),0),IF(B203="高一",MAX(IF(E203="男",L203-16,L203-53),0))))</f>
        <v>4</v>
      </c>
      <c r="O203" s="23">
        <f>IF(E203="男",LOOKUP($N203,[1]对照表!$Z$3:$Z$13,[1]对照表!$AA$3:$AA$13),LOOKUP($N203,[1]对照表!$Z$15:$Z$25,[1]对照表!$AA$15:$AA$25))</f>
        <v>4</v>
      </c>
      <c r="P203" s="24">
        <f>M203+O203</f>
        <v>104</v>
      </c>
      <c r="Q203" s="25">
        <v>3.39</v>
      </c>
      <c r="R203" s="32">
        <f>IF(B203="高三",IF($E203="男",LOOKUP(Q203,[1]对照表!$W$3:$W$24,[1]对照表!$X$3:$X$24),LOOKUP(Q203,[1]对照表!$W$27:$W$48,[1]对照表!$X$27:$X$48)),IF(B203="高二",IF($E203="男",LOOKUP(Q203,[1]对照表!$V$3:$V$24,[1]对照表!$X$3:$X$24),LOOKUP(Q203,[1]对照表!$V$27:$V$48,[1]对照表!$X$27:$X$48)),IF(B203="高一",IF($E203="男",LOOKUP(Q203,[1]对照表!$U$3:$U$24,[1]对照表!$X$3:$X$24),LOOKUP(Q203,[1]对照表!$U$27:$U$48,[1]对照表!$X$27:$X$48)))))</f>
        <v>90</v>
      </c>
      <c r="S203" s="33">
        <f>ROUND(IF(IF($B203="高三",MIN(IF($E203="男",$Q203-3.2,$Q203-3.2),0),IF($B203="高二",MIN(IF($E203="男",$Q203-3.25,$Q203-3.22),0),IF($B203="高一",MIN(IF($E203="男",$Q203-3.3,$Q203-3.24),0))))&lt;-0.6,IF($B203="高三",MIN(IF($E203="男",$Q203-3.2,$Q203-3.2),0),IF($B203="高二",MIN(IF($E203="男",$Q203-3.25,$Q203-3.22),0),IF($B203="高一",MIN(IF($E203="男",$Q203-3.3,$Q203-3.24),0))))+0.4,IF($B203="高三",MIN(IF($E203="男",$Q203-3.2,$Q203-3.2),0),IF($B203="高二",MIN(IF($E203="男",$Q203-3.25,$Q203-3.22),0),IF($B203="高一",MIN(IF($E203="男",$Q203-3.3,$Q203-3.24),0))))),2)</f>
        <v>0</v>
      </c>
      <c r="T203" s="23">
        <f>IF(E203="男",LOOKUP($S203,[1]对照表!$AB$3:$AB$13,[1]对照表!$AC$3:$AC$13),LOOKUP($S203,[1]对照表!$AB$15:$AB$25,[1]对照表!$AC$15:$AC$25))</f>
        <v>0</v>
      </c>
      <c r="U203" s="26">
        <f>R203+T203</f>
        <v>90</v>
      </c>
      <c r="V203" s="26">
        <f>SUM(I203,K203,M203)/3*0.3+SUM(G203,R203)/2*0.4</f>
        <v>63.2</v>
      </c>
      <c r="W203" s="27">
        <f>O203+T203</f>
        <v>4</v>
      </c>
      <c r="X203" s="28">
        <f>V203/0.7+W203</f>
        <v>94.285714285714292</v>
      </c>
      <c r="Y203" s="28">
        <v>94.285714285714292</v>
      </c>
      <c r="Z203" s="21"/>
    </row>
    <row r="204" spans="1:26" x14ac:dyDescent="0.25">
      <c r="A204" s="16">
        <v>28</v>
      </c>
      <c r="B204" s="17" t="s">
        <v>21</v>
      </c>
      <c r="C204" s="16">
        <v>106</v>
      </c>
      <c r="D204" s="18" t="s">
        <v>160</v>
      </c>
      <c r="E204" s="17" t="s">
        <v>65</v>
      </c>
      <c r="F204" s="19">
        <v>8.35</v>
      </c>
      <c r="G204" s="32">
        <f>IF(B204="高三",IF($E204="男",LOOKUP(F204,[1]对照表!$G$3:$G$24,[1]对照表!$H$3:$H$24),LOOKUP(F204,[1]对照表!$G$27:$G$48,[1]对照表!$H$27:$H$48)),IF(B204="高二",IF($E204="男",LOOKUP(F204,[1]对照表!$F$3:$F$24,[1]对照表!$H$3:$H$24),LOOKUP(F204,[1]对照表!$F$27:$F$48,[1]对照表!$H$27:$H$48)),IF(B204="高一",IF($E204="男",LOOKUP(F204,[1]对照表!$E$3:$E$24,[1]对照表!$H$3:$H$24),LOOKUP(F204,[1]对照表!$E$27:$E$48,[1]对照表!$H$27:$H$48)))))</f>
        <v>80</v>
      </c>
      <c r="H204" s="21">
        <v>16.5</v>
      </c>
      <c r="I204" s="32">
        <f>IF(B204="高三",IF($E204="男",LOOKUP(H204,[1]对照表!$K$3:$K$24,[1]对照表!$L$3:$L$24),LOOKUP(H204,[1]对照表!$K$27:$K$48,[1]对照表!$L$27:$L$48)),IF(B204="高二",IF($E204="男",LOOKUP(H204,[1]对照表!$J$3:$J$24,[1]对照表!$L$3:$L$24),LOOKUP(H204,[1]对照表!$J$27:$J$48,[1]对照表!$L$27:$L$48)),IF(B204="高一",IF($E204="男",LOOKUP(H204,[1]对照表!$I$3:$I$24,[1]对照表!$L$3:$L$24),LOOKUP(H204,[1]对照表!$I$27:$I$48,[1]对照表!$L$27:$L$48)))))</f>
        <v>78</v>
      </c>
      <c r="J204" s="21">
        <v>209</v>
      </c>
      <c r="K204" s="32">
        <f>IF(B204="高三",IF($E204="男",LOOKUP(J204,[1]对照表!$O$3:$O$24,[1]对照表!$P$3:$P$24),LOOKUP(J204,[1]对照表!$O$27:$O$48,[1]对照表!$P$27:$P$48)),IF(B204="高二",IF($E204="男",LOOKUP(J204,[1]对照表!$N$3:$N$24,[1]对照表!$P$3:$P$24),LOOKUP(J204,[1]对照表!$N$27:$N$48,[1]对照表!$P$27:$P$48)),IF(B204="高一",IF($E204="男",LOOKUP(J204,[1]对照表!$M$3:$M$24,[1]对照表!$P$3:$P$24),LOOKUP(J204,[1]对照表!$M$27:$M$48,[1]对照表!$P$27:$P$48)))))</f>
        <v>100</v>
      </c>
      <c r="L204" s="21">
        <v>46</v>
      </c>
      <c r="M204" s="32">
        <f>IF(B204="高三",IF($E204="男",LOOKUP(L204,[1]对照表!$S$3:$S$24,[1]对照表!$T$3:$T$24),LOOKUP(L204,[1]对照表!$S$27:$S$48,[1]对照表!$T$27:$T$48)),IF(B204="高二",IF($E204="男",LOOKUP(L204,[1]对照表!$R$3:$R$24,[1]对照表!$T$3:$T$24),LOOKUP(L204,[1]对照表!$R$27:$R$48,[1]对照表!$T$27:$T$48)),IF(B204="高一",IF($E204="男",LOOKUP(L204,[1]对照表!$Q$3:$Q$24,[1]对照表!$T$3:$T$24),LOOKUP(L204,[1]对照表!$Q$27:$Q$48,[1]对照表!$T$27:$T$48)))))</f>
        <v>85</v>
      </c>
      <c r="N204" s="33">
        <f>IF(B204="高三",MAX(IF(E204="男",L204-18,L204-55),0),IF(B204="高二",MAX(IF(E204="男",L204-17,L204-54),0),IF(B204="高一",MAX(IF(E204="男",L204-16,L204-53),0))))</f>
        <v>0</v>
      </c>
      <c r="O204" s="23">
        <f>IF(E204="男",LOOKUP($N204,[1]对照表!$Z$3:$Z$13,[1]对照表!$AA$3:$AA$13),LOOKUP($N204,[1]对照表!$Z$15:$Z$25,[1]对照表!$AA$15:$AA$25))</f>
        <v>0</v>
      </c>
      <c r="P204" s="24">
        <f>M204+O204</f>
        <v>85</v>
      </c>
      <c r="Q204" s="25">
        <v>3.14</v>
      </c>
      <c r="R204" s="32">
        <f>IF(B204="高三",IF($E204="男",LOOKUP(Q204,[1]对照表!$W$3:$W$24,[1]对照表!$X$3:$X$24),LOOKUP(Q204,[1]对照表!$W$27:$W$48,[1]对照表!$X$27:$X$48)),IF(B204="高二",IF($E204="男",LOOKUP(Q204,[1]对照表!$V$3:$V$24,[1]对照表!$X$3:$X$24),LOOKUP(Q204,[1]对照表!$V$27:$V$48,[1]对照表!$X$27:$X$48)),IF(B204="高一",IF($E204="男",LOOKUP(Q204,[1]对照表!$U$3:$U$24,[1]对照表!$X$3:$X$24),LOOKUP(Q204,[1]对照表!$U$27:$U$48,[1]对照表!$X$27:$X$48)))))</f>
        <v>100</v>
      </c>
      <c r="S204" s="33">
        <f>ROUND(IF(IF($B204="高三",MIN(IF($E204="男",$Q204-3.2,$Q204-3.2),0),IF($B204="高二",MIN(IF($E204="男",$Q204-3.25,$Q204-3.22),0),IF($B204="高一",MIN(IF($E204="男",$Q204-3.3,$Q204-3.24),0))))&lt;-0.6,IF($B204="高三",MIN(IF($E204="男",$Q204-3.2,$Q204-3.2),0),IF($B204="高二",MIN(IF($E204="男",$Q204-3.25,$Q204-3.22),0),IF($B204="高一",MIN(IF($E204="男",$Q204-3.3,$Q204-3.24),0))))+0.4,IF($B204="高三",MIN(IF($E204="男",$Q204-3.2,$Q204-3.2),0),IF($B204="高二",MIN(IF($E204="男",$Q204-3.25,$Q204-3.22),0),IF($B204="高一",MIN(IF($E204="男",$Q204-3.3,$Q204-3.24),0))))),2)</f>
        <v>-0.1</v>
      </c>
      <c r="T204" s="23">
        <f>IF(E204="男",LOOKUP($S204,[1]对照表!$AB$3:$AB$13,[1]对照表!$AC$3:$AC$13),LOOKUP($S204,[1]对照表!$AB$15:$AB$25,[1]对照表!$AC$15:$AC$25))</f>
        <v>2</v>
      </c>
      <c r="U204" s="26">
        <f>R204+T204</f>
        <v>102</v>
      </c>
      <c r="V204" s="26">
        <f>SUM(I204,K204,M204)/3*0.3+SUM(G204,R204)/2*0.4</f>
        <v>62.3</v>
      </c>
      <c r="W204" s="27">
        <f>O204+T204</f>
        <v>2</v>
      </c>
      <c r="X204" s="28">
        <f>V204/0.7+W204</f>
        <v>91</v>
      </c>
      <c r="Y204" s="28">
        <v>91</v>
      </c>
      <c r="Z204" s="21"/>
    </row>
    <row r="205" spans="1:26" x14ac:dyDescent="0.25">
      <c r="A205" s="16">
        <v>12</v>
      </c>
      <c r="B205" s="17" t="s">
        <v>21</v>
      </c>
      <c r="C205" s="16">
        <v>106</v>
      </c>
      <c r="D205" s="18" t="s">
        <v>163</v>
      </c>
      <c r="E205" s="17" t="s">
        <v>65</v>
      </c>
      <c r="F205" s="19">
        <v>8.3000000000000007</v>
      </c>
      <c r="G205" s="32">
        <f>IF(B205="高三",IF($E205="男",LOOKUP(F205,[1]对照表!$G$3:$G$24,[1]对照表!$H$3:$H$24),LOOKUP(F205,[1]对照表!$G$27:$G$48,[1]对照表!$H$27:$H$48)),IF(B205="高二",IF($E205="男",LOOKUP(F205,[1]对照表!$F$3:$F$24,[1]对照表!$H$3:$H$24),LOOKUP(F205,[1]对照表!$F$27:$F$48,[1]对照表!$H$27:$H$48)),IF(B205="高一",IF($E205="男",LOOKUP(F205,[1]对照表!$E$3:$E$24,[1]对照表!$H$3:$H$24),LOOKUP(F205,[1]对照表!$E$27:$E$48,[1]对照表!$H$27:$H$48)))))</f>
        <v>85</v>
      </c>
      <c r="H205" s="21">
        <v>16</v>
      </c>
      <c r="I205" s="32">
        <f>IF(B205="高三",IF($E205="男",LOOKUP(H205,[1]对照表!$K$3:$K$24,[1]对照表!$L$3:$L$24),LOOKUP(H205,[1]对照表!$K$27:$K$48,[1]对照表!$L$27:$L$48)),IF(B205="高二",IF($E205="男",LOOKUP(H205,[1]对照表!$J$3:$J$24,[1]对照表!$L$3:$L$24),LOOKUP(H205,[1]对照表!$J$27:$J$48,[1]对照表!$L$27:$L$48)),IF(B205="高一",IF($E205="男",LOOKUP(H205,[1]对照表!$I$3:$I$24,[1]对照表!$L$3:$L$24),LOOKUP(H205,[1]对照表!$I$27:$I$48,[1]对照表!$L$27:$L$48)))))</f>
        <v>76</v>
      </c>
      <c r="J205" s="21">
        <v>188</v>
      </c>
      <c r="K205" s="32">
        <f>IF(B205="高三",IF($E205="男",LOOKUP(J205,[1]对照表!$O$3:$O$24,[1]对照表!$P$3:$P$24),LOOKUP(J205,[1]对照表!$O$27:$O$48,[1]对照表!$P$27:$P$48)),IF(B205="高二",IF($E205="男",LOOKUP(J205,[1]对照表!$N$3:$N$24,[1]对照表!$P$3:$P$24),LOOKUP(J205,[1]对照表!$N$27:$N$48,[1]对照表!$P$27:$P$48)),IF(B205="高一",IF($E205="男",LOOKUP(J205,[1]对照表!$M$3:$M$24,[1]对照表!$P$3:$P$24),LOOKUP(J205,[1]对照表!$M$27:$M$48,[1]对照表!$P$27:$P$48)))))</f>
        <v>85</v>
      </c>
      <c r="L205" s="21">
        <v>52</v>
      </c>
      <c r="M205" s="32">
        <f>IF(B205="高三",IF($E205="男",LOOKUP(L205,[1]对照表!$S$3:$S$24,[1]对照表!$T$3:$T$24),LOOKUP(L205,[1]对照表!$S$27:$S$48,[1]对照表!$T$27:$T$48)),IF(B205="高二",IF($E205="男",LOOKUP(L205,[1]对照表!$R$3:$R$24,[1]对照表!$T$3:$T$24),LOOKUP(L205,[1]对照表!$R$27:$R$48,[1]对照表!$T$27:$T$48)),IF(B205="高一",IF($E205="男",LOOKUP(L205,[1]对照表!$Q$3:$Q$24,[1]对照表!$T$3:$T$24),LOOKUP(L205,[1]对照表!$Q$27:$Q$48,[1]对照表!$T$27:$T$48)))))</f>
        <v>95</v>
      </c>
      <c r="N205" s="33">
        <f>IF(B205="高三",MAX(IF(E205="男",L205-18,L205-55),0),IF(B205="高二",MAX(IF(E205="男",L205-17,L205-54),0),IF(B205="高一",MAX(IF(E205="男",L205-16,L205-53),0))))</f>
        <v>0</v>
      </c>
      <c r="O205" s="23">
        <f>IF(E205="男",LOOKUP($N205,[1]对照表!$Z$3:$Z$13,[1]对照表!$AA$3:$AA$13),LOOKUP($N205,[1]对照表!$Z$15:$Z$25,[1]对照表!$AA$15:$AA$25))</f>
        <v>0</v>
      </c>
      <c r="P205" s="24">
        <f>M205+O205</f>
        <v>95</v>
      </c>
      <c r="Q205" s="25">
        <v>3.15</v>
      </c>
      <c r="R205" s="32">
        <f>IF(B205="高三",IF($E205="男",LOOKUP(Q205,[1]对照表!$W$3:$W$24,[1]对照表!$X$3:$X$24),LOOKUP(Q205,[1]对照表!$W$27:$W$48,[1]对照表!$X$27:$X$48)),IF(B205="高二",IF($E205="男",LOOKUP(Q205,[1]对照表!$V$3:$V$24,[1]对照表!$X$3:$X$24),LOOKUP(Q205,[1]对照表!$V$27:$V$48,[1]对照表!$X$27:$X$48)),IF(B205="高一",IF($E205="男",LOOKUP(Q205,[1]对照表!$U$3:$U$24,[1]对照表!$X$3:$X$24),LOOKUP(Q205,[1]对照表!$U$27:$U$48,[1]对照表!$X$27:$X$48)))))</f>
        <v>100</v>
      </c>
      <c r="S205" s="33">
        <f>ROUND(IF(IF($B205="高三",MIN(IF($E205="男",$Q205-3.2,$Q205-3.2),0),IF($B205="高二",MIN(IF($E205="男",$Q205-3.25,$Q205-3.22),0),IF($B205="高一",MIN(IF($E205="男",$Q205-3.3,$Q205-3.24),0))))&lt;-0.6,IF($B205="高三",MIN(IF($E205="男",$Q205-3.2,$Q205-3.2),0),IF($B205="高二",MIN(IF($E205="男",$Q205-3.25,$Q205-3.22),0),IF($B205="高一",MIN(IF($E205="男",$Q205-3.3,$Q205-3.24),0))))+0.4,IF($B205="高三",MIN(IF($E205="男",$Q205-3.2,$Q205-3.2),0),IF($B205="高二",MIN(IF($E205="男",$Q205-3.25,$Q205-3.22),0),IF($B205="高一",MIN(IF($E205="男",$Q205-3.3,$Q205-3.24),0))))),2)</f>
        <v>-0.09</v>
      </c>
      <c r="T205" s="23">
        <f>IF(E205="男",LOOKUP($S205,[1]对照表!$AB$3:$AB$13,[1]对照表!$AC$3:$AC$13),LOOKUP($S205,[1]对照表!$AB$15:$AB$25,[1]对照表!$AC$15:$AC$25))</f>
        <v>1</v>
      </c>
      <c r="U205" s="26">
        <f>R205+T205</f>
        <v>101</v>
      </c>
      <c r="V205" s="26">
        <f>SUM(I205,K205,M205)/3*0.3+SUM(G205,R205)/2*0.4</f>
        <v>62.599999999999994</v>
      </c>
      <c r="W205" s="27">
        <f>O205+T205</f>
        <v>1</v>
      </c>
      <c r="X205" s="28">
        <f>V205/0.7+W205</f>
        <v>90.428571428571431</v>
      </c>
      <c r="Y205" s="28">
        <v>90.428571428571431</v>
      </c>
      <c r="Z205" s="21"/>
    </row>
    <row r="206" spans="1:26" x14ac:dyDescent="0.25">
      <c r="A206" s="16">
        <v>38</v>
      </c>
      <c r="B206" s="17" t="s">
        <v>21</v>
      </c>
      <c r="C206" s="16">
        <v>106</v>
      </c>
      <c r="D206" s="18" t="s">
        <v>164</v>
      </c>
      <c r="E206" s="17" t="s">
        <v>65</v>
      </c>
      <c r="F206" s="19">
        <v>8.44</v>
      </c>
      <c r="G206" s="32">
        <f>IF(B206="高三",IF($E206="男",LOOKUP(F206,[1]对照表!$G$3:$G$24,[1]对照表!$H$3:$H$24),LOOKUP(F206,[1]对照表!$G$27:$G$48,[1]对照表!$H$27:$H$48)),IF(B206="高二",IF($E206="男",LOOKUP(F206,[1]对照表!$F$3:$F$24,[1]对照表!$H$3:$H$24),LOOKUP(F206,[1]对照表!$F$27:$F$48,[1]对照表!$H$27:$H$48)),IF(B206="高一",IF($E206="男",LOOKUP(F206,[1]对照表!$E$3:$E$24,[1]对照表!$H$3:$H$24),LOOKUP(F206,[1]对照表!$E$27:$E$48,[1]对照表!$H$27:$H$48)))))</f>
        <v>80</v>
      </c>
      <c r="H206" s="21">
        <v>10</v>
      </c>
      <c r="I206" s="32">
        <f>IF(B206="高三",IF($E206="男",LOOKUP(H206,[1]对照表!$K$3:$K$24,[1]对照表!$L$3:$L$24),LOOKUP(H206,[1]对照表!$K$27:$K$48,[1]对照表!$L$27:$L$48)),IF(B206="高二",IF($E206="男",LOOKUP(H206,[1]对照表!$J$3:$J$24,[1]对照表!$L$3:$L$24),LOOKUP(H206,[1]对照表!$J$27:$J$48,[1]对照表!$L$27:$L$48)),IF(B206="高一",IF($E206="男",LOOKUP(H206,[1]对照表!$I$3:$I$24,[1]对照表!$L$3:$L$24),LOOKUP(H206,[1]对照表!$I$27:$I$48,[1]对照表!$L$27:$L$48)))))</f>
        <v>68</v>
      </c>
      <c r="J206" s="21">
        <v>179</v>
      </c>
      <c r="K206" s="32">
        <f>IF(B206="高三",IF($E206="男",LOOKUP(J206,[1]对照表!$O$3:$O$24,[1]对照表!$P$3:$P$24),LOOKUP(J206,[1]对照表!$O$27:$O$48,[1]对照表!$P$27:$P$48)),IF(B206="高二",IF($E206="男",LOOKUP(J206,[1]对照表!$N$3:$N$24,[1]对照表!$P$3:$P$24),LOOKUP(J206,[1]对照表!$N$27:$N$48,[1]对照表!$P$27:$P$48)),IF(B206="高一",IF($E206="男",LOOKUP(J206,[1]对照表!$M$3:$M$24,[1]对照表!$P$3:$P$24),LOOKUP(J206,[1]对照表!$M$27:$M$48,[1]对照表!$P$27:$P$48)))))</f>
        <v>80</v>
      </c>
      <c r="L206" s="21">
        <v>49</v>
      </c>
      <c r="M206" s="32">
        <f>IF(B206="高三",IF($E206="男",LOOKUP(L206,[1]对照表!$S$3:$S$24,[1]对照表!$T$3:$T$24),LOOKUP(L206,[1]对照表!$S$27:$S$48,[1]对照表!$T$27:$T$48)),IF(B206="高二",IF($E206="男",LOOKUP(L206,[1]对照表!$R$3:$R$24,[1]对照表!$T$3:$T$24),LOOKUP(L206,[1]对照表!$R$27:$R$48,[1]对照表!$T$27:$T$48)),IF(B206="高一",IF($E206="男",LOOKUP(L206,[1]对照表!$Q$3:$Q$24,[1]对照表!$T$3:$T$24),LOOKUP(L206,[1]对照表!$Q$27:$Q$48,[1]对照表!$T$27:$T$48)))))</f>
        <v>90</v>
      </c>
      <c r="N206" s="33">
        <f>IF(B206="高三",MAX(IF(E206="男",L206-18,L206-55),0),IF(B206="高二",MAX(IF(E206="男",L206-17,L206-54),0),IF(B206="高一",MAX(IF(E206="男",L206-16,L206-53),0))))</f>
        <v>0</v>
      </c>
      <c r="O206" s="23">
        <f>IF(E206="男",LOOKUP($N206,[1]对照表!$Z$3:$Z$13,[1]对照表!$AA$3:$AA$13),LOOKUP($N206,[1]对照表!$Z$15:$Z$25,[1]对照表!$AA$15:$AA$25))</f>
        <v>0</v>
      </c>
      <c r="P206" s="24">
        <f>M206+O206</f>
        <v>90</v>
      </c>
      <c r="Q206" s="25">
        <v>3.15</v>
      </c>
      <c r="R206" s="32">
        <f>IF(B206="高三",IF($E206="男",LOOKUP(Q206,[1]对照表!$W$3:$W$24,[1]对照表!$X$3:$X$24),LOOKUP(Q206,[1]对照表!$W$27:$W$48,[1]对照表!$X$27:$X$48)),IF(B206="高二",IF($E206="男",LOOKUP(Q206,[1]对照表!$V$3:$V$24,[1]对照表!$X$3:$X$24),LOOKUP(Q206,[1]对照表!$V$27:$V$48,[1]对照表!$X$27:$X$48)),IF(B206="高一",IF($E206="男",LOOKUP(Q206,[1]对照表!$U$3:$U$24,[1]对照表!$X$3:$X$24),LOOKUP(Q206,[1]对照表!$U$27:$U$48,[1]对照表!$X$27:$X$48)))))</f>
        <v>100</v>
      </c>
      <c r="S206" s="33">
        <f>ROUND(IF(IF($B206="高三",MIN(IF($E206="男",$Q206-3.2,$Q206-3.2),0),IF($B206="高二",MIN(IF($E206="男",$Q206-3.25,$Q206-3.22),0),IF($B206="高一",MIN(IF($E206="男",$Q206-3.3,$Q206-3.24),0))))&lt;-0.6,IF($B206="高三",MIN(IF($E206="男",$Q206-3.2,$Q206-3.2),0),IF($B206="高二",MIN(IF($E206="男",$Q206-3.25,$Q206-3.22),0),IF($B206="高一",MIN(IF($E206="男",$Q206-3.3,$Q206-3.24),0))))+0.4,IF($B206="高三",MIN(IF($E206="男",$Q206-3.2,$Q206-3.2),0),IF($B206="高二",MIN(IF($E206="男",$Q206-3.25,$Q206-3.22),0),IF($B206="高一",MIN(IF($E206="男",$Q206-3.3,$Q206-3.24),0))))),2)</f>
        <v>-0.09</v>
      </c>
      <c r="T206" s="23">
        <f>IF(E206="男",LOOKUP($S206,[1]对照表!$AB$3:$AB$13,[1]对照表!$AC$3:$AC$13),LOOKUP($S206,[1]对照表!$AB$15:$AB$25,[1]对照表!$AC$15:$AC$25))</f>
        <v>1</v>
      </c>
      <c r="U206" s="26">
        <f>R206+T206</f>
        <v>101</v>
      </c>
      <c r="V206" s="26">
        <f>SUM(I206,K206,M206)/3*0.3+SUM(G206,R206)/2*0.4</f>
        <v>59.8</v>
      </c>
      <c r="W206" s="27">
        <f>O206+T206</f>
        <v>1</v>
      </c>
      <c r="X206" s="28">
        <f>V206/0.7+W206</f>
        <v>86.428571428571431</v>
      </c>
      <c r="Y206" s="28">
        <v>86.428571428571431</v>
      </c>
      <c r="Z206" s="21"/>
    </row>
    <row r="207" spans="1:26" x14ac:dyDescent="0.25">
      <c r="A207" s="16">
        <v>44</v>
      </c>
      <c r="B207" s="17" t="s">
        <v>21</v>
      </c>
      <c r="C207" s="16">
        <v>106</v>
      </c>
      <c r="D207" s="18" t="s">
        <v>169</v>
      </c>
      <c r="E207" s="17" t="s">
        <v>65</v>
      </c>
      <c r="F207" s="19">
        <v>8.41</v>
      </c>
      <c r="G207" s="32">
        <f>IF(B207="高三",IF($E207="男",LOOKUP(F207,[1]对照表!$G$3:$G$24,[1]对照表!$H$3:$H$24),LOOKUP(F207,[1]对照表!$G$27:$G$48,[1]对照表!$H$27:$H$48)),IF(B207="高二",IF($E207="男",LOOKUP(F207,[1]对照表!$F$3:$F$24,[1]对照表!$H$3:$H$24),LOOKUP(F207,[1]对照表!$F$27:$F$48,[1]对照表!$H$27:$H$48)),IF(B207="高一",IF($E207="男",LOOKUP(F207,[1]对照表!$E$3:$E$24,[1]对照表!$H$3:$H$24),LOOKUP(F207,[1]对照表!$E$27:$E$48,[1]对照表!$H$27:$H$48)))))</f>
        <v>80</v>
      </c>
      <c r="H207" s="21">
        <v>16.5</v>
      </c>
      <c r="I207" s="32">
        <f>IF(B207="高三",IF($E207="男",LOOKUP(H207,[1]对照表!$K$3:$K$24,[1]对照表!$L$3:$L$24),LOOKUP(H207,[1]对照表!$K$27:$K$48,[1]对照表!$L$27:$L$48)),IF(B207="高二",IF($E207="男",LOOKUP(H207,[1]对照表!$J$3:$J$24,[1]对照表!$L$3:$L$24),LOOKUP(H207,[1]对照表!$J$27:$J$48,[1]对照表!$L$27:$L$48)),IF(B207="高一",IF($E207="男",LOOKUP(H207,[1]对照表!$I$3:$I$24,[1]对照表!$L$3:$L$24),LOOKUP(H207,[1]对照表!$I$27:$I$48,[1]对照表!$L$27:$L$48)))))</f>
        <v>78</v>
      </c>
      <c r="J207" s="21">
        <v>192</v>
      </c>
      <c r="K207" s="32">
        <f>IF(B207="高三",IF($E207="男",LOOKUP(J207,[1]对照表!$O$3:$O$24,[1]对照表!$P$3:$P$24),LOOKUP(J207,[1]对照表!$O$27:$O$48,[1]对照表!$P$27:$P$48)),IF(B207="高二",IF($E207="男",LOOKUP(J207,[1]对照表!$N$3:$N$24,[1]对照表!$P$3:$P$24),LOOKUP(J207,[1]对照表!$N$27:$N$48,[1]对照表!$P$27:$P$48)),IF(B207="高一",IF($E207="男",LOOKUP(J207,[1]对照表!$M$3:$M$24,[1]对照表!$P$3:$P$24),LOOKUP(J207,[1]对照表!$M$27:$M$48,[1]对照表!$P$27:$P$48)))))</f>
        <v>90</v>
      </c>
      <c r="L207" s="21">
        <v>54</v>
      </c>
      <c r="M207" s="32">
        <f>IF(B207="高三",IF($E207="男",LOOKUP(L207,[1]对照表!$S$3:$S$24,[1]对照表!$T$3:$T$24),LOOKUP(L207,[1]对照表!$S$27:$S$48,[1]对照表!$T$27:$T$48)),IF(B207="高二",IF($E207="男",LOOKUP(L207,[1]对照表!$R$3:$R$24,[1]对照表!$T$3:$T$24),LOOKUP(L207,[1]对照表!$R$27:$R$48,[1]对照表!$T$27:$T$48)),IF(B207="高一",IF($E207="男",LOOKUP(L207,[1]对照表!$Q$3:$Q$24,[1]对照表!$T$3:$T$24),LOOKUP(L207,[1]对照表!$Q$27:$Q$48,[1]对照表!$T$27:$T$48)))))</f>
        <v>100</v>
      </c>
      <c r="N207" s="33">
        <f>IF(B207="高三",MAX(IF(E207="男",L207-18,L207-55),0),IF(B207="高二",MAX(IF(E207="男",L207-17,L207-54),0),IF(B207="高一",MAX(IF(E207="男",L207-16,L207-53),0))))</f>
        <v>1</v>
      </c>
      <c r="O207" s="23">
        <f>IF(E207="男",LOOKUP($N207,[1]对照表!$Z$3:$Z$13,[1]对照表!$AA$3:$AA$13),LOOKUP($N207,[1]对照表!$Z$15:$Z$25,[1]对照表!$AA$15:$AA$25))</f>
        <v>0</v>
      </c>
      <c r="P207" s="24">
        <f>M207+O207</f>
        <v>100</v>
      </c>
      <c r="Q207" s="25">
        <v>3.16</v>
      </c>
      <c r="R207" s="32">
        <f>IF(B207="高三",IF($E207="男",LOOKUP(Q207,[1]对照表!$W$3:$W$24,[1]对照表!$X$3:$X$24),LOOKUP(Q207,[1]对照表!$W$27:$W$48,[1]对照表!$X$27:$X$48)),IF(B207="高二",IF($E207="男",LOOKUP(Q207,[1]对照表!$V$3:$V$24,[1]对照表!$X$3:$X$24),LOOKUP(Q207,[1]对照表!$V$27:$V$48,[1]对照表!$X$27:$X$48)),IF(B207="高一",IF($E207="男",LOOKUP(Q207,[1]对照表!$U$3:$U$24,[1]对照表!$X$3:$X$24),LOOKUP(Q207,[1]对照表!$U$27:$U$48,[1]对照表!$X$27:$X$48)))))</f>
        <v>100</v>
      </c>
      <c r="S207" s="33">
        <f>ROUND(IF(IF($B207="高三",MIN(IF($E207="男",$Q207-3.2,$Q207-3.2),0),IF($B207="高二",MIN(IF($E207="男",$Q207-3.25,$Q207-3.22),0),IF($B207="高一",MIN(IF($E207="男",$Q207-3.3,$Q207-3.24),0))))&lt;-0.6,IF($B207="高三",MIN(IF($E207="男",$Q207-3.2,$Q207-3.2),0),IF($B207="高二",MIN(IF($E207="男",$Q207-3.25,$Q207-3.22),0),IF($B207="高一",MIN(IF($E207="男",$Q207-3.3,$Q207-3.24),0))))+0.4,IF($B207="高三",MIN(IF($E207="男",$Q207-3.2,$Q207-3.2),0),IF($B207="高二",MIN(IF($E207="男",$Q207-3.25,$Q207-3.22),0),IF($B207="高一",MIN(IF($E207="男",$Q207-3.3,$Q207-3.24),0))))),2)</f>
        <v>-0.08</v>
      </c>
      <c r="T207" s="23">
        <f>IF(E207="男",LOOKUP($S207,[1]对照表!$AB$3:$AB$13,[1]对照表!$AC$3:$AC$13),LOOKUP($S207,[1]对照表!$AB$15:$AB$25,[1]对照表!$AC$15:$AC$25))</f>
        <v>1</v>
      </c>
      <c r="U207" s="26">
        <f>R207+T207</f>
        <v>101</v>
      </c>
      <c r="V207" s="26">
        <f>SUM(I207,K207,M207)/3*0.3+SUM(G207,R207)/2*0.4</f>
        <v>62.8</v>
      </c>
      <c r="W207" s="27">
        <f>O207+T207</f>
        <v>1</v>
      </c>
      <c r="X207" s="28">
        <f>V207/0.7+W207</f>
        <v>90.714285714285722</v>
      </c>
      <c r="Y207" s="28">
        <v>90.714285714285722</v>
      </c>
      <c r="Z207" s="21"/>
    </row>
    <row r="208" spans="1:26" x14ac:dyDescent="0.25">
      <c r="A208" s="16">
        <v>5</v>
      </c>
      <c r="B208" s="17" t="s">
        <v>21</v>
      </c>
      <c r="C208" s="16">
        <v>106</v>
      </c>
      <c r="D208" s="18" t="s">
        <v>180</v>
      </c>
      <c r="E208" s="17" t="s">
        <v>23</v>
      </c>
      <c r="F208" s="19">
        <v>7.2</v>
      </c>
      <c r="G208" s="32">
        <f>IF(B208="高三",IF($E208="男",LOOKUP(F208,[1]对照表!$G$3:$G$24,[1]对照表!$H$3:$H$24),LOOKUP(F208,[1]对照表!$G$27:$G$48,[1]对照表!$H$27:$H$48)),IF(B208="高二",IF($E208="男",LOOKUP(F208,[1]对照表!$F$3:$F$24,[1]对照表!$H$3:$H$24),LOOKUP(F208,[1]对照表!$F$27:$F$48,[1]对照表!$H$27:$H$48)),IF(B208="高一",IF($E208="男",LOOKUP(F208,[1]对照表!$E$3:$E$24,[1]对照表!$H$3:$H$24),LOOKUP(F208,[1]对照表!$E$27:$E$48,[1]对照表!$H$27:$H$48)))))</f>
        <v>95</v>
      </c>
      <c r="H208" s="21">
        <v>3.8</v>
      </c>
      <c r="I208" s="32">
        <f>IF(B208="高三",IF($E208="男",LOOKUP(H208,[1]对照表!$K$3:$K$24,[1]对照表!$L$3:$L$24),LOOKUP(H208,[1]对照表!$K$27:$K$48,[1]对照表!$L$27:$L$48)),IF(B208="高二",IF($E208="男",LOOKUP(H208,[1]对照表!$J$3:$J$24,[1]对照表!$L$3:$L$24),LOOKUP(H208,[1]对照表!$J$27:$J$48,[1]对照表!$L$27:$L$48)),IF(B208="高一",IF($E208="男",LOOKUP(H208,[1]对照表!$I$3:$I$24,[1]对照表!$L$3:$L$24),LOOKUP(H208,[1]对照表!$I$27:$I$48,[1]对照表!$L$27:$L$48)))))</f>
        <v>64</v>
      </c>
      <c r="J208" s="21">
        <v>261</v>
      </c>
      <c r="K208" s="32">
        <f>IF(B208="高三",IF($E208="男",LOOKUP(J208,[1]对照表!$O$3:$O$24,[1]对照表!$P$3:$P$24),LOOKUP(J208,[1]对照表!$O$27:$O$48,[1]对照表!$P$27:$P$48)),IF(B208="高二",IF($E208="男",LOOKUP(J208,[1]对照表!$N$3:$N$24,[1]对照表!$P$3:$P$24),LOOKUP(J208,[1]对照表!$N$27:$N$48,[1]对照表!$P$27:$P$48)),IF(B208="高一",IF($E208="男",LOOKUP(J208,[1]对照表!$M$3:$M$24,[1]对照表!$P$3:$P$24),LOOKUP(J208,[1]对照表!$M$27:$M$48,[1]对照表!$P$27:$P$48)))))</f>
        <v>100</v>
      </c>
      <c r="L208" s="21">
        <v>7</v>
      </c>
      <c r="M208" s="32">
        <f>IF(B208="高三",IF($E208="男",LOOKUP(L208,[1]对照表!$S$3:$S$24,[1]对照表!$T$3:$T$24),LOOKUP(L208,[1]对照表!$S$27:$S$48,[1]对照表!$T$27:$T$48)),IF(B208="高二",IF($E208="男",LOOKUP(L208,[1]对照表!$R$3:$R$24,[1]对照表!$T$3:$T$24),LOOKUP(L208,[1]对照表!$R$27:$R$48,[1]对照表!$T$27:$T$48)),IF(B208="高一",IF($E208="男",LOOKUP(L208,[1]对照表!$Q$3:$Q$24,[1]对照表!$T$3:$T$24),LOOKUP(L208,[1]对照表!$Q$27:$Q$48,[1]对照表!$T$27:$T$48)))))</f>
        <v>60</v>
      </c>
      <c r="N208" s="33">
        <f>IF(B208="高三",MAX(IF(E208="男",L208-18,L208-55),0),IF(B208="高二",MAX(IF(E208="男",L208-17,L208-54),0),IF(B208="高一",MAX(IF(E208="男",L208-16,L208-53),0))))</f>
        <v>0</v>
      </c>
      <c r="O208" s="23">
        <f>IF(E208="男",LOOKUP($N208,[1]对照表!$Z$3:$Z$13,[1]对照表!$AA$3:$AA$13),LOOKUP($N208,[1]对照表!$Z$15:$Z$25,[1]对照表!$AA$15:$AA$25))</f>
        <v>0</v>
      </c>
      <c r="P208" s="24">
        <f>M208+O208</f>
        <v>60</v>
      </c>
      <c r="Q208" s="25">
        <v>3.16</v>
      </c>
      <c r="R208" s="32">
        <f>IF(B208="高三",IF($E208="男",LOOKUP(Q208,[1]对照表!$W$3:$W$24,[1]对照表!$X$3:$X$24),LOOKUP(Q208,[1]对照表!$W$27:$W$48,[1]对照表!$X$27:$X$48)),IF(B208="高二",IF($E208="男",LOOKUP(Q208,[1]对照表!$V$3:$V$24,[1]对照表!$X$3:$X$24),LOOKUP(Q208,[1]对照表!$V$27:$V$48,[1]对照表!$X$27:$X$48)),IF(B208="高一",IF($E208="男",LOOKUP(Q208,[1]对照表!$U$3:$U$24,[1]对照表!$X$3:$X$24),LOOKUP(Q208,[1]对照表!$U$27:$U$48,[1]对照表!$X$27:$X$48)))))</f>
        <v>100</v>
      </c>
      <c r="S208" s="33">
        <f>ROUND(IF(IF($B208="高三",MIN(IF($E208="男",$Q208-3.2,$Q208-3.2),0),IF($B208="高二",MIN(IF($E208="男",$Q208-3.25,$Q208-3.22),0),IF($B208="高一",MIN(IF($E208="男",$Q208-3.3,$Q208-3.24),0))))&lt;-0.6,IF($B208="高三",MIN(IF($E208="男",$Q208-3.2,$Q208-3.2),0),IF($B208="高二",MIN(IF($E208="男",$Q208-3.25,$Q208-3.22),0),IF($B208="高一",MIN(IF($E208="男",$Q208-3.3,$Q208-3.24),0))))+0.4,IF($B208="高三",MIN(IF($E208="男",$Q208-3.2,$Q208-3.2),0),IF($B208="高二",MIN(IF($E208="男",$Q208-3.25,$Q208-3.22),0),IF($B208="高一",MIN(IF($E208="男",$Q208-3.3,$Q208-3.24),0))))),2)</f>
        <v>-0.14000000000000001</v>
      </c>
      <c r="T208" s="23">
        <f>IF(E208="男",LOOKUP($S208,[1]对照表!$AB$3:$AB$13,[1]对照表!$AC$3:$AC$13),LOOKUP($S208,[1]对照表!$AB$15:$AB$25,[1]对照表!$AC$15:$AC$25))</f>
        <v>3</v>
      </c>
      <c r="U208" s="26">
        <f>R208+T208</f>
        <v>103</v>
      </c>
      <c r="V208" s="26">
        <f>SUM(I208,K208,M208)/3*0.3+SUM(G208,R208)/2*0.4</f>
        <v>61.400000000000006</v>
      </c>
      <c r="W208" s="27">
        <f>O208+T208</f>
        <v>3</v>
      </c>
      <c r="X208" s="28">
        <f>V208/0.7+W208</f>
        <v>90.714285714285722</v>
      </c>
      <c r="Y208" s="28">
        <v>90.714285714285722</v>
      </c>
      <c r="Z208" s="21"/>
    </row>
    <row r="209" spans="1:26" x14ac:dyDescent="0.25">
      <c r="A209" s="16">
        <v>19</v>
      </c>
      <c r="B209" s="17" t="s">
        <v>21</v>
      </c>
      <c r="C209" s="16">
        <v>106</v>
      </c>
      <c r="D209" s="18" t="s">
        <v>211</v>
      </c>
      <c r="E209" s="17" t="s">
        <v>65</v>
      </c>
      <c r="F209" s="19">
        <v>8.69</v>
      </c>
      <c r="G209" s="32">
        <f>IF(B209="高三",IF($E209="男",LOOKUP(F209,[1]对照表!$G$3:$G$24,[1]对照表!$H$3:$H$24),LOOKUP(F209,[1]对照表!$G$27:$G$48,[1]对照表!$H$27:$H$48)),IF(B209="高二",IF($E209="男",LOOKUP(F209,[1]对照表!$F$3:$F$24,[1]对照表!$H$3:$H$24),LOOKUP(F209,[1]对照表!$F$27:$F$48,[1]对照表!$H$27:$H$48)),IF(B209="高一",IF($E209="男",LOOKUP(F209,[1]对照表!$E$3:$E$24,[1]对照表!$H$3:$H$24),LOOKUP(F209,[1]对照表!$E$27:$E$48,[1]对照表!$H$27:$H$48)))))</f>
        <v>78</v>
      </c>
      <c r="H209" s="21">
        <v>27</v>
      </c>
      <c r="I209" s="32">
        <f>IF(B209="高三",IF($E209="男",LOOKUP(H209,[1]对照表!$K$3:$K$24,[1]对照表!$L$3:$L$24),LOOKUP(H209,[1]对照表!$K$27:$K$48,[1]对照表!$L$27:$L$48)),IF(B209="高二",IF($E209="男",LOOKUP(H209,[1]对照表!$J$3:$J$24,[1]对照表!$L$3:$L$24),LOOKUP(H209,[1]对照表!$J$27:$J$48,[1]对照表!$L$27:$L$48)),IF(B209="高一",IF($E209="男",LOOKUP(H209,[1]对照表!$I$3:$I$24,[1]对照表!$L$3:$L$24),LOOKUP(H209,[1]对照表!$I$27:$I$48,[1]对照表!$L$27:$L$48)))))</f>
        <v>100</v>
      </c>
      <c r="J209" s="21">
        <v>195</v>
      </c>
      <c r="K209" s="32">
        <f>IF(B209="高三",IF($E209="男",LOOKUP(J209,[1]对照表!$O$3:$O$24,[1]对照表!$P$3:$P$24),LOOKUP(J209,[1]对照表!$O$27:$O$48,[1]对照表!$P$27:$P$48)),IF(B209="高二",IF($E209="男",LOOKUP(J209,[1]对照表!$N$3:$N$24,[1]对照表!$P$3:$P$24),LOOKUP(J209,[1]对照表!$N$27:$N$48,[1]对照表!$P$27:$P$48)),IF(B209="高一",IF($E209="男",LOOKUP(J209,[1]对照表!$M$3:$M$24,[1]对照表!$P$3:$P$24),LOOKUP(J209,[1]对照表!$M$27:$M$48,[1]对照表!$P$27:$P$48)))))</f>
        <v>90</v>
      </c>
      <c r="L209" s="21">
        <v>52</v>
      </c>
      <c r="M209" s="32">
        <f>IF(B209="高三",IF($E209="男",LOOKUP(L209,[1]对照表!$S$3:$S$24,[1]对照表!$T$3:$T$24),LOOKUP(L209,[1]对照表!$S$27:$S$48,[1]对照表!$T$27:$T$48)),IF(B209="高二",IF($E209="男",LOOKUP(L209,[1]对照表!$R$3:$R$24,[1]对照表!$T$3:$T$24),LOOKUP(L209,[1]对照表!$R$27:$R$48,[1]对照表!$T$27:$T$48)),IF(B209="高一",IF($E209="男",LOOKUP(L209,[1]对照表!$Q$3:$Q$24,[1]对照表!$T$3:$T$24),LOOKUP(L209,[1]对照表!$Q$27:$Q$48,[1]对照表!$T$27:$T$48)))))</f>
        <v>95</v>
      </c>
      <c r="N209" s="33">
        <f>IF(B209="高三",MAX(IF(E209="男",L209-18,L209-55),0),IF(B209="高二",MAX(IF(E209="男",L209-17,L209-54),0),IF(B209="高一",MAX(IF(E209="男",L209-16,L209-53),0))))</f>
        <v>0</v>
      </c>
      <c r="O209" s="23">
        <f>IF(E209="男",LOOKUP($N209,[1]对照表!$Z$3:$Z$13,[1]对照表!$AA$3:$AA$13),LOOKUP($N209,[1]对照表!$Z$15:$Z$25,[1]对照表!$AA$15:$AA$25))</f>
        <v>0</v>
      </c>
      <c r="P209" s="24">
        <f>M209+O209</f>
        <v>95</v>
      </c>
      <c r="Q209" s="25">
        <v>3.21</v>
      </c>
      <c r="R209" s="32">
        <f>IF(B209="高三",IF($E209="男",LOOKUP(Q209,[1]对照表!$W$3:$W$24,[1]对照表!$X$3:$X$24),LOOKUP(Q209,[1]对照表!$W$27:$W$48,[1]对照表!$X$27:$X$48)),IF(B209="高二",IF($E209="男",LOOKUP(Q209,[1]对照表!$V$3:$V$24,[1]对照表!$X$3:$X$24),LOOKUP(Q209,[1]对照表!$V$27:$V$48,[1]对照表!$X$27:$X$48)),IF(B209="高一",IF($E209="男",LOOKUP(Q209,[1]对照表!$U$3:$U$24,[1]对照表!$X$3:$X$24),LOOKUP(Q209,[1]对照表!$U$27:$U$48,[1]对照表!$X$27:$X$48)))))</f>
        <v>100</v>
      </c>
      <c r="S209" s="33">
        <f>ROUND(IF(IF($B209="高三",MIN(IF($E209="男",$Q209-3.2,$Q209-3.2),0),IF($B209="高二",MIN(IF($E209="男",$Q209-3.25,$Q209-3.22),0),IF($B209="高一",MIN(IF($E209="男",$Q209-3.3,$Q209-3.24),0))))&lt;-0.6,IF($B209="高三",MIN(IF($E209="男",$Q209-3.2,$Q209-3.2),0),IF($B209="高二",MIN(IF($E209="男",$Q209-3.25,$Q209-3.22),0),IF($B209="高一",MIN(IF($E209="男",$Q209-3.3,$Q209-3.24),0))))+0.4,IF($B209="高三",MIN(IF($E209="男",$Q209-3.2,$Q209-3.2),0),IF($B209="高二",MIN(IF($E209="男",$Q209-3.25,$Q209-3.22),0),IF($B209="高一",MIN(IF($E209="男",$Q209-3.3,$Q209-3.24),0))))),2)</f>
        <v>-0.03</v>
      </c>
      <c r="T209" s="23">
        <f>IF(E209="男",LOOKUP($S209,[1]对照表!$AB$3:$AB$13,[1]对照表!$AC$3:$AC$13),LOOKUP($S209,[1]对照表!$AB$15:$AB$25,[1]对照表!$AC$15:$AC$25))</f>
        <v>0</v>
      </c>
      <c r="U209" s="26">
        <f>R209+T209</f>
        <v>100</v>
      </c>
      <c r="V209" s="26">
        <f>SUM(I209,K209,M209)/3*0.3+SUM(G209,R209)/2*0.4</f>
        <v>64.099999999999994</v>
      </c>
      <c r="W209" s="27">
        <f>O209+T209</f>
        <v>0</v>
      </c>
      <c r="X209" s="28">
        <f>V209/0.7+W209</f>
        <v>91.571428571428569</v>
      </c>
      <c r="Y209" s="28">
        <v>91.571428571428569</v>
      </c>
      <c r="Z209" s="21"/>
    </row>
    <row r="210" spans="1:26" x14ac:dyDescent="0.25">
      <c r="A210" s="16">
        <v>29</v>
      </c>
      <c r="B210" s="17" t="s">
        <v>21</v>
      </c>
      <c r="C210" s="16">
        <v>106</v>
      </c>
      <c r="D210" s="18" t="s">
        <v>213</v>
      </c>
      <c r="E210" s="17" t="s">
        <v>65</v>
      </c>
      <c r="F210" s="19">
        <v>9.0299999999999994</v>
      </c>
      <c r="G210" s="32">
        <f>IF(B210="高三",IF($E210="男",LOOKUP(F210,[1]对照表!$G$3:$G$24,[1]对照表!$H$3:$H$24),LOOKUP(F210,[1]对照表!$G$27:$G$48,[1]对照表!$H$27:$H$48)),IF(B210="高二",IF($E210="男",LOOKUP(F210,[1]对照表!$F$3:$F$24,[1]对照表!$H$3:$H$24),LOOKUP(F210,[1]对照表!$F$27:$F$48,[1]对照表!$H$27:$H$48)),IF(B210="高一",IF($E210="男",LOOKUP(F210,[1]对照表!$E$3:$E$24,[1]对照表!$H$3:$H$24),LOOKUP(F210,[1]对照表!$E$27:$E$48,[1]对照表!$H$27:$H$48)))))</f>
        <v>74</v>
      </c>
      <c r="H210" s="21">
        <v>28</v>
      </c>
      <c r="I210" s="32">
        <f>IF(B210="高三",IF($E210="男",LOOKUP(H210,[1]对照表!$K$3:$K$24,[1]对照表!$L$3:$L$24),LOOKUP(H210,[1]对照表!$K$27:$K$48,[1]对照表!$L$27:$L$48)),IF(B210="高二",IF($E210="男",LOOKUP(H210,[1]对照表!$J$3:$J$24,[1]对照表!$L$3:$L$24),LOOKUP(H210,[1]对照表!$J$27:$J$48,[1]对照表!$L$27:$L$48)),IF(B210="高一",IF($E210="男",LOOKUP(H210,[1]对照表!$I$3:$I$24,[1]对照表!$L$3:$L$24),LOOKUP(H210,[1]对照表!$I$27:$I$48,[1]对照表!$L$27:$L$48)))))</f>
        <v>100</v>
      </c>
      <c r="J210" s="21">
        <v>177</v>
      </c>
      <c r="K210" s="32">
        <f>IF(B210="高三",IF($E210="男",LOOKUP(J210,[1]对照表!$O$3:$O$24,[1]对照表!$P$3:$P$24),LOOKUP(J210,[1]对照表!$O$27:$O$48,[1]对照表!$P$27:$P$48)),IF(B210="高二",IF($E210="男",LOOKUP(J210,[1]对照表!$N$3:$N$24,[1]对照表!$P$3:$P$24),LOOKUP(J210,[1]对照表!$N$27:$N$48,[1]对照表!$P$27:$P$48)),IF(B210="高一",IF($E210="男",LOOKUP(J210,[1]对照表!$M$3:$M$24,[1]对照表!$P$3:$P$24),LOOKUP(J210,[1]对照表!$M$27:$M$48,[1]对照表!$P$27:$P$48)))))</f>
        <v>78</v>
      </c>
      <c r="L210" s="21">
        <v>50</v>
      </c>
      <c r="M210" s="32">
        <f>IF(B210="高三",IF($E210="男",LOOKUP(L210,[1]对照表!$S$3:$S$24,[1]对照表!$T$3:$T$24),LOOKUP(L210,[1]对照表!$S$27:$S$48,[1]对照表!$T$27:$T$48)),IF(B210="高二",IF($E210="男",LOOKUP(L210,[1]对照表!$R$3:$R$24,[1]对照表!$T$3:$T$24),LOOKUP(L210,[1]对照表!$R$27:$R$48,[1]对照表!$T$27:$T$48)),IF(B210="高一",IF($E210="男",LOOKUP(L210,[1]对照表!$Q$3:$Q$24,[1]对照表!$T$3:$T$24),LOOKUP(L210,[1]对照表!$Q$27:$Q$48,[1]对照表!$T$27:$T$48)))))</f>
        <v>90</v>
      </c>
      <c r="N210" s="33">
        <f>IF(B210="高三",MAX(IF(E210="男",L210-18,L210-55),0),IF(B210="高二",MAX(IF(E210="男",L210-17,L210-54),0),IF(B210="高一",MAX(IF(E210="男",L210-16,L210-53),0))))</f>
        <v>0</v>
      </c>
      <c r="O210" s="23">
        <f>IF(E210="男",LOOKUP($N210,[1]对照表!$Z$3:$Z$13,[1]对照表!$AA$3:$AA$13),LOOKUP($N210,[1]对照表!$Z$15:$Z$25,[1]对照表!$AA$15:$AA$25))</f>
        <v>0</v>
      </c>
      <c r="P210" s="24">
        <f>M210+O210</f>
        <v>90</v>
      </c>
      <c r="Q210" s="25">
        <v>3.21</v>
      </c>
      <c r="R210" s="32">
        <f>IF(B210="高三",IF($E210="男",LOOKUP(Q210,[1]对照表!$W$3:$W$24,[1]对照表!$X$3:$X$24),LOOKUP(Q210,[1]对照表!$W$27:$W$48,[1]对照表!$X$27:$X$48)),IF(B210="高二",IF($E210="男",LOOKUP(Q210,[1]对照表!$V$3:$V$24,[1]对照表!$X$3:$X$24),LOOKUP(Q210,[1]对照表!$V$27:$V$48,[1]对照表!$X$27:$X$48)),IF(B210="高一",IF($E210="男",LOOKUP(Q210,[1]对照表!$U$3:$U$24,[1]对照表!$X$3:$X$24),LOOKUP(Q210,[1]对照表!$U$27:$U$48,[1]对照表!$X$27:$X$48)))))</f>
        <v>100</v>
      </c>
      <c r="S210" s="33">
        <f>ROUND(IF(IF($B210="高三",MIN(IF($E210="男",$Q210-3.2,$Q210-3.2),0),IF($B210="高二",MIN(IF($E210="男",$Q210-3.25,$Q210-3.22),0),IF($B210="高一",MIN(IF($E210="男",$Q210-3.3,$Q210-3.24),0))))&lt;-0.6,IF($B210="高三",MIN(IF($E210="男",$Q210-3.2,$Q210-3.2),0),IF($B210="高二",MIN(IF($E210="男",$Q210-3.25,$Q210-3.22),0),IF($B210="高一",MIN(IF($E210="男",$Q210-3.3,$Q210-3.24),0))))+0.4,IF($B210="高三",MIN(IF($E210="男",$Q210-3.2,$Q210-3.2),0),IF($B210="高二",MIN(IF($E210="男",$Q210-3.25,$Q210-3.22),0),IF($B210="高一",MIN(IF($E210="男",$Q210-3.3,$Q210-3.24),0))))),2)</f>
        <v>-0.03</v>
      </c>
      <c r="T210" s="23">
        <f>IF(E210="男",LOOKUP($S210,[1]对照表!$AB$3:$AB$13,[1]对照表!$AC$3:$AC$13),LOOKUP($S210,[1]对照表!$AB$15:$AB$25,[1]对照表!$AC$15:$AC$25))</f>
        <v>0</v>
      </c>
      <c r="U210" s="26">
        <f>R210+T210</f>
        <v>100</v>
      </c>
      <c r="V210" s="26">
        <f>SUM(I210,K210,M210)/3*0.3+SUM(G210,R210)/2*0.4</f>
        <v>61.6</v>
      </c>
      <c r="W210" s="27">
        <f>O210+T210</f>
        <v>0</v>
      </c>
      <c r="X210" s="28">
        <f>V210/0.7+W210</f>
        <v>88.000000000000014</v>
      </c>
      <c r="Y210" s="28">
        <v>88.000000000000014</v>
      </c>
      <c r="Z210" s="21"/>
    </row>
    <row r="211" spans="1:26" x14ac:dyDescent="0.25">
      <c r="A211" s="16">
        <v>24</v>
      </c>
      <c r="B211" s="17" t="s">
        <v>21</v>
      </c>
      <c r="C211" s="16">
        <v>106</v>
      </c>
      <c r="D211" s="18" t="s">
        <v>239</v>
      </c>
      <c r="E211" s="17" t="s">
        <v>65</v>
      </c>
      <c r="F211" s="19">
        <v>8.3000000000000007</v>
      </c>
      <c r="G211" s="32">
        <f>IF(B211="高三",IF($E211="男",LOOKUP(F211,[1]对照表!$G$3:$G$24,[1]对照表!$H$3:$H$24),LOOKUP(F211,[1]对照表!$G$27:$G$48,[1]对照表!$H$27:$H$48)),IF(B211="高二",IF($E211="男",LOOKUP(F211,[1]对照表!$F$3:$F$24,[1]对照表!$H$3:$H$24),LOOKUP(F211,[1]对照表!$F$27:$F$48,[1]对照表!$H$27:$H$48)),IF(B211="高一",IF($E211="男",LOOKUP(F211,[1]对照表!$E$3:$E$24,[1]对照表!$H$3:$H$24),LOOKUP(F211,[1]对照表!$E$27:$E$48,[1]对照表!$H$27:$H$48)))))</f>
        <v>85</v>
      </c>
      <c r="H211" s="21">
        <v>19</v>
      </c>
      <c r="I211" s="32">
        <f>IF(B211="高三",IF($E211="男",LOOKUP(H211,[1]对照表!$K$3:$K$24,[1]对照表!$L$3:$L$24),LOOKUP(H211,[1]对照表!$K$27:$K$48,[1]对照表!$L$27:$L$48)),IF(B211="高二",IF($E211="男",LOOKUP(H211,[1]对照表!$J$3:$J$24,[1]对照表!$L$3:$L$24),LOOKUP(H211,[1]对照表!$J$27:$J$48,[1]对照表!$L$27:$L$48)),IF(B211="高一",IF($E211="男",LOOKUP(H211,[1]对照表!$I$3:$I$24,[1]对照表!$L$3:$L$24),LOOKUP(H211,[1]对照表!$I$27:$I$48,[1]对照表!$L$27:$L$48)))))</f>
        <v>80</v>
      </c>
      <c r="J211" s="21">
        <v>190</v>
      </c>
      <c r="K211" s="32">
        <f>IF(B211="高三",IF($E211="男",LOOKUP(J211,[1]对照表!$O$3:$O$24,[1]对照表!$P$3:$P$24),LOOKUP(J211,[1]对照表!$O$27:$O$48,[1]对照表!$P$27:$P$48)),IF(B211="高二",IF($E211="男",LOOKUP(J211,[1]对照表!$N$3:$N$24,[1]对照表!$P$3:$P$24),LOOKUP(J211,[1]对照表!$N$27:$N$48,[1]对照表!$P$27:$P$48)),IF(B211="高一",IF($E211="男",LOOKUP(J211,[1]对照表!$M$3:$M$24,[1]对照表!$P$3:$P$24),LOOKUP(J211,[1]对照表!$M$27:$M$48,[1]对照表!$P$27:$P$48)))))</f>
        <v>85</v>
      </c>
      <c r="L211" s="21">
        <v>52</v>
      </c>
      <c r="M211" s="32">
        <f>IF(B211="高三",IF($E211="男",LOOKUP(L211,[1]对照表!$S$3:$S$24,[1]对照表!$T$3:$T$24),LOOKUP(L211,[1]对照表!$S$27:$S$48,[1]对照表!$T$27:$T$48)),IF(B211="高二",IF($E211="男",LOOKUP(L211,[1]对照表!$R$3:$R$24,[1]对照表!$T$3:$T$24),LOOKUP(L211,[1]对照表!$R$27:$R$48,[1]对照表!$T$27:$T$48)),IF(B211="高一",IF($E211="男",LOOKUP(L211,[1]对照表!$Q$3:$Q$24,[1]对照表!$T$3:$T$24),LOOKUP(L211,[1]对照表!$Q$27:$Q$48,[1]对照表!$T$27:$T$48)))))</f>
        <v>95</v>
      </c>
      <c r="N211" s="33">
        <f>IF(B211="高三",MAX(IF(E211="男",L211-18,L211-55),0),IF(B211="高二",MAX(IF(E211="男",L211-17,L211-54),0),IF(B211="高一",MAX(IF(E211="男",L211-16,L211-53),0))))</f>
        <v>0</v>
      </c>
      <c r="O211" s="23">
        <f>IF(E211="男",LOOKUP($N211,[1]对照表!$Z$3:$Z$13,[1]对照表!$AA$3:$AA$13),LOOKUP($N211,[1]对照表!$Z$15:$Z$25,[1]对照表!$AA$15:$AA$25))</f>
        <v>0</v>
      </c>
      <c r="P211" s="24">
        <f>M211+O211</f>
        <v>95</v>
      </c>
      <c r="Q211" s="25">
        <v>3.25</v>
      </c>
      <c r="R211" s="32">
        <f>IF(B211="高三",IF($E211="男",LOOKUP(Q211,[1]对照表!$W$3:$W$24,[1]对照表!$X$3:$X$24),LOOKUP(Q211,[1]对照表!$W$27:$W$48,[1]对照表!$X$27:$X$48)),IF(B211="高二",IF($E211="男",LOOKUP(Q211,[1]对照表!$V$3:$V$24,[1]对照表!$X$3:$X$24),LOOKUP(Q211,[1]对照表!$V$27:$V$48,[1]对照表!$X$27:$X$48)),IF(B211="高一",IF($E211="男",LOOKUP(Q211,[1]对照表!$U$3:$U$24,[1]对照表!$X$3:$X$24),LOOKUP(Q211,[1]对照表!$U$27:$U$48,[1]对照表!$X$27:$X$48)))))</f>
        <v>95</v>
      </c>
      <c r="S211" s="33">
        <f>ROUND(IF(IF($B211="高三",MIN(IF($E211="男",$Q211-3.2,$Q211-3.2),0),IF($B211="高二",MIN(IF($E211="男",$Q211-3.25,$Q211-3.22),0),IF($B211="高一",MIN(IF($E211="男",$Q211-3.3,$Q211-3.24),0))))&lt;-0.6,IF($B211="高三",MIN(IF($E211="男",$Q211-3.2,$Q211-3.2),0),IF($B211="高二",MIN(IF($E211="男",$Q211-3.25,$Q211-3.22),0),IF($B211="高一",MIN(IF($E211="男",$Q211-3.3,$Q211-3.24),0))))+0.4,IF($B211="高三",MIN(IF($E211="男",$Q211-3.2,$Q211-3.2),0),IF($B211="高二",MIN(IF($E211="男",$Q211-3.25,$Q211-3.22),0),IF($B211="高一",MIN(IF($E211="男",$Q211-3.3,$Q211-3.24),0))))),2)</f>
        <v>0</v>
      </c>
      <c r="T211" s="23">
        <f>IF(E211="男",LOOKUP($S211,[1]对照表!$AB$3:$AB$13,[1]对照表!$AC$3:$AC$13),LOOKUP($S211,[1]对照表!$AB$15:$AB$25,[1]对照表!$AC$15:$AC$25))</f>
        <v>0</v>
      </c>
      <c r="U211" s="26">
        <f>R211+T211</f>
        <v>95</v>
      </c>
      <c r="V211" s="26">
        <f>SUM(I211,K211,M211)/3*0.3+SUM(G211,R211)/2*0.4</f>
        <v>62</v>
      </c>
      <c r="W211" s="27">
        <f>O211+T211</f>
        <v>0</v>
      </c>
      <c r="X211" s="28">
        <f>V211/0.7+W211</f>
        <v>88.571428571428584</v>
      </c>
      <c r="Y211" s="28">
        <v>88.571428571428584</v>
      </c>
      <c r="Z211" s="21"/>
    </row>
    <row r="212" spans="1:26" x14ac:dyDescent="0.25">
      <c r="A212" s="16">
        <v>14</v>
      </c>
      <c r="B212" s="17" t="s">
        <v>21</v>
      </c>
      <c r="C212" s="16">
        <v>106</v>
      </c>
      <c r="D212" s="18" t="s">
        <v>255</v>
      </c>
      <c r="E212" s="17" t="s">
        <v>65</v>
      </c>
      <c r="F212" s="19">
        <v>8.6999999999999993</v>
      </c>
      <c r="G212" s="32">
        <f>IF(B212="高三",IF($E212="男",LOOKUP(F212,[1]对照表!$G$3:$G$24,[1]对照表!$H$3:$H$24),LOOKUP(F212,[1]对照表!$G$27:$G$48,[1]对照表!$H$27:$H$48)),IF(B212="高二",IF($E212="男",LOOKUP(F212,[1]对照表!$F$3:$F$24,[1]对照表!$H$3:$H$24),LOOKUP(F212,[1]对照表!$F$27:$F$48,[1]对照表!$H$27:$H$48)),IF(B212="高一",IF($E212="男",LOOKUP(F212,[1]对照表!$E$3:$E$24,[1]对照表!$H$3:$H$24),LOOKUP(F212,[1]对照表!$E$27:$E$48,[1]对照表!$H$27:$H$48)))))</f>
        <v>78</v>
      </c>
      <c r="H212" s="21">
        <v>17.5</v>
      </c>
      <c r="I212" s="32">
        <f>IF(B212="高三",IF($E212="男",LOOKUP(H212,[1]对照表!$K$3:$K$24,[1]对照表!$L$3:$L$24),LOOKUP(H212,[1]对照表!$K$27:$K$48,[1]对照表!$L$27:$L$48)),IF(B212="高二",IF($E212="男",LOOKUP(H212,[1]对照表!$J$3:$J$24,[1]对照表!$L$3:$L$24),LOOKUP(H212,[1]对照表!$J$27:$J$48,[1]对照表!$L$27:$L$48)),IF(B212="高一",IF($E212="男",LOOKUP(H212,[1]对照表!$I$3:$I$24,[1]对照表!$L$3:$L$24),LOOKUP(H212,[1]对照表!$I$27:$I$48,[1]对照表!$L$27:$L$48)))))</f>
        <v>80</v>
      </c>
      <c r="J212" s="21">
        <v>176</v>
      </c>
      <c r="K212" s="32">
        <f>IF(B212="高三",IF($E212="男",LOOKUP(J212,[1]对照表!$O$3:$O$24,[1]对照表!$P$3:$P$24),LOOKUP(J212,[1]对照表!$O$27:$O$48,[1]对照表!$P$27:$P$48)),IF(B212="高二",IF($E212="男",LOOKUP(J212,[1]对照表!$N$3:$N$24,[1]对照表!$P$3:$P$24),LOOKUP(J212,[1]对照表!$N$27:$N$48,[1]对照表!$P$27:$P$48)),IF(B212="高一",IF($E212="男",LOOKUP(J212,[1]对照表!$M$3:$M$24,[1]对照表!$P$3:$P$24),LOOKUP(J212,[1]对照表!$M$27:$M$48,[1]对照表!$P$27:$P$48)))))</f>
        <v>78</v>
      </c>
      <c r="L212" s="21">
        <v>41</v>
      </c>
      <c r="M212" s="32">
        <f>IF(B212="高三",IF($E212="男",LOOKUP(L212,[1]对照表!$S$3:$S$24,[1]对照表!$T$3:$T$24),LOOKUP(L212,[1]对照表!$S$27:$S$48,[1]对照表!$T$27:$T$48)),IF(B212="高二",IF($E212="男",LOOKUP(L212,[1]对照表!$R$3:$R$24,[1]对照表!$T$3:$T$24),LOOKUP(L212,[1]对照表!$R$27:$R$48,[1]对照表!$T$27:$T$48)),IF(B212="高一",IF($E212="男",LOOKUP(L212,[1]对照表!$Q$3:$Q$24,[1]对照表!$T$3:$T$24),LOOKUP(L212,[1]对照表!$Q$27:$Q$48,[1]对照表!$T$27:$T$48)))))</f>
        <v>78</v>
      </c>
      <c r="N212" s="33">
        <f>IF(B212="高三",MAX(IF(E212="男",L212-18,L212-55),0),IF(B212="高二",MAX(IF(E212="男",L212-17,L212-54),0),IF(B212="高一",MAX(IF(E212="男",L212-16,L212-53),0))))</f>
        <v>0</v>
      </c>
      <c r="O212" s="23">
        <f>IF(E212="男",LOOKUP($N212,[1]对照表!$Z$3:$Z$13,[1]对照表!$AA$3:$AA$13),LOOKUP($N212,[1]对照表!$Z$15:$Z$25,[1]对照表!$AA$15:$AA$25))</f>
        <v>0</v>
      </c>
      <c r="P212" s="24">
        <f>M212+O212</f>
        <v>78</v>
      </c>
      <c r="Q212" s="25">
        <v>3.28</v>
      </c>
      <c r="R212" s="32">
        <f>IF(B212="高三",IF($E212="男",LOOKUP(Q212,[1]对照表!$W$3:$W$24,[1]对照表!$X$3:$X$24),LOOKUP(Q212,[1]对照表!$W$27:$W$48,[1]对照表!$X$27:$X$48)),IF(B212="高二",IF($E212="男",LOOKUP(Q212,[1]对照表!$V$3:$V$24,[1]对照表!$X$3:$X$24),LOOKUP(Q212,[1]对照表!$V$27:$V$48,[1]对照表!$X$27:$X$48)),IF(B212="高一",IF($E212="男",LOOKUP(Q212,[1]对照表!$U$3:$U$24,[1]对照表!$X$3:$X$24),LOOKUP(Q212,[1]对照表!$U$27:$U$48,[1]对照表!$X$27:$X$48)))))</f>
        <v>95</v>
      </c>
      <c r="S212" s="27">
        <f>ROUND(IF(IF($B212="高三",MIN(IF($E212="男",$Q212-3.2,$Q212-3.2),0),IF($B212="高二",MIN(IF($E212="男",$Q212-3.25,$Q212-3.22),0),IF($B212="高一",MIN(IF($E212="男",$Q212-3.3,$Q212-3.24),0))))&lt;-0.6,IF($B212="高三",MIN(IF($E212="男",$Q212-3.2,$Q212-3.2),0),IF($B212="高二",MIN(IF($E212="男",$Q212-3.25,$Q212-3.22),0),IF($B212="高一",MIN(IF($E212="男",$Q212-3.3,$Q212-3.24),0))))+0.4,IF($B212="高三",MIN(IF($E212="男",$Q212-3.2,$Q212-3.2),0),IF($B212="高二",MIN(IF($E212="男",$Q212-3.25,$Q212-3.22),0),IF($B212="高一",MIN(IF($E212="男",$Q212-3.3,$Q212-3.24),0))))),2)</f>
        <v>0</v>
      </c>
      <c r="T212" s="23">
        <f>IF(E212="男",LOOKUP($S212,[1]对照表!$AB$3:$AB$13,[1]对照表!$AC$3:$AC$13),LOOKUP($S212,[1]对照表!$AB$15:$AB$25,[1]对照表!$AC$15:$AC$25))</f>
        <v>0</v>
      </c>
      <c r="U212" s="26">
        <f>R212+T212</f>
        <v>95</v>
      </c>
      <c r="V212" s="26">
        <f>SUM(I212,K212,M212)/3*0.3+SUM(G212,R212)/2*0.4</f>
        <v>58.2</v>
      </c>
      <c r="W212" s="27">
        <f>O212+T212</f>
        <v>0</v>
      </c>
      <c r="X212" s="28">
        <f>V212/0.7+W212</f>
        <v>83.142857142857153</v>
      </c>
      <c r="Y212" s="28">
        <v>83.142857142857153</v>
      </c>
      <c r="Z212" s="21"/>
    </row>
    <row r="213" spans="1:26" x14ac:dyDescent="0.25">
      <c r="A213" s="16">
        <v>30</v>
      </c>
      <c r="B213" s="17" t="s">
        <v>21</v>
      </c>
      <c r="C213" s="16">
        <v>106</v>
      </c>
      <c r="D213" s="18" t="s">
        <v>259</v>
      </c>
      <c r="E213" s="31" t="s">
        <v>65</v>
      </c>
      <c r="F213" s="19">
        <v>8.52</v>
      </c>
      <c r="G213" s="32">
        <f>IF(B213="高三",IF($E213="男",LOOKUP(F213,[1]对照表!$G$3:$G$24,[1]对照表!$H$3:$H$24),LOOKUP(F213,[1]对照表!$G$27:$G$48,[1]对照表!$H$27:$H$48)),IF(B213="高二",IF($E213="男",LOOKUP(F213,[1]对照表!$F$3:$F$24,[1]对照表!$H$3:$H$24),LOOKUP(F213,[1]对照表!$F$27:$F$48,[1]对照表!$H$27:$H$48)),IF(B213="高一",IF($E213="男",LOOKUP(F213,[1]对照表!$E$3:$E$24,[1]对照表!$H$3:$H$24),LOOKUP(F213,[1]对照表!$E$27:$E$48,[1]对照表!$H$27:$H$48)))))</f>
        <v>80</v>
      </c>
      <c r="H213" s="21">
        <v>19.5</v>
      </c>
      <c r="I213" s="32">
        <f>IF(B213="高三",IF($E213="男",LOOKUP(H213,[1]对照表!$K$3:$K$24,[1]对照表!$L$3:$L$24),LOOKUP(H213,[1]对照表!$K$27:$K$48,[1]对照表!$L$27:$L$48)),IF(B213="高二",IF($E213="男",LOOKUP(H213,[1]对照表!$J$3:$J$24,[1]对照表!$L$3:$L$24),LOOKUP(H213,[1]对照表!$J$27:$J$48,[1]对照表!$L$27:$L$48)),IF(B213="高一",IF($E213="男",LOOKUP(H213,[1]对照表!$I$3:$I$24,[1]对照表!$L$3:$L$24),LOOKUP(H213,[1]对照表!$I$27:$I$48,[1]对照表!$L$27:$L$48)))))</f>
        <v>85</v>
      </c>
      <c r="J213" s="21">
        <v>181</v>
      </c>
      <c r="K213" s="32">
        <f>IF(B213="高三",IF($E213="男",LOOKUP(J213,[1]对照表!$O$3:$O$24,[1]对照表!$P$3:$P$24),LOOKUP(J213,[1]对照表!$O$27:$O$48,[1]对照表!$P$27:$P$48)),IF(B213="高二",IF($E213="男",LOOKUP(J213,[1]对照表!$N$3:$N$24,[1]对照表!$P$3:$P$24),LOOKUP(J213,[1]对照表!$N$27:$N$48,[1]对照表!$P$27:$P$48)),IF(B213="高一",IF($E213="男",LOOKUP(J213,[1]对照表!$M$3:$M$24,[1]对照表!$P$3:$P$24),LOOKUP(J213,[1]对照表!$M$27:$M$48,[1]对照表!$P$27:$P$48)))))</f>
        <v>80</v>
      </c>
      <c r="L213" s="21">
        <v>46</v>
      </c>
      <c r="M213" s="32">
        <f>IF(B213="高三",IF($E213="男",LOOKUP(L213,[1]对照表!$S$3:$S$24,[1]对照表!$T$3:$T$24),LOOKUP(L213,[1]对照表!$S$27:$S$48,[1]对照表!$T$27:$T$48)),IF(B213="高二",IF($E213="男",LOOKUP(L213,[1]对照表!$R$3:$R$24,[1]对照表!$T$3:$T$24),LOOKUP(L213,[1]对照表!$R$27:$R$48,[1]对照表!$T$27:$T$48)),IF(B213="高一",IF($E213="男",LOOKUP(L213,[1]对照表!$Q$3:$Q$24,[1]对照表!$T$3:$T$24),LOOKUP(L213,[1]对照表!$Q$27:$Q$48,[1]对照表!$T$27:$T$48)))))</f>
        <v>85</v>
      </c>
      <c r="N213" s="33">
        <f>IF(B213="高三",MAX(IF(E213="男",L213-18,L213-55),0),IF(B213="高二",MAX(IF(E213="男",L213-17,L213-54),0),IF(B213="高一",MAX(IF(E213="男",L213-16,L213-53),0))))</f>
        <v>0</v>
      </c>
      <c r="O213" s="23">
        <f>IF(E213="男",LOOKUP($N213,[1]对照表!$Z$3:$Z$13,[1]对照表!$AA$3:$AA$13),LOOKUP($N213,[1]对照表!$Z$15:$Z$25,[1]对照表!$AA$15:$AA$25))</f>
        <v>0</v>
      </c>
      <c r="P213" s="24">
        <f>M213+O213</f>
        <v>85</v>
      </c>
      <c r="Q213" s="25">
        <v>3.29</v>
      </c>
      <c r="R213" s="32">
        <f>IF(B213="高三",IF($E213="男",LOOKUP(Q213,[1]对照表!$W$3:$W$24,[1]对照表!$X$3:$X$24),LOOKUP(Q213,[1]对照表!$W$27:$W$48,[1]对照表!$X$27:$X$48)),IF(B213="高二",IF($E213="男",LOOKUP(Q213,[1]对照表!$V$3:$V$24,[1]对照表!$X$3:$X$24),LOOKUP(Q213,[1]对照表!$V$27:$V$48,[1]对照表!$X$27:$X$48)),IF(B213="高一",IF($E213="男",LOOKUP(Q213,[1]对照表!$U$3:$U$24,[1]对照表!$X$3:$X$24),LOOKUP(Q213,[1]对照表!$U$27:$U$48,[1]对照表!$X$27:$X$48)))))</f>
        <v>95</v>
      </c>
      <c r="S213" s="33">
        <f>ROUND(IF(IF($B213="高三",MIN(IF($E213="男",$Q213-3.2,$Q213-3.2),0),IF($B213="高二",MIN(IF($E213="男",$Q213-3.25,$Q213-3.22),0),IF($B213="高一",MIN(IF($E213="男",$Q213-3.3,$Q213-3.24),0))))&lt;-0.6,IF($B213="高三",MIN(IF($E213="男",$Q213-3.2,$Q213-3.2),0),IF($B213="高二",MIN(IF($E213="男",$Q213-3.25,$Q213-3.22),0),IF($B213="高一",MIN(IF($E213="男",$Q213-3.3,$Q213-3.24),0))))+0.4,IF($B213="高三",MIN(IF($E213="男",$Q213-3.2,$Q213-3.2),0),IF($B213="高二",MIN(IF($E213="男",$Q213-3.25,$Q213-3.22),0),IF($B213="高一",MIN(IF($E213="男",$Q213-3.3,$Q213-3.24),0))))),2)</f>
        <v>0</v>
      </c>
      <c r="T213" s="23">
        <f>IF(E213="男",LOOKUP($S213,[1]对照表!$AB$3:$AB$13,[1]对照表!$AC$3:$AC$13),LOOKUP($S213,[1]对照表!$AB$15:$AB$25,[1]对照表!$AC$15:$AC$25))</f>
        <v>0</v>
      </c>
      <c r="U213" s="26">
        <f>R213+T213</f>
        <v>95</v>
      </c>
      <c r="V213" s="26">
        <f>SUM(I213,K213,M213)/3*0.3+SUM(G213,R213)/2*0.4</f>
        <v>60</v>
      </c>
      <c r="W213" s="27">
        <f>O213+T213</f>
        <v>0</v>
      </c>
      <c r="X213" s="28">
        <f>V213/0.7+W213</f>
        <v>85.714285714285722</v>
      </c>
      <c r="Y213" s="28">
        <v>85.714285714285722</v>
      </c>
      <c r="Z213" s="21"/>
    </row>
    <row r="214" spans="1:26" x14ac:dyDescent="0.25">
      <c r="A214" s="16">
        <v>34</v>
      </c>
      <c r="B214" s="17" t="s">
        <v>21</v>
      </c>
      <c r="C214" s="16">
        <v>106</v>
      </c>
      <c r="D214" s="18" t="s">
        <v>260</v>
      </c>
      <c r="E214" s="17" t="s">
        <v>65</v>
      </c>
      <c r="F214" s="19">
        <v>8.81</v>
      </c>
      <c r="G214" s="32">
        <f>IF(B214="高三",IF($E214="男",LOOKUP(F214,[1]对照表!$G$3:$G$24,[1]对照表!$H$3:$H$24),LOOKUP(F214,[1]对照表!$G$27:$G$48,[1]对照表!$H$27:$H$48)),IF(B214="高二",IF($E214="男",LOOKUP(F214,[1]对照表!$F$3:$F$24,[1]对照表!$H$3:$H$24),LOOKUP(F214,[1]对照表!$F$27:$F$48,[1]对照表!$H$27:$H$48)),IF(B214="高一",IF($E214="男",LOOKUP(F214,[1]对照表!$E$3:$E$24,[1]对照表!$H$3:$H$24),LOOKUP(F214,[1]对照表!$E$27:$E$48,[1]对照表!$H$27:$H$48)))))</f>
        <v>76</v>
      </c>
      <c r="H214" s="21">
        <v>18.5</v>
      </c>
      <c r="I214" s="32">
        <f>IF(B214="高三",IF($E214="男",LOOKUP(H214,[1]对照表!$K$3:$K$24,[1]对照表!$L$3:$L$24),LOOKUP(H214,[1]对照表!$K$27:$K$48,[1]对照表!$L$27:$L$48)),IF(B214="高二",IF($E214="男",LOOKUP(H214,[1]对照表!$J$3:$J$24,[1]对照表!$L$3:$L$24),LOOKUP(H214,[1]对照表!$J$27:$J$48,[1]对照表!$L$27:$L$48)),IF(B214="高一",IF($E214="男",LOOKUP(H214,[1]对照表!$I$3:$I$24,[1]对照表!$L$3:$L$24),LOOKUP(H214,[1]对照表!$I$27:$I$48,[1]对照表!$L$27:$L$48)))))</f>
        <v>80</v>
      </c>
      <c r="J214" s="21">
        <v>170</v>
      </c>
      <c r="K214" s="32">
        <f>IF(B214="高三",IF($E214="男",LOOKUP(J214,[1]对照表!$O$3:$O$24,[1]对照表!$P$3:$P$24),LOOKUP(J214,[1]对照表!$O$27:$O$48,[1]对照表!$P$27:$P$48)),IF(B214="高二",IF($E214="男",LOOKUP(J214,[1]对照表!$N$3:$N$24,[1]对照表!$P$3:$P$24),LOOKUP(J214,[1]对照表!$N$27:$N$48,[1]对照表!$P$27:$P$48)),IF(B214="高一",IF($E214="男",LOOKUP(J214,[1]对照表!$M$3:$M$24,[1]对照表!$P$3:$P$24),LOOKUP(J214,[1]对照表!$M$27:$M$48,[1]对照表!$P$27:$P$48)))))</f>
        <v>74</v>
      </c>
      <c r="L214" s="21">
        <v>50</v>
      </c>
      <c r="M214" s="32">
        <f>IF(B214="高三",IF($E214="男",LOOKUP(L214,[1]对照表!$S$3:$S$24,[1]对照表!$T$3:$T$24),LOOKUP(L214,[1]对照表!$S$27:$S$48,[1]对照表!$T$27:$T$48)),IF(B214="高二",IF($E214="男",LOOKUP(L214,[1]对照表!$R$3:$R$24,[1]对照表!$T$3:$T$24),LOOKUP(L214,[1]对照表!$R$27:$R$48,[1]对照表!$T$27:$T$48)),IF(B214="高一",IF($E214="男",LOOKUP(L214,[1]对照表!$Q$3:$Q$24,[1]对照表!$T$3:$T$24),LOOKUP(L214,[1]对照表!$Q$27:$Q$48,[1]对照表!$T$27:$T$48)))))</f>
        <v>90</v>
      </c>
      <c r="N214" s="33">
        <f>IF(B214="高三",MAX(IF(E214="男",L214-18,L214-55),0),IF(B214="高二",MAX(IF(E214="男",L214-17,L214-54),0),IF(B214="高一",MAX(IF(E214="男",L214-16,L214-53),0))))</f>
        <v>0</v>
      </c>
      <c r="O214" s="23">
        <f>IF(E214="男",LOOKUP($N214,[1]对照表!$Z$3:$Z$13,[1]对照表!$AA$3:$AA$13),LOOKUP($N214,[1]对照表!$Z$15:$Z$25,[1]对照表!$AA$15:$AA$25))</f>
        <v>0</v>
      </c>
      <c r="P214" s="24">
        <f>M214+O214</f>
        <v>90</v>
      </c>
      <c r="Q214" s="25">
        <v>3.29</v>
      </c>
      <c r="R214" s="32">
        <f>IF(B214="高三",IF($E214="男",LOOKUP(Q214,[1]对照表!$W$3:$W$24,[1]对照表!$X$3:$X$24),LOOKUP(Q214,[1]对照表!$W$27:$W$48,[1]对照表!$X$27:$X$48)),IF(B214="高二",IF($E214="男",LOOKUP(Q214,[1]对照表!$V$3:$V$24,[1]对照表!$X$3:$X$24),LOOKUP(Q214,[1]对照表!$V$27:$V$48,[1]对照表!$X$27:$X$48)),IF(B214="高一",IF($E214="男",LOOKUP(Q214,[1]对照表!$U$3:$U$24,[1]对照表!$X$3:$X$24),LOOKUP(Q214,[1]对照表!$U$27:$U$48,[1]对照表!$X$27:$X$48)))))</f>
        <v>95</v>
      </c>
      <c r="S214" s="33">
        <f>ROUND(IF(IF($B214="高三",MIN(IF($E214="男",$Q214-3.2,$Q214-3.2),0),IF($B214="高二",MIN(IF($E214="男",$Q214-3.25,$Q214-3.22),0),IF($B214="高一",MIN(IF($E214="男",$Q214-3.3,$Q214-3.24),0))))&lt;-0.6,IF($B214="高三",MIN(IF($E214="男",$Q214-3.2,$Q214-3.2),0),IF($B214="高二",MIN(IF($E214="男",$Q214-3.25,$Q214-3.22),0),IF($B214="高一",MIN(IF($E214="男",$Q214-3.3,$Q214-3.24),0))))+0.4,IF($B214="高三",MIN(IF($E214="男",$Q214-3.2,$Q214-3.2),0),IF($B214="高二",MIN(IF($E214="男",$Q214-3.25,$Q214-3.22),0),IF($B214="高一",MIN(IF($E214="男",$Q214-3.3,$Q214-3.24),0))))),2)</f>
        <v>0</v>
      </c>
      <c r="T214" s="23">
        <f>IF(E214="男",LOOKUP($S214,[1]对照表!$AB$3:$AB$13,[1]对照表!$AC$3:$AC$13),LOOKUP($S214,[1]对照表!$AB$15:$AB$25,[1]对照表!$AC$15:$AC$25))</f>
        <v>0</v>
      </c>
      <c r="U214" s="26">
        <f>R214+T214</f>
        <v>95</v>
      </c>
      <c r="V214" s="26">
        <f>SUM(I214,K214,M214)/3*0.3+SUM(G214,R214)/2*0.4</f>
        <v>58.6</v>
      </c>
      <c r="W214" s="27">
        <f>O214+T214</f>
        <v>0</v>
      </c>
      <c r="X214" s="28">
        <f>V214/0.7+W214</f>
        <v>83.714285714285722</v>
      </c>
      <c r="Y214" s="28">
        <v>83.714285714285722</v>
      </c>
      <c r="Z214" s="21"/>
    </row>
    <row r="215" spans="1:26" x14ac:dyDescent="0.25">
      <c r="A215" s="16">
        <v>31</v>
      </c>
      <c r="B215" s="17" t="s">
        <v>21</v>
      </c>
      <c r="C215" s="16">
        <v>106</v>
      </c>
      <c r="D215" s="18" t="s">
        <v>268</v>
      </c>
      <c r="E215" s="17" t="s">
        <v>65</v>
      </c>
      <c r="F215" s="19">
        <v>8.6999999999999993</v>
      </c>
      <c r="G215" s="32">
        <f>IF(B215="高三",IF($E215="男",LOOKUP(F215,[1]对照表!$G$3:$G$24,[1]对照表!$H$3:$H$24),LOOKUP(F215,[1]对照表!$G$27:$G$48,[1]对照表!$H$27:$H$48)),IF(B215="高二",IF($E215="男",LOOKUP(F215,[1]对照表!$F$3:$F$24,[1]对照表!$H$3:$H$24),LOOKUP(F215,[1]对照表!$F$27:$F$48,[1]对照表!$H$27:$H$48)),IF(B215="高一",IF($E215="男",LOOKUP(F215,[1]对照表!$E$3:$E$24,[1]对照表!$H$3:$H$24),LOOKUP(F215,[1]对照表!$E$27:$E$48,[1]对照表!$H$27:$H$48)))))</f>
        <v>78</v>
      </c>
      <c r="H215" s="21">
        <v>22</v>
      </c>
      <c r="I215" s="32">
        <f>IF(B215="高三",IF($E215="男",LOOKUP(H215,[1]对照表!$K$3:$K$24,[1]对照表!$L$3:$L$24),LOOKUP(H215,[1]对照表!$K$27:$K$48,[1]对照表!$L$27:$L$48)),IF(B215="高二",IF($E215="男",LOOKUP(H215,[1]对照表!$J$3:$J$24,[1]对照表!$L$3:$L$24),LOOKUP(H215,[1]对照表!$J$27:$J$48,[1]对照表!$L$27:$L$48)),IF(B215="高一",IF($E215="男",LOOKUP(H215,[1]对照表!$I$3:$I$24,[1]对照表!$L$3:$L$24),LOOKUP(H215,[1]对照表!$I$27:$I$48,[1]对照表!$L$27:$L$48)))))</f>
        <v>90</v>
      </c>
      <c r="J215" s="21">
        <v>170</v>
      </c>
      <c r="K215" s="32">
        <f>IF(B215="高三",IF($E215="男",LOOKUP(J215,[1]对照表!$O$3:$O$24,[1]对照表!$P$3:$P$24),LOOKUP(J215,[1]对照表!$O$27:$O$48,[1]对照表!$P$27:$P$48)),IF(B215="高二",IF($E215="男",LOOKUP(J215,[1]对照表!$N$3:$N$24,[1]对照表!$P$3:$P$24),LOOKUP(J215,[1]对照表!$N$27:$N$48,[1]对照表!$P$27:$P$48)),IF(B215="高一",IF($E215="男",LOOKUP(J215,[1]对照表!$M$3:$M$24,[1]对照表!$P$3:$P$24),LOOKUP(J215,[1]对照表!$M$27:$M$48,[1]对照表!$P$27:$P$48)))))</f>
        <v>74</v>
      </c>
      <c r="L215" s="21"/>
      <c r="M215" s="20">
        <v>0</v>
      </c>
      <c r="N215" s="33">
        <f>IF(B215="高三",MAX(IF(E215="男",L215-18,L215-55),0),IF(B215="高二",MAX(IF(E215="男",L215-17,L215-54),0),IF(B215="高一",MAX(IF(E215="男",L215-16,L215-53),0))))</f>
        <v>0</v>
      </c>
      <c r="O215" s="23">
        <f>IF(E215="男",LOOKUP($N215,[1]对照表!$Z$3:$Z$13,[1]对照表!$AA$3:$AA$13),LOOKUP($N215,[1]对照表!$Z$15:$Z$25,[1]对照表!$AA$15:$AA$25))</f>
        <v>0</v>
      </c>
      <c r="P215" s="24">
        <f>M215+O215</f>
        <v>0</v>
      </c>
      <c r="Q215" s="25">
        <v>3.3</v>
      </c>
      <c r="R215" s="32">
        <f>IF(B215="高三",IF($E215="男",LOOKUP(Q215,[1]对照表!$W$3:$W$24,[1]对照表!$X$3:$X$24),LOOKUP(Q215,[1]对照表!$W$27:$W$48,[1]对照表!$X$27:$X$48)),IF(B215="高二",IF($E215="男",LOOKUP(Q215,[1]对照表!$V$3:$V$24,[1]对照表!$X$3:$X$24),LOOKUP(Q215,[1]对照表!$V$27:$V$48,[1]对照表!$X$27:$X$48)),IF(B215="高一",IF($E215="男",LOOKUP(Q215,[1]对照表!$U$3:$U$24,[1]对照表!$X$3:$X$24),LOOKUP(Q215,[1]对照表!$U$27:$U$48,[1]对照表!$X$27:$X$48)))))</f>
        <v>95</v>
      </c>
      <c r="S215" s="33">
        <f>ROUND(IF(IF($B215="高三",MIN(IF($E215="男",$Q215-3.2,$Q215-3.2),0),IF($B215="高二",MIN(IF($E215="男",$Q215-3.25,$Q215-3.22),0),IF($B215="高一",MIN(IF($E215="男",$Q215-3.3,$Q215-3.24),0))))&lt;-0.6,IF($B215="高三",MIN(IF($E215="男",$Q215-3.2,$Q215-3.2),0),IF($B215="高二",MIN(IF($E215="男",$Q215-3.25,$Q215-3.22),0),IF($B215="高一",MIN(IF($E215="男",$Q215-3.3,$Q215-3.24),0))))+0.4,IF($B215="高三",MIN(IF($E215="男",$Q215-3.2,$Q215-3.2),0),IF($B215="高二",MIN(IF($E215="男",$Q215-3.25,$Q215-3.22),0),IF($B215="高一",MIN(IF($E215="男",$Q215-3.3,$Q215-3.24),0))))),2)</f>
        <v>0</v>
      </c>
      <c r="T215" s="23">
        <f>IF(E215="男",LOOKUP($S215,[1]对照表!$AB$3:$AB$13,[1]对照表!$AC$3:$AC$13),LOOKUP($S215,[1]对照表!$AB$15:$AB$25,[1]对照表!$AC$15:$AC$25))</f>
        <v>0</v>
      </c>
      <c r="U215" s="26">
        <f>R215+T215</f>
        <v>95</v>
      </c>
      <c r="V215" s="26">
        <f>SUM(I215,K215,M215)/3*0.3+SUM(G215,R215)/2*0.4</f>
        <v>51</v>
      </c>
      <c r="W215" s="27">
        <f>O215+T215</f>
        <v>0</v>
      </c>
      <c r="X215" s="28">
        <f>V215/0.7+W215</f>
        <v>72.857142857142861</v>
      </c>
      <c r="Y215" s="28">
        <v>72.857142857142861</v>
      </c>
      <c r="Z215" s="21"/>
    </row>
    <row r="216" spans="1:26" x14ac:dyDescent="0.25">
      <c r="A216" s="16">
        <v>6</v>
      </c>
      <c r="B216" s="17" t="s">
        <v>21</v>
      </c>
      <c r="C216" s="16">
        <v>106</v>
      </c>
      <c r="D216" s="18" t="s">
        <v>291</v>
      </c>
      <c r="E216" s="17" t="s">
        <v>23</v>
      </c>
      <c r="F216" s="19">
        <v>7.7</v>
      </c>
      <c r="G216" s="32">
        <f>IF(B216="高三",IF($E216="男",LOOKUP(F216,[1]对照表!$G$3:$G$24,[1]对照表!$H$3:$H$24),LOOKUP(F216,[1]对照表!$G$27:$G$48,[1]对照表!$H$27:$H$48)),IF(B216="高二",IF($E216="男",LOOKUP(F216,[1]对照表!$F$3:$F$24,[1]对照表!$H$3:$H$24),LOOKUP(F216,[1]对照表!$F$27:$F$48,[1]对照表!$H$27:$H$48)),IF(B216="高一",IF($E216="男",LOOKUP(F216,[1]对照表!$E$3:$E$24,[1]对照表!$H$3:$H$24),LOOKUP(F216,[1]对照表!$E$27:$E$48,[1]对照表!$H$27:$H$48)))))</f>
        <v>78</v>
      </c>
      <c r="H216" s="21">
        <v>21</v>
      </c>
      <c r="I216" s="32">
        <f>IF(B216="高三",IF($E216="男",LOOKUP(H216,[1]对照表!$K$3:$K$24,[1]对照表!$L$3:$L$24),LOOKUP(H216,[1]对照表!$K$27:$K$48,[1]对照表!$L$27:$L$48)),IF(B216="高二",IF($E216="男",LOOKUP(H216,[1]对照表!$J$3:$J$24,[1]对照表!$L$3:$L$24),LOOKUP(H216,[1]对照表!$J$27:$J$48,[1]对照表!$L$27:$L$48)),IF(B216="高一",IF($E216="男",LOOKUP(H216,[1]对照表!$I$3:$I$24,[1]对照表!$L$3:$L$24),LOOKUP(H216,[1]对照表!$I$27:$I$48,[1]对照表!$L$27:$L$48)))))</f>
        <v>90</v>
      </c>
      <c r="J216" s="21">
        <v>238</v>
      </c>
      <c r="K216" s="32">
        <f>IF(B216="高三",IF($E216="男",LOOKUP(J216,[1]对照表!$O$3:$O$24,[1]对照表!$P$3:$P$24),LOOKUP(J216,[1]对照表!$O$27:$O$48,[1]对照表!$P$27:$P$48)),IF(B216="高二",IF($E216="男",LOOKUP(J216,[1]对照表!$N$3:$N$24,[1]对照表!$P$3:$P$24),LOOKUP(J216,[1]对照表!$N$27:$N$48,[1]对照表!$P$27:$P$48)),IF(B216="高一",IF($E216="男",LOOKUP(J216,[1]对照表!$M$3:$M$24,[1]对照表!$P$3:$P$24),LOOKUP(J216,[1]对照表!$M$27:$M$48,[1]对照表!$P$27:$P$48)))))</f>
        <v>80</v>
      </c>
      <c r="L216" s="21">
        <v>16</v>
      </c>
      <c r="M216" s="32">
        <f>IF(B216="高三",IF($E216="男",LOOKUP(L216,[1]对照表!$S$3:$S$24,[1]对照表!$T$3:$T$24),LOOKUP(L216,[1]对照表!$S$27:$S$48,[1]对照表!$T$27:$T$48)),IF(B216="高二",IF($E216="男",LOOKUP(L216,[1]对照表!$R$3:$R$24,[1]对照表!$T$3:$T$24),LOOKUP(L216,[1]对照表!$R$27:$R$48,[1]对照表!$T$27:$T$48)),IF(B216="高一",IF($E216="男",LOOKUP(L216,[1]对照表!$Q$3:$Q$24,[1]对照表!$T$3:$T$24),LOOKUP(L216,[1]对照表!$Q$27:$Q$48,[1]对照表!$T$27:$T$48)))))</f>
        <v>100</v>
      </c>
      <c r="N216" s="33">
        <f>IF(B216="高三",MAX(IF(E216="男",L216-18,L216-55),0),IF(B216="高二",MAX(IF(E216="男",L216-17,L216-54),0),IF(B216="高一",MAX(IF(E216="男",L216-16,L216-53),0))))</f>
        <v>0</v>
      </c>
      <c r="O216" s="23">
        <f>IF(E216="男",LOOKUP($N216,[1]对照表!$Z$3:$Z$13,[1]对照表!$AA$3:$AA$13),LOOKUP($N216,[1]对照表!$Z$15:$Z$25,[1]对照表!$AA$15:$AA$25))</f>
        <v>0</v>
      </c>
      <c r="P216" s="24">
        <f>M216+O216</f>
        <v>100</v>
      </c>
      <c r="Q216" s="25">
        <v>3.45</v>
      </c>
      <c r="R216" s="32">
        <f>IF(B216="高三",IF($E216="男",LOOKUP(Q216,[1]对照表!$W$3:$W$24,[1]对照表!$X$3:$X$24),LOOKUP(Q216,[1]对照表!$W$27:$W$48,[1]对照表!$X$27:$X$48)),IF(B216="高二",IF($E216="男",LOOKUP(Q216,[1]对照表!$V$3:$V$24,[1]对照表!$X$3:$X$24),LOOKUP(Q216,[1]对照表!$V$27:$V$48,[1]对照表!$X$27:$X$48)),IF(B216="高一",IF($E216="男",LOOKUP(Q216,[1]对照表!$U$3:$U$24,[1]对照表!$X$3:$X$24),LOOKUP(Q216,[1]对照表!$U$27:$U$48,[1]对照表!$X$27:$X$48)))))</f>
        <v>85</v>
      </c>
      <c r="S216" s="33">
        <f>ROUND(IF(IF($B216="高三",MIN(IF($E216="男",$Q216-3.2,$Q216-3.2),0),IF($B216="高二",MIN(IF($E216="男",$Q216-3.25,$Q216-3.22),0),IF($B216="高一",MIN(IF($E216="男",$Q216-3.3,$Q216-3.24),0))))&lt;-0.6,IF($B216="高三",MIN(IF($E216="男",$Q216-3.2,$Q216-3.2),0),IF($B216="高二",MIN(IF($E216="男",$Q216-3.25,$Q216-3.22),0),IF($B216="高一",MIN(IF($E216="男",$Q216-3.3,$Q216-3.24),0))))+0.4,IF($B216="高三",MIN(IF($E216="男",$Q216-3.2,$Q216-3.2),0),IF($B216="高二",MIN(IF($E216="男",$Q216-3.25,$Q216-3.22),0),IF($B216="高一",MIN(IF($E216="男",$Q216-3.3,$Q216-3.24),0))))),2)</f>
        <v>0</v>
      </c>
      <c r="T216" s="23">
        <f>IF(E216="男",LOOKUP($S216,[1]对照表!$AB$3:$AB$13,[1]对照表!$AC$3:$AC$13),LOOKUP($S216,[1]对照表!$AB$15:$AB$25,[1]对照表!$AC$15:$AC$25))</f>
        <v>0</v>
      </c>
      <c r="U216" s="26">
        <f>R216+T216</f>
        <v>85</v>
      </c>
      <c r="V216" s="26">
        <f>SUM(I216,K216,M216)/3*0.3+SUM(G216,R216)/2*0.4</f>
        <v>59.6</v>
      </c>
      <c r="W216" s="27">
        <f>O216+T216</f>
        <v>0</v>
      </c>
      <c r="X216" s="28">
        <f>V216/0.7+W216</f>
        <v>85.142857142857153</v>
      </c>
      <c r="Y216" s="28">
        <v>85.142857142857153</v>
      </c>
      <c r="Z216" s="21"/>
    </row>
    <row r="217" spans="1:26" x14ac:dyDescent="0.25">
      <c r="A217" s="16">
        <v>9</v>
      </c>
      <c r="B217" s="17" t="s">
        <v>21</v>
      </c>
      <c r="C217" s="16">
        <v>106</v>
      </c>
      <c r="D217" s="18" t="s">
        <v>317</v>
      </c>
      <c r="E217" s="17" t="s">
        <v>23</v>
      </c>
      <c r="F217" s="19">
        <v>7.4</v>
      </c>
      <c r="G217" s="32">
        <f>IF(B217="高三",IF($E217="男",LOOKUP(F217,[1]对照表!$G$3:$G$24,[1]对照表!$H$3:$H$24),LOOKUP(F217,[1]对照表!$G$27:$G$48,[1]对照表!$H$27:$H$48)),IF(B217="高二",IF($E217="男",LOOKUP(F217,[1]对照表!$F$3:$F$24,[1]对照表!$H$3:$H$24),LOOKUP(F217,[1]对照表!$F$27:$F$48,[1]对照表!$H$27:$H$48)),IF(B217="高一",IF($E217="男",LOOKUP(F217,[1]对照表!$E$3:$E$24,[1]对照表!$H$3:$H$24),LOOKUP(F217,[1]对照表!$E$27:$E$48,[1]对照表!$H$27:$H$48)))))</f>
        <v>85</v>
      </c>
      <c r="H217" s="21">
        <v>14.6</v>
      </c>
      <c r="I217" s="32">
        <f>IF(B217="高三",IF($E217="男",LOOKUP(H217,[1]对照表!$K$3:$K$24,[1]对照表!$L$3:$L$24),LOOKUP(H217,[1]对照表!$K$27:$K$48,[1]对照表!$L$27:$L$48)),IF(B217="高二",IF($E217="男",LOOKUP(H217,[1]对照表!$J$3:$J$24,[1]对照表!$L$3:$L$24),LOOKUP(H217,[1]对照表!$J$27:$J$48,[1]对照表!$L$27:$L$48)),IF(B217="高一",IF($E217="男",LOOKUP(H217,[1]对照表!$I$3:$I$24,[1]对照表!$L$3:$L$24),LOOKUP(H217,[1]对照表!$I$27:$I$48,[1]对照表!$L$27:$L$48)))))</f>
        <v>78</v>
      </c>
      <c r="J217" s="21">
        <v>235</v>
      </c>
      <c r="K217" s="32">
        <f>IF(B217="高三",IF($E217="男",LOOKUP(J217,[1]对照表!$O$3:$O$24,[1]对照表!$P$3:$P$24),LOOKUP(J217,[1]对照表!$O$27:$O$48,[1]对照表!$P$27:$P$48)),IF(B217="高二",IF($E217="男",LOOKUP(J217,[1]对照表!$N$3:$N$24,[1]对照表!$P$3:$P$24),LOOKUP(J217,[1]对照表!$N$27:$N$48,[1]对照表!$P$27:$P$48)),IF(B217="高一",IF($E217="男",LOOKUP(J217,[1]对照表!$M$3:$M$24,[1]对照表!$P$3:$P$24),LOOKUP(J217,[1]对照表!$M$27:$M$48,[1]对照表!$P$27:$P$48)))))</f>
        <v>80</v>
      </c>
      <c r="L217" s="21">
        <v>15</v>
      </c>
      <c r="M217" s="32">
        <f>IF(B217="高三",IF($E217="男",LOOKUP(L217,[1]对照表!$S$3:$S$24,[1]对照表!$T$3:$T$24),LOOKUP(L217,[1]对照表!$S$27:$S$48,[1]对照表!$T$27:$T$48)),IF(B217="高二",IF($E217="男",LOOKUP(L217,[1]对照表!$R$3:$R$24,[1]对照表!$T$3:$T$24),LOOKUP(L217,[1]对照表!$R$27:$R$48,[1]对照表!$T$27:$T$48)),IF(B217="高一",IF($E217="男",LOOKUP(L217,[1]对照表!$Q$3:$Q$24,[1]对照表!$T$3:$T$24),LOOKUP(L217,[1]对照表!$Q$27:$Q$48,[1]对照表!$T$27:$T$48)))))</f>
        <v>95</v>
      </c>
      <c r="N217" s="33">
        <f>IF(B217="高三",MAX(IF(E217="男",L217-18,L217-55),0),IF(B217="高二",MAX(IF(E217="男",L217-17,L217-54),0),IF(B217="高一",MAX(IF(E217="男",L217-16,L217-53),0))))</f>
        <v>0</v>
      </c>
      <c r="O217" s="23">
        <f>IF(E217="男",LOOKUP($N217,[1]对照表!$Z$3:$Z$13,[1]对照表!$AA$3:$AA$13),LOOKUP($N217,[1]对照表!$Z$15:$Z$25,[1]对照表!$AA$15:$AA$25))</f>
        <v>0</v>
      </c>
      <c r="P217" s="24">
        <f>M217+O217</f>
        <v>95</v>
      </c>
      <c r="Q217" s="25">
        <v>3.54</v>
      </c>
      <c r="R217" s="32">
        <f>IF(B217="高三",IF($E217="男",LOOKUP(Q217,[1]对照表!$W$3:$W$24,[1]对照表!$X$3:$X$24),LOOKUP(Q217,[1]对照表!$W$27:$W$48,[1]对照表!$X$27:$X$48)),IF(B217="高二",IF($E217="男",LOOKUP(Q217,[1]对照表!$V$3:$V$24,[1]对照表!$X$3:$X$24),LOOKUP(Q217,[1]对照表!$V$27:$V$48,[1]对照表!$X$27:$X$48)),IF(B217="高一",IF($E217="男",LOOKUP(Q217,[1]对照表!$U$3:$U$24,[1]对照表!$X$3:$X$24),LOOKUP(Q217,[1]对照表!$U$27:$U$48,[1]对照表!$X$27:$X$48)))))</f>
        <v>80</v>
      </c>
      <c r="S217" s="33">
        <f>ROUND(IF(IF($B217="高三",MIN(IF($E217="男",$Q217-3.2,$Q217-3.2),0),IF($B217="高二",MIN(IF($E217="男",$Q217-3.25,$Q217-3.22),0),IF($B217="高一",MIN(IF($E217="男",$Q217-3.3,$Q217-3.24),0))))&lt;-0.6,IF($B217="高三",MIN(IF($E217="男",$Q217-3.2,$Q217-3.2),0),IF($B217="高二",MIN(IF($E217="男",$Q217-3.25,$Q217-3.22),0),IF($B217="高一",MIN(IF($E217="男",$Q217-3.3,$Q217-3.24),0))))+0.4,IF($B217="高三",MIN(IF($E217="男",$Q217-3.2,$Q217-3.2),0),IF($B217="高二",MIN(IF($E217="男",$Q217-3.25,$Q217-3.22),0),IF($B217="高一",MIN(IF($E217="男",$Q217-3.3,$Q217-3.24),0))))),2)</f>
        <v>0</v>
      </c>
      <c r="T217" s="23">
        <f>IF(E217="男",LOOKUP($S217,[1]对照表!$AB$3:$AB$13,[1]对照表!$AC$3:$AC$13),LOOKUP($S217,[1]对照表!$AB$15:$AB$25,[1]对照表!$AC$15:$AC$25))</f>
        <v>0</v>
      </c>
      <c r="U217" s="26">
        <f>R217+T217</f>
        <v>80</v>
      </c>
      <c r="V217" s="26">
        <f>SUM(I217,K217,M217)/3*0.3+SUM(G217,R217)/2*0.4</f>
        <v>58.3</v>
      </c>
      <c r="W217" s="27">
        <f>O217+T217</f>
        <v>0</v>
      </c>
      <c r="X217" s="28">
        <f>V217/0.7+W217</f>
        <v>83.285714285714292</v>
      </c>
      <c r="Y217" s="28">
        <v>83.285714285714292</v>
      </c>
      <c r="Z217" s="21"/>
    </row>
    <row r="218" spans="1:26" x14ac:dyDescent="0.25">
      <c r="A218" s="16">
        <v>21</v>
      </c>
      <c r="B218" s="17" t="s">
        <v>21</v>
      </c>
      <c r="C218" s="16">
        <v>106</v>
      </c>
      <c r="D218" s="18" t="s">
        <v>353</v>
      </c>
      <c r="E218" s="17" t="s">
        <v>65</v>
      </c>
      <c r="F218" s="19">
        <v>8.64</v>
      </c>
      <c r="G218" s="32">
        <f>IF(B218="高三",IF($E218="男",LOOKUP(F218,[1]对照表!$G$3:$G$24,[1]对照表!$H$3:$H$24),LOOKUP(F218,[1]对照表!$G$27:$G$48,[1]对照表!$H$27:$H$48)),IF(B218="高二",IF($E218="男",LOOKUP(F218,[1]对照表!$F$3:$F$24,[1]对照表!$H$3:$H$24),LOOKUP(F218,[1]对照表!$F$27:$F$48,[1]对照表!$H$27:$H$48)),IF(B218="高一",IF($E218="男",LOOKUP(F218,[1]对照表!$E$3:$E$24,[1]对照表!$H$3:$H$24),LOOKUP(F218,[1]对照表!$E$27:$E$48,[1]对照表!$H$27:$H$48)))))</f>
        <v>78</v>
      </c>
      <c r="H218" s="21">
        <v>24.5</v>
      </c>
      <c r="I218" s="32">
        <f>IF(B218="高三",IF($E218="男",LOOKUP(H218,[1]对照表!$K$3:$K$24,[1]对照表!$L$3:$L$24),LOOKUP(H218,[1]对照表!$K$27:$K$48,[1]对照表!$L$27:$L$48)),IF(B218="高二",IF($E218="男",LOOKUP(H218,[1]对照表!$J$3:$J$24,[1]对照表!$L$3:$L$24),LOOKUP(H218,[1]对照表!$J$27:$J$48,[1]对照表!$L$27:$L$48)),IF(B218="高一",IF($E218="男",LOOKUP(H218,[1]对照表!$I$3:$I$24,[1]对照表!$L$3:$L$24),LOOKUP(H218,[1]对照表!$I$27:$I$48,[1]对照表!$L$27:$L$48)))))</f>
        <v>100</v>
      </c>
      <c r="J218" s="21">
        <v>173</v>
      </c>
      <c r="K218" s="32">
        <f>IF(B218="高三",IF($E218="男",LOOKUP(J218,[1]对照表!$O$3:$O$24,[1]对照表!$P$3:$P$24),LOOKUP(J218,[1]对照表!$O$27:$O$48,[1]对照表!$P$27:$P$48)),IF(B218="高二",IF($E218="男",LOOKUP(J218,[1]对照表!$N$3:$N$24,[1]对照表!$P$3:$P$24),LOOKUP(J218,[1]对照表!$N$27:$N$48,[1]对照表!$P$27:$P$48)),IF(B218="高一",IF($E218="男",LOOKUP(J218,[1]对照表!$M$3:$M$24,[1]对照表!$P$3:$P$24),LOOKUP(J218,[1]对照表!$M$27:$M$48,[1]对照表!$P$27:$P$48)))))</f>
        <v>76</v>
      </c>
      <c r="L218" s="21">
        <v>42</v>
      </c>
      <c r="M218" s="32">
        <f>IF(B218="高三",IF($E218="男",LOOKUP(L218,[1]对照表!$S$3:$S$24,[1]对照表!$T$3:$T$24),LOOKUP(L218,[1]对照表!$S$27:$S$48,[1]对照表!$T$27:$T$48)),IF(B218="高二",IF($E218="男",LOOKUP(L218,[1]对照表!$R$3:$R$24,[1]对照表!$T$3:$T$24),LOOKUP(L218,[1]对照表!$R$27:$R$48,[1]对照表!$T$27:$T$48)),IF(B218="高一",IF($E218="男",LOOKUP(L218,[1]对照表!$Q$3:$Q$24,[1]对照表!$T$3:$T$24),LOOKUP(L218,[1]对照表!$Q$27:$Q$48,[1]对照表!$T$27:$T$48)))))</f>
        <v>78</v>
      </c>
      <c r="N218" s="33">
        <f>IF(B218="高三",MAX(IF(E218="男",L218-18,L218-55),0),IF(B218="高二",MAX(IF(E218="男",L218-17,L218-54),0),IF(B218="高一",MAX(IF(E218="男",L218-16,L218-53),0))))</f>
        <v>0</v>
      </c>
      <c r="O218" s="23">
        <f>IF(E218="男",LOOKUP($N218,[1]对照表!$Z$3:$Z$13,[1]对照表!$AA$3:$AA$13),LOOKUP($N218,[1]对照表!$Z$15:$Z$25,[1]对照表!$AA$15:$AA$25))</f>
        <v>0</v>
      </c>
      <c r="P218" s="24">
        <f>M218+O218</f>
        <v>78</v>
      </c>
      <c r="Q218" s="25">
        <v>3.35</v>
      </c>
      <c r="R218" s="32">
        <f>IF(B218="高三",IF($E218="男",LOOKUP(Q218,[1]对照表!$W$3:$W$24,[1]对照表!$X$3:$X$24),LOOKUP(Q218,[1]对照表!$W$27:$W$48,[1]对照表!$X$27:$X$48)),IF(B218="高二",IF($E218="男",LOOKUP(Q218,[1]对照表!$V$3:$V$24,[1]对照表!$X$3:$X$24),LOOKUP(Q218,[1]对照表!$V$27:$V$48,[1]对照表!$X$27:$X$48)),IF(B218="高一",IF($E218="男",LOOKUP(Q218,[1]对照表!$U$3:$U$24,[1]对照表!$X$3:$X$24),LOOKUP(Q218,[1]对照表!$U$27:$U$48,[1]对照表!$X$27:$X$48)))))</f>
        <v>90</v>
      </c>
      <c r="S218" s="33">
        <f>ROUND(IF(IF($B218="高三",MIN(IF($E218="男",$Q218-3.2,$Q218-3.2),0),IF($B218="高二",MIN(IF($E218="男",$Q218-3.25,$Q218-3.22),0),IF($B218="高一",MIN(IF($E218="男",$Q218-3.3,$Q218-3.24),0))))&lt;-0.6,IF($B218="高三",MIN(IF($E218="男",$Q218-3.2,$Q218-3.2),0),IF($B218="高二",MIN(IF($E218="男",$Q218-3.25,$Q218-3.22),0),IF($B218="高一",MIN(IF($E218="男",$Q218-3.3,$Q218-3.24),0))))+0.4,IF($B218="高三",MIN(IF($E218="男",$Q218-3.2,$Q218-3.2),0),IF($B218="高二",MIN(IF($E218="男",$Q218-3.25,$Q218-3.22),0),IF($B218="高一",MIN(IF($E218="男",$Q218-3.3,$Q218-3.24),0))))),2)</f>
        <v>0</v>
      </c>
      <c r="T218" s="23">
        <f>IF(E218="男",LOOKUP($S218,[1]对照表!$AB$3:$AB$13,[1]对照表!$AC$3:$AC$13),LOOKUP($S218,[1]对照表!$AB$15:$AB$25,[1]对照表!$AC$15:$AC$25))</f>
        <v>0</v>
      </c>
      <c r="U218" s="26">
        <f>R218+T218</f>
        <v>90</v>
      </c>
      <c r="V218" s="26">
        <f>SUM(I218,K218,M218)/3*0.3+SUM(G218,R218)/2*0.4</f>
        <v>59</v>
      </c>
      <c r="W218" s="27">
        <f>O218+T218</f>
        <v>0</v>
      </c>
      <c r="X218" s="28">
        <f>V218/0.7+W218</f>
        <v>84.285714285714292</v>
      </c>
      <c r="Y218" s="28">
        <v>84.285714285714292</v>
      </c>
      <c r="Z218" s="21"/>
    </row>
    <row r="219" spans="1:26" x14ac:dyDescent="0.25">
      <c r="A219" s="16">
        <v>17</v>
      </c>
      <c r="B219" s="17" t="s">
        <v>21</v>
      </c>
      <c r="C219" s="16">
        <v>106</v>
      </c>
      <c r="D219" s="18" t="s">
        <v>357</v>
      </c>
      <c r="E219" s="17" t="s">
        <v>65</v>
      </c>
      <c r="F219" s="19">
        <v>8.8800000000000008</v>
      </c>
      <c r="G219" s="32">
        <f>IF(B219="高三",IF($E219="男",LOOKUP(F219,[1]对照表!$G$3:$G$24,[1]对照表!$H$3:$H$24),LOOKUP(F219,[1]对照表!$G$27:$G$48,[1]对照表!$H$27:$H$48)),IF(B219="高二",IF($E219="男",LOOKUP(F219,[1]对照表!$F$3:$F$24,[1]对照表!$H$3:$H$24),LOOKUP(F219,[1]对照表!$F$27:$F$48,[1]对照表!$H$27:$H$48)),IF(B219="高一",IF($E219="男",LOOKUP(F219,[1]对照表!$E$3:$E$24,[1]对照表!$H$3:$H$24),LOOKUP(F219,[1]对照表!$E$27:$E$48,[1]对照表!$H$27:$H$48)))))</f>
        <v>76</v>
      </c>
      <c r="H219" s="21">
        <v>16</v>
      </c>
      <c r="I219" s="32">
        <f>IF(B219="高三",IF($E219="男",LOOKUP(H219,[1]对照表!$K$3:$K$24,[1]对照表!$L$3:$L$24),LOOKUP(H219,[1]对照表!$K$27:$K$48,[1]对照表!$L$27:$L$48)),IF(B219="高二",IF($E219="男",LOOKUP(H219,[1]对照表!$J$3:$J$24,[1]对照表!$L$3:$L$24),LOOKUP(H219,[1]对照表!$J$27:$J$48,[1]对照表!$L$27:$L$48)),IF(B219="高一",IF($E219="男",LOOKUP(H219,[1]对照表!$I$3:$I$24,[1]对照表!$L$3:$L$24),LOOKUP(H219,[1]对照表!$I$27:$I$48,[1]对照表!$L$27:$L$48)))))</f>
        <v>76</v>
      </c>
      <c r="J219" s="21">
        <v>172</v>
      </c>
      <c r="K219" s="32">
        <f>IF(B219="高三",IF($E219="男",LOOKUP(J219,[1]对照表!$O$3:$O$24,[1]对照表!$P$3:$P$24),LOOKUP(J219,[1]对照表!$O$27:$O$48,[1]对照表!$P$27:$P$48)),IF(B219="高二",IF($E219="男",LOOKUP(J219,[1]对照表!$N$3:$N$24,[1]对照表!$P$3:$P$24),LOOKUP(J219,[1]对照表!$N$27:$N$48,[1]对照表!$P$27:$P$48)),IF(B219="高一",IF($E219="男",LOOKUP(J219,[1]对照表!$M$3:$M$24,[1]对照表!$P$3:$P$24),LOOKUP(J219,[1]对照表!$M$27:$M$48,[1]对照表!$P$27:$P$48)))))</f>
        <v>76</v>
      </c>
      <c r="L219" s="36">
        <v>50</v>
      </c>
      <c r="M219" s="32">
        <f>IF(B219="高三",IF($E219="男",LOOKUP(L219,[1]对照表!$S$3:$S$24,[1]对照表!$T$3:$T$24),LOOKUP(L219,[1]对照表!$S$27:$S$48,[1]对照表!$T$27:$T$48)),IF(B219="高二",IF($E219="男",LOOKUP(L219,[1]对照表!$R$3:$R$24,[1]对照表!$T$3:$T$24),LOOKUP(L219,[1]对照表!$R$27:$R$48,[1]对照表!$T$27:$T$48)),IF(B219="高一",IF($E219="男",LOOKUP(L219,[1]对照表!$Q$3:$Q$24,[1]对照表!$T$3:$T$24),LOOKUP(L219,[1]对照表!$Q$27:$Q$48,[1]对照表!$T$27:$T$48)))))</f>
        <v>90</v>
      </c>
      <c r="N219" s="33">
        <f>IF(B219="高三",MAX(IF(E219="男",L219-18,L219-55),0),IF(B219="高二",MAX(IF(E219="男",L219-17,L219-54),0),IF(B219="高一",MAX(IF(E219="男",L219-16,L219-53),0))))</f>
        <v>0</v>
      </c>
      <c r="O219" s="23">
        <f>IF(E219="男",LOOKUP($N219,[1]对照表!$Z$3:$Z$13,[1]对照表!$AA$3:$AA$13),LOOKUP($N219,[1]对照表!$Z$15:$Z$25,[1]对照表!$AA$15:$AA$25))</f>
        <v>0</v>
      </c>
      <c r="P219" s="24">
        <f>M219+O219</f>
        <v>90</v>
      </c>
      <c r="Q219" s="25">
        <v>3.36</v>
      </c>
      <c r="R219" s="32">
        <f>IF(B219="高三",IF($E219="男",LOOKUP(Q219,[1]对照表!$W$3:$W$24,[1]对照表!$X$3:$X$24),LOOKUP(Q219,[1]对照表!$W$27:$W$48,[1]对照表!$X$27:$X$48)),IF(B219="高二",IF($E219="男",LOOKUP(Q219,[1]对照表!$V$3:$V$24,[1]对照表!$X$3:$X$24),LOOKUP(Q219,[1]对照表!$V$27:$V$48,[1]对照表!$X$27:$X$48)),IF(B219="高一",IF($E219="男",LOOKUP(Q219,[1]对照表!$U$3:$U$24,[1]对照表!$X$3:$X$24),LOOKUP(Q219,[1]对照表!$U$27:$U$48,[1]对照表!$X$27:$X$48)))))</f>
        <v>90</v>
      </c>
      <c r="S219" s="33">
        <f>ROUND(IF(IF($B219="高三",MIN(IF($E219="男",$Q219-3.2,$Q219-3.2),0),IF($B219="高二",MIN(IF($E219="男",$Q219-3.25,$Q219-3.22),0),IF($B219="高一",MIN(IF($E219="男",$Q219-3.3,$Q219-3.24),0))))&lt;-0.6,IF($B219="高三",MIN(IF($E219="男",$Q219-3.2,$Q219-3.2),0),IF($B219="高二",MIN(IF($E219="男",$Q219-3.25,$Q219-3.22),0),IF($B219="高一",MIN(IF($E219="男",$Q219-3.3,$Q219-3.24),0))))+0.4,IF($B219="高三",MIN(IF($E219="男",$Q219-3.2,$Q219-3.2),0),IF($B219="高二",MIN(IF($E219="男",$Q219-3.25,$Q219-3.22),0),IF($B219="高一",MIN(IF($E219="男",$Q219-3.3,$Q219-3.24),0))))),2)</f>
        <v>0</v>
      </c>
      <c r="T219" s="23">
        <f>IF(E219="男",LOOKUP($S219,[1]对照表!$AB$3:$AB$13,[1]对照表!$AC$3:$AC$13),LOOKUP($S219,[1]对照表!$AB$15:$AB$25,[1]对照表!$AC$15:$AC$25))</f>
        <v>0</v>
      </c>
      <c r="U219" s="26">
        <f>R219+T219</f>
        <v>90</v>
      </c>
      <c r="V219" s="26">
        <f>SUM(I219,K219,M219)/3*0.3+SUM(G219,R219)/2*0.4</f>
        <v>57.400000000000006</v>
      </c>
      <c r="W219" s="27">
        <f>O219+T219</f>
        <v>0</v>
      </c>
      <c r="X219" s="28">
        <f>V219/0.7+W219</f>
        <v>82.000000000000014</v>
      </c>
      <c r="Y219" s="28">
        <v>82.000000000000014</v>
      </c>
      <c r="Z219" s="21"/>
    </row>
    <row r="220" spans="1:26" x14ac:dyDescent="0.25">
      <c r="A220" s="16">
        <v>18</v>
      </c>
      <c r="B220" s="17" t="s">
        <v>21</v>
      </c>
      <c r="C220" s="16">
        <v>106</v>
      </c>
      <c r="D220" s="18" t="s">
        <v>392</v>
      </c>
      <c r="E220" s="17" t="s">
        <v>65</v>
      </c>
      <c r="F220" s="19">
        <v>9</v>
      </c>
      <c r="G220" s="32">
        <f>IF(B220="高三",IF($E220="男",LOOKUP(F220,[1]对照表!$G$3:$G$24,[1]对照表!$H$3:$H$24),LOOKUP(F220,[1]对照表!$G$27:$G$48,[1]对照表!$H$27:$H$48)),IF(B220="高二",IF($E220="男",LOOKUP(F220,[1]对照表!$F$3:$F$24,[1]对照表!$H$3:$H$24),LOOKUP(F220,[1]对照表!$F$27:$F$48,[1]对照表!$H$27:$H$48)),IF(B220="高一",IF($E220="男",LOOKUP(F220,[1]对照表!$E$3:$E$24,[1]对照表!$H$3:$H$24),LOOKUP(F220,[1]对照表!$E$27:$E$48,[1]对照表!$H$27:$H$48)))))</f>
        <v>76</v>
      </c>
      <c r="H220" s="21">
        <v>22</v>
      </c>
      <c r="I220" s="32">
        <f>IF(B220="高三",IF($E220="男",LOOKUP(H220,[1]对照表!$K$3:$K$24,[1]对照表!$L$3:$L$24),LOOKUP(H220,[1]对照表!$K$27:$K$48,[1]对照表!$L$27:$L$48)),IF(B220="高二",IF($E220="男",LOOKUP(H220,[1]对照表!$J$3:$J$24,[1]对照表!$L$3:$L$24),LOOKUP(H220,[1]对照表!$J$27:$J$48,[1]对照表!$L$27:$L$48)),IF(B220="高一",IF($E220="男",LOOKUP(H220,[1]对照表!$I$3:$I$24,[1]对照表!$L$3:$L$24),LOOKUP(H220,[1]对照表!$I$27:$I$48,[1]对照表!$L$27:$L$48)))))</f>
        <v>90</v>
      </c>
      <c r="J220" s="21">
        <v>172</v>
      </c>
      <c r="K220" s="32">
        <f>IF(B220="高三",IF($E220="男",LOOKUP(J220,[1]对照表!$O$3:$O$24,[1]对照表!$P$3:$P$24),LOOKUP(J220,[1]对照表!$O$27:$O$48,[1]对照表!$P$27:$P$48)),IF(B220="高二",IF($E220="男",LOOKUP(J220,[1]对照表!$N$3:$N$24,[1]对照表!$P$3:$P$24),LOOKUP(J220,[1]对照表!$N$27:$N$48,[1]对照表!$P$27:$P$48)),IF(B220="高一",IF($E220="男",LOOKUP(J220,[1]对照表!$M$3:$M$24,[1]对照表!$P$3:$P$24),LOOKUP(J220,[1]对照表!$M$27:$M$48,[1]对照表!$P$27:$P$48)))))</f>
        <v>76</v>
      </c>
      <c r="L220" s="21">
        <v>54</v>
      </c>
      <c r="M220" s="32">
        <f>IF(B220="高三",IF($E220="男",LOOKUP(L220,[1]对照表!$S$3:$S$24,[1]对照表!$T$3:$T$24),LOOKUP(L220,[1]对照表!$S$27:$S$48,[1]对照表!$T$27:$T$48)),IF(B220="高二",IF($E220="男",LOOKUP(L220,[1]对照表!$R$3:$R$24,[1]对照表!$T$3:$T$24),LOOKUP(L220,[1]对照表!$R$27:$R$48,[1]对照表!$T$27:$T$48)),IF(B220="高一",IF($E220="男",LOOKUP(L220,[1]对照表!$Q$3:$Q$24,[1]对照表!$T$3:$T$24),LOOKUP(L220,[1]对照表!$Q$27:$Q$48,[1]对照表!$T$27:$T$48)))))</f>
        <v>100</v>
      </c>
      <c r="N220" s="33">
        <f>IF(B220="高三",MAX(IF(E220="男",L220-18,L220-55),0),IF(B220="高二",MAX(IF(E220="男",L220-17,L220-54),0),IF(B220="高一",MAX(IF(E220="男",L220-16,L220-53),0))))</f>
        <v>1</v>
      </c>
      <c r="O220" s="23">
        <f>IF(E220="男",LOOKUP($N220,[1]对照表!$Z$3:$Z$13,[1]对照表!$AA$3:$AA$13),LOOKUP($N220,[1]对照表!$Z$15:$Z$25,[1]对照表!$AA$15:$AA$25))</f>
        <v>0</v>
      </c>
      <c r="P220" s="24">
        <f>M220+O220</f>
        <v>100</v>
      </c>
      <c r="Q220" s="25">
        <v>3.36</v>
      </c>
      <c r="R220" s="32">
        <f>IF(B220="高三",IF($E220="男",LOOKUP(Q220,[1]对照表!$W$3:$W$24,[1]对照表!$X$3:$X$24),LOOKUP(Q220,[1]对照表!$W$27:$W$48,[1]对照表!$X$27:$X$48)),IF(B220="高二",IF($E220="男",LOOKUP(Q220,[1]对照表!$V$3:$V$24,[1]对照表!$X$3:$X$24),LOOKUP(Q220,[1]对照表!$V$27:$V$48,[1]对照表!$X$27:$X$48)),IF(B220="高一",IF($E220="男",LOOKUP(Q220,[1]对照表!$U$3:$U$24,[1]对照表!$X$3:$X$24),LOOKUP(Q220,[1]对照表!$U$27:$U$48,[1]对照表!$X$27:$X$48)))))</f>
        <v>90</v>
      </c>
      <c r="S220" s="33">
        <f>ROUND(IF(IF($B220="高三",MIN(IF($E220="男",$Q220-3.2,$Q220-3.2),0),IF($B220="高二",MIN(IF($E220="男",$Q220-3.25,$Q220-3.22),0),IF($B220="高一",MIN(IF($E220="男",$Q220-3.3,$Q220-3.24),0))))&lt;-0.6,IF($B220="高三",MIN(IF($E220="男",$Q220-3.2,$Q220-3.2),0),IF($B220="高二",MIN(IF($E220="男",$Q220-3.25,$Q220-3.22),0),IF($B220="高一",MIN(IF($E220="男",$Q220-3.3,$Q220-3.24),0))))+0.4,IF($B220="高三",MIN(IF($E220="男",$Q220-3.2,$Q220-3.2),0),IF($B220="高二",MIN(IF($E220="男",$Q220-3.25,$Q220-3.22),0),IF($B220="高一",MIN(IF($E220="男",$Q220-3.3,$Q220-3.24),0))))),2)</f>
        <v>0</v>
      </c>
      <c r="T220" s="23">
        <f>IF(E220="男",LOOKUP($S220,[1]对照表!$AB$3:$AB$13,[1]对照表!$AC$3:$AC$13),LOOKUP($S220,[1]对照表!$AB$15:$AB$25,[1]对照表!$AC$15:$AC$25))</f>
        <v>0</v>
      </c>
      <c r="U220" s="26">
        <f>R220+T220</f>
        <v>90</v>
      </c>
      <c r="V220" s="26">
        <f>SUM(I220,K220,M220)/3*0.3+SUM(G220,R220)/2*0.4</f>
        <v>59.800000000000004</v>
      </c>
      <c r="W220" s="27">
        <f>O220+T220</f>
        <v>0</v>
      </c>
      <c r="X220" s="28">
        <f>V220/0.7+W220</f>
        <v>85.428571428571445</v>
      </c>
      <c r="Y220" s="28">
        <v>85.428571428571445</v>
      </c>
      <c r="Z220" s="21"/>
    </row>
    <row r="221" spans="1:26" x14ac:dyDescent="0.25">
      <c r="A221" s="16">
        <v>41</v>
      </c>
      <c r="B221" s="17" t="s">
        <v>21</v>
      </c>
      <c r="C221" s="16">
        <v>106</v>
      </c>
      <c r="D221" s="18" t="s">
        <v>399</v>
      </c>
      <c r="E221" s="17" t="s">
        <v>65</v>
      </c>
      <c r="F221" s="19">
        <v>9.19</v>
      </c>
      <c r="G221" s="32">
        <f>IF(B221="高三",IF($E221="男",LOOKUP(F221,[1]对照表!$G$3:$G$24,[1]对照表!$H$3:$H$24),LOOKUP(F221,[1]对照表!$G$27:$G$48,[1]对照表!$H$27:$H$48)),IF(B221="高二",IF($E221="男",LOOKUP(F221,[1]对照表!$F$3:$F$24,[1]对照表!$H$3:$H$24),LOOKUP(F221,[1]对照表!$F$27:$F$48,[1]对照表!$H$27:$H$48)),IF(B221="高一",IF($E221="男",LOOKUP(F221,[1]对照表!$E$3:$E$24,[1]对照表!$H$3:$H$24),LOOKUP(F221,[1]对照表!$E$27:$E$48,[1]对照表!$H$27:$H$48)))))</f>
        <v>74</v>
      </c>
      <c r="H221" s="21">
        <v>17</v>
      </c>
      <c r="I221" s="32">
        <f>IF(B221="高三",IF($E221="男",LOOKUP(H221,[1]对照表!$K$3:$K$24,[1]对照表!$L$3:$L$24),LOOKUP(H221,[1]对照表!$K$27:$K$48,[1]对照表!$L$27:$L$48)),IF(B221="高二",IF($E221="男",LOOKUP(H221,[1]对照表!$J$3:$J$24,[1]对照表!$L$3:$L$24),LOOKUP(H221,[1]对照表!$J$27:$J$48,[1]对照表!$L$27:$L$48)),IF(B221="高一",IF($E221="男",LOOKUP(H221,[1]对照表!$I$3:$I$24,[1]对照表!$L$3:$L$24),LOOKUP(H221,[1]对照表!$I$27:$I$48,[1]对照表!$L$27:$L$48)))))</f>
        <v>78</v>
      </c>
      <c r="J221" s="21">
        <v>157</v>
      </c>
      <c r="K221" s="32">
        <f>IF(B221="高三",IF($E221="男",LOOKUP(J221,[1]对照表!$O$3:$O$24,[1]对照表!$P$3:$P$24),LOOKUP(J221,[1]对照表!$O$27:$O$48,[1]对照表!$P$27:$P$48)),IF(B221="高二",IF($E221="男",LOOKUP(J221,[1]对照表!$N$3:$N$24,[1]对照表!$P$3:$P$24),LOOKUP(J221,[1]对照表!$N$27:$N$48,[1]对照表!$P$27:$P$48)),IF(B221="高一",IF($E221="男",LOOKUP(J221,[1]对照表!$M$3:$M$24,[1]对照表!$P$3:$P$24),LOOKUP(J221,[1]对照表!$M$27:$M$48,[1]对照表!$P$27:$P$48)))))</f>
        <v>66</v>
      </c>
      <c r="L221" s="21">
        <v>50</v>
      </c>
      <c r="M221" s="32">
        <f>IF(B221="高三",IF($E221="男",LOOKUP(L221,[1]对照表!$S$3:$S$24,[1]对照表!$T$3:$T$24),LOOKUP(L221,[1]对照表!$S$27:$S$48,[1]对照表!$T$27:$T$48)),IF(B221="高二",IF($E221="男",LOOKUP(L221,[1]对照表!$R$3:$R$24,[1]对照表!$T$3:$T$24),LOOKUP(L221,[1]对照表!$R$27:$R$48,[1]对照表!$T$27:$T$48)),IF(B221="高一",IF($E221="男",LOOKUP(L221,[1]对照表!$Q$3:$Q$24,[1]对照表!$T$3:$T$24),LOOKUP(L221,[1]对照表!$Q$27:$Q$48,[1]对照表!$T$27:$T$48)))))</f>
        <v>90</v>
      </c>
      <c r="N221" s="33">
        <f>IF(B221="高三",MAX(IF(E221="男",L221-18,L221-55),0),IF(B221="高二",MAX(IF(E221="男",L221-17,L221-54),0),IF(B221="高一",MAX(IF(E221="男",L221-16,L221-53),0))))</f>
        <v>0</v>
      </c>
      <c r="O221" s="23">
        <f>IF(E221="男",LOOKUP($N221,[1]对照表!$Z$3:$Z$13,[1]对照表!$AA$3:$AA$13),LOOKUP($N221,[1]对照表!$Z$15:$Z$25,[1]对照表!$AA$15:$AA$25))</f>
        <v>0</v>
      </c>
      <c r="P221" s="24">
        <f>M221+O221</f>
        <v>90</v>
      </c>
      <c r="Q221" s="25">
        <v>3.37</v>
      </c>
      <c r="R221" s="32">
        <f>IF(B221="高三",IF($E221="男",LOOKUP(Q221,[1]对照表!$W$3:$W$24,[1]对照表!$X$3:$X$24),LOOKUP(Q221,[1]对照表!$W$27:$W$48,[1]对照表!$X$27:$X$48)),IF(B221="高二",IF($E221="男",LOOKUP(Q221,[1]对照表!$V$3:$V$24,[1]对照表!$X$3:$X$24),LOOKUP(Q221,[1]对照表!$V$27:$V$48,[1]对照表!$X$27:$X$48)),IF(B221="高一",IF($E221="男",LOOKUP(Q221,[1]对照表!$U$3:$U$24,[1]对照表!$X$3:$X$24),LOOKUP(Q221,[1]对照表!$U$27:$U$48,[1]对照表!$X$27:$X$48)))))</f>
        <v>85</v>
      </c>
      <c r="S221" s="33">
        <f>ROUND(IF(IF($B221="高三",MIN(IF($E221="男",$Q221-3.2,$Q221-3.2),0),IF($B221="高二",MIN(IF($E221="男",$Q221-3.25,$Q221-3.22),0),IF($B221="高一",MIN(IF($E221="男",$Q221-3.3,$Q221-3.24),0))))&lt;-0.6,IF($B221="高三",MIN(IF($E221="男",$Q221-3.2,$Q221-3.2),0),IF($B221="高二",MIN(IF($E221="男",$Q221-3.25,$Q221-3.22),0),IF($B221="高一",MIN(IF($E221="男",$Q221-3.3,$Q221-3.24),0))))+0.4,IF($B221="高三",MIN(IF($E221="男",$Q221-3.2,$Q221-3.2),0),IF($B221="高二",MIN(IF($E221="男",$Q221-3.25,$Q221-3.22),0),IF($B221="高一",MIN(IF($E221="男",$Q221-3.3,$Q221-3.24),0))))),2)</f>
        <v>0</v>
      </c>
      <c r="T221" s="23">
        <f>IF(E221="男",LOOKUP($S221,[1]对照表!$AB$3:$AB$13,[1]对照表!$AC$3:$AC$13),LOOKUP($S221,[1]对照表!$AB$15:$AB$25,[1]对照表!$AC$15:$AC$25))</f>
        <v>0</v>
      </c>
      <c r="U221" s="26">
        <f>R221+T221</f>
        <v>85</v>
      </c>
      <c r="V221" s="26">
        <f>SUM(I221,K221,M221)/3*0.3+SUM(G221,R221)/2*0.4</f>
        <v>55.2</v>
      </c>
      <c r="W221" s="27">
        <f>O221+T221</f>
        <v>0</v>
      </c>
      <c r="X221" s="28">
        <f>V221/0.7+W221</f>
        <v>78.857142857142861</v>
      </c>
      <c r="Y221" s="28">
        <v>78.857142857142861</v>
      </c>
      <c r="Z221" s="21"/>
    </row>
    <row r="222" spans="1:26" x14ac:dyDescent="0.25">
      <c r="A222" s="16">
        <v>10</v>
      </c>
      <c r="B222" s="17" t="s">
        <v>21</v>
      </c>
      <c r="C222" s="16">
        <v>106</v>
      </c>
      <c r="D222" s="18" t="s">
        <v>402</v>
      </c>
      <c r="E222" s="31" t="s">
        <v>65</v>
      </c>
      <c r="F222" s="19">
        <v>9.8000000000000007</v>
      </c>
      <c r="G222" s="32">
        <f>IF(B222="高三",IF($E222="男",LOOKUP(F222,[1]对照表!$G$3:$G$24,[1]对照表!$H$3:$H$24),LOOKUP(F222,[1]对照表!$G$27:$G$48,[1]对照表!$H$27:$H$48)),IF(B222="高二",IF($E222="男",LOOKUP(F222,[1]对照表!$F$3:$F$24,[1]对照表!$H$3:$H$24),LOOKUP(F222,[1]对照表!$F$27:$F$48,[1]对照表!$H$27:$H$48)),IF(B222="高一",IF($E222="男",LOOKUP(F222,[1]对照表!$E$3:$E$24,[1]对照表!$H$3:$H$24),LOOKUP(F222,[1]对照表!$E$27:$E$48,[1]对照表!$H$27:$H$48)))))</f>
        <v>68</v>
      </c>
      <c r="H222" s="21">
        <v>5</v>
      </c>
      <c r="I222" s="32">
        <f>IF(B222="高三",IF($E222="男",LOOKUP(H222,[1]对照表!$K$3:$K$24,[1]对照表!$L$3:$L$24),LOOKUP(H222,[1]对照表!$K$27:$K$48,[1]对照表!$L$27:$L$48)),IF(B222="高二",IF($E222="男",LOOKUP(H222,[1]对照表!$J$3:$J$24,[1]对照表!$L$3:$L$24),LOOKUP(H222,[1]对照表!$J$27:$J$48,[1]对照表!$L$27:$L$48)),IF(B222="高一",IF($E222="男",LOOKUP(H222,[1]对照表!$I$3:$I$24,[1]对照表!$L$3:$L$24),LOOKUP(H222,[1]对照表!$I$27:$I$48,[1]对照表!$L$27:$L$48)))))</f>
        <v>60</v>
      </c>
      <c r="J222" s="21">
        <v>137</v>
      </c>
      <c r="K222" s="32">
        <f>IF(B222="高三",IF($E222="男",LOOKUP(J222,[1]对照表!$O$3:$O$24,[1]对照表!$P$3:$P$24),LOOKUP(J222,[1]对照表!$O$27:$O$48,[1]对照表!$P$27:$P$48)),IF(B222="高二",IF($E222="男",LOOKUP(J222,[1]对照表!$N$3:$N$24,[1]对照表!$P$3:$P$24),LOOKUP(J222,[1]对照表!$N$27:$N$48,[1]对照表!$P$27:$P$48)),IF(B222="高一",IF($E222="男",LOOKUP(J222,[1]对照表!$M$3:$M$24,[1]对照表!$P$3:$P$24),LOOKUP(J222,[1]对照表!$M$27:$M$48,[1]对照表!$P$27:$P$48)))))</f>
        <v>30</v>
      </c>
      <c r="L222" s="21">
        <v>43</v>
      </c>
      <c r="M222" s="32">
        <f>IF(B222="高三",IF($E222="男",LOOKUP(L222,[1]对照表!$S$3:$S$24,[1]对照表!$T$3:$T$24),LOOKUP(L222,[1]对照表!$S$27:$S$48,[1]对照表!$T$27:$T$48)),IF(B222="高二",IF($E222="男",LOOKUP(L222,[1]对照表!$R$3:$R$24,[1]对照表!$T$3:$T$24),LOOKUP(L222,[1]对照表!$R$27:$R$48,[1]对照表!$T$27:$T$48)),IF(B222="高一",IF($E222="男",LOOKUP(L222,[1]对照表!$Q$3:$Q$24,[1]对照表!$T$3:$T$24),LOOKUP(L222,[1]对照表!$Q$27:$Q$48,[1]对照表!$T$27:$T$48)))))</f>
        <v>80</v>
      </c>
      <c r="N222" s="33">
        <f>IF(B222="高三",MAX(IF(E222="男",L222-18,L222-55),0),IF(B222="高二",MAX(IF(E222="男",L222-17,L222-54),0),IF(B222="高一",MAX(IF(E222="男",L222-16,L222-53),0))))</f>
        <v>0</v>
      </c>
      <c r="O222" s="23">
        <f>IF(E222="男",LOOKUP($N222,[1]对照表!$Z$3:$Z$13,[1]对照表!$AA$3:$AA$13),LOOKUP($N222,[1]对照表!$Z$15:$Z$25,[1]对照表!$AA$15:$AA$25))</f>
        <v>0</v>
      </c>
      <c r="P222" s="24">
        <f>M222+O222</f>
        <v>80</v>
      </c>
      <c r="Q222" s="25">
        <v>3.37</v>
      </c>
      <c r="R222" s="32">
        <f>IF(B222="高三",IF($E222="男",LOOKUP(Q222,[1]对照表!$W$3:$W$24,[1]对照表!$X$3:$X$24),LOOKUP(Q222,[1]对照表!$W$27:$W$48,[1]对照表!$X$27:$X$48)),IF(B222="高二",IF($E222="男",LOOKUP(Q222,[1]对照表!$V$3:$V$24,[1]对照表!$X$3:$X$24),LOOKUP(Q222,[1]对照表!$V$27:$V$48,[1]对照表!$X$27:$X$48)),IF(B222="高一",IF($E222="男",LOOKUP(Q222,[1]对照表!$U$3:$U$24,[1]对照表!$X$3:$X$24),LOOKUP(Q222,[1]对照表!$U$27:$U$48,[1]对照表!$X$27:$X$48)))))</f>
        <v>85</v>
      </c>
      <c r="S222" s="33">
        <f>ROUND(IF(IF($B222="高三",MIN(IF($E222="男",$Q222-3.2,$Q222-3.2),0),IF($B222="高二",MIN(IF($E222="男",$Q222-3.25,$Q222-3.22),0),IF($B222="高一",MIN(IF($E222="男",$Q222-3.3,$Q222-3.24),0))))&lt;-0.6,IF($B222="高三",MIN(IF($E222="男",$Q222-3.2,$Q222-3.2),0),IF($B222="高二",MIN(IF($E222="男",$Q222-3.25,$Q222-3.22),0),IF($B222="高一",MIN(IF($E222="男",$Q222-3.3,$Q222-3.24),0))))+0.4,IF($B222="高三",MIN(IF($E222="男",$Q222-3.2,$Q222-3.2),0),IF($B222="高二",MIN(IF($E222="男",$Q222-3.25,$Q222-3.22),0),IF($B222="高一",MIN(IF($E222="男",$Q222-3.3,$Q222-3.24),0))))),2)</f>
        <v>0</v>
      </c>
      <c r="T222" s="23">
        <f>IF(E222="男",LOOKUP($S222,[1]对照表!$AB$3:$AB$13,[1]对照表!$AC$3:$AC$13),LOOKUP($S222,[1]对照表!$AB$15:$AB$25,[1]对照表!$AC$15:$AC$25))</f>
        <v>0</v>
      </c>
      <c r="U222" s="26">
        <f>R222+T222</f>
        <v>85</v>
      </c>
      <c r="V222" s="26">
        <f>SUM(I222,K222,M222)/3*0.3+SUM(G222,R222)/2*0.4</f>
        <v>47.6</v>
      </c>
      <c r="W222" s="27">
        <f>O222+T222</f>
        <v>0</v>
      </c>
      <c r="X222" s="28">
        <f>V222/0.7+W222</f>
        <v>68</v>
      </c>
      <c r="Y222" s="28">
        <v>68</v>
      </c>
      <c r="Z222" s="21"/>
    </row>
    <row r="223" spans="1:26" x14ac:dyDescent="0.25">
      <c r="A223" s="16">
        <v>7</v>
      </c>
      <c r="B223" s="17" t="s">
        <v>21</v>
      </c>
      <c r="C223" s="16">
        <v>106</v>
      </c>
      <c r="D223" s="18" t="s">
        <v>437</v>
      </c>
      <c r="E223" s="17" t="s">
        <v>23</v>
      </c>
      <c r="F223" s="19">
        <v>7.5</v>
      </c>
      <c r="G223" s="32">
        <f>IF(B223="高三",IF($E223="男",LOOKUP(F223,[1]对照表!$G$3:$G$24,[1]对照表!$H$3:$H$24),LOOKUP(F223,[1]对照表!$G$27:$G$48,[1]对照表!$H$27:$H$48)),IF(B223="高二",IF($E223="男",LOOKUP(F223,[1]对照表!$F$3:$F$24,[1]对照表!$H$3:$H$24),LOOKUP(F223,[1]对照表!$F$27:$F$48,[1]对照表!$H$27:$H$48)),IF(B223="高一",IF($E223="男",LOOKUP(F223,[1]对照表!$E$3:$E$24,[1]对照表!$H$3:$H$24),LOOKUP(F223,[1]对照表!$E$27:$E$48,[1]对照表!$H$27:$H$48)))))</f>
        <v>80</v>
      </c>
      <c r="H223" s="21">
        <v>14</v>
      </c>
      <c r="I223" s="32">
        <f>IF(B223="高三",IF($E223="男",LOOKUP(H223,[1]对照表!$K$3:$K$24,[1]对照表!$L$3:$L$24),LOOKUP(H223,[1]对照表!$K$27:$K$48,[1]对照表!$L$27:$L$48)),IF(B223="高二",IF($E223="男",LOOKUP(H223,[1]对照表!$J$3:$J$24,[1]对照表!$L$3:$L$24),LOOKUP(H223,[1]对照表!$J$27:$J$48,[1]对照表!$L$27:$L$48)),IF(B223="高一",IF($E223="男",LOOKUP(H223,[1]对照表!$I$3:$I$24,[1]对照表!$L$3:$L$24),LOOKUP(H223,[1]对照表!$I$27:$I$48,[1]对照表!$L$27:$L$48)))))</f>
        <v>78</v>
      </c>
      <c r="J223" s="21">
        <v>196</v>
      </c>
      <c r="K223" s="32">
        <f>IF(B223="高三",IF($E223="男",LOOKUP(J223,[1]对照表!$O$3:$O$24,[1]对照表!$P$3:$P$24),LOOKUP(J223,[1]对照表!$O$27:$O$48,[1]对照表!$P$27:$P$48)),IF(B223="高二",IF($E223="男",LOOKUP(J223,[1]对照表!$N$3:$N$24,[1]对照表!$P$3:$P$24),LOOKUP(J223,[1]对照表!$N$27:$N$48,[1]对照表!$P$27:$P$48)),IF(B223="高一",IF($E223="男",LOOKUP(J223,[1]对照表!$M$3:$M$24,[1]对照表!$P$3:$P$24),LOOKUP(J223,[1]对照表!$M$27:$M$48,[1]对照表!$P$27:$P$48)))))</f>
        <v>60</v>
      </c>
      <c r="L223" s="21">
        <v>8</v>
      </c>
      <c r="M223" s="32">
        <f>IF(B223="高三",IF($E223="男",LOOKUP(L223,[1]对照表!$S$3:$S$24,[1]对照表!$T$3:$T$24),LOOKUP(L223,[1]对照表!$S$27:$S$48,[1]对照表!$T$27:$T$48)),IF(B223="高二",IF($E223="男",LOOKUP(L223,[1]对照表!$R$3:$R$24,[1]对照表!$T$3:$T$24),LOOKUP(L223,[1]对照表!$R$27:$R$48,[1]对照表!$T$27:$T$48)),IF(B223="高一",IF($E223="男",LOOKUP(L223,[1]对照表!$Q$3:$Q$24,[1]对照表!$T$3:$T$24),LOOKUP(L223,[1]对照表!$Q$27:$Q$48,[1]对照表!$T$27:$T$48)))))</f>
        <v>64</v>
      </c>
      <c r="N223" s="33">
        <f>IF(B223="高三",MAX(IF(E223="男",L223-18,L223-55),0),IF(B223="高二",MAX(IF(E223="男",L223-17,L223-54),0),IF(B223="高一",MAX(IF(E223="男",L223-16,L223-53),0))))</f>
        <v>0</v>
      </c>
      <c r="O223" s="23">
        <f>IF(E223="男",LOOKUP($N223,[1]对照表!$Z$3:$Z$13,[1]对照表!$AA$3:$AA$13),LOOKUP($N223,[1]对照表!$Z$15:$Z$25,[1]对照表!$AA$15:$AA$25))</f>
        <v>0</v>
      </c>
      <c r="P223" s="24">
        <f>M223+O223</f>
        <v>64</v>
      </c>
      <c r="Q223" s="25">
        <v>4</v>
      </c>
      <c r="R223" s="32">
        <f>IF(B223="高三",IF($E223="男",LOOKUP(Q223,[1]对照表!$W$3:$W$24,[1]对照表!$X$3:$X$24),LOOKUP(Q223,[1]对照表!$W$27:$W$48,[1]对照表!$X$27:$X$48)),IF(B223="高二",IF($E223="男",LOOKUP(Q223,[1]对照表!$V$3:$V$24,[1]对照表!$X$3:$X$24),LOOKUP(Q223,[1]对照表!$V$27:$V$48,[1]对照表!$X$27:$X$48)),IF(B223="高一",IF($E223="男",LOOKUP(Q223,[1]对照表!$U$3:$U$24,[1]对照表!$X$3:$X$24),LOOKUP(Q223,[1]对照表!$U$27:$U$48,[1]对照表!$X$27:$X$48)))))</f>
        <v>78</v>
      </c>
      <c r="S223" s="33">
        <f>ROUND(IF(IF($B223="高三",MIN(IF($E223="男",$Q223-3.2,$Q223-3.2),0),IF($B223="高二",MIN(IF($E223="男",$Q223-3.25,$Q223-3.22),0),IF($B223="高一",MIN(IF($E223="男",$Q223-3.3,$Q223-3.24),0))))&lt;-0.6,IF($B223="高三",MIN(IF($E223="男",$Q223-3.2,$Q223-3.2),0),IF($B223="高二",MIN(IF($E223="男",$Q223-3.25,$Q223-3.22),0),IF($B223="高一",MIN(IF($E223="男",$Q223-3.3,$Q223-3.24),0))))+0.4,IF($B223="高三",MIN(IF($E223="男",$Q223-3.2,$Q223-3.2),0),IF($B223="高二",MIN(IF($E223="男",$Q223-3.25,$Q223-3.22),0),IF($B223="高一",MIN(IF($E223="男",$Q223-3.3,$Q223-3.24),0))))),2)</f>
        <v>0</v>
      </c>
      <c r="T223" s="23">
        <f>IF(E223="男",LOOKUP($S223,[1]对照表!$AB$3:$AB$13,[1]对照表!$AC$3:$AC$13),LOOKUP($S223,[1]对照表!$AB$15:$AB$25,[1]对照表!$AC$15:$AC$25))</f>
        <v>0</v>
      </c>
      <c r="U223" s="26">
        <f>R223+T223</f>
        <v>78</v>
      </c>
      <c r="V223" s="26">
        <f>SUM(I223,K223,M223)/3*0.3+SUM(G223,R223)/2*0.4</f>
        <v>51.8</v>
      </c>
      <c r="W223" s="27">
        <f>O223+T223</f>
        <v>0</v>
      </c>
      <c r="X223" s="28">
        <f>V223/0.7+W223</f>
        <v>74</v>
      </c>
      <c r="Y223" s="28">
        <v>74</v>
      </c>
      <c r="Z223" s="21"/>
    </row>
    <row r="224" spans="1:26" x14ac:dyDescent="0.25">
      <c r="A224" s="16">
        <v>4</v>
      </c>
      <c r="B224" s="17" t="s">
        <v>21</v>
      </c>
      <c r="C224" s="16">
        <v>106</v>
      </c>
      <c r="D224" s="18" t="s">
        <v>438</v>
      </c>
      <c r="E224" s="17" t="s">
        <v>23</v>
      </c>
      <c r="F224" s="19">
        <v>7.5</v>
      </c>
      <c r="G224" s="32">
        <f>IF(B224="高三",IF($E224="男",LOOKUP(F224,[1]对照表!$G$3:$G$24,[1]对照表!$H$3:$H$24),LOOKUP(F224,[1]对照表!$G$27:$G$48,[1]对照表!$H$27:$H$48)),IF(B224="高二",IF($E224="男",LOOKUP(F224,[1]对照表!$F$3:$F$24,[1]对照表!$H$3:$H$24),LOOKUP(F224,[1]对照表!$F$27:$F$48,[1]对照表!$H$27:$H$48)),IF(B224="高一",IF($E224="男",LOOKUP(F224,[1]对照表!$E$3:$E$24,[1]对照表!$H$3:$H$24),LOOKUP(F224,[1]对照表!$E$27:$E$48,[1]对照表!$H$27:$H$48)))))</f>
        <v>80</v>
      </c>
      <c r="H224" s="21">
        <v>7.8</v>
      </c>
      <c r="I224" s="32">
        <f>IF(B224="高三",IF($E224="男",LOOKUP(H224,[1]对照表!$K$3:$K$24,[1]对照表!$L$3:$L$24),LOOKUP(H224,[1]对照表!$K$27:$K$48,[1]对照表!$L$27:$L$48)),IF(B224="高二",IF($E224="男",LOOKUP(H224,[1]对照表!$J$3:$J$24,[1]对照表!$L$3:$L$24),LOOKUP(H224,[1]对照表!$J$27:$J$48,[1]对照表!$L$27:$L$48)),IF(B224="高一",IF($E224="男",LOOKUP(H224,[1]对照表!$I$3:$I$24,[1]对照表!$L$3:$L$24),LOOKUP(H224,[1]对照表!$I$27:$I$48,[1]对照表!$L$27:$L$48)))))</f>
        <v>68</v>
      </c>
      <c r="J224" s="21">
        <v>210</v>
      </c>
      <c r="K224" s="32">
        <f>IF(B224="高三",IF($E224="男",LOOKUP(J224,[1]对照表!$O$3:$O$24,[1]对照表!$P$3:$P$24),LOOKUP(J224,[1]对照表!$O$27:$O$48,[1]对照表!$P$27:$P$48)),IF(B224="高二",IF($E224="男",LOOKUP(J224,[1]对照表!$N$3:$N$24,[1]对照表!$P$3:$P$24),LOOKUP(J224,[1]对照表!$N$27:$N$48,[1]对照表!$P$27:$P$48)),IF(B224="高一",IF($E224="男",LOOKUP(J224,[1]对照表!$M$3:$M$24,[1]对照表!$P$3:$P$24),LOOKUP(J224,[1]对照表!$M$27:$M$48,[1]对照表!$P$27:$P$48)))))</f>
        <v>66</v>
      </c>
      <c r="L224" s="21">
        <v>11</v>
      </c>
      <c r="M224" s="32">
        <f>IF(B224="高三",IF($E224="男",LOOKUP(L224,[1]对照表!$S$3:$S$24,[1]对照表!$T$3:$T$24),LOOKUP(L224,[1]对照表!$S$27:$S$48,[1]对照表!$T$27:$T$48)),IF(B224="高二",IF($E224="男",LOOKUP(L224,[1]对照表!$R$3:$R$24,[1]对照表!$T$3:$T$24),LOOKUP(L224,[1]对照表!$R$27:$R$48,[1]对照表!$T$27:$T$48)),IF(B224="高一",IF($E224="男",LOOKUP(L224,[1]对照表!$Q$3:$Q$24,[1]对照表!$T$3:$T$24),LOOKUP(L224,[1]对照表!$Q$27:$Q$48,[1]对照表!$T$27:$T$48)))))</f>
        <v>76</v>
      </c>
      <c r="N224" s="33">
        <f>IF(B224="高三",MAX(IF(E224="男",L224-18,L224-55),0),IF(B224="高二",MAX(IF(E224="男",L224-17,L224-54),0),IF(B224="高一",MAX(IF(E224="男",L224-16,L224-53),0))))</f>
        <v>0</v>
      </c>
      <c r="O224" s="23">
        <f>IF(E224="男",LOOKUP($N224,[1]对照表!$Z$3:$Z$13,[1]对照表!$AA$3:$AA$13),LOOKUP($N224,[1]对照表!$Z$15:$Z$25,[1]对照表!$AA$15:$AA$25))</f>
        <v>0</v>
      </c>
      <c r="P224" s="24">
        <f>M224+O224</f>
        <v>76</v>
      </c>
      <c r="Q224" s="25">
        <v>4.08</v>
      </c>
      <c r="R224" s="32">
        <f>IF(B224="高三",IF($E224="男",LOOKUP(Q224,[1]对照表!$W$3:$W$24,[1]对照表!$X$3:$X$24),LOOKUP(Q224,[1]对照表!$W$27:$W$48,[1]对照表!$X$27:$X$48)),IF(B224="高二",IF($E224="男",LOOKUP(Q224,[1]对照表!$V$3:$V$24,[1]对照表!$X$3:$X$24),LOOKUP(Q224,[1]对照表!$V$27:$V$48,[1]对照表!$X$27:$X$48)),IF(B224="高一",IF($E224="男",LOOKUP(Q224,[1]对照表!$U$3:$U$24,[1]对照表!$X$3:$X$24),LOOKUP(Q224,[1]对照表!$U$27:$U$48,[1]对照表!$X$27:$X$48)))))</f>
        <v>74</v>
      </c>
      <c r="S224" s="33">
        <f>ROUND(IF(IF($B224="高三",MIN(IF($E224="男",$Q224-3.2,$Q224-3.2),0),IF($B224="高二",MIN(IF($E224="男",$Q224-3.25,$Q224-3.22),0),IF($B224="高一",MIN(IF($E224="男",$Q224-3.3,$Q224-3.24),0))))&lt;-0.6,IF($B224="高三",MIN(IF($E224="男",$Q224-3.2,$Q224-3.2),0),IF($B224="高二",MIN(IF($E224="男",$Q224-3.25,$Q224-3.22),0),IF($B224="高一",MIN(IF($E224="男",$Q224-3.3,$Q224-3.24),0))))+0.4,IF($B224="高三",MIN(IF($E224="男",$Q224-3.2,$Q224-3.2),0),IF($B224="高二",MIN(IF($E224="男",$Q224-3.25,$Q224-3.22),0),IF($B224="高一",MIN(IF($E224="男",$Q224-3.3,$Q224-3.24),0))))),2)</f>
        <v>0</v>
      </c>
      <c r="T224" s="23">
        <f>IF(E224="男",LOOKUP($S224,[1]对照表!$AB$3:$AB$13,[1]对照表!$AC$3:$AC$13),LOOKUP($S224,[1]对照表!$AB$15:$AB$25,[1]对照表!$AC$15:$AC$25))</f>
        <v>0</v>
      </c>
      <c r="U224" s="26">
        <f>R224+T224</f>
        <v>74</v>
      </c>
      <c r="V224" s="26">
        <f>SUM(I224,K224,M224)/3*0.3+SUM(G224,R224)/2*0.4</f>
        <v>51.8</v>
      </c>
      <c r="W224" s="27">
        <f>O224+T224</f>
        <v>0</v>
      </c>
      <c r="X224" s="28">
        <f>V224/0.7+W224</f>
        <v>74</v>
      </c>
      <c r="Y224" s="28">
        <v>74</v>
      </c>
      <c r="Z224" s="21"/>
    </row>
    <row r="225" spans="1:26" x14ac:dyDescent="0.25">
      <c r="A225" s="16">
        <v>23</v>
      </c>
      <c r="B225" s="17" t="s">
        <v>21</v>
      </c>
      <c r="C225" s="16">
        <v>106</v>
      </c>
      <c r="D225" s="18" t="s">
        <v>463</v>
      </c>
      <c r="E225" s="17" t="s">
        <v>65</v>
      </c>
      <c r="F225" s="19">
        <v>9.1199999999999992</v>
      </c>
      <c r="G225" s="32">
        <f>IF(B225="高三",IF($E225="男",LOOKUP(F225,[1]对照表!$G$3:$G$24,[1]对照表!$H$3:$H$24),LOOKUP(F225,[1]对照表!$G$27:$G$48,[1]对照表!$H$27:$H$48)),IF(B225="高二",IF($E225="男",LOOKUP(F225,[1]对照表!$F$3:$F$24,[1]对照表!$H$3:$H$24),LOOKUP(F225,[1]对照表!$F$27:$F$48,[1]对照表!$H$27:$H$48)),IF(B225="高一",IF($E225="男",LOOKUP(F225,[1]对照表!$E$3:$E$24,[1]对照表!$H$3:$H$24),LOOKUP(F225,[1]对照表!$E$27:$E$48,[1]对照表!$H$27:$H$48)))))</f>
        <v>74</v>
      </c>
      <c r="H225" s="21">
        <v>12.5</v>
      </c>
      <c r="I225" s="32">
        <f>IF(B225="高三",IF($E225="男",LOOKUP(H225,[1]对照表!$K$3:$K$24,[1]对照表!$L$3:$L$24),LOOKUP(H225,[1]对照表!$K$27:$K$48,[1]对照表!$L$27:$L$48)),IF(B225="高二",IF($E225="男",LOOKUP(H225,[1]对照表!$J$3:$J$24,[1]对照表!$L$3:$L$24),LOOKUP(H225,[1]对照表!$J$27:$J$48,[1]对照表!$L$27:$L$48)),IF(B225="高一",IF($E225="男",LOOKUP(H225,[1]对照表!$I$3:$I$24,[1]对照表!$L$3:$L$24),LOOKUP(H225,[1]对照表!$I$27:$I$48,[1]对照表!$L$27:$L$48)))))</f>
        <v>72</v>
      </c>
      <c r="J225" s="21">
        <v>173</v>
      </c>
      <c r="K225" s="32">
        <f>IF(B225="高三",IF($E225="男",LOOKUP(J225,[1]对照表!$O$3:$O$24,[1]对照表!$P$3:$P$24),LOOKUP(J225,[1]对照表!$O$27:$O$48,[1]对照表!$P$27:$P$48)),IF(B225="高二",IF($E225="男",LOOKUP(J225,[1]对照表!$N$3:$N$24,[1]对照表!$P$3:$P$24),LOOKUP(J225,[1]对照表!$N$27:$N$48,[1]对照表!$P$27:$P$48)),IF(B225="高一",IF($E225="男",LOOKUP(J225,[1]对照表!$M$3:$M$24,[1]对照表!$P$3:$P$24),LOOKUP(J225,[1]对照表!$M$27:$M$48,[1]对照表!$P$27:$P$48)))))</f>
        <v>76</v>
      </c>
      <c r="L225" s="21">
        <v>50</v>
      </c>
      <c r="M225" s="32">
        <f>IF(B225="高三",IF($E225="男",LOOKUP(L225,[1]对照表!$S$3:$S$24,[1]对照表!$T$3:$T$24),LOOKUP(L225,[1]对照表!$S$27:$S$48,[1]对照表!$T$27:$T$48)),IF(B225="高二",IF($E225="男",LOOKUP(L225,[1]对照表!$R$3:$R$24,[1]对照表!$T$3:$T$24),LOOKUP(L225,[1]对照表!$R$27:$R$48,[1]对照表!$T$27:$T$48)),IF(B225="高一",IF($E225="男",LOOKUP(L225,[1]对照表!$Q$3:$Q$24,[1]对照表!$T$3:$T$24),LOOKUP(L225,[1]对照表!$Q$27:$Q$48,[1]对照表!$T$27:$T$48)))))</f>
        <v>90</v>
      </c>
      <c r="N225" s="33">
        <f>IF(B225="高三",MAX(IF(E225="男",L225-18,L225-55),0),IF(B225="高二",MAX(IF(E225="男",L225-17,L225-54),0),IF(B225="高一",MAX(IF(E225="男",L225-16,L225-53),0))))</f>
        <v>0</v>
      </c>
      <c r="O225" s="23">
        <f>IF(E225="男",LOOKUP($N225,[1]对照表!$Z$3:$Z$13,[1]对照表!$AA$3:$AA$13),LOOKUP($N225,[1]对照表!$Z$15:$Z$25,[1]对照表!$AA$15:$AA$25))</f>
        <v>0</v>
      </c>
      <c r="P225" s="24">
        <f>M225+O225</f>
        <v>90</v>
      </c>
      <c r="Q225" s="25">
        <v>3.41</v>
      </c>
      <c r="R225" s="32">
        <f>IF(B225="高三",IF($E225="男",LOOKUP(Q225,[1]对照表!$W$3:$W$24,[1]对照表!$X$3:$X$24),LOOKUP(Q225,[1]对照表!$W$27:$W$48,[1]对照表!$X$27:$X$48)),IF(B225="高二",IF($E225="男",LOOKUP(Q225,[1]对照表!$V$3:$V$24,[1]对照表!$X$3:$X$24),LOOKUP(Q225,[1]对照表!$V$27:$V$48,[1]对照表!$X$27:$X$48)),IF(B225="高一",IF($E225="男",LOOKUP(Q225,[1]对照表!$U$3:$U$24,[1]对照表!$X$3:$X$24),LOOKUP(Q225,[1]对照表!$U$27:$U$48,[1]对照表!$X$27:$X$48)))))</f>
        <v>85</v>
      </c>
      <c r="S225" s="33">
        <f>ROUND(IF(IF($B225="高三",MIN(IF($E225="男",$Q225-3.2,$Q225-3.2),0),IF($B225="高二",MIN(IF($E225="男",$Q225-3.25,$Q225-3.22),0),IF($B225="高一",MIN(IF($E225="男",$Q225-3.3,$Q225-3.24),0))))&lt;-0.6,IF($B225="高三",MIN(IF($E225="男",$Q225-3.2,$Q225-3.2),0),IF($B225="高二",MIN(IF($E225="男",$Q225-3.25,$Q225-3.22),0),IF($B225="高一",MIN(IF($E225="男",$Q225-3.3,$Q225-3.24),0))))+0.4,IF($B225="高三",MIN(IF($E225="男",$Q225-3.2,$Q225-3.2),0),IF($B225="高二",MIN(IF($E225="男",$Q225-3.25,$Q225-3.22),0),IF($B225="高一",MIN(IF($E225="男",$Q225-3.3,$Q225-3.24),0))))),2)</f>
        <v>0</v>
      </c>
      <c r="T225" s="23">
        <f>IF(E225="男",LOOKUP($S225,[1]对照表!$AB$3:$AB$13,[1]对照表!$AC$3:$AC$13),LOOKUP($S225,[1]对照表!$AB$15:$AB$25,[1]对照表!$AC$15:$AC$25))</f>
        <v>0</v>
      </c>
      <c r="U225" s="26">
        <f>R225+T225</f>
        <v>85</v>
      </c>
      <c r="V225" s="26">
        <f>SUM(I225,K225,M225)/3*0.3+SUM(G225,R225)/2*0.4</f>
        <v>55.599999999999994</v>
      </c>
      <c r="W225" s="27">
        <f>O225+T225</f>
        <v>0</v>
      </c>
      <c r="X225" s="28">
        <f>V225/0.7+W225</f>
        <v>79.428571428571431</v>
      </c>
      <c r="Y225" s="28">
        <v>79.428571428571431</v>
      </c>
      <c r="Z225" s="21"/>
    </row>
    <row r="226" spans="1:26" x14ac:dyDescent="0.25">
      <c r="A226" s="16">
        <v>3</v>
      </c>
      <c r="B226" s="17" t="s">
        <v>21</v>
      </c>
      <c r="C226" s="16">
        <v>106</v>
      </c>
      <c r="D226" s="18" t="s">
        <v>541</v>
      </c>
      <c r="E226" s="17" t="s">
        <v>23</v>
      </c>
      <c r="F226" s="19">
        <v>7.9</v>
      </c>
      <c r="G226" s="32">
        <f>IF(B226="高三",IF($E226="男",LOOKUP(F226,[1]对照表!$G$3:$G$24,[1]对照表!$H$3:$H$24),LOOKUP(F226,[1]对照表!$G$27:$G$48,[1]对照表!$H$27:$H$48)),IF(B226="高二",IF($E226="男",LOOKUP(F226,[1]对照表!$F$3:$F$24,[1]对照表!$H$3:$H$24),LOOKUP(F226,[1]对照表!$F$27:$F$48,[1]对照表!$H$27:$H$48)),IF(B226="高一",IF($E226="男",LOOKUP(F226,[1]对照表!$E$3:$E$24,[1]对照表!$H$3:$H$24),LOOKUP(F226,[1]对照表!$E$27:$E$48,[1]对照表!$H$27:$H$48)))))</f>
        <v>76</v>
      </c>
      <c r="H226" s="21">
        <v>5.5</v>
      </c>
      <c r="I226" s="32">
        <f>IF(B226="高三",IF($E226="男",LOOKUP(H226,[1]对照表!$K$3:$K$24,[1]对照表!$L$3:$L$24),LOOKUP(H226,[1]对照表!$K$27:$K$48,[1]对照表!$L$27:$L$48)),IF(B226="高二",IF($E226="男",LOOKUP(H226,[1]对照表!$J$3:$J$24,[1]对照表!$L$3:$L$24),LOOKUP(H226,[1]对照表!$J$27:$J$48,[1]对照表!$L$27:$L$48)),IF(B226="高一",IF($E226="男",LOOKUP(H226,[1]对照表!$I$3:$I$24,[1]对照表!$L$3:$L$24),LOOKUP(H226,[1]对照表!$I$27:$I$48,[1]对照表!$L$27:$L$48)))))</f>
        <v>66</v>
      </c>
      <c r="J226" s="21">
        <v>205</v>
      </c>
      <c r="K226" s="32">
        <f>IF(B226="高三",IF($E226="男",LOOKUP(J226,[1]对照表!$O$3:$O$24,[1]对照表!$P$3:$P$24),LOOKUP(J226,[1]对照表!$O$27:$O$48,[1]对照表!$P$27:$P$48)),IF(B226="高二",IF($E226="男",LOOKUP(J226,[1]对照表!$N$3:$N$24,[1]对照表!$P$3:$P$24),LOOKUP(J226,[1]对照表!$N$27:$N$48,[1]对照表!$P$27:$P$48)),IF(B226="高一",IF($E226="男",LOOKUP(J226,[1]对照表!$M$3:$M$24,[1]对照表!$P$3:$P$24),LOOKUP(J226,[1]对照表!$M$27:$M$48,[1]对照表!$P$27:$P$48)))))</f>
        <v>64</v>
      </c>
      <c r="L226" s="21">
        <v>0</v>
      </c>
      <c r="M226" s="32">
        <f>IF(B226="高三",IF($E226="男",LOOKUP(L226,[1]对照表!$S$3:$S$24,[1]对照表!$T$3:$T$24),LOOKUP(L226,[1]对照表!$S$27:$S$48,[1]对照表!$T$27:$T$48)),IF(B226="高二",IF($E226="男",LOOKUP(L226,[1]对照表!$R$3:$R$24,[1]对照表!$T$3:$T$24),LOOKUP(L226,[1]对照表!$R$27:$R$48,[1]对照表!$T$27:$T$48)),IF(B226="高一",IF($E226="男",LOOKUP(L226,[1]对照表!$Q$3:$Q$24,[1]对照表!$T$3:$T$24),LOOKUP(L226,[1]对照表!$Q$27:$Q$48,[1]对照表!$T$27:$T$48)))))</f>
        <v>0</v>
      </c>
      <c r="N226" s="33">
        <f>IF(B226="高三",MAX(IF(E226="男",L226-18,L226-55),0),IF(B226="高二",MAX(IF(E226="男",L226-17,L226-54),0),IF(B226="高一",MAX(IF(E226="男",L226-16,L226-53),0))))</f>
        <v>0</v>
      </c>
      <c r="O226" s="23">
        <f>IF(E226="男",LOOKUP($N226,[1]对照表!$Z$3:$Z$13,[1]对照表!$AA$3:$AA$13),LOOKUP($N226,[1]对照表!$Z$15:$Z$25,[1]对照表!$AA$15:$AA$25))</f>
        <v>0</v>
      </c>
      <c r="P226" s="24">
        <f>M226+O226</f>
        <v>0</v>
      </c>
      <c r="Q226" s="25">
        <v>3.47</v>
      </c>
      <c r="R226" s="32">
        <f>IF(B226="高三",IF($E226="男",LOOKUP(Q226,[1]对照表!$W$3:$W$24,[1]对照表!$X$3:$X$24),LOOKUP(Q226,[1]对照表!$W$27:$W$48,[1]对照表!$X$27:$X$48)),IF(B226="高二",IF($E226="男",LOOKUP(Q226,[1]对照表!$V$3:$V$24,[1]对照表!$X$3:$X$24),LOOKUP(Q226,[1]对照表!$V$27:$V$48,[1]对照表!$X$27:$X$48)),IF(B226="高一",IF($E226="男",LOOKUP(Q226,[1]对照表!$U$3:$U$24,[1]对照表!$X$3:$X$24),LOOKUP(Q226,[1]对照表!$U$27:$U$48,[1]对照表!$X$27:$X$48)))))</f>
        <v>85</v>
      </c>
      <c r="S226" s="33">
        <f>ROUND(IF(IF($B226="高三",MIN(IF($E226="男",$Q226-3.2,$Q226-3.2),0),IF($B226="高二",MIN(IF($E226="男",$Q226-3.25,$Q226-3.22),0),IF($B226="高一",MIN(IF($E226="男",$Q226-3.3,$Q226-3.24),0))))&lt;-0.6,IF($B226="高三",MIN(IF($E226="男",$Q226-3.2,$Q226-3.2),0),IF($B226="高二",MIN(IF($E226="男",$Q226-3.25,$Q226-3.22),0),IF($B226="高一",MIN(IF($E226="男",$Q226-3.3,$Q226-3.24),0))))+0.4,IF($B226="高三",MIN(IF($E226="男",$Q226-3.2,$Q226-3.2),0),IF($B226="高二",MIN(IF($E226="男",$Q226-3.25,$Q226-3.22),0),IF($B226="高一",MIN(IF($E226="男",$Q226-3.3,$Q226-3.24),0))))),2)</f>
        <v>0</v>
      </c>
      <c r="T226" s="23">
        <f>IF(E226="男",LOOKUP($S226,[1]对照表!$AB$3:$AB$13,[1]对照表!$AC$3:$AC$13),LOOKUP($S226,[1]对照表!$AB$15:$AB$25,[1]对照表!$AC$15:$AC$25))</f>
        <v>0</v>
      </c>
      <c r="U226" s="26">
        <f>R226+T226</f>
        <v>85</v>
      </c>
      <c r="V226" s="26">
        <f>SUM(I226,K226,M226)/3*0.3+SUM(G226,R226)/2*0.4</f>
        <v>45.2</v>
      </c>
      <c r="W226" s="27">
        <f>O226+T226</f>
        <v>0</v>
      </c>
      <c r="X226" s="28">
        <f>V226/0.7+W226</f>
        <v>64.571428571428584</v>
      </c>
      <c r="Y226" s="28">
        <v>64.571428571428584</v>
      </c>
      <c r="Z226" s="21"/>
    </row>
    <row r="227" spans="1:26" x14ac:dyDescent="0.25">
      <c r="A227" s="16">
        <v>43</v>
      </c>
      <c r="B227" s="17" t="s">
        <v>21</v>
      </c>
      <c r="C227" s="16">
        <v>106</v>
      </c>
      <c r="D227" s="18" t="s">
        <v>553</v>
      </c>
      <c r="E227" s="17" t="s">
        <v>65</v>
      </c>
      <c r="F227" s="19">
        <v>9</v>
      </c>
      <c r="G227" s="32">
        <f>IF(B227="高三",IF($E227="男",LOOKUP(F227,[1]对照表!$G$3:$G$24,[1]对照表!$H$3:$H$24),LOOKUP(F227,[1]对照表!$G$27:$G$48,[1]对照表!$H$27:$H$48)),IF(B227="高二",IF($E227="男",LOOKUP(F227,[1]对照表!$F$3:$F$24,[1]对照表!$H$3:$H$24),LOOKUP(F227,[1]对照表!$F$27:$F$48,[1]对照表!$H$27:$H$48)),IF(B227="高一",IF($E227="男",LOOKUP(F227,[1]对照表!$E$3:$E$24,[1]对照表!$H$3:$H$24),LOOKUP(F227,[1]对照表!$E$27:$E$48,[1]对照表!$H$27:$H$48)))))</f>
        <v>76</v>
      </c>
      <c r="H227" s="21">
        <v>21</v>
      </c>
      <c r="I227" s="32">
        <f>IF(B227="高三",IF($E227="男",LOOKUP(H227,[1]对照表!$K$3:$K$24,[1]对照表!$L$3:$L$24),LOOKUP(H227,[1]对照表!$K$27:$K$48,[1]对照表!$L$27:$L$48)),IF(B227="高二",IF($E227="男",LOOKUP(H227,[1]对照表!$J$3:$J$24,[1]对照表!$L$3:$L$24),LOOKUP(H227,[1]对照表!$J$27:$J$48,[1]对照表!$L$27:$L$48)),IF(B227="高一",IF($E227="男",LOOKUP(H227,[1]对照表!$I$3:$I$24,[1]对照表!$L$3:$L$24),LOOKUP(H227,[1]对照表!$I$27:$I$48,[1]对照表!$L$27:$L$48)))))</f>
        <v>90</v>
      </c>
      <c r="J227" s="21">
        <v>165</v>
      </c>
      <c r="K227" s="32">
        <f>IF(B227="高三",IF($E227="男",LOOKUP(J227,[1]对照表!$O$3:$O$24,[1]对照表!$P$3:$P$24),LOOKUP(J227,[1]对照表!$O$27:$O$48,[1]对照表!$P$27:$P$48)),IF(B227="高二",IF($E227="男",LOOKUP(J227,[1]对照表!$N$3:$N$24,[1]对照表!$P$3:$P$24),LOOKUP(J227,[1]对照表!$N$27:$N$48,[1]对照表!$P$27:$P$48)),IF(B227="高一",IF($E227="男",LOOKUP(J227,[1]对照表!$M$3:$M$24,[1]对照表!$P$3:$P$24),LOOKUP(J227,[1]对照表!$M$27:$M$48,[1]对照表!$P$27:$P$48)))))</f>
        <v>70</v>
      </c>
      <c r="L227" s="21">
        <v>53</v>
      </c>
      <c r="M227" s="32">
        <f>IF(B227="高三",IF($E227="男",LOOKUP(L227,[1]对照表!$S$3:$S$24,[1]对照表!$T$3:$T$24),LOOKUP(L227,[1]对照表!$S$27:$S$48,[1]对照表!$T$27:$T$48)),IF(B227="高二",IF($E227="男",LOOKUP(L227,[1]对照表!$R$3:$R$24,[1]对照表!$T$3:$T$24),LOOKUP(L227,[1]对照表!$R$27:$R$48,[1]对照表!$T$27:$T$48)),IF(B227="高一",IF($E227="男",LOOKUP(L227,[1]对照表!$Q$3:$Q$24,[1]对照表!$T$3:$T$24),LOOKUP(L227,[1]对照表!$Q$27:$Q$48,[1]对照表!$T$27:$T$48)))))</f>
        <v>100</v>
      </c>
      <c r="N227" s="33">
        <f>IF(B227="高三",MAX(IF(E227="男",L227-18,L227-55),0),IF(B227="高二",MAX(IF(E227="男",L227-17,L227-54),0),IF(B227="高一",MAX(IF(E227="男",L227-16,L227-53),0))))</f>
        <v>0</v>
      </c>
      <c r="O227" s="23">
        <f>IF(E227="男",LOOKUP($N227,[1]对照表!$Z$3:$Z$13,[1]对照表!$AA$3:$AA$13),LOOKUP($N227,[1]对照表!$Z$15:$Z$25,[1]对照表!$AA$15:$AA$25))</f>
        <v>0</v>
      </c>
      <c r="P227" s="24">
        <f>M227+O227</f>
        <v>100</v>
      </c>
      <c r="Q227" s="25">
        <v>3.47</v>
      </c>
      <c r="R227" s="32">
        <f>IF(B227="高三",IF($E227="男",LOOKUP(Q227,[1]对照表!$W$3:$W$24,[1]对照表!$X$3:$X$24),LOOKUP(Q227,[1]对照表!$W$27:$W$48,[1]对照表!$X$27:$X$48)),IF(B227="高二",IF($E227="男",LOOKUP(Q227,[1]对照表!$V$3:$V$24,[1]对照表!$X$3:$X$24),LOOKUP(Q227,[1]对照表!$V$27:$V$48,[1]对照表!$X$27:$X$48)),IF(B227="高一",IF($E227="男",LOOKUP(Q227,[1]对照表!$U$3:$U$24,[1]对照表!$X$3:$X$24),LOOKUP(Q227,[1]对照表!$U$27:$U$48,[1]对照表!$X$27:$X$48)))))</f>
        <v>80</v>
      </c>
      <c r="S227" s="33">
        <f>ROUND(IF(IF($B227="高三",MIN(IF($E227="男",$Q227-3.2,$Q227-3.2),0),IF($B227="高二",MIN(IF($E227="男",$Q227-3.25,$Q227-3.22),0),IF($B227="高一",MIN(IF($E227="男",$Q227-3.3,$Q227-3.24),0))))&lt;-0.6,IF($B227="高三",MIN(IF($E227="男",$Q227-3.2,$Q227-3.2),0),IF($B227="高二",MIN(IF($E227="男",$Q227-3.25,$Q227-3.22),0),IF($B227="高一",MIN(IF($E227="男",$Q227-3.3,$Q227-3.24),0))))+0.4,IF($B227="高三",MIN(IF($E227="男",$Q227-3.2,$Q227-3.2),0),IF($B227="高二",MIN(IF($E227="男",$Q227-3.25,$Q227-3.22),0),IF($B227="高一",MIN(IF($E227="男",$Q227-3.3,$Q227-3.24),0))))),2)</f>
        <v>0</v>
      </c>
      <c r="T227" s="23">
        <f>IF(E227="男",LOOKUP($S227,[1]对照表!$AB$3:$AB$13,[1]对照表!$AC$3:$AC$13),LOOKUP($S227,[1]对照表!$AB$15:$AB$25,[1]对照表!$AC$15:$AC$25))</f>
        <v>0</v>
      </c>
      <c r="U227" s="26">
        <f>R227+T227</f>
        <v>80</v>
      </c>
      <c r="V227" s="26">
        <f>SUM(I227,K227,M227)/3*0.3+SUM(G227,R227)/2*0.4</f>
        <v>57.2</v>
      </c>
      <c r="W227" s="27">
        <f>O227+T227</f>
        <v>0</v>
      </c>
      <c r="X227" s="28">
        <f>V227/0.7+W227</f>
        <v>81.714285714285722</v>
      </c>
      <c r="Y227" s="28">
        <v>81.714285714285722</v>
      </c>
      <c r="Z227" s="21"/>
    </row>
    <row r="228" spans="1:26" x14ac:dyDescent="0.25">
      <c r="A228" s="16">
        <v>20</v>
      </c>
      <c r="B228" s="17" t="s">
        <v>21</v>
      </c>
      <c r="C228" s="16">
        <v>106</v>
      </c>
      <c r="D228" s="18" t="s">
        <v>596</v>
      </c>
      <c r="E228" s="31" t="s">
        <v>65</v>
      </c>
      <c r="F228" s="19">
        <v>8.6</v>
      </c>
      <c r="G228" s="32">
        <f>IF(B228="高三",IF($E228="男",LOOKUP(F228,[1]对照表!$G$3:$G$24,[1]对照表!$H$3:$H$24),LOOKUP(F228,[1]对照表!$G$27:$G$48,[1]对照表!$H$27:$H$48)),IF(B228="高二",IF($E228="男",LOOKUP(F228,[1]对照表!$F$3:$F$24,[1]对照表!$H$3:$H$24),LOOKUP(F228,[1]对照表!$F$27:$F$48,[1]对照表!$H$27:$H$48)),IF(B228="高一",IF($E228="男",LOOKUP(F228,[1]对照表!$E$3:$E$24,[1]对照表!$H$3:$H$24),LOOKUP(F228,[1]对照表!$E$27:$E$48,[1]对照表!$H$27:$H$48)))))</f>
        <v>80</v>
      </c>
      <c r="H228" s="21">
        <v>15</v>
      </c>
      <c r="I228" s="32">
        <f>IF(B228="高三",IF($E228="男",LOOKUP(H228,[1]对照表!$K$3:$K$24,[1]对照表!$L$3:$L$24),LOOKUP(H228,[1]对照表!$K$27:$K$48,[1]对照表!$L$27:$L$48)),IF(B228="高二",IF($E228="男",LOOKUP(H228,[1]对照表!$J$3:$J$24,[1]对照表!$L$3:$L$24),LOOKUP(H228,[1]对照表!$J$27:$J$48,[1]对照表!$L$27:$L$48)),IF(B228="高一",IF($E228="男",LOOKUP(H228,[1]对照表!$I$3:$I$24,[1]对照表!$L$3:$L$24),LOOKUP(H228,[1]对照表!$I$27:$I$48,[1]对照表!$L$27:$L$48)))))</f>
        <v>76</v>
      </c>
      <c r="J228" s="21">
        <v>146</v>
      </c>
      <c r="K228" s="32">
        <f>IF(B228="高三",IF($E228="男",LOOKUP(J228,[1]对照表!$O$3:$O$24,[1]对照表!$P$3:$P$24),LOOKUP(J228,[1]对照表!$O$27:$O$48,[1]对照表!$P$27:$P$48)),IF(B228="高二",IF($E228="男",LOOKUP(J228,[1]对照表!$N$3:$N$24,[1]对照表!$P$3:$P$24),LOOKUP(J228,[1]对照表!$N$27:$N$48,[1]对照表!$P$27:$P$48)),IF(B228="高一",IF($E228="男",LOOKUP(J228,[1]对照表!$M$3:$M$24,[1]对照表!$P$3:$P$24),LOOKUP(J228,[1]对照表!$M$27:$M$48,[1]对照表!$P$27:$P$48)))))</f>
        <v>50</v>
      </c>
      <c r="L228" s="21">
        <v>49</v>
      </c>
      <c r="M228" s="32">
        <f>IF(B228="高三",IF($E228="男",LOOKUP(L228,[1]对照表!$S$3:$S$24,[1]对照表!$T$3:$T$24),LOOKUP(L228,[1]对照表!$S$27:$S$48,[1]对照表!$T$27:$T$48)),IF(B228="高二",IF($E228="男",LOOKUP(L228,[1]对照表!$R$3:$R$24,[1]对照表!$T$3:$T$24),LOOKUP(L228,[1]对照表!$R$27:$R$48,[1]对照表!$T$27:$T$48)),IF(B228="高一",IF($E228="男",LOOKUP(L228,[1]对照表!$Q$3:$Q$24,[1]对照表!$T$3:$T$24),LOOKUP(L228,[1]对照表!$Q$27:$Q$48,[1]对照表!$T$27:$T$48)))))</f>
        <v>90</v>
      </c>
      <c r="N228" s="33">
        <f>IF(B228="高三",MAX(IF(E228="男",L228-18,L228-55),0),IF(B228="高二",MAX(IF(E228="男",L228-17,L228-54),0),IF(B228="高一",MAX(IF(E228="男",L228-16,L228-53),0))))</f>
        <v>0</v>
      </c>
      <c r="O228" s="23">
        <f>IF(E228="男",LOOKUP($N228,[1]对照表!$Z$3:$Z$13,[1]对照表!$AA$3:$AA$13),LOOKUP($N228,[1]对照表!$Z$15:$Z$25,[1]对照表!$AA$15:$AA$25))</f>
        <v>0</v>
      </c>
      <c r="P228" s="24">
        <f>M228+O228</f>
        <v>90</v>
      </c>
      <c r="Q228" s="25">
        <v>3.5</v>
      </c>
      <c r="R228" s="32">
        <f>IF(B228="高三",IF($E228="男",LOOKUP(Q228,[1]对照表!$W$3:$W$24,[1]对照表!$X$3:$X$24),LOOKUP(Q228,[1]对照表!$W$27:$W$48,[1]对照表!$X$27:$X$48)),IF(B228="高二",IF($E228="男",LOOKUP(Q228,[1]对照表!$V$3:$V$24,[1]对照表!$X$3:$X$24),LOOKUP(Q228,[1]对照表!$V$27:$V$48,[1]对照表!$X$27:$X$48)),IF(B228="高一",IF($E228="男",LOOKUP(Q228,[1]对照表!$U$3:$U$24,[1]对照表!$X$3:$X$24),LOOKUP(Q228,[1]对照表!$U$27:$U$48,[1]对照表!$X$27:$X$48)))))</f>
        <v>80</v>
      </c>
      <c r="S228" s="33">
        <f>ROUND(IF(IF($B228="高三",MIN(IF($E228="男",$Q228-3.2,$Q228-3.2),0),IF($B228="高二",MIN(IF($E228="男",$Q228-3.25,$Q228-3.22),0),IF($B228="高一",MIN(IF($E228="男",$Q228-3.3,$Q228-3.24),0))))&lt;-0.6,IF($B228="高三",MIN(IF($E228="男",$Q228-3.2,$Q228-3.2),0),IF($B228="高二",MIN(IF($E228="男",$Q228-3.25,$Q228-3.22),0),IF($B228="高一",MIN(IF($E228="男",$Q228-3.3,$Q228-3.24),0))))+0.4,IF($B228="高三",MIN(IF($E228="男",$Q228-3.2,$Q228-3.2),0),IF($B228="高二",MIN(IF($E228="男",$Q228-3.25,$Q228-3.22),0),IF($B228="高一",MIN(IF($E228="男",$Q228-3.3,$Q228-3.24),0))))),2)</f>
        <v>0</v>
      </c>
      <c r="T228" s="23">
        <f>IF(E228="男",LOOKUP($S228,[1]对照表!$AB$3:$AB$13,[1]对照表!$AC$3:$AC$13),LOOKUP($S228,[1]对照表!$AB$15:$AB$25,[1]对照表!$AC$15:$AC$25))</f>
        <v>0</v>
      </c>
      <c r="U228" s="26">
        <f>R228+T228</f>
        <v>80</v>
      </c>
      <c r="V228" s="26">
        <f>SUM(I228,K228,M228)/3*0.3+SUM(G228,R228)/2*0.4</f>
        <v>53.599999999999994</v>
      </c>
      <c r="W228" s="27">
        <f>O228+T228</f>
        <v>0</v>
      </c>
      <c r="X228" s="28">
        <f>V228/0.7+W228</f>
        <v>76.571428571428569</v>
      </c>
      <c r="Y228" s="28">
        <v>76.571428571428569</v>
      </c>
      <c r="Z228" s="21"/>
    </row>
    <row r="229" spans="1:26" x14ac:dyDescent="0.25">
      <c r="A229" s="16">
        <v>15</v>
      </c>
      <c r="B229" s="17" t="s">
        <v>21</v>
      </c>
      <c r="C229" s="16">
        <v>106</v>
      </c>
      <c r="D229" s="18" t="s">
        <v>616</v>
      </c>
      <c r="E229" s="17" t="s">
        <v>65</v>
      </c>
      <c r="F229" s="19">
        <v>9.8000000000000007</v>
      </c>
      <c r="G229" s="32">
        <f>IF(B229="高三",IF($E229="男",LOOKUP(F229,[1]对照表!$G$3:$G$24,[1]对照表!$H$3:$H$24),LOOKUP(F229,[1]对照表!$G$27:$G$48,[1]对照表!$H$27:$H$48)),IF(B229="高二",IF($E229="男",LOOKUP(F229,[1]对照表!$F$3:$F$24,[1]对照表!$H$3:$H$24),LOOKUP(F229,[1]对照表!$F$27:$F$48,[1]对照表!$H$27:$H$48)),IF(B229="高一",IF($E229="男",LOOKUP(F229,[1]对照表!$E$3:$E$24,[1]对照表!$H$3:$H$24),LOOKUP(F229,[1]对照表!$E$27:$E$48,[1]对照表!$H$27:$H$48)))))</f>
        <v>68</v>
      </c>
      <c r="H229" s="21">
        <v>29.5</v>
      </c>
      <c r="I229" s="32">
        <f>IF(B229="高三",IF($E229="男",LOOKUP(H229,[1]对照表!$K$3:$K$24,[1]对照表!$L$3:$L$24),LOOKUP(H229,[1]对照表!$K$27:$K$48,[1]对照表!$L$27:$L$48)),IF(B229="高二",IF($E229="男",LOOKUP(H229,[1]对照表!$J$3:$J$24,[1]对照表!$L$3:$L$24),LOOKUP(H229,[1]对照表!$J$27:$J$48,[1]对照表!$L$27:$L$48)),IF(B229="高一",IF($E229="男",LOOKUP(H229,[1]对照表!$I$3:$I$24,[1]对照表!$L$3:$L$24),LOOKUP(H229,[1]对照表!$I$27:$I$48,[1]对照表!$L$27:$L$48)))))</f>
        <v>100</v>
      </c>
      <c r="J229" s="21">
        <v>178</v>
      </c>
      <c r="K229" s="32">
        <f>IF(B229="高三",IF($E229="男",LOOKUP(J229,[1]对照表!$O$3:$O$24,[1]对照表!$P$3:$P$24),LOOKUP(J229,[1]对照表!$O$27:$O$48,[1]对照表!$P$27:$P$48)),IF(B229="高二",IF($E229="男",LOOKUP(J229,[1]对照表!$N$3:$N$24,[1]对照表!$P$3:$P$24),LOOKUP(J229,[1]对照表!$N$27:$N$48,[1]对照表!$P$27:$P$48)),IF(B229="高一",IF($E229="男",LOOKUP(J229,[1]对照表!$M$3:$M$24,[1]对照表!$P$3:$P$24),LOOKUP(J229,[1]对照表!$M$27:$M$48,[1]对照表!$P$27:$P$48)))))</f>
        <v>80</v>
      </c>
      <c r="L229" s="21">
        <v>44</v>
      </c>
      <c r="M229" s="32">
        <f>IF(B229="高三",IF($E229="男",LOOKUP(L229,[1]对照表!$S$3:$S$24,[1]对照表!$T$3:$T$24),LOOKUP(L229,[1]对照表!$S$27:$S$48,[1]对照表!$T$27:$T$48)),IF(B229="高二",IF($E229="男",LOOKUP(L229,[1]对照表!$R$3:$R$24,[1]对照表!$T$3:$T$24),LOOKUP(L229,[1]对照表!$R$27:$R$48,[1]对照表!$T$27:$T$48)),IF(B229="高一",IF($E229="男",LOOKUP(L229,[1]对照表!$Q$3:$Q$24,[1]对照表!$T$3:$T$24),LOOKUP(L229,[1]对照表!$Q$27:$Q$48,[1]对照表!$T$27:$T$48)))))</f>
        <v>80</v>
      </c>
      <c r="N229" s="33">
        <f>IF(B229="高三",MAX(IF(E229="男",L229-18,L229-55),0),IF(B229="高二",MAX(IF(E229="男",L229-17,L229-54),0),IF(B229="高一",MAX(IF(E229="男",L229-16,L229-53),0))))</f>
        <v>0</v>
      </c>
      <c r="O229" s="23">
        <f>IF(E229="男",LOOKUP($N229,[1]对照表!$Z$3:$Z$13,[1]对照表!$AA$3:$AA$13),LOOKUP($N229,[1]对照表!$Z$15:$Z$25,[1]对照表!$AA$15:$AA$25))</f>
        <v>0</v>
      </c>
      <c r="P229" s="24">
        <f>M229+O229</f>
        <v>80</v>
      </c>
      <c r="Q229" s="25">
        <v>3.53</v>
      </c>
      <c r="R229" s="32">
        <f>IF(B229="高三",IF($E229="男",LOOKUP(Q229,[1]对照表!$W$3:$W$24,[1]对照表!$X$3:$X$24),LOOKUP(Q229,[1]对照表!$W$27:$W$48,[1]对照表!$X$27:$X$48)),IF(B229="高二",IF($E229="男",LOOKUP(Q229,[1]对照表!$V$3:$V$24,[1]对照表!$X$3:$X$24),LOOKUP(Q229,[1]对照表!$V$27:$V$48,[1]对照表!$X$27:$X$48)),IF(B229="高一",IF($E229="男",LOOKUP(Q229,[1]对照表!$U$3:$U$24,[1]对照表!$X$3:$X$24),LOOKUP(Q229,[1]对照表!$U$27:$U$48,[1]对照表!$X$27:$X$48)))))</f>
        <v>78</v>
      </c>
      <c r="S229" s="33">
        <f>ROUND(IF(IF($B229="高三",MIN(IF($E229="男",$Q229-3.2,$Q229-3.2),0),IF($B229="高二",MIN(IF($E229="男",$Q229-3.25,$Q229-3.22),0),IF($B229="高一",MIN(IF($E229="男",$Q229-3.3,$Q229-3.24),0))))&lt;-0.6,IF($B229="高三",MIN(IF($E229="男",$Q229-3.2,$Q229-3.2),0),IF($B229="高二",MIN(IF($E229="男",$Q229-3.25,$Q229-3.22),0),IF($B229="高一",MIN(IF($E229="男",$Q229-3.3,$Q229-3.24),0))))+0.4,IF($B229="高三",MIN(IF($E229="男",$Q229-3.2,$Q229-3.2),0),IF($B229="高二",MIN(IF($E229="男",$Q229-3.25,$Q229-3.22),0),IF($B229="高一",MIN(IF($E229="男",$Q229-3.3,$Q229-3.24),0))))),2)</f>
        <v>0</v>
      </c>
      <c r="T229" s="23">
        <f>IF(E229="男",LOOKUP($S229,[1]对照表!$AB$3:$AB$13,[1]对照表!$AC$3:$AC$13),LOOKUP($S229,[1]对照表!$AB$15:$AB$25,[1]对照表!$AC$15:$AC$25))</f>
        <v>0</v>
      </c>
      <c r="U229" s="26">
        <f>R229+T229</f>
        <v>78</v>
      </c>
      <c r="V229" s="26">
        <f>SUM(I229,K229,M229)/3*0.3+SUM(G229,R229)/2*0.4</f>
        <v>55.2</v>
      </c>
      <c r="W229" s="27">
        <f>O229+T229</f>
        <v>0</v>
      </c>
      <c r="X229" s="28">
        <f>V229/0.7+W229</f>
        <v>78.857142857142861</v>
      </c>
      <c r="Y229" s="28">
        <v>78.857142857142861</v>
      </c>
      <c r="Z229" s="21"/>
    </row>
    <row r="230" spans="1:26" x14ac:dyDescent="0.25">
      <c r="A230" s="16">
        <v>36</v>
      </c>
      <c r="B230" s="17" t="s">
        <v>21</v>
      </c>
      <c r="C230" s="16">
        <v>106</v>
      </c>
      <c r="D230" s="18" t="s">
        <v>643</v>
      </c>
      <c r="E230" s="17" t="s">
        <v>65</v>
      </c>
      <c r="F230" s="19">
        <v>9.9700000000000006</v>
      </c>
      <c r="G230" s="32">
        <f>IF(B230="高三",IF($E230="男",LOOKUP(F230,[1]对照表!$G$3:$G$24,[1]对照表!$H$3:$H$24),LOOKUP(F230,[1]对照表!$G$27:$G$48,[1]对照表!$H$27:$H$48)),IF(B230="高二",IF($E230="男",LOOKUP(F230,[1]对照表!$F$3:$F$24,[1]对照表!$H$3:$H$24),LOOKUP(F230,[1]对照表!$F$27:$F$48,[1]对照表!$H$27:$H$48)),IF(B230="高一",IF($E230="男",LOOKUP(F230,[1]对照表!$E$3:$E$24,[1]对照表!$H$3:$H$24),LOOKUP(F230,[1]对照表!$E$27:$E$48,[1]对照表!$H$27:$H$48)))))</f>
        <v>66</v>
      </c>
      <c r="H230" s="21">
        <v>12.5</v>
      </c>
      <c r="I230" s="32">
        <f>IF(B230="高三",IF($E230="男",LOOKUP(H230,[1]对照表!$K$3:$K$24,[1]对照表!$L$3:$L$24),LOOKUP(H230,[1]对照表!$K$27:$K$48,[1]对照表!$L$27:$L$48)),IF(B230="高二",IF($E230="男",LOOKUP(H230,[1]对照表!$J$3:$J$24,[1]对照表!$L$3:$L$24),LOOKUP(H230,[1]对照表!$J$27:$J$48,[1]对照表!$L$27:$L$48)),IF(B230="高一",IF($E230="男",LOOKUP(H230,[1]对照表!$I$3:$I$24,[1]对照表!$L$3:$L$24),LOOKUP(H230,[1]对照表!$I$27:$I$48,[1]对照表!$L$27:$L$48)))))</f>
        <v>72</v>
      </c>
      <c r="J230" s="21">
        <v>153</v>
      </c>
      <c r="K230" s="32">
        <f>IF(B230="高三",IF($E230="男",LOOKUP(J230,[1]对照表!$O$3:$O$24,[1]对照表!$P$3:$P$24),LOOKUP(J230,[1]对照表!$O$27:$O$48,[1]对照表!$P$27:$P$48)),IF(B230="高二",IF($E230="男",LOOKUP(J230,[1]对照表!$N$3:$N$24,[1]对照表!$P$3:$P$24),LOOKUP(J230,[1]对照表!$N$27:$N$48,[1]对照表!$P$27:$P$48)),IF(B230="高一",IF($E230="男",LOOKUP(J230,[1]对照表!$M$3:$M$24,[1]对照表!$P$3:$P$24),LOOKUP(J230,[1]对照表!$M$27:$M$48,[1]对照表!$P$27:$P$48)))))</f>
        <v>62</v>
      </c>
      <c r="L230" s="21">
        <v>44</v>
      </c>
      <c r="M230" s="32">
        <f>IF(B230="高三",IF($E230="男",LOOKUP(L230,[1]对照表!$S$3:$S$24,[1]对照表!$T$3:$T$24),LOOKUP(L230,[1]对照表!$S$27:$S$48,[1]对照表!$T$27:$T$48)),IF(B230="高二",IF($E230="男",LOOKUP(L230,[1]对照表!$R$3:$R$24,[1]对照表!$T$3:$T$24),LOOKUP(L230,[1]对照表!$R$27:$R$48,[1]对照表!$T$27:$T$48)),IF(B230="高一",IF($E230="男",LOOKUP(L230,[1]对照表!$Q$3:$Q$24,[1]对照表!$T$3:$T$24),LOOKUP(L230,[1]对照表!$Q$27:$Q$48,[1]对照表!$T$27:$T$48)))))</f>
        <v>80</v>
      </c>
      <c r="N230" s="33">
        <f>IF(B230="高三",MAX(IF(E230="男",L230-18,L230-55),0),IF(B230="高二",MAX(IF(E230="男",L230-17,L230-54),0),IF(B230="高一",MAX(IF(E230="男",L230-16,L230-53),0))))</f>
        <v>0</v>
      </c>
      <c r="O230" s="23">
        <f>IF(E230="男",LOOKUP($N230,[1]对照表!$Z$3:$Z$13,[1]对照表!$AA$3:$AA$13),LOOKUP($N230,[1]对照表!$Z$15:$Z$25,[1]对照表!$AA$15:$AA$25))</f>
        <v>0</v>
      </c>
      <c r="P230" s="24">
        <f>M230+O230</f>
        <v>80</v>
      </c>
      <c r="Q230" s="25">
        <v>3.53</v>
      </c>
      <c r="R230" s="32">
        <f>IF(B230="高三",IF($E230="男",LOOKUP(Q230,[1]对照表!$W$3:$W$24,[1]对照表!$X$3:$X$24),LOOKUP(Q230,[1]对照表!$W$27:$W$48,[1]对照表!$X$27:$X$48)),IF(B230="高二",IF($E230="男",LOOKUP(Q230,[1]对照表!$V$3:$V$24,[1]对照表!$X$3:$X$24),LOOKUP(Q230,[1]对照表!$V$27:$V$48,[1]对照表!$X$27:$X$48)),IF(B230="高一",IF($E230="男",LOOKUP(Q230,[1]对照表!$U$3:$U$24,[1]对照表!$X$3:$X$24),LOOKUP(Q230,[1]对照表!$U$27:$U$48,[1]对照表!$X$27:$X$48)))))</f>
        <v>78</v>
      </c>
      <c r="S230" s="33">
        <f>ROUND(IF(IF($B230="高三",MIN(IF($E230="男",$Q230-3.2,$Q230-3.2),0),IF($B230="高二",MIN(IF($E230="男",$Q230-3.25,$Q230-3.22),0),IF($B230="高一",MIN(IF($E230="男",$Q230-3.3,$Q230-3.24),0))))&lt;-0.6,IF($B230="高三",MIN(IF($E230="男",$Q230-3.2,$Q230-3.2),0),IF($B230="高二",MIN(IF($E230="男",$Q230-3.25,$Q230-3.22),0),IF($B230="高一",MIN(IF($E230="男",$Q230-3.3,$Q230-3.24),0))))+0.4,IF($B230="高三",MIN(IF($E230="男",$Q230-3.2,$Q230-3.2),0),IF($B230="高二",MIN(IF($E230="男",$Q230-3.25,$Q230-3.22),0),IF($B230="高一",MIN(IF($E230="男",$Q230-3.3,$Q230-3.24),0))))),2)</f>
        <v>0</v>
      </c>
      <c r="T230" s="23">
        <f>IF(E230="男",LOOKUP($S230,[1]对照表!$AB$3:$AB$13,[1]对照表!$AC$3:$AC$13),LOOKUP($S230,[1]对照表!$AB$15:$AB$25,[1]对照表!$AC$15:$AC$25))</f>
        <v>0</v>
      </c>
      <c r="U230" s="26">
        <f>R230+T230</f>
        <v>78</v>
      </c>
      <c r="V230" s="26">
        <f>SUM(I230,K230,M230)/3*0.3+SUM(G230,R230)/2*0.4</f>
        <v>50.2</v>
      </c>
      <c r="W230" s="27">
        <f>O230+T230</f>
        <v>0</v>
      </c>
      <c r="X230" s="28">
        <f>V230/0.7+W230</f>
        <v>71.714285714285722</v>
      </c>
      <c r="Y230" s="28">
        <v>71.714285714285722</v>
      </c>
      <c r="Z230" s="21"/>
    </row>
    <row r="231" spans="1:26" x14ac:dyDescent="0.25">
      <c r="A231" s="16">
        <v>33</v>
      </c>
      <c r="B231" s="17" t="s">
        <v>21</v>
      </c>
      <c r="C231" s="16">
        <v>106</v>
      </c>
      <c r="D231" s="18" t="s">
        <v>646</v>
      </c>
      <c r="E231" s="17" t="s">
        <v>65</v>
      </c>
      <c r="F231" s="19">
        <v>9</v>
      </c>
      <c r="G231" s="32">
        <f>IF(B231="高三",IF($E231="男",LOOKUP(F231,[1]对照表!$G$3:$G$24,[1]对照表!$H$3:$H$24),LOOKUP(F231,[1]对照表!$G$27:$G$48,[1]对照表!$H$27:$H$48)),IF(B231="高二",IF($E231="男",LOOKUP(F231,[1]对照表!$F$3:$F$24,[1]对照表!$H$3:$H$24),LOOKUP(F231,[1]对照表!$F$27:$F$48,[1]对照表!$H$27:$H$48)),IF(B231="高一",IF($E231="男",LOOKUP(F231,[1]对照表!$E$3:$E$24,[1]对照表!$H$3:$H$24),LOOKUP(F231,[1]对照表!$E$27:$E$48,[1]对照表!$H$27:$H$48)))))</f>
        <v>76</v>
      </c>
      <c r="H231" s="21">
        <v>21</v>
      </c>
      <c r="I231" s="32">
        <f>IF(B231="高三",IF($E231="男",LOOKUP(H231,[1]对照表!$K$3:$K$24,[1]对照表!$L$3:$L$24),LOOKUP(H231,[1]对照表!$K$27:$K$48,[1]对照表!$L$27:$L$48)),IF(B231="高二",IF($E231="男",LOOKUP(H231,[1]对照表!$J$3:$J$24,[1]对照表!$L$3:$L$24),LOOKUP(H231,[1]对照表!$J$27:$J$48,[1]对照表!$L$27:$L$48)),IF(B231="高一",IF($E231="男",LOOKUP(H231,[1]对照表!$I$3:$I$24,[1]对照表!$L$3:$L$24),LOOKUP(H231,[1]对照表!$I$27:$I$48,[1]对照表!$L$27:$L$48)))))</f>
        <v>90</v>
      </c>
      <c r="J231" s="21">
        <v>185</v>
      </c>
      <c r="K231" s="32">
        <f>IF(B231="高三",IF($E231="男",LOOKUP(J231,[1]对照表!$O$3:$O$24,[1]对照表!$P$3:$P$24),LOOKUP(J231,[1]对照表!$O$27:$O$48,[1]对照表!$P$27:$P$48)),IF(B231="高二",IF($E231="男",LOOKUP(J231,[1]对照表!$N$3:$N$24,[1]对照表!$P$3:$P$24),LOOKUP(J231,[1]对照表!$N$27:$N$48,[1]对照表!$P$27:$P$48)),IF(B231="高一",IF($E231="男",LOOKUP(J231,[1]对照表!$M$3:$M$24,[1]对照表!$P$3:$P$24),LOOKUP(J231,[1]对照表!$M$27:$M$48,[1]对照表!$P$27:$P$48)))))</f>
        <v>85</v>
      </c>
      <c r="L231" s="21">
        <v>54</v>
      </c>
      <c r="M231" s="32">
        <f>IF(B231="高三",IF($E231="男",LOOKUP(L231,[1]对照表!$S$3:$S$24,[1]对照表!$T$3:$T$24),LOOKUP(L231,[1]对照表!$S$27:$S$48,[1]对照表!$T$27:$T$48)),IF(B231="高二",IF($E231="男",LOOKUP(L231,[1]对照表!$R$3:$R$24,[1]对照表!$T$3:$T$24),LOOKUP(L231,[1]对照表!$R$27:$R$48,[1]对照表!$T$27:$T$48)),IF(B231="高一",IF($E231="男",LOOKUP(L231,[1]对照表!$Q$3:$Q$24,[1]对照表!$T$3:$T$24),LOOKUP(L231,[1]对照表!$Q$27:$Q$48,[1]对照表!$T$27:$T$48)))))</f>
        <v>100</v>
      </c>
      <c r="N231" s="33">
        <f>IF(B231="高三",MAX(IF(E231="男",L231-18,L231-55),0),IF(B231="高二",MAX(IF(E231="男",L231-17,L231-54),0),IF(B231="高一",MAX(IF(E231="男",L231-16,L231-53),0))))</f>
        <v>1</v>
      </c>
      <c r="O231" s="23">
        <f>IF(E231="男",LOOKUP($N231,[1]对照表!$Z$3:$Z$13,[1]对照表!$AA$3:$AA$13),LOOKUP($N231,[1]对照表!$Z$15:$Z$25,[1]对照表!$AA$15:$AA$25))</f>
        <v>0</v>
      </c>
      <c r="P231" s="24">
        <f>M231+O231</f>
        <v>100</v>
      </c>
      <c r="Q231" s="25">
        <v>3.55</v>
      </c>
      <c r="R231" s="32">
        <f>IF(B231="高三",IF($E231="男",LOOKUP(Q231,[1]对照表!$W$3:$W$24,[1]对照表!$X$3:$X$24),LOOKUP(Q231,[1]对照表!$W$27:$W$48,[1]对照表!$X$27:$X$48)),IF(B231="高二",IF($E231="男",LOOKUP(Q231,[1]对照表!$V$3:$V$24,[1]对照表!$X$3:$X$24),LOOKUP(Q231,[1]对照表!$V$27:$V$48,[1]对照表!$X$27:$X$48)),IF(B231="高一",IF($E231="男",LOOKUP(Q231,[1]对照表!$U$3:$U$24,[1]对照表!$X$3:$X$24),LOOKUP(Q231,[1]对照表!$U$27:$U$48,[1]对照表!$X$27:$X$48)))))</f>
        <v>78</v>
      </c>
      <c r="S231" s="33">
        <f>ROUND(IF(IF($B231="高三",MIN(IF($E231="男",$Q231-3.2,$Q231-3.2),0),IF($B231="高二",MIN(IF($E231="男",$Q231-3.25,$Q231-3.22),0),IF($B231="高一",MIN(IF($E231="男",$Q231-3.3,$Q231-3.24),0))))&lt;-0.6,IF($B231="高三",MIN(IF($E231="男",$Q231-3.2,$Q231-3.2),0),IF($B231="高二",MIN(IF($E231="男",$Q231-3.25,$Q231-3.22),0),IF($B231="高一",MIN(IF($E231="男",$Q231-3.3,$Q231-3.24),0))))+0.4,IF($B231="高三",MIN(IF($E231="男",$Q231-3.2,$Q231-3.2),0),IF($B231="高二",MIN(IF($E231="男",$Q231-3.25,$Q231-3.22),0),IF($B231="高一",MIN(IF($E231="男",$Q231-3.3,$Q231-3.24),0))))),2)</f>
        <v>0</v>
      </c>
      <c r="T231" s="23">
        <f>IF(E231="男",LOOKUP($S231,[1]对照表!$AB$3:$AB$13,[1]对照表!$AC$3:$AC$13),LOOKUP($S231,[1]对照表!$AB$15:$AB$25,[1]对照表!$AC$15:$AC$25))</f>
        <v>0</v>
      </c>
      <c r="U231" s="26">
        <f>R231+T231</f>
        <v>78</v>
      </c>
      <c r="V231" s="26">
        <f>SUM(I231,K231,M231)/3*0.3+SUM(G231,R231)/2*0.4</f>
        <v>58.3</v>
      </c>
      <c r="W231" s="27">
        <f>O231+T231</f>
        <v>0</v>
      </c>
      <c r="X231" s="28">
        <f>V231/0.7+W231</f>
        <v>83.285714285714292</v>
      </c>
      <c r="Y231" s="28">
        <v>83.285714285714292</v>
      </c>
      <c r="Z231" s="21"/>
    </row>
    <row r="232" spans="1:26" x14ac:dyDescent="0.25">
      <c r="A232" s="16">
        <v>11</v>
      </c>
      <c r="B232" s="17" t="s">
        <v>21</v>
      </c>
      <c r="C232" s="16">
        <v>106</v>
      </c>
      <c r="D232" s="18" t="s">
        <v>655</v>
      </c>
      <c r="E232" s="17" t="s">
        <v>65</v>
      </c>
      <c r="F232" s="19" t="s">
        <v>656</v>
      </c>
      <c r="G232" s="32" t="str">
        <f>IF(B232="高三",IF($E232="男",LOOKUP(F232,[1]对照表!$G$3:$G$24,[1]对照表!$H$3:$H$24),LOOKUP(F232,[1]对照表!$G$27:$G$48,[1]对照表!$H$27:$H$48)),IF(B232="高二",IF($E232="男",LOOKUP(F232,[1]对照表!$F$3:$F$24,[1]对照表!$H$3:$H$24),LOOKUP(F232,[1]对照表!$F$27:$F$48,[1]对照表!$H$27:$H$48)),IF(B232="高一",IF($E232="男",LOOKUP(F232,[1]对照表!$E$3:$E$24,[1]对照表!$H$3:$H$24),LOOKUP(F232,[1]对照表!$E$27:$E$48,[1]对照表!$H$27:$H$48)))))</f>
        <v>/</v>
      </c>
      <c r="H232" s="21">
        <v>21</v>
      </c>
      <c r="I232" s="32">
        <f>IF(B232="高三",IF($E232="男",LOOKUP(H232,[1]对照表!$K$3:$K$24,[1]对照表!$L$3:$L$24),LOOKUP(H232,[1]对照表!$K$27:$K$48,[1]对照表!$L$27:$L$48)),IF(B232="高二",IF($E232="男",LOOKUP(H232,[1]对照表!$J$3:$J$24,[1]对照表!$L$3:$L$24),LOOKUP(H232,[1]对照表!$J$27:$J$48,[1]对照表!$L$27:$L$48)),IF(B232="高一",IF($E232="男",LOOKUP(H232,[1]对照表!$I$3:$I$24,[1]对照表!$L$3:$L$24),LOOKUP(H232,[1]对照表!$I$27:$I$48,[1]对照表!$L$27:$L$48)))))</f>
        <v>90</v>
      </c>
      <c r="J232" s="21" t="s">
        <v>657</v>
      </c>
      <c r="K232" s="32" t="str">
        <f>IF(B232="高三",IF($E232="男",LOOKUP(J232,[1]对照表!$O$3:$O$24,[1]对照表!$P$3:$P$24),LOOKUP(J232,[1]对照表!$O$27:$O$48,[1]对照表!$P$27:$P$48)),IF(B232="高二",IF($E232="男",LOOKUP(J232,[1]对照表!$N$3:$N$24,[1]对照表!$P$3:$P$24),LOOKUP(J232,[1]对照表!$N$27:$N$48,[1]对照表!$P$27:$P$48)),IF(B232="高一",IF($E232="男",LOOKUP(J232,[1]对照表!$M$3:$M$24,[1]对照表!$P$3:$P$24),LOOKUP(J232,[1]对照表!$M$27:$M$48,[1]对照表!$P$27:$P$48)))))</f>
        <v>/</v>
      </c>
      <c r="L232" s="21">
        <v>35</v>
      </c>
      <c r="M232" s="32">
        <f>IF(B232="高三",IF($E232="男",LOOKUP(L232,[1]对照表!$S$3:$S$24,[1]对照表!$T$3:$T$24),LOOKUP(L232,[1]对照表!$S$27:$S$48,[1]对照表!$T$27:$T$48)),IF(B232="高二",IF($E232="男",LOOKUP(L232,[1]对照表!$R$3:$R$24,[1]对照表!$T$3:$T$24),LOOKUP(L232,[1]对照表!$R$27:$R$48,[1]对照表!$T$27:$T$48)),IF(B232="高一",IF($E232="男",LOOKUP(L232,[1]对照表!$Q$3:$Q$24,[1]对照表!$T$3:$T$24),LOOKUP(L232,[1]对照表!$Q$27:$Q$48,[1]对照表!$T$27:$T$48)))))</f>
        <v>72</v>
      </c>
      <c r="N232" s="33">
        <f>IF(B232="高三",MAX(IF(E232="男",L232-18,L232-55),0),IF(B232="高二",MAX(IF(E232="男",L232-17,L232-54),0),IF(B232="高一",MAX(IF(E232="男",L232-16,L232-53),0))))</f>
        <v>0</v>
      </c>
      <c r="O232" s="23">
        <f>IF(E232="男",LOOKUP($N232,[1]对照表!$Z$3:$Z$13,[1]对照表!$AA$3:$AA$13),LOOKUP($N232,[1]对照表!$Z$15:$Z$25,[1]对照表!$AA$15:$AA$25))</f>
        <v>0</v>
      </c>
      <c r="P232" s="24">
        <f>M232+O232</f>
        <v>72</v>
      </c>
      <c r="Q232" s="25">
        <v>3.57</v>
      </c>
      <c r="R232" s="32">
        <f>IF(B232="高三",IF($E232="男",LOOKUP(Q232,[1]对照表!$W$3:$W$24,[1]对照表!$X$3:$X$24),LOOKUP(Q232,[1]对照表!$W$27:$W$48,[1]对照表!$X$27:$X$48)),IF(B232="高二",IF($E232="男",LOOKUP(Q232,[1]对照表!$V$3:$V$24,[1]对照表!$X$3:$X$24),LOOKUP(Q232,[1]对照表!$V$27:$V$48,[1]对照表!$X$27:$X$48)),IF(B232="高一",IF($E232="男",LOOKUP(Q232,[1]对照表!$U$3:$U$24,[1]对照表!$X$3:$X$24),LOOKUP(Q232,[1]对照表!$U$27:$U$48,[1]对照表!$X$27:$X$48)))))</f>
        <v>76</v>
      </c>
      <c r="S232" s="33">
        <f>ROUND(IF(IF($B232="高三",MIN(IF($E232="男",$Q232-3.2,$Q232-3.2),0),IF($B232="高二",MIN(IF($E232="男",$Q232-3.25,$Q232-3.22),0),IF($B232="高一",MIN(IF($E232="男",$Q232-3.3,$Q232-3.24),0))))&lt;-0.6,IF($B232="高三",MIN(IF($E232="男",$Q232-3.2,$Q232-3.2),0),IF($B232="高二",MIN(IF($E232="男",$Q232-3.25,$Q232-3.22),0),IF($B232="高一",MIN(IF($E232="男",$Q232-3.3,$Q232-3.24),0))))+0.4,IF($B232="高三",MIN(IF($E232="男",$Q232-3.2,$Q232-3.2),0),IF($B232="高二",MIN(IF($E232="男",$Q232-3.25,$Q232-3.22),0),IF($B232="高一",MIN(IF($E232="男",$Q232-3.3,$Q232-3.24),0))))),2)</f>
        <v>0</v>
      </c>
      <c r="T232" s="23">
        <f>IF(E232="男",LOOKUP($S232,[1]对照表!$AB$3:$AB$13,[1]对照表!$AC$3:$AC$13),LOOKUP($S232,[1]对照表!$AB$15:$AB$25,[1]对照表!$AC$15:$AC$25))</f>
        <v>0</v>
      </c>
      <c r="U232" s="26">
        <f>R232+T232</f>
        <v>76</v>
      </c>
      <c r="V232" s="26">
        <f>SUM(I232,K232,M232)/3*0.3+SUM(G232,R232)/2*0.4</f>
        <v>31.4</v>
      </c>
      <c r="W232" s="27">
        <f>O232+T232</f>
        <v>0</v>
      </c>
      <c r="X232" s="28">
        <f>V232/0.7+W232</f>
        <v>44.857142857142861</v>
      </c>
      <c r="Y232" s="29">
        <v>50</v>
      </c>
      <c r="Z232" s="21"/>
    </row>
    <row r="233" spans="1:26" x14ac:dyDescent="0.25">
      <c r="A233" s="16">
        <v>42</v>
      </c>
      <c r="B233" s="17" t="s">
        <v>21</v>
      </c>
      <c r="C233" s="16">
        <v>106</v>
      </c>
      <c r="D233" s="18" t="s">
        <v>666</v>
      </c>
      <c r="E233" s="17" t="s">
        <v>65</v>
      </c>
      <c r="F233" s="19">
        <v>9.9700000000000006</v>
      </c>
      <c r="G233" s="32">
        <f>IF(B233="高三",IF($E233="男",LOOKUP(F233,[1]对照表!$G$3:$G$24,[1]对照表!$H$3:$H$24),LOOKUP(F233,[1]对照表!$G$27:$G$48,[1]对照表!$H$27:$H$48)),IF(B233="高二",IF($E233="男",LOOKUP(F233,[1]对照表!$F$3:$F$24,[1]对照表!$H$3:$H$24),LOOKUP(F233,[1]对照表!$F$27:$F$48,[1]对照表!$H$27:$H$48)),IF(B233="高一",IF($E233="男",LOOKUP(F233,[1]对照表!$E$3:$E$24,[1]对照表!$H$3:$H$24),LOOKUP(F233,[1]对照表!$E$27:$E$48,[1]对照表!$H$27:$H$48)))))</f>
        <v>66</v>
      </c>
      <c r="H233" s="21">
        <v>18.5</v>
      </c>
      <c r="I233" s="32">
        <f>IF(B233="高三",IF($E233="男",LOOKUP(H233,[1]对照表!$K$3:$K$24,[1]对照表!$L$3:$L$24),LOOKUP(H233,[1]对照表!$K$27:$K$48,[1]对照表!$L$27:$L$48)),IF(B233="高二",IF($E233="男",LOOKUP(H233,[1]对照表!$J$3:$J$24,[1]对照表!$L$3:$L$24),LOOKUP(H233,[1]对照表!$J$27:$J$48,[1]对照表!$L$27:$L$48)),IF(B233="高一",IF($E233="男",LOOKUP(H233,[1]对照表!$I$3:$I$24,[1]对照表!$L$3:$L$24),LOOKUP(H233,[1]对照表!$I$27:$I$48,[1]对照表!$L$27:$L$48)))))</f>
        <v>80</v>
      </c>
      <c r="J233" s="21">
        <v>146</v>
      </c>
      <c r="K233" s="32">
        <f>IF(B233="高三",IF($E233="男",LOOKUP(J233,[1]对照表!$O$3:$O$24,[1]对照表!$P$3:$P$24),LOOKUP(J233,[1]对照表!$O$27:$O$48,[1]对照表!$P$27:$P$48)),IF(B233="高二",IF($E233="男",LOOKUP(J233,[1]对照表!$N$3:$N$24,[1]对照表!$P$3:$P$24),LOOKUP(J233,[1]对照表!$N$27:$N$48,[1]对照表!$P$27:$P$48)),IF(B233="高一",IF($E233="男",LOOKUP(J233,[1]对照表!$M$3:$M$24,[1]对照表!$P$3:$P$24),LOOKUP(J233,[1]对照表!$M$27:$M$48,[1]对照表!$P$27:$P$48)))))</f>
        <v>50</v>
      </c>
      <c r="L233" s="21">
        <v>54</v>
      </c>
      <c r="M233" s="32">
        <f>IF(B233="高三",IF($E233="男",LOOKUP(L233,[1]对照表!$S$3:$S$24,[1]对照表!$T$3:$T$24),LOOKUP(L233,[1]对照表!$S$27:$S$48,[1]对照表!$T$27:$T$48)),IF(B233="高二",IF($E233="男",LOOKUP(L233,[1]对照表!$R$3:$R$24,[1]对照表!$T$3:$T$24),LOOKUP(L233,[1]对照表!$R$27:$R$48,[1]对照表!$T$27:$T$48)),IF(B233="高一",IF($E233="男",LOOKUP(L233,[1]对照表!$Q$3:$Q$24,[1]对照表!$T$3:$T$24),LOOKUP(L233,[1]对照表!$Q$27:$Q$48,[1]对照表!$T$27:$T$48)))))</f>
        <v>100</v>
      </c>
      <c r="N233" s="33">
        <f>IF(B233="高三",MAX(IF(E233="男",L233-18,L233-55),0),IF(B233="高二",MAX(IF(E233="男",L233-17,L233-54),0),IF(B233="高一",MAX(IF(E233="男",L233-16,L233-53),0))))</f>
        <v>1</v>
      </c>
      <c r="O233" s="23">
        <f>IF(E233="男",LOOKUP($N233,[1]对照表!$Z$3:$Z$13,[1]对照表!$AA$3:$AA$13),LOOKUP($N233,[1]对照表!$Z$15:$Z$25,[1]对照表!$AA$15:$AA$25))</f>
        <v>0</v>
      </c>
      <c r="P233" s="24">
        <f>M233+O233</f>
        <v>100</v>
      </c>
      <c r="Q233" s="25">
        <v>3.59</v>
      </c>
      <c r="R233" s="32">
        <f>IF(B233="高三",IF($E233="男",LOOKUP(Q233,[1]对照表!$W$3:$W$24,[1]对照表!$X$3:$X$24),LOOKUP(Q233,[1]对照表!$W$27:$W$48,[1]对照表!$X$27:$X$48)),IF(B233="高二",IF($E233="男",LOOKUP(Q233,[1]对照表!$V$3:$V$24,[1]对照表!$X$3:$X$24),LOOKUP(Q233,[1]对照表!$V$27:$V$48,[1]对照表!$X$27:$X$48)),IF(B233="高一",IF($E233="男",LOOKUP(Q233,[1]对照表!$U$3:$U$24,[1]对照表!$X$3:$X$24),LOOKUP(Q233,[1]对照表!$U$27:$U$48,[1]对照表!$X$27:$X$48)))))</f>
        <v>76</v>
      </c>
      <c r="S233" s="33">
        <f>ROUND(IF(IF($B233="高三",MIN(IF($E233="男",$Q233-3.2,$Q233-3.2),0),IF($B233="高二",MIN(IF($E233="男",$Q233-3.25,$Q233-3.22),0),IF($B233="高一",MIN(IF($E233="男",$Q233-3.3,$Q233-3.24),0))))&lt;-0.6,IF($B233="高三",MIN(IF($E233="男",$Q233-3.2,$Q233-3.2),0),IF($B233="高二",MIN(IF($E233="男",$Q233-3.25,$Q233-3.22),0),IF($B233="高一",MIN(IF($E233="男",$Q233-3.3,$Q233-3.24),0))))+0.4,IF($B233="高三",MIN(IF($E233="男",$Q233-3.2,$Q233-3.2),0),IF($B233="高二",MIN(IF($E233="男",$Q233-3.25,$Q233-3.22),0),IF($B233="高一",MIN(IF($E233="男",$Q233-3.3,$Q233-3.24),0))))),2)</f>
        <v>0</v>
      </c>
      <c r="T233" s="23">
        <f>IF(E233="男",LOOKUP($S233,[1]对照表!$AB$3:$AB$13,[1]对照表!$AC$3:$AC$13),LOOKUP($S233,[1]对照表!$AB$15:$AB$25,[1]对照表!$AC$15:$AC$25))</f>
        <v>0</v>
      </c>
      <c r="U233" s="26">
        <f>R233+T233</f>
        <v>76</v>
      </c>
      <c r="V233" s="26">
        <f>SUM(I233,K233,M233)/3*0.3+SUM(G233,R233)/2*0.4</f>
        <v>51.400000000000006</v>
      </c>
      <c r="W233" s="27">
        <f>O233+T233</f>
        <v>0</v>
      </c>
      <c r="X233" s="28">
        <f>V233/0.7+W233</f>
        <v>73.428571428571445</v>
      </c>
      <c r="Y233" s="28">
        <v>73.428571428571445</v>
      </c>
      <c r="Z233" s="21"/>
    </row>
    <row r="234" spans="1:26" x14ac:dyDescent="0.25">
      <c r="A234" s="16">
        <v>35</v>
      </c>
      <c r="B234" s="17" t="s">
        <v>21</v>
      </c>
      <c r="C234" s="16">
        <v>106</v>
      </c>
      <c r="D234" s="18" t="s">
        <v>688</v>
      </c>
      <c r="E234" s="17" t="s">
        <v>65</v>
      </c>
      <c r="F234" s="19">
        <v>10.33</v>
      </c>
      <c r="G234" s="32">
        <f>IF(B234="高三",IF($E234="男",LOOKUP(F234,[1]对照表!$G$3:$G$24,[1]对照表!$H$3:$H$24),LOOKUP(F234,[1]对照表!$G$27:$G$48,[1]对照表!$H$27:$H$48)),IF(B234="高二",IF($E234="男",LOOKUP(F234,[1]对照表!$F$3:$F$24,[1]对照表!$H$3:$H$24),LOOKUP(F234,[1]对照表!$F$27:$F$48,[1]对照表!$H$27:$H$48)),IF(B234="高一",IF($E234="男",LOOKUP(F234,[1]对照表!$E$3:$E$24,[1]对照表!$H$3:$H$24),LOOKUP(F234,[1]对照表!$E$27:$E$48,[1]对照表!$H$27:$H$48)))))</f>
        <v>62</v>
      </c>
      <c r="H234" s="21">
        <v>14</v>
      </c>
      <c r="I234" s="32">
        <f>IF(B234="高三",IF($E234="男",LOOKUP(H234,[1]对照表!$K$3:$K$24,[1]对照表!$L$3:$L$24),LOOKUP(H234,[1]对照表!$K$27:$K$48,[1]对照表!$L$27:$L$48)),IF(B234="高二",IF($E234="男",LOOKUP(H234,[1]对照表!$J$3:$J$24,[1]对照表!$L$3:$L$24),LOOKUP(H234,[1]对照表!$J$27:$J$48,[1]对照表!$L$27:$L$48)),IF(B234="高一",IF($E234="男",LOOKUP(H234,[1]对照表!$I$3:$I$24,[1]对照表!$L$3:$L$24),LOOKUP(H234,[1]对照表!$I$27:$I$48,[1]对照表!$L$27:$L$48)))))</f>
        <v>74</v>
      </c>
      <c r="J234" s="21">
        <v>157</v>
      </c>
      <c r="K234" s="32">
        <f>IF(B234="高三",IF($E234="男",LOOKUP(J234,[1]对照表!$O$3:$O$24,[1]对照表!$P$3:$P$24),LOOKUP(J234,[1]对照表!$O$27:$O$48,[1]对照表!$P$27:$P$48)),IF(B234="高二",IF($E234="男",LOOKUP(J234,[1]对照表!$N$3:$N$24,[1]对照表!$P$3:$P$24),LOOKUP(J234,[1]对照表!$N$27:$N$48,[1]对照表!$P$27:$P$48)),IF(B234="高一",IF($E234="男",LOOKUP(J234,[1]对照表!$M$3:$M$24,[1]对照表!$P$3:$P$24),LOOKUP(J234,[1]对照表!$M$27:$M$48,[1]对照表!$P$27:$P$48)))))</f>
        <v>66</v>
      </c>
      <c r="L234" s="21">
        <v>49</v>
      </c>
      <c r="M234" s="32">
        <f>IF(B234="高三",IF($E234="男",LOOKUP(L234,[1]对照表!$S$3:$S$24,[1]对照表!$T$3:$T$24),LOOKUP(L234,[1]对照表!$S$27:$S$48,[1]对照表!$T$27:$T$48)),IF(B234="高二",IF($E234="男",LOOKUP(L234,[1]对照表!$R$3:$R$24,[1]对照表!$T$3:$T$24),LOOKUP(L234,[1]对照表!$R$27:$R$48,[1]对照表!$T$27:$T$48)),IF(B234="高一",IF($E234="男",LOOKUP(L234,[1]对照表!$Q$3:$Q$24,[1]对照表!$T$3:$T$24),LOOKUP(L234,[1]对照表!$Q$27:$Q$48,[1]对照表!$T$27:$T$48)))))</f>
        <v>90</v>
      </c>
      <c r="N234" s="33">
        <f>IF(B234="高三",MAX(IF(E234="男",L234-18,L234-55),0),IF(B234="高二",MAX(IF(E234="男",L234-17,L234-54),0),IF(B234="高一",MAX(IF(E234="男",L234-16,L234-53),0))))</f>
        <v>0</v>
      </c>
      <c r="O234" s="23">
        <f>IF(E234="男",LOOKUP($N234,[1]对照表!$Z$3:$Z$13,[1]对照表!$AA$3:$AA$13),LOOKUP($N234,[1]对照表!$Z$15:$Z$25,[1]对照表!$AA$15:$AA$25))</f>
        <v>0</v>
      </c>
      <c r="P234" s="24">
        <f>M234+O234</f>
        <v>90</v>
      </c>
      <c r="Q234" s="25">
        <v>4.0199999999999996</v>
      </c>
      <c r="R234" s="32">
        <f>IF(B234="高三",IF($E234="男",LOOKUP(Q234,[1]对照表!$W$3:$W$24,[1]对照表!$X$3:$X$24),LOOKUP(Q234,[1]对照表!$W$27:$W$48,[1]对照表!$X$27:$X$48)),IF(B234="高二",IF($E234="男",LOOKUP(Q234,[1]对照表!$V$3:$V$24,[1]对照表!$X$3:$X$24),LOOKUP(Q234,[1]对照表!$V$27:$V$48,[1]对照表!$X$27:$X$48)),IF(B234="高一",IF($E234="男",LOOKUP(Q234,[1]对照表!$U$3:$U$24,[1]对照表!$X$3:$X$24),LOOKUP(Q234,[1]对照表!$U$27:$U$48,[1]对照表!$X$27:$X$48)))))</f>
        <v>74</v>
      </c>
      <c r="S234" s="33">
        <f>ROUND(IF(IF($B234="高三",MIN(IF($E234="男",$Q234-3.2,$Q234-3.2),0),IF($B234="高二",MIN(IF($E234="男",$Q234-3.25,$Q234-3.22),0),IF($B234="高一",MIN(IF($E234="男",$Q234-3.3,$Q234-3.24),0))))&lt;-0.6,IF($B234="高三",MIN(IF($E234="男",$Q234-3.2,$Q234-3.2),0),IF($B234="高二",MIN(IF($E234="男",$Q234-3.25,$Q234-3.22),0),IF($B234="高一",MIN(IF($E234="男",$Q234-3.3,$Q234-3.24),0))))+0.4,IF($B234="高三",MIN(IF($E234="男",$Q234-3.2,$Q234-3.2),0),IF($B234="高二",MIN(IF($E234="男",$Q234-3.25,$Q234-3.22),0),IF($B234="高一",MIN(IF($E234="男",$Q234-3.3,$Q234-3.24),0))))),2)</f>
        <v>0</v>
      </c>
      <c r="T234" s="23">
        <f>IF(E234="男",LOOKUP($S234,[1]对照表!$AB$3:$AB$13,[1]对照表!$AC$3:$AC$13),LOOKUP($S234,[1]对照表!$AB$15:$AB$25,[1]对照表!$AC$15:$AC$25))</f>
        <v>0</v>
      </c>
      <c r="U234" s="26">
        <f>R234+T234</f>
        <v>74</v>
      </c>
      <c r="V234" s="26">
        <f>SUM(I234,K234,M234)/3*0.3+SUM(G234,R234)/2*0.4</f>
        <v>50.2</v>
      </c>
      <c r="W234" s="27">
        <f>O234+T234</f>
        <v>0</v>
      </c>
      <c r="X234" s="28">
        <f>V234/0.7+W234</f>
        <v>71.714285714285722</v>
      </c>
      <c r="Y234" s="28">
        <v>71.714285714285722</v>
      </c>
      <c r="Z234" s="21"/>
    </row>
    <row r="235" spans="1:26" x14ac:dyDescent="0.25">
      <c r="A235" s="16">
        <v>40</v>
      </c>
      <c r="B235" s="17" t="s">
        <v>21</v>
      </c>
      <c r="C235" s="16">
        <v>106</v>
      </c>
      <c r="D235" s="18" t="s">
        <v>689</v>
      </c>
      <c r="E235" s="31" t="s">
        <v>65</v>
      </c>
      <c r="F235" s="19">
        <v>9.39</v>
      </c>
      <c r="G235" s="32">
        <f>IF(B235="高三",IF($E235="男",LOOKUP(F235,[1]对照表!$G$3:$G$24,[1]对照表!$H$3:$H$24),LOOKUP(F235,[1]对照表!$G$27:$G$48,[1]对照表!$H$27:$H$48)),IF(B235="高二",IF($E235="男",LOOKUP(F235,[1]对照表!$F$3:$F$24,[1]对照表!$H$3:$H$24),LOOKUP(F235,[1]对照表!$F$27:$F$48,[1]对照表!$H$27:$H$48)),IF(B235="高一",IF($E235="男",LOOKUP(F235,[1]对照表!$E$3:$E$24,[1]对照表!$H$3:$H$24),LOOKUP(F235,[1]对照表!$E$27:$E$48,[1]对照表!$H$27:$H$48)))))</f>
        <v>72</v>
      </c>
      <c r="H235" s="21">
        <v>19</v>
      </c>
      <c r="I235" s="32">
        <f>IF(B235="高三",IF($E235="男",LOOKUP(H235,[1]对照表!$K$3:$K$24,[1]对照表!$L$3:$L$24),LOOKUP(H235,[1]对照表!$K$27:$K$48,[1]对照表!$L$27:$L$48)),IF(B235="高二",IF($E235="男",LOOKUP(H235,[1]对照表!$J$3:$J$24,[1]对照表!$L$3:$L$24),LOOKUP(H235,[1]对照表!$J$27:$J$48,[1]对照表!$L$27:$L$48)),IF(B235="高一",IF($E235="男",LOOKUP(H235,[1]对照表!$I$3:$I$24,[1]对照表!$L$3:$L$24),LOOKUP(H235,[1]对照表!$I$27:$I$48,[1]对照表!$L$27:$L$48)))))</f>
        <v>80</v>
      </c>
      <c r="J235" s="21">
        <v>149</v>
      </c>
      <c r="K235" s="32">
        <f>IF(B235="高三",IF($E235="男",LOOKUP(J235,[1]对照表!$O$3:$O$24,[1]对照表!$P$3:$P$24),LOOKUP(J235,[1]对照表!$O$27:$O$48,[1]对照表!$P$27:$P$48)),IF(B235="高二",IF($E235="男",LOOKUP(J235,[1]对照表!$N$3:$N$24,[1]对照表!$P$3:$P$24),LOOKUP(J235,[1]对照表!$N$27:$N$48,[1]对照表!$P$27:$P$48)),IF(B235="高一",IF($E235="男",LOOKUP(J235,[1]对照表!$M$3:$M$24,[1]对照表!$P$3:$P$24),LOOKUP(J235,[1]对照表!$M$27:$M$48,[1]对照表!$P$27:$P$48)))))</f>
        <v>60</v>
      </c>
      <c r="L235" s="21">
        <v>44</v>
      </c>
      <c r="M235" s="32">
        <f>IF(B235="高三",IF($E235="男",LOOKUP(L235,[1]对照表!$S$3:$S$24,[1]对照表!$T$3:$T$24),LOOKUP(L235,[1]对照表!$S$27:$S$48,[1]对照表!$T$27:$T$48)),IF(B235="高二",IF($E235="男",LOOKUP(L235,[1]对照表!$R$3:$R$24,[1]对照表!$T$3:$T$24),LOOKUP(L235,[1]对照表!$R$27:$R$48,[1]对照表!$T$27:$T$48)),IF(B235="高一",IF($E235="男",LOOKUP(L235,[1]对照表!$Q$3:$Q$24,[1]对照表!$T$3:$T$24),LOOKUP(L235,[1]对照表!$Q$27:$Q$48,[1]对照表!$T$27:$T$48)))))</f>
        <v>80</v>
      </c>
      <c r="N235" s="33">
        <f>IF(B235="高三",MAX(IF(E235="男",L235-18,L235-55),0),IF(B235="高二",MAX(IF(E235="男",L235-17,L235-54),0),IF(B235="高一",MAX(IF(E235="男",L235-16,L235-53),0))))</f>
        <v>0</v>
      </c>
      <c r="O235" s="23">
        <f>IF(E235="男",LOOKUP($N235,[1]对照表!$Z$3:$Z$13,[1]对照表!$AA$3:$AA$13),LOOKUP($N235,[1]对照表!$Z$15:$Z$25,[1]对照表!$AA$15:$AA$25))</f>
        <v>0</v>
      </c>
      <c r="P235" s="24">
        <f>M235+O235</f>
        <v>80</v>
      </c>
      <c r="Q235" s="25">
        <v>4.04</v>
      </c>
      <c r="R235" s="32">
        <f>IF(B235="高三",IF($E235="男",LOOKUP(Q235,[1]对照表!$W$3:$W$24,[1]对照表!$X$3:$X$24),LOOKUP(Q235,[1]对照表!$W$27:$W$48,[1]对照表!$X$27:$X$48)),IF(B235="高二",IF($E235="男",LOOKUP(Q235,[1]对照表!$V$3:$V$24,[1]对照表!$X$3:$X$24),LOOKUP(Q235,[1]对照表!$V$27:$V$48,[1]对照表!$X$27:$X$48)),IF(B235="高一",IF($E235="男",LOOKUP(Q235,[1]对照表!$U$3:$U$24,[1]对照表!$X$3:$X$24),LOOKUP(Q235,[1]对照表!$U$27:$U$48,[1]对照表!$X$27:$X$48)))))</f>
        <v>74</v>
      </c>
      <c r="S235" s="33">
        <f>ROUND(IF(IF($B235="高三",MIN(IF($E235="男",$Q235-3.2,$Q235-3.2),0),IF($B235="高二",MIN(IF($E235="男",$Q235-3.25,$Q235-3.22),0),IF($B235="高一",MIN(IF($E235="男",$Q235-3.3,$Q235-3.24),0))))&lt;-0.6,IF($B235="高三",MIN(IF($E235="男",$Q235-3.2,$Q235-3.2),0),IF($B235="高二",MIN(IF($E235="男",$Q235-3.25,$Q235-3.22),0),IF($B235="高一",MIN(IF($E235="男",$Q235-3.3,$Q235-3.24),0))))+0.4,IF($B235="高三",MIN(IF($E235="男",$Q235-3.2,$Q235-3.2),0),IF($B235="高二",MIN(IF($E235="男",$Q235-3.25,$Q235-3.22),0),IF($B235="高一",MIN(IF($E235="男",$Q235-3.3,$Q235-3.24),0))))),2)</f>
        <v>0</v>
      </c>
      <c r="T235" s="23">
        <f>IF(E235="男",LOOKUP($S235,[1]对照表!$AB$3:$AB$13,[1]对照表!$AC$3:$AC$13),LOOKUP($S235,[1]对照表!$AB$15:$AB$25,[1]对照表!$AC$15:$AC$25))</f>
        <v>0</v>
      </c>
      <c r="U235" s="26">
        <f>R235+T235</f>
        <v>74</v>
      </c>
      <c r="V235" s="26">
        <f>SUM(I235,K235,M235)/3*0.3+SUM(G235,R235)/2*0.4</f>
        <v>51.2</v>
      </c>
      <c r="W235" s="27">
        <f>O235+T235</f>
        <v>0</v>
      </c>
      <c r="X235" s="28">
        <f>V235/0.7+W235</f>
        <v>73.142857142857153</v>
      </c>
      <c r="Y235" s="28">
        <v>73.142857142857153</v>
      </c>
      <c r="Z235" s="21"/>
    </row>
    <row r="236" spans="1:26" x14ac:dyDescent="0.25">
      <c r="A236" s="16">
        <v>37</v>
      </c>
      <c r="B236" s="17" t="s">
        <v>21</v>
      </c>
      <c r="C236" s="16">
        <v>106</v>
      </c>
      <c r="D236" s="18" t="s">
        <v>694</v>
      </c>
      <c r="E236" s="17" t="s">
        <v>65</v>
      </c>
      <c r="F236" s="19">
        <v>9.02</v>
      </c>
      <c r="G236" s="32">
        <f>IF(B236="高三",IF($E236="男",LOOKUP(F236,[1]对照表!$G$3:$G$24,[1]对照表!$H$3:$H$24),LOOKUP(F236,[1]对照表!$G$27:$G$48,[1]对照表!$H$27:$H$48)),IF(B236="高二",IF($E236="男",LOOKUP(F236,[1]对照表!$F$3:$F$24,[1]对照表!$H$3:$H$24),LOOKUP(F236,[1]对照表!$F$27:$F$48,[1]对照表!$H$27:$H$48)),IF(B236="高一",IF($E236="男",LOOKUP(F236,[1]对照表!$E$3:$E$24,[1]对照表!$H$3:$H$24),LOOKUP(F236,[1]对照表!$E$27:$E$48,[1]对照表!$H$27:$H$48)))))</f>
        <v>74</v>
      </c>
      <c r="H236" s="21">
        <v>21.5</v>
      </c>
      <c r="I236" s="32">
        <f>IF(B236="高三",IF($E236="男",LOOKUP(H236,[1]对照表!$K$3:$K$24,[1]对照表!$L$3:$L$24),LOOKUP(H236,[1]对照表!$K$27:$K$48,[1]对照表!$L$27:$L$48)),IF(B236="高二",IF($E236="男",LOOKUP(H236,[1]对照表!$J$3:$J$24,[1]对照表!$L$3:$L$24),LOOKUP(H236,[1]对照表!$J$27:$J$48,[1]对照表!$L$27:$L$48)),IF(B236="高一",IF($E236="男",LOOKUP(H236,[1]对照表!$I$3:$I$24,[1]对照表!$L$3:$L$24),LOOKUP(H236,[1]对照表!$I$27:$I$48,[1]对照表!$L$27:$L$48)))))</f>
        <v>90</v>
      </c>
      <c r="J236" s="21">
        <v>195</v>
      </c>
      <c r="K236" s="32">
        <f>IF(B236="高三",IF($E236="男",LOOKUP(J236,[1]对照表!$O$3:$O$24,[1]对照表!$P$3:$P$24),LOOKUP(J236,[1]对照表!$O$27:$O$48,[1]对照表!$P$27:$P$48)),IF(B236="高二",IF($E236="男",LOOKUP(J236,[1]对照表!$N$3:$N$24,[1]对照表!$P$3:$P$24),LOOKUP(J236,[1]对照表!$N$27:$N$48,[1]对照表!$P$27:$P$48)),IF(B236="高一",IF($E236="男",LOOKUP(J236,[1]对照表!$M$3:$M$24,[1]对照表!$P$3:$P$24),LOOKUP(J236,[1]对照表!$M$27:$M$48,[1]对照表!$P$27:$P$48)))))</f>
        <v>90</v>
      </c>
      <c r="L236" s="21">
        <v>37</v>
      </c>
      <c r="M236" s="32">
        <f>IF(B236="高三",IF($E236="男",LOOKUP(L236,[1]对照表!$S$3:$S$24,[1]对照表!$T$3:$T$24),LOOKUP(L236,[1]对照表!$S$27:$S$48,[1]对照表!$T$27:$T$48)),IF(B236="高二",IF($E236="男",LOOKUP(L236,[1]对照表!$R$3:$R$24,[1]对照表!$T$3:$T$24),LOOKUP(L236,[1]对照表!$R$27:$R$48,[1]对照表!$T$27:$T$48)),IF(B236="高一",IF($E236="男",LOOKUP(L236,[1]对照表!$Q$3:$Q$24,[1]对照表!$T$3:$T$24),LOOKUP(L236,[1]对照表!$Q$27:$Q$48,[1]对照表!$T$27:$T$48)))))</f>
        <v>74</v>
      </c>
      <c r="N236" s="33">
        <f>IF(B236="高三",MAX(IF(E236="男",L236-18,L236-55),0),IF(B236="高二",MAX(IF(E236="男",L236-17,L236-54),0),IF(B236="高一",MAX(IF(E236="男",L236-16,L236-53),0))))</f>
        <v>0</v>
      </c>
      <c r="O236" s="23">
        <f>IF(E236="男",LOOKUP($N236,[1]对照表!$Z$3:$Z$13,[1]对照表!$AA$3:$AA$13),LOOKUP($N236,[1]对照表!$Z$15:$Z$25,[1]对照表!$AA$15:$AA$25))</f>
        <v>0</v>
      </c>
      <c r="P236" s="24">
        <f>M236+O236</f>
        <v>74</v>
      </c>
      <c r="Q236" s="25">
        <v>4.0599999999999996</v>
      </c>
      <c r="R236" s="32">
        <f>IF(B236="高三",IF($E236="男",LOOKUP(Q236,[1]对照表!$W$3:$W$24,[1]对照表!$X$3:$X$24),LOOKUP(Q236,[1]对照表!$W$27:$W$48,[1]对照表!$X$27:$X$48)),IF(B236="高二",IF($E236="男",LOOKUP(Q236,[1]对照表!$V$3:$V$24,[1]对照表!$X$3:$X$24),LOOKUP(Q236,[1]对照表!$V$27:$V$48,[1]对照表!$X$27:$X$48)),IF(B236="高一",IF($E236="男",LOOKUP(Q236,[1]对照表!$U$3:$U$24,[1]对照表!$X$3:$X$24),LOOKUP(Q236,[1]对照表!$U$27:$U$48,[1]对照表!$X$27:$X$48)))))</f>
        <v>72</v>
      </c>
      <c r="S236" s="33">
        <f>ROUND(IF(IF($B236="高三",MIN(IF($E236="男",$Q236-3.2,$Q236-3.2),0),IF($B236="高二",MIN(IF($E236="男",$Q236-3.25,$Q236-3.22),0),IF($B236="高一",MIN(IF($E236="男",$Q236-3.3,$Q236-3.24),0))))&lt;-0.6,IF($B236="高三",MIN(IF($E236="男",$Q236-3.2,$Q236-3.2),0),IF($B236="高二",MIN(IF($E236="男",$Q236-3.25,$Q236-3.22),0),IF($B236="高一",MIN(IF($E236="男",$Q236-3.3,$Q236-3.24),0))))+0.4,IF($B236="高三",MIN(IF($E236="男",$Q236-3.2,$Q236-3.2),0),IF($B236="高二",MIN(IF($E236="男",$Q236-3.25,$Q236-3.22),0),IF($B236="高一",MIN(IF($E236="男",$Q236-3.3,$Q236-3.24),0))))),2)</f>
        <v>0</v>
      </c>
      <c r="T236" s="23">
        <f>IF(E236="男",LOOKUP($S236,[1]对照表!$AB$3:$AB$13,[1]对照表!$AC$3:$AC$13),LOOKUP($S236,[1]对照表!$AB$15:$AB$25,[1]对照表!$AC$15:$AC$25))</f>
        <v>0</v>
      </c>
      <c r="U236" s="26">
        <f>R236+T236</f>
        <v>72</v>
      </c>
      <c r="V236" s="26">
        <f>SUM(I236,K236,M236)/3*0.3+SUM(G236,R236)/2*0.4</f>
        <v>54.600000000000009</v>
      </c>
      <c r="W236" s="27">
        <f>O236+T236</f>
        <v>0</v>
      </c>
      <c r="X236" s="28">
        <f>V236/0.7+W236</f>
        <v>78.000000000000014</v>
      </c>
      <c r="Y236" s="28">
        <v>78.000000000000014</v>
      </c>
      <c r="Z236" s="21"/>
    </row>
    <row r="237" spans="1:26" x14ac:dyDescent="0.25">
      <c r="A237" s="16">
        <v>16</v>
      </c>
      <c r="B237" s="17" t="s">
        <v>21</v>
      </c>
      <c r="C237" s="16">
        <v>106</v>
      </c>
      <c r="D237" s="18" t="s">
        <v>702</v>
      </c>
      <c r="E237" s="17" t="s">
        <v>65</v>
      </c>
      <c r="F237" s="19">
        <v>8.8800000000000008</v>
      </c>
      <c r="G237" s="32">
        <f>IF(B237="高三",IF($E237="男",LOOKUP(F237,[1]对照表!$G$3:$G$24,[1]对照表!$H$3:$H$24),LOOKUP(F237,[1]对照表!$G$27:$G$48,[1]对照表!$H$27:$H$48)),IF(B237="高二",IF($E237="男",LOOKUP(F237,[1]对照表!$F$3:$F$24,[1]对照表!$H$3:$H$24),LOOKUP(F237,[1]对照表!$F$27:$F$48,[1]对照表!$H$27:$H$48)),IF(B237="高一",IF($E237="男",LOOKUP(F237,[1]对照表!$E$3:$E$24,[1]对照表!$H$3:$H$24),LOOKUP(F237,[1]对照表!$E$27:$E$48,[1]对照表!$H$27:$H$48)))))</f>
        <v>76</v>
      </c>
      <c r="H237" s="21">
        <v>12</v>
      </c>
      <c r="I237" s="32">
        <f>IF(B237="高三",IF($E237="男",LOOKUP(H237,[1]对照表!$K$3:$K$24,[1]对照表!$L$3:$L$24),LOOKUP(H237,[1]对照表!$K$27:$K$48,[1]对照表!$L$27:$L$48)),IF(B237="高二",IF($E237="男",LOOKUP(H237,[1]对照表!$J$3:$J$24,[1]对照表!$L$3:$L$24),LOOKUP(H237,[1]对照表!$J$27:$J$48,[1]对照表!$L$27:$L$48)),IF(B237="高一",IF($E237="男",LOOKUP(H237,[1]对照表!$I$3:$I$24,[1]对照表!$L$3:$L$24),LOOKUP(H237,[1]对照表!$I$27:$I$48,[1]对照表!$L$27:$L$48)))))</f>
        <v>70</v>
      </c>
      <c r="J237" s="21">
        <v>180</v>
      </c>
      <c r="K237" s="32">
        <f>IF(B237="高三",IF($E237="男",LOOKUP(J237,[1]对照表!$O$3:$O$24,[1]对照表!$P$3:$P$24),LOOKUP(J237,[1]对照表!$O$27:$O$48,[1]对照表!$P$27:$P$48)),IF(B237="高二",IF($E237="男",LOOKUP(J237,[1]对照表!$N$3:$N$24,[1]对照表!$P$3:$P$24),LOOKUP(J237,[1]对照表!$N$27:$N$48,[1]对照表!$P$27:$P$48)),IF(B237="高一",IF($E237="男",LOOKUP(J237,[1]对照表!$M$3:$M$24,[1]对照表!$P$3:$P$24),LOOKUP(J237,[1]对照表!$M$27:$M$48,[1]对照表!$P$27:$P$48)))))</f>
        <v>80</v>
      </c>
      <c r="L237" s="21">
        <v>53</v>
      </c>
      <c r="M237" s="32">
        <f>IF(B237="高三",IF($E237="男",LOOKUP(L237,[1]对照表!$S$3:$S$24,[1]对照表!$T$3:$T$24),LOOKUP(L237,[1]对照表!$S$27:$S$48,[1]对照表!$T$27:$T$48)),IF(B237="高二",IF($E237="男",LOOKUP(L237,[1]对照表!$R$3:$R$24,[1]对照表!$T$3:$T$24),LOOKUP(L237,[1]对照表!$R$27:$R$48,[1]对照表!$T$27:$T$48)),IF(B237="高一",IF($E237="男",LOOKUP(L237,[1]对照表!$Q$3:$Q$24,[1]对照表!$T$3:$T$24),LOOKUP(L237,[1]对照表!$Q$27:$Q$48,[1]对照表!$T$27:$T$48)))))</f>
        <v>100</v>
      </c>
      <c r="N237" s="33">
        <f>IF(B237="高三",MAX(IF(E237="男",L237-18,L237-55),0),IF(B237="高二",MAX(IF(E237="男",L237-17,L237-54),0),IF(B237="高一",MAX(IF(E237="男",L237-16,L237-53),0))))</f>
        <v>0</v>
      </c>
      <c r="O237" s="23">
        <f>IF(E237="男",LOOKUP($N237,[1]对照表!$Z$3:$Z$13,[1]对照表!$AA$3:$AA$13),LOOKUP($N237,[1]对照表!$Z$15:$Z$25,[1]对照表!$AA$15:$AA$25))</f>
        <v>0</v>
      </c>
      <c r="P237" s="24">
        <f>M237+O237</f>
        <v>100</v>
      </c>
      <c r="Q237" s="25">
        <v>4.09</v>
      </c>
      <c r="R237" s="32">
        <f>IF(B237="高三",IF($E237="男",LOOKUP(Q237,[1]对照表!$W$3:$W$24,[1]对照表!$X$3:$X$24),LOOKUP(Q237,[1]对照表!$W$27:$W$48,[1]对照表!$X$27:$X$48)),IF(B237="高二",IF($E237="男",LOOKUP(Q237,[1]对照表!$V$3:$V$24,[1]对照表!$X$3:$X$24),LOOKUP(Q237,[1]对照表!$V$27:$V$48,[1]对照表!$X$27:$X$48)),IF(B237="高一",IF($E237="男",LOOKUP(Q237,[1]对照表!$U$3:$U$24,[1]对照表!$X$3:$X$24),LOOKUP(Q237,[1]对照表!$U$27:$U$48,[1]对照表!$X$27:$X$48)))))</f>
        <v>72</v>
      </c>
      <c r="S237" s="33">
        <f>ROUND(IF(IF($B237="高三",MIN(IF($E237="男",$Q237-3.2,$Q237-3.2),0),IF($B237="高二",MIN(IF($E237="男",$Q237-3.25,$Q237-3.22),0),IF($B237="高一",MIN(IF($E237="男",$Q237-3.3,$Q237-3.24),0))))&lt;-0.6,IF($B237="高三",MIN(IF($E237="男",$Q237-3.2,$Q237-3.2),0),IF($B237="高二",MIN(IF($E237="男",$Q237-3.25,$Q237-3.22),0),IF($B237="高一",MIN(IF($E237="男",$Q237-3.3,$Q237-3.24),0))))+0.4,IF($B237="高三",MIN(IF($E237="男",$Q237-3.2,$Q237-3.2),0),IF($B237="高二",MIN(IF($E237="男",$Q237-3.25,$Q237-3.22),0),IF($B237="高一",MIN(IF($E237="男",$Q237-3.3,$Q237-3.24),0))))),2)</f>
        <v>0</v>
      </c>
      <c r="T237" s="23">
        <f>IF(E237="男",LOOKUP($S237,[1]对照表!$AB$3:$AB$13,[1]对照表!$AC$3:$AC$13),LOOKUP($S237,[1]对照表!$AB$15:$AB$25,[1]对照表!$AC$15:$AC$25))</f>
        <v>0</v>
      </c>
      <c r="U237" s="26">
        <f>R237+T237</f>
        <v>72</v>
      </c>
      <c r="V237" s="26">
        <f>SUM(I237,K237,M237)/3*0.3+SUM(G237,R237)/2*0.4</f>
        <v>54.599999999999994</v>
      </c>
      <c r="W237" s="27">
        <f>O237+T237</f>
        <v>0</v>
      </c>
      <c r="X237" s="28">
        <f>V237/0.7+W237</f>
        <v>78</v>
      </c>
      <c r="Y237" s="28">
        <v>78</v>
      </c>
      <c r="Z237" s="21"/>
    </row>
    <row r="238" spans="1:26" x14ac:dyDescent="0.25">
      <c r="A238" s="16">
        <v>32</v>
      </c>
      <c r="B238" s="17" t="s">
        <v>21</v>
      </c>
      <c r="C238" s="16">
        <v>106</v>
      </c>
      <c r="D238" s="18" t="s">
        <v>705</v>
      </c>
      <c r="E238" s="17" t="s">
        <v>65</v>
      </c>
      <c r="F238" s="19">
        <v>8.8000000000000007</v>
      </c>
      <c r="G238" s="32">
        <f>IF(B238="高三",IF($E238="男",LOOKUP(F238,[1]对照表!$G$3:$G$24,[1]对照表!$H$3:$H$24),LOOKUP(F238,[1]对照表!$G$27:$G$48,[1]对照表!$H$27:$H$48)),IF(B238="高二",IF($E238="男",LOOKUP(F238,[1]对照表!$F$3:$F$24,[1]对照表!$H$3:$H$24),LOOKUP(F238,[1]对照表!$F$27:$F$48,[1]对照表!$H$27:$H$48)),IF(B238="高一",IF($E238="男",LOOKUP(F238,[1]对照表!$E$3:$E$24,[1]对照表!$H$3:$H$24),LOOKUP(F238,[1]对照表!$E$27:$E$48,[1]对照表!$H$27:$H$48)))))</f>
        <v>78</v>
      </c>
      <c r="H238" s="21">
        <v>19</v>
      </c>
      <c r="I238" s="32">
        <f>IF(B238="高三",IF($E238="男",LOOKUP(H238,[1]对照表!$K$3:$K$24,[1]对照表!$L$3:$L$24),LOOKUP(H238,[1]对照表!$K$27:$K$48,[1]对照表!$L$27:$L$48)),IF(B238="高二",IF($E238="男",LOOKUP(H238,[1]对照表!$J$3:$J$24,[1]对照表!$L$3:$L$24),LOOKUP(H238,[1]对照表!$J$27:$J$48,[1]对照表!$L$27:$L$48)),IF(B238="高一",IF($E238="男",LOOKUP(H238,[1]对照表!$I$3:$I$24,[1]对照表!$L$3:$L$24),LOOKUP(H238,[1]对照表!$I$27:$I$48,[1]对照表!$L$27:$L$48)))))</f>
        <v>80</v>
      </c>
      <c r="J238" s="21">
        <v>173</v>
      </c>
      <c r="K238" s="32">
        <f>IF(B238="高三",IF($E238="男",LOOKUP(J238,[1]对照表!$O$3:$O$24,[1]对照表!$P$3:$P$24),LOOKUP(J238,[1]对照表!$O$27:$O$48,[1]对照表!$P$27:$P$48)),IF(B238="高二",IF($E238="男",LOOKUP(J238,[1]对照表!$N$3:$N$24,[1]对照表!$P$3:$P$24),LOOKUP(J238,[1]对照表!$N$27:$N$48,[1]对照表!$P$27:$P$48)),IF(B238="高一",IF($E238="男",LOOKUP(J238,[1]对照表!$M$3:$M$24,[1]对照表!$P$3:$P$24),LOOKUP(J238,[1]对照表!$M$27:$M$48,[1]对照表!$P$27:$P$48)))))</f>
        <v>76</v>
      </c>
      <c r="L238" s="21">
        <v>44</v>
      </c>
      <c r="M238" s="32">
        <f>IF(B238="高三",IF($E238="男",LOOKUP(L238,[1]对照表!$S$3:$S$24,[1]对照表!$T$3:$T$24),LOOKUP(L238,[1]对照表!$S$27:$S$48,[1]对照表!$T$27:$T$48)),IF(B238="高二",IF($E238="男",LOOKUP(L238,[1]对照表!$R$3:$R$24,[1]对照表!$T$3:$T$24),LOOKUP(L238,[1]对照表!$R$27:$R$48,[1]对照表!$T$27:$T$48)),IF(B238="高一",IF($E238="男",LOOKUP(L238,[1]对照表!$Q$3:$Q$24,[1]对照表!$T$3:$T$24),LOOKUP(L238,[1]对照表!$Q$27:$Q$48,[1]对照表!$T$27:$T$48)))))</f>
        <v>80</v>
      </c>
      <c r="N238" s="33">
        <f>IF(B238="高三",MAX(IF(E238="男",L238-18,L238-55),0),IF(B238="高二",MAX(IF(E238="男",L238-17,L238-54),0),IF(B238="高一",MAX(IF(E238="男",L238-16,L238-53),0))))</f>
        <v>0</v>
      </c>
      <c r="O238" s="23">
        <f>IF(E238="男",LOOKUP($N238,[1]对照表!$Z$3:$Z$13,[1]对照表!$AA$3:$AA$13),LOOKUP($N238,[1]对照表!$Z$15:$Z$25,[1]对照表!$AA$15:$AA$25))</f>
        <v>0</v>
      </c>
      <c r="P238" s="24">
        <f>M238+O238</f>
        <v>80</v>
      </c>
      <c r="Q238" s="25">
        <v>4.0999999999999996</v>
      </c>
      <c r="R238" s="32">
        <f>IF(B238="高三",IF($E238="男",LOOKUP(Q238,[1]对照表!$W$3:$W$24,[1]对照表!$X$3:$X$24),LOOKUP(Q238,[1]对照表!$W$27:$W$48,[1]对照表!$X$27:$X$48)),IF(B238="高二",IF($E238="男",LOOKUP(Q238,[1]对照表!$V$3:$V$24,[1]对照表!$X$3:$X$24),LOOKUP(Q238,[1]对照表!$V$27:$V$48,[1]对照表!$X$27:$X$48)),IF(B238="高一",IF($E238="男",LOOKUP(Q238,[1]对照表!$U$3:$U$24,[1]对照表!$X$3:$X$24),LOOKUP(Q238,[1]对照表!$U$27:$U$48,[1]对照表!$X$27:$X$48)))))</f>
        <v>72</v>
      </c>
      <c r="S238" s="33">
        <f>ROUND(IF(IF($B238="高三",MIN(IF($E238="男",$Q238-3.2,$Q238-3.2),0),IF($B238="高二",MIN(IF($E238="男",$Q238-3.25,$Q238-3.22),0),IF($B238="高一",MIN(IF($E238="男",$Q238-3.3,$Q238-3.24),0))))&lt;-0.6,IF($B238="高三",MIN(IF($E238="男",$Q238-3.2,$Q238-3.2),0),IF($B238="高二",MIN(IF($E238="男",$Q238-3.25,$Q238-3.22),0),IF($B238="高一",MIN(IF($E238="男",$Q238-3.3,$Q238-3.24),0))))+0.4,IF($B238="高三",MIN(IF($E238="男",$Q238-3.2,$Q238-3.2),0),IF($B238="高二",MIN(IF($E238="男",$Q238-3.25,$Q238-3.22),0),IF($B238="高一",MIN(IF($E238="男",$Q238-3.3,$Q238-3.24),0))))),2)</f>
        <v>0</v>
      </c>
      <c r="T238" s="23">
        <f>IF(E238="男",LOOKUP($S238,[1]对照表!$AB$3:$AB$13,[1]对照表!$AC$3:$AC$13),LOOKUP($S238,[1]对照表!$AB$15:$AB$25,[1]对照表!$AC$15:$AC$25))</f>
        <v>0</v>
      </c>
      <c r="U238" s="26">
        <f>R238+T238</f>
        <v>72</v>
      </c>
      <c r="V238" s="26">
        <f>SUM(I238,K238,M238)/3*0.3+SUM(G238,R238)/2*0.4</f>
        <v>53.6</v>
      </c>
      <c r="W238" s="27">
        <f>O238+T238</f>
        <v>0</v>
      </c>
      <c r="X238" s="28">
        <f>V238/0.7+W238</f>
        <v>76.571428571428584</v>
      </c>
      <c r="Y238" s="28">
        <v>76.571428571428584</v>
      </c>
      <c r="Z238" s="21"/>
    </row>
    <row r="239" spans="1:26" x14ac:dyDescent="0.25">
      <c r="A239" s="16">
        <v>25</v>
      </c>
      <c r="B239" s="17" t="s">
        <v>21</v>
      </c>
      <c r="C239" s="16">
        <v>106</v>
      </c>
      <c r="D239" s="18" t="s">
        <v>708</v>
      </c>
      <c r="E239" s="17" t="s">
        <v>65</v>
      </c>
      <c r="F239" s="19">
        <v>9.9700000000000006</v>
      </c>
      <c r="G239" s="32">
        <f>IF(B239="高三",IF($E239="男",LOOKUP(F239,[1]对照表!$G$3:$G$24,[1]对照表!$H$3:$H$24),LOOKUP(F239,[1]对照表!$G$27:$G$48,[1]对照表!$H$27:$H$48)),IF(B239="高二",IF($E239="男",LOOKUP(F239,[1]对照表!$F$3:$F$24,[1]对照表!$H$3:$H$24),LOOKUP(F239,[1]对照表!$F$27:$F$48,[1]对照表!$H$27:$H$48)),IF(B239="高一",IF($E239="男",LOOKUP(F239,[1]对照表!$E$3:$E$24,[1]对照表!$H$3:$H$24),LOOKUP(F239,[1]对照表!$E$27:$E$48,[1]对照表!$H$27:$H$48)))))</f>
        <v>66</v>
      </c>
      <c r="H239" s="21">
        <v>22</v>
      </c>
      <c r="I239" s="32">
        <f>IF(B239="高三",IF($E239="男",LOOKUP(H239,[1]对照表!$K$3:$K$24,[1]对照表!$L$3:$L$24),LOOKUP(H239,[1]对照表!$K$27:$K$48,[1]对照表!$L$27:$L$48)),IF(B239="高二",IF($E239="男",LOOKUP(H239,[1]对照表!$J$3:$J$24,[1]对照表!$L$3:$L$24),LOOKUP(H239,[1]对照表!$J$27:$J$48,[1]对照表!$L$27:$L$48)),IF(B239="高一",IF($E239="男",LOOKUP(H239,[1]对照表!$I$3:$I$24,[1]对照表!$L$3:$L$24),LOOKUP(H239,[1]对照表!$I$27:$I$48,[1]对照表!$L$27:$L$48)))))</f>
        <v>90</v>
      </c>
      <c r="J239" s="21">
        <v>157</v>
      </c>
      <c r="K239" s="32">
        <f>IF(B239="高三",IF($E239="男",LOOKUP(J239,[1]对照表!$O$3:$O$24,[1]对照表!$P$3:$P$24),LOOKUP(J239,[1]对照表!$O$27:$O$48,[1]对照表!$P$27:$P$48)),IF(B239="高二",IF($E239="男",LOOKUP(J239,[1]对照表!$N$3:$N$24,[1]对照表!$P$3:$P$24),LOOKUP(J239,[1]对照表!$N$27:$N$48,[1]对照表!$P$27:$P$48)),IF(B239="高一",IF($E239="男",LOOKUP(J239,[1]对照表!$M$3:$M$24,[1]对照表!$P$3:$P$24),LOOKUP(J239,[1]对照表!$M$27:$M$48,[1]对照表!$P$27:$P$48)))))</f>
        <v>66</v>
      </c>
      <c r="L239" s="21">
        <v>40</v>
      </c>
      <c r="M239" s="32">
        <f>IF(B239="高三",IF($E239="男",LOOKUP(L239,[1]对照表!$S$3:$S$24,[1]对照表!$T$3:$T$24),LOOKUP(L239,[1]对照表!$S$27:$S$48,[1]对照表!$T$27:$T$48)),IF(B239="高二",IF($E239="男",LOOKUP(L239,[1]对照表!$R$3:$R$24,[1]对照表!$T$3:$T$24),LOOKUP(L239,[1]对照表!$R$27:$R$48,[1]对照表!$T$27:$T$48)),IF(B239="高一",IF($E239="男",LOOKUP(L239,[1]对照表!$Q$3:$Q$24,[1]对照表!$T$3:$T$24),LOOKUP(L239,[1]对照表!$Q$27:$Q$48,[1]对照表!$T$27:$T$48)))))</f>
        <v>76</v>
      </c>
      <c r="N239" s="33">
        <f>IF(B239="高三",MAX(IF(E239="男",L239-18,L239-55),0),IF(B239="高二",MAX(IF(E239="男",L239-17,L239-54),0),IF(B239="高一",MAX(IF(E239="男",L239-16,L239-53),0))))</f>
        <v>0</v>
      </c>
      <c r="O239" s="23">
        <f>IF(E239="男",LOOKUP($N239,[1]对照表!$Z$3:$Z$13,[1]对照表!$AA$3:$AA$13),LOOKUP($N239,[1]对照表!$Z$15:$Z$25,[1]对照表!$AA$15:$AA$25))</f>
        <v>0</v>
      </c>
      <c r="P239" s="24">
        <f>M239+O239</f>
        <v>76</v>
      </c>
      <c r="Q239" s="25">
        <v>4.13</v>
      </c>
      <c r="R239" s="32">
        <f>IF(B239="高三",IF($E239="男",LOOKUP(Q239,[1]对照表!$W$3:$W$24,[1]对照表!$X$3:$X$24),LOOKUP(Q239,[1]对照表!$W$27:$W$48,[1]对照表!$X$27:$X$48)),IF(B239="高二",IF($E239="男",LOOKUP(Q239,[1]对照表!$V$3:$V$24,[1]对照表!$X$3:$X$24),LOOKUP(Q239,[1]对照表!$V$27:$V$48,[1]对照表!$X$27:$X$48)),IF(B239="高一",IF($E239="男",LOOKUP(Q239,[1]对照表!$U$3:$U$24,[1]对照表!$X$3:$X$24),LOOKUP(Q239,[1]对照表!$U$27:$U$48,[1]对照表!$X$27:$X$48)))))</f>
        <v>70</v>
      </c>
      <c r="S239" s="33">
        <f>ROUND(IF(IF($B239="高三",MIN(IF($E239="男",$Q239-3.2,$Q239-3.2),0),IF($B239="高二",MIN(IF($E239="男",$Q239-3.25,$Q239-3.22),0),IF($B239="高一",MIN(IF($E239="男",$Q239-3.3,$Q239-3.24),0))))&lt;-0.6,IF($B239="高三",MIN(IF($E239="男",$Q239-3.2,$Q239-3.2),0),IF($B239="高二",MIN(IF($E239="男",$Q239-3.25,$Q239-3.22),0),IF($B239="高一",MIN(IF($E239="男",$Q239-3.3,$Q239-3.24),0))))+0.4,IF($B239="高三",MIN(IF($E239="男",$Q239-3.2,$Q239-3.2),0),IF($B239="高二",MIN(IF($E239="男",$Q239-3.25,$Q239-3.22),0),IF($B239="高一",MIN(IF($E239="男",$Q239-3.3,$Q239-3.24),0))))),2)</f>
        <v>0</v>
      </c>
      <c r="T239" s="23">
        <f>IF(E239="男",LOOKUP($S239,[1]对照表!$AB$3:$AB$13,[1]对照表!$AC$3:$AC$13),LOOKUP($S239,[1]对照表!$AB$15:$AB$25,[1]对照表!$AC$15:$AC$25))</f>
        <v>0</v>
      </c>
      <c r="U239" s="26">
        <f>R239+T239</f>
        <v>70</v>
      </c>
      <c r="V239" s="26">
        <f>SUM(I239,K239,M239)/3*0.3+SUM(G239,R239)/2*0.4</f>
        <v>50.400000000000006</v>
      </c>
      <c r="W239" s="27">
        <f>O239+T239</f>
        <v>0</v>
      </c>
      <c r="X239" s="28">
        <f>V239/0.7+W239</f>
        <v>72.000000000000014</v>
      </c>
      <c r="Y239" s="28">
        <v>72.000000000000014</v>
      </c>
      <c r="Z239" s="21"/>
    </row>
    <row r="240" spans="1:26" x14ac:dyDescent="0.25">
      <c r="A240" s="16">
        <v>39</v>
      </c>
      <c r="B240" s="17" t="s">
        <v>21</v>
      </c>
      <c r="C240" s="16">
        <v>106</v>
      </c>
      <c r="D240" s="18" t="s">
        <v>724</v>
      </c>
      <c r="E240" s="17" t="s">
        <v>65</v>
      </c>
      <c r="F240" s="19">
        <v>10.41</v>
      </c>
      <c r="G240" s="32">
        <f>IF(B240="高三",IF($E240="男",LOOKUP(F240,[1]对照表!$G$3:$G$24,[1]对照表!$H$3:$H$24),LOOKUP(F240,[1]对照表!$G$27:$G$48,[1]对照表!$H$27:$H$48)),IF(B240="高二",IF($E240="男",LOOKUP(F240,[1]对照表!$F$3:$F$24,[1]对照表!$H$3:$H$24),LOOKUP(F240,[1]对照表!$F$27:$F$48,[1]对照表!$H$27:$H$48)),IF(B240="高一",IF($E240="男",LOOKUP(F240,[1]对照表!$E$3:$E$24,[1]对照表!$H$3:$H$24),LOOKUP(F240,[1]对照表!$E$27:$E$48,[1]对照表!$H$27:$H$48)))))</f>
        <v>60</v>
      </c>
      <c r="H240" s="21">
        <v>17</v>
      </c>
      <c r="I240" s="32">
        <f>IF(B240="高三",IF($E240="男",LOOKUP(H240,[1]对照表!$K$3:$K$24,[1]对照表!$L$3:$L$24),LOOKUP(H240,[1]对照表!$K$27:$K$48,[1]对照表!$L$27:$L$48)),IF(B240="高二",IF($E240="男",LOOKUP(H240,[1]对照表!$J$3:$J$24,[1]对照表!$L$3:$L$24),LOOKUP(H240,[1]对照表!$J$27:$J$48,[1]对照表!$L$27:$L$48)),IF(B240="高一",IF($E240="男",LOOKUP(H240,[1]对照表!$I$3:$I$24,[1]对照表!$L$3:$L$24),LOOKUP(H240,[1]对照表!$I$27:$I$48,[1]对照表!$L$27:$L$48)))))</f>
        <v>78</v>
      </c>
      <c r="J240" s="21">
        <v>140</v>
      </c>
      <c r="K240" s="32">
        <f>IF(B240="高三",IF($E240="男",LOOKUP(J240,[1]对照表!$O$3:$O$24,[1]对照表!$P$3:$P$24),LOOKUP(J240,[1]对照表!$O$27:$O$48,[1]对照表!$P$27:$P$48)),IF(B240="高二",IF($E240="男",LOOKUP(J240,[1]对照表!$N$3:$N$24,[1]对照表!$P$3:$P$24),LOOKUP(J240,[1]对照表!$N$27:$N$48,[1]对照表!$P$27:$P$48)),IF(B240="高一",IF($E240="男",LOOKUP(J240,[1]对照表!$M$3:$M$24,[1]对照表!$P$3:$P$24),LOOKUP(J240,[1]对照表!$M$27:$M$48,[1]对照表!$P$27:$P$48)))))</f>
        <v>40</v>
      </c>
      <c r="L240" s="21">
        <v>48</v>
      </c>
      <c r="M240" s="32">
        <f>IF(B240="高三",IF($E240="男",LOOKUP(L240,[1]对照表!$S$3:$S$24,[1]对照表!$T$3:$T$24),LOOKUP(L240,[1]对照表!$S$27:$S$48,[1]对照表!$T$27:$T$48)),IF(B240="高二",IF($E240="男",LOOKUP(L240,[1]对照表!$R$3:$R$24,[1]对照表!$T$3:$T$24),LOOKUP(L240,[1]对照表!$R$27:$R$48,[1]对照表!$T$27:$T$48)),IF(B240="高一",IF($E240="男",LOOKUP(L240,[1]对照表!$Q$3:$Q$24,[1]对照表!$T$3:$T$24),LOOKUP(L240,[1]对照表!$Q$27:$Q$48,[1]对照表!$T$27:$T$48)))))</f>
        <v>85</v>
      </c>
      <c r="N240" s="33">
        <f>IF(B240="高三",MAX(IF(E240="男",L240-18,L240-55),0),IF(B240="高二",MAX(IF(E240="男",L240-17,L240-54),0),IF(B240="高一",MAX(IF(E240="男",L240-16,L240-53),0))))</f>
        <v>0</v>
      </c>
      <c r="O240" s="23">
        <f>IF(E240="男",LOOKUP($N240,[1]对照表!$Z$3:$Z$13,[1]对照表!$AA$3:$AA$13),LOOKUP($N240,[1]对照表!$Z$15:$Z$25,[1]对照表!$AA$15:$AA$25))</f>
        <v>0</v>
      </c>
      <c r="P240" s="24">
        <f>M240+O240</f>
        <v>85</v>
      </c>
      <c r="Q240" s="25">
        <v>4.17</v>
      </c>
      <c r="R240" s="32">
        <f>IF(B240="高三",IF($E240="男",LOOKUP(Q240,[1]对照表!$W$3:$W$24,[1]对照表!$X$3:$X$24),LOOKUP(Q240,[1]对照表!$W$27:$W$48,[1]对照表!$X$27:$X$48)),IF(B240="高二",IF($E240="男",LOOKUP(Q240,[1]对照表!$V$3:$V$24,[1]对照表!$X$3:$X$24),LOOKUP(Q240,[1]对照表!$V$27:$V$48,[1]对照表!$X$27:$X$48)),IF(B240="高一",IF($E240="男",LOOKUP(Q240,[1]对照表!$U$3:$U$24,[1]对照表!$X$3:$X$24),LOOKUP(Q240,[1]对照表!$U$27:$U$48,[1]对照表!$X$27:$X$48)))))</f>
        <v>68</v>
      </c>
      <c r="S240" s="33">
        <f>ROUND(IF(IF($B240="高三",MIN(IF($E240="男",$Q240-3.2,$Q240-3.2),0),IF($B240="高二",MIN(IF($E240="男",$Q240-3.25,$Q240-3.22),0),IF($B240="高一",MIN(IF($E240="男",$Q240-3.3,$Q240-3.24),0))))&lt;-0.6,IF($B240="高三",MIN(IF($E240="男",$Q240-3.2,$Q240-3.2),0),IF($B240="高二",MIN(IF($E240="男",$Q240-3.25,$Q240-3.22),0),IF($B240="高一",MIN(IF($E240="男",$Q240-3.3,$Q240-3.24),0))))+0.4,IF($B240="高三",MIN(IF($E240="男",$Q240-3.2,$Q240-3.2),0),IF($B240="高二",MIN(IF($E240="男",$Q240-3.25,$Q240-3.22),0),IF($B240="高一",MIN(IF($E240="男",$Q240-3.3,$Q240-3.24),0))))),2)</f>
        <v>0</v>
      </c>
      <c r="T240" s="23">
        <f>IF(E240="男",LOOKUP($S240,[1]对照表!$AB$3:$AB$13,[1]对照表!$AC$3:$AC$13),LOOKUP($S240,[1]对照表!$AB$15:$AB$25,[1]对照表!$AC$15:$AC$25))</f>
        <v>0</v>
      </c>
      <c r="U240" s="26">
        <f>R240+T240</f>
        <v>68</v>
      </c>
      <c r="V240" s="26">
        <f>SUM(I240,K240,M240)/3*0.3+SUM(G240,R240)/2*0.4</f>
        <v>45.900000000000006</v>
      </c>
      <c r="W240" s="27">
        <f>O240+T240</f>
        <v>0</v>
      </c>
      <c r="X240" s="28">
        <f>V240/0.7+W240</f>
        <v>65.571428571428584</v>
      </c>
      <c r="Y240" s="28">
        <v>65.571428571428584</v>
      </c>
      <c r="Z240" s="21"/>
    </row>
    <row r="241" spans="1:26" x14ac:dyDescent="0.25">
      <c r="A241" s="16">
        <v>27</v>
      </c>
      <c r="B241" s="17" t="s">
        <v>21</v>
      </c>
      <c r="C241" s="16">
        <v>106</v>
      </c>
      <c r="D241" s="18" t="s">
        <v>725</v>
      </c>
      <c r="E241" s="17" t="s">
        <v>65</v>
      </c>
      <c r="F241" s="19">
        <v>9.23</v>
      </c>
      <c r="G241" s="32">
        <f>IF(B241="高三",IF($E241="男",LOOKUP(F241,[1]对照表!$G$3:$G$24,[1]对照表!$H$3:$H$24),LOOKUP(F241,[1]对照表!$G$27:$G$48,[1]对照表!$H$27:$H$48)),IF(B241="高二",IF($E241="男",LOOKUP(F241,[1]对照表!$F$3:$F$24,[1]对照表!$H$3:$H$24),LOOKUP(F241,[1]对照表!$F$27:$F$48,[1]对照表!$H$27:$H$48)),IF(B241="高一",IF($E241="男",LOOKUP(F241,[1]对照表!$E$3:$E$24,[1]对照表!$H$3:$H$24),LOOKUP(F241,[1]对照表!$E$27:$E$48,[1]对照表!$H$27:$H$48)))))</f>
        <v>72</v>
      </c>
      <c r="H241" s="21">
        <v>21</v>
      </c>
      <c r="I241" s="32">
        <f>IF(B241="高三",IF($E241="男",LOOKUP(H241,[1]对照表!$K$3:$K$24,[1]对照表!$L$3:$L$24),LOOKUP(H241,[1]对照表!$K$27:$K$48,[1]对照表!$L$27:$L$48)),IF(B241="高二",IF($E241="男",LOOKUP(H241,[1]对照表!$J$3:$J$24,[1]对照表!$L$3:$L$24),LOOKUP(H241,[1]对照表!$J$27:$J$48,[1]对照表!$L$27:$L$48)),IF(B241="高一",IF($E241="男",LOOKUP(H241,[1]对照表!$I$3:$I$24,[1]对照表!$L$3:$L$24),LOOKUP(H241,[1]对照表!$I$27:$I$48,[1]对照表!$L$27:$L$48)))))</f>
        <v>90</v>
      </c>
      <c r="J241" s="21">
        <v>162</v>
      </c>
      <c r="K241" s="32">
        <f>IF(B241="高三",IF($E241="男",LOOKUP(J241,[1]对照表!$O$3:$O$24,[1]对照表!$P$3:$P$24),LOOKUP(J241,[1]对照表!$O$27:$O$48,[1]对照表!$P$27:$P$48)),IF(B241="高二",IF($E241="男",LOOKUP(J241,[1]对照表!$N$3:$N$24,[1]对照表!$P$3:$P$24),LOOKUP(J241,[1]对照表!$N$27:$N$48,[1]对照表!$P$27:$P$48)),IF(B241="高一",IF($E241="男",LOOKUP(J241,[1]对照表!$M$3:$M$24,[1]对照表!$P$3:$P$24),LOOKUP(J241,[1]对照表!$M$27:$M$48,[1]对照表!$P$27:$P$48)))))</f>
        <v>68</v>
      </c>
      <c r="L241" s="21">
        <v>50</v>
      </c>
      <c r="M241" s="32">
        <f>IF(B241="高三",IF($E241="男",LOOKUP(L241,[1]对照表!$S$3:$S$24,[1]对照表!$T$3:$T$24),LOOKUP(L241,[1]对照表!$S$27:$S$48,[1]对照表!$T$27:$T$48)),IF(B241="高二",IF($E241="男",LOOKUP(L241,[1]对照表!$R$3:$R$24,[1]对照表!$T$3:$T$24),LOOKUP(L241,[1]对照表!$R$27:$R$48,[1]对照表!$T$27:$T$48)),IF(B241="高一",IF($E241="男",LOOKUP(L241,[1]对照表!$Q$3:$Q$24,[1]对照表!$T$3:$T$24),LOOKUP(L241,[1]对照表!$Q$27:$Q$48,[1]对照表!$T$27:$T$48)))))</f>
        <v>90</v>
      </c>
      <c r="N241" s="33">
        <f>IF(B241="高三",MAX(IF(E241="男",L241-18,L241-55),0),IF(B241="高二",MAX(IF(E241="男",L241-17,L241-54),0),IF(B241="高一",MAX(IF(E241="男",L241-16,L241-53),0))))</f>
        <v>0</v>
      </c>
      <c r="O241" s="23">
        <f>IF(E241="男",LOOKUP($N241,[1]对照表!$Z$3:$Z$13,[1]对照表!$AA$3:$AA$13),LOOKUP($N241,[1]对照表!$Z$15:$Z$25,[1]对照表!$AA$15:$AA$25))</f>
        <v>0</v>
      </c>
      <c r="P241" s="24">
        <f>M241+O241</f>
        <v>90</v>
      </c>
      <c r="Q241" s="25">
        <v>4.18</v>
      </c>
      <c r="R241" s="32">
        <f>IF(B241="高三",IF($E241="男",LOOKUP(Q241,[1]对照表!$W$3:$W$24,[1]对照表!$X$3:$X$24),LOOKUP(Q241,[1]对照表!$W$27:$W$48,[1]对照表!$X$27:$X$48)),IF(B241="高二",IF($E241="男",LOOKUP(Q241,[1]对照表!$V$3:$V$24,[1]对照表!$X$3:$X$24),LOOKUP(Q241,[1]对照表!$V$27:$V$48,[1]对照表!$X$27:$X$48)),IF(B241="高一",IF($E241="男",LOOKUP(Q241,[1]对照表!$U$3:$U$24,[1]对照表!$X$3:$X$24),LOOKUP(Q241,[1]对照表!$U$27:$U$48,[1]对照表!$X$27:$X$48)))))</f>
        <v>68</v>
      </c>
      <c r="S241" s="33">
        <f>ROUND(IF(IF($B241="高三",MIN(IF($E241="男",$Q241-3.2,$Q241-3.2),0),IF($B241="高二",MIN(IF($E241="男",$Q241-3.25,$Q241-3.22),0),IF($B241="高一",MIN(IF($E241="男",$Q241-3.3,$Q241-3.24),0))))&lt;-0.6,IF($B241="高三",MIN(IF($E241="男",$Q241-3.2,$Q241-3.2),0),IF($B241="高二",MIN(IF($E241="男",$Q241-3.25,$Q241-3.22),0),IF($B241="高一",MIN(IF($E241="男",$Q241-3.3,$Q241-3.24),0))))+0.4,IF($B241="高三",MIN(IF($E241="男",$Q241-3.2,$Q241-3.2),0),IF($B241="高二",MIN(IF($E241="男",$Q241-3.25,$Q241-3.22),0),IF($B241="高一",MIN(IF($E241="男",$Q241-3.3,$Q241-3.24),0))))),2)</f>
        <v>0</v>
      </c>
      <c r="T241" s="23">
        <f>IF(E241="男",LOOKUP($S241,[1]对照表!$AB$3:$AB$13,[1]对照表!$AC$3:$AC$13),LOOKUP($S241,[1]对照表!$AB$15:$AB$25,[1]对照表!$AC$15:$AC$25))</f>
        <v>0</v>
      </c>
      <c r="U241" s="26">
        <f>R241+T241</f>
        <v>68</v>
      </c>
      <c r="V241" s="26">
        <f>SUM(I241,K241,M241)/3*0.3+SUM(G241,R241)/2*0.4</f>
        <v>52.8</v>
      </c>
      <c r="W241" s="27">
        <f>O241+T241</f>
        <v>0</v>
      </c>
      <c r="X241" s="28">
        <f>V241/0.7+W241</f>
        <v>75.428571428571431</v>
      </c>
      <c r="Y241" s="28">
        <v>75.428571428571431</v>
      </c>
      <c r="Z241" s="21"/>
    </row>
    <row r="242" spans="1:26" x14ac:dyDescent="0.25">
      <c r="A242" s="16">
        <v>26</v>
      </c>
      <c r="B242" s="17" t="s">
        <v>21</v>
      </c>
      <c r="C242" s="16">
        <v>106</v>
      </c>
      <c r="D242" s="18" t="s">
        <v>731</v>
      </c>
      <c r="E242" s="17" t="s">
        <v>65</v>
      </c>
      <c r="F242" s="19">
        <v>8.85</v>
      </c>
      <c r="G242" s="32">
        <f>IF(B242="高三",IF($E242="男",LOOKUP(F242,[1]对照表!$G$3:$G$24,[1]对照表!$H$3:$H$24),LOOKUP(F242,[1]对照表!$G$27:$G$48,[1]对照表!$H$27:$H$48)),IF(B242="高二",IF($E242="男",LOOKUP(F242,[1]对照表!$F$3:$F$24,[1]对照表!$H$3:$H$24),LOOKUP(F242,[1]对照表!$F$27:$F$48,[1]对照表!$H$27:$H$48)),IF(B242="高一",IF($E242="男",LOOKUP(F242,[1]对照表!$E$3:$E$24,[1]对照表!$H$3:$H$24),LOOKUP(F242,[1]对照表!$E$27:$E$48,[1]对照表!$H$27:$H$48)))))</f>
        <v>76</v>
      </c>
      <c r="H242" s="21">
        <v>18</v>
      </c>
      <c r="I242" s="32">
        <f>IF(B242="高三",IF($E242="男",LOOKUP(H242,[1]对照表!$K$3:$K$24,[1]对照表!$L$3:$L$24),LOOKUP(H242,[1]对照表!$K$27:$K$48,[1]对照表!$L$27:$L$48)),IF(B242="高二",IF($E242="男",LOOKUP(H242,[1]对照表!$J$3:$J$24,[1]对照表!$L$3:$L$24),LOOKUP(H242,[1]对照表!$J$27:$J$48,[1]对照表!$L$27:$L$48)),IF(B242="高一",IF($E242="男",LOOKUP(H242,[1]对照表!$I$3:$I$24,[1]对照表!$L$3:$L$24),LOOKUP(H242,[1]对照表!$I$27:$I$48,[1]对照表!$L$27:$L$48)))))</f>
        <v>80</v>
      </c>
      <c r="J242" s="21">
        <v>176</v>
      </c>
      <c r="K242" s="32">
        <f>IF(B242="高三",IF($E242="男",LOOKUP(J242,[1]对照表!$O$3:$O$24,[1]对照表!$P$3:$P$24),LOOKUP(J242,[1]对照表!$O$27:$O$48,[1]对照表!$P$27:$P$48)),IF(B242="高二",IF($E242="男",LOOKUP(J242,[1]对照表!$N$3:$N$24,[1]对照表!$P$3:$P$24),LOOKUP(J242,[1]对照表!$N$27:$N$48,[1]对照表!$P$27:$P$48)),IF(B242="高一",IF($E242="男",LOOKUP(J242,[1]对照表!$M$3:$M$24,[1]对照表!$P$3:$P$24),LOOKUP(J242,[1]对照表!$M$27:$M$48,[1]对照表!$P$27:$P$48)))))</f>
        <v>78</v>
      </c>
      <c r="L242" s="21">
        <v>49</v>
      </c>
      <c r="M242" s="32">
        <f>IF(B242="高三",IF($E242="男",LOOKUP(L242,[1]对照表!$S$3:$S$24,[1]对照表!$T$3:$T$24),LOOKUP(L242,[1]对照表!$S$27:$S$48,[1]对照表!$T$27:$T$48)),IF(B242="高二",IF($E242="男",LOOKUP(L242,[1]对照表!$R$3:$R$24,[1]对照表!$T$3:$T$24),LOOKUP(L242,[1]对照表!$R$27:$R$48,[1]对照表!$T$27:$T$48)),IF(B242="高一",IF($E242="男",LOOKUP(L242,[1]对照表!$Q$3:$Q$24,[1]对照表!$T$3:$T$24),LOOKUP(L242,[1]对照表!$Q$27:$Q$48,[1]对照表!$T$27:$T$48)))))</f>
        <v>90</v>
      </c>
      <c r="N242" s="33">
        <f>IF(B242="高三",MAX(IF(E242="男",L242-18,L242-55),0),IF(B242="高二",MAX(IF(E242="男",L242-17,L242-54),0),IF(B242="高一",MAX(IF(E242="男",L242-16,L242-53),0))))</f>
        <v>0</v>
      </c>
      <c r="O242" s="23">
        <f>IF(E242="男",LOOKUP($N242,[1]对照表!$Z$3:$Z$13,[1]对照表!$AA$3:$AA$13),LOOKUP($N242,[1]对照表!$Z$15:$Z$25,[1]对照表!$AA$15:$AA$25))</f>
        <v>0</v>
      </c>
      <c r="P242" s="24">
        <f>M242+O242</f>
        <v>90</v>
      </c>
      <c r="Q242" s="25">
        <v>4.2300000000000004</v>
      </c>
      <c r="R242" s="32">
        <f>IF(B242="高三",IF($E242="男",LOOKUP(Q242,[1]对照表!$W$3:$W$24,[1]对照表!$X$3:$X$24),LOOKUP(Q242,[1]对照表!$W$27:$W$48,[1]对照表!$X$27:$X$48)),IF(B242="高二",IF($E242="男",LOOKUP(Q242,[1]对照表!$V$3:$V$24,[1]对照表!$X$3:$X$24),LOOKUP(Q242,[1]对照表!$V$27:$V$48,[1]对照表!$X$27:$X$48)),IF(B242="高一",IF($E242="男",LOOKUP(Q242,[1]对照表!$U$3:$U$24,[1]对照表!$X$3:$X$24),LOOKUP(Q242,[1]对照表!$U$27:$U$48,[1]对照表!$X$27:$X$48)))))</f>
        <v>66</v>
      </c>
      <c r="S242" s="33">
        <f>ROUND(IF(IF($B242="高三",MIN(IF($E242="男",$Q242-3.2,$Q242-3.2),0),IF($B242="高二",MIN(IF($E242="男",$Q242-3.25,$Q242-3.22),0),IF($B242="高一",MIN(IF($E242="男",$Q242-3.3,$Q242-3.24),0))))&lt;-0.6,IF($B242="高三",MIN(IF($E242="男",$Q242-3.2,$Q242-3.2),0),IF($B242="高二",MIN(IF($E242="男",$Q242-3.25,$Q242-3.22),0),IF($B242="高一",MIN(IF($E242="男",$Q242-3.3,$Q242-3.24),0))))+0.4,IF($B242="高三",MIN(IF($E242="男",$Q242-3.2,$Q242-3.2),0),IF($B242="高二",MIN(IF($E242="男",$Q242-3.25,$Q242-3.22),0),IF($B242="高一",MIN(IF($E242="男",$Q242-3.3,$Q242-3.24),0))))),2)</f>
        <v>0</v>
      </c>
      <c r="T242" s="23">
        <f>IF(E242="男",LOOKUP($S242,[1]对照表!$AB$3:$AB$13,[1]对照表!$AC$3:$AC$13),LOOKUP($S242,[1]对照表!$AB$15:$AB$25,[1]对照表!$AC$15:$AC$25))</f>
        <v>0</v>
      </c>
      <c r="U242" s="26">
        <f>R242+T242</f>
        <v>66</v>
      </c>
      <c r="V242" s="26">
        <f>SUM(I242,K242,M242)/3*0.3+SUM(G242,R242)/2*0.4</f>
        <v>53.2</v>
      </c>
      <c r="W242" s="27">
        <f>O242+T242</f>
        <v>0</v>
      </c>
      <c r="X242" s="28">
        <f>V242/0.7+W242</f>
        <v>76.000000000000014</v>
      </c>
      <c r="Y242" s="28">
        <v>76.000000000000014</v>
      </c>
      <c r="Z242" s="21"/>
    </row>
    <row r="243" spans="1:26" x14ac:dyDescent="0.25">
      <c r="A243" s="16">
        <v>13</v>
      </c>
      <c r="B243" s="17" t="s">
        <v>21</v>
      </c>
      <c r="C243" s="16">
        <v>106</v>
      </c>
      <c r="D243" s="18" t="s">
        <v>747</v>
      </c>
      <c r="E243" s="17" t="s">
        <v>65</v>
      </c>
      <c r="F243" s="19">
        <v>8.5399999999999991</v>
      </c>
      <c r="G243" s="32">
        <f>IF(B243="高三",IF($E243="男",LOOKUP(F243,[1]对照表!$G$3:$G$24,[1]对照表!$H$3:$H$24),LOOKUP(F243,[1]对照表!$G$27:$G$48,[1]对照表!$H$27:$H$48)),IF(B243="高二",IF($E243="男",LOOKUP(F243,[1]对照表!$F$3:$F$24,[1]对照表!$H$3:$H$24),LOOKUP(F243,[1]对照表!$F$27:$F$48,[1]对照表!$H$27:$H$48)),IF(B243="高一",IF($E243="男",LOOKUP(F243,[1]对照表!$E$3:$E$24,[1]对照表!$H$3:$H$24),LOOKUP(F243,[1]对照表!$E$27:$E$48,[1]对照表!$H$27:$H$48)))))</f>
        <v>80</v>
      </c>
      <c r="H243" s="21">
        <v>16</v>
      </c>
      <c r="I243" s="32">
        <f>IF(B243="高三",IF($E243="男",LOOKUP(H243,[1]对照表!$K$3:$K$24,[1]对照表!$L$3:$L$24),LOOKUP(H243,[1]对照表!$K$27:$K$48,[1]对照表!$L$27:$L$48)),IF(B243="高二",IF($E243="男",LOOKUP(H243,[1]对照表!$J$3:$J$24,[1]对照表!$L$3:$L$24),LOOKUP(H243,[1]对照表!$J$27:$J$48,[1]对照表!$L$27:$L$48)),IF(B243="高一",IF($E243="男",LOOKUP(H243,[1]对照表!$I$3:$I$24,[1]对照表!$L$3:$L$24),LOOKUP(H243,[1]对照表!$I$27:$I$48,[1]对照表!$L$27:$L$48)))))</f>
        <v>76</v>
      </c>
      <c r="J243" s="21">
        <v>193</v>
      </c>
      <c r="K243" s="32">
        <f>IF(B243="高三",IF($E243="男",LOOKUP(J243,[1]对照表!$O$3:$O$24,[1]对照表!$P$3:$P$24),LOOKUP(J243,[1]对照表!$O$27:$O$48,[1]对照表!$P$27:$P$48)),IF(B243="高二",IF($E243="男",LOOKUP(J243,[1]对照表!$N$3:$N$24,[1]对照表!$P$3:$P$24),LOOKUP(J243,[1]对照表!$N$27:$N$48,[1]对照表!$P$27:$P$48)),IF(B243="高一",IF($E243="男",LOOKUP(J243,[1]对照表!$M$3:$M$24,[1]对照表!$P$3:$P$24),LOOKUP(J243,[1]对照表!$M$27:$M$48,[1]对照表!$P$27:$P$48)))))</f>
        <v>90</v>
      </c>
      <c r="L243" s="21">
        <v>57</v>
      </c>
      <c r="M243" s="32">
        <f>IF(B243="高三",IF($E243="男",LOOKUP(L243,[1]对照表!$S$3:$S$24,[1]对照表!$T$3:$T$24),LOOKUP(L243,[1]对照表!$S$27:$S$48,[1]对照表!$T$27:$T$48)),IF(B243="高二",IF($E243="男",LOOKUP(L243,[1]对照表!$R$3:$R$24,[1]对照表!$T$3:$T$24),LOOKUP(L243,[1]对照表!$R$27:$R$48,[1]对照表!$T$27:$T$48)),IF(B243="高一",IF($E243="男",LOOKUP(L243,[1]对照表!$Q$3:$Q$24,[1]对照表!$T$3:$T$24),LOOKUP(L243,[1]对照表!$Q$27:$Q$48,[1]对照表!$T$27:$T$48)))))</f>
        <v>100</v>
      </c>
      <c r="N243" s="33">
        <f>IF(B243="高三",MAX(IF(E243="男",L243-18,L243-55),0),IF(B243="高二",MAX(IF(E243="男",L243-17,L243-54),0),IF(B243="高一",MAX(IF(E243="男",L243-16,L243-53),0))))</f>
        <v>4</v>
      </c>
      <c r="O243" s="23">
        <f>IF(E243="男",LOOKUP($N243,[1]对照表!$Z$3:$Z$13,[1]对照表!$AA$3:$AA$13),LOOKUP($N243,[1]对照表!$Z$15:$Z$25,[1]对照表!$AA$15:$AA$25))</f>
        <v>2</v>
      </c>
      <c r="P243" s="24">
        <f>M243+O243</f>
        <v>102</v>
      </c>
      <c r="Q243" s="25" t="s">
        <v>578</v>
      </c>
      <c r="R243" s="20">
        <v>0</v>
      </c>
      <c r="S243" s="22">
        <v>0</v>
      </c>
      <c r="T243" s="23">
        <f>IF(E243="男",LOOKUP($S243,[1]对照表!$AB$3:$AB$13,[1]对照表!$AC$3:$AC$13),LOOKUP($S243,[1]对照表!$AB$15:$AB$25,[1]对照表!$AC$15:$AC$25))</f>
        <v>0</v>
      </c>
      <c r="U243" s="26">
        <f>R243+T243</f>
        <v>0</v>
      </c>
      <c r="V243" s="26">
        <f>SUM(I243,K243,M243)/3*0.3+SUM(G243,R243)/2*0.4</f>
        <v>42.6</v>
      </c>
      <c r="W243" s="27">
        <f>O243+T243</f>
        <v>2</v>
      </c>
      <c r="X243" s="28">
        <f>V243/0.7+W243</f>
        <v>62.857142857142861</v>
      </c>
      <c r="Y243" s="28">
        <v>62.857142857142861</v>
      </c>
      <c r="Z243" s="21"/>
    </row>
    <row r="244" spans="1:26" x14ac:dyDescent="0.25">
      <c r="A244" s="16">
        <v>29</v>
      </c>
      <c r="B244" s="17" t="s">
        <v>21</v>
      </c>
      <c r="C244" s="16">
        <v>107</v>
      </c>
      <c r="D244" s="18" t="s">
        <v>50</v>
      </c>
      <c r="E244" s="16" t="s">
        <v>23</v>
      </c>
      <c r="F244" s="19">
        <v>6.7</v>
      </c>
      <c r="G244" s="32">
        <f>IF(B244="高三",IF($E244="男",LOOKUP(F244,[1]对照表!$G$3:$G$24,[1]对照表!$H$3:$H$24),LOOKUP(F244,[1]对照表!$G$27:$G$48,[1]对照表!$H$27:$H$48)),IF(B244="高二",IF($E244="男",LOOKUP(F244,[1]对照表!$F$3:$F$24,[1]对照表!$H$3:$H$24),LOOKUP(F244,[1]对照表!$F$27:$F$48,[1]对照表!$H$27:$H$48)),IF(B244="高一",IF($E244="男",LOOKUP(F244,[1]对照表!$E$3:$E$24,[1]对照表!$H$3:$H$24),LOOKUP(F244,[1]对照表!$E$27:$E$48,[1]对照表!$H$27:$H$48)))))</f>
        <v>100</v>
      </c>
      <c r="H244" s="21">
        <v>20.100000000000001</v>
      </c>
      <c r="I244" s="32">
        <f>IF(B244="高三",IF($E244="男",LOOKUP(H244,[1]对照表!$K$3:$K$24,[1]对照表!$L$3:$L$24),LOOKUP(H244,[1]对照表!$K$27:$K$48,[1]对照表!$L$27:$L$48)),IF(B244="高二",IF($E244="男",LOOKUP(H244,[1]对照表!$J$3:$J$24,[1]对照表!$L$3:$L$24),LOOKUP(H244,[1]对照表!$J$27:$J$48,[1]对照表!$L$27:$L$48)),IF(B244="高一",IF($E244="男",LOOKUP(H244,[1]对照表!$I$3:$I$24,[1]对照表!$L$3:$L$24),LOOKUP(H244,[1]对照表!$I$27:$I$48,[1]对照表!$L$27:$L$48)))))</f>
        <v>90</v>
      </c>
      <c r="J244" s="21">
        <v>271</v>
      </c>
      <c r="K244" s="32">
        <f>IF(B244="高三",IF($E244="男",LOOKUP(J244,[1]对照表!$O$3:$O$24,[1]对照表!$P$3:$P$24),LOOKUP(J244,[1]对照表!$O$27:$O$48,[1]对照表!$P$27:$P$48)),IF(B244="高二",IF($E244="男",LOOKUP(J244,[1]对照表!$N$3:$N$24,[1]对照表!$P$3:$P$24),LOOKUP(J244,[1]对照表!$N$27:$N$48,[1]对照表!$P$27:$P$48)),IF(B244="高一",IF($E244="男",LOOKUP(J244,[1]对照表!$M$3:$M$24,[1]对照表!$P$3:$P$24),LOOKUP(J244,[1]对照表!$M$27:$M$48,[1]对照表!$P$27:$P$48)))))</f>
        <v>100</v>
      </c>
      <c r="L244" s="21">
        <v>26</v>
      </c>
      <c r="M244" s="32">
        <f>IF(B244="高三",IF($E244="男",LOOKUP(L244,[1]对照表!$S$3:$S$24,[1]对照表!$T$3:$T$24),LOOKUP(L244,[1]对照表!$S$27:$S$48,[1]对照表!$T$27:$T$48)),IF(B244="高二",IF($E244="男",LOOKUP(L244,[1]对照表!$R$3:$R$24,[1]对照表!$T$3:$T$24),LOOKUP(L244,[1]对照表!$R$27:$R$48,[1]对照表!$T$27:$T$48)),IF(B244="高一",IF($E244="男",LOOKUP(L244,[1]对照表!$Q$3:$Q$24,[1]对照表!$T$3:$T$24),LOOKUP(L244,[1]对照表!$Q$27:$Q$48,[1]对照表!$T$27:$T$48)))))</f>
        <v>100</v>
      </c>
      <c r="N244" s="33">
        <f>IF(B244="高三",MAX(IF(E244="男",L244-18,L244-55),0),IF(B244="高二",MAX(IF(E244="男",L244-17,L244-54),0),IF(B244="高一",MAX(IF(E244="男",L244-16,L244-53),0))))</f>
        <v>10</v>
      </c>
      <c r="O244" s="23">
        <f>IF(E244="男",LOOKUP($N244,[1]对照表!$Z$3:$Z$13,[1]对照表!$AA$3:$AA$13),LOOKUP($N244,[1]对照表!$Z$15:$Z$25,[1]对照表!$AA$15:$AA$25))</f>
        <v>10</v>
      </c>
      <c r="P244" s="24">
        <f>M244+O244</f>
        <v>110</v>
      </c>
      <c r="Q244" s="25">
        <v>3.54</v>
      </c>
      <c r="R244" s="32">
        <f>IF(B244="高三",IF($E244="男",LOOKUP(Q244,[1]对照表!$W$3:$W$24,[1]对照表!$X$3:$X$24),LOOKUP(Q244,[1]对照表!$W$27:$W$48,[1]对照表!$X$27:$X$48)),IF(B244="高二",IF($E244="男",LOOKUP(Q244,[1]对照表!$V$3:$V$24,[1]对照表!$X$3:$X$24),LOOKUP(Q244,[1]对照表!$V$27:$V$48,[1]对照表!$X$27:$X$48)),IF(B244="高一",IF($E244="男",LOOKUP(Q244,[1]对照表!$U$3:$U$24,[1]对照表!$X$3:$X$24),LOOKUP(Q244,[1]对照表!$U$27:$U$48,[1]对照表!$X$27:$X$48)))))</f>
        <v>80</v>
      </c>
      <c r="S244" s="33">
        <f>ROUND(IF(IF($B244="高三",MIN(IF($E244="男",$Q244-3.2,$Q244-3.2),0),IF($B244="高二",MIN(IF($E244="男",$Q244-3.25,$Q244-3.22),0),IF($B244="高一",MIN(IF($E244="男",$Q244-3.3,$Q244-3.24),0))))&lt;-0.6,IF($B244="高三",MIN(IF($E244="男",$Q244-3.2,$Q244-3.2),0),IF($B244="高二",MIN(IF($E244="男",$Q244-3.25,$Q244-3.22),0),IF($B244="高一",MIN(IF($E244="男",$Q244-3.3,$Q244-3.24),0))))+0.4,IF($B244="高三",MIN(IF($E244="男",$Q244-3.2,$Q244-3.2),0),IF($B244="高二",MIN(IF($E244="男",$Q244-3.25,$Q244-3.22),0),IF($B244="高一",MIN(IF($E244="男",$Q244-3.3,$Q244-3.24),0))))),2)</f>
        <v>0</v>
      </c>
      <c r="T244" s="23">
        <f>IF(E244="男",LOOKUP($S244,[1]对照表!$AB$3:$AB$13,[1]对照表!$AC$3:$AC$13),LOOKUP($S244,[1]对照表!$AB$15:$AB$25,[1]对照表!$AC$15:$AC$25))</f>
        <v>0</v>
      </c>
      <c r="U244" s="26">
        <f>R244+T244</f>
        <v>80</v>
      </c>
      <c r="V244" s="26">
        <f>SUM(I244,K244,M244)/3*0.3+SUM(G244,R244)/2*0.4</f>
        <v>65</v>
      </c>
      <c r="W244" s="27">
        <f>O244+T244</f>
        <v>10</v>
      </c>
      <c r="X244" s="28">
        <f>V244/0.7+W244</f>
        <v>102.85714285714286</v>
      </c>
      <c r="Y244" s="28">
        <v>102.85714285714286</v>
      </c>
      <c r="Z244" s="21"/>
    </row>
    <row r="245" spans="1:26" x14ac:dyDescent="0.25">
      <c r="A245" s="16">
        <v>19</v>
      </c>
      <c r="B245" s="17" t="s">
        <v>21</v>
      </c>
      <c r="C245" s="16">
        <v>107</v>
      </c>
      <c r="D245" s="18" t="s">
        <v>55</v>
      </c>
      <c r="E245" s="16" t="s">
        <v>23</v>
      </c>
      <c r="F245" s="19">
        <v>6.6</v>
      </c>
      <c r="G245" s="32">
        <f>IF(B245="高三",IF($E245="男",LOOKUP(F245,[1]对照表!$G$3:$G$24,[1]对照表!$H$3:$H$24),LOOKUP(F245,[1]对照表!$G$27:$G$48,[1]对照表!$H$27:$H$48)),IF(B245="高二",IF($E245="男",LOOKUP(F245,[1]对照表!$F$3:$F$24,[1]对照表!$H$3:$H$24),LOOKUP(F245,[1]对照表!$F$27:$F$48,[1]对照表!$H$27:$H$48)),IF(B245="高一",IF($E245="男",LOOKUP(F245,[1]对照表!$E$3:$E$24,[1]对照表!$H$3:$H$24),LOOKUP(F245,[1]对照表!$E$27:$E$48,[1]对照表!$H$27:$H$48)))))</f>
        <v>100</v>
      </c>
      <c r="H245" s="21">
        <v>10</v>
      </c>
      <c r="I245" s="32">
        <f>IF(B245="高三",IF($E245="男",LOOKUP(H245,[1]对照表!$K$3:$K$24,[1]对照表!$L$3:$L$24),LOOKUP(H245,[1]对照表!$K$27:$K$48,[1]对照表!$L$27:$L$48)),IF(B245="高二",IF($E245="男",LOOKUP(H245,[1]对照表!$J$3:$J$24,[1]对照表!$L$3:$L$24),LOOKUP(H245,[1]对照表!$J$27:$J$48,[1]对照表!$L$27:$L$48)),IF(B245="高一",IF($E245="男",LOOKUP(H245,[1]对照表!$I$3:$I$24,[1]对照表!$L$3:$L$24),LOOKUP(H245,[1]对照表!$I$27:$I$48,[1]对照表!$L$27:$L$48)))))</f>
        <v>72</v>
      </c>
      <c r="J245" s="21">
        <v>263</v>
      </c>
      <c r="K245" s="32">
        <f>IF(B245="高三",IF($E245="男",LOOKUP(J245,[1]对照表!$O$3:$O$24,[1]对照表!$P$3:$P$24),LOOKUP(J245,[1]对照表!$O$27:$O$48,[1]对照表!$P$27:$P$48)),IF(B245="高二",IF($E245="男",LOOKUP(J245,[1]对照表!$N$3:$N$24,[1]对照表!$P$3:$P$24),LOOKUP(J245,[1]对照表!$N$27:$N$48,[1]对照表!$P$27:$P$48)),IF(B245="高一",IF($E245="男",LOOKUP(J245,[1]对照表!$M$3:$M$24,[1]对照表!$P$3:$P$24),LOOKUP(J245,[1]对照表!$M$27:$M$48,[1]对照表!$P$27:$P$48)))))</f>
        <v>100</v>
      </c>
      <c r="L245" s="21">
        <v>23</v>
      </c>
      <c r="M245" s="32">
        <f>IF(B245="高三",IF($E245="男",LOOKUP(L245,[1]对照表!$S$3:$S$24,[1]对照表!$T$3:$T$24),LOOKUP(L245,[1]对照表!$S$27:$S$48,[1]对照表!$T$27:$T$48)),IF(B245="高二",IF($E245="男",LOOKUP(L245,[1]对照表!$R$3:$R$24,[1]对照表!$T$3:$T$24),LOOKUP(L245,[1]对照表!$R$27:$R$48,[1]对照表!$T$27:$T$48)),IF(B245="高一",IF($E245="男",LOOKUP(L245,[1]对照表!$Q$3:$Q$24,[1]对照表!$T$3:$T$24),LOOKUP(L245,[1]对照表!$Q$27:$Q$48,[1]对照表!$T$27:$T$48)))))</f>
        <v>100</v>
      </c>
      <c r="N245" s="33">
        <f>IF(B245="高三",MAX(IF(E245="男",L245-18,L245-55),0),IF(B245="高二",MAX(IF(E245="男",L245-17,L245-54),0),IF(B245="高一",MAX(IF(E245="男",L245-16,L245-53),0))))</f>
        <v>7</v>
      </c>
      <c r="O245" s="23">
        <f>IF(E245="男",LOOKUP($N245,[1]对照表!$Z$3:$Z$13,[1]对照表!$AA$3:$AA$13),LOOKUP($N245,[1]对照表!$Z$15:$Z$25,[1]对照表!$AA$15:$AA$25))</f>
        <v>7</v>
      </c>
      <c r="P245" s="24">
        <f>M245+O245</f>
        <v>107</v>
      </c>
      <c r="Q245" s="25">
        <v>3.35</v>
      </c>
      <c r="R245" s="32">
        <f>IF(B245="高三",IF($E245="男",LOOKUP(Q245,[1]对照表!$W$3:$W$24,[1]对照表!$X$3:$X$24),LOOKUP(Q245,[1]对照表!$W$27:$W$48,[1]对照表!$X$27:$X$48)),IF(B245="高二",IF($E245="男",LOOKUP(Q245,[1]对照表!$V$3:$V$24,[1]对照表!$X$3:$X$24),LOOKUP(Q245,[1]对照表!$V$27:$V$48,[1]对照表!$X$27:$X$48)),IF(B245="高一",IF($E245="男",LOOKUP(Q245,[1]对照表!$U$3:$U$24,[1]对照表!$X$3:$X$24),LOOKUP(Q245,[1]对照表!$U$27:$U$48,[1]对照表!$X$27:$X$48)))))</f>
        <v>95</v>
      </c>
      <c r="S245" s="33">
        <f>ROUND(IF(IF($B245="高三",MIN(IF($E245="男",$Q245-3.2,$Q245-3.2),0),IF($B245="高二",MIN(IF($E245="男",$Q245-3.25,$Q245-3.22),0),IF($B245="高一",MIN(IF($E245="男",$Q245-3.3,$Q245-3.24),0))))&lt;-0.6,IF($B245="高三",MIN(IF($E245="男",$Q245-3.2,$Q245-3.2),0),IF($B245="高二",MIN(IF($E245="男",$Q245-3.25,$Q245-3.22),0),IF($B245="高一",MIN(IF($E245="男",$Q245-3.3,$Q245-3.24),0))))+0.4,IF($B245="高三",MIN(IF($E245="男",$Q245-3.2,$Q245-3.2),0),IF($B245="高二",MIN(IF($E245="男",$Q245-3.25,$Q245-3.22),0),IF($B245="高一",MIN(IF($E245="男",$Q245-3.3,$Q245-3.24),0))))),2)</f>
        <v>0</v>
      </c>
      <c r="T245" s="23">
        <f>IF(E245="男",LOOKUP($S245,[1]对照表!$AB$3:$AB$13,[1]对照表!$AC$3:$AC$13),LOOKUP($S245,[1]对照表!$AB$15:$AB$25,[1]对照表!$AC$15:$AC$25))</f>
        <v>0</v>
      </c>
      <c r="U245" s="26">
        <f>R245+T245</f>
        <v>95</v>
      </c>
      <c r="V245" s="26">
        <f>SUM(I245,K245,M245)/3*0.3+SUM(G245,R245)/2*0.4</f>
        <v>66.2</v>
      </c>
      <c r="W245" s="27">
        <f>O245+T245</f>
        <v>7</v>
      </c>
      <c r="X245" s="28">
        <f>V245/0.7+W245</f>
        <v>101.57142857142858</v>
      </c>
      <c r="Y245" s="28">
        <v>101.57142857142858</v>
      </c>
      <c r="Z245" s="21"/>
    </row>
    <row r="246" spans="1:26" x14ac:dyDescent="0.25">
      <c r="A246" s="16">
        <v>8</v>
      </c>
      <c r="B246" s="17" t="s">
        <v>21</v>
      </c>
      <c r="C246" s="16">
        <v>107</v>
      </c>
      <c r="D246" s="18" t="s">
        <v>58</v>
      </c>
      <c r="E246" s="17" t="s">
        <v>23</v>
      </c>
      <c r="F246" s="19">
        <v>6.6</v>
      </c>
      <c r="G246" s="32">
        <f>IF(B246="高三",IF($E246="男",LOOKUP(F246,[1]对照表!$G$3:$G$24,[1]对照表!$H$3:$H$24),LOOKUP(F246,[1]对照表!$G$27:$G$48,[1]对照表!$H$27:$H$48)),IF(B246="高二",IF($E246="男",LOOKUP(F246,[1]对照表!$F$3:$F$24,[1]对照表!$H$3:$H$24),LOOKUP(F246,[1]对照表!$F$27:$F$48,[1]对照表!$H$27:$H$48)),IF(B246="高一",IF($E246="男",LOOKUP(F246,[1]对照表!$E$3:$E$24,[1]对照表!$H$3:$H$24),LOOKUP(F246,[1]对照表!$E$27:$E$48,[1]对照表!$H$27:$H$48)))))</f>
        <v>100</v>
      </c>
      <c r="H246" s="21">
        <v>12</v>
      </c>
      <c r="I246" s="32">
        <f>IF(B246="高三",IF($E246="男",LOOKUP(H246,[1]对照表!$K$3:$K$24,[1]对照表!$L$3:$L$24),LOOKUP(H246,[1]对照表!$K$27:$K$48,[1]对照表!$L$27:$L$48)),IF(B246="高二",IF($E246="男",LOOKUP(H246,[1]对照表!$J$3:$J$24,[1]对照表!$L$3:$L$24),LOOKUP(H246,[1]对照表!$J$27:$J$48,[1]对照表!$L$27:$L$48)),IF(B246="高一",IF($E246="男",LOOKUP(H246,[1]对照表!$I$3:$I$24,[1]对照表!$L$3:$L$24),LOOKUP(H246,[1]对照表!$I$27:$I$48,[1]对照表!$L$27:$L$48)))))</f>
        <v>74</v>
      </c>
      <c r="J246" s="21">
        <v>261</v>
      </c>
      <c r="K246" s="32">
        <f>IF(B246="高三",IF($E246="男",LOOKUP(J246,[1]对照表!$O$3:$O$24,[1]对照表!$P$3:$P$24),LOOKUP(J246,[1]对照表!$O$27:$O$48,[1]对照表!$P$27:$P$48)),IF(B246="高二",IF($E246="男",LOOKUP(J246,[1]对照表!$N$3:$N$24,[1]对照表!$P$3:$P$24),LOOKUP(J246,[1]对照表!$N$27:$N$48,[1]对照表!$P$27:$P$48)),IF(B246="高一",IF($E246="男",LOOKUP(J246,[1]对照表!$M$3:$M$24,[1]对照表!$P$3:$P$24),LOOKUP(J246,[1]对照表!$M$27:$M$48,[1]对照表!$P$27:$P$48)))))</f>
        <v>100</v>
      </c>
      <c r="L246" s="21">
        <v>20</v>
      </c>
      <c r="M246" s="32">
        <f>IF(B246="高三",IF($E246="男",LOOKUP(L246,[1]对照表!$S$3:$S$24,[1]对照表!$T$3:$T$24),LOOKUP(L246,[1]对照表!$S$27:$S$48,[1]对照表!$T$27:$T$48)),IF(B246="高二",IF($E246="男",LOOKUP(L246,[1]对照表!$R$3:$R$24,[1]对照表!$T$3:$T$24),LOOKUP(L246,[1]对照表!$R$27:$R$48,[1]对照表!$T$27:$T$48)),IF(B246="高一",IF($E246="男",LOOKUP(L246,[1]对照表!$Q$3:$Q$24,[1]对照表!$T$3:$T$24),LOOKUP(L246,[1]对照表!$Q$27:$Q$48,[1]对照表!$T$27:$T$48)))))</f>
        <v>100</v>
      </c>
      <c r="N246" s="33">
        <f>IF(B246="高三",MAX(IF(E246="男",L246-18,L246-55),0),IF(B246="高二",MAX(IF(E246="男",L246-17,L246-54),0),IF(B246="高一",MAX(IF(E246="男",L246-16,L246-53),0))))</f>
        <v>4</v>
      </c>
      <c r="O246" s="23">
        <f>IF(E246="男",LOOKUP($N246,[1]对照表!$Z$3:$Z$13,[1]对照表!$AA$3:$AA$13),LOOKUP($N246,[1]对照表!$Z$15:$Z$25,[1]对照表!$AA$15:$AA$25))</f>
        <v>4</v>
      </c>
      <c r="P246" s="24">
        <f>M246+O246</f>
        <v>104</v>
      </c>
      <c r="Q246" s="25">
        <v>3.25</v>
      </c>
      <c r="R246" s="32">
        <f>IF(B246="高三",IF($E246="男",LOOKUP(Q246,[1]对照表!$W$3:$W$24,[1]对照表!$X$3:$X$24),LOOKUP(Q246,[1]对照表!$W$27:$W$48,[1]对照表!$X$27:$X$48)),IF(B246="高二",IF($E246="男",LOOKUP(Q246,[1]对照表!$V$3:$V$24,[1]对照表!$X$3:$X$24),LOOKUP(Q246,[1]对照表!$V$27:$V$48,[1]对照表!$X$27:$X$48)),IF(B246="高一",IF($E246="男",LOOKUP(Q246,[1]对照表!$U$3:$U$24,[1]对照表!$X$3:$X$24),LOOKUP(Q246,[1]对照表!$U$27:$U$48,[1]对照表!$X$27:$X$48)))))</f>
        <v>100</v>
      </c>
      <c r="S246" s="33">
        <f>ROUND(IF(IF($B246="高三",MIN(IF($E246="男",$Q246-3.2,$Q246-3.2),0),IF($B246="高二",MIN(IF($E246="男",$Q246-3.25,$Q246-3.22),0),IF($B246="高一",MIN(IF($E246="男",$Q246-3.3,$Q246-3.24),0))))&lt;-0.6,IF($B246="高三",MIN(IF($E246="男",$Q246-3.2,$Q246-3.2),0),IF($B246="高二",MIN(IF($E246="男",$Q246-3.25,$Q246-3.22),0),IF($B246="高一",MIN(IF($E246="男",$Q246-3.3,$Q246-3.24),0))))+0.4,IF($B246="高三",MIN(IF($E246="男",$Q246-3.2,$Q246-3.2),0),IF($B246="高二",MIN(IF($E246="男",$Q246-3.25,$Q246-3.22),0),IF($B246="高一",MIN(IF($E246="男",$Q246-3.3,$Q246-3.24),0))))),2)</f>
        <v>-0.05</v>
      </c>
      <c r="T246" s="23">
        <f>IF(E246="男",LOOKUP($S246,[1]对照表!$AB$3:$AB$13,[1]对照表!$AC$3:$AC$13),LOOKUP($S246,[1]对照表!$AB$15:$AB$25,[1]对照表!$AC$15:$AC$25))</f>
        <v>1</v>
      </c>
      <c r="U246" s="26">
        <f>R246+T246</f>
        <v>101</v>
      </c>
      <c r="V246" s="26">
        <f>SUM(I246,K246,M246)/3*0.3+SUM(G246,R246)/2*0.4</f>
        <v>67.400000000000006</v>
      </c>
      <c r="W246" s="27">
        <f>O246+T246</f>
        <v>5</v>
      </c>
      <c r="X246" s="28">
        <f>V246/0.7+W246</f>
        <v>101.28571428571431</v>
      </c>
      <c r="Y246" s="28">
        <v>101.28571428571431</v>
      </c>
      <c r="Z246" s="21"/>
    </row>
    <row r="247" spans="1:26" x14ac:dyDescent="0.25">
      <c r="A247" s="16">
        <v>6</v>
      </c>
      <c r="B247" s="17" t="s">
        <v>21</v>
      </c>
      <c r="C247" s="16">
        <v>107</v>
      </c>
      <c r="D247" s="18" t="s">
        <v>63</v>
      </c>
      <c r="E247" s="17" t="s">
        <v>23</v>
      </c>
      <c r="F247" s="19">
        <v>7</v>
      </c>
      <c r="G247" s="32">
        <f>IF(B247="高三",IF($E247="男",LOOKUP(F247,[1]对照表!$G$3:$G$24,[1]对照表!$H$3:$H$24),LOOKUP(F247,[1]对照表!$G$27:$G$48,[1]对照表!$H$27:$H$48)),IF(B247="高二",IF($E247="男",LOOKUP(F247,[1]对照表!$F$3:$F$24,[1]对照表!$H$3:$H$24),LOOKUP(F247,[1]对照表!$F$27:$F$48,[1]对照表!$H$27:$H$48)),IF(B247="高一",IF($E247="男",LOOKUP(F247,[1]对照表!$E$3:$E$24,[1]对照表!$H$3:$H$24),LOOKUP(F247,[1]对照表!$E$27:$E$48,[1]对照表!$H$27:$H$48)))))</f>
        <v>100</v>
      </c>
      <c r="H247" s="21">
        <v>2</v>
      </c>
      <c r="I247" s="32">
        <f>IF(B247="高三",IF($E247="男",LOOKUP(H247,[1]对照表!$K$3:$K$24,[1]对照表!$L$3:$L$24),LOOKUP(H247,[1]对照表!$K$27:$K$48,[1]对照表!$L$27:$L$48)),IF(B247="高二",IF($E247="男",LOOKUP(H247,[1]对照表!$J$3:$J$24,[1]对照表!$L$3:$L$24),LOOKUP(H247,[1]对照表!$J$27:$J$48,[1]对照表!$L$27:$L$48)),IF(B247="高一",IF($E247="男",LOOKUP(H247,[1]对照表!$I$3:$I$24,[1]对照表!$L$3:$L$24),LOOKUP(H247,[1]对照表!$I$27:$I$48,[1]对照表!$L$27:$L$48)))))</f>
        <v>60</v>
      </c>
      <c r="J247" s="21">
        <v>264</v>
      </c>
      <c r="K247" s="32">
        <f>IF(B247="高三",IF($E247="男",LOOKUP(J247,[1]对照表!$O$3:$O$24,[1]对照表!$P$3:$P$24),LOOKUP(J247,[1]对照表!$O$27:$O$48,[1]对照表!$P$27:$P$48)),IF(B247="高二",IF($E247="男",LOOKUP(J247,[1]对照表!$N$3:$N$24,[1]对照表!$P$3:$P$24),LOOKUP(J247,[1]对照表!$N$27:$N$48,[1]对照表!$P$27:$P$48)),IF(B247="高一",IF($E247="男",LOOKUP(J247,[1]对照表!$M$3:$M$24,[1]对照表!$P$3:$P$24),LOOKUP(J247,[1]对照表!$M$27:$M$48,[1]对照表!$P$27:$P$48)))))</f>
        <v>100</v>
      </c>
      <c r="L247" s="21">
        <v>22</v>
      </c>
      <c r="M247" s="32">
        <f>IF(B247="高三",IF($E247="男",LOOKUP(L247,[1]对照表!$S$3:$S$24,[1]对照表!$T$3:$T$24),LOOKUP(L247,[1]对照表!$S$27:$S$48,[1]对照表!$T$27:$T$48)),IF(B247="高二",IF($E247="男",LOOKUP(L247,[1]对照表!$R$3:$R$24,[1]对照表!$T$3:$T$24),LOOKUP(L247,[1]对照表!$R$27:$R$48,[1]对照表!$T$27:$T$48)),IF(B247="高一",IF($E247="男",LOOKUP(L247,[1]对照表!$Q$3:$Q$24,[1]对照表!$T$3:$T$24),LOOKUP(L247,[1]对照表!$Q$27:$Q$48,[1]对照表!$T$27:$T$48)))))</f>
        <v>100</v>
      </c>
      <c r="N247" s="33">
        <f>IF(B247="高三",MAX(IF(E247="男",L247-18,L247-55),0),IF(B247="高二",MAX(IF(E247="男",L247-17,L247-54),0),IF(B247="高一",MAX(IF(E247="男",L247-16,L247-53),0))))</f>
        <v>6</v>
      </c>
      <c r="O247" s="23">
        <f>IF(E247="男",LOOKUP($N247,[1]对照表!$Z$3:$Z$13,[1]对照表!$AA$3:$AA$13),LOOKUP($N247,[1]对照表!$Z$15:$Z$25,[1]对照表!$AA$15:$AA$25))</f>
        <v>6</v>
      </c>
      <c r="P247" s="24">
        <f>M247+O247</f>
        <v>106</v>
      </c>
      <c r="Q247" s="25">
        <v>3.28</v>
      </c>
      <c r="R247" s="32">
        <f>IF(B247="高三",IF($E247="男",LOOKUP(Q247,[1]对照表!$W$3:$W$24,[1]对照表!$X$3:$X$24),LOOKUP(Q247,[1]对照表!$W$27:$W$48,[1]对照表!$X$27:$X$48)),IF(B247="高二",IF($E247="男",LOOKUP(Q247,[1]对照表!$V$3:$V$24,[1]对照表!$X$3:$X$24),LOOKUP(Q247,[1]对照表!$V$27:$V$48,[1]对照表!$X$27:$X$48)),IF(B247="高一",IF($E247="男",LOOKUP(Q247,[1]对照表!$U$3:$U$24,[1]对照表!$X$3:$X$24),LOOKUP(Q247,[1]对照表!$U$27:$U$48,[1]对照表!$X$27:$X$48)))))</f>
        <v>100</v>
      </c>
      <c r="S247" s="33">
        <f>ROUND(IF(IF($B247="高三",MIN(IF($E247="男",$Q247-3.2,$Q247-3.2),0),IF($B247="高二",MIN(IF($E247="男",$Q247-3.25,$Q247-3.22),0),IF($B247="高一",MIN(IF($E247="男",$Q247-3.3,$Q247-3.24),0))))&lt;-0.6,IF($B247="高三",MIN(IF($E247="男",$Q247-3.2,$Q247-3.2),0),IF($B247="高二",MIN(IF($E247="男",$Q247-3.25,$Q247-3.22),0),IF($B247="高一",MIN(IF($E247="男",$Q247-3.3,$Q247-3.24),0))))+0.4,IF($B247="高三",MIN(IF($E247="男",$Q247-3.2,$Q247-3.2),0),IF($B247="高二",MIN(IF($E247="男",$Q247-3.25,$Q247-3.22),0),IF($B247="高一",MIN(IF($E247="男",$Q247-3.3,$Q247-3.24),0))))),2)</f>
        <v>-0.02</v>
      </c>
      <c r="T247" s="23">
        <f>IF(E247="男",LOOKUP($S247,[1]对照表!$AB$3:$AB$13,[1]对照表!$AC$3:$AC$13),LOOKUP($S247,[1]对照表!$AB$15:$AB$25,[1]对照表!$AC$15:$AC$25))</f>
        <v>0</v>
      </c>
      <c r="U247" s="26">
        <f>R247+T247</f>
        <v>100</v>
      </c>
      <c r="V247" s="26">
        <f>SUM(I247,K247,M247)/3*0.3+SUM(G247,R247)/2*0.4</f>
        <v>66</v>
      </c>
      <c r="W247" s="27">
        <f>O247+T247</f>
        <v>6</v>
      </c>
      <c r="X247" s="28">
        <f>V247/0.7+W247</f>
        <v>100.28571428571429</v>
      </c>
      <c r="Y247" s="28">
        <v>100.28571428571429</v>
      </c>
      <c r="Z247" s="21"/>
    </row>
    <row r="248" spans="1:26" x14ac:dyDescent="0.25">
      <c r="A248" s="16">
        <v>31</v>
      </c>
      <c r="B248" s="17" t="s">
        <v>21</v>
      </c>
      <c r="C248" s="16">
        <v>107</v>
      </c>
      <c r="D248" s="18" t="s">
        <v>90</v>
      </c>
      <c r="E248" s="34" t="s">
        <v>23</v>
      </c>
      <c r="F248" s="19">
        <v>6.4</v>
      </c>
      <c r="G248" s="32">
        <f>IF(B248="高三",IF($E248="男",LOOKUP(F248,[1]对照表!$G$3:$G$24,[1]对照表!$H$3:$H$24),LOOKUP(F248,[1]对照表!$G$27:$G$48,[1]对照表!$H$27:$H$48)),IF(B248="高二",IF($E248="男",LOOKUP(F248,[1]对照表!$F$3:$F$24,[1]对照表!$H$3:$H$24),LOOKUP(F248,[1]对照表!$F$27:$F$48,[1]对照表!$H$27:$H$48)),IF(B248="高一",IF($E248="男",LOOKUP(F248,[1]对照表!$E$3:$E$24,[1]对照表!$H$3:$H$24),LOOKUP(F248,[1]对照表!$E$27:$E$48,[1]对照表!$H$27:$H$48)))))</f>
        <v>100</v>
      </c>
      <c r="H248" s="36">
        <v>11.3</v>
      </c>
      <c r="I248" s="32">
        <f>IF(B248="高三",IF($E248="男",LOOKUP(H248,[1]对照表!$K$3:$K$24,[1]对照表!$L$3:$L$24),LOOKUP(H248,[1]对照表!$K$27:$K$48,[1]对照表!$L$27:$L$48)),IF(B248="高二",IF($E248="男",LOOKUP(H248,[1]对照表!$J$3:$J$24,[1]对照表!$L$3:$L$24),LOOKUP(H248,[1]对照表!$J$27:$J$48,[1]对照表!$L$27:$L$48)),IF(B248="高一",IF($E248="男",LOOKUP(H248,[1]对照表!$I$3:$I$24,[1]对照表!$L$3:$L$24),LOOKUP(H248,[1]对照表!$I$27:$I$48,[1]对照表!$L$27:$L$48)))))</f>
        <v>74</v>
      </c>
      <c r="J248" s="21">
        <v>282</v>
      </c>
      <c r="K248" s="32">
        <f>IF(B248="高三",IF($E248="男",LOOKUP(J248,[1]对照表!$O$3:$O$24,[1]对照表!$P$3:$P$24),LOOKUP(J248,[1]对照表!$O$27:$O$48,[1]对照表!$P$27:$P$48)),IF(B248="高二",IF($E248="男",LOOKUP(J248,[1]对照表!$N$3:$N$24,[1]对照表!$P$3:$P$24),LOOKUP(J248,[1]对照表!$N$27:$N$48,[1]对照表!$P$27:$P$48)),IF(B248="高一",IF($E248="男",LOOKUP(J248,[1]对照表!$M$3:$M$24,[1]对照表!$P$3:$P$24),LOOKUP(J248,[1]对照表!$M$27:$M$48,[1]对照表!$P$27:$P$48)))))</f>
        <v>100</v>
      </c>
      <c r="L248" s="21">
        <v>16</v>
      </c>
      <c r="M248" s="32">
        <f>IF(B248="高三",IF($E248="男",LOOKUP(L248,[1]对照表!$S$3:$S$24,[1]对照表!$T$3:$T$24),LOOKUP(L248,[1]对照表!$S$27:$S$48,[1]对照表!$T$27:$T$48)),IF(B248="高二",IF($E248="男",LOOKUP(L248,[1]对照表!$R$3:$R$24,[1]对照表!$T$3:$T$24),LOOKUP(L248,[1]对照表!$R$27:$R$48,[1]对照表!$T$27:$T$48)),IF(B248="高一",IF($E248="男",LOOKUP(L248,[1]对照表!$Q$3:$Q$24,[1]对照表!$T$3:$T$24),LOOKUP(L248,[1]对照表!$Q$27:$Q$48,[1]对照表!$T$27:$T$48)))))</f>
        <v>100</v>
      </c>
      <c r="N248" s="33">
        <f>IF(B248="高三",MAX(IF(E248="男",L248-18,L248-55),0),IF(B248="高二",MAX(IF(E248="男",L248-17,L248-54),0),IF(B248="高一",MAX(IF(E248="男",L248-16,L248-53),0))))</f>
        <v>0</v>
      </c>
      <c r="O248" s="23">
        <f>IF(E248="男",LOOKUP($N248,[1]对照表!$Z$3:$Z$13,[1]对照表!$AA$3:$AA$13),LOOKUP($N248,[1]对照表!$Z$15:$Z$25,[1]对照表!$AA$15:$AA$25))</f>
        <v>0</v>
      </c>
      <c r="P248" s="24">
        <f>M248+O248</f>
        <v>100</v>
      </c>
      <c r="Q248" s="25">
        <v>3.21</v>
      </c>
      <c r="R248" s="32">
        <f>IF(B248="高三",IF($E248="男",LOOKUP(Q248,[1]对照表!$W$3:$W$24,[1]对照表!$X$3:$X$24),LOOKUP(Q248,[1]对照表!$W$27:$W$48,[1]对照表!$X$27:$X$48)),IF(B248="高二",IF($E248="男",LOOKUP(Q248,[1]对照表!$V$3:$V$24,[1]对照表!$X$3:$X$24),LOOKUP(Q248,[1]对照表!$V$27:$V$48,[1]对照表!$X$27:$X$48)),IF(B248="高一",IF($E248="男",LOOKUP(Q248,[1]对照表!$U$3:$U$24,[1]对照表!$X$3:$X$24),LOOKUP(Q248,[1]对照表!$U$27:$U$48,[1]对照表!$X$27:$X$48)))))</f>
        <v>100</v>
      </c>
      <c r="S248" s="33">
        <f>ROUND(IF(IF($B248="高三",MIN(IF($E248="男",$Q248-3.2,$Q248-3.2),0),IF($B248="高二",MIN(IF($E248="男",$Q248-3.25,$Q248-3.22),0),IF($B248="高一",MIN(IF($E248="男",$Q248-3.3,$Q248-3.24),0))))&lt;-0.6,IF($B248="高三",MIN(IF($E248="男",$Q248-3.2,$Q248-3.2),0),IF($B248="高二",MIN(IF($E248="男",$Q248-3.25,$Q248-3.22),0),IF($B248="高一",MIN(IF($E248="男",$Q248-3.3,$Q248-3.24),0))))+0.4,IF($B248="高三",MIN(IF($E248="男",$Q248-3.2,$Q248-3.2),0),IF($B248="高二",MIN(IF($E248="男",$Q248-3.25,$Q248-3.22),0),IF($B248="高一",MIN(IF($E248="男",$Q248-3.3,$Q248-3.24),0))))),2)</f>
        <v>-0.09</v>
      </c>
      <c r="T248" s="23">
        <f>IF(E248="男",LOOKUP($S248,[1]对照表!$AB$3:$AB$13,[1]对照表!$AC$3:$AC$13),LOOKUP($S248,[1]对照表!$AB$15:$AB$25,[1]对照表!$AC$15:$AC$25))</f>
        <v>2</v>
      </c>
      <c r="U248" s="26">
        <f>R248+T248</f>
        <v>102</v>
      </c>
      <c r="V248" s="26">
        <f>SUM(I248,K248,M248)/3*0.3+SUM(G248,R248)/2*0.4</f>
        <v>67.400000000000006</v>
      </c>
      <c r="W248" s="27">
        <f>O248+T248</f>
        <v>2</v>
      </c>
      <c r="X248" s="28">
        <f>V248/0.7+W248</f>
        <v>98.285714285714306</v>
      </c>
      <c r="Y248" s="28">
        <v>98.285714285714306</v>
      </c>
      <c r="Z248" s="21"/>
    </row>
    <row r="249" spans="1:26" x14ac:dyDescent="0.25">
      <c r="A249" s="16">
        <v>28</v>
      </c>
      <c r="B249" s="17" t="s">
        <v>21</v>
      </c>
      <c r="C249" s="16">
        <v>107</v>
      </c>
      <c r="D249" s="18" t="s">
        <v>96</v>
      </c>
      <c r="E249" s="16" t="s">
        <v>23</v>
      </c>
      <c r="F249" s="19">
        <v>7.4</v>
      </c>
      <c r="G249" s="32">
        <f>IF(B249="高三",IF($E249="男",LOOKUP(F249,[1]对照表!$G$3:$G$24,[1]对照表!$H$3:$H$24),LOOKUP(F249,[1]对照表!$G$27:$G$48,[1]对照表!$H$27:$H$48)),IF(B249="高二",IF($E249="男",LOOKUP(F249,[1]对照表!$F$3:$F$24,[1]对照表!$H$3:$H$24),LOOKUP(F249,[1]对照表!$F$27:$F$48,[1]对照表!$H$27:$H$48)),IF(B249="高一",IF($E249="男",LOOKUP(F249,[1]对照表!$E$3:$E$24,[1]对照表!$H$3:$H$24),LOOKUP(F249,[1]对照表!$E$27:$E$48,[1]对照表!$H$27:$H$48)))))</f>
        <v>85</v>
      </c>
      <c r="H249" s="21">
        <v>12.4</v>
      </c>
      <c r="I249" s="32">
        <f>IF(B249="高三",IF($E249="男",LOOKUP(H249,[1]对照表!$K$3:$K$24,[1]对照表!$L$3:$L$24),LOOKUP(H249,[1]对照表!$K$27:$K$48,[1]对照表!$L$27:$L$48)),IF(B249="高二",IF($E249="男",LOOKUP(H249,[1]对照表!$J$3:$J$24,[1]对照表!$L$3:$L$24),LOOKUP(H249,[1]对照表!$J$27:$J$48,[1]对照表!$L$27:$L$48)),IF(B249="高一",IF($E249="男",LOOKUP(H249,[1]对照表!$I$3:$I$24,[1]对照表!$L$3:$L$24),LOOKUP(H249,[1]对照表!$I$27:$I$48,[1]对照表!$L$27:$L$48)))))</f>
        <v>76</v>
      </c>
      <c r="J249" s="21">
        <v>230</v>
      </c>
      <c r="K249" s="32">
        <f>IF(B249="高三",IF($E249="男",LOOKUP(J249,[1]对照表!$O$3:$O$24,[1]对照表!$P$3:$P$24),LOOKUP(J249,[1]对照表!$O$27:$O$48,[1]对照表!$P$27:$P$48)),IF(B249="高二",IF($E249="男",LOOKUP(J249,[1]对照表!$N$3:$N$24,[1]对照表!$P$3:$P$24),LOOKUP(J249,[1]对照表!$N$27:$N$48,[1]对照表!$P$27:$P$48)),IF(B249="高一",IF($E249="男",LOOKUP(J249,[1]对照表!$M$3:$M$24,[1]对照表!$P$3:$P$24),LOOKUP(J249,[1]对照表!$M$27:$M$48,[1]对照表!$P$27:$P$48)))))</f>
        <v>76</v>
      </c>
      <c r="L249" s="21">
        <v>26</v>
      </c>
      <c r="M249" s="32">
        <f>IF(B249="高三",IF($E249="男",LOOKUP(L249,[1]对照表!$S$3:$S$24,[1]对照表!$T$3:$T$24),LOOKUP(L249,[1]对照表!$S$27:$S$48,[1]对照表!$T$27:$T$48)),IF(B249="高二",IF($E249="男",LOOKUP(L249,[1]对照表!$R$3:$R$24,[1]对照表!$T$3:$T$24),LOOKUP(L249,[1]对照表!$R$27:$R$48,[1]对照表!$T$27:$T$48)),IF(B249="高一",IF($E249="男",LOOKUP(L249,[1]对照表!$Q$3:$Q$24,[1]对照表!$T$3:$T$24),LOOKUP(L249,[1]对照表!$Q$27:$Q$48,[1]对照表!$T$27:$T$48)))))</f>
        <v>100</v>
      </c>
      <c r="N249" s="33">
        <f>IF(B249="高三",MAX(IF(E249="男",L249-18,L249-55),0),IF(B249="高二",MAX(IF(E249="男",L249-17,L249-54),0),IF(B249="高一",MAX(IF(E249="男",L249-16,L249-53),0))))</f>
        <v>10</v>
      </c>
      <c r="O249" s="23">
        <f>IF(E249="男",LOOKUP($N249,[1]对照表!$Z$3:$Z$13,[1]对照表!$AA$3:$AA$13),LOOKUP($N249,[1]对照表!$Z$15:$Z$25,[1]对照表!$AA$15:$AA$25))</f>
        <v>10</v>
      </c>
      <c r="P249" s="24">
        <f>M249+O249</f>
        <v>110</v>
      </c>
      <c r="Q249" s="25">
        <v>3.35</v>
      </c>
      <c r="R249" s="32">
        <f>IF(B249="高三",IF($E249="男",LOOKUP(Q249,[1]对照表!$W$3:$W$24,[1]对照表!$X$3:$X$24),LOOKUP(Q249,[1]对照表!$W$27:$W$48,[1]对照表!$X$27:$X$48)),IF(B249="高二",IF($E249="男",LOOKUP(Q249,[1]对照表!$V$3:$V$24,[1]对照表!$X$3:$X$24),LOOKUP(Q249,[1]对照表!$V$27:$V$48,[1]对照表!$X$27:$X$48)),IF(B249="高一",IF($E249="男",LOOKUP(Q249,[1]对照表!$U$3:$U$24,[1]对照表!$X$3:$X$24),LOOKUP(Q249,[1]对照表!$U$27:$U$48,[1]对照表!$X$27:$X$48)))))</f>
        <v>95</v>
      </c>
      <c r="S249" s="33">
        <f>ROUND(IF(IF($B249="高三",MIN(IF($E249="男",$Q249-3.2,$Q249-3.2),0),IF($B249="高二",MIN(IF($E249="男",$Q249-3.25,$Q249-3.22),0),IF($B249="高一",MIN(IF($E249="男",$Q249-3.3,$Q249-3.24),0))))&lt;-0.6,IF($B249="高三",MIN(IF($E249="男",$Q249-3.2,$Q249-3.2),0),IF($B249="高二",MIN(IF($E249="男",$Q249-3.25,$Q249-3.22),0),IF($B249="高一",MIN(IF($E249="男",$Q249-3.3,$Q249-3.24),0))))+0.4,IF($B249="高三",MIN(IF($E249="男",$Q249-3.2,$Q249-3.2),0),IF($B249="高二",MIN(IF($E249="男",$Q249-3.25,$Q249-3.22),0),IF($B249="高一",MIN(IF($E249="男",$Q249-3.3,$Q249-3.24),0))))),2)</f>
        <v>0</v>
      </c>
      <c r="T249" s="23">
        <f>IF(E249="男",LOOKUP($S249,[1]对照表!$AB$3:$AB$13,[1]对照表!$AC$3:$AC$13),LOOKUP($S249,[1]对照表!$AB$15:$AB$25,[1]对照表!$AC$15:$AC$25))</f>
        <v>0</v>
      </c>
      <c r="U249" s="26">
        <f>R249+T249</f>
        <v>95</v>
      </c>
      <c r="V249" s="26">
        <f>SUM(I249,K249,M249)/3*0.3+SUM(G249,R249)/2*0.4</f>
        <v>61.2</v>
      </c>
      <c r="W249" s="27">
        <f>O249+T249</f>
        <v>10</v>
      </c>
      <c r="X249" s="28">
        <f>V249/0.7+W249</f>
        <v>97.428571428571445</v>
      </c>
      <c r="Y249" s="28">
        <v>97.428571428571445</v>
      </c>
      <c r="Z249" s="21"/>
    </row>
    <row r="250" spans="1:26" x14ac:dyDescent="0.25">
      <c r="A250" s="16">
        <v>18</v>
      </c>
      <c r="B250" s="17" t="s">
        <v>21</v>
      </c>
      <c r="C250" s="16">
        <v>107</v>
      </c>
      <c r="D250" s="18" t="s">
        <v>101</v>
      </c>
      <c r="E250" s="16" t="s">
        <v>23</v>
      </c>
      <c r="F250" s="19">
        <v>7.2</v>
      </c>
      <c r="G250" s="32">
        <f>IF(B250="高三",IF($E250="男",LOOKUP(F250,[1]对照表!$G$3:$G$24,[1]对照表!$H$3:$H$24),LOOKUP(F250,[1]对照表!$G$27:$G$48,[1]对照表!$H$27:$H$48)),IF(B250="高二",IF($E250="男",LOOKUP(F250,[1]对照表!$F$3:$F$24,[1]对照表!$H$3:$H$24),LOOKUP(F250,[1]对照表!$F$27:$F$48,[1]对照表!$H$27:$H$48)),IF(B250="高一",IF($E250="男",LOOKUP(F250,[1]对照表!$E$3:$E$24,[1]对照表!$H$3:$H$24),LOOKUP(F250,[1]对照表!$E$27:$E$48,[1]对照表!$H$27:$H$48)))))</f>
        <v>95</v>
      </c>
      <c r="H250" s="21">
        <v>4</v>
      </c>
      <c r="I250" s="32">
        <f>IF(B250="高三",IF($E250="男",LOOKUP(H250,[1]对照表!$K$3:$K$24,[1]对照表!$L$3:$L$24),LOOKUP(H250,[1]对照表!$K$27:$K$48,[1]对照表!$L$27:$L$48)),IF(B250="高二",IF($E250="男",LOOKUP(H250,[1]对照表!$J$3:$J$24,[1]对照表!$L$3:$L$24),LOOKUP(H250,[1]对照表!$J$27:$J$48,[1]对照表!$L$27:$L$48)),IF(B250="高一",IF($E250="男",LOOKUP(H250,[1]对照表!$I$3:$I$24,[1]对照表!$L$3:$L$24),LOOKUP(H250,[1]对照表!$I$27:$I$48,[1]对照表!$L$27:$L$48)))))</f>
        <v>64</v>
      </c>
      <c r="J250" s="21">
        <v>232</v>
      </c>
      <c r="K250" s="32">
        <f>IF(B250="高三",IF($E250="男",LOOKUP(J250,[1]对照表!$O$3:$O$24,[1]对照表!$P$3:$P$24),LOOKUP(J250,[1]对照表!$O$27:$O$48,[1]对照表!$P$27:$P$48)),IF(B250="高二",IF($E250="男",LOOKUP(J250,[1]对照表!$N$3:$N$24,[1]对照表!$P$3:$P$24),LOOKUP(J250,[1]对照表!$N$27:$N$48,[1]对照表!$P$27:$P$48)),IF(B250="高一",IF($E250="男",LOOKUP(J250,[1]对照表!$M$3:$M$24,[1]对照表!$P$3:$P$24),LOOKUP(J250,[1]对照表!$M$27:$M$48,[1]对照表!$P$27:$P$48)))))</f>
        <v>78</v>
      </c>
      <c r="L250" s="21">
        <v>25</v>
      </c>
      <c r="M250" s="32">
        <f>IF(B250="高三",IF($E250="男",LOOKUP(L250,[1]对照表!$S$3:$S$24,[1]对照表!$T$3:$T$24),LOOKUP(L250,[1]对照表!$S$27:$S$48,[1]对照表!$T$27:$T$48)),IF(B250="高二",IF($E250="男",LOOKUP(L250,[1]对照表!$R$3:$R$24,[1]对照表!$T$3:$T$24),LOOKUP(L250,[1]对照表!$R$27:$R$48,[1]对照表!$T$27:$T$48)),IF(B250="高一",IF($E250="男",LOOKUP(L250,[1]对照表!$Q$3:$Q$24,[1]对照表!$T$3:$T$24),LOOKUP(L250,[1]对照表!$Q$27:$Q$48,[1]对照表!$T$27:$T$48)))))</f>
        <v>100</v>
      </c>
      <c r="N250" s="33">
        <f>IF(B250="高三",MAX(IF(E250="男",L250-18,L250-55),0),IF(B250="高二",MAX(IF(E250="男",L250-17,L250-54),0),IF(B250="高一",MAX(IF(E250="男",L250-16,L250-53),0))))</f>
        <v>9</v>
      </c>
      <c r="O250" s="23">
        <f>IF(E250="男",LOOKUP($N250,[1]对照表!$Z$3:$Z$13,[1]对照表!$AA$3:$AA$13),LOOKUP($N250,[1]对照表!$Z$15:$Z$25,[1]对照表!$AA$15:$AA$25))</f>
        <v>9</v>
      </c>
      <c r="P250" s="24">
        <f>M250+O250</f>
        <v>109</v>
      </c>
      <c r="Q250" s="25">
        <v>3.38</v>
      </c>
      <c r="R250" s="32">
        <f>IF(B250="高三",IF($E250="男",LOOKUP(Q250,[1]对照表!$W$3:$W$24,[1]对照表!$X$3:$X$24),LOOKUP(Q250,[1]对照表!$W$27:$W$48,[1]对照表!$X$27:$X$48)),IF(B250="高二",IF($E250="男",LOOKUP(Q250,[1]对照表!$V$3:$V$24,[1]对照表!$X$3:$X$24),LOOKUP(Q250,[1]对照表!$V$27:$V$48,[1]对照表!$X$27:$X$48)),IF(B250="高一",IF($E250="男",LOOKUP(Q250,[1]对照表!$U$3:$U$24,[1]对照表!$X$3:$X$24),LOOKUP(Q250,[1]对照表!$U$27:$U$48,[1]对照表!$X$27:$X$48)))))</f>
        <v>90</v>
      </c>
      <c r="S250" s="33">
        <f>ROUND(IF(IF($B250="高三",MIN(IF($E250="男",$Q250-3.2,$Q250-3.2),0),IF($B250="高二",MIN(IF($E250="男",$Q250-3.25,$Q250-3.22),0),IF($B250="高一",MIN(IF($E250="男",$Q250-3.3,$Q250-3.24),0))))&lt;-0.6,IF($B250="高三",MIN(IF($E250="男",$Q250-3.2,$Q250-3.2),0),IF($B250="高二",MIN(IF($E250="男",$Q250-3.25,$Q250-3.22),0),IF($B250="高一",MIN(IF($E250="男",$Q250-3.3,$Q250-3.24),0))))+0.4,IF($B250="高三",MIN(IF($E250="男",$Q250-3.2,$Q250-3.2),0),IF($B250="高二",MIN(IF($E250="男",$Q250-3.25,$Q250-3.22),0),IF($B250="高一",MIN(IF($E250="男",$Q250-3.3,$Q250-3.24),0))))),2)</f>
        <v>0</v>
      </c>
      <c r="T250" s="23">
        <f>IF(E250="男",LOOKUP($S250,[1]对照表!$AB$3:$AB$13,[1]对照表!$AC$3:$AC$13),LOOKUP($S250,[1]对照表!$AB$15:$AB$25,[1]对照表!$AC$15:$AC$25))</f>
        <v>0</v>
      </c>
      <c r="U250" s="26">
        <f>R250+T250</f>
        <v>90</v>
      </c>
      <c r="V250" s="26">
        <f>SUM(I250,K250,M250)/3*0.3+SUM(G250,R250)/2*0.4</f>
        <v>61.2</v>
      </c>
      <c r="W250" s="27">
        <f>O250+T250</f>
        <v>9</v>
      </c>
      <c r="X250" s="28">
        <f>V250/0.7+W250</f>
        <v>96.428571428571445</v>
      </c>
      <c r="Y250" s="28">
        <v>96.428571428571445</v>
      </c>
      <c r="Z250" s="21"/>
    </row>
    <row r="251" spans="1:26" x14ac:dyDescent="0.25">
      <c r="A251" s="16">
        <v>30</v>
      </c>
      <c r="B251" s="17" t="s">
        <v>21</v>
      </c>
      <c r="C251" s="16">
        <v>107</v>
      </c>
      <c r="D251" s="18" t="s">
        <v>127</v>
      </c>
      <c r="E251" s="37" t="s">
        <v>23</v>
      </c>
      <c r="F251" s="19">
        <v>6.7</v>
      </c>
      <c r="G251" s="32">
        <f>IF(B251="高三",IF($E251="男",LOOKUP(F251,[1]对照表!$G$3:$G$24,[1]对照表!$H$3:$H$24),LOOKUP(F251,[1]对照表!$G$27:$G$48,[1]对照表!$H$27:$H$48)),IF(B251="高二",IF($E251="男",LOOKUP(F251,[1]对照表!$F$3:$F$24,[1]对照表!$H$3:$H$24),LOOKUP(F251,[1]对照表!$F$27:$F$48,[1]对照表!$H$27:$H$48)),IF(B251="高一",IF($E251="男",LOOKUP(F251,[1]对照表!$E$3:$E$24,[1]对照表!$H$3:$H$24),LOOKUP(F251,[1]对照表!$E$27:$E$48,[1]对照表!$H$27:$H$48)))))</f>
        <v>100</v>
      </c>
      <c r="H251" s="21">
        <v>12.4</v>
      </c>
      <c r="I251" s="32">
        <f>IF(B251="高三",IF($E251="男",LOOKUP(H251,[1]对照表!$K$3:$K$24,[1]对照表!$L$3:$L$24),LOOKUP(H251,[1]对照表!$K$27:$K$48,[1]对照表!$L$27:$L$48)),IF(B251="高二",IF($E251="男",LOOKUP(H251,[1]对照表!$J$3:$J$24,[1]对照表!$L$3:$L$24),LOOKUP(H251,[1]对照表!$J$27:$J$48,[1]对照表!$L$27:$L$48)),IF(B251="高一",IF($E251="男",LOOKUP(H251,[1]对照表!$I$3:$I$24,[1]对照表!$L$3:$L$24),LOOKUP(H251,[1]对照表!$I$27:$I$48,[1]对照表!$L$27:$L$48)))))</f>
        <v>76</v>
      </c>
      <c r="J251" s="21">
        <v>280</v>
      </c>
      <c r="K251" s="32">
        <f>IF(B251="高三",IF($E251="男",LOOKUP(J251,[1]对照表!$O$3:$O$24,[1]对照表!$P$3:$P$24),LOOKUP(J251,[1]对照表!$O$27:$O$48,[1]对照表!$P$27:$P$48)),IF(B251="高二",IF($E251="男",LOOKUP(J251,[1]对照表!$N$3:$N$24,[1]对照表!$P$3:$P$24),LOOKUP(J251,[1]对照表!$N$27:$N$48,[1]对照表!$P$27:$P$48)),IF(B251="高一",IF($E251="男",LOOKUP(J251,[1]对照表!$M$3:$M$24,[1]对照表!$P$3:$P$24),LOOKUP(J251,[1]对照表!$M$27:$M$48,[1]对照表!$P$27:$P$48)))))</f>
        <v>100</v>
      </c>
      <c r="L251" s="21">
        <v>16</v>
      </c>
      <c r="M251" s="32">
        <f>IF(B251="高三",IF($E251="男",LOOKUP(L251,[1]对照表!$S$3:$S$24,[1]对照表!$T$3:$T$24),LOOKUP(L251,[1]对照表!$S$27:$S$48,[1]对照表!$T$27:$T$48)),IF(B251="高二",IF($E251="男",LOOKUP(L251,[1]对照表!$R$3:$R$24,[1]对照表!$T$3:$T$24),LOOKUP(L251,[1]对照表!$R$27:$R$48,[1]对照表!$T$27:$T$48)),IF(B251="高一",IF($E251="男",LOOKUP(L251,[1]对照表!$Q$3:$Q$24,[1]对照表!$T$3:$T$24),LOOKUP(L251,[1]对照表!$Q$27:$Q$48,[1]对照表!$T$27:$T$48)))))</f>
        <v>100</v>
      </c>
      <c r="N251" s="33">
        <f>IF(B251="高三",MAX(IF(E251="男",L251-18,L251-55),0),IF(B251="高二",MAX(IF(E251="男",L251-17,L251-54),0),IF(B251="高一",MAX(IF(E251="男",L251-16,L251-53),0))))</f>
        <v>0</v>
      </c>
      <c r="O251" s="23">
        <f>IF(E251="男",LOOKUP($N251,[1]对照表!$Z$3:$Z$13,[1]对照表!$AA$3:$AA$13),LOOKUP($N251,[1]对照表!$Z$15:$Z$25,[1]对照表!$AA$15:$AA$25))</f>
        <v>0</v>
      </c>
      <c r="P251" s="24">
        <f>M251+O251</f>
        <v>100</v>
      </c>
      <c r="Q251" s="25">
        <v>3.34</v>
      </c>
      <c r="R251" s="32">
        <f>IF(B251="高三",IF($E251="男",LOOKUP(Q251,[1]对照表!$W$3:$W$24,[1]对照表!$X$3:$X$24),LOOKUP(Q251,[1]对照表!$W$27:$W$48,[1]对照表!$X$27:$X$48)),IF(B251="高二",IF($E251="男",LOOKUP(Q251,[1]对照表!$V$3:$V$24,[1]对照表!$X$3:$X$24),LOOKUP(Q251,[1]对照表!$V$27:$V$48,[1]对照表!$X$27:$X$48)),IF(B251="高一",IF($E251="男",LOOKUP(Q251,[1]对照表!$U$3:$U$24,[1]对照表!$X$3:$X$24),LOOKUP(Q251,[1]对照表!$U$27:$U$48,[1]对照表!$X$27:$X$48)))))</f>
        <v>95</v>
      </c>
      <c r="S251" s="33">
        <f>ROUND(IF(IF($B251="高三",MIN(IF($E251="男",$Q251-3.2,$Q251-3.2),0),IF($B251="高二",MIN(IF($E251="男",$Q251-3.25,$Q251-3.22),0),IF($B251="高一",MIN(IF($E251="男",$Q251-3.3,$Q251-3.24),0))))&lt;-0.6,IF($B251="高三",MIN(IF($E251="男",$Q251-3.2,$Q251-3.2),0),IF($B251="高二",MIN(IF($E251="男",$Q251-3.25,$Q251-3.22),0),IF($B251="高一",MIN(IF($E251="男",$Q251-3.3,$Q251-3.24),0))))+0.4,IF($B251="高三",MIN(IF($E251="男",$Q251-3.2,$Q251-3.2),0),IF($B251="高二",MIN(IF($E251="男",$Q251-3.25,$Q251-3.22),0),IF($B251="高一",MIN(IF($E251="男",$Q251-3.3,$Q251-3.24),0))))),2)</f>
        <v>0</v>
      </c>
      <c r="T251" s="23">
        <f>IF(E251="男",LOOKUP($S251,[1]对照表!$AB$3:$AB$13,[1]对照表!$AC$3:$AC$13),LOOKUP($S251,[1]对照表!$AB$15:$AB$25,[1]对照表!$AC$15:$AC$25))</f>
        <v>0</v>
      </c>
      <c r="U251" s="26">
        <f>R251+T251</f>
        <v>95</v>
      </c>
      <c r="V251" s="26">
        <f>SUM(I251,K251,M251)/3*0.3+SUM(G251,R251)/2*0.4</f>
        <v>66.599999999999994</v>
      </c>
      <c r="W251" s="27">
        <f>O251+T251</f>
        <v>0</v>
      </c>
      <c r="X251" s="28">
        <f>V251/0.7+W251</f>
        <v>95.142857142857139</v>
      </c>
      <c r="Y251" s="28">
        <v>95.142857142857139</v>
      </c>
      <c r="Z251" s="21"/>
    </row>
    <row r="252" spans="1:26" x14ac:dyDescent="0.25">
      <c r="A252" s="16">
        <v>12</v>
      </c>
      <c r="B252" s="17" t="s">
        <v>21</v>
      </c>
      <c r="C252" s="16">
        <v>107</v>
      </c>
      <c r="D252" s="18" t="s">
        <v>128</v>
      </c>
      <c r="E252" s="16" t="s">
        <v>23</v>
      </c>
      <c r="F252" s="19">
        <v>6.5</v>
      </c>
      <c r="G252" s="32">
        <f>IF(B252="高三",IF($E252="男",LOOKUP(F252,[1]对照表!$G$3:$G$24,[1]对照表!$H$3:$H$24),LOOKUP(F252,[1]对照表!$G$27:$G$48,[1]对照表!$H$27:$H$48)),IF(B252="高二",IF($E252="男",LOOKUP(F252,[1]对照表!$F$3:$F$24,[1]对照表!$H$3:$H$24),LOOKUP(F252,[1]对照表!$F$27:$F$48,[1]对照表!$H$27:$H$48)),IF(B252="高一",IF($E252="男",LOOKUP(F252,[1]对照表!$E$3:$E$24,[1]对照表!$H$3:$H$24),LOOKUP(F252,[1]对照表!$E$27:$E$48,[1]对照表!$H$27:$H$48)))))</f>
        <v>100</v>
      </c>
      <c r="H252" s="21">
        <v>16.7</v>
      </c>
      <c r="I252" s="32">
        <f>IF(B252="高三",IF($E252="男",LOOKUP(H252,[1]对照表!$K$3:$K$24,[1]对照表!$L$3:$L$24),LOOKUP(H252,[1]对照表!$K$27:$K$48,[1]对照表!$L$27:$L$48)),IF(B252="高二",IF($E252="男",LOOKUP(H252,[1]对照表!$J$3:$J$24,[1]对照表!$L$3:$L$24),LOOKUP(H252,[1]对照表!$J$27:$J$48,[1]对照表!$L$27:$L$48)),IF(B252="高一",IF($E252="男",LOOKUP(H252,[1]对照表!$I$3:$I$24,[1]对照表!$L$3:$L$24),LOOKUP(H252,[1]对照表!$I$27:$I$48,[1]对照表!$L$27:$L$48)))))</f>
        <v>80</v>
      </c>
      <c r="J252" s="21">
        <v>243</v>
      </c>
      <c r="K252" s="32">
        <f>IF(B252="高三",IF($E252="男",LOOKUP(J252,[1]对照表!$O$3:$O$24,[1]对照表!$P$3:$P$24),LOOKUP(J252,[1]对照表!$O$27:$O$48,[1]对照表!$P$27:$P$48)),IF(B252="高二",IF($E252="男",LOOKUP(J252,[1]对照表!$N$3:$N$24,[1]对照表!$P$3:$P$24),LOOKUP(J252,[1]对照表!$N$27:$N$48,[1]对照表!$P$27:$P$48)),IF(B252="高一",IF($E252="男",LOOKUP(J252,[1]对照表!$M$3:$M$24,[1]对照表!$P$3:$P$24),LOOKUP(J252,[1]对照表!$M$27:$M$48,[1]对照表!$P$27:$P$48)))))</f>
        <v>85</v>
      </c>
      <c r="L252" s="21">
        <v>16</v>
      </c>
      <c r="M252" s="32">
        <f>IF(B252="高三",IF($E252="男",LOOKUP(L252,[1]对照表!$S$3:$S$24,[1]对照表!$T$3:$T$24),LOOKUP(L252,[1]对照表!$S$27:$S$48,[1]对照表!$T$27:$T$48)),IF(B252="高二",IF($E252="男",LOOKUP(L252,[1]对照表!$R$3:$R$24,[1]对照表!$T$3:$T$24),LOOKUP(L252,[1]对照表!$R$27:$R$48,[1]对照表!$T$27:$T$48)),IF(B252="高一",IF($E252="男",LOOKUP(L252,[1]对照表!$Q$3:$Q$24,[1]对照表!$T$3:$T$24),LOOKUP(L252,[1]对照表!$Q$27:$Q$48,[1]对照表!$T$27:$T$48)))))</f>
        <v>100</v>
      </c>
      <c r="N252" s="33">
        <f>IF(B252="高三",MAX(IF(E252="男",L252-18,L252-55),0),IF(B252="高二",MAX(IF(E252="男",L252-17,L252-54),0),IF(B252="高一",MAX(IF(E252="男",L252-16,L252-53),0))))</f>
        <v>0</v>
      </c>
      <c r="O252" s="23">
        <f>IF(E252="男",LOOKUP($N252,[1]对照表!$Z$3:$Z$13,[1]对照表!$AA$3:$AA$13),LOOKUP($N252,[1]对照表!$Z$15:$Z$25,[1]对照表!$AA$15:$AA$25))</f>
        <v>0</v>
      </c>
      <c r="P252" s="24">
        <f>M252+O252</f>
        <v>100</v>
      </c>
      <c r="Q252" s="25">
        <v>3.29</v>
      </c>
      <c r="R252" s="32">
        <f>IF(B252="高三",IF($E252="男",LOOKUP(Q252,[1]对照表!$W$3:$W$24,[1]对照表!$X$3:$X$24),LOOKUP(Q252,[1]对照表!$W$27:$W$48,[1]对照表!$X$27:$X$48)),IF(B252="高二",IF($E252="男",LOOKUP(Q252,[1]对照表!$V$3:$V$24,[1]对照表!$X$3:$X$24),LOOKUP(Q252,[1]对照表!$V$27:$V$48,[1]对照表!$X$27:$X$48)),IF(B252="高一",IF($E252="男",LOOKUP(Q252,[1]对照表!$U$3:$U$24,[1]对照表!$X$3:$X$24),LOOKUP(Q252,[1]对照表!$U$27:$U$48,[1]对照表!$X$27:$X$48)))))</f>
        <v>100</v>
      </c>
      <c r="S252" s="33">
        <f>ROUND(IF(IF($B252="高三",MIN(IF($E252="男",$Q252-3.2,$Q252-3.2),0),IF($B252="高二",MIN(IF($E252="男",$Q252-3.25,$Q252-3.22),0),IF($B252="高一",MIN(IF($E252="男",$Q252-3.3,$Q252-3.24),0))))&lt;-0.6,IF($B252="高三",MIN(IF($E252="男",$Q252-3.2,$Q252-3.2),0),IF($B252="高二",MIN(IF($E252="男",$Q252-3.25,$Q252-3.22),0),IF($B252="高一",MIN(IF($E252="男",$Q252-3.3,$Q252-3.24),0))))+0.4,IF($B252="高三",MIN(IF($E252="男",$Q252-3.2,$Q252-3.2),0),IF($B252="高二",MIN(IF($E252="男",$Q252-3.25,$Q252-3.22),0),IF($B252="高一",MIN(IF($E252="男",$Q252-3.3,$Q252-3.24),0))))),2)</f>
        <v>-0.01</v>
      </c>
      <c r="T252" s="23">
        <f>IF(E252="男",LOOKUP($S252,[1]对照表!$AB$3:$AB$13,[1]对照表!$AC$3:$AC$13),LOOKUP($S252,[1]对照表!$AB$15:$AB$25,[1]对照表!$AC$15:$AC$25))</f>
        <v>0</v>
      </c>
      <c r="U252" s="26">
        <f>R252+T252</f>
        <v>100</v>
      </c>
      <c r="V252" s="26">
        <f>SUM(I252,K252,M252)/3*0.3+SUM(G252,R252)/2*0.4</f>
        <v>66.5</v>
      </c>
      <c r="W252" s="27">
        <f>O252+T252</f>
        <v>0</v>
      </c>
      <c r="X252" s="28">
        <f>V252/0.7+W252</f>
        <v>95</v>
      </c>
      <c r="Y252" s="28">
        <v>95</v>
      </c>
      <c r="Z252" s="21"/>
    </row>
    <row r="253" spans="1:26" x14ac:dyDescent="0.25">
      <c r="A253" s="16">
        <v>32</v>
      </c>
      <c r="B253" s="17" t="s">
        <v>21</v>
      </c>
      <c r="C253" s="16">
        <v>107</v>
      </c>
      <c r="D253" s="18" t="s">
        <v>129</v>
      </c>
      <c r="E253" s="16" t="s">
        <v>23</v>
      </c>
      <c r="F253" s="19">
        <v>6.8</v>
      </c>
      <c r="G253" s="32">
        <f>IF(B253="高三",IF($E253="男",LOOKUP(F253,[1]对照表!$G$3:$G$24,[1]对照表!$H$3:$H$24),LOOKUP(F253,[1]对照表!$G$27:$G$48,[1]对照表!$H$27:$H$48)),IF(B253="高二",IF($E253="男",LOOKUP(F253,[1]对照表!$F$3:$F$24,[1]对照表!$H$3:$H$24),LOOKUP(F253,[1]对照表!$F$27:$F$48,[1]对照表!$H$27:$H$48)),IF(B253="高一",IF($E253="男",LOOKUP(F253,[1]对照表!$E$3:$E$24,[1]对照表!$H$3:$H$24),LOOKUP(F253,[1]对照表!$E$27:$E$48,[1]对照表!$H$27:$H$48)))))</f>
        <v>100</v>
      </c>
      <c r="H253" s="21">
        <v>18.3</v>
      </c>
      <c r="I253" s="32">
        <f>IF(B253="高三",IF($E253="男",LOOKUP(H253,[1]对照表!$K$3:$K$24,[1]对照表!$L$3:$L$24),LOOKUP(H253,[1]对照表!$K$27:$K$48,[1]对照表!$L$27:$L$48)),IF(B253="高二",IF($E253="男",LOOKUP(H253,[1]对照表!$J$3:$J$24,[1]对照表!$L$3:$L$24),LOOKUP(H253,[1]对照表!$J$27:$J$48,[1]对照表!$L$27:$L$48)),IF(B253="高一",IF($E253="男",LOOKUP(H253,[1]对照表!$I$3:$I$24,[1]对照表!$L$3:$L$24),LOOKUP(H253,[1]对照表!$I$27:$I$48,[1]对照表!$L$27:$L$48)))))</f>
        <v>85</v>
      </c>
      <c r="J253" s="21">
        <v>260</v>
      </c>
      <c r="K253" s="32">
        <f>IF(B253="高三",IF($E253="男",LOOKUP(J253,[1]对照表!$O$3:$O$24,[1]对照表!$P$3:$P$24),LOOKUP(J253,[1]对照表!$O$27:$O$48,[1]对照表!$P$27:$P$48)),IF(B253="高二",IF($E253="男",LOOKUP(J253,[1]对照表!$N$3:$N$24,[1]对照表!$P$3:$P$24),LOOKUP(J253,[1]对照表!$N$27:$N$48,[1]对照表!$P$27:$P$48)),IF(B253="高一",IF($E253="男",LOOKUP(J253,[1]对照表!$M$3:$M$24,[1]对照表!$P$3:$P$24),LOOKUP(J253,[1]对照表!$M$27:$M$48,[1]对照表!$P$27:$P$48)))))</f>
        <v>100</v>
      </c>
      <c r="L253" s="21">
        <v>16</v>
      </c>
      <c r="M253" s="32">
        <f>IF(B253="高三",IF($E253="男",LOOKUP(L253,[1]对照表!$S$3:$S$24,[1]对照表!$T$3:$T$24),LOOKUP(L253,[1]对照表!$S$27:$S$48,[1]对照表!$T$27:$T$48)),IF(B253="高二",IF($E253="男",LOOKUP(L253,[1]对照表!$R$3:$R$24,[1]对照表!$T$3:$T$24),LOOKUP(L253,[1]对照表!$R$27:$R$48,[1]对照表!$T$27:$T$48)),IF(B253="高一",IF($E253="男",LOOKUP(L253,[1]对照表!$Q$3:$Q$24,[1]对照表!$T$3:$T$24),LOOKUP(L253,[1]对照表!$Q$27:$Q$48,[1]对照表!$T$27:$T$48)))))</f>
        <v>100</v>
      </c>
      <c r="N253" s="33">
        <f>IF(B253="高三",MAX(IF(E253="男",L253-18,L253-55),0),IF(B253="高二",MAX(IF(E253="男",L253-17,L253-54),0),IF(B253="高一",MAX(IF(E253="男",L253-16,L253-53),0))))</f>
        <v>0</v>
      </c>
      <c r="O253" s="23">
        <f>IF(E253="男",LOOKUP($N253,[1]对照表!$Z$3:$Z$13,[1]对照表!$AA$3:$AA$13),LOOKUP($N253,[1]对照表!$Z$15:$Z$25,[1]对照表!$AA$15:$AA$25))</f>
        <v>0</v>
      </c>
      <c r="P253" s="24">
        <f>M253+O253</f>
        <v>100</v>
      </c>
      <c r="Q253" s="25">
        <v>3.39</v>
      </c>
      <c r="R253" s="32">
        <f>IF(B253="高三",IF($E253="男",LOOKUP(Q253,[1]对照表!$W$3:$W$24,[1]对照表!$X$3:$X$24),LOOKUP(Q253,[1]对照表!$W$27:$W$48,[1]对照表!$X$27:$X$48)),IF(B253="高二",IF($E253="男",LOOKUP(Q253,[1]对照表!$V$3:$V$24,[1]对照表!$X$3:$X$24),LOOKUP(Q253,[1]对照表!$V$27:$V$48,[1]对照表!$X$27:$X$48)),IF(B253="高一",IF($E253="男",LOOKUP(Q253,[1]对照表!$U$3:$U$24,[1]对照表!$X$3:$X$24),LOOKUP(Q253,[1]对照表!$U$27:$U$48,[1]对照表!$X$27:$X$48)))))</f>
        <v>90</v>
      </c>
      <c r="S253" s="33">
        <f>ROUND(IF(IF($B253="高三",MIN(IF($E253="男",$Q253-3.2,$Q253-3.2),0),IF($B253="高二",MIN(IF($E253="男",$Q253-3.25,$Q253-3.22),0),IF($B253="高一",MIN(IF($E253="男",$Q253-3.3,$Q253-3.24),0))))&lt;-0.6,IF($B253="高三",MIN(IF($E253="男",$Q253-3.2,$Q253-3.2),0),IF($B253="高二",MIN(IF($E253="男",$Q253-3.25,$Q253-3.22),0),IF($B253="高一",MIN(IF($E253="男",$Q253-3.3,$Q253-3.24),0))))+0.4,IF($B253="高三",MIN(IF($E253="男",$Q253-3.2,$Q253-3.2),0),IF($B253="高二",MIN(IF($E253="男",$Q253-3.25,$Q253-3.22),0),IF($B253="高一",MIN(IF($E253="男",$Q253-3.3,$Q253-3.24),0))))),2)</f>
        <v>0</v>
      </c>
      <c r="T253" s="23">
        <f>IF(E253="男",LOOKUP($S253,[1]对照表!$AB$3:$AB$13,[1]对照表!$AC$3:$AC$13),LOOKUP($S253,[1]对照表!$AB$15:$AB$25,[1]对照表!$AC$15:$AC$25))</f>
        <v>0</v>
      </c>
      <c r="U253" s="26">
        <f>R253+T253</f>
        <v>90</v>
      </c>
      <c r="V253" s="26">
        <f>SUM(I253,K253,M253)/3*0.3+SUM(G253,R253)/2*0.4</f>
        <v>66.5</v>
      </c>
      <c r="W253" s="27">
        <f>O253+T253</f>
        <v>0</v>
      </c>
      <c r="X253" s="28">
        <f>V253/0.7+W253</f>
        <v>95</v>
      </c>
      <c r="Y253" s="28">
        <v>95</v>
      </c>
      <c r="Z253" s="21"/>
    </row>
    <row r="254" spans="1:26" x14ac:dyDescent="0.25">
      <c r="A254" s="16">
        <v>7</v>
      </c>
      <c r="B254" s="17" t="s">
        <v>21</v>
      </c>
      <c r="C254" s="16">
        <v>107</v>
      </c>
      <c r="D254" s="18" t="s">
        <v>130</v>
      </c>
      <c r="E254" s="17" t="s">
        <v>23</v>
      </c>
      <c r="F254" s="19">
        <v>6.9</v>
      </c>
      <c r="G254" s="32">
        <f>IF(B254="高三",IF($E254="男",LOOKUP(F254,[1]对照表!$G$3:$G$24,[1]对照表!$H$3:$H$24),LOOKUP(F254,[1]对照表!$G$27:$G$48,[1]对照表!$H$27:$H$48)),IF(B254="高二",IF($E254="男",LOOKUP(F254,[1]对照表!$F$3:$F$24,[1]对照表!$H$3:$H$24),LOOKUP(F254,[1]对照表!$F$27:$F$48,[1]对照表!$H$27:$H$48)),IF(B254="高一",IF($E254="男",LOOKUP(F254,[1]对照表!$E$3:$E$24,[1]对照表!$H$3:$H$24),LOOKUP(F254,[1]对照表!$E$27:$E$48,[1]对照表!$H$27:$H$48)))))</f>
        <v>100</v>
      </c>
      <c r="H254" s="21">
        <v>18.5</v>
      </c>
      <c r="I254" s="32">
        <f>IF(B254="高三",IF($E254="男",LOOKUP(H254,[1]对照表!$K$3:$K$24,[1]对照表!$L$3:$L$24),LOOKUP(H254,[1]对照表!$K$27:$K$48,[1]对照表!$L$27:$L$48)),IF(B254="高二",IF($E254="男",LOOKUP(H254,[1]对照表!$J$3:$J$24,[1]对照表!$L$3:$L$24),LOOKUP(H254,[1]对照表!$J$27:$J$48,[1]对照表!$L$27:$L$48)),IF(B254="高一",IF($E254="男",LOOKUP(H254,[1]对照表!$I$3:$I$24,[1]对照表!$L$3:$L$24),LOOKUP(H254,[1]对照表!$I$27:$I$48,[1]对照表!$L$27:$L$48)))))</f>
        <v>85</v>
      </c>
      <c r="J254" s="21">
        <v>262</v>
      </c>
      <c r="K254" s="32">
        <f>IF(B254="高三",IF($E254="男",LOOKUP(J254,[1]对照表!$O$3:$O$24,[1]对照表!$P$3:$P$24),LOOKUP(J254,[1]对照表!$O$27:$O$48,[1]对照表!$P$27:$P$48)),IF(B254="高二",IF($E254="男",LOOKUP(J254,[1]对照表!$N$3:$N$24,[1]对照表!$P$3:$P$24),LOOKUP(J254,[1]对照表!$N$27:$N$48,[1]对照表!$P$27:$P$48)),IF(B254="高一",IF($E254="男",LOOKUP(J254,[1]对照表!$M$3:$M$24,[1]对照表!$P$3:$P$24),LOOKUP(J254,[1]对照表!$M$27:$M$48,[1]对照表!$P$27:$P$48)))))</f>
        <v>100</v>
      </c>
      <c r="L254" s="21">
        <v>16</v>
      </c>
      <c r="M254" s="32">
        <f>IF(B254="高三",IF($E254="男",LOOKUP(L254,[1]对照表!$S$3:$S$24,[1]对照表!$T$3:$T$24),LOOKUP(L254,[1]对照表!$S$27:$S$48,[1]对照表!$T$27:$T$48)),IF(B254="高二",IF($E254="男",LOOKUP(L254,[1]对照表!$R$3:$R$24,[1]对照表!$T$3:$T$24),LOOKUP(L254,[1]对照表!$R$27:$R$48,[1]对照表!$T$27:$T$48)),IF(B254="高一",IF($E254="男",LOOKUP(L254,[1]对照表!$Q$3:$Q$24,[1]对照表!$T$3:$T$24),LOOKUP(L254,[1]对照表!$Q$27:$Q$48,[1]对照表!$T$27:$T$48)))))</f>
        <v>100</v>
      </c>
      <c r="N254" s="33">
        <f>IF(B254="高三",MAX(IF(E254="男",L254-18,L254-55),0),IF(B254="高二",MAX(IF(E254="男",L254-17,L254-54),0),IF(B254="高一",MAX(IF(E254="男",L254-16,L254-53),0))))</f>
        <v>0</v>
      </c>
      <c r="O254" s="23">
        <f>IF(E254="男",LOOKUP($N254,[1]对照表!$Z$3:$Z$13,[1]对照表!$AA$3:$AA$13),LOOKUP($N254,[1]对照表!$Z$15:$Z$25,[1]对照表!$AA$15:$AA$25))</f>
        <v>0</v>
      </c>
      <c r="P254" s="24">
        <f>M254+O254</f>
        <v>100</v>
      </c>
      <c r="Q254" s="25">
        <v>3.39</v>
      </c>
      <c r="R254" s="32">
        <f>IF(B254="高三",IF($E254="男",LOOKUP(Q254,[1]对照表!$W$3:$W$24,[1]对照表!$X$3:$X$24),LOOKUP(Q254,[1]对照表!$W$27:$W$48,[1]对照表!$X$27:$X$48)),IF(B254="高二",IF($E254="男",LOOKUP(Q254,[1]对照表!$V$3:$V$24,[1]对照表!$X$3:$X$24),LOOKUP(Q254,[1]对照表!$V$27:$V$48,[1]对照表!$X$27:$X$48)),IF(B254="高一",IF($E254="男",LOOKUP(Q254,[1]对照表!$U$3:$U$24,[1]对照表!$X$3:$X$24),LOOKUP(Q254,[1]对照表!$U$27:$U$48,[1]对照表!$X$27:$X$48)))))</f>
        <v>90</v>
      </c>
      <c r="S254" s="33">
        <f>ROUND(IF(IF($B254="高三",MIN(IF($E254="男",$Q254-3.2,$Q254-3.2),0),IF($B254="高二",MIN(IF($E254="男",$Q254-3.25,$Q254-3.22),0),IF($B254="高一",MIN(IF($E254="男",$Q254-3.3,$Q254-3.24),0))))&lt;-0.6,IF($B254="高三",MIN(IF($E254="男",$Q254-3.2,$Q254-3.2),0),IF($B254="高二",MIN(IF($E254="男",$Q254-3.25,$Q254-3.22),0),IF($B254="高一",MIN(IF($E254="男",$Q254-3.3,$Q254-3.24),0))))+0.4,IF($B254="高三",MIN(IF($E254="男",$Q254-3.2,$Q254-3.2),0),IF($B254="高二",MIN(IF($E254="男",$Q254-3.25,$Q254-3.22),0),IF($B254="高一",MIN(IF($E254="男",$Q254-3.3,$Q254-3.24),0))))),2)</f>
        <v>0</v>
      </c>
      <c r="T254" s="23">
        <f>IF(E254="男",LOOKUP($S254,[1]对照表!$AB$3:$AB$13,[1]对照表!$AC$3:$AC$13),LOOKUP($S254,[1]对照表!$AB$15:$AB$25,[1]对照表!$AC$15:$AC$25))</f>
        <v>0</v>
      </c>
      <c r="U254" s="26">
        <f>R254+T254</f>
        <v>90</v>
      </c>
      <c r="V254" s="26">
        <f>SUM(I254,K254,M254)/3*0.3+SUM(G254,R254)/2*0.4</f>
        <v>66.5</v>
      </c>
      <c r="W254" s="27">
        <f>O254+T254</f>
        <v>0</v>
      </c>
      <c r="X254" s="28">
        <f>V254/0.7+W254</f>
        <v>95</v>
      </c>
      <c r="Y254" s="28">
        <v>95</v>
      </c>
      <c r="Z254" s="21"/>
    </row>
    <row r="255" spans="1:26" x14ac:dyDescent="0.25">
      <c r="A255" s="16">
        <v>26</v>
      </c>
      <c r="B255" s="17" t="s">
        <v>21</v>
      </c>
      <c r="C255" s="16">
        <v>107</v>
      </c>
      <c r="D255" s="18" t="s">
        <v>133</v>
      </c>
      <c r="E255" s="16" t="s">
        <v>23</v>
      </c>
      <c r="F255" s="19">
        <v>7</v>
      </c>
      <c r="G255" s="32">
        <f>IF(B255="高三",IF($E255="男",LOOKUP(F255,[1]对照表!$G$3:$G$24,[1]对照表!$H$3:$H$24),LOOKUP(F255,[1]对照表!$G$27:$G$48,[1]对照表!$H$27:$H$48)),IF(B255="高二",IF($E255="男",LOOKUP(F255,[1]对照表!$F$3:$F$24,[1]对照表!$H$3:$H$24),LOOKUP(F255,[1]对照表!$F$27:$F$48,[1]对照表!$H$27:$H$48)),IF(B255="高一",IF($E255="男",LOOKUP(F255,[1]对照表!$E$3:$E$24,[1]对照表!$H$3:$H$24),LOOKUP(F255,[1]对照表!$E$27:$E$48,[1]对照表!$H$27:$H$48)))))</f>
        <v>100</v>
      </c>
      <c r="H255" s="21">
        <v>8.6</v>
      </c>
      <c r="I255" s="32">
        <f>IF(B255="高三",IF($E255="男",LOOKUP(H255,[1]对照表!$K$3:$K$24,[1]对照表!$L$3:$L$24),LOOKUP(H255,[1]对照表!$K$27:$K$48,[1]对照表!$L$27:$L$48)),IF(B255="高二",IF($E255="男",LOOKUP(H255,[1]对照表!$J$3:$J$24,[1]对照表!$L$3:$L$24),LOOKUP(H255,[1]对照表!$J$27:$J$48,[1]对照表!$L$27:$L$48)),IF(B255="高一",IF($E255="男",LOOKUP(H255,[1]对照表!$I$3:$I$24,[1]对照表!$L$3:$L$24),LOOKUP(H255,[1]对照表!$I$27:$I$48,[1]对照表!$L$27:$L$48)))))</f>
        <v>70</v>
      </c>
      <c r="J255" s="21">
        <v>225</v>
      </c>
      <c r="K255" s="32">
        <f>IF(B255="高三",IF($E255="男",LOOKUP(J255,[1]对照表!$O$3:$O$24,[1]对照表!$P$3:$P$24),LOOKUP(J255,[1]对照表!$O$27:$O$48,[1]对照表!$P$27:$P$48)),IF(B255="高二",IF($E255="男",LOOKUP(J255,[1]对照表!$N$3:$N$24,[1]对照表!$P$3:$P$24),LOOKUP(J255,[1]对照表!$N$27:$N$48,[1]对照表!$P$27:$P$48)),IF(B255="高一",IF($E255="男",LOOKUP(J255,[1]对照表!$M$3:$M$24,[1]对照表!$P$3:$P$24),LOOKUP(J255,[1]对照表!$M$27:$M$48,[1]对照表!$P$27:$P$48)))))</f>
        <v>74</v>
      </c>
      <c r="L255" s="21">
        <v>20</v>
      </c>
      <c r="M255" s="32">
        <f>IF(B255="高三",IF($E255="男",LOOKUP(L255,[1]对照表!$S$3:$S$24,[1]对照表!$T$3:$T$24),LOOKUP(L255,[1]对照表!$S$27:$S$48,[1]对照表!$T$27:$T$48)),IF(B255="高二",IF($E255="男",LOOKUP(L255,[1]对照表!$R$3:$R$24,[1]对照表!$T$3:$T$24),LOOKUP(L255,[1]对照表!$R$27:$R$48,[1]对照表!$T$27:$T$48)),IF(B255="高一",IF($E255="男",LOOKUP(L255,[1]对照表!$Q$3:$Q$24,[1]对照表!$T$3:$T$24),LOOKUP(L255,[1]对照表!$Q$27:$Q$48,[1]对照表!$T$27:$T$48)))))</f>
        <v>100</v>
      </c>
      <c r="N255" s="33">
        <f>IF(B255="高三",MAX(IF(E255="男",L255-18,L255-55),0),IF(B255="高二",MAX(IF(E255="男",L255-17,L255-54),0),IF(B255="高一",MAX(IF(E255="男",L255-16,L255-53),0))))</f>
        <v>4</v>
      </c>
      <c r="O255" s="23">
        <f>IF(E255="男",LOOKUP($N255,[1]对照表!$Z$3:$Z$13,[1]对照表!$AA$3:$AA$13),LOOKUP($N255,[1]对照表!$Z$15:$Z$25,[1]对照表!$AA$15:$AA$25))</f>
        <v>4</v>
      </c>
      <c r="P255" s="24">
        <f>M255+O255</f>
        <v>104</v>
      </c>
      <c r="Q255" s="25">
        <v>3.32</v>
      </c>
      <c r="R255" s="32">
        <f>IF(B255="高三",IF($E255="男",LOOKUP(Q255,[1]对照表!$W$3:$W$24,[1]对照表!$X$3:$X$24),LOOKUP(Q255,[1]对照表!$W$27:$W$48,[1]对照表!$X$27:$X$48)),IF(B255="高二",IF($E255="男",LOOKUP(Q255,[1]对照表!$V$3:$V$24,[1]对照表!$X$3:$X$24),LOOKUP(Q255,[1]对照表!$V$27:$V$48,[1]对照表!$X$27:$X$48)),IF(B255="高一",IF($E255="男",LOOKUP(Q255,[1]对照表!$U$3:$U$24,[1]对照表!$X$3:$X$24),LOOKUP(Q255,[1]对照表!$U$27:$U$48,[1]对照表!$X$27:$X$48)))))</f>
        <v>95</v>
      </c>
      <c r="S255" s="33">
        <f>ROUND(IF(IF($B255="高三",MIN(IF($E255="男",$Q255-3.2,$Q255-3.2),0),IF($B255="高二",MIN(IF($E255="男",$Q255-3.25,$Q255-3.22),0),IF($B255="高一",MIN(IF($E255="男",$Q255-3.3,$Q255-3.24),0))))&lt;-0.6,IF($B255="高三",MIN(IF($E255="男",$Q255-3.2,$Q255-3.2),0),IF($B255="高二",MIN(IF($E255="男",$Q255-3.25,$Q255-3.22),0),IF($B255="高一",MIN(IF($E255="男",$Q255-3.3,$Q255-3.24),0))))+0.4,IF($B255="高三",MIN(IF($E255="男",$Q255-3.2,$Q255-3.2),0),IF($B255="高二",MIN(IF($E255="男",$Q255-3.25,$Q255-3.22),0),IF($B255="高一",MIN(IF($E255="男",$Q255-3.3,$Q255-3.24),0))))),2)</f>
        <v>0</v>
      </c>
      <c r="T255" s="23">
        <f>IF(E255="男",LOOKUP($S255,[1]对照表!$AB$3:$AB$13,[1]对照表!$AC$3:$AC$13),LOOKUP($S255,[1]对照表!$AB$15:$AB$25,[1]对照表!$AC$15:$AC$25))</f>
        <v>0</v>
      </c>
      <c r="U255" s="26">
        <f>R255+T255</f>
        <v>95</v>
      </c>
      <c r="V255" s="26">
        <f>SUM(I255,K255,M255)/3*0.3+SUM(G255,R255)/2*0.4</f>
        <v>63.4</v>
      </c>
      <c r="W255" s="27">
        <f>O255+T255</f>
        <v>4</v>
      </c>
      <c r="X255" s="28">
        <f>V255/0.7+W255</f>
        <v>94.571428571428569</v>
      </c>
      <c r="Y255" s="28">
        <v>94.571428571428569</v>
      </c>
      <c r="Z255" s="21"/>
    </row>
    <row r="256" spans="1:26" x14ac:dyDescent="0.25">
      <c r="A256" s="16">
        <v>3</v>
      </c>
      <c r="B256" s="17" t="s">
        <v>21</v>
      </c>
      <c r="C256" s="16">
        <v>107</v>
      </c>
      <c r="D256" s="18" t="s">
        <v>139</v>
      </c>
      <c r="E256" s="17" t="s">
        <v>23</v>
      </c>
      <c r="F256" s="19">
        <v>7</v>
      </c>
      <c r="G256" s="32">
        <f>IF(B256="高三",IF($E256="男",LOOKUP(F256,[1]对照表!$G$3:$G$24,[1]对照表!$H$3:$H$24),LOOKUP(F256,[1]对照表!$G$27:$G$48,[1]对照表!$H$27:$H$48)),IF(B256="高二",IF($E256="男",LOOKUP(F256,[1]对照表!$F$3:$F$24,[1]对照表!$H$3:$H$24),LOOKUP(F256,[1]对照表!$F$27:$F$48,[1]对照表!$H$27:$H$48)),IF(B256="高一",IF($E256="男",LOOKUP(F256,[1]对照表!$E$3:$E$24,[1]对照表!$H$3:$H$24),LOOKUP(F256,[1]对照表!$E$27:$E$48,[1]对照表!$H$27:$H$48)))))</f>
        <v>100</v>
      </c>
      <c r="H256" s="21">
        <v>24.8</v>
      </c>
      <c r="I256" s="32">
        <f>IF(B256="高三",IF($E256="男",LOOKUP(H256,[1]对照表!$K$3:$K$24,[1]对照表!$L$3:$L$24),LOOKUP(H256,[1]对照表!$K$27:$K$48,[1]对照表!$L$27:$L$48)),IF(B256="高二",IF($E256="男",LOOKUP(H256,[1]对照表!$J$3:$J$24,[1]对照表!$L$3:$L$24),LOOKUP(H256,[1]对照表!$J$27:$J$48,[1]对照表!$L$27:$L$48)),IF(B256="高一",IF($E256="男",LOOKUP(H256,[1]对照表!$I$3:$I$24,[1]对照表!$L$3:$L$24),LOOKUP(H256,[1]对照表!$I$27:$I$48,[1]对照表!$L$27:$L$48)))))</f>
        <v>100</v>
      </c>
      <c r="J256" s="21">
        <v>252</v>
      </c>
      <c r="K256" s="32">
        <f>IF(B256="高三",IF($E256="男",LOOKUP(J256,[1]对照表!$O$3:$O$24,[1]对照表!$P$3:$P$24),LOOKUP(J256,[1]对照表!$O$27:$O$48,[1]对照表!$P$27:$P$48)),IF(B256="高二",IF($E256="男",LOOKUP(J256,[1]对照表!$N$3:$N$24,[1]对照表!$P$3:$P$24),LOOKUP(J256,[1]对照表!$N$27:$N$48,[1]对照表!$P$27:$P$48)),IF(B256="高一",IF($E256="男",LOOKUP(J256,[1]对照表!$M$3:$M$24,[1]对照表!$P$3:$P$24),LOOKUP(J256,[1]对照表!$M$27:$M$48,[1]对照表!$P$27:$P$48)))))</f>
        <v>90</v>
      </c>
      <c r="L256" s="21">
        <v>16</v>
      </c>
      <c r="M256" s="32">
        <f>IF(B256="高三",IF($E256="男",LOOKUP(L256,[1]对照表!$S$3:$S$24,[1]对照表!$T$3:$T$24),LOOKUP(L256,[1]对照表!$S$27:$S$48,[1]对照表!$T$27:$T$48)),IF(B256="高二",IF($E256="男",LOOKUP(L256,[1]对照表!$R$3:$R$24,[1]对照表!$T$3:$T$24),LOOKUP(L256,[1]对照表!$R$27:$R$48,[1]对照表!$T$27:$T$48)),IF(B256="高一",IF($E256="男",LOOKUP(L256,[1]对照表!$Q$3:$Q$24,[1]对照表!$T$3:$T$24),LOOKUP(L256,[1]对照表!$Q$27:$Q$48,[1]对照表!$T$27:$T$48)))))</f>
        <v>100</v>
      </c>
      <c r="N256" s="33">
        <f>IF(B256="高三",MAX(IF(E256="男",L256-18,L256-55),0),IF(B256="高二",MAX(IF(E256="男",L256-17,L256-54),0),IF(B256="高一",MAX(IF(E256="男",L256-16,L256-53),0))))</f>
        <v>0</v>
      </c>
      <c r="O256" s="23">
        <f>IF(E256="男",LOOKUP($N256,[1]对照表!$Z$3:$Z$13,[1]对照表!$AA$3:$AA$13),LOOKUP($N256,[1]对照表!$Z$15:$Z$25,[1]对照表!$AA$15:$AA$25))</f>
        <v>0</v>
      </c>
      <c r="P256" s="24">
        <f>M256+O256</f>
        <v>100</v>
      </c>
      <c r="Q256" s="25">
        <v>3.41</v>
      </c>
      <c r="R256" s="32">
        <f>IF(B256="高三",IF($E256="男",LOOKUP(Q256,[1]对照表!$W$3:$W$24,[1]对照表!$X$3:$X$24),LOOKUP(Q256,[1]对照表!$W$27:$W$48,[1]对照表!$X$27:$X$48)),IF(B256="高二",IF($E256="男",LOOKUP(Q256,[1]对照表!$V$3:$V$24,[1]对照表!$X$3:$X$24),LOOKUP(Q256,[1]对照表!$V$27:$V$48,[1]对照表!$X$27:$X$48)),IF(B256="高一",IF($E256="男",LOOKUP(Q256,[1]对照表!$U$3:$U$24,[1]对照表!$X$3:$X$24),LOOKUP(Q256,[1]对照表!$U$27:$U$48,[1]对照表!$X$27:$X$48)))))</f>
        <v>85</v>
      </c>
      <c r="S256" s="33">
        <f>ROUND(IF(IF($B256="高三",MIN(IF($E256="男",$Q256-3.2,$Q256-3.2),0),IF($B256="高二",MIN(IF($E256="男",$Q256-3.25,$Q256-3.22),0),IF($B256="高一",MIN(IF($E256="男",$Q256-3.3,$Q256-3.24),0))))&lt;-0.6,IF($B256="高三",MIN(IF($E256="男",$Q256-3.2,$Q256-3.2),0),IF($B256="高二",MIN(IF($E256="男",$Q256-3.25,$Q256-3.22),0),IF($B256="高一",MIN(IF($E256="男",$Q256-3.3,$Q256-3.24),0))))+0.4,IF($B256="高三",MIN(IF($E256="男",$Q256-3.2,$Q256-3.2),0),IF($B256="高二",MIN(IF($E256="男",$Q256-3.25,$Q256-3.22),0),IF($B256="高一",MIN(IF($E256="男",$Q256-3.3,$Q256-3.24),0))))),2)</f>
        <v>0</v>
      </c>
      <c r="T256" s="23">
        <f>IF(E256="男",LOOKUP($S256,[1]对照表!$AB$3:$AB$13,[1]对照表!$AC$3:$AC$13),LOOKUP($S256,[1]对照表!$AB$15:$AB$25,[1]对照表!$AC$15:$AC$25))</f>
        <v>0</v>
      </c>
      <c r="U256" s="26">
        <f>R256+T256</f>
        <v>85</v>
      </c>
      <c r="V256" s="26">
        <f>SUM(I256,K256,M256)/3*0.3+SUM(G256,R256)/2*0.4</f>
        <v>66</v>
      </c>
      <c r="W256" s="27">
        <f>O256+T256</f>
        <v>0</v>
      </c>
      <c r="X256" s="28">
        <f>V256/0.7+W256</f>
        <v>94.285714285714292</v>
      </c>
      <c r="Y256" s="28">
        <v>94.285714285714292</v>
      </c>
      <c r="Z256" s="21"/>
    </row>
    <row r="257" spans="1:26" x14ac:dyDescent="0.25">
      <c r="A257" s="16">
        <v>20</v>
      </c>
      <c r="B257" s="17" t="s">
        <v>21</v>
      </c>
      <c r="C257" s="16">
        <v>107</v>
      </c>
      <c r="D257" s="18" t="s">
        <v>148</v>
      </c>
      <c r="E257" s="16" t="s">
        <v>23</v>
      </c>
      <c r="F257" s="19">
        <v>6.7</v>
      </c>
      <c r="G257" s="32">
        <f>IF(B257="高三",IF($E257="男",LOOKUP(F257,[1]对照表!$G$3:$G$24,[1]对照表!$H$3:$H$24),LOOKUP(F257,[1]对照表!$G$27:$G$48,[1]对照表!$H$27:$H$48)),IF(B257="高二",IF($E257="男",LOOKUP(F257,[1]对照表!$F$3:$F$24,[1]对照表!$H$3:$H$24),LOOKUP(F257,[1]对照表!$F$27:$F$48,[1]对照表!$H$27:$H$48)),IF(B257="高一",IF($E257="男",LOOKUP(F257,[1]对照表!$E$3:$E$24,[1]对照表!$H$3:$H$24),LOOKUP(F257,[1]对照表!$E$27:$E$48,[1]对照表!$H$27:$H$48)))))</f>
        <v>100</v>
      </c>
      <c r="H257" s="21">
        <v>11.5</v>
      </c>
      <c r="I257" s="32">
        <f>IF(B257="高三",IF($E257="男",LOOKUP(H257,[1]对照表!$K$3:$K$24,[1]对照表!$L$3:$L$24),LOOKUP(H257,[1]对照表!$K$27:$K$48,[1]对照表!$L$27:$L$48)),IF(B257="高二",IF($E257="男",LOOKUP(H257,[1]对照表!$J$3:$J$24,[1]对照表!$L$3:$L$24),LOOKUP(H257,[1]对照表!$J$27:$J$48,[1]对照表!$L$27:$L$48)),IF(B257="高一",IF($E257="男",LOOKUP(H257,[1]对照表!$I$3:$I$24,[1]对照表!$L$3:$L$24),LOOKUP(H257,[1]对照表!$I$27:$I$48,[1]对照表!$L$27:$L$48)))))</f>
        <v>74</v>
      </c>
      <c r="J257" s="21">
        <v>257</v>
      </c>
      <c r="K257" s="32">
        <f>IF(B257="高三",IF($E257="男",LOOKUP(J257,[1]对照表!$O$3:$O$24,[1]对照表!$P$3:$P$24),LOOKUP(J257,[1]对照表!$O$27:$O$48,[1]对照表!$P$27:$P$48)),IF(B257="高二",IF($E257="男",LOOKUP(J257,[1]对照表!$N$3:$N$24,[1]对照表!$P$3:$P$24),LOOKUP(J257,[1]对照表!$N$27:$N$48,[1]对照表!$P$27:$P$48)),IF(B257="高一",IF($E257="男",LOOKUP(J257,[1]对照表!$M$3:$M$24,[1]对照表!$P$3:$P$24),LOOKUP(J257,[1]对照表!$M$27:$M$48,[1]对照表!$P$27:$P$48)))))</f>
        <v>95</v>
      </c>
      <c r="L257" s="21">
        <v>18</v>
      </c>
      <c r="M257" s="32">
        <f>IF(B257="高三",IF($E257="男",LOOKUP(L257,[1]对照表!$S$3:$S$24,[1]对照表!$T$3:$T$24),LOOKUP(L257,[1]对照表!$S$27:$S$48,[1]对照表!$T$27:$T$48)),IF(B257="高二",IF($E257="男",LOOKUP(L257,[1]对照表!$R$3:$R$24,[1]对照表!$T$3:$T$24),LOOKUP(L257,[1]对照表!$R$27:$R$48,[1]对照表!$T$27:$T$48)),IF(B257="高一",IF($E257="男",LOOKUP(L257,[1]对照表!$Q$3:$Q$24,[1]对照表!$T$3:$T$24),LOOKUP(L257,[1]对照表!$Q$27:$Q$48,[1]对照表!$T$27:$T$48)))))</f>
        <v>100</v>
      </c>
      <c r="N257" s="33">
        <f>IF(B257="高三",MAX(IF(E257="男",L257-18,L257-55),0),IF(B257="高二",MAX(IF(E257="男",L257-17,L257-54),0),IF(B257="高一",MAX(IF(E257="男",L257-16,L257-53),0))))</f>
        <v>2</v>
      </c>
      <c r="O257" s="23">
        <f>IF(E257="男",LOOKUP($N257,[1]对照表!$Z$3:$Z$13,[1]对照表!$AA$3:$AA$13),LOOKUP($N257,[1]对照表!$Z$15:$Z$25,[1]对照表!$AA$15:$AA$25))</f>
        <v>2</v>
      </c>
      <c r="P257" s="24">
        <f>M257+O257</f>
        <v>102</v>
      </c>
      <c r="Q257" s="39">
        <v>3.44</v>
      </c>
      <c r="R257" s="32">
        <f>IF(B257="高三",IF($E257="男",LOOKUP(Q257,[1]对照表!$W$3:$W$24,[1]对照表!$X$3:$X$24),LOOKUP(Q257,[1]对照表!$W$27:$W$48,[1]对照表!$X$27:$X$48)),IF(B257="高二",IF($E257="男",LOOKUP(Q257,[1]对照表!$V$3:$V$24,[1]对照表!$X$3:$X$24),LOOKUP(Q257,[1]对照表!$V$27:$V$48,[1]对照表!$X$27:$X$48)),IF(B257="高一",IF($E257="男",LOOKUP(Q257,[1]对照表!$U$3:$U$24,[1]对照表!$X$3:$X$24),LOOKUP(Q257,[1]对照表!$U$27:$U$48,[1]对照表!$X$27:$X$48)))))</f>
        <v>85</v>
      </c>
      <c r="S257" s="33">
        <f>ROUND(IF(IF($B257="高三",MIN(IF($E257="男",$Q257-3.2,$Q257-3.2),0),IF($B257="高二",MIN(IF($E257="男",$Q257-3.25,$Q257-3.22),0),IF($B257="高一",MIN(IF($E257="男",$Q257-3.3,$Q257-3.24),0))))&lt;-0.6,IF($B257="高三",MIN(IF($E257="男",$Q257-3.2,$Q257-3.2),0),IF($B257="高二",MIN(IF($E257="男",$Q257-3.25,$Q257-3.22),0),IF($B257="高一",MIN(IF($E257="男",$Q257-3.3,$Q257-3.24),0))))+0.4,IF($B257="高三",MIN(IF($E257="男",$Q257-3.2,$Q257-3.2),0),IF($B257="高二",MIN(IF($E257="男",$Q257-3.25,$Q257-3.22),0),IF($B257="高一",MIN(IF($E257="男",$Q257-3.3,$Q257-3.24),0))))),2)</f>
        <v>0</v>
      </c>
      <c r="T257" s="23">
        <f>IF(E257="男",LOOKUP($S257,[1]对照表!$AB$3:$AB$13,[1]对照表!$AC$3:$AC$13),LOOKUP($S257,[1]对照表!$AB$15:$AB$25,[1]对照表!$AC$15:$AC$25))</f>
        <v>0</v>
      </c>
      <c r="U257" s="26">
        <f>R257+T257</f>
        <v>85</v>
      </c>
      <c r="V257" s="26">
        <f>SUM(I257,K257,M257)/3*0.3+SUM(G257,R257)/2*0.4</f>
        <v>63.900000000000006</v>
      </c>
      <c r="W257" s="27">
        <f>O257+T257</f>
        <v>2</v>
      </c>
      <c r="X257" s="28">
        <f>V257/0.7+W257</f>
        <v>93.285714285714306</v>
      </c>
      <c r="Y257" s="28">
        <v>93.285714285714306</v>
      </c>
      <c r="Z257" s="21"/>
    </row>
    <row r="258" spans="1:26" x14ac:dyDescent="0.25">
      <c r="A258" s="16">
        <v>2</v>
      </c>
      <c r="B258" s="17" t="s">
        <v>21</v>
      </c>
      <c r="C258" s="16">
        <v>107</v>
      </c>
      <c r="D258" s="18" t="s">
        <v>150</v>
      </c>
      <c r="E258" s="17" t="s">
        <v>23</v>
      </c>
      <c r="F258" s="19">
        <v>6.9</v>
      </c>
      <c r="G258" s="32">
        <f>IF(B258="高三",IF($E258="男",LOOKUP(F258,[1]对照表!$G$3:$G$24,[1]对照表!$H$3:$H$24),LOOKUP(F258,[1]对照表!$G$27:$G$48,[1]对照表!$H$27:$H$48)),IF(B258="高二",IF($E258="男",LOOKUP(F258,[1]对照表!$F$3:$F$24,[1]对照表!$H$3:$H$24),LOOKUP(F258,[1]对照表!$F$27:$F$48,[1]对照表!$H$27:$H$48)),IF(B258="高一",IF($E258="男",LOOKUP(F258,[1]对照表!$E$3:$E$24,[1]对照表!$H$3:$H$24),LOOKUP(F258,[1]对照表!$E$27:$E$48,[1]对照表!$H$27:$H$48)))))</f>
        <v>100</v>
      </c>
      <c r="H258" s="21">
        <v>22</v>
      </c>
      <c r="I258" s="32">
        <f>IF(B258="高三",IF($E258="男",LOOKUP(H258,[1]对照表!$K$3:$K$24,[1]对照表!$L$3:$L$24),LOOKUP(H258,[1]对照表!$K$27:$K$48,[1]对照表!$L$27:$L$48)),IF(B258="高二",IF($E258="男",LOOKUP(H258,[1]对照表!$J$3:$J$24,[1]对照表!$L$3:$L$24),LOOKUP(H258,[1]对照表!$J$27:$J$48,[1]对照表!$L$27:$L$48)),IF(B258="高一",IF($E258="男",LOOKUP(H258,[1]对照表!$I$3:$I$24,[1]对照表!$L$3:$L$24),LOOKUP(H258,[1]对照表!$I$27:$I$48,[1]对照表!$L$27:$L$48)))))</f>
        <v>95</v>
      </c>
      <c r="J258" s="21">
        <v>221</v>
      </c>
      <c r="K258" s="32">
        <f>IF(B258="高三",IF($E258="男",LOOKUP(J258,[1]对照表!$O$3:$O$24,[1]对照表!$P$3:$P$24),LOOKUP(J258,[1]对照表!$O$27:$O$48,[1]对照表!$P$27:$P$48)),IF(B258="高二",IF($E258="男",LOOKUP(J258,[1]对照表!$N$3:$N$24,[1]对照表!$P$3:$P$24),LOOKUP(J258,[1]对照表!$N$27:$N$48,[1]对照表!$P$27:$P$48)),IF(B258="高一",IF($E258="男",LOOKUP(J258,[1]对照表!$M$3:$M$24,[1]对照表!$P$3:$P$24),LOOKUP(J258,[1]对照表!$M$27:$M$48,[1]对照表!$P$27:$P$48)))))</f>
        <v>72</v>
      </c>
      <c r="L258" s="21">
        <v>8</v>
      </c>
      <c r="M258" s="32">
        <f>IF(B258="高三",IF($E258="男",LOOKUP(L258,[1]对照表!$S$3:$S$24,[1]对照表!$T$3:$T$24),LOOKUP(L258,[1]对照表!$S$27:$S$48,[1]对照表!$T$27:$T$48)),IF(B258="高二",IF($E258="男",LOOKUP(L258,[1]对照表!$R$3:$R$24,[1]对照表!$T$3:$T$24),LOOKUP(L258,[1]对照表!$R$27:$R$48,[1]对照表!$T$27:$T$48)),IF(B258="高一",IF($E258="男",LOOKUP(L258,[1]对照表!$Q$3:$Q$24,[1]对照表!$T$3:$T$24),LOOKUP(L258,[1]对照表!$Q$27:$Q$48,[1]对照表!$T$27:$T$48)))))</f>
        <v>64</v>
      </c>
      <c r="N258" s="27">
        <f>IF(B258="高三",MAX(IF(E258="男",L258-18,L258-55),0),IF(B258="高二",MAX(IF(E258="男",L258-17,L258-54),0),IF(B258="高一",MAX(IF(E258="男",L258-16,L258-53),0))))</f>
        <v>0</v>
      </c>
      <c r="O258" s="23">
        <f>IF(E258="男",LOOKUP($N258,[1]对照表!$Z$3:$Z$13,[1]对照表!$AA$3:$AA$13),LOOKUP($N258,[1]对照表!$Z$15:$Z$25,[1]对照表!$AA$15:$AA$25))</f>
        <v>0</v>
      </c>
      <c r="P258" s="24">
        <f>M258+O258</f>
        <v>64</v>
      </c>
      <c r="Q258" s="25">
        <v>3.18</v>
      </c>
      <c r="R258" s="32">
        <f>IF(B258="高三",IF($E258="男",LOOKUP(Q258,[1]对照表!$W$3:$W$24,[1]对照表!$X$3:$X$24),LOOKUP(Q258,[1]对照表!$W$27:$W$48,[1]对照表!$X$27:$X$48)),IF(B258="高二",IF($E258="男",LOOKUP(Q258,[1]对照表!$V$3:$V$24,[1]对照表!$X$3:$X$24),LOOKUP(Q258,[1]对照表!$V$27:$V$48,[1]对照表!$X$27:$X$48)),IF(B258="高一",IF($E258="男",LOOKUP(Q258,[1]对照表!$U$3:$U$24,[1]对照表!$X$3:$X$24),LOOKUP(Q258,[1]对照表!$U$27:$U$48,[1]对照表!$X$27:$X$48)))))</f>
        <v>100</v>
      </c>
      <c r="S258" s="27">
        <f>ROUND(IF(IF($B258="高三",MIN(IF($E258="男",$Q258-3.2,$Q258-3.2),0),IF($B258="高二",MIN(IF($E258="男",$Q258-3.25,$Q258-3.22),0),IF($B258="高一",MIN(IF($E258="男",$Q258-3.3,$Q258-3.24),0))))&lt;-0.6,IF($B258="高三",MIN(IF($E258="男",$Q258-3.2,$Q258-3.2),0),IF($B258="高二",MIN(IF($E258="男",$Q258-3.25,$Q258-3.22),0),IF($B258="高一",MIN(IF($E258="男",$Q258-3.3,$Q258-3.24),0))))+0.4,IF($B258="高三",MIN(IF($E258="男",$Q258-3.2,$Q258-3.2),0),IF($B258="高二",MIN(IF($E258="男",$Q258-3.25,$Q258-3.22),0),IF($B258="高一",MIN(IF($E258="男",$Q258-3.3,$Q258-3.24),0))))),2)</f>
        <v>-0.12</v>
      </c>
      <c r="T258" s="23">
        <f>IF(E258="男",LOOKUP($S258,[1]对照表!$AB$3:$AB$13,[1]对照表!$AC$3:$AC$13),LOOKUP($S258,[1]对照表!$AB$15:$AB$25,[1]对照表!$AC$15:$AC$25))</f>
        <v>3</v>
      </c>
      <c r="U258" s="26">
        <f>R258+T258</f>
        <v>103</v>
      </c>
      <c r="V258" s="26">
        <f>SUM(I258,K258,M258)/3*0.3+SUM(G258,R258)/2*0.4</f>
        <v>63.099999999999994</v>
      </c>
      <c r="W258" s="27">
        <f>O258+T258</f>
        <v>3</v>
      </c>
      <c r="X258" s="28">
        <f>V258/0.7+W258</f>
        <v>93.142857142857139</v>
      </c>
      <c r="Y258" s="28">
        <v>93.142857142857139</v>
      </c>
      <c r="Z258" s="21"/>
    </row>
    <row r="259" spans="1:26" x14ac:dyDescent="0.25">
      <c r="A259" s="16">
        <v>39</v>
      </c>
      <c r="B259" s="17" t="s">
        <v>21</v>
      </c>
      <c r="C259" s="16">
        <v>107</v>
      </c>
      <c r="D259" s="18" t="s">
        <v>168</v>
      </c>
      <c r="E259" s="17" t="s">
        <v>65</v>
      </c>
      <c r="F259" s="40">
        <v>8.35</v>
      </c>
      <c r="G259" s="32">
        <f>IF(B259="高三",IF($E259="男",LOOKUP(F259,[1]对照表!$G$3:$G$24,[1]对照表!$H$3:$H$24),LOOKUP(F259,[1]对照表!$G$27:$G$48,[1]对照表!$H$27:$H$48)),IF(B259="高二",IF($E259="男",LOOKUP(F259,[1]对照表!$F$3:$F$24,[1]对照表!$H$3:$H$24),LOOKUP(F259,[1]对照表!$F$27:$F$48,[1]对照表!$H$27:$H$48)),IF(B259="高一",IF($E259="男",LOOKUP(F259,[1]对照表!$E$3:$E$24,[1]对照表!$H$3:$H$24),LOOKUP(F259,[1]对照表!$E$27:$E$48,[1]对照表!$H$27:$H$48)))))</f>
        <v>80</v>
      </c>
      <c r="H259" s="21">
        <v>17.5</v>
      </c>
      <c r="I259" s="32">
        <f>IF(B259="高三",IF($E259="男",LOOKUP(H259,[1]对照表!$K$3:$K$24,[1]对照表!$L$3:$L$24),LOOKUP(H259,[1]对照表!$K$27:$K$48,[1]对照表!$L$27:$L$48)),IF(B259="高二",IF($E259="男",LOOKUP(H259,[1]对照表!$J$3:$J$24,[1]对照表!$L$3:$L$24),LOOKUP(H259,[1]对照表!$J$27:$J$48,[1]对照表!$L$27:$L$48)),IF(B259="高一",IF($E259="男",LOOKUP(H259,[1]对照表!$I$3:$I$24,[1]对照表!$L$3:$L$24),LOOKUP(H259,[1]对照表!$I$27:$I$48,[1]对照表!$L$27:$L$48)))))</f>
        <v>80</v>
      </c>
      <c r="J259" s="36">
        <v>210</v>
      </c>
      <c r="K259" s="32">
        <f>IF(B259="高三",IF($E259="男",LOOKUP(J259,[1]对照表!$O$3:$O$24,[1]对照表!$P$3:$P$24),LOOKUP(J259,[1]对照表!$O$27:$O$48,[1]对照表!$P$27:$P$48)),IF(B259="高二",IF($E259="男",LOOKUP(J259,[1]对照表!$N$3:$N$24,[1]对照表!$P$3:$P$24),LOOKUP(J259,[1]对照表!$N$27:$N$48,[1]对照表!$P$27:$P$48)),IF(B259="高一",IF($E259="男",LOOKUP(J259,[1]对照表!$M$3:$M$24,[1]对照表!$P$3:$P$24),LOOKUP(J259,[1]对照表!$M$27:$M$48,[1]对照表!$P$27:$P$48)))))</f>
        <v>100</v>
      </c>
      <c r="L259" s="21">
        <v>62</v>
      </c>
      <c r="M259" s="32">
        <f>IF(B259="高三",IF($E259="男",LOOKUP(L259,[1]对照表!$S$3:$S$24,[1]对照表!$T$3:$T$24),LOOKUP(L259,[1]对照表!$S$27:$S$48,[1]对照表!$T$27:$T$48)),IF(B259="高二",IF($E259="男",LOOKUP(L259,[1]对照表!$R$3:$R$24,[1]对照表!$T$3:$T$24),LOOKUP(L259,[1]对照表!$R$27:$R$48,[1]对照表!$T$27:$T$48)),IF(B259="高一",IF($E259="男",LOOKUP(L259,[1]对照表!$Q$3:$Q$24,[1]对照表!$T$3:$T$24),LOOKUP(L259,[1]对照表!$Q$27:$Q$48,[1]对照表!$T$27:$T$48)))))</f>
        <v>100</v>
      </c>
      <c r="N259" s="33">
        <f>IF(B259="高三",MAX(IF(E259="男",L259-18,L259-55),0),IF(B259="高二",MAX(IF(E259="男",L259-17,L259-54),0),IF(B259="高一",MAX(IF(E259="男",L259-16,L259-53),0))))</f>
        <v>9</v>
      </c>
      <c r="O259" s="23">
        <f>IF(E259="男",LOOKUP($N259,[1]对照表!$Z$3:$Z$13,[1]对照表!$AA$3:$AA$13),LOOKUP($N259,[1]对照表!$Z$15:$Z$25,[1]对照表!$AA$15:$AA$25))</f>
        <v>6</v>
      </c>
      <c r="P259" s="24">
        <f>M259+O259</f>
        <v>106</v>
      </c>
      <c r="Q259" s="25">
        <v>3.16</v>
      </c>
      <c r="R259" s="32">
        <f>IF(B259="高三",IF($E259="男",LOOKUP(Q259,[1]对照表!$W$3:$W$24,[1]对照表!$X$3:$X$24),LOOKUP(Q259,[1]对照表!$W$27:$W$48,[1]对照表!$X$27:$X$48)),IF(B259="高二",IF($E259="男",LOOKUP(Q259,[1]对照表!$V$3:$V$24,[1]对照表!$X$3:$X$24),LOOKUP(Q259,[1]对照表!$V$27:$V$48,[1]对照表!$X$27:$X$48)),IF(B259="高一",IF($E259="男",LOOKUP(Q259,[1]对照表!$U$3:$U$24,[1]对照表!$X$3:$X$24),LOOKUP(Q259,[1]对照表!$U$27:$U$48,[1]对照表!$X$27:$X$48)))))</f>
        <v>100</v>
      </c>
      <c r="S259" s="33">
        <f>ROUND(IF(IF($B259="高三",MIN(IF($E259="男",$Q259-3.2,$Q259-3.2),0),IF($B259="高二",MIN(IF($E259="男",$Q259-3.25,$Q259-3.22),0),IF($B259="高一",MIN(IF($E259="男",$Q259-3.3,$Q259-3.24),0))))&lt;-0.6,IF($B259="高三",MIN(IF($E259="男",$Q259-3.2,$Q259-3.2),0),IF($B259="高二",MIN(IF($E259="男",$Q259-3.25,$Q259-3.22),0),IF($B259="高一",MIN(IF($E259="男",$Q259-3.3,$Q259-3.24),0))))+0.4,IF($B259="高三",MIN(IF($E259="男",$Q259-3.2,$Q259-3.2),0),IF($B259="高二",MIN(IF($E259="男",$Q259-3.25,$Q259-3.22),0),IF($B259="高一",MIN(IF($E259="男",$Q259-3.3,$Q259-3.24),0))))),2)</f>
        <v>-0.08</v>
      </c>
      <c r="T259" s="23">
        <f>IF(E259="男",LOOKUP($S259,[1]对照表!$AB$3:$AB$13,[1]对照表!$AC$3:$AC$13),LOOKUP($S259,[1]对照表!$AB$15:$AB$25,[1]对照表!$AC$15:$AC$25))</f>
        <v>1</v>
      </c>
      <c r="U259" s="26">
        <f>R259+T259</f>
        <v>101</v>
      </c>
      <c r="V259" s="26">
        <f>SUM(I259,K259,M259)/3*0.3+SUM(G259,R259)/2*0.4</f>
        <v>64</v>
      </c>
      <c r="W259" s="27">
        <f>O259+T259</f>
        <v>7</v>
      </c>
      <c r="X259" s="28">
        <f>V259/0.7+W259</f>
        <v>98.428571428571431</v>
      </c>
      <c r="Y259" s="28">
        <v>98.428571428571431</v>
      </c>
      <c r="Z259" s="21"/>
    </row>
    <row r="260" spans="1:26" x14ac:dyDescent="0.25">
      <c r="A260" s="16">
        <v>33</v>
      </c>
      <c r="B260" s="17" t="s">
        <v>21</v>
      </c>
      <c r="C260" s="16">
        <v>107</v>
      </c>
      <c r="D260" s="18" t="s">
        <v>170</v>
      </c>
      <c r="E260" s="16" t="s">
        <v>23</v>
      </c>
      <c r="F260" s="19">
        <v>6.7</v>
      </c>
      <c r="G260" s="32">
        <f>IF(B260="高三",IF($E260="男",LOOKUP(F260,[1]对照表!$G$3:$G$24,[1]对照表!$H$3:$H$24),LOOKUP(F260,[1]对照表!$G$27:$G$48,[1]对照表!$H$27:$H$48)),IF(B260="高二",IF($E260="男",LOOKUP(F260,[1]对照表!$F$3:$F$24,[1]对照表!$H$3:$H$24),LOOKUP(F260,[1]对照表!$F$27:$F$48,[1]对照表!$H$27:$H$48)),IF(B260="高一",IF($E260="男",LOOKUP(F260,[1]对照表!$E$3:$E$24,[1]对照表!$H$3:$H$24),LOOKUP(F260,[1]对照表!$E$27:$E$48,[1]对照表!$H$27:$H$48)))))</f>
        <v>100</v>
      </c>
      <c r="H260" s="21">
        <v>12.8</v>
      </c>
      <c r="I260" s="32">
        <f>IF(B260="高三",IF($E260="男",LOOKUP(H260,[1]对照表!$K$3:$K$24,[1]对照表!$L$3:$L$24),LOOKUP(H260,[1]对照表!$K$27:$K$48,[1]对照表!$L$27:$L$48)),IF(B260="高二",IF($E260="男",LOOKUP(H260,[1]对照表!$J$3:$J$24,[1]对照表!$L$3:$L$24),LOOKUP(H260,[1]对照表!$J$27:$J$48,[1]对照表!$L$27:$L$48)),IF(B260="高一",IF($E260="男",LOOKUP(H260,[1]对照表!$I$3:$I$24,[1]对照表!$L$3:$L$24),LOOKUP(H260,[1]对照表!$I$27:$I$48,[1]对照表!$L$27:$L$48)))))</f>
        <v>76</v>
      </c>
      <c r="J260" s="21">
        <v>250</v>
      </c>
      <c r="K260" s="32">
        <f>IF(B260="高三",IF($E260="男",LOOKUP(J260,[1]对照表!$O$3:$O$24,[1]对照表!$P$3:$P$24),LOOKUP(J260,[1]对照表!$O$27:$O$48,[1]对照表!$P$27:$P$48)),IF(B260="高二",IF($E260="男",LOOKUP(J260,[1]对照表!$N$3:$N$24,[1]对照表!$P$3:$P$24),LOOKUP(J260,[1]对照表!$N$27:$N$48,[1]对照表!$P$27:$P$48)),IF(B260="高一",IF($E260="男",LOOKUP(J260,[1]对照表!$M$3:$M$24,[1]对照表!$P$3:$P$24),LOOKUP(J260,[1]对照表!$M$27:$M$48,[1]对照表!$P$27:$P$48)))))</f>
        <v>90</v>
      </c>
      <c r="L260" s="21">
        <v>17</v>
      </c>
      <c r="M260" s="32">
        <f>IF(B260="高三",IF($E260="男",LOOKUP(L260,[1]对照表!$S$3:$S$24,[1]对照表!$T$3:$T$24),LOOKUP(L260,[1]对照表!$S$27:$S$48,[1]对照表!$T$27:$T$48)),IF(B260="高二",IF($E260="男",LOOKUP(L260,[1]对照表!$R$3:$R$24,[1]对照表!$T$3:$T$24),LOOKUP(L260,[1]对照表!$R$27:$R$48,[1]对照表!$T$27:$T$48)),IF(B260="高一",IF($E260="男",LOOKUP(L260,[1]对照表!$Q$3:$Q$24,[1]对照表!$T$3:$T$24),LOOKUP(L260,[1]对照表!$Q$27:$Q$48,[1]对照表!$T$27:$T$48)))))</f>
        <v>100</v>
      </c>
      <c r="N260" s="33">
        <f>IF(B260="高三",MAX(IF(E260="男",L260-18,L260-55),0),IF(B260="高二",MAX(IF(E260="男",L260-17,L260-54),0),IF(B260="高一",MAX(IF(E260="男",L260-16,L260-53),0))))</f>
        <v>1</v>
      </c>
      <c r="O260" s="23">
        <f>IF(E260="男",LOOKUP($N260,[1]对照表!$Z$3:$Z$13,[1]对照表!$AA$3:$AA$13),LOOKUP($N260,[1]对照表!$Z$15:$Z$25,[1]对照表!$AA$15:$AA$25))</f>
        <v>1</v>
      </c>
      <c r="P260" s="24">
        <f>M260+O260</f>
        <v>101</v>
      </c>
      <c r="Q260" s="25">
        <v>3.45</v>
      </c>
      <c r="R260" s="32">
        <f>IF(B260="高三",IF($E260="男",LOOKUP(Q260,[1]对照表!$W$3:$W$24,[1]对照表!$X$3:$X$24),LOOKUP(Q260,[1]对照表!$W$27:$W$48,[1]对照表!$X$27:$X$48)),IF(B260="高二",IF($E260="男",LOOKUP(Q260,[1]对照表!$V$3:$V$24,[1]对照表!$X$3:$X$24),LOOKUP(Q260,[1]对照表!$V$27:$V$48,[1]对照表!$X$27:$X$48)),IF(B260="高一",IF($E260="男",LOOKUP(Q260,[1]对照表!$U$3:$U$24,[1]对照表!$X$3:$X$24),LOOKUP(Q260,[1]对照表!$U$27:$U$48,[1]对照表!$X$27:$X$48)))))</f>
        <v>85</v>
      </c>
      <c r="S260" s="33">
        <f>ROUND(IF(IF($B260="高三",MIN(IF($E260="男",$Q260-3.2,$Q260-3.2),0),IF($B260="高二",MIN(IF($E260="男",$Q260-3.25,$Q260-3.22),0),IF($B260="高一",MIN(IF($E260="男",$Q260-3.3,$Q260-3.24),0))))&lt;-0.6,IF($B260="高三",MIN(IF($E260="男",$Q260-3.2,$Q260-3.2),0),IF($B260="高二",MIN(IF($E260="男",$Q260-3.25,$Q260-3.22),0),IF($B260="高一",MIN(IF($E260="男",$Q260-3.3,$Q260-3.24),0))))+0.4,IF($B260="高三",MIN(IF($E260="男",$Q260-3.2,$Q260-3.2),0),IF($B260="高二",MIN(IF($E260="男",$Q260-3.25,$Q260-3.22),0),IF($B260="高一",MIN(IF($E260="男",$Q260-3.3,$Q260-3.24),0))))),2)</f>
        <v>0</v>
      </c>
      <c r="T260" s="23">
        <f>IF(E260="男",LOOKUP($S260,[1]对照表!$AB$3:$AB$13,[1]对照表!$AC$3:$AC$13),LOOKUP($S260,[1]对照表!$AB$15:$AB$25,[1]对照表!$AC$15:$AC$25))</f>
        <v>0</v>
      </c>
      <c r="U260" s="26">
        <f>R260+T260</f>
        <v>85</v>
      </c>
      <c r="V260" s="26">
        <f>SUM(I260,K260,M260)/3*0.3+SUM(G260,R260)/2*0.4</f>
        <v>63.6</v>
      </c>
      <c r="W260" s="27">
        <f>O260+T260</f>
        <v>1</v>
      </c>
      <c r="X260" s="28">
        <f>V260/0.7+W260</f>
        <v>91.857142857142861</v>
      </c>
      <c r="Y260" s="28">
        <v>91.857142857142861</v>
      </c>
      <c r="Z260" s="21"/>
    </row>
    <row r="261" spans="1:26" x14ac:dyDescent="0.25">
      <c r="A261" s="16">
        <v>34</v>
      </c>
      <c r="B261" s="17" t="s">
        <v>21</v>
      </c>
      <c r="C261" s="16">
        <v>107</v>
      </c>
      <c r="D261" s="18" t="s">
        <v>233</v>
      </c>
      <c r="E261" s="16" t="s">
        <v>23</v>
      </c>
      <c r="F261" s="19">
        <v>7.2</v>
      </c>
      <c r="G261" s="32">
        <f>IF(B261="高三",IF($E261="男",LOOKUP(F261,[1]对照表!$G$3:$G$24,[1]对照表!$H$3:$H$24),LOOKUP(F261,[1]对照表!$G$27:$G$48,[1]对照表!$H$27:$H$48)),IF(B261="高二",IF($E261="男",LOOKUP(F261,[1]对照表!$F$3:$F$24,[1]对照表!$H$3:$H$24),LOOKUP(F261,[1]对照表!$F$27:$F$48,[1]对照表!$H$27:$H$48)),IF(B261="高一",IF($E261="男",LOOKUP(F261,[1]对照表!$E$3:$E$24,[1]对照表!$H$3:$H$24),LOOKUP(F261,[1]对照表!$E$27:$E$48,[1]对照表!$H$27:$H$48)))))</f>
        <v>95</v>
      </c>
      <c r="H261" s="21">
        <v>7.2</v>
      </c>
      <c r="I261" s="32">
        <f>IF(B261="高三",IF($E261="男",LOOKUP(H261,[1]对照表!$K$3:$K$24,[1]对照表!$L$3:$L$24),LOOKUP(H261,[1]对照表!$K$27:$K$48,[1]对照表!$L$27:$L$48)),IF(B261="高二",IF($E261="男",LOOKUP(H261,[1]对照表!$J$3:$J$24,[1]对照表!$L$3:$L$24),LOOKUP(H261,[1]对照表!$J$27:$J$48,[1]对照表!$L$27:$L$48)),IF(B261="高一",IF($E261="男",LOOKUP(H261,[1]对照表!$I$3:$I$24,[1]对照表!$L$3:$L$24),LOOKUP(H261,[1]对照表!$I$27:$I$48,[1]对照表!$L$27:$L$48)))))</f>
        <v>68</v>
      </c>
      <c r="J261" s="21">
        <v>242</v>
      </c>
      <c r="K261" s="32">
        <f>IF(B261="高三",IF($E261="男",LOOKUP(J261,[1]对照表!$O$3:$O$24,[1]对照表!$P$3:$P$24),LOOKUP(J261,[1]对照表!$O$27:$O$48,[1]对照表!$P$27:$P$48)),IF(B261="高二",IF($E261="男",LOOKUP(J261,[1]对照表!$N$3:$N$24,[1]对照表!$P$3:$P$24),LOOKUP(J261,[1]对照表!$N$27:$N$48,[1]对照表!$P$27:$P$48)),IF(B261="高一",IF($E261="男",LOOKUP(J261,[1]对照表!$M$3:$M$24,[1]对照表!$P$3:$P$24),LOOKUP(J261,[1]对照表!$M$27:$M$48,[1]对照表!$P$27:$P$48)))))</f>
        <v>80</v>
      </c>
      <c r="L261" s="21">
        <v>16</v>
      </c>
      <c r="M261" s="32">
        <f>IF(B261="高三",IF($E261="男",LOOKUP(L261,[1]对照表!$S$3:$S$24,[1]对照表!$T$3:$T$24),LOOKUP(L261,[1]对照表!$S$27:$S$48,[1]对照表!$T$27:$T$48)),IF(B261="高二",IF($E261="男",LOOKUP(L261,[1]对照表!$R$3:$R$24,[1]对照表!$T$3:$T$24),LOOKUP(L261,[1]对照表!$R$27:$R$48,[1]对照表!$T$27:$T$48)),IF(B261="高一",IF($E261="男",LOOKUP(L261,[1]对照表!$Q$3:$Q$24,[1]对照表!$T$3:$T$24),LOOKUP(L261,[1]对照表!$Q$27:$Q$48,[1]对照表!$T$27:$T$48)))))</f>
        <v>100</v>
      </c>
      <c r="N261" s="33">
        <f>IF(B261="高三",MAX(IF(E261="男",L261-18,L261-55),0),IF(B261="高二",MAX(IF(E261="男",L261-17,L261-54),0),IF(B261="高一",MAX(IF(E261="男",L261-16,L261-53),0))))</f>
        <v>0</v>
      </c>
      <c r="O261" s="23">
        <f>IF(E261="男",LOOKUP($N261,[1]对照表!$Z$3:$Z$13,[1]对照表!$AA$3:$AA$13),LOOKUP($N261,[1]对照表!$Z$15:$Z$25,[1]对照表!$AA$15:$AA$25))</f>
        <v>0</v>
      </c>
      <c r="P261" s="24">
        <f>M261+O261</f>
        <v>100</v>
      </c>
      <c r="Q261" s="25">
        <v>3.44</v>
      </c>
      <c r="R261" s="32">
        <f>IF(B261="高三",IF($E261="男",LOOKUP(Q261,[1]对照表!$W$3:$W$24,[1]对照表!$X$3:$X$24),LOOKUP(Q261,[1]对照表!$W$27:$W$48,[1]对照表!$X$27:$X$48)),IF(B261="高二",IF($E261="男",LOOKUP(Q261,[1]对照表!$V$3:$V$24,[1]对照表!$X$3:$X$24),LOOKUP(Q261,[1]对照表!$V$27:$V$48,[1]对照表!$X$27:$X$48)),IF(B261="高一",IF($E261="男",LOOKUP(Q261,[1]对照表!$U$3:$U$24,[1]对照表!$X$3:$X$24),LOOKUP(Q261,[1]对照表!$U$27:$U$48,[1]对照表!$X$27:$X$48)))))</f>
        <v>85</v>
      </c>
      <c r="S261" s="33">
        <f>ROUND(IF(IF($B261="高三",MIN(IF($E261="男",$Q261-3.2,$Q261-3.2),0),IF($B261="高二",MIN(IF($E261="男",$Q261-3.25,$Q261-3.22),0),IF($B261="高一",MIN(IF($E261="男",$Q261-3.3,$Q261-3.24),0))))&lt;-0.6,IF($B261="高三",MIN(IF($E261="男",$Q261-3.2,$Q261-3.2),0),IF($B261="高二",MIN(IF($E261="男",$Q261-3.25,$Q261-3.22),0),IF($B261="高一",MIN(IF($E261="男",$Q261-3.3,$Q261-3.24),0))))+0.4,IF($B261="高三",MIN(IF($E261="男",$Q261-3.2,$Q261-3.2),0),IF($B261="高二",MIN(IF($E261="男",$Q261-3.25,$Q261-3.22),0),IF($B261="高一",MIN(IF($E261="男",$Q261-3.3,$Q261-3.24),0))))),2)</f>
        <v>0</v>
      </c>
      <c r="T261" s="23">
        <f>IF(E261="男",LOOKUP($S261,[1]对照表!$AB$3:$AB$13,[1]对照表!$AC$3:$AC$13),LOOKUP($S261,[1]对照表!$AB$15:$AB$25,[1]对照表!$AC$15:$AC$25))</f>
        <v>0</v>
      </c>
      <c r="U261" s="26">
        <f>R261+T261</f>
        <v>85</v>
      </c>
      <c r="V261" s="26">
        <f>SUM(I261,K261,M261)/3*0.3+SUM(G261,R261)/2*0.4</f>
        <v>60.8</v>
      </c>
      <c r="W261" s="27">
        <f>O261+T261</f>
        <v>0</v>
      </c>
      <c r="X261" s="28">
        <f>V261/0.7+W261</f>
        <v>86.857142857142861</v>
      </c>
      <c r="Y261" s="28">
        <v>86.857142857142861</v>
      </c>
      <c r="Z261" s="21"/>
    </row>
    <row r="262" spans="1:26" x14ac:dyDescent="0.25">
      <c r="A262" s="16">
        <v>23</v>
      </c>
      <c r="B262" s="17" t="s">
        <v>21</v>
      </c>
      <c r="C262" s="16">
        <v>107</v>
      </c>
      <c r="D262" s="18" t="s">
        <v>281</v>
      </c>
      <c r="E262" s="16" t="s">
        <v>23</v>
      </c>
      <c r="F262" s="19">
        <v>6.6</v>
      </c>
      <c r="G262" s="32">
        <f>IF(B262="高三",IF($E262="男",LOOKUP(F262,[1]对照表!$G$3:$G$24,[1]对照表!$H$3:$H$24),LOOKUP(F262,[1]对照表!$G$27:$G$48,[1]对照表!$H$27:$H$48)),IF(B262="高二",IF($E262="男",LOOKUP(F262,[1]对照表!$F$3:$F$24,[1]对照表!$H$3:$H$24),LOOKUP(F262,[1]对照表!$F$27:$F$48,[1]对照表!$H$27:$H$48)),IF(B262="高一",IF($E262="男",LOOKUP(F262,[1]对照表!$E$3:$E$24,[1]对照表!$H$3:$H$24),LOOKUP(F262,[1]对照表!$E$27:$E$48,[1]对照表!$H$27:$H$48)))))</f>
        <v>100</v>
      </c>
      <c r="H262" s="21">
        <v>8</v>
      </c>
      <c r="I262" s="32">
        <f>IF(B262="高三",IF($E262="男",LOOKUP(H262,[1]对照表!$K$3:$K$24,[1]对照表!$L$3:$L$24),LOOKUP(H262,[1]对照表!$K$27:$K$48,[1]对照表!$L$27:$L$48)),IF(B262="高二",IF($E262="男",LOOKUP(H262,[1]对照表!$J$3:$J$24,[1]对照表!$L$3:$L$24),LOOKUP(H262,[1]对照表!$J$27:$J$48,[1]对照表!$L$27:$L$48)),IF(B262="高一",IF($E262="男",LOOKUP(H262,[1]对照表!$I$3:$I$24,[1]对照表!$L$3:$L$24),LOOKUP(H262,[1]对照表!$I$27:$I$48,[1]对照表!$L$27:$L$48)))))</f>
        <v>70</v>
      </c>
      <c r="J262" s="21">
        <v>250</v>
      </c>
      <c r="K262" s="32">
        <f>IF(B262="高三",IF($E262="男",LOOKUP(J262,[1]对照表!$O$3:$O$24,[1]对照表!$P$3:$P$24),LOOKUP(J262,[1]对照表!$O$27:$O$48,[1]对照表!$P$27:$P$48)),IF(B262="高二",IF($E262="男",LOOKUP(J262,[1]对照表!$N$3:$N$24,[1]对照表!$P$3:$P$24),LOOKUP(J262,[1]对照表!$N$27:$N$48,[1]对照表!$P$27:$P$48)),IF(B262="高一",IF($E262="男",LOOKUP(J262,[1]对照表!$M$3:$M$24,[1]对照表!$P$3:$P$24),LOOKUP(J262,[1]对照表!$M$27:$M$48,[1]对照表!$P$27:$P$48)))))</f>
        <v>90</v>
      </c>
      <c r="L262" s="21">
        <v>10</v>
      </c>
      <c r="M262" s="32">
        <f>IF(B262="高三",IF($E262="男",LOOKUP(L262,[1]对照表!$S$3:$S$24,[1]对照表!$T$3:$T$24),LOOKUP(L262,[1]对照表!$S$27:$S$48,[1]对照表!$T$27:$T$48)),IF(B262="高二",IF($E262="男",LOOKUP(L262,[1]对照表!$R$3:$R$24,[1]对照表!$T$3:$T$24),LOOKUP(L262,[1]对照表!$R$27:$R$48,[1]对照表!$T$27:$T$48)),IF(B262="高一",IF($E262="男",LOOKUP(L262,[1]对照表!$Q$3:$Q$24,[1]对照表!$T$3:$T$24),LOOKUP(L262,[1]对照表!$Q$27:$Q$48,[1]对照表!$T$27:$T$48)))))</f>
        <v>72</v>
      </c>
      <c r="N262" s="33">
        <f>IF(B262="高三",MAX(IF(E262="男",L262-18,L262-55),0),IF(B262="高二",MAX(IF(E262="男",L262-17,L262-54),0),IF(B262="高一",MAX(IF(E262="男",L262-16,L262-53),0))))</f>
        <v>0</v>
      </c>
      <c r="O262" s="23">
        <f>IF(E262="男",LOOKUP($N262,[1]对照表!$Z$3:$Z$13,[1]对照表!$AA$3:$AA$13),LOOKUP($N262,[1]对照表!$Z$15:$Z$25,[1]对照表!$AA$15:$AA$25))</f>
        <v>0</v>
      </c>
      <c r="P262" s="24">
        <f>M262+O262</f>
        <v>72</v>
      </c>
      <c r="Q262" s="25">
        <v>3.41</v>
      </c>
      <c r="R262" s="32">
        <f>IF(B262="高三",IF($E262="男",LOOKUP(Q262,[1]对照表!$W$3:$W$24,[1]对照表!$X$3:$X$24),LOOKUP(Q262,[1]对照表!$W$27:$W$48,[1]对照表!$X$27:$X$48)),IF(B262="高二",IF($E262="男",LOOKUP(Q262,[1]对照表!$V$3:$V$24,[1]对照表!$X$3:$X$24),LOOKUP(Q262,[1]对照表!$V$27:$V$48,[1]对照表!$X$27:$X$48)),IF(B262="高一",IF($E262="男",LOOKUP(Q262,[1]对照表!$U$3:$U$24,[1]对照表!$X$3:$X$24),LOOKUP(Q262,[1]对照表!$U$27:$U$48,[1]对照表!$X$27:$X$48)))))</f>
        <v>85</v>
      </c>
      <c r="S262" s="33">
        <f>ROUND(IF(IF($B262="高三",MIN(IF($E262="男",$Q262-3.2,$Q262-3.2),0),IF($B262="高二",MIN(IF($E262="男",$Q262-3.25,$Q262-3.22),0),IF($B262="高一",MIN(IF($E262="男",$Q262-3.3,$Q262-3.24),0))))&lt;-0.6,IF($B262="高三",MIN(IF($E262="男",$Q262-3.2,$Q262-3.2),0),IF($B262="高二",MIN(IF($E262="男",$Q262-3.25,$Q262-3.22),0),IF($B262="高一",MIN(IF($E262="男",$Q262-3.3,$Q262-3.24),0))))+0.4,IF($B262="高三",MIN(IF($E262="男",$Q262-3.2,$Q262-3.2),0),IF($B262="高二",MIN(IF($E262="男",$Q262-3.25,$Q262-3.22),0),IF($B262="高一",MIN(IF($E262="男",$Q262-3.3,$Q262-3.24),0))))),2)</f>
        <v>0</v>
      </c>
      <c r="T262" s="23">
        <f>IF(E262="男",LOOKUP($S262,[1]对照表!$AB$3:$AB$13,[1]对照表!$AC$3:$AC$13),LOOKUP($S262,[1]对照表!$AB$15:$AB$25,[1]对照表!$AC$15:$AC$25))</f>
        <v>0</v>
      </c>
      <c r="U262" s="26">
        <f>R262+T262</f>
        <v>85</v>
      </c>
      <c r="V262" s="26">
        <f>SUM(I262,K262,M262)/3*0.3+SUM(G262,R262)/2*0.4</f>
        <v>60.2</v>
      </c>
      <c r="W262" s="27">
        <f>O262+T262</f>
        <v>0</v>
      </c>
      <c r="X262" s="28">
        <f>V262/0.7+W262</f>
        <v>86.000000000000014</v>
      </c>
      <c r="Y262" s="28">
        <v>86.000000000000014</v>
      </c>
      <c r="Z262" s="21"/>
    </row>
    <row r="263" spans="1:26" x14ac:dyDescent="0.25">
      <c r="A263" s="16">
        <v>13</v>
      </c>
      <c r="B263" s="17" t="s">
        <v>21</v>
      </c>
      <c r="C263" s="16">
        <v>107</v>
      </c>
      <c r="D263" s="18" t="s">
        <v>286</v>
      </c>
      <c r="E263" s="16" t="s">
        <v>23</v>
      </c>
      <c r="F263" s="19">
        <v>7.2</v>
      </c>
      <c r="G263" s="32">
        <f>IF(B263="高三",IF($E263="男",LOOKUP(F263,[1]对照表!$G$3:$G$24,[1]对照表!$H$3:$H$24),LOOKUP(F263,[1]对照表!$G$27:$G$48,[1]对照表!$H$27:$H$48)),IF(B263="高二",IF($E263="男",LOOKUP(F263,[1]对照表!$F$3:$F$24,[1]对照表!$H$3:$H$24),LOOKUP(F263,[1]对照表!$F$27:$F$48,[1]对照表!$H$27:$H$48)),IF(B263="高一",IF($E263="男",LOOKUP(F263,[1]对照表!$E$3:$E$24,[1]对照表!$H$3:$H$24),LOOKUP(F263,[1]对照表!$E$27:$E$48,[1]对照表!$H$27:$H$48)))))</f>
        <v>95</v>
      </c>
      <c r="H263" s="21">
        <v>18.100000000000001</v>
      </c>
      <c r="I263" s="32">
        <f>IF(B263="高三",IF($E263="男",LOOKUP(H263,[1]对照表!$K$3:$K$24,[1]对照表!$L$3:$L$24),LOOKUP(H263,[1]对照表!$K$27:$K$48,[1]对照表!$L$27:$L$48)),IF(B263="高二",IF($E263="男",LOOKUP(H263,[1]对照表!$J$3:$J$24,[1]对照表!$L$3:$L$24),LOOKUP(H263,[1]对照表!$J$27:$J$48,[1]对照表!$L$27:$L$48)),IF(B263="高一",IF($E263="男",LOOKUP(H263,[1]对照表!$I$3:$I$24,[1]对照表!$L$3:$L$24),LOOKUP(H263,[1]对照表!$I$27:$I$48,[1]对照表!$L$27:$L$48)))))</f>
        <v>85</v>
      </c>
      <c r="J263" s="21">
        <v>266</v>
      </c>
      <c r="K263" s="32">
        <f>IF(B263="高三",IF($E263="男",LOOKUP(J263,[1]对照表!$O$3:$O$24,[1]对照表!$P$3:$P$24),LOOKUP(J263,[1]对照表!$O$27:$O$48,[1]对照表!$P$27:$P$48)),IF(B263="高二",IF($E263="男",LOOKUP(J263,[1]对照表!$N$3:$N$24,[1]对照表!$P$3:$P$24),LOOKUP(J263,[1]对照表!$N$27:$N$48,[1]对照表!$P$27:$P$48)),IF(B263="高一",IF($E263="男",LOOKUP(J263,[1]对照表!$M$3:$M$24,[1]对照表!$P$3:$P$24),LOOKUP(J263,[1]对照表!$M$27:$M$48,[1]对照表!$P$27:$P$48)))))</f>
        <v>100</v>
      </c>
      <c r="L263" s="21">
        <v>8</v>
      </c>
      <c r="M263" s="32">
        <f>IF(B263="高三",IF($E263="男",LOOKUP(L263,[1]对照表!$S$3:$S$24,[1]对照表!$T$3:$T$24),LOOKUP(L263,[1]对照表!$S$27:$S$48,[1]对照表!$T$27:$T$48)),IF(B263="高二",IF($E263="男",LOOKUP(L263,[1]对照表!$R$3:$R$24,[1]对照表!$T$3:$T$24),LOOKUP(L263,[1]对照表!$R$27:$R$48,[1]对照表!$T$27:$T$48)),IF(B263="高一",IF($E263="男",LOOKUP(L263,[1]对照表!$Q$3:$Q$24,[1]对照表!$T$3:$T$24),LOOKUP(L263,[1]对照表!$Q$27:$Q$48,[1]对照表!$T$27:$T$48)))))</f>
        <v>64</v>
      </c>
      <c r="N263" s="33">
        <f>IF(B263="高三",MAX(IF(E263="男",L263-18,L263-55),0),IF(B263="高二",MAX(IF(E263="男",L263-17,L263-54),0),IF(B263="高一",MAX(IF(E263="男",L263-16,L263-53),0))))</f>
        <v>0</v>
      </c>
      <c r="O263" s="23">
        <f>IF(E263="男",LOOKUP($N263,[1]对照表!$Z$3:$Z$13,[1]对照表!$AA$3:$AA$13),LOOKUP($N263,[1]对照表!$Z$15:$Z$25,[1]对照表!$AA$15:$AA$25))</f>
        <v>0</v>
      </c>
      <c r="P263" s="24">
        <f>M263+O263</f>
        <v>64</v>
      </c>
      <c r="Q263" s="25">
        <v>3.48</v>
      </c>
      <c r="R263" s="32">
        <f>IF(B263="高三",IF($E263="男",LOOKUP(Q263,[1]对照表!$W$3:$W$24,[1]对照表!$X$3:$X$24),LOOKUP(Q263,[1]对照表!$W$27:$W$48,[1]对照表!$X$27:$X$48)),IF(B263="高二",IF($E263="男",LOOKUP(Q263,[1]对照表!$V$3:$V$24,[1]对照表!$X$3:$X$24),LOOKUP(Q263,[1]对照表!$V$27:$V$48,[1]对照表!$X$27:$X$48)),IF(B263="高一",IF($E263="男",LOOKUP(Q263,[1]对照表!$U$3:$U$24,[1]对照表!$X$3:$X$24),LOOKUP(Q263,[1]对照表!$U$27:$U$48,[1]对照表!$X$27:$X$48)))))</f>
        <v>80</v>
      </c>
      <c r="S263" s="33">
        <f>ROUND(IF(IF($B263="高三",MIN(IF($E263="男",$Q263-3.2,$Q263-3.2),0),IF($B263="高二",MIN(IF($E263="男",$Q263-3.25,$Q263-3.22),0),IF($B263="高一",MIN(IF($E263="男",$Q263-3.3,$Q263-3.24),0))))&lt;-0.6,IF($B263="高三",MIN(IF($E263="男",$Q263-3.2,$Q263-3.2),0),IF($B263="高二",MIN(IF($E263="男",$Q263-3.25,$Q263-3.22),0),IF($B263="高一",MIN(IF($E263="男",$Q263-3.3,$Q263-3.24),0))))+0.4,IF($B263="高三",MIN(IF($E263="男",$Q263-3.2,$Q263-3.2),0),IF($B263="高二",MIN(IF($E263="男",$Q263-3.25,$Q263-3.22),0),IF($B263="高一",MIN(IF($E263="男",$Q263-3.3,$Q263-3.24),0))))),2)</f>
        <v>0</v>
      </c>
      <c r="T263" s="23">
        <f>IF(E263="男",LOOKUP($S263,[1]对照表!$AB$3:$AB$13,[1]对照表!$AC$3:$AC$13),LOOKUP($S263,[1]对照表!$AB$15:$AB$25,[1]对照表!$AC$15:$AC$25))</f>
        <v>0</v>
      </c>
      <c r="U263" s="26">
        <f>R263+T263</f>
        <v>80</v>
      </c>
      <c r="V263" s="26">
        <f>SUM(I263,K263,M263)/3*0.3+SUM(G263,R263)/2*0.4</f>
        <v>59.9</v>
      </c>
      <c r="W263" s="27">
        <f>O263+T263</f>
        <v>0</v>
      </c>
      <c r="X263" s="28">
        <f>V263/0.7+W263</f>
        <v>85.571428571428569</v>
      </c>
      <c r="Y263" s="28">
        <v>85.571428571428569</v>
      </c>
      <c r="Z263" s="21"/>
    </row>
    <row r="264" spans="1:26" x14ac:dyDescent="0.25">
      <c r="A264" s="16">
        <v>22</v>
      </c>
      <c r="B264" s="17" t="s">
        <v>21</v>
      </c>
      <c r="C264" s="16">
        <v>107</v>
      </c>
      <c r="D264" s="18" t="s">
        <v>316</v>
      </c>
      <c r="E264" s="16" t="s">
        <v>23</v>
      </c>
      <c r="F264" s="19">
        <v>7.4</v>
      </c>
      <c r="G264" s="32">
        <f>IF(B264="高三",IF($E264="男",LOOKUP(F264,[1]对照表!$G$3:$G$24,[1]对照表!$H$3:$H$24),LOOKUP(F264,[1]对照表!$G$27:$G$48,[1]对照表!$H$27:$H$48)),IF(B264="高二",IF($E264="男",LOOKUP(F264,[1]对照表!$F$3:$F$24,[1]对照表!$H$3:$H$24),LOOKUP(F264,[1]对照表!$F$27:$F$48,[1]对照表!$H$27:$H$48)),IF(B264="高一",IF($E264="男",LOOKUP(F264,[1]对照表!$E$3:$E$24,[1]对照表!$H$3:$H$24),LOOKUP(F264,[1]对照表!$E$27:$E$48,[1]对照表!$H$27:$H$48)))))</f>
        <v>85</v>
      </c>
      <c r="H264" s="21">
        <v>23</v>
      </c>
      <c r="I264" s="32">
        <f>IF(B264="高三",IF($E264="男",LOOKUP(H264,[1]对照表!$K$3:$K$24,[1]对照表!$L$3:$L$24),LOOKUP(H264,[1]对照表!$K$27:$K$48,[1]对照表!$L$27:$L$48)),IF(B264="高二",IF($E264="男",LOOKUP(H264,[1]对照表!$J$3:$J$24,[1]对照表!$L$3:$L$24),LOOKUP(H264,[1]对照表!$J$27:$J$48,[1]对照表!$L$27:$L$48)),IF(B264="高一",IF($E264="男",LOOKUP(H264,[1]对照表!$I$3:$I$24,[1]对照表!$L$3:$L$24),LOOKUP(H264,[1]对照表!$I$27:$I$48,[1]对照表!$L$27:$L$48)))))</f>
        <v>95</v>
      </c>
      <c r="J264" s="21">
        <v>220</v>
      </c>
      <c r="K264" s="32">
        <f>IF(B264="高三",IF($E264="男",LOOKUP(J264,[1]对照表!$O$3:$O$24,[1]对照表!$P$3:$P$24),LOOKUP(J264,[1]对照表!$O$27:$O$48,[1]对照表!$P$27:$P$48)),IF(B264="高二",IF($E264="男",LOOKUP(J264,[1]对照表!$N$3:$N$24,[1]对照表!$P$3:$P$24),LOOKUP(J264,[1]对照表!$N$27:$N$48,[1]对照表!$P$27:$P$48)),IF(B264="高一",IF($E264="男",LOOKUP(J264,[1]对照表!$M$3:$M$24,[1]对照表!$P$3:$P$24),LOOKUP(J264,[1]对照表!$M$27:$M$48,[1]对照表!$P$27:$P$48)))))</f>
        <v>72</v>
      </c>
      <c r="L264" s="21">
        <v>11</v>
      </c>
      <c r="M264" s="32">
        <f>IF(B264="高三",IF($E264="男",LOOKUP(L264,[1]对照表!$S$3:$S$24,[1]对照表!$T$3:$T$24),LOOKUP(L264,[1]对照表!$S$27:$S$48,[1]对照表!$T$27:$T$48)),IF(B264="高二",IF($E264="男",LOOKUP(L264,[1]对照表!$R$3:$R$24,[1]对照表!$T$3:$T$24),LOOKUP(L264,[1]对照表!$R$27:$R$48,[1]对照表!$T$27:$T$48)),IF(B264="高一",IF($E264="男",LOOKUP(L264,[1]对照表!$Q$3:$Q$24,[1]对照表!$T$3:$T$24),LOOKUP(L264,[1]对照表!$Q$27:$Q$48,[1]对照表!$T$27:$T$48)))))</f>
        <v>76</v>
      </c>
      <c r="N264" s="33">
        <f>IF(B264="高三",MAX(IF(E264="男",L264-18,L264-55),0),IF(B264="高二",MAX(IF(E264="男",L264-17,L264-54),0),IF(B264="高一",MAX(IF(E264="男",L264-16,L264-53),0))))</f>
        <v>0</v>
      </c>
      <c r="O264" s="23">
        <f>IF(E264="男",LOOKUP($N264,[1]对照表!$Z$3:$Z$13,[1]对照表!$AA$3:$AA$13),LOOKUP($N264,[1]对照表!$Z$15:$Z$25,[1]对照表!$AA$15:$AA$25))</f>
        <v>0</v>
      </c>
      <c r="P264" s="24">
        <f>M264+O264</f>
        <v>76</v>
      </c>
      <c r="Q264" s="25">
        <v>3.43</v>
      </c>
      <c r="R264" s="32">
        <f>IF(B264="高三",IF($E264="男",LOOKUP(Q264,[1]对照表!$W$3:$W$24,[1]对照表!$X$3:$X$24),LOOKUP(Q264,[1]对照表!$W$27:$W$48,[1]对照表!$X$27:$X$48)),IF(B264="高二",IF($E264="男",LOOKUP(Q264,[1]对照表!$V$3:$V$24,[1]对照表!$X$3:$X$24),LOOKUP(Q264,[1]对照表!$V$27:$V$48,[1]对照表!$X$27:$X$48)),IF(B264="高一",IF($E264="男",LOOKUP(Q264,[1]对照表!$U$3:$U$24,[1]对照表!$X$3:$X$24),LOOKUP(Q264,[1]对照表!$U$27:$U$48,[1]对照表!$X$27:$X$48)))))</f>
        <v>85</v>
      </c>
      <c r="S264" s="27">
        <f>ROUND(IF(IF($B264="高三",MIN(IF($E264="男",$Q264-3.2,$Q264-3.2),0),IF($B264="高二",MIN(IF($E264="男",$Q264-3.25,$Q264-3.22),0),IF($B264="高一",MIN(IF($E264="男",$Q264-3.3,$Q264-3.24),0))))&lt;-0.6,IF($B264="高三",MIN(IF($E264="男",$Q264-3.2,$Q264-3.2),0),IF($B264="高二",MIN(IF($E264="男",$Q264-3.25,$Q264-3.22),0),IF($B264="高一",MIN(IF($E264="男",$Q264-3.3,$Q264-3.24),0))))+0.4,IF($B264="高三",MIN(IF($E264="男",$Q264-3.2,$Q264-3.2),0),IF($B264="高二",MIN(IF($E264="男",$Q264-3.25,$Q264-3.22),0),IF($B264="高一",MIN(IF($E264="男",$Q264-3.3,$Q264-3.24),0))))),2)</f>
        <v>0</v>
      </c>
      <c r="T264" s="23">
        <f>IF(E264="男",LOOKUP($S264,[1]对照表!$AB$3:$AB$13,[1]对照表!$AC$3:$AC$13),LOOKUP($S264,[1]对照表!$AB$15:$AB$25,[1]对照表!$AC$15:$AC$25))</f>
        <v>0</v>
      </c>
      <c r="U264" s="26">
        <f>R264+T264</f>
        <v>85</v>
      </c>
      <c r="V264" s="26">
        <f>SUM(I264,K264,M264)/3*0.3+SUM(G264,R264)/2*0.4</f>
        <v>58.3</v>
      </c>
      <c r="W264" s="27">
        <f>O264+T264</f>
        <v>0</v>
      </c>
      <c r="X264" s="28">
        <f>V264/0.7+W264</f>
        <v>83.285714285714292</v>
      </c>
      <c r="Y264" s="28">
        <v>83.285714285714292</v>
      </c>
      <c r="Z264" s="21"/>
    </row>
    <row r="265" spans="1:26" x14ac:dyDescent="0.25">
      <c r="A265" s="16">
        <v>14</v>
      </c>
      <c r="B265" s="17" t="s">
        <v>21</v>
      </c>
      <c r="C265" s="16">
        <v>107</v>
      </c>
      <c r="D265" s="18" t="s">
        <v>326</v>
      </c>
      <c r="E265" s="16" t="s">
        <v>23</v>
      </c>
      <c r="F265" s="19">
        <v>6.5</v>
      </c>
      <c r="G265" s="32">
        <f>IF(B265="高三",IF($E265="男",LOOKUP(F265,[1]对照表!$G$3:$G$24,[1]对照表!$H$3:$H$24),LOOKUP(F265,[1]对照表!$G$27:$G$48,[1]对照表!$H$27:$H$48)),IF(B265="高二",IF($E265="男",LOOKUP(F265,[1]对照表!$F$3:$F$24,[1]对照表!$H$3:$H$24),LOOKUP(F265,[1]对照表!$F$27:$F$48,[1]对照表!$H$27:$H$48)),IF(B265="高一",IF($E265="男",LOOKUP(F265,[1]对照表!$E$3:$E$24,[1]对照表!$H$3:$H$24),LOOKUP(F265,[1]对照表!$E$27:$E$48,[1]对照表!$H$27:$H$48)))))</f>
        <v>100</v>
      </c>
      <c r="H265" s="21">
        <v>11.5</v>
      </c>
      <c r="I265" s="32">
        <f>IF(B265="高三",IF($E265="男",LOOKUP(H265,[1]对照表!$K$3:$K$24,[1]对照表!$L$3:$L$24),LOOKUP(H265,[1]对照表!$K$27:$K$48,[1]对照表!$L$27:$L$48)),IF(B265="高二",IF($E265="男",LOOKUP(H265,[1]对照表!$J$3:$J$24,[1]对照表!$L$3:$L$24),LOOKUP(H265,[1]对照表!$J$27:$J$48,[1]对照表!$L$27:$L$48)),IF(B265="高一",IF($E265="男",LOOKUP(H265,[1]对照表!$I$3:$I$24,[1]对照表!$L$3:$L$24),LOOKUP(H265,[1]对照表!$I$27:$I$48,[1]对照表!$L$27:$L$48)))))</f>
        <v>74</v>
      </c>
      <c r="J265" s="21">
        <v>230</v>
      </c>
      <c r="K265" s="32">
        <f>IF(B265="高三",IF($E265="男",LOOKUP(J265,[1]对照表!$O$3:$O$24,[1]对照表!$P$3:$P$24),LOOKUP(J265,[1]对照表!$O$27:$O$48,[1]对照表!$P$27:$P$48)),IF(B265="高二",IF($E265="男",LOOKUP(J265,[1]对照表!$N$3:$N$24,[1]对照表!$P$3:$P$24),LOOKUP(J265,[1]对照表!$N$27:$N$48,[1]对照表!$P$27:$P$48)),IF(B265="高一",IF($E265="男",LOOKUP(J265,[1]对照表!$M$3:$M$24,[1]对照表!$P$3:$P$24),LOOKUP(J265,[1]对照表!$M$27:$M$48,[1]对照表!$P$27:$P$48)))))</f>
        <v>76</v>
      </c>
      <c r="L265" s="21">
        <v>8</v>
      </c>
      <c r="M265" s="32">
        <f>IF(B265="高三",IF($E265="男",LOOKUP(L265,[1]对照表!$S$3:$S$24,[1]对照表!$T$3:$T$24),LOOKUP(L265,[1]对照表!$S$27:$S$48,[1]对照表!$T$27:$T$48)),IF(B265="高二",IF($E265="男",LOOKUP(L265,[1]对照表!$R$3:$R$24,[1]对照表!$T$3:$T$24),LOOKUP(L265,[1]对照表!$R$27:$R$48,[1]对照表!$T$27:$T$48)),IF(B265="高一",IF($E265="男",LOOKUP(L265,[1]对照表!$Q$3:$Q$24,[1]对照表!$T$3:$T$24),LOOKUP(L265,[1]对照表!$Q$27:$Q$48,[1]对照表!$T$27:$T$48)))))</f>
        <v>64</v>
      </c>
      <c r="N265" s="33">
        <f>IF(B265="高三",MAX(IF(E265="男",L265-18,L265-55),0),IF(B265="高二",MAX(IF(E265="男",L265-17,L265-54),0),IF(B265="高一",MAX(IF(E265="男",L265-16,L265-53),0))))</f>
        <v>0</v>
      </c>
      <c r="O265" s="23">
        <f>IF(E265="男",LOOKUP($N265,[1]对照表!$Z$3:$Z$13,[1]对照表!$AA$3:$AA$13),LOOKUP($N265,[1]对照表!$Z$15:$Z$25,[1]对照表!$AA$15:$AA$25))</f>
        <v>0</v>
      </c>
      <c r="P265" s="24">
        <f>M265+O265</f>
        <v>64</v>
      </c>
      <c r="Q265" s="25">
        <v>3.53</v>
      </c>
      <c r="R265" s="32">
        <f>IF(B265="高三",IF($E265="男",LOOKUP(Q265,[1]对照表!$W$3:$W$24,[1]对照表!$X$3:$X$24),LOOKUP(Q265,[1]对照表!$W$27:$W$48,[1]对照表!$X$27:$X$48)),IF(B265="高二",IF($E265="男",LOOKUP(Q265,[1]对照表!$V$3:$V$24,[1]对照表!$X$3:$X$24),LOOKUP(Q265,[1]对照表!$V$27:$V$48,[1]对照表!$X$27:$X$48)),IF(B265="高一",IF($E265="男",LOOKUP(Q265,[1]对照表!$U$3:$U$24,[1]对照表!$X$3:$X$24),LOOKUP(Q265,[1]对照表!$U$27:$U$48,[1]对照表!$X$27:$X$48)))))</f>
        <v>80</v>
      </c>
      <c r="S265" s="33">
        <f>ROUND(IF(IF($B265="高三",MIN(IF($E265="男",$Q265-3.2,$Q265-3.2),0),IF($B265="高二",MIN(IF($E265="男",$Q265-3.25,$Q265-3.22),0),IF($B265="高一",MIN(IF($E265="男",$Q265-3.3,$Q265-3.24),0))))&lt;-0.6,IF($B265="高三",MIN(IF($E265="男",$Q265-3.2,$Q265-3.2),0),IF($B265="高二",MIN(IF($E265="男",$Q265-3.25,$Q265-3.22),0),IF($B265="高一",MIN(IF($E265="男",$Q265-3.3,$Q265-3.24),0))))+0.4,IF($B265="高三",MIN(IF($E265="男",$Q265-3.2,$Q265-3.2),0),IF($B265="高二",MIN(IF($E265="男",$Q265-3.25,$Q265-3.22),0),IF($B265="高一",MIN(IF($E265="男",$Q265-3.3,$Q265-3.24),0))))),2)</f>
        <v>0</v>
      </c>
      <c r="T265" s="23">
        <f>IF(E265="男",LOOKUP($S265,[1]对照表!$AB$3:$AB$13,[1]对照表!$AC$3:$AC$13),LOOKUP($S265,[1]对照表!$AB$15:$AB$25,[1]对照表!$AC$15:$AC$25))</f>
        <v>0</v>
      </c>
      <c r="U265" s="26">
        <f>R265+T265</f>
        <v>80</v>
      </c>
      <c r="V265" s="26">
        <f>SUM(I265,K265,M265)/3*0.3+SUM(G265,R265)/2*0.4</f>
        <v>57.4</v>
      </c>
      <c r="W265" s="27">
        <f>O265+T265</f>
        <v>0</v>
      </c>
      <c r="X265" s="28">
        <f>V265/0.7+W265</f>
        <v>82</v>
      </c>
      <c r="Y265" s="28">
        <v>82</v>
      </c>
      <c r="Z265" s="21"/>
    </row>
    <row r="266" spans="1:26" x14ac:dyDescent="0.25">
      <c r="A266" s="16">
        <v>4</v>
      </c>
      <c r="B266" s="17" t="s">
        <v>21</v>
      </c>
      <c r="C266" s="16">
        <v>107</v>
      </c>
      <c r="D266" s="18" t="s">
        <v>359</v>
      </c>
      <c r="E266" s="17" t="s">
        <v>23</v>
      </c>
      <c r="F266" s="19">
        <v>7.1</v>
      </c>
      <c r="G266" s="32">
        <f>IF(B266="高三",IF($E266="男",LOOKUP(F266,[1]对照表!$G$3:$G$24,[1]对照表!$H$3:$H$24),LOOKUP(F266,[1]对照表!$G$27:$G$48,[1]对照表!$H$27:$H$48)),IF(B266="高二",IF($E266="男",LOOKUP(F266,[1]对照表!$F$3:$F$24,[1]对照表!$H$3:$H$24),LOOKUP(F266,[1]对照表!$F$27:$F$48,[1]对照表!$H$27:$H$48)),IF(B266="高一",IF($E266="男",LOOKUP(F266,[1]对照表!$E$3:$E$24,[1]对照表!$H$3:$H$24),LOOKUP(F266,[1]对照表!$E$27:$E$48,[1]对照表!$H$27:$H$48)))))</f>
        <v>100</v>
      </c>
      <c r="H266" s="21">
        <v>15</v>
      </c>
      <c r="I266" s="32">
        <f>IF(B266="高三",IF($E266="男",LOOKUP(H266,[1]对照表!$K$3:$K$24,[1]对照表!$L$3:$L$24),LOOKUP(H266,[1]对照表!$K$27:$K$48,[1]对照表!$L$27:$L$48)),IF(B266="高二",IF($E266="男",LOOKUP(H266,[1]对照表!$J$3:$J$24,[1]对照表!$L$3:$L$24),LOOKUP(H266,[1]对照表!$J$27:$J$48,[1]对照表!$L$27:$L$48)),IF(B266="高一",IF($E266="男",LOOKUP(H266,[1]对照表!$I$3:$I$24,[1]对照表!$L$3:$L$24),LOOKUP(H266,[1]对照表!$I$27:$I$48,[1]对照表!$L$27:$L$48)))))</f>
        <v>80</v>
      </c>
      <c r="J266" s="21">
        <v>227</v>
      </c>
      <c r="K266" s="32">
        <f>IF(B266="高三",IF($E266="男",LOOKUP(J266,[1]对照表!$O$3:$O$24,[1]对照表!$P$3:$P$24),LOOKUP(J266,[1]对照表!$O$27:$O$48,[1]对照表!$P$27:$P$48)),IF(B266="高二",IF($E266="男",LOOKUP(J266,[1]对照表!$N$3:$N$24,[1]对照表!$P$3:$P$24),LOOKUP(J266,[1]对照表!$N$27:$N$48,[1]对照表!$P$27:$P$48)),IF(B266="高一",IF($E266="男",LOOKUP(J266,[1]对照表!$M$3:$M$24,[1]对照表!$P$3:$P$24),LOOKUP(J266,[1]对照表!$M$27:$M$48,[1]对照表!$P$27:$P$48)))))</f>
        <v>76</v>
      </c>
      <c r="L266" s="21">
        <v>14</v>
      </c>
      <c r="M266" s="32">
        <f>IF(B266="高三",IF($E266="男",LOOKUP(L266,[1]对照表!$S$3:$S$24,[1]对照表!$T$3:$T$24),LOOKUP(L266,[1]对照表!$S$27:$S$48,[1]对照表!$T$27:$T$48)),IF(B266="高二",IF($E266="男",LOOKUP(L266,[1]对照表!$R$3:$R$24,[1]对照表!$T$3:$T$24),LOOKUP(L266,[1]对照表!$R$27:$R$48,[1]对照表!$T$27:$T$48)),IF(B266="高一",IF($E266="男",LOOKUP(L266,[1]对照表!$Q$3:$Q$24,[1]对照表!$T$3:$T$24),LOOKUP(L266,[1]对照表!$Q$27:$Q$48,[1]对照表!$T$27:$T$48)))))</f>
        <v>90</v>
      </c>
      <c r="N266" s="33">
        <f>IF(B266="高三",MAX(IF(E266="男",L266-18,L266-55),0),IF(B266="高二",MAX(IF(E266="男",L266-17,L266-54),0),IF(B266="高一",MAX(IF(E266="男",L266-16,L266-53),0))))</f>
        <v>0</v>
      </c>
      <c r="O266" s="23">
        <f>IF(E266="男",LOOKUP($N266,[1]对照表!$Z$3:$Z$13,[1]对照表!$AA$3:$AA$13),LOOKUP($N266,[1]对照表!$Z$15:$Z$25,[1]对照表!$AA$15:$AA$25))</f>
        <v>0</v>
      </c>
      <c r="P266" s="24">
        <f>M266+O266</f>
        <v>90</v>
      </c>
      <c r="Q266" s="25">
        <v>4.37</v>
      </c>
      <c r="R266" s="32">
        <f>IF(B266="高三",IF($E266="男",LOOKUP(Q266,[1]对照表!$W$3:$W$24,[1]对照表!$X$3:$X$24),LOOKUP(Q266,[1]对照表!$W$27:$W$48,[1]对照表!$X$27:$X$48)),IF(B266="高二",IF($E266="男",LOOKUP(Q266,[1]对照表!$V$3:$V$24,[1]对照表!$X$3:$X$24),LOOKUP(Q266,[1]对照表!$V$27:$V$48,[1]对照表!$X$27:$X$48)),IF(B266="高一",IF($E266="男",LOOKUP(Q266,[1]对照表!$U$3:$U$24,[1]对照表!$X$3:$X$24),LOOKUP(Q266,[1]对照表!$U$27:$U$48,[1]对照表!$X$27:$X$48)))))</f>
        <v>62</v>
      </c>
      <c r="S266" s="33">
        <f>ROUND(IF(IF($B266="高三",MIN(IF($E266="男",$Q266-3.2,$Q266-3.2),0),IF($B266="高二",MIN(IF($E266="男",$Q266-3.25,$Q266-3.22),0),IF($B266="高一",MIN(IF($E266="男",$Q266-3.3,$Q266-3.24),0))))&lt;-0.6,IF($B266="高三",MIN(IF($E266="男",$Q266-3.2,$Q266-3.2),0),IF($B266="高二",MIN(IF($E266="男",$Q266-3.25,$Q266-3.22),0),IF($B266="高一",MIN(IF($E266="男",$Q266-3.3,$Q266-3.24),0))))+0.4,IF($B266="高三",MIN(IF($E266="男",$Q266-3.2,$Q266-3.2),0),IF($B266="高二",MIN(IF($E266="男",$Q266-3.25,$Q266-3.22),0),IF($B266="高一",MIN(IF($E266="男",$Q266-3.3,$Q266-3.24),0))))),2)</f>
        <v>0</v>
      </c>
      <c r="T266" s="23">
        <f>IF(E266="男",LOOKUP($S266,[1]对照表!$AB$3:$AB$13,[1]对照表!$AC$3:$AC$13),LOOKUP($S266,[1]对照表!$AB$15:$AB$25,[1]对照表!$AC$15:$AC$25))</f>
        <v>0</v>
      </c>
      <c r="U266" s="26">
        <f>R266+T266</f>
        <v>62</v>
      </c>
      <c r="V266" s="26">
        <f>SUM(I266,K266,M266)/3*0.3+SUM(G266,R266)/2*0.4</f>
        <v>57</v>
      </c>
      <c r="W266" s="27">
        <f>O266+T266</f>
        <v>0</v>
      </c>
      <c r="X266" s="28">
        <f>V266/0.7+W266</f>
        <v>81.428571428571431</v>
      </c>
      <c r="Y266" s="28">
        <v>81.428571428571431</v>
      </c>
      <c r="Z266" s="21"/>
    </row>
    <row r="267" spans="1:26" x14ac:dyDescent="0.25">
      <c r="A267" s="16">
        <v>17</v>
      </c>
      <c r="B267" s="17" t="s">
        <v>21</v>
      </c>
      <c r="C267" s="16">
        <v>107</v>
      </c>
      <c r="D267" s="18" t="s">
        <v>377</v>
      </c>
      <c r="E267" s="16" t="s">
        <v>23</v>
      </c>
      <c r="F267" s="19">
        <v>6.4</v>
      </c>
      <c r="G267" s="32">
        <f>IF(B267="高三",IF($E267="男",LOOKUP(F267,[1]对照表!$G$3:$G$24,[1]对照表!$H$3:$H$24),LOOKUP(F267,[1]对照表!$G$27:$G$48,[1]对照表!$H$27:$H$48)),IF(B267="高二",IF($E267="男",LOOKUP(F267,[1]对照表!$F$3:$F$24,[1]对照表!$H$3:$H$24),LOOKUP(F267,[1]对照表!$F$27:$F$48,[1]对照表!$H$27:$H$48)),IF(B267="高一",IF($E267="男",LOOKUP(F267,[1]对照表!$E$3:$E$24,[1]对照表!$H$3:$H$24),LOOKUP(F267,[1]对照表!$E$27:$E$48,[1]对照表!$H$27:$H$48)))))</f>
        <v>100</v>
      </c>
      <c r="H267" s="21">
        <v>1.5</v>
      </c>
      <c r="I267" s="32">
        <f>IF(B267="高三",IF($E267="男",LOOKUP(H267,[1]对照表!$K$3:$K$24,[1]对照表!$L$3:$L$24),LOOKUP(H267,[1]对照表!$K$27:$K$48,[1]对照表!$L$27:$L$48)),IF(B267="高二",IF($E267="男",LOOKUP(H267,[1]对照表!$J$3:$J$24,[1]对照表!$L$3:$L$24),LOOKUP(H267,[1]对照表!$J$27:$J$48,[1]对照表!$L$27:$L$48)),IF(B267="高一",IF($E267="男",LOOKUP(H267,[1]对照表!$I$3:$I$24,[1]对照表!$L$3:$L$24),LOOKUP(H267,[1]对照表!$I$27:$I$48,[1]对照表!$L$27:$L$48)))))</f>
        <v>60</v>
      </c>
      <c r="J267" s="21">
        <v>204</v>
      </c>
      <c r="K267" s="32">
        <f>IF(B267="高三",IF($E267="男",LOOKUP(J267,[1]对照表!$O$3:$O$24,[1]对照表!$P$3:$P$24),LOOKUP(J267,[1]对照表!$O$27:$O$48,[1]对照表!$P$27:$P$48)),IF(B267="高二",IF($E267="男",LOOKUP(J267,[1]对照表!$N$3:$N$24,[1]对照表!$P$3:$P$24),LOOKUP(J267,[1]对照表!$N$27:$N$48,[1]对照表!$P$27:$P$48)),IF(B267="高一",IF($E267="男",LOOKUP(J267,[1]对照表!$M$3:$M$24,[1]对照表!$P$3:$P$24),LOOKUP(J267,[1]对照表!$M$27:$M$48,[1]对照表!$P$27:$P$48)))))</f>
        <v>64</v>
      </c>
      <c r="L267" s="21">
        <v>9</v>
      </c>
      <c r="M267" s="32">
        <f>IF(B267="高三",IF($E267="男",LOOKUP(L267,[1]对照表!$S$3:$S$24,[1]对照表!$T$3:$T$24),LOOKUP(L267,[1]对照表!$S$27:$S$48,[1]对照表!$T$27:$T$48)),IF(B267="高二",IF($E267="男",LOOKUP(L267,[1]对照表!$R$3:$R$24,[1]对照表!$T$3:$T$24),LOOKUP(L267,[1]对照表!$R$27:$R$48,[1]对照表!$T$27:$T$48)),IF(B267="高一",IF($E267="男",LOOKUP(L267,[1]对照表!$Q$3:$Q$24,[1]对照表!$T$3:$T$24),LOOKUP(L267,[1]对照表!$Q$27:$Q$48,[1]对照表!$T$27:$T$48)))))</f>
        <v>68</v>
      </c>
      <c r="N267" s="33">
        <f>IF(B267="高三",MAX(IF(E267="男",L267-18,L267-55),0),IF(B267="高二",MAX(IF(E267="男",L267-17,L267-54),0),IF(B267="高一",MAX(IF(E267="男",L267-16,L267-53),0))))</f>
        <v>0</v>
      </c>
      <c r="O267" s="23">
        <f>IF(E267="男",LOOKUP($N267,[1]对照表!$Z$3:$Z$13,[1]对照表!$AA$3:$AA$13),LOOKUP($N267,[1]对照表!$Z$15:$Z$25,[1]对照表!$AA$15:$AA$25))</f>
        <v>0</v>
      </c>
      <c r="P267" s="24">
        <f>M267+O267</f>
        <v>68</v>
      </c>
      <c r="Q267" s="25">
        <v>3.51</v>
      </c>
      <c r="R267" s="32">
        <f>IF(B267="高三",IF($E267="男",LOOKUP(Q267,[1]对照表!$W$3:$W$24,[1]对照表!$X$3:$X$24),LOOKUP(Q267,[1]对照表!$W$27:$W$48,[1]对照表!$X$27:$X$48)),IF(B267="高二",IF($E267="男",LOOKUP(Q267,[1]对照表!$V$3:$V$24,[1]对照表!$X$3:$X$24),LOOKUP(Q267,[1]对照表!$V$27:$V$48,[1]对照表!$X$27:$X$48)),IF(B267="高一",IF($E267="男",LOOKUP(Q267,[1]对照表!$U$3:$U$24,[1]对照表!$X$3:$X$24),LOOKUP(Q267,[1]对照表!$U$27:$U$48,[1]对照表!$X$27:$X$48)))))</f>
        <v>80</v>
      </c>
      <c r="S267" s="33">
        <f>ROUND(IF(IF($B267="高三",MIN(IF($E267="男",$Q267-3.2,$Q267-3.2),0),IF($B267="高二",MIN(IF($E267="男",$Q267-3.25,$Q267-3.22),0),IF($B267="高一",MIN(IF($E267="男",$Q267-3.3,$Q267-3.24),0))))&lt;-0.6,IF($B267="高三",MIN(IF($E267="男",$Q267-3.2,$Q267-3.2),0),IF($B267="高二",MIN(IF($E267="男",$Q267-3.25,$Q267-3.22),0),IF($B267="高一",MIN(IF($E267="男",$Q267-3.3,$Q267-3.24),0))))+0.4,IF($B267="高三",MIN(IF($E267="男",$Q267-3.2,$Q267-3.2),0),IF($B267="高二",MIN(IF($E267="男",$Q267-3.25,$Q267-3.22),0),IF($B267="高一",MIN(IF($E267="男",$Q267-3.3,$Q267-3.24),0))))),2)</f>
        <v>0</v>
      </c>
      <c r="T267" s="23">
        <f>IF(E267="男",LOOKUP($S267,[1]对照表!$AB$3:$AB$13,[1]对照表!$AC$3:$AC$13),LOOKUP($S267,[1]对照表!$AB$15:$AB$25,[1]对照表!$AC$15:$AC$25))</f>
        <v>0</v>
      </c>
      <c r="U267" s="26">
        <f>R267+T267</f>
        <v>80</v>
      </c>
      <c r="V267" s="26">
        <f>SUM(I267,K267,M267)/3*0.3+SUM(G267,R267)/2*0.4</f>
        <v>55.2</v>
      </c>
      <c r="W267" s="27">
        <f>O267+T267</f>
        <v>0</v>
      </c>
      <c r="X267" s="28">
        <f>V267/0.7+W267</f>
        <v>78.857142857142861</v>
      </c>
      <c r="Y267" s="28">
        <v>78.857142857142861</v>
      </c>
      <c r="Z267" s="21"/>
    </row>
    <row r="268" spans="1:26" x14ac:dyDescent="0.25">
      <c r="A268" s="16">
        <v>10</v>
      </c>
      <c r="B268" s="17" t="s">
        <v>21</v>
      </c>
      <c r="C268" s="16">
        <v>107</v>
      </c>
      <c r="D268" s="18" t="s">
        <v>388</v>
      </c>
      <c r="E268" s="17" t="s">
        <v>23</v>
      </c>
      <c r="F268" s="19">
        <v>7.7</v>
      </c>
      <c r="G268" s="32">
        <f>IF(B268="高三",IF($E268="男",LOOKUP(F268,[1]对照表!$G$3:$G$24,[1]对照表!$H$3:$H$24),LOOKUP(F268,[1]对照表!$G$27:$G$48,[1]对照表!$H$27:$H$48)),IF(B268="高二",IF($E268="男",LOOKUP(F268,[1]对照表!$F$3:$F$24,[1]对照表!$H$3:$H$24),LOOKUP(F268,[1]对照表!$F$27:$F$48,[1]对照表!$H$27:$H$48)),IF(B268="高一",IF($E268="男",LOOKUP(F268,[1]对照表!$E$3:$E$24,[1]对照表!$H$3:$H$24),LOOKUP(F268,[1]对照表!$E$27:$E$48,[1]对照表!$H$27:$H$48)))))</f>
        <v>78</v>
      </c>
      <c r="H268" s="21">
        <v>18.5</v>
      </c>
      <c r="I268" s="32">
        <f>IF(B268="高三",IF($E268="男",LOOKUP(H268,[1]对照表!$K$3:$K$24,[1]对照表!$L$3:$L$24),LOOKUP(H268,[1]对照表!$K$27:$K$48,[1]对照表!$L$27:$L$48)),IF(B268="高二",IF($E268="男",LOOKUP(H268,[1]对照表!$J$3:$J$24,[1]对照表!$L$3:$L$24),LOOKUP(H268,[1]对照表!$J$27:$J$48,[1]对照表!$L$27:$L$48)),IF(B268="高一",IF($E268="男",LOOKUP(H268,[1]对照表!$I$3:$I$24,[1]对照表!$L$3:$L$24),LOOKUP(H268,[1]对照表!$I$27:$I$48,[1]对照表!$L$27:$L$48)))))</f>
        <v>85</v>
      </c>
      <c r="J268" s="21">
        <v>205</v>
      </c>
      <c r="K268" s="32">
        <f>IF(B268="高三",IF($E268="男",LOOKUP(J268,[1]对照表!$O$3:$O$24,[1]对照表!$P$3:$P$24),LOOKUP(J268,[1]对照表!$O$27:$O$48,[1]对照表!$P$27:$P$48)),IF(B268="高二",IF($E268="男",LOOKUP(J268,[1]对照表!$N$3:$N$24,[1]对照表!$P$3:$P$24),LOOKUP(J268,[1]对照表!$N$27:$N$48,[1]对照表!$P$27:$P$48)),IF(B268="高一",IF($E268="男",LOOKUP(J268,[1]对照表!$M$3:$M$24,[1]对照表!$P$3:$P$24),LOOKUP(J268,[1]对照表!$M$27:$M$48,[1]对照表!$P$27:$P$48)))))</f>
        <v>64</v>
      </c>
      <c r="L268" s="21">
        <v>12</v>
      </c>
      <c r="M268" s="32">
        <f>IF(B268="高三",IF($E268="男",LOOKUP(L268,[1]对照表!$S$3:$S$24,[1]对照表!$T$3:$T$24),LOOKUP(L268,[1]对照表!$S$27:$S$48,[1]对照表!$T$27:$T$48)),IF(B268="高二",IF($E268="男",LOOKUP(L268,[1]对照表!$R$3:$R$24,[1]对照表!$T$3:$T$24),LOOKUP(L268,[1]对照表!$R$27:$R$48,[1]对照表!$T$27:$T$48)),IF(B268="高一",IF($E268="男",LOOKUP(L268,[1]对照表!$Q$3:$Q$24,[1]对照表!$T$3:$T$24),LOOKUP(L268,[1]对照表!$Q$27:$Q$48,[1]对照表!$T$27:$T$48)))))</f>
        <v>80</v>
      </c>
      <c r="N268" s="33">
        <f>IF(B268="高三",MAX(IF(E268="男",L268-18,L268-55),0),IF(B268="高二",MAX(IF(E268="男",L268-17,L268-54),0),IF(B268="高一",MAX(IF(E268="男",L268-16,L268-53),0))))</f>
        <v>0</v>
      </c>
      <c r="O268" s="23">
        <f>IF(E268="男",LOOKUP($N268,[1]对照表!$Z$3:$Z$13,[1]对照表!$AA$3:$AA$13),LOOKUP($N268,[1]对照表!$Z$15:$Z$25,[1]对照表!$AA$15:$AA$25))</f>
        <v>0</v>
      </c>
      <c r="P268" s="24">
        <f>M268+O268</f>
        <v>80</v>
      </c>
      <c r="Q268" s="25">
        <v>3.54</v>
      </c>
      <c r="R268" s="32">
        <f>IF(B268="高三",IF($E268="男",LOOKUP(Q268,[1]对照表!$W$3:$W$24,[1]对照表!$X$3:$X$24),LOOKUP(Q268,[1]对照表!$W$27:$W$48,[1]对照表!$X$27:$X$48)),IF(B268="高二",IF($E268="男",LOOKUP(Q268,[1]对照表!$V$3:$V$24,[1]对照表!$X$3:$X$24),LOOKUP(Q268,[1]对照表!$V$27:$V$48,[1]对照表!$X$27:$X$48)),IF(B268="高一",IF($E268="男",LOOKUP(Q268,[1]对照表!$U$3:$U$24,[1]对照表!$X$3:$X$24),LOOKUP(Q268,[1]对照表!$U$27:$U$48,[1]对照表!$X$27:$X$48)))))</f>
        <v>80</v>
      </c>
      <c r="S268" s="33">
        <f>ROUND(IF(IF($B268="高三",MIN(IF($E268="男",$Q268-3.2,$Q268-3.2),0),IF($B268="高二",MIN(IF($E268="男",$Q268-3.25,$Q268-3.22),0),IF($B268="高一",MIN(IF($E268="男",$Q268-3.3,$Q268-3.24),0))))&lt;-0.6,IF($B268="高三",MIN(IF($E268="男",$Q268-3.2,$Q268-3.2),0),IF($B268="高二",MIN(IF($E268="男",$Q268-3.25,$Q268-3.22),0),IF($B268="高一",MIN(IF($E268="男",$Q268-3.3,$Q268-3.24),0))))+0.4,IF($B268="高三",MIN(IF($E268="男",$Q268-3.2,$Q268-3.2),0),IF($B268="高二",MIN(IF($E268="男",$Q268-3.25,$Q268-3.22),0),IF($B268="高一",MIN(IF($E268="男",$Q268-3.3,$Q268-3.24),0))))),2)</f>
        <v>0</v>
      </c>
      <c r="T268" s="23">
        <f>IF(E268="男",LOOKUP($S268,[1]对照表!$AB$3:$AB$13,[1]对照表!$AC$3:$AC$13),LOOKUP($S268,[1]对照表!$AB$15:$AB$25,[1]对照表!$AC$15:$AC$25))</f>
        <v>0</v>
      </c>
      <c r="U268" s="26">
        <f>R268+T268</f>
        <v>80</v>
      </c>
      <c r="V268" s="26">
        <f>SUM(I268,K268,M268)/3*0.3+SUM(G268,R268)/2*0.4</f>
        <v>54.5</v>
      </c>
      <c r="W268" s="27">
        <f>O268+T268</f>
        <v>0</v>
      </c>
      <c r="X268" s="28">
        <f>V268/0.7+W268</f>
        <v>77.857142857142861</v>
      </c>
      <c r="Y268" s="28">
        <v>77.857142857142861</v>
      </c>
      <c r="Z268" s="21"/>
    </row>
    <row r="269" spans="1:26" x14ac:dyDescent="0.25">
      <c r="A269" s="16">
        <v>44</v>
      </c>
      <c r="B269" s="17" t="s">
        <v>21</v>
      </c>
      <c r="C269" s="16">
        <v>107</v>
      </c>
      <c r="D269" s="18" t="s">
        <v>395</v>
      </c>
      <c r="E269" s="17" t="s">
        <v>65</v>
      </c>
      <c r="F269" s="19">
        <v>8.32</v>
      </c>
      <c r="G269" s="32">
        <f>IF(B269="高三",IF($E269="男",LOOKUP(F269,[1]对照表!$G$3:$G$24,[1]对照表!$H$3:$H$24),LOOKUP(F269,[1]对照表!$G$27:$G$48,[1]对照表!$H$27:$H$48)),IF(B269="高二",IF($E269="男",LOOKUP(F269,[1]对照表!$F$3:$F$24,[1]对照表!$H$3:$H$24),LOOKUP(F269,[1]对照表!$F$27:$F$48,[1]对照表!$H$27:$H$48)),IF(B269="高一",IF($E269="男",LOOKUP(F269,[1]对照表!$E$3:$E$24,[1]对照表!$H$3:$H$24),LOOKUP(F269,[1]对照表!$E$27:$E$48,[1]对照表!$H$27:$H$48)))))</f>
        <v>80</v>
      </c>
      <c r="H269" s="21">
        <v>25.5</v>
      </c>
      <c r="I269" s="32">
        <f>IF(B269="高三",IF($E269="男",LOOKUP(H269,[1]对照表!$K$3:$K$24,[1]对照表!$L$3:$L$24),LOOKUP(H269,[1]对照表!$K$27:$K$48,[1]对照表!$L$27:$L$48)),IF(B269="高二",IF($E269="男",LOOKUP(H269,[1]对照表!$J$3:$J$24,[1]对照表!$L$3:$L$24),LOOKUP(H269,[1]对照表!$J$27:$J$48,[1]对照表!$L$27:$L$48)),IF(B269="高一",IF($E269="男",LOOKUP(H269,[1]对照表!$I$3:$I$24,[1]对照表!$L$3:$L$24),LOOKUP(H269,[1]对照表!$I$27:$I$48,[1]对照表!$L$27:$L$48)))))</f>
        <v>100</v>
      </c>
      <c r="J269" s="21">
        <v>204</v>
      </c>
      <c r="K269" s="32">
        <f>IF(B269="高三",IF($E269="男",LOOKUP(J269,[1]对照表!$O$3:$O$24,[1]对照表!$P$3:$P$24),LOOKUP(J269,[1]对照表!$O$27:$O$48,[1]对照表!$P$27:$P$48)),IF(B269="高二",IF($E269="男",LOOKUP(J269,[1]对照表!$N$3:$N$24,[1]对照表!$P$3:$P$24),LOOKUP(J269,[1]对照表!$N$27:$N$48,[1]对照表!$P$27:$P$48)),IF(B269="高一",IF($E269="男",LOOKUP(J269,[1]对照表!$M$3:$M$24,[1]对照表!$P$3:$P$24),LOOKUP(J269,[1]对照表!$M$27:$M$48,[1]对照表!$P$27:$P$48)))))</f>
        <v>100</v>
      </c>
      <c r="L269" s="21">
        <v>54</v>
      </c>
      <c r="M269" s="32">
        <f>IF(B269="高三",IF($E269="男",LOOKUP(L269,[1]对照表!$S$3:$S$24,[1]对照表!$T$3:$T$24),LOOKUP(L269,[1]对照表!$S$27:$S$48,[1]对照表!$T$27:$T$48)),IF(B269="高二",IF($E269="男",LOOKUP(L269,[1]对照表!$R$3:$R$24,[1]对照表!$T$3:$T$24),LOOKUP(L269,[1]对照表!$R$27:$R$48,[1]对照表!$T$27:$T$48)),IF(B269="高一",IF($E269="男",LOOKUP(L269,[1]对照表!$Q$3:$Q$24,[1]对照表!$T$3:$T$24),LOOKUP(L269,[1]对照表!$Q$27:$Q$48,[1]对照表!$T$27:$T$48)))))</f>
        <v>100</v>
      </c>
      <c r="N269" s="33">
        <f>IF(B269="高三",MAX(IF(E269="男",L269-18,L269-55),0),IF(B269="高二",MAX(IF(E269="男",L269-17,L269-54),0),IF(B269="高一",MAX(IF(E269="男",L269-16,L269-53),0))))</f>
        <v>1</v>
      </c>
      <c r="O269" s="23">
        <f>IF(E269="男",LOOKUP($N269,[1]对照表!$Z$3:$Z$13,[1]对照表!$AA$3:$AA$13),LOOKUP($N269,[1]对照表!$Z$15:$Z$25,[1]对照表!$AA$15:$AA$25))</f>
        <v>0</v>
      </c>
      <c r="P269" s="24">
        <f>M269+O269</f>
        <v>100</v>
      </c>
      <c r="Q269" s="25">
        <v>3.37</v>
      </c>
      <c r="R269" s="32">
        <f>IF(B269="高三",IF($E269="男",LOOKUP(Q269,[1]对照表!$W$3:$W$24,[1]对照表!$X$3:$X$24),LOOKUP(Q269,[1]对照表!$W$27:$W$48,[1]对照表!$X$27:$X$48)),IF(B269="高二",IF($E269="男",LOOKUP(Q269,[1]对照表!$V$3:$V$24,[1]对照表!$X$3:$X$24),LOOKUP(Q269,[1]对照表!$V$27:$V$48,[1]对照表!$X$27:$X$48)),IF(B269="高一",IF($E269="男",LOOKUP(Q269,[1]对照表!$U$3:$U$24,[1]对照表!$X$3:$X$24),LOOKUP(Q269,[1]对照表!$U$27:$U$48,[1]对照表!$X$27:$X$48)))))</f>
        <v>85</v>
      </c>
      <c r="S269" s="33">
        <f>ROUND(IF(IF($B269="高三",MIN(IF($E269="男",$Q269-3.2,$Q269-3.2),0),IF($B269="高二",MIN(IF($E269="男",$Q269-3.25,$Q269-3.22),0),IF($B269="高一",MIN(IF($E269="男",$Q269-3.3,$Q269-3.24),0))))&lt;-0.6,IF($B269="高三",MIN(IF($E269="男",$Q269-3.2,$Q269-3.2),0),IF($B269="高二",MIN(IF($E269="男",$Q269-3.25,$Q269-3.22),0),IF($B269="高一",MIN(IF($E269="男",$Q269-3.3,$Q269-3.24),0))))+0.4,IF($B269="高三",MIN(IF($E269="男",$Q269-3.2,$Q269-3.2),0),IF($B269="高二",MIN(IF($E269="男",$Q269-3.25,$Q269-3.22),0),IF($B269="高一",MIN(IF($E269="男",$Q269-3.3,$Q269-3.24),0))))),2)</f>
        <v>0</v>
      </c>
      <c r="T269" s="23">
        <f>IF(E269="男",LOOKUP($S269,[1]对照表!$AB$3:$AB$13,[1]对照表!$AC$3:$AC$13),LOOKUP($S269,[1]对照表!$AB$15:$AB$25,[1]对照表!$AC$15:$AC$25))</f>
        <v>0</v>
      </c>
      <c r="U269" s="26">
        <f>R269+T269</f>
        <v>85</v>
      </c>
      <c r="V269" s="26">
        <f>SUM(I269,K269,M269)/3*0.3+SUM(G269,R269)/2*0.4</f>
        <v>63</v>
      </c>
      <c r="W269" s="27">
        <f>O269+T269</f>
        <v>0</v>
      </c>
      <c r="X269" s="28">
        <f>V269/0.7+W269</f>
        <v>90</v>
      </c>
      <c r="Y269" s="28">
        <v>90</v>
      </c>
      <c r="Z269" s="21"/>
    </row>
    <row r="270" spans="1:26" x14ac:dyDescent="0.25">
      <c r="A270" s="16">
        <v>37</v>
      </c>
      <c r="B270" s="17" t="s">
        <v>21</v>
      </c>
      <c r="C270" s="16">
        <v>107</v>
      </c>
      <c r="D270" s="18" t="s">
        <v>396</v>
      </c>
      <c r="E270" s="17" t="s">
        <v>65</v>
      </c>
      <c r="F270" s="19">
        <v>8.83</v>
      </c>
      <c r="G270" s="32">
        <f>IF(B270="高三",IF($E270="男",LOOKUP(F270,[1]对照表!$G$3:$G$24,[1]对照表!$H$3:$H$24),LOOKUP(F270,[1]对照表!$G$27:$G$48,[1]对照表!$H$27:$H$48)),IF(B270="高二",IF($E270="男",LOOKUP(F270,[1]对照表!$F$3:$F$24,[1]对照表!$H$3:$H$24),LOOKUP(F270,[1]对照表!$F$27:$F$48,[1]对照表!$H$27:$H$48)),IF(B270="高一",IF($E270="男",LOOKUP(F270,[1]对照表!$E$3:$E$24,[1]对照表!$H$3:$H$24),LOOKUP(F270,[1]对照表!$E$27:$E$48,[1]对照表!$H$27:$H$48)))))</f>
        <v>76</v>
      </c>
      <c r="H270" s="21">
        <v>19.600000000000001</v>
      </c>
      <c r="I270" s="32">
        <f>IF(B270="高三",IF($E270="男",LOOKUP(H270,[1]对照表!$K$3:$K$24,[1]对照表!$L$3:$L$24),LOOKUP(H270,[1]对照表!$K$27:$K$48,[1]对照表!$L$27:$L$48)),IF(B270="高二",IF($E270="男",LOOKUP(H270,[1]对照表!$J$3:$J$24,[1]对照表!$L$3:$L$24),LOOKUP(H270,[1]对照表!$J$27:$J$48,[1]对照表!$L$27:$L$48)),IF(B270="高一",IF($E270="男",LOOKUP(H270,[1]对照表!$I$3:$I$24,[1]对照表!$L$3:$L$24),LOOKUP(H270,[1]对照表!$I$27:$I$48,[1]对照表!$L$27:$L$48)))))</f>
        <v>85</v>
      </c>
      <c r="J270" s="21">
        <v>190</v>
      </c>
      <c r="K270" s="32">
        <f>IF(B270="高三",IF($E270="男",LOOKUP(J270,[1]对照表!$O$3:$O$24,[1]对照表!$P$3:$P$24),LOOKUP(J270,[1]对照表!$O$27:$O$48,[1]对照表!$P$27:$P$48)),IF(B270="高二",IF($E270="男",LOOKUP(J270,[1]对照表!$N$3:$N$24,[1]对照表!$P$3:$P$24),LOOKUP(J270,[1]对照表!$N$27:$N$48,[1]对照表!$P$27:$P$48)),IF(B270="高一",IF($E270="男",LOOKUP(J270,[1]对照表!$M$3:$M$24,[1]对照表!$P$3:$P$24),LOOKUP(J270,[1]对照表!$M$27:$M$48,[1]对照表!$P$27:$P$48)))))</f>
        <v>85</v>
      </c>
      <c r="L270" s="21">
        <v>50</v>
      </c>
      <c r="M270" s="32">
        <f>IF(B270="高三",IF($E270="男",LOOKUP(L270,[1]对照表!$S$3:$S$24,[1]对照表!$T$3:$T$24),LOOKUP(L270,[1]对照表!$S$27:$S$48,[1]对照表!$T$27:$T$48)),IF(B270="高二",IF($E270="男",LOOKUP(L270,[1]对照表!$R$3:$R$24,[1]对照表!$T$3:$T$24),LOOKUP(L270,[1]对照表!$R$27:$R$48,[1]对照表!$T$27:$T$48)),IF(B270="高一",IF($E270="男",LOOKUP(L270,[1]对照表!$Q$3:$Q$24,[1]对照表!$T$3:$T$24),LOOKUP(L270,[1]对照表!$Q$27:$Q$48,[1]对照表!$T$27:$T$48)))))</f>
        <v>90</v>
      </c>
      <c r="N270" s="27">
        <f>IF(B270="高三",MAX(IF(E270="男",L270-18,L270-55),0),IF(B270="高二",MAX(IF(E270="男",L270-17,L270-54),0),IF(B270="高一",MAX(IF(E270="男",L270-16,L270-53),0))))</f>
        <v>0</v>
      </c>
      <c r="O270" s="23">
        <f>IF(E270="男",LOOKUP($N270,[1]对照表!$Z$3:$Z$13,[1]对照表!$AA$3:$AA$13),LOOKUP($N270,[1]对照表!$Z$15:$Z$25,[1]对照表!$AA$15:$AA$25))</f>
        <v>0</v>
      </c>
      <c r="P270" s="24">
        <f>M270+O270</f>
        <v>90</v>
      </c>
      <c r="Q270" s="25">
        <v>3.37</v>
      </c>
      <c r="R270" s="32">
        <f>IF(B270="高三",IF($E270="男",LOOKUP(Q270,[1]对照表!$W$3:$W$24,[1]对照表!$X$3:$X$24),LOOKUP(Q270,[1]对照表!$W$27:$W$48,[1]对照表!$X$27:$X$48)),IF(B270="高二",IF($E270="男",LOOKUP(Q270,[1]对照表!$V$3:$V$24,[1]对照表!$X$3:$X$24),LOOKUP(Q270,[1]对照表!$V$27:$V$48,[1]对照表!$X$27:$X$48)),IF(B270="高一",IF($E270="男",LOOKUP(Q270,[1]对照表!$U$3:$U$24,[1]对照表!$X$3:$X$24),LOOKUP(Q270,[1]对照表!$U$27:$U$48,[1]对照表!$X$27:$X$48)))))</f>
        <v>85</v>
      </c>
      <c r="S270" s="27">
        <f>ROUND(IF(IF($B270="高三",MIN(IF($E270="男",$Q270-3.2,$Q270-3.2),0),IF($B270="高二",MIN(IF($E270="男",$Q270-3.25,$Q270-3.22),0),IF($B270="高一",MIN(IF($E270="男",$Q270-3.3,$Q270-3.24),0))))&lt;-0.6,IF($B270="高三",MIN(IF($E270="男",$Q270-3.2,$Q270-3.2),0),IF($B270="高二",MIN(IF($E270="男",$Q270-3.25,$Q270-3.22),0),IF($B270="高一",MIN(IF($E270="男",$Q270-3.3,$Q270-3.24),0))))+0.4,IF($B270="高三",MIN(IF($E270="男",$Q270-3.2,$Q270-3.2),0),IF($B270="高二",MIN(IF($E270="男",$Q270-3.25,$Q270-3.22),0),IF($B270="高一",MIN(IF($E270="男",$Q270-3.3,$Q270-3.24),0))))),2)</f>
        <v>0</v>
      </c>
      <c r="T270" s="23">
        <f>IF(E270="男",LOOKUP($S270,[1]对照表!$AB$3:$AB$13,[1]对照表!$AC$3:$AC$13),LOOKUP($S270,[1]对照表!$AB$15:$AB$25,[1]对照表!$AC$15:$AC$25))</f>
        <v>0</v>
      </c>
      <c r="U270" s="26">
        <f>R270+T270</f>
        <v>85</v>
      </c>
      <c r="V270" s="26">
        <f>SUM(I270,K270,M270)/3*0.3+SUM(G270,R270)/2*0.4</f>
        <v>58.2</v>
      </c>
      <c r="W270" s="27">
        <f>O270+T270</f>
        <v>0</v>
      </c>
      <c r="X270" s="28">
        <f>V270/0.7+W270</f>
        <v>83.142857142857153</v>
      </c>
      <c r="Y270" s="28">
        <v>83.142857142857153</v>
      </c>
      <c r="Z270" s="21"/>
    </row>
    <row r="271" spans="1:26" x14ac:dyDescent="0.25">
      <c r="A271" s="16">
        <v>36</v>
      </c>
      <c r="B271" s="17" t="s">
        <v>21</v>
      </c>
      <c r="C271" s="16">
        <v>107</v>
      </c>
      <c r="D271" s="18" t="s">
        <v>407</v>
      </c>
      <c r="E271" s="31" t="s">
        <v>65</v>
      </c>
      <c r="F271" s="19">
        <v>8.35</v>
      </c>
      <c r="G271" s="32">
        <f>IF(B271="高三",IF($E271="男",LOOKUP(F271,[1]对照表!$G$3:$G$24,[1]对照表!$H$3:$H$24),LOOKUP(F271,[1]对照表!$G$27:$G$48,[1]对照表!$H$27:$H$48)),IF(B271="高二",IF($E271="男",LOOKUP(F271,[1]对照表!$F$3:$F$24,[1]对照表!$H$3:$H$24),LOOKUP(F271,[1]对照表!$F$27:$F$48,[1]对照表!$H$27:$H$48)),IF(B271="高一",IF($E271="男",LOOKUP(F271,[1]对照表!$E$3:$E$24,[1]对照表!$H$3:$H$24),LOOKUP(F271,[1]对照表!$E$27:$E$48,[1]对照表!$H$27:$H$48)))))</f>
        <v>80</v>
      </c>
      <c r="H271" s="21">
        <v>11.5</v>
      </c>
      <c r="I271" s="32">
        <f>IF(B271="高三",IF($E271="男",LOOKUP(H271,[1]对照表!$K$3:$K$24,[1]对照表!$L$3:$L$24),LOOKUP(H271,[1]对照表!$K$27:$K$48,[1]对照表!$L$27:$L$48)),IF(B271="高二",IF($E271="男",LOOKUP(H271,[1]对照表!$J$3:$J$24,[1]对照表!$L$3:$L$24),LOOKUP(H271,[1]对照表!$J$27:$J$48,[1]对照表!$L$27:$L$48)),IF(B271="高一",IF($E271="男",LOOKUP(H271,[1]对照表!$I$3:$I$24,[1]对照表!$L$3:$L$24),LOOKUP(H271,[1]对照表!$I$27:$I$48,[1]对照表!$L$27:$L$48)))))</f>
        <v>70</v>
      </c>
      <c r="J271" s="21">
        <v>197</v>
      </c>
      <c r="K271" s="32">
        <f>IF(B271="高三",IF($E271="男",LOOKUP(J271,[1]对照表!$O$3:$O$24,[1]对照表!$P$3:$P$24),LOOKUP(J271,[1]对照表!$O$27:$O$48,[1]对照表!$P$27:$P$48)),IF(B271="高二",IF($E271="男",LOOKUP(J271,[1]对照表!$N$3:$N$24,[1]对照表!$P$3:$P$24),LOOKUP(J271,[1]对照表!$N$27:$N$48,[1]对照表!$P$27:$P$48)),IF(B271="高一",IF($E271="男",LOOKUP(J271,[1]对照表!$M$3:$M$24,[1]对照表!$P$3:$P$24),LOOKUP(J271,[1]对照表!$M$27:$M$48,[1]对照表!$P$27:$P$48)))))</f>
        <v>90</v>
      </c>
      <c r="L271" s="21">
        <v>52</v>
      </c>
      <c r="M271" s="32">
        <f>IF(B271="高三",IF($E271="男",LOOKUP(L271,[1]对照表!$S$3:$S$24,[1]对照表!$T$3:$T$24),LOOKUP(L271,[1]对照表!$S$27:$S$48,[1]对照表!$T$27:$T$48)),IF(B271="高二",IF($E271="男",LOOKUP(L271,[1]对照表!$R$3:$R$24,[1]对照表!$T$3:$T$24),LOOKUP(L271,[1]对照表!$R$27:$R$48,[1]对照表!$T$27:$T$48)),IF(B271="高一",IF($E271="男",LOOKUP(L271,[1]对照表!$Q$3:$Q$24,[1]对照表!$T$3:$T$24),LOOKUP(L271,[1]对照表!$Q$27:$Q$48,[1]对照表!$T$27:$T$48)))))</f>
        <v>95</v>
      </c>
      <c r="N271" s="33">
        <f>IF(B271="高三",MAX(IF(E271="男",L271-18,L271-55),0),IF(B271="高二",MAX(IF(E271="男",L271-17,L271-54),0),IF(B271="高一",MAX(IF(E271="男",L271-16,L271-53),0))))</f>
        <v>0</v>
      </c>
      <c r="O271" s="23">
        <f>IF(E271="男",LOOKUP($N271,[1]对照表!$Z$3:$Z$13,[1]对照表!$AA$3:$AA$13),LOOKUP($N271,[1]对照表!$Z$15:$Z$25,[1]对照表!$AA$15:$AA$25))</f>
        <v>0</v>
      </c>
      <c r="P271" s="24">
        <f>M271+O271</f>
        <v>95</v>
      </c>
      <c r="Q271" s="25">
        <v>3.38</v>
      </c>
      <c r="R271" s="32">
        <f>IF(B271="高三",IF($E271="男",LOOKUP(Q271,[1]对照表!$W$3:$W$24,[1]对照表!$X$3:$X$24),LOOKUP(Q271,[1]对照表!$W$27:$W$48,[1]对照表!$X$27:$X$48)),IF(B271="高二",IF($E271="男",LOOKUP(Q271,[1]对照表!$V$3:$V$24,[1]对照表!$X$3:$X$24),LOOKUP(Q271,[1]对照表!$V$27:$V$48,[1]对照表!$X$27:$X$48)),IF(B271="高一",IF($E271="男",LOOKUP(Q271,[1]对照表!$U$3:$U$24,[1]对照表!$X$3:$X$24),LOOKUP(Q271,[1]对照表!$U$27:$U$48,[1]对照表!$X$27:$X$48)))))</f>
        <v>85</v>
      </c>
      <c r="S271" s="33">
        <f>ROUND(IF(IF($B271="高三",MIN(IF($E271="男",$Q271-3.2,$Q271-3.2),0),IF($B271="高二",MIN(IF($E271="男",$Q271-3.25,$Q271-3.22),0),IF($B271="高一",MIN(IF($E271="男",$Q271-3.3,$Q271-3.24),0))))&lt;-0.6,IF($B271="高三",MIN(IF($E271="男",$Q271-3.2,$Q271-3.2),0),IF($B271="高二",MIN(IF($E271="男",$Q271-3.25,$Q271-3.22),0),IF($B271="高一",MIN(IF($E271="男",$Q271-3.3,$Q271-3.24),0))))+0.4,IF($B271="高三",MIN(IF($E271="男",$Q271-3.2,$Q271-3.2),0),IF($B271="高二",MIN(IF($E271="男",$Q271-3.25,$Q271-3.22),0),IF($B271="高一",MIN(IF($E271="男",$Q271-3.3,$Q271-3.24),0))))),2)</f>
        <v>0</v>
      </c>
      <c r="T271" s="23">
        <f>IF(E271="男",LOOKUP($S271,[1]对照表!$AB$3:$AB$13,[1]对照表!$AC$3:$AC$13),LOOKUP($S271,[1]对照表!$AB$15:$AB$25,[1]对照表!$AC$15:$AC$25))</f>
        <v>0</v>
      </c>
      <c r="U271" s="26">
        <f>R271+T271</f>
        <v>85</v>
      </c>
      <c r="V271" s="26">
        <f>SUM(I271,K271,M271)/3*0.3+SUM(G271,R271)/2*0.4</f>
        <v>58.5</v>
      </c>
      <c r="W271" s="27">
        <f>O271+T271</f>
        <v>0</v>
      </c>
      <c r="X271" s="28">
        <f>V271/0.7+W271</f>
        <v>83.571428571428584</v>
      </c>
      <c r="Y271" s="28">
        <v>83.571428571428584</v>
      </c>
      <c r="Z271" s="21"/>
    </row>
    <row r="272" spans="1:26" x14ac:dyDescent="0.25">
      <c r="A272" s="16">
        <v>11</v>
      </c>
      <c r="B272" s="17" t="s">
        <v>21</v>
      </c>
      <c r="C272" s="16">
        <v>107</v>
      </c>
      <c r="D272" s="18" t="s">
        <v>411</v>
      </c>
      <c r="E272" s="34" t="s">
        <v>23</v>
      </c>
      <c r="F272" s="19">
        <v>7</v>
      </c>
      <c r="G272" s="32">
        <f>IF(B272="高三",IF($E272="男",LOOKUP(F272,[1]对照表!$G$3:$G$24,[1]对照表!$H$3:$H$24),LOOKUP(F272,[1]对照表!$G$27:$G$48,[1]对照表!$H$27:$H$48)),IF(B272="高二",IF($E272="男",LOOKUP(F272,[1]对照表!$F$3:$F$24,[1]对照表!$H$3:$H$24),LOOKUP(F272,[1]对照表!$F$27:$F$48,[1]对照表!$H$27:$H$48)),IF(B272="高一",IF($E272="男",LOOKUP(F272,[1]对照表!$E$3:$E$24,[1]对照表!$H$3:$H$24),LOOKUP(F272,[1]对照表!$E$27:$E$48,[1]对照表!$H$27:$H$48)))))</f>
        <v>100</v>
      </c>
      <c r="H272" s="21">
        <v>4.5</v>
      </c>
      <c r="I272" s="32">
        <f>IF(B272="高三",IF($E272="男",LOOKUP(H272,[1]对照表!$K$3:$K$24,[1]对照表!$L$3:$L$24),LOOKUP(H272,[1]对照表!$K$27:$K$48,[1]对照表!$L$27:$L$48)),IF(B272="高二",IF($E272="男",LOOKUP(H272,[1]对照表!$J$3:$J$24,[1]对照表!$L$3:$L$24),LOOKUP(H272,[1]对照表!$J$27:$J$48,[1]对照表!$L$27:$L$48)),IF(B272="高一",IF($E272="男",LOOKUP(H272,[1]对照表!$I$3:$I$24,[1]对照表!$L$3:$L$24),LOOKUP(H272,[1]对照表!$I$27:$I$48,[1]对照表!$L$27:$L$48)))))</f>
        <v>64</v>
      </c>
      <c r="J272" s="21">
        <v>185</v>
      </c>
      <c r="K272" s="32">
        <f>IF(B272="高三",IF($E272="男",LOOKUP(J272,[1]对照表!$O$3:$O$24,[1]对照表!$P$3:$P$24),LOOKUP(J272,[1]对照表!$O$27:$O$48,[1]对照表!$P$27:$P$48)),IF(B272="高二",IF($E272="男",LOOKUP(J272,[1]对照表!$N$3:$N$24,[1]对照表!$P$3:$P$24),LOOKUP(J272,[1]对照表!$N$27:$N$48,[1]对照表!$P$27:$P$48)),IF(B272="高一",IF($E272="男",LOOKUP(J272,[1]对照表!$M$3:$M$24,[1]对照表!$P$3:$P$24),LOOKUP(J272,[1]对照表!$M$27:$M$48,[1]对照表!$P$27:$P$48)))))</f>
        <v>40</v>
      </c>
      <c r="L272" s="21">
        <v>11</v>
      </c>
      <c r="M272" s="32">
        <f>IF(B272="高三",IF($E272="男",LOOKUP(L272,[1]对照表!$S$3:$S$24,[1]对照表!$T$3:$T$24),LOOKUP(L272,[1]对照表!$S$27:$S$48,[1]对照表!$T$27:$T$48)),IF(B272="高二",IF($E272="男",LOOKUP(L272,[1]对照表!$R$3:$R$24,[1]对照表!$T$3:$T$24),LOOKUP(L272,[1]对照表!$R$27:$R$48,[1]对照表!$T$27:$T$48)),IF(B272="高一",IF($E272="男",LOOKUP(L272,[1]对照表!$Q$3:$Q$24,[1]对照表!$T$3:$T$24),LOOKUP(L272,[1]对照表!$Q$27:$Q$48,[1]对照表!$T$27:$T$48)))))</f>
        <v>76</v>
      </c>
      <c r="N272" s="33">
        <f>IF(B272="高三",MAX(IF(E272="男",L272-18,L272-55),0),IF(B272="高二",MAX(IF(E272="男",L272-17,L272-54),0),IF(B272="高一",MAX(IF(E272="男",L272-16,L272-53),0))))</f>
        <v>0</v>
      </c>
      <c r="O272" s="23">
        <f>IF(E272="男",LOOKUP($N272,[1]对照表!$Z$3:$Z$13,[1]对照表!$AA$3:$AA$13),LOOKUP($N272,[1]对照表!$Z$15:$Z$25,[1]对照表!$AA$15:$AA$25))</f>
        <v>0</v>
      </c>
      <c r="P272" s="24">
        <f>M272+O272</f>
        <v>76</v>
      </c>
      <c r="Q272" s="25">
        <v>3.49</v>
      </c>
      <c r="R272" s="32">
        <f>IF(B272="高三",IF($E272="男",LOOKUP(Q272,[1]对照表!$W$3:$W$24,[1]对照表!$X$3:$X$24),LOOKUP(Q272,[1]对照表!$W$27:$W$48,[1]对照表!$X$27:$X$48)),IF(B272="高二",IF($E272="男",LOOKUP(Q272,[1]对照表!$V$3:$V$24,[1]对照表!$X$3:$X$24),LOOKUP(Q272,[1]对照表!$V$27:$V$48,[1]对照表!$X$27:$X$48)),IF(B272="高一",IF($E272="男",LOOKUP(Q272,[1]对照表!$U$3:$U$24,[1]对照表!$X$3:$X$24),LOOKUP(Q272,[1]对照表!$U$27:$U$48,[1]对照表!$X$27:$X$48)))))</f>
        <v>80</v>
      </c>
      <c r="S272" s="33">
        <f>ROUND(IF(IF($B272="高三",MIN(IF($E272="男",$Q272-3.2,$Q272-3.2),0),IF($B272="高二",MIN(IF($E272="男",$Q272-3.25,$Q272-3.22),0),IF($B272="高一",MIN(IF($E272="男",$Q272-3.3,$Q272-3.24),0))))&lt;-0.6,IF($B272="高三",MIN(IF($E272="男",$Q272-3.2,$Q272-3.2),0),IF($B272="高二",MIN(IF($E272="男",$Q272-3.25,$Q272-3.22),0),IF($B272="高一",MIN(IF($E272="男",$Q272-3.3,$Q272-3.24),0))))+0.4,IF($B272="高三",MIN(IF($E272="男",$Q272-3.2,$Q272-3.2),0),IF($B272="高二",MIN(IF($E272="男",$Q272-3.25,$Q272-3.22),0),IF($B272="高一",MIN(IF($E272="男",$Q272-3.3,$Q272-3.24),0))))),2)</f>
        <v>0</v>
      </c>
      <c r="T272" s="23">
        <f>IF(E272="男",LOOKUP($S272,[1]对照表!$AB$3:$AB$13,[1]对照表!$AC$3:$AC$13),LOOKUP($S272,[1]对照表!$AB$15:$AB$25,[1]对照表!$AC$15:$AC$25))</f>
        <v>0</v>
      </c>
      <c r="U272" s="26">
        <f>R272+T272</f>
        <v>80</v>
      </c>
      <c r="V272" s="26">
        <f>SUM(I272,K272,M272)/3*0.3+SUM(G272,R272)/2*0.4</f>
        <v>54</v>
      </c>
      <c r="W272" s="27">
        <f>O272+T272</f>
        <v>0</v>
      </c>
      <c r="X272" s="28">
        <f>V272/0.7+W272</f>
        <v>77.142857142857153</v>
      </c>
      <c r="Y272" s="28">
        <v>77.142857142857153</v>
      </c>
      <c r="Z272" s="21"/>
    </row>
    <row r="273" spans="1:26" x14ac:dyDescent="0.25">
      <c r="A273" s="16">
        <v>35</v>
      </c>
      <c r="B273" s="17" t="s">
        <v>21</v>
      </c>
      <c r="C273" s="16">
        <v>107</v>
      </c>
      <c r="D273" s="18" t="s">
        <v>415</v>
      </c>
      <c r="E273" s="16" t="s">
        <v>23</v>
      </c>
      <c r="F273" s="19">
        <v>7.6</v>
      </c>
      <c r="G273" s="32">
        <f>IF(B273="高三",IF($E273="男",LOOKUP(F273,[1]对照表!$G$3:$G$24,[1]对照表!$H$3:$H$24),LOOKUP(F273,[1]对照表!$G$27:$G$48,[1]对照表!$H$27:$H$48)),IF(B273="高二",IF($E273="男",LOOKUP(F273,[1]对照表!$F$3:$F$24,[1]对照表!$H$3:$H$24),LOOKUP(F273,[1]对照表!$F$27:$F$48,[1]对照表!$H$27:$H$48)),IF(B273="高一",IF($E273="男",LOOKUP(F273,[1]对照表!$E$3:$E$24,[1]对照表!$H$3:$H$24),LOOKUP(F273,[1]对照表!$E$27:$E$48,[1]对照表!$H$27:$H$48)))))</f>
        <v>78</v>
      </c>
      <c r="H273" s="21">
        <v>11.6</v>
      </c>
      <c r="I273" s="32">
        <f>IF(B273="高三",IF($E273="男",LOOKUP(H273,[1]对照表!$K$3:$K$24,[1]对照表!$L$3:$L$24),LOOKUP(H273,[1]对照表!$K$27:$K$48,[1]对照表!$L$27:$L$48)),IF(B273="高二",IF($E273="男",LOOKUP(H273,[1]对照表!$J$3:$J$24,[1]对照表!$L$3:$L$24),LOOKUP(H273,[1]对照表!$J$27:$J$48,[1]对照表!$L$27:$L$48)),IF(B273="高一",IF($E273="男",LOOKUP(H273,[1]对照表!$I$3:$I$24,[1]对照表!$L$3:$L$24),LOOKUP(H273,[1]对照表!$I$27:$I$48,[1]对照表!$L$27:$L$48)))))</f>
        <v>74</v>
      </c>
      <c r="J273" s="21">
        <v>227</v>
      </c>
      <c r="K273" s="32">
        <f>IF(B273="高三",IF($E273="男",LOOKUP(J273,[1]对照表!$O$3:$O$24,[1]对照表!$P$3:$P$24),LOOKUP(J273,[1]对照表!$O$27:$O$48,[1]对照表!$P$27:$P$48)),IF(B273="高二",IF($E273="男",LOOKUP(J273,[1]对照表!$N$3:$N$24,[1]对照表!$P$3:$P$24),LOOKUP(J273,[1]对照表!$N$27:$N$48,[1]对照表!$P$27:$P$48)),IF(B273="高一",IF($E273="男",LOOKUP(J273,[1]对照表!$M$3:$M$24,[1]对照表!$P$3:$P$24),LOOKUP(J273,[1]对照表!$M$27:$M$48,[1]对照表!$P$27:$P$48)))))</f>
        <v>76</v>
      </c>
      <c r="L273" s="21">
        <v>11</v>
      </c>
      <c r="M273" s="32">
        <f>IF(B273="高三",IF($E273="男",LOOKUP(L273,[1]对照表!$S$3:$S$24,[1]对照表!$T$3:$T$24),LOOKUP(L273,[1]对照表!$S$27:$S$48,[1]对照表!$T$27:$T$48)),IF(B273="高二",IF($E273="男",LOOKUP(L273,[1]对照表!$R$3:$R$24,[1]对照表!$T$3:$T$24),LOOKUP(L273,[1]对照表!$R$27:$R$48,[1]对照表!$T$27:$T$48)),IF(B273="高一",IF($E273="男",LOOKUP(L273,[1]对照表!$Q$3:$Q$24,[1]对照表!$T$3:$T$24),LOOKUP(L273,[1]对照表!$Q$27:$Q$48,[1]对照表!$T$27:$T$48)))))</f>
        <v>76</v>
      </c>
      <c r="N273" s="33">
        <f>IF(B273="高三",MAX(IF(E273="男",L273-18,L273-55),0),IF(B273="高二",MAX(IF(E273="男",L273-17,L273-54),0),IF(B273="高一",MAX(IF(E273="男",L273-16,L273-53),0))))</f>
        <v>0</v>
      </c>
      <c r="O273" s="23">
        <f>IF(E273="男",LOOKUP($N273,[1]对照表!$Z$3:$Z$13,[1]对照表!$AA$3:$AA$13),LOOKUP($N273,[1]对照表!$Z$15:$Z$25,[1]对照表!$AA$15:$AA$25))</f>
        <v>0</v>
      </c>
      <c r="P273" s="24">
        <f>M273+O273</f>
        <v>76</v>
      </c>
      <c r="Q273" s="25">
        <v>3.57</v>
      </c>
      <c r="R273" s="32">
        <f>IF(B273="高三",IF($E273="男",LOOKUP(Q273,[1]对照表!$W$3:$W$24,[1]对照表!$X$3:$X$24),LOOKUP(Q273,[1]对照表!$W$27:$W$48,[1]对照表!$X$27:$X$48)),IF(B273="高二",IF($E273="男",LOOKUP(Q273,[1]对照表!$V$3:$V$24,[1]对照表!$X$3:$X$24),LOOKUP(Q273,[1]对照表!$V$27:$V$48,[1]对照表!$X$27:$X$48)),IF(B273="高一",IF($E273="男",LOOKUP(Q273,[1]对照表!$U$3:$U$24,[1]对照表!$X$3:$X$24),LOOKUP(Q273,[1]对照表!$U$27:$U$48,[1]对照表!$X$27:$X$48)))))</f>
        <v>78</v>
      </c>
      <c r="S273" s="33">
        <f>ROUND(IF(IF($B273="高三",MIN(IF($E273="男",$Q273-3.2,$Q273-3.2),0),IF($B273="高二",MIN(IF($E273="男",$Q273-3.25,$Q273-3.22),0),IF($B273="高一",MIN(IF($E273="男",$Q273-3.3,$Q273-3.24),0))))&lt;-0.6,IF($B273="高三",MIN(IF($E273="男",$Q273-3.2,$Q273-3.2),0),IF($B273="高二",MIN(IF($E273="男",$Q273-3.25,$Q273-3.22),0),IF($B273="高一",MIN(IF($E273="男",$Q273-3.3,$Q273-3.24),0))))+0.4,IF($B273="高三",MIN(IF($E273="男",$Q273-3.2,$Q273-3.2),0),IF($B273="高二",MIN(IF($E273="男",$Q273-3.25,$Q273-3.22),0),IF($B273="高一",MIN(IF($E273="男",$Q273-3.3,$Q273-3.24),0))))),2)</f>
        <v>0</v>
      </c>
      <c r="T273" s="23">
        <f>IF(E273="男",LOOKUP($S273,[1]对照表!$AB$3:$AB$13,[1]对照表!$AC$3:$AC$13),LOOKUP($S273,[1]对照表!$AB$15:$AB$25,[1]对照表!$AC$15:$AC$25))</f>
        <v>0</v>
      </c>
      <c r="U273" s="26">
        <f>R273+T273</f>
        <v>78</v>
      </c>
      <c r="V273" s="26">
        <f>SUM(I273,K273,M273)/3*0.3+SUM(G273,R273)/2*0.4</f>
        <v>53.8</v>
      </c>
      <c r="W273" s="27">
        <f>O273+T273</f>
        <v>0</v>
      </c>
      <c r="X273" s="28">
        <f>V273/0.7+W273</f>
        <v>76.857142857142861</v>
      </c>
      <c r="Y273" s="28">
        <v>76.857142857142861</v>
      </c>
      <c r="Z273" s="21"/>
    </row>
    <row r="274" spans="1:26" x14ac:dyDescent="0.25">
      <c r="A274" s="16">
        <v>9</v>
      </c>
      <c r="B274" s="17" t="s">
        <v>21</v>
      </c>
      <c r="C274" s="16">
        <v>107</v>
      </c>
      <c r="D274" s="18" t="s">
        <v>430</v>
      </c>
      <c r="E274" s="17" t="s">
        <v>23</v>
      </c>
      <c r="F274" s="19">
        <v>7.3</v>
      </c>
      <c r="G274" s="32">
        <f>IF(B274="高三",IF($E274="男",LOOKUP(F274,[1]对照表!$G$3:$G$24,[1]对照表!$H$3:$H$24),LOOKUP(F274,[1]对照表!$G$27:$G$48,[1]对照表!$H$27:$H$48)),IF(B274="高二",IF($E274="男",LOOKUP(F274,[1]对照表!$F$3:$F$24,[1]对照表!$H$3:$H$24),LOOKUP(F274,[1]对照表!$F$27:$F$48,[1]对照表!$H$27:$H$48)),IF(B274="高一",IF($E274="男",LOOKUP(F274,[1]对照表!$E$3:$E$24,[1]对照表!$H$3:$H$24),LOOKUP(F274,[1]对照表!$E$27:$E$48,[1]对照表!$H$27:$H$48)))))</f>
        <v>90</v>
      </c>
      <c r="H274" s="21">
        <v>3.2</v>
      </c>
      <c r="I274" s="32">
        <f>IF(B274="高三",IF($E274="男",LOOKUP(H274,[1]对照表!$K$3:$K$24,[1]对照表!$L$3:$L$24),LOOKUP(H274,[1]对照表!$K$27:$K$48,[1]对照表!$L$27:$L$48)),IF(B274="高二",IF($E274="男",LOOKUP(H274,[1]对照表!$J$3:$J$24,[1]对照表!$L$3:$L$24),LOOKUP(H274,[1]对照表!$J$27:$J$48,[1]对照表!$L$27:$L$48)),IF(B274="高一",IF($E274="男",LOOKUP(H274,[1]对照表!$I$3:$I$24,[1]对照表!$L$3:$L$24),LOOKUP(H274,[1]对照表!$I$27:$I$48,[1]对照表!$L$27:$L$48)))))</f>
        <v>62</v>
      </c>
      <c r="J274" s="21">
        <v>232</v>
      </c>
      <c r="K274" s="32">
        <f>IF(B274="高三",IF($E274="男",LOOKUP(J274,[1]对照表!$O$3:$O$24,[1]对照表!$P$3:$P$24),LOOKUP(J274,[1]对照表!$O$27:$O$48,[1]对照表!$P$27:$P$48)),IF(B274="高二",IF($E274="男",LOOKUP(J274,[1]对照表!$N$3:$N$24,[1]对照表!$P$3:$P$24),LOOKUP(J274,[1]对照表!$N$27:$N$48,[1]对照表!$P$27:$P$48)),IF(B274="高一",IF($E274="男",LOOKUP(J274,[1]对照表!$M$3:$M$24,[1]对照表!$P$3:$P$24),LOOKUP(J274,[1]对照表!$M$27:$M$48,[1]对照表!$P$27:$P$48)))))</f>
        <v>78</v>
      </c>
      <c r="L274" s="21">
        <v>6</v>
      </c>
      <c r="M274" s="32">
        <f>IF(B274="高三",IF($E274="男",LOOKUP(L274,[1]对照表!$S$3:$S$24,[1]对照表!$T$3:$T$24),LOOKUP(L274,[1]对照表!$S$27:$S$48,[1]对照表!$T$27:$T$48)),IF(B274="高二",IF($E274="男",LOOKUP(L274,[1]对照表!$R$3:$R$24,[1]对照表!$T$3:$T$24),LOOKUP(L274,[1]对照表!$R$27:$R$48,[1]对照表!$T$27:$T$48)),IF(B274="高一",IF($E274="男",LOOKUP(L274,[1]对照表!$Q$3:$Q$24,[1]对照表!$T$3:$T$24),LOOKUP(L274,[1]对照表!$Q$27:$Q$48,[1]对照表!$T$27:$T$48)))))</f>
        <v>50</v>
      </c>
      <c r="N274" s="33">
        <f>IF(B274="高三",MAX(IF(E274="男",L274-18,L274-55),0),IF(B274="高二",MAX(IF(E274="男",L274-17,L274-54),0),IF(B274="高一",MAX(IF(E274="男",L274-16,L274-53),0))))</f>
        <v>0</v>
      </c>
      <c r="O274" s="23">
        <f>IF(E274="男",LOOKUP($N274,[1]对照表!$Z$3:$Z$13,[1]对照表!$AA$3:$AA$13),LOOKUP($N274,[1]对照表!$Z$15:$Z$25,[1]对照表!$AA$15:$AA$25))</f>
        <v>0</v>
      </c>
      <c r="P274" s="24">
        <f>M274+O274</f>
        <v>50</v>
      </c>
      <c r="Q274" s="25">
        <v>3.59</v>
      </c>
      <c r="R274" s="32">
        <f>IF(B274="高三",IF($E274="男",LOOKUP(Q274,[1]对照表!$W$3:$W$24,[1]对照表!$X$3:$X$24),LOOKUP(Q274,[1]对照表!$W$27:$W$48,[1]对照表!$X$27:$X$48)),IF(B274="高二",IF($E274="男",LOOKUP(Q274,[1]对照表!$V$3:$V$24,[1]对照表!$X$3:$X$24),LOOKUP(Q274,[1]对照表!$V$27:$V$48,[1]对照表!$X$27:$X$48)),IF(B274="高一",IF($E274="男",LOOKUP(Q274,[1]对照表!$U$3:$U$24,[1]对照表!$X$3:$X$24),LOOKUP(Q274,[1]对照表!$U$27:$U$48,[1]对照表!$X$27:$X$48)))))</f>
        <v>78</v>
      </c>
      <c r="S274" s="33">
        <f>ROUND(IF(IF($B274="高三",MIN(IF($E274="男",$Q274-3.2,$Q274-3.2),0),IF($B274="高二",MIN(IF($E274="男",$Q274-3.25,$Q274-3.22),0),IF($B274="高一",MIN(IF($E274="男",$Q274-3.3,$Q274-3.24),0))))&lt;-0.6,IF($B274="高三",MIN(IF($E274="男",$Q274-3.2,$Q274-3.2),0),IF($B274="高二",MIN(IF($E274="男",$Q274-3.25,$Q274-3.22),0),IF($B274="高一",MIN(IF($E274="男",$Q274-3.3,$Q274-3.24),0))))+0.4,IF($B274="高三",MIN(IF($E274="男",$Q274-3.2,$Q274-3.2),0),IF($B274="高二",MIN(IF($E274="男",$Q274-3.25,$Q274-3.22),0),IF($B274="高一",MIN(IF($E274="男",$Q274-3.3,$Q274-3.24),0))))),2)</f>
        <v>0</v>
      </c>
      <c r="T274" s="23">
        <f>IF(E274="男",LOOKUP($S274,[1]对照表!$AB$3:$AB$13,[1]对照表!$AC$3:$AC$13),LOOKUP($S274,[1]对照表!$AB$15:$AB$25,[1]对照表!$AC$15:$AC$25))</f>
        <v>0</v>
      </c>
      <c r="U274" s="26">
        <f>R274+T274</f>
        <v>78</v>
      </c>
      <c r="V274" s="26">
        <f>SUM(I274,K274,M274)/3*0.3+SUM(G274,R274)/2*0.4</f>
        <v>52.6</v>
      </c>
      <c r="W274" s="27">
        <f>O274+T274</f>
        <v>0</v>
      </c>
      <c r="X274" s="28">
        <f>V274/0.7+W274</f>
        <v>75.142857142857153</v>
      </c>
      <c r="Y274" s="28">
        <v>75.142857142857153</v>
      </c>
      <c r="Z274" s="21"/>
    </row>
    <row r="275" spans="1:26" x14ac:dyDescent="0.25">
      <c r="A275" s="16">
        <v>5</v>
      </c>
      <c r="B275" s="17" t="s">
        <v>21</v>
      </c>
      <c r="C275" s="16">
        <v>107</v>
      </c>
      <c r="D275" s="18" t="s">
        <v>434</v>
      </c>
      <c r="E275" s="17" t="s">
        <v>23</v>
      </c>
      <c r="F275" s="19">
        <v>7.5</v>
      </c>
      <c r="G275" s="32">
        <f>IF(B275="高三",IF($E275="男",LOOKUP(F275,[1]对照表!$G$3:$G$24,[1]对照表!$H$3:$H$24),LOOKUP(F275,[1]对照表!$G$27:$G$48,[1]对照表!$H$27:$H$48)),IF(B275="高二",IF($E275="男",LOOKUP(F275,[1]对照表!$F$3:$F$24,[1]对照表!$H$3:$H$24),LOOKUP(F275,[1]对照表!$F$27:$F$48,[1]对照表!$H$27:$H$48)),IF(B275="高一",IF($E275="男",LOOKUP(F275,[1]对照表!$E$3:$E$24,[1]对照表!$H$3:$H$24),LOOKUP(F275,[1]对照表!$E$27:$E$48,[1]对照表!$H$27:$H$48)))))</f>
        <v>80</v>
      </c>
      <c r="H275" s="21">
        <v>16.3</v>
      </c>
      <c r="I275" s="32">
        <f>IF(B275="高三",IF($E275="男",LOOKUP(H275,[1]对照表!$K$3:$K$24,[1]对照表!$L$3:$L$24),LOOKUP(H275,[1]对照表!$K$27:$K$48,[1]对照表!$L$27:$L$48)),IF(B275="高二",IF($E275="男",LOOKUP(H275,[1]对照表!$J$3:$J$24,[1]对照表!$L$3:$L$24),LOOKUP(H275,[1]对照表!$J$27:$J$48,[1]对照表!$L$27:$L$48)),IF(B275="高一",IF($E275="男",LOOKUP(H275,[1]对照表!$I$3:$I$24,[1]对照表!$L$3:$L$24),LOOKUP(H275,[1]对照表!$I$27:$I$48,[1]对照表!$L$27:$L$48)))))</f>
        <v>80</v>
      </c>
      <c r="J275" s="21">
        <v>233</v>
      </c>
      <c r="K275" s="32">
        <f>IF(B275="高三",IF($E275="男",LOOKUP(J275,[1]对照表!$O$3:$O$24,[1]对照表!$P$3:$P$24),LOOKUP(J275,[1]对照表!$O$27:$O$48,[1]对照表!$P$27:$P$48)),IF(B275="高二",IF($E275="男",LOOKUP(J275,[1]对照表!$N$3:$N$24,[1]对照表!$P$3:$P$24),LOOKUP(J275,[1]对照表!$N$27:$N$48,[1]对照表!$P$27:$P$48)),IF(B275="高一",IF($E275="男",LOOKUP(J275,[1]对照表!$M$3:$M$24,[1]对照表!$P$3:$P$24),LOOKUP(J275,[1]对照表!$M$27:$M$48,[1]对照表!$P$27:$P$48)))))</f>
        <v>78</v>
      </c>
      <c r="L275" s="21">
        <v>7</v>
      </c>
      <c r="M275" s="32">
        <f>IF(B275="高三",IF($E275="男",LOOKUP(L275,[1]对照表!$S$3:$S$24,[1]对照表!$T$3:$T$24),LOOKUP(L275,[1]对照表!$S$27:$S$48,[1]对照表!$T$27:$T$48)),IF(B275="高二",IF($E275="男",LOOKUP(L275,[1]对照表!$R$3:$R$24,[1]对照表!$T$3:$T$24),LOOKUP(L275,[1]对照表!$R$27:$R$48,[1]对照表!$T$27:$T$48)),IF(B275="高一",IF($E275="男",LOOKUP(L275,[1]对照表!$Q$3:$Q$24,[1]对照表!$T$3:$T$24),LOOKUP(L275,[1]对照表!$Q$27:$Q$48,[1]对照表!$T$27:$T$48)))))</f>
        <v>60</v>
      </c>
      <c r="N275" s="33">
        <f>IF(B275="高三",MAX(IF(E275="男",L275-18,L275-55),0),IF(B275="高二",MAX(IF(E275="男",L275-17,L275-54),0),IF(B275="高一",MAX(IF(E275="男",L275-16,L275-53),0))))</f>
        <v>0</v>
      </c>
      <c r="O275" s="23">
        <f>IF(E275="男",LOOKUP($N275,[1]对照表!$Z$3:$Z$13,[1]对照表!$AA$3:$AA$13),LOOKUP($N275,[1]对照表!$Z$15:$Z$25,[1]对照表!$AA$15:$AA$25))</f>
        <v>0</v>
      </c>
      <c r="P275" s="24">
        <f>M275+O275</f>
        <v>60</v>
      </c>
      <c r="Q275" s="25">
        <v>4.1100000000000003</v>
      </c>
      <c r="R275" s="32">
        <f>IF(B275="高三",IF($E275="男",LOOKUP(Q275,[1]对照表!$W$3:$W$24,[1]对照表!$X$3:$X$24),LOOKUP(Q275,[1]对照表!$W$27:$W$48,[1]对照表!$X$27:$X$48)),IF(B275="高二",IF($E275="男",LOOKUP(Q275,[1]对照表!$V$3:$V$24,[1]对照表!$X$3:$X$24),LOOKUP(Q275,[1]对照表!$V$27:$V$48,[1]对照表!$X$27:$X$48)),IF(B275="高一",IF($E275="男",LOOKUP(Q275,[1]对照表!$U$3:$U$24,[1]对照表!$X$3:$X$24),LOOKUP(Q275,[1]对照表!$U$27:$U$48,[1]对照表!$X$27:$X$48)))))</f>
        <v>72</v>
      </c>
      <c r="S275" s="33">
        <f>ROUND(IF(IF($B275="高三",MIN(IF($E275="男",$Q275-3.2,$Q275-3.2),0),IF($B275="高二",MIN(IF($E275="男",$Q275-3.25,$Q275-3.22),0),IF($B275="高一",MIN(IF($E275="男",$Q275-3.3,$Q275-3.24),0))))&lt;-0.6,IF($B275="高三",MIN(IF($E275="男",$Q275-3.2,$Q275-3.2),0),IF($B275="高二",MIN(IF($E275="男",$Q275-3.25,$Q275-3.22),0),IF($B275="高一",MIN(IF($E275="男",$Q275-3.3,$Q275-3.24),0))))+0.4,IF($B275="高三",MIN(IF($E275="男",$Q275-3.2,$Q275-3.2),0),IF($B275="高二",MIN(IF($E275="男",$Q275-3.25,$Q275-3.22),0),IF($B275="高一",MIN(IF($E275="男",$Q275-3.3,$Q275-3.24),0))))),2)</f>
        <v>0</v>
      </c>
      <c r="T275" s="23">
        <f>IF(E275="男",LOOKUP($S275,[1]对照表!$AB$3:$AB$13,[1]对照表!$AC$3:$AC$13),LOOKUP($S275,[1]对照表!$AB$15:$AB$25,[1]对照表!$AC$15:$AC$25))</f>
        <v>0</v>
      </c>
      <c r="U275" s="26">
        <f>R275+T275</f>
        <v>72</v>
      </c>
      <c r="V275" s="26">
        <f>SUM(I275,K275,M275)/3*0.3+SUM(G275,R275)/2*0.4</f>
        <v>52.2</v>
      </c>
      <c r="W275" s="27">
        <f>O275+T275</f>
        <v>0</v>
      </c>
      <c r="X275" s="28">
        <f>V275/0.7+W275</f>
        <v>74.571428571428584</v>
      </c>
      <c r="Y275" s="28">
        <v>74.571428571428584</v>
      </c>
      <c r="Z275" s="21"/>
    </row>
    <row r="276" spans="1:26" x14ac:dyDescent="0.25">
      <c r="A276" s="16">
        <v>24</v>
      </c>
      <c r="B276" s="17" t="s">
        <v>21</v>
      </c>
      <c r="C276" s="16">
        <v>107</v>
      </c>
      <c r="D276" s="18" t="s">
        <v>435</v>
      </c>
      <c r="E276" s="16" t="s">
        <v>23</v>
      </c>
      <c r="F276" s="19">
        <v>8</v>
      </c>
      <c r="G276" s="32">
        <f>IF(B276="高三",IF($E276="男",LOOKUP(F276,[1]对照表!$G$3:$G$24,[1]对照表!$H$3:$H$24),LOOKUP(F276,[1]对照表!$G$27:$G$48,[1]对照表!$H$27:$H$48)),IF(B276="高二",IF($E276="男",LOOKUP(F276,[1]对照表!$F$3:$F$24,[1]对照表!$H$3:$H$24),LOOKUP(F276,[1]对照表!$F$27:$F$48,[1]对照表!$H$27:$H$48)),IF(B276="高一",IF($E276="男",LOOKUP(F276,[1]对照表!$E$3:$E$24,[1]对照表!$H$3:$H$24),LOOKUP(F276,[1]对照表!$E$27:$E$48,[1]对照表!$H$27:$H$48)))))</f>
        <v>74</v>
      </c>
      <c r="H276" s="21">
        <v>9.3000000000000007</v>
      </c>
      <c r="I276" s="32">
        <f>IF(B276="高三",IF($E276="男",LOOKUP(H276,[1]对照表!$K$3:$K$24,[1]对照表!$L$3:$L$24),LOOKUP(H276,[1]对照表!$K$27:$K$48,[1]对照表!$L$27:$L$48)),IF(B276="高二",IF($E276="男",LOOKUP(H276,[1]对照表!$J$3:$J$24,[1]对照表!$L$3:$L$24),LOOKUP(H276,[1]对照表!$J$27:$J$48,[1]对照表!$L$27:$L$48)),IF(B276="高一",IF($E276="男",LOOKUP(H276,[1]对照表!$I$3:$I$24,[1]对照表!$L$3:$L$24),LOOKUP(H276,[1]对照表!$I$27:$I$48,[1]对照表!$L$27:$L$48)))))</f>
        <v>70</v>
      </c>
      <c r="J276" s="21">
        <v>213</v>
      </c>
      <c r="K276" s="32">
        <f>IF(B276="高三",IF($E276="男",LOOKUP(J276,[1]对照表!$O$3:$O$24,[1]对照表!$P$3:$P$24),LOOKUP(J276,[1]对照表!$O$27:$O$48,[1]对照表!$P$27:$P$48)),IF(B276="高二",IF($E276="男",LOOKUP(J276,[1]对照表!$N$3:$N$24,[1]对照表!$P$3:$P$24),LOOKUP(J276,[1]对照表!$N$27:$N$48,[1]对照表!$P$27:$P$48)),IF(B276="高一",IF($E276="男",LOOKUP(J276,[1]对照表!$M$3:$M$24,[1]对照表!$P$3:$P$24),LOOKUP(J276,[1]对照表!$M$27:$M$48,[1]对照表!$P$27:$P$48)))))</f>
        <v>68</v>
      </c>
      <c r="L276" s="21">
        <v>8</v>
      </c>
      <c r="M276" s="32">
        <f>IF(B276="高三",IF($E276="男",LOOKUP(L276,[1]对照表!$S$3:$S$24,[1]对照表!$T$3:$T$24),LOOKUP(L276,[1]对照表!$S$27:$S$48,[1]对照表!$T$27:$T$48)),IF(B276="高二",IF($E276="男",LOOKUP(L276,[1]对照表!$R$3:$R$24,[1]对照表!$T$3:$T$24),LOOKUP(L276,[1]对照表!$R$27:$R$48,[1]对照表!$T$27:$T$48)),IF(B276="高一",IF($E276="男",LOOKUP(L276,[1]对照表!$Q$3:$Q$24,[1]对照表!$T$3:$T$24),LOOKUP(L276,[1]对照表!$Q$27:$Q$48,[1]对照表!$T$27:$T$48)))))</f>
        <v>64</v>
      </c>
      <c r="N276" s="33">
        <f>IF(B276="高三",MAX(IF(E276="男",L276-18,L276-55),0),IF(B276="高二",MAX(IF(E276="男",L276-17,L276-54),0),IF(B276="高一",MAX(IF(E276="男",L276-16,L276-53),0))))</f>
        <v>0</v>
      </c>
      <c r="O276" s="23">
        <f>IF(E276="男",LOOKUP($N276,[1]对照表!$Z$3:$Z$13,[1]对照表!$AA$3:$AA$13),LOOKUP($N276,[1]对照表!$Z$15:$Z$25,[1]对照表!$AA$15:$AA$25))</f>
        <v>0</v>
      </c>
      <c r="P276" s="24">
        <f>M276+O276</f>
        <v>64</v>
      </c>
      <c r="Q276" s="25">
        <v>3.47</v>
      </c>
      <c r="R276" s="32">
        <f>IF(B276="高三",IF($E276="男",LOOKUP(Q276,[1]对照表!$W$3:$W$24,[1]对照表!$X$3:$X$24),LOOKUP(Q276,[1]对照表!$W$27:$W$48,[1]对照表!$X$27:$X$48)),IF(B276="高二",IF($E276="男",LOOKUP(Q276,[1]对照表!$V$3:$V$24,[1]对照表!$X$3:$X$24),LOOKUP(Q276,[1]对照表!$V$27:$V$48,[1]对照表!$X$27:$X$48)),IF(B276="高一",IF($E276="男",LOOKUP(Q276,[1]对照表!$U$3:$U$24,[1]对照表!$X$3:$X$24),LOOKUP(Q276,[1]对照表!$U$27:$U$48,[1]对照表!$X$27:$X$48)))))</f>
        <v>85</v>
      </c>
      <c r="S276" s="33">
        <f>ROUND(IF(IF($B276="高三",MIN(IF($E276="男",$Q276-3.2,$Q276-3.2),0),IF($B276="高二",MIN(IF($E276="男",$Q276-3.25,$Q276-3.22),0),IF($B276="高一",MIN(IF($E276="男",$Q276-3.3,$Q276-3.24),0))))&lt;-0.6,IF($B276="高三",MIN(IF($E276="男",$Q276-3.2,$Q276-3.2),0),IF($B276="高二",MIN(IF($E276="男",$Q276-3.25,$Q276-3.22),0),IF($B276="高一",MIN(IF($E276="男",$Q276-3.3,$Q276-3.24),0))))+0.4,IF($B276="高三",MIN(IF($E276="男",$Q276-3.2,$Q276-3.2),0),IF($B276="高二",MIN(IF($E276="男",$Q276-3.25,$Q276-3.22),0),IF($B276="高一",MIN(IF($E276="男",$Q276-3.3,$Q276-3.24),0))))),2)</f>
        <v>0</v>
      </c>
      <c r="T276" s="23">
        <f>IF(E276="男",LOOKUP($S276,[1]对照表!$AB$3:$AB$13,[1]对照表!$AC$3:$AC$13),LOOKUP($S276,[1]对照表!$AB$15:$AB$25,[1]对照表!$AC$15:$AC$25))</f>
        <v>0</v>
      </c>
      <c r="U276" s="26">
        <f>R276+T276</f>
        <v>85</v>
      </c>
      <c r="V276" s="26">
        <f>SUM(I276,K276,M276)/3*0.3+SUM(G276,R276)/2*0.4</f>
        <v>52</v>
      </c>
      <c r="W276" s="27">
        <f>O276+T276</f>
        <v>0</v>
      </c>
      <c r="X276" s="28">
        <f>V276/0.7+W276</f>
        <v>74.285714285714292</v>
      </c>
      <c r="Y276" s="28">
        <v>74.285714285714292</v>
      </c>
      <c r="Z276" s="21"/>
    </row>
    <row r="277" spans="1:26" x14ac:dyDescent="0.25">
      <c r="A277" s="16">
        <v>38</v>
      </c>
      <c r="B277" s="17" t="s">
        <v>21</v>
      </c>
      <c r="C277" s="16">
        <v>107</v>
      </c>
      <c r="D277" s="18" t="s">
        <v>461</v>
      </c>
      <c r="E277" s="17" t="s">
        <v>65</v>
      </c>
      <c r="F277" s="19">
        <v>8.83</v>
      </c>
      <c r="G277" s="32">
        <f>IF(B277="高三",IF($E277="男",LOOKUP(F277,[1]对照表!$G$3:$G$24,[1]对照表!$H$3:$H$24),LOOKUP(F277,[1]对照表!$G$27:$G$48,[1]对照表!$H$27:$H$48)),IF(B277="高二",IF($E277="男",LOOKUP(F277,[1]对照表!$F$3:$F$24,[1]对照表!$H$3:$H$24),LOOKUP(F277,[1]对照表!$F$27:$F$48,[1]对照表!$H$27:$H$48)),IF(B277="高一",IF($E277="男",LOOKUP(F277,[1]对照表!$E$3:$E$24,[1]对照表!$H$3:$H$24),LOOKUP(F277,[1]对照表!$E$27:$E$48,[1]对照表!$H$27:$H$48)))))</f>
        <v>76</v>
      </c>
      <c r="H277" s="21">
        <v>14.4</v>
      </c>
      <c r="I277" s="32">
        <f>IF(B277="高三",IF($E277="男",LOOKUP(H277,[1]对照表!$K$3:$K$24,[1]对照表!$L$3:$L$24),LOOKUP(H277,[1]对照表!$K$27:$K$48,[1]对照表!$L$27:$L$48)),IF(B277="高二",IF($E277="男",LOOKUP(H277,[1]对照表!$J$3:$J$24,[1]对照表!$L$3:$L$24),LOOKUP(H277,[1]对照表!$J$27:$J$48,[1]对照表!$L$27:$L$48)),IF(B277="高一",IF($E277="男",LOOKUP(H277,[1]对照表!$I$3:$I$24,[1]对照表!$L$3:$L$24),LOOKUP(H277,[1]对照表!$I$27:$I$48,[1]对照表!$L$27:$L$48)))))</f>
        <v>74</v>
      </c>
      <c r="J277" s="21">
        <v>180</v>
      </c>
      <c r="K277" s="32">
        <f>IF(B277="高三",IF($E277="男",LOOKUP(J277,[1]对照表!$O$3:$O$24,[1]对照表!$P$3:$P$24),LOOKUP(J277,[1]对照表!$O$27:$O$48,[1]对照表!$P$27:$P$48)),IF(B277="高二",IF($E277="男",LOOKUP(J277,[1]对照表!$N$3:$N$24,[1]对照表!$P$3:$P$24),LOOKUP(J277,[1]对照表!$N$27:$N$48,[1]对照表!$P$27:$P$48)),IF(B277="高一",IF($E277="男",LOOKUP(J277,[1]对照表!$M$3:$M$24,[1]对照表!$P$3:$P$24),LOOKUP(J277,[1]对照表!$M$27:$M$48,[1]对照表!$P$27:$P$48)))))</f>
        <v>80</v>
      </c>
      <c r="L277" s="21">
        <v>46</v>
      </c>
      <c r="M277" s="32">
        <f>IF(B277="高三",IF($E277="男",LOOKUP(L277,[1]对照表!$S$3:$S$24,[1]对照表!$T$3:$T$24),LOOKUP(L277,[1]对照表!$S$27:$S$48,[1]对照表!$T$27:$T$48)),IF(B277="高二",IF($E277="男",LOOKUP(L277,[1]对照表!$R$3:$R$24,[1]对照表!$T$3:$T$24),LOOKUP(L277,[1]对照表!$R$27:$R$48,[1]对照表!$T$27:$T$48)),IF(B277="高一",IF($E277="男",LOOKUP(L277,[1]对照表!$Q$3:$Q$24,[1]对照表!$T$3:$T$24),LOOKUP(L277,[1]对照表!$Q$27:$Q$48,[1]对照表!$T$27:$T$48)))))</f>
        <v>85</v>
      </c>
      <c r="N277" s="33">
        <f>IF(B277="高三",MAX(IF(E277="男",L277-18,L277-55),0),IF(B277="高二",MAX(IF(E277="男",L277-17,L277-54),0),IF(B277="高一",MAX(IF(E277="男",L277-16,L277-53),0))))</f>
        <v>0</v>
      </c>
      <c r="O277" s="23">
        <f>IF(E277="男",LOOKUP($N277,[1]对照表!$Z$3:$Z$13,[1]对照表!$AA$3:$AA$13),LOOKUP($N277,[1]对照表!$Z$15:$Z$25,[1]对照表!$AA$15:$AA$25))</f>
        <v>0</v>
      </c>
      <c r="P277" s="24">
        <f>M277+O277</f>
        <v>85</v>
      </c>
      <c r="Q277" s="25">
        <v>3.41</v>
      </c>
      <c r="R277" s="32">
        <f>IF(B277="高三",IF($E277="男",LOOKUP(Q277,[1]对照表!$W$3:$W$24,[1]对照表!$X$3:$X$24),LOOKUP(Q277,[1]对照表!$W$27:$W$48,[1]对照表!$X$27:$X$48)),IF(B277="高二",IF($E277="男",LOOKUP(Q277,[1]对照表!$V$3:$V$24,[1]对照表!$X$3:$X$24),LOOKUP(Q277,[1]对照表!$V$27:$V$48,[1]对照表!$X$27:$X$48)),IF(B277="高一",IF($E277="男",LOOKUP(Q277,[1]对照表!$U$3:$U$24,[1]对照表!$X$3:$X$24),LOOKUP(Q277,[1]对照表!$U$27:$U$48,[1]对照表!$X$27:$X$48)))))</f>
        <v>85</v>
      </c>
      <c r="S277" s="33">
        <f>ROUND(IF(IF($B277="高三",MIN(IF($E277="男",$Q277-3.2,$Q277-3.2),0),IF($B277="高二",MIN(IF($E277="男",$Q277-3.25,$Q277-3.22),0),IF($B277="高一",MIN(IF($E277="男",$Q277-3.3,$Q277-3.24),0))))&lt;-0.6,IF($B277="高三",MIN(IF($E277="男",$Q277-3.2,$Q277-3.2),0),IF($B277="高二",MIN(IF($E277="男",$Q277-3.25,$Q277-3.22),0),IF($B277="高一",MIN(IF($E277="男",$Q277-3.3,$Q277-3.24),0))))+0.4,IF($B277="高三",MIN(IF($E277="男",$Q277-3.2,$Q277-3.2),0),IF($B277="高二",MIN(IF($E277="男",$Q277-3.25,$Q277-3.22),0),IF($B277="高一",MIN(IF($E277="男",$Q277-3.3,$Q277-3.24),0))))),2)</f>
        <v>0</v>
      </c>
      <c r="T277" s="23">
        <f>IF(E277="男",LOOKUP($S277,[1]对照表!$AB$3:$AB$13,[1]对照表!$AC$3:$AC$13),LOOKUP($S277,[1]对照表!$AB$15:$AB$25,[1]对照表!$AC$15:$AC$25))</f>
        <v>0</v>
      </c>
      <c r="U277" s="26">
        <f>R277+T277</f>
        <v>85</v>
      </c>
      <c r="V277" s="26">
        <f>SUM(I277,K277,M277)/3*0.3+SUM(G277,R277)/2*0.4</f>
        <v>56.100000000000009</v>
      </c>
      <c r="W277" s="27">
        <f>O277+T277</f>
        <v>0</v>
      </c>
      <c r="X277" s="28">
        <f>V277/0.7+W277</f>
        <v>80.142857142857167</v>
      </c>
      <c r="Y277" s="28">
        <v>80.142857142857167</v>
      </c>
      <c r="Z277" s="21"/>
    </row>
    <row r="278" spans="1:26" x14ac:dyDescent="0.25">
      <c r="A278" s="16">
        <v>21</v>
      </c>
      <c r="B278" s="17" t="s">
        <v>21</v>
      </c>
      <c r="C278" s="16">
        <v>107</v>
      </c>
      <c r="D278" s="18" t="s">
        <v>485</v>
      </c>
      <c r="E278" s="34" t="s">
        <v>23</v>
      </c>
      <c r="F278" s="19">
        <v>7.5</v>
      </c>
      <c r="G278" s="32">
        <f>IF(B278="高三",IF($E278="男",LOOKUP(F278,[1]对照表!$G$3:$G$24,[1]对照表!$H$3:$H$24),LOOKUP(F278,[1]对照表!$G$27:$G$48,[1]对照表!$H$27:$H$48)),IF(B278="高二",IF($E278="男",LOOKUP(F278,[1]对照表!$F$3:$F$24,[1]对照表!$H$3:$H$24),LOOKUP(F278,[1]对照表!$F$27:$F$48,[1]对照表!$H$27:$H$48)),IF(B278="高一",IF($E278="男",LOOKUP(F278,[1]对照表!$E$3:$E$24,[1]对照表!$H$3:$H$24),LOOKUP(F278,[1]对照表!$E$27:$E$48,[1]对照表!$H$27:$H$48)))))</f>
        <v>80</v>
      </c>
      <c r="H278" s="21">
        <v>16</v>
      </c>
      <c r="I278" s="32">
        <f>IF(B278="高三",IF($E278="男",LOOKUP(H278,[1]对照表!$K$3:$K$24,[1]对照表!$L$3:$L$24),LOOKUP(H278,[1]对照表!$K$27:$K$48,[1]对照表!$L$27:$L$48)),IF(B278="高二",IF($E278="男",LOOKUP(H278,[1]对照表!$J$3:$J$24,[1]对照表!$L$3:$L$24),LOOKUP(H278,[1]对照表!$J$27:$J$48,[1]对照表!$L$27:$L$48)),IF(B278="高一",IF($E278="男",LOOKUP(H278,[1]对照表!$I$3:$I$24,[1]对照表!$L$3:$L$24),LOOKUP(H278,[1]对照表!$I$27:$I$48,[1]对照表!$L$27:$L$48)))))</f>
        <v>80</v>
      </c>
      <c r="J278" s="21">
        <v>245</v>
      </c>
      <c r="K278" s="32">
        <f>IF(B278="高三",IF($E278="男",LOOKUP(J278,[1]对照表!$O$3:$O$24,[1]对照表!$P$3:$P$24),LOOKUP(J278,[1]对照表!$O$27:$O$48,[1]对照表!$P$27:$P$48)),IF(B278="高二",IF($E278="男",LOOKUP(J278,[1]对照表!$N$3:$N$24,[1]对照表!$P$3:$P$24),LOOKUP(J278,[1]对照表!$N$27:$N$48,[1]对照表!$P$27:$P$48)),IF(B278="高一",IF($E278="男",LOOKUP(J278,[1]对照表!$M$3:$M$24,[1]对照表!$P$3:$P$24),LOOKUP(J278,[1]对照表!$M$27:$M$48,[1]对照表!$P$27:$P$48)))))</f>
        <v>85</v>
      </c>
      <c r="L278" s="21">
        <v>26</v>
      </c>
      <c r="M278" s="32">
        <f>IF(B278="高三",IF($E278="男",LOOKUP(L278,[1]对照表!$S$3:$S$24,[1]对照表!$T$3:$T$24),LOOKUP(L278,[1]对照表!$S$27:$S$48,[1]对照表!$T$27:$T$48)),IF(B278="高二",IF($E278="男",LOOKUP(L278,[1]对照表!$R$3:$R$24,[1]对照表!$T$3:$T$24),LOOKUP(L278,[1]对照表!$R$27:$R$48,[1]对照表!$T$27:$T$48)),IF(B278="高一",IF($E278="男",LOOKUP(L278,[1]对照表!$Q$3:$Q$24,[1]对照表!$T$3:$T$24),LOOKUP(L278,[1]对照表!$Q$27:$Q$48,[1]对照表!$T$27:$T$48)))))</f>
        <v>100</v>
      </c>
      <c r="N278" s="33">
        <f>IF(B278="高三",MAX(IF(E278="男",L278-18,L278-55),0),IF(B278="高二",MAX(IF(E278="男",L278-17,L278-54),0),IF(B278="高一",MAX(IF(E278="男",L278-16,L278-53),0))))</f>
        <v>10</v>
      </c>
      <c r="O278" s="23">
        <f>IF(E278="男",LOOKUP($N278,[1]对照表!$Z$3:$Z$13,[1]对照表!$AA$3:$AA$13),LOOKUP($N278,[1]对照表!$Z$15:$Z$25,[1]对照表!$AA$15:$AA$25))</f>
        <v>10</v>
      </c>
      <c r="P278" s="24">
        <f>M278+O278</f>
        <v>110</v>
      </c>
      <c r="Q278" s="25"/>
      <c r="R278" s="20">
        <v>0</v>
      </c>
      <c r="S278" s="22">
        <v>0</v>
      </c>
      <c r="T278" s="23">
        <f>IF(E278="男",LOOKUP($S278,[1]对照表!$AB$3:$AB$13,[1]对照表!$AC$3:$AC$13),LOOKUP($S278,[1]对照表!$AB$15:$AB$25,[1]对照表!$AC$15:$AC$25))</f>
        <v>0</v>
      </c>
      <c r="U278" s="26">
        <f>R278+T278</f>
        <v>0</v>
      </c>
      <c r="V278" s="26">
        <f>SUM(I278,K278,M278)/3*0.3+SUM(G278,R278)/2*0.4</f>
        <v>42.5</v>
      </c>
      <c r="W278" s="27">
        <f>O278+T278</f>
        <v>10</v>
      </c>
      <c r="X278" s="28">
        <f>V278/0.7+W278</f>
        <v>70.714285714285722</v>
      </c>
      <c r="Y278" s="28">
        <v>70.714285714285722</v>
      </c>
      <c r="Z278" s="21"/>
    </row>
    <row r="279" spans="1:26" x14ac:dyDescent="0.25">
      <c r="A279" s="16">
        <v>42</v>
      </c>
      <c r="B279" s="17" t="s">
        <v>21</v>
      </c>
      <c r="C279" s="16">
        <v>107</v>
      </c>
      <c r="D279" s="18" t="s">
        <v>499</v>
      </c>
      <c r="E279" s="17" t="s">
        <v>65</v>
      </c>
      <c r="F279" s="19">
        <v>10.31</v>
      </c>
      <c r="G279" s="32">
        <f>IF(B279="高三",IF($E279="男",LOOKUP(F279,[1]对照表!$G$3:$G$24,[1]对照表!$H$3:$H$24),LOOKUP(F279,[1]对照表!$G$27:$G$48,[1]对照表!$H$27:$H$48)),IF(B279="高二",IF($E279="男",LOOKUP(F279,[1]对照表!$F$3:$F$24,[1]对照表!$H$3:$H$24),LOOKUP(F279,[1]对照表!$F$27:$F$48,[1]对照表!$H$27:$H$48)),IF(B279="高一",IF($E279="男",LOOKUP(F279,[1]对照表!$E$3:$E$24,[1]对照表!$H$3:$H$24),LOOKUP(F279,[1]对照表!$E$27:$E$48,[1]对照表!$H$27:$H$48)))))</f>
        <v>62</v>
      </c>
      <c r="H279" s="21">
        <v>17.2</v>
      </c>
      <c r="I279" s="32">
        <f>IF(B279="高三",IF($E279="男",LOOKUP(H279,[1]对照表!$K$3:$K$24,[1]对照表!$L$3:$L$24),LOOKUP(H279,[1]对照表!$K$27:$K$48,[1]对照表!$L$27:$L$48)),IF(B279="高二",IF($E279="男",LOOKUP(H279,[1]对照表!$J$3:$J$24,[1]对照表!$L$3:$L$24),LOOKUP(H279,[1]对照表!$J$27:$J$48,[1]对照表!$L$27:$L$48)),IF(B279="高一",IF($E279="男",LOOKUP(H279,[1]对照表!$I$3:$I$24,[1]对照表!$L$3:$L$24),LOOKUP(H279,[1]对照表!$I$27:$I$48,[1]对照表!$L$27:$L$48)))))</f>
        <v>78</v>
      </c>
      <c r="J279" s="21">
        <v>157</v>
      </c>
      <c r="K279" s="32">
        <f>IF(B279="高三",IF($E279="男",LOOKUP(J279,[1]对照表!$O$3:$O$24,[1]对照表!$P$3:$P$24),LOOKUP(J279,[1]对照表!$O$27:$O$48,[1]对照表!$P$27:$P$48)),IF(B279="高二",IF($E279="男",LOOKUP(J279,[1]对照表!$N$3:$N$24,[1]对照表!$P$3:$P$24),LOOKUP(J279,[1]对照表!$N$27:$N$48,[1]对照表!$P$27:$P$48)),IF(B279="高一",IF($E279="男",LOOKUP(J279,[1]对照表!$M$3:$M$24,[1]对照表!$P$3:$P$24),LOOKUP(J279,[1]对照表!$M$27:$M$48,[1]对照表!$P$27:$P$48)))))</f>
        <v>66</v>
      </c>
      <c r="L279" s="21">
        <v>40</v>
      </c>
      <c r="M279" s="32">
        <f>IF(B279="高三",IF($E279="男",LOOKUP(L279,[1]对照表!$S$3:$S$24,[1]对照表!$T$3:$T$24),LOOKUP(L279,[1]对照表!$S$27:$S$48,[1]对照表!$T$27:$T$48)),IF(B279="高二",IF($E279="男",LOOKUP(L279,[1]对照表!$R$3:$R$24,[1]对照表!$T$3:$T$24),LOOKUP(L279,[1]对照表!$R$27:$R$48,[1]对照表!$T$27:$T$48)),IF(B279="高一",IF($E279="男",LOOKUP(L279,[1]对照表!$Q$3:$Q$24,[1]对照表!$T$3:$T$24),LOOKUP(L279,[1]对照表!$Q$27:$Q$48,[1]对照表!$T$27:$T$48)))))</f>
        <v>76</v>
      </c>
      <c r="N279" s="33">
        <f>IF(B279="高三",MAX(IF(E279="男",L279-18,L279-55),0),IF(B279="高二",MAX(IF(E279="男",L279-17,L279-54),0),IF(B279="高一",MAX(IF(E279="男",L279-16,L279-53),0))))</f>
        <v>0</v>
      </c>
      <c r="O279" s="23">
        <f>IF(E279="男",LOOKUP($N279,[1]对照表!$Z$3:$Z$13,[1]对照表!$AA$3:$AA$13),LOOKUP($N279,[1]对照表!$Z$15:$Z$25,[1]对照表!$AA$15:$AA$25))</f>
        <v>0</v>
      </c>
      <c r="P279" s="24">
        <f>M279+O279</f>
        <v>76</v>
      </c>
      <c r="Q279" s="25">
        <v>3.43</v>
      </c>
      <c r="R279" s="32">
        <f>IF(B279="高三",IF($E279="男",LOOKUP(Q279,[1]对照表!$W$3:$W$24,[1]对照表!$X$3:$X$24),LOOKUP(Q279,[1]对照表!$W$27:$W$48,[1]对照表!$X$27:$X$48)),IF(B279="高二",IF($E279="男",LOOKUP(Q279,[1]对照表!$V$3:$V$24,[1]对照表!$X$3:$X$24),LOOKUP(Q279,[1]对照表!$V$27:$V$48,[1]对照表!$X$27:$X$48)),IF(B279="高一",IF($E279="男",LOOKUP(Q279,[1]对照表!$U$3:$U$24,[1]对照表!$X$3:$X$24),LOOKUP(Q279,[1]对照表!$U$27:$U$48,[1]对照表!$X$27:$X$48)))))</f>
        <v>85</v>
      </c>
      <c r="S279" s="33">
        <f>ROUND(IF(IF($B279="高三",MIN(IF($E279="男",$Q279-3.2,$Q279-3.2),0),IF($B279="高二",MIN(IF($E279="男",$Q279-3.25,$Q279-3.22),0),IF($B279="高一",MIN(IF($E279="男",$Q279-3.3,$Q279-3.24),0))))&lt;-0.6,IF($B279="高三",MIN(IF($E279="男",$Q279-3.2,$Q279-3.2),0),IF($B279="高二",MIN(IF($E279="男",$Q279-3.25,$Q279-3.22),0),IF($B279="高一",MIN(IF($E279="男",$Q279-3.3,$Q279-3.24),0))))+0.4,IF($B279="高三",MIN(IF($E279="男",$Q279-3.2,$Q279-3.2),0),IF($B279="高二",MIN(IF($E279="男",$Q279-3.25,$Q279-3.22),0),IF($B279="高一",MIN(IF($E279="男",$Q279-3.3,$Q279-3.24),0))))),2)</f>
        <v>0</v>
      </c>
      <c r="T279" s="23">
        <f>IF(E279="男",LOOKUP($S279,[1]对照表!$AB$3:$AB$13,[1]对照表!$AC$3:$AC$13),LOOKUP($S279,[1]对照表!$AB$15:$AB$25,[1]对照表!$AC$15:$AC$25))</f>
        <v>0</v>
      </c>
      <c r="U279" s="26">
        <f>R279+T279</f>
        <v>85</v>
      </c>
      <c r="V279" s="26">
        <f>SUM(I279,K279,M279)/3*0.3+SUM(G279,R279)/2*0.4</f>
        <v>51.4</v>
      </c>
      <c r="W279" s="27">
        <f>O279+T279</f>
        <v>0</v>
      </c>
      <c r="X279" s="28">
        <f>V279/0.7+W279</f>
        <v>73.428571428571431</v>
      </c>
      <c r="Y279" s="28">
        <v>73.428571428571431</v>
      </c>
      <c r="Z279" s="21"/>
    </row>
    <row r="280" spans="1:26" x14ac:dyDescent="0.25">
      <c r="A280" s="16">
        <v>1</v>
      </c>
      <c r="B280" s="17" t="s">
        <v>21</v>
      </c>
      <c r="C280" s="16">
        <v>107</v>
      </c>
      <c r="D280" s="18" t="s">
        <v>517</v>
      </c>
      <c r="E280" s="31" t="s">
        <v>23</v>
      </c>
      <c r="F280" s="19">
        <v>7.7</v>
      </c>
      <c r="G280" s="32">
        <f>IF(B280="高三",IF($E280="男",LOOKUP(F280,[1]对照表!$G$3:$G$24,[1]对照表!$H$3:$H$24),LOOKUP(F280,[1]对照表!$G$27:$G$48,[1]对照表!$H$27:$H$48)),IF(B280="高二",IF($E280="男",LOOKUP(F280,[1]对照表!$F$3:$F$24,[1]对照表!$H$3:$H$24),LOOKUP(F280,[1]对照表!$F$27:$F$48,[1]对照表!$H$27:$H$48)),IF(B280="高一",IF($E280="男",LOOKUP(F280,[1]对照表!$E$3:$E$24,[1]对照表!$H$3:$H$24),LOOKUP(F280,[1]对照表!$E$27:$E$48,[1]对照表!$H$27:$H$48)))))</f>
        <v>78</v>
      </c>
      <c r="H280" s="21">
        <v>7.5</v>
      </c>
      <c r="I280" s="32">
        <f>IF(B280="高三",IF($E280="男",LOOKUP(H280,[1]对照表!$K$3:$K$24,[1]对照表!$L$3:$L$24),LOOKUP(H280,[1]对照表!$K$27:$K$48,[1]对照表!$L$27:$L$48)),IF(B280="高二",IF($E280="男",LOOKUP(H280,[1]对照表!$J$3:$J$24,[1]对照表!$L$3:$L$24),LOOKUP(H280,[1]对照表!$J$27:$J$48,[1]对照表!$L$27:$L$48)),IF(B280="高一",IF($E280="男",LOOKUP(H280,[1]对照表!$I$3:$I$24,[1]对照表!$L$3:$L$24),LOOKUP(H280,[1]对照表!$I$27:$I$48,[1]对照表!$L$27:$L$48)))))</f>
        <v>68</v>
      </c>
      <c r="J280" s="21">
        <v>224</v>
      </c>
      <c r="K280" s="32">
        <f>IF(B280="高三",IF($E280="男",LOOKUP(J280,[1]对照表!$O$3:$O$24,[1]对照表!$P$3:$P$24),LOOKUP(J280,[1]对照表!$O$27:$O$48,[1]对照表!$P$27:$P$48)),IF(B280="高二",IF($E280="男",LOOKUP(J280,[1]对照表!$N$3:$N$24,[1]对照表!$P$3:$P$24),LOOKUP(J280,[1]对照表!$N$27:$N$48,[1]对照表!$P$27:$P$48)),IF(B280="高一",IF($E280="男",LOOKUP(J280,[1]对照表!$M$3:$M$24,[1]对照表!$P$3:$P$24),LOOKUP(J280,[1]对照表!$M$27:$M$48,[1]对照表!$P$27:$P$48)))))</f>
        <v>74</v>
      </c>
      <c r="L280" s="21">
        <v>5</v>
      </c>
      <c r="M280" s="32">
        <f>IF(B280="高三",IF($E280="男",LOOKUP(L280,[1]对照表!$S$3:$S$24,[1]对照表!$T$3:$T$24),LOOKUP(L280,[1]对照表!$S$27:$S$48,[1]对照表!$T$27:$T$48)),IF(B280="高二",IF($E280="男",LOOKUP(L280,[1]对照表!$R$3:$R$24,[1]对照表!$T$3:$T$24),LOOKUP(L280,[1]对照表!$R$27:$R$48,[1]对照表!$T$27:$T$48)),IF(B280="高一",IF($E280="男",LOOKUP(L280,[1]对照表!$Q$3:$Q$24,[1]对照表!$T$3:$T$24),LOOKUP(L280,[1]对照表!$Q$27:$Q$48,[1]对照表!$T$27:$T$48)))))</f>
        <v>40</v>
      </c>
      <c r="N280" s="33">
        <f>IF(B280="高三",MAX(IF(E280="男",L280-18,L280-55),0),IF(B280="高二",MAX(IF(E280="男",L280-17,L280-54),0),IF(B280="高一",MAX(IF(E280="男",L280-16,L280-53),0))))</f>
        <v>0</v>
      </c>
      <c r="O280" s="23">
        <f>IF(E280="男",LOOKUP($N280,[1]对照表!$Z$3:$Z$13,[1]对照表!$AA$3:$AA$13),LOOKUP($N280,[1]对照表!$Z$15:$Z$25,[1]对照表!$AA$15:$AA$25))</f>
        <v>0</v>
      </c>
      <c r="P280" s="24">
        <f>M280+O280</f>
        <v>40</v>
      </c>
      <c r="Q280" s="25">
        <v>4.08</v>
      </c>
      <c r="R280" s="32">
        <f>IF(B280="高三",IF($E280="男",LOOKUP(Q280,[1]对照表!$W$3:$W$24,[1]对照表!$X$3:$X$24),LOOKUP(Q280,[1]对照表!$W$27:$W$48,[1]对照表!$X$27:$X$48)),IF(B280="高二",IF($E280="男",LOOKUP(Q280,[1]对照表!$V$3:$V$24,[1]对照表!$X$3:$X$24),LOOKUP(Q280,[1]对照表!$V$27:$V$48,[1]对照表!$X$27:$X$48)),IF(B280="高一",IF($E280="男",LOOKUP(Q280,[1]对照表!$U$3:$U$24,[1]对照表!$X$3:$X$24),LOOKUP(Q280,[1]对照表!$U$27:$U$48,[1]对照表!$X$27:$X$48)))))</f>
        <v>74</v>
      </c>
      <c r="S280" s="33">
        <f>ROUND(IF(IF($B280="高三",MIN(IF($E280="男",$Q280-3.2,$Q280-3.2),0),IF($B280="高二",MIN(IF($E280="男",$Q280-3.25,$Q280-3.22),0),IF($B280="高一",MIN(IF($E280="男",$Q280-3.3,$Q280-3.24),0))))&lt;-0.6,IF($B280="高三",MIN(IF($E280="男",$Q280-3.2,$Q280-3.2),0),IF($B280="高二",MIN(IF($E280="男",$Q280-3.25,$Q280-3.22),0),IF($B280="高一",MIN(IF($E280="男",$Q280-3.3,$Q280-3.24),0))))+0.4,IF($B280="高三",MIN(IF($E280="男",$Q280-3.2,$Q280-3.2),0),IF($B280="高二",MIN(IF($E280="男",$Q280-3.25,$Q280-3.22),0),IF($B280="高一",MIN(IF($E280="男",$Q280-3.3,$Q280-3.24),0))))),2)</f>
        <v>0</v>
      </c>
      <c r="T280" s="23">
        <f>IF(E280="男",LOOKUP($S280,[1]对照表!$AB$3:$AB$13,[1]对照表!$AC$3:$AC$13),LOOKUP($S280,[1]对照表!$AB$15:$AB$25,[1]对照表!$AC$15:$AC$25))</f>
        <v>0</v>
      </c>
      <c r="U280" s="26">
        <f>R280+T280</f>
        <v>74</v>
      </c>
      <c r="V280" s="26">
        <f>SUM(I280,K280,M280)/3*0.3+SUM(G280,R280)/2*0.4</f>
        <v>48.6</v>
      </c>
      <c r="W280" s="27">
        <f>O280+T280</f>
        <v>0</v>
      </c>
      <c r="X280" s="28">
        <f>V280/0.7+W280</f>
        <v>69.428571428571431</v>
      </c>
      <c r="Y280" s="28">
        <v>69.428571428571431</v>
      </c>
      <c r="Z280" s="21"/>
    </row>
    <row r="281" spans="1:26" x14ac:dyDescent="0.25">
      <c r="A281" s="16">
        <v>40</v>
      </c>
      <c r="B281" s="17" t="s">
        <v>21</v>
      </c>
      <c r="C281" s="16">
        <v>107</v>
      </c>
      <c r="D281" s="18" t="s">
        <v>556</v>
      </c>
      <c r="E281" s="17" t="s">
        <v>65</v>
      </c>
      <c r="F281" s="40">
        <v>9.32</v>
      </c>
      <c r="G281" s="32">
        <f>IF(B281="高三",IF($E281="男",LOOKUP(F281,[1]对照表!$G$3:$G$24,[1]对照表!$H$3:$H$24),LOOKUP(F281,[1]对照表!$G$27:$G$48,[1]对照表!$H$27:$H$48)),IF(B281="高二",IF($E281="男",LOOKUP(F281,[1]对照表!$F$3:$F$24,[1]对照表!$H$3:$H$24),LOOKUP(F281,[1]对照表!$F$27:$F$48,[1]对照表!$H$27:$H$48)),IF(B281="高一",IF($E281="男",LOOKUP(F281,[1]对照表!$E$3:$E$24,[1]对照表!$H$3:$H$24),LOOKUP(F281,[1]对照表!$E$27:$E$48,[1]对照表!$H$27:$H$48)))))</f>
        <v>72</v>
      </c>
      <c r="H281" s="21">
        <v>13.4</v>
      </c>
      <c r="I281" s="32">
        <f>IF(B281="高三",IF($E281="男",LOOKUP(H281,[1]对照表!$K$3:$K$24,[1]对照表!$L$3:$L$24),LOOKUP(H281,[1]对照表!$K$27:$K$48,[1]对照表!$L$27:$L$48)),IF(B281="高二",IF($E281="男",LOOKUP(H281,[1]对照表!$J$3:$J$24,[1]对照表!$L$3:$L$24),LOOKUP(H281,[1]对照表!$J$27:$J$48,[1]对照表!$L$27:$L$48)),IF(B281="高一",IF($E281="男",LOOKUP(H281,[1]对照表!$I$3:$I$24,[1]对照表!$L$3:$L$24),LOOKUP(H281,[1]对照表!$I$27:$I$48,[1]对照表!$L$27:$L$48)))))</f>
        <v>72</v>
      </c>
      <c r="J281" s="21">
        <v>170</v>
      </c>
      <c r="K281" s="32">
        <f>IF(B281="高三",IF($E281="男",LOOKUP(J281,[1]对照表!$O$3:$O$24,[1]对照表!$P$3:$P$24),LOOKUP(J281,[1]对照表!$O$27:$O$48,[1]对照表!$P$27:$P$48)),IF(B281="高二",IF($E281="男",LOOKUP(J281,[1]对照表!$N$3:$N$24,[1]对照表!$P$3:$P$24),LOOKUP(J281,[1]对照表!$N$27:$N$48,[1]对照表!$P$27:$P$48)),IF(B281="高一",IF($E281="男",LOOKUP(J281,[1]对照表!$M$3:$M$24,[1]对照表!$P$3:$P$24),LOOKUP(J281,[1]对照表!$M$27:$M$48,[1]对照表!$P$27:$P$48)))))</f>
        <v>74</v>
      </c>
      <c r="L281" s="21">
        <v>47</v>
      </c>
      <c r="M281" s="32">
        <f>IF(B281="高三",IF($E281="男",LOOKUP(L281,[1]对照表!$S$3:$S$24,[1]对照表!$T$3:$T$24),LOOKUP(L281,[1]对照表!$S$27:$S$48,[1]对照表!$T$27:$T$48)),IF(B281="高二",IF($E281="男",LOOKUP(L281,[1]对照表!$R$3:$R$24,[1]对照表!$T$3:$T$24),LOOKUP(L281,[1]对照表!$R$27:$R$48,[1]对照表!$T$27:$T$48)),IF(B281="高一",IF($E281="男",LOOKUP(L281,[1]对照表!$Q$3:$Q$24,[1]对照表!$T$3:$T$24),LOOKUP(L281,[1]对照表!$Q$27:$Q$48,[1]对照表!$T$27:$T$48)))))</f>
        <v>85</v>
      </c>
      <c r="N281" s="33">
        <f>IF(B281="高三",MAX(IF(E281="男",L281-18,L281-55),0),IF(B281="高二",MAX(IF(E281="男",L281-17,L281-54),0),IF(B281="高一",MAX(IF(E281="男",L281-16,L281-53),0))))</f>
        <v>0</v>
      </c>
      <c r="O281" s="23">
        <f>IF(E281="男",LOOKUP($N281,[1]对照表!$Z$3:$Z$13,[1]对照表!$AA$3:$AA$13),LOOKUP($N281,[1]对照表!$Z$15:$Z$25,[1]对照表!$AA$15:$AA$25))</f>
        <v>0</v>
      </c>
      <c r="P281" s="24">
        <f>M281+O281</f>
        <v>85</v>
      </c>
      <c r="Q281" s="25">
        <v>3.47</v>
      </c>
      <c r="R281" s="32">
        <f>IF(B281="高三",IF($E281="男",LOOKUP(Q281,[1]对照表!$W$3:$W$24,[1]对照表!$X$3:$X$24),LOOKUP(Q281,[1]对照表!$W$27:$W$48,[1]对照表!$X$27:$X$48)),IF(B281="高二",IF($E281="男",LOOKUP(Q281,[1]对照表!$V$3:$V$24,[1]对照表!$X$3:$X$24),LOOKUP(Q281,[1]对照表!$V$27:$V$48,[1]对照表!$X$27:$X$48)),IF(B281="高一",IF($E281="男",LOOKUP(Q281,[1]对照表!$U$3:$U$24,[1]对照表!$X$3:$X$24),LOOKUP(Q281,[1]对照表!$U$27:$U$48,[1]对照表!$X$27:$X$48)))))</f>
        <v>80</v>
      </c>
      <c r="S281" s="33">
        <f>ROUND(IF(IF($B281="高三",MIN(IF($E281="男",$Q281-3.2,$Q281-3.2),0),IF($B281="高二",MIN(IF($E281="男",$Q281-3.25,$Q281-3.22),0),IF($B281="高一",MIN(IF($E281="男",$Q281-3.3,$Q281-3.24),0))))&lt;-0.6,IF($B281="高三",MIN(IF($E281="男",$Q281-3.2,$Q281-3.2),0),IF($B281="高二",MIN(IF($E281="男",$Q281-3.25,$Q281-3.22),0),IF($B281="高一",MIN(IF($E281="男",$Q281-3.3,$Q281-3.24),0))))+0.4,IF($B281="高三",MIN(IF($E281="男",$Q281-3.2,$Q281-3.2),0),IF($B281="高二",MIN(IF($E281="男",$Q281-3.25,$Q281-3.22),0),IF($B281="高一",MIN(IF($E281="男",$Q281-3.3,$Q281-3.24),0))))),2)</f>
        <v>0</v>
      </c>
      <c r="T281" s="23">
        <f>IF(E281="男",LOOKUP($S281,[1]对照表!$AB$3:$AB$13,[1]对照表!$AC$3:$AC$13),LOOKUP($S281,[1]对照表!$AB$15:$AB$25,[1]对照表!$AC$15:$AC$25))</f>
        <v>0</v>
      </c>
      <c r="U281" s="26">
        <f>R281+T281</f>
        <v>80</v>
      </c>
      <c r="V281" s="26">
        <f>SUM(I281,K281,M281)/3*0.3+SUM(G281,R281)/2*0.4</f>
        <v>53.5</v>
      </c>
      <c r="W281" s="27">
        <f>O281+T281</f>
        <v>0</v>
      </c>
      <c r="X281" s="28">
        <f>V281/0.7+W281</f>
        <v>76.428571428571431</v>
      </c>
      <c r="Y281" s="28">
        <v>76.428571428571431</v>
      </c>
      <c r="Z281" s="21"/>
    </row>
    <row r="282" spans="1:26" x14ac:dyDescent="0.25">
      <c r="A282" s="16">
        <v>16</v>
      </c>
      <c r="B282" s="17" t="s">
        <v>21</v>
      </c>
      <c r="C282" s="16">
        <v>107</v>
      </c>
      <c r="D282" s="18" t="s">
        <v>558</v>
      </c>
      <c r="E282" s="16" t="s">
        <v>23</v>
      </c>
      <c r="F282" s="19">
        <v>7.8</v>
      </c>
      <c r="G282" s="32">
        <f>IF(B282="高三",IF($E282="男",LOOKUP(F282,[1]对照表!$G$3:$G$24,[1]对照表!$H$3:$H$24),LOOKUP(F282,[1]对照表!$G$27:$G$48,[1]对照表!$H$27:$H$48)),IF(B282="高二",IF($E282="男",LOOKUP(F282,[1]对照表!$F$3:$F$24,[1]对照表!$H$3:$H$24),LOOKUP(F282,[1]对照表!$F$27:$F$48,[1]对照表!$H$27:$H$48)),IF(B282="高一",IF($E282="男",LOOKUP(F282,[1]对照表!$E$3:$E$24,[1]对照表!$H$3:$H$24),LOOKUP(F282,[1]对照表!$E$27:$E$48,[1]对照表!$H$27:$H$48)))))</f>
        <v>76</v>
      </c>
      <c r="H282" s="21">
        <v>4.5999999999999996</v>
      </c>
      <c r="I282" s="32">
        <f>IF(B282="高三",IF($E282="男",LOOKUP(H282,[1]对照表!$K$3:$K$24,[1]对照表!$L$3:$L$24),LOOKUP(H282,[1]对照表!$K$27:$K$48,[1]对照表!$L$27:$L$48)),IF(B282="高二",IF($E282="男",LOOKUP(H282,[1]对照表!$J$3:$J$24,[1]对照表!$L$3:$L$24),LOOKUP(H282,[1]对照表!$J$27:$J$48,[1]对照表!$L$27:$L$48)),IF(B282="高一",IF($E282="男",LOOKUP(H282,[1]对照表!$I$3:$I$24,[1]对照表!$L$3:$L$24),LOOKUP(H282,[1]对照表!$I$27:$I$48,[1]对照表!$L$27:$L$48)))))</f>
        <v>64</v>
      </c>
      <c r="J282" s="21">
        <v>204</v>
      </c>
      <c r="K282" s="32">
        <f>IF(B282="高三",IF($E282="男",LOOKUP(J282,[1]对照表!$O$3:$O$24,[1]对照表!$P$3:$P$24),LOOKUP(J282,[1]对照表!$O$27:$O$48,[1]对照表!$P$27:$P$48)),IF(B282="高二",IF($E282="男",LOOKUP(J282,[1]对照表!$N$3:$N$24,[1]对照表!$P$3:$P$24),LOOKUP(J282,[1]对照表!$N$27:$N$48,[1]对照表!$P$27:$P$48)),IF(B282="高一",IF($E282="男",LOOKUP(J282,[1]对照表!$M$3:$M$24,[1]对照表!$P$3:$P$24),LOOKUP(J282,[1]对照表!$M$27:$M$48,[1]对照表!$P$27:$P$48)))))</f>
        <v>64</v>
      </c>
      <c r="L282" s="21">
        <v>5</v>
      </c>
      <c r="M282" s="32">
        <f>IF(B282="高三",IF($E282="男",LOOKUP(L282,[1]对照表!$S$3:$S$24,[1]对照表!$T$3:$T$24),LOOKUP(L282,[1]对照表!$S$27:$S$48,[1]对照表!$T$27:$T$48)),IF(B282="高二",IF($E282="男",LOOKUP(L282,[1]对照表!$R$3:$R$24,[1]对照表!$T$3:$T$24),LOOKUP(L282,[1]对照表!$R$27:$R$48,[1]对照表!$T$27:$T$48)),IF(B282="高一",IF($E282="男",LOOKUP(L282,[1]对照表!$Q$3:$Q$24,[1]对照表!$T$3:$T$24),LOOKUP(L282,[1]对照表!$Q$27:$Q$48,[1]对照表!$T$27:$T$48)))))</f>
        <v>40</v>
      </c>
      <c r="N282" s="33">
        <f>IF(B282="高三",MAX(IF(E282="男",L282-18,L282-55),0),IF(B282="高二",MAX(IF(E282="男",L282-17,L282-54),0),IF(B282="高一",MAX(IF(E282="男",L282-16,L282-53),0))))</f>
        <v>0</v>
      </c>
      <c r="O282" s="23">
        <f>IF(E282="男",LOOKUP($N282,[1]对照表!$Z$3:$Z$13,[1]对照表!$AA$3:$AA$13),LOOKUP($N282,[1]对照表!$Z$15:$Z$25,[1]对照表!$AA$15:$AA$25))</f>
        <v>0</v>
      </c>
      <c r="P282" s="24">
        <f>M282+O282</f>
        <v>40</v>
      </c>
      <c r="Q282" s="25">
        <v>4.3099999999999996</v>
      </c>
      <c r="R282" s="32">
        <f>IF(B282="高三",IF($E282="男",LOOKUP(Q282,[1]对照表!$W$3:$W$24,[1]对照表!$X$3:$X$24),LOOKUP(Q282,[1]对照表!$W$27:$W$48,[1]对照表!$X$27:$X$48)),IF(B282="高二",IF($E282="男",LOOKUP(Q282,[1]对照表!$V$3:$V$24,[1]对照表!$X$3:$X$24),LOOKUP(Q282,[1]对照表!$V$27:$V$48,[1]对照表!$X$27:$X$48)),IF(B282="高一",IF($E282="男",LOOKUP(Q282,[1]对照表!$U$3:$U$24,[1]对照表!$X$3:$X$24),LOOKUP(Q282,[1]对照表!$U$27:$U$48,[1]对照表!$X$27:$X$48)))))</f>
        <v>64</v>
      </c>
      <c r="S282" s="33">
        <f>ROUND(IF(IF($B282="高三",MIN(IF($E282="男",$Q282-3.2,$Q282-3.2),0),IF($B282="高二",MIN(IF($E282="男",$Q282-3.25,$Q282-3.22),0),IF($B282="高一",MIN(IF($E282="男",$Q282-3.3,$Q282-3.24),0))))&lt;-0.6,IF($B282="高三",MIN(IF($E282="男",$Q282-3.2,$Q282-3.2),0),IF($B282="高二",MIN(IF($E282="男",$Q282-3.25,$Q282-3.22),0),IF($B282="高一",MIN(IF($E282="男",$Q282-3.3,$Q282-3.24),0))))+0.4,IF($B282="高三",MIN(IF($E282="男",$Q282-3.2,$Q282-3.2),0),IF($B282="高二",MIN(IF($E282="男",$Q282-3.25,$Q282-3.22),0),IF($B282="高一",MIN(IF($E282="男",$Q282-3.3,$Q282-3.24),0))))),2)</f>
        <v>0</v>
      </c>
      <c r="T282" s="23">
        <f>IF(E282="男",LOOKUP($S282,[1]对照表!$AB$3:$AB$13,[1]对照表!$AC$3:$AC$13),LOOKUP($S282,[1]对照表!$AB$15:$AB$25,[1]对照表!$AC$15:$AC$25))</f>
        <v>0</v>
      </c>
      <c r="U282" s="26">
        <f>R282+T282</f>
        <v>64</v>
      </c>
      <c r="V282" s="26">
        <f>SUM(I282,K282,M282)/3*0.3+SUM(G282,R282)/2*0.4</f>
        <v>44.8</v>
      </c>
      <c r="W282" s="27">
        <f>O282+T282</f>
        <v>0</v>
      </c>
      <c r="X282" s="28">
        <f>V282/0.7+W282</f>
        <v>64</v>
      </c>
      <c r="Y282" s="28">
        <v>64</v>
      </c>
      <c r="Z282" s="21"/>
    </row>
    <row r="283" spans="1:26" x14ac:dyDescent="0.25">
      <c r="A283" s="16">
        <v>45</v>
      </c>
      <c r="B283" s="17" t="s">
        <v>21</v>
      </c>
      <c r="C283" s="16">
        <v>107</v>
      </c>
      <c r="D283" s="18" t="s">
        <v>585</v>
      </c>
      <c r="E283" s="17" t="s">
        <v>65</v>
      </c>
      <c r="F283" s="19">
        <v>9.0500000000000007</v>
      </c>
      <c r="G283" s="32">
        <f>IF(B283="高三",IF($E283="男",LOOKUP(F283,[1]对照表!$G$3:$G$24,[1]对照表!$H$3:$H$24),LOOKUP(F283,[1]对照表!$G$27:$G$48,[1]对照表!$H$27:$H$48)),IF(B283="高二",IF($E283="男",LOOKUP(F283,[1]对照表!$F$3:$F$24,[1]对照表!$H$3:$H$24),LOOKUP(F283,[1]对照表!$F$27:$F$48,[1]对照表!$H$27:$H$48)),IF(B283="高一",IF($E283="男",LOOKUP(F283,[1]对照表!$E$3:$E$24,[1]对照表!$H$3:$H$24),LOOKUP(F283,[1]对照表!$E$27:$E$48,[1]对照表!$H$27:$H$48)))))</f>
        <v>74</v>
      </c>
      <c r="H283" s="21">
        <v>9</v>
      </c>
      <c r="I283" s="32">
        <f>IF(B283="高三",IF($E283="男",LOOKUP(H283,[1]对照表!$K$3:$K$24,[1]对照表!$L$3:$L$24),LOOKUP(H283,[1]对照表!$K$27:$K$48,[1]对照表!$L$27:$L$48)),IF(B283="高二",IF($E283="男",LOOKUP(H283,[1]对照表!$J$3:$J$24,[1]对照表!$L$3:$L$24),LOOKUP(H283,[1]对照表!$J$27:$J$48,[1]对照表!$L$27:$L$48)),IF(B283="高一",IF($E283="男",LOOKUP(H283,[1]对照表!$I$3:$I$24,[1]对照表!$L$3:$L$24),LOOKUP(H283,[1]对照表!$I$27:$I$48,[1]对照表!$L$27:$L$48)))))</f>
        <v>66</v>
      </c>
      <c r="J283" s="21">
        <v>180</v>
      </c>
      <c r="K283" s="32">
        <f>IF(B283="高三",IF($E283="男",LOOKUP(J283,[1]对照表!$O$3:$O$24,[1]对照表!$P$3:$P$24),LOOKUP(J283,[1]对照表!$O$27:$O$48,[1]对照表!$P$27:$P$48)),IF(B283="高二",IF($E283="男",LOOKUP(J283,[1]对照表!$N$3:$N$24,[1]对照表!$P$3:$P$24),LOOKUP(J283,[1]对照表!$N$27:$N$48,[1]对照表!$P$27:$P$48)),IF(B283="高一",IF($E283="男",LOOKUP(J283,[1]对照表!$M$3:$M$24,[1]对照表!$P$3:$P$24),LOOKUP(J283,[1]对照表!$M$27:$M$48,[1]对照表!$P$27:$P$48)))))</f>
        <v>80</v>
      </c>
      <c r="L283" s="21">
        <v>57</v>
      </c>
      <c r="M283" s="32">
        <f>IF(B283="高三",IF($E283="男",LOOKUP(L283,[1]对照表!$S$3:$S$24,[1]对照表!$T$3:$T$24),LOOKUP(L283,[1]对照表!$S$27:$S$48,[1]对照表!$T$27:$T$48)),IF(B283="高二",IF($E283="男",LOOKUP(L283,[1]对照表!$R$3:$R$24,[1]对照表!$T$3:$T$24),LOOKUP(L283,[1]对照表!$R$27:$R$48,[1]对照表!$T$27:$T$48)),IF(B283="高一",IF($E283="男",LOOKUP(L283,[1]对照表!$Q$3:$Q$24,[1]对照表!$T$3:$T$24),LOOKUP(L283,[1]对照表!$Q$27:$Q$48,[1]对照表!$T$27:$T$48)))))</f>
        <v>100</v>
      </c>
      <c r="N283" s="33">
        <f>IF(B283="高三",MAX(IF(E283="男",L283-18,L283-55),0),IF(B283="高二",MAX(IF(E283="男",L283-17,L283-54),0),IF(B283="高一",MAX(IF(E283="男",L283-16,L283-53),0))))</f>
        <v>4</v>
      </c>
      <c r="O283" s="23">
        <f>IF(E283="男",LOOKUP($N283,[1]对照表!$Z$3:$Z$13,[1]对照表!$AA$3:$AA$13),LOOKUP($N283,[1]对照表!$Z$15:$Z$25,[1]对照表!$AA$15:$AA$25))</f>
        <v>2</v>
      </c>
      <c r="P283" s="24">
        <f>M283+O283</f>
        <v>102</v>
      </c>
      <c r="Q283" s="25">
        <v>3.48</v>
      </c>
      <c r="R283" s="32">
        <f>IF(B283="高三",IF($E283="男",LOOKUP(Q283,[1]对照表!$W$3:$W$24,[1]对照表!$X$3:$X$24),LOOKUP(Q283,[1]对照表!$W$27:$W$48,[1]对照表!$X$27:$X$48)),IF(B283="高二",IF($E283="男",LOOKUP(Q283,[1]对照表!$V$3:$V$24,[1]对照表!$X$3:$X$24),LOOKUP(Q283,[1]对照表!$V$27:$V$48,[1]对照表!$X$27:$X$48)),IF(B283="高一",IF($E283="男",LOOKUP(Q283,[1]对照表!$U$3:$U$24,[1]对照表!$X$3:$X$24),LOOKUP(Q283,[1]对照表!$U$27:$U$48,[1]对照表!$X$27:$X$48)))))</f>
        <v>80</v>
      </c>
      <c r="S283" s="33">
        <f>ROUND(IF(IF($B283="高三",MIN(IF($E283="男",$Q283-3.2,$Q283-3.2),0),IF($B283="高二",MIN(IF($E283="男",$Q283-3.25,$Q283-3.22),0),IF($B283="高一",MIN(IF($E283="男",$Q283-3.3,$Q283-3.24),0))))&lt;-0.6,IF($B283="高三",MIN(IF($E283="男",$Q283-3.2,$Q283-3.2),0),IF($B283="高二",MIN(IF($E283="男",$Q283-3.25,$Q283-3.22),0),IF($B283="高一",MIN(IF($E283="男",$Q283-3.3,$Q283-3.24),0))))+0.4,IF($B283="高三",MIN(IF($E283="男",$Q283-3.2,$Q283-3.2),0),IF($B283="高二",MIN(IF($E283="男",$Q283-3.25,$Q283-3.22),0),IF($B283="高一",MIN(IF($E283="男",$Q283-3.3,$Q283-3.24),0))))),2)</f>
        <v>0</v>
      </c>
      <c r="T283" s="23">
        <f>IF(E283="男",LOOKUP($S283,[1]对照表!$AB$3:$AB$13,[1]对照表!$AC$3:$AC$13),LOOKUP($S283,[1]对照表!$AB$15:$AB$25,[1]对照表!$AC$15:$AC$25))</f>
        <v>0</v>
      </c>
      <c r="U283" s="26">
        <f>R283+T283</f>
        <v>80</v>
      </c>
      <c r="V283" s="26">
        <f>SUM(I283,K283,M283)/3*0.3+SUM(G283,R283)/2*0.4</f>
        <v>55.4</v>
      </c>
      <c r="W283" s="27">
        <f>O283+T283</f>
        <v>2</v>
      </c>
      <c r="X283" s="28">
        <f>V283/0.7+W283</f>
        <v>81.142857142857139</v>
      </c>
      <c r="Y283" s="28">
        <v>81.142857142857139</v>
      </c>
      <c r="Z283" s="21"/>
    </row>
    <row r="284" spans="1:26" x14ac:dyDescent="0.25">
      <c r="A284" s="16">
        <v>43</v>
      </c>
      <c r="B284" s="17" t="s">
        <v>21</v>
      </c>
      <c r="C284" s="16">
        <v>107</v>
      </c>
      <c r="D284" s="18" t="s">
        <v>597</v>
      </c>
      <c r="E284" s="17" t="s">
        <v>65</v>
      </c>
      <c r="F284" s="19">
        <v>8.83</v>
      </c>
      <c r="G284" s="32">
        <f>IF(B284="高三",IF($E284="男",LOOKUP(F284,[1]对照表!$G$3:$G$24,[1]对照表!$H$3:$H$24),LOOKUP(F284,[1]对照表!$G$27:$G$48,[1]对照表!$H$27:$H$48)),IF(B284="高二",IF($E284="男",LOOKUP(F284,[1]对照表!$F$3:$F$24,[1]对照表!$H$3:$H$24),LOOKUP(F284,[1]对照表!$F$27:$F$48,[1]对照表!$H$27:$H$48)),IF(B284="高一",IF($E284="男",LOOKUP(F284,[1]对照表!$E$3:$E$24,[1]对照表!$H$3:$H$24),LOOKUP(F284,[1]对照表!$E$27:$E$48,[1]对照表!$H$27:$H$48)))))</f>
        <v>76</v>
      </c>
      <c r="H284" s="21">
        <v>20</v>
      </c>
      <c r="I284" s="32">
        <f>IF(B284="高三",IF($E284="男",LOOKUP(H284,[1]对照表!$K$3:$K$24,[1]对照表!$L$3:$L$24),LOOKUP(H284,[1]对照表!$K$27:$K$48,[1]对照表!$L$27:$L$48)),IF(B284="高二",IF($E284="男",LOOKUP(H284,[1]对照表!$J$3:$J$24,[1]对照表!$L$3:$L$24),LOOKUP(H284,[1]对照表!$J$27:$J$48,[1]对照表!$L$27:$L$48)),IF(B284="高一",IF($E284="男",LOOKUP(H284,[1]对照表!$I$3:$I$24,[1]对照表!$L$3:$L$24),LOOKUP(H284,[1]对照表!$I$27:$I$48,[1]对照表!$L$27:$L$48)))))</f>
        <v>85</v>
      </c>
      <c r="J284" s="21">
        <v>207</v>
      </c>
      <c r="K284" s="32">
        <f>IF(B284="高三",IF($E284="男",LOOKUP(J284,[1]对照表!$O$3:$O$24,[1]对照表!$P$3:$P$24),LOOKUP(J284,[1]对照表!$O$27:$O$48,[1]对照表!$P$27:$P$48)),IF(B284="高二",IF($E284="男",LOOKUP(J284,[1]对照表!$N$3:$N$24,[1]对照表!$P$3:$P$24),LOOKUP(J284,[1]对照表!$N$27:$N$48,[1]对照表!$P$27:$P$48)),IF(B284="高一",IF($E284="男",LOOKUP(J284,[1]对照表!$M$3:$M$24,[1]对照表!$P$3:$P$24),LOOKUP(J284,[1]对照表!$M$27:$M$48,[1]对照表!$P$27:$P$48)))))</f>
        <v>100</v>
      </c>
      <c r="L284" s="21">
        <v>43</v>
      </c>
      <c r="M284" s="32">
        <f>IF(B284="高三",IF($E284="男",LOOKUP(L284,[1]对照表!$S$3:$S$24,[1]对照表!$T$3:$T$24),LOOKUP(L284,[1]对照表!$S$27:$S$48,[1]对照表!$T$27:$T$48)),IF(B284="高二",IF($E284="男",LOOKUP(L284,[1]对照表!$R$3:$R$24,[1]对照表!$T$3:$T$24),LOOKUP(L284,[1]对照表!$R$27:$R$48,[1]对照表!$T$27:$T$48)),IF(B284="高一",IF($E284="男",LOOKUP(L284,[1]对照表!$Q$3:$Q$24,[1]对照表!$T$3:$T$24),LOOKUP(L284,[1]对照表!$Q$27:$Q$48,[1]对照表!$T$27:$T$48)))))</f>
        <v>80</v>
      </c>
      <c r="N284" s="27">
        <f>IF(B284="高三",MAX(IF(E284="男",L284-18,L284-55),0),IF(B284="高二",MAX(IF(E284="男",L284-17,L284-54),0),IF(B284="高一",MAX(IF(E284="男",L284-16,L284-53),0))))</f>
        <v>0</v>
      </c>
      <c r="O284" s="23">
        <f>IF(E284="男",LOOKUP($N284,[1]对照表!$Z$3:$Z$13,[1]对照表!$AA$3:$AA$13),LOOKUP($N284,[1]对照表!$Z$15:$Z$25,[1]对照表!$AA$15:$AA$25))</f>
        <v>0</v>
      </c>
      <c r="P284" s="24">
        <f>M284+O284</f>
        <v>80</v>
      </c>
      <c r="Q284" s="25">
        <v>3.5</v>
      </c>
      <c r="R284" s="32">
        <f>IF(B284="高三",IF($E284="男",LOOKUP(Q284,[1]对照表!$W$3:$W$24,[1]对照表!$X$3:$X$24),LOOKUP(Q284,[1]对照表!$W$27:$W$48,[1]对照表!$X$27:$X$48)),IF(B284="高二",IF($E284="男",LOOKUP(Q284,[1]对照表!$V$3:$V$24,[1]对照表!$X$3:$X$24),LOOKUP(Q284,[1]对照表!$V$27:$V$48,[1]对照表!$X$27:$X$48)),IF(B284="高一",IF($E284="男",LOOKUP(Q284,[1]对照表!$U$3:$U$24,[1]对照表!$X$3:$X$24),LOOKUP(Q284,[1]对照表!$U$27:$U$48,[1]对照表!$X$27:$X$48)))))</f>
        <v>80</v>
      </c>
      <c r="S284" s="27">
        <f>ROUND(IF(IF($B284="高三",MIN(IF($E284="男",$Q284-3.2,$Q284-3.2),0),IF($B284="高二",MIN(IF($E284="男",$Q284-3.25,$Q284-3.22),0),IF($B284="高一",MIN(IF($E284="男",$Q284-3.3,$Q284-3.24),0))))&lt;-0.6,IF($B284="高三",MIN(IF($E284="男",$Q284-3.2,$Q284-3.2),0),IF($B284="高二",MIN(IF($E284="男",$Q284-3.25,$Q284-3.22),0),IF($B284="高一",MIN(IF($E284="男",$Q284-3.3,$Q284-3.24),0))))+0.4,IF($B284="高三",MIN(IF($E284="男",$Q284-3.2,$Q284-3.2),0),IF($B284="高二",MIN(IF($E284="男",$Q284-3.25,$Q284-3.22),0),IF($B284="高一",MIN(IF($E284="男",$Q284-3.3,$Q284-3.24),0))))),2)</f>
        <v>0</v>
      </c>
      <c r="T284" s="23">
        <f>IF(E284="男",LOOKUP($S284,[1]对照表!$AB$3:$AB$13,[1]对照表!$AC$3:$AC$13),LOOKUP($S284,[1]对照表!$AB$15:$AB$25,[1]对照表!$AC$15:$AC$25))</f>
        <v>0</v>
      </c>
      <c r="U284" s="26">
        <f>R284+T284</f>
        <v>80</v>
      </c>
      <c r="V284" s="26">
        <f>SUM(I284,K284,M284)/3*0.3+SUM(G284,R284)/2*0.4</f>
        <v>57.7</v>
      </c>
      <c r="W284" s="27">
        <f>O284+T284</f>
        <v>0</v>
      </c>
      <c r="X284" s="28">
        <f>V284/0.7+W284</f>
        <v>82.428571428571445</v>
      </c>
      <c r="Y284" s="28">
        <v>82.428571428571445</v>
      </c>
      <c r="Z284" s="21"/>
    </row>
    <row r="285" spans="1:26" x14ac:dyDescent="0.25">
      <c r="A285" s="16">
        <v>25</v>
      </c>
      <c r="B285" s="17" t="s">
        <v>21</v>
      </c>
      <c r="C285" s="16">
        <v>107</v>
      </c>
      <c r="D285" s="18" t="s">
        <v>620</v>
      </c>
      <c r="E285" s="16" t="s">
        <v>23</v>
      </c>
      <c r="F285" s="19">
        <v>8.5</v>
      </c>
      <c r="G285" s="32">
        <f>IF(B285="高三",IF($E285="男",LOOKUP(F285,[1]对照表!$G$3:$G$24,[1]对照表!$H$3:$H$24),LOOKUP(F285,[1]对照表!$G$27:$G$48,[1]对照表!$H$27:$H$48)),IF(B285="高二",IF($E285="男",LOOKUP(F285,[1]对照表!$F$3:$F$24,[1]对照表!$H$3:$H$24),LOOKUP(F285,[1]对照表!$F$27:$F$48,[1]对照表!$H$27:$H$48)),IF(B285="高一",IF($E285="男",LOOKUP(F285,[1]对照表!$E$3:$E$24,[1]对照表!$H$3:$H$24),LOOKUP(F285,[1]对照表!$E$27:$E$48,[1]对照表!$H$27:$H$48)))))</f>
        <v>70</v>
      </c>
      <c r="H285" s="21">
        <v>13.2</v>
      </c>
      <c r="I285" s="32">
        <f>IF(B285="高三",IF($E285="男",LOOKUP(H285,[1]对照表!$K$3:$K$24,[1]对照表!$L$3:$L$24),LOOKUP(H285,[1]对照表!$K$27:$K$48,[1]对照表!$L$27:$L$48)),IF(B285="高二",IF($E285="男",LOOKUP(H285,[1]对照表!$J$3:$J$24,[1]对照表!$L$3:$L$24),LOOKUP(H285,[1]对照表!$J$27:$J$48,[1]对照表!$L$27:$L$48)),IF(B285="高一",IF($E285="男",LOOKUP(H285,[1]对照表!$I$3:$I$24,[1]对照表!$L$3:$L$24),LOOKUP(H285,[1]对照表!$I$27:$I$48,[1]对照表!$L$27:$L$48)))))</f>
        <v>76</v>
      </c>
      <c r="J285" s="21">
        <v>197</v>
      </c>
      <c r="K285" s="32">
        <f>IF(B285="高三",IF($E285="男",LOOKUP(J285,[1]对照表!$O$3:$O$24,[1]对照表!$P$3:$P$24),LOOKUP(J285,[1]对照表!$O$27:$O$48,[1]对照表!$P$27:$P$48)),IF(B285="高二",IF($E285="男",LOOKUP(J285,[1]对照表!$N$3:$N$24,[1]对照表!$P$3:$P$24),LOOKUP(J285,[1]对照表!$N$27:$N$48,[1]对照表!$P$27:$P$48)),IF(B285="高一",IF($E285="男",LOOKUP(J285,[1]对照表!$M$3:$M$24,[1]对照表!$P$3:$P$24),LOOKUP(J285,[1]对照表!$M$27:$M$48,[1]对照表!$P$27:$P$48)))))</f>
        <v>60</v>
      </c>
      <c r="L285" s="21">
        <v>1</v>
      </c>
      <c r="M285" s="32">
        <f>IF(B285="高三",IF($E285="男",LOOKUP(L285,[1]对照表!$S$3:$S$24,[1]对照表!$T$3:$T$24),LOOKUP(L285,[1]对照表!$S$27:$S$48,[1]对照表!$T$27:$T$48)),IF(B285="高二",IF($E285="男",LOOKUP(L285,[1]对照表!$R$3:$R$24,[1]对照表!$T$3:$T$24),LOOKUP(L285,[1]对照表!$R$27:$R$48,[1]对照表!$T$27:$T$48)),IF(B285="高一",IF($E285="男",LOOKUP(L285,[1]对照表!$Q$3:$Q$24,[1]对照表!$T$3:$T$24),LOOKUP(L285,[1]对照表!$Q$27:$Q$48,[1]对照表!$T$27:$T$48)))))</f>
        <v>0</v>
      </c>
      <c r="N285" s="33">
        <f>IF(B285="高三",MAX(IF(E285="男",L285-18,L285-55),0),IF(B285="高二",MAX(IF(E285="男",L285-17,L285-54),0),IF(B285="高一",MAX(IF(E285="男",L285-16,L285-53),0))))</f>
        <v>0</v>
      </c>
      <c r="O285" s="23">
        <f>IF(E285="男",LOOKUP($N285,[1]对照表!$Z$3:$Z$13,[1]对照表!$AA$3:$AA$13),LOOKUP($N285,[1]对照表!$Z$15:$Z$25,[1]对照表!$AA$15:$AA$25))</f>
        <v>0</v>
      </c>
      <c r="P285" s="24">
        <f>M285+O285</f>
        <v>0</v>
      </c>
      <c r="Q285" s="25">
        <v>4.49</v>
      </c>
      <c r="R285" s="32">
        <f>IF(B285="高三",IF($E285="男",LOOKUP(Q285,[1]对照表!$W$3:$W$24,[1]对照表!$X$3:$X$24),LOOKUP(Q285,[1]对照表!$W$27:$W$48,[1]对照表!$X$27:$X$48)),IF(B285="高二",IF($E285="男",LOOKUP(Q285,[1]对照表!$V$3:$V$24,[1]对照表!$X$3:$X$24),LOOKUP(Q285,[1]对照表!$V$27:$V$48,[1]对照表!$X$27:$X$48)),IF(B285="高一",IF($E285="男",LOOKUP(Q285,[1]对照表!$U$3:$U$24,[1]对照表!$X$3:$X$24),LOOKUP(Q285,[1]对照表!$U$27:$U$48,[1]对照表!$X$27:$X$48)))))</f>
        <v>50</v>
      </c>
      <c r="S285" s="33">
        <f>ROUND(IF(IF($B285="高三",MIN(IF($E285="男",$Q285-3.2,$Q285-3.2),0),IF($B285="高二",MIN(IF($E285="男",$Q285-3.25,$Q285-3.22),0),IF($B285="高一",MIN(IF($E285="男",$Q285-3.3,$Q285-3.24),0))))&lt;-0.6,IF($B285="高三",MIN(IF($E285="男",$Q285-3.2,$Q285-3.2),0),IF($B285="高二",MIN(IF($E285="男",$Q285-3.25,$Q285-3.22),0),IF($B285="高一",MIN(IF($E285="男",$Q285-3.3,$Q285-3.24),0))))+0.4,IF($B285="高三",MIN(IF($E285="男",$Q285-3.2,$Q285-3.2),0),IF($B285="高二",MIN(IF($E285="男",$Q285-3.25,$Q285-3.22),0),IF($B285="高一",MIN(IF($E285="男",$Q285-3.3,$Q285-3.24),0))))),2)</f>
        <v>0</v>
      </c>
      <c r="T285" s="23">
        <f>IF(E285="男",LOOKUP($S285,[1]对照表!$AB$3:$AB$13,[1]对照表!$AC$3:$AC$13),LOOKUP($S285,[1]对照表!$AB$15:$AB$25,[1]对照表!$AC$15:$AC$25))</f>
        <v>0</v>
      </c>
      <c r="U285" s="26">
        <f>R285+T285</f>
        <v>50</v>
      </c>
      <c r="V285" s="26">
        <f>SUM(I285,K285,M285)/3*0.3+SUM(G285,R285)/2*0.4</f>
        <v>37.6</v>
      </c>
      <c r="W285" s="27">
        <f>O285+T285</f>
        <v>0</v>
      </c>
      <c r="X285" s="28">
        <f>V285/0.7+W285</f>
        <v>53.714285714285722</v>
      </c>
      <c r="Y285" s="28">
        <v>53.714285714285722</v>
      </c>
      <c r="Z285" s="21"/>
    </row>
    <row r="286" spans="1:26" x14ac:dyDescent="0.25">
      <c r="A286" s="16">
        <v>15</v>
      </c>
      <c r="B286" s="17" t="s">
        <v>21</v>
      </c>
      <c r="C286" s="16">
        <v>107</v>
      </c>
      <c r="D286" s="18" t="s">
        <v>714</v>
      </c>
      <c r="E286" s="16" t="s">
        <v>23</v>
      </c>
      <c r="F286" s="19"/>
      <c r="G286" s="20">
        <v>0</v>
      </c>
      <c r="H286" s="21"/>
      <c r="I286" s="20">
        <v>0</v>
      </c>
      <c r="J286" s="21"/>
      <c r="K286" s="20">
        <v>0</v>
      </c>
      <c r="L286" s="21"/>
      <c r="M286" s="20">
        <v>0</v>
      </c>
      <c r="N286" s="22">
        <v>0</v>
      </c>
      <c r="O286" s="23">
        <f>IF(E286="男",LOOKUP($N286,[1]对照表!$Z$3:$Z$13,[1]对照表!$AA$3:$AA$13),LOOKUP($N286,[1]对照表!$Z$15:$Z$25,[1]对照表!$AA$15:$AA$25))</f>
        <v>0</v>
      </c>
      <c r="P286" s="24">
        <f>M286+O286</f>
        <v>0</v>
      </c>
      <c r="Q286" s="25"/>
      <c r="R286" s="20">
        <v>0</v>
      </c>
      <c r="S286" s="22">
        <v>0</v>
      </c>
      <c r="T286" s="23">
        <f>IF(E286="男",LOOKUP($S286,[1]对照表!$AB$3:$AB$13,[1]对照表!$AC$3:$AC$13),LOOKUP($S286,[1]对照表!$AB$15:$AB$25,[1]对照表!$AC$15:$AC$25))</f>
        <v>0</v>
      </c>
      <c r="U286" s="26">
        <f>R286+T286</f>
        <v>0</v>
      </c>
      <c r="V286" s="26">
        <f>SUM(I286,K286,M286)/3*0.3+SUM(G286,R286)/2*0.4</f>
        <v>0</v>
      </c>
      <c r="W286" s="27">
        <f>O286+T286</f>
        <v>0</v>
      </c>
      <c r="X286" s="28">
        <f>V286/0.7+W286</f>
        <v>0</v>
      </c>
      <c r="Y286" s="29">
        <v>50</v>
      </c>
      <c r="Z286" s="21" t="s">
        <v>578</v>
      </c>
    </row>
    <row r="287" spans="1:26" x14ac:dyDescent="0.25">
      <c r="A287" s="16">
        <v>27</v>
      </c>
      <c r="B287" s="17" t="s">
        <v>21</v>
      </c>
      <c r="C287" s="16">
        <v>107</v>
      </c>
      <c r="D287" s="18" t="s">
        <v>715</v>
      </c>
      <c r="E287" s="16" t="s">
        <v>23</v>
      </c>
      <c r="F287" s="19"/>
      <c r="G287" s="20">
        <v>0</v>
      </c>
      <c r="H287" s="21"/>
      <c r="I287" s="20">
        <v>0</v>
      </c>
      <c r="J287" s="21"/>
      <c r="K287" s="20">
        <v>0</v>
      </c>
      <c r="L287" s="21"/>
      <c r="M287" s="20">
        <v>0</v>
      </c>
      <c r="N287" s="22">
        <v>0</v>
      </c>
      <c r="O287" s="23">
        <f>IF(E287="男",LOOKUP($N287,[1]对照表!$Z$3:$Z$13,[1]对照表!$AA$3:$AA$13),LOOKUP($N287,[1]对照表!$Z$15:$Z$25,[1]对照表!$AA$15:$AA$25))</f>
        <v>0</v>
      </c>
      <c r="P287" s="24">
        <f>M287+O287</f>
        <v>0</v>
      </c>
      <c r="Q287" s="25"/>
      <c r="R287" s="20">
        <v>0</v>
      </c>
      <c r="S287" s="22">
        <v>0</v>
      </c>
      <c r="T287" s="23">
        <f>IF(E287="男",LOOKUP($S287,[1]对照表!$AB$3:$AB$13,[1]对照表!$AC$3:$AC$13),LOOKUP($S287,[1]对照表!$AB$15:$AB$25,[1]对照表!$AC$15:$AC$25))</f>
        <v>0</v>
      </c>
      <c r="U287" s="26">
        <f>R287+T287</f>
        <v>0</v>
      </c>
      <c r="V287" s="26">
        <f>SUM(I287,K287,M287)/3*0.3+SUM(G287,R287)/2*0.4</f>
        <v>0</v>
      </c>
      <c r="W287" s="27">
        <f>O287+T287</f>
        <v>0</v>
      </c>
      <c r="X287" s="28">
        <f>V287/0.7+W287</f>
        <v>0</v>
      </c>
      <c r="Y287" s="29">
        <v>50</v>
      </c>
      <c r="Z287" s="21" t="s">
        <v>578</v>
      </c>
    </row>
    <row r="288" spans="1:26" x14ac:dyDescent="0.25">
      <c r="A288" s="16">
        <v>41</v>
      </c>
      <c r="B288" s="17" t="s">
        <v>21</v>
      </c>
      <c r="C288" s="16">
        <v>107</v>
      </c>
      <c r="D288" s="18" t="s">
        <v>763</v>
      </c>
      <c r="E288" s="17" t="s">
        <v>65</v>
      </c>
      <c r="F288" s="19"/>
      <c r="G288" s="20">
        <v>0</v>
      </c>
      <c r="H288" s="21"/>
      <c r="I288" s="20">
        <v>0</v>
      </c>
      <c r="J288" s="21"/>
      <c r="K288" s="20">
        <v>0</v>
      </c>
      <c r="L288" s="21"/>
      <c r="M288" s="20">
        <v>0</v>
      </c>
      <c r="N288" s="22">
        <v>0</v>
      </c>
      <c r="O288" s="23">
        <f>IF(E288="男",LOOKUP($N288,[1]对照表!$Z$3:$Z$13,[1]对照表!$AA$3:$AA$13),LOOKUP($N288,[1]对照表!$Z$15:$Z$25,[1]对照表!$AA$15:$AA$25))</f>
        <v>0</v>
      </c>
      <c r="P288" s="24">
        <f>M288+O288</f>
        <v>0</v>
      </c>
      <c r="Q288" s="25"/>
      <c r="R288" s="20">
        <v>0</v>
      </c>
      <c r="S288" s="22">
        <v>0</v>
      </c>
      <c r="T288" s="23">
        <f>IF(E288="男",LOOKUP($S288,[1]对照表!$AB$3:$AB$13,[1]对照表!$AC$3:$AC$13),LOOKUP($S288,[1]对照表!$AB$15:$AB$25,[1]对照表!$AC$15:$AC$25))</f>
        <v>0</v>
      </c>
      <c r="U288" s="26">
        <f>R288+T288</f>
        <v>0</v>
      </c>
      <c r="V288" s="26">
        <f>SUM(I288,K288,M288)/3*0.3+SUM(G288,R288)/2*0.4</f>
        <v>0</v>
      </c>
      <c r="W288" s="27">
        <f>O288+T288</f>
        <v>0</v>
      </c>
      <c r="X288" s="28">
        <f>V288/0.7+W288</f>
        <v>0</v>
      </c>
      <c r="Y288" s="29">
        <v>50</v>
      </c>
      <c r="Z288" s="21" t="s">
        <v>717</v>
      </c>
    </row>
    <row r="289" spans="1:26" x14ac:dyDescent="0.25">
      <c r="A289" s="16">
        <v>9</v>
      </c>
      <c r="B289" s="17" t="s">
        <v>21</v>
      </c>
      <c r="C289" s="16">
        <v>108</v>
      </c>
      <c r="D289" s="18" t="s">
        <v>34</v>
      </c>
      <c r="E289" s="17" t="s">
        <v>23</v>
      </c>
      <c r="F289" s="19">
        <v>6.9</v>
      </c>
      <c r="G289" s="32">
        <f>IF(B289="高三",IF($E289="男",LOOKUP(F289,[1]对照表!$G$3:$G$24,[1]对照表!$H$3:$H$24),LOOKUP(F289,[1]对照表!$G$27:$G$48,[1]对照表!$H$27:$H$48)),IF(B289="高二",IF($E289="男",LOOKUP(F289,[1]对照表!$F$3:$F$24,[1]对照表!$H$3:$H$24),LOOKUP(F289,[1]对照表!$F$27:$F$48,[1]对照表!$H$27:$H$48)),IF(B289="高一",IF($E289="男",LOOKUP(F289,[1]对照表!$E$3:$E$24,[1]对照表!$H$3:$H$24),LOOKUP(F289,[1]对照表!$E$27:$E$48,[1]对照表!$H$27:$H$48)))))</f>
        <v>100</v>
      </c>
      <c r="H289" s="21">
        <v>19.8</v>
      </c>
      <c r="I289" s="32">
        <f>IF(B289="高三",IF($E289="男",LOOKUP(H289,[1]对照表!$K$3:$K$24,[1]对照表!$L$3:$L$24),LOOKUP(H289,[1]对照表!$K$27:$K$48,[1]对照表!$L$27:$L$48)),IF(B289="高二",IF($E289="男",LOOKUP(H289,[1]对照表!$J$3:$J$24,[1]对照表!$L$3:$L$24),LOOKUP(H289,[1]对照表!$J$27:$J$48,[1]对照表!$L$27:$L$48)),IF(B289="高一",IF($E289="男",LOOKUP(H289,[1]对照表!$I$3:$I$24,[1]对照表!$L$3:$L$24),LOOKUP(H289,[1]对照表!$I$27:$I$48,[1]对照表!$L$27:$L$48)))))</f>
        <v>90</v>
      </c>
      <c r="J289" s="21">
        <v>260</v>
      </c>
      <c r="K289" s="32">
        <f>IF(B289="高三",IF($E289="男",LOOKUP(J289,[1]对照表!$O$3:$O$24,[1]对照表!$P$3:$P$24),LOOKUP(J289,[1]对照表!$O$27:$O$48,[1]对照表!$P$27:$P$48)),IF(B289="高二",IF($E289="男",LOOKUP(J289,[1]对照表!$N$3:$N$24,[1]对照表!$P$3:$P$24),LOOKUP(J289,[1]对照表!$N$27:$N$48,[1]对照表!$P$27:$P$48)),IF(B289="高一",IF($E289="男",LOOKUP(J289,[1]对照表!$M$3:$M$24,[1]对照表!$P$3:$P$24),LOOKUP(J289,[1]对照表!$M$27:$M$48,[1]对照表!$P$27:$P$48)))))</f>
        <v>100</v>
      </c>
      <c r="L289" s="21">
        <v>26</v>
      </c>
      <c r="M289" s="32">
        <f>IF(B289="高三",IF($E289="男",LOOKUP(L289,[1]对照表!$S$3:$S$24,[1]对照表!$T$3:$T$24),LOOKUP(L289,[1]对照表!$S$27:$S$48,[1]对照表!$T$27:$T$48)),IF(B289="高二",IF($E289="男",LOOKUP(L289,[1]对照表!$R$3:$R$24,[1]对照表!$T$3:$T$24),LOOKUP(L289,[1]对照表!$R$27:$R$48,[1]对照表!$T$27:$T$48)),IF(B289="高一",IF($E289="男",LOOKUP(L289,[1]对照表!$Q$3:$Q$24,[1]对照表!$T$3:$T$24),LOOKUP(L289,[1]对照表!$Q$27:$Q$48,[1]对照表!$T$27:$T$48)))))</f>
        <v>100</v>
      </c>
      <c r="N289" s="33">
        <f>IF(B289="高三",MAX(IF(E289="男",L289-18,L289-55),0),IF(B289="高二",MAX(IF(E289="男",L289-17,L289-54),0),IF(B289="高一",MAX(IF(E289="男",L289-16,L289-53),0))))</f>
        <v>10</v>
      </c>
      <c r="O289" s="23">
        <f>IF(E289="男",LOOKUP($N289,[1]对照表!$Z$3:$Z$13,[1]对照表!$AA$3:$AA$13),LOOKUP($N289,[1]对照表!$Z$15:$Z$25,[1]对照表!$AA$15:$AA$25))</f>
        <v>10</v>
      </c>
      <c r="P289" s="24">
        <f>M289+O289</f>
        <v>110</v>
      </c>
      <c r="Q289" s="25">
        <v>3.29</v>
      </c>
      <c r="R289" s="32">
        <f>IF(B289="高三",IF($E289="男",LOOKUP(Q289,[1]对照表!$W$3:$W$24,[1]对照表!$X$3:$X$24),LOOKUP(Q289,[1]对照表!$W$27:$W$48,[1]对照表!$X$27:$X$48)),IF(B289="高二",IF($E289="男",LOOKUP(Q289,[1]对照表!$V$3:$V$24,[1]对照表!$X$3:$X$24),LOOKUP(Q289,[1]对照表!$V$27:$V$48,[1]对照表!$X$27:$X$48)),IF(B289="高一",IF($E289="男",LOOKUP(Q289,[1]对照表!$U$3:$U$24,[1]对照表!$X$3:$X$24),LOOKUP(Q289,[1]对照表!$U$27:$U$48,[1]对照表!$X$27:$X$48)))))</f>
        <v>100</v>
      </c>
      <c r="S289" s="27">
        <f>ROUND(IF(IF($B289="高三",MIN(IF($E289="男",$Q289-3.2,$Q289-3.2),0),IF($B289="高二",MIN(IF($E289="男",$Q289-3.25,$Q289-3.22),0),IF($B289="高一",MIN(IF($E289="男",$Q289-3.3,$Q289-3.24),0))))&lt;-0.6,IF($B289="高三",MIN(IF($E289="男",$Q289-3.2,$Q289-3.2),0),IF($B289="高二",MIN(IF($E289="男",$Q289-3.25,$Q289-3.22),0),IF($B289="高一",MIN(IF($E289="男",$Q289-3.3,$Q289-3.24),0))))+0.4,IF($B289="高三",MIN(IF($E289="男",$Q289-3.2,$Q289-3.2),0),IF($B289="高二",MIN(IF($E289="男",$Q289-3.25,$Q289-3.22),0),IF($B289="高一",MIN(IF($E289="男",$Q289-3.3,$Q289-3.24),0))))),2)</f>
        <v>-0.01</v>
      </c>
      <c r="T289" s="23">
        <f>IF(E289="男",LOOKUP($S289,[1]对照表!$AB$3:$AB$13,[1]对照表!$AC$3:$AC$13),LOOKUP($S289,[1]对照表!$AB$15:$AB$25,[1]对照表!$AC$15:$AC$25))</f>
        <v>0</v>
      </c>
      <c r="U289" s="26">
        <f>R289+T289</f>
        <v>100</v>
      </c>
      <c r="V289" s="26">
        <f>SUM(I289,K289,M289)/3*0.3+SUM(G289,R289)/2*0.4</f>
        <v>69</v>
      </c>
      <c r="W289" s="27">
        <f>O289+T289</f>
        <v>10</v>
      </c>
      <c r="X289" s="28">
        <f>V289/0.7+W289</f>
        <v>108.57142857142858</v>
      </c>
      <c r="Y289" s="28">
        <v>108.57142857142858</v>
      </c>
      <c r="Z289" s="21"/>
    </row>
    <row r="290" spans="1:26" x14ac:dyDescent="0.25">
      <c r="A290" s="16">
        <v>18</v>
      </c>
      <c r="B290" s="17" t="s">
        <v>21</v>
      </c>
      <c r="C290" s="16">
        <v>108</v>
      </c>
      <c r="D290" s="18" t="s">
        <v>35</v>
      </c>
      <c r="E290" s="16" t="s">
        <v>23</v>
      </c>
      <c r="F290" s="19">
        <v>7</v>
      </c>
      <c r="G290" s="32">
        <f>IF(B290="高三",IF($E290="男",LOOKUP(F290,[1]对照表!$G$3:$G$24,[1]对照表!$H$3:$H$24),LOOKUP(F290,[1]对照表!$G$27:$G$48,[1]对照表!$H$27:$H$48)),IF(B290="高二",IF($E290="男",LOOKUP(F290,[1]对照表!$F$3:$F$24,[1]对照表!$H$3:$H$24),LOOKUP(F290,[1]对照表!$F$27:$F$48,[1]对照表!$H$27:$H$48)),IF(B290="高一",IF($E290="男",LOOKUP(F290,[1]对照表!$E$3:$E$24,[1]对照表!$H$3:$H$24),LOOKUP(F290,[1]对照表!$E$27:$E$48,[1]对照表!$H$27:$H$48)))))</f>
        <v>100</v>
      </c>
      <c r="H290" s="21">
        <v>24</v>
      </c>
      <c r="I290" s="32">
        <f>IF(B290="高三",IF($E290="男",LOOKUP(H290,[1]对照表!$K$3:$K$24,[1]对照表!$L$3:$L$24),LOOKUP(H290,[1]对照表!$K$27:$K$48,[1]对照表!$L$27:$L$48)),IF(B290="高二",IF($E290="男",LOOKUP(H290,[1]对照表!$J$3:$J$24,[1]对照表!$L$3:$L$24),LOOKUP(H290,[1]对照表!$J$27:$J$48,[1]对照表!$L$27:$L$48)),IF(B290="高一",IF($E290="男",LOOKUP(H290,[1]对照表!$I$3:$I$24,[1]对照表!$L$3:$L$24),LOOKUP(H290,[1]对照表!$I$27:$I$48,[1]对照表!$L$27:$L$48)))))</f>
        <v>100</v>
      </c>
      <c r="J290" s="21">
        <v>260</v>
      </c>
      <c r="K290" s="32">
        <f>IF(B290="高三",IF($E290="男",LOOKUP(J290,[1]对照表!$O$3:$O$24,[1]对照表!$P$3:$P$24),LOOKUP(J290,[1]对照表!$O$27:$O$48,[1]对照表!$P$27:$P$48)),IF(B290="高二",IF($E290="男",LOOKUP(J290,[1]对照表!$N$3:$N$24,[1]对照表!$P$3:$P$24),LOOKUP(J290,[1]对照表!$N$27:$N$48,[1]对照表!$P$27:$P$48)),IF(B290="高一",IF($E290="男",LOOKUP(J290,[1]对照表!$M$3:$M$24,[1]对照表!$P$3:$P$24),LOOKUP(J290,[1]对照表!$M$27:$M$48,[1]对照表!$P$27:$P$48)))))</f>
        <v>100</v>
      </c>
      <c r="L290" s="21">
        <v>26</v>
      </c>
      <c r="M290" s="32">
        <f>IF(B290="高三",IF($E290="男",LOOKUP(L290,[1]对照表!$S$3:$S$24,[1]对照表!$T$3:$T$24),LOOKUP(L290,[1]对照表!$S$27:$S$48,[1]对照表!$T$27:$T$48)),IF(B290="高二",IF($E290="男",LOOKUP(L290,[1]对照表!$R$3:$R$24,[1]对照表!$T$3:$T$24),LOOKUP(L290,[1]对照表!$R$27:$R$48,[1]对照表!$T$27:$T$48)),IF(B290="高一",IF($E290="男",LOOKUP(L290,[1]对照表!$Q$3:$Q$24,[1]对照表!$T$3:$T$24),LOOKUP(L290,[1]对照表!$Q$27:$Q$48,[1]对照表!$T$27:$T$48)))))</f>
        <v>100</v>
      </c>
      <c r="N290" s="33">
        <f>IF(B290="高三",MAX(IF(E290="男",L290-18,L290-55),0),IF(B290="高二",MAX(IF(E290="男",L290-17,L290-54),0),IF(B290="高一",MAX(IF(E290="男",L290-16,L290-53),0))))</f>
        <v>10</v>
      </c>
      <c r="O290" s="23">
        <f>IF(E290="男",LOOKUP($N290,[1]对照表!$Z$3:$Z$13,[1]对照表!$AA$3:$AA$13),LOOKUP($N290,[1]对照表!$Z$15:$Z$25,[1]对照表!$AA$15:$AA$25))</f>
        <v>10</v>
      </c>
      <c r="P290" s="24">
        <f>M290+O290</f>
        <v>110</v>
      </c>
      <c r="Q290" s="25">
        <v>3.34</v>
      </c>
      <c r="R290" s="32">
        <f>IF(B290="高三",IF($E290="男",LOOKUP(Q290,[1]对照表!$W$3:$W$24,[1]对照表!$X$3:$X$24),LOOKUP(Q290,[1]对照表!$W$27:$W$48,[1]对照表!$X$27:$X$48)),IF(B290="高二",IF($E290="男",LOOKUP(Q290,[1]对照表!$V$3:$V$24,[1]对照表!$X$3:$X$24),LOOKUP(Q290,[1]对照表!$V$27:$V$48,[1]对照表!$X$27:$X$48)),IF(B290="高一",IF($E290="男",LOOKUP(Q290,[1]对照表!$U$3:$U$24,[1]对照表!$X$3:$X$24),LOOKUP(Q290,[1]对照表!$U$27:$U$48,[1]对照表!$X$27:$X$48)))))</f>
        <v>95</v>
      </c>
      <c r="S290" s="33">
        <f>ROUND(IF(IF($B290="高三",MIN(IF($E290="男",$Q290-3.2,$Q290-3.2),0),IF($B290="高二",MIN(IF($E290="男",$Q290-3.25,$Q290-3.22),0),IF($B290="高一",MIN(IF($E290="男",$Q290-3.3,$Q290-3.24),0))))&lt;-0.6,IF($B290="高三",MIN(IF($E290="男",$Q290-3.2,$Q290-3.2),0),IF($B290="高二",MIN(IF($E290="男",$Q290-3.25,$Q290-3.22),0),IF($B290="高一",MIN(IF($E290="男",$Q290-3.3,$Q290-3.24),0))))+0.4,IF($B290="高三",MIN(IF($E290="男",$Q290-3.2,$Q290-3.2),0),IF($B290="高二",MIN(IF($E290="男",$Q290-3.25,$Q290-3.22),0),IF($B290="高一",MIN(IF($E290="男",$Q290-3.3,$Q290-3.24),0))))),2)</f>
        <v>0</v>
      </c>
      <c r="T290" s="23">
        <f>IF(E290="男",LOOKUP($S290,[1]对照表!$AB$3:$AB$13,[1]对照表!$AC$3:$AC$13),LOOKUP($S290,[1]对照表!$AB$15:$AB$25,[1]对照表!$AC$15:$AC$25))</f>
        <v>0</v>
      </c>
      <c r="U290" s="26">
        <f>R290+T290</f>
        <v>95</v>
      </c>
      <c r="V290" s="26">
        <f>SUM(I290,K290,M290)/3*0.3+SUM(G290,R290)/2*0.4</f>
        <v>69</v>
      </c>
      <c r="W290" s="27">
        <f>O290+T290</f>
        <v>10</v>
      </c>
      <c r="X290" s="28">
        <f>V290/0.7+W290</f>
        <v>108.57142857142858</v>
      </c>
      <c r="Y290" s="28">
        <v>108.57142857142858</v>
      </c>
      <c r="Z290" s="21"/>
    </row>
    <row r="291" spans="1:26" x14ac:dyDescent="0.25">
      <c r="A291" s="16">
        <v>10</v>
      </c>
      <c r="B291" s="17" t="s">
        <v>21</v>
      </c>
      <c r="C291" s="16">
        <v>108</v>
      </c>
      <c r="D291" s="18" t="s">
        <v>59</v>
      </c>
      <c r="E291" s="17" t="s">
        <v>23</v>
      </c>
      <c r="F291" s="19">
        <v>6.7</v>
      </c>
      <c r="G291" s="32">
        <f>IF(B291="高三",IF($E291="男",LOOKUP(F291,[1]对照表!$G$3:$G$24,[1]对照表!$H$3:$H$24),LOOKUP(F291,[1]对照表!$G$27:$G$48,[1]对照表!$H$27:$H$48)),IF(B291="高二",IF($E291="男",LOOKUP(F291,[1]对照表!$F$3:$F$24,[1]对照表!$H$3:$H$24),LOOKUP(F291,[1]对照表!$F$27:$F$48,[1]对照表!$H$27:$H$48)),IF(B291="高一",IF($E291="男",LOOKUP(F291,[1]对照表!$E$3:$E$24,[1]对照表!$H$3:$H$24),LOOKUP(F291,[1]对照表!$E$27:$E$48,[1]对照表!$H$27:$H$48)))))</f>
        <v>100</v>
      </c>
      <c r="H291" s="21">
        <v>23</v>
      </c>
      <c r="I291" s="32">
        <f>IF(B291="高三",IF($E291="男",LOOKUP(H291,[1]对照表!$K$3:$K$24,[1]对照表!$L$3:$L$24),LOOKUP(H291,[1]对照表!$K$27:$K$48,[1]对照表!$L$27:$L$48)),IF(B291="高二",IF($E291="男",LOOKUP(H291,[1]对照表!$J$3:$J$24,[1]对照表!$L$3:$L$24),LOOKUP(H291,[1]对照表!$J$27:$J$48,[1]对照表!$L$27:$L$48)),IF(B291="高一",IF($E291="男",LOOKUP(H291,[1]对照表!$I$3:$I$24,[1]对照表!$L$3:$L$24),LOOKUP(H291,[1]对照表!$I$27:$I$48,[1]对照表!$L$27:$L$48)))))</f>
        <v>95</v>
      </c>
      <c r="J291" s="21">
        <v>300</v>
      </c>
      <c r="K291" s="32">
        <f>IF(B291="高三",IF($E291="男",LOOKUP(J291,[1]对照表!$O$3:$O$24,[1]对照表!$P$3:$P$24),LOOKUP(J291,[1]对照表!$O$27:$O$48,[1]对照表!$P$27:$P$48)),IF(B291="高二",IF($E291="男",LOOKUP(J291,[1]对照表!$N$3:$N$24,[1]对照表!$P$3:$P$24),LOOKUP(J291,[1]对照表!$N$27:$N$48,[1]对照表!$P$27:$P$48)),IF(B291="高一",IF($E291="男",LOOKUP(J291,[1]对照表!$M$3:$M$24,[1]对照表!$P$3:$P$24),LOOKUP(J291,[1]对照表!$M$27:$M$48,[1]对照表!$P$27:$P$48)))))</f>
        <v>100</v>
      </c>
      <c r="L291" s="21">
        <v>17</v>
      </c>
      <c r="M291" s="32">
        <f>IF(B291="高三",IF($E291="男",LOOKUP(L291,[1]对照表!$S$3:$S$24,[1]对照表!$T$3:$T$24),LOOKUP(L291,[1]对照表!$S$27:$S$48,[1]对照表!$T$27:$T$48)),IF(B291="高二",IF($E291="男",LOOKUP(L291,[1]对照表!$R$3:$R$24,[1]对照表!$T$3:$T$24),LOOKUP(L291,[1]对照表!$R$27:$R$48,[1]对照表!$T$27:$T$48)),IF(B291="高一",IF($E291="男",LOOKUP(L291,[1]对照表!$Q$3:$Q$24,[1]对照表!$T$3:$T$24),LOOKUP(L291,[1]对照表!$Q$27:$Q$48,[1]对照表!$T$27:$T$48)))))</f>
        <v>100</v>
      </c>
      <c r="N291" s="33">
        <f>IF(B291="高三",MAX(IF(E291="男",L291-18,L291-55),0),IF(B291="高二",MAX(IF(E291="男",L291-17,L291-54),0),IF(B291="高一",MAX(IF(E291="男",L291-16,L291-53),0))))</f>
        <v>1</v>
      </c>
      <c r="O291" s="23">
        <f>IF(E291="男",LOOKUP($N291,[1]对照表!$Z$3:$Z$13,[1]对照表!$AA$3:$AA$13),LOOKUP($N291,[1]对照表!$Z$15:$Z$25,[1]对照表!$AA$15:$AA$25))</f>
        <v>1</v>
      </c>
      <c r="P291" s="24">
        <f>M291+O291</f>
        <v>101</v>
      </c>
      <c r="Q291" s="25">
        <v>3.26</v>
      </c>
      <c r="R291" s="32">
        <f>IF(B291="高三",IF($E291="男",LOOKUP(Q291,[1]对照表!$W$3:$W$24,[1]对照表!$X$3:$X$24),LOOKUP(Q291,[1]对照表!$W$27:$W$48,[1]对照表!$X$27:$X$48)),IF(B291="高二",IF($E291="男",LOOKUP(Q291,[1]对照表!$V$3:$V$24,[1]对照表!$X$3:$X$24),LOOKUP(Q291,[1]对照表!$V$27:$V$48,[1]对照表!$X$27:$X$48)),IF(B291="高一",IF($E291="男",LOOKUP(Q291,[1]对照表!$U$3:$U$24,[1]对照表!$X$3:$X$24),LOOKUP(Q291,[1]对照表!$U$27:$U$48,[1]对照表!$X$27:$X$48)))))</f>
        <v>100</v>
      </c>
      <c r="S291" s="33">
        <f>ROUND(IF(IF($B291="高三",MIN(IF($E291="男",$Q291-3.2,$Q291-3.2),0),IF($B291="高二",MIN(IF($E291="男",$Q291-3.25,$Q291-3.22),0),IF($B291="高一",MIN(IF($E291="男",$Q291-3.3,$Q291-3.24),0))))&lt;-0.6,IF($B291="高三",MIN(IF($E291="男",$Q291-3.2,$Q291-3.2),0),IF($B291="高二",MIN(IF($E291="男",$Q291-3.25,$Q291-3.22),0),IF($B291="高一",MIN(IF($E291="男",$Q291-3.3,$Q291-3.24),0))))+0.4,IF($B291="高三",MIN(IF($E291="男",$Q291-3.2,$Q291-3.2),0),IF($B291="高二",MIN(IF($E291="男",$Q291-3.25,$Q291-3.22),0),IF($B291="高一",MIN(IF($E291="男",$Q291-3.3,$Q291-3.24),0))))),2)</f>
        <v>-0.04</v>
      </c>
      <c r="T291" s="23">
        <f>IF(E291="男",LOOKUP($S291,[1]对照表!$AB$3:$AB$13,[1]对照表!$AC$3:$AC$13),LOOKUP($S291,[1]对照表!$AB$15:$AB$25,[1]对照表!$AC$15:$AC$25))</f>
        <v>1</v>
      </c>
      <c r="U291" s="26">
        <f>R291+T291</f>
        <v>101</v>
      </c>
      <c r="V291" s="26">
        <f>SUM(I291,K291,M291)/3*0.3+SUM(G291,R291)/2*0.4</f>
        <v>69.5</v>
      </c>
      <c r="W291" s="27">
        <f>O291+T291</f>
        <v>2</v>
      </c>
      <c r="X291" s="28">
        <f>V291/0.7+W291</f>
        <v>101.28571428571429</v>
      </c>
      <c r="Y291" s="28">
        <v>101.28571428571429</v>
      </c>
      <c r="Z291" s="25"/>
    </row>
    <row r="292" spans="1:26" x14ac:dyDescent="0.25">
      <c r="A292" s="16">
        <v>22</v>
      </c>
      <c r="B292" s="17" t="s">
        <v>21</v>
      </c>
      <c r="C292" s="16">
        <v>108</v>
      </c>
      <c r="D292" s="18" t="s">
        <v>62</v>
      </c>
      <c r="E292" s="16" t="s">
        <v>23</v>
      </c>
      <c r="F292" s="19">
        <v>6.9</v>
      </c>
      <c r="G292" s="32">
        <f>IF(B292="高三",IF($E292="男",LOOKUP(F292,[1]对照表!$G$3:$G$24,[1]对照表!$H$3:$H$24),LOOKUP(F292,[1]对照表!$G$27:$G$48,[1]对照表!$H$27:$H$48)),IF(B292="高二",IF($E292="男",LOOKUP(F292,[1]对照表!$F$3:$F$24,[1]对照表!$H$3:$H$24),LOOKUP(F292,[1]对照表!$F$27:$F$48,[1]对照表!$H$27:$H$48)),IF(B292="高一",IF($E292="男",LOOKUP(F292,[1]对照表!$E$3:$E$24,[1]对照表!$H$3:$H$24),LOOKUP(F292,[1]对照表!$E$27:$E$48,[1]对照表!$H$27:$H$48)))))</f>
        <v>100</v>
      </c>
      <c r="H292" s="21">
        <v>22.7</v>
      </c>
      <c r="I292" s="32">
        <f>IF(B292="高三",IF($E292="男",LOOKUP(H292,[1]对照表!$K$3:$K$24,[1]对照表!$L$3:$L$24),LOOKUP(H292,[1]对照表!$K$27:$K$48,[1]对照表!$L$27:$L$48)),IF(B292="高二",IF($E292="男",LOOKUP(H292,[1]对照表!$J$3:$J$24,[1]对照表!$L$3:$L$24),LOOKUP(H292,[1]对照表!$J$27:$J$48,[1]对照表!$L$27:$L$48)),IF(B292="高一",IF($E292="男",LOOKUP(H292,[1]对照表!$I$3:$I$24,[1]对照表!$L$3:$L$24),LOOKUP(H292,[1]对照表!$I$27:$I$48,[1]对照表!$L$27:$L$48)))))</f>
        <v>95</v>
      </c>
      <c r="J292" s="21">
        <v>272</v>
      </c>
      <c r="K292" s="32">
        <f>IF(B292="高三",IF($E292="男",LOOKUP(J292,[1]对照表!$O$3:$O$24,[1]对照表!$P$3:$P$24),LOOKUP(J292,[1]对照表!$O$27:$O$48,[1]对照表!$P$27:$P$48)),IF(B292="高二",IF($E292="男",LOOKUP(J292,[1]对照表!$N$3:$N$24,[1]对照表!$P$3:$P$24),LOOKUP(J292,[1]对照表!$N$27:$N$48,[1]对照表!$P$27:$P$48)),IF(B292="高一",IF($E292="男",LOOKUP(J292,[1]对照表!$M$3:$M$24,[1]对照表!$P$3:$P$24),LOOKUP(J292,[1]对照表!$M$27:$M$48,[1]对照表!$P$27:$P$48)))))</f>
        <v>100</v>
      </c>
      <c r="L292" s="21">
        <v>17</v>
      </c>
      <c r="M292" s="32">
        <f>IF(B292="高三",IF($E292="男",LOOKUP(L292,[1]对照表!$S$3:$S$24,[1]对照表!$T$3:$T$24),LOOKUP(L292,[1]对照表!$S$27:$S$48,[1]对照表!$T$27:$T$48)),IF(B292="高二",IF($E292="男",LOOKUP(L292,[1]对照表!$R$3:$R$24,[1]对照表!$T$3:$T$24),LOOKUP(L292,[1]对照表!$R$27:$R$48,[1]对照表!$T$27:$T$48)),IF(B292="高一",IF($E292="男",LOOKUP(L292,[1]对照表!$Q$3:$Q$24,[1]对照表!$T$3:$T$24),LOOKUP(L292,[1]对照表!$Q$27:$Q$48,[1]对照表!$T$27:$T$48)))))</f>
        <v>100</v>
      </c>
      <c r="N292" s="33">
        <f>IF(B292="高三",MAX(IF(E292="男",L292-18,L292-55),0),IF(B292="高二",MAX(IF(E292="男",L292-17,L292-54),0),IF(B292="高一",MAX(IF(E292="男",L292-16,L292-53),0))))</f>
        <v>1</v>
      </c>
      <c r="O292" s="23">
        <f>IF(E292="男",LOOKUP($N292,[1]对照表!$Z$3:$Z$13,[1]对照表!$AA$3:$AA$13),LOOKUP($N292,[1]对照表!$Z$15:$Z$25,[1]对照表!$AA$15:$AA$25))</f>
        <v>1</v>
      </c>
      <c r="P292" s="24">
        <f>M292+O292</f>
        <v>101</v>
      </c>
      <c r="Q292" s="25">
        <v>3.27</v>
      </c>
      <c r="R292" s="32">
        <f>IF(B292="高三",IF($E292="男",LOOKUP(Q292,[1]对照表!$W$3:$W$24,[1]对照表!$X$3:$X$24),LOOKUP(Q292,[1]对照表!$W$27:$W$48,[1]对照表!$X$27:$X$48)),IF(B292="高二",IF($E292="男",LOOKUP(Q292,[1]对照表!$V$3:$V$24,[1]对照表!$X$3:$X$24),LOOKUP(Q292,[1]对照表!$V$27:$V$48,[1]对照表!$X$27:$X$48)),IF(B292="高一",IF($E292="男",LOOKUP(Q292,[1]对照表!$U$3:$U$24,[1]对照表!$X$3:$X$24),LOOKUP(Q292,[1]对照表!$U$27:$U$48,[1]对照表!$X$27:$X$48)))))</f>
        <v>100</v>
      </c>
      <c r="S292" s="27">
        <f>ROUND(IF(IF($B292="高三",MIN(IF($E292="男",$Q292-3.2,$Q292-3.2),0),IF($B292="高二",MIN(IF($E292="男",$Q292-3.25,$Q292-3.22),0),IF($B292="高一",MIN(IF($E292="男",$Q292-3.3,$Q292-3.24),0))))&lt;-0.6,IF($B292="高三",MIN(IF($E292="男",$Q292-3.2,$Q292-3.2),0),IF($B292="高二",MIN(IF($E292="男",$Q292-3.25,$Q292-3.22),0),IF($B292="高一",MIN(IF($E292="男",$Q292-3.3,$Q292-3.24),0))))+0.4,IF($B292="高三",MIN(IF($E292="男",$Q292-3.2,$Q292-3.2),0),IF($B292="高二",MIN(IF($E292="男",$Q292-3.25,$Q292-3.22),0),IF($B292="高一",MIN(IF($E292="男",$Q292-3.3,$Q292-3.24),0))))),2)</f>
        <v>-0.03</v>
      </c>
      <c r="T292" s="23">
        <f>IF(E292="男",LOOKUP($S292,[1]对照表!$AB$3:$AB$13,[1]对照表!$AC$3:$AC$13),LOOKUP($S292,[1]对照表!$AB$15:$AB$25,[1]对照表!$AC$15:$AC$25))</f>
        <v>0</v>
      </c>
      <c r="U292" s="26">
        <f>R292+T292</f>
        <v>100</v>
      </c>
      <c r="V292" s="26">
        <f>SUM(I292,K292,M292)/3*0.3+SUM(G292,R292)/2*0.4</f>
        <v>69.5</v>
      </c>
      <c r="W292" s="27">
        <f>O292+T292</f>
        <v>1</v>
      </c>
      <c r="X292" s="28">
        <f>V292/0.7+W292</f>
        <v>100.28571428571429</v>
      </c>
      <c r="Y292" s="28">
        <v>100.28571428571429</v>
      </c>
      <c r="Z292" s="21"/>
    </row>
    <row r="293" spans="1:26" x14ac:dyDescent="0.25">
      <c r="A293" s="16">
        <v>44</v>
      </c>
      <c r="B293" s="17" t="s">
        <v>21</v>
      </c>
      <c r="C293" s="16">
        <v>108</v>
      </c>
      <c r="D293" s="18" t="s">
        <v>70</v>
      </c>
      <c r="E293" s="17" t="s">
        <v>65</v>
      </c>
      <c r="F293" s="19">
        <v>8.02</v>
      </c>
      <c r="G293" s="32">
        <f>IF(B293="高三",IF($E293="男",LOOKUP(F293,[1]对照表!$G$3:$G$24,[1]对照表!$H$3:$H$24),LOOKUP(F293,[1]对照表!$G$27:$G$48,[1]对照表!$H$27:$H$48)),IF(B293="高二",IF($E293="男",LOOKUP(F293,[1]对照表!$F$3:$F$24,[1]对照表!$H$3:$H$24),LOOKUP(F293,[1]对照表!$F$27:$F$48,[1]对照表!$H$27:$H$48)),IF(B293="高一",IF($E293="男",LOOKUP(F293,[1]对照表!$E$3:$E$24,[1]对照表!$H$3:$H$24),LOOKUP(F293,[1]对照表!$E$27:$E$48,[1]对照表!$H$27:$H$48)))))</f>
        <v>85</v>
      </c>
      <c r="H293" s="21">
        <v>22</v>
      </c>
      <c r="I293" s="32">
        <f>IF(B293="高三",IF($E293="男",LOOKUP(H293,[1]对照表!$K$3:$K$24,[1]对照表!$L$3:$L$24),LOOKUP(H293,[1]对照表!$K$27:$K$48,[1]对照表!$L$27:$L$48)),IF(B293="高二",IF($E293="男",LOOKUP(H293,[1]对照表!$J$3:$J$24,[1]对照表!$L$3:$L$24),LOOKUP(H293,[1]对照表!$J$27:$J$48,[1]对照表!$L$27:$L$48)),IF(B293="高一",IF($E293="男",LOOKUP(H293,[1]对照表!$I$3:$I$24,[1]对照表!$L$3:$L$24),LOOKUP(H293,[1]对照表!$I$27:$I$48,[1]对照表!$L$27:$L$48)))))</f>
        <v>90</v>
      </c>
      <c r="J293" s="21">
        <v>220</v>
      </c>
      <c r="K293" s="32">
        <f>IF(B293="高三",IF($E293="男",LOOKUP(J293,[1]对照表!$O$3:$O$24,[1]对照表!$P$3:$P$24),LOOKUP(J293,[1]对照表!$O$27:$O$48,[1]对照表!$P$27:$P$48)),IF(B293="高二",IF($E293="男",LOOKUP(J293,[1]对照表!$N$3:$N$24,[1]对照表!$P$3:$P$24),LOOKUP(J293,[1]对照表!$N$27:$N$48,[1]对照表!$P$27:$P$48)),IF(B293="高一",IF($E293="男",LOOKUP(J293,[1]对照表!$M$3:$M$24,[1]对照表!$P$3:$P$24),LOOKUP(J293,[1]对照表!$M$27:$M$48,[1]对照表!$P$27:$P$48)))))</f>
        <v>100</v>
      </c>
      <c r="L293" s="21">
        <v>59</v>
      </c>
      <c r="M293" s="32">
        <f>IF(B293="高三",IF($E293="男",LOOKUP(L293,[1]对照表!$S$3:$S$24,[1]对照表!$T$3:$T$24),LOOKUP(L293,[1]对照表!$S$27:$S$48,[1]对照表!$T$27:$T$48)),IF(B293="高二",IF($E293="男",LOOKUP(L293,[1]对照表!$R$3:$R$24,[1]对照表!$T$3:$T$24),LOOKUP(L293,[1]对照表!$R$27:$R$48,[1]对照表!$T$27:$T$48)),IF(B293="高一",IF($E293="男",LOOKUP(L293,[1]对照表!$Q$3:$Q$24,[1]对照表!$T$3:$T$24),LOOKUP(L293,[1]对照表!$Q$27:$Q$48,[1]对照表!$T$27:$T$48)))))</f>
        <v>100</v>
      </c>
      <c r="N293" s="33">
        <f>IF(B293="高三",MAX(IF(E293="男",L293-18,L293-55),0),IF(B293="高二",MAX(IF(E293="男",L293-17,L293-54),0),IF(B293="高一",MAX(IF(E293="男",L293-16,L293-53),0))))</f>
        <v>6</v>
      </c>
      <c r="O293" s="23">
        <f>IF(E293="男",LOOKUP($N293,[1]对照表!$Z$3:$Z$13,[1]对照表!$AA$3:$AA$13),LOOKUP($N293,[1]对照表!$Z$15:$Z$25,[1]对照表!$AA$15:$AA$25))</f>
        <v>3</v>
      </c>
      <c r="P293" s="24">
        <f>M293+O293</f>
        <v>103</v>
      </c>
      <c r="Q293" s="25">
        <v>3.05</v>
      </c>
      <c r="R293" s="32">
        <f>IF(B293="高三",IF($E293="男",LOOKUP(Q293,[1]对照表!$W$3:$W$24,[1]对照表!$X$3:$X$24),LOOKUP(Q293,[1]对照表!$W$27:$W$48,[1]对照表!$X$27:$X$48)),IF(B293="高二",IF($E293="男",LOOKUP(Q293,[1]对照表!$V$3:$V$24,[1]对照表!$X$3:$X$24),LOOKUP(Q293,[1]对照表!$V$27:$V$48,[1]对照表!$X$27:$X$48)),IF(B293="高一",IF($E293="男",LOOKUP(Q293,[1]对照表!$U$3:$U$24,[1]对照表!$X$3:$X$24),LOOKUP(Q293,[1]对照表!$U$27:$U$48,[1]对照表!$X$27:$X$48)))))</f>
        <v>100</v>
      </c>
      <c r="S293" s="33">
        <f>ROUND(IF(IF($B293="高三",MIN(IF($E293="男",$Q293-3.2,$Q293-3.2),0),IF($B293="高二",MIN(IF($E293="男",$Q293-3.25,$Q293-3.22),0),IF($B293="高一",MIN(IF($E293="男",$Q293-3.3,$Q293-3.24),0))))&lt;-0.6,IF($B293="高三",MIN(IF($E293="男",$Q293-3.2,$Q293-3.2),0),IF($B293="高二",MIN(IF($E293="男",$Q293-3.25,$Q293-3.22),0),IF($B293="高一",MIN(IF($E293="男",$Q293-3.3,$Q293-3.24),0))))+0.4,IF($B293="高三",MIN(IF($E293="男",$Q293-3.2,$Q293-3.2),0),IF($B293="高二",MIN(IF($E293="男",$Q293-3.25,$Q293-3.22),0),IF($B293="高一",MIN(IF($E293="男",$Q293-3.3,$Q293-3.24),0))))),2)</f>
        <v>-0.19</v>
      </c>
      <c r="T293" s="23">
        <f>IF(E293="男",LOOKUP($S293,[1]对照表!$AB$3:$AB$13,[1]对照表!$AC$3:$AC$13),LOOKUP($S293,[1]对照表!$AB$15:$AB$25,[1]对照表!$AC$15:$AC$25))</f>
        <v>3</v>
      </c>
      <c r="U293" s="26">
        <f>R293+T293</f>
        <v>103</v>
      </c>
      <c r="V293" s="26">
        <f>SUM(I293,K293,M293)/3*0.3+SUM(G293,R293)/2*0.4</f>
        <v>66</v>
      </c>
      <c r="W293" s="27">
        <f>O293+T293</f>
        <v>6</v>
      </c>
      <c r="X293" s="28">
        <f>V293/0.7+W293</f>
        <v>100.28571428571429</v>
      </c>
      <c r="Y293" s="28">
        <v>100.28571428571429</v>
      </c>
      <c r="Z293" s="21"/>
    </row>
    <row r="294" spans="1:26" x14ac:dyDescent="0.25">
      <c r="A294" s="16">
        <v>40</v>
      </c>
      <c r="B294" s="17" t="s">
        <v>21</v>
      </c>
      <c r="C294" s="16">
        <v>108</v>
      </c>
      <c r="D294" s="18" t="s">
        <v>72</v>
      </c>
      <c r="E294" s="17" t="s">
        <v>65</v>
      </c>
      <c r="F294" s="19">
        <v>8.0299999999999994</v>
      </c>
      <c r="G294" s="32">
        <f>IF(B294="高三",IF($E294="男",LOOKUP(F294,[1]对照表!$G$3:$G$24,[1]对照表!$H$3:$H$24),LOOKUP(F294,[1]对照表!$G$27:$G$48,[1]对照表!$H$27:$H$48)),IF(B294="高二",IF($E294="男",LOOKUP(F294,[1]对照表!$F$3:$F$24,[1]对照表!$H$3:$H$24),LOOKUP(F294,[1]对照表!$F$27:$F$48,[1]对照表!$H$27:$H$48)),IF(B294="高一",IF($E294="男",LOOKUP(F294,[1]对照表!$E$3:$E$24,[1]对照表!$H$3:$H$24),LOOKUP(F294,[1]对照表!$E$27:$E$48,[1]对照表!$H$27:$H$48)))))</f>
        <v>85</v>
      </c>
      <c r="H294" s="21">
        <v>22</v>
      </c>
      <c r="I294" s="32">
        <f>IF(B294="高三",IF($E294="男",LOOKUP(H294,[1]对照表!$K$3:$K$24,[1]对照表!$L$3:$L$24),LOOKUP(H294,[1]对照表!$K$27:$K$48,[1]对照表!$L$27:$L$48)),IF(B294="高二",IF($E294="男",LOOKUP(H294,[1]对照表!$J$3:$J$24,[1]对照表!$L$3:$L$24),LOOKUP(H294,[1]对照表!$J$27:$J$48,[1]对照表!$L$27:$L$48)),IF(B294="高一",IF($E294="男",LOOKUP(H294,[1]对照表!$I$3:$I$24,[1]对照表!$L$3:$L$24),LOOKUP(H294,[1]对照表!$I$27:$I$48,[1]对照表!$L$27:$L$48)))))</f>
        <v>90</v>
      </c>
      <c r="J294" s="21">
        <v>198</v>
      </c>
      <c r="K294" s="32">
        <f>IF(B294="高三",IF($E294="男",LOOKUP(J294,[1]对照表!$O$3:$O$24,[1]对照表!$P$3:$P$24),LOOKUP(J294,[1]对照表!$O$27:$O$48,[1]对照表!$P$27:$P$48)),IF(B294="高二",IF($E294="男",LOOKUP(J294,[1]对照表!$N$3:$N$24,[1]对照表!$P$3:$P$24),LOOKUP(J294,[1]对照表!$N$27:$N$48,[1]对照表!$P$27:$P$48)),IF(B294="高一",IF($E294="男",LOOKUP(J294,[1]对照表!$M$3:$M$24,[1]对照表!$P$3:$P$24),LOOKUP(J294,[1]对照表!$M$27:$M$48,[1]对照表!$P$27:$P$48)))))</f>
        <v>95</v>
      </c>
      <c r="L294" s="21">
        <v>56</v>
      </c>
      <c r="M294" s="32">
        <f>IF(B294="高三",IF($E294="男",LOOKUP(L294,[1]对照表!$S$3:$S$24,[1]对照表!$T$3:$T$24),LOOKUP(L294,[1]对照表!$S$27:$S$48,[1]对照表!$T$27:$T$48)),IF(B294="高二",IF($E294="男",LOOKUP(L294,[1]对照表!$R$3:$R$24,[1]对照表!$T$3:$T$24),LOOKUP(L294,[1]对照表!$R$27:$R$48,[1]对照表!$T$27:$T$48)),IF(B294="高一",IF($E294="男",LOOKUP(L294,[1]对照表!$Q$3:$Q$24,[1]对照表!$T$3:$T$24),LOOKUP(L294,[1]对照表!$Q$27:$Q$48,[1]对照表!$T$27:$T$48)))))</f>
        <v>100</v>
      </c>
      <c r="N294" s="33">
        <f>IF(B294="高三",MAX(IF(E294="男",L294-18,L294-55),0),IF(B294="高二",MAX(IF(E294="男",L294-17,L294-54),0),IF(B294="高一",MAX(IF(E294="男",L294-16,L294-53),0))))</f>
        <v>3</v>
      </c>
      <c r="O294" s="23">
        <f>IF(E294="男",LOOKUP($N294,[1]对照表!$Z$3:$Z$13,[1]对照表!$AA$3:$AA$13),LOOKUP($N294,[1]对照表!$Z$15:$Z$25,[1]对照表!$AA$15:$AA$25))</f>
        <v>1</v>
      </c>
      <c r="P294" s="24">
        <f>M294+O294</f>
        <v>101</v>
      </c>
      <c r="Q294" s="25">
        <v>3.06</v>
      </c>
      <c r="R294" s="32">
        <f>IF(B294="高三",IF($E294="男",LOOKUP(Q294,[1]对照表!$W$3:$W$24,[1]对照表!$X$3:$X$24),LOOKUP(Q294,[1]对照表!$W$27:$W$48,[1]对照表!$X$27:$X$48)),IF(B294="高二",IF($E294="男",LOOKUP(Q294,[1]对照表!$V$3:$V$24,[1]对照表!$X$3:$X$24),LOOKUP(Q294,[1]对照表!$V$27:$V$48,[1]对照表!$X$27:$X$48)),IF(B294="高一",IF($E294="男",LOOKUP(Q294,[1]对照表!$U$3:$U$24,[1]对照表!$X$3:$X$24),LOOKUP(Q294,[1]对照表!$U$27:$U$48,[1]对照表!$X$27:$X$48)))))</f>
        <v>100</v>
      </c>
      <c r="S294" s="33">
        <f>ROUND(IF(IF($B294="高三",MIN(IF($E294="男",$Q294-3.2,$Q294-3.2),0),IF($B294="高二",MIN(IF($E294="男",$Q294-3.25,$Q294-3.22),0),IF($B294="高一",MIN(IF($E294="男",$Q294-3.3,$Q294-3.24),0))))&lt;-0.6,IF($B294="高三",MIN(IF($E294="男",$Q294-3.2,$Q294-3.2),0),IF($B294="高二",MIN(IF($E294="男",$Q294-3.25,$Q294-3.22),0),IF($B294="高一",MIN(IF($E294="男",$Q294-3.3,$Q294-3.24),0))))+0.4,IF($B294="高三",MIN(IF($E294="男",$Q294-3.2,$Q294-3.2),0),IF($B294="高二",MIN(IF($E294="男",$Q294-3.25,$Q294-3.22),0),IF($B294="高一",MIN(IF($E294="男",$Q294-3.3,$Q294-3.24),0))))),2)</f>
        <v>-0.18</v>
      </c>
      <c r="T294" s="23">
        <f>IF(E294="男",LOOKUP($S294,[1]对照表!$AB$3:$AB$13,[1]对照表!$AC$3:$AC$13),LOOKUP($S294,[1]对照表!$AB$15:$AB$25,[1]对照表!$AC$15:$AC$25))</f>
        <v>3</v>
      </c>
      <c r="U294" s="26">
        <f>R294+T294</f>
        <v>103</v>
      </c>
      <c r="V294" s="26">
        <f>SUM(I294,K294,M294)/3*0.3+SUM(G294,R294)/2*0.4</f>
        <v>65.5</v>
      </c>
      <c r="W294" s="27">
        <f>O294+T294</f>
        <v>4</v>
      </c>
      <c r="X294" s="28">
        <f>V294/0.7+W294</f>
        <v>97.571428571428584</v>
      </c>
      <c r="Y294" s="28">
        <v>97.571428571428584</v>
      </c>
      <c r="Z294" s="21"/>
    </row>
    <row r="295" spans="1:26" x14ac:dyDescent="0.25">
      <c r="A295" s="16">
        <v>17</v>
      </c>
      <c r="B295" s="17" t="s">
        <v>21</v>
      </c>
      <c r="C295" s="16">
        <v>108</v>
      </c>
      <c r="D295" s="18" t="s">
        <v>85</v>
      </c>
      <c r="E295" s="16" t="s">
        <v>23</v>
      </c>
      <c r="F295" s="19">
        <v>7</v>
      </c>
      <c r="G295" s="32">
        <f>IF(B295="高三",IF($E295="男",LOOKUP(F295,[1]对照表!$G$3:$G$24,[1]对照表!$H$3:$H$24),LOOKUP(F295,[1]对照表!$G$27:$G$48,[1]对照表!$H$27:$H$48)),IF(B295="高二",IF($E295="男",LOOKUP(F295,[1]对照表!$F$3:$F$24,[1]对照表!$H$3:$H$24),LOOKUP(F295,[1]对照表!$F$27:$F$48,[1]对照表!$H$27:$H$48)),IF(B295="高一",IF($E295="男",LOOKUP(F295,[1]对照表!$E$3:$E$24,[1]对照表!$H$3:$H$24),LOOKUP(F295,[1]对照表!$E$27:$E$48,[1]对照表!$H$27:$H$48)))))</f>
        <v>100</v>
      </c>
      <c r="H295" s="21">
        <v>18</v>
      </c>
      <c r="I295" s="32">
        <f>IF(B295="高三",IF($E295="男",LOOKUP(H295,[1]对照表!$K$3:$K$24,[1]对照表!$L$3:$L$24),LOOKUP(H295,[1]对照表!$K$27:$K$48,[1]对照表!$L$27:$L$48)),IF(B295="高二",IF($E295="男",LOOKUP(H295,[1]对照表!$J$3:$J$24,[1]对照表!$L$3:$L$24),LOOKUP(H295,[1]对照表!$J$27:$J$48,[1]对照表!$L$27:$L$48)),IF(B295="高一",IF($E295="男",LOOKUP(H295,[1]对照表!$I$3:$I$24,[1]对照表!$L$3:$L$24),LOOKUP(H295,[1]对照表!$I$27:$I$48,[1]对照表!$L$27:$L$48)))))</f>
        <v>85</v>
      </c>
      <c r="J295" s="21">
        <v>237</v>
      </c>
      <c r="K295" s="32">
        <f>IF(B295="高三",IF($E295="男",LOOKUP(J295,[1]对照表!$O$3:$O$24,[1]对照表!$P$3:$P$24),LOOKUP(J295,[1]对照表!$O$27:$O$48,[1]对照表!$P$27:$P$48)),IF(B295="高二",IF($E295="男",LOOKUP(J295,[1]对照表!$N$3:$N$24,[1]对照表!$P$3:$P$24),LOOKUP(J295,[1]对照表!$N$27:$N$48,[1]对照表!$P$27:$P$48)),IF(B295="高一",IF($E295="男",LOOKUP(J295,[1]对照表!$M$3:$M$24,[1]对照表!$P$3:$P$24),LOOKUP(J295,[1]对照表!$M$27:$M$48,[1]对照表!$P$27:$P$48)))))</f>
        <v>80</v>
      </c>
      <c r="L295" s="21">
        <v>16</v>
      </c>
      <c r="M295" s="32">
        <f>IF(B295="高三",IF($E295="男",LOOKUP(L295,[1]对照表!$S$3:$S$24,[1]对照表!$T$3:$T$24),LOOKUP(L295,[1]对照表!$S$27:$S$48,[1]对照表!$T$27:$T$48)),IF(B295="高二",IF($E295="男",LOOKUP(L295,[1]对照表!$R$3:$R$24,[1]对照表!$T$3:$T$24),LOOKUP(L295,[1]对照表!$R$27:$R$48,[1]对照表!$T$27:$T$48)),IF(B295="高一",IF($E295="男",LOOKUP(L295,[1]对照表!$Q$3:$Q$24,[1]对照表!$T$3:$T$24),LOOKUP(L295,[1]对照表!$Q$27:$Q$48,[1]对照表!$T$27:$T$48)))))</f>
        <v>100</v>
      </c>
      <c r="N295" s="33">
        <f>IF(B295="高三",MAX(IF(E295="男",L295-18,L295-55),0),IF(B295="高二",MAX(IF(E295="男",L295-17,L295-54),0),IF(B295="高一",MAX(IF(E295="男",L295-16,L295-53),0))))</f>
        <v>0</v>
      </c>
      <c r="O295" s="23">
        <f>IF(E295="男",LOOKUP($N295,[1]对照表!$Z$3:$Z$13,[1]对照表!$AA$3:$AA$13),LOOKUP($N295,[1]对照表!$Z$15:$Z$25,[1]对照表!$AA$15:$AA$25))</f>
        <v>0</v>
      </c>
      <c r="P295" s="24">
        <f>M295+O295</f>
        <v>100</v>
      </c>
      <c r="Q295" s="25">
        <v>3.11</v>
      </c>
      <c r="R295" s="32">
        <f>IF(B295="高三",IF($E295="男",LOOKUP(Q295,[1]对照表!$W$3:$W$24,[1]对照表!$X$3:$X$24),LOOKUP(Q295,[1]对照表!$W$27:$W$48,[1]对照表!$X$27:$X$48)),IF(B295="高二",IF($E295="男",LOOKUP(Q295,[1]对照表!$V$3:$V$24,[1]对照表!$X$3:$X$24),LOOKUP(Q295,[1]对照表!$V$27:$V$48,[1]对照表!$X$27:$X$48)),IF(B295="高一",IF($E295="男",LOOKUP(Q295,[1]对照表!$U$3:$U$24,[1]对照表!$X$3:$X$24),LOOKUP(Q295,[1]对照表!$U$27:$U$48,[1]对照表!$X$27:$X$48)))))</f>
        <v>100</v>
      </c>
      <c r="S295" s="27">
        <f>ROUND(IF(IF($B295="高三",MIN(IF($E295="男",$Q295-3.2,$Q295-3.2),0),IF($B295="高二",MIN(IF($E295="男",$Q295-3.25,$Q295-3.22),0),IF($B295="高一",MIN(IF($E295="男",$Q295-3.3,$Q295-3.24),0))))&lt;-0.6,IF($B295="高三",MIN(IF($E295="男",$Q295-3.2,$Q295-3.2),0),IF($B295="高二",MIN(IF($E295="男",$Q295-3.25,$Q295-3.22),0),IF($B295="高一",MIN(IF($E295="男",$Q295-3.3,$Q295-3.24),0))))+0.4,IF($B295="高三",MIN(IF($E295="男",$Q295-3.2,$Q295-3.2),0),IF($B295="高二",MIN(IF($E295="男",$Q295-3.25,$Q295-3.22),0),IF($B295="高一",MIN(IF($E295="男",$Q295-3.3,$Q295-3.24),0))))),2)</f>
        <v>-0.19</v>
      </c>
      <c r="T295" s="23">
        <f>IF(E295="男",LOOKUP($S295,[1]对照表!$AB$3:$AB$13,[1]对照表!$AC$3:$AC$13),LOOKUP($S295,[1]对照表!$AB$15:$AB$25,[1]对照表!$AC$15:$AC$25))</f>
        <v>4</v>
      </c>
      <c r="U295" s="26">
        <f>R295+T295</f>
        <v>104</v>
      </c>
      <c r="V295" s="26">
        <f>SUM(I295,K295,M295)/3*0.3+SUM(G295,R295)/2*0.4</f>
        <v>66.5</v>
      </c>
      <c r="W295" s="27">
        <f>O295+T295</f>
        <v>4</v>
      </c>
      <c r="X295" s="28">
        <f>V295/0.7+W295</f>
        <v>99</v>
      </c>
      <c r="Y295" s="28">
        <v>99</v>
      </c>
      <c r="Z295" s="21"/>
    </row>
    <row r="296" spans="1:26" x14ac:dyDescent="0.25">
      <c r="A296" s="16">
        <v>23</v>
      </c>
      <c r="B296" s="17" t="s">
        <v>21</v>
      </c>
      <c r="C296" s="16">
        <v>108</v>
      </c>
      <c r="D296" s="18" t="s">
        <v>99</v>
      </c>
      <c r="E296" s="16" t="s">
        <v>23</v>
      </c>
      <c r="F296" s="19">
        <v>7</v>
      </c>
      <c r="G296" s="32">
        <f>IF(B296="高三",IF($E296="男",LOOKUP(F296,[1]对照表!$G$3:$G$24,[1]对照表!$H$3:$H$24),LOOKUP(F296,[1]对照表!$G$27:$G$48,[1]对照表!$H$27:$H$48)),IF(B296="高二",IF($E296="男",LOOKUP(F296,[1]对照表!$F$3:$F$24,[1]对照表!$H$3:$H$24),LOOKUP(F296,[1]对照表!$F$27:$F$48,[1]对照表!$H$27:$H$48)),IF(B296="高一",IF($E296="男",LOOKUP(F296,[1]对照表!$E$3:$E$24,[1]对照表!$H$3:$H$24),LOOKUP(F296,[1]对照表!$E$27:$E$48,[1]对照表!$H$27:$H$48)))))</f>
        <v>100</v>
      </c>
      <c r="H296" s="21">
        <v>28.1</v>
      </c>
      <c r="I296" s="32">
        <f>IF(B296="高三",IF($E296="男",LOOKUP(H296,[1]对照表!$K$3:$K$24,[1]对照表!$L$3:$L$24),LOOKUP(H296,[1]对照表!$K$27:$K$48,[1]对照表!$L$27:$L$48)),IF(B296="高二",IF($E296="男",LOOKUP(H296,[1]对照表!$J$3:$J$24,[1]对照表!$L$3:$L$24),LOOKUP(H296,[1]对照表!$J$27:$J$48,[1]对照表!$L$27:$L$48)),IF(B296="高一",IF($E296="男",LOOKUP(H296,[1]对照表!$I$3:$I$24,[1]对照表!$L$3:$L$24),LOOKUP(H296,[1]对照表!$I$27:$I$48,[1]对照表!$L$27:$L$48)))))</f>
        <v>100</v>
      </c>
      <c r="J296" s="21">
        <v>280</v>
      </c>
      <c r="K296" s="32">
        <f>IF(B296="高三",IF($E296="男",LOOKUP(J296,[1]对照表!$O$3:$O$24,[1]对照表!$P$3:$P$24),LOOKUP(J296,[1]对照表!$O$27:$O$48,[1]对照表!$P$27:$P$48)),IF(B296="高二",IF($E296="男",LOOKUP(J296,[1]对照表!$N$3:$N$24,[1]对照表!$P$3:$P$24),LOOKUP(J296,[1]对照表!$N$27:$N$48,[1]对照表!$P$27:$P$48)),IF(B296="高一",IF($E296="男",LOOKUP(J296,[1]对照表!$M$3:$M$24,[1]对照表!$P$3:$P$24),LOOKUP(J296,[1]对照表!$M$27:$M$48,[1]对照表!$P$27:$P$48)))))</f>
        <v>100</v>
      </c>
      <c r="L296" s="21">
        <v>16</v>
      </c>
      <c r="M296" s="32">
        <f>IF(B296="高三",IF($E296="男",LOOKUP(L296,[1]对照表!$S$3:$S$24,[1]对照表!$T$3:$T$24),LOOKUP(L296,[1]对照表!$S$27:$S$48,[1]对照表!$T$27:$T$48)),IF(B296="高二",IF($E296="男",LOOKUP(L296,[1]对照表!$R$3:$R$24,[1]对照表!$T$3:$T$24),LOOKUP(L296,[1]对照表!$R$27:$R$48,[1]对照表!$T$27:$T$48)),IF(B296="高一",IF($E296="男",LOOKUP(L296,[1]对照表!$Q$3:$Q$24,[1]对照表!$T$3:$T$24),LOOKUP(L296,[1]对照表!$Q$27:$Q$48,[1]对照表!$T$27:$T$48)))))</f>
        <v>100</v>
      </c>
      <c r="N296" s="33">
        <f>IF(B296="高三",MAX(IF(E296="男",L296-18,L296-55),0),IF(B296="高二",MAX(IF(E296="男",L296-17,L296-54),0),IF(B296="高一",MAX(IF(E296="男",L296-16,L296-53),0))))</f>
        <v>0</v>
      </c>
      <c r="O296" s="23">
        <f>IF(E296="男",LOOKUP($N296,[1]对照表!$Z$3:$Z$13,[1]对照表!$AA$3:$AA$13),LOOKUP($N296,[1]对照表!$Z$15:$Z$25,[1]对照表!$AA$15:$AA$25))</f>
        <v>0</v>
      </c>
      <c r="P296" s="24">
        <f>M296+O296</f>
        <v>100</v>
      </c>
      <c r="Q296" s="25">
        <v>3.36</v>
      </c>
      <c r="R296" s="32">
        <f>IF(B296="高三",IF($E296="男",LOOKUP(Q296,[1]对照表!$W$3:$W$24,[1]对照表!$X$3:$X$24),LOOKUP(Q296,[1]对照表!$W$27:$W$48,[1]对照表!$X$27:$X$48)),IF(B296="高二",IF($E296="男",LOOKUP(Q296,[1]对照表!$V$3:$V$24,[1]对照表!$X$3:$X$24),LOOKUP(Q296,[1]对照表!$V$27:$V$48,[1]对照表!$X$27:$X$48)),IF(B296="高一",IF($E296="男",LOOKUP(Q296,[1]对照表!$U$3:$U$24,[1]对照表!$X$3:$X$24),LOOKUP(Q296,[1]对照表!$U$27:$U$48,[1]对照表!$X$27:$X$48)))))</f>
        <v>90</v>
      </c>
      <c r="S296" s="27">
        <f>ROUND(IF(IF($B296="高三",MIN(IF($E296="男",$Q296-3.2,$Q296-3.2),0),IF($B296="高二",MIN(IF($E296="男",$Q296-3.25,$Q296-3.22),0),IF($B296="高一",MIN(IF($E296="男",$Q296-3.3,$Q296-3.24),0))))&lt;-0.6,IF($B296="高三",MIN(IF($E296="男",$Q296-3.2,$Q296-3.2),0),IF($B296="高二",MIN(IF($E296="男",$Q296-3.25,$Q296-3.22),0),IF($B296="高一",MIN(IF($E296="男",$Q296-3.3,$Q296-3.24),0))))+0.4,IF($B296="高三",MIN(IF($E296="男",$Q296-3.2,$Q296-3.2),0),IF($B296="高二",MIN(IF($E296="男",$Q296-3.25,$Q296-3.22),0),IF($B296="高一",MIN(IF($E296="男",$Q296-3.3,$Q296-3.24),0))))),2)</f>
        <v>0</v>
      </c>
      <c r="T296" s="23">
        <f>IF(E296="男",LOOKUP($S296,[1]对照表!$AB$3:$AB$13,[1]对照表!$AC$3:$AC$13),LOOKUP($S296,[1]对照表!$AB$15:$AB$25,[1]对照表!$AC$15:$AC$25))</f>
        <v>0</v>
      </c>
      <c r="U296" s="26">
        <f>R296+T296</f>
        <v>90</v>
      </c>
      <c r="V296" s="26">
        <f>SUM(I296,K296,M296)/3*0.3+SUM(G296,R296)/2*0.4</f>
        <v>68</v>
      </c>
      <c r="W296" s="27">
        <f>O296+T296</f>
        <v>0</v>
      </c>
      <c r="X296" s="28">
        <f>V296/0.7+W296</f>
        <v>97.142857142857153</v>
      </c>
      <c r="Y296" s="28">
        <v>97.142857142857153</v>
      </c>
      <c r="Z296" s="21"/>
    </row>
    <row r="297" spans="1:26" x14ac:dyDescent="0.25">
      <c r="A297" s="16">
        <v>14</v>
      </c>
      <c r="B297" s="17" t="s">
        <v>21</v>
      </c>
      <c r="C297" s="16">
        <v>108</v>
      </c>
      <c r="D297" s="18" t="s">
        <v>107</v>
      </c>
      <c r="E297" s="16" t="s">
        <v>23</v>
      </c>
      <c r="F297" s="19">
        <v>7.2</v>
      </c>
      <c r="G297" s="32">
        <f>IF(B297="高三",IF($E297="男",LOOKUP(F297,[1]对照表!$G$3:$G$24,[1]对照表!$H$3:$H$24),LOOKUP(F297,[1]对照表!$G$27:$G$48,[1]对照表!$H$27:$H$48)),IF(B297="高二",IF($E297="男",LOOKUP(F297,[1]对照表!$F$3:$F$24,[1]对照表!$H$3:$H$24),LOOKUP(F297,[1]对照表!$F$27:$F$48,[1]对照表!$H$27:$H$48)),IF(B297="高一",IF($E297="男",LOOKUP(F297,[1]对照表!$E$3:$E$24,[1]对照表!$H$3:$H$24),LOOKUP(F297,[1]对照表!$E$27:$E$48,[1]对照表!$H$27:$H$48)))))</f>
        <v>95</v>
      </c>
      <c r="H297" s="21">
        <v>7.2</v>
      </c>
      <c r="I297" s="32">
        <f>IF(B297="高三",IF($E297="男",LOOKUP(H297,[1]对照表!$K$3:$K$24,[1]对照表!$L$3:$L$24),LOOKUP(H297,[1]对照表!$K$27:$K$48,[1]对照表!$L$27:$L$48)),IF(B297="高二",IF($E297="男",LOOKUP(H297,[1]对照表!$J$3:$J$24,[1]对照表!$L$3:$L$24),LOOKUP(H297,[1]对照表!$J$27:$J$48,[1]对照表!$L$27:$L$48)),IF(B297="高一",IF($E297="男",LOOKUP(H297,[1]对照表!$I$3:$I$24,[1]对照表!$L$3:$L$24),LOOKUP(H297,[1]对照表!$I$27:$I$48,[1]对照表!$L$27:$L$48)))))</f>
        <v>68</v>
      </c>
      <c r="J297" s="21">
        <v>260</v>
      </c>
      <c r="K297" s="32">
        <f>IF(B297="高三",IF($E297="男",LOOKUP(J297,[1]对照表!$O$3:$O$24,[1]对照表!$P$3:$P$24),LOOKUP(J297,[1]对照表!$O$27:$O$48,[1]对照表!$P$27:$P$48)),IF(B297="高二",IF($E297="男",LOOKUP(J297,[1]对照表!$N$3:$N$24,[1]对照表!$P$3:$P$24),LOOKUP(J297,[1]对照表!$N$27:$N$48,[1]对照表!$P$27:$P$48)),IF(B297="高一",IF($E297="男",LOOKUP(J297,[1]对照表!$M$3:$M$24,[1]对照表!$P$3:$P$24),LOOKUP(J297,[1]对照表!$M$27:$M$48,[1]对照表!$P$27:$P$48)))))</f>
        <v>100</v>
      </c>
      <c r="L297" s="21">
        <v>18</v>
      </c>
      <c r="M297" s="32">
        <f>IF(B297="高三",IF($E297="男",LOOKUP(L297,[1]对照表!$S$3:$S$24,[1]对照表!$T$3:$T$24),LOOKUP(L297,[1]对照表!$S$27:$S$48,[1]对照表!$T$27:$T$48)),IF(B297="高二",IF($E297="男",LOOKUP(L297,[1]对照表!$R$3:$R$24,[1]对照表!$T$3:$T$24),LOOKUP(L297,[1]对照表!$R$27:$R$48,[1]对照表!$T$27:$T$48)),IF(B297="高一",IF($E297="男",LOOKUP(L297,[1]对照表!$Q$3:$Q$24,[1]对照表!$T$3:$T$24),LOOKUP(L297,[1]对照表!$Q$27:$Q$48,[1]对照表!$T$27:$T$48)))))</f>
        <v>100</v>
      </c>
      <c r="N297" s="33">
        <f>IF(B297="高三",MAX(IF(E297="男",L297-18,L297-55),0),IF(B297="高二",MAX(IF(E297="男",L297-17,L297-54),0),IF(B297="高一",MAX(IF(E297="男",L297-16,L297-53),0))))</f>
        <v>2</v>
      </c>
      <c r="O297" s="23">
        <f>IF(E297="男",LOOKUP($N297,[1]对照表!$Z$3:$Z$13,[1]对照表!$AA$3:$AA$13),LOOKUP($N297,[1]对照表!$Z$15:$Z$25,[1]对照表!$AA$15:$AA$25))</f>
        <v>2</v>
      </c>
      <c r="P297" s="24">
        <f>M297+O297</f>
        <v>102</v>
      </c>
      <c r="Q297" s="25">
        <v>3.29</v>
      </c>
      <c r="R297" s="32">
        <f>IF(B297="高三",IF($E297="男",LOOKUP(Q297,[1]对照表!$W$3:$W$24,[1]对照表!$X$3:$X$24),LOOKUP(Q297,[1]对照表!$W$27:$W$48,[1]对照表!$X$27:$X$48)),IF(B297="高二",IF($E297="男",LOOKUP(Q297,[1]对照表!$V$3:$V$24,[1]对照表!$X$3:$X$24),LOOKUP(Q297,[1]对照表!$V$27:$V$48,[1]对照表!$X$27:$X$48)),IF(B297="高一",IF($E297="男",LOOKUP(Q297,[1]对照表!$U$3:$U$24,[1]对照表!$X$3:$X$24),LOOKUP(Q297,[1]对照表!$U$27:$U$48,[1]对照表!$X$27:$X$48)))))</f>
        <v>100</v>
      </c>
      <c r="S297" s="33">
        <f>ROUND(IF(IF($B297="高三",MIN(IF($E297="男",$Q297-3.2,$Q297-3.2),0),IF($B297="高二",MIN(IF($E297="男",$Q297-3.25,$Q297-3.22),0),IF($B297="高一",MIN(IF($E297="男",$Q297-3.3,$Q297-3.24),0))))&lt;-0.6,IF($B297="高三",MIN(IF($E297="男",$Q297-3.2,$Q297-3.2),0),IF($B297="高二",MIN(IF($E297="男",$Q297-3.25,$Q297-3.22),0),IF($B297="高一",MIN(IF($E297="男",$Q297-3.3,$Q297-3.24),0))))+0.4,IF($B297="高三",MIN(IF($E297="男",$Q297-3.2,$Q297-3.2),0),IF($B297="高二",MIN(IF($E297="男",$Q297-3.25,$Q297-3.22),0),IF($B297="高一",MIN(IF($E297="男",$Q297-3.3,$Q297-3.24),0))))),2)</f>
        <v>-0.01</v>
      </c>
      <c r="T297" s="23">
        <f>IF(E297="男",LOOKUP($S297,[1]对照表!$AB$3:$AB$13,[1]对照表!$AC$3:$AC$13),LOOKUP($S297,[1]对照表!$AB$15:$AB$25,[1]对照表!$AC$15:$AC$25))</f>
        <v>0</v>
      </c>
      <c r="U297" s="26">
        <f>R297+T297</f>
        <v>100</v>
      </c>
      <c r="V297" s="26">
        <f>SUM(I297,K297,M297)/3*0.3+SUM(G297,R297)/2*0.4</f>
        <v>65.8</v>
      </c>
      <c r="W297" s="27">
        <f>O297+T297</f>
        <v>2</v>
      </c>
      <c r="X297" s="28">
        <f>V297/0.7+W297</f>
        <v>96</v>
      </c>
      <c r="Y297" s="28">
        <v>96</v>
      </c>
      <c r="Z297" s="21"/>
    </row>
    <row r="298" spans="1:26" x14ac:dyDescent="0.25">
      <c r="A298" s="16">
        <v>25</v>
      </c>
      <c r="B298" s="17" t="s">
        <v>21</v>
      </c>
      <c r="C298" s="16">
        <v>108</v>
      </c>
      <c r="D298" s="18" t="s">
        <v>118</v>
      </c>
      <c r="E298" s="17" t="s">
        <v>65</v>
      </c>
      <c r="F298" s="19">
        <v>8.3000000000000007</v>
      </c>
      <c r="G298" s="32">
        <f>IF(B298="高三",IF($E298="男",LOOKUP(F298,[1]对照表!$G$3:$G$24,[1]对照表!$H$3:$H$24),LOOKUP(F298,[1]对照表!$G$27:$G$48,[1]对照表!$H$27:$H$48)),IF(B298="高二",IF($E298="男",LOOKUP(F298,[1]对照表!$F$3:$F$24,[1]对照表!$H$3:$H$24),LOOKUP(F298,[1]对照表!$F$27:$F$48,[1]对照表!$H$27:$H$48)),IF(B298="高一",IF($E298="男",LOOKUP(F298,[1]对照表!$E$3:$E$24,[1]对照表!$H$3:$H$24),LOOKUP(F298,[1]对照表!$E$27:$E$48,[1]对照表!$H$27:$H$48)))))</f>
        <v>85</v>
      </c>
      <c r="H298" s="21">
        <v>14.5</v>
      </c>
      <c r="I298" s="32">
        <f>IF(B298="高三",IF($E298="男",LOOKUP(H298,[1]对照表!$K$3:$K$24,[1]对照表!$L$3:$L$24),LOOKUP(H298,[1]对照表!$K$27:$K$48,[1]对照表!$L$27:$L$48)),IF(B298="高二",IF($E298="男",LOOKUP(H298,[1]对照表!$J$3:$J$24,[1]对照表!$L$3:$L$24),LOOKUP(H298,[1]对照表!$J$27:$J$48,[1]对照表!$L$27:$L$48)),IF(B298="高一",IF($E298="男",LOOKUP(H298,[1]对照表!$I$3:$I$24,[1]对照表!$L$3:$L$24),LOOKUP(H298,[1]对照表!$I$27:$I$48,[1]对照表!$L$27:$L$48)))))</f>
        <v>74</v>
      </c>
      <c r="J298" s="21">
        <v>195</v>
      </c>
      <c r="K298" s="32">
        <f>IF(B298="高三",IF($E298="男",LOOKUP(J298,[1]对照表!$O$3:$O$24,[1]对照表!$P$3:$P$24),LOOKUP(J298,[1]对照表!$O$27:$O$48,[1]对照表!$P$27:$P$48)),IF(B298="高二",IF($E298="男",LOOKUP(J298,[1]对照表!$N$3:$N$24,[1]对照表!$P$3:$P$24),LOOKUP(J298,[1]对照表!$N$27:$N$48,[1]对照表!$P$27:$P$48)),IF(B298="高一",IF($E298="男",LOOKUP(J298,[1]对照表!$M$3:$M$24,[1]对照表!$P$3:$P$24),LOOKUP(J298,[1]对照表!$M$27:$M$48,[1]对照表!$P$27:$P$48)))))</f>
        <v>90</v>
      </c>
      <c r="L298" s="21">
        <v>50</v>
      </c>
      <c r="M298" s="32">
        <f>IF(B298="高三",IF($E298="男",LOOKUP(L298,[1]对照表!$S$3:$S$24,[1]对照表!$T$3:$T$24),LOOKUP(L298,[1]对照表!$S$27:$S$48,[1]对照表!$T$27:$T$48)),IF(B298="高二",IF($E298="男",LOOKUP(L298,[1]对照表!$R$3:$R$24,[1]对照表!$T$3:$T$24),LOOKUP(L298,[1]对照表!$R$27:$R$48,[1]对照表!$T$27:$T$48)),IF(B298="高一",IF($E298="男",LOOKUP(L298,[1]对照表!$Q$3:$Q$24,[1]对照表!$T$3:$T$24),LOOKUP(L298,[1]对照表!$Q$27:$Q$48,[1]对照表!$T$27:$T$48)))))</f>
        <v>90</v>
      </c>
      <c r="N298" s="33">
        <f>IF(B298="高三",MAX(IF(E298="男",L298-18,L298-55),0),IF(B298="高二",MAX(IF(E298="男",L298-17,L298-54),0),IF(B298="高一",MAX(IF(E298="男",L298-16,L298-53),0))))</f>
        <v>0</v>
      </c>
      <c r="O298" s="23">
        <f>IF(E298="男",LOOKUP($N298,[1]对照表!$Z$3:$Z$13,[1]对照表!$AA$3:$AA$13),LOOKUP($N298,[1]对照表!$Z$15:$Z$25,[1]对照表!$AA$15:$AA$25))</f>
        <v>0</v>
      </c>
      <c r="P298" s="24">
        <f>M298+O298</f>
        <v>90</v>
      </c>
      <c r="Q298" s="25">
        <v>3.13</v>
      </c>
      <c r="R298" s="32">
        <f>IF(B298="高三",IF($E298="男",LOOKUP(Q298,[1]对照表!$W$3:$W$24,[1]对照表!$X$3:$X$24),LOOKUP(Q298,[1]对照表!$W$27:$W$48,[1]对照表!$X$27:$X$48)),IF(B298="高二",IF($E298="男",LOOKUP(Q298,[1]对照表!$V$3:$V$24,[1]对照表!$X$3:$X$24),LOOKUP(Q298,[1]对照表!$V$27:$V$48,[1]对照表!$X$27:$X$48)),IF(B298="高一",IF($E298="男",LOOKUP(Q298,[1]对照表!$U$3:$U$24,[1]对照表!$X$3:$X$24),LOOKUP(Q298,[1]对照表!$U$27:$U$48,[1]对照表!$X$27:$X$48)))))</f>
        <v>100</v>
      </c>
      <c r="S298" s="33">
        <f>ROUND(IF(IF($B298="高三",MIN(IF($E298="男",$Q298-3.2,$Q298-3.2),0),IF($B298="高二",MIN(IF($E298="男",$Q298-3.25,$Q298-3.22),0),IF($B298="高一",MIN(IF($E298="男",$Q298-3.3,$Q298-3.24),0))))&lt;-0.6,IF($B298="高三",MIN(IF($E298="男",$Q298-3.2,$Q298-3.2),0),IF($B298="高二",MIN(IF($E298="男",$Q298-3.25,$Q298-3.22),0),IF($B298="高一",MIN(IF($E298="男",$Q298-3.3,$Q298-3.24),0))))+0.4,IF($B298="高三",MIN(IF($E298="男",$Q298-3.2,$Q298-3.2),0),IF($B298="高二",MIN(IF($E298="男",$Q298-3.25,$Q298-3.22),0),IF($B298="高一",MIN(IF($E298="男",$Q298-3.3,$Q298-3.24),0))))),2)</f>
        <v>-0.11</v>
      </c>
      <c r="T298" s="23">
        <f>IF(E298="男",LOOKUP($S298,[1]对照表!$AB$3:$AB$13,[1]对照表!$AC$3:$AC$13),LOOKUP($S298,[1]对照表!$AB$15:$AB$25,[1]对照表!$AC$15:$AC$25))</f>
        <v>2</v>
      </c>
      <c r="U298" s="26">
        <f>R298+T298</f>
        <v>102</v>
      </c>
      <c r="V298" s="26">
        <f>SUM(I298,K298,M298)/3*0.3+SUM(G298,R298)/2*0.4</f>
        <v>62.400000000000006</v>
      </c>
      <c r="W298" s="27">
        <f>O298+T298</f>
        <v>2</v>
      </c>
      <c r="X298" s="28">
        <f>V298/0.7+W298</f>
        <v>91.142857142857153</v>
      </c>
      <c r="Y298" s="28">
        <v>91.142857142857153</v>
      </c>
      <c r="Z298" s="21"/>
    </row>
    <row r="299" spans="1:26" x14ac:dyDescent="0.25">
      <c r="A299" s="16">
        <v>6</v>
      </c>
      <c r="B299" s="17" t="s">
        <v>21</v>
      </c>
      <c r="C299" s="16">
        <v>108</v>
      </c>
      <c r="D299" s="18" t="s">
        <v>144</v>
      </c>
      <c r="E299" s="17" t="s">
        <v>23</v>
      </c>
      <c r="F299" s="19">
        <v>6.8</v>
      </c>
      <c r="G299" s="32">
        <f>IF(B299="高三",IF($E299="男",LOOKUP(F299,[1]对照表!$G$3:$G$24,[1]对照表!$H$3:$H$24),LOOKUP(F299,[1]对照表!$G$27:$G$48,[1]对照表!$H$27:$H$48)),IF(B299="高二",IF($E299="男",LOOKUP(F299,[1]对照表!$F$3:$F$24,[1]对照表!$H$3:$H$24),LOOKUP(F299,[1]对照表!$F$27:$F$48,[1]对照表!$H$27:$H$48)),IF(B299="高一",IF($E299="男",LOOKUP(F299,[1]对照表!$E$3:$E$24,[1]对照表!$H$3:$H$24),LOOKUP(F299,[1]对照表!$E$27:$E$48,[1]对照表!$H$27:$H$48)))))</f>
        <v>100</v>
      </c>
      <c r="H299" s="21">
        <v>22.8</v>
      </c>
      <c r="I299" s="32">
        <f>IF(B299="高三",IF($E299="男",LOOKUP(H299,[1]对照表!$K$3:$K$24,[1]对照表!$L$3:$L$24),LOOKUP(H299,[1]对照表!$K$27:$K$48,[1]对照表!$L$27:$L$48)),IF(B299="高二",IF($E299="男",LOOKUP(H299,[1]对照表!$J$3:$J$24,[1]对照表!$L$3:$L$24),LOOKUP(H299,[1]对照表!$J$27:$J$48,[1]对照表!$L$27:$L$48)),IF(B299="高一",IF($E299="男",LOOKUP(H299,[1]对照表!$I$3:$I$24,[1]对照表!$L$3:$L$24),LOOKUP(H299,[1]对照表!$I$27:$I$48,[1]对照表!$L$27:$L$48)))))</f>
        <v>95</v>
      </c>
      <c r="J299" s="21">
        <v>235</v>
      </c>
      <c r="K299" s="32">
        <f>IF(B299="高三",IF($E299="男",LOOKUP(J299,[1]对照表!$O$3:$O$24,[1]对照表!$P$3:$P$24),LOOKUP(J299,[1]对照表!$O$27:$O$48,[1]对照表!$P$27:$P$48)),IF(B299="高二",IF($E299="男",LOOKUP(J299,[1]对照表!$N$3:$N$24,[1]对照表!$P$3:$P$24),LOOKUP(J299,[1]对照表!$N$27:$N$48,[1]对照表!$P$27:$P$48)),IF(B299="高一",IF($E299="男",LOOKUP(J299,[1]对照表!$M$3:$M$24,[1]对照表!$P$3:$P$24),LOOKUP(J299,[1]对照表!$M$27:$M$48,[1]对照表!$P$27:$P$48)))))</f>
        <v>80</v>
      </c>
      <c r="L299" s="21">
        <v>16</v>
      </c>
      <c r="M299" s="32">
        <f>IF(B299="高三",IF($E299="男",LOOKUP(L299,[1]对照表!$S$3:$S$24,[1]对照表!$T$3:$T$24),LOOKUP(L299,[1]对照表!$S$27:$S$48,[1]对照表!$T$27:$T$48)),IF(B299="高二",IF($E299="男",LOOKUP(L299,[1]对照表!$R$3:$R$24,[1]对照表!$T$3:$T$24),LOOKUP(L299,[1]对照表!$R$27:$R$48,[1]对照表!$T$27:$T$48)),IF(B299="高一",IF($E299="男",LOOKUP(L299,[1]对照表!$Q$3:$Q$24,[1]对照表!$T$3:$T$24),LOOKUP(L299,[1]对照表!$Q$27:$Q$48,[1]对照表!$T$27:$T$48)))))</f>
        <v>100</v>
      </c>
      <c r="N299" s="33">
        <f>IF(B299="高三",MAX(IF(E299="男",L299-18,L299-55),0),IF(B299="高二",MAX(IF(E299="男",L299-17,L299-54),0),IF(B299="高一",MAX(IF(E299="男",L299-16,L299-53),0))))</f>
        <v>0</v>
      </c>
      <c r="O299" s="23">
        <f>IF(E299="男",LOOKUP($N299,[1]对照表!$Z$3:$Z$13,[1]对照表!$AA$3:$AA$13),LOOKUP($N299,[1]对照表!$Z$15:$Z$25,[1]对照表!$AA$15:$AA$25))</f>
        <v>0</v>
      </c>
      <c r="P299" s="24">
        <f>M299+O299</f>
        <v>100</v>
      </c>
      <c r="Q299" s="25">
        <v>3.36</v>
      </c>
      <c r="R299" s="32">
        <f>IF(B299="高三",IF($E299="男",LOOKUP(Q299,[1]对照表!$W$3:$W$24,[1]对照表!$X$3:$X$24),LOOKUP(Q299,[1]对照表!$W$27:$W$48,[1]对照表!$X$27:$X$48)),IF(B299="高二",IF($E299="男",LOOKUP(Q299,[1]对照表!$V$3:$V$24,[1]对照表!$X$3:$X$24),LOOKUP(Q299,[1]对照表!$V$27:$V$48,[1]对照表!$X$27:$X$48)),IF(B299="高一",IF($E299="男",LOOKUP(Q299,[1]对照表!$U$3:$U$24,[1]对照表!$X$3:$X$24),LOOKUP(Q299,[1]对照表!$U$27:$U$48,[1]对照表!$X$27:$X$48)))))</f>
        <v>90</v>
      </c>
      <c r="S299" s="33">
        <f>ROUND(IF(IF($B299="高三",MIN(IF($E299="男",$Q299-3.2,$Q299-3.2),0),IF($B299="高二",MIN(IF($E299="男",$Q299-3.25,$Q299-3.22),0),IF($B299="高一",MIN(IF($E299="男",$Q299-3.3,$Q299-3.24),0))))&lt;-0.6,IF($B299="高三",MIN(IF($E299="男",$Q299-3.2,$Q299-3.2),0),IF($B299="高二",MIN(IF($E299="男",$Q299-3.25,$Q299-3.22),0),IF($B299="高一",MIN(IF($E299="男",$Q299-3.3,$Q299-3.24),0))))+0.4,IF($B299="高三",MIN(IF($E299="男",$Q299-3.2,$Q299-3.2),0),IF($B299="高二",MIN(IF($E299="男",$Q299-3.25,$Q299-3.22),0),IF($B299="高一",MIN(IF($E299="男",$Q299-3.3,$Q299-3.24),0))))),2)</f>
        <v>0</v>
      </c>
      <c r="T299" s="23">
        <f>IF(E299="男",LOOKUP($S299,[1]对照表!$AB$3:$AB$13,[1]对照表!$AC$3:$AC$13),LOOKUP($S299,[1]对照表!$AB$15:$AB$25,[1]对照表!$AC$15:$AC$25))</f>
        <v>0</v>
      </c>
      <c r="U299" s="26">
        <f>R299+T299</f>
        <v>90</v>
      </c>
      <c r="V299" s="26">
        <f>SUM(I299,K299,M299)/3*0.3+SUM(G299,R299)/2*0.4</f>
        <v>65.5</v>
      </c>
      <c r="W299" s="27">
        <f>O299+T299</f>
        <v>0</v>
      </c>
      <c r="X299" s="28">
        <f>V299/0.7+W299</f>
        <v>93.571428571428584</v>
      </c>
      <c r="Y299" s="28">
        <v>93.571428571428584</v>
      </c>
      <c r="Z299" s="21"/>
    </row>
    <row r="300" spans="1:26" x14ac:dyDescent="0.25">
      <c r="A300" s="16">
        <v>34</v>
      </c>
      <c r="B300" s="17" t="s">
        <v>21</v>
      </c>
      <c r="C300" s="16">
        <v>108</v>
      </c>
      <c r="D300" s="18" t="s">
        <v>162</v>
      </c>
      <c r="E300" s="31" t="s">
        <v>65</v>
      </c>
      <c r="F300" s="19">
        <v>8.26</v>
      </c>
      <c r="G300" s="32">
        <f>IF(B300="高三",IF($E300="男",LOOKUP(F300,[1]对照表!$G$3:$G$24,[1]对照表!$H$3:$H$24),LOOKUP(F300,[1]对照表!$G$27:$G$48,[1]对照表!$H$27:$H$48)),IF(B300="高二",IF($E300="男",LOOKUP(F300,[1]对照表!$F$3:$F$24,[1]对照表!$H$3:$H$24),LOOKUP(F300,[1]对照表!$F$27:$F$48,[1]对照表!$H$27:$H$48)),IF(B300="高一",IF($E300="男",LOOKUP(F300,[1]对照表!$E$3:$E$24,[1]对照表!$H$3:$H$24),LOOKUP(F300,[1]对照表!$E$27:$E$48,[1]对照表!$H$27:$H$48)))))</f>
        <v>85</v>
      </c>
      <c r="H300" s="21">
        <v>15</v>
      </c>
      <c r="I300" s="32">
        <f>IF(B300="高三",IF($E300="男",LOOKUP(H300,[1]对照表!$K$3:$K$24,[1]对照表!$L$3:$L$24),LOOKUP(H300,[1]对照表!$K$27:$K$48,[1]对照表!$L$27:$L$48)),IF(B300="高二",IF($E300="男",LOOKUP(H300,[1]对照表!$J$3:$J$24,[1]对照表!$L$3:$L$24),LOOKUP(H300,[1]对照表!$J$27:$J$48,[1]对照表!$L$27:$L$48)),IF(B300="高一",IF($E300="男",LOOKUP(H300,[1]对照表!$I$3:$I$24,[1]对照表!$L$3:$L$24),LOOKUP(H300,[1]对照表!$I$27:$I$48,[1]对照表!$L$27:$L$48)))))</f>
        <v>76</v>
      </c>
      <c r="J300" s="21">
        <v>194</v>
      </c>
      <c r="K300" s="32">
        <f>IF(B300="高三",IF($E300="男",LOOKUP(J300,[1]对照表!$O$3:$O$24,[1]对照表!$P$3:$P$24),LOOKUP(J300,[1]对照表!$O$27:$O$48,[1]对照表!$P$27:$P$48)),IF(B300="高二",IF($E300="男",LOOKUP(J300,[1]对照表!$N$3:$N$24,[1]对照表!$P$3:$P$24),LOOKUP(J300,[1]对照表!$N$27:$N$48,[1]对照表!$P$27:$P$48)),IF(B300="高一",IF($E300="男",LOOKUP(J300,[1]对照表!$M$3:$M$24,[1]对照表!$P$3:$P$24),LOOKUP(J300,[1]对照表!$M$27:$M$48,[1]对照表!$P$27:$P$48)))))</f>
        <v>90</v>
      </c>
      <c r="L300" s="21">
        <v>60</v>
      </c>
      <c r="M300" s="32">
        <f>IF(B300="高三",IF($E300="男",LOOKUP(L300,[1]对照表!$S$3:$S$24,[1]对照表!$T$3:$T$24),LOOKUP(L300,[1]对照表!$S$27:$S$48,[1]对照表!$T$27:$T$48)),IF(B300="高二",IF($E300="男",LOOKUP(L300,[1]对照表!$R$3:$R$24,[1]对照表!$T$3:$T$24),LOOKUP(L300,[1]对照表!$R$27:$R$48,[1]对照表!$T$27:$T$48)),IF(B300="高一",IF($E300="男",LOOKUP(L300,[1]对照表!$Q$3:$Q$24,[1]对照表!$T$3:$T$24),LOOKUP(L300,[1]对照表!$Q$27:$Q$48,[1]对照表!$T$27:$T$48)))))</f>
        <v>100</v>
      </c>
      <c r="N300" s="33">
        <f>IF(B300="高三",MAX(IF(E300="男",L300-18,L300-55),0),IF(B300="高二",MAX(IF(E300="男",L300-17,L300-54),0),IF(B300="高一",MAX(IF(E300="男",L300-16,L300-53),0))))</f>
        <v>7</v>
      </c>
      <c r="O300" s="23">
        <f>IF(E300="男",LOOKUP($N300,[1]对照表!$Z$3:$Z$13,[1]对照表!$AA$3:$AA$13),LOOKUP($N300,[1]对照表!$Z$15:$Z$25,[1]对照表!$AA$15:$AA$25))</f>
        <v>4</v>
      </c>
      <c r="P300" s="24">
        <f>M300+O300</f>
        <v>104</v>
      </c>
      <c r="Q300" s="25">
        <v>3.15</v>
      </c>
      <c r="R300" s="32">
        <f>IF(B300="高三",IF($E300="男",LOOKUP(Q300,[1]对照表!$W$3:$W$24,[1]对照表!$X$3:$X$24),LOOKUP(Q300,[1]对照表!$W$27:$W$48,[1]对照表!$X$27:$X$48)),IF(B300="高二",IF($E300="男",LOOKUP(Q300,[1]对照表!$V$3:$V$24,[1]对照表!$X$3:$X$24),LOOKUP(Q300,[1]对照表!$V$27:$V$48,[1]对照表!$X$27:$X$48)),IF(B300="高一",IF($E300="男",LOOKUP(Q300,[1]对照表!$U$3:$U$24,[1]对照表!$X$3:$X$24),LOOKUP(Q300,[1]对照表!$U$27:$U$48,[1]对照表!$X$27:$X$48)))))</f>
        <v>100</v>
      </c>
      <c r="S300" s="33">
        <f>ROUND(IF(IF($B300="高三",MIN(IF($E300="男",$Q300-3.2,$Q300-3.2),0),IF($B300="高二",MIN(IF($E300="男",$Q300-3.25,$Q300-3.22),0),IF($B300="高一",MIN(IF($E300="男",$Q300-3.3,$Q300-3.24),0))))&lt;-0.6,IF($B300="高三",MIN(IF($E300="男",$Q300-3.2,$Q300-3.2),0),IF($B300="高二",MIN(IF($E300="男",$Q300-3.25,$Q300-3.22),0),IF($B300="高一",MIN(IF($E300="男",$Q300-3.3,$Q300-3.24),0))))+0.4,IF($B300="高三",MIN(IF($E300="男",$Q300-3.2,$Q300-3.2),0),IF($B300="高二",MIN(IF($E300="男",$Q300-3.25,$Q300-3.22),0),IF($B300="高一",MIN(IF($E300="男",$Q300-3.3,$Q300-3.24),0))))),2)</f>
        <v>-0.09</v>
      </c>
      <c r="T300" s="23">
        <f>IF(E300="男",LOOKUP($S300,[1]对照表!$AB$3:$AB$13,[1]对照表!$AC$3:$AC$13),LOOKUP($S300,[1]对照表!$AB$15:$AB$25,[1]对照表!$AC$15:$AC$25))</f>
        <v>1</v>
      </c>
      <c r="U300" s="26">
        <f>R300+T300</f>
        <v>101</v>
      </c>
      <c r="V300" s="26">
        <f>SUM(I300,K300,M300)/3*0.3+SUM(G300,R300)/2*0.4</f>
        <v>63.6</v>
      </c>
      <c r="W300" s="27">
        <f>O300+T300</f>
        <v>5</v>
      </c>
      <c r="X300" s="28">
        <f>V300/0.7+W300</f>
        <v>95.857142857142861</v>
      </c>
      <c r="Y300" s="28">
        <v>95.857142857142861</v>
      </c>
      <c r="Z300" s="21"/>
    </row>
    <row r="301" spans="1:26" x14ac:dyDescent="0.25">
      <c r="A301" s="16">
        <v>16</v>
      </c>
      <c r="B301" s="17" t="s">
        <v>21</v>
      </c>
      <c r="C301" s="16">
        <v>108</v>
      </c>
      <c r="D301" s="18" t="s">
        <v>201</v>
      </c>
      <c r="E301" s="16" t="s">
        <v>23</v>
      </c>
      <c r="F301" s="19">
        <v>7.1</v>
      </c>
      <c r="G301" s="32">
        <f>IF(B301="高三",IF($E301="男",LOOKUP(F301,[1]对照表!$G$3:$G$24,[1]对照表!$H$3:$H$24),LOOKUP(F301,[1]对照表!$G$27:$G$48,[1]对照表!$H$27:$H$48)),IF(B301="高二",IF($E301="男",LOOKUP(F301,[1]对照表!$F$3:$F$24,[1]对照表!$H$3:$H$24),LOOKUP(F301,[1]对照表!$F$27:$F$48,[1]对照表!$H$27:$H$48)),IF(B301="高一",IF($E301="男",LOOKUP(F301,[1]对照表!$E$3:$E$24,[1]对照表!$H$3:$H$24),LOOKUP(F301,[1]对照表!$E$27:$E$48,[1]对照表!$H$27:$H$48)))))</f>
        <v>100</v>
      </c>
      <c r="H301" s="21">
        <v>15</v>
      </c>
      <c r="I301" s="32">
        <f>IF(B301="高三",IF($E301="男",LOOKUP(H301,[1]对照表!$K$3:$K$24,[1]对照表!$L$3:$L$24),LOOKUP(H301,[1]对照表!$K$27:$K$48,[1]对照表!$L$27:$L$48)),IF(B301="高二",IF($E301="男",LOOKUP(H301,[1]对照表!$J$3:$J$24,[1]对照表!$L$3:$L$24),LOOKUP(H301,[1]对照表!$J$27:$J$48,[1]对照表!$L$27:$L$48)),IF(B301="高一",IF($E301="男",LOOKUP(H301,[1]对照表!$I$3:$I$24,[1]对照表!$L$3:$L$24),LOOKUP(H301,[1]对照表!$I$27:$I$48,[1]对照表!$L$27:$L$48)))))</f>
        <v>80</v>
      </c>
      <c r="J301" s="21">
        <v>255</v>
      </c>
      <c r="K301" s="32">
        <f>IF(B301="高三",IF($E301="男",LOOKUP(J301,[1]对照表!$O$3:$O$24,[1]对照表!$P$3:$P$24),LOOKUP(J301,[1]对照表!$O$27:$O$48,[1]对照表!$P$27:$P$48)),IF(B301="高二",IF($E301="男",LOOKUP(J301,[1]对照表!$N$3:$N$24,[1]对照表!$P$3:$P$24),LOOKUP(J301,[1]对照表!$N$27:$N$48,[1]对照表!$P$27:$P$48)),IF(B301="高一",IF($E301="男",LOOKUP(J301,[1]对照表!$M$3:$M$24,[1]对照表!$P$3:$P$24),LOOKUP(J301,[1]对照表!$M$27:$M$48,[1]对照表!$P$27:$P$48)))))</f>
        <v>95</v>
      </c>
      <c r="L301" s="21">
        <v>14</v>
      </c>
      <c r="M301" s="32">
        <f>IF(B301="高三",IF($E301="男",LOOKUP(L301,[1]对照表!$S$3:$S$24,[1]对照表!$T$3:$T$24),LOOKUP(L301,[1]对照表!$S$27:$S$48,[1]对照表!$T$27:$T$48)),IF(B301="高二",IF($E301="男",LOOKUP(L301,[1]对照表!$R$3:$R$24,[1]对照表!$T$3:$T$24),LOOKUP(L301,[1]对照表!$R$27:$R$48,[1]对照表!$T$27:$T$48)),IF(B301="高一",IF($E301="男",LOOKUP(L301,[1]对照表!$Q$3:$Q$24,[1]对照表!$T$3:$T$24),LOOKUP(L301,[1]对照表!$Q$27:$Q$48,[1]对照表!$T$27:$T$48)))))</f>
        <v>90</v>
      </c>
      <c r="N301" s="33">
        <f>IF(B301="高三",MAX(IF(E301="男",L301-18,L301-55),0),IF(B301="高二",MAX(IF(E301="男",L301-17,L301-54),0),IF(B301="高一",MAX(IF(E301="男",L301-16,L301-53),0))))</f>
        <v>0</v>
      </c>
      <c r="O301" s="23">
        <f>IF(E301="男",LOOKUP($N301,[1]对照表!$Z$3:$Z$13,[1]对照表!$AA$3:$AA$13),LOOKUP($N301,[1]对照表!$Z$15:$Z$25,[1]对照表!$AA$15:$AA$25))</f>
        <v>0</v>
      </c>
      <c r="P301" s="24">
        <f>M301+O301</f>
        <v>90</v>
      </c>
      <c r="Q301" s="25">
        <v>4.0199999999999996</v>
      </c>
      <c r="R301" s="32">
        <f>IF(B301="高三",IF($E301="男",LOOKUP(Q301,[1]对照表!$W$3:$W$24,[1]对照表!$X$3:$X$24),LOOKUP(Q301,[1]对照表!$W$27:$W$48,[1]对照表!$X$27:$X$48)),IF(B301="高二",IF($E301="男",LOOKUP(Q301,[1]对照表!$V$3:$V$24,[1]对照表!$X$3:$X$24),LOOKUP(Q301,[1]对照表!$V$27:$V$48,[1]对照表!$X$27:$X$48)),IF(B301="高一",IF($E301="男",LOOKUP(Q301,[1]对照表!$U$3:$U$24,[1]对照表!$X$3:$X$24),LOOKUP(Q301,[1]对照表!$U$27:$U$48,[1]对照表!$X$27:$X$48)))))</f>
        <v>76</v>
      </c>
      <c r="S301" s="33">
        <f>ROUND(IF(IF($B301="高三",MIN(IF($E301="男",$Q301-3.2,$Q301-3.2),0),IF($B301="高二",MIN(IF($E301="男",$Q301-3.25,$Q301-3.22),0),IF($B301="高一",MIN(IF($E301="男",$Q301-3.3,$Q301-3.24),0))))&lt;-0.6,IF($B301="高三",MIN(IF($E301="男",$Q301-3.2,$Q301-3.2),0),IF($B301="高二",MIN(IF($E301="男",$Q301-3.25,$Q301-3.22),0),IF($B301="高一",MIN(IF($E301="男",$Q301-3.3,$Q301-3.24),0))))+0.4,IF($B301="高三",MIN(IF($E301="男",$Q301-3.2,$Q301-3.2),0),IF($B301="高二",MIN(IF($E301="男",$Q301-3.25,$Q301-3.22),0),IF($B301="高一",MIN(IF($E301="男",$Q301-3.3,$Q301-3.24),0))))),2)</f>
        <v>0</v>
      </c>
      <c r="T301" s="23">
        <f>IF(E301="男",LOOKUP($S301,[1]对照表!$AB$3:$AB$13,[1]对照表!$AC$3:$AC$13),LOOKUP($S301,[1]对照表!$AB$15:$AB$25,[1]对照表!$AC$15:$AC$25))</f>
        <v>0</v>
      </c>
      <c r="U301" s="26">
        <f>R301+T301</f>
        <v>76</v>
      </c>
      <c r="V301" s="26">
        <f>SUM(I301,K301,M301)/3*0.3+SUM(G301,R301)/2*0.4</f>
        <v>61.7</v>
      </c>
      <c r="W301" s="27">
        <f>O301+T301</f>
        <v>0</v>
      </c>
      <c r="X301" s="28">
        <f>V301/0.7+W301</f>
        <v>88.142857142857153</v>
      </c>
      <c r="Y301" s="28">
        <v>88.142857142857153</v>
      </c>
      <c r="Z301" s="21"/>
    </row>
    <row r="302" spans="1:26" x14ac:dyDescent="0.25">
      <c r="A302" s="16">
        <v>41</v>
      </c>
      <c r="B302" s="17" t="s">
        <v>21</v>
      </c>
      <c r="C302" s="16">
        <v>108</v>
      </c>
      <c r="D302" s="18" t="s">
        <v>222</v>
      </c>
      <c r="E302" s="17" t="s">
        <v>65</v>
      </c>
      <c r="F302" s="19">
        <v>9.4</v>
      </c>
      <c r="G302" s="32">
        <f>IF(B302="高三",IF($E302="男",LOOKUP(F302,[1]对照表!$G$3:$G$24,[1]对照表!$H$3:$H$24),LOOKUP(F302,[1]对照表!$G$27:$G$48,[1]对照表!$H$27:$H$48)),IF(B302="高二",IF($E302="男",LOOKUP(F302,[1]对照表!$F$3:$F$24,[1]对照表!$H$3:$H$24),LOOKUP(F302,[1]对照表!$F$27:$F$48,[1]对照表!$H$27:$H$48)),IF(B302="高一",IF($E302="男",LOOKUP(F302,[1]对照表!$E$3:$E$24,[1]对照表!$H$3:$H$24),LOOKUP(F302,[1]对照表!$E$27:$E$48,[1]对照表!$H$27:$H$48)))))</f>
        <v>72</v>
      </c>
      <c r="H302" s="21">
        <v>19</v>
      </c>
      <c r="I302" s="32">
        <f>IF(B302="高三",IF($E302="男",LOOKUP(H302,[1]对照表!$K$3:$K$24,[1]对照表!$L$3:$L$24),LOOKUP(H302,[1]对照表!$K$27:$K$48,[1]对照表!$L$27:$L$48)),IF(B302="高二",IF($E302="男",LOOKUP(H302,[1]对照表!$J$3:$J$24,[1]对照表!$L$3:$L$24),LOOKUP(H302,[1]对照表!$J$27:$J$48,[1]对照表!$L$27:$L$48)),IF(B302="高一",IF($E302="男",LOOKUP(H302,[1]对照表!$I$3:$I$24,[1]对照表!$L$3:$L$24),LOOKUP(H302,[1]对照表!$I$27:$I$48,[1]对照表!$L$27:$L$48)))))</f>
        <v>80</v>
      </c>
      <c r="J302" s="21">
        <v>177</v>
      </c>
      <c r="K302" s="32">
        <f>IF(B302="高三",IF($E302="男",LOOKUP(J302,[1]对照表!$O$3:$O$24,[1]对照表!$P$3:$P$24),LOOKUP(J302,[1]对照表!$O$27:$O$48,[1]对照表!$P$27:$P$48)),IF(B302="高二",IF($E302="男",LOOKUP(J302,[1]对照表!$N$3:$N$24,[1]对照表!$P$3:$P$24),LOOKUP(J302,[1]对照表!$N$27:$N$48,[1]对照表!$P$27:$P$48)),IF(B302="高一",IF($E302="男",LOOKUP(J302,[1]对照表!$M$3:$M$24,[1]对照表!$P$3:$P$24),LOOKUP(J302,[1]对照表!$M$27:$M$48,[1]对照表!$P$27:$P$48)))))</f>
        <v>78</v>
      </c>
      <c r="L302" s="21">
        <v>52</v>
      </c>
      <c r="M302" s="32">
        <f>IF(B302="高三",IF($E302="男",LOOKUP(L302,[1]对照表!$S$3:$S$24,[1]对照表!$T$3:$T$24),LOOKUP(L302,[1]对照表!$S$27:$S$48,[1]对照表!$T$27:$T$48)),IF(B302="高二",IF($E302="男",LOOKUP(L302,[1]对照表!$R$3:$R$24,[1]对照表!$T$3:$T$24),LOOKUP(L302,[1]对照表!$R$27:$R$48,[1]对照表!$T$27:$T$48)),IF(B302="高一",IF($E302="男",LOOKUP(L302,[1]对照表!$Q$3:$Q$24,[1]对照表!$T$3:$T$24),LOOKUP(L302,[1]对照表!$Q$27:$Q$48,[1]对照表!$T$27:$T$48)))))</f>
        <v>95</v>
      </c>
      <c r="N302" s="33">
        <f>IF(B302="高三",MAX(IF(E302="男",L302-18,L302-55),0),IF(B302="高二",MAX(IF(E302="男",L302-17,L302-54),0),IF(B302="高一",MAX(IF(E302="男",L302-16,L302-53),0))))</f>
        <v>0</v>
      </c>
      <c r="O302" s="23">
        <f>IF(E302="男",LOOKUP($N302,[1]对照表!$Z$3:$Z$13,[1]对照表!$AA$3:$AA$13),LOOKUP($N302,[1]对照表!$Z$15:$Z$25,[1]对照表!$AA$15:$AA$25))</f>
        <v>0</v>
      </c>
      <c r="P302" s="24">
        <f>M302+O302</f>
        <v>95</v>
      </c>
      <c r="Q302" s="25">
        <v>3.23</v>
      </c>
      <c r="R302" s="32">
        <f>IF(B302="高三",IF($E302="男",LOOKUP(Q302,[1]对照表!$W$3:$W$24,[1]对照表!$X$3:$X$24),LOOKUP(Q302,[1]对照表!$W$27:$W$48,[1]对照表!$X$27:$X$48)),IF(B302="高二",IF($E302="男",LOOKUP(Q302,[1]对照表!$V$3:$V$24,[1]对照表!$X$3:$X$24),LOOKUP(Q302,[1]对照表!$V$27:$V$48,[1]对照表!$X$27:$X$48)),IF(B302="高一",IF($E302="男",LOOKUP(Q302,[1]对照表!$U$3:$U$24,[1]对照表!$X$3:$X$24),LOOKUP(Q302,[1]对照表!$U$27:$U$48,[1]对照表!$X$27:$X$48)))))</f>
        <v>100</v>
      </c>
      <c r="S302" s="33">
        <f>ROUND(IF(IF($B302="高三",MIN(IF($E302="男",$Q302-3.2,$Q302-3.2),0),IF($B302="高二",MIN(IF($E302="男",$Q302-3.25,$Q302-3.22),0),IF($B302="高一",MIN(IF($E302="男",$Q302-3.3,$Q302-3.24),0))))&lt;-0.6,IF($B302="高三",MIN(IF($E302="男",$Q302-3.2,$Q302-3.2),0),IF($B302="高二",MIN(IF($E302="男",$Q302-3.25,$Q302-3.22),0),IF($B302="高一",MIN(IF($E302="男",$Q302-3.3,$Q302-3.24),0))))+0.4,IF($B302="高三",MIN(IF($E302="男",$Q302-3.2,$Q302-3.2),0),IF($B302="高二",MIN(IF($E302="男",$Q302-3.25,$Q302-3.22),0),IF($B302="高一",MIN(IF($E302="男",$Q302-3.3,$Q302-3.24),0))))),2)</f>
        <v>-0.01</v>
      </c>
      <c r="T302" s="23">
        <f>IF(E302="男",LOOKUP($S302,[1]对照表!$AB$3:$AB$13,[1]对照表!$AC$3:$AC$13),LOOKUP($S302,[1]对照表!$AB$15:$AB$25,[1]对照表!$AC$15:$AC$25))</f>
        <v>0</v>
      </c>
      <c r="U302" s="26">
        <f>R302+T302</f>
        <v>100</v>
      </c>
      <c r="V302" s="26">
        <f>SUM(I302,K302,M302)/3*0.3+SUM(G302,R302)/2*0.4</f>
        <v>59.699999999999996</v>
      </c>
      <c r="W302" s="27">
        <f>O302+T302</f>
        <v>0</v>
      </c>
      <c r="X302" s="28">
        <f>V302/0.7+W302</f>
        <v>85.285714285714292</v>
      </c>
      <c r="Y302" s="28">
        <v>85.285714285714292</v>
      </c>
      <c r="Z302" s="21"/>
    </row>
    <row r="303" spans="1:26" x14ac:dyDescent="0.25">
      <c r="A303" s="16">
        <v>43</v>
      </c>
      <c r="B303" s="17" t="s">
        <v>21</v>
      </c>
      <c r="C303" s="16">
        <v>108</v>
      </c>
      <c r="D303" s="18" t="s">
        <v>223</v>
      </c>
      <c r="E303" s="17" t="s">
        <v>65</v>
      </c>
      <c r="F303" s="19">
        <v>8.39</v>
      </c>
      <c r="G303" s="32">
        <f>IF(B303="高三",IF($E303="男",LOOKUP(F303,[1]对照表!$G$3:$G$24,[1]对照表!$H$3:$H$24),LOOKUP(F303,[1]对照表!$G$27:$G$48,[1]对照表!$H$27:$H$48)),IF(B303="高二",IF($E303="男",LOOKUP(F303,[1]对照表!$F$3:$F$24,[1]对照表!$H$3:$H$24),LOOKUP(F303,[1]对照表!$F$27:$F$48,[1]对照表!$H$27:$H$48)),IF(B303="高一",IF($E303="男",LOOKUP(F303,[1]对照表!$E$3:$E$24,[1]对照表!$H$3:$H$24),LOOKUP(F303,[1]对照表!$E$27:$E$48,[1]对照表!$H$27:$H$48)))))</f>
        <v>80</v>
      </c>
      <c r="H303" s="21">
        <v>11</v>
      </c>
      <c r="I303" s="32">
        <f>IF(B303="高三",IF($E303="男",LOOKUP(H303,[1]对照表!$K$3:$K$24,[1]对照表!$L$3:$L$24),LOOKUP(H303,[1]对照表!$K$27:$K$48,[1]对照表!$L$27:$L$48)),IF(B303="高二",IF($E303="男",LOOKUP(H303,[1]对照表!$J$3:$J$24,[1]对照表!$L$3:$L$24),LOOKUP(H303,[1]对照表!$J$27:$J$48,[1]对照表!$L$27:$L$48)),IF(B303="高一",IF($E303="男",LOOKUP(H303,[1]对照表!$I$3:$I$24,[1]对照表!$L$3:$L$24),LOOKUP(H303,[1]对照表!$I$27:$I$48,[1]对照表!$L$27:$L$48)))))</f>
        <v>70</v>
      </c>
      <c r="J303" s="21">
        <v>190</v>
      </c>
      <c r="K303" s="32">
        <f>IF(B303="高三",IF($E303="男",LOOKUP(J303,[1]对照表!$O$3:$O$24,[1]对照表!$P$3:$P$24),LOOKUP(J303,[1]对照表!$O$27:$O$48,[1]对照表!$P$27:$P$48)),IF(B303="高二",IF($E303="男",LOOKUP(J303,[1]对照表!$N$3:$N$24,[1]对照表!$P$3:$P$24),LOOKUP(J303,[1]对照表!$N$27:$N$48,[1]对照表!$P$27:$P$48)),IF(B303="高一",IF($E303="男",LOOKUP(J303,[1]对照表!$M$3:$M$24,[1]对照表!$P$3:$P$24),LOOKUP(J303,[1]对照表!$M$27:$M$48,[1]对照表!$P$27:$P$48)))))</f>
        <v>85</v>
      </c>
      <c r="L303" s="21">
        <v>51</v>
      </c>
      <c r="M303" s="32">
        <f>IF(B303="高三",IF($E303="男",LOOKUP(L303,[1]对照表!$S$3:$S$24,[1]对照表!$T$3:$T$24),LOOKUP(L303,[1]对照表!$S$27:$S$48,[1]对照表!$T$27:$T$48)),IF(B303="高二",IF($E303="男",LOOKUP(L303,[1]对照表!$R$3:$R$24,[1]对照表!$T$3:$T$24),LOOKUP(L303,[1]对照表!$R$27:$R$48,[1]对照表!$T$27:$T$48)),IF(B303="高一",IF($E303="男",LOOKUP(L303,[1]对照表!$Q$3:$Q$24,[1]对照表!$T$3:$T$24),LOOKUP(L303,[1]对照表!$Q$27:$Q$48,[1]对照表!$T$27:$T$48)))))</f>
        <v>95</v>
      </c>
      <c r="N303" s="33">
        <f>IF(B303="高三",MAX(IF(E303="男",L303-18,L303-55),0),IF(B303="高二",MAX(IF(E303="男",L303-17,L303-54),0),IF(B303="高一",MAX(IF(E303="男",L303-16,L303-53),0))))</f>
        <v>0</v>
      </c>
      <c r="O303" s="23">
        <f>IF(E303="男",LOOKUP($N303,[1]对照表!$Z$3:$Z$13,[1]对照表!$AA$3:$AA$13),LOOKUP($N303,[1]对照表!$Z$15:$Z$25,[1]对照表!$AA$15:$AA$25))</f>
        <v>0</v>
      </c>
      <c r="P303" s="24">
        <f>M303+O303</f>
        <v>95</v>
      </c>
      <c r="Q303" s="25">
        <v>3.24</v>
      </c>
      <c r="R303" s="32">
        <f>IF(B303="高三",IF($E303="男",LOOKUP(Q303,[1]对照表!$W$3:$W$24,[1]对照表!$X$3:$X$24),LOOKUP(Q303,[1]对照表!$W$27:$W$48,[1]对照表!$X$27:$X$48)),IF(B303="高二",IF($E303="男",LOOKUP(Q303,[1]对照表!$V$3:$V$24,[1]对照表!$X$3:$X$24),LOOKUP(Q303,[1]对照表!$V$27:$V$48,[1]对照表!$X$27:$X$48)),IF(B303="高一",IF($E303="男",LOOKUP(Q303,[1]对照表!$U$3:$U$24,[1]对照表!$X$3:$X$24),LOOKUP(Q303,[1]对照表!$U$27:$U$48,[1]对照表!$X$27:$X$48)))))</f>
        <v>100</v>
      </c>
      <c r="S303" s="33">
        <f>ROUND(IF(IF($B303="高三",MIN(IF($E303="男",$Q303-3.2,$Q303-3.2),0),IF($B303="高二",MIN(IF($E303="男",$Q303-3.25,$Q303-3.22),0),IF($B303="高一",MIN(IF($E303="男",$Q303-3.3,$Q303-3.24),0))))&lt;-0.6,IF($B303="高三",MIN(IF($E303="男",$Q303-3.2,$Q303-3.2),0),IF($B303="高二",MIN(IF($E303="男",$Q303-3.25,$Q303-3.22),0),IF($B303="高一",MIN(IF($E303="男",$Q303-3.3,$Q303-3.24),0))))+0.4,IF($B303="高三",MIN(IF($E303="男",$Q303-3.2,$Q303-3.2),0),IF($B303="高二",MIN(IF($E303="男",$Q303-3.25,$Q303-3.22),0),IF($B303="高一",MIN(IF($E303="男",$Q303-3.3,$Q303-3.24),0))))),2)</f>
        <v>0</v>
      </c>
      <c r="T303" s="23">
        <f>IF(E303="男",LOOKUP($S303,[1]对照表!$AB$3:$AB$13,[1]对照表!$AC$3:$AC$13),LOOKUP($S303,[1]对照表!$AB$15:$AB$25,[1]对照表!$AC$15:$AC$25))</f>
        <v>0</v>
      </c>
      <c r="U303" s="26">
        <f>R303+T303</f>
        <v>100</v>
      </c>
      <c r="V303" s="26">
        <f>SUM(I303,K303,M303)/3*0.3+SUM(G303,R303)/2*0.4</f>
        <v>61</v>
      </c>
      <c r="W303" s="27">
        <f>O303+T303</f>
        <v>0</v>
      </c>
      <c r="X303" s="28">
        <f>V303/0.7+W303</f>
        <v>87.142857142857153</v>
      </c>
      <c r="Y303" s="28">
        <v>87.142857142857153</v>
      </c>
      <c r="Z303" s="21"/>
    </row>
    <row r="304" spans="1:26" x14ac:dyDescent="0.25">
      <c r="A304" s="16">
        <v>3</v>
      </c>
      <c r="B304" s="17" t="s">
        <v>21</v>
      </c>
      <c r="C304" s="16">
        <v>108</v>
      </c>
      <c r="D304" s="18" t="s">
        <v>232</v>
      </c>
      <c r="E304" s="17" t="s">
        <v>23</v>
      </c>
      <c r="F304" s="19">
        <v>6.8</v>
      </c>
      <c r="G304" s="32">
        <f>IF(B304="高三",IF($E304="男",LOOKUP(F304,[1]对照表!$G$3:$G$24,[1]对照表!$H$3:$H$24),LOOKUP(F304,[1]对照表!$G$27:$G$48,[1]对照表!$H$27:$H$48)),IF(B304="高二",IF($E304="男",LOOKUP(F304,[1]对照表!$F$3:$F$24,[1]对照表!$H$3:$H$24),LOOKUP(F304,[1]对照表!$F$27:$F$48,[1]对照表!$H$27:$H$48)),IF(B304="高一",IF($E304="男",LOOKUP(F304,[1]对照表!$E$3:$E$24,[1]对照表!$H$3:$H$24),LOOKUP(F304,[1]对照表!$E$27:$E$48,[1]对照表!$H$27:$H$48)))))</f>
        <v>100</v>
      </c>
      <c r="H304" s="21">
        <v>4.5999999999999996</v>
      </c>
      <c r="I304" s="32">
        <f>IF(B304="高三",IF($E304="男",LOOKUP(H304,[1]对照表!$K$3:$K$24,[1]对照表!$L$3:$L$24),LOOKUP(H304,[1]对照表!$K$27:$K$48,[1]对照表!$L$27:$L$48)),IF(B304="高二",IF($E304="男",LOOKUP(H304,[1]对照表!$J$3:$J$24,[1]对照表!$L$3:$L$24),LOOKUP(H304,[1]对照表!$J$27:$J$48,[1]对照表!$L$27:$L$48)),IF(B304="高一",IF($E304="男",LOOKUP(H304,[1]对照表!$I$3:$I$24,[1]对照表!$L$3:$L$24),LOOKUP(H304,[1]对照表!$I$27:$I$48,[1]对照表!$L$27:$L$48)))))</f>
        <v>64</v>
      </c>
      <c r="J304" s="21">
        <v>250</v>
      </c>
      <c r="K304" s="32">
        <f>IF(B304="高三",IF($E304="男",LOOKUP(J304,[1]对照表!$O$3:$O$24,[1]对照表!$P$3:$P$24),LOOKUP(J304,[1]对照表!$O$27:$O$48,[1]对照表!$P$27:$P$48)),IF(B304="高二",IF($E304="男",LOOKUP(J304,[1]对照表!$N$3:$N$24,[1]对照表!$P$3:$P$24),LOOKUP(J304,[1]对照表!$N$27:$N$48,[1]对照表!$P$27:$P$48)),IF(B304="高一",IF($E304="男",LOOKUP(J304,[1]对照表!$M$3:$M$24,[1]对照表!$P$3:$P$24),LOOKUP(J304,[1]对照表!$M$27:$M$48,[1]对照表!$P$27:$P$48)))))</f>
        <v>90</v>
      </c>
      <c r="L304" s="21">
        <v>8</v>
      </c>
      <c r="M304" s="32">
        <f>IF(B304="高三",IF($E304="男",LOOKUP(L304,[1]对照表!$S$3:$S$24,[1]对照表!$T$3:$T$24),LOOKUP(L304,[1]对照表!$S$27:$S$48,[1]对照表!$T$27:$T$48)),IF(B304="高二",IF($E304="男",LOOKUP(L304,[1]对照表!$R$3:$R$24,[1]对照表!$T$3:$T$24),LOOKUP(L304,[1]对照表!$R$27:$R$48,[1]对照表!$T$27:$T$48)),IF(B304="高一",IF($E304="男",LOOKUP(L304,[1]对照表!$Q$3:$Q$24,[1]对照表!$T$3:$T$24),LOOKUP(L304,[1]对照表!$Q$27:$Q$48,[1]对照表!$T$27:$T$48)))))</f>
        <v>64</v>
      </c>
      <c r="N304" s="33">
        <f>IF(B304="高三",MAX(IF(E304="男",L304-18,L304-55),0),IF(B304="高二",MAX(IF(E304="男",L304-17,L304-54),0),IF(B304="高一",MAX(IF(E304="男",L304-16,L304-53),0))))</f>
        <v>0</v>
      </c>
      <c r="O304" s="23">
        <f>IF(E304="男",LOOKUP($N304,[1]对照表!$Z$3:$Z$13,[1]对照表!$AA$3:$AA$13),LOOKUP($N304,[1]对照表!$Z$15:$Z$25,[1]对照表!$AA$15:$AA$25))</f>
        <v>0</v>
      </c>
      <c r="P304" s="24">
        <f>M304+O304</f>
        <v>64</v>
      </c>
      <c r="Q304" s="25">
        <v>3.34</v>
      </c>
      <c r="R304" s="32">
        <f>IF(B304="高三",IF($E304="男",LOOKUP(Q304,[1]对照表!$W$3:$W$24,[1]对照表!$X$3:$X$24),LOOKUP(Q304,[1]对照表!$W$27:$W$48,[1]对照表!$X$27:$X$48)),IF(B304="高二",IF($E304="男",LOOKUP(Q304,[1]对照表!$V$3:$V$24,[1]对照表!$X$3:$X$24),LOOKUP(Q304,[1]对照表!$V$27:$V$48,[1]对照表!$X$27:$X$48)),IF(B304="高一",IF($E304="男",LOOKUP(Q304,[1]对照表!$U$3:$U$24,[1]对照表!$X$3:$X$24),LOOKUP(Q304,[1]对照表!$U$27:$U$48,[1]对照表!$X$27:$X$48)))))</f>
        <v>95</v>
      </c>
      <c r="S304" s="33">
        <f>ROUND(IF(IF($B304="高三",MIN(IF($E304="男",$Q304-3.2,$Q304-3.2),0),IF($B304="高二",MIN(IF($E304="男",$Q304-3.25,$Q304-3.22),0),IF($B304="高一",MIN(IF($E304="男",$Q304-3.3,$Q304-3.24),0))))&lt;-0.6,IF($B304="高三",MIN(IF($E304="男",$Q304-3.2,$Q304-3.2),0),IF($B304="高二",MIN(IF($E304="男",$Q304-3.25,$Q304-3.22),0),IF($B304="高一",MIN(IF($E304="男",$Q304-3.3,$Q304-3.24),0))))+0.4,IF($B304="高三",MIN(IF($E304="男",$Q304-3.2,$Q304-3.2),0),IF($B304="高二",MIN(IF($E304="男",$Q304-3.25,$Q304-3.22),0),IF($B304="高一",MIN(IF($E304="男",$Q304-3.3,$Q304-3.24),0))))),2)</f>
        <v>0</v>
      </c>
      <c r="T304" s="23">
        <f>IF(E304="男",LOOKUP($S304,[1]对照表!$AB$3:$AB$13,[1]对照表!$AC$3:$AC$13),LOOKUP($S304,[1]对照表!$AB$15:$AB$25,[1]对照表!$AC$15:$AC$25))</f>
        <v>0</v>
      </c>
      <c r="U304" s="26">
        <f>R304+T304</f>
        <v>95</v>
      </c>
      <c r="V304" s="26">
        <f>SUM(I304,K304,M304)/3*0.3+SUM(G304,R304)/2*0.4</f>
        <v>60.8</v>
      </c>
      <c r="W304" s="27">
        <f>O304+T304</f>
        <v>0</v>
      </c>
      <c r="X304" s="28">
        <f>V304/0.7+W304</f>
        <v>86.857142857142861</v>
      </c>
      <c r="Y304" s="28">
        <v>86.857142857142861</v>
      </c>
      <c r="Z304" s="21"/>
    </row>
    <row r="305" spans="1:26" x14ac:dyDescent="0.25">
      <c r="A305" s="16">
        <v>26</v>
      </c>
      <c r="B305" s="17" t="s">
        <v>21</v>
      </c>
      <c r="C305" s="16">
        <v>108</v>
      </c>
      <c r="D305" s="18" t="s">
        <v>242</v>
      </c>
      <c r="E305" s="17" t="s">
        <v>65</v>
      </c>
      <c r="F305" s="19">
        <v>8.91</v>
      </c>
      <c r="G305" s="32">
        <f>IF(B305="高三",IF($E305="男",LOOKUP(F305,[1]对照表!$G$3:$G$24,[1]对照表!$H$3:$H$24),LOOKUP(F305,[1]对照表!$G$27:$G$48,[1]对照表!$H$27:$H$48)),IF(B305="高二",IF($E305="男",LOOKUP(F305,[1]对照表!$F$3:$F$24,[1]对照表!$H$3:$H$24),LOOKUP(F305,[1]对照表!$F$27:$F$48,[1]对照表!$H$27:$H$48)),IF(B305="高一",IF($E305="男",LOOKUP(F305,[1]对照表!$E$3:$E$24,[1]对照表!$H$3:$H$24),LOOKUP(F305,[1]对照表!$E$27:$E$48,[1]对照表!$H$27:$H$48)))))</f>
        <v>76</v>
      </c>
      <c r="H305" s="21">
        <v>9</v>
      </c>
      <c r="I305" s="32">
        <f>IF(B305="高三",IF($E305="男",LOOKUP(H305,[1]对照表!$K$3:$K$24,[1]对照表!$L$3:$L$24),LOOKUP(H305,[1]对照表!$K$27:$K$48,[1]对照表!$L$27:$L$48)),IF(B305="高二",IF($E305="男",LOOKUP(H305,[1]对照表!$J$3:$J$24,[1]对照表!$L$3:$L$24),LOOKUP(H305,[1]对照表!$J$27:$J$48,[1]对照表!$L$27:$L$48)),IF(B305="高一",IF($E305="男",LOOKUP(H305,[1]对照表!$I$3:$I$24,[1]对照表!$L$3:$L$24),LOOKUP(H305,[1]对照表!$I$27:$I$48,[1]对照表!$L$27:$L$48)))))</f>
        <v>66</v>
      </c>
      <c r="J305" s="21">
        <v>174</v>
      </c>
      <c r="K305" s="32">
        <f>IF(B305="高三",IF($E305="男",LOOKUP(J305,[1]对照表!$O$3:$O$24,[1]对照表!$P$3:$P$24),LOOKUP(J305,[1]对照表!$O$27:$O$48,[1]对照表!$P$27:$P$48)),IF(B305="高二",IF($E305="男",LOOKUP(J305,[1]对照表!$N$3:$N$24,[1]对照表!$P$3:$P$24),LOOKUP(J305,[1]对照表!$N$27:$N$48,[1]对照表!$P$27:$P$48)),IF(B305="高一",IF($E305="男",LOOKUP(J305,[1]对照表!$M$3:$M$24,[1]对照表!$P$3:$P$24),LOOKUP(J305,[1]对照表!$M$27:$M$48,[1]对照表!$P$27:$P$48)))))</f>
        <v>76</v>
      </c>
      <c r="L305" s="21">
        <v>46</v>
      </c>
      <c r="M305" s="32">
        <f>IF(B305="高三",IF($E305="男",LOOKUP(L305,[1]对照表!$S$3:$S$24,[1]对照表!$T$3:$T$24),LOOKUP(L305,[1]对照表!$S$27:$S$48,[1]对照表!$T$27:$T$48)),IF(B305="高二",IF($E305="男",LOOKUP(L305,[1]对照表!$R$3:$R$24,[1]对照表!$T$3:$T$24),LOOKUP(L305,[1]对照表!$R$27:$R$48,[1]对照表!$T$27:$T$48)),IF(B305="高一",IF($E305="男",LOOKUP(L305,[1]对照表!$Q$3:$Q$24,[1]对照表!$T$3:$T$24),LOOKUP(L305,[1]对照表!$Q$27:$Q$48,[1]对照表!$T$27:$T$48)))))</f>
        <v>85</v>
      </c>
      <c r="N305" s="33">
        <f>IF(B305="高三",MAX(IF(E305="男",L305-18,L305-55),0),IF(B305="高二",MAX(IF(E305="男",L305-17,L305-54),0),IF(B305="高一",MAX(IF(E305="男",L305-16,L305-53),0))))</f>
        <v>0</v>
      </c>
      <c r="O305" s="23">
        <f>IF(E305="男",LOOKUP($N305,[1]对照表!$Z$3:$Z$13,[1]对照表!$AA$3:$AA$13),LOOKUP($N305,[1]对照表!$Z$15:$Z$25,[1]对照表!$AA$15:$AA$25))</f>
        <v>0</v>
      </c>
      <c r="P305" s="24">
        <f>M305+O305</f>
        <v>85</v>
      </c>
      <c r="Q305" s="25">
        <v>3.25</v>
      </c>
      <c r="R305" s="32">
        <f>IF(B305="高三",IF($E305="男",LOOKUP(Q305,[1]对照表!$W$3:$W$24,[1]对照表!$X$3:$X$24),LOOKUP(Q305,[1]对照表!$W$27:$W$48,[1]对照表!$X$27:$X$48)),IF(B305="高二",IF($E305="男",LOOKUP(Q305,[1]对照表!$V$3:$V$24,[1]对照表!$X$3:$X$24),LOOKUP(Q305,[1]对照表!$V$27:$V$48,[1]对照表!$X$27:$X$48)),IF(B305="高一",IF($E305="男",LOOKUP(Q305,[1]对照表!$U$3:$U$24,[1]对照表!$X$3:$X$24),LOOKUP(Q305,[1]对照表!$U$27:$U$48,[1]对照表!$X$27:$X$48)))))</f>
        <v>95</v>
      </c>
      <c r="S305" s="33">
        <f>ROUND(IF(IF($B305="高三",MIN(IF($E305="男",$Q305-3.2,$Q305-3.2),0),IF($B305="高二",MIN(IF($E305="男",$Q305-3.25,$Q305-3.22),0),IF($B305="高一",MIN(IF($E305="男",$Q305-3.3,$Q305-3.24),0))))&lt;-0.6,IF($B305="高三",MIN(IF($E305="男",$Q305-3.2,$Q305-3.2),0),IF($B305="高二",MIN(IF($E305="男",$Q305-3.25,$Q305-3.22),0),IF($B305="高一",MIN(IF($E305="男",$Q305-3.3,$Q305-3.24),0))))+0.4,IF($B305="高三",MIN(IF($E305="男",$Q305-3.2,$Q305-3.2),0),IF($B305="高二",MIN(IF($E305="男",$Q305-3.25,$Q305-3.22),0),IF($B305="高一",MIN(IF($E305="男",$Q305-3.3,$Q305-3.24),0))))),2)</f>
        <v>0</v>
      </c>
      <c r="T305" s="23">
        <f>IF(E305="男",LOOKUP($S305,[1]对照表!$AB$3:$AB$13,[1]对照表!$AC$3:$AC$13),LOOKUP($S305,[1]对照表!$AB$15:$AB$25,[1]对照表!$AC$15:$AC$25))</f>
        <v>0</v>
      </c>
      <c r="U305" s="26">
        <f>R305+T305</f>
        <v>95</v>
      </c>
      <c r="V305" s="26">
        <f>SUM(I305,K305,M305)/3*0.3+SUM(G305,R305)/2*0.4</f>
        <v>56.900000000000006</v>
      </c>
      <c r="W305" s="27">
        <f>O305+T305</f>
        <v>0</v>
      </c>
      <c r="X305" s="28">
        <f>V305/0.7+W305</f>
        <v>81.285714285714306</v>
      </c>
      <c r="Y305" s="28">
        <v>81.285714285714306</v>
      </c>
      <c r="Z305" s="21"/>
    </row>
    <row r="306" spans="1:26" x14ac:dyDescent="0.25">
      <c r="A306" s="16">
        <v>36</v>
      </c>
      <c r="B306" s="17" t="s">
        <v>21</v>
      </c>
      <c r="C306" s="16">
        <v>108</v>
      </c>
      <c r="D306" s="18" t="s">
        <v>257</v>
      </c>
      <c r="E306" s="17" t="s">
        <v>65</v>
      </c>
      <c r="F306" s="19">
        <v>9.1999999999999993</v>
      </c>
      <c r="G306" s="32">
        <f>IF(B306="高三",IF($E306="男",LOOKUP(F306,[1]对照表!$G$3:$G$24,[1]对照表!$H$3:$H$24),LOOKUP(F306,[1]对照表!$G$27:$G$48,[1]对照表!$H$27:$H$48)),IF(B306="高二",IF($E306="男",LOOKUP(F306,[1]对照表!$F$3:$F$24,[1]对照表!$H$3:$H$24),LOOKUP(F306,[1]对照表!$F$27:$F$48,[1]对照表!$H$27:$H$48)),IF(B306="高一",IF($E306="男",LOOKUP(F306,[1]对照表!$E$3:$E$24,[1]对照表!$H$3:$H$24),LOOKUP(F306,[1]对照表!$E$27:$E$48,[1]对照表!$H$27:$H$48)))))</f>
        <v>74</v>
      </c>
      <c r="H306" s="21">
        <v>14</v>
      </c>
      <c r="I306" s="32">
        <f>IF(B306="高三",IF($E306="男",LOOKUP(H306,[1]对照表!$K$3:$K$24,[1]对照表!$L$3:$L$24),LOOKUP(H306,[1]对照表!$K$27:$K$48,[1]对照表!$L$27:$L$48)),IF(B306="高二",IF($E306="男",LOOKUP(H306,[1]对照表!$J$3:$J$24,[1]对照表!$L$3:$L$24),LOOKUP(H306,[1]对照表!$J$27:$J$48,[1]对照表!$L$27:$L$48)),IF(B306="高一",IF($E306="男",LOOKUP(H306,[1]对照表!$I$3:$I$24,[1]对照表!$L$3:$L$24),LOOKUP(H306,[1]对照表!$I$27:$I$48,[1]对照表!$L$27:$L$48)))))</f>
        <v>74</v>
      </c>
      <c r="J306" s="21">
        <v>160</v>
      </c>
      <c r="K306" s="32">
        <f>IF(B306="高三",IF($E306="男",LOOKUP(J306,[1]对照表!$O$3:$O$24,[1]对照表!$P$3:$P$24),LOOKUP(J306,[1]对照表!$O$27:$O$48,[1]对照表!$P$27:$P$48)),IF(B306="高二",IF($E306="男",LOOKUP(J306,[1]对照表!$N$3:$N$24,[1]对照表!$P$3:$P$24),LOOKUP(J306,[1]对照表!$N$27:$N$48,[1]对照表!$P$27:$P$48)),IF(B306="高一",IF($E306="男",LOOKUP(J306,[1]对照表!$M$3:$M$24,[1]对照表!$P$3:$P$24),LOOKUP(J306,[1]对照表!$M$27:$M$48,[1]对照表!$P$27:$P$48)))))</f>
        <v>68</v>
      </c>
      <c r="L306" s="21">
        <v>53</v>
      </c>
      <c r="M306" s="32">
        <f>IF(B306="高三",IF($E306="男",LOOKUP(L306,[1]对照表!$S$3:$S$24,[1]对照表!$T$3:$T$24),LOOKUP(L306,[1]对照表!$S$27:$S$48,[1]对照表!$T$27:$T$48)),IF(B306="高二",IF($E306="男",LOOKUP(L306,[1]对照表!$R$3:$R$24,[1]对照表!$T$3:$T$24),LOOKUP(L306,[1]对照表!$R$27:$R$48,[1]对照表!$T$27:$T$48)),IF(B306="高一",IF($E306="男",LOOKUP(L306,[1]对照表!$Q$3:$Q$24,[1]对照表!$T$3:$T$24),LOOKUP(L306,[1]对照表!$Q$27:$Q$48,[1]对照表!$T$27:$T$48)))))</f>
        <v>100</v>
      </c>
      <c r="N306" s="33">
        <f>IF(B306="高三",MAX(IF(E306="男",L306-18,L306-55),0),IF(B306="高二",MAX(IF(E306="男",L306-17,L306-54),0),IF(B306="高一",MAX(IF(E306="男",L306-16,L306-53),0))))</f>
        <v>0</v>
      </c>
      <c r="O306" s="23">
        <f>IF(E306="男",LOOKUP($N306,[1]对照表!$Z$3:$Z$13,[1]对照表!$AA$3:$AA$13),LOOKUP($N306,[1]对照表!$Z$15:$Z$25,[1]对照表!$AA$15:$AA$25))</f>
        <v>0</v>
      </c>
      <c r="P306" s="24">
        <f>M306+O306</f>
        <v>100</v>
      </c>
      <c r="Q306" s="25">
        <v>3.28</v>
      </c>
      <c r="R306" s="32">
        <f>IF(B306="高三",IF($E306="男",LOOKUP(Q306,[1]对照表!$W$3:$W$24,[1]对照表!$X$3:$X$24),LOOKUP(Q306,[1]对照表!$W$27:$W$48,[1]对照表!$X$27:$X$48)),IF(B306="高二",IF($E306="男",LOOKUP(Q306,[1]对照表!$V$3:$V$24,[1]对照表!$X$3:$X$24),LOOKUP(Q306,[1]对照表!$V$27:$V$48,[1]对照表!$X$27:$X$48)),IF(B306="高一",IF($E306="男",LOOKUP(Q306,[1]对照表!$U$3:$U$24,[1]对照表!$X$3:$X$24),LOOKUP(Q306,[1]对照表!$U$27:$U$48,[1]对照表!$X$27:$X$48)))))</f>
        <v>95</v>
      </c>
      <c r="S306" s="33">
        <f>ROUND(IF(IF($B306="高三",MIN(IF($E306="男",$Q306-3.2,$Q306-3.2),0),IF($B306="高二",MIN(IF($E306="男",$Q306-3.25,$Q306-3.22),0),IF($B306="高一",MIN(IF($E306="男",$Q306-3.3,$Q306-3.24),0))))&lt;-0.6,IF($B306="高三",MIN(IF($E306="男",$Q306-3.2,$Q306-3.2),0),IF($B306="高二",MIN(IF($E306="男",$Q306-3.25,$Q306-3.22),0),IF($B306="高一",MIN(IF($E306="男",$Q306-3.3,$Q306-3.24),0))))+0.4,IF($B306="高三",MIN(IF($E306="男",$Q306-3.2,$Q306-3.2),0),IF($B306="高二",MIN(IF($E306="男",$Q306-3.25,$Q306-3.22),0),IF($B306="高一",MIN(IF($E306="男",$Q306-3.3,$Q306-3.24),0))))),2)</f>
        <v>0</v>
      </c>
      <c r="T306" s="23">
        <f>IF(E306="男",LOOKUP($S306,[1]对照表!$AB$3:$AB$13,[1]对照表!$AC$3:$AC$13),LOOKUP($S306,[1]对照表!$AB$15:$AB$25,[1]对照表!$AC$15:$AC$25))</f>
        <v>0</v>
      </c>
      <c r="U306" s="26">
        <f>R306+T306</f>
        <v>95</v>
      </c>
      <c r="V306" s="26">
        <f>SUM(I306,K306,M306)/3*0.3+SUM(G306,R306)/2*0.4</f>
        <v>58</v>
      </c>
      <c r="W306" s="27">
        <f>O306+T306</f>
        <v>0</v>
      </c>
      <c r="X306" s="28">
        <f>V306/0.7+W306</f>
        <v>82.857142857142861</v>
      </c>
      <c r="Y306" s="28">
        <v>82.857142857142861</v>
      </c>
      <c r="Z306" s="21"/>
    </row>
    <row r="307" spans="1:26" x14ac:dyDescent="0.25">
      <c r="A307" s="16">
        <v>5</v>
      </c>
      <c r="B307" s="17" t="s">
        <v>21</v>
      </c>
      <c r="C307" s="16">
        <v>108</v>
      </c>
      <c r="D307" s="18" t="s">
        <v>328</v>
      </c>
      <c r="E307" s="17" t="s">
        <v>23</v>
      </c>
      <c r="F307" s="19">
        <v>7.1</v>
      </c>
      <c r="G307" s="32">
        <f>IF(B307="高三",IF($E307="男",LOOKUP(F307,[1]对照表!$G$3:$G$24,[1]对照表!$H$3:$H$24),LOOKUP(F307,[1]对照表!$G$27:$G$48,[1]对照表!$H$27:$H$48)),IF(B307="高二",IF($E307="男",LOOKUP(F307,[1]对照表!$F$3:$F$24,[1]对照表!$H$3:$H$24),LOOKUP(F307,[1]对照表!$F$27:$F$48,[1]对照表!$H$27:$H$48)),IF(B307="高一",IF($E307="男",LOOKUP(F307,[1]对照表!$E$3:$E$24,[1]对照表!$H$3:$H$24),LOOKUP(F307,[1]对照表!$E$27:$E$48,[1]对照表!$H$27:$H$48)))))</f>
        <v>100</v>
      </c>
      <c r="H307" s="21">
        <v>5.6</v>
      </c>
      <c r="I307" s="32">
        <f>IF(B307="高三",IF($E307="男",LOOKUP(H307,[1]对照表!$K$3:$K$24,[1]对照表!$L$3:$L$24),LOOKUP(H307,[1]对照表!$K$27:$K$48,[1]对照表!$L$27:$L$48)),IF(B307="高二",IF($E307="男",LOOKUP(H307,[1]对照表!$J$3:$J$24,[1]对照表!$L$3:$L$24),LOOKUP(H307,[1]对照表!$J$27:$J$48,[1]对照表!$L$27:$L$48)),IF(B307="高一",IF($E307="男",LOOKUP(H307,[1]对照表!$I$3:$I$24,[1]对照表!$L$3:$L$24),LOOKUP(H307,[1]对照表!$I$27:$I$48,[1]对照表!$L$27:$L$48)))))</f>
        <v>66</v>
      </c>
      <c r="J307" s="21">
        <v>212</v>
      </c>
      <c r="K307" s="32">
        <f>IF(B307="高三",IF($E307="男",LOOKUP(J307,[1]对照表!$O$3:$O$24,[1]对照表!$P$3:$P$24),LOOKUP(J307,[1]对照表!$O$27:$O$48,[1]对照表!$P$27:$P$48)),IF(B307="高二",IF($E307="男",LOOKUP(J307,[1]对照表!$N$3:$N$24,[1]对照表!$P$3:$P$24),LOOKUP(J307,[1]对照表!$N$27:$N$48,[1]对照表!$P$27:$P$48)),IF(B307="高一",IF($E307="男",LOOKUP(J307,[1]对照表!$M$3:$M$24,[1]对照表!$P$3:$P$24),LOOKUP(J307,[1]对照表!$M$27:$M$48,[1]对照表!$P$27:$P$48)))))</f>
        <v>68</v>
      </c>
      <c r="L307" s="21">
        <v>9</v>
      </c>
      <c r="M307" s="32">
        <f>IF(B307="高三",IF($E307="男",LOOKUP(L307,[1]对照表!$S$3:$S$24,[1]对照表!$T$3:$T$24),LOOKUP(L307,[1]对照表!$S$27:$S$48,[1]对照表!$T$27:$T$48)),IF(B307="高二",IF($E307="男",LOOKUP(L307,[1]对照表!$R$3:$R$24,[1]对照表!$T$3:$T$24),LOOKUP(L307,[1]对照表!$R$27:$R$48,[1]对照表!$T$27:$T$48)),IF(B307="高一",IF($E307="男",LOOKUP(L307,[1]对照表!$Q$3:$Q$24,[1]对照表!$T$3:$T$24),LOOKUP(L307,[1]对照表!$Q$27:$Q$48,[1]对照表!$T$27:$T$48)))))</f>
        <v>68</v>
      </c>
      <c r="N307" s="33">
        <f>IF(B307="高三",MAX(IF(E307="男",L307-18,L307-55),0),IF(B307="高二",MAX(IF(E307="男",L307-17,L307-54),0),IF(B307="高一",MAX(IF(E307="男",L307-16,L307-53),0))))</f>
        <v>0</v>
      </c>
      <c r="O307" s="23">
        <f>IF(E307="男",LOOKUP($N307,[1]对照表!$Z$3:$Z$13,[1]对照表!$AA$3:$AA$13),LOOKUP($N307,[1]对照表!$Z$15:$Z$25,[1]对照表!$AA$15:$AA$25))</f>
        <v>0</v>
      </c>
      <c r="P307" s="24">
        <f>M307+O307</f>
        <v>68</v>
      </c>
      <c r="Q307" s="25">
        <v>3.43</v>
      </c>
      <c r="R307" s="32">
        <f>IF(B307="高三",IF($E307="男",LOOKUP(Q307,[1]对照表!$W$3:$W$24,[1]对照表!$X$3:$X$24),LOOKUP(Q307,[1]对照表!$W$27:$W$48,[1]对照表!$X$27:$X$48)),IF(B307="高二",IF($E307="男",LOOKUP(Q307,[1]对照表!$V$3:$V$24,[1]对照表!$X$3:$X$24),LOOKUP(Q307,[1]对照表!$V$27:$V$48,[1]对照表!$X$27:$X$48)),IF(B307="高一",IF($E307="男",LOOKUP(Q307,[1]对照表!$U$3:$U$24,[1]对照表!$X$3:$X$24),LOOKUP(Q307,[1]对照表!$U$27:$U$48,[1]对照表!$X$27:$X$48)))))</f>
        <v>85</v>
      </c>
      <c r="S307" s="33">
        <f>ROUND(IF(IF($B307="高三",MIN(IF($E307="男",$Q307-3.2,$Q307-3.2),0),IF($B307="高二",MIN(IF($E307="男",$Q307-3.25,$Q307-3.22),0),IF($B307="高一",MIN(IF($E307="男",$Q307-3.3,$Q307-3.24),0))))&lt;-0.6,IF($B307="高三",MIN(IF($E307="男",$Q307-3.2,$Q307-3.2),0),IF($B307="高二",MIN(IF($E307="男",$Q307-3.25,$Q307-3.22),0),IF($B307="高一",MIN(IF($E307="男",$Q307-3.3,$Q307-3.24),0))))+0.4,IF($B307="高三",MIN(IF($E307="男",$Q307-3.2,$Q307-3.2),0),IF($B307="高二",MIN(IF($E307="男",$Q307-3.25,$Q307-3.22),0),IF($B307="高一",MIN(IF($E307="男",$Q307-3.3,$Q307-3.24),0))))),2)</f>
        <v>0</v>
      </c>
      <c r="T307" s="23">
        <f>IF(E307="男",LOOKUP($S307,[1]对照表!$AB$3:$AB$13,[1]对照表!$AC$3:$AC$13),LOOKUP($S307,[1]对照表!$AB$15:$AB$25,[1]对照表!$AC$15:$AC$25))</f>
        <v>0</v>
      </c>
      <c r="U307" s="26">
        <f>R307+T307</f>
        <v>85</v>
      </c>
      <c r="V307" s="26">
        <f>SUM(I307,K307,M307)/3*0.3+SUM(G307,R307)/2*0.4</f>
        <v>57.2</v>
      </c>
      <c r="W307" s="27">
        <f>O307+T307</f>
        <v>0</v>
      </c>
      <c r="X307" s="28">
        <f>V307/0.7+W307</f>
        <v>81.714285714285722</v>
      </c>
      <c r="Y307" s="28">
        <v>81.714285714285722</v>
      </c>
      <c r="Z307" s="21"/>
    </row>
    <row r="308" spans="1:26" x14ac:dyDescent="0.25">
      <c r="A308" s="16">
        <v>38</v>
      </c>
      <c r="B308" s="17" t="s">
        <v>21</v>
      </c>
      <c r="C308" s="16">
        <v>108</v>
      </c>
      <c r="D308" s="18" t="s">
        <v>338</v>
      </c>
      <c r="E308" s="17" t="s">
        <v>65</v>
      </c>
      <c r="F308" s="19">
        <v>8.94</v>
      </c>
      <c r="G308" s="32">
        <f>IF(B308="高三",IF($E308="男",LOOKUP(F308,[1]对照表!$G$3:$G$24,[1]对照表!$H$3:$H$24),LOOKUP(F308,[1]对照表!$G$27:$G$48,[1]对照表!$H$27:$H$48)),IF(B308="高二",IF($E308="男",LOOKUP(F308,[1]对照表!$F$3:$F$24,[1]对照表!$H$3:$H$24),LOOKUP(F308,[1]对照表!$F$27:$F$48,[1]对照表!$H$27:$H$48)),IF(B308="高一",IF($E308="男",LOOKUP(F308,[1]对照表!$E$3:$E$24,[1]对照表!$H$3:$H$24),LOOKUP(F308,[1]对照表!$E$27:$E$48,[1]对照表!$H$27:$H$48)))))</f>
        <v>76</v>
      </c>
      <c r="H308" s="21">
        <v>21.5</v>
      </c>
      <c r="I308" s="32">
        <f>IF(B308="高三",IF($E308="男",LOOKUP(H308,[1]对照表!$K$3:$K$24,[1]对照表!$L$3:$L$24),LOOKUP(H308,[1]对照表!$K$27:$K$48,[1]对照表!$L$27:$L$48)),IF(B308="高二",IF($E308="男",LOOKUP(H308,[1]对照表!$J$3:$J$24,[1]对照表!$L$3:$L$24),LOOKUP(H308,[1]对照表!$J$27:$J$48,[1]对照表!$L$27:$L$48)),IF(B308="高一",IF($E308="男",LOOKUP(H308,[1]对照表!$I$3:$I$24,[1]对照表!$L$3:$L$24),LOOKUP(H308,[1]对照表!$I$27:$I$48,[1]对照表!$L$27:$L$48)))))</f>
        <v>90</v>
      </c>
      <c r="J308" s="21">
        <v>168</v>
      </c>
      <c r="K308" s="32">
        <f>IF(B308="高三",IF($E308="男",LOOKUP(J308,[1]对照表!$O$3:$O$24,[1]对照表!$P$3:$P$24),LOOKUP(J308,[1]对照表!$O$27:$O$48,[1]对照表!$P$27:$P$48)),IF(B308="高二",IF($E308="男",LOOKUP(J308,[1]对照表!$N$3:$N$24,[1]对照表!$P$3:$P$24),LOOKUP(J308,[1]对照表!$N$27:$N$48,[1]对照表!$P$27:$P$48)),IF(B308="高一",IF($E308="男",LOOKUP(J308,[1]对照表!$M$3:$M$24,[1]对照表!$P$3:$P$24),LOOKUP(J308,[1]对照表!$M$27:$M$48,[1]对照表!$P$27:$P$48)))))</f>
        <v>72</v>
      </c>
      <c r="L308" s="21">
        <v>53</v>
      </c>
      <c r="M308" s="32">
        <f>IF(B308="高三",IF($E308="男",LOOKUP(L308,[1]对照表!$S$3:$S$24,[1]对照表!$T$3:$T$24),LOOKUP(L308,[1]对照表!$S$27:$S$48,[1]对照表!$T$27:$T$48)),IF(B308="高二",IF($E308="男",LOOKUP(L308,[1]对照表!$R$3:$R$24,[1]对照表!$T$3:$T$24),LOOKUP(L308,[1]对照表!$R$27:$R$48,[1]对照表!$T$27:$T$48)),IF(B308="高一",IF($E308="男",LOOKUP(L308,[1]对照表!$Q$3:$Q$24,[1]对照表!$T$3:$T$24),LOOKUP(L308,[1]对照表!$Q$27:$Q$48,[1]对照表!$T$27:$T$48)))))</f>
        <v>100</v>
      </c>
      <c r="N308" s="33">
        <f>IF(B308="高三",MAX(IF(E308="男",L308-18,L308-55),0),IF(B308="高二",MAX(IF(E308="男",L308-17,L308-54),0),IF(B308="高一",MAX(IF(E308="男",L308-16,L308-53),0))))</f>
        <v>0</v>
      </c>
      <c r="O308" s="23">
        <f>IF(E308="男",LOOKUP($N308,[1]对照表!$Z$3:$Z$13,[1]对照表!$AA$3:$AA$13),LOOKUP($N308,[1]对照表!$Z$15:$Z$25,[1]对照表!$AA$15:$AA$25))</f>
        <v>0</v>
      </c>
      <c r="P308" s="24">
        <f>M308+O308</f>
        <v>100</v>
      </c>
      <c r="Q308" s="25">
        <v>3.32</v>
      </c>
      <c r="R308" s="32">
        <f>IF(B308="高三",IF($E308="男",LOOKUP(Q308,[1]对照表!$W$3:$W$24,[1]对照表!$X$3:$X$24),LOOKUP(Q308,[1]对照表!$W$27:$W$48,[1]对照表!$X$27:$X$48)),IF(B308="高二",IF($E308="男",LOOKUP(Q308,[1]对照表!$V$3:$V$24,[1]对照表!$X$3:$X$24),LOOKUP(Q308,[1]对照表!$V$27:$V$48,[1]对照表!$X$27:$X$48)),IF(B308="高一",IF($E308="男",LOOKUP(Q308,[1]对照表!$U$3:$U$24,[1]对照表!$X$3:$X$24),LOOKUP(Q308,[1]对照表!$U$27:$U$48,[1]对照表!$X$27:$X$48)))))</f>
        <v>90</v>
      </c>
      <c r="S308" s="33">
        <f>ROUND(IF(IF($B308="高三",MIN(IF($E308="男",$Q308-3.2,$Q308-3.2),0),IF($B308="高二",MIN(IF($E308="男",$Q308-3.25,$Q308-3.22),0),IF($B308="高一",MIN(IF($E308="男",$Q308-3.3,$Q308-3.24),0))))&lt;-0.6,IF($B308="高三",MIN(IF($E308="男",$Q308-3.2,$Q308-3.2),0),IF($B308="高二",MIN(IF($E308="男",$Q308-3.25,$Q308-3.22),0),IF($B308="高一",MIN(IF($E308="男",$Q308-3.3,$Q308-3.24),0))))+0.4,IF($B308="高三",MIN(IF($E308="男",$Q308-3.2,$Q308-3.2),0),IF($B308="高二",MIN(IF($E308="男",$Q308-3.25,$Q308-3.22),0),IF($B308="高一",MIN(IF($E308="男",$Q308-3.3,$Q308-3.24),0))))),2)</f>
        <v>0</v>
      </c>
      <c r="T308" s="23">
        <f>IF(E308="男",LOOKUP($S308,[1]对照表!$AB$3:$AB$13,[1]对照表!$AC$3:$AC$13),LOOKUP($S308,[1]对照表!$AB$15:$AB$25,[1]对照表!$AC$15:$AC$25))</f>
        <v>0</v>
      </c>
      <c r="U308" s="26">
        <f>R308+T308</f>
        <v>90</v>
      </c>
      <c r="V308" s="26">
        <f>SUM(I308,K308,M308)/3*0.3+SUM(G308,R308)/2*0.4</f>
        <v>59.400000000000006</v>
      </c>
      <c r="W308" s="27">
        <f>O308+T308</f>
        <v>0</v>
      </c>
      <c r="X308" s="28">
        <f>V308/0.7+W308</f>
        <v>84.857142857142875</v>
      </c>
      <c r="Y308" s="28">
        <v>84.857142857142875</v>
      </c>
      <c r="Z308" s="21"/>
    </row>
    <row r="309" spans="1:26" x14ac:dyDescent="0.25">
      <c r="A309" s="16">
        <v>15</v>
      </c>
      <c r="B309" s="17" t="s">
        <v>21</v>
      </c>
      <c r="C309" s="16">
        <v>108</v>
      </c>
      <c r="D309" s="18" t="s">
        <v>367</v>
      </c>
      <c r="E309" s="16" t="s">
        <v>23</v>
      </c>
      <c r="F309" s="19">
        <v>7.6</v>
      </c>
      <c r="G309" s="32">
        <f>IF(B309="高三",IF($E309="男",LOOKUP(F309,[1]对照表!$G$3:$G$24,[1]对照表!$H$3:$H$24),LOOKUP(F309,[1]对照表!$G$27:$G$48,[1]对照表!$H$27:$H$48)),IF(B309="高二",IF($E309="男",LOOKUP(F309,[1]对照表!$F$3:$F$24,[1]对照表!$H$3:$H$24),LOOKUP(F309,[1]对照表!$F$27:$F$48,[1]对照表!$H$27:$H$48)),IF(B309="高一",IF($E309="男",LOOKUP(F309,[1]对照表!$E$3:$E$24,[1]对照表!$H$3:$H$24),LOOKUP(F309,[1]对照表!$E$27:$E$48,[1]对照表!$H$27:$H$48)))))</f>
        <v>78</v>
      </c>
      <c r="H309" s="21">
        <v>26</v>
      </c>
      <c r="I309" s="32">
        <f>IF(B309="高三",IF($E309="男",LOOKUP(H309,[1]对照表!$K$3:$K$24,[1]对照表!$L$3:$L$24),LOOKUP(H309,[1]对照表!$K$27:$K$48,[1]对照表!$L$27:$L$48)),IF(B309="高二",IF($E309="男",LOOKUP(H309,[1]对照表!$J$3:$J$24,[1]对照表!$L$3:$L$24),LOOKUP(H309,[1]对照表!$J$27:$J$48,[1]对照表!$L$27:$L$48)),IF(B309="高一",IF($E309="男",LOOKUP(H309,[1]对照表!$I$3:$I$24,[1]对照表!$L$3:$L$24),LOOKUP(H309,[1]对照表!$I$27:$I$48,[1]对照表!$L$27:$L$48)))))</f>
        <v>100</v>
      </c>
      <c r="J309" s="21">
        <v>240</v>
      </c>
      <c r="K309" s="32">
        <f>IF(B309="高三",IF($E309="男",LOOKUP(J309,[1]对照表!$O$3:$O$24,[1]对照表!$P$3:$P$24),LOOKUP(J309,[1]对照表!$O$27:$O$48,[1]对照表!$P$27:$P$48)),IF(B309="高二",IF($E309="男",LOOKUP(J309,[1]对照表!$N$3:$N$24,[1]对照表!$P$3:$P$24),LOOKUP(J309,[1]对照表!$N$27:$N$48,[1]对照表!$P$27:$P$48)),IF(B309="高一",IF($E309="男",LOOKUP(J309,[1]对照表!$M$3:$M$24,[1]对照表!$P$3:$P$24),LOOKUP(J309,[1]对照表!$M$27:$M$48,[1]对照表!$P$27:$P$48)))))</f>
        <v>80</v>
      </c>
      <c r="L309" s="21">
        <v>9</v>
      </c>
      <c r="M309" s="32">
        <f>IF(B309="高三",IF($E309="男",LOOKUP(L309,[1]对照表!$S$3:$S$24,[1]对照表!$T$3:$T$24),LOOKUP(L309,[1]对照表!$S$27:$S$48,[1]对照表!$T$27:$T$48)),IF(B309="高二",IF($E309="男",LOOKUP(L309,[1]对照表!$R$3:$R$24,[1]对照表!$T$3:$T$24),LOOKUP(L309,[1]对照表!$R$27:$R$48,[1]对照表!$T$27:$T$48)),IF(B309="高一",IF($E309="男",LOOKUP(L309,[1]对照表!$Q$3:$Q$24,[1]对照表!$T$3:$T$24),LOOKUP(L309,[1]对照表!$Q$27:$Q$48,[1]对照表!$T$27:$T$48)))))</f>
        <v>68</v>
      </c>
      <c r="N309" s="33">
        <f>IF(B309="高三",MAX(IF(E309="男",L309-18,L309-55),0),IF(B309="高二",MAX(IF(E309="男",L309-17,L309-54),0),IF(B309="高一",MAX(IF(E309="男",L309-16,L309-53),0))))</f>
        <v>0</v>
      </c>
      <c r="O309" s="23">
        <f>IF(E309="男",LOOKUP($N309,[1]对照表!$Z$3:$Z$13,[1]对照表!$AA$3:$AA$13),LOOKUP($N309,[1]对照表!$Z$15:$Z$25,[1]对照表!$AA$15:$AA$25))</f>
        <v>0</v>
      </c>
      <c r="P309" s="24">
        <f>M309+O309</f>
        <v>68</v>
      </c>
      <c r="Q309" s="25">
        <v>3.56</v>
      </c>
      <c r="R309" s="32">
        <f>IF(B309="高三",IF($E309="男",LOOKUP(Q309,[1]对照表!$W$3:$W$24,[1]对照表!$X$3:$X$24),LOOKUP(Q309,[1]对照表!$W$27:$W$48,[1]对照表!$X$27:$X$48)),IF(B309="高二",IF($E309="男",LOOKUP(Q309,[1]对照表!$V$3:$V$24,[1]对照表!$X$3:$X$24),LOOKUP(Q309,[1]对照表!$V$27:$V$48,[1]对照表!$X$27:$X$48)),IF(B309="高一",IF($E309="男",LOOKUP(Q309,[1]对照表!$U$3:$U$24,[1]对照表!$X$3:$X$24),LOOKUP(Q309,[1]对照表!$U$27:$U$48,[1]对照表!$X$27:$X$48)))))</f>
        <v>78</v>
      </c>
      <c r="S309" s="33">
        <f>ROUND(IF(IF($B309="高三",MIN(IF($E309="男",$Q309-3.2,$Q309-3.2),0),IF($B309="高二",MIN(IF($E309="男",$Q309-3.25,$Q309-3.22),0),IF($B309="高一",MIN(IF($E309="男",$Q309-3.3,$Q309-3.24),0))))&lt;-0.6,IF($B309="高三",MIN(IF($E309="男",$Q309-3.2,$Q309-3.2),0),IF($B309="高二",MIN(IF($E309="男",$Q309-3.25,$Q309-3.22),0),IF($B309="高一",MIN(IF($E309="男",$Q309-3.3,$Q309-3.24),0))))+0.4,IF($B309="高三",MIN(IF($E309="男",$Q309-3.2,$Q309-3.2),0),IF($B309="高二",MIN(IF($E309="男",$Q309-3.25,$Q309-3.22),0),IF($B309="高一",MIN(IF($E309="男",$Q309-3.3,$Q309-3.24),0))))),2)</f>
        <v>0</v>
      </c>
      <c r="T309" s="23">
        <f>IF(E309="男",LOOKUP($S309,[1]对照表!$AB$3:$AB$13,[1]对照表!$AC$3:$AC$13),LOOKUP($S309,[1]对照表!$AB$15:$AB$25,[1]对照表!$AC$15:$AC$25))</f>
        <v>0</v>
      </c>
      <c r="U309" s="26">
        <f>R309+T309</f>
        <v>78</v>
      </c>
      <c r="V309" s="26">
        <f>SUM(I309,K309,M309)/3*0.3+SUM(G309,R309)/2*0.4</f>
        <v>56</v>
      </c>
      <c r="W309" s="27">
        <f>O309+T309</f>
        <v>0</v>
      </c>
      <c r="X309" s="28">
        <f>V309/0.7+W309</f>
        <v>80</v>
      </c>
      <c r="Y309" s="28">
        <v>80</v>
      </c>
      <c r="Z309" s="21"/>
    </row>
    <row r="310" spans="1:26" x14ac:dyDescent="0.25">
      <c r="A310" s="16">
        <v>21</v>
      </c>
      <c r="B310" s="17" t="s">
        <v>21</v>
      </c>
      <c r="C310" s="16">
        <v>108</v>
      </c>
      <c r="D310" s="18" t="s">
        <v>375</v>
      </c>
      <c r="E310" s="16" t="s">
        <v>23</v>
      </c>
      <c r="F310" s="19">
        <v>7.4</v>
      </c>
      <c r="G310" s="32">
        <f>IF(B310="高三",IF($E310="男",LOOKUP(F310,[1]对照表!$G$3:$G$24,[1]对照表!$H$3:$H$24),LOOKUP(F310,[1]对照表!$G$27:$G$48,[1]对照表!$H$27:$H$48)),IF(B310="高二",IF($E310="男",LOOKUP(F310,[1]对照表!$F$3:$F$24,[1]对照表!$H$3:$H$24),LOOKUP(F310,[1]对照表!$F$27:$F$48,[1]对照表!$H$27:$H$48)),IF(B310="高一",IF($E310="男",LOOKUP(F310,[1]对照表!$E$3:$E$24,[1]对照表!$H$3:$H$24),LOOKUP(F310,[1]对照表!$E$27:$E$48,[1]对照表!$H$27:$H$48)))))</f>
        <v>85</v>
      </c>
      <c r="H310" s="21">
        <v>17</v>
      </c>
      <c r="I310" s="32">
        <f>IF(B310="高三",IF($E310="男",LOOKUP(H310,[1]对照表!$K$3:$K$24,[1]对照表!$L$3:$L$24),LOOKUP(H310,[1]对照表!$K$27:$K$48,[1]对照表!$L$27:$L$48)),IF(B310="高二",IF($E310="男",LOOKUP(H310,[1]对照表!$J$3:$J$24,[1]对照表!$L$3:$L$24),LOOKUP(H310,[1]对照表!$J$27:$J$48,[1]对照表!$L$27:$L$48)),IF(B310="高一",IF($E310="男",LOOKUP(H310,[1]对照表!$I$3:$I$24,[1]对照表!$L$3:$L$24),LOOKUP(H310,[1]对照表!$I$27:$I$48,[1]对照表!$L$27:$L$48)))))</f>
        <v>80</v>
      </c>
      <c r="J310" s="21">
        <v>222</v>
      </c>
      <c r="K310" s="32">
        <f>IF(B310="高三",IF($E310="男",LOOKUP(J310,[1]对照表!$O$3:$O$24,[1]对照表!$P$3:$P$24),LOOKUP(J310,[1]对照表!$O$27:$O$48,[1]对照表!$P$27:$P$48)),IF(B310="高二",IF($E310="男",LOOKUP(J310,[1]对照表!$N$3:$N$24,[1]对照表!$P$3:$P$24),LOOKUP(J310,[1]对照表!$N$27:$N$48,[1]对照表!$P$27:$P$48)),IF(B310="高一",IF($E310="男",LOOKUP(J310,[1]对照表!$M$3:$M$24,[1]对照表!$P$3:$P$24),LOOKUP(J310,[1]对照表!$M$27:$M$48,[1]对照表!$P$27:$P$48)))))</f>
        <v>72</v>
      </c>
      <c r="L310" s="21">
        <v>10</v>
      </c>
      <c r="M310" s="32">
        <f>IF(B310="高三",IF($E310="男",LOOKUP(L310,[1]对照表!$S$3:$S$24,[1]对照表!$T$3:$T$24),LOOKUP(L310,[1]对照表!$S$27:$S$48,[1]对照表!$T$27:$T$48)),IF(B310="高二",IF($E310="男",LOOKUP(L310,[1]对照表!$R$3:$R$24,[1]对照表!$T$3:$T$24),LOOKUP(L310,[1]对照表!$R$27:$R$48,[1]对照表!$T$27:$T$48)),IF(B310="高一",IF($E310="男",LOOKUP(L310,[1]对照表!$Q$3:$Q$24,[1]对照表!$T$3:$T$24),LOOKUP(L310,[1]对照表!$Q$27:$Q$48,[1]对照表!$T$27:$T$48)))))</f>
        <v>72</v>
      </c>
      <c r="N310" s="33">
        <f>IF(B310="高三",MAX(IF(E310="男",L310-18,L310-55),0),IF(B310="高二",MAX(IF(E310="男",L310-17,L310-54),0),IF(B310="高一",MAX(IF(E310="男",L310-16,L310-53),0))))</f>
        <v>0</v>
      </c>
      <c r="O310" s="23">
        <f>IF(E310="男",LOOKUP($N310,[1]对照表!$Z$3:$Z$13,[1]对照表!$AA$3:$AA$13),LOOKUP($N310,[1]对照表!$Z$15:$Z$25,[1]对照表!$AA$15:$AA$25))</f>
        <v>0</v>
      </c>
      <c r="P310" s="24">
        <f>M310+O310</f>
        <v>72</v>
      </c>
      <c r="Q310" s="25">
        <v>3.53</v>
      </c>
      <c r="R310" s="32">
        <f>IF(B310="高三",IF($E310="男",LOOKUP(Q310,[1]对照表!$W$3:$W$24,[1]对照表!$X$3:$X$24),LOOKUP(Q310,[1]对照表!$W$27:$W$48,[1]对照表!$X$27:$X$48)),IF(B310="高二",IF($E310="男",LOOKUP(Q310,[1]对照表!$V$3:$V$24,[1]对照表!$X$3:$X$24),LOOKUP(Q310,[1]对照表!$V$27:$V$48,[1]对照表!$X$27:$X$48)),IF(B310="高一",IF($E310="男",LOOKUP(Q310,[1]对照表!$U$3:$U$24,[1]对照表!$X$3:$X$24),LOOKUP(Q310,[1]对照表!$U$27:$U$48,[1]对照表!$X$27:$X$48)))))</f>
        <v>80</v>
      </c>
      <c r="S310" s="33">
        <f>ROUND(IF(IF($B310="高三",MIN(IF($E310="男",$Q310-3.2,$Q310-3.2),0),IF($B310="高二",MIN(IF($E310="男",$Q310-3.25,$Q310-3.22),0),IF($B310="高一",MIN(IF($E310="男",$Q310-3.3,$Q310-3.24),0))))&lt;-0.6,IF($B310="高三",MIN(IF($E310="男",$Q310-3.2,$Q310-3.2),0),IF($B310="高二",MIN(IF($E310="男",$Q310-3.25,$Q310-3.22),0),IF($B310="高一",MIN(IF($E310="男",$Q310-3.3,$Q310-3.24),0))))+0.4,IF($B310="高三",MIN(IF($E310="男",$Q310-3.2,$Q310-3.2),0),IF($B310="高二",MIN(IF($E310="男",$Q310-3.25,$Q310-3.22),0),IF($B310="高一",MIN(IF($E310="男",$Q310-3.3,$Q310-3.24),0))))),2)</f>
        <v>0</v>
      </c>
      <c r="T310" s="23">
        <f>IF(E310="男",LOOKUP($S310,[1]对照表!$AB$3:$AB$13,[1]对照表!$AC$3:$AC$13),LOOKUP($S310,[1]对照表!$AB$15:$AB$25,[1]对照表!$AC$15:$AC$25))</f>
        <v>0</v>
      </c>
      <c r="U310" s="26">
        <f>R310+T310</f>
        <v>80</v>
      </c>
      <c r="V310" s="26">
        <f>SUM(I310,K310,M310)/3*0.3+SUM(G310,R310)/2*0.4</f>
        <v>55.400000000000006</v>
      </c>
      <c r="W310" s="27">
        <f>O310+T310</f>
        <v>0</v>
      </c>
      <c r="X310" s="28">
        <f>V310/0.7+W310</f>
        <v>79.142857142857153</v>
      </c>
      <c r="Y310" s="28">
        <v>79.142857142857153</v>
      </c>
      <c r="Z310" s="21"/>
    </row>
    <row r="311" spans="1:26" x14ac:dyDescent="0.25">
      <c r="A311" s="16">
        <v>19</v>
      </c>
      <c r="B311" s="17" t="s">
        <v>21</v>
      </c>
      <c r="C311" s="16">
        <v>108</v>
      </c>
      <c r="D311" s="18" t="s">
        <v>387</v>
      </c>
      <c r="E311" s="16" t="s">
        <v>23</v>
      </c>
      <c r="F311" s="19">
        <v>7.7</v>
      </c>
      <c r="G311" s="32">
        <f>IF(B311="高三",IF($E311="男",LOOKUP(F311,[1]对照表!$G$3:$G$24,[1]对照表!$H$3:$H$24),LOOKUP(F311,[1]对照表!$G$27:$G$48,[1]对照表!$H$27:$H$48)),IF(B311="高二",IF($E311="男",LOOKUP(F311,[1]对照表!$F$3:$F$24,[1]对照表!$H$3:$H$24),LOOKUP(F311,[1]对照表!$F$27:$F$48,[1]对照表!$H$27:$H$48)),IF(B311="高一",IF($E311="男",LOOKUP(F311,[1]对照表!$E$3:$E$24,[1]对照表!$H$3:$H$24),LOOKUP(F311,[1]对照表!$E$27:$E$48,[1]对照表!$H$27:$H$48)))))</f>
        <v>78</v>
      </c>
      <c r="H311" s="21">
        <v>6.2</v>
      </c>
      <c r="I311" s="32">
        <f>IF(B311="高三",IF($E311="男",LOOKUP(H311,[1]对照表!$K$3:$K$24,[1]对照表!$L$3:$L$24),LOOKUP(H311,[1]对照表!$K$27:$K$48,[1]对照表!$L$27:$L$48)),IF(B311="高二",IF($E311="男",LOOKUP(H311,[1]对照表!$J$3:$J$24,[1]对照表!$L$3:$L$24),LOOKUP(H311,[1]对照表!$J$27:$J$48,[1]对照表!$L$27:$L$48)),IF(B311="高一",IF($E311="男",LOOKUP(H311,[1]对照表!$I$3:$I$24,[1]对照表!$L$3:$L$24),LOOKUP(H311,[1]对照表!$I$27:$I$48,[1]对照表!$L$27:$L$48)))))</f>
        <v>66</v>
      </c>
      <c r="J311" s="21">
        <v>212</v>
      </c>
      <c r="K311" s="32">
        <f>IF(B311="高三",IF($E311="男",LOOKUP(J311,[1]对照表!$O$3:$O$24,[1]对照表!$P$3:$P$24),LOOKUP(J311,[1]对照表!$O$27:$O$48,[1]对照表!$P$27:$P$48)),IF(B311="高二",IF($E311="男",LOOKUP(J311,[1]对照表!$N$3:$N$24,[1]对照表!$P$3:$P$24),LOOKUP(J311,[1]对照表!$N$27:$N$48,[1]对照表!$P$27:$P$48)),IF(B311="高一",IF($E311="男",LOOKUP(J311,[1]对照表!$M$3:$M$24,[1]对照表!$P$3:$P$24),LOOKUP(J311,[1]对照表!$M$27:$M$48,[1]对照表!$P$27:$P$48)))))</f>
        <v>68</v>
      </c>
      <c r="L311" s="21">
        <v>16</v>
      </c>
      <c r="M311" s="32">
        <f>IF(B311="高三",IF($E311="男",LOOKUP(L311,[1]对照表!$S$3:$S$24,[1]对照表!$T$3:$T$24),LOOKUP(L311,[1]对照表!$S$27:$S$48,[1]对照表!$T$27:$T$48)),IF(B311="高二",IF($E311="男",LOOKUP(L311,[1]对照表!$R$3:$R$24,[1]对照表!$T$3:$T$24),LOOKUP(L311,[1]对照表!$R$27:$R$48,[1]对照表!$T$27:$T$48)),IF(B311="高一",IF($E311="男",LOOKUP(L311,[1]对照表!$Q$3:$Q$24,[1]对照表!$T$3:$T$24),LOOKUP(L311,[1]对照表!$Q$27:$Q$48,[1]对照表!$T$27:$T$48)))))</f>
        <v>100</v>
      </c>
      <c r="N311" s="33">
        <f>IF(B311="高三",MAX(IF(E311="男",L311-18,L311-55),0),IF(B311="高二",MAX(IF(E311="男",L311-17,L311-54),0),IF(B311="高一",MAX(IF(E311="男",L311-16,L311-53),0))))</f>
        <v>0</v>
      </c>
      <c r="O311" s="23">
        <f>IF(E311="男",LOOKUP($N311,[1]对照表!$Z$3:$Z$13,[1]对照表!$AA$3:$AA$13),LOOKUP($N311,[1]对照表!$Z$15:$Z$25,[1]对照表!$AA$15:$AA$25))</f>
        <v>0</v>
      </c>
      <c r="P311" s="24">
        <f>M311+O311</f>
        <v>100</v>
      </c>
      <c r="Q311" s="25">
        <v>4</v>
      </c>
      <c r="R311" s="32">
        <f>IF(B311="高三",IF($E311="男",LOOKUP(Q311,[1]对照表!$W$3:$W$24,[1]对照表!$X$3:$X$24),LOOKUP(Q311,[1]对照表!$W$27:$W$48,[1]对照表!$X$27:$X$48)),IF(B311="高二",IF($E311="男",LOOKUP(Q311,[1]对照表!$V$3:$V$24,[1]对照表!$X$3:$X$24),LOOKUP(Q311,[1]对照表!$V$27:$V$48,[1]对照表!$X$27:$X$48)),IF(B311="高一",IF($E311="男",LOOKUP(Q311,[1]对照表!$U$3:$U$24,[1]对照表!$X$3:$X$24),LOOKUP(Q311,[1]对照表!$U$27:$U$48,[1]对照表!$X$27:$X$48)))))</f>
        <v>78</v>
      </c>
      <c r="S311" s="33">
        <f>ROUND(IF(IF($B311="高三",MIN(IF($E311="男",$Q311-3.2,$Q311-3.2),0),IF($B311="高二",MIN(IF($E311="男",$Q311-3.25,$Q311-3.22),0),IF($B311="高一",MIN(IF($E311="男",$Q311-3.3,$Q311-3.24),0))))&lt;-0.6,IF($B311="高三",MIN(IF($E311="男",$Q311-3.2,$Q311-3.2),0),IF($B311="高二",MIN(IF($E311="男",$Q311-3.25,$Q311-3.22),0),IF($B311="高一",MIN(IF($E311="男",$Q311-3.3,$Q311-3.24),0))))+0.4,IF($B311="高三",MIN(IF($E311="男",$Q311-3.2,$Q311-3.2),0),IF($B311="高二",MIN(IF($E311="男",$Q311-3.25,$Q311-3.22),0),IF($B311="高一",MIN(IF($E311="男",$Q311-3.3,$Q311-3.24),0))))),2)</f>
        <v>0</v>
      </c>
      <c r="T311" s="23">
        <f>IF(E311="男",LOOKUP($S311,[1]对照表!$AB$3:$AB$13,[1]对照表!$AC$3:$AC$13),LOOKUP($S311,[1]对照表!$AB$15:$AB$25,[1]对照表!$AC$15:$AC$25))</f>
        <v>0</v>
      </c>
      <c r="U311" s="26">
        <f>R311+T311</f>
        <v>78</v>
      </c>
      <c r="V311" s="26">
        <f>SUM(I311,K311,M311)/3*0.3+SUM(G311,R311)/2*0.4</f>
        <v>54.6</v>
      </c>
      <c r="W311" s="27">
        <f>O311+T311</f>
        <v>0</v>
      </c>
      <c r="X311" s="28">
        <f>V311/0.7+W311</f>
        <v>78</v>
      </c>
      <c r="Y311" s="28">
        <v>78</v>
      </c>
      <c r="Z311" s="21"/>
    </row>
    <row r="312" spans="1:26" x14ac:dyDescent="0.25">
      <c r="A312" s="16">
        <v>20</v>
      </c>
      <c r="B312" s="17" t="s">
        <v>21</v>
      </c>
      <c r="C312" s="16">
        <v>108</v>
      </c>
      <c r="D312" s="18" t="s">
        <v>410</v>
      </c>
      <c r="E312" s="16" t="s">
        <v>23</v>
      </c>
      <c r="F312" s="19">
        <v>7.9</v>
      </c>
      <c r="G312" s="32">
        <f>IF(B312="高三",IF($E312="男",LOOKUP(F312,[1]对照表!$G$3:$G$24,[1]对照表!$H$3:$H$24),LOOKUP(F312,[1]对照表!$G$27:$G$48,[1]对照表!$H$27:$H$48)),IF(B312="高二",IF($E312="男",LOOKUP(F312,[1]对照表!$F$3:$F$24,[1]对照表!$H$3:$H$24),LOOKUP(F312,[1]对照表!$F$27:$F$48,[1]对照表!$H$27:$H$48)),IF(B312="高一",IF($E312="男",LOOKUP(F312,[1]对照表!$E$3:$E$24,[1]对照表!$H$3:$H$24),LOOKUP(F312,[1]对照表!$E$27:$E$48,[1]对照表!$H$27:$H$48)))))</f>
        <v>76</v>
      </c>
      <c r="H312" s="21">
        <v>25.5</v>
      </c>
      <c r="I312" s="32">
        <f>IF(B312="高三",IF($E312="男",LOOKUP(H312,[1]对照表!$K$3:$K$24,[1]对照表!$L$3:$L$24),LOOKUP(H312,[1]对照表!$K$27:$K$48,[1]对照表!$L$27:$L$48)),IF(B312="高二",IF($E312="男",LOOKUP(H312,[1]对照表!$J$3:$J$24,[1]对照表!$L$3:$L$24),LOOKUP(H312,[1]对照表!$J$27:$J$48,[1]对照表!$L$27:$L$48)),IF(B312="高一",IF($E312="男",LOOKUP(H312,[1]对照表!$I$3:$I$24,[1]对照表!$L$3:$L$24),LOOKUP(H312,[1]对照表!$I$27:$I$48,[1]对照表!$L$27:$L$48)))))</f>
        <v>100</v>
      </c>
      <c r="J312" s="21">
        <v>218</v>
      </c>
      <c r="K312" s="32">
        <f>IF(B312="高三",IF($E312="男",LOOKUP(J312,[1]对照表!$O$3:$O$24,[1]对照表!$P$3:$P$24),LOOKUP(J312,[1]对照表!$O$27:$O$48,[1]对照表!$P$27:$P$48)),IF(B312="高二",IF($E312="男",LOOKUP(J312,[1]对照表!$N$3:$N$24,[1]对照表!$P$3:$P$24),LOOKUP(J312,[1]对照表!$N$27:$N$48,[1]对照表!$P$27:$P$48)),IF(B312="高一",IF($E312="男",LOOKUP(J312,[1]对照表!$M$3:$M$24,[1]对照表!$P$3:$P$24),LOOKUP(J312,[1]对照表!$M$27:$M$48,[1]对照表!$P$27:$P$48)))))</f>
        <v>70</v>
      </c>
      <c r="L312" s="21">
        <v>9</v>
      </c>
      <c r="M312" s="32">
        <f>IF(B312="高三",IF($E312="男",LOOKUP(L312,[1]对照表!$S$3:$S$24,[1]对照表!$T$3:$T$24),LOOKUP(L312,[1]对照表!$S$27:$S$48,[1]对照表!$T$27:$T$48)),IF(B312="高二",IF($E312="男",LOOKUP(L312,[1]对照表!$R$3:$R$24,[1]对照表!$T$3:$T$24),LOOKUP(L312,[1]对照表!$R$27:$R$48,[1]对照表!$T$27:$T$48)),IF(B312="高一",IF($E312="男",LOOKUP(L312,[1]对照表!$Q$3:$Q$24,[1]对照表!$T$3:$T$24),LOOKUP(L312,[1]对照表!$Q$27:$Q$48,[1]对照表!$T$27:$T$48)))))</f>
        <v>68</v>
      </c>
      <c r="N312" s="33">
        <f>IF(B312="高三",MAX(IF(E312="男",L312-18,L312-55),0),IF(B312="高二",MAX(IF(E312="男",L312-17,L312-54),0),IF(B312="高一",MAX(IF(E312="男",L312-16,L312-53),0))))</f>
        <v>0</v>
      </c>
      <c r="O312" s="23">
        <f>IF(E312="男",LOOKUP($N312,[1]对照表!$Z$3:$Z$13,[1]对照表!$AA$3:$AA$13),LOOKUP($N312,[1]对照表!$Z$15:$Z$25,[1]对照表!$AA$15:$AA$25))</f>
        <v>0</v>
      </c>
      <c r="P312" s="24">
        <f>M312+O312</f>
        <v>68</v>
      </c>
      <c r="Q312" s="25">
        <v>4.0199999999999996</v>
      </c>
      <c r="R312" s="32">
        <f>IF(B312="高三",IF($E312="男",LOOKUP(Q312,[1]对照表!$W$3:$W$24,[1]对照表!$X$3:$X$24),LOOKUP(Q312,[1]对照表!$W$27:$W$48,[1]对照表!$X$27:$X$48)),IF(B312="高二",IF($E312="男",LOOKUP(Q312,[1]对照表!$V$3:$V$24,[1]对照表!$X$3:$X$24),LOOKUP(Q312,[1]对照表!$V$27:$V$48,[1]对照表!$X$27:$X$48)),IF(B312="高一",IF($E312="男",LOOKUP(Q312,[1]对照表!$U$3:$U$24,[1]对照表!$X$3:$X$24),LOOKUP(Q312,[1]对照表!$U$27:$U$48,[1]对照表!$X$27:$X$48)))))</f>
        <v>76</v>
      </c>
      <c r="S312" s="33">
        <f>ROUND(IF(IF($B312="高三",MIN(IF($E312="男",$Q312-3.2,$Q312-3.2),0),IF($B312="高二",MIN(IF($E312="男",$Q312-3.25,$Q312-3.22),0),IF($B312="高一",MIN(IF($E312="男",$Q312-3.3,$Q312-3.24),0))))&lt;-0.6,IF($B312="高三",MIN(IF($E312="男",$Q312-3.2,$Q312-3.2),0),IF($B312="高二",MIN(IF($E312="男",$Q312-3.25,$Q312-3.22),0),IF($B312="高一",MIN(IF($E312="男",$Q312-3.3,$Q312-3.24),0))))+0.4,IF($B312="高三",MIN(IF($E312="男",$Q312-3.2,$Q312-3.2),0),IF($B312="高二",MIN(IF($E312="男",$Q312-3.25,$Q312-3.22),0),IF($B312="高一",MIN(IF($E312="男",$Q312-3.3,$Q312-3.24),0))))),2)</f>
        <v>0</v>
      </c>
      <c r="T312" s="23">
        <f>IF(E312="男",LOOKUP($S312,[1]对照表!$AB$3:$AB$13,[1]对照表!$AC$3:$AC$13),LOOKUP($S312,[1]对照表!$AB$15:$AB$25,[1]对照表!$AC$15:$AC$25))</f>
        <v>0</v>
      </c>
      <c r="U312" s="26">
        <f>R312+T312</f>
        <v>76</v>
      </c>
      <c r="V312" s="26">
        <f>SUM(I312,K312,M312)/3*0.3+SUM(G312,R312)/2*0.4</f>
        <v>54.2</v>
      </c>
      <c r="W312" s="27">
        <f>O312+T312</f>
        <v>0</v>
      </c>
      <c r="X312" s="28">
        <f>V312/0.7+W312</f>
        <v>77.428571428571431</v>
      </c>
      <c r="Y312" s="28">
        <v>77.428571428571431</v>
      </c>
      <c r="Z312" s="21"/>
    </row>
    <row r="313" spans="1:26" x14ac:dyDescent="0.25">
      <c r="A313" s="16">
        <v>12</v>
      </c>
      <c r="B313" s="17" t="s">
        <v>21</v>
      </c>
      <c r="C313" s="16">
        <v>108</v>
      </c>
      <c r="D313" s="18" t="s">
        <v>441</v>
      </c>
      <c r="E313" s="16" t="s">
        <v>23</v>
      </c>
      <c r="F313" s="19">
        <v>8.6999999999999993</v>
      </c>
      <c r="G313" s="32">
        <f>IF(B313="高三",IF($E313="男",LOOKUP(F313,[1]对照表!$G$3:$G$24,[1]对照表!$H$3:$H$24),LOOKUP(F313,[1]对照表!$G$27:$G$48,[1]对照表!$H$27:$H$48)),IF(B313="高二",IF($E313="男",LOOKUP(F313,[1]对照表!$F$3:$F$24,[1]对照表!$H$3:$H$24),LOOKUP(F313,[1]对照表!$F$27:$F$48,[1]对照表!$H$27:$H$48)),IF(B313="高一",IF($E313="男",LOOKUP(F313,[1]对照表!$E$3:$E$24,[1]对照表!$H$3:$H$24),LOOKUP(F313,[1]对照表!$E$27:$E$48,[1]对照表!$H$27:$H$48)))))</f>
        <v>68</v>
      </c>
      <c r="H313" s="21">
        <v>12.8</v>
      </c>
      <c r="I313" s="32">
        <f>IF(B313="高三",IF($E313="男",LOOKUP(H313,[1]对照表!$K$3:$K$24,[1]对照表!$L$3:$L$24),LOOKUP(H313,[1]对照表!$K$27:$K$48,[1]对照表!$L$27:$L$48)),IF(B313="高二",IF($E313="男",LOOKUP(H313,[1]对照表!$J$3:$J$24,[1]对照表!$L$3:$L$24),LOOKUP(H313,[1]对照表!$J$27:$J$48,[1]对照表!$L$27:$L$48)),IF(B313="高一",IF($E313="男",LOOKUP(H313,[1]对照表!$I$3:$I$24,[1]对照表!$L$3:$L$24),LOOKUP(H313,[1]对照表!$I$27:$I$48,[1]对照表!$L$27:$L$48)))))</f>
        <v>76</v>
      </c>
      <c r="J313" s="21">
        <v>208</v>
      </c>
      <c r="K313" s="32">
        <f>IF(B313="高三",IF($E313="男",LOOKUP(J313,[1]对照表!$O$3:$O$24,[1]对照表!$P$3:$P$24),LOOKUP(J313,[1]对照表!$O$27:$O$48,[1]对照表!$P$27:$P$48)),IF(B313="高二",IF($E313="男",LOOKUP(J313,[1]对照表!$N$3:$N$24,[1]对照表!$P$3:$P$24),LOOKUP(J313,[1]对照表!$N$27:$N$48,[1]对照表!$P$27:$P$48)),IF(B313="高一",IF($E313="男",LOOKUP(J313,[1]对照表!$M$3:$M$24,[1]对照表!$P$3:$P$24),LOOKUP(J313,[1]对照表!$M$27:$M$48,[1]对照表!$P$27:$P$48)))))</f>
        <v>66</v>
      </c>
      <c r="L313" s="21">
        <v>16</v>
      </c>
      <c r="M313" s="32">
        <f>IF(B313="高三",IF($E313="男",LOOKUP(L313,[1]对照表!$S$3:$S$24,[1]对照表!$T$3:$T$24),LOOKUP(L313,[1]对照表!$S$27:$S$48,[1]对照表!$T$27:$T$48)),IF(B313="高二",IF($E313="男",LOOKUP(L313,[1]对照表!$R$3:$R$24,[1]对照表!$T$3:$T$24),LOOKUP(L313,[1]对照表!$R$27:$R$48,[1]对照表!$T$27:$T$48)),IF(B313="高一",IF($E313="男",LOOKUP(L313,[1]对照表!$Q$3:$Q$24,[1]对照表!$T$3:$T$24),LOOKUP(L313,[1]对照表!$Q$27:$Q$48,[1]对照表!$T$27:$T$48)))))</f>
        <v>100</v>
      </c>
      <c r="N313" s="33">
        <f>IF(B313="高三",MAX(IF(E313="男",L313-18,L313-55),0),IF(B313="高二",MAX(IF(E313="男",L313-17,L313-54),0),IF(B313="高一",MAX(IF(E313="男",L313-16,L313-53),0))))</f>
        <v>0</v>
      </c>
      <c r="O313" s="23">
        <f>IF(E313="男",LOOKUP($N313,[1]对照表!$Z$3:$Z$13,[1]对照表!$AA$3:$AA$13),LOOKUP($N313,[1]对照表!$Z$15:$Z$25,[1]对照表!$AA$15:$AA$25))</f>
        <v>0</v>
      </c>
      <c r="P313" s="24">
        <f>M313+O313</f>
        <v>100</v>
      </c>
      <c r="Q313" s="25">
        <v>4.25</v>
      </c>
      <c r="R313" s="32">
        <f>IF(B313="高三",IF($E313="男",LOOKUP(Q313,[1]对照表!$W$3:$W$24,[1]对照表!$X$3:$X$24),LOOKUP(Q313,[1]对照表!$W$27:$W$48,[1]对照表!$X$27:$X$48)),IF(B313="高二",IF($E313="男",LOOKUP(Q313,[1]对照表!$V$3:$V$24,[1]对照表!$X$3:$X$24),LOOKUP(Q313,[1]对照表!$V$27:$V$48,[1]对照表!$X$27:$X$48)),IF(B313="高一",IF($E313="男",LOOKUP(Q313,[1]对照表!$U$3:$U$24,[1]对照表!$X$3:$X$24),LOOKUP(Q313,[1]对照表!$U$27:$U$48,[1]对照表!$X$27:$X$48)))))</f>
        <v>68</v>
      </c>
      <c r="S313" s="33">
        <f>ROUND(IF(IF($B313="高三",MIN(IF($E313="男",$Q313-3.2,$Q313-3.2),0),IF($B313="高二",MIN(IF($E313="男",$Q313-3.25,$Q313-3.22),0),IF($B313="高一",MIN(IF($E313="男",$Q313-3.3,$Q313-3.24),0))))&lt;-0.6,IF($B313="高三",MIN(IF($E313="男",$Q313-3.2,$Q313-3.2),0),IF($B313="高二",MIN(IF($E313="男",$Q313-3.25,$Q313-3.22),0),IF($B313="高一",MIN(IF($E313="男",$Q313-3.3,$Q313-3.24),0))))+0.4,IF($B313="高三",MIN(IF($E313="男",$Q313-3.2,$Q313-3.2),0),IF($B313="高二",MIN(IF($E313="男",$Q313-3.25,$Q313-3.22),0),IF($B313="高一",MIN(IF($E313="男",$Q313-3.3,$Q313-3.24),0))))),2)</f>
        <v>0</v>
      </c>
      <c r="T313" s="23">
        <f>IF(E313="男",LOOKUP($S313,[1]对照表!$AB$3:$AB$13,[1]对照表!$AC$3:$AC$13),LOOKUP($S313,[1]对照表!$AB$15:$AB$25,[1]对照表!$AC$15:$AC$25))</f>
        <v>0</v>
      </c>
      <c r="U313" s="26">
        <f>R313+T313</f>
        <v>68</v>
      </c>
      <c r="V313" s="26">
        <f>SUM(I313,K313,M313)/3*0.3+SUM(G313,R313)/2*0.4</f>
        <v>51.400000000000006</v>
      </c>
      <c r="W313" s="27">
        <f>O313+T313</f>
        <v>0</v>
      </c>
      <c r="X313" s="28">
        <f>V313/0.7+W313</f>
        <v>73.428571428571445</v>
      </c>
      <c r="Y313" s="28">
        <v>73.428571428571445</v>
      </c>
      <c r="Z313" s="21"/>
    </row>
    <row r="314" spans="1:26" x14ac:dyDescent="0.25">
      <c r="A314" s="16">
        <v>39</v>
      </c>
      <c r="B314" s="17" t="s">
        <v>21</v>
      </c>
      <c r="C314" s="16">
        <v>108</v>
      </c>
      <c r="D314" s="18" t="s">
        <v>503</v>
      </c>
      <c r="E314" s="17" t="s">
        <v>65</v>
      </c>
      <c r="F314" s="19">
        <v>9.23</v>
      </c>
      <c r="G314" s="32">
        <f>IF(B314="高三",IF($E314="男",LOOKUP(F314,[1]对照表!$G$3:$G$24,[1]对照表!$H$3:$H$24),LOOKUP(F314,[1]对照表!$G$27:$G$48,[1]对照表!$H$27:$H$48)),IF(B314="高二",IF($E314="男",LOOKUP(F314,[1]对照表!$F$3:$F$24,[1]对照表!$H$3:$H$24),LOOKUP(F314,[1]对照表!$F$27:$F$48,[1]对照表!$H$27:$H$48)),IF(B314="高一",IF($E314="男",LOOKUP(F314,[1]对照表!$E$3:$E$24,[1]对照表!$H$3:$H$24),LOOKUP(F314,[1]对照表!$E$27:$E$48,[1]对照表!$H$27:$H$48)))))</f>
        <v>72</v>
      </c>
      <c r="H314" s="21">
        <v>7.5</v>
      </c>
      <c r="I314" s="32">
        <f>IF(B314="高三",IF($E314="男",LOOKUP(H314,[1]对照表!$K$3:$K$24,[1]对照表!$L$3:$L$24),LOOKUP(H314,[1]对照表!$K$27:$K$48,[1]对照表!$L$27:$L$48)),IF(B314="高二",IF($E314="男",LOOKUP(H314,[1]对照表!$J$3:$J$24,[1]对照表!$L$3:$L$24),LOOKUP(H314,[1]对照表!$J$27:$J$48,[1]对照表!$L$27:$L$48)),IF(B314="高一",IF($E314="男",LOOKUP(H314,[1]对照表!$I$3:$I$24,[1]对照表!$L$3:$L$24),LOOKUP(H314,[1]对照表!$I$27:$I$48,[1]对照表!$L$27:$L$48)))))</f>
        <v>64</v>
      </c>
      <c r="J314" s="21">
        <v>160</v>
      </c>
      <c r="K314" s="32">
        <f>IF(B314="高三",IF($E314="男",LOOKUP(J314,[1]对照表!$O$3:$O$24,[1]对照表!$P$3:$P$24),LOOKUP(J314,[1]对照表!$O$27:$O$48,[1]对照表!$P$27:$P$48)),IF(B314="高二",IF($E314="男",LOOKUP(J314,[1]对照表!$N$3:$N$24,[1]对照表!$P$3:$P$24),LOOKUP(J314,[1]对照表!$N$27:$N$48,[1]对照表!$P$27:$P$48)),IF(B314="高一",IF($E314="男",LOOKUP(J314,[1]对照表!$M$3:$M$24,[1]对照表!$P$3:$P$24),LOOKUP(J314,[1]对照表!$M$27:$M$48,[1]对照表!$P$27:$P$48)))))</f>
        <v>68</v>
      </c>
      <c r="L314" s="21">
        <v>50</v>
      </c>
      <c r="M314" s="32">
        <f>IF(B314="高三",IF($E314="男",LOOKUP(L314,[1]对照表!$S$3:$S$24,[1]对照表!$T$3:$T$24),LOOKUP(L314,[1]对照表!$S$27:$S$48,[1]对照表!$T$27:$T$48)),IF(B314="高二",IF($E314="男",LOOKUP(L314,[1]对照表!$R$3:$R$24,[1]对照表!$T$3:$T$24),LOOKUP(L314,[1]对照表!$R$27:$R$48,[1]对照表!$T$27:$T$48)),IF(B314="高一",IF($E314="男",LOOKUP(L314,[1]对照表!$Q$3:$Q$24,[1]对照表!$T$3:$T$24),LOOKUP(L314,[1]对照表!$Q$27:$Q$48,[1]对照表!$T$27:$T$48)))))</f>
        <v>90</v>
      </c>
      <c r="N314" s="33">
        <f>IF(B314="高三",MAX(IF(E314="男",L314-18,L314-55),0),IF(B314="高二",MAX(IF(E314="男",L314-17,L314-54),0),IF(B314="高一",MAX(IF(E314="男",L314-16,L314-53),0))))</f>
        <v>0</v>
      </c>
      <c r="O314" s="23">
        <f>IF(E314="男",LOOKUP($N314,[1]对照表!$Z$3:$Z$13,[1]对照表!$AA$3:$AA$13),LOOKUP($N314,[1]对照表!$Z$15:$Z$25,[1]对照表!$AA$15:$AA$25))</f>
        <v>0</v>
      </c>
      <c r="P314" s="24">
        <f>M314+O314</f>
        <v>90</v>
      </c>
      <c r="Q314" s="25">
        <v>3.45</v>
      </c>
      <c r="R314" s="32">
        <f>IF(B314="高三",IF($E314="男",LOOKUP(Q314,[1]对照表!$W$3:$W$24,[1]对照表!$X$3:$X$24),LOOKUP(Q314,[1]对照表!$W$27:$W$48,[1]对照表!$X$27:$X$48)),IF(B314="高二",IF($E314="男",LOOKUP(Q314,[1]对照表!$V$3:$V$24,[1]对照表!$X$3:$X$24),LOOKUP(Q314,[1]对照表!$V$27:$V$48,[1]对照表!$X$27:$X$48)),IF(B314="高一",IF($E314="男",LOOKUP(Q314,[1]对照表!$U$3:$U$24,[1]对照表!$X$3:$X$24),LOOKUP(Q314,[1]对照表!$U$27:$U$48,[1]对照表!$X$27:$X$48)))))</f>
        <v>80</v>
      </c>
      <c r="S314" s="33">
        <f>ROUND(IF(IF($B314="高三",MIN(IF($E314="男",$Q314-3.2,$Q314-3.2),0),IF($B314="高二",MIN(IF($E314="男",$Q314-3.25,$Q314-3.22),0),IF($B314="高一",MIN(IF($E314="男",$Q314-3.3,$Q314-3.24),0))))&lt;-0.6,IF($B314="高三",MIN(IF($E314="男",$Q314-3.2,$Q314-3.2),0),IF($B314="高二",MIN(IF($E314="男",$Q314-3.25,$Q314-3.22),0),IF($B314="高一",MIN(IF($E314="男",$Q314-3.3,$Q314-3.24),0))))+0.4,IF($B314="高三",MIN(IF($E314="男",$Q314-3.2,$Q314-3.2),0),IF($B314="高二",MIN(IF($E314="男",$Q314-3.25,$Q314-3.22),0),IF($B314="高一",MIN(IF($E314="男",$Q314-3.3,$Q314-3.24),0))))),2)</f>
        <v>0</v>
      </c>
      <c r="T314" s="23">
        <f>IF(E314="男",LOOKUP($S314,[1]对照表!$AB$3:$AB$13,[1]对照表!$AC$3:$AC$13),LOOKUP($S314,[1]对照表!$AB$15:$AB$25,[1]对照表!$AC$15:$AC$25))</f>
        <v>0</v>
      </c>
      <c r="U314" s="26">
        <f>R314+T314</f>
        <v>80</v>
      </c>
      <c r="V314" s="26">
        <f>SUM(I314,K314,M314)/3*0.3+SUM(G314,R314)/2*0.4</f>
        <v>52.6</v>
      </c>
      <c r="W314" s="27">
        <f>O314+T314</f>
        <v>0</v>
      </c>
      <c r="X314" s="28">
        <f>V314/0.7+W314</f>
        <v>75.142857142857153</v>
      </c>
      <c r="Y314" s="28">
        <v>75.142857142857153</v>
      </c>
      <c r="Z314" s="21"/>
    </row>
    <row r="315" spans="1:26" x14ac:dyDescent="0.25">
      <c r="A315" s="16">
        <v>13</v>
      </c>
      <c r="B315" s="17" t="s">
        <v>21</v>
      </c>
      <c r="C315" s="16">
        <v>108</v>
      </c>
      <c r="D315" s="18" t="s">
        <v>515</v>
      </c>
      <c r="E315" s="16" t="s">
        <v>23</v>
      </c>
      <c r="F315" s="19">
        <v>7.7</v>
      </c>
      <c r="G315" s="32">
        <f>IF(B315="高三",IF($E315="男",LOOKUP(F315,[1]对照表!$G$3:$G$24,[1]对照表!$H$3:$H$24),LOOKUP(F315,[1]对照表!$G$27:$G$48,[1]对照表!$H$27:$H$48)),IF(B315="高二",IF($E315="男",LOOKUP(F315,[1]对照表!$F$3:$F$24,[1]对照表!$H$3:$H$24),LOOKUP(F315,[1]对照表!$F$27:$F$48,[1]对照表!$H$27:$H$48)),IF(B315="高一",IF($E315="男",LOOKUP(F315,[1]对照表!$E$3:$E$24,[1]对照表!$H$3:$H$24),LOOKUP(F315,[1]对照表!$E$27:$E$48,[1]对照表!$H$27:$H$48)))))</f>
        <v>78</v>
      </c>
      <c r="H315" s="21">
        <v>9.1</v>
      </c>
      <c r="I315" s="32">
        <f>IF(B315="高三",IF($E315="男",LOOKUP(H315,[1]对照表!$K$3:$K$24,[1]对照表!$L$3:$L$24),LOOKUP(H315,[1]对照表!$K$27:$K$48,[1]对照表!$L$27:$L$48)),IF(B315="高二",IF($E315="男",LOOKUP(H315,[1]对照表!$J$3:$J$24,[1]对照表!$L$3:$L$24),LOOKUP(H315,[1]对照表!$J$27:$J$48,[1]对照表!$L$27:$L$48)),IF(B315="高一",IF($E315="男",LOOKUP(H315,[1]对照表!$I$3:$I$24,[1]对照表!$L$3:$L$24),LOOKUP(H315,[1]对照表!$I$27:$I$48,[1]对照表!$L$27:$L$48)))))</f>
        <v>70</v>
      </c>
      <c r="J315" s="21">
        <v>221</v>
      </c>
      <c r="K315" s="32">
        <f>IF(B315="高三",IF($E315="男",LOOKUP(J315,[1]对照表!$O$3:$O$24,[1]对照表!$P$3:$P$24),LOOKUP(J315,[1]对照表!$O$27:$O$48,[1]对照表!$P$27:$P$48)),IF(B315="高二",IF($E315="男",LOOKUP(J315,[1]对照表!$N$3:$N$24,[1]对照表!$P$3:$P$24),LOOKUP(J315,[1]对照表!$N$27:$N$48,[1]对照表!$P$27:$P$48)),IF(B315="高一",IF($E315="男",LOOKUP(J315,[1]对照表!$M$3:$M$24,[1]对照表!$P$3:$P$24),LOOKUP(J315,[1]对照表!$M$27:$M$48,[1]对照表!$P$27:$P$48)))))</f>
        <v>72</v>
      </c>
      <c r="L315" s="21">
        <v>2</v>
      </c>
      <c r="M315" s="32">
        <f>IF(B315="高三",IF($E315="男",LOOKUP(L315,[1]对照表!$S$3:$S$24,[1]对照表!$T$3:$T$24),LOOKUP(L315,[1]对照表!$S$27:$S$48,[1]对照表!$T$27:$T$48)),IF(B315="高二",IF($E315="男",LOOKUP(L315,[1]对照表!$R$3:$R$24,[1]对照表!$T$3:$T$24),LOOKUP(L315,[1]对照表!$R$27:$R$48,[1]对照表!$T$27:$T$48)),IF(B315="高一",IF($E315="男",LOOKUP(L315,[1]对照表!$Q$3:$Q$24,[1]对照表!$T$3:$T$24),LOOKUP(L315,[1]对照表!$Q$27:$Q$48,[1]对照表!$T$27:$T$48)))))</f>
        <v>10</v>
      </c>
      <c r="N315" s="33">
        <f>IF(B315="高三",MAX(IF(E315="男",L315-18,L315-55),0),IF(B315="高二",MAX(IF(E315="男",L315-17,L315-54),0),IF(B315="高一",MAX(IF(E315="男",L315-16,L315-53),0))))</f>
        <v>0</v>
      </c>
      <c r="O315" s="23">
        <f>IF(E315="男",LOOKUP($N315,[1]对照表!$Z$3:$Z$13,[1]对照表!$AA$3:$AA$13),LOOKUP($N315,[1]对照表!$Z$15:$Z$25,[1]对照表!$AA$15:$AA$25))</f>
        <v>0</v>
      </c>
      <c r="P315" s="24">
        <f>M315+O315</f>
        <v>10</v>
      </c>
      <c r="Q315" s="25">
        <v>3.36</v>
      </c>
      <c r="R315" s="32">
        <f>IF(B315="高三",IF($E315="男",LOOKUP(Q315,[1]对照表!$W$3:$W$24,[1]对照表!$X$3:$X$24),LOOKUP(Q315,[1]对照表!$W$27:$W$48,[1]对照表!$X$27:$X$48)),IF(B315="高二",IF($E315="男",LOOKUP(Q315,[1]对照表!$V$3:$V$24,[1]对照表!$X$3:$X$24),LOOKUP(Q315,[1]对照表!$V$27:$V$48,[1]对照表!$X$27:$X$48)),IF(B315="高一",IF($E315="男",LOOKUP(Q315,[1]对照表!$U$3:$U$24,[1]对照表!$X$3:$X$24),LOOKUP(Q315,[1]对照表!$U$27:$U$48,[1]对照表!$X$27:$X$48)))))</f>
        <v>90</v>
      </c>
      <c r="S315" s="33">
        <f>ROUND(IF(IF($B315="高三",MIN(IF($E315="男",$Q315-3.2,$Q315-3.2),0),IF($B315="高二",MIN(IF($E315="男",$Q315-3.25,$Q315-3.22),0),IF($B315="高一",MIN(IF($E315="男",$Q315-3.3,$Q315-3.24),0))))&lt;-0.6,IF($B315="高三",MIN(IF($E315="男",$Q315-3.2,$Q315-3.2),0),IF($B315="高二",MIN(IF($E315="男",$Q315-3.25,$Q315-3.22),0),IF($B315="高一",MIN(IF($E315="男",$Q315-3.3,$Q315-3.24),0))))+0.4,IF($B315="高三",MIN(IF($E315="男",$Q315-3.2,$Q315-3.2),0),IF($B315="高二",MIN(IF($E315="男",$Q315-3.25,$Q315-3.22),0),IF($B315="高一",MIN(IF($E315="男",$Q315-3.3,$Q315-3.24),0))))),2)</f>
        <v>0</v>
      </c>
      <c r="T315" s="23">
        <f>IF(E315="男",LOOKUP($S315,[1]对照表!$AB$3:$AB$13,[1]对照表!$AC$3:$AC$13),LOOKUP($S315,[1]对照表!$AB$15:$AB$25,[1]对照表!$AC$15:$AC$25))</f>
        <v>0</v>
      </c>
      <c r="U315" s="26">
        <f>R315+T315</f>
        <v>90</v>
      </c>
      <c r="V315" s="26">
        <f>SUM(I315,K315,M315)/3*0.3+SUM(G315,R315)/2*0.4</f>
        <v>48.8</v>
      </c>
      <c r="W315" s="27">
        <f>O315+T315</f>
        <v>0</v>
      </c>
      <c r="X315" s="28">
        <f>V315/0.7+W315</f>
        <v>69.714285714285708</v>
      </c>
      <c r="Y315" s="28">
        <v>69.714285714285708</v>
      </c>
      <c r="Z315" s="21"/>
    </row>
    <row r="316" spans="1:26" x14ac:dyDescent="0.25">
      <c r="A316" s="16">
        <v>11</v>
      </c>
      <c r="B316" s="17" t="s">
        <v>21</v>
      </c>
      <c r="C316" s="16">
        <v>108</v>
      </c>
      <c r="D316" s="18" t="s">
        <v>527</v>
      </c>
      <c r="E316" s="34" t="s">
        <v>23</v>
      </c>
      <c r="F316" s="19">
        <v>7.2</v>
      </c>
      <c r="G316" s="32">
        <f>IF(B316="高三",IF($E316="男",LOOKUP(F316,[1]对照表!$G$3:$G$24,[1]对照表!$H$3:$H$24),LOOKUP(F316,[1]对照表!$G$27:$G$48,[1]对照表!$H$27:$H$48)),IF(B316="高二",IF($E316="男",LOOKUP(F316,[1]对照表!$F$3:$F$24,[1]对照表!$H$3:$H$24),LOOKUP(F316,[1]对照表!$F$27:$F$48,[1]对照表!$H$27:$H$48)),IF(B316="高一",IF($E316="男",LOOKUP(F316,[1]对照表!$E$3:$E$24,[1]对照表!$H$3:$H$24),LOOKUP(F316,[1]对照表!$E$27:$E$48,[1]对照表!$H$27:$H$48)))))</f>
        <v>95</v>
      </c>
      <c r="H316" s="21">
        <v>16.5</v>
      </c>
      <c r="I316" s="32">
        <f>IF(B316="高三",IF($E316="男",LOOKUP(H316,[1]对照表!$K$3:$K$24,[1]对照表!$L$3:$L$24),LOOKUP(H316,[1]对照表!$K$27:$K$48,[1]对照表!$L$27:$L$48)),IF(B316="高二",IF($E316="男",LOOKUP(H316,[1]对照表!$J$3:$J$24,[1]对照表!$L$3:$L$24),LOOKUP(H316,[1]对照表!$J$27:$J$48,[1]对照表!$L$27:$L$48)),IF(B316="高一",IF($E316="男",LOOKUP(H316,[1]对照表!$I$3:$I$24,[1]对照表!$L$3:$L$24),LOOKUP(H316,[1]对照表!$I$27:$I$48,[1]对照表!$L$27:$L$48)))))</f>
        <v>80</v>
      </c>
      <c r="J316" s="21">
        <v>223</v>
      </c>
      <c r="K316" s="32">
        <f>IF(B316="高三",IF($E316="男",LOOKUP(J316,[1]对照表!$O$3:$O$24,[1]对照表!$P$3:$P$24),LOOKUP(J316,[1]对照表!$O$27:$O$48,[1]对照表!$P$27:$P$48)),IF(B316="高二",IF($E316="男",LOOKUP(J316,[1]对照表!$N$3:$N$24,[1]对照表!$P$3:$P$24),LOOKUP(J316,[1]对照表!$N$27:$N$48,[1]对照表!$P$27:$P$48)),IF(B316="高一",IF($E316="男",LOOKUP(J316,[1]对照表!$M$3:$M$24,[1]对照表!$P$3:$P$24),LOOKUP(J316,[1]对照表!$M$27:$M$48,[1]对照表!$P$27:$P$48)))))</f>
        <v>74</v>
      </c>
      <c r="L316" s="21">
        <v>2</v>
      </c>
      <c r="M316" s="32">
        <f>IF(B316="高三",IF($E316="男",LOOKUP(L316,[1]对照表!$S$3:$S$24,[1]对照表!$T$3:$T$24),LOOKUP(L316,[1]对照表!$S$27:$S$48,[1]对照表!$T$27:$T$48)),IF(B316="高二",IF($E316="男",LOOKUP(L316,[1]对照表!$R$3:$R$24,[1]对照表!$T$3:$T$24),LOOKUP(L316,[1]对照表!$R$27:$R$48,[1]对照表!$T$27:$T$48)),IF(B316="高一",IF($E316="男",LOOKUP(L316,[1]对照表!$Q$3:$Q$24,[1]对照表!$T$3:$T$24),LOOKUP(L316,[1]对照表!$Q$27:$Q$48,[1]对照表!$T$27:$T$48)))))</f>
        <v>10</v>
      </c>
      <c r="N316" s="33">
        <f>IF(B316="高三",MAX(IF(E316="男",L316-18,L316-55),0),IF(B316="高二",MAX(IF(E316="男",L316-17,L316-54),0),IF(B316="高一",MAX(IF(E316="男",L316-16,L316-53),0))))</f>
        <v>0</v>
      </c>
      <c r="O316" s="23">
        <f>IF(E316="男",LOOKUP($N316,[1]对照表!$Z$3:$Z$13,[1]对照表!$AA$3:$AA$13),LOOKUP($N316,[1]对照表!$Z$15:$Z$25,[1]对照表!$AA$15:$AA$25))</f>
        <v>0</v>
      </c>
      <c r="P316" s="24">
        <f>M316+O316</f>
        <v>10</v>
      </c>
      <c r="Q316" s="25">
        <v>4.3899999999999997</v>
      </c>
      <c r="R316" s="32">
        <f>IF(B316="高三",IF($E316="男",LOOKUP(Q316,[1]对照表!$W$3:$W$24,[1]对照表!$X$3:$X$24),LOOKUP(Q316,[1]对照表!$W$27:$W$48,[1]对照表!$X$27:$X$48)),IF(B316="高二",IF($E316="男",LOOKUP(Q316,[1]对照表!$V$3:$V$24,[1]对照表!$X$3:$X$24),LOOKUP(Q316,[1]对照表!$V$27:$V$48,[1]对照表!$X$27:$X$48)),IF(B316="高一",IF($E316="男",LOOKUP(Q316,[1]对照表!$U$3:$U$24,[1]对照表!$X$3:$X$24),LOOKUP(Q316,[1]对照表!$U$27:$U$48,[1]对照表!$X$27:$X$48)))))</f>
        <v>62</v>
      </c>
      <c r="S316" s="33">
        <f>ROUND(IF(IF($B316="高三",MIN(IF($E316="男",$Q316-3.2,$Q316-3.2),0),IF($B316="高二",MIN(IF($E316="男",$Q316-3.25,$Q316-3.22),0),IF($B316="高一",MIN(IF($E316="男",$Q316-3.3,$Q316-3.24),0))))&lt;-0.6,IF($B316="高三",MIN(IF($E316="男",$Q316-3.2,$Q316-3.2),0),IF($B316="高二",MIN(IF($E316="男",$Q316-3.25,$Q316-3.22),0),IF($B316="高一",MIN(IF($E316="男",$Q316-3.3,$Q316-3.24),0))))+0.4,IF($B316="高三",MIN(IF($E316="男",$Q316-3.2,$Q316-3.2),0),IF($B316="高二",MIN(IF($E316="男",$Q316-3.25,$Q316-3.22),0),IF($B316="高一",MIN(IF($E316="男",$Q316-3.3,$Q316-3.24),0))))),2)</f>
        <v>0</v>
      </c>
      <c r="T316" s="23">
        <f>IF(E316="男",LOOKUP($S316,[1]对照表!$AB$3:$AB$13,[1]对照表!$AC$3:$AC$13),LOOKUP($S316,[1]对照表!$AB$15:$AB$25,[1]对照表!$AC$15:$AC$25))</f>
        <v>0</v>
      </c>
      <c r="U316" s="26">
        <f>R316+T316</f>
        <v>62</v>
      </c>
      <c r="V316" s="26">
        <f>SUM(I316,K316,M316)/3*0.3+SUM(G316,R316)/2*0.4</f>
        <v>47.8</v>
      </c>
      <c r="W316" s="27">
        <f>O316+T316</f>
        <v>0</v>
      </c>
      <c r="X316" s="28">
        <f>V316/0.7+W316</f>
        <v>68.285714285714292</v>
      </c>
      <c r="Y316" s="28">
        <v>68.285714285714292</v>
      </c>
      <c r="Z316" s="21"/>
    </row>
    <row r="317" spans="1:26" x14ac:dyDescent="0.25">
      <c r="A317" s="16">
        <v>7</v>
      </c>
      <c r="B317" s="17" t="s">
        <v>21</v>
      </c>
      <c r="C317" s="16">
        <v>108</v>
      </c>
      <c r="D317" s="18" t="s">
        <v>536</v>
      </c>
      <c r="E317" s="17" t="s">
        <v>23</v>
      </c>
      <c r="F317" s="19">
        <v>6.6</v>
      </c>
      <c r="G317" s="32">
        <f>IF(B317="高三",IF($E317="男",LOOKUP(F317,[1]对照表!$G$3:$G$24,[1]对照表!$H$3:$H$24),LOOKUP(F317,[1]对照表!$G$27:$G$48,[1]对照表!$H$27:$H$48)),IF(B317="高二",IF($E317="男",LOOKUP(F317,[1]对照表!$F$3:$F$24,[1]对照表!$H$3:$H$24),LOOKUP(F317,[1]对照表!$F$27:$F$48,[1]对照表!$H$27:$H$48)),IF(B317="高一",IF($E317="男",LOOKUP(F317,[1]对照表!$E$3:$E$24,[1]对照表!$H$3:$H$24),LOOKUP(F317,[1]对照表!$E$27:$E$48,[1]对照表!$H$27:$H$48)))))</f>
        <v>100</v>
      </c>
      <c r="H317" s="21">
        <v>15.8</v>
      </c>
      <c r="I317" s="32">
        <f>IF(B317="高三",IF($E317="男",LOOKUP(H317,[1]对照表!$K$3:$K$24,[1]对照表!$L$3:$L$24),LOOKUP(H317,[1]对照表!$K$27:$K$48,[1]对照表!$L$27:$L$48)),IF(B317="高二",IF($E317="男",LOOKUP(H317,[1]对照表!$J$3:$J$24,[1]对照表!$L$3:$L$24),LOOKUP(H317,[1]对照表!$J$27:$J$48,[1]对照表!$L$27:$L$48)),IF(B317="高一",IF($E317="男",LOOKUP(H317,[1]对照表!$I$3:$I$24,[1]对照表!$L$3:$L$24),LOOKUP(H317,[1]对照表!$I$27:$I$48,[1]对照表!$L$27:$L$48)))))</f>
        <v>80</v>
      </c>
      <c r="J317" s="21">
        <v>250</v>
      </c>
      <c r="K317" s="32">
        <f>IF(B317="高三",IF($E317="男",LOOKUP(J317,[1]对照表!$O$3:$O$24,[1]对照表!$P$3:$P$24),LOOKUP(J317,[1]对照表!$O$27:$O$48,[1]对照表!$P$27:$P$48)),IF(B317="高二",IF($E317="男",LOOKUP(J317,[1]对照表!$N$3:$N$24,[1]对照表!$P$3:$P$24),LOOKUP(J317,[1]对照表!$N$27:$N$48,[1]对照表!$P$27:$P$48)),IF(B317="高一",IF($E317="男",LOOKUP(J317,[1]对照表!$M$3:$M$24,[1]对照表!$P$3:$P$24),LOOKUP(J317,[1]对照表!$M$27:$M$48,[1]对照表!$P$27:$P$48)))))</f>
        <v>90</v>
      </c>
      <c r="L317" s="21">
        <v>15</v>
      </c>
      <c r="M317" s="32">
        <f>IF(B317="高三",IF($E317="男",LOOKUP(L317,[1]对照表!$S$3:$S$24,[1]对照表!$T$3:$T$24),LOOKUP(L317,[1]对照表!$S$27:$S$48,[1]对照表!$T$27:$T$48)),IF(B317="高二",IF($E317="男",LOOKUP(L317,[1]对照表!$R$3:$R$24,[1]对照表!$T$3:$T$24),LOOKUP(L317,[1]对照表!$R$27:$R$48,[1]对照表!$T$27:$T$48)),IF(B317="高一",IF($E317="男",LOOKUP(L317,[1]对照表!$Q$3:$Q$24,[1]对照表!$T$3:$T$24),LOOKUP(L317,[1]对照表!$Q$27:$Q$48,[1]对照表!$T$27:$T$48)))))</f>
        <v>95</v>
      </c>
      <c r="N317" s="33">
        <f>IF(B317="高三",MAX(IF(E317="男",L317-18,L317-55),0),IF(B317="高二",MAX(IF(E317="男",L317-17,L317-54),0),IF(B317="高一",MAX(IF(E317="男",L317-16,L317-53),0))))</f>
        <v>0</v>
      </c>
      <c r="O317" s="23">
        <f>IF(E317="男",LOOKUP($N317,[1]对照表!$Z$3:$Z$13,[1]对照表!$AA$3:$AA$13),LOOKUP($N317,[1]对照表!$Z$15:$Z$25,[1]对照表!$AA$15:$AA$25))</f>
        <v>0</v>
      </c>
      <c r="P317" s="24">
        <f>M317+O317</f>
        <v>95</v>
      </c>
      <c r="Q317" s="25"/>
      <c r="R317" s="20">
        <v>0</v>
      </c>
      <c r="S317" s="22">
        <v>0</v>
      </c>
      <c r="T317" s="23">
        <f>IF(E317="男",LOOKUP($S317,[1]对照表!$AB$3:$AB$13,[1]对照表!$AC$3:$AC$13),LOOKUP($S317,[1]对照表!$AB$15:$AB$25,[1]对照表!$AC$15:$AC$25))</f>
        <v>0</v>
      </c>
      <c r="U317" s="26">
        <f>R317+T317</f>
        <v>0</v>
      </c>
      <c r="V317" s="26">
        <f>SUM(I317,K317,M317)/3*0.3+SUM(G317,R317)/2*0.4</f>
        <v>46.5</v>
      </c>
      <c r="W317" s="27">
        <f>O317+T317</f>
        <v>0</v>
      </c>
      <c r="X317" s="28">
        <f>V317/0.7+W317</f>
        <v>66.428571428571431</v>
      </c>
      <c r="Y317" s="28">
        <v>66.428571428571431</v>
      </c>
      <c r="Z317" s="21"/>
    </row>
    <row r="318" spans="1:26" x14ac:dyDescent="0.25">
      <c r="A318" s="16">
        <v>8</v>
      </c>
      <c r="B318" s="17" t="s">
        <v>21</v>
      </c>
      <c r="C318" s="16">
        <v>108</v>
      </c>
      <c r="D318" s="18" t="s">
        <v>562</v>
      </c>
      <c r="E318" s="17" t="s">
        <v>23</v>
      </c>
      <c r="F318" s="19">
        <v>7.1</v>
      </c>
      <c r="G318" s="32">
        <f>IF(B318="高三",IF($E318="男",LOOKUP(F318,[1]对照表!$G$3:$G$24,[1]对照表!$H$3:$H$24),LOOKUP(F318,[1]对照表!$G$27:$G$48,[1]对照表!$H$27:$H$48)),IF(B318="高二",IF($E318="男",LOOKUP(F318,[1]对照表!$F$3:$F$24,[1]对照表!$H$3:$H$24),LOOKUP(F318,[1]对照表!$F$27:$F$48,[1]对照表!$H$27:$H$48)),IF(B318="高一",IF($E318="男",LOOKUP(F318,[1]对照表!$E$3:$E$24,[1]对照表!$H$3:$H$24),LOOKUP(F318,[1]对照表!$E$27:$E$48,[1]对照表!$H$27:$H$48)))))</f>
        <v>100</v>
      </c>
      <c r="H318" s="21">
        <v>16.2</v>
      </c>
      <c r="I318" s="32">
        <f>IF(B318="高三",IF($E318="男",LOOKUP(H318,[1]对照表!$K$3:$K$24,[1]对照表!$L$3:$L$24),LOOKUP(H318,[1]对照表!$K$27:$K$48,[1]对照表!$L$27:$L$48)),IF(B318="高二",IF($E318="男",LOOKUP(H318,[1]对照表!$J$3:$J$24,[1]对照表!$L$3:$L$24),LOOKUP(H318,[1]对照表!$J$27:$J$48,[1]对照表!$L$27:$L$48)),IF(B318="高一",IF($E318="男",LOOKUP(H318,[1]对照表!$I$3:$I$24,[1]对照表!$L$3:$L$24),LOOKUP(H318,[1]对照表!$I$27:$I$48,[1]对照表!$L$27:$L$48)))))</f>
        <v>80</v>
      </c>
      <c r="J318" s="21">
        <v>258</v>
      </c>
      <c r="K318" s="32">
        <f>IF(B318="高三",IF($E318="男",LOOKUP(J318,[1]对照表!$O$3:$O$24,[1]对照表!$P$3:$P$24),LOOKUP(J318,[1]对照表!$O$27:$O$48,[1]对照表!$P$27:$P$48)),IF(B318="高二",IF($E318="男",LOOKUP(J318,[1]对照表!$N$3:$N$24,[1]对照表!$P$3:$P$24),LOOKUP(J318,[1]对照表!$N$27:$N$48,[1]对照表!$P$27:$P$48)),IF(B318="高一",IF($E318="男",LOOKUP(J318,[1]对照表!$M$3:$M$24,[1]对照表!$P$3:$P$24),LOOKUP(J318,[1]对照表!$M$27:$M$48,[1]对照表!$P$27:$P$48)))))</f>
        <v>95</v>
      </c>
      <c r="L318" s="21">
        <v>9</v>
      </c>
      <c r="M318" s="32">
        <f>IF(B318="高三",IF($E318="男",LOOKUP(L318,[1]对照表!$S$3:$S$24,[1]对照表!$T$3:$T$24),LOOKUP(L318,[1]对照表!$S$27:$S$48,[1]对照表!$T$27:$T$48)),IF(B318="高二",IF($E318="男",LOOKUP(L318,[1]对照表!$R$3:$R$24,[1]对照表!$T$3:$T$24),LOOKUP(L318,[1]对照表!$R$27:$R$48,[1]对照表!$T$27:$T$48)),IF(B318="高一",IF($E318="男",LOOKUP(L318,[1]对照表!$Q$3:$Q$24,[1]对照表!$T$3:$T$24),LOOKUP(L318,[1]对照表!$Q$27:$Q$48,[1]对照表!$T$27:$T$48)))))</f>
        <v>68</v>
      </c>
      <c r="N318" s="33">
        <f>IF(B318="高三",MAX(IF(E318="男",L318-18,L318-55),0),IF(B318="高二",MAX(IF(E318="男",L318-17,L318-54),0),IF(B318="高一",MAX(IF(E318="男",L318-16,L318-53),0))))</f>
        <v>0</v>
      </c>
      <c r="O318" s="23">
        <f>IF(E318="男",LOOKUP($N318,[1]对照表!$Z$3:$Z$13,[1]对照表!$AA$3:$AA$13),LOOKUP($N318,[1]对照表!$Z$15:$Z$25,[1]对照表!$AA$15:$AA$25))</f>
        <v>0</v>
      </c>
      <c r="P318" s="24">
        <f>M318+O318</f>
        <v>68</v>
      </c>
      <c r="Q318" s="25"/>
      <c r="R318" s="20">
        <v>0</v>
      </c>
      <c r="S318" s="22">
        <v>0</v>
      </c>
      <c r="T318" s="23">
        <f>IF(E318="男",LOOKUP($S318,[1]对照表!$AB$3:$AB$13,[1]对照表!$AC$3:$AC$13),LOOKUP($S318,[1]对照表!$AB$15:$AB$25,[1]对照表!$AC$15:$AC$25))</f>
        <v>0</v>
      </c>
      <c r="U318" s="26">
        <f>R318+T318</f>
        <v>0</v>
      </c>
      <c r="V318" s="26">
        <f>SUM(I318,K318,M318)/3*0.3+SUM(G318,R318)/2*0.4</f>
        <v>44.3</v>
      </c>
      <c r="W318" s="27">
        <f>O318+T318</f>
        <v>0</v>
      </c>
      <c r="X318" s="28">
        <f>V318/0.7+W318</f>
        <v>63.285714285714285</v>
      </c>
      <c r="Y318" s="28">
        <v>63.285714285714285</v>
      </c>
      <c r="Z318" s="21"/>
    </row>
    <row r="319" spans="1:26" x14ac:dyDescent="0.25">
      <c r="A319" s="16">
        <v>1</v>
      </c>
      <c r="B319" s="17" t="s">
        <v>21</v>
      </c>
      <c r="C319" s="16">
        <v>108</v>
      </c>
      <c r="D319" s="18" t="s">
        <v>564</v>
      </c>
      <c r="E319" s="31" t="s">
        <v>23</v>
      </c>
      <c r="F319" s="19">
        <v>7.4</v>
      </c>
      <c r="G319" s="32">
        <f>IF(B319="高三",IF($E319="男",LOOKUP(F319,[1]对照表!$G$3:$G$24,[1]对照表!$H$3:$H$24),LOOKUP(F319,[1]对照表!$G$27:$G$48,[1]对照表!$H$27:$H$48)),IF(B319="高二",IF($E319="男",LOOKUP(F319,[1]对照表!$F$3:$F$24,[1]对照表!$H$3:$H$24),LOOKUP(F319,[1]对照表!$F$27:$F$48,[1]对照表!$H$27:$H$48)),IF(B319="高一",IF($E319="男",LOOKUP(F319,[1]对照表!$E$3:$E$24,[1]对照表!$H$3:$H$24),LOOKUP(F319,[1]对照表!$E$27:$E$48,[1]对照表!$H$27:$H$48)))))</f>
        <v>85</v>
      </c>
      <c r="H319" s="21">
        <v>14.2</v>
      </c>
      <c r="I319" s="32">
        <f>IF(B319="高三",IF($E319="男",LOOKUP(H319,[1]对照表!$K$3:$K$24,[1]对照表!$L$3:$L$24),LOOKUP(H319,[1]对照表!$K$27:$K$48,[1]对照表!$L$27:$L$48)),IF(B319="高二",IF($E319="男",LOOKUP(H319,[1]对照表!$J$3:$J$24,[1]对照表!$L$3:$L$24),LOOKUP(H319,[1]对照表!$J$27:$J$48,[1]对照表!$L$27:$L$48)),IF(B319="高一",IF($E319="男",LOOKUP(H319,[1]对照表!$I$3:$I$24,[1]对照表!$L$3:$L$24),LOOKUP(H319,[1]对照表!$I$27:$I$48,[1]对照表!$L$27:$L$48)))))</f>
        <v>78</v>
      </c>
      <c r="J319" s="21">
        <v>230</v>
      </c>
      <c r="K319" s="32">
        <f>IF(B319="高三",IF($E319="男",LOOKUP(J319,[1]对照表!$O$3:$O$24,[1]对照表!$P$3:$P$24),LOOKUP(J319,[1]对照表!$O$27:$O$48,[1]对照表!$P$27:$P$48)),IF(B319="高二",IF($E319="男",LOOKUP(J319,[1]对照表!$N$3:$N$24,[1]对照表!$P$3:$P$24),LOOKUP(J319,[1]对照表!$N$27:$N$48,[1]对照表!$P$27:$P$48)),IF(B319="高一",IF($E319="男",LOOKUP(J319,[1]对照表!$M$3:$M$24,[1]对照表!$P$3:$P$24),LOOKUP(J319,[1]对照表!$M$27:$M$48,[1]对照表!$P$27:$P$48)))))</f>
        <v>76</v>
      </c>
      <c r="L319" s="21">
        <v>18</v>
      </c>
      <c r="M319" s="32">
        <f>IF(B319="高三",IF($E319="男",LOOKUP(L319,[1]对照表!$S$3:$S$24,[1]对照表!$T$3:$T$24),LOOKUP(L319,[1]对照表!$S$27:$S$48,[1]对照表!$T$27:$T$48)),IF(B319="高二",IF($E319="男",LOOKUP(L319,[1]对照表!$R$3:$R$24,[1]对照表!$T$3:$T$24),LOOKUP(L319,[1]对照表!$R$27:$R$48,[1]对照表!$T$27:$T$48)),IF(B319="高一",IF($E319="男",LOOKUP(L319,[1]对照表!$Q$3:$Q$24,[1]对照表!$T$3:$T$24),LOOKUP(L319,[1]对照表!$Q$27:$Q$48,[1]对照表!$T$27:$T$48)))))</f>
        <v>100</v>
      </c>
      <c r="N319" s="33">
        <f>IF(B319="高三",MAX(IF(E319="男",L319-18,L319-55),0),IF(B319="高二",MAX(IF(E319="男",L319-17,L319-54),0),IF(B319="高一",MAX(IF(E319="男",L319-16,L319-53),0))))</f>
        <v>2</v>
      </c>
      <c r="O319" s="23">
        <f>IF(E319="男",LOOKUP($N319,[1]对照表!$Z$3:$Z$13,[1]对照表!$AA$3:$AA$13),LOOKUP($N319,[1]对照表!$Z$15:$Z$25,[1]对照表!$AA$15:$AA$25))</f>
        <v>2</v>
      </c>
      <c r="P319" s="24">
        <f>M319+O319</f>
        <v>102</v>
      </c>
      <c r="Q319" s="25"/>
      <c r="R319" s="20">
        <v>0</v>
      </c>
      <c r="S319" s="20">
        <v>0</v>
      </c>
      <c r="T319" s="23">
        <f>IF(E319="男",LOOKUP($S319,[1]对照表!$AB$3:$AB$13,[1]对照表!$AC$3:$AC$13),LOOKUP($S319,[1]对照表!$AB$15:$AB$25,[1]对照表!$AC$15:$AC$25))</f>
        <v>0</v>
      </c>
      <c r="U319" s="26">
        <f>R319+T319</f>
        <v>0</v>
      </c>
      <c r="V319" s="26">
        <f>SUM(I319,K319,M319)/3*0.3+SUM(G319,R319)/2*0.4</f>
        <v>42.400000000000006</v>
      </c>
      <c r="W319" s="27">
        <f>O319+T319</f>
        <v>2</v>
      </c>
      <c r="X319" s="28">
        <f>V319/0.7+W319</f>
        <v>62.571428571428584</v>
      </c>
      <c r="Y319" s="28">
        <v>62.571428571428584</v>
      </c>
      <c r="Z319" s="21"/>
    </row>
    <row r="320" spans="1:26" x14ac:dyDescent="0.25">
      <c r="A320" s="16">
        <v>2</v>
      </c>
      <c r="B320" s="17" t="s">
        <v>21</v>
      </c>
      <c r="C320" s="16">
        <v>108</v>
      </c>
      <c r="D320" s="18" t="s">
        <v>573</v>
      </c>
      <c r="E320" s="17" t="s">
        <v>23</v>
      </c>
      <c r="F320" s="19">
        <v>7.6</v>
      </c>
      <c r="G320" s="32">
        <f>IF(B320="高三",IF($E320="男",LOOKUP(F320,[1]对照表!$G$3:$G$24,[1]对照表!$H$3:$H$24),LOOKUP(F320,[1]对照表!$G$27:$G$48,[1]对照表!$H$27:$H$48)),IF(B320="高二",IF($E320="男",LOOKUP(F320,[1]对照表!$F$3:$F$24,[1]对照表!$H$3:$H$24),LOOKUP(F320,[1]对照表!$F$27:$F$48,[1]对照表!$H$27:$H$48)),IF(B320="高一",IF($E320="男",LOOKUP(F320,[1]对照表!$E$3:$E$24,[1]对照表!$H$3:$H$24),LOOKUP(F320,[1]对照表!$E$27:$E$48,[1]对照表!$H$27:$H$48)))))</f>
        <v>78</v>
      </c>
      <c r="H320" s="21">
        <v>8.5</v>
      </c>
      <c r="I320" s="32">
        <f>IF(B320="高三",IF($E320="男",LOOKUP(H320,[1]对照表!$K$3:$K$24,[1]对照表!$L$3:$L$24),LOOKUP(H320,[1]对照表!$K$27:$K$48,[1]对照表!$L$27:$L$48)),IF(B320="高二",IF($E320="男",LOOKUP(H320,[1]对照表!$J$3:$J$24,[1]对照表!$L$3:$L$24),LOOKUP(H320,[1]对照表!$J$27:$J$48,[1]对照表!$L$27:$L$48)),IF(B320="高一",IF($E320="男",LOOKUP(H320,[1]对照表!$I$3:$I$24,[1]对照表!$L$3:$L$24),LOOKUP(H320,[1]对照表!$I$27:$I$48,[1]对照表!$L$27:$L$48)))))</f>
        <v>70</v>
      </c>
      <c r="J320" s="21">
        <v>215</v>
      </c>
      <c r="K320" s="32">
        <f>IF(B320="高三",IF($E320="男",LOOKUP(J320,[1]对照表!$O$3:$O$24,[1]对照表!$P$3:$P$24),LOOKUP(J320,[1]对照表!$O$27:$O$48,[1]对照表!$P$27:$P$48)),IF(B320="高二",IF($E320="男",LOOKUP(J320,[1]对照表!$N$3:$N$24,[1]对照表!$P$3:$P$24),LOOKUP(J320,[1]对照表!$N$27:$N$48,[1]对照表!$P$27:$P$48)),IF(B320="高一",IF($E320="男",LOOKUP(J320,[1]对照表!$M$3:$M$24,[1]对照表!$P$3:$P$24),LOOKUP(J320,[1]对照表!$M$27:$M$48,[1]对照表!$P$27:$P$48)))))</f>
        <v>70</v>
      </c>
      <c r="L320" s="21">
        <v>3</v>
      </c>
      <c r="M320" s="32">
        <f>IF(B320="高三",IF($E320="男",LOOKUP(L320,[1]对照表!$S$3:$S$24,[1]对照表!$T$3:$T$24),LOOKUP(L320,[1]对照表!$S$27:$S$48,[1]对照表!$T$27:$T$48)),IF(B320="高二",IF($E320="男",LOOKUP(L320,[1]对照表!$R$3:$R$24,[1]对照表!$T$3:$T$24),LOOKUP(L320,[1]对照表!$R$27:$R$48,[1]对照表!$T$27:$T$48)),IF(B320="高一",IF($E320="男",LOOKUP(L320,[1]对照表!$Q$3:$Q$24,[1]对照表!$T$3:$T$24),LOOKUP(L320,[1]对照表!$Q$27:$Q$48,[1]对照表!$T$27:$T$48)))))</f>
        <v>20</v>
      </c>
      <c r="N320" s="33">
        <f>IF(B320="高三",MAX(IF(E320="男",L320-18,L320-55),0),IF(B320="高二",MAX(IF(E320="男",L320-17,L320-54),0),IF(B320="高一",MAX(IF(E320="男",L320-16,L320-53),0))))</f>
        <v>0</v>
      </c>
      <c r="O320" s="23">
        <f>IF(E320="男",LOOKUP($N320,[1]对照表!$Z$3:$Z$13,[1]对照表!$AA$3:$AA$13),LOOKUP($N320,[1]对照表!$Z$15:$Z$25,[1]对照表!$AA$15:$AA$25))</f>
        <v>0</v>
      </c>
      <c r="P320" s="24">
        <f>M320+O320</f>
        <v>20</v>
      </c>
      <c r="Q320" s="25">
        <v>4.51</v>
      </c>
      <c r="R320" s="32">
        <f>IF(B320="高三",IF($E320="男",LOOKUP(Q320,[1]对照表!$W$3:$W$24,[1]对照表!$X$3:$X$24),LOOKUP(Q320,[1]对照表!$W$27:$W$48,[1]对照表!$X$27:$X$48)),IF(B320="高二",IF($E320="男",LOOKUP(Q320,[1]对照表!$V$3:$V$24,[1]对照表!$X$3:$X$24),LOOKUP(Q320,[1]对照表!$V$27:$V$48,[1]对照表!$X$27:$X$48)),IF(B320="高一",IF($E320="男",LOOKUP(Q320,[1]对照表!$U$3:$U$24,[1]对照表!$X$3:$X$24),LOOKUP(Q320,[1]对照表!$U$27:$U$48,[1]对照表!$X$27:$X$48)))))</f>
        <v>50</v>
      </c>
      <c r="S320" s="33">
        <f>ROUND(IF(IF($B320="高三",MIN(IF($E320="男",$Q320-3.2,$Q320-3.2),0),IF($B320="高二",MIN(IF($E320="男",$Q320-3.25,$Q320-3.22),0),IF($B320="高一",MIN(IF($E320="男",$Q320-3.3,$Q320-3.24),0))))&lt;-0.6,IF($B320="高三",MIN(IF($E320="男",$Q320-3.2,$Q320-3.2),0),IF($B320="高二",MIN(IF($E320="男",$Q320-3.25,$Q320-3.22),0),IF($B320="高一",MIN(IF($E320="男",$Q320-3.3,$Q320-3.24),0))))+0.4,IF($B320="高三",MIN(IF($E320="男",$Q320-3.2,$Q320-3.2),0),IF($B320="高二",MIN(IF($E320="男",$Q320-3.25,$Q320-3.22),0),IF($B320="高一",MIN(IF($E320="男",$Q320-3.3,$Q320-3.24),0))))),2)</f>
        <v>0</v>
      </c>
      <c r="T320" s="23">
        <f>IF(E320="男",LOOKUP($S320,[1]对照表!$AB$3:$AB$13,[1]对照表!$AC$3:$AC$13),LOOKUP($S320,[1]对照表!$AB$15:$AB$25,[1]对照表!$AC$15:$AC$25))</f>
        <v>0</v>
      </c>
      <c r="U320" s="26">
        <f>R320+T320</f>
        <v>50</v>
      </c>
      <c r="V320" s="26">
        <f>SUM(I320,K320,M320)/3*0.3+SUM(G320,R320)/2*0.4</f>
        <v>41.6</v>
      </c>
      <c r="W320" s="27">
        <f>O320+T320</f>
        <v>0</v>
      </c>
      <c r="X320" s="28">
        <f>V320/0.7+W320</f>
        <v>59.428571428571438</v>
      </c>
      <c r="Y320" s="28">
        <v>59.428571428571438</v>
      </c>
      <c r="Z320" s="21"/>
    </row>
    <row r="321" spans="1:26" x14ac:dyDescent="0.25">
      <c r="A321" s="16">
        <v>32</v>
      </c>
      <c r="B321" s="17" t="s">
        <v>21</v>
      </c>
      <c r="C321" s="16">
        <v>108</v>
      </c>
      <c r="D321" s="18" t="s">
        <v>584</v>
      </c>
      <c r="E321" s="17" t="s">
        <v>65</v>
      </c>
      <c r="F321" s="19">
        <v>9.6999999999999993</v>
      </c>
      <c r="G321" s="32">
        <f>IF(B321="高三",IF($E321="男",LOOKUP(F321,[1]对照表!$G$3:$G$24,[1]对照表!$H$3:$H$24),LOOKUP(F321,[1]对照表!$G$27:$G$48,[1]对照表!$H$27:$H$48)),IF(B321="高二",IF($E321="男",LOOKUP(F321,[1]对照表!$F$3:$F$24,[1]对照表!$H$3:$H$24),LOOKUP(F321,[1]对照表!$F$27:$F$48,[1]对照表!$H$27:$H$48)),IF(B321="高一",IF($E321="男",LOOKUP(F321,[1]对照表!$E$3:$E$24,[1]对照表!$H$3:$H$24),LOOKUP(F321,[1]对照表!$E$27:$E$48,[1]对照表!$H$27:$H$48)))))</f>
        <v>68</v>
      </c>
      <c r="H321" s="21">
        <v>19</v>
      </c>
      <c r="I321" s="32">
        <f>IF(B321="高三",IF($E321="男",LOOKUP(H321,[1]对照表!$K$3:$K$24,[1]对照表!$L$3:$L$24),LOOKUP(H321,[1]对照表!$K$27:$K$48,[1]对照表!$L$27:$L$48)),IF(B321="高二",IF($E321="男",LOOKUP(H321,[1]对照表!$J$3:$J$24,[1]对照表!$L$3:$L$24),LOOKUP(H321,[1]对照表!$J$27:$J$48,[1]对照表!$L$27:$L$48)),IF(B321="高一",IF($E321="男",LOOKUP(H321,[1]对照表!$I$3:$I$24,[1]对照表!$L$3:$L$24),LOOKUP(H321,[1]对照表!$I$27:$I$48,[1]对照表!$L$27:$L$48)))))</f>
        <v>80</v>
      </c>
      <c r="J321" s="21">
        <v>158</v>
      </c>
      <c r="K321" s="32">
        <f>IF(B321="高三",IF($E321="男",LOOKUP(J321,[1]对照表!$O$3:$O$24,[1]对照表!$P$3:$P$24),LOOKUP(J321,[1]对照表!$O$27:$O$48,[1]对照表!$P$27:$P$48)),IF(B321="高二",IF($E321="男",LOOKUP(J321,[1]对照表!$N$3:$N$24,[1]对照表!$P$3:$P$24),LOOKUP(J321,[1]对照表!$N$27:$N$48,[1]对照表!$P$27:$P$48)),IF(B321="高一",IF($E321="男",LOOKUP(J321,[1]对照表!$M$3:$M$24,[1]对照表!$P$3:$P$24),LOOKUP(J321,[1]对照表!$M$27:$M$48,[1]对照表!$P$27:$P$48)))))</f>
        <v>66</v>
      </c>
      <c r="L321" s="21">
        <v>39</v>
      </c>
      <c r="M321" s="32">
        <f>IF(B321="高三",IF($E321="男",LOOKUP(L321,[1]对照表!$S$3:$S$24,[1]对照表!$T$3:$T$24),LOOKUP(L321,[1]对照表!$S$27:$S$48,[1]对照表!$T$27:$T$48)),IF(B321="高二",IF($E321="男",LOOKUP(L321,[1]对照表!$R$3:$R$24,[1]对照表!$T$3:$T$24),LOOKUP(L321,[1]对照表!$R$27:$R$48,[1]对照表!$T$27:$T$48)),IF(B321="高一",IF($E321="男",LOOKUP(L321,[1]对照表!$Q$3:$Q$24,[1]对照表!$T$3:$T$24),LOOKUP(L321,[1]对照表!$Q$27:$Q$48,[1]对照表!$T$27:$T$48)))))</f>
        <v>76</v>
      </c>
      <c r="N321" s="33">
        <f>IF(B321="高三",MAX(IF(E321="男",L321-18,L321-55),0),IF(B321="高二",MAX(IF(E321="男",L321-17,L321-54),0),IF(B321="高一",MAX(IF(E321="男",L321-16,L321-53),0))))</f>
        <v>0</v>
      </c>
      <c r="O321" s="23">
        <f>IF(E321="男",LOOKUP($N321,[1]对照表!$Z$3:$Z$13,[1]对照表!$AA$3:$AA$13),LOOKUP($N321,[1]对照表!$Z$15:$Z$25,[1]对照表!$AA$15:$AA$25))</f>
        <v>0</v>
      </c>
      <c r="P321" s="24">
        <f>M321+O321</f>
        <v>76</v>
      </c>
      <c r="Q321" s="25">
        <v>3.47</v>
      </c>
      <c r="R321" s="32">
        <f>IF(B321="高三",IF($E321="男",LOOKUP(Q321,[1]对照表!$W$3:$W$24,[1]对照表!$X$3:$X$24),LOOKUP(Q321,[1]对照表!$W$27:$W$48,[1]对照表!$X$27:$X$48)),IF(B321="高二",IF($E321="男",LOOKUP(Q321,[1]对照表!$V$3:$V$24,[1]对照表!$X$3:$X$24),LOOKUP(Q321,[1]对照表!$V$27:$V$48,[1]对照表!$X$27:$X$48)),IF(B321="高一",IF($E321="男",LOOKUP(Q321,[1]对照表!$U$3:$U$24,[1]对照表!$X$3:$X$24),LOOKUP(Q321,[1]对照表!$U$27:$U$48,[1]对照表!$X$27:$X$48)))))</f>
        <v>80</v>
      </c>
      <c r="S321" s="33">
        <f>ROUND(IF(IF($B321="高三",MIN(IF($E321="男",$Q321-3.2,$Q321-3.2),0),IF($B321="高二",MIN(IF($E321="男",$Q321-3.25,$Q321-3.22),0),IF($B321="高一",MIN(IF($E321="男",$Q321-3.3,$Q321-3.24),0))))&lt;-0.6,IF($B321="高三",MIN(IF($E321="男",$Q321-3.2,$Q321-3.2),0),IF($B321="高二",MIN(IF($E321="男",$Q321-3.25,$Q321-3.22),0),IF($B321="高一",MIN(IF($E321="男",$Q321-3.3,$Q321-3.24),0))))+0.4,IF($B321="高三",MIN(IF($E321="男",$Q321-3.2,$Q321-3.2),0),IF($B321="高二",MIN(IF($E321="男",$Q321-3.25,$Q321-3.22),0),IF($B321="高一",MIN(IF($E321="男",$Q321-3.3,$Q321-3.24),0))))),2)</f>
        <v>0</v>
      </c>
      <c r="T321" s="23">
        <f>IF(E321="男",LOOKUP($S321,[1]对照表!$AB$3:$AB$13,[1]对照表!$AC$3:$AC$13),LOOKUP($S321,[1]对照表!$AB$15:$AB$25,[1]对照表!$AC$15:$AC$25))</f>
        <v>0</v>
      </c>
      <c r="U321" s="26">
        <f>R321+T321</f>
        <v>80</v>
      </c>
      <c r="V321" s="26">
        <f>SUM(I321,K321,M321)/3*0.3+SUM(G321,R321)/2*0.4</f>
        <v>51.8</v>
      </c>
      <c r="W321" s="27">
        <f>O321+T321</f>
        <v>0</v>
      </c>
      <c r="X321" s="28">
        <f>V321/0.7+W321</f>
        <v>74</v>
      </c>
      <c r="Y321" s="28">
        <v>74</v>
      </c>
      <c r="Z321" s="21"/>
    </row>
    <row r="322" spans="1:26" x14ac:dyDescent="0.25">
      <c r="A322" s="16">
        <v>28</v>
      </c>
      <c r="B322" s="17" t="s">
        <v>21</v>
      </c>
      <c r="C322" s="16">
        <v>108</v>
      </c>
      <c r="D322" s="18" t="s">
        <v>589</v>
      </c>
      <c r="E322" s="17" t="s">
        <v>65</v>
      </c>
      <c r="F322" s="19">
        <v>9.9</v>
      </c>
      <c r="G322" s="32">
        <f>IF(B322="高三",IF($E322="男",LOOKUP(F322,[1]对照表!$G$3:$G$24,[1]对照表!$H$3:$H$24),LOOKUP(F322,[1]对照表!$G$27:$G$48,[1]对照表!$H$27:$H$48)),IF(B322="高二",IF($E322="男",LOOKUP(F322,[1]对照表!$F$3:$F$24,[1]对照表!$H$3:$H$24),LOOKUP(F322,[1]对照表!$F$27:$F$48,[1]对照表!$H$27:$H$48)),IF(B322="高一",IF($E322="男",LOOKUP(F322,[1]对照表!$E$3:$E$24,[1]对照表!$H$3:$H$24),LOOKUP(F322,[1]对照表!$E$27:$E$48,[1]对照表!$H$27:$H$48)))))</f>
        <v>66</v>
      </c>
      <c r="H322" s="21">
        <v>19</v>
      </c>
      <c r="I322" s="32">
        <f>IF(B322="高三",IF($E322="男",LOOKUP(H322,[1]对照表!$K$3:$K$24,[1]对照表!$L$3:$L$24),LOOKUP(H322,[1]对照表!$K$27:$K$48,[1]对照表!$L$27:$L$48)),IF(B322="高二",IF($E322="男",LOOKUP(H322,[1]对照表!$J$3:$J$24,[1]对照表!$L$3:$L$24),LOOKUP(H322,[1]对照表!$J$27:$J$48,[1]对照表!$L$27:$L$48)),IF(B322="高一",IF($E322="男",LOOKUP(H322,[1]对照表!$I$3:$I$24,[1]对照表!$L$3:$L$24),LOOKUP(H322,[1]对照表!$I$27:$I$48,[1]对照表!$L$27:$L$48)))))</f>
        <v>80</v>
      </c>
      <c r="J322" s="21">
        <v>152</v>
      </c>
      <c r="K322" s="32">
        <f>IF(B322="高三",IF($E322="男",LOOKUP(J322,[1]对照表!$O$3:$O$24,[1]对照表!$P$3:$P$24),LOOKUP(J322,[1]对照表!$O$27:$O$48,[1]对照表!$P$27:$P$48)),IF(B322="高二",IF($E322="男",LOOKUP(J322,[1]对照表!$N$3:$N$24,[1]对照表!$P$3:$P$24),LOOKUP(J322,[1]对照表!$N$27:$N$48,[1]对照表!$P$27:$P$48)),IF(B322="高一",IF($E322="男",LOOKUP(J322,[1]对照表!$M$3:$M$24,[1]对照表!$P$3:$P$24),LOOKUP(J322,[1]对照表!$M$27:$M$48,[1]对照表!$P$27:$P$48)))))</f>
        <v>62</v>
      </c>
      <c r="L322" s="21">
        <v>50</v>
      </c>
      <c r="M322" s="32">
        <f>IF(B322="高三",IF($E322="男",LOOKUP(L322,[1]对照表!$S$3:$S$24,[1]对照表!$T$3:$T$24),LOOKUP(L322,[1]对照表!$S$27:$S$48,[1]对照表!$T$27:$T$48)),IF(B322="高二",IF($E322="男",LOOKUP(L322,[1]对照表!$R$3:$R$24,[1]对照表!$T$3:$T$24),LOOKUP(L322,[1]对照表!$R$27:$R$48,[1]对照表!$T$27:$T$48)),IF(B322="高一",IF($E322="男",LOOKUP(L322,[1]对照表!$Q$3:$Q$24,[1]对照表!$T$3:$T$24),LOOKUP(L322,[1]对照表!$Q$27:$Q$48,[1]对照表!$T$27:$T$48)))))</f>
        <v>90</v>
      </c>
      <c r="N322" s="33">
        <f>IF(B322="高三",MAX(IF(E322="男",L322-18,L322-55),0),IF(B322="高二",MAX(IF(E322="男",L322-17,L322-54),0),IF(B322="高一",MAX(IF(E322="男",L322-16,L322-53),0))))</f>
        <v>0</v>
      </c>
      <c r="O322" s="23">
        <f>IF(E322="男",LOOKUP($N322,[1]对照表!$Z$3:$Z$13,[1]对照表!$AA$3:$AA$13),LOOKUP($N322,[1]对照表!$Z$15:$Z$25,[1]对照表!$AA$15:$AA$25))</f>
        <v>0</v>
      </c>
      <c r="P322" s="24">
        <f>M322+O322</f>
        <v>90</v>
      </c>
      <c r="Q322" s="25">
        <v>3.48</v>
      </c>
      <c r="R322" s="32">
        <f>IF(B322="高三",IF($E322="男",LOOKUP(Q322,[1]对照表!$W$3:$W$24,[1]对照表!$X$3:$X$24),LOOKUP(Q322,[1]对照表!$W$27:$W$48,[1]对照表!$X$27:$X$48)),IF(B322="高二",IF($E322="男",LOOKUP(Q322,[1]对照表!$V$3:$V$24,[1]对照表!$X$3:$X$24),LOOKUP(Q322,[1]对照表!$V$27:$V$48,[1]对照表!$X$27:$X$48)),IF(B322="高一",IF($E322="男",LOOKUP(Q322,[1]对照表!$U$3:$U$24,[1]对照表!$X$3:$X$24),LOOKUP(Q322,[1]对照表!$U$27:$U$48,[1]对照表!$X$27:$X$48)))))</f>
        <v>80</v>
      </c>
      <c r="S322" s="33">
        <f>ROUND(IF(IF($B322="高三",MIN(IF($E322="男",$Q322-3.2,$Q322-3.2),0),IF($B322="高二",MIN(IF($E322="男",$Q322-3.25,$Q322-3.22),0),IF($B322="高一",MIN(IF($E322="男",$Q322-3.3,$Q322-3.24),0))))&lt;-0.6,IF($B322="高三",MIN(IF($E322="男",$Q322-3.2,$Q322-3.2),0),IF($B322="高二",MIN(IF($E322="男",$Q322-3.25,$Q322-3.22),0),IF($B322="高一",MIN(IF($E322="男",$Q322-3.3,$Q322-3.24),0))))+0.4,IF($B322="高三",MIN(IF($E322="男",$Q322-3.2,$Q322-3.2),0),IF($B322="高二",MIN(IF($E322="男",$Q322-3.25,$Q322-3.22),0),IF($B322="高一",MIN(IF($E322="男",$Q322-3.3,$Q322-3.24),0))))),2)</f>
        <v>0</v>
      </c>
      <c r="T322" s="23">
        <f>IF(E322="男",LOOKUP($S322,[1]对照表!$AB$3:$AB$13,[1]对照表!$AC$3:$AC$13),LOOKUP($S322,[1]对照表!$AB$15:$AB$25,[1]对照表!$AC$15:$AC$25))</f>
        <v>0</v>
      </c>
      <c r="U322" s="26">
        <f>R322+T322</f>
        <v>80</v>
      </c>
      <c r="V322" s="26">
        <f>SUM(I322,K322,M322)/3*0.3+SUM(G322,R322)/2*0.4</f>
        <v>52.400000000000006</v>
      </c>
      <c r="W322" s="27">
        <f>O322+T322</f>
        <v>0</v>
      </c>
      <c r="X322" s="28">
        <f>V322/0.7+W322</f>
        <v>74.857142857142875</v>
      </c>
      <c r="Y322" s="28">
        <v>74.857142857142875</v>
      </c>
      <c r="Z322" s="21"/>
    </row>
    <row r="323" spans="1:26" x14ac:dyDescent="0.25">
      <c r="A323" s="16">
        <v>42</v>
      </c>
      <c r="B323" s="17" t="s">
        <v>21</v>
      </c>
      <c r="C323" s="16">
        <v>108</v>
      </c>
      <c r="D323" s="18" t="s">
        <v>593</v>
      </c>
      <c r="E323" s="17" t="s">
        <v>65</v>
      </c>
      <c r="F323" s="19">
        <v>9.4</v>
      </c>
      <c r="G323" s="32">
        <f>IF(B323="高三",IF($E323="男",LOOKUP(F323,[1]对照表!$G$3:$G$24,[1]对照表!$H$3:$H$24),LOOKUP(F323,[1]对照表!$G$27:$G$48,[1]对照表!$H$27:$H$48)),IF(B323="高二",IF($E323="男",LOOKUP(F323,[1]对照表!$F$3:$F$24,[1]对照表!$H$3:$H$24),LOOKUP(F323,[1]对照表!$F$27:$F$48,[1]对照表!$H$27:$H$48)),IF(B323="高一",IF($E323="男",LOOKUP(F323,[1]对照表!$E$3:$E$24,[1]对照表!$H$3:$H$24),LOOKUP(F323,[1]对照表!$E$27:$E$48,[1]对照表!$H$27:$H$48)))))</f>
        <v>72</v>
      </c>
      <c r="H323" s="21">
        <v>16.5</v>
      </c>
      <c r="I323" s="32">
        <f>IF(B323="高三",IF($E323="男",LOOKUP(H323,[1]对照表!$K$3:$K$24,[1]对照表!$L$3:$L$24),LOOKUP(H323,[1]对照表!$K$27:$K$48,[1]对照表!$L$27:$L$48)),IF(B323="高二",IF($E323="男",LOOKUP(H323,[1]对照表!$J$3:$J$24,[1]对照表!$L$3:$L$24),LOOKUP(H323,[1]对照表!$J$27:$J$48,[1]对照表!$L$27:$L$48)),IF(B323="高一",IF($E323="男",LOOKUP(H323,[1]对照表!$I$3:$I$24,[1]对照表!$L$3:$L$24),LOOKUP(H323,[1]对照表!$I$27:$I$48,[1]对照表!$L$27:$L$48)))))</f>
        <v>78</v>
      </c>
      <c r="J323" s="21">
        <v>174</v>
      </c>
      <c r="K323" s="32">
        <f>IF(B323="高三",IF($E323="男",LOOKUP(J323,[1]对照表!$O$3:$O$24,[1]对照表!$P$3:$P$24),LOOKUP(J323,[1]对照表!$O$27:$O$48,[1]对照表!$P$27:$P$48)),IF(B323="高二",IF($E323="男",LOOKUP(J323,[1]对照表!$N$3:$N$24,[1]对照表!$P$3:$P$24),LOOKUP(J323,[1]对照表!$N$27:$N$48,[1]对照表!$P$27:$P$48)),IF(B323="高一",IF($E323="男",LOOKUP(J323,[1]对照表!$M$3:$M$24,[1]对照表!$P$3:$P$24),LOOKUP(J323,[1]对照表!$M$27:$M$48,[1]对照表!$P$27:$P$48)))))</f>
        <v>76</v>
      </c>
      <c r="L323" s="21">
        <v>56</v>
      </c>
      <c r="M323" s="32">
        <f>IF(B323="高三",IF($E323="男",LOOKUP(L323,[1]对照表!$S$3:$S$24,[1]对照表!$T$3:$T$24),LOOKUP(L323,[1]对照表!$S$27:$S$48,[1]对照表!$T$27:$T$48)),IF(B323="高二",IF($E323="男",LOOKUP(L323,[1]对照表!$R$3:$R$24,[1]对照表!$T$3:$T$24),LOOKUP(L323,[1]对照表!$R$27:$R$48,[1]对照表!$T$27:$T$48)),IF(B323="高一",IF($E323="男",LOOKUP(L323,[1]对照表!$Q$3:$Q$24,[1]对照表!$T$3:$T$24),LOOKUP(L323,[1]对照表!$Q$27:$Q$48,[1]对照表!$T$27:$T$48)))))</f>
        <v>100</v>
      </c>
      <c r="N323" s="33">
        <f>IF(B323="高三",MAX(IF(E323="男",L323-18,L323-55),0),IF(B323="高二",MAX(IF(E323="男",L323-17,L323-54),0),IF(B323="高一",MAX(IF(E323="男",L323-16,L323-53),0))))</f>
        <v>3</v>
      </c>
      <c r="O323" s="23">
        <f>IF(E323="男",LOOKUP($N323,[1]对照表!$Z$3:$Z$13,[1]对照表!$AA$3:$AA$13),LOOKUP($N323,[1]对照表!$Z$15:$Z$25,[1]对照表!$AA$15:$AA$25))</f>
        <v>1</v>
      </c>
      <c r="P323" s="24">
        <f>M323+O323</f>
        <v>101</v>
      </c>
      <c r="Q323" s="25">
        <v>3.49</v>
      </c>
      <c r="R323" s="32">
        <f>IF(B323="高三",IF($E323="男",LOOKUP(Q323,[1]对照表!$W$3:$W$24,[1]对照表!$X$3:$X$24),LOOKUP(Q323,[1]对照表!$W$27:$W$48,[1]对照表!$X$27:$X$48)),IF(B323="高二",IF($E323="男",LOOKUP(Q323,[1]对照表!$V$3:$V$24,[1]对照表!$X$3:$X$24),LOOKUP(Q323,[1]对照表!$V$27:$V$48,[1]对照表!$X$27:$X$48)),IF(B323="高一",IF($E323="男",LOOKUP(Q323,[1]对照表!$U$3:$U$24,[1]对照表!$X$3:$X$24),LOOKUP(Q323,[1]对照表!$U$27:$U$48,[1]对照表!$X$27:$X$48)))))</f>
        <v>80</v>
      </c>
      <c r="S323" s="27">
        <f>ROUND(IF(IF($B323="高三",MIN(IF($E323="男",$Q323-3.2,$Q323-3.2),0),IF($B323="高二",MIN(IF($E323="男",$Q323-3.25,$Q323-3.22),0),IF($B323="高一",MIN(IF($E323="男",$Q323-3.3,$Q323-3.24),0))))&lt;-0.6,IF($B323="高三",MIN(IF($E323="男",$Q323-3.2,$Q323-3.2),0),IF($B323="高二",MIN(IF($E323="男",$Q323-3.25,$Q323-3.22),0),IF($B323="高一",MIN(IF($E323="男",$Q323-3.3,$Q323-3.24),0))))+0.4,IF($B323="高三",MIN(IF($E323="男",$Q323-3.2,$Q323-3.2),0),IF($B323="高二",MIN(IF($E323="男",$Q323-3.25,$Q323-3.22),0),IF($B323="高一",MIN(IF($E323="男",$Q323-3.3,$Q323-3.24),0))))),2)</f>
        <v>0</v>
      </c>
      <c r="T323" s="23">
        <f>IF(E323="男",LOOKUP($S323,[1]对照表!$AB$3:$AB$13,[1]对照表!$AC$3:$AC$13),LOOKUP($S323,[1]对照表!$AB$15:$AB$25,[1]对照表!$AC$15:$AC$25))</f>
        <v>0</v>
      </c>
      <c r="U323" s="26">
        <f>R323+T323</f>
        <v>80</v>
      </c>
      <c r="V323" s="26">
        <f>SUM(I323,K323,M323)/3*0.3+SUM(G323,R323)/2*0.4</f>
        <v>55.800000000000004</v>
      </c>
      <c r="W323" s="27">
        <f>O323+T323</f>
        <v>1</v>
      </c>
      <c r="X323" s="28">
        <f>V323/0.7+W323</f>
        <v>80.714285714285722</v>
      </c>
      <c r="Y323" s="28">
        <v>80.714285714285722</v>
      </c>
      <c r="Z323" s="21"/>
    </row>
    <row r="324" spans="1:26" x14ac:dyDescent="0.25">
      <c r="A324" s="16">
        <v>33</v>
      </c>
      <c r="B324" s="17" t="s">
        <v>21</v>
      </c>
      <c r="C324" s="16">
        <v>108</v>
      </c>
      <c r="D324" s="18" t="s">
        <v>598</v>
      </c>
      <c r="E324" s="17" t="s">
        <v>65</v>
      </c>
      <c r="F324" s="19">
        <v>8.92</v>
      </c>
      <c r="G324" s="32">
        <f>IF(B324="高三",IF($E324="男",LOOKUP(F324,[1]对照表!$G$3:$G$24,[1]对照表!$H$3:$H$24),LOOKUP(F324,[1]对照表!$G$27:$G$48,[1]对照表!$H$27:$H$48)),IF(B324="高二",IF($E324="男",LOOKUP(F324,[1]对照表!$F$3:$F$24,[1]对照表!$H$3:$H$24),LOOKUP(F324,[1]对照表!$F$27:$F$48,[1]对照表!$H$27:$H$48)),IF(B324="高一",IF($E324="男",LOOKUP(F324,[1]对照表!$E$3:$E$24,[1]对照表!$H$3:$H$24),LOOKUP(F324,[1]对照表!$E$27:$E$48,[1]对照表!$H$27:$H$48)))))</f>
        <v>76</v>
      </c>
      <c r="H324" s="21">
        <v>12.5</v>
      </c>
      <c r="I324" s="32">
        <f>IF(B324="高三",IF($E324="男",LOOKUP(H324,[1]对照表!$K$3:$K$24,[1]对照表!$L$3:$L$24),LOOKUP(H324,[1]对照表!$K$27:$K$48,[1]对照表!$L$27:$L$48)),IF(B324="高二",IF($E324="男",LOOKUP(H324,[1]对照表!$J$3:$J$24,[1]对照表!$L$3:$L$24),LOOKUP(H324,[1]对照表!$J$27:$J$48,[1]对照表!$L$27:$L$48)),IF(B324="高一",IF($E324="男",LOOKUP(H324,[1]对照表!$I$3:$I$24,[1]对照表!$L$3:$L$24),LOOKUP(H324,[1]对照表!$I$27:$I$48,[1]对照表!$L$27:$L$48)))))</f>
        <v>72</v>
      </c>
      <c r="J324" s="21">
        <v>185</v>
      </c>
      <c r="K324" s="32">
        <f>IF(B324="高三",IF($E324="男",LOOKUP(J324,[1]对照表!$O$3:$O$24,[1]对照表!$P$3:$P$24),LOOKUP(J324,[1]对照表!$O$27:$O$48,[1]对照表!$P$27:$P$48)),IF(B324="高二",IF($E324="男",LOOKUP(J324,[1]对照表!$N$3:$N$24,[1]对照表!$P$3:$P$24),LOOKUP(J324,[1]对照表!$N$27:$N$48,[1]对照表!$P$27:$P$48)),IF(B324="高一",IF($E324="男",LOOKUP(J324,[1]对照表!$M$3:$M$24,[1]对照表!$P$3:$P$24),LOOKUP(J324,[1]对照表!$M$27:$M$48,[1]对照表!$P$27:$P$48)))))</f>
        <v>85</v>
      </c>
      <c r="L324" s="21">
        <v>57</v>
      </c>
      <c r="M324" s="32">
        <f>IF(B324="高三",IF($E324="男",LOOKUP(L324,[1]对照表!$S$3:$S$24,[1]对照表!$T$3:$T$24),LOOKUP(L324,[1]对照表!$S$27:$S$48,[1]对照表!$T$27:$T$48)),IF(B324="高二",IF($E324="男",LOOKUP(L324,[1]对照表!$R$3:$R$24,[1]对照表!$T$3:$T$24),LOOKUP(L324,[1]对照表!$R$27:$R$48,[1]对照表!$T$27:$T$48)),IF(B324="高一",IF($E324="男",LOOKUP(L324,[1]对照表!$Q$3:$Q$24,[1]对照表!$T$3:$T$24),LOOKUP(L324,[1]对照表!$Q$27:$Q$48,[1]对照表!$T$27:$T$48)))))</f>
        <v>100</v>
      </c>
      <c r="N324" s="33">
        <f>IF(B324="高三",MAX(IF(E324="男",L324-18,L324-55),0),IF(B324="高二",MAX(IF(E324="男",L324-17,L324-54),0),IF(B324="高一",MAX(IF(E324="男",L324-16,L324-53),0))))</f>
        <v>4</v>
      </c>
      <c r="O324" s="23">
        <f>IF(E324="男",LOOKUP($N324,[1]对照表!$Z$3:$Z$13,[1]对照表!$AA$3:$AA$13),LOOKUP($N324,[1]对照表!$Z$15:$Z$25,[1]对照表!$AA$15:$AA$25))</f>
        <v>2</v>
      </c>
      <c r="P324" s="24">
        <f>M324+O324</f>
        <v>102</v>
      </c>
      <c r="Q324" s="25">
        <v>3.5</v>
      </c>
      <c r="R324" s="32">
        <f>IF(B324="高三",IF($E324="男",LOOKUP(Q324,[1]对照表!$W$3:$W$24,[1]对照表!$X$3:$X$24),LOOKUP(Q324,[1]对照表!$W$27:$W$48,[1]对照表!$X$27:$X$48)),IF(B324="高二",IF($E324="男",LOOKUP(Q324,[1]对照表!$V$3:$V$24,[1]对照表!$X$3:$X$24),LOOKUP(Q324,[1]对照表!$V$27:$V$48,[1]对照表!$X$27:$X$48)),IF(B324="高一",IF($E324="男",LOOKUP(Q324,[1]对照表!$U$3:$U$24,[1]对照表!$X$3:$X$24),LOOKUP(Q324,[1]对照表!$U$27:$U$48,[1]对照表!$X$27:$X$48)))))</f>
        <v>80</v>
      </c>
      <c r="S324" s="33">
        <f>ROUND(IF(IF($B324="高三",MIN(IF($E324="男",$Q324-3.2,$Q324-3.2),0),IF($B324="高二",MIN(IF($E324="男",$Q324-3.25,$Q324-3.22),0),IF($B324="高一",MIN(IF($E324="男",$Q324-3.3,$Q324-3.24),0))))&lt;-0.6,IF($B324="高三",MIN(IF($E324="男",$Q324-3.2,$Q324-3.2),0),IF($B324="高二",MIN(IF($E324="男",$Q324-3.25,$Q324-3.22),0),IF($B324="高一",MIN(IF($E324="男",$Q324-3.3,$Q324-3.24),0))))+0.4,IF($B324="高三",MIN(IF($E324="男",$Q324-3.2,$Q324-3.2),0),IF($B324="高二",MIN(IF($E324="男",$Q324-3.25,$Q324-3.22),0),IF($B324="高一",MIN(IF($E324="男",$Q324-3.3,$Q324-3.24),0))))),2)</f>
        <v>0</v>
      </c>
      <c r="T324" s="23">
        <f>IF(E324="男",LOOKUP($S324,[1]对照表!$AB$3:$AB$13,[1]对照表!$AC$3:$AC$13),LOOKUP($S324,[1]对照表!$AB$15:$AB$25,[1]对照表!$AC$15:$AC$25))</f>
        <v>0</v>
      </c>
      <c r="U324" s="26">
        <f>R324+T324</f>
        <v>80</v>
      </c>
      <c r="V324" s="26">
        <f>SUM(I324,K324,M324)/3*0.3+SUM(G324,R324)/2*0.4</f>
        <v>56.900000000000006</v>
      </c>
      <c r="W324" s="27">
        <f>O324+T324</f>
        <v>2</v>
      </c>
      <c r="X324" s="28">
        <f>V324/0.7+W324</f>
        <v>83.285714285714306</v>
      </c>
      <c r="Y324" s="28">
        <v>83.285714285714306</v>
      </c>
      <c r="Z324" s="21"/>
    </row>
    <row r="325" spans="1:26" x14ac:dyDescent="0.25">
      <c r="A325" s="16">
        <v>37</v>
      </c>
      <c r="B325" s="17" t="s">
        <v>21</v>
      </c>
      <c r="C325" s="16">
        <v>108</v>
      </c>
      <c r="D325" s="18" t="s">
        <v>603</v>
      </c>
      <c r="E325" s="17" t="s">
        <v>65</v>
      </c>
      <c r="F325" s="19">
        <v>8.68</v>
      </c>
      <c r="G325" s="32">
        <f>IF(B325="高三",IF($E325="男",LOOKUP(F325,[1]对照表!$G$3:$G$24,[1]对照表!$H$3:$H$24),LOOKUP(F325,[1]对照表!$G$27:$G$48,[1]对照表!$H$27:$H$48)),IF(B325="高二",IF($E325="男",LOOKUP(F325,[1]对照表!$F$3:$F$24,[1]对照表!$H$3:$H$24),LOOKUP(F325,[1]对照表!$F$27:$F$48,[1]对照表!$H$27:$H$48)),IF(B325="高一",IF($E325="男",LOOKUP(F325,[1]对照表!$E$3:$E$24,[1]对照表!$H$3:$H$24),LOOKUP(F325,[1]对照表!$E$27:$E$48,[1]对照表!$H$27:$H$48)))))</f>
        <v>78</v>
      </c>
      <c r="H325" s="21">
        <v>27.5</v>
      </c>
      <c r="I325" s="32">
        <f>IF(B325="高三",IF($E325="男",LOOKUP(H325,[1]对照表!$K$3:$K$24,[1]对照表!$L$3:$L$24),LOOKUP(H325,[1]对照表!$K$27:$K$48,[1]对照表!$L$27:$L$48)),IF(B325="高二",IF($E325="男",LOOKUP(H325,[1]对照表!$J$3:$J$24,[1]对照表!$L$3:$L$24),LOOKUP(H325,[1]对照表!$J$27:$J$48,[1]对照表!$L$27:$L$48)),IF(B325="高一",IF($E325="男",LOOKUP(H325,[1]对照表!$I$3:$I$24,[1]对照表!$L$3:$L$24),LOOKUP(H325,[1]对照表!$I$27:$I$48,[1]对照表!$L$27:$L$48)))))</f>
        <v>100</v>
      </c>
      <c r="J325" s="21">
        <v>205</v>
      </c>
      <c r="K325" s="32">
        <f>IF(B325="高三",IF($E325="男",LOOKUP(J325,[1]对照表!$O$3:$O$24,[1]对照表!$P$3:$P$24),LOOKUP(J325,[1]对照表!$O$27:$O$48,[1]对照表!$P$27:$P$48)),IF(B325="高二",IF($E325="男",LOOKUP(J325,[1]对照表!$N$3:$N$24,[1]对照表!$P$3:$P$24),LOOKUP(J325,[1]对照表!$N$27:$N$48,[1]对照表!$P$27:$P$48)),IF(B325="高一",IF($E325="男",LOOKUP(J325,[1]对照表!$M$3:$M$24,[1]对照表!$P$3:$P$24),LOOKUP(J325,[1]对照表!$M$27:$M$48,[1]对照表!$P$27:$P$48)))))</f>
        <v>100</v>
      </c>
      <c r="L325" s="21">
        <v>45</v>
      </c>
      <c r="M325" s="32">
        <f>IF(B325="高三",IF($E325="男",LOOKUP(L325,[1]对照表!$S$3:$S$24,[1]对照表!$T$3:$T$24),LOOKUP(L325,[1]对照表!$S$27:$S$48,[1]对照表!$T$27:$T$48)),IF(B325="高二",IF($E325="男",LOOKUP(L325,[1]对照表!$R$3:$R$24,[1]对照表!$T$3:$T$24),LOOKUP(L325,[1]对照表!$R$27:$R$48,[1]对照表!$T$27:$T$48)),IF(B325="高一",IF($E325="男",LOOKUP(L325,[1]对照表!$Q$3:$Q$24,[1]对照表!$T$3:$T$24),LOOKUP(L325,[1]对照表!$Q$27:$Q$48,[1]对照表!$T$27:$T$48)))))</f>
        <v>80</v>
      </c>
      <c r="N325" s="33">
        <f>IF(B325="高三",MAX(IF(E325="男",L325-18,L325-55),0),IF(B325="高二",MAX(IF(E325="男",L325-17,L325-54),0),IF(B325="高一",MAX(IF(E325="男",L325-16,L325-53),0))))</f>
        <v>0</v>
      </c>
      <c r="O325" s="23">
        <f>IF(E325="男",LOOKUP($N325,[1]对照表!$Z$3:$Z$13,[1]对照表!$AA$3:$AA$13),LOOKUP($N325,[1]对照表!$Z$15:$Z$25,[1]对照表!$AA$15:$AA$25))</f>
        <v>0</v>
      </c>
      <c r="P325" s="24">
        <f>M325+O325</f>
        <v>80</v>
      </c>
      <c r="Q325" s="25">
        <v>3.51</v>
      </c>
      <c r="R325" s="32">
        <f>IF(B325="高三",IF($E325="男",LOOKUP(Q325,[1]对照表!$W$3:$W$24,[1]对照表!$X$3:$X$24),LOOKUP(Q325,[1]对照表!$W$27:$W$48,[1]对照表!$X$27:$X$48)),IF(B325="高二",IF($E325="男",LOOKUP(Q325,[1]对照表!$V$3:$V$24,[1]对照表!$X$3:$X$24),LOOKUP(Q325,[1]对照表!$V$27:$V$48,[1]对照表!$X$27:$X$48)),IF(B325="高一",IF($E325="男",LOOKUP(Q325,[1]对照表!$U$3:$U$24,[1]对照表!$X$3:$X$24),LOOKUP(Q325,[1]对照表!$U$27:$U$48,[1]对照表!$X$27:$X$48)))))</f>
        <v>78</v>
      </c>
      <c r="S325" s="33">
        <f>ROUND(IF(IF($B325="高三",MIN(IF($E325="男",$Q325-3.2,$Q325-3.2),0),IF($B325="高二",MIN(IF($E325="男",$Q325-3.25,$Q325-3.22),0),IF($B325="高一",MIN(IF($E325="男",$Q325-3.3,$Q325-3.24),0))))&lt;-0.6,IF($B325="高三",MIN(IF($E325="男",$Q325-3.2,$Q325-3.2),0),IF($B325="高二",MIN(IF($E325="男",$Q325-3.25,$Q325-3.22),0),IF($B325="高一",MIN(IF($E325="男",$Q325-3.3,$Q325-3.24),0))))+0.4,IF($B325="高三",MIN(IF($E325="男",$Q325-3.2,$Q325-3.2),0),IF($B325="高二",MIN(IF($E325="男",$Q325-3.25,$Q325-3.22),0),IF($B325="高一",MIN(IF($E325="男",$Q325-3.3,$Q325-3.24),0))))),2)</f>
        <v>0</v>
      </c>
      <c r="T325" s="23">
        <f>IF(E325="男",LOOKUP($S325,[1]对照表!$AB$3:$AB$13,[1]对照表!$AC$3:$AC$13),LOOKUP($S325,[1]对照表!$AB$15:$AB$25,[1]对照表!$AC$15:$AC$25))</f>
        <v>0</v>
      </c>
      <c r="U325" s="26">
        <f>R325+T325</f>
        <v>78</v>
      </c>
      <c r="V325" s="26">
        <f>SUM(I325,K325,M325)/3*0.3+SUM(G325,R325)/2*0.4</f>
        <v>59.2</v>
      </c>
      <c r="W325" s="27">
        <f>O325+T325</f>
        <v>0</v>
      </c>
      <c r="X325" s="28">
        <f>V325/0.7+W325</f>
        <v>84.571428571428584</v>
      </c>
      <c r="Y325" s="28">
        <v>84.571428571428584</v>
      </c>
      <c r="Z325" s="21"/>
    </row>
    <row r="326" spans="1:26" x14ac:dyDescent="0.25">
      <c r="A326" s="16">
        <v>4</v>
      </c>
      <c r="B326" s="17" t="s">
        <v>21</v>
      </c>
      <c r="C326" s="16">
        <v>108</v>
      </c>
      <c r="D326" s="18" t="s">
        <v>632</v>
      </c>
      <c r="E326" s="17" t="s">
        <v>23</v>
      </c>
      <c r="F326" s="19">
        <v>8.4</v>
      </c>
      <c r="G326" s="32">
        <f>IF(B326="高三",IF($E326="男",LOOKUP(F326,[1]对照表!$G$3:$G$24,[1]对照表!$H$3:$H$24),LOOKUP(F326,[1]对照表!$G$27:$G$48,[1]对照表!$H$27:$H$48)),IF(B326="高二",IF($E326="男",LOOKUP(F326,[1]对照表!$F$3:$F$24,[1]对照表!$H$3:$H$24),LOOKUP(F326,[1]对照表!$F$27:$F$48,[1]对照表!$H$27:$H$48)),IF(B326="高一",IF($E326="男",LOOKUP(F326,[1]对照表!$E$3:$E$24,[1]对照表!$H$3:$H$24),LOOKUP(F326,[1]对照表!$E$27:$E$48,[1]对照表!$H$27:$H$48)))))</f>
        <v>70</v>
      </c>
      <c r="H326" s="21">
        <v>5.2</v>
      </c>
      <c r="I326" s="32">
        <f>IF(B326="高三",IF($E326="男",LOOKUP(H326,[1]对照表!$K$3:$K$24,[1]对照表!$L$3:$L$24),LOOKUP(H326,[1]对照表!$K$27:$K$48,[1]对照表!$L$27:$L$48)),IF(B326="高二",IF($E326="男",LOOKUP(H326,[1]对照表!$J$3:$J$24,[1]对照表!$L$3:$L$24),LOOKUP(H326,[1]对照表!$J$27:$J$48,[1]对照表!$L$27:$L$48)),IF(B326="高一",IF($E326="男",LOOKUP(H326,[1]对照表!$I$3:$I$24,[1]对照表!$L$3:$L$24),LOOKUP(H326,[1]对照表!$I$27:$I$48,[1]对照表!$L$27:$L$48)))))</f>
        <v>66</v>
      </c>
      <c r="J326" s="21">
        <v>215</v>
      </c>
      <c r="K326" s="32">
        <f>IF(B326="高三",IF($E326="男",LOOKUP(J326,[1]对照表!$O$3:$O$24,[1]对照表!$P$3:$P$24),LOOKUP(J326,[1]对照表!$O$27:$O$48,[1]对照表!$P$27:$P$48)),IF(B326="高二",IF($E326="男",LOOKUP(J326,[1]对照表!$N$3:$N$24,[1]对照表!$P$3:$P$24),LOOKUP(J326,[1]对照表!$N$27:$N$48,[1]对照表!$P$27:$P$48)),IF(B326="高一",IF($E326="男",LOOKUP(J326,[1]对照表!$M$3:$M$24,[1]对照表!$P$3:$P$24),LOOKUP(J326,[1]对照表!$M$27:$M$48,[1]对照表!$P$27:$P$48)))))</f>
        <v>70</v>
      </c>
      <c r="L326" s="21">
        <v>0</v>
      </c>
      <c r="M326" s="32">
        <f>IF(B326="高三",IF($E326="男",LOOKUP(L326,[1]对照表!$S$3:$S$24,[1]对照表!$T$3:$T$24),LOOKUP(L326,[1]对照表!$S$27:$S$48,[1]对照表!$T$27:$T$48)),IF(B326="高二",IF($E326="男",LOOKUP(L326,[1]对照表!$R$3:$R$24,[1]对照表!$T$3:$T$24),LOOKUP(L326,[1]对照表!$R$27:$R$48,[1]对照表!$T$27:$T$48)),IF(B326="高一",IF($E326="男",LOOKUP(L326,[1]对照表!$Q$3:$Q$24,[1]对照表!$T$3:$T$24),LOOKUP(L326,[1]对照表!$Q$27:$Q$48,[1]对照表!$T$27:$T$48)))))</f>
        <v>0</v>
      </c>
      <c r="N326" s="33">
        <f>IF(B326="高三",MAX(IF(E326="男",L326-18,L326-55),0),IF(B326="高二",MAX(IF(E326="男",L326-17,L326-54),0),IF(B326="高一",MAX(IF(E326="男",L326-16,L326-53),0))))</f>
        <v>0</v>
      </c>
      <c r="O326" s="23">
        <f>IF(E326="男",LOOKUP($N326,[1]对照表!$Z$3:$Z$13,[1]对照表!$AA$3:$AA$13),LOOKUP($N326,[1]对照表!$Z$15:$Z$25,[1]对照表!$AA$15:$AA$25))</f>
        <v>0</v>
      </c>
      <c r="P326" s="24">
        <f>M326+O326</f>
        <v>0</v>
      </c>
      <c r="Q326" s="25"/>
      <c r="R326" s="20">
        <v>0</v>
      </c>
      <c r="S326" s="22">
        <v>0</v>
      </c>
      <c r="T326" s="23">
        <f>IF(E326="男",LOOKUP($S326,[1]对照表!$AB$3:$AB$13,[1]对照表!$AC$3:$AC$13),LOOKUP($S326,[1]对照表!$AB$15:$AB$25,[1]对照表!$AC$15:$AC$25))</f>
        <v>0</v>
      </c>
      <c r="U326" s="26">
        <f>R326+T326</f>
        <v>0</v>
      </c>
      <c r="V326" s="26">
        <f>SUM(I326,K326,M326)/3*0.3+SUM(G326,R326)/2*0.4</f>
        <v>27.6</v>
      </c>
      <c r="W326" s="27">
        <f>O326+T326</f>
        <v>0</v>
      </c>
      <c r="X326" s="28">
        <f>V326/0.7+W326</f>
        <v>39.428571428571431</v>
      </c>
      <c r="Y326" s="29">
        <v>50</v>
      </c>
      <c r="Z326" s="21"/>
    </row>
    <row r="327" spans="1:26" x14ac:dyDescent="0.25">
      <c r="A327" s="16">
        <v>24</v>
      </c>
      <c r="B327" s="17" t="s">
        <v>21</v>
      </c>
      <c r="C327" s="16">
        <v>108</v>
      </c>
      <c r="D327" s="18" t="s">
        <v>647</v>
      </c>
      <c r="E327" s="31" t="s">
        <v>65</v>
      </c>
      <c r="F327" s="19">
        <v>9.6999999999999993</v>
      </c>
      <c r="G327" s="32">
        <f>IF(B327="高三",IF($E327="男",LOOKUP(F327,[1]对照表!$G$3:$G$24,[1]对照表!$H$3:$H$24),LOOKUP(F327,[1]对照表!$G$27:$G$48,[1]对照表!$H$27:$H$48)),IF(B327="高二",IF($E327="男",LOOKUP(F327,[1]对照表!$F$3:$F$24,[1]对照表!$H$3:$H$24),LOOKUP(F327,[1]对照表!$F$27:$F$48,[1]对照表!$H$27:$H$48)),IF(B327="高一",IF($E327="男",LOOKUP(F327,[1]对照表!$E$3:$E$24,[1]对照表!$H$3:$H$24),LOOKUP(F327,[1]对照表!$E$27:$E$48,[1]对照表!$H$27:$H$48)))))</f>
        <v>68</v>
      </c>
      <c r="H327" s="21">
        <v>11.5</v>
      </c>
      <c r="I327" s="32">
        <f>IF(B327="高三",IF($E327="男",LOOKUP(H327,[1]对照表!$K$3:$K$24,[1]对照表!$L$3:$L$24),LOOKUP(H327,[1]对照表!$K$27:$K$48,[1]对照表!$L$27:$L$48)),IF(B327="高二",IF($E327="男",LOOKUP(H327,[1]对照表!$J$3:$J$24,[1]对照表!$L$3:$L$24),LOOKUP(H327,[1]对照表!$J$27:$J$48,[1]对照表!$L$27:$L$48)),IF(B327="高一",IF($E327="男",LOOKUP(H327,[1]对照表!$I$3:$I$24,[1]对照表!$L$3:$L$24),LOOKUP(H327,[1]对照表!$I$27:$I$48,[1]对照表!$L$27:$L$48)))))</f>
        <v>70</v>
      </c>
      <c r="J327" s="21">
        <v>175</v>
      </c>
      <c r="K327" s="32">
        <f>IF(B327="高三",IF($E327="男",LOOKUP(J327,[1]对照表!$O$3:$O$24,[1]对照表!$P$3:$P$24),LOOKUP(J327,[1]对照表!$O$27:$O$48,[1]对照表!$P$27:$P$48)),IF(B327="高二",IF($E327="男",LOOKUP(J327,[1]对照表!$N$3:$N$24,[1]对照表!$P$3:$P$24),LOOKUP(J327,[1]对照表!$N$27:$N$48,[1]对照表!$P$27:$P$48)),IF(B327="高一",IF($E327="男",LOOKUP(J327,[1]对照表!$M$3:$M$24,[1]对照表!$P$3:$P$24),LOOKUP(J327,[1]对照表!$M$27:$M$48,[1]对照表!$P$27:$P$48)))))</f>
        <v>78</v>
      </c>
      <c r="L327" s="21">
        <v>53</v>
      </c>
      <c r="M327" s="32">
        <f>IF(B327="高三",IF($E327="男",LOOKUP(L327,[1]对照表!$S$3:$S$24,[1]对照表!$T$3:$T$24),LOOKUP(L327,[1]对照表!$S$27:$S$48,[1]对照表!$T$27:$T$48)),IF(B327="高二",IF($E327="男",LOOKUP(L327,[1]对照表!$R$3:$R$24,[1]对照表!$T$3:$T$24),LOOKUP(L327,[1]对照表!$R$27:$R$48,[1]对照表!$T$27:$T$48)),IF(B327="高一",IF($E327="男",LOOKUP(L327,[1]对照表!$Q$3:$Q$24,[1]对照表!$T$3:$T$24),LOOKUP(L327,[1]对照表!$Q$27:$Q$48,[1]对照表!$T$27:$T$48)))))</f>
        <v>100</v>
      </c>
      <c r="N327" s="33">
        <f>IF(B327="高三",MAX(IF(E327="男",L327-18,L327-55),0),IF(B327="高二",MAX(IF(E327="男",L327-17,L327-54),0),IF(B327="高一",MAX(IF(E327="男",L327-16,L327-53),0))))</f>
        <v>0</v>
      </c>
      <c r="O327" s="23">
        <f>IF(E327="男",LOOKUP($N327,[1]对照表!$Z$3:$Z$13,[1]对照表!$AA$3:$AA$13),LOOKUP($N327,[1]对照表!$Z$15:$Z$25,[1]对照表!$AA$15:$AA$25))</f>
        <v>0</v>
      </c>
      <c r="P327" s="24">
        <f>M327+O327</f>
        <v>100</v>
      </c>
      <c r="Q327" s="25">
        <v>3.55</v>
      </c>
      <c r="R327" s="32">
        <f>IF(B327="高三",IF($E327="男",LOOKUP(Q327,[1]对照表!$W$3:$W$24,[1]对照表!$X$3:$X$24),LOOKUP(Q327,[1]对照表!$W$27:$W$48,[1]对照表!$X$27:$X$48)),IF(B327="高二",IF($E327="男",LOOKUP(Q327,[1]对照表!$V$3:$V$24,[1]对照表!$X$3:$X$24),LOOKUP(Q327,[1]对照表!$V$27:$V$48,[1]对照表!$X$27:$X$48)),IF(B327="高一",IF($E327="男",LOOKUP(Q327,[1]对照表!$U$3:$U$24,[1]对照表!$X$3:$X$24),LOOKUP(Q327,[1]对照表!$U$27:$U$48,[1]对照表!$X$27:$X$48)))))</f>
        <v>78</v>
      </c>
      <c r="S327" s="33">
        <f>ROUND(IF(IF($B327="高三",MIN(IF($E327="男",$Q327-3.2,$Q327-3.2),0),IF($B327="高二",MIN(IF($E327="男",$Q327-3.25,$Q327-3.22),0),IF($B327="高一",MIN(IF($E327="男",$Q327-3.3,$Q327-3.24),0))))&lt;-0.6,IF($B327="高三",MIN(IF($E327="男",$Q327-3.2,$Q327-3.2),0),IF($B327="高二",MIN(IF($E327="男",$Q327-3.25,$Q327-3.22),0),IF($B327="高一",MIN(IF($E327="男",$Q327-3.3,$Q327-3.24),0))))+0.4,IF($B327="高三",MIN(IF($E327="男",$Q327-3.2,$Q327-3.2),0),IF($B327="高二",MIN(IF($E327="男",$Q327-3.25,$Q327-3.22),0),IF($B327="高一",MIN(IF($E327="男",$Q327-3.3,$Q327-3.24),0))))),2)</f>
        <v>0</v>
      </c>
      <c r="T327" s="23">
        <f>IF(E327="男",LOOKUP($S327,[1]对照表!$AB$3:$AB$13,[1]对照表!$AC$3:$AC$13),LOOKUP($S327,[1]对照表!$AB$15:$AB$25,[1]对照表!$AC$15:$AC$25))</f>
        <v>0</v>
      </c>
      <c r="U327" s="26">
        <f>R327+T327</f>
        <v>78</v>
      </c>
      <c r="V327" s="26">
        <f>SUM(I327,K327,M327)/3*0.3+SUM(G327,R327)/2*0.4</f>
        <v>54</v>
      </c>
      <c r="W327" s="27">
        <f>O327+T327</f>
        <v>0</v>
      </c>
      <c r="X327" s="28">
        <f>V327/0.7+W327</f>
        <v>77.142857142857153</v>
      </c>
      <c r="Y327" s="28">
        <v>77.142857142857153</v>
      </c>
      <c r="Z327" s="21"/>
    </row>
    <row r="328" spans="1:26" x14ac:dyDescent="0.25">
      <c r="A328" s="16">
        <v>29</v>
      </c>
      <c r="B328" s="17" t="s">
        <v>21</v>
      </c>
      <c r="C328" s="16">
        <v>108</v>
      </c>
      <c r="D328" s="18" t="s">
        <v>664</v>
      </c>
      <c r="E328" s="17" t="s">
        <v>65</v>
      </c>
      <c r="F328" s="19">
        <v>9.4</v>
      </c>
      <c r="G328" s="32">
        <f>IF(B328="高三",IF($E328="男",LOOKUP(F328,[1]对照表!$G$3:$G$24,[1]对照表!$H$3:$H$24),LOOKUP(F328,[1]对照表!$G$27:$G$48,[1]对照表!$H$27:$H$48)),IF(B328="高二",IF($E328="男",LOOKUP(F328,[1]对照表!$F$3:$F$24,[1]对照表!$H$3:$H$24),LOOKUP(F328,[1]对照表!$F$27:$F$48,[1]对照表!$H$27:$H$48)),IF(B328="高一",IF($E328="男",LOOKUP(F328,[1]对照表!$E$3:$E$24,[1]对照表!$H$3:$H$24),LOOKUP(F328,[1]对照表!$E$27:$E$48,[1]对照表!$H$27:$H$48)))))</f>
        <v>72</v>
      </c>
      <c r="H328" s="21">
        <v>22</v>
      </c>
      <c r="I328" s="32">
        <f>IF(B328="高三",IF($E328="男",LOOKUP(H328,[1]对照表!$K$3:$K$24,[1]对照表!$L$3:$L$24),LOOKUP(H328,[1]对照表!$K$27:$K$48,[1]对照表!$L$27:$L$48)),IF(B328="高二",IF($E328="男",LOOKUP(H328,[1]对照表!$J$3:$J$24,[1]对照表!$L$3:$L$24),LOOKUP(H328,[1]对照表!$J$27:$J$48,[1]对照表!$L$27:$L$48)),IF(B328="高一",IF($E328="男",LOOKUP(H328,[1]对照表!$I$3:$I$24,[1]对照表!$L$3:$L$24),LOOKUP(H328,[1]对照表!$I$27:$I$48,[1]对照表!$L$27:$L$48)))))</f>
        <v>90</v>
      </c>
      <c r="J328" s="21">
        <v>175</v>
      </c>
      <c r="K328" s="32">
        <f>IF(B328="高三",IF($E328="男",LOOKUP(J328,[1]对照表!$O$3:$O$24,[1]对照表!$P$3:$P$24),LOOKUP(J328,[1]对照表!$O$27:$O$48,[1]对照表!$P$27:$P$48)),IF(B328="高二",IF($E328="男",LOOKUP(J328,[1]对照表!$N$3:$N$24,[1]对照表!$P$3:$P$24),LOOKUP(J328,[1]对照表!$N$27:$N$48,[1]对照表!$P$27:$P$48)),IF(B328="高一",IF($E328="男",LOOKUP(J328,[1]对照表!$M$3:$M$24,[1]对照表!$P$3:$P$24),LOOKUP(J328,[1]对照表!$M$27:$M$48,[1]对照表!$P$27:$P$48)))))</f>
        <v>78</v>
      </c>
      <c r="L328" s="21">
        <v>38</v>
      </c>
      <c r="M328" s="32">
        <f>IF(B328="高三",IF($E328="男",LOOKUP(L328,[1]对照表!$S$3:$S$24,[1]对照表!$T$3:$T$24),LOOKUP(L328,[1]对照表!$S$27:$S$48,[1]对照表!$T$27:$T$48)),IF(B328="高二",IF($E328="男",LOOKUP(L328,[1]对照表!$R$3:$R$24,[1]对照表!$T$3:$T$24),LOOKUP(L328,[1]对照表!$R$27:$R$48,[1]对照表!$T$27:$T$48)),IF(B328="高一",IF($E328="男",LOOKUP(L328,[1]对照表!$Q$3:$Q$24,[1]对照表!$T$3:$T$24),LOOKUP(L328,[1]对照表!$Q$27:$Q$48,[1]对照表!$T$27:$T$48)))))</f>
        <v>74</v>
      </c>
      <c r="N328" s="33">
        <f>IF(B328="高三",MAX(IF(E328="男",L328-18,L328-55),0),IF(B328="高二",MAX(IF(E328="男",L328-17,L328-54),0),IF(B328="高一",MAX(IF(E328="男",L328-16,L328-53),0))))</f>
        <v>0</v>
      </c>
      <c r="O328" s="23">
        <f>IF(E328="男",LOOKUP($N328,[1]对照表!$Z$3:$Z$13,[1]对照表!$AA$3:$AA$13),LOOKUP($N328,[1]对照表!$Z$15:$Z$25,[1]对照表!$AA$15:$AA$25))</f>
        <v>0</v>
      </c>
      <c r="P328" s="24">
        <f>M328+O328</f>
        <v>74</v>
      </c>
      <c r="Q328" s="25">
        <v>3.59</v>
      </c>
      <c r="R328" s="32">
        <f>IF(B328="高三",IF($E328="男",LOOKUP(Q328,[1]对照表!$W$3:$W$24,[1]对照表!$X$3:$X$24),LOOKUP(Q328,[1]对照表!$W$27:$W$48,[1]对照表!$X$27:$X$48)),IF(B328="高二",IF($E328="男",LOOKUP(Q328,[1]对照表!$V$3:$V$24,[1]对照表!$X$3:$X$24),LOOKUP(Q328,[1]对照表!$V$27:$V$48,[1]对照表!$X$27:$X$48)),IF(B328="高一",IF($E328="男",LOOKUP(Q328,[1]对照表!$U$3:$U$24,[1]对照表!$X$3:$X$24),LOOKUP(Q328,[1]对照表!$U$27:$U$48,[1]对照表!$X$27:$X$48)))))</f>
        <v>76</v>
      </c>
      <c r="S328" s="33">
        <f>ROUND(IF(IF($B328="高三",MIN(IF($E328="男",$Q328-3.2,$Q328-3.2),0),IF($B328="高二",MIN(IF($E328="男",$Q328-3.25,$Q328-3.22),0),IF($B328="高一",MIN(IF($E328="男",$Q328-3.3,$Q328-3.24),0))))&lt;-0.6,IF($B328="高三",MIN(IF($E328="男",$Q328-3.2,$Q328-3.2),0),IF($B328="高二",MIN(IF($E328="男",$Q328-3.25,$Q328-3.22),0),IF($B328="高一",MIN(IF($E328="男",$Q328-3.3,$Q328-3.24),0))))+0.4,IF($B328="高三",MIN(IF($E328="男",$Q328-3.2,$Q328-3.2),0),IF($B328="高二",MIN(IF($E328="男",$Q328-3.25,$Q328-3.22),0),IF($B328="高一",MIN(IF($E328="男",$Q328-3.3,$Q328-3.24),0))))),2)</f>
        <v>0</v>
      </c>
      <c r="T328" s="23">
        <f>IF(E328="男",LOOKUP($S328,[1]对照表!$AB$3:$AB$13,[1]对照表!$AC$3:$AC$13),LOOKUP($S328,[1]对照表!$AB$15:$AB$25,[1]对照表!$AC$15:$AC$25))</f>
        <v>0</v>
      </c>
      <c r="U328" s="26">
        <f>R328+T328</f>
        <v>76</v>
      </c>
      <c r="V328" s="26">
        <f>SUM(I328,K328,M328)/3*0.3+SUM(G328,R328)/2*0.4</f>
        <v>53.8</v>
      </c>
      <c r="W328" s="27">
        <f>O328+T328</f>
        <v>0</v>
      </c>
      <c r="X328" s="28">
        <f>V328/0.7+W328</f>
        <v>76.857142857142861</v>
      </c>
      <c r="Y328" s="28">
        <v>76.857142857142861</v>
      </c>
      <c r="Z328" s="21"/>
    </row>
    <row r="329" spans="1:26" x14ac:dyDescent="0.25">
      <c r="A329" s="16">
        <v>27</v>
      </c>
      <c r="B329" s="17" t="s">
        <v>21</v>
      </c>
      <c r="C329" s="16">
        <v>108</v>
      </c>
      <c r="D329" s="18" t="s">
        <v>696</v>
      </c>
      <c r="E329" s="17" t="s">
        <v>65</v>
      </c>
      <c r="F329" s="19">
        <v>9.44</v>
      </c>
      <c r="G329" s="32">
        <f>IF(B329="高三",IF($E329="男",LOOKUP(F329,[1]对照表!$G$3:$G$24,[1]对照表!$H$3:$H$24),LOOKUP(F329,[1]对照表!$G$27:$G$48,[1]对照表!$H$27:$H$48)),IF(B329="高二",IF($E329="男",LOOKUP(F329,[1]对照表!$F$3:$F$24,[1]对照表!$H$3:$H$24),LOOKUP(F329,[1]对照表!$F$27:$F$48,[1]对照表!$H$27:$H$48)),IF(B329="高一",IF($E329="男",LOOKUP(F329,[1]对照表!$E$3:$E$24,[1]对照表!$H$3:$H$24),LOOKUP(F329,[1]对照表!$E$27:$E$48,[1]对照表!$H$27:$H$48)))))</f>
        <v>70</v>
      </c>
      <c r="H329" s="21">
        <v>18.5</v>
      </c>
      <c r="I329" s="32">
        <f>IF(B329="高三",IF($E329="男",LOOKUP(H329,[1]对照表!$K$3:$K$24,[1]对照表!$L$3:$L$24),LOOKUP(H329,[1]对照表!$K$27:$K$48,[1]对照表!$L$27:$L$48)),IF(B329="高二",IF($E329="男",LOOKUP(H329,[1]对照表!$J$3:$J$24,[1]对照表!$L$3:$L$24),LOOKUP(H329,[1]对照表!$J$27:$J$48,[1]对照表!$L$27:$L$48)),IF(B329="高一",IF($E329="男",LOOKUP(H329,[1]对照表!$I$3:$I$24,[1]对照表!$L$3:$L$24),LOOKUP(H329,[1]对照表!$I$27:$I$48,[1]对照表!$L$27:$L$48)))))</f>
        <v>80</v>
      </c>
      <c r="J329" s="21">
        <v>168</v>
      </c>
      <c r="K329" s="32">
        <f>IF(B329="高三",IF($E329="男",LOOKUP(J329,[1]对照表!$O$3:$O$24,[1]对照表!$P$3:$P$24),LOOKUP(J329,[1]对照表!$O$27:$O$48,[1]对照表!$P$27:$P$48)),IF(B329="高二",IF($E329="男",LOOKUP(J329,[1]对照表!$N$3:$N$24,[1]对照表!$P$3:$P$24),LOOKUP(J329,[1]对照表!$N$27:$N$48,[1]对照表!$P$27:$P$48)),IF(B329="高一",IF($E329="男",LOOKUP(J329,[1]对照表!$M$3:$M$24,[1]对照表!$P$3:$P$24),LOOKUP(J329,[1]对照表!$M$27:$M$48,[1]对照表!$P$27:$P$48)))))</f>
        <v>72</v>
      </c>
      <c r="L329" s="21">
        <v>35</v>
      </c>
      <c r="M329" s="32">
        <f>IF(B329="高三",IF($E329="男",LOOKUP(L329,[1]对照表!$S$3:$S$24,[1]对照表!$T$3:$T$24),LOOKUP(L329,[1]对照表!$S$27:$S$48,[1]对照表!$T$27:$T$48)),IF(B329="高二",IF($E329="男",LOOKUP(L329,[1]对照表!$R$3:$R$24,[1]对照表!$T$3:$T$24),LOOKUP(L329,[1]对照表!$R$27:$R$48,[1]对照表!$T$27:$T$48)),IF(B329="高一",IF($E329="男",LOOKUP(L329,[1]对照表!$Q$3:$Q$24,[1]对照表!$T$3:$T$24),LOOKUP(L329,[1]对照表!$Q$27:$Q$48,[1]对照表!$T$27:$T$48)))))</f>
        <v>72</v>
      </c>
      <c r="N329" s="33">
        <f>IF(B329="高三",MAX(IF(E329="男",L329-18,L329-55),0),IF(B329="高二",MAX(IF(E329="男",L329-17,L329-54),0),IF(B329="高一",MAX(IF(E329="男",L329-16,L329-53),0))))</f>
        <v>0</v>
      </c>
      <c r="O329" s="23">
        <f>IF(E329="男",LOOKUP($N329,[1]对照表!$Z$3:$Z$13,[1]对照表!$AA$3:$AA$13),LOOKUP($N329,[1]对照表!$Z$15:$Z$25,[1]对照表!$AA$15:$AA$25))</f>
        <v>0</v>
      </c>
      <c r="P329" s="24">
        <f>M329+O329</f>
        <v>72</v>
      </c>
      <c r="Q329" s="25">
        <v>4.0599999999999996</v>
      </c>
      <c r="R329" s="32">
        <f>IF(B329="高三",IF($E329="男",LOOKUP(Q329,[1]对照表!$W$3:$W$24,[1]对照表!$X$3:$X$24),LOOKUP(Q329,[1]对照表!$W$27:$W$48,[1]对照表!$X$27:$X$48)),IF(B329="高二",IF($E329="男",LOOKUP(Q329,[1]对照表!$V$3:$V$24,[1]对照表!$X$3:$X$24),LOOKUP(Q329,[1]对照表!$V$27:$V$48,[1]对照表!$X$27:$X$48)),IF(B329="高一",IF($E329="男",LOOKUP(Q329,[1]对照表!$U$3:$U$24,[1]对照表!$X$3:$X$24),LOOKUP(Q329,[1]对照表!$U$27:$U$48,[1]对照表!$X$27:$X$48)))))</f>
        <v>72</v>
      </c>
      <c r="S329" s="33">
        <f>ROUND(IF(IF($B329="高三",MIN(IF($E329="男",$Q329-3.2,$Q329-3.2),0),IF($B329="高二",MIN(IF($E329="男",$Q329-3.25,$Q329-3.22),0),IF($B329="高一",MIN(IF($E329="男",$Q329-3.3,$Q329-3.24),0))))&lt;-0.6,IF($B329="高三",MIN(IF($E329="男",$Q329-3.2,$Q329-3.2),0),IF($B329="高二",MIN(IF($E329="男",$Q329-3.25,$Q329-3.22),0),IF($B329="高一",MIN(IF($E329="男",$Q329-3.3,$Q329-3.24),0))))+0.4,IF($B329="高三",MIN(IF($E329="男",$Q329-3.2,$Q329-3.2),0),IF($B329="高二",MIN(IF($E329="男",$Q329-3.25,$Q329-3.22),0),IF($B329="高一",MIN(IF($E329="男",$Q329-3.3,$Q329-3.24),0))))),2)</f>
        <v>0</v>
      </c>
      <c r="T329" s="23">
        <f>IF(E329="男",LOOKUP($S329,[1]对照表!$AB$3:$AB$13,[1]对照表!$AC$3:$AC$13),LOOKUP($S329,[1]对照表!$AB$15:$AB$25,[1]对照表!$AC$15:$AC$25))</f>
        <v>0</v>
      </c>
      <c r="U329" s="26">
        <f>R329+T329</f>
        <v>72</v>
      </c>
      <c r="V329" s="26">
        <f>SUM(I329,K329,M329)/3*0.3+SUM(G329,R329)/2*0.4</f>
        <v>50.800000000000004</v>
      </c>
      <c r="W329" s="27">
        <f>O329+T329</f>
        <v>0</v>
      </c>
      <c r="X329" s="28">
        <f>V329/0.7+W329</f>
        <v>72.571428571428584</v>
      </c>
      <c r="Y329" s="28">
        <v>72.571428571428584</v>
      </c>
      <c r="Z329" s="21"/>
    </row>
    <row r="330" spans="1:26" x14ac:dyDescent="0.25">
      <c r="A330" s="16">
        <v>30</v>
      </c>
      <c r="B330" s="17" t="s">
        <v>21</v>
      </c>
      <c r="C330" s="16">
        <v>108</v>
      </c>
      <c r="D330" s="18" t="s">
        <v>733</v>
      </c>
      <c r="E330" s="17" t="s">
        <v>65</v>
      </c>
      <c r="F330" s="19">
        <v>10.4</v>
      </c>
      <c r="G330" s="32">
        <f>IF(B330="高三",IF($E330="男",LOOKUP(F330,[1]对照表!$G$3:$G$24,[1]对照表!$H$3:$H$24),LOOKUP(F330,[1]对照表!$G$27:$G$48,[1]对照表!$H$27:$H$48)),IF(B330="高二",IF($E330="男",LOOKUP(F330,[1]对照表!$F$3:$F$24,[1]对照表!$H$3:$H$24),LOOKUP(F330,[1]对照表!$F$27:$F$48,[1]对照表!$H$27:$H$48)),IF(B330="高一",IF($E330="男",LOOKUP(F330,[1]对照表!$E$3:$E$24,[1]对照表!$H$3:$H$24),LOOKUP(F330,[1]对照表!$E$27:$E$48,[1]对照表!$H$27:$H$48)))))</f>
        <v>62</v>
      </c>
      <c r="H330" s="21">
        <v>16</v>
      </c>
      <c r="I330" s="32">
        <f>IF(B330="高三",IF($E330="男",LOOKUP(H330,[1]对照表!$K$3:$K$24,[1]对照表!$L$3:$L$24),LOOKUP(H330,[1]对照表!$K$27:$K$48,[1]对照表!$L$27:$L$48)),IF(B330="高二",IF($E330="男",LOOKUP(H330,[1]对照表!$J$3:$J$24,[1]对照表!$L$3:$L$24),LOOKUP(H330,[1]对照表!$J$27:$J$48,[1]对照表!$L$27:$L$48)),IF(B330="高一",IF($E330="男",LOOKUP(H330,[1]对照表!$I$3:$I$24,[1]对照表!$L$3:$L$24),LOOKUP(H330,[1]对照表!$I$27:$I$48,[1]对照表!$L$27:$L$48)))))</f>
        <v>76</v>
      </c>
      <c r="J330" s="21">
        <v>148</v>
      </c>
      <c r="K330" s="32">
        <f>IF(B330="高三",IF($E330="男",LOOKUP(J330,[1]对照表!$O$3:$O$24,[1]对照表!$P$3:$P$24),LOOKUP(J330,[1]对照表!$O$27:$O$48,[1]对照表!$P$27:$P$48)),IF(B330="高二",IF($E330="男",LOOKUP(J330,[1]对照表!$N$3:$N$24,[1]对照表!$P$3:$P$24),LOOKUP(J330,[1]对照表!$N$27:$N$48,[1]对照表!$P$27:$P$48)),IF(B330="高一",IF($E330="男",LOOKUP(J330,[1]对照表!$M$3:$M$24,[1]对照表!$P$3:$P$24),LOOKUP(J330,[1]对照表!$M$27:$M$48,[1]对照表!$P$27:$P$48)))))</f>
        <v>60</v>
      </c>
      <c r="L330" s="21">
        <v>49</v>
      </c>
      <c r="M330" s="32">
        <f>IF(B330="高三",IF($E330="男",LOOKUP(L330,[1]对照表!$S$3:$S$24,[1]对照表!$T$3:$T$24),LOOKUP(L330,[1]对照表!$S$27:$S$48,[1]对照表!$T$27:$T$48)),IF(B330="高二",IF($E330="男",LOOKUP(L330,[1]对照表!$R$3:$R$24,[1]对照表!$T$3:$T$24),LOOKUP(L330,[1]对照表!$R$27:$R$48,[1]对照表!$T$27:$T$48)),IF(B330="高一",IF($E330="男",LOOKUP(L330,[1]对照表!$Q$3:$Q$24,[1]对照表!$T$3:$T$24),LOOKUP(L330,[1]对照表!$Q$27:$Q$48,[1]对照表!$T$27:$T$48)))))</f>
        <v>90</v>
      </c>
      <c r="N330" s="33">
        <f>IF(B330="高三",MAX(IF(E330="男",L330-18,L330-55),0),IF(B330="高二",MAX(IF(E330="男",L330-17,L330-54),0),IF(B330="高一",MAX(IF(E330="男",L330-16,L330-53),0))))</f>
        <v>0</v>
      </c>
      <c r="O330" s="23">
        <f>IF(E330="男",LOOKUP($N330,[1]对照表!$Z$3:$Z$13,[1]对照表!$AA$3:$AA$13),LOOKUP($N330,[1]对照表!$Z$15:$Z$25,[1]对照表!$AA$15:$AA$25))</f>
        <v>0</v>
      </c>
      <c r="P330" s="24">
        <f>M330+O330</f>
        <v>90</v>
      </c>
      <c r="Q330" s="25">
        <v>4.25</v>
      </c>
      <c r="R330" s="32">
        <f>IF(B330="高三",IF($E330="男",LOOKUP(Q330,[1]对照表!$W$3:$W$24,[1]对照表!$X$3:$X$24),LOOKUP(Q330,[1]对照表!$W$27:$W$48,[1]对照表!$X$27:$X$48)),IF(B330="高二",IF($E330="男",LOOKUP(Q330,[1]对照表!$V$3:$V$24,[1]对照表!$X$3:$X$24),LOOKUP(Q330,[1]对照表!$V$27:$V$48,[1]对照表!$X$27:$X$48)),IF(B330="高一",IF($E330="男",LOOKUP(Q330,[1]对照表!$U$3:$U$24,[1]对照表!$X$3:$X$24),LOOKUP(Q330,[1]对照表!$U$27:$U$48,[1]对照表!$X$27:$X$48)))))</f>
        <v>66</v>
      </c>
      <c r="S330" s="33">
        <f>ROUND(IF(IF($B330="高三",MIN(IF($E330="男",$Q330-3.2,$Q330-3.2),0),IF($B330="高二",MIN(IF($E330="男",$Q330-3.25,$Q330-3.22),0),IF($B330="高一",MIN(IF($E330="男",$Q330-3.3,$Q330-3.24),0))))&lt;-0.6,IF($B330="高三",MIN(IF($E330="男",$Q330-3.2,$Q330-3.2),0),IF($B330="高二",MIN(IF($E330="男",$Q330-3.25,$Q330-3.22),0),IF($B330="高一",MIN(IF($E330="男",$Q330-3.3,$Q330-3.24),0))))+0.4,IF($B330="高三",MIN(IF($E330="男",$Q330-3.2,$Q330-3.2),0),IF($B330="高二",MIN(IF($E330="男",$Q330-3.25,$Q330-3.22),0),IF($B330="高一",MIN(IF($E330="男",$Q330-3.3,$Q330-3.24),0))))),2)</f>
        <v>0</v>
      </c>
      <c r="T330" s="23">
        <f>IF(E330="男",LOOKUP($S330,[1]对照表!$AB$3:$AB$13,[1]对照表!$AC$3:$AC$13),LOOKUP($S330,[1]对照表!$AB$15:$AB$25,[1]对照表!$AC$15:$AC$25))</f>
        <v>0</v>
      </c>
      <c r="U330" s="26">
        <f>R330+T330</f>
        <v>66</v>
      </c>
      <c r="V330" s="26">
        <f>SUM(I330,K330,M330)/3*0.3+SUM(G330,R330)/2*0.4</f>
        <v>48.2</v>
      </c>
      <c r="W330" s="27">
        <f>O330+T330</f>
        <v>0</v>
      </c>
      <c r="X330" s="28">
        <f>V330/0.7+W330</f>
        <v>68.857142857142861</v>
      </c>
      <c r="Y330" s="28">
        <v>68.857142857142861</v>
      </c>
      <c r="Z330" s="21"/>
    </row>
    <row r="331" spans="1:26" x14ac:dyDescent="0.25">
      <c r="A331" s="16">
        <v>31</v>
      </c>
      <c r="B331" s="17" t="s">
        <v>21</v>
      </c>
      <c r="C331" s="16">
        <v>108</v>
      </c>
      <c r="D331" s="18" t="s">
        <v>755</v>
      </c>
      <c r="E331" s="17" t="s">
        <v>65</v>
      </c>
      <c r="F331" s="19"/>
      <c r="G331" s="20">
        <v>0</v>
      </c>
      <c r="H331" s="21">
        <v>22</v>
      </c>
      <c r="I331" s="32">
        <f>IF(B331="高三",IF($E331="男",LOOKUP(H331,[1]对照表!$K$3:$K$24,[1]对照表!$L$3:$L$24),LOOKUP(H331,[1]对照表!$K$27:$K$48,[1]对照表!$L$27:$L$48)),IF(B331="高二",IF($E331="男",LOOKUP(H331,[1]对照表!$J$3:$J$24,[1]对照表!$L$3:$L$24),LOOKUP(H331,[1]对照表!$J$27:$J$48,[1]对照表!$L$27:$L$48)),IF(B331="高一",IF($E331="男",LOOKUP(H331,[1]对照表!$I$3:$I$24,[1]对照表!$L$3:$L$24),LOOKUP(H331,[1]对照表!$I$27:$I$48,[1]对照表!$L$27:$L$48)))))</f>
        <v>90</v>
      </c>
      <c r="J331" s="21">
        <v>175</v>
      </c>
      <c r="K331" s="32">
        <f>IF(B331="高三",IF($E331="男",LOOKUP(J331,[1]对照表!$O$3:$O$24,[1]对照表!$P$3:$P$24),LOOKUP(J331,[1]对照表!$O$27:$O$48,[1]对照表!$P$27:$P$48)),IF(B331="高二",IF($E331="男",LOOKUP(J331,[1]对照表!$N$3:$N$24,[1]对照表!$P$3:$P$24),LOOKUP(J331,[1]对照表!$N$27:$N$48,[1]对照表!$P$27:$P$48)),IF(B331="高一",IF($E331="男",LOOKUP(J331,[1]对照表!$M$3:$M$24,[1]对照表!$P$3:$P$24),LOOKUP(J331,[1]对照表!$M$27:$M$48,[1]对照表!$P$27:$P$48)))))</f>
        <v>78</v>
      </c>
      <c r="L331" s="21">
        <v>51</v>
      </c>
      <c r="M331" s="32">
        <f>IF(B331="高三",IF($E331="男",LOOKUP(L331,[1]对照表!$S$3:$S$24,[1]对照表!$T$3:$T$24),LOOKUP(L331,[1]对照表!$S$27:$S$48,[1]对照表!$T$27:$T$48)),IF(B331="高二",IF($E331="男",LOOKUP(L331,[1]对照表!$R$3:$R$24,[1]对照表!$T$3:$T$24),LOOKUP(L331,[1]对照表!$R$27:$R$48,[1]对照表!$T$27:$T$48)),IF(B331="高一",IF($E331="男",LOOKUP(L331,[1]对照表!$Q$3:$Q$24,[1]对照表!$T$3:$T$24),LOOKUP(L331,[1]对照表!$Q$27:$Q$48,[1]对照表!$T$27:$T$48)))))</f>
        <v>95</v>
      </c>
      <c r="N331" s="33">
        <f>IF(B331="高三",MAX(IF(E331="男",L331-18,L331-55),0),IF(B331="高二",MAX(IF(E331="男",L331-17,L331-54),0),IF(B331="高一",MAX(IF(E331="男",L331-16,L331-53),0))))</f>
        <v>0</v>
      </c>
      <c r="O331" s="23">
        <f>IF(E331="男",LOOKUP($N331,[1]对照表!$Z$3:$Z$13,[1]对照表!$AA$3:$AA$13),LOOKUP($N331,[1]对照表!$Z$15:$Z$25,[1]对照表!$AA$15:$AA$25))</f>
        <v>0</v>
      </c>
      <c r="P331" s="24">
        <f>M331+O331</f>
        <v>95</v>
      </c>
      <c r="Q331" s="25"/>
      <c r="R331" s="20">
        <v>0</v>
      </c>
      <c r="S331" s="22">
        <v>0</v>
      </c>
      <c r="T331" s="23">
        <f>IF(E331="男",LOOKUP($S331,[1]对照表!$AB$3:$AB$13,[1]对照表!$AC$3:$AC$13),LOOKUP($S331,[1]对照表!$AB$15:$AB$25,[1]对照表!$AC$15:$AC$25))</f>
        <v>0</v>
      </c>
      <c r="U331" s="26">
        <f>R331+T331</f>
        <v>0</v>
      </c>
      <c r="V331" s="26">
        <f>SUM(I331,K331,M331)/3*0.3+SUM(G331,R331)/2*0.4</f>
        <v>26.3</v>
      </c>
      <c r="W331" s="27">
        <f>O331+T331</f>
        <v>0</v>
      </c>
      <c r="X331" s="28">
        <f>V331/0.7+W331</f>
        <v>37.571428571428577</v>
      </c>
      <c r="Y331" s="29">
        <v>50</v>
      </c>
      <c r="Z331" s="21" t="s">
        <v>524</v>
      </c>
    </row>
    <row r="332" spans="1:26" x14ac:dyDescent="0.25">
      <c r="A332" s="16">
        <v>35</v>
      </c>
      <c r="B332" s="17" t="s">
        <v>21</v>
      </c>
      <c r="C332" s="16">
        <v>108</v>
      </c>
      <c r="D332" s="18" t="s">
        <v>757</v>
      </c>
      <c r="E332" s="17" t="s">
        <v>65</v>
      </c>
      <c r="F332" s="19"/>
      <c r="G332" s="20">
        <v>0</v>
      </c>
      <c r="H332" s="21">
        <v>24.5</v>
      </c>
      <c r="I332" s="32">
        <f>IF(B332="高三",IF($E332="男",LOOKUP(H332,[1]对照表!$K$3:$K$24,[1]对照表!$L$3:$L$24),LOOKUP(H332,[1]对照表!$K$27:$K$48,[1]对照表!$L$27:$L$48)),IF(B332="高二",IF($E332="男",LOOKUP(H332,[1]对照表!$J$3:$J$24,[1]对照表!$L$3:$L$24),LOOKUP(H332,[1]对照表!$J$27:$J$48,[1]对照表!$L$27:$L$48)),IF(B332="高一",IF($E332="男",LOOKUP(H332,[1]对照表!$I$3:$I$24,[1]对照表!$L$3:$L$24),LOOKUP(H332,[1]对照表!$I$27:$I$48,[1]对照表!$L$27:$L$48)))))</f>
        <v>100</v>
      </c>
      <c r="J332" s="21">
        <v>165</v>
      </c>
      <c r="K332" s="32">
        <f>IF(B332="高三",IF($E332="男",LOOKUP(J332,[1]对照表!$O$3:$O$24,[1]对照表!$P$3:$P$24),LOOKUP(J332,[1]对照表!$O$27:$O$48,[1]对照表!$P$27:$P$48)),IF(B332="高二",IF($E332="男",LOOKUP(J332,[1]对照表!$N$3:$N$24,[1]对照表!$P$3:$P$24),LOOKUP(J332,[1]对照表!$N$27:$N$48,[1]对照表!$P$27:$P$48)),IF(B332="高一",IF($E332="男",LOOKUP(J332,[1]对照表!$M$3:$M$24,[1]对照表!$P$3:$P$24),LOOKUP(J332,[1]对照表!$M$27:$M$48,[1]对照表!$P$27:$P$48)))))</f>
        <v>70</v>
      </c>
      <c r="L332" s="21">
        <v>46</v>
      </c>
      <c r="M332" s="32">
        <f>IF(B332="高三",IF($E332="男",LOOKUP(L332,[1]对照表!$S$3:$S$24,[1]对照表!$T$3:$T$24),LOOKUP(L332,[1]对照表!$S$27:$S$48,[1]对照表!$T$27:$T$48)),IF(B332="高二",IF($E332="男",LOOKUP(L332,[1]对照表!$R$3:$R$24,[1]对照表!$T$3:$T$24),LOOKUP(L332,[1]对照表!$R$27:$R$48,[1]对照表!$T$27:$T$48)),IF(B332="高一",IF($E332="男",LOOKUP(L332,[1]对照表!$Q$3:$Q$24,[1]对照表!$T$3:$T$24),LOOKUP(L332,[1]对照表!$Q$27:$Q$48,[1]对照表!$T$27:$T$48)))))</f>
        <v>85</v>
      </c>
      <c r="N332" s="33">
        <f>IF(B332="高三",MAX(IF(E332="男",L332-18,L332-55),0),IF(B332="高二",MAX(IF(E332="男",L332-17,L332-54),0),IF(B332="高一",MAX(IF(E332="男",L332-16,L332-53),0))))</f>
        <v>0</v>
      </c>
      <c r="O332" s="23">
        <f>IF(E332="男",LOOKUP($N332,[1]对照表!$Z$3:$Z$13,[1]对照表!$AA$3:$AA$13),LOOKUP($N332,[1]对照表!$Z$15:$Z$25,[1]对照表!$AA$15:$AA$25))</f>
        <v>0</v>
      </c>
      <c r="P332" s="24">
        <f>M332+O332</f>
        <v>85</v>
      </c>
      <c r="Q332" s="25"/>
      <c r="R332" s="20">
        <v>0</v>
      </c>
      <c r="S332" s="22">
        <v>0</v>
      </c>
      <c r="T332" s="23">
        <f>IF(E332="男",LOOKUP($S332,[1]对照表!$AB$3:$AB$13,[1]对照表!$AC$3:$AC$13),LOOKUP($S332,[1]对照表!$AB$15:$AB$25,[1]对照表!$AC$15:$AC$25))</f>
        <v>0</v>
      </c>
      <c r="U332" s="26">
        <f>R332+T332</f>
        <v>0</v>
      </c>
      <c r="V332" s="26">
        <f>SUM(I332,K332,M332)/3*0.3+SUM(G332,R332)/2*0.4</f>
        <v>25.5</v>
      </c>
      <c r="W332" s="27">
        <f>O332+T332</f>
        <v>0</v>
      </c>
      <c r="X332" s="28">
        <f>V332/0.7+W332</f>
        <v>36.428571428571431</v>
      </c>
      <c r="Y332" s="29">
        <v>50</v>
      </c>
      <c r="Z332" s="21" t="s">
        <v>758</v>
      </c>
    </row>
    <row r="333" spans="1:26" x14ac:dyDescent="0.25">
      <c r="A333" s="16">
        <v>17</v>
      </c>
      <c r="B333" s="17" t="s">
        <v>21</v>
      </c>
      <c r="C333" s="16">
        <v>109</v>
      </c>
      <c r="D333" s="18" t="s">
        <v>33</v>
      </c>
      <c r="E333" s="17" t="s">
        <v>23</v>
      </c>
      <c r="F333" s="19">
        <v>6.7</v>
      </c>
      <c r="G333" s="32">
        <f>IF(B333="高三",IF($E333="男",LOOKUP(F333,[1]对照表!$G$3:$G$24,[1]对照表!$H$3:$H$24),LOOKUP(F333,[1]对照表!$G$27:$G$48,[1]对照表!$H$27:$H$48)),IF(B333="高二",IF($E333="男",LOOKUP(F333,[1]对照表!$F$3:$F$24,[1]对照表!$H$3:$H$24),LOOKUP(F333,[1]对照表!$F$27:$F$48,[1]对照表!$H$27:$H$48)),IF(B333="高一",IF($E333="男",LOOKUP(F333,[1]对照表!$E$3:$E$24,[1]对照表!$H$3:$H$24),LOOKUP(F333,[1]对照表!$E$27:$E$48,[1]对照表!$H$27:$H$48)))))</f>
        <v>100</v>
      </c>
      <c r="H333" s="21">
        <v>9.5</v>
      </c>
      <c r="I333" s="32">
        <f>IF(B333="高三",IF($E333="男",LOOKUP(H333,[1]对照表!$K$3:$K$24,[1]对照表!$L$3:$L$24),LOOKUP(H333,[1]对照表!$K$27:$K$48,[1]对照表!$L$27:$L$48)),IF(B333="高二",IF($E333="男",LOOKUP(H333,[1]对照表!$J$3:$J$24,[1]对照表!$L$3:$L$24),LOOKUP(H333,[1]对照表!$J$27:$J$48,[1]对照表!$L$27:$L$48)),IF(B333="高一",IF($E333="男",LOOKUP(H333,[1]对照表!$I$3:$I$24,[1]对照表!$L$3:$L$24),LOOKUP(H333,[1]对照表!$I$27:$I$48,[1]对照表!$L$27:$L$48)))))</f>
        <v>72</v>
      </c>
      <c r="J333" s="21">
        <v>265</v>
      </c>
      <c r="K333" s="32">
        <f>IF(B333="高三",IF($E333="男",LOOKUP(J333,[1]对照表!$O$3:$O$24,[1]对照表!$P$3:$P$24),LOOKUP(J333,[1]对照表!$O$27:$O$48,[1]对照表!$P$27:$P$48)),IF(B333="高二",IF($E333="男",LOOKUP(J333,[1]对照表!$N$3:$N$24,[1]对照表!$P$3:$P$24),LOOKUP(J333,[1]对照表!$N$27:$N$48,[1]对照表!$P$27:$P$48)),IF(B333="高一",IF($E333="男",LOOKUP(J333,[1]对照表!$M$3:$M$24,[1]对照表!$P$3:$P$24),LOOKUP(J333,[1]对照表!$M$27:$M$48,[1]对照表!$P$27:$P$48)))))</f>
        <v>100</v>
      </c>
      <c r="L333" s="21">
        <v>26</v>
      </c>
      <c r="M333" s="32">
        <f>IF(B333="高三",IF($E333="男",LOOKUP(L333,[1]对照表!$S$3:$S$24,[1]对照表!$T$3:$T$24),LOOKUP(L333,[1]对照表!$S$27:$S$48,[1]对照表!$T$27:$T$48)),IF(B333="高二",IF($E333="男",LOOKUP(L333,[1]对照表!$R$3:$R$24,[1]对照表!$T$3:$T$24),LOOKUP(L333,[1]对照表!$R$27:$R$48,[1]对照表!$T$27:$T$48)),IF(B333="高一",IF($E333="男",LOOKUP(L333,[1]对照表!$Q$3:$Q$24,[1]对照表!$T$3:$T$24),LOOKUP(L333,[1]对照表!$Q$27:$Q$48,[1]对照表!$T$27:$T$48)))))</f>
        <v>100</v>
      </c>
      <c r="N333" s="33">
        <f>IF(B333="高三",MAX(IF(E333="男",L333-18,L333-55),0),IF(B333="高二",MAX(IF(E333="男",L333-17,L333-54),0),IF(B333="高一",MAX(IF(E333="男",L333-16,L333-53),0))))</f>
        <v>10</v>
      </c>
      <c r="O333" s="23">
        <f>IF(E333="男",LOOKUP($N333,[1]对照表!$Z$3:$Z$13,[1]对照表!$AA$3:$AA$13),LOOKUP($N333,[1]对照表!$Z$15:$Z$25,[1]对照表!$AA$15:$AA$25))</f>
        <v>10</v>
      </c>
      <c r="P333" s="24">
        <f>M333+O333</f>
        <v>110</v>
      </c>
      <c r="Q333" s="25">
        <v>3.18</v>
      </c>
      <c r="R333" s="32">
        <f>IF(B333="高三",IF($E333="男",LOOKUP(Q333,[1]对照表!$W$3:$W$24,[1]对照表!$X$3:$X$24),LOOKUP(Q333,[1]对照表!$W$27:$W$48,[1]对照表!$X$27:$X$48)),IF(B333="高二",IF($E333="男",LOOKUP(Q333,[1]对照表!$V$3:$V$24,[1]对照表!$X$3:$X$24),LOOKUP(Q333,[1]对照表!$V$27:$V$48,[1]对照表!$X$27:$X$48)),IF(B333="高一",IF($E333="男",LOOKUP(Q333,[1]对照表!$U$3:$U$24,[1]对照表!$X$3:$X$24),LOOKUP(Q333,[1]对照表!$U$27:$U$48,[1]对照表!$X$27:$X$48)))))</f>
        <v>100</v>
      </c>
      <c r="S333" s="33">
        <f>ROUND(IF(IF($B333="高三",MIN(IF($E333="男",$Q333-3.2,$Q333-3.2),0),IF($B333="高二",MIN(IF($E333="男",$Q333-3.25,$Q333-3.22),0),IF($B333="高一",MIN(IF($E333="男",$Q333-3.3,$Q333-3.24),0))))&lt;-0.6,IF($B333="高三",MIN(IF($E333="男",$Q333-3.2,$Q333-3.2),0),IF($B333="高二",MIN(IF($E333="男",$Q333-3.25,$Q333-3.22),0),IF($B333="高一",MIN(IF($E333="男",$Q333-3.3,$Q333-3.24),0))))+0.4,IF($B333="高三",MIN(IF($E333="男",$Q333-3.2,$Q333-3.2),0),IF($B333="高二",MIN(IF($E333="男",$Q333-3.25,$Q333-3.22),0),IF($B333="高一",MIN(IF($E333="男",$Q333-3.3,$Q333-3.24),0))))),2)</f>
        <v>-0.12</v>
      </c>
      <c r="T333" s="23">
        <f>IF(E333="男",LOOKUP($S333,[1]对照表!$AB$3:$AB$13,[1]对照表!$AC$3:$AC$13),LOOKUP($S333,[1]对照表!$AB$15:$AB$25,[1]对照表!$AC$15:$AC$25))</f>
        <v>3</v>
      </c>
      <c r="U333" s="26">
        <f>R333+T333</f>
        <v>103</v>
      </c>
      <c r="V333" s="26">
        <f>SUM(I333,K333,M333)/3*0.3+SUM(G333,R333)/2*0.4</f>
        <v>67.2</v>
      </c>
      <c r="W333" s="27">
        <f>O333+T333</f>
        <v>13</v>
      </c>
      <c r="X333" s="28">
        <f>V333/0.7+W333</f>
        <v>109.00000000000001</v>
      </c>
      <c r="Y333" s="28">
        <v>109.00000000000001</v>
      </c>
      <c r="Z333" s="21"/>
    </row>
    <row r="334" spans="1:26" x14ac:dyDescent="0.25">
      <c r="A334" s="16">
        <v>4</v>
      </c>
      <c r="B334" s="17" t="s">
        <v>21</v>
      </c>
      <c r="C334" s="16">
        <v>109</v>
      </c>
      <c r="D334" s="18" t="s">
        <v>44</v>
      </c>
      <c r="E334" s="17" t="s">
        <v>23</v>
      </c>
      <c r="F334" s="19">
        <v>6.9</v>
      </c>
      <c r="G334" s="32">
        <f>IF(B334="高三",IF($E334="男",LOOKUP(F334,[1]对照表!$G$3:$G$24,[1]对照表!$H$3:$H$24),LOOKUP(F334,[1]对照表!$G$27:$G$48,[1]对照表!$H$27:$H$48)),IF(B334="高二",IF($E334="男",LOOKUP(F334,[1]对照表!$F$3:$F$24,[1]对照表!$H$3:$H$24),LOOKUP(F334,[1]对照表!$F$27:$F$48,[1]对照表!$H$27:$H$48)),IF(B334="高一",IF($E334="男",LOOKUP(F334,[1]对照表!$E$3:$E$24,[1]对照表!$H$3:$H$24),LOOKUP(F334,[1]对照表!$E$27:$E$48,[1]对照表!$H$27:$H$48)))))</f>
        <v>100</v>
      </c>
      <c r="H334" s="21">
        <v>24</v>
      </c>
      <c r="I334" s="32">
        <f>IF(B334="高三",IF($E334="男",LOOKUP(H334,[1]对照表!$K$3:$K$24,[1]对照表!$L$3:$L$24),LOOKUP(H334,[1]对照表!$K$27:$K$48,[1]对照表!$L$27:$L$48)),IF(B334="高二",IF($E334="男",LOOKUP(H334,[1]对照表!$J$3:$J$24,[1]对照表!$L$3:$L$24),LOOKUP(H334,[1]对照表!$J$27:$J$48,[1]对照表!$L$27:$L$48)),IF(B334="高一",IF($E334="男",LOOKUP(H334,[1]对照表!$I$3:$I$24,[1]对照表!$L$3:$L$24),LOOKUP(H334,[1]对照表!$I$27:$I$48,[1]对照表!$L$27:$L$48)))))</f>
        <v>100</v>
      </c>
      <c r="J334" s="21">
        <v>260</v>
      </c>
      <c r="K334" s="32">
        <f>IF(B334="高三",IF($E334="男",LOOKUP(J334,[1]对照表!$O$3:$O$24,[1]对照表!$P$3:$P$24),LOOKUP(J334,[1]对照表!$O$27:$O$48,[1]对照表!$P$27:$P$48)),IF(B334="高二",IF($E334="男",LOOKUP(J334,[1]对照表!$N$3:$N$24,[1]对照表!$P$3:$P$24),LOOKUP(J334,[1]对照表!$N$27:$N$48,[1]对照表!$P$27:$P$48)),IF(B334="高一",IF($E334="男",LOOKUP(J334,[1]对照表!$M$3:$M$24,[1]对照表!$P$3:$P$24),LOOKUP(J334,[1]对照表!$M$27:$M$48,[1]对照表!$P$27:$P$48)))))</f>
        <v>100</v>
      </c>
      <c r="L334" s="21">
        <v>26</v>
      </c>
      <c r="M334" s="32">
        <f>IF(B334="高三",IF($E334="男",LOOKUP(L334,[1]对照表!$S$3:$S$24,[1]对照表!$T$3:$T$24),LOOKUP(L334,[1]对照表!$S$27:$S$48,[1]对照表!$T$27:$T$48)),IF(B334="高二",IF($E334="男",LOOKUP(L334,[1]对照表!$R$3:$R$24,[1]对照表!$T$3:$T$24),LOOKUP(L334,[1]对照表!$R$27:$R$48,[1]对照表!$T$27:$T$48)),IF(B334="高一",IF($E334="男",LOOKUP(L334,[1]对照表!$Q$3:$Q$24,[1]对照表!$T$3:$T$24),LOOKUP(L334,[1]对照表!$Q$27:$Q$48,[1]对照表!$T$27:$T$48)))))</f>
        <v>100</v>
      </c>
      <c r="N334" s="33">
        <f>IF(B334="高三",MAX(IF(E334="男",L334-18,L334-55),0),IF(B334="高二",MAX(IF(E334="男",L334-17,L334-54),0),IF(B334="高一",MAX(IF(E334="男",L334-16,L334-53),0))))</f>
        <v>10</v>
      </c>
      <c r="O334" s="23">
        <f>IF(E334="男",LOOKUP($N334,[1]对照表!$Z$3:$Z$13,[1]对照表!$AA$3:$AA$13),LOOKUP($N334,[1]对照表!$Z$15:$Z$25,[1]对照表!$AA$15:$AA$25))</f>
        <v>10</v>
      </c>
      <c r="P334" s="24">
        <f>M334+O334</f>
        <v>110</v>
      </c>
      <c r="Q334" s="25">
        <v>3.53</v>
      </c>
      <c r="R334" s="32">
        <f>IF(B334="高三",IF($E334="男",LOOKUP(Q334,[1]对照表!$W$3:$W$24,[1]对照表!$X$3:$X$24),LOOKUP(Q334,[1]对照表!$W$27:$W$48,[1]对照表!$X$27:$X$48)),IF(B334="高二",IF($E334="男",LOOKUP(Q334,[1]对照表!$V$3:$V$24,[1]对照表!$X$3:$X$24),LOOKUP(Q334,[1]对照表!$V$27:$V$48,[1]对照表!$X$27:$X$48)),IF(B334="高一",IF($E334="男",LOOKUP(Q334,[1]对照表!$U$3:$U$24,[1]对照表!$X$3:$X$24),LOOKUP(Q334,[1]对照表!$U$27:$U$48,[1]对照表!$X$27:$X$48)))))</f>
        <v>80</v>
      </c>
      <c r="S334" s="33">
        <f>ROUND(IF(IF($B334="高三",MIN(IF($E334="男",$Q334-3.2,$Q334-3.2),0),IF($B334="高二",MIN(IF($E334="男",$Q334-3.25,$Q334-3.22),0),IF($B334="高一",MIN(IF($E334="男",$Q334-3.3,$Q334-3.24),0))))&lt;-0.6,IF($B334="高三",MIN(IF($E334="男",$Q334-3.2,$Q334-3.2),0),IF($B334="高二",MIN(IF($E334="男",$Q334-3.25,$Q334-3.22),0),IF($B334="高一",MIN(IF($E334="男",$Q334-3.3,$Q334-3.24),0))))+0.4,IF($B334="高三",MIN(IF($E334="男",$Q334-3.2,$Q334-3.2),0),IF($B334="高二",MIN(IF($E334="男",$Q334-3.25,$Q334-3.22),0),IF($B334="高一",MIN(IF($E334="男",$Q334-3.3,$Q334-3.24),0))))),2)</f>
        <v>0</v>
      </c>
      <c r="T334" s="23">
        <f>IF(E334="男",LOOKUP($S334,[1]对照表!$AB$3:$AB$13,[1]对照表!$AC$3:$AC$13),LOOKUP($S334,[1]对照表!$AB$15:$AB$25,[1]对照表!$AC$15:$AC$25))</f>
        <v>0</v>
      </c>
      <c r="U334" s="26">
        <f>R334+T334</f>
        <v>80</v>
      </c>
      <c r="V334" s="26">
        <f>SUM(I334,K334,M334)/3*0.3+SUM(G334,R334)/2*0.4</f>
        <v>66</v>
      </c>
      <c r="W334" s="27">
        <f>O334+T334</f>
        <v>10</v>
      </c>
      <c r="X334" s="28">
        <f>V334/0.7+W334</f>
        <v>104.28571428571429</v>
      </c>
      <c r="Y334" s="28">
        <v>104.28571428571429</v>
      </c>
      <c r="Z334" s="21"/>
    </row>
    <row r="335" spans="1:26" x14ac:dyDescent="0.25">
      <c r="A335" s="16">
        <v>24</v>
      </c>
      <c r="B335" s="17" t="s">
        <v>21</v>
      </c>
      <c r="C335" s="16">
        <v>109</v>
      </c>
      <c r="D335" s="18" t="s">
        <v>73</v>
      </c>
      <c r="E335" s="16" t="s">
        <v>23</v>
      </c>
      <c r="F335" s="19">
        <v>6.7</v>
      </c>
      <c r="G335" s="32">
        <f>IF(B335="高三",IF($E335="男",LOOKUP(F335,[1]对照表!$G$3:$G$24,[1]对照表!$H$3:$H$24),LOOKUP(F335,[1]对照表!$G$27:$G$48,[1]对照表!$H$27:$H$48)),IF(B335="高二",IF($E335="男",LOOKUP(F335,[1]对照表!$F$3:$F$24,[1]对照表!$H$3:$H$24),LOOKUP(F335,[1]对照表!$F$27:$F$48,[1]对照表!$H$27:$H$48)),IF(B335="高一",IF($E335="男",LOOKUP(F335,[1]对照表!$E$3:$E$24,[1]对照表!$H$3:$H$24),LOOKUP(F335,[1]对照表!$E$27:$E$48,[1]对照表!$H$27:$H$48)))))</f>
        <v>100</v>
      </c>
      <c r="H335" s="21">
        <v>10</v>
      </c>
      <c r="I335" s="32">
        <f>IF(B335="高三",IF($E335="男",LOOKUP(H335,[1]对照表!$K$3:$K$24,[1]对照表!$L$3:$L$24),LOOKUP(H335,[1]对照表!$K$27:$K$48,[1]对照表!$L$27:$L$48)),IF(B335="高二",IF($E335="男",LOOKUP(H335,[1]对照表!$J$3:$J$24,[1]对照表!$L$3:$L$24),LOOKUP(H335,[1]对照表!$J$27:$J$48,[1]对照表!$L$27:$L$48)),IF(B335="高一",IF($E335="男",LOOKUP(H335,[1]对照表!$I$3:$I$24,[1]对照表!$L$3:$L$24),LOOKUP(H335,[1]对照表!$I$27:$I$48,[1]对照表!$L$27:$L$48)))))</f>
        <v>72</v>
      </c>
      <c r="J335" s="21">
        <v>270</v>
      </c>
      <c r="K335" s="32">
        <f>IF(B335="高三",IF($E335="男",LOOKUP(J335,[1]对照表!$O$3:$O$24,[1]对照表!$P$3:$P$24),LOOKUP(J335,[1]对照表!$O$27:$O$48,[1]对照表!$P$27:$P$48)),IF(B335="高二",IF($E335="男",LOOKUP(J335,[1]对照表!$N$3:$N$24,[1]对照表!$P$3:$P$24),LOOKUP(J335,[1]对照表!$N$27:$N$48,[1]对照表!$P$27:$P$48)),IF(B335="高一",IF($E335="男",LOOKUP(J335,[1]对照表!$M$3:$M$24,[1]对照表!$P$3:$P$24),LOOKUP(J335,[1]对照表!$M$27:$M$48,[1]对照表!$P$27:$P$48)))))</f>
        <v>100</v>
      </c>
      <c r="L335" s="21">
        <v>20</v>
      </c>
      <c r="M335" s="32">
        <f>IF(B335="高三",IF($E335="男",LOOKUP(L335,[1]对照表!$S$3:$S$24,[1]对照表!$T$3:$T$24),LOOKUP(L335,[1]对照表!$S$27:$S$48,[1]对照表!$T$27:$T$48)),IF(B335="高二",IF($E335="男",LOOKUP(L335,[1]对照表!$R$3:$R$24,[1]对照表!$T$3:$T$24),LOOKUP(L335,[1]对照表!$R$27:$R$48,[1]对照表!$T$27:$T$48)),IF(B335="高一",IF($E335="男",LOOKUP(L335,[1]对照表!$Q$3:$Q$24,[1]对照表!$T$3:$T$24),LOOKUP(L335,[1]对照表!$Q$27:$Q$48,[1]对照表!$T$27:$T$48)))))</f>
        <v>100</v>
      </c>
      <c r="N335" s="33">
        <f>IF(B335="高三",MAX(IF(E335="男",L335-18,L335-55),0),IF(B335="高二",MAX(IF(E335="男",L335-17,L335-54),0),IF(B335="高一",MAX(IF(E335="男",L335-16,L335-53),0))))</f>
        <v>4</v>
      </c>
      <c r="O335" s="23">
        <f>IF(E335="男",LOOKUP($N335,[1]对照表!$Z$3:$Z$13,[1]对照表!$AA$3:$AA$13),LOOKUP($N335,[1]对照表!$Z$15:$Z$25,[1]对照表!$AA$15:$AA$25))</f>
        <v>4</v>
      </c>
      <c r="P335" s="24">
        <f>M335+O335</f>
        <v>104</v>
      </c>
      <c r="Q335" s="25">
        <v>3.27</v>
      </c>
      <c r="R335" s="32">
        <f>IF(B335="高三",IF($E335="男",LOOKUP(Q335,[1]对照表!$W$3:$W$24,[1]对照表!$X$3:$X$24),LOOKUP(Q335,[1]对照表!$W$27:$W$48,[1]对照表!$X$27:$X$48)),IF(B335="高二",IF($E335="男",LOOKUP(Q335,[1]对照表!$V$3:$V$24,[1]对照表!$X$3:$X$24),LOOKUP(Q335,[1]对照表!$V$27:$V$48,[1]对照表!$X$27:$X$48)),IF(B335="高一",IF($E335="男",LOOKUP(Q335,[1]对照表!$U$3:$U$24,[1]对照表!$X$3:$X$24),LOOKUP(Q335,[1]对照表!$U$27:$U$48,[1]对照表!$X$27:$X$48)))))</f>
        <v>100</v>
      </c>
      <c r="S335" s="33">
        <f>ROUND(IF(IF($B335="高三",MIN(IF($E335="男",$Q335-3.2,$Q335-3.2),0),IF($B335="高二",MIN(IF($E335="男",$Q335-3.25,$Q335-3.22),0),IF($B335="高一",MIN(IF($E335="男",$Q335-3.3,$Q335-3.24),0))))&lt;-0.6,IF($B335="高三",MIN(IF($E335="男",$Q335-3.2,$Q335-3.2),0),IF($B335="高二",MIN(IF($E335="男",$Q335-3.25,$Q335-3.22),0),IF($B335="高一",MIN(IF($E335="男",$Q335-3.3,$Q335-3.24),0))))+0.4,IF($B335="高三",MIN(IF($E335="男",$Q335-3.2,$Q335-3.2),0),IF($B335="高二",MIN(IF($E335="男",$Q335-3.25,$Q335-3.22),0),IF($B335="高一",MIN(IF($E335="男",$Q335-3.3,$Q335-3.24),0))))),2)</f>
        <v>-0.03</v>
      </c>
      <c r="T335" s="23">
        <f>IF(E335="男",LOOKUP($S335,[1]对照表!$AB$3:$AB$13,[1]对照表!$AC$3:$AC$13),LOOKUP($S335,[1]对照表!$AB$15:$AB$25,[1]对照表!$AC$15:$AC$25))</f>
        <v>0</v>
      </c>
      <c r="U335" s="26">
        <f>R335+T335</f>
        <v>100</v>
      </c>
      <c r="V335" s="26">
        <f>SUM(I335,K335,M335)/3*0.3+SUM(G335,R335)/2*0.4</f>
        <v>67.2</v>
      </c>
      <c r="W335" s="27">
        <f>O335+T335</f>
        <v>4</v>
      </c>
      <c r="X335" s="28">
        <f>V335/0.7+W335</f>
        <v>100.00000000000001</v>
      </c>
      <c r="Y335" s="28">
        <v>100.00000000000001</v>
      </c>
      <c r="Z335" s="21"/>
    </row>
    <row r="336" spans="1:26" x14ac:dyDescent="0.25">
      <c r="A336" s="16">
        <v>14</v>
      </c>
      <c r="B336" s="17" t="s">
        <v>21</v>
      </c>
      <c r="C336" s="16">
        <v>109</v>
      </c>
      <c r="D336" s="18" t="s">
        <v>79</v>
      </c>
      <c r="E336" s="17" t="s">
        <v>23</v>
      </c>
      <c r="F336" s="19">
        <v>6.7</v>
      </c>
      <c r="G336" s="32">
        <f>IF(B336="高三",IF($E336="男",LOOKUP(F336,[1]对照表!$G$3:$G$24,[1]对照表!$H$3:$H$24),LOOKUP(F336,[1]对照表!$G$27:$G$48,[1]对照表!$H$27:$H$48)),IF(B336="高二",IF($E336="男",LOOKUP(F336,[1]对照表!$F$3:$F$24,[1]对照表!$H$3:$H$24),LOOKUP(F336,[1]对照表!$F$27:$F$48,[1]对照表!$H$27:$H$48)),IF(B336="高一",IF($E336="男",LOOKUP(F336,[1]对照表!$E$3:$E$24,[1]对照表!$H$3:$H$24),LOOKUP(F336,[1]对照表!$E$27:$E$48,[1]对照表!$H$27:$H$48)))))</f>
        <v>100</v>
      </c>
      <c r="H336" s="21">
        <v>13.1</v>
      </c>
      <c r="I336" s="32">
        <f>IF(B336="高三",IF($E336="男",LOOKUP(H336,[1]对照表!$K$3:$K$24,[1]对照表!$L$3:$L$24),LOOKUP(H336,[1]对照表!$K$27:$K$48,[1]对照表!$L$27:$L$48)),IF(B336="高二",IF($E336="男",LOOKUP(H336,[1]对照表!$J$3:$J$24,[1]对照表!$L$3:$L$24),LOOKUP(H336,[1]对照表!$J$27:$J$48,[1]对照表!$L$27:$L$48)),IF(B336="高一",IF($E336="男",LOOKUP(H336,[1]对照表!$I$3:$I$24,[1]对照表!$L$3:$L$24),LOOKUP(H336,[1]对照表!$I$27:$I$48,[1]对照表!$L$27:$L$48)))))</f>
        <v>76</v>
      </c>
      <c r="J336" s="21">
        <v>243</v>
      </c>
      <c r="K336" s="32">
        <f>IF(B336="高三",IF($E336="男",LOOKUP(J336,[1]对照表!$O$3:$O$24,[1]对照表!$P$3:$P$24),LOOKUP(J336,[1]对照表!$O$27:$O$48,[1]对照表!$P$27:$P$48)),IF(B336="高二",IF($E336="男",LOOKUP(J336,[1]对照表!$N$3:$N$24,[1]对照表!$P$3:$P$24),LOOKUP(J336,[1]对照表!$N$27:$N$48,[1]对照表!$P$27:$P$48)),IF(B336="高一",IF($E336="男",LOOKUP(J336,[1]对照表!$M$3:$M$24,[1]对照表!$P$3:$P$24),LOOKUP(J336,[1]对照表!$M$27:$M$48,[1]对照表!$P$27:$P$48)))))</f>
        <v>85</v>
      </c>
      <c r="L336" s="21">
        <v>18</v>
      </c>
      <c r="M336" s="32">
        <f>IF(B336="高三",IF($E336="男",LOOKUP(L336,[1]对照表!$S$3:$S$24,[1]对照表!$T$3:$T$24),LOOKUP(L336,[1]对照表!$S$27:$S$48,[1]对照表!$T$27:$T$48)),IF(B336="高二",IF($E336="男",LOOKUP(L336,[1]对照表!$R$3:$R$24,[1]对照表!$T$3:$T$24),LOOKUP(L336,[1]对照表!$R$27:$R$48,[1]对照表!$T$27:$T$48)),IF(B336="高一",IF($E336="男",LOOKUP(L336,[1]对照表!$Q$3:$Q$24,[1]对照表!$T$3:$T$24),LOOKUP(L336,[1]对照表!$Q$27:$Q$48,[1]对照表!$T$27:$T$48)))))</f>
        <v>100</v>
      </c>
      <c r="N336" s="33">
        <f>IF(B336="高三",MAX(IF(E336="男",L336-18,L336-55),0),IF(B336="高二",MAX(IF(E336="男",L336-17,L336-54),0),IF(B336="高一",MAX(IF(E336="男",L336-16,L336-53),0))))</f>
        <v>2</v>
      </c>
      <c r="O336" s="23">
        <f>IF(E336="男",LOOKUP($N336,[1]对照表!$Z$3:$Z$13,[1]对照表!$AA$3:$AA$13),LOOKUP($N336,[1]对照表!$Z$15:$Z$25,[1]对照表!$AA$15:$AA$25))</f>
        <v>2</v>
      </c>
      <c r="P336" s="24">
        <f>M336+O336</f>
        <v>102</v>
      </c>
      <c r="Q336" s="25">
        <v>3.16</v>
      </c>
      <c r="R336" s="32">
        <f>IF(B336="高三",IF($E336="男",LOOKUP(Q336,[1]对照表!$W$3:$W$24,[1]对照表!$X$3:$X$24),LOOKUP(Q336,[1]对照表!$W$27:$W$48,[1]对照表!$X$27:$X$48)),IF(B336="高二",IF($E336="男",LOOKUP(Q336,[1]对照表!$V$3:$V$24,[1]对照表!$X$3:$X$24),LOOKUP(Q336,[1]对照表!$V$27:$V$48,[1]对照表!$X$27:$X$48)),IF(B336="高一",IF($E336="男",LOOKUP(Q336,[1]对照表!$U$3:$U$24,[1]对照表!$X$3:$X$24),LOOKUP(Q336,[1]对照表!$U$27:$U$48,[1]对照表!$X$27:$X$48)))))</f>
        <v>100</v>
      </c>
      <c r="S336" s="33">
        <f>ROUND(IF(IF($B336="高三",MIN(IF($E336="男",$Q336-3.2,$Q336-3.2),0),IF($B336="高二",MIN(IF($E336="男",$Q336-3.25,$Q336-3.22),0),IF($B336="高一",MIN(IF($E336="男",$Q336-3.3,$Q336-3.24),0))))&lt;-0.6,IF($B336="高三",MIN(IF($E336="男",$Q336-3.2,$Q336-3.2),0),IF($B336="高二",MIN(IF($E336="男",$Q336-3.25,$Q336-3.22),0),IF($B336="高一",MIN(IF($E336="男",$Q336-3.3,$Q336-3.24),0))))+0.4,IF($B336="高三",MIN(IF($E336="男",$Q336-3.2,$Q336-3.2),0),IF($B336="高二",MIN(IF($E336="男",$Q336-3.25,$Q336-3.22),0),IF($B336="高一",MIN(IF($E336="男",$Q336-3.3,$Q336-3.24),0))))),2)</f>
        <v>-0.14000000000000001</v>
      </c>
      <c r="T336" s="23">
        <f>IF(E336="男",LOOKUP($S336,[1]对照表!$AB$3:$AB$13,[1]对照表!$AC$3:$AC$13),LOOKUP($S336,[1]对照表!$AB$15:$AB$25,[1]对照表!$AC$15:$AC$25))</f>
        <v>3</v>
      </c>
      <c r="U336" s="26">
        <f>R336+T336</f>
        <v>103</v>
      </c>
      <c r="V336" s="26">
        <f>SUM(I336,K336,M336)/3*0.3+SUM(G336,R336)/2*0.4</f>
        <v>66.099999999999994</v>
      </c>
      <c r="W336" s="27">
        <f>O336+T336</f>
        <v>5</v>
      </c>
      <c r="X336" s="28">
        <f>V336/0.7+W336</f>
        <v>99.428571428571431</v>
      </c>
      <c r="Y336" s="28">
        <v>99.428571428571431</v>
      </c>
      <c r="Z336" s="21"/>
    </row>
    <row r="337" spans="1:26" x14ac:dyDescent="0.25">
      <c r="A337" s="16">
        <v>3</v>
      </c>
      <c r="B337" s="17" t="s">
        <v>21</v>
      </c>
      <c r="C337" s="16">
        <v>109</v>
      </c>
      <c r="D337" s="18" t="s">
        <v>81</v>
      </c>
      <c r="E337" s="17" t="s">
        <v>23</v>
      </c>
      <c r="F337" s="19">
        <v>6.6</v>
      </c>
      <c r="G337" s="32">
        <f>IF(B337="高三",IF($E337="男",LOOKUP(F337,[1]对照表!$G$3:$G$24,[1]对照表!$H$3:$H$24),LOOKUP(F337,[1]对照表!$G$27:$G$48,[1]对照表!$H$27:$H$48)),IF(B337="高二",IF($E337="男",LOOKUP(F337,[1]对照表!$F$3:$F$24,[1]对照表!$H$3:$H$24),LOOKUP(F337,[1]对照表!$F$27:$F$48,[1]对照表!$H$27:$H$48)),IF(B337="高一",IF($E337="男",LOOKUP(F337,[1]对照表!$E$3:$E$24,[1]对照表!$H$3:$H$24),LOOKUP(F337,[1]对照表!$E$27:$E$48,[1]对照表!$H$27:$H$48)))))</f>
        <v>100</v>
      </c>
      <c r="H337" s="21">
        <v>16</v>
      </c>
      <c r="I337" s="32">
        <f>IF(B337="高三",IF($E337="男",LOOKUP(H337,[1]对照表!$K$3:$K$24,[1]对照表!$L$3:$L$24),LOOKUP(H337,[1]对照表!$K$27:$K$48,[1]对照表!$L$27:$L$48)),IF(B337="高二",IF($E337="男",LOOKUP(H337,[1]对照表!$J$3:$J$24,[1]对照表!$L$3:$L$24),LOOKUP(H337,[1]对照表!$J$27:$J$48,[1]对照表!$L$27:$L$48)),IF(B337="高一",IF($E337="男",LOOKUP(H337,[1]对照表!$I$3:$I$24,[1]对照表!$L$3:$L$24),LOOKUP(H337,[1]对照表!$I$27:$I$48,[1]对照表!$L$27:$L$48)))))</f>
        <v>80</v>
      </c>
      <c r="J337" s="21">
        <v>265</v>
      </c>
      <c r="K337" s="32">
        <f>IF(B337="高三",IF($E337="男",LOOKUP(J337,[1]对照表!$O$3:$O$24,[1]对照表!$P$3:$P$24),LOOKUP(J337,[1]对照表!$O$27:$O$48,[1]对照表!$P$27:$P$48)),IF(B337="高二",IF($E337="男",LOOKUP(J337,[1]对照表!$N$3:$N$24,[1]对照表!$P$3:$P$24),LOOKUP(J337,[1]对照表!$N$27:$N$48,[1]对照表!$P$27:$P$48)),IF(B337="高一",IF($E337="男",LOOKUP(J337,[1]对照表!$M$3:$M$24,[1]对照表!$P$3:$P$24),LOOKUP(J337,[1]对照表!$M$27:$M$48,[1]对照表!$P$27:$P$48)))))</f>
        <v>100</v>
      </c>
      <c r="L337" s="21">
        <v>16</v>
      </c>
      <c r="M337" s="32">
        <f>IF(B337="高三",IF($E337="男",LOOKUP(L337,[1]对照表!$S$3:$S$24,[1]对照表!$T$3:$T$24),LOOKUP(L337,[1]对照表!$S$27:$S$48,[1]对照表!$T$27:$T$48)),IF(B337="高二",IF($E337="男",LOOKUP(L337,[1]对照表!$R$3:$R$24,[1]对照表!$T$3:$T$24),LOOKUP(L337,[1]对照表!$R$27:$R$48,[1]对照表!$T$27:$T$48)),IF(B337="高一",IF($E337="男",LOOKUP(L337,[1]对照表!$Q$3:$Q$24,[1]对照表!$T$3:$T$24),LOOKUP(L337,[1]对照表!$Q$27:$Q$48,[1]对照表!$T$27:$T$48)))))</f>
        <v>100</v>
      </c>
      <c r="N337" s="33">
        <f>IF(B337="高三",MAX(IF(E337="男",L337-18,L337-55),0),IF(B337="高二",MAX(IF(E337="男",L337-17,L337-54),0),IF(B337="高一",MAX(IF(E337="男",L337-16,L337-53),0))))</f>
        <v>0</v>
      </c>
      <c r="O337" s="23">
        <f>IF(E337="男",LOOKUP($N337,[1]对照表!$Z$3:$Z$13,[1]对照表!$AA$3:$AA$13),LOOKUP($N337,[1]对照表!$Z$15:$Z$25,[1]对照表!$AA$15:$AA$25))</f>
        <v>0</v>
      </c>
      <c r="P337" s="24">
        <f>M337+O337</f>
        <v>100</v>
      </c>
      <c r="Q337" s="25">
        <v>3.21</v>
      </c>
      <c r="R337" s="32">
        <f>IF(B337="高三",IF($E337="男",LOOKUP(Q337,[1]对照表!$W$3:$W$24,[1]对照表!$X$3:$X$24),LOOKUP(Q337,[1]对照表!$W$27:$W$48,[1]对照表!$X$27:$X$48)),IF(B337="高二",IF($E337="男",LOOKUP(Q337,[1]对照表!$V$3:$V$24,[1]对照表!$X$3:$X$24),LOOKUP(Q337,[1]对照表!$V$27:$V$48,[1]对照表!$X$27:$X$48)),IF(B337="高一",IF($E337="男",LOOKUP(Q337,[1]对照表!$U$3:$U$24,[1]对照表!$X$3:$X$24),LOOKUP(Q337,[1]对照表!$U$27:$U$48,[1]对照表!$X$27:$X$48)))))</f>
        <v>100</v>
      </c>
      <c r="S337" s="33">
        <f>ROUND(IF(IF($B337="高三",MIN(IF($E337="男",$Q337-3.2,$Q337-3.2),0),IF($B337="高二",MIN(IF($E337="男",$Q337-3.25,$Q337-3.22),0),IF($B337="高一",MIN(IF($E337="男",$Q337-3.3,$Q337-3.24),0))))&lt;-0.6,IF($B337="高三",MIN(IF($E337="男",$Q337-3.2,$Q337-3.2),0),IF($B337="高二",MIN(IF($E337="男",$Q337-3.25,$Q337-3.22),0),IF($B337="高一",MIN(IF($E337="男",$Q337-3.3,$Q337-3.24),0))))+0.4,IF($B337="高三",MIN(IF($E337="男",$Q337-3.2,$Q337-3.2),0),IF($B337="高二",MIN(IF($E337="男",$Q337-3.25,$Q337-3.22),0),IF($B337="高一",MIN(IF($E337="男",$Q337-3.3,$Q337-3.24),0))))),2)</f>
        <v>-0.09</v>
      </c>
      <c r="T337" s="23">
        <f>IF(E337="男",LOOKUP($S337,[1]对照表!$AB$3:$AB$13,[1]对照表!$AC$3:$AC$13),LOOKUP($S337,[1]对照表!$AB$15:$AB$25,[1]对照表!$AC$15:$AC$25))</f>
        <v>2</v>
      </c>
      <c r="U337" s="26">
        <f>R337+T337</f>
        <v>102</v>
      </c>
      <c r="V337" s="26">
        <f>SUM(I337,K337,M337)/3*0.3+SUM(G337,R337)/2*0.4</f>
        <v>68</v>
      </c>
      <c r="W337" s="27">
        <f>O337+T337</f>
        <v>2</v>
      </c>
      <c r="X337" s="28">
        <f>V337/0.7+W337</f>
        <v>99.142857142857153</v>
      </c>
      <c r="Y337" s="28">
        <v>99.142857142857153</v>
      </c>
      <c r="Z337" s="21"/>
    </row>
    <row r="338" spans="1:26" x14ac:dyDescent="0.25">
      <c r="A338" s="16">
        <v>9</v>
      </c>
      <c r="B338" s="17" t="s">
        <v>21</v>
      </c>
      <c r="C338" s="16">
        <v>109</v>
      </c>
      <c r="D338" s="18" t="s">
        <v>97</v>
      </c>
      <c r="E338" s="17" t="s">
        <v>23</v>
      </c>
      <c r="F338" s="19">
        <v>6.9</v>
      </c>
      <c r="G338" s="32">
        <f>IF(B338="高三",IF($E338="男",LOOKUP(F338,[1]对照表!$G$3:$G$24,[1]对照表!$H$3:$H$24),LOOKUP(F338,[1]对照表!$G$27:$G$48,[1]对照表!$H$27:$H$48)),IF(B338="高二",IF($E338="男",LOOKUP(F338,[1]对照表!$F$3:$F$24,[1]对照表!$H$3:$H$24),LOOKUP(F338,[1]对照表!$F$27:$F$48,[1]对照表!$H$27:$H$48)),IF(B338="高一",IF($E338="男",LOOKUP(F338,[1]对照表!$E$3:$E$24,[1]对照表!$H$3:$H$24),LOOKUP(F338,[1]对照表!$E$27:$E$48,[1]对照表!$H$27:$H$48)))))</f>
        <v>100</v>
      </c>
      <c r="H338" s="21">
        <v>10.5</v>
      </c>
      <c r="I338" s="32">
        <f>IF(B338="高三",IF($E338="男",LOOKUP(H338,[1]对照表!$K$3:$K$24,[1]对照表!$L$3:$L$24),LOOKUP(H338,[1]对照表!$K$27:$K$48,[1]对照表!$L$27:$L$48)),IF(B338="高二",IF($E338="男",LOOKUP(H338,[1]对照表!$J$3:$J$24,[1]对照表!$L$3:$L$24),LOOKUP(H338,[1]对照表!$J$27:$J$48,[1]对照表!$L$27:$L$48)),IF(B338="高一",IF($E338="男",LOOKUP(H338,[1]对照表!$I$3:$I$24,[1]对照表!$L$3:$L$24),LOOKUP(H338,[1]对照表!$I$27:$I$48,[1]对照表!$L$27:$L$48)))))</f>
        <v>72</v>
      </c>
      <c r="J338" s="21">
        <v>236</v>
      </c>
      <c r="K338" s="32">
        <f>IF(B338="高三",IF($E338="男",LOOKUP(J338,[1]对照表!$O$3:$O$24,[1]对照表!$P$3:$P$24),LOOKUP(J338,[1]对照表!$O$27:$O$48,[1]对照表!$P$27:$P$48)),IF(B338="高二",IF($E338="男",LOOKUP(J338,[1]对照表!$N$3:$N$24,[1]对照表!$P$3:$P$24),LOOKUP(J338,[1]对照表!$N$27:$N$48,[1]对照表!$P$27:$P$48)),IF(B338="高一",IF($E338="男",LOOKUP(J338,[1]对照表!$M$3:$M$24,[1]对照表!$P$3:$P$24),LOOKUP(J338,[1]对照表!$M$27:$M$48,[1]对照表!$P$27:$P$48)))))</f>
        <v>80</v>
      </c>
      <c r="L338" s="21">
        <v>26</v>
      </c>
      <c r="M338" s="32">
        <f>IF(B338="高三",IF($E338="男",LOOKUP(L338,[1]对照表!$S$3:$S$24,[1]对照表!$T$3:$T$24),LOOKUP(L338,[1]对照表!$S$27:$S$48,[1]对照表!$T$27:$T$48)),IF(B338="高二",IF($E338="男",LOOKUP(L338,[1]对照表!$R$3:$R$24,[1]对照表!$T$3:$T$24),LOOKUP(L338,[1]对照表!$R$27:$R$48,[1]对照表!$T$27:$T$48)),IF(B338="高一",IF($E338="男",LOOKUP(L338,[1]对照表!$Q$3:$Q$24,[1]对照表!$T$3:$T$24),LOOKUP(L338,[1]对照表!$Q$27:$Q$48,[1]对照表!$T$27:$T$48)))))</f>
        <v>100</v>
      </c>
      <c r="N338" s="33">
        <f>IF(B338="高三",MAX(IF(E338="男",L338-18,L338-55),0),IF(B338="高二",MAX(IF(E338="男",L338-17,L338-54),0),IF(B338="高一",MAX(IF(E338="男",L338-16,L338-53),0))))</f>
        <v>10</v>
      </c>
      <c r="O338" s="23">
        <f>IF(E338="男",LOOKUP($N338,[1]对照表!$Z$3:$Z$13,[1]对照表!$AA$3:$AA$13),LOOKUP($N338,[1]对照表!$Z$15:$Z$25,[1]对照表!$AA$15:$AA$25))</f>
        <v>10</v>
      </c>
      <c r="P338" s="24">
        <f>M338+O338</f>
        <v>110</v>
      </c>
      <c r="Q338" s="25">
        <v>3.52</v>
      </c>
      <c r="R338" s="32">
        <f>IF(B338="高三",IF($E338="男",LOOKUP(Q338,[1]对照表!$W$3:$W$24,[1]对照表!$X$3:$X$24),LOOKUP(Q338,[1]对照表!$W$27:$W$48,[1]对照表!$X$27:$X$48)),IF(B338="高二",IF($E338="男",LOOKUP(Q338,[1]对照表!$V$3:$V$24,[1]对照表!$X$3:$X$24),LOOKUP(Q338,[1]对照表!$V$27:$V$48,[1]对照表!$X$27:$X$48)),IF(B338="高一",IF($E338="男",LOOKUP(Q338,[1]对照表!$U$3:$U$24,[1]对照表!$X$3:$X$24),LOOKUP(Q338,[1]对照表!$U$27:$U$48,[1]对照表!$X$27:$X$48)))))</f>
        <v>80</v>
      </c>
      <c r="S338" s="33">
        <f>ROUND(IF(IF($B338="高三",MIN(IF($E338="男",$Q338-3.2,$Q338-3.2),0),IF($B338="高二",MIN(IF($E338="男",$Q338-3.25,$Q338-3.22),0),IF($B338="高一",MIN(IF($E338="男",$Q338-3.3,$Q338-3.24),0))))&lt;-0.6,IF($B338="高三",MIN(IF($E338="男",$Q338-3.2,$Q338-3.2),0),IF($B338="高二",MIN(IF($E338="男",$Q338-3.25,$Q338-3.22),0),IF($B338="高一",MIN(IF($E338="男",$Q338-3.3,$Q338-3.24),0))))+0.4,IF($B338="高三",MIN(IF($E338="男",$Q338-3.2,$Q338-3.2),0),IF($B338="高二",MIN(IF($E338="男",$Q338-3.25,$Q338-3.22),0),IF($B338="高一",MIN(IF($E338="男",$Q338-3.3,$Q338-3.24),0))))),2)</f>
        <v>0</v>
      </c>
      <c r="T338" s="23">
        <f>IF(E338="男",LOOKUP($S338,[1]对照表!$AB$3:$AB$13,[1]对照表!$AC$3:$AC$13),LOOKUP($S338,[1]对照表!$AB$15:$AB$25,[1]对照表!$AC$15:$AC$25))</f>
        <v>0</v>
      </c>
      <c r="U338" s="26">
        <f>R338+T338</f>
        <v>80</v>
      </c>
      <c r="V338" s="26">
        <f>SUM(I338,K338,M338)/3*0.3+SUM(G338,R338)/2*0.4</f>
        <v>61.2</v>
      </c>
      <c r="W338" s="27">
        <f>O338+T338</f>
        <v>10</v>
      </c>
      <c r="X338" s="28">
        <f>V338/0.7+W338</f>
        <v>97.428571428571445</v>
      </c>
      <c r="Y338" s="28">
        <v>97.428571428571445</v>
      </c>
      <c r="Z338" s="21"/>
    </row>
    <row r="339" spans="1:26" x14ac:dyDescent="0.25">
      <c r="A339" s="16">
        <v>26</v>
      </c>
      <c r="B339" s="17" t="s">
        <v>21</v>
      </c>
      <c r="C339" s="16">
        <v>109</v>
      </c>
      <c r="D339" s="18" t="s">
        <v>100</v>
      </c>
      <c r="E339" s="16" t="s">
        <v>23</v>
      </c>
      <c r="F339" s="19">
        <v>6.7</v>
      </c>
      <c r="G339" s="32">
        <f>IF(B339="高三",IF($E339="男",LOOKUP(F339,[1]对照表!$G$3:$G$24,[1]对照表!$H$3:$H$24),LOOKUP(F339,[1]对照表!$G$27:$G$48,[1]对照表!$H$27:$H$48)),IF(B339="高二",IF($E339="男",LOOKUP(F339,[1]对照表!$F$3:$F$24,[1]对照表!$H$3:$H$24),LOOKUP(F339,[1]对照表!$F$27:$F$48,[1]对照表!$H$27:$H$48)),IF(B339="高一",IF($E339="男",LOOKUP(F339,[1]对照表!$E$3:$E$24,[1]对照表!$H$3:$H$24),LOOKUP(F339,[1]对照表!$E$27:$E$48,[1]对照表!$H$27:$H$48)))))</f>
        <v>100</v>
      </c>
      <c r="H339" s="21">
        <v>8</v>
      </c>
      <c r="I339" s="32">
        <f>IF(B339="高三",IF($E339="男",LOOKUP(H339,[1]对照表!$K$3:$K$24,[1]对照表!$L$3:$L$24),LOOKUP(H339,[1]对照表!$K$27:$K$48,[1]对照表!$L$27:$L$48)),IF(B339="高二",IF($E339="男",LOOKUP(H339,[1]对照表!$J$3:$J$24,[1]对照表!$L$3:$L$24),LOOKUP(H339,[1]对照表!$J$27:$J$48,[1]对照表!$L$27:$L$48)),IF(B339="高一",IF($E339="男",LOOKUP(H339,[1]对照表!$I$3:$I$24,[1]对照表!$L$3:$L$24),LOOKUP(H339,[1]对照表!$I$27:$I$48,[1]对照表!$L$27:$L$48)))))</f>
        <v>70</v>
      </c>
      <c r="J339" s="21">
        <v>255</v>
      </c>
      <c r="K339" s="32">
        <f>IF(B339="高三",IF($E339="男",LOOKUP(J339,[1]对照表!$O$3:$O$24,[1]对照表!$P$3:$P$24),LOOKUP(J339,[1]对照表!$O$27:$O$48,[1]对照表!$P$27:$P$48)),IF(B339="高二",IF($E339="男",LOOKUP(J339,[1]对照表!$N$3:$N$24,[1]对照表!$P$3:$P$24),LOOKUP(J339,[1]对照表!$N$27:$N$48,[1]对照表!$P$27:$P$48)),IF(B339="高一",IF($E339="男",LOOKUP(J339,[1]对照表!$M$3:$M$24,[1]对照表!$P$3:$P$24),LOOKUP(J339,[1]对照表!$M$27:$M$48,[1]对照表!$P$27:$P$48)))))</f>
        <v>95</v>
      </c>
      <c r="L339" s="21">
        <v>17</v>
      </c>
      <c r="M339" s="32">
        <f>IF(B339="高三",IF($E339="男",LOOKUP(L339,[1]对照表!$S$3:$S$24,[1]对照表!$T$3:$T$24),LOOKUP(L339,[1]对照表!$S$27:$S$48,[1]对照表!$T$27:$T$48)),IF(B339="高二",IF($E339="男",LOOKUP(L339,[1]对照表!$R$3:$R$24,[1]对照表!$T$3:$T$24),LOOKUP(L339,[1]对照表!$R$27:$R$48,[1]对照表!$T$27:$T$48)),IF(B339="高一",IF($E339="男",LOOKUP(L339,[1]对照表!$Q$3:$Q$24,[1]对照表!$T$3:$T$24),LOOKUP(L339,[1]对照表!$Q$27:$Q$48,[1]对照表!$T$27:$T$48)))))</f>
        <v>100</v>
      </c>
      <c r="N339" s="33">
        <f>IF(B339="高三",MAX(IF(E339="男",L339-18,L339-55),0),IF(B339="高二",MAX(IF(E339="男",L339-17,L339-54),0),IF(B339="高一",MAX(IF(E339="男",L339-16,L339-53),0))))</f>
        <v>1</v>
      </c>
      <c r="O339" s="23">
        <f>IF(E339="男",LOOKUP($N339,[1]对照表!$Z$3:$Z$13,[1]对照表!$AA$3:$AA$13),LOOKUP($N339,[1]对照表!$Z$15:$Z$25,[1]对照表!$AA$15:$AA$25))</f>
        <v>1</v>
      </c>
      <c r="P339" s="24">
        <f>M339+O339</f>
        <v>101</v>
      </c>
      <c r="Q339" s="25">
        <v>3.25</v>
      </c>
      <c r="R339" s="32">
        <f>IF(B339="高三",IF($E339="男",LOOKUP(Q339,[1]对照表!$W$3:$W$24,[1]对照表!$X$3:$X$24),LOOKUP(Q339,[1]对照表!$W$27:$W$48,[1]对照表!$X$27:$X$48)),IF(B339="高二",IF($E339="男",LOOKUP(Q339,[1]对照表!$V$3:$V$24,[1]对照表!$X$3:$X$24),LOOKUP(Q339,[1]对照表!$V$27:$V$48,[1]对照表!$X$27:$X$48)),IF(B339="高一",IF($E339="男",LOOKUP(Q339,[1]对照表!$U$3:$U$24,[1]对照表!$X$3:$X$24),LOOKUP(Q339,[1]对照表!$U$27:$U$48,[1]对照表!$X$27:$X$48)))))</f>
        <v>100</v>
      </c>
      <c r="S339" s="33">
        <f>ROUND(IF(IF($B339="高三",MIN(IF($E339="男",$Q339-3.2,$Q339-3.2),0),IF($B339="高二",MIN(IF($E339="男",$Q339-3.25,$Q339-3.22),0),IF($B339="高一",MIN(IF($E339="男",$Q339-3.3,$Q339-3.24),0))))&lt;-0.6,IF($B339="高三",MIN(IF($E339="男",$Q339-3.2,$Q339-3.2),0),IF($B339="高二",MIN(IF($E339="男",$Q339-3.25,$Q339-3.22),0),IF($B339="高一",MIN(IF($E339="男",$Q339-3.3,$Q339-3.24),0))))+0.4,IF($B339="高三",MIN(IF($E339="男",$Q339-3.2,$Q339-3.2),0),IF($B339="高二",MIN(IF($E339="男",$Q339-3.25,$Q339-3.22),0),IF($B339="高一",MIN(IF($E339="男",$Q339-3.3,$Q339-3.24),0))))),2)</f>
        <v>-0.05</v>
      </c>
      <c r="T339" s="23">
        <f>IF(E339="男",LOOKUP($S339,[1]对照表!$AB$3:$AB$13,[1]对照表!$AC$3:$AC$13),LOOKUP($S339,[1]对照表!$AB$15:$AB$25,[1]对照表!$AC$15:$AC$25))</f>
        <v>1</v>
      </c>
      <c r="U339" s="26">
        <f>R339+T339</f>
        <v>101</v>
      </c>
      <c r="V339" s="26">
        <f>SUM(I339,K339,M339)/3*0.3+SUM(G339,R339)/2*0.4</f>
        <v>66.5</v>
      </c>
      <c r="W339" s="27">
        <f>O339+T339</f>
        <v>2</v>
      </c>
      <c r="X339" s="28">
        <f>V339/0.7+W339</f>
        <v>97</v>
      </c>
      <c r="Y339" s="28">
        <v>97</v>
      </c>
      <c r="Z339" s="21"/>
    </row>
    <row r="340" spans="1:26" x14ac:dyDescent="0.25">
      <c r="A340" s="16">
        <v>16</v>
      </c>
      <c r="B340" s="17" t="s">
        <v>21</v>
      </c>
      <c r="C340" s="16">
        <v>109</v>
      </c>
      <c r="D340" s="18" t="s">
        <v>111</v>
      </c>
      <c r="E340" s="17" t="s">
        <v>23</v>
      </c>
      <c r="F340" s="19">
        <v>7.1</v>
      </c>
      <c r="G340" s="32">
        <f>IF(B340="高三",IF($E340="男",LOOKUP(F340,[1]对照表!$G$3:$G$24,[1]对照表!$H$3:$H$24),LOOKUP(F340,[1]对照表!$G$27:$G$48,[1]对照表!$H$27:$H$48)),IF(B340="高二",IF($E340="男",LOOKUP(F340,[1]对照表!$F$3:$F$24,[1]对照表!$H$3:$H$24),LOOKUP(F340,[1]对照表!$F$27:$F$48,[1]对照表!$H$27:$H$48)),IF(B340="高一",IF($E340="男",LOOKUP(F340,[1]对照表!$E$3:$E$24,[1]对照表!$H$3:$H$24),LOOKUP(F340,[1]对照表!$E$27:$E$48,[1]对照表!$H$27:$H$48)))))</f>
        <v>100</v>
      </c>
      <c r="H340" s="21">
        <v>14</v>
      </c>
      <c r="I340" s="32">
        <f>IF(B340="高三",IF($E340="男",LOOKUP(H340,[1]对照表!$K$3:$K$24,[1]对照表!$L$3:$L$24),LOOKUP(H340,[1]对照表!$K$27:$K$48,[1]对照表!$L$27:$L$48)),IF(B340="高二",IF($E340="男",LOOKUP(H340,[1]对照表!$J$3:$J$24,[1]对照表!$L$3:$L$24),LOOKUP(H340,[1]对照表!$J$27:$J$48,[1]对照表!$L$27:$L$48)),IF(B340="高一",IF($E340="男",LOOKUP(H340,[1]对照表!$I$3:$I$24,[1]对照表!$L$3:$L$24),LOOKUP(H340,[1]对照表!$I$27:$I$48,[1]对照表!$L$27:$L$48)))))</f>
        <v>78</v>
      </c>
      <c r="J340" s="21">
        <v>251</v>
      </c>
      <c r="K340" s="32">
        <f>IF(B340="高三",IF($E340="男",LOOKUP(J340,[1]对照表!$O$3:$O$24,[1]对照表!$P$3:$P$24),LOOKUP(J340,[1]对照表!$O$27:$O$48,[1]对照表!$P$27:$P$48)),IF(B340="高二",IF($E340="男",LOOKUP(J340,[1]对照表!$N$3:$N$24,[1]对照表!$P$3:$P$24),LOOKUP(J340,[1]对照表!$N$27:$N$48,[1]对照表!$P$27:$P$48)),IF(B340="高一",IF($E340="男",LOOKUP(J340,[1]对照表!$M$3:$M$24,[1]对照表!$P$3:$P$24),LOOKUP(J340,[1]对照表!$M$27:$M$48,[1]对照表!$P$27:$P$48)))))</f>
        <v>90</v>
      </c>
      <c r="L340" s="21">
        <v>19</v>
      </c>
      <c r="M340" s="32">
        <f>IF(B340="高三",IF($E340="男",LOOKUP(L340,[1]对照表!$S$3:$S$24,[1]对照表!$T$3:$T$24),LOOKUP(L340,[1]对照表!$S$27:$S$48,[1]对照表!$T$27:$T$48)),IF(B340="高二",IF($E340="男",LOOKUP(L340,[1]对照表!$R$3:$R$24,[1]对照表!$T$3:$T$24),LOOKUP(L340,[1]对照表!$R$27:$R$48,[1]对照表!$T$27:$T$48)),IF(B340="高一",IF($E340="男",LOOKUP(L340,[1]对照表!$Q$3:$Q$24,[1]对照表!$T$3:$T$24),LOOKUP(L340,[1]对照表!$Q$27:$Q$48,[1]对照表!$T$27:$T$48)))))</f>
        <v>100</v>
      </c>
      <c r="N340" s="33">
        <f>IF(B340="高三",MAX(IF(E340="男",L340-18,L340-55),0),IF(B340="高二",MAX(IF(E340="男",L340-17,L340-54),0),IF(B340="高一",MAX(IF(E340="男",L340-16,L340-53),0))))</f>
        <v>3</v>
      </c>
      <c r="O340" s="23">
        <f>IF(E340="男",LOOKUP($N340,[1]对照表!$Z$3:$Z$13,[1]对照表!$AA$3:$AA$13),LOOKUP($N340,[1]对照表!$Z$15:$Z$25,[1]对照表!$AA$15:$AA$25))</f>
        <v>3</v>
      </c>
      <c r="P340" s="24">
        <f>M340+O340</f>
        <v>103</v>
      </c>
      <c r="Q340" s="25">
        <v>3.4</v>
      </c>
      <c r="R340" s="32">
        <f>IF(B340="高三",IF($E340="男",LOOKUP(Q340,[1]对照表!$W$3:$W$24,[1]对照表!$X$3:$X$24),LOOKUP(Q340,[1]对照表!$W$27:$W$48,[1]对照表!$X$27:$X$48)),IF(B340="高二",IF($E340="男",LOOKUP(Q340,[1]对照表!$V$3:$V$24,[1]对照表!$X$3:$X$24),LOOKUP(Q340,[1]对照表!$V$27:$V$48,[1]对照表!$X$27:$X$48)),IF(B340="高一",IF($E340="男",LOOKUP(Q340,[1]对照表!$U$3:$U$24,[1]对照表!$X$3:$X$24),LOOKUP(Q340,[1]对照表!$U$27:$U$48,[1]对照表!$X$27:$X$48)))))</f>
        <v>90</v>
      </c>
      <c r="S340" s="33">
        <f>ROUND(IF(IF($B340="高三",MIN(IF($E340="男",$Q340-3.2,$Q340-3.2),0),IF($B340="高二",MIN(IF($E340="男",$Q340-3.25,$Q340-3.22),0),IF($B340="高一",MIN(IF($E340="男",$Q340-3.3,$Q340-3.24),0))))&lt;-0.6,IF($B340="高三",MIN(IF($E340="男",$Q340-3.2,$Q340-3.2),0),IF($B340="高二",MIN(IF($E340="男",$Q340-3.25,$Q340-3.22),0),IF($B340="高一",MIN(IF($E340="男",$Q340-3.3,$Q340-3.24),0))))+0.4,IF($B340="高三",MIN(IF($E340="男",$Q340-3.2,$Q340-3.2),0),IF($B340="高二",MIN(IF($E340="男",$Q340-3.25,$Q340-3.22),0),IF($B340="高一",MIN(IF($E340="男",$Q340-3.3,$Q340-3.24),0))))),2)</f>
        <v>0</v>
      </c>
      <c r="T340" s="23">
        <f>IF(E340="男",LOOKUP($S340,[1]对照表!$AB$3:$AB$13,[1]对照表!$AC$3:$AC$13),LOOKUP($S340,[1]对照表!$AB$15:$AB$25,[1]对照表!$AC$15:$AC$25))</f>
        <v>0</v>
      </c>
      <c r="U340" s="26">
        <f>R340+T340</f>
        <v>90</v>
      </c>
      <c r="V340" s="26">
        <f>SUM(I340,K340,M340)/3*0.3+SUM(G340,R340)/2*0.4</f>
        <v>64.8</v>
      </c>
      <c r="W340" s="27">
        <f>O340+T340</f>
        <v>3</v>
      </c>
      <c r="X340" s="28">
        <f>V340/0.7+W340</f>
        <v>95.571428571428569</v>
      </c>
      <c r="Y340" s="28">
        <v>95.571428571428569</v>
      </c>
      <c r="Z340" s="21"/>
    </row>
    <row r="341" spans="1:26" x14ac:dyDescent="0.25">
      <c r="A341" s="16">
        <v>38</v>
      </c>
      <c r="B341" s="17" t="s">
        <v>21</v>
      </c>
      <c r="C341" s="16">
        <v>109</v>
      </c>
      <c r="D341" s="18" t="s">
        <v>122</v>
      </c>
      <c r="E341" s="17" t="s">
        <v>65</v>
      </c>
      <c r="F341" s="19">
        <v>8.35</v>
      </c>
      <c r="G341" s="32">
        <f>IF(B341="高三",IF($E341="男",LOOKUP(F341,[1]对照表!$G$3:$G$24,[1]对照表!$H$3:$H$24),LOOKUP(F341,[1]对照表!$G$27:$G$48,[1]对照表!$H$27:$H$48)),IF(B341="高二",IF($E341="男",LOOKUP(F341,[1]对照表!$F$3:$F$24,[1]对照表!$H$3:$H$24),LOOKUP(F341,[1]对照表!$F$27:$F$48,[1]对照表!$H$27:$H$48)),IF(B341="高一",IF($E341="男",LOOKUP(F341,[1]对照表!$E$3:$E$24,[1]对照表!$H$3:$H$24),LOOKUP(F341,[1]对照表!$E$27:$E$48,[1]对照表!$H$27:$H$48)))))</f>
        <v>80</v>
      </c>
      <c r="H341" s="21">
        <v>5</v>
      </c>
      <c r="I341" s="32">
        <f>IF(B341="高三",IF($E341="男",LOOKUP(H341,[1]对照表!$K$3:$K$24,[1]对照表!$L$3:$L$24),LOOKUP(H341,[1]对照表!$K$27:$K$48,[1]对照表!$L$27:$L$48)),IF(B341="高二",IF($E341="男",LOOKUP(H341,[1]对照表!$J$3:$J$24,[1]对照表!$L$3:$L$24),LOOKUP(H341,[1]对照表!$J$27:$J$48,[1]对照表!$L$27:$L$48)),IF(B341="高一",IF($E341="男",LOOKUP(H341,[1]对照表!$I$3:$I$24,[1]对照表!$L$3:$L$24),LOOKUP(H341,[1]对照表!$I$27:$I$48,[1]对照表!$L$27:$L$48)))))</f>
        <v>60</v>
      </c>
      <c r="J341" s="21">
        <v>186</v>
      </c>
      <c r="K341" s="32">
        <f>IF(B341="高三",IF($E341="男",LOOKUP(J341,[1]对照表!$O$3:$O$24,[1]对照表!$P$3:$P$24),LOOKUP(J341,[1]对照表!$O$27:$O$48,[1]对照表!$P$27:$P$48)),IF(B341="高二",IF($E341="男",LOOKUP(J341,[1]对照表!$N$3:$N$24,[1]对照表!$P$3:$P$24),LOOKUP(J341,[1]对照表!$N$27:$N$48,[1]对照表!$P$27:$P$48)),IF(B341="高一",IF($E341="男",LOOKUP(J341,[1]对照表!$M$3:$M$24,[1]对照表!$P$3:$P$24),LOOKUP(J341,[1]对照表!$M$27:$M$48,[1]对照表!$P$27:$P$48)))))</f>
        <v>85</v>
      </c>
      <c r="L341" s="21">
        <v>53</v>
      </c>
      <c r="M341" s="32">
        <f>IF(B341="高三",IF($E341="男",LOOKUP(L341,[1]对照表!$S$3:$S$24,[1]对照表!$T$3:$T$24),LOOKUP(L341,[1]对照表!$S$27:$S$48,[1]对照表!$T$27:$T$48)),IF(B341="高二",IF($E341="男",LOOKUP(L341,[1]对照表!$R$3:$R$24,[1]对照表!$T$3:$T$24),LOOKUP(L341,[1]对照表!$R$27:$R$48,[1]对照表!$T$27:$T$48)),IF(B341="高一",IF($E341="男",LOOKUP(L341,[1]对照表!$Q$3:$Q$24,[1]对照表!$T$3:$T$24),LOOKUP(L341,[1]对照表!$Q$27:$Q$48,[1]对照表!$T$27:$T$48)))))</f>
        <v>100</v>
      </c>
      <c r="N341" s="33">
        <f>IF(B341="高三",MAX(IF(E341="男",L341-18,L341-55),0),IF(B341="高二",MAX(IF(E341="男",L341-17,L341-54),0),IF(B341="高一",MAX(IF(E341="男",L341-16,L341-53),0))))</f>
        <v>0</v>
      </c>
      <c r="O341" s="23">
        <f>IF(E341="男",LOOKUP($N341,[1]对照表!$Z$3:$Z$13,[1]对照表!$AA$3:$AA$13),LOOKUP($N341,[1]对照表!$Z$15:$Z$25,[1]对照表!$AA$15:$AA$25))</f>
        <v>0</v>
      </c>
      <c r="P341" s="24">
        <f>M341+O341</f>
        <v>100</v>
      </c>
      <c r="Q341" s="25">
        <v>3.14</v>
      </c>
      <c r="R341" s="32">
        <f>IF(B341="高三",IF($E341="男",LOOKUP(Q341,[1]对照表!$W$3:$W$24,[1]对照表!$X$3:$X$24),LOOKUP(Q341,[1]对照表!$W$27:$W$48,[1]对照表!$X$27:$X$48)),IF(B341="高二",IF($E341="男",LOOKUP(Q341,[1]对照表!$V$3:$V$24,[1]对照表!$X$3:$X$24),LOOKUP(Q341,[1]对照表!$V$27:$V$48,[1]对照表!$X$27:$X$48)),IF(B341="高一",IF($E341="男",LOOKUP(Q341,[1]对照表!$U$3:$U$24,[1]对照表!$X$3:$X$24),LOOKUP(Q341,[1]对照表!$U$27:$U$48,[1]对照表!$X$27:$X$48)))))</f>
        <v>100</v>
      </c>
      <c r="S341" s="33">
        <f>ROUND(IF(IF($B341="高三",MIN(IF($E341="男",$Q341-3.2,$Q341-3.2),0),IF($B341="高二",MIN(IF($E341="男",$Q341-3.25,$Q341-3.22),0),IF($B341="高一",MIN(IF($E341="男",$Q341-3.3,$Q341-3.24),0))))&lt;-0.6,IF($B341="高三",MIN(IF($E341="男",$Q341-3.2,$Q341-3.2),0),IF($B341="高二",MIN(IF($E341="男",$Q341-3.25,$Q341-3.22),0),IF($B341="高一",MIN(IF($E341="男",$Q341-3.3,$Q341-3.24),0))))+0.4,IF($B341="高三",MIN(IF($E341="男",$Q341-3.2,$Q341-3.2),0),IF($B341="高二",MIN(IF($E341="男",$Q341-3.25,$Q341-3.22),0),IF($B341="高一",MIN(IF($E341="男",$Q341-3.3,$Q341-3.24),0))))),2)</f>
        <v>-0.1</v>
      </c>
      <c r="T341" s="23">
        <f>IF(E341="男",LOOKUP($S341,[1]对照表!$AB$3:$AB$13,[1]对照表!$AC$3:$AC$13),LOOKUP($S341,[1]对照表!$AB$15:$AB$25,[1]对照表!$AC$15:$AC$25))</f>
        <v>2</v>
      </c>
      <c r="U341" s="26">
        <f>R341+T341</f>
        <v>102</v>
      </c>
      <c r="V341" s="26">
        <f>SUM(I341,K341,M341)/3*0.3+SUM(G341,R341)/2*0.4</f>
        <v>60.5</v>
      </c>
      <c r="W341" s="27">
        <f>O341+T341</f>
        <v>2</v>
      </c>
      <c r="X341" s="28">
        <f>V341/0.7+W341</f>
        <v>88.428571428571431</v>
      </c>
      <c r="Y341" s="28">
        <v>88.428571428571431</v>
      </c>
      <c r="Z341" s="21"/>
    </row>
    <row r="342" spans="1:26" x14ac:dyDescent="0.25">
      <c r="A342" s="16">
        <v>10</v>
      </c>
      <c r="B342" s="17" t="s">
        <v>21</v>
      </c>
      <c r="C342" s="16">
        <v>109</v>
      </c>
      <c r="D342" s="18" t="s">
        <v>140</v>
      </c>
      <c r="E342" s="17" t="s">
        <v>23</v>
      </c>
      <c r="F342" s="19">
        <v>7.5</v>
      </c>
      <c r="G342" s="32">
        <f>IF(B342="高三",IF($E342="男",LOOKUP(F342,[1]对照表!$G$3:$G$24,[1]对照表!$H$3:$H$24),LOOKUP(F342,[1]对照表!$G$27:$G$48,[1]对照表!$H$27:$H$48)),IF(B342="高二",IF($E342="男",LOOKUP(F342,[1]对照表!$F$3:$F$24,[1]对照表!$H$3:$H$24),LOOKUP(F342,[1]对照表!$F$27:$F$48,[1]对照表!$H$27:$H$48)),IF(B342="高一",IF($E342="男",LOOKUP(F342,[1]对照表!$E$3:$E$24,[1]对照表!$H$3:$H$24),LOOKUP(F342,[1]对照表!$E$27:$E$48,[1]对照表!$H$27:$H$48)))))</f>
        <v>80</v>
      </c>
      <c r="H342" s="21">
        <v>15</v>
      </c>
      <c r="I342" s="32">
        <f>IF(B342="高三",IF($E342="男",LOOKUP(H342,[1]对照表!$K$3:$K$24,[1]对照表!$L$3:$L$24),LOOKUP(H342,[1]对照表!$K$27:$K$48,[1]对照表!$L$27:$L$48)),IF(B342="高二",IF($E342="男",LOOKUP(H342,[1]对照表!$J$3:$J$24,[1]对照表!$L$3:$L$24),LOOKUP(H342,[1]对照表!$J$27:$J$48,[1]对照表!$L$27:$L$48)),IF(B342="高一",IF($E342="男",LOOKUP(H342,[1]对照表!$I$3:$I$24,[1]对照表!$L$3:$L$24),LOOKUP(H342,[1]对照表!$I$27:$I$48,[1]对照表!$L$27:$L$48)))))</f>
        <v>80</v>
      </c>
      <c r="J342" s="21">
        <v>238</v>
      </c>
      <c r="K342" s="32">
        <f>IF(B342="高三",IF($E342="男",LOOKUP(J342,[1]对照表!$O$3:$O$24,[1]对照表!$P$3:$P$24),LOOKUP(J342,[1]对照表!$O$27:$O$48,[1]对照表!$P$27:$P$48)),IF(B342="高二",IF($E342="男",LOOKUP(J342,[1]对照表!$N$3:$N$24,[1]对照表!$P$3:$P$24),LOOKUP(J342,[1]对照表!$N$27:$N$48,[1]对照表!$P$27:$P$48)),IF(B342="高一",IF($E342="男",LOOKUP(J342,[1]对照表!$M$3:$M$24,[1]对照表!$P$3:$P$24),LOOKUP(J342,[1]对照表!$M$27:$M$48,[1]对照表!$P$27:$P$48)))))</f>
        <v>80</v>
      </c>
      <c r="L342" s="21">
        <v>26</v>
      </c>
      <c r="M342" s="32">
        <f>IF(B342="高三",IF($E342="男",LOOKUP(L342,[1]对照表!$S$3:$S$24,[1]对照表!$T$3:$T$24),LOOKUP(L342,[1]对照表!$S$27:$S$48,[1]对照表!$T$27:$T$48)),IF(B342="高二",IF($E342="男",LOOKUP(L342,[1]对照表!$R$3:$R$24,[1]对照表!$T$3:$T$24),LOOKUP(L342,[1]对照表!$R$27:$R$48,[1]对照表!$T$27:$T$48)),IF(B342="高一",IF($E342="男",LOOKUP(L342,[1]对照表!$Q$3:$Q$24,[1]对照表!$T$3:$T$24),LOOKUP(L342,[1]对照表!$Q$27:$Q$48,[1]对照表!$T$27:$T$48)))))</f>
        <v>100</v>
      </c>
      <c r="N342" s="33">
        <f>IF(B342="高三",MAX(IF(E342="男",L342-18,L342-55),0),IF(B342="高二",MAX(IF(E342="男",L342-17,L342-54),0),IF(B342="高一",MAX(IF(E342="男",L342-16,L342-53),0))))</f>
        <v>10</v>
      </c>
      <c r="O342" s="23">
        <f>IF(E342="男",LOOKUP($N342,[1]对照表!$Z$3:$Z$13,[1]对照表!$AA$3:$AA$13),LOOKUP($N342,[1]对照表!$Z$15:$Z$25,[1]对照表!$AA$15:$AA$25))</f>
        <v>10</v>
      </c>
      <c r="P342" s="24">
        <f>M342+O342</f>
        <v>110</v>
      </c>
      <c r="Q342" s="25">
        <v>3.43</v>
      </c>
      <c r="R342" s="32">
        <f>IF(B342="高三",IF($E342="男",LOOKUP(Q342,[1]对照表!$W$3:$W$24,[1]对照表!$X$3:$X$24),LOOKUP(Q342,[1]对照表!$W$27:$W$48,[1]对照表!$X$27:$X$48)),IF(B342="高二",IF($E342="男",LOOKUP(Q342,[1]对照表!$V$3:$V$24,[1]对照表!$X$3:$X$24),LOOKUP(Q342,[1]对照表!$V$27:$V$48,[1]对照表!$X$27:$X$48)),IF(B342="高一",IF($E342="男",LOOKUP(Q342,[1]对照表!$U$3:$U$24,[1]对照表!$X$3:$X$24),LOOKUP(Q342,[1]对照表!$U$27:$U$48,[1]对照表!$X$27:$X$48)))))</f>
        <v>85</v>
      </c>
      <c r="S342" s="33">
        <f>ROUND(IF(IF($B342="高三",MIN(IF($E342="男",$Q342-3.2,$Q342-3.2),0),IF($B342="高二",MIN(IF($E342="男",$Q342-3.25,$Q342-3.22),0),IF($B342="高一",MIN(IF($E342="男",$Q342-3.3,$Q342-3.24),0))))&lt;-0.6,IF($B342="高三",MIN(IF($E342="男",$Q342-3.2,$Q342-3.2),0),IF($B342="高二",MIN(IF($E342="男",$Q342-3.25,$Q342-3.22),0),IF($B342="高一",MIN(IF($E342="男",$Q342-3.3,$Q342-3.24),0))))+0.4,IF($B342="高三",MIN(IF($E342="男",$Q342-3.2,$Q342-3.2),0),IF($B342="高二",MIN(IF($E342="男",$Q342-3.25,$Q342-3.22),0),IF($B342="高一",MIN(IF($E342="男",$Q342-3.3,$Q342-3.24),0))))),2)</f>
        <v>0</v>
      </c>
      <c r="T342" s="23">
        <f>IF(E342="男",LOOKUP($S342,[1]对照表!$AB$3:$AB$13,[1]对照表!$AC$3:$AC$13),LOOKUP($S342,[1]对照表!$AB$15:$AB$25,[1]对照表!$AC$15:$AC$25))</f>
        <v>0</v>
      </c>
      <c r="U342" s="26">
        <f>R342+T342</f>
        <v>85</v>
      </c>
      <c r="V342" s="26">
        <f>SUM(I342,K342,M342)/3*0.3+SUM(G342,R342)/2*0.4</f>
        <v>59</v>
      </c>
      <c r="W342" s="27">
        <f>O342+T342</f>
        <v>10</v>
      </c>
      <c r="X342" s="28">
        <f>V342/0.7+W342</f>
        <v>94.285714285714292</v>
      </c>
      <c r="Y342" s="28">
        <v>94.285714285714292</v>
      </c>
      <c r="Z342" s="21"/>
    </row>
    <row r="343" spans="1:26" x14ac:dyDescent="0.25">
      <c r="A343" s="16">
        <v>12</v>
      </c>
      <c r="B343" s="17" t="s">
        <v>21</v>
      </c>
      <c r="C343" s="16">
        <v>109</v>
      </c>
      <c r="D343" s="18" t="s">
        <v>189</v>
      </c>
      <c r="E343" s="17" t="s">
        <v>23</v>
      </c>
      <c r="F343" s="19">
        <v>6.7</v>
      </c>
      <c r="G343" s="32">
        <f>IF(B343="高三",IF($E343="男",LOOKUP(F343,[1]对照表!$G$3:$G$24,[1]对照表!$H$3:$H$24),LOOKUP(F343,[1]对照表!$G$27:$G$48,[1]对照表!$H$27:$H$48)),IF(B343="高二",IF($E343="男",LOOKUP(F343,[1]对照表!$F$3:$F$24,[1]对照表!$H$3:$H$24),LOOKUP(F343,[1]对照表!$F$27:$F$48,[1]对照表!$H$27:$H$48)),IF(B343="高一",IF($E343="男",LOOKUP(F343,[1]对照表!$E$3:$E$24,[1]对照表!$H$3:$H$24),LOOKUP(F343,[1]对照表!$E$27:$E$48,[1]对照表!$H$27:$H$48)))))</f>
        <v>100</v>
      </c>
      <c r="H343" s="21">
        <v>2.5</v>
      </c>
      <c r="I343" s="32">
        <f>IF(B343="高三",IF($E343="男",LOOKUP(H343,[1]对照表!$K$3:$K$24,[1]对照表!$L$3:$L$24),LOOKUP(H343,[1]对照表!$K$27:$K$48,[1]对照表!$L$27:$L$48)),IF(B343="高二",IF($E343="男",LOOKUP(H343,[1]对照表!$J$3:$J$24,[1]对照表!$L$3:$L$24),LOOKUP(H343,[1]对照表!$J$27:$J$48,[1]对照表!$L$27:$L$48)),IF(B343="高一",IF($E343="男",LOOKUP(H343,[1]对照表!$I$3:$I$24,[1]对照表!$L$3:$L$24),LOOKUP(H343,[1]对照表!$I$27:$I$48,[1]对照表!$L$27:$L$48)))))</f>
        <v>62</v>
      </c>
      <c r="J343" s="21">
        <v>250</v>
      </c>
      <c r="K343" s="32">
        <f>IF(B343="高三",IF($E343="男",LOOKUP(J343,[1]对照表!$O$3:$O$24,[1]对照表!$P$3:$P$24),LOOKUP(J343,[1]对照表!$O$27:$O$48,[1]对照表!$P$27:$P$48)),IF(B343="高二",IF($E343="男",LOOKUP(J343,[1]对照表!$N$3:$N$24,[1]对照表!$P$3:$P$24),LOOKUP(J343,[1]对照表!$N$27:$N$48,[1]对照表!$P$27:$P$48)),IF(B343="高一",IF($E343="男",LOOKUP(J343,[1]对照表!$M$3:$M$24,[1]对照表!$P$3:$P$24),LOOKUP(J343,[1]对照表!$M$27:$M$48,[1]对照表!$P$27:$P$48)))))</f>
        <v>90</v>
      </c>
      <c r="L343" s="21">
        <v>16</v>
      </c>
      <c r="M343" s="32">
        <f>IF(B343="高三",IF($E343="男",LOOKUP(L343,[1]对照表!$S$3:$S$24,[1]对照表!$T$3:$T$24),LOOKUP(L343,[1]对照表!$S$27:$S$48,[1]对照表!$T$27:$T$48)),IF(B343="高二",IF($E343="男",LOOKUP(L343,[1]对照表!$R$3:$R$24,[1]对照表!$T$3:$T$24),LOOKUP(L343,[1]对照表!$R$27:$R$48,[1]对照表!$T$27:$T$48)),IF(B343="高一",IF($E343="男",LOOKUP(L343,[1]对照表!$Q$3:$Q$24,[1]对照表!$T$3:$T$24),LOOKUP(L343,[1]对照表!$Q$27:$Q$48,[1]对照表!$T$27:$T$48)))))</f>
        <v>100</v>
      </c>
      <c r="N343" s="33">
        <f>IF(B343="高三",MAX(IF(E343="男",L343-18,L343-55),0),IF(B343="高二",MAX(IF(E343="男",L343-17,L343-54),0),IF(B343="高一",MAX(IF(E343="男",L343-16,L343-53),0))))</f>
        <v>0</v>
      </c>
      <c r="O343" s="23">
        <f>IF(E343="男",LOOKUP($N343,[1]对照表!$Z$3:$Z$13,[1]对照表!$AA$3:$AA$13),LOOKUP($N343,[1]对照表!$Z$15:$Z$25,[1]对照表!$AA$15:$AA$25))</f>
        <v>0</v>
      </c>
      <c r="P343" s="24">
        <f>M343+O343</f>
        <v>100</v>
      </c>
      <c r="Q343" s="25">
        <v>3.38</v>
      </c>
      <c r="R343" s="32">
        <f>IF(B343="高三",IF($E343="男",LOOKUP(Q343,[1]对照表!$W$3:$W$24,[1]对照表!$X$3:$X$24),LOOKUP(Q343,[1]对照表!$W$27:$W$48,[1]对照表!$X$27:$X$48)),IF(B343="高二",IF($E343="男",LOOKUP(Q343,[1]对照表!$V$3:$V$24,[1]对照表!$X$3:$X$24),LOOKUP(Q343,[1]对照表!$V$27:$V$48,[1]对照表!$X$27:$X$48)),IF(B343="高一",IF($E343="男",LOOKUP(Q343,[1]对照表!$U$3:$U$24,[1]对照表!$X$3:$X$24),LOOKUP(Q343,[1]对照表!$U$27:$U$48,[1]对照表!$X$27:$X$48)))))</f>
        <v>90</v>
      </c>
      <c r="S343" s="33">
        <f>ROUND(IF(IF($B343="高三",MIN(IF($E343="男",$Q343-3.2,$Q343-3.2),0),IF($B343="高二",MIN(IF($E343="男",$Q343-3.25,$Q343-3.22),0),IF($B343="高一",MIN(IF($E343="男",$Q343-3.3,$Q343-3.24),0))))&lt;-0.6,IF($B343="高三",MIN(IF($E343="男",$Q343-3.2,$Q343-3.2),0),IF($B343="高二",MIN(IF($E343="男",$Q343-3.25,$Q343-3.22),0),IF($B343="高一",MIN(IF($E343="男",$Q343-3.3,$Q343-3.24),0))))+0.4,IF($B343="高三",MIN(IF($E343="男",$Q343-3.2,$Q343-3.2),0),IF($B343="高二",MIN(IF($E343="男",$Q343-3.25,$Q343-3.22),0),IF($B343="高一",MIN(IF($E343="男",$Q343-3.3,$Q343-3.24),0))))),2)</f>
        <v>0</v>
      </c>
      <c r="T343" s="23">
        <f>IF(E343="男",LOOKUP($S343,[1]对照表!$AB$3:$AB$13,[1]对照表!$AC$3:$AC$13),LOOKUP($S343,[1]对照表!$AB$15:$AB$25,[1]对照表!$AC$15:$AC$25))</f>
        <v>0</v>
      </c>
      <c r="U343" s="26">
        <f>R343+T343</f>
        <v>90</v>
      </c>
      <c r="V343" s="26">
        <f>SUM(I343,K343,M343)/3*0.3+SUM(G343,R343)/2*0.4</f>
        <v>63.2</v>
      </c>
      <c r="W343" s="27">
        <f>O343+T343</f>
        <v>0</v>
      </c>
      <c r="X343" s="28">
        <f>V343/0.7+W343</f>
        <v>90.285714285714292</v>
      </c>
      <c r="Y343" s="28">
        <v>90.285714285714292</v>
      </c>
      <c r="Z343" s="21"/>
    </row>
    <row r="344" spans="1:26" x14ac:dyDescent="0.25">
      <c r="A344" s="16">
        <v>8</v>
      </c>
      <c r="B344" s="17" t="s">
        <v>21</v>
      </c>
      <c r="C344" s="16">
        <v>109</v>
      </c>
      <c r="D344" s="18" t="s">
        <v>191</v>
      </c>
      <c r="E344" s="17" t="s">
        <v>23</v>
      </c>
      <c r="F344" s="19">
        <v>6.8</v>
      </c>
      <c r="G344" s="32">
        <f>IF(B344="高三",IF($E344="男",LOOKUP(F344,[1]对照表!$G$3:$G$24,[1]对照表!$H$3:$H$24),LOOKUP(F344,[1]对照表!$G$27:$G$48,[1]对照表!$H$27:$H$48)),IF(B344="高二",IF($E344="男",LOOKUP(F344,[1]对照表!$F$3:$F$24,[1]对照表!$H$3:$H$24),LOOKUP(F344,[1]对照表!$F$27:$F$48,[1]对照表!$H$27:$H$48)),IF(B344="高一",IF($E344="男",LOOKUP(F344,[1]对照表!$E$3:$E$24,[1]对照表!$H$3:$H$24),LOOKUP(F344,[1]对照表!$E$27:$E$48,[1]对照表!$H$27:$H$48)))))</f>
        <v>100</v>
      </c>
      <c r="H344" s="21">
        <v>15.2</v>
      </c>
      <c r="I344" s="32">
        <f>IF(B344="高三",IF($E344="男",LOOKUP(H344,[1]对照表!$K$3:$K$24,[1]对照表!$L$3:$L$24),LOOKUP(H344,[1]对照表!$K$27:$K$48,[1]对照表!$L$27:$L$48)),IF(B344="高二",IF($E344="男",LOOKUP(H344,[1]对照表!$J$3:$J$24,[1]对照表!$L$3:$L$24),LOOKUP(H344,[1]对照表!$J$27:$J$48,[1]对照表!$L$27:$L$48)),IF(B344="高一",IF($E344="男",LOOKUP(H344,[1]对照表!$I$3:$I$24,[1]对照表!$L$3:$L$24),LOOKUP(H344,[1]对照表!$I$27:$I$48,[1]对照表!$L$27:$L$48)))))</f>
        <v>80</v>
      </c>
      <c r="J344" s="21">
        <v>235</v>
      </c>
      <c r="K344" s="32">
        <f>IF(B344="高三",IF($E344="男",LOOKUP(J344,[1]对照表!$O$3:$O$24,[1]对照表!$P$3:$P$24),LOOKUP(J344,[1]对照表!$O$27:$O$48,[1]对照表!$P$27:$P$48)),IF(B344="高二",IF($E344="男",LOOKUP(J344,[1]对照表!$N$3:$N$24,[1]对照表!$P$3:$P$24),LOOKUP(J344,[1]对照表!$N$27:$N$48,[1]对照表!$P$27:$P$48)),IF(B344="高一",IF($E344="男",LOOKUP(J344,[1]对照表!$M$3:$M$24,[1]对照表!$P$3:$P$24),LOOKUP(J344,[1]对照表!$M$27:$M$48,[1]对照表!$P$27:$P$48)))))</f>
        <v>80</v>
      </c>
      <c r="L344" s="21">
        <v>16</v>
      </c>
      <c r="M344" s="32">
        <f>IF(B344="高三",IF($E344="男",LOOKUP(L344,[1]对照表!$S$3:$S$24,[1]对照表!$T$3:$T$24),LOOKUP(L344,[1]对照表!$S$27:$S$48,[1]对照表!$T$27:$T$48)),IF(B344="高二",IF($E344="男",LOOKUP(L344,[1]对照表!$R$3:$R$24,[1]对照表!$T$3:$T$24),LOOKUP(L344,[1]对照表!$R$27:$R$48,[1]对照表!$T$27:$T$48)),IF(B344="高一",IF($E344="男",LOOKUP(L344,[1]对照表!$Q$3:$Q$24,[1]对照表!$T$3:$T$24),LOOKUP(L344,[1]对照表!$Q$27:$Q$48,[1]对照表!$T$27:$T$48)))))</f>
        <v>100</v>
      </c>
      <c r="N344" s="33">
        <f>IF(B344="高三",MAX(IF(E344="男",L344-18,L344-55),0),IF(B344="高二",MAX(IF(E344="男",L344-17,L344-54),0),IF(B344="高一",MAX(IF(E344="男",L344-16,L344-53),0))))</f>
        <v>0</v>
      </c>
      <c r="O344" s="23">
        <f>IF(E344="男",LOOKUP($N344,[1]对照表!$Z$3:$Z$13,[1]对照表!$AA$3:$AA$13),LOOKUP($N344,[1]对照表!$Z$15:$Z$25,[1]对照表!$AA$15:$AA$25))</f>
        <v>0</v>
      </c>
      <c r="P344" s="24">
        <f>M344+O344</f>
        <v>100</v>
      </c>
      <c r="Q344" s="25">
        <v>3.47</v>
      </c>
      <c r="R344" s="32">
        <f>IF(B344="高三",IF($E344="男",LOOKUP(Q344,[1]对照表!$W$3:$W$24,[1]对照表!$X$3:$X$24),LOOKUP(Q344,[1]对照表!$W$27:$W$48,[1]对照表!$X$27:$X$48)),IF(B344="高二",IF($E344="男",LOOKUP(Q344,[1]对照表!$V$3:$V$24,[1]对照表!$X$3:$X$24),LOOKUP(Q344,[1]对照表!$V$27:$V$48,[1]对照表!$X$27:$X$48)),IF(B344="高一",IF($E344="男",LOOKUP(Q344,[1]对照表!$U$3:$U$24,[1]对照表!$X$3:$X$24),LOOKUP(Q344,[1]对照表!$U$27:$U$48,[1]对照表!$X$27:$X$48)))))</f>
        <v>85</v>
      </c>
      <c r="S344" s="33">
        <f>ROUND(IF(IF($B344="高三",MIN(IF($E344="男",$Q344-3.2,$Q344-3.2),0),IF($B344="高二",MIN(IF($E344="男",$Q344-3.25,$Q344-3.22),0),IF($B344="高一",MIN(IF($E344="男",$Q344-3.3,$Q344-3.24),0))))&lt;-0.6,IF($B344="高三",MIN(IF($E344="男",$Q344-3.2,$Q344-3.2),0),IF($B344="高二",MIN(IF($E344="男",$Q344-3.25,$Q344-3.22),0),IF($B344="高一",MIN(IF($E344="男",$Q344-3.3,$Q344-3.24),0))))+0.4,IF($B344="高三",MIN(IF($E344="男",$Q344-3.2,$Q344-3.2),0),IF($B344="高二",MIN(IF($E344="男",$Q344-3.25,$Q344-3.22),0),IF($B344="高一",MIN(IF($E344="男",$Q344-3.3,$Q344-3.24),0))))),2)</f>
        <v>0</v>
      </c>
      <c r="T344" s="23">
        <f>IF(E344="男",LOOKUP($S344,[1]对照表!$AB$3:$AB$13,[1]对照表!$AC$3:$AC$13),LOOKUP($S344,[1]对照表!$AB$15:$AB$25,[1]对照表!$AC$15:$AC$25))</f>
        <v>0</v>
      </c>
      <c r="U344" s="26">
        <f>R344+T344</f>
        <v>85</v>
      </c>
      <c r="V344" s="26">
        <f>SUM(I344,K344,M344)/3*0.3+SUM(G344,R344)/2*0.4</f>
        <v>63</v>
      </c>
      <c r="W344" s="27">
        <f>O344+T344</f>
        <v>0</v>
      </c>
      <c r="X344" s="28">
        <f>V344/0.7+W344</f>
        <v>90</v>
      </c>
      <c r="Y344" s="28">
        <v>90</v>
      </c>
      <c r="Z344" s="21"/>
    </row>
    <row r="345" spans="1:26" x14ac:dyDescent="0.25">
      <c r="A345" s="16">
        <v>19</v>
      </c>
      <c r="B345" s="17" t="s">
        <v>21</v>
      </c>
      <c r="C345" s="16">
        <v>109</v>
      </c>
      <c r="D345" s="18" t="s">
        <v>192</v>
      </c>
      <c r="E345" s="17" t="s">
        <v>23</v>
      </c>
      <c r="F345" s="19">
        <v>7</v>
      </c>
      <c r="G345" s="32">
        <f>IF(B345="高三",IF($E345="男",LOOKUP(F345,[1]对照表!$G$3:$G$24,[1]对照表!$H$3:$H$24),LOOKUP(F345,[1]对照表!$G$27:$G$48,[1]对照表!$H$27:$H$48)),IF(B345="高二",IF($E345="男",LOOKUP(F345,[1]对照表!$F$3:$F$24,[1]对照表!$H$3:$H$24),LOOKUP(F345,[1]对照表!$F$27:$F$48,[1]对照表!$H$27:$H$48)),IF(B345="高一",IF($E345="男",LOOKUP(F345,[1]对照表!$E$3:$E$24,[1]对照表!$H$3:$H$24),LOOKUP(F345,[1]对照表!$E$27:$E$48,[1]对照表!$H$27:$H$48)))))</f>
        <v>100</v>
      </c>
      <c r="H345" s="21">
        <v>9.1999999999999993</v>
      </c>
      <c r="I345" s="32">
        <f>IF(B345="高三",IF($E345="男",LOOKUP(H345,[1]对照表!$K$3:$K$24,[1]对照表!$L$3:$L$24),LOOKUP(H345,[1]对照表!$K$27:$K$48,[1]对照表!$L$27:$L$48)),IF(B345="高二",IF($E345="男",LOOKUP(H345,[1]对照表!$J$3:$J$24,[1]对照表!$L$3:$L$24),LOOKUP(H345,[1]对照表!$J$27:$J$48,[1]对照表!$L$27:$L$48)),IF(B345="高一",IF($E345="男",LOOKUP(H345,[1]对照表!$I$3:$I$24,[1]对照表!$L$3:$L$24),LOOKUP(H345,[1]对照表!$I$27:$I$48,[1]对照表!$L$27:$L$48)))))</f>
        <v>70</v>
      </c>
      <c r="J345" s="21">
        <v>270</v>
      </c>
      <c r="K345" s="32">
        <f>IF(B345="高三",IF($E345="男",LOOKUP(J345,[1]对照表!$O$3:$O$24,[1]对照表!$P$3:$P$24),LOOKUP(J345,[1]对照表!$O$27:$O$48,[1]对照表!$P$27:$P$48)),IF(B345="高二",IF($E345="男",LOOKUP(J345,[1]对照表!$N$3:$N$24,[1]对照表!$P$3:$P$24),LOOKUP(J345,[1]对照表!$N$27:$N$48,[1]对照表!$P$27:$P$48)),IF(B345="高一",IF($E345="男",LOOKUP(J345,[1]对照表!$M$3:$M$24,[1]对照表!$P$3:$P$24),LOOKUP(J345,[1]对照表!$M$27:$M$48,[1]对照表!$P$27:$P$48)))))</f>
        <v>100</v>
      </c>
      <c r="L345" s="21">
        <v>16</v>
      </c>
      <c r="M345" s="32">
        <f>IF(B345="高三",IF($E345="男",LOOKUP(L345,[1]对照表!$S$3:$S$24,[1]对照表!$T$3:$T$24),LOOKUP(L345,[1]对照表!$S$27:$S$48,[1]对照表!$T$27:$T$48)),IF(B345="高二",IF($E345="男",LOOKUP(L345,[1]对照表!$R$3:$R$24,[1]对照表!$T$3:$T$24),LOOKUP(L345,[1]对照表!$R$27:$R$48,[1]对照表!$T$27:$T$48)),IF(B345="高一",IF($E345="男",LOOKUP(L345,[1]对照表!$Q$3:$Q$24,[1]对照表!$T$3:$T$24),LOOKUP(L345,[1]对照表!$Q$27:$Q$48,[1]对照表!$T$27:$T$48)))))</f>
        <v>100</v>
      </c>
      <c r="N345" s="33">
        <f>IF(B345="高三",MAX(IF(E345="男",L345-18,L345-55),0),IF(B345="高二",MAX(IF(E345="男",L345-17,L345-54),0),IF(B345="高一",MAX(IF(E345="男",L345-16,L345-53),0))))</f>
        <v>0</v>
      </c>
      <c r="O345" s="23">
        <f>IF(E345="男",LOOKUP($N345,[1]对照表!$Z$3:$Z$13,[1]对照表!$AA$3:$AA$13),LOOKUP($N345,[1]对照表!$Z$15:$Z$25,[1]对照表!$AA$15:$AA$25))</f>
        <v>0</v>
      </c>
      <c r="P345" s="24">
        <f>M345+O345</f>
        <v>100</v>
      </c>
      <c r="Q345" s="25">
        <v>3.52</v>
      </c>
      <c r="R345" s="32">
        <f>IF(B345="高三",IF($E345="男",LOOKUP(Q345,[1]对照表!$W$3:$W$24,[1]对照表!$X$3:$X$24),LOOKUP(Q345,[1]对照表!$W$27:$W$48,[1]对照表!$X$27:$X$48)),IF(B345="高二",IF($E345="男",LOOKUP(Q345,[1]对照表!$V$3:$V$24,[1]对照表!$X$3:$X$24),LOOKUP(Q345,[1]对照表!$V$27:$V$48,[1]对照表!$X$27:$X$48)),IF(B345="高一",IF($E345="男",LOOKUP(Q345,[1]对照表!$U$3:$U$24,[1]对照表!$X$3:$X$24),LOOKUP(Q345,[1]对照表!$U$27:$U$48,[1]对照表!$X$27:$X$48)))))</f>
        <v>80</v>
      </c>
      <c r="S345" s="33">
        <f>ROUND(IF(IF($B345="高三",MIN(IF($E345="男",$Q345-3.2,$Q345-3.2),0),IF($B345="高二",MIN(IF($E345="男",$Q345-3.25,$Q345-3.22),0),IF($B345="高一",MIN(IF($E345="男",$Q345-3.3,$Q345-3.24),0))))&lt;-0.6,IF($B345="高三",MIN(IF($E345="男",$Q345-3.2,$Q345-3.2),0),IF($B345="高二",MIN(IF($E345="男",$Q345-3.25,$Q345-3.22),0),IF($B345="高一",MIN(IF($E345="男",$Q345-3.3,$Q345-3.24),0))))+0.4,IF($B345="高三",MIN(IF($E345="男",$Q345-3.2,$Q345-3.2),0),IF($B345="高二",MIN(IF($E345="男",$Q345-3.25,$Q345-3.22),0),IF($B345="高一",MIN(IF($E345="男",$Q345-3.3,$Q345-3.24),0))))),2)</f>
        <v>0</v>
      </c>
      <c r="T345" s="23">
        <f>IF(E345="男",LOOKUP($S345,[1]对照表!$AB$3:$AB$13,[1]对照表!$AC$3:$AC$13),LOOKUP($S345,[1]对照表!$AB$15:$AB$25,[1]对照表!$AC$15:$AC$25))</f>
        <v>0</v>
      </c>
      <c r="U345" s="26">
        <f>R345+T345</f>
        <v>80</v>
      </c>
      <c r="V345" s="26">
        <f>SUM(I345,K345,M345)/3*0.3+SUM(G345,R345)/2*0.4</f>
        <v>63</v>
      </c>
      <c r="W345" s="27">
        <f>O345+T345</f>
        <v>0</v>
      </c>
      <c r="X345" s="28">
        <f>V345/0.7+W345</f>
        <v>90</v>
      </c>
      <c r="Y345" s="28">
        <v>90</v>
      </c>
      <c r="Z345" s="21"/>
    </row>
    <row r="346" spans="1:26" x14ac:dyDescent="0.25">
      <c r="A346" s="16">
        <v>18</v>
      </c>
      <c r="B346" s="17" t="s">
        <v>21</v>
      </c>
      <c r="C346" s="16">
        <v>109</v>
      </c>
      <c r="D346" s="18" t="s">
        <v>226</v>
      </c>
      <c r="E346" s="17" t="s">
        <v>23</v>
      </c>
      <c r="F346" s="19">
        <v>6.9</v>
      </c>
      <c r="G346" s="32">
        <f>IF(B346="高三",IF($E346="男",LOOKUP(F346,[1]对照表!$G$3:$G$24,[1]对照表!$H$3:$H$24),LOOKUP(F346,[1]对照表!$G$27:$G$48,[1]对照表!$H$27:$H$48)),IF(B346="高二",IF($E346="男",LOOKUP(F346,[1]对照表!$F$3:$F$24,[1]对照表!$H$3:$H$24),LOOKUP(F346,[1]对照表!$F$27:$F$48,[1]对照表!$H$27:$H$48)),IF(B346="高一",IF($E346="男",LOOKUP(F346,[1]对照表!$E$3:$E$24,[1]对照表!$H$3:$H$24),LOOKUP(F346,[1]对照表!$E$27:$E$48,[1]对照表!$H$27:$H$48)))))</f>
        <v>100</v>
      </c>
      <c r="H346" s="21">
        <v>13.3</v>
      </c>
      <c r="I346" s="32">
        <f>IF(B346="高三",IF($E346="男",LOOKUP(H346,[1]对照表!$K$3:$K$24,[1]对照表!$L$3:$L$24),LOOKUP(H346,[1]对照表!$K$27:$K$48,[1]对照表!$L$27:$L$48)),IF(B346="高二",IF($E346="男",LOOKUP(H346,[1]对照表!$J$3:$J$24,[1]对照表!$L$3:$L$24),LOOKUP(H346,[1]对照表!$J$27:$J$48,[1]对照表!$L$27:$L$48)),IF(B346="高一",IF($E346="男",LOOKUP(H346,[1]对照表!$I$3:$I$24,[1]对照表!$L$3:$L$24),LOOKUP(H346,[1]对照表!$I$27:$I$48,[1]对照表!$L$27:$L$48)))))</f>
        <v>76</v>
      </c>
      <c r="J346" s="21">
        <v>250</v>
      </c>
      <c r="K346" s="32">
        <f>IF(B346="高三",IF($E346="男",LOOKUP(J346,[1]对照表!$O$3:$O$24,[1]对照表!$P$3:$P$24),LOOKUP(J346,[1]对照表!$O$27:$O$48,[1]对照表!$P$27:$P$48)),IF(B346="高二",IF($E346="男",LOOKUP(J346,[1]对照表!$N$3:$N$24,[1]对照表!$P$3:$P$24),LOOKUP(J346,[1]对照表!$N$27:$N$48,[1]对照表!$P$27:$P$48)),IF(B346="高一",IF($E346="男",LOOKUP(J346,[1]对照表!$M$3:$M$24,[1]对照表!$P$3:$P$24),LOOKUP(J346,[1]对照表!$M$27:$M$48,[1]对照表!$P$27:$P$48)))))</f>
        <v>90</v>
      </c>
      <c r="L346" s="21">
        <v>16</v>
      </c>
      <c r="M346" s="32">
        <f>IF(B346="高三",IF($E346="男",LOOKUP(L346,[1]对照表!$S$3:$S$24,[1]对照表!$T$3:$T$24),LOOKUP(L346,[1]对照表!$S$27:$S$48,[1]对照表!$T$27:$T$48)),IF(B346="高二",IF($E346="男",LOOKUP(L346,[1]对照表!$R$3:$R$24,[1]对照表!$T$3:$T$24),LOOKUP(L346,[1]对照表!$R$27:$R$48,[1]对照表!$T$27:$T$48)),IF(B346="高一",IF($E346="男",LOOKUP(L346,[1]对照表!$Q$3:$Q$24,[1]对照表!$T$3:$T$24),LOOKUP(L346,[1]对照表!$Q$27:$Q$48,[1]对照表!$T$27:$T$48)))))</f>
        <v>100</v>
      </c>
      <c r="N346" s="33">
        <f>IF(B346="高三",MAX(IF(E346="男",L346-18,L346-55),0),IF(B346="高二",MAX(IF(E346="男",L346-17,L346-54),0),IF(B346="高一",MAX(IF(E346="男",L346-16,L346-53),0))))</f>
        <v>0</v>
      </c>
      <c r="O346" s="23">
        <f>IF(E346="男",LOOKUP($N346,[1]对照表!$Z$3:$Z$13,[1]对照表!$AA$3:$AA$13),LOOKUP($N346,[1]对照表!$Z$15:$Z$25,[1]对照表!$AA$15:$AA$25))</f>
        <v>0</v>
      </c>
      <c r="P346" s="24">
        <f>M346+O346</f>
        <v>100</v>
      </c>
      <c r="Q346" s="25">
        <v>4.08</v>
      </c>
      <c r="R346" s="32">
        <f>IF(B346="高三",IF($E346="男",LOOKUP(Q346,[1]对照表!$W$3:$W$24,[1]对照表!$X$3:$X$24),LOOKUP(Q346,[1]对照表!$W$27:$W$48,[1]对照表!$X$27:$X$48)),IF(B346="高二",IF($E346="男",LOOKUP(Q346,[1]对照表!$V$3:$V$24,[1]对照表!$X$3:$X$24),LOOKUP(Q346,[1]对照表!$V$27:$V$48,[1]对照表!$X$27:$X$48)),IF(B346="高一",IF($E346="男",LOOKUP(Q346,[1]对照表!$U$3:$U$24,[1]对照表!$X$3:$X$24),LOOKUP(Q346,[1]对照表!$U$27:$U$48,[1]对照表!$X$27:$X$48)))))</f>
        <v>74</v>
      </c>
      <c r="S346" s="33">
        <f>ROUND(IF(IF($B346="高三",MIN(IF($E346="男",$Q346-3.2,$Q346-3.2),0),IF($B346="高二",MIN(IF($E346="男",$Q346-3.25,$Q346-3.22),0),IF($B346="高一",MIN(IF($E346="男",$Q346-3.3,$Q346-3.24),0))))&lt;-0.6,IF($B346="高三",MIN(IF($E346="男",$Q346-3.2,$Q346-3.2),0),IF($B346="高二",MIN(IF($E346="男",$Q346-3.25,$Q346-3.22),0),IF($B346="高一",MIN(IF($E346="男",$Q346-3.3,$Q346-3.24),0))))+0.4,IF($B346="高三",MIN(IF($E346="男",$Q346-3.2,$Q346-3.2),0),IF($B346="高二",MIN(IF($E346="男",$Q346-3.25,$Q346-3.22),0),IF($B346="高一",MIN(IF($E346="男",$Q346-3.3,$Q346-3.24),0))))),2)</f>
        <v>0</v>
      </c>
      <c r="T346" s="23">
        <f>IF(E346="男",LOOKUP($S346,[1]对照表!$AB$3:$AB$13,[1]对照表!$AC$3:$AC$13),LOOKUP($S346,[1]对照表!$AB$15:$AB$25,[1]对照表!$AC$15:$AC$25))</f>
        <v>0</v>
      </c>
      <c r="U346" s="26">
        <f>R346+T346</f>
        <v>74</v>
      </c>
      <c r="V346" s="26">
        <f>SUM(I346,K346,M346)/3*0.3+SUM(G346,R346)/2*0.4</f>
        <v>61.400000000000006</v>
      </c>
      <c r="W346" s="27">
        <f>O346+T346</f>
        <v>0</v>
      </c>
      <c r="X346" s="28">
        <f>V346/0.7+W346</f>
        <v>87.714285714285722</v>
      </c>
      <c r="Y346" s="28">
        <v>87.714285714285722</v>
      </c>
      <c r="Z346" s="21"/>
    </row>
    <row r="347" spans="1:26" x14ac:dyDescent="0.25">
      <c r="A347" s="16">
        <v>43</v>
      </c>
      <c r="B347" s="17" t="s">
        <v>21</v>
      </c>
      <c r="C347" s="16">
        <v>109</v>
      </c>
      <c r="D347" s="18" t="s">
        <v>244</v>
      </c>
      <c r="E347" s="17" t="s">
        <v>65</v>
      </c>
      <c r="F347" s="19">
        <v>8.14</v>
      </c>
      <c r="G347" s="32">
        <f>IF(B347="高三",IF($E347="男",LOOKUP(F347,[1]对照表!$G$3:$G$24,[1]对照表!$H$3:$H$24),LOOKUP(F347,[1]对照表!$G$27:$G$48,[1]对照表!$H$27:$H$48)),IF(B347="高二",IF($E347="男",LOOKUP(F347,[1]对照表!$F$3:$F$24,[1]对照表!$H$3:$H$24),LOOKUP(F347,[1]对照表!$F$27:$F$48,[1]对照表!$H$27:$H$48)),IF(B347="高一",IF($E347="男",LOOKUP(F347,[1]对照表!$E$3:$E$24,[1]对照表!$H$3:$H$24),LOOKUP(F347,[1]对照表!$E$27:$E$48,[1]对照表!$H$27:$H$48)))))</f>
        <v>85</v>
      </c>
      <c r="H347" s="21">
        <v>29.5</v>
      </c>
      <c r="I347" s="32">
        <f>IF(B347="高三",IF($E347="男",LOOKUP(H347,[1]对照表!$K$3:$K$24,[1]对照表!$L$3:$L$24),LOOKUP(H347,[1]对照表!$K$27:$K$48,[1]对照表!$L$27:$L$48)),IF(B347="高二",IF($E347="男",LOOKUP(H347,[1]对照表!$J$3:$J$24,[1]对照表!$L$3:$L$24),LOOKUP(H347,[1]对照表!$J$27:$J$48,[1]对照表!$L$27:$L$48)),IF(B347="高一",IF($E347="男",LOOKUP(H347,[1]对照表!$I$3:$I$24,[1]对照表!$L$3:$L$24),LOOKUP(H347,[1]对照表!$I$27:$I$48,[1]对照表!$L$27:$L$48)))))</f>
        <v>100</v>
      </c>
      <c r="J347" s="21">
        <v>201</v>
      </c>
      <c r="K347" s="32">
        <f>IF(B347="高三",IF($E347="男",LOOKUP(J347,[1]对照表!$O$3:$O$24,[1]对照表!$P$3:$P$24),LOOKUP(J347,[1]对照表!$O$27:$O$48,[1]对照表!$P$27:$P$48)),IF(B347="高二",IF($E347="男",LOOKUP(J347,[1]对照表!$N$3:$N$24,[1]对照表!$P$3:$P$24),LOOKUP(J347,[1]对照表!$N$27:$N$48,[1]对照表!$P$27:$P$48)),IF(B347="高一",IF($E347="男",LOOKUP(J347,[1]对照表!$M$3:$M$24,[1]对照表!$P$3:$P$24),LOOKUP(J347,[1]对照表!$M$27:$M$48,[1]对照表!$P$27:$P$48)))))</f>
        <v>95</v>
      </c>
      <c r="L347" s="21">
        <v>48</v>
      </c>
      <c r="M347" s="32">
        <f>IF(B347="高三",IF($E347="男",LOOKUP(L347,[1]对照表!$S$3:$S$24,[1]对照表!$T$3:$T$24),LOOKUP(L347,[1]对照表!$S$27:$S$48,[1]对照表!$T$27:$T$48)),IF(B347="高二",IF($E347="男",LOOKUP(L347,[1]对照表!$R$3:$R$24,[1]对照表!$T$3:$T$24),LOOKUP(L347,[1]对照表!$R$27:$R$48,[1]对照表!$T$27:$T$48)),IF(B347="高一",IF($E347="男",LOOKUP(L347,[1]对照表!$Q$3:$Q$24,[1]对照表!$T$3:$T$24),LOOKUP(L347,[1]对照表!$Q$27:$Q$48,[1]对照表!$T$27:$T$48)))))</f>
        <v>85</v>
      </c>
      <c r="N347" s="33">
        <f>IF(B347="高三",MAX(IF(E347="男",L347-18,L347-55),0),IF(B347="高二",MAX(IF(E347="男",L347-17,L347-54),0),IF(B347="高一",MAX(IF(E347="男",L347-16,L347-53),0))))</f>
        <v>0</v>
      </c>
      <c r="O347" s="23">
        <f>IF(E347="男",LOOKUP($N347,[1]对照表!$Z$3:$Z$13,[1]对照表!$AA$3:$AA$13),LOOKUP($N347,[1]对照表!$Z$15:$Z$25,[1]对照表!$AA$15:$AA$25))</f>
        <v>0</v>
      </c>
      <c r="P347" s="24">
        <f>M347+O347</f>
        <v>85</v>
      </c>
      <c r="Q347" s="25">
        <v>3.26</v>
      </c>
      <c r="R347" s="32">
        <f>IF(B347="高三",IF($E347="男",LOOKUP(Q347,[1]对照表!$W$3:$W$24,[1]对照表!$X$3:$X$24),LOOKUP(Q347,[1]对照表!$W$27:$W$48,[1]对照表!$X$27:$X$48)),IF(B347="高二",IF($E347="男",LOOKUP(Q347,[1]对照表!$V$3:$V$24,[1]对照表!$X$3:$X$24),LOOKUP(Q347,[1]对照表!$V$27:$V$48,[1]对照表!$X$27:$X$48)),IF(B347="高一",IF($E347="男",LOOKUP(Q347,[1]对照表!$U$3:$U$24,[1]对照表!$X$3:$X$24),LOOKUP(Q347,[1]对照表!$U$27:$U$48,[1]对照表!$X$27:$X$48)))))</f>
        <v>95</v>
      </c>
      <c r="S347" s="27">
        <f>ROUND(IF(IF($B347="高三",MIN(IF($E347="男",$Q347-3.2,$Q347-3.2),0),IF($B347="高二",MIN(IF($E347="男",$Q347-3.25,$Q347-3.22),0),IF($B347="高一",MIN(IF($E347="男",$Q347-3.3,$Q347-3.24),0))))&lt;-0.6,IF($B347="高三",MIN(IF($E347="男",$Q347-3.2,$Q347-3.2),0),IF($B347="高二",MIN(IF($E347="男",$Q347-3.25,$Q347-3.22),0),IF($B347="高一",MIN(IF($E347="男",$Q347-3.3,$Q347-3.24),0))))+0.4,IF($B347="高三",MIN(IF($E347="男",$Q347-3.2,$Q347-3.2),0),IF($B347="高二",MIN(IF($E347="男",$Q347-3.25,$Q347-3.22),0),IF($B347="高一",MIN(IF($E347="男",$Q347-3.3,$Q347-3.24),0))))),2)</f>
        <v>0</v>
      </c>
      <c r="T347" s="23">
        <f>IF(E347="男",LOOKUP($S347,[1]对照表!$AB$3:$AB$13,[1]对照表!$AC$3:$AC$13),LOOKUP($S347,[1]对照表!$AB$15:$AB$25,[1]对照表!$AC$15:$AC$25))</f>
        <v>0</v>
      </c>
      <c r="U347" s="26">
        <f>R347+T347</f>
        <v>95</v>
      </c>
      <c r="V347" s="26">
        <f>SUM(I347,K347,M347)/3*0.3+SUM(G347,R347)/2*0.4</f>
        <v>64</v>
      </c>
      <c r="W347" s="27">
        <f>O347+T347</f>
        <v>0</v>
      </c>
      <c r="X347" s="28">
        <f>V347/0.7+W347</f>
        <v>91.428571428571431</v>
      </c>
      <c r="Y347" s="28">
        <v>91.428571428571431</v>
      </c>
      <c r="Z347" s="21"/>
    </row>
    <row r="348" spans="1:26" x14ac:dyDescent="0.25">
      <c r="A348" s="16">
        <v>46</v>
      </c>
      <c r="B348" s="17" t="s">
        <v>21</v>
      </c>
      <c r="C348" s="16">
        <v>109</v>
      </c>
      <c r="D348" s="18" t="s">
        <v>250</v>
      </c>
      <c r="E348" s="17" t="s">
        <v>65</v>
      </c>
      <c r="F348" s="19">
        <v>8.5399999999999991</v>
      </c>
      <c r="G348" s="32">
        <f>IF(B348="高三",IF($E348="男",LOOKUP(F348,[1]对照表!$G$3:$G$24,[1]对照表!$H$3:$H$24),LOOKUP(F348,[1]对照表!$G$27:$G$48,[1]对照表!$H$27:$H$48)),IF(B348="高二",IF($E348="男",LOOKUP(F348,[1]对照表!$F$3:$F$24,[1]对照表!$H$3:$H$24),LOOKUP(F348,[1]对照表!$F$27:$F$48,[1]对照表!$H$27:$H$48)),IF(B348="高一",IF($E348="男",LOOKUP(F348,[1]对照表!$E$3:$E$24,[1]对照表!$H$3:$H$24),LOOKUP(F348,[1]对照表!$E$27:$E$48,[1]对照表!$H$27:$H$48)))))</f>
        <v>80</v>
      </c>
      <c r="H348" s="21">
        <v>24</v>
      </c>
      <c r="I348" s="32">
        <f>IF(B348="高三",IF($E348="男",LOOKUP(H348,[1]对照表!$K$3:$K$24,[1]对照表!$L$3:$L$24),LOOKUP(H348,[1]对照表!$K$27:$K$48,[1]对照表!$L$27:$L$48)),IF(B348="高二",IF($E348="男",LOOKUP(H348,[1]对照表!$J$3:$J$24,[1]对照表!$L$3:$L$24),LOOKUP(H348,[1]对照表!$J$27:$J$48,[1]对照表!$L$27:$L$48)),IF(B348="高一",IF($E348="男",LOOKUP(H348,[1]对照表!$I$3:$I$24,[1]对照表!$L$3:$L$24),LOOKUP(H348,[1]对照表!$I$27:$I$48,[1]对照表!$L$27:$L$48)))))</f>
        <v>95</v>
      </c>
      <c r="J348" s="21">
        <v>177</v>
      </c>
      <c r="K348" s="32">
        <f>IF(B348="高三",IF($E348="男",LOOKUP(J348,[1]对照表!$O$3:$O$24,[1]对照表!$P$3:$P$24),LOOKUP(J348,[1]对照表!$O$27:$O$48,[1]对照表!$P$27:$P$48)),IF(B348="高二",IF($E348="男",LOOKUP(J348,[1]对照表!$N$3:$N$24,[1]对照表!$P$3:$P$24),LOOKUP(J348,[1]对照表!$N$27:$N$48,[1]对照表!$P$27:$P$48)),IF(B348="高一",IF($E348="男",LOOKUP(J348,[1]对照表!$M$3:$M$24,[1]对照表!$P$3:$P$24),LOOKUP(J348,[1]对照表!$M$27:$M$48,[1]对照表!$P$27:$P$48)))))</f>
        <v>78</v>
      </c>
      <c r="L348" s="21">
        <v>50</v>
      </c>
      <c r="M348" s="32">
        <f>IF(B348="高三",IF($E348="男",LOOKUP(L348,[1]对照表!$S$3:$S$24,[1]对照表!$T$3:$T$24),LOOKUP(L348,[1]对照表!$S$27:$S$48,[1]对照表!$T$27:$T$48)),IF(B348="高二",IF($E348="男",LOOKUP(L348,[1]对照表!$R$3:$R$24,[1]对照表!$T$3:$T$24),LOOKUP(L348,[1]对照表!$R$27:$R$48,[1]对照表!$T$27:$T$48)),IF(B348="高一",IF($E348="男",LOOKUP(L348,[1]对照表!$Q$3:$Q$24,[1]对照表!$T$3:$T$24),LOOKUP(L348,[1]对照表!$Q$27:$Q$48,[1]对照表!$T$27:$T$48)))))</f>
        <v>90</v>
      </c>
      <c r="N348" s="33">
        <f>IF(B348="高三",MAX(IF(E348="男",L348-18,L348-55),0),IF(B348="高二",MAX(IF(E348="男",L348-17,L348-54),0),IF(B348="高一",MAX(IF(E348="男",L348-16,L348-53),0))))</f>
        <v>0</v>
      </c>
      <c r="O348" s="23">
        <f>IF(E348="男",LOOKUP($N348,[1]对照表!$Z$3:$Z$13,[1]对照表!$AA$3:$AA$13),LOOKUP($N348,[1]对照表!$Z$15:$Z$25,[1]对照表!$AA$15:$AA$25))</f>
        <v>0</v>
      </c>
      <c r="P348" s="24">
        <f>M348+O348</f>
        <v>90</v>
      </c>
      <c r="Q348" s="25">
        <v>3.27</v>
      </c>
      <c r="R348" s="32">
        <f>IF(B348="高三",IF($E348="男",LOOKUP(Q348,[1]对照表!$W$3:$W$24,[1]对照表!$X$3:$X$24),LOOKUP(Q348,[1]对照表!$W$27:$W$48,[1]对照表!$X$27:$X$48)),IF(B348="高二",IF($E348="男",LOOKUP(Q348,[1]对照表!$V$3:$V$24,[1]对照表!$X$3:$X$24),LOOKUP(Q348,[1]对照表!$V$27:$V$48,[1]对照表!$X$27:$X$48)),IF(B348="高一",IF($E348="男",LOOKUP(Q348,[1]对照表!$U$3:$U$24,[1]对照表!$X$3:$X$24),LOOKUP(Q348,[1]对照表!$U$27:$U$48,[1]对照表!$X$27:$X$48)))))</f>
        <v>95</v>
      </c>
      <c r="S348" s="33">
        <f>ROUND(IF(IF($B348="高三",MIN(IF($E348="男",$Q348-3.2,$Q348-3.2),0),IF($B348="高二",MIN(IF($E348="男",$Q348-3.25,$Q348-3.22),0),IF($B348="高一",MIN(IF($E348="男",$Q348-3.3,$Q348-3.24),0))))&lt;-0.6,IF($B348="高三",MIN(IF($E348="男",$Q348-3.2,$Q348-3.2),0),IF($B348="高二",MIN(IF($E348="男",$Q348-3.25,$Q348-3.22),0),IF($B348="高一",MIN(IF($E348="男",$Q348-3.3,$Q348-3.24),0))))+0.4,IF($B348="高三",MIN(IF($E348="男",$Q348-3.2,$Q348-3.2),0),IF($B348="高二",MIN(IF($E348="男",$Q348-3.25,$Q348-3.22),0),IF($B348="高一",MIN(IF($E348="男",$Q348-3.3,$Q348-3.24),0))))),2)</f>
        <v>0</v>
      </c>
      <c r="T348" s="23">
        <f>IF(E348="男",LOOKUP($S348,[1]对照表!$AB$3:$AB$13,[1]对照表!$AC$3:$AC$13),LOOKUP($S348,[1]对照表!$AB$15:$AB$25,[1]对照表!$AC$15:$AC$25))</f>
        <v>0</v>
      </c>
      <c r="U348" s="26">
        <f>R348+T348</f>
        <v>95</v>
      </c>
      <c r="V348" s="26">
        <f>SUM(I348,K348,M348)/3*0.3+SUM(G348,R348)/2*0.4</f>
        <v>61.3</v>
      </c>
      <c r="W348" s="27">
        <f>O348+T348</f>
        <v>0</v>
      </c>
      <c r="X348" s="28">
        <f>V348/0.7+W348</f>
        <v>87.571428571428569</v>
      </c>
      <c r="Y348" s="28">
        <v>87.571428571428569</v>
      </c>
      <c r="Z348" s="21"/>
    </row>
    <row r="349" spans="1:26" x14ac:dyDescent="0.25">
      <c r="A349" s="16">
        <v>48</v>
      </c>
      <c r="B349" s="17" t="s">
        <v>21</v>
      </c>
      <c r="C349" s="16">
        <v>109</v>
      </c>
      <c r="D349" s="18" t="s">
        <v>265</v>
      </c>
      <c r="E349" s="17" t="s">
        <v>65</v>
      </c>
      <c r="F349" s="19">
        <v>9.4</v>
      </c>
      <c r="G349" s="32">
        <f>IF(B349="高三",IF($E349="男",LOOKUP(F349,[1]对照表!$G$3:$G$24,[1]对照表!$H$3:$H$24),LOOKUP(F349,[1]对照表!$G$27:$G$48,[1]对照表!$H$27:$H$48)),IF(B349="高二",IF($E349="男",LOOKUP(F349,[1]对照表!$F$3:$F$24,[1]对照表!$H$3:$H$24),LOOKUP(F349,[1]对照表!$F$27:$F$48,[1]对照表!$H$27:$H$48)),IF(B349="高一",IF($E349="男",LOOKUP(F349,[1]对照表!$E$3:$E$24,[1]对照表!$H$3:$H$24),LOOKUP(F349,[1]对照表!$E$27:$E$48,[1]对照表!$H$27:$H$48)))))</f>
        <v>72</v>
      </c>
      <c r="H349" s="21">
        <v>3</v>
      </c>
      <c r="I349" s="32">
        <f>IF(B349="高三",IF($E349="男",LOOKUP(H349,[1]对照表!$K$3:$K$24,[1]对照表!$L$3:$L$24),LOOKUP(H349,[1]对照表!$K$27:$K$48,[1]对照表!$L$27:$L$48)),IF(B349="高二",IF($E349="男",LOOKUP(H349,[1]对照表!$J$3:$J$24,[1]对照表!$L$3:$L$24),LOOKUP(H349,[1]对照表!$J$27:$J$48,[1]对照表!$L$27:$L$48)),IF(B349="高一",IF($E349="男",LOOKUP(H349,[1]对照表!$I$3:$I$24,[1]对照表!$L$3:$L$24),LOOKUP(H349,[1]对照表!$I$27:$I$48,[1]对照表!$L$27:$L$48)))))</f>
        <v>40</v>
      </c>
      <c r="J349" s="21">
        <v>186</v>
      </c>
      <c r="K349" s="32">
        <f>IF(B349="高三",IF($E349="男",LOOKUP(J349,[1]对照表!$O$3:$O$24,[1]对照表!$P$3:$P$24),LOOKUP(J349,[1]对照表!$O$27:$O$48,[1]对照表!$P$27:$P$48)),IF(B349="高二",IF($E349="男",LOOKUP(J349,[1]对照表!$N$3:$N$24,[1]对照表!$P$3:$P$24),LOOKUP(J349,[1]对照表!$N$27:$N$48,[1]对照表!$P$27:$P$48)),IF(B349="高一",IF($E349="男",LOOKUP(J349,[1]对照表!$M$3:$M$24,[1]对照表!$P$3:$P$24),LOOKUP(J349,[1]对照表!$M$27:$M$48,[1]对照表!$P$27:$P$48)))))</f>
        <v>85</v>
      </c>
      <c r="L349" s="21">
        <v>43</v>
      </c>
      <c r="M349" s="32">
        <f>IF(B349="高三",IF($E349="男",LOOKUP(L349,[1]对照表!$S$3:$S$24,[1]对照表!$T$3:$T$24),LOOKUP(L349,[1]对照表!$S$27:$S$48,[1]对照表!$T$27:$T$48)),IF(B349="高二",IF($E349="男",LOOKUP(L349,[1]对照表!$R$3:$R$24,[1]对照表!$T$3:$T$24),LOOKUP(L349,[1]对照表!$R$27:$R$48,[1]对照表!$T$27:$T$48)),IF(B349="高一",IF($E349="男",LOOKUP(L349,[1]对照表!$Q$3:$Q$24,[1]对照表!$T$3:$T$24),LOOKUP(L349,[1]对照表!$Q$27:$Q$48,[1]对照表!$T$27:$T$48)))))</f>
        <v>80</v>
      </c>
      <c r="N349" s="33">
        <f>IF(B349="高三",MAX(IF(E349="男",L349-18,L349-55),0),IF(B349="高二",MAX(IF(E349="男",L349-17,L349-54),0),IF(B349="高一",MAX(IF(E349="男",L349-16,L349-53),0))))</f>
        <v>0</v>
      </c>
      <c r="O349" s="23">
        <f>IF(E349="男",LOOKUP($N349,[1]对照表!$Z$3:$Z$13,[1]对照表!$AA$3:$AA$13),LOOKUP($N349,[1]对照表!$Z$15:$Z$25,[1]对照表!$AA$15:$AA$25))</f>
        <v>0</v>
      </c>
      <c r="P349" s="24">
        <f>M349+O349</f>
        <v>80</v>
      </c>
      <c r="Q349" s="25">
        <v>3.29</v>
      </c>
      <c r="R349" s="32">
        <f>IF(B349="高三",IF($E349="男",LOOKUP(Q349,[1]对照表!$W$3:$W$24,[1]对照表!$X$3:$X$24),LOOKUP(Q349,[1]对照表!$W$27:$W$48,[1]对照表!$X$27:$X$48)),IF(B349="高二",IF($E349="男",LOOKUP(Q349,[1]对照表!$V$3:$V$24,[1]对照表!$X$3:$X$24),LOOKUP(Q349,[1]对照表!$V$27:$V$48,[1]对照表!$X$27:$X$48)),IF(B349="高一",IF($E349="男",LOOKUP(Q349,[1]对照表!$U$3:$U$24,[1]对照表!$X$3:$X$24),LOOKUP(Q349,[1]对照表!$U$27:$U$48,[1]对照表!$X$27:$X$48)))))</f>
        <v>95</v>
      </c>
      <c r="S349" s="33">
        <f>ROUND(IF(IF($B349="高三",MIN(IF($E349="男",$Q349-3.2,$Q349-3.2),0),IF($B349="高二",MIN(IF($E349="男",$Q349-3.25,$Q349-3.22),0),IF($B349="高一",MIN(IF($E349="男",$Q349-3.3,$Q349-3.24),0))))&lt;-0.6,IF($B349="高三",MIN(IF($E349="男",$Q349-3.2,$Q349-3.2),0),IF($B349="高二",MIN(IF($E349="男",$Q349-3.25,$Q349-3.22),0),IF($B349="高一",MIN(IF($E349="男",$Q349-3.3,$Q349-3.24),0))))+0.4,IF($B349="高三",MIN(IF($E349="男",$Q349-3.2,$Q349-3.2),0),IF($B349="高二",MIN(IF($E349="男",$Q349-3.25,$Q349-3.22),0),IF($B349="高一",MIN(IF($E349="男",$Q349-3.3,$Q349-3.24),0))))),2)</f>
        <v>0</v>
      </c>
      <c r="T349" s="23">
        <f>IF(E349="男",LOOKUP($S349,[1]对照表!$AB$3:$AB$13,[1]对照表!$AC$3:$AC$13),LOOKUP($S349,[1]对照表!$AB$15:$AB$25,[1]对照表!$AC$15:$AC$25))</f>
        <v>0</v>
      </c>
      <c r="U349" s="26">
        <f>R349+T349</f>
        <v>95</v>
      </c>
      <c r="V349" s="26">
        <f>SUM(I349,K349,M349)/3*0.3+SUM(G349,R349)/2*0.4</f>
        <v>53.899999999999991</v>
      </c>
      <c r="W349" s="27">
        <f>O349+T349</f>
        <v>0</v>
      </c>
      <c r="X349" s="28">
        <f>V349/0.7+W349</f>
        <v>76.999999999999986</v>
      </c>
      <c r="Y349" s="28">
        <v>76.999999999999986</v>
      </c>
      <c r="Z349" s="21"/>
    </row>
    <row r="350" spans="1:26" x14ac:dyDescent="0.25">
      <c r="A350" s="16">
        <v>23</v>
      </c>
      <c r="B350" s="17" t="s">
        <v>21</v>
      </c>
      <c r="C350" s="16">
        <v>109</v>
      </c>
      <c r="D350" s="18" t="s">
        <v>285</v>
      </c>
      <c r="E350" s="16" t="s">
        <v>23</v>
      </c>
      <c r="F350" s="19">
        <v>7.3</v>
      </c>
      <c r="G350" s="32">
        <f>IF(B350="高三",IF($E350="男",LOOKUP(F350,[1]对照表!$G$3:$G$24,[1]对照表!$H$3:$H$24),LOOKUP(F350,[1]对照表!$G$27:$G$48,[1]对照表!$H$27:$H$48)),IF(B350="高二",IF($E350="男",LOOKUP(F350,[1]对照表!$F$3:$F$24,[1]对照表!$H$3:$H$24),LOOKUP(F350,[1]对照表!$F$27:$F$48,[1]对照表!$H$27:$H$48)),IF(B350="高一",IF($E350="男",LOOKUP(F350,[1]对照表!$E$3:$E$24,[1]对照表!$H$3:$H$24),LOOKUP(F350,[1]对照表!$E$27:$E$48,[1]对照表!$H$27:$H$48)))))</f>
        <v>90</v>
      </c>
      <c r="H350" s="21">
        <v>9</v>
      </c>
      <c r="I350" s="32">
        <f>IF(B350="高三",IF($E350="男",LOOKUP(H350,[1]对照表!$K$3:$K$24,[1]对照表!$L$3:$L$24),LOOKUP(H350,[1]对照表!$K$27:$K$48,[1]对照表!$L$27:$L$48)),IF(B350="高二",IF($E350="男",LOOKUP(H350,[1]对照表!$J$3:$J$24,[1]对照表!$L$3:$L$24),LOOKUP(H350,[1]对照表!$J$27:$J$48,[1]对照表!$L$27:$L$48)),IF(B350="高一",IF($E350="男",LOOKUP(H350,[1]对照表!$I$3:$I$24,[1]对照表!$L$3:$L$24),LOOKUP(H350,[1]对照表!$I$27:$I$48,[1]对照表!$L$27:$L$48)))))</f>
        <v>70</v>
      </c>
      <c r="J350" s="21">
        <v>216</v>
      </c>
      <c r="K350" s="32">
        <f>IF(B350="高三",IF($E350="男",LOOKUP(J350,[1]对照表!$O$3:$O$24,[1]对照表!$P$3:$P$24),LOOKUP(J350,[1]对照表!$O$27:$O$48,[1]对照表!$P$27:$P$48)),IF(B350="高二",IF($E350="男",LOOKUP(J350,[1]对照表!$N$3:$N$24,[1]对照表!$P$3:$P$24),LOOKUP(J350,[1]对照表!$N$27:$N$48,[1]对照表!$P$27:$P$48)),IF(B350="高一",IF($E350="男",LOOKUP(J350,[1]对照表!$M$3:$M$24,[1]对照表!$P$3:$P$24),LOOKUP(J350,[1]对照表!$M$27:$M$48,[1]对照表!$P$27:$P$48)))))</f>
        <v>70</v>
      </c>
      <c r="L350" s="21">
        <v>20</v>
      </c>
      <c r="M350" s="32">
        <f>IF(B350="高三",IF($E350="男",LOOKUP(L350,[1]对照表!$S$3:$S$24,[1]对照表!$T$3:$T$24),LOOKUP(L350,[1]对照表!$S$27:$S$48,[1]对照表!$T$27:$T$48)),IF(B350="高二",IF($E350="男",LOOKUP(L350,[1]对照表!$R$3:$R$24,[1]对照表!$T$3:$T$24),LOOKUP(L350,[1]对照表!$R$27:$R$48,[1]对照表!$T$27:$T$48)),IF(B350="高一",IF($E350="男",LOOKUP(L350,[1]对照表!$Q$3:$Q$24,[1]对照表!$T$3:$T$24),LOOKUP(L350,[1]对照表!$Q$27:$Q$48,[1]对照表!$T$27:$T$48)))))</f>
        <v>100</v>
      </c>
      <c r="N350" s="33">
        <f>IF(B350="高三",MAX(IF(E350="男",L350-18,L350-55),0),IF(B350="高二",MAX(IF(E350="男",L350-17,L350-54),0),IF(B350="高一",MAX(IF(E350="男",L350-16,L350-53),0))))</f>
        <v>4</v>
      </c>
      <c r="O350" s="23">
        <f>IF(E350="男",LOOKUP($N350,[1]对照表!$Z$3:$Z$13,[1]对照表!$AA$3:$AA$13),LOOKUP($N350,[1]对照表!$Z$15:$Z$25,[1]对照表!$AA$15:$AA$25))</f>
        <v>4</v>
      </c>
      <c r="P350" s="24">
        <f>M350+O350</f>
        <v>104</v>
      </c>
      <c r="Q350" s="25">
        <v>4.03</v>
      </c>
      <c r="R350" s="32">
        <f>IF(B350="高三",IF($E350="男",LOOKUP(Q350,[1]对照表!$W$3:$W$24,[1]对照表!$X$3:$X$24),LOOKUP(Q350,[1]对照表!$W$27:$W$48,[1]对照表!$X$27:$X$48)),IF(B350="高二",IF($E350="男",LOOKUP(Q350,[1]对照表!$V$3:$V$24,[1]对照表!$X$3:$X$24),LOOKUP(Q350,[1]对照表!$V$27:$V$48,[1]对照表!$X$27:$X$48)),IF(B350="高一",IF($E350="男",LOOKUP(Q350,[1]对照表!$U$3:$U$24,[1]对照表!$X$3:$X$24),LOOKUP(Q350,[1]对照表!$U$27:$U$48,[1]对照表!$X$27:$X$48)))))</f>
        <v>76</v>
      </c>
      <c r="S350" s="33">
        <f>ROUND(IF(IF($B350="高三",MIN(IF($E350="男",$Q350-3.2,$Q350-3.2),0),IF($B350="高二",MIN(IF($E350="男",$Q350-3.25,$Q350-3.22),0),IF($B350="高一",MIN(IF($E350="男",$Q350-3.3,$Q350-3.24),0))))&lt;-0.6,IF($B350="高三",MIN(IF($E350="男",$Q350-3.2,$Q350-3.2),0),IF($B350="高二",MIN(IF($E350="男",$Q350-3.25,$Q350-3.22),0),IF($B350="高一",MIN(IF($E350="男",$Q350-3.3,$Q350-3.24),0))))+0.4,IF($B350="高三",MIN(IF($E350="男",$Q350-3.2,$Q350-3.2),0),IF($B350="高二",MIN(IF($E350="男",$Q350-3.25,$Q350-3.22),0),IF($B350="高一",MIN(IF($E350="男",$Q350-3.3,$Q350-3.24),0))))),2)</f>
        <v>0</v>
      </c>
      <c r="T350" s="23">
        <f>IF(E350="男",LOOKUP($S350,[1]对照表!$AB$3:$AB$13,[1]对照表!$AC$3:$AC$13),LOOKUP($S350,[1]对照表!$AB$15:$AB$25,[1]对照表!$AC$15:$AC$25))</f>
        <v>0</v>
      </c>
      <c r="U350" s="26">
        <f>R350+T350</f>
        <v>76</v>
      </c>
      <c r="V350" s="26">
        <f>SUM(I350,K350,M350)/3*0.3+SUM(G350,R350)/2*0.4</f>
        <v>57.2</v>
      </c>
      <c r="W350" s="27">
        <f>O350+T350</f>
        <v>4</v>
      </c>
      <c r="X350" s="28">
        <f>V350/0.7+W350</f>
        <v>85.714285714285722</v>
      </c>
      <c r="Y350" s="28">
        <v>85.714285714285722</v>
      </c>
      <c r="Z350" s="21"/>
    </row>
    <row r="351" spans="1:26" x14ac:dyDescent="0.25">
      <c r="A351" s="16">
        <v>31</v>
      </c>
      <c r="B351" s="17" t="s">
        <v>21</v>
      </c>
      <c r="C351" s="16">
        <v>109</v>
      </c>
      <c r="D351" s="18" t="s">
        <v>287</v>
      </c>
      <c r="E351" s="16" t="s">
        <v>23</v>
      </c>
      <c r="F351" s="19">
        <v>6.9</v>
      </c>
      <c r="G351" s="32">
        <f>IF(B351="高三",IF($E351="男",LOOKUP(F351,[1]对照表!$G$3:$G$24,[1]对照表!$H$3:$H$24),LOOKUP(F351,[1]对照表!$G$27:$G$48,[1]对照表!$H$27:$H$48)),IF(B351="高二",IF($E351="男",LOOKUP(F351,[1]对照表!$F$3:$F$24,[1]对照表!$H$3:$H$24),LOOKUP(F351,[1]对照表!$F$27:$F$48,[1]对照表!$H$27:$H$48)),IF(B351="高一",IF($E351="男",LOOKUP(F351,[1]对照表!$E$3:$E$24,[1]对照表!$H$3:$H$24),LOOKUP(F351,[1]对照表!$E$27:$E$48,[1]对照表!$H$27:$H$48)))))</f>
        <v>100</v>
      </c>
      <c r="H351" s="21">
        <v>17</v>
      </c>
      <c r="I351" s="32">
        <f>IF(B351="高三",IF($E351="男",LOOKUP(H351,[1]对照表!$K$3:$K$24,[1]对照表!$L$3:$L$24),LOOKUP(H351,[1]对照表!$K$27:$K$48,[1]对照表!$L$27:$L$48)),IF(B351="高二",IF($E351="男",LOOKUP(H351,[1]对照表!$J$3:$J$24,[1]对照表!$L$3:$L$24),LOOKUP(H351,[1]对照表!$J$27:$J$48,[1]对照表!$L$27:$L$48)),IF(B351="高一",IF($E351="男",LOOKUP(H351,[1]对照表!$I$3:$I$24,[1]对照表!$L$3:$L$24),LOOKUP(H351,[1]对照表!$I$27:$I$48,[1]对照表!$L$27:$L$48)))))</f>
        <v>80</v>
      </c>
      <c r="J351" s="21">
        <v>252</v>
      </c>
      <c r="K351" s="32">
        <f>IF(B351="高三",IF($E351="男",LOOKUP(J351,[1]对照表!$O$3:$O$24,[1]对照表!$P$3:$P$24),LOOKUP(J351,[1]对照表!$O$27:$O$48,[1]对照表!$P$27:$P$48)),IF(B351="高二",IF($E351="男",LOOKUP(J351,[1]对照表!$N$3:$N$24,[1]对照表!$P$3:$P$24),LOOKUP(J351,[1]对照表!$N$27:$N$48,[1]对照表!$P$27:$P$48)),IF(B351="高一",IF($E351="男",LOOKUP(J351,[1]对照表!$M$3:$M$24,[1]对照表!$P$3:$P$24),LOOKUP(J351,[1]对照表!$M$27:$M$48,[1]对照表!$P$27:$P$48)))))</f>
        <v>90</v>
      </c>
      <c r="L351" s="21">
        <v>13</v>
      </c>
      <c r="M351" s="32">
        <f>IF(B351="高三",IF($E351="男",LOOKUP(L351,[1]对照表!$S$3:$S$24,[1]对照表!$T$3:$T$24),LOOKUP(L351,[1]对照表!$S$27:$S$48,[1]对照表!$T$27:$T$48)),IF(B351="高二",IF($E351="男",LOOKUP(L351,[1]对照表!$R$3:$R$24,[1]对照表!$T$3:$T$24),LOOKUP(L351,[1]对照表!$R$27:$R$48,[1]对照表!$T$27:$T$48)),IF(B351="高一",IF($E351="男",LOOKUP(L351,[1]对照表!$Q$3:$Q$24,[1]对照表!$T$3:$T$24),LOOKUP(L351,[1]对照表!$Q$27:$Q$48,[1]对照表!$T$27:$T$48)))))</f>
        <v>85</v>
      </c>
      <c r="N351" s="33">
        <f>IF(B351="高三",MAX(IF(E351="男",L351-18,L351-55),0),IF(B351="高二",MAX(IF(E351="男",L351-17,L351-54),0),IF(B351="高一",MAX(IF(E351="男",L351-16,L351-53),0))))</f>
        <v>0</v>
      </c>
      <c r="O351" s="23">
        <f>IF(E351="男",LOOKUP($N351,[1]对照表!$Z$3:$Z$13,[1]对照表!$AA$3:$AA$13),LOOKUP($N351,[1]对照表!$Z$15:$Z$25,[1]对照表!$AA$15:$AA$25))</f>
        <v>0</v>
      </c>
      <c r="P351" s="24">
        <f>M351+O351</f>
        <v>85</v>
      </c>
      <c r="Q351" s="25">
        <v>4.1399999999999997</v>
      </c>
      <c r="R351" s="32">
        <f>IF(B351="高三",IF($E351="男",LOOKUP(Q351,[1]对照表!$W$3:$W$24,[1]对照表!$X$3:$X$24),LOOKUP(Q351,[1]对照表!$W$27:$W$48,[1]对照表!$X$27:$X$48)),IF(B351="高二",IF($E351="男",LOOKUP(Q351,[1]对照表!$V$3:$V$24,[1]对照表!$X$3:$X$24),LOOKUP(Q351,[1]对照表!$V$27:$V$48,[1]对照表!$X$27:$X$48)),IF(B351="高一",IF($E351="男",LOOKUP(Q351,[1]对照表!$U$3:$U$24,[1]对照表!$X$3:$X$24),LOOKUP(Q351,[1]对照表!$U$27:$U$48,[1]对照表!$X$27:$X$48)))))</f>
        <v>72</v>
      </c>
      <c r="S351" s="33">
        <f>ROUND(IF(IF($B351="高三",MIN(IF($E351="男",$Q351-3.2,$Q351-3.2),0),IF($B351="高二",MIN(IF($E351="男",$Q351-3.25,$Q351-3.22),0),IF($B351="高一",MIN(IF($E351="男",$Q351-3.3,$Q351-3.24),0))))&lt;-0.6,IF($B351="高三",MIN(IF($E351="男",$Q351-3.2,$Q351-3.2),0),IF($B351="高二",MIN(IF($E351="男",$Q351-3.25,$Q351-3.22),0),IF($B351="高一",MIN(IF($E351="男",$Q351-3.3,$Q351-3.24),0))))+0.4,IF($B351="高三",MIN(IF($E351="男",$Q351-3.2,$Q351-3.2),0),IF($B351="高二",MIN(IF($E351="男",$Q351-3.25,$Q351-3.22),0),IF($B351="高一",MIN(IF($E351="男",$Q351-3.3,$Q351-3.24),0))))),2)</f>
        <v>0</v>
      </c>
      <c r="T351" s="23">
        <f>IF(E351="男",LOOKUP($S351,[1]对照表!$AB$3:$AB$13,[1]对照表!$AC$3:$AC$13),LOOKUP($S351,[1]对照表!$AB$15:$AB$25,[1]对照表!$AC$15:$AC$25))</f>
        <v>0</v>
      </c>
      <c r="U351" s="26">
        <f>R351+T351</f>
        <v>72</v>
      </c>
      <c r="V351" s="26">
        <f>SUM(I351,K351,M351)/3*0.3+SUM(G351,R351)/2*0.4</f>
        <v>59.9</v>
      </c>
      <c r="W351" s="27">
        <f>O351+T351</f>
        <v>0</v>
      </c>
      <c r="X351" s="28">
        <f>V351/0.7+W351</f>
        <v>85.571428571428569</v>
      </c>
      <c r="Y351" s="28">
        <v>85.571428571428569</v>
      </c>
      <c r="Z351" s="21"/>
    </row>
    <row r="352" spans="1:26" x14ac:dyDescent="0.25">
      <c r="A352" s="16">
        <v>20</v>
      </c>
      <c r="B352" s="17" t="s">
        <v>21</v>
      </c>
      <c r="C352" s="16">
        <v>109</v>
      </c>
      <c r="D352" s="18" t="s">
        <v>288</v>
      </c>
      <c r="E352" s="17" t="s">
        <v>23</v>
      </c>
      <c r="F352" s="19">
        <v>7.2</v>
      </c>
      <c r="G352" s="32">
        <f>IF(B352="高三",IF($E352="男",LOOKUP(F352,[1]对照表!$G$3:$G$24,[1]对照表!$H$3:$H$24),LOOKUP(F352,[1]对照表!$G$27:$G$48,[1]对照表!$H$27:$H$48)),IF(B352="高二",IF($E352="男",LOOKUP(F352,[1]对照表!$F$3:$F$24,[1]对照表!$H$3:$H$24),LOOKUP(F352,[1]对照表!$F$27:$F$48,[1]对照表!$H$27:$H$48)),IF(B352="高一",IF($E352="男",LOOKUP(F352,[1]对照表!$E$3:$E$24,[1]对照表!$H$3:$H$24),LOOKUP(F352,[1]对照表!$E$27:$E$48,[1]对照表!$H$27:$H$48)))))</f>
        <v>95</v>
      </c>
      <c r="H352" s="21">
        <v>14.5</v>
      </c>
      <c r="I352" s="32">
        <f>IF(B352="高三",IF($E352="男",LOOKUP(H352,[1]对照表!$K$3:$K$24,[1]对照表!$L$3:$L$24),LOOKUP(H352,[1]对照表!$K$27:$K$48,[1]对照表!$L$27:$L$48)),IF(B352="高二",IF($E352="男",LOOKUP(H352,[1]对照表!$J$3:$J$24,[1]对照表!$L$3:$L$24),LOOKUP(H352,[1]对照表!$J$27:$J$48,[1]对照表!$L$27:$L$48)),IF(B352="高一",IF($E352="男",LOOKUP(H352,[1]对照表!$I$3:$I$24,[1]对照表!$L$3:$L$24),LOOKUP(H352,[1]对照表!$I$27:$I$48,[1]对照表!$L$27:$L$48)))))</f>
        <v>78</v>
      </c>
      <c r="J352" s="21">
        <v>235</v>
      </c>
      <c r="K352" s="32">
        <f>IF(B352="高三",IF($E352="男",LOOKUP(J352,[1]对照表!$O$3:$O$24,[1]对照表!$P$3:$P$24),LOOKUP(J352,[1]对照表!$O$27:$O$48,[1]对照表!$P$27:$P$48)),IF(B352="高二",IF($E352="男",LOOKUP(J352,[1]对照表!$N$3:$N$24,[1]对照表!$P$3:$P$24),LOOKUP(J352,[1]对照表!$N$27:$N$48,[1]对照表!$P$27:$P$48)),IF(B352="高一",IF($E352="男",LOOKUP(J352,[1]对照表!$M$3:$M$24,[1]对照表!$P$3:$P$24),LOOKUP(J352,[1]对照表!$M$27:$M$48,[1]对照表!$P$27:$P$48)))))</f>
        <v>80</v>
      </c>
      <c r="L352" s="21">
        <v>14</v>
      </c>
      <c r="M352" s="32">
        <f>IF(B352="高三",IF($E352="男",LOOKUP(L352,[1]对照表!$S$3:$S$24,[1]对照表!$T$3:$T$24),LOOKUP(L352,[1]对照表!$S$27:$S$48,[1]对照表!$T$27:$T$48)),IF(B352="高二",IF($E352="男",LOOKUP(L352,[1]对照表!$R$3:$R$24,[1]对照表!$T$3:$T$24),LOOKUP(L352,[1]对照表!$R$27:$R$48,[1]对照表!$T$27:$T$48)),IF(B352="高一",IF($E352="男",LOOKUP(L352,[1]对照表!$Q$3:$Q$24,[1]对照表!$T$3:$T$24),LOOKUP(L352,[1]对照表!$Q$27:$Q$48,[1]对照表!$T$27:$T$48)))))</f>
        <v>90</v>
      </c>
      <c r="N352" s="33">
        <f>IF(B352="高三",MAX(IF(E352="男",L352-18,L352-55),0),IF(B352="高二",MAX(IF(E352="男",L352-17,L352-54),0),IF(B352="高一",MAX(IF(E352="男",L352-16,L352-53),0))))</f>
        <v>0</v>
      </c>
      <c r="O352" s="23">
        <f>IF(E352="男",LOOKUP($N352,[1]对照表!$Z$3:$Z$13,[1]对照表!$AA$3:$AA$13),LOOKUP($N352,[1]对照表!$Z$15:$Z$25,[1]对照表!$AA$15:$AA$25))</f>
        <v>0</v>
      </c>
      <c r="P352" s="24">
        <f>M352+O352</f>
        <v>90</v>
      </c>
      <c r="Q352" s="25">
        <v>3.52</v>
      </c>
      <c r="R352" s="32">
        <f>IF(B352="高三",IF($E352="男",LOOKUP(Q352,[1]对照表!$W$3:$W$24,[1]对照表!$X$3:$X$24),LOOKUP(Q352,[1]对照表!$W$27:$W$48,[1]对照表!$X$27:$X$48)),IF(B352="高二",IF($E352="男",LOOKUP(Q352,[1]对照表!$V$3:$V$24,[1]对照表!$X$3:$X$24),LOOKUP(Q352,[1]对照表!$V$27:$V$48,[1]对照表!$X$27:$X$48)),IF(B352="高一",IF($E352="男",LOOKUP(Q352,[1]对照表!$U$3:$U$24,[1]对照表!$X$3:$X$24),LOOKUP(Q352,[1]对照表!$U$27:$U$48,[1]对照表!$X$27:$X$48)))))</f>
        <v>80</v>
      </c>
      <c r="S352" s="33">
        <f>ROUND(IF(IF($B352="高三",MIN(IF($E352="男",$Q352-3.2,$Q352-3.2),0),IF($B352="高二",MIN(IF($E352="男",$Q352-3.25,$Q352-3.22),0),IF($B352="高一",MIN(IF($E352="男",$Q352-3.3,$Q352-3.24),0))))&lt;-0.6,IF($B352="高三",MIN(IF($E352="男",$Q352-3.2,$Q352-3.2),0),IF($B352="高二",MIN(IF($E352="男",$Q352-3.25,$Q352-3.22),0),IF($B352="高一",MIN(IF($E352="男",$Q352-3.3,$Q352-3.24),0))))+0.4,IF($B352="高三",MIN(IF($E352="男",$Q352-3.2,$Q352-3.2),0),IF($B352="高二",MIN(IF($E352="男",$Q352-3.25,$Q352-3.22),0),IF($B352="高一",MIN(IF($E352="男",$Q352-3.3,$Q352-3.24),0))))),2)</f>
        <v>0</v>
      </c>
      <c r="T352" s="23">
        <f>IF(E352="男",LOOKUP($S352,[1]对照表!$AB$3:$AB$13,[1]对照表!$AC$3:$AC$13),LOOKUP($S352,[1]对照表!$AB$15:$AB$25,[1]对照表!$AC$15:$AC$25))</f>
        <v>0</v>
      </c>
      <c r="U352" s="26">
        <f>R352+T352</f>
        <v>80</v>
      </c>
      <c r="V352" s="26">
        <f>SUM(I352,K352,M352)/3*0.3+SUM(G352,R352)/2*0.4</f>
        <v>59.8</v>
      </c>
      <c r="W352" s="27">
        <f>O352+T352</f>
        <v>0</v>
      </c>
      <c r="X352" s="28">
        <f>V352/0.7+W352</f>
        <v>85.428571428571431</v>
      </c>
      <c r="Y352" s="28">
        <v>85.428571428571431</v>
      </c>
      <c r="Z352" s="21"/>
    </row>
    <row r="353" spans="1:26" x14ac:dyDescent="0.25">
      <c r="A353" s="16">
        <v>27</v>
      </c>
      <c r="B353" s="17" t="s">
        <v>21</v>
      </c>
      <c r="C353" s="16">
        <v>109</v>
      </c>
      <c r="D353" s="18" t="s">
        <v>298</v>
      </c>
      <c r="E353" s="16" t="s">
        <v>23</v>
      </c>
      <c r="F353" s="19">
        <v>7</v>
      </c>
      <c r="G353" s="32">
        <f>IF(B353="高三",IF($E353="男",LOOKUP(F353,[1]对照表!$G$3:$G$24,[1]对照表!$H$3:$H$24),LOOKUP(F353,[1]对照表!$G$27:$G$48,[1]对照表!$H$27:$H$48)),IF(B353="高二",IF($E353="男",LOOKUP(F353,[1]对照表!$F$3:$F$24,[1]对照表!$H$3:$H$24),LOOKUP(F353,[1]对照表!$F$27:$F$48,[1]对照表!$H$27:$H$48)),IF(B353="高一",IF($E353="男",LOOKUP(F353,[1]对照表!$E$3:$E$24,[1]对照表!$H$3:$H$24),LOOKUP(F353,[1]对照表!$E$27:$E$48,[1]对照表!$H$27:$H$48)))))</f>
        <v>100</v>
      </c>
      <c r="H353" s="21">
        <v>13</v>
      </c>
      <c r="I353" s="32">
        <f>IF(B353="高三",IF($E353="男",LOOKUP(H353,[1]对照表!$K$3:$K$24,[1]对照表!$L$3:$L$24),LOOKUP(H353,[1]对照表!$K$27:$K$48,[1]对照表!$L$27:$L$48)),IF(B353="高二",IF($E353="男",LOOKUP(H353,[1]对照表!$J$3:$J$24,[1]对照表!$L$3:$L$24),LOOKUP(H353,[1]对照表!$J$27:$J$48,[1]对照表!$L$27:$L$48)),IF(B353="高一",IF($E353="男",LOOKUP(H353,[1]对照表!$I$3:$I$24,[1]对照表!$L$3:$L$24),LOOKUP(H353,[1]对照表!$I$27:$I$48,[1]对照表!$L$27:$L$48)))))</f>
        <v>76</v>
      </c>
      <c r="J353" s="21">
        <v>261</v>
      </c>
      <c r="K353" s="32">
        <f>IF(B353="高三",IF($E353="男",LOOKUP(J353,[1]对照表!$O$3:$O$24,[1]对照表!$P$3:$P$24),LOOKUP(J353,[1]对照表!$O$27:$O$48,[1]对照表!$P$27:$P$48)),IF(B353="高二",IF($E353="男",LOOKUP(J353,[1]对照表!$N$3:$N$24,[1]对照表!$P$3:$P$24),LOOKUP(J353,[1]对照表!$N$27:$N$48,[1]对照表!$P$27:$P$48)),IF(B353="高一",IF($E353="男",LOOKUP(J353,[1]对照表!$M$3:$M$24,[1]对照表!$P$3:$P$24),LOOKUP(J353,[1]对照表!$M$27:$M$48,[1]对照表!$P$27:$P$48)))))</f>
        <v>100</v>
      </c>
      <c r="L353" s="21">
        <v>10</v>
      </c>
      <c r="M353" s="32">
        <f>IF(B353="高三",IF($E353="男",LOOKUP(L353,[1]对照表!$S$3:$S$24,[1]对照表!$T$3:$T$24),LOOKUP(L353,[1]对照表!$S$27:$S$48,[1]对照表!$T$27:$T$48)),IF(B353="高二",IF($E353="男",LOOKUP(L353,[1]对照表!$R$3:$R$24,[1]对照表!$T$3:$T$24),LOOKUP(L353,[1]对照表!$R$27:$R$48,[1]对照表!$T$27:$T$48)),IF(B353="高一",IF($E353="男",LOOKUP(L353,[1]对照表!$Q$3:$Q$24,[1]对照表!$T$3:$T$24),LOOKUP(L353,[1]对照表!$Q$27:$Q$48,[1]对照表!$T$27:$T$48)))))</f>
        <v>72</v>
      </c>
      <c r="N353" s="33">
        <f>IF(B353="高三",MAX(IF(E353="男",L353-18,L353-55),0),IF(B353="高二",MAX(IF(E353="男",L353-17,L353-54),0),IF(B353="高一",MAX(IF(E353="男",L353-16,L353-53),0))))</f>
        <v>0</v>
      </c>
      <c r="O353" s="23">
        <f>IF(E353="男",LOOKUP($N353,[1]对照表!$Z$3:$Z$13,[1]对照表!$AA$3:$AA$13),LOOKUP($N353,[1]对照表!$Z$15:$Z$25,[1]对照表!$AA$15:$AA$25))</f>
        <v>0</v>
      </c>
      <c r="P353" s="24">
        <f>M353+O353</f>
        <v>72</v>
      </c>
      <c r="Q353" s="25">
        <v>4.1399999999999997</v>
      </c>
      <c r="R353" s="32">
        <f>IF(B353="高三",IF($E353="男",LOOKUP(Q353,[1]对照表!$W$3:$W$24,[1]对照表!$X$3:$X$24),LOOKUP(Q353,[1]对照表!$W$27:$W$48,[1]对照表!$X$27:$X$48)),IF(B353="高二",IF($E353="男",LOOKUP(Q353,[1]对照表!$V$3:$V$24,[1]对照表!$X$3:$X$24),LOOKUP(Q353,[1]对照表!$V$27:$V$48,[1]对照表!$X$27:$X$48)),IF(B353="高一",IF($E353="男",LOOKUP(Q353,[1]对照表!$U$3:$U$24,[1]对照表!$X$3:$X$24),LOOKUP(Q353,[1]对照表!$U$27:$U$48,[1]对照表!$X$27:$X$48)))))</f>
        <v>72</v>
      </c>
      <c r="S353" s="33">
        <f>ROUND(IF(IF($B353="高三",MIN(IF($E353="男",$Q353-3.2,$Q353-3.2),0),IF($B353="高二",MIN(IF($E353="男",$Q353-3.25,$Q353-3.22),0),IF($B353="高一",MIN(IF($E353="男",$Q353-3.3,$Q353-3.24),0))))&lt;-0.6,IF($B353="高三",MIN(IF($E353="男",$Q353-3.2,$Q353-3.2),0),IF($B353="高二",MIN(IF($E353="男",$Q353-3.25,$Q353-3.22),0),IF($B353="高一",MIN(IF($E353="男",$Q353-3.3,$Q353-3.24),0))))+0.4,IF($B353="高三",MIN(IF($E353="男",$Q353-3.2,$Q353-3.2),0),IF($B353="高二",MIN(IF($E353="男",$Q353-3.25,$Q353-3.22),0),IF($B353="高一",MIN(IF($E353="男",$Q353-3.3,$Q353-3.24),0))))),2)</f>
        <v>0</v>
      </c>
      <c r="T353" s="23">
        <f>IF(E353="男",LOOKUP($S353,[1]对照表!$AB$3:$AB$13,[1]对照表!$AC$3:$AC$13),LOOKUP($S353,[1]对照表!$AB$15:$AB$25,[1]对照表!$AC$15:$AC$25))</f>
        <v>0</v>
      </c>
      <c r="U353" s="26">
        <f>R353+T353</f>
        <v>72</v>
      </c>
      <c r="V353" s="26">
        <f>SUM(I353,K353,M353)/3*0.3+SUM(G353,R353)/2*0.4</f>
        <v>59.2</v>
      </c>
      <c r="W353" s="27">
        <f>O353+T353</f>
        <v>0</v>
      </c>
      <c r="X353" s="28">
        <f>V353/0.7+W353</f>
        <v>84.571428571428584</v>
      </c>
      <c r="Y353" s="28">
        <v>84.571428571428584</v>
      </c>
      <c r="Z353" s="21"/>
    </row>
    <row r="354" spans="1:26" x14ac:dyDescent="0.25">
      <c r="A354" s="16">
        <v>5</v>
      </c>
      <c r="B354" s="17" t="s">
        <v>21</v>
      </c>
      <c r="C354" s="16">
        <v>109</v>
      </c>
      <c r="D354" s="18" t="s">
        <v>303</v>
      </c>
      <c r="E354" s="17" t="s">
        <v>23</v>
      </c>
      <c r="F354" s="19">
        <v>6.9</v>
      </c>
      <c r="G354" s="32">
        <f>IF(B354="高三",IF($E354="男",LOOKUP(F354,[1]对照表!$G$3:$G$24,[1]对照表!$H$3:$H$24),LOOKUP(F354,[1]对照表!$G$27:$G$48,[1]对照表!$H$27:$H$48)),IF(B354="高二",IF($E354="男",LOOKUP(F354,[1]对照表!$F$3:$F$24,[1]对照表!$H$3:$H$24),LOOKUP(F354,[1]对照表!$F$27:$F$48,[1]对照表!$H$27:$H$48)),IF(B354="高一",IF($E354="男",LOOKUP(F354,[1]对照表!$E$3:$E$24,[1]对照表!$H$3:$H$24),LOOKUP(F354,[1]对照表!$E$27:$E$48,[1]对照表!$H$27:$H$48)))))</f>
        <v>100</v>
      </c>
      <c r="H354" s="21">
        <v>25</v>
      </c>
      <c r="I354" s="32">
        <f>IF(B354="高三",IF($E354="男",LOOKUP(H354,[1]对照表!$K$3:$K$24,[1]对照表!$L$3:$L$24),LOOKUP(H354,[1]对照表!$K$27:$K$48,[1]对照表!$L$27:$L$48)),IF(B354="高二",IF($E354="男",LOOKUP(H354,[1]对照表!$J$3:$J$24,[1]对照表!$L$3:$L$24),LOOKUP(H354,[1]对照表!$J$27:$J$48,[1]对照表!$L$27:$L$48)),IF(B354="高一",IF($E354="男",LOOKUP(H354,[1]对照表!$I$3:$I$24,[1]对照表!$L$3:$L$24),LOOKUP(H354,[1]对照表!$I$27:$I$48,[1]对照表!$L$27:$L$48)))))</f>
        <v>100</v>
      </c>
      <c r="J354" s="21">
        <v>248</v>
      </c>
      <c r="K354" s="32">
        <f>IF(B354="高三",IF($E354="男",LOOKUP(J354,[1]对照表!$O$3:$O$24,[1]对照表!$P$3:$P$24),LOOKUP(J354,[1]对照表!$O$27:$O$48,[1]对照表!$P$27:$P$48)),IF(B354="高二",IF($E354="男",LOOKUP(J354,[1]对照表!$N$3:$N$24,[1]对照表!$P$3:$P$24),LOOKUP(J354,[1]对照表!$N$27:$N$48,[1]对照表!$P$27:$P$48)),IF(B354="高一",IF($E354="男",LOOKUP(J354,[1]对照表!$M$3:$M$24,[1]对照表!$P$3:$P$24),LOOKUP(J354,[1]对照表!$M$27:$M$48,[1]对照表!$P$27:$P$48)))))</f>
        <v>85</v>
      </c>
      <c r="L354" s="21">
        <v>4</v>
      </c>
      <c r="M354" s="32">
        <f>IF(B354="高三",IF($E354="男",LOOKUP(L354,[1]对照表!$S$3:$S$24,[1]对照表!$T$3:$T$24),LOOKUP(L354,[1]对照表!$S$27:$S$48,[1]对照表!$T$27:$T$48)),IF(B354="高二",IF($E354="男",LOOKUP(L354,[1]对照表!$R$3:$R$24,[1]对照表!$T$3:$T$24),LOOKUP(L354,[1]对照表!$R$27:$R$48,[1]对照表!$T$27:$T$48)),IF(B354="高一",IF($E354="男",LOOKUP(L354,[1]对照表!$Q$3:$Q$24,[1]对照表!$T$3:$T$24),LOOKUP(L354,[1]对照表!$Q$27:$Q$48,[1]对照表!$T$27:$T$48)))))</f>
        <v>30</v>
      </c>
      <c r="N354" s="33">
        <f>IF(B354="高三",MAX(IF(E354="男",L354-18,L354-55),0),IF(B354="高二",MAX(IF(E354="男",L354-17,L354-54),0),IF(B354="高一",MAX(IF(E354="男",L354-16,L354-53),0))))</f>
        <v>0</v>
      </c>
      <c r="O354" s="23">
        <f>IF(E354="男",LOOKUP($N354,[1]对照表!$Z$3:$Z$13,[1]对照表!$AA$3:$AA$13),LOOKUP($N354,[1]对照表!$Z$15:$Z$25,[1]对照表!$AA$15:$AA$25))</f>
        <v>0</v>
      </c>
      <c r="P354" s="24">
        <f>M354+O354</f>
        <v>30</v>
      </c>
      <c r="Q354" s="25">
        <v>3.42</v>
      </c>
      <c r="R354" s="32">
        <f>IF(B354="高三",IF($E354="男",LOOKUP(Q354,[1]对照表!$W$3:$W$24,[1]对照表!$X$3:$X$24),LOOKUP(Q354,[1]对照表!$W$27:$W$48,[1]对照表!$X$27:$X$48)),IF(B354="高二",IF($E354="男",LOOKUP(Q354,[1]对照表!$V$3:$V$24,[1]对照表!$X$3:$X$24),LOOKUP(Q354,[1]对照表!$V$27:$V$48,[1]对照表!$X$27:$X$48)),IF(B354="高一",IF($E354="男",LOOKUP(Q354,[1]对照表!$U$3:$U$24,[1]对照表!$X$3:$X$24),LOOKUP(Q354,[1]对照表!$U$27:$U$48,[1]对照表!$X$27:$X$48)))))</f>
        <v>85</v>
      </c>
      <c r="S354" s="33">
        <f>ROUND(IF(IF($B354="高三",MIN(IF($E354="男",$Q354-3.2,$Q354-3.2),0),IF($B354="高二",MIN(IF($E354="男",$Q354-3.25,$Q354-3.22),0),IF($B354="高一",MIN(IF($E354="男",$Q354-3.3,$Q354-3.24),0))))&lt;-0.6,IF($B354="高三",MIN(IF($E354="男",$Q354-3.2,$Q354-3.2),0),IF($B354="高二",MIN(IF($E354="男",$Q354-3.25,$Q354-3.22),0),IF($B354="高一",MIN(IF($E354="男",$Q354-3.3,$Q354-3.24),0))))+0.4,IF($B354="高三",MIN(IF($E354="男",$Q354-3.2,$Q354-3.2),0),IF($B354="高二",MIN(IF($E354="男",$Q354-3.25,$Q354-3.22),0),IF($B354="高一",MIN(IF($E354="男",$Q354-3.3,$Q354-3.24),0))))),2)</f>
        <v>0</v>
      </c>
      <c r="T354" s="23">
        <f>IF(E354="男",LOOKUP($S354,[1]对照表!$AB$3:$AB$13,[1]对照表!$AC$3:$AC$13),LOOKUP($S354,[1]对照表!$AB$15:$AB$25,[1]对照表!$AC$15:$AC$25))</f>
        <v>0</v>
      </c>
      <c r="U354" s="26">
        <f>R354+T354</f>
        <v>85</v>
      </c>
      <c r="V354" s="26">
        <f>SUM(I354,K354,M354)/3*0.3+SUM(G354,R354)/2*0.4</f>
        <v>58.5</v>
      </c>
      <c r="W354" s="27">
        <f>O354+T354</f>
        <v>0</v>
      </c>
      <c r="X354" s="28">
        <f>V354/0.7+W354</f>
        <v>83.571428571428584</v>
      </c>
      <c r="Y354" s="28">
        <v>83.571428571428584</v>
      </c>
      <c r="Z354" s="21"/>
    </row>
    <row r="355" spans="1:26" x14ac:dyDescent="0.25">
      <c r="A355" s="16">
        <v>6</v>
      </c>
      <c r="B355" s="17" t="s">
        <v>21</v>
      </c>
      <c r="C355" s="16">
        <v>109</v>
      </c>
      <c r="D355" s="18" t="s">
        <v>321</v>
      </c>
      <c r="E355" s="17" t="s">
        <v>23</v>
      </c>
      <c r="F355" s="19">
        <v>7</v>
      </c>
      <c r="G355" s="32">
        <f>IF(B355="高三",IF($E355="男",LOOKUP(F355,[1]对照表!$G$3:$G$24,[1]对照表!$H$3:$H$24),LOOKUP(F355,[1]对照表!$G$27:$G$48,[1]对照表!$H$27:$H$48)),IF(B355="高二",IF($E355="男",LOOKUP(F355,[1]对照表!$F$3:$F$24,[1]对照表!$H$3:$H$24),LOOKUP(F355,[1]对照表!$F$27:$F$48,[1]对照表!$H$27:$H$48)),IF(B355="高一",IF($E355="男",LOOKUP(F355,[1]对照表!$E$3:$E$24,[1]对照表!$H$3:$H$24),LOOKUP(F355,[1]对照表!$E$27:$E$48,[1]对照表!$H$27:$H$48)))))</f>
        <v>100</v>
      </c>
      <c r="H355" s="21">
        <v>20.3</v>
      </c>
      <c r="I355" s="32">
        <f>IF(B355="高三",IF($E355="男",LOOKUP(H355,[1]对照表!$K$3:$K$24,[1]对照表!$L$3:$L$24),LOOKUP(H355,[1]对照表!$K$27:$K$48,[1]对照表!$L$27:$L$48)),IF(B355="高二",IF($E355="男",LOOKUP(H355,[1]对照表!$J$3:$J$24,[1]对照表!$L$3:$L$24),LOOKUP(H355,[1]对照表!$J$27:$J$48,[1]对照表!$L$27:$L$48)),IF(B355="高一",IF($E355="男",LOOKUP(H355,[1]对照表!$I$3:$I$24,[1]对照表!$L$3:$L$24),LOOKUP(H355,[1]对照表!$I$27:$I$48,[1]对照表!$L$27:$L$48)))))</f>
        <v>90</v>
      </c>
      <c r="J355" s="21">
        <v>220</v>
      </c>
      <c r="K355" s="32">
        <f>IF(B355="高三",IF($E355="男",LOOKUP(J355,[1]对照表!$O$3:$O$24,[1]对照表!$P$3:$P$24),LOOKUP(J355,[1]对照表!$O$27:$O$48,[1]对照表!$P$27:$P$48)),IF(B355="高二",IF($E355="男",LOOKUP(J355,[1]对照表!$N$3:$N$24,[1]对照表!$P$3:$P$24),LOOKUP(J355,[1]对照表!$N$27:$N$48,[1]对照表!$P$27:$P$48)),IF(B355="高一",IF($E355="男",LOOKUP(J355,[1]对照表!$M$3:$M$24,[1]对照表!$P$3:$P$24),LOOKUP(J355,[1]对照表!$M$27:$M$48,[1]对照表!$P$27:$P$48)))))</f>
        <v>72</v>
      </c>
      <c r="L355" s="21">
        <v>7</v>
      </c>
      <c r="M355" s="32">
        <f>IF(B355="高三",IF($E355="男",LOOKUP(L355,[1]对照表!$S$3:$S$24,[1]对照表!$T$3:$T$24),LOOKUP(L355,[1]对照表!$S$27:$S$48,[1]对照表!$T$27:$T$48)),IF(B355="高二",IF($E355="男",LOOKUP(L355,[1]对照表!$R$3:$R$24,[1]对照表!$T$3:$T$24),LOOKUP(L355,[1]对照表!$R$27:$R$48,[1]对照表!$T$27:$T$48)),IF(B355="高一",IF($E355="男",LOOKUP(L355,[1]对照表!$Q$3:$Q$24,[1]对照表!$T$3:$T$24),LOOKUP(L355,[1]对照表!$Q$27:$Q$48,[1]对照表!$T$27:$T$48)))))</f>
        <v>60</v>
      </c>
      <c r="N355" s="33">
        <f>IF(B355="高三",MAX(IF(E355="男",L355-18,L355-55),0),IF(B355="高二",MAX(IF(E355="男",L355-17,L355-54),0),IF(B355="高一",MAX(IF(E355="男",L355-16,L355-53),0))))</f>
        <v>0</v>
      </c>
      <c r="O355" s="23">
        <f>IF(E355="男",LOOKUP($N355,[1]对照表!$Z$3:$Z$13,[1]对照表!$AA$3:$AA$13),LOOKUP($N355,[1]对照表!$Z$15:$Z$25,[1]对照表!$AA$15:$AA$25))</f>
        <v>0</v>
      </c>
      <c r="P355" s="24">
        <f>M355+O355</f>
        <v>60</v>
      </c>
      <c r="Q355" s="25">
        <v>3.57</v>
      </c>
      <c r="R355" s="32">
        <f>IF(B355="高三",IF($E355="男",LOOKUP(Q355,[1]对照表!$W$3:$W$24,[1]对照表!$X$3:$X$24),LOOKUP(Q355,[1]对照表!$W$27:$W$48,[1]对照表!$X$27:$X$48)),IF(B355="高二",IF($E355="男",LOOKUP(Q355,[1]对照表!$V$3:$V$24,[1]对照表!$X$3:$X$24),LOOKUP(Q355,[1]对照表!$V$27:$V$48,[1]对照表!$X$27:$X$48)),IF(B355="高一",IF($E355="男",LOOKUP(Q355,[1]对照表!$U$3:$U$24,[1]对照表!$X$3:$X$24),LOOKUP(Q355,[1]对照表!$U$27:$U$48,[1]对照表!$X$27:$X$48)))))</f>
        <v>78</v>
      </c>
      <c r="S355" s="33">
        <f>ROUND(IF(IF($B355="高三",MIN(IF($E355="男",$Q355-3.2,$Q355-3.2),0),IF($B355="高二",MIN(IF($E355="男",$Q355-3.25,$Q355-3.22),0),IF($B355="高一",MIN(IF($E355="男",$Q355-3.3,$Q355-3.24),0))))&lt;-0.6,IF($B355="高三",MIN(IF($E355="男",$Q355-3.2,$Q355-3.2),0),IF($B355="高二",MIN(IF($E355="男",$Q355-3.25,$Q355-3.22),0),IF($B355="高一",MIN(IF($E355="男",$Q355-3.3,$Q355-3.24),0))))+0.4,IF($B355="高三",MIN(IF($E355="男",$Q355-3.2,$Q355-3.2),0),IF($B355="高二",MIN(IF($E355="男",$Q355-3.25,$Q355-3.22),0),IF($B355="高一",MIN(IF($E355="男",$Q355-3.3,$Q355-3.24),0))))),2)</f>
        <v>0</v>
      </c>
      <c r="T355" s="23">
        <f>IF(E355="男",LOOKUP($S355,[1]对照表!$AB$3:$AB$13,[1]对照表!$AC$3:$AC$13),LOOKUP($S355,[1]对照表!$AB$15:$AB$25,[1]对照表!$AC$15:$AC$25))</f>
        <v>0</v>
      </c>
      <c r="U355" s="26">
        <f>R355+T355</f>
        <v>78</v>
      </c>
      <c r="V355" s="26">
        <f>SUM(I355,K355,M355)/3*0.3+SUM(G355,R355)/2*0.4</f>
        <v>57.8</v>
      </c>
      <c r="W355" s="27">
        <f>O355+T355</f>
        <v>0</v>
      </c>
      <c r="X355" s="28">
        <f>V355/0.7+W355</f>
        <v>82.571428571428569</v>
      </c>
      <c r="Y355" s="28">
        <v>82.571428571428569</v>
      </c>
      <c r="Z355" s="21"/>
    </row>
    <row r="356" spans="1:26" x14ac:dyDescent="0.25">
      <c r="A356" s="16">
        <v>22</v>
      </c>
      <c r="B356" s="17" t="s">
        <v>21</v>
      </c>
      <c r="C356" s="16">
        <v>109</v>
      </c>
      <c r="D356" s="18" t="s">
        <v>324</v>
      </c>
      <c r="E356" s="16" t="s">
        <v>23</v>
      </c>
      <c r="F356" s="19">
        <v>7</v>
      </c>
      <c r="G356" s="32">
        <f>IF(B356="高三",IF($E356="男",LOOKUP(F356,[1]对照表!$G$3:$G$24,[1]对照表!$H$3:$H$24),LOOKUP(F356,[1]对照表!$G$27:$G$48,[1]对照表!$H$27:$H$48)),IF(B356="高二",IF($E356="男",LOOKUP(F356,[1]对照表!$F$3:$F$24,[1]对照表!$H$3:$H$24),LOOKUP(F356,[1]对照表!$F$27:$F$48,[1]对照表!$H$27:$H$48)),IF(B356="高一",IF($E356="男",LOOKUP(F356,[1]对照表!$E$3:$E$24,[1]对照表!$H$3:$H$24),LOOKUP(F356,[1]对照表!$E$27:$E$48,[1]对照表!$H$27:$H$48)))))</f>
        <v>100</v>
      </c>
      <c r="H356" s="21">
        <v>25.5</v>
      </c>
      <c r="I356" s="32">
        <f>IF(B356="高三",IF($E356="男",LOOKUP(H356,[1]对照表!$K$3:$K$24,[1]对照表!$L$3:$L$24),LOOKUP(H356,[1]对照表!$K$27:$K$48,[1]对照表!$L$27:$L$48)),IF(B356="高二",IF($E356="男",LOOKUP(H356,[1]对照表!$J$3:$J$24,[1]对照表!$L$3:$L$24),LOOKUP(H356,[1]对照表!$J$27:$J$48,[1]对照表!$L$27:$L$48)),IF(B356="高一",IF($E356="男",LOOKUP(H356,[1]对照表!$I$3:$I$24,[1]对照表!$L$3:$L$24),LOOKUP(H356,[1]对照表!$I$27:$I$48,[1]对照表!$L$27:$L$48)))))</f>
        <v>100</v>
      </c>
      <c r="J356" s="21">
        <v>247</v>
      </c>
      <c r="K356" s="32">
        <f>IF(B356="高三",IF($E356="男",LOOKUP(J356,[1]对照表!$O$3:$O$24,[1]对照表!$P$3:$P$24),LOOKUP(J356,[1]对照表!$O$27:$O$48,[1]对照表!$P$27:$P$48)),IF(B356="高二",IF($E356="男",LOOKUP(J356,[1]对照表!$N$3:$N$24,[1]对照表!$P$3:$P$24),LOOKUP(J356,[1]对照表!$N$27:$N$48,[1]对照表!$P$27:$P$48)),IF(B356="高一",IF($E356="男",LOOKUP(J356,[1]对照表!$M$3:$M$24,[1]对照表!$P$3:$P$24),LOOKUP(J356,[1]对照表!$M$27:$M$48,[1]对照表!$P$27:$P$48)))))</f>
        <v>85</v>
      </c>
      <c r="L356" s="21">
        <v>3</v>
      </c>
      <c r="M356" s="32">
        <f>IF(B356="高三",IF($E356="男",LOOKUP(L356,[1]对照表!$S$3:$S$24,[1]对照表!$T$3:$T$24),LOOKUP(L356,[1]对照表!$S$27:$S$48,[1]对照表!$T$27:$T$48)),IF(B356="高二",IF($E356="男",LOOKUP(L356,[1]对照表!$R$3:$R$24,[1]对照表!$T$3:$T$24),LOOKUP(L356,[1]对照表!$R$27:$R$48,[1]对照表!$T$27:$T$48)),IF(B356="高一",IF($E356="男",LOOKUP(L356,[1]对照表!$Q$3:$Q$24,[1]对照表!$T$3:$T$24),LOOKUP(L356,[1]对照表!$Q$27:$Q$48,[1]对照表!$T$27:$T$48)))))</f>
        <v>20</v>
      </c>
      <c r="N356" s="33">
        <f>IF(B356="高三",MAX(IF(E356="男",L356-18,L356-55),0),IF(B356="高二",MAX(IF(E356="男",L356-17,L356-54),0),IF(B356="高一",MAX(IF(E356="男",L356-16,L356-53),0))))</f>
        <v>0</v>
      </c>
      <c r="O356" s="23">
        <f>IF(E356="男",LOOKUP($N356,[1]对照表!$Z$3:$Z$13,[1]对照表!$AA$3:$AA$13),LOOKUP($N356,[1]对照表!$Z$15:$Z$25,[1]对照表!$AA$15:$AA$25))</f>
        <v>0</v>
      </c>
      <c r="P356" s="24">
        <f>M356+O356</f>
        <v>20</v>
      </c>
      <c r="Q356" s="25">
        <v>3.41</v>
      </c>
      <c r="R356" s="32">
        <f>IF(B356="高三",IF($E356="男",LOOKUP(Q356,[1]对照表!$W$3:$W$24,[1]对照表!$X$3:$X$24),LOOKUP(Q356,[1]对照表!$W$27:$W$48,[1]对照表!$X$27:$X$48)),IF(B356="高二",IF($E356="男",LOOKUP(Q356,[1]对照表!$V$3:$V$24,[1]对照表!$X$3:$X$24),LOOKUP(Q356,[1]对照表!$V$27:$V$48,[1]对照表!$X$27:$X$48)),IF(B356="高一",IF($E356="男",LOOKUP(Q356,[1]对照表!$U$3:$U$24,[1]对照表!$X$3:$X$24),LOOKUP(Q356,[1]对照表!$U$27:$U$48,[1]对照表!$X$27:$X$48)))))</f>
        <v>85</v>
      </c>
      <c r="S356" s="33">
        <f>ROUND(IF(IF($B356="高三",MIN(IF($E356="男",$Q356-3.2,$Q356-3.2),0),IF($B356="高二",MIN(IF($E356="男",$Q356-3.25,$Q356-3.22),0),IF($B356="高一",MIN(IF($E356="男",$Q356-3.3,$Q356-3.24),0))))&lt;-0.6,IF($B356="高三",MIN(IF($E356="男",$Q356-3.2,$Q356-3.2),0),IF($B356="高二",MIN(IF($E356="男",$Q356-3.25,$Q356-3.22),0),IF($B356="高一",MIN(IF($E356="男",$Q356-3.3,$Q356-3.24),0))))+0.4,IF($B356="高三",MIN(IF($E356="男",$Q356-3.2,$Q356-3.2),0),IF($B356="高二",MIN(IF($E356="男",$Q356-3.25,$Q356-3.22),0),IF($B356="高一",MIN(IF($E356="男",$Q356-3.3,$Q356-3.24),0))))),2)</f>
        <v>0</v>
      </c>
      <c r="T356" s="23">
        <f>IF(E356="男",LOOKUP($S356,[1]对照表!$AB$3:$AB$13,[1]对照表!$AC$3:$AC$13),LOOKUP($S356,[1]对照表!$AB$15:$AB$25,[1]对照表!$AC$15:$AC$25))</f>
        <v>0</v>
      </c>
      <c r="U356" s="26">
        <f>R356+T356</f>
        <v>85</v>
      </c>
      <c r="V356" s="26">
        <f>SUM(I356,K356,M356)/3*0.3+SUM(G356,R356)/2*0.4</f>
        <v>57.5</v>
      </c>
      <c r="W356" s="27">
        <f>O356+T356</f>
        <v>0</v>
      </c>
      <c r="X356" s="28">
        <f>V356/0.7+W356</f>
        <v>82.142857142857153</v>
      </c>
      <c r="Y356" s="28">
        <v>82.142857142857153</v>
      </c>
      <c r="Z356" s="21"/>
    </row>
    <row r="357" spans="1:26" x14ac:dyDescent="0.25">
      <c r="A357" s="16">
        <v>33</v>
      </c>
      <c r="B357" s="17" t="s">
        <v>21</v>
      </c>
      <c r="C357" s="16">
        <v>109</v>
      </c>
      <c r="D357" s="18" t="s">
        <v>336</v>
      </c>
      <c r="E357" s="16" t="s">
        <v>23</v>
      </c>
      <c r="F357" s="19">
        <v>7.3</v>
      </c>
      <c r="G357" s="32">
        <f>IF(B357="高三",IF($E357="男",LOOKUP(F357,[1]对照表!$G$3:$G$24,[1]对照表!$H$3:$H$24),LOOKUP(F357,[1]对照表!$G$27:$G$48,[1]对照表!$H$27:$H$48)),IF(B357="高二",IF($E357="男",LOOKUP(F357,[1]对照表!$F$3:$F$24,[1]对照表!$H$3:$H$24),LOOKUP(F357,[1]对照表!$F$27:$F$48,[1]对照表!$H$27:$H$48)),IF(B357="高一",IF($E357="男",LOOKUP(F357,[1]对照表!$E$3:$E$24,[1]对照表!$H$3:$H$24),LOOKUP(F357,[1]对照表!$E$27:$E$48,[1]对照表!$H$27:$H$48)))))</f>
        <v>90</v>
      </c>
      <c r="H357" s="21">
        <v>20</v>
      </c>
      <c r="I357" s="32">
        <f>IF(B357="高三",IF($E357="男",LOOKUP(H357,[1]对照表!$K$3:$K$24,[1]对照表!$L$3:$L$24),LOOKUP(H357,[1]对照表!$K$27:$K$48,[1]对照表!$L$27:$L$48)),IF(B357="高二",IF($E357="男",LOOKUP(H357,[1]对照表!$J$3:$J$24,[1]对照表!$L$3:$L$24),LOOKUP(H357,[1]对照表!$J$27:$J$48,[1]对照表!$L$27:$L$48)),IF(B357="高一",IF($E357="男",LOOKUP(H357,[1]对照表!$I$3:$I$24,[1]对照表!$L$3:$L$24),LOOKUP(H357,[1]对照表!$I$27:$I$48,[1]对照表!$L$27:$L$48)))))</f>
        <v>90</v>
      </c>
      <c r="J357" s="21">
        <v>239</v>
      </c>
      <c r="K357" s="32">
        <f>IF(B357="高三",IF($E357="男",LOOKUP(J357,[1]对照表!$O$3:$O$24,[1]对照表!$P$3:$P$24),LOOKUP(J357,[1]对照表!$O$27:$O$48,[1]对照表!$P$27:$P$48)),IF(B357="高二",IF($E357="男",LOOKUP(J357,[1]对照表!$N$3:$N$24,[1]对照表!$P$3:$P$24),LOOKUP(J357,[1]对照表!$N$27:$N$48,[1]对照表!$P$27:$P$48)),IF(B357="高一",IF($E357="男",LOOKUP(J357,[1]对照表!$M$3:$M$24,[1]对照表!$P$3:$P$24),LOOKUP(J357,[1]对照表!$M$27:$M$48,[1]对照表!$P$27:$P$48)))))</f>
        <v>80</v>
      </c>
      <c r="L357" s="21">
        <v>7</v>
      </c>
      <c r="M357" s="32">
        <f>IF(B357="高三",IF($E357="男",LOOKUP(L357,[1]对照表!$S$3:$S$24,[1]对照表!$T$3:$T$24),LOOKUP(L357,[1]对照表!$S$27:$S$48,[1]对照表!$T$27:$T$48)),IF(B357="高二",IF($E357="男",LOOKUP(L357,[1]对照表!$R$3:$R$24,[1]对照表!$T$3:$T$24),LOOKUP(L357,[1]对照表!$R$27:$R$48,[1]对照表!$T$27:$T$48)),IF(B357="高一",IF($E357="男",LOOKUP(L357,[1]对照表!$Q$3:$Q$24,[1]对照表!$T$3:$T$24),LOOKUP(L357,[1]对照表!$Q$27:$Q$48,[1]对照表!$T$27:$T$48)))))</f>
        <v>60</v>
      </c>
      <c r="N357" s="33">
        <f>IF(B357="高三",MAX(IF(E357="男",L357-18,L357-55),0),IF(B357="高二",MAX(IF(E357="男",L357-17,L357-54),0),IF(B357="高一",MAX(IF(E357="男",L357-16,L357-53),0))))</f>
        <v>0</v>
      </c>
      <c r="O357" s="23">
        <f>IF(E357="男",LOOKUP($N357,[1]对照表!$Z$3:$Z$13,[1]对照表!$AA$3:$AA$13),LOOKUP($N357,[1]对照表!$Z$15:$Z$25,[1]对照表!$AA$15:$AA$25))</f>
        <v>0</v>
      </c>
      <c r="P357" s="24">
        <f>M357+O357</f>
        <v>60</v>
      </c>
      <c r="Q357" s="25">
        <v>3.48</v>
      </c>
      <c r="R357" s="32">
        <f>IF(B357="高三",IF($E357="男",LOOKUP(Q357,[1]对照表!$W$3:$W$24,[1]对照表!$X$3:$X$24),LOOKUP(Q357,[1]对照表!$W$27:$W$48,[1]对照表!$X$27:$X$48)),IF(B357="高二",IF($E357="男",LOOKUP(Q357,[1]对照表!$V$3:$V$24,[1]对照表!$X$3:$X$24),LOOKUP(Q357,[1]对照表!$V$27:$V$48,[1]对照表!$X$27:$X$48)),IF(B357="高一",IF($E357="男",LOOKUP(Q357,[1]对照表!$U$3:$U$24,[1]对照表!$X$3:$X$24),LOOKUP(Q357,[1]对照表!$U$27:$U$48,[1]对照表!$X$27:$X$48)))))</f>
        <v>80</v>
      </c>
      <c r="S357" s="33">
        <f>ROUND(IF(IF($B357="高三",MIN(IF($E357="男",$Q357-3.2,$Q357-3.2),0),IF($B357="高二",MIN(IF($E357="男",$Q357-3.25,$Q357-3.22),0),IF($B357="高一",MIN(IF($E357="男",$Q357-3.3,$Q357-3.24),0))))&lt;-0.6,IF($B357="高三",MIN(IF($E357="男",$Q357-3.2,$Q357-3.2),0),IF($B357="高二",MIN(IF($E357="男",$Q357-3.25,$Q357-3.22),0),IF($B357="高一",MIN(IF($E357="男",$Q357-3.3,$Q357-3.24),0))))+0.4,IF($B357="高三",MIN(IF($E357="男",$Q357-3.2,$Q357-3.2),0),IF($B357="高二",MIN(IF($E357="男",$Q357-3.25,$Q357-3.22),0),IF($B357="高一",MIN(IF($E357="男",$Q357-3.3,$Q357-3.24),0))))),2)</f>
        <v>0</v>
      </c>
      <c r="T357" s="23">
        <f>IF(E357="男",LOOKUP($S357,[1]对照表!$AB$3:$AB$13,[1]对照表!$AC$3:$AC$13),LOOKUP($S357,[1]对照表!$AB$15:$AB$25,[1]对照表!$AC$15:$AC$25))</f>
        <v>0</v>
      </c>
      <c r="U357" s="26">
        <f>R357+T357</f>
        <v>80</v>
      </c>
      <c r="V357" s="26">
        <f>SUM(I357,K357,M357)/3*0.3+SUM(G357,R357)/2*0.4</f>
        <v>57</v>
      </c>
      <c r="W357" s="27">
        <f>O357+T357</f>
        <v>0</v>
      </c>
      <c r="X357" s="28">
        <f>V357/0.7+W357</f>
        <v>81.428571428571431</v>
      </c>
      <c r="Y357" s="28">
        <v>81.428571428571431</v>
      </c>
      <c r="Z357" s="21"/>
    </row>
    <row r="358" spans="1:26" x14ac:dyDescent="0.25">
      <c r="A358" s="16">
        <v>13</v>
      </c>
      <c r="B358" s="17" t="s">
        <v>21</v>
      </c>
      <c r="C358" s="16">
        <v>109</v>
      </c>
      <c r="D358" s="18" t="s">
        <v>363</v>
      </c>
      <c r="E358" s="17" t="s">
        <v>23</v>
      </c>
      <c r="F358" s="19">
        <v>7.4</v>
      </c>
      <c r="G358" s="32">
        <f>IF(B358="高三",IF($E358="男",LOOKUP(F358,[1]对照表!$G$3:$G$24,[1]对照表!$H$3:$H$24),LOOKUP(F358,[1]对照表!$G$27:$G$48,[1]对照表!$H$27:$H$48)),IF(B358="高二",IF($E358="男",LOOKUP(F358,[1]对照表!$F$3:$F$24,[1]对照表!$H$3:$H$24),LOOKUP(F358,[1]对照表!$F$27:$F$48,[1]对照表!$H$27:$H$48)),IF(B358="高一",IF($E358="男",LOOKUP(F358,[1]对照表!$E$3:$E$24,[1]对照表!$H$3:$H$24),LOOKUP(F358,[1]对照表!$E$27:$E$48,[1]对照表!$H$27:$H$48)))))</f>
        <v>85</v>
      </c>
      <c r="H358" s="21">
        <v>8.5</v>
      </c>
      <c r="I358" s="32">
        <f>IF(B358="高三",IF($E358="男",LOOKUP(H358,[1]对照表!$K$3:$K$24,[1]对照表!$L$3:$L$24),LOOKUP(H358,[1]对照表!$K$27:$K$48,[1]对照表!$L$27:$L$48)),IF(B358="高二",IF($E358="男",LOOKUP(H358,[1]对照表!$J$3:$J$24,[1]对照表!$L$3:$L$24),LOOKUP(H358,[1]对照表!$J$27:$J$48,[1]对照表!$L$27:$L$48)),IF(B358="高一",IF($E358="男",LOOKUP(H358,[1]对照表!$I$3:$I$24,[1]对照表!$L$3:$L$24),LOOKUP(H358,[1]对照表!$I$27:$I$48,[1]对照表!$L$27:$L$48)))))</f>
        <v>70</v>
      </c>
      <c r="J358" s="21">
        <v>240</v>
      </c>
      <c r="K358" s="32">
        <f>IF(B358="高三",IF($E358="男",LOOKUP(J358,[1]对照表!$O$3:$O$24,[1]对照表!$P$3:$P$24),LOOKUP(J358,[1]对照表!$O$27:$O$48,[1]对照表!$P$27:$P$48)),IF(B358="高二",IF($E358="男",LOOKUP(J358,[1]对照表!$N$3:$N$24,[1]对照表!$P$3:$P$24),LOOKUP(J358,[1]对照表!$N$27:$N$48,[1]对照表!$P$27:$P$48)),IF(B358="高一",IF($E358="男",LOOKUP(J358,[1]对照表!$M$3:$M$24,[1]对照表!$P$3:$P$24),LOOKUP(J358,[1]对照表!$M$27:$M$48,[1]对照表!$P$27:$P$48)))))</f>
        <v>80</v>
      </c>
      <c r="L358" s="21">
        <v>13</v>
      </c>
      <c r="M358" s="32">
        <f>IF(B358="高三",IF($E358="男",LOOKUP(L358,[1]对照表!$S$3:$S$24,[1]对照表!$T$3:$T$24),LOOKUP(L358,[1]对照表!$S$27:$S$48,[1]对照表!$T$27:$T$48)),IF(B358="高二",IF($E358="男",LOOKUP(L358,[1]对照表!$R$3:$R$24,[1]对照表!$T$3:$T$24),LOOKUP(L358,[1]对照表!$R$27:$R$48,[1]对照表!$T$27:$T$48)),IF(B358="高一",IF($E358="男",LOOKUP(L358,[1]对照表!$Q$3:$Q$24,[1]对照表!$T$3:$T$24),LOOKUP(L358,[1]对照表!$Q$27:$Q$48,[1]对照表!$T$27:$T$48)))))</f>
        <v>85</v>
      </c>
      <c r="N358" s="33">
        <f>IF(B358="高三",MAX(IF(E358="男",L358-18,L358-55),0),IF(B358="高二",MAX(IF(E358="男",L358-17,L358-54),0),IF(B358="高一",MAX(IF(E358="男",L358-16,L358-53),0))))</f>
        <v>0</v>
      </c>
      <c r="O358" s="23">
        <f>IF(E358="男",LOOKUP($N358,[1]对照表!$Z$3:$Z$13,[1]对照表!$AA$3:$AA$13),LOOKUP($N358,[1]对照表!$Z$15:$Z$25,[1]对照表!$AA$15:$AA$25))</f>
        <v>0</v>
      </c>
      <c r="P358" s="24">
        <f>M358+O358</f>
        <v>85</v>
      </c>
      <c r="Q358" s="25">
        <v>3.54</v>
      </c>
      <c r="R358" s="32">
        <f>IF(B358="高三",IF($E358="男",LOOKUP(Q358,[1]对照表!$W$3:$W$24,[1]对照表!$X$3:$X$24),LOOKUP(Q358,[1]对照表!$W$27:$W$48,[1]对照表!$X$27:$X$48)),IF(B358="高二",IF($E358="男",LOOKUP(Q358,[1]对照表!$V$3:$V$24,[1]对照表!$X$3:$X$24),LOOKUP(Q358,[1]对照表!$V$27:$V$48,[1]对照表!$X$27:$X$48)),IF(B358="高一",IF($E358="男",LOOKUP(Q358,[1]对照表!$U$3:$U$24,[1]对照表!$X$3:$X$24),LOOKUP(Q358,[1]对照表!$U$27:$U$48,[1]对照表!$X$27:$X$48)))))</f>
        <v>80</v>
      </c>
      <c r="S358" s="33">
        <f>ROUND(IF(IF($B358="高三",MIN(IF($E358="男",$Q358-3.2,$Q358-3.2),0),IF($B358="高二",MIN(IF($E358="男",$Q358-3.25,$Q358-3.22),0),IF($B358="高一",MIN(IF($E358="男",$Q358-3.3,$Q358-3.24),0))))&lt;-0.6,IF($B358="高三",MIN(IF($E358="男",$Q358-3.2,$Q358-3.2),0),IF($B358="高二",MIN(IF($E358="男",$Q358-3.25,$Q358-3.22),0),IF($B358="高一",MIN(IF($E358="男",$Q358-3.3,$Q358-3.24),0))))+0.4,IF($B358="高三",MIN(IF($E358="男",$Q358-3.2,$Q358-3.2),0),IF($B358="高二",MIN(IF($E358="男",$Q358-3.25,$Q358-3.22),0),IF($B358="高一",MIN(IF($E358="男",$Q358-3.3,$Q358-3.24),0))))),2)</f>
        <v>0</v>
      </c>
      <c r="T358" s="23">
        <f>IF(E358="男",LOOKUP($S358,[1]对照表!$AB$3:$AB$13,[1]对照表!$AC$3:$AC$13),LOOKUP($S358,[1]对照表!$AB$15:$AB$25,[1]对照表!$AC$15:$AC$25))</f>
        <v>0</v>
      </c>
      <c r="U358" s="26">
        <f>R358+T358</f>
        <v>80</v>
      </c>
      <c r="V358" s="26">
        <f>SUM(I358,K358,M358)/3*0.3+SUM(G358,R358)/2*0.4</f>
        <v>56.5</v>
      </c>
      <c r="W358" s="27">
        <f>O358+T358</f>
        <v>0</v>
      </c>
      <c r="X358" s="28">
        <f>V358/0.7+W358</f>
        <v>80.714285714285722</v>
      </c>
      <c r="Y358" s="28">
        <v>80.714285714285722</v>
      </c>
      <c r="Z358" s="21"/>
    </row>
    <row r="359" spans="1:26" x14ac:dyDescent="0.25">
      <c r="A359" s="16">
        <v>29</v>
      </c>
      <c r="B359" s="17" t="s">
        <v>21</v>
      </c>
      <c r="C359" s="16">
        <v>109</v>
      </c>
      <c r="D359" s="18" t="s">
        <v>369</v>
      </c>
      <c r="E359" s="16" t="s">
        <v>23</v>
      </c>
      <c r="F359" s="19">
        <v>7.5</v>
      </c>
      <c r="G359" s="32">
        <f>IF(B359="高三",IF($E359="男",LOOKUP(F359,[1]对照表!$G$3:$G$24,[1]对照表!$H$3:$H$24),LOOKUP(F359,[1]对照表!$G$27:$G$48,[1]对照表!$H$27:$H$48)),IF(B359="高二",IF($E359="男",LOOKUP(F359,[1]对照表!$F$3:$F$24,[1]对照表!$H$3:$H$24),LOOKUP(F359,[1]对照表!$F$27:$F$48,[1]对照表!$H$27:$H$48)),IF(B359="高一",IF($E359="男",LOOKUP(F359,[1]对照表!$E$3:$E$24,[1]对照表!$H$3:$H$24),LOOKUP(F359,[1]对照表!$E$27:$E$48,[1]对照表!$H$27:$H$48)))))</f>
        <v>80</v>
      </c>
      <c r="H359" s="21">
        <v>20.5</v>
      </c>
      <c r="I359" s="32">
        <f>IF(B359="高三",IF($E359="男",LOOKUP(H359,[1]对照表!$K$3:$K$24,[1]对照表!$L$3:$L$24),LOOKUP(H359,[1]对照表!$K$27:$K$48,[1]对照表!$L$27:$L$48)),IF(B359="高二",IF($E359="男",LOOKUP(H359,[1]对照表!$J$3:$J$24,[1]对照表!$L$3:$L$24),LOOKUP(H359,[1]对照表!$J$27:$J$48,[1]对照表!$L$27:$L$48)),IF(B359="高一",IF($E359="男",LOOKUP(H359,[1]对照表!$I$3:$I$24,[1]对照表!$L$3:$L$24),LOOKUP(H359,[1]对照表!$I$27:$I$48,[1]对照表!$L$27:$L$48)))))</f>
        <v>90</v>
      </c>
      <c r="J359" s="21">
        <v>227</v>
      </c>
      <c r="K359" s="32">
        <f>IF(B359="高三",IF($E359="男",LOOKUP(J359,[1]对照表!$O$3:$O$24,[1]对照表!$P$3:$P$24),LOOKUP(J359,[1]对照表!$O$27:$O$48,[1]对照表!$P$27:$P$48)),IF(B359="高二",IF($E359="男",LOOKUP(J359,[1]对照表!$N$3:$N$24,[1]对照表!$P$3:$P$24),LOOKUP(J359,[1]对照表!$N$27:$N$48,[1]对照表!$P$27:$P$48)),IF(B359="高一",IF($E359="男",LOOKUP(J359,[1]对照表!$M$3:$M$24,[1]对照表!$P$3:$P$24),LOOKUP(J359,[1]对照表!$M$27:$M$48,[1]对照表!$P$27:$P$48)))))</f>
        <v>76</v>
      </c>
      <c r="L359" s="21">
        <v>14</v>
      </c>
      <c r="M359" s="32">
        <f>IF(B359="高三",IF($E359="男",LOOKUP(L359,[1]对照表!$S$3:$S$24,[1]对照表!$T$3:$T$24),LOOKUP(L359,[1]对照表!$S$27:$S$48,[1]对照表!$T$27:$T$48)),IF(B359="高二",IF($E359="男",LOOKUP(L359,[1]对照表!$R$3:$R$24,[1]对照表!$T$3:$T$24),LOOKUP(L359,[1]对照表!$R$27:$R$48,[1]对照表!$T$27:$T$48)),IF(B359="高一",IF($E359="男",LOOKUP(L359,[1]对照表!$Q$3:$Q$24,[1]对照表!$T$3:$T$24),LOOKUP(L359,[1]对照表!$Q$27:$Q$48,[1]对照表!$T$27:$T$48)))))</f>
        <v>90</v>
      </c>
      <c r="N359" s="33">
        <f>IF(B359="高三",MAX(IF(E359="男",L359-18,L359-55),0),IF(B359="高二",MAX(IF(E359="男",L359-17,L359-54),0),IF(B359="高一",MAX(IF(E359="男",L359-16,L359-53),0))))</f>
        <v>0</v>
      </c>
      <c r="O359" s="23">
        <f>IF(E359="男",LOOKUP($N359,[1]对照表!$Z$3:$Z$13,[1]对照表!$AA$3:$AA$13),LOOKUP($N359,[1]对照表!$Z$15:$Z$25,[1]对照表!$AA$15:$AA$25))</f>
        <v>0</v>
      </c>
      <c r="P359" s="24">
        <f>M359+O359</f>
        <v>90</v>
      </c>
      <c r="Q359" s="25">
        <v>4.1500000000000004</v>
      </c>
      <c r="R359" s="32">
        <f>IF(B359="高三",IF($E359="男",LOOKUP(Q359,[1]对照表!$W$3:$W$24,[1]对照表!$X$3:$X$24),LOOKUP(Q359,[1]对照表!$W$27:$W$48,[1]对照表!$X$27:$X$48)),IF(B359="高二",IF($E359="男",LOOKUP(Q359,[1]对照表!$V$3:$V$24,[1]对照表!$X$3:$X$24),LOOKUP(Q359,[1]对照表!$V$27:$V$48,[1]对照表!$X$27:$X$48)),IF(B359="高一",IF($E359="男",LOOKUP(Q359,[1]对照表!$U$3:$U$24,[1]对照表!$X$3:$X$24),LOOKUP(Q359,[1]对照表!$U$27:$U$48,[1]对照表!$X$27:$X$48)))))</f>
        <v>72</v>
      </c>
      <c r="S359" s="33">
        <f>ROUND(IF(IF($B359="高三",MIN(IF($E359="男",$Q359-3.2,$Q359-3.2),0),IF($B359="高二",MIN(IF($E359="男",$Q359-3.25,$Q359-3.22),0),IF($B359="高一",MIN(IF($E359="男",$Q359-3.3,$Q359-3.24),0))))&lt;-0.6,IF($B359="高三",MIN(IF($E359="男",$Q359-3.2,$Q359-3.2),0),IF($B359="高二",MIN(IF($E359="男",$Q359-3.25,$Q359-3.22),0),IF($B359="高一",MIN(IF($E359="男",$Q359-3.3,$Q359-3.24),0))))+0.4,IF($B359="高三",MIN(IF($E359="男",$Q359-3.2,$Q359-3.2),0),IF($B359="高二",MIN(IF($E359="男",$Q359-3.25,$Q359-3.22),0),IF($B359="高一",MIN(IF($E359="男",$Q359-3.3,$Q359-3.24),0))))),2)</f>
        <v>0</v>
      </c>
      <c r="T359" s="23">
        <f>IF(E359="男",LOOKUP($S359,[1]对照表!$AB$3:$AB$13,[1]对照表!$AC$3:$AC$13),LOOKUP($S359,[1]对照表!$AB$15:$AB$25,[1]对照表!$AC$15:$AC$25))</f>
        <v>0</v>
      </c>
      <c r="U359" s="26">
        <f>R359+T359</f>
        <v>72</v>
      </c>
      <c r="V359" s="26">
        <f>SUM(I359,K359,M359)/3*0.3+SUM(G359,R359)/2*0.4</f>
        <v>56</v>
      </c>
      <c r="W359" s="27">
        <f>O359+T359</f>
        <v>0</v>
      </c>
      <c r="X359" s="28">
        <f>V359/0.7+W359</f>
        <v>80</v>
      </c>
      <c r="Y359" s="28">
        <v>80</v>
      </c>
      <c r="Z359" s="21"/>
    </row>
    <row r="360" spans="1:26" x14ac:dyDescent="0.25">
      <c r="A360" s="16">
        <v>53</v>
      </c>
      <c r="B360" s="17" t="s">
        <v>21</v>
      </c>
      <c r="C360" s="16">
        <v>109</v>
      </c>
      <c r="D360" s="18" t="s">
        <v>404</v>
      </c>
      <c r="E360" s="17" t="s">
        <v>65</v>
      </c>
      <c r="F360" s="19">
        <v>10.02</v>
      </c>
      <c r="G360" s="32">
        <f>IF(B360="高三",IF($E360="男",LOOKUP(F360,[1]对照表!$G$3:$G$24,[1]对照表!$H$3:$H$24),LOOKUP(F360,[1]对照表!$G$27:$G$48,[1]对照表!$H$27:$H$48)),IF(B360="高二",IF($E360="男",LOOKUP(F360,[1]对照表!$F$3:$F$24,[1]对照表!$H$3:$H$24),LOOKUP(F360,[1]对照表!$F$27:$F$48,[1]对照表!$H$27:$H$48)),IF(B360="高一",IF($E360="男",LOOKUP(F360,[1]对照表!$E$3:$E$24,[1]对照表!$H$3:$H$24),LOOKUP(F360,[1]对照表!$E$27:$E$48,[1]对照表!$H$27:$H$48)))))</f>
        <v>64</v>
      </c>
      <c r="H360" s="21">
        <v>10.5</v>
      </c>
      <c r="I360" s="32">
        <f>IF(B360="高三",IF($E360="男",LOOKUP(H360,[1]对照表!$K$3:$K$24,[1]对照表!$L$3:$L$24),LOOKUP(H360,[1]对照表!$K$27:$K$48,[1]对照表!$L$27:$L$48)),IF(B360="高二",IF($E360="男",LOOKUP(H360,[1]对照表!$J$3:$J$24,[1]对照表!$L$3:$L$24),LOOKUP(H360,[1]对照表!$J$27:$J$48,[1]对照表!$L$27:$L$48)),IF(B360="高一",IF($E360="男",LOOKUP(H360,[1]对照表!$I$3:$I$24,[1]对照表!$L$3:$L$24),LOOKUP(H360,[1]对照表!$I$27:$I$48,[1]对照表!$L$27:$L$48)))))</f>
        <v>68</v>
      </c>
      <c r="J360" s="21">
        <v>163</v>
      </c>
      <c r="K360" s="32">
        <f>IF(B360="高三",IF($E360="男",LOOKUP(J360,[1]对照表!$O$3:$O$24,[1]对照表!$P$3:$P$24),LOOKUP(J360,[1]对照表!$O$27:$O$48,[1]对照表!$P$27:$P$48)),IF(B360="高二",IF($E360="男",LOOKUP(J360,[1]对照表!$N$3:$N$24,[1]对照表!$P$3:$P$24),LOOKUP(J360,[1]对照表!$N$27:$N$48,[1]对照表!$P$27:$P$48)),IF(B360="高一",IF($E360="男",LOOKUP(J360,[1]对照表!$M$3:$M$24,[1]对照表!$P$3:$P$24),LOOKUP(J360,[1]对照表!$M$27:$M$48,[1]对照表!$P$27:$P$48)))))</f>
        <v>70</v>
      </c>
      <c r="L360" s="21">
        <v>42</v>
      </c>
      <c r="M360" s="32">
        <f>IF(B360="高三",IF($E360="男",LOOKUP(L360,[1]对照表!$S$3:$S$24,[1]对照表!$T$3:$T$24),LOOKUP(L360,[1]对照表!$S$27:$S$48,[1]对照表!$T$27:$T$48)),IF(B360="高二",IF($E360="男",LOOKUP(L360,[1]对照表!$R$3:$R$24,[1]对照表!$T$3:$T$24),LOOKUP(L360,[1]对照表!$R$27:$R$48,[1]对照表!$T$27:$T$48)),IF(B360="高一",IF($E360="男",LOOKUP(L360,[1]对照表!$Q$3:$Q$24,[1]对照表!$T$3:$T$24),LOOKUP(L360,[1]对照表!$Q$27:$Q$48,[1]对照表!$T$27:$T$48)))))</f>
        <v>78</v>
      </c>
      <c r="N360" s="33">
        <f>IF(B360="高三",MAX(IF(E360="男",L360-18,L360-55),0),IF(B360="高二",MAX(IF(E360="男",L360-17,L360-54),0),IF(B360="高一",MAX(IF(E360="男",L360-16,L360-53),0))))</f>
        <v>0</v>
      </c>
      <c r="O360" s="23">
        <f>IF(E360="男",LOOKUP($N360,[1]对照表!$Z$3:$Z$13,[1]对照表!$AA$3:$AA$13),LOOKUP($N360,[1]对照表!$Z$15:$Z$25,[1]对照表!$AA$15:$AA$25))</f>
        <v>0</v>
      </c>
      <c r="P360" s="24">
        <f>M360+O360</f>
        <v>78</v>
      </c>
      <c r="Q360" s="25">
        <v>3.37</v>
      </c>
      <c r="R360" s="32">
        <f>IF(B360="高三",IF($E360="男",LOOKUP(Q360,[1]对照表!$W$3:$W$24,[1]对照表!$X$3:$X$24),LOOKUP(Q360,[1]对照表!$W$27:$W$48,[1]对照表!$X$27:$X$48)),IF(B360="高二",IF($E360="男",LOOKUP(Q360,[1]对照表!$V$3:$V$24,[1]对照表!$X$3:$X$24),LOOKUP(Q360,[1]对照表!$V$27:$V$48,[1]对照表!$X$27:$X$48)),IF(B360="高一",IF($E360="男",LOOKUP(Q360,[1]对照表!$U$3:$U$24,[1]对照表!$X$3:$X$24),LOOKUP(Q360,[1]对照表!$U$27:$U$48,[1]对照表!$X$27:$X$48)))))</f>
        <v>85</v>
      </c>
      <c r="S360" s="33">
        <f>ROUND(IF(IF($B360="高三",MIN(IF($E360="男",$Q360-3.2,$Q360-3.2),0),IF($B360="高二",MIN(IF($E360="男",$Q360-3.25,$Q360-3.22),0),IF($B360="高一",MIN(IF($E360="男",$Q360-3.3,$Q360-3.24),0))))&lt;-0.6,IF($B360="高三",MIN(IF($E360="男",$Q360-3.2,$Q360-3.2),0),IF($B360="高二",MIN(IF($E360="男",$Q360-3.25,$Q360-3.22),0),IF($B360="高一",MIN(IF($E360="男",$Q360-3.3,$Q360-3.24),0))))+0.4,IF($B360="高三",MIN(IF($E360="男",$Q360-3.2,$Q360-3.2),0),IF($B360="高二",MIN(IF($E360="男",$Q360-3.25,$Q360-3.22),0),IF($B360="高一",MIN(IF($E360="男",$Q360-3.3,$Q360-3.24),0))))),2)</f>
        <v>0</v>
      </c>
      <c r="T360" s="23">
        <f>IF(E360="男",LOOKUP($S360,[1]对照表!$AB$3:$AB$13,[1]对照表!$AC$3:$AC$13),LOOKUP($S360,[1]对照表!$AB$15:$AB$25,[1]对照表!$AC$15:$AC$25))</f>
        <v>0</v>
      </c>
      <c r="U360" s="26">
        <f>R360+T360</f>
        <v>85</v>
      </c>
      <c r="V360" s="26">
        <f>SUM(I360,K360,M360)/3*0.3+SUM(G360,R360)/2*0.4</f>
        <v>51.4</v>
      </c>
      <c r="W360" s="27">
        <f>O360+T360</f>
        <v>0</v>
      </c>
      <c r="X360" s="28">
        <f>V360/0.7+W360</f>
        <v>73.428571428571431</v>
      </c>
      <c r="Y360" s="28">
        <v>73.428571428571431</v>
      </c>
      <c r="Z360" s="21"/>
    </row>
    <row r="361" spans="1:26" x14ac:dyDescent="0.25">
      <c r="A361" s="16">
        <v>21</v>
      </c>
      <c r="B361" s="17" t="s">
        <v>21</v>
      </c>
      <c r="C361" s="16">
        <v>109</v>
      </c>
      <c r="D361" s="18" t="s">
        <v>413</v>
      </c>
      <c r="E361" s="34" t="s">
        <v>23</v>
      </c>
      <c r="F361" s="19">
        <v>7.6</v>
      </c>
      <c r="G361" s="32">
        <f>IF(B361="高三",IF($E361="男",LOOKUP(F361,[1]对照表!$G$3:$G$24,[1]对照表!$H$3:$H$24),LOOKUP(F361,[1]对照表!$G$27:$G$48,[1]对照表!$H$27:$H$48)),IF(B361="高二",IF($E361="男",LOOKUP(F361,[1]对照表!$F$3:$F$24,[1]对照表!$H$3:$H$24),LOOKUP(F361,[1]对照表!$F$27:$F$48,[1]对照表!$H$27:$H$48)),IF(B361="高一",IF($E361="男",LOOKUP(F361,[1]对照表!$E$3:$E$24,[1]对照表!$H$3:$H$24),LOOKUP(F361,[1]对照表!$E$27:$E$48,[1]对照表!$H$27:$H$48)))))</f>
        <v>78</v>
      </c>
      <c r="H361" s="21">
        <v>7.5</v>
      </c>
      <c r="I361" s="32">
        <f>IF(B361="高三",IF($E361="男",LOOKUP(H361,[1]对照表!$K$3:$K$24,[1]对照表!$L$3:$L$24),LOOKUP(H361,[1]对照表!$K$27:$K$48,[1]对照表!$L$27:$L$48)),IF(B361="高二",IF($E361="男",LOOKUP(H361,[1]对照表!$J$3:$J$24,[1]对照表!$L$3:$L$24),LOOKUP(H361,[1]对照表!$J$27:$J$48,[1]对照表!$L$27:$L$48)),IF(B361="高一",IF($E361="男",LOOKUP(H361,[1]对照表!$I$3:$I$24,[1]对照表!$L$3:$L$24),LOOKUP(H361,[1]对照表!$I$27:$I$48,[1]对照表!$L$27:$L$48)))))</f>
        <v>68</v>
      </c>
      <c r="J361" s="21">
        <v>242</v>
      </c>
      <c r="K361" s="32">
        <f>IF(B361="高三",IF($E361="男",LOOKUP(J361,[1]对照表!$O$3:$O$24,[1]对照表!$P$3:$P$24),LOOKUP(J361,[1]对照表!$O$27:$O$48,[1]对照表!$P$27:$P$48)),IF(B361="高二",IF($E361="男",LOOKUP(J361,[1]对照表!$N$3:$N$24,[1]对照表!$P$3:$P$24),LOOKUP(J361,[1]对照表!$N$27:$N$48,[1]对照表!$P$27:$P$48)),IF(B361="高一",IF($E361="男",LOOKUP(J361,[1]对照表!$M$3:$M$24,[1]对照表!$P$3:$P$24),LOOKUP(J361,[1]对照表!$M$27:$M$48,[1]对照表!$P$27:$P$48)))))</f>
        <v>80</v>
      </c>
      <c r="L361" s="21">
        <v>12</v>
      </c>
      <c r="M361" s="32">
        <f>IF(B361="高三",IF($E361="男",LOOKUP(L361,[1]对照表!$S$3:$S$24,[1]对照表!$T$3:$T$24),LOOKUP(L361,[1]对照表!$S$27:$S$48,[1]对照表!$T$27:$T$48)),IF(B361="高二",IF($E361="男",LOOKUP(L361,[1]对照表!$R$3:$R$24,[1]对照表!$T$3:$T$24),LOOKUP(L361,[1]对照表!$R$27:$R$48,[1]对照表!$T$27:$T$48)),IF(B361="高一",IF($E361="男",LOOKUP(L361,[1]对照表!$Q$3:$Q$24,[1]对照表!$T$3:$T$24),LOOKUP(L361,[1]对照表!$Q$27:$Q$48,[1]对照表!$T$27:$T$48)))))</f>
        <v>80</v>
      </c>
      <c r="N361" s="33">
        <f>IF(B361="高三",MAX(IF(E361="男",L361-18,L361-55),0),IF(B361="高二",MAX(IF(E361="男",L361-17,L361-54),0),IF(B361="高一",MAX(IF(E361="男",L361-16,L361-53),0))))</f>
        <v>0</v>
      </c>
      <c r="O361" s="23">
        <f>IF(E361="男",LOOKUP($N361,[1]对照表!$Z$3:$Z$13,[1]对照表!$AA$3:$AA$13),LOOKUP($N361,[1]对照表!$Z$15:$Z$25,[1]对照表!$AA$15:$AA$25))</f>
        <v>0</v>
      </c>
      <c r="P361" s="24">
        <f>M361+O361</f>
        <v>80</v>
      </c>
      <c r="Q361" s="25">
        <v>3.58</v>
      </c>
      <c r="R361" s="32">
        <f>IF(B361="高三",IF($E361="男",LOOKUP(Q361,[1]对照表!$W$3:$W$24,[1]对照表!$X$3:$X$24),LOOKUP(Q361,[1]对照表!$W$27:$W$48,[1]对照表!$X$27:$X$48)),IF(B361="高二",IF($E361="男",LOOKUP(Q361,[1]对照表!$V$3:$V$24,[1]对照表!$X$3:$X$24),LOOKUP(Q361,[1]对照表!$V$27:$V$48,[1]对照表!$X$27:$X$48)),IF(B361="高一",IF($E361="男",LOOKUP(Q361,[1]对照表!$U$3:$U$24,[1]对照表!$X$3:$X$24),LOOKUP(Q361,[1]对照表!$U$27:$U$48,[1]对照表!$X$27:$X$48)))))</f>
        <v>78</v>
      </c>
      <c r="S361" s="33">
        <f>ROUND(IF(IF($B361="高三",MIN(IF($E361="男",$Q361-3.2,$Q361-3.2),0),IF($B361="高二",MIN(IF($E361="男",$Q361-3.25,$Q361-3.22),0),IF($B361="高一",MIN(IF($E361="男",$Q361-3.3,$Q361-3.24),0))))&lt;-0.6,IF($B361="高三",MIN(IF($E361="男",$Q361-3.2,$Q361-3.2),0),IF($B361="高二",MIN(IF($E361="男",$Q361-3.25,$Q361-3.22),0),IF($B361="高一",MIN(IF($E361="男",$Q361-3.3,$Q361-3.24),0))))+0.4,IF($B361="高三",MIN(IF($E361="男",$Q361-3.2,$Q361-3.2),0),IF($B361="高二",MIN(IF($E361="男",$Q361-3.25,$Q361-3.22),0),IF($B361="高一",MIN(IF($E361="男",$Q361-3.3,$Q361-3.24),0))))),2)</f>
        <v>0</v>
      </c>
      <c r="T361" s="23">
        <f>IF(E361="男",LOOKUP($S361,[1]对照表!$AB$3:$AB$13,[1]对照表!$AC$3:$AC$13),LOOKUP($S361,[1]对照表!$AB$15:$AB$25,[1]对照表!$AC$15:$AC$25))</f>
        <v>0</v>
      </c>
      <c r="U361" s="26">
        <f>R361+T361</f>
        <v>78</v>
      </c>
      <c r="V361" s="26">
        <f>SUM(I361,K361,M361)/3*0.3+SUM(G361,R361)/2*0.4</f>
        <v>54</v>
      </c>
      <c r="W361" s="27">
        <f>O361+T361</f>
        <v>0</v>
      </c>
      <c r="X361" s="28">
        <f>V361/0.7+W361</f>
        <v>77.142857142857153</v>
      </c>
      <c r="Y361" s="28">
        <v>77.14</v>
      </c>
      <c r="Z361" s="21"/>
    </row>
    <row r="362" spans="1:26" x14ac:dyDescent="0.25">
      <c r="A362" s="16">
        <v>2</v>
      </c>
      <c r="B362" s="17" t="s">
        <v>21</v>
      </c>
      <c r="C362" s="16">
        <v>109</v>
      </c>
      <c r="D362" s="18" t="s">
        <v>414</v>
      </c>
      <c r="E362" s="17" t="s">
        <v>23</v>
      </c>
      <c r="F362" s="19">
        <v>6.7</v>
      </c>
      <c r="G362" s="32">
        <f>IF(B362="高三",IF($E362="男",LOOKUP(F362,[1]对照表!$G$3:$G$24,[1]对照表!$H$3:$H$24),LOOKUP(F362,[1]对照表!$G$27:$G$48,[1]对照表!$H$27:$H$48)),IF(B362="高二",IF($E362="男",LOOKUP(F362,[1]对照表!$F$3:$F$24,[1]对照表!$H$3:$H$24),LOOKUP(F362,[1]对照表!$F$27:$F$48,[1]对照表!$H$27:$H$48)),IF(B362="高一",IF($E362="男",LOOKUP(F362,[1]对照表!$E$3:$E$24,[1]对照表!$H$3:$H$24),LOOKUP(F362,[1]对照表!$E$27:$E$48,[1]对照表!$H$27:$H$48)))))</f>
        <v>100</v>
      </c>
      <c r="H362" s="21">
        <v>-2.5</v>
      </c>
      <c r="I362" s="32">
        <f>IF(B362="高三",IF($E362="男",LOOKUP(H362,[1]对照表!$K$3:$K$24,[1]对照表!$L$3:$L$24),LOOKUP(H362,[1]对照表!$K$27:$K$48,[1]对照表!$L$27:$L$48)),IF(B362="高二",IF($E362="男",LOOKUP(H362,[1]对照表!$J$3:$J$24,[1]对照表!$L$3:$L$24),LOOKUP(H362,[1]对照表!$J$27:$J$48,[1]对照表!$L$27:$L$48)),IF(B362="高一",IF($E362="男",LOOKUP(H362,[1]对照表!$I$3:$I$24,[1]对照表!$L$3:$L$24),LOOKUP(H362,[1]对照表!$I$27:$I$48,[1]对照表!$L$27:$L$48)))))</f>
        <v>20</v>
      </c>
      <c r="J362" s="21">
        <v>230</v>
      </c>
      <c r="K362" s="32">
        <f>IF(B362="高三",IF($E362="男",LOOKUP(J362,[1]对照表!$O$3:$O$24,[1]对照表!$P$3:$P$24),LOOKUP(J362,[1]对照表!$O$27:$O$48,[1]对照表!$P$27:$P$48)),IF(B362="高二",IF($E362="男",LOOKUP(J362,[1]对照表!$N$3:$N$24,[1]对照表!$P$3:$P$24),LOOKUP(J362,[1]对照表!$N$27:$N$48,[1]对照表!$P$27:$P$48)),IF(B362="高一",IF($E362="男",LOOKUP(J362,[1]对照表!$M$3:$M$24,[1]对照表!$P$3:$P$24),LOOKUP(J362,[1]对照表!$M$27:$M$48,[1]对照表!$P$27:$P$48)))))</f>
        <v>76</v>
      </c>
      <c r="L362" s="21">
        <v>10</v>
      </c>
      <c r="M362" s="32">
        <f>IF(B362="高三",IF($E362="男",LOOKUP(L362,[1]对照表!$S$3:$S$24,[1]对照表!$T$3:$T$24),LOOKUP(L362,[1]对照表!$S$27:$S$48,[1]对照表!$T$27:$T$48)),IF(B362="高二",IF($E362="男",LOOKUP(L362,[1]对照表!$R$3:$R$24,[1]对照表!$T$3:$T$24),LOOKUP(L362,[1]对照表!$R$27:$R$48,[1]对照表!$T$27:$T$48)),IF(B362="高一",IF($E362="男",LOOKUP(L362,[1]对照表!$Q$3:$Q$24,[1]对照表!$T$3:$T$24),LOOKUP(L362,[1]对照表!$Q$27:$Q$48,[1]对照表!$T$27:$T$48)))))</f>
        <v>72</v>
      </c>
      <c r="N362" s="33">
        <f>IF(B362="高三",MAX(IF(E362="男",L362-18,L362-55),0),IF(B362="高二",MAX(IF(E362="男",L362-17,L362-54),0),IF(B362="高一",MAX(IF(E362="男",L362-16,L362-53),0))))</f>
        <v>0</v>
      </c>
      <c r="O362" s="23">
        <f>IF(E362="男",LOOKUP($N362,[1]对照表!$Z$3:$Z$13,[1]对照表!$AA$3:$AA$13),LOOKUP($N362,[1]对照表!$Z$15:$Z$25,[1]对照表!$AA$15:$AA$25))</f>
        <v>0</v>
      </c>
      <c r="P362" s="24">
        <f>M362+O362</f>
        <v>72</v>
      </c>
      <c r="Q362" s="25">
        <v>3.44</v>
      </c>
      <c r="R362" s="32">
        <f>IF(B362="高三",IF($E362="男",LOOKUP(Q362,[1]对照表!$W$3:$W$24,[1]对照表!$X$3:$X$24),LOOKUP(Q362,[1]对照表!$W$27:$W$48,[1]对照表!$X$27:$X$48)),IF(B362="高二",IF($E362="男",LOOKUP(Q362,[1]对照表!$V$3:$V$24,[1]对照表!$X$3:$X$24),LOOKUP(Q362,[1]对照表!$V$27:$V$48,[1]对照表!$X$27:$X$48)),IF(B362="高一",IF($E362="男",LOOKUP(Q362,[1]对照表!$U$3:$U$24,[1]对照表!$X$3:$X$24),LOOKUP(Q362,[1]对照表!$U$27:$U$48,[1]对照表!$X$27:$X$48)))))</f>
        <v>85</v>
      </c>
      <c r="S362" s="33">
        <f>ROUND(IF(IF($B362="高三",MIN(IF($E362="男",$Q362-3.2,$Q362-3.2),0),IF($B362="高二",MIN(IF($E362="男",$Q362-3.25,$Q362-3.22),0),IF($B362="高一",MIN(IF($E362="男",$Q362-3.3,$Q362-3.24),0))))&lt;-0.6,IF($B362="高三",MIN(IF($E362="男",$Q362-3.2,$Q362-3.2),0),IF($B362="高二",MIN(IF($E362="男",$Q362-3.25,$Q362-3.22),0),IF($B362="高一",MIN(IF($E362="男",$Q362-3.3,$Q362-3.24),0))))+0.4,IF($B362="高三",MIN(IF($E362="男",$Q362-3.2,$Q362-3.2),0),IF($B362="高二",MIN(IF($E362="男",$Q362-3.25,$Q362-3.22),0),IF($B362="高一",MIN(IF($E362="男",$Q362-3.3,$Q362-3.24),0))))),2)</f>
        <v>0</v>
      </c>
      <c r="T362" s="23">
        <f>IF(E362="男",LOOKUP($S362,[1]对照表!$AB$3:$AB$13,[1]对照表!$AC$3:$AC$13),LOOKUP($S362,[1]对照表!$AB$15:$AB$25,[1]对照表!$AC$15:$AC$25))</f>
        <v>0</v>
      </c>
      <c r="U362" s="26">
        <f>R362+T362</f>
        <v>85</v>
      </c>
      <c r="V362" s="26">
        <f>SUM(I362,K362,M362)/3*0.3+SUM(G362,R362)/2*0.4</f>
        <v>53.8</v>
      </c>
      <c r="W362" s="27">
        <f>O362+T362</f>
        <v>0</v>
      </c>
      <c r="X362" s="28">
        <f>V362/0.7+W362</f>
        <v>76.857142857142861</v>
      </c>
      <c r="Y362" s="28">
        <v>76.857142857142861</v>
      </c>
      <c r="Z362" s="21"/>
    </row>
    <row r="363" spans="1:26" x14ac:dyDescent="0.25">
      <c r="A363" s="16">
        <v>25</v>
      </c>
      <c r="B363" s="17" t="s">
        <v>21</v>
      </c>
      <c r="C363" s="16">
        <v>109</v>
      </c>
      <c r="D363" s="18" t="s">
        <v>432</v>
      </c>
      <c r="E363" s="16" t="s">
        <v>23</v>
      </c>
      <c r="F363" s="19">
        <v>7.3</v>
      </c>
      <c r="G363" s="32">
        <f>IF(B363="高三",IF($E363="男",LOOKUP(F363,[1]对照表!$G$3:$G$24,[1]对照表!$H$3:$H$24),LOOKUP(F363,[1]对照表!$G$27:$G$48,[1]对照表!$H$27:$H$48)),IF(B363="高二",IF($E363="男",LOOKUP(F363,[1]对照表!$F$3:$F$24,[1]对照表!$H$3:$H$24),LOOKUP(F363,[1]对照表!$F$27:$F$48,[1]对照表!$H$27:$H$48)),IF(B363="高一",IF($E363="男",LOOKUP(F363,[1]对照表!$E$3:$E$24,[1]对照表!$H$3:$H$24),LOOKUP(F363,[1]对照表!$E$27:$E$48,[1]对照表!$H$27:$H$48)))))</f>
        <v>90</v>
      </c>
      <c r="H363" s="21">
        <v>15.5</v>
      </c>
      <c r="I363" s="32">
        <f>IF(B363="高三",IF($E363="男",LOOKUP(H363,[1]对照表!$K$3:$K$24,[1]对照表!$L$3:$L$24),LOOKUP(H363,[1]对照表!$K$27:$K$48,[1]对照表!$L$27:$L$48)),IF(B363="高二",IF($E363="男",LOOKUP(H363,[1]对照表!$J$3:$J$24,[1]对照表!$L$3:$L$24),LOOKUP(H363,[1]对照表!$J$27:$J$48,[1]对照表!$L$27:$L$48)),IF(B363="高一",IF($E363="男",LOOKUP(H363,[1]对照表!$I$3:$I$24,[1]对照表!$L$3:$L$24),LOOKUP(H363,[1]对照表!$I$27:$I$48,[1]对照表!$L$27:$L$48)))))</f>
        <v>80</v>
      </c>
      <c r="J363" s="21">
        <v>225</v>
      </c>
      <c r="K363" s="32">
        <f>IF(B363="高三",IF($E363="男",LOOKUP(J363,[1]对照表!$O$3:$O$24,[1]对照表!$P$3:$P$24),LOOKUP(J363,[1]对照表!$O$27:$O$48,[1]对照表!$P$27:$P$48)),IF(B363="高二",IF($E363="男",LOOKUP(J363,[1]对照表!$N$3:$N$24,[1]对照表!$P$3:$P$24),LOOKUP(J363,[1]对照表!$N$27:$N$48,[1]对照表!$P$27:$P$48)),IF(B363="高一",IF($E363="男",LOOKUP(J363,[1]对照表!$M$3:$M$24,[1]对照表!$P$3:$P$24),LOOKUP(J363,[1]对照表!$M$27:$M$48,[1]对照表!$P$27:$P$48)))))</f>
        <v>74</v>
      </c>
      <c r="L363" s="21">
        <v>2</v>
      </c>
      <c r="M363" s="32">
        <f>IF(B363="高三",IF($E363="男",LOOKUP(L363,[1]对照表!$S$3:$S$24,[1]对照表!$T$3:$T$24),LOOKUP(L363,[1]对照表!$S$27:$S$48,[1]对照表!$T$27:$T$48)),IF(B363="高二",IF($E363="男",LOOKUP(L363,[1]对照表!$R$3:$R$24,[1]对照表!$T$3:$T$24),LOOKUP(L363,[1]对照表!$R$27:$R$48,[1]对照表!$T$27:$T$48)),IF(B363="高一",IF($E363="男",LOOKUP(L363,[1]对照表!$Q$3:$Q$24,[1]对照表!$T$3:$T$24),LOOKUP(L363,[1]对照表!$Q$27:$Q$48,[1]对照表!$T$27:$T$48)))))</f>
        <v>10</v>
      </c>
      <c r="N363" s="33">
        <f>IF(B363="高三",MAX(IF(E363="男",L363-18,L363-55),0),IF(B363="高二",MAX(IF(E363="男",L363-17,L363-54),0),IF(B363="高一",MAX(IF(E363="男",L363-16,L363-53),0))))</f>
        <v>0</v>
      </c>
      <c r="O363" s="23">
        <f>IF(E363="男",LOOKUP($N363,[1]对照表!$Z$3:$Z$13,[1]对照表!$AA$3:$AA$13),LOOKUP($N363,[1]对照表!$Z$15:$Z$25,[1]对照表!$AA$15:$AA$25))</f>
        <v>0</v>
      </c>
      <c r="P363" s="24">
        <f>M363+O363</f>
        <v>10</v>
      </c>
      <c r="Q363" s="25">
        <v>3.38</v>
      </c>
      <c r="R363" s="32">
        <f>IF(B363="高三",IF($E363="男",LOOKUP(Q363,[1]对照表!$W$3:$W$24,[1]对照表!$X$3:$X$24),LOOKUP(Q363,[1]对照表!$W$27:$W$48,[1]对照表!$X$27:$X$48)),IF(B363="高二",IF($E363="男",LOOKUP(Q363,[1]对照表!$V$3:$V$24,[1]对照表!$X$3:$X$24),LOOKUP(Q363,[1]对照表!$V$27:$V$48,[1]对照表!$X$27:$X$48)),IF(B363="高一",IF($E363="男",LOOKUP(Q363,[1]对照表!$U$3:$U$24,[1]对照表!$X$3:$X$24),LOOKUP(Q363,[1]对照表!$U$27:$U$48,[1]对照表!$X$27:$X$48)))))</f>
        <v>90</v>
      </c>
      <c r="S363" s="33">
        <f>ROUND(IF(IF($B363="高三",MIN(IF($E363="男",$Q363-3.2,$Q363-3.2),0),IF($B363="高二",MIN(IF($E363="男",$Q363-3.25,$Q363-3.22),0),IF($B363="高一",MIN(IF($E363="男",$Q363-3.3,$Q363-3.24),0))))&lt;-0.6,IF($B363="高三",MIN(IF($E363="男",$Q363-3.2,$Q363-3.2),0),IF($B363="高二",MIN(IF($E363="男",$Q363-3.25,$Q363-3.22),0),IF($B363="高一",MIN(IF($E363="男",$Q363-3.3,$Q363-3.24),0))))+0.4,IF($B363="高三",MIN(IF($E363="男",$Q363-3.2,$Q363-3.2),0),IF($B363="高二",MIN(IF($E363="男",$Q363-3.25,$Q363-3.22),0),IF($B363="高一",MIN(IF($E363="男",$Q363-3.3,$Q363-3.24),0))))),2)</f>
        <v>0</v>
      </c>
      <c r="T363" s="23">
        <f>IF(E363="男",LOOKUP($S363,[1]对照表!$AB$3:$AB$13,[1]对照表!$AC$3:$AC$13),LOOKUP($S363,[1]对照表!$AB$15:$AB$25,[1]对照表!$AC$15:$AC$25))</f>
        <v>0</v>
      </c>
      <c r="U363" s="26">
        <f>R363+T363</f>
        <v>90</v>
      </c>
      <c r="V363" s="26">
        <f>SUM(I363,K363,M363)/3*0.3+SUM(G363,R363)/2*0.4</f>
        <v>52.4</v>
      </c>
      <c r="W363" s="27">
        <f>O363+T363</f>
        <v>0</v>
      </c>
      <c r="X363" s="28">
        <f>V363/0.7+W363</f>
        <v>74.857142857142861</v>
      </c>
      <c r="Y363" s="28">
        <v>74.857142857142861</v>
      </c>
      <c r="Z363" s="21"/>
    </row>
    <row r="364" spans="1:26" x14ac:dyDescent="0.25">
      <c r="A364" s="16">
        <v>37</v>
      </c>
      <c r="B364" s="17" t="s">
        <v>21</v>
      </c>
      <c r="C364" s="16">
        <v>109</v>
      </c>
      <c r="D364" s="18" t="s">
        <v>448</v>
      </c>
      <c r="E364" s="17" t="s">
        <v>65</v>
      </c>
      <c r="F364" s="19">
        <v>8.9600000000000009</v>
      </c>
      <c r="G364" s="32">
        <f>IF(B364="高三",IF($E364="男",LOOKUP(F364,[1]对照表!$G$3:$G$24,[1]对照表!$H$3:$H$24),LOOKUP(F364,[1]对照表!$G$27:$G$48,[1]对照表!$H$27:$H$48)),IF(B364="高二",IF($E364="男",LOOKUP(F364,[1]对照表!$F$3:$F$24,[1]对照表!$H$3:$H$24),LOOKUP(F364,[1]对照表!$F$27:$F$48,[1]对照表!$H$27:$H$48)),IF(B364="高一",IF($E364="男",LOOKUP(F364,[1]对照表!$E$3:$E$24,[1]对照表!$H$3:$H$24),LOOKUP(F364,[1]对照表!$E$27:$E$48,[1]对照表!$H$27:$H$48)))))</f>
        <v>76</v>
      </c>
      <c r="H364" s="21">
        <v>9</v>
      </c>
      <c r="I364" s="32">
        <f>IF(B364="高三",IF($E364="男",LOOKUP(H364,[1]对照表!$K$3:$K$24,[1]对照表!$L$3:$L$24),LOOKUP(H364,[1]对照表!$K$27:$K$48,[1]对照表!$L$27:$L$48)),IF(B364="高二",IF($E364="男",LOOKUP(H364,[1]对照表!$J$3:$J$24,[1]对照表!$L$3:$L$24),LOOKUP(H364,[1]对照表!$J$27:$J$48,[1]对照表!$L$27:$L$48)),IF(B364="高一",IF($E364="男",LOOKUP(H364,[1]对照表!$I$3:$I$24,[1]对照表!$L$3:$L$24),LOOKUP(H364,[1]对照表!$I$27:$I$48,[1]对照表!$L$27:$L$48)))))</f>
        <v>66</v>
      </c>
      <c r="J364" s="21">
        <v>200</v>
      </c>
      <c r="K364" s="32">
        <f>IF(B364="高三",IF($E364="男",LOOKUP(J364,[1]对照表!$O$3:$O$24,[1]对照表!$P$3:$P$24),LOOKUP(J364,[1]对照表!$O$27:$O$48,[1]对照表!$P$27:$P$48)),IF(B364="高二",IF($E364="男",LOOKUP(J364,[1]对照表!$N$3:$N$24,[1]对照表!$P$3:$P$24),LOOKUP(J364,[1]对照表!$N$27:$N$48,[1]对照表!$P$27:$P$48)),IF(B364="高一",IF($E364="男",LOOKUP(J364,[1]对照表!$M$3:$M$24,[1]对照表!$P$3:$P$24),LOOKUP(J364,[1]对照表!$M$27:$M$48,[1]对照表!$P$27:$P$48)))))</f>
        <v>95</v>
      </c>
      <c r="L364" s="21">
        <v>47</v>
      </c>
      <c r="M364" s="32">
        <f>IF(B364="高三",IF($E364="男",LOOKUP(L364,[1]对照表!$S$3:$S$24,[1]对照表!$T$3:$T$24),LOOKUP(L364,[1]对照表!$S$27:$S$48,[1]对照表!$T$27:$T$48)),IF(B364="高二",IF($E364="男",LOOKUP(L364,[1]对照表!$R$3:$R$24,[1]对照表!$T$3:$T$24),LOOKUP(L364,[1]对照表!$R$27:$R$48,[1]对照表!$T$27:$T$48)),IF(B364="高一",IF($E364="男",LOOKUP(L364,[1]对照表!$Q$3:$Q$24,[1]对照表!$T$3:$T$24),LOOKUP(L364,[1]对照表!$Q$27:$Q$48,[1]对照表!$T$27:$T$48)))))</f>
        <v>85</v>
      </c>
      <c r="N364" s="33">
        <f>IF(B364="高三",MAX(IF(E364="男",L364-18,L364-55),0),IF(B364="高二",MAX(IF(E364="男",L364-17,L364-54),0),IF(B364="高一",MAX(IF(E364="男",L364-16,L364-53),0))))</f>
        <v>0</v>
      </c>
      <c r="O364" s="23">
        <f>IF(E364="男",LOOKUP($N364,[1]对照表!$Z$3:$Z$13,[1]对照表!$AA$3:$AA$13),LOOKUP($N364,[1]对照表!$Z$15:$Z$25,[1]对照表!$AA$15:$AA$25))</f>
        <v>0</v>
      </c>
      <c r="P364" s="24">
        <f>M364+O364</f>
        <v>85</v>
      </c>
      <c r="Q364" s="25">
        <v>3.39</v>
      </c>
      <c r="R364" s="32">
        <f>IF(B364="高三",IF($E364="男",LOOKUP(Q364,[1]对照表!$W$3:$W$24,[1]对照表!$X$3:$X$24),LOOKUP(Q364,[1]对照表!$W$27:$W$48,[1]对照表!$X$27:$X$48)),IF(B364="高二",IF($E364="男",LOOKUP(Q364,[1]对照表!$V$3:$V$24,[1]对照表!$X$3:$X$24),LOOKUP(Q364,[1]对照表!$V$27:$V$48,[1]对照表!$X$27:$X$48)),IF(B364="高一",IF($E364="男",LOOKUP(Q364,[1]对照表!$U$3:$U$24,[1]对照表!$X$3:$X$24),LOOKUP(Q364,[1]对照表!$U$27:$U$48,[1]对照表!$X$27:$X$48)))))</f>
        <v>85</v>
      </c>
      <c r="S364" s="33">
        <f>ROUND(IF(IF($B364="高三",MIN(IF($E364="男",$Q364-3.2,$Q364-3.2),0),IF($B364="高二",MIN(IF($E364="男",$Q364-3.25,$Q364-3.22),0),IF($B364="高一",MIN(IF($E364="男",$Q364-3.3,$Q364-3.24),0))))&lt;-0.6,IF($B364="高三",MIN(IF($E364="男",$Q364-3.2,$Q364-3.2),0),IF($B364="高二",MIN(IF($E364="男",$Q364-3.25,$Q364-3.22),0),IF($B364="高一",MIN(IF($E364="男",$Q364-3.3,$Q364-3.24),0))))+0.4,IF($B364="高三",MIN(IF($E364="男",$Q364-3.2,$Q364-3.2),0),IF($B364="高二",MIN(IF($E364="男",$Q364-3.25,$Q364-3.22),0),IF($B364="高一",MIN(IF($E364="男",$Q364-3.3,$Q364-3.24),0))))),2)</f>
        <v>0</v>
      </c>
      <c r="T364" s="23">
        <f>IF(E364="男",LOOKUP($S364,[1]对照表!$AB$3:$AB$13,[1]对照表!$AC$3:$AC$13),LOOKUP($S364,[1]对照表!$AB$15:$AB$25,[1]对照表!$AC$15:$AC$25))</f>
        <v>0</v>
      </c>
      <c r="U364" s="26">
        <f>R364+T364</f>
        <v>85</v>
      </c>
      <c r="V364" s="26">
        <f>SUM(I364,K364,M364)/3*0.3+SUM(G364,R364)/2*0.4</f>
        <v>56.8</v>
      </c>
      <c r="W364" s="27">
        <f>O364+T364</f>
        <v>0</v>
      </c>
      <c r="X364" s="28">
        <f>V364/0.7+W364</f>
        <v>81.142857142857139</v>
      </c>
      <c r="Y364" s="28">
        <v>81.142857142857139</v>
      </c>
      <c r="Z364" s="21"/>
    </row>
    <row r="365" spans="1:26" x14ac:dyDescent="0.25">
      <c r="A365" s="16">
        <v>49</v>
      </c>
      <c r="B365" s="17" t="s">
        <v>21</v>
      </c>
      <c r="C365" s="16">
        <v>109</v>
      </c>
      <c r="D365" s="18" t="s">
        <v>460</v>
      </c>
      <c r="E365" s="17" t="s">
        <v>65</v>
      </c>
      <c r="F365" s="19">
        <v>8.6</v>
      </c>
      <c r="G365" s="32">
        <f>IF(B365="高三",IF($E365="男",LOOKUP(F365,[1]对照表!$G$3:$G$24,[1]对照表!$H$3:$H$24),LOOKUP(F365,[1]对照表!$G$27:$G$48,[1]对照表!$H$27:$H$48)),IF(B365="高二",IF($E365="男",LOOKUP(F365,[1]对照表!$F$3:$F$24,[1]对照表!$H$3:$H$24),LOOKUP(F365,[1]对照表!$F$27:$F$48,[1]对照表!$H$27:$H$48)),IF(B365="高一",IF($E365="男",LOOKUP(F365,[1]对照表!$E$3:$E$24,[1]对照表!$H$3:$H$24),LOOKUP(F365,[1]对照表!$E$27:$E$48,[1]对照表!$H$27:$H$48)))))</f>
        <v>80</v>
      </c>
      <c r="H365" s="21">
        <v>11.5</v>
      </c>
      <c r="I365" s="32">
        <f>IF(B365="高三",IF($E365="男",LOOKUP(H365,[1]对照表!$K$3:$K$24,[1]对照表!$L$3:$L$24),LOOKUP(H365,[1]对照表!$K$27:$K$48,[1]对照表!$L$27:$L$48)),IF(B365="高二",IF($E365="男",LOOKUP(H365,[1]对照表!$J$3:$J$24,[1]对照表!$L$3:$L$24),LOOKUP(H365,[1]对照表!$J$27:$J$48,[1]对照表!$L$27:$L$48)),IF(B365="高一",IF($E365="男",LOOKUP(H365,[1]对照表!$I$3:$I$24,[1]对照表!$L$3:$L$24),LOOKUP(H365,[1]对照表!$I$27:$I$48,[1]对照表!$L$27:$L$48)))))</f>
        <v>70</v>
      </c>
      <c r="J365" s="21">
        <v>174</v>
      </c>
      <c r="K365" s="32">
        <f>IF(B365="高三",IF($E365="男",LOOKUP(J365,[1]对照表!$O$3:$O$24,[1]对照表!$P$3:$P$24),LOOKUP(J365,[1]对照表!$O$27:$O$48,[1]对照表!$P$27:$P$48)),IF(B365="高二",IF($E365="男",LOOKUP(J365,[1]对照表!$N$3:$N$24,[1]对照表!$P$3:$P$24),LOOKUP(J365,[1]对照表!$N$27:$N$48,[1]对照表!$P$27:$P$48)),IF(B365="高一",IF($E365="男",LOOKUP(J365,[1]对照表!$M$3:$M$24,[1]对照表!$P$3:$P$24),LOOKUP(J365,[1]对照表!$M$27:$M$48,[1]对照表!$P$27:$P$48)))))</f>
        <v>76</v>
      </c>
      <c r="L365" s="21">
        <v>50</v>
      </c>
      <c r="M365" s="32">
        <f>IF(B365="高三",IF($E365="男",LOOKUP(L365,[1]对照表!$S$3:$S$24,[1]对照表!$T$3:$T$24),LOOKUP(L365,[1]对照表!$S$27:$S$48,[1]对照表!$T$27:$T$48)),IF(B365="高二",IF($E365="男",LOOKUP(L365,[1]对照表!$R$3:$R$24,[1]对照表!$T$3:$T$24),LOOKUP(L365,[1]对照表!$R$27:$R$48,[1]对照表!$T$27:$T$48)),IF(B365="高一",IF($E365="男",LOOKUP(L365,[1]对照表!$Q$3:$Q$24,[1]对照表!$T$3:$T$24),LOOKUP(L365,[1]对照表!$Q$27:$Q$48,[1]对照表!$T$27:$T$48)))))</f>
        <v>90</v>
      </c>
      <c r="N365" s="33">
        <f>IF(B365="高三",MAX(IF(E365="男",L365-18,L365-55),0),IF(B365="高二",MAX(IF(E365="男",L365-17,L365-54),0),IF(B365="高一",MAX(IF(E365="男",L365-16,L365-53),0))))</f>
        <v>0</v>
      </c>
      <c r="O365" s="23">
        <f>IF(E365="男",LOOKUP($N365,[1]对照表!$Z$3:$Z$13,[1]对照表!$AA$3:$AA$13),LOOKUP($N365,[1]对照表!$Z$15:$Z$25,[1]对照表!$AA$15:$AA$25))</f>
        <v>0</v>
      </c>
      <c r="P365" s="24">
        <f>M365+O365</f>
        <v>90</v>
      </c>
      <c r="Q365" s="25">
        <v>3.41</v>
      </c>
      <c r="R365" s="32">
        <f>IF(B365="高三",IF($E365="男",LOOKUP(Q365,[1]对照表!$W$3:$W$24,[1]对照表!$X$3:$X$24),LOOKUP(Q365,[1]对照表!$W$27:$W$48,[1]对照表!$X$27:$X$48)),IF(B365="高二",IF($E365="男",LOOKUP(Q365,[1]对照表!$V$3:$V$24,[1]对照表!$X$3:$X$24),LOOKUP(Q365,[1]对照表!$V$27:$V$48,[1]对照表!$X$27:$X$48)),IF(B365="高一",IF($E365="男",LOOKUP(Q365,[1]对照表!$U$3:$U$24,[1]对照表!$X$3:$X$24),LOOKUP(Q365,[1]对照表!$U$27:$U$48,[1]对照表!$X$27:$X$48)))))</f>
        <v>85</v>
      </c>
      <c r="S365" s="33">
        <f>ROUND(IF(IF($B365="高三",MIN(IF($E365="男",$Q365-3.2,$Q365-3.2),0),IF($B365="高二",MIN(IF($E365="男",$Q365-3.25,$Q365-3.22),0),IF($B365="高一",MIN(IF($E365="男",$Q365-3.3,$Q365-3.24),0))))&lt;-0.6,IF($B365="高三",MIN(IF($E365="男",$Q365-3.2,$Q365-3.2),0),IF($B365="高二",MIN(IF($E365="男",$Q365-3.25,$Q365-3.22),0),IF($B365="高一",MIN(IF($E365="男",$Q365-3.3,$Q365-3.24),0))))+0.4,IF($B365="高三",MIN(IF($E365="男",$Q365-3.2,$Q365-3.2),0),IF($B365="高二",MIN(IF($E365="男",$Q365-3.25,$Q365-3.22),0),IF($B365="高一",MIN(IF($E365="男",$Q365-3.3,$Q365-3.24),0))))),2)</f>
        <v>0</v>
      </c>
      <c r="T365" s="23">
        <f>IF(E365="男",LOOKUP($S365,[1]对照表!$AB$3:$AB$13,[1]对照表!$AC$3:$AC$13),LOOKUP($S365,[1]对照表!$AB$15:$AB$25,[1]对照表!$AC$15:$AC$25))</f>
        <v>0</v>
      </c>
      <c r="U365" s="26">
        <f>R365+T365</f>
        <v>85</v>
      </c>
      <c r="V365" s="26">
        <f>SUM(I365,K365,M365)/3*0.3+SUM(G365,R365)/2*0.4</f>
        <v>56.6</v>
      </c>
      <c r="W365" s="27">
        <f>O365+T365</f>
        <v>0</v>
      </c>
      <c r="X365" s="28">
        <f>V365/0.7+W365</f>
        <v>80.857142857142861</v>
      </c>
      <c r="Y365" s="28">
        <v>80.857142857142861</v>
      </c>
      <c r="Z365" s="21"/>
    </row>
    <row r="366" spans="1:26" x14ac:dyDescent="0.25">
      <c r="A366" s="16">
        <v>32</v>
      </c>
      <c r="B366" s="17" t="s">
        <v>21</v>
      </c>
      <c r="C366" s="16">
        <v>109</v>
      </c>
      <c r="D366" s="18" t="s">
        <v>471</v>
      </c>
      <c r="E366" s="16" t="s">
        <v>23</v>
      </c>
      <c r="F366" s="19">
        <v>8</v>
      </c>
      <c r="G366" s="32">
        <f>IF(B366="高三",IF($E366="男",LOOKUP(F366,[1]对照表!$G$3:$G$24,[1]对照表!$H$3:$H$24),LOOKUP(F366,[1]对照表!$G$27:$G$48,[1]对照表!$H$27:$H$48)),IF(B366="高二",IF($E366="男",LOOKUP(F366,[1]对照表!$F$3:$F$24,[1]对照表!$H$3:$H$24),LOOKUP(F366,[1]对照表!$F$27:$F$48,[1]对照表!$H$27:$H$48)),IF(B366="高一",IF($E366="男",LOOKUP(F366,[1]对照表!$E$3:$E$24,[1]对照表!$H$3:$H$24),LOOKUP(F366,[1]对照表!$E$27:$E$48,[1]对照表!$H$27:$H$48)))))</f>
        <v>74</v>
      </c>
      <c r="H366" s="21">
        <v>7</v>
      </c>
      <c r="I366" s="32">
        <f>IF(B366="高三",IF($E366="男",LOOKUP(H366,[1]对照表!$K$3:$K$24,[1]对照表!$L$3:$L$24),LOOKUP(H366,[1]对照表!$K$27:$K$48,[1]对照表!$L$27:$L$48)),IF(B366="高二",IF($E366="男",LOOKUP(H366,[1]对照表!$J$3:$J$24,[1]对照表!$L$3:$L$24),LOOKUP(H366,[1]对照表!$J$27:$J$48,[1]对照表!$L$27:$L$48)),IF(B366="高一",IF($E366="男",LOOKUP(H366,[1]对照表!$I$3:$I$24,[1]对照表!$L$3:$L$24),LOOKUP(H366,[1]对照表!$I$27:$I$48,[1]对照表!$L$27:$L$48)))))</f>
        <v>68</v>
      </c>
      <c r="J366" s="21">
        <v>189</v>
      </c>
      <c r="K366" s="32">
        <f>IF(B366="高三",IF($E366="男",LOOKUP(J366,[1]对照表!$O$3:$O$24,[1]对照表!$P$3:$P$24),LOOKUP(J366,[1]对照表!$O$27:$O$48,[1]对照表!$P$27:$P$48)),IF(B366="高二",IF($E366="男",LOOKUP(J366,[1]对照表!$N$3:$N$24,[1]对照表!$P$3:$P$24),LOOKUP(J366,[1]对照表!$N$27:$N$48,[1]对照表!$P$27:$P$48)),IF(B366="高一",IF($E366="男",LOOKUP(J366,[1]对照表!$M$3:$M$24,[1]对照表!$P$3:$P$24),LOOKUP(J366,[1]对照表!$M$27:$M$48,[1]对照表!$P$27:$P$48)))))</f>
        <v>40</v>
      </c>
      <c r="L366" s="21">
        <v>16</v>
      </c>
      <c r="M366" s="32">
        <f>IF(B366="高三",IF($E366="男",LOOKUP(L366,[1]对照表!$S$3:$S$24,[1]对照表!$T$3:$T$24),LOOKUP(L366,[1]对照表!$S$27:$S$48,[1]对照表!$T$27:$T$48)),IF(B366="高二",IF($E366="男",LOOKUP(L366,[1]对照表!$R$3:$R$24,[1]对照表!$T$3:$T$24),LOOKUP(L366,[1]对照表!$R$27:$R$48,[1]对照表!$T$27:$T$48)),IF(B366="高一",IF($E366="男",LOOKUP(L366,[1]对照表!$Q$3:$Q$24,[1]对照表!$T$3:$T$24),LOOKUP(L366,[1]对照表!$Q$27:$Q$48,[1]对照表!$T$27:$T$48)))))</f>
        <v>100</v>
      </c>
      <c r="N366" s="33">
        <f>IF(B366="高三",MAX(IF(E366="男",L366-18,L366-55),0),IF(B366="高二",MAX(IF(E366="男",L366-17,L366-54),0),IF(B366="高一",MAX(IF(E366="男",L366-16,L366-53),0))))</f>
        <v>0</v>
      </c>
      <c r="O366" s="23">
        <f>IF(E366="男",LOOKUP($N366,[1]对照表!$Z$3:$Z$13,[1]对照表!$AA$3:$AA$13),LOOKUP($N366,[1]对照表!$Z$15:$Z$25,[1]对照表!$AA$15:$AA$25))</f>
        <v>0</v>
      </c>
      <c r="P366" s="24">
        <f>M366+O366</f>
        <v>100</v>
      </c>
      <c r="Q366" s="25">
        <v>4.03</v>
      </c>
      <c r="R366" s="32">
        <f>IF(B366="高三",IF($E366="男",LOOKUP(Q366,[1]对照表!$W$3:$W$24,[1]对照表!$X$3:$X$24),LOOKUP(Q366,[1]对照表!$W$27:$W$48,[1]对照表!$X$27:$X$48)),IF(B366="高二",IF($E366="男",LOOKUP(Q366,[1]对照表!$V$3:$V$24,[1]对照表!$X$3:$X$24),LOOKUP(Q366,[1]对照表!$V$27:$V$48,[1]对照表!$X$27:$X$48)),IF(B366="高一",IF($E366="男",LOOKUP(Q366,[1]对照表!$U$3:$U$24,[1]对照表!$X$3:$X$24),LOOKUP(Q366,[1]对照表!$U$27:$U$48,[1]对照表!$X$27:$X$48)))))</f>
        <v>76</v>
      </c>
      <c r="S366" s="33">
        <f>ROUND(IF(IF($B366="高三",MIN(IF($E366="男",$Q366-3.2,$Q366-3.2),0),IF($B366="高二",MIN(IF($E366="男",$Q366-3.25,$Q366-3.22),0),IF($B366="高一",MIN(IF($E366="男",$Q366-3.3,$Q366-3.24),0))))&lt;-0.6,IF($B366="高三",MIN(IF($E366="男",$Q366-3.2,$Q366-3.2),0),IF($B366="高二",MIN(IF($E366="男",$Q366-3.25,$Q366-3.22),0),IF($B366="高一",MIN(IF($E366="男",$Q366-3.3,$Q366-3.24),0))))+0.4,IF($B366="高三",MIN(IF($E366="男",$Q366-3.2,$Q366-3.2),0),IF($B366="高二",MIN(IF($E366="男",$Q366-3.25,$Q366-3.22),0),IF($B366="高一",MIN(IF($E366="男",$Q366-3.3,$Q366-3.24),0))))),2)</f>
        <v>0</v>
      </c>
      <c r="T366" s="23">
        <f>IF(E366="男",LOOKUP($S366,[1]对照表!$AB$3:$AB$13,[1]对照表!$AC$3:$AC$13),LOOKUP($S366,[1]对照表!$AB$15:$AB$25,[1]对照表!$AC$15:$AC$25))</f>
        <v>0</v>
      </c>
      <c r="U366" s="26">
        <f>R366+T366</f>
        <v>76</v>
      </c>
      <c r="V366" s="26">
        <f>SUM(I366,K366,M366)/3*0.3+SUM(G366,R366)/2*0.4</f>
        <v>50.8</v>
      </c>
      <c r="W366" s="27">
        <f>O366+T366</f>
        <v>0</v>
      </c>
      <c r="X366" s="28">
        <f>V366/0.7+W366</f>
        <v>72.571428571428569</v>
      </c>
      <c r="Y366" s="28">
        <v>72.571428571428569</v>
      </c>
      <c r="Z366" s="21"/>
    </row>
    <row r="367" spans="1:26" x14ac:dyDescent="0.25">
      <c r="A367" s="16">
        <v>44</v>
      </c>
      <c r="B367" s="17" t="s">
        <v>21</v>
      </c>
      <c r="C367" s="16">
        <v>109</v>
      </c>
      <c r="D367" s="18" t="s">
        <v>501</v>
      </c>
      <c r="E367" s="31" t="s">
        <v>65</v>
      </c>
      <c r="F367" s="19">
        <v>9</v>
      </c>
      <c r="G367" s="32">
        <f>IF(B367="高三",IF($E367="男",LOOKUP(F367,[1]对照表!$G$3:$G$24,[1]对照表!$H$3:$H$24),LOOKUP(F367,[1]对照表!$G$27:$G$48,[1]对照表!$H$27:$H$48)),IF(B367="高二",IF($E367="男",LOOKUP(F367,[1]对照表!$F$3:$F$24,[1]对照表!$H$3:$H$24),LOOKUP(F367,[1]对照表!$F$27:$F$48,[1]对照表!$H$27:$H$48)),IF(B367="高一",IF($E367="男",LOOKUP(F367,[1]对照表!$E$3:$E$24,[1]对照表!$H$3:$H$24),LOOKUP(F367,[1]对照表!$E$27:$E$48,[1]对照表!$H$27:$H$48)))))</f>
        <v>76</v>
      </c>
      <c r="H367" s="21">
        <v>17</v>
      </c>
      <c r="I367" s="32">
        <f>IF(B367="高三",IF($E367="男",LOOKUP(H367,[1]对照表!$K$3:$K$24,[1]对照表!$L$3:$L$24),LOOKUP(H367,[1]对照表!$K$27:$K$48,[1]对照表!$L$27:$L$48)),IF(B367="高二",IF($E367="男",LOOKUP(H367,[1]对照表!$J$3:$J$24,[1]对照表!$L$3:$L$24),LOOKUP(H367,[1]对照表!$J$27:$J$48,[1]对照表!$L$27:$L$48)),IF(B367="高一",IF($E367="男",LOOKUP(H367,[1]对照表!$I$3:$I$24,[1]对照表!$L$3:$L$24),LOOKUP(H367,[1]对照表!$I$27:$I$48,[1]对照表!$L$27:$L$48)))))</f>
        <v>78</v>
      </c>
      <c r="J367" s="21">
        <v>160</v>
      </c>
      <c r="K367" s="32">
        <f>IF(B367="高三",IF($E367="男",LOOKUP(J367,[1]对照表!$O$3:$O$24,[1]对照表!$P$3:$P$24),LOOKUP(J367,[1]对照表!$O$27:$O$48,[1]对照表!$P$27:$P$48)),IF(B367="高二",IF($E367="男",LOOKUP(J367,[1]对照表!$N$3:$N$24,[1]对照表!$P$3:$P$24),LOOKUP(J367,[1]对照表!$N$27:$N$48,[1]对照表!$P$27:$P$48)),IF(B367="高一",IF($E367="男",LOOKUP(J367,[1]对照表!$M$3:$M$24,[1]对照表!$P$3:$P$24),LOOKUP(J367,[1]对照表!$M$27:$M$48,[1]对照表!$P$27:$P$48)))))</f>
        <v>68</v>
      </c>
      <c r="L367" s="21">
        <v>53</v>
      </c>
      <c r="M367" s="32">
        <f>IF(B367="高三",IF($E367="男",LOOKUP(L367,[1]对照表!$S$3:$S$24,[1]对照表!$T$3:$T$24),LOOKUP(L367,[1]对照表!$S$27:$S$48,[1]对照表!$T$27:$T$48)),IF(B367="高二",IF($E367="男",LOOKUP(L367,[1]对照表!$R$3:$R$24,[1]对照表!$T$3:$T$24),LOOKUP(L367,[1]对照表!$R$27:$R$48,[1]对照表!$T$27:$T$48)),IF(B367="高一",IF($E367="男",LOOKUP(L367,[1]对照表!$Q$3:$Q$24,[1]对照表!$T$3:$T$24),LOOKUP(L367,[1]对照表!$Q$27:$Q$48,[1]对照表!$T$27:$T$48)))))</f>
        <v>100</v>
      </c>
      <c r="N367" s="33">
        <f>IF(B367="高三",MAX(IF(E367="男",L367-18,L367-55),0),IF(B367="高二",MAX(IF(E367="男",L367-17,L367-54),0),IF(B367="高一",MAX(IF(E367="男",L367-16,L367-53),0))))</f>
        <v>0</v>
      </c>
      <c r="O367" s="23">
        <f>IF(E367="男",LOOKUP($N367,[1]对照表!$Z$3:$Z$13,[1]对照表!$AA$3:$AA$13),LOOKUP($N367,[1]对照表!$Z$15:$Z$25,[1]对照表!$AA$15:$AA$25))</f>
        <v>0</v>
      </c>
      <c r="P367" s="24">
        <f>M367+O367</f>
        <v>100</v>
      </c>
      <c r="Q367" s="25">
        <v>3.44</v>
      </c>
      <c r="R367" s="32">
        <f>IF(B367="高三",IF($E367="男",LOOKUP(Q367,[1]对照表!$W$3:$W$24,[1]对照表!$X$3:$X$24),LOOKUP(Q367,[1]对照表!$W$27:$W$48,[1]对照表!$X$27:$X$48)),IF(B367="高二",IF($E367="男",LOOKUP(Q367,[1]对照表!$V$3:$V$24,[1]对照表!$X$3:$X$24),LOOKUP(Q367,[1]对照表!$V$27:$V$48,[1]对照表!$X$27:$X$48)),IF(B367="高一",IF($E367="男",LOOKUP(Q367,[1]对照表!$U$3:$U$24,[1]对照表!$X$3:$X$24),LOOKUP(Q367,[1]对照表!$U$27:$U$48,[1]对照表!$X$27:$X$48)))))</f>
        <v>80</v>
      </c>
      <c r="S367" s="33">
        <f>ROUND(IF(IF($B367="高三",MIN(IF($E367="男",$Q367-3.2,$Q367-3.2),0),IF($B367="高二",MIN(IF($E367="男",$Q367-3.25,$Q367-3.22),0),IF($B367="高一",MIN(IF($E367="男",$Q367-3.3,$Q367-3.24),0))))&lt;-0.6,IF($B367="高三",MIN(IF($E367="男",$Q367-3.2,$Q367-3.2),0),IF($B367="高二",MIN(IF($E367="男",$Q367-3.25,$Q367-3.22),0),IF($B367="高一",MIN(IF($E367="男",$Q367-3.3,$Q367-3.24),0))))+0.4,IF($B367="高三",MIN(IF($E367="男",$Q367-3.2,$Q367-3.2),0),IF($B367="高二",MIN(IF($E367="男",$Q367-3.25,$Q367-3.22),0),IF($B367="高一",MIN(IF($E367="男",$Q367-3.3,$Q367-3.24),0))))),2)</f>
        <v>0</v>
      </c>
      <c r="T367" s="23">
        <f>IF(E367="男",LOOKUP($S367,[1]对照表!$AB$3:$AB$13,[1]对照表!$AC$3:$AC$13),LOOKUP($S367,[1]对照表!$AB$15:$AB$25,[1]对照表!$AC$15:$AC$25))</f>
        <v>0</v>
      </c>
      <c r="U367" s="26">
        <f>R367+T367</f>
        <v>80</v>
      </c>
      <c r="V367" s="26">
        <f>SUM(I367,K367,M367)/3*0.3+SUM(G367,R367)/2*0.4</f>
        <v>55.8</v>
      </c>
      <c r="W367" s="27">
        <f>O367+T367</f>
        <v>0</v>
      </c>
      <c r="X367" s="28">
        <f>V367/0.7+W367</f>
        <v>79.714285714285708</v>
      </c>
      <c r="Y367" s="28">
        <v>79.714285714285708</v>
      </c>
      <c r="Z367" s="21"/>
    </row>
    <row r="368" spans="1:26" x14ac:dyDescent="0.25">
      <c r="A368" s="16">
        <v>28</v>
      </c>
      <c r="B368" s="17" t="s">
        <v>21</v>
      </c>
      <c r="C368" s="16">
        <v>109</v>
      </c>
      <c r="D368" s="18" t="s">
        <v>513</v>
      </c>
      <c r="E368" s="16" t="s">
        <v>23</v>
      </c>
      <c r="F368" s="19">
        <v>7.9</v>
      </c>
      <c r="G368" s="32">
        <f>IF(B368="高三",IF($E368="男",LOOKUP(F368,[1]对照表!$G$3:$G$24,[1]对照表!$H$3:$H$24),LOOKUP(F368,[1]对照表!$G$27:$G$48,[1]对照表!$H$27:$H$48)),IF(B368="高二",IF($E368="男",LOOKUP(F368,[1]对照表!$F$3:$F$24,[1]对照表!$H$3:$H$24),LOOKUP(F368,[1]对照表!$F$27:$F$48,[1]对照表!$H$27:$H$48)),IF(B368="高一",IF($E368="男",LOOKUP(F368,[1]对照表!$E$3:$E$24,[1]对照表!$H$3:$H$24),LOOKUP(F368,[1]对照表!$E$27:$E$48,[1]对照表!$H$27:$H$48)))))</f>
        <v>76</v>
      </c>
      <c r="H368" s="21">
        <v>5</v>
      </c>
      <c r="I368" s="32">
        <f>IF(B368="高三",IF($E368="男",LOOKUP(H368,[1]对照表!$K$3:$K$24,[1]对照表!$L$3:$L$24),LOOKUP(H368,[1]对照表!$K$27:$K$48,[1]对照表!$L$27:$L$48)),IF(B368="高二",IF($E368="男",LOOKUP(H368,[1]对照表!$J$3:$J$24,[1]对照表!$L$3:$L$24),LOOKUP(H368,[1]对照表!$J$27:$J$48,[1]对照表!$L$27:$L$48)),IF(B368="高一",IF($E368="男",LOOKUP(H368,[1]对照表!$I$3:$I$24,[1]对照表!$L$3:$L$24),LOOKUP(H368,[1]对照表!$I$27:$I$48,[1]对照表!$L$27:$L$48)))))</f>
        <v>64</v>
      </c>
      <c r="J368" s="21">
        <v>200</v>
      </c>
      <c r="K368" s="32">
        <f>IF(B368="高三",IF($E368="男",LOOKUP(J368,[1]对照表!$O$3:$O$24,[1]对照表!$P$3:$P$24),LOOKUP(J368,[1]对照表!$O$27:$O$48,[1]对照表!$P$27:$P$48)),IF(B368="高二",IF($E368="男",LOOKUP(J368,[1]对照表!$N$3:$N$24,[1]对照表!$P$3:$P$24),LOOKUP(J368,[1]对照表!$N$27:$N$48,[1]对照表!$P$27:$P$48)),IF(B368="高一",IF($E368="男",LOOKUP(J368,[1]对照表!$M$3:$M$24,[1]对照表!$P$3:$P$24),LOOKUP(J368,[1]对照表!$M$27:$M$48,[1]对照表!$P$27:$P$48)))))</f>
        <v>62</v>
      </c>
      <c r="L368" s="21">
        <v>10</v>
      </c>
      <c r="M368" s="32">
        <f>IF(B368="高三",IF($E368="男",LOOKUP(L368,[1]对照表!$S$3:$S$24,[1]对照表!$T$3:$T$24),LOOKUP(L368,[1]对照表!$S$27:$S$48,[1]对照表!$T$27:$T$48)),IF(B368="高二",IF($E368="男",LOOKUP(L368,[1]对照表!$R$3:$R$24,[1]对照表!$T$3:$T$24),LOOKUP(L368,[1]对照表!$R$27:$R$48,[1]对照表!$T$27:$T$48)),IF(B368="高一",IF($E368="男",LOOKUP(L368,[1]对照表!$Q$3:$Q$24,[1]对照表!$T$3:$T$24),LOOKUP(L368,[1]对照表!$Q$27:$Q$48,[1]对照表!$T$27:$T$48)))))</f>
        <v>72</v>
      </c>
      <c r="N368" s="33">
        <f>IF(B368="高三",MAX(IF(E368="男",L368-18,L368-55),0),IF(B368="高二",MAX(IF(E368="男",L368-17,L368-54),0),IF(B368="高一",MAX(IF(E368="男",L368-16,L368-53),0))))</f>
        <v>0</v>
      </c>
      <c r="O368" s="23">
        <f>IF(E368="男",LOOKUP($N368,[1]对照表!$Z$3:$Z$13,[1]对照表!$AA$3:$AA$13),LOOKUP($N368,[1]对照表!$Z$15:$Z$25,[1]对照表!$AA$15:$AA$25))</f>
        <v>0</v>
      </c>
      <c r="P368" s="24">
        <f>M368+O368</f>
        <v>72</v>
      </c>
      <c r="Q368" s="25">
        <v>4.16</v>
      </c>
      <c r="R368" s="32">
        <f>IF(B368="高三",IF($E368="男",LOOKUP(Q368,[1]对照表!$W$3:$W$24,[1]对照表!$X$3:$X$24),LOOKUP(Q368,[1]对照表!$W$27:$W$48,[1]对照表!$X$27:$X$48)),IF(B368="高二",IF($E368="男",LOOKUP(Q368,[1]对照表!$V$3:$V$24,[1]对照表!$X$3:$X$24),LOOKUP(Q368,[1]对照表!$V$27:$V$48,[1]对照表!$X$27:$X$48)),IF(B368="高一",IF($E368="男",LOOKUP(Q368,[1]对照表!$U$3:$U$24,[1]对照表!$X$3:$X$24),LOOKUP(Q368,[1]对照表!$U$27:$U$48,[1]对照表!$X$27:$X$48)))))</f>
        <v>70</v>
      </c>
      <c r="S368" s="33">
        <f>ROUND(IF(IF($B368="高三",MIN(IF($E368="男",$Q368-3.2,$Q368-3.2),0),IF($B368="高二",MIN(IF($E368="男",$Q368-3.25,$Q368-3.22),0),IF($B368="高一",MIN(IF($E368="男",$Q368-3.3,$Q368-3.24),0))))&lt;-0.6,IF($B368="高三",MIN(IF($E368="男",$Q368-3.2,$Q368-3.2),0),IF($B368="高二",MIN(IF($E368="男",$Q368-3.25,$Q368-3.22),0),IF($B368="高一",MIN(IF($E368="男",$Q368-3.3,$Q368-3.24),0))))+0.4,IF($B368="高三",MIN(IF($E368="男",$Q368-3.2,$Q368-3.2),0),IF($B368="高二",MIN(IF($E368="男",$Q368-3.25,$Q368-3.22),0),IF($B368="高一",MIN(IF($E368="男",$Q368-3.3,$Q368-3.24),0))))),2)</f>
        <v>0</v>
      </c>
      <c r="T368" s="23">
        <f>IF(E368="男",LOOKUP($S368,[1]对照表!$AB$3:$AB$13,[1]对照表!$AC$3:$AC$13),LOOKUP($S368,[1]对照表!$AB$15:$AB$25,[1]对照表!$AC$15:$AC$25))</f>
        <v>0</v>
      </c>
      <c r="U368" s="26">
        <f>R368+T368</f>
        <v>70</v>
      </c>
      <c r="V368" s="26">
        <f>SUM(I368,K368,M368)/3*0.3+SUM(G368,R368)/2*0.4</f>
        <v>49</v>
      </c>
      <c r="W368" s="27">
        <f>O368+T368</f>
        <v>0</v>
      </c>
      <c r="X368" s="28">
        <f>V368/0.7+W368</f>
        <v>70</v>
      </c>
      <c r="Y368" s="28">
        <v>70</v>
      </c>
      <c r="Z368" s="21"/>
    </row>
    <row r="369" spans="1:26" x14ac:dyDescent="0.25">
      <c r="A369" s="16">
        <v>47</v>
      </c>
      <c r="B369" s="17" t="s">
        <v>21</v>
      </c>
      <c r="C369" s="16">
        <v>109</v>
      </c>
      <c r="D369" s="18" t="s">
        <v>551</v>
      </c>
      <c r="E369" s="17" t="s">
        <v>65</v>
      </c>
      <c r="F369" s="19">
        <v>10.17</v>
      </c>
      <c r="G369" s="32">
        <f>IF(B369="高三",IF($E369="男",LOOKUP(F369,[1]对照表!$G$3:$G$24,[1]对照表!$H$3:$H$24),LOOKUP(F369,[1]对照表!$G$27:$G$48,[1]对照表!$H$27:$H$48)),IF(B369="高二",IF($E369="男",LOOKUP(F369,[1]对照表!$F$3:$F$24,[1]对照表!$H$3:$H$24),LOOKUP(F369,[1]对照表!$F$27:$F$48,[1]对照表!$H$27:$H$48)),IF(B369="高一",IF($E369="男",LOOKUP(F369,[1]对照表!$E$3:$E$24,[1]对照表!$H$3:$H$24),LOOKUP(F369,[1]对照表!$E$27:$E$48,[1]对照表!$H$27:$H$48)))))</f>
        <v>64</v>
      </c>
      <c r="H369" s="21">
        <v>23</v>
      </c>
      <c r="I369" s="32">
        <f>IF(B369="高三",IF($E369="男",LOOKUP(H369,[1]对照表!$K$3:$K$24,[1]对照表!$L$3:$L$24),LOOKUP(H369,[1]对照表!$K$27:$K$48,[1]对照表!$L$27:$L$48)),IF(B369="高二",IF($E369="男",LOOKUP(H369,[1]对照表!$J$3:$J$24,[1]对照表!$L$3:$L$24),LOOKUP(H369,[1]对照表!$J$27:$J$48,[1]对照表!$L$27:$L$48)),IF(B369="高一",IF($E369="男",LOOKUP(H369,[1]对照表!$I$3:$I$24,[1]对照表!$L$3:$L$24),LOOKUP(H369,[1]对照表!$I$27:$I$48,[1]对照表!$L$27:$L$48)))))</f>
        <v>95</v>
      </c>
      <c r="J369" s="21">
        <v>158</v>
      </c>
      <c r="K369" s="32">
        <f>IF(B369="高三",IF($E369="男",LOOKUP(J369,[1]对照表!$O$3:$O$24,[1]对照表!$P$3:$P$24),LOOKUP(J369,[1]对照表!$O$27:$O$48,[1]对照表!$P$27:$P$48)),IF(B369="高二",IF($E369="男",LOOKUP(J369,[1]对照表!$N$3:$N$24,[1]对照表!$P$3:$P$24),LOOKUP(J369,[1]对照表!$N$27:$N$48,[1]对照表!$P$27:$P$48)),IF(B369="高一",IF($E369="男",LOOKUP(J369,[1]对照表!$M$3:$M$24,[1]对照表!$P$3:$P$24),LOOKUP(J369,[1]对照表!$M$27:$M$48,[1]对照表!$P$27:$P$48)))))</f>
        <v>66</v>
      </c>
      <c r="L369" s="21">
        <v>49</v>
      </c>
      <c r="M369" s="32">
        <f>IF(B369="高三",IF($E369="男",LOOKUP(L369,[1]对照表!$S$3:$S$24,[1]对照表!$T$3:$T$24),LOOKUP(L369,[1]对照表!$S$27:$S$48,[1]对照表!$T$27:$T$48)),IF(B369="高二",IF($E369="男",LOOKUP(L369,[1]对照表!$R$3:$R$24,[1]对照表!$T$3:$T$24),LOOKUP(L369,[1]对照表!$R$27:$R$48,[1]对照表!$T$27:$T$48)),IF(B369="高一",IF($E369="男",LOOKUP(L369,[1]对照表!$Q$3:$Q$24,[1]对照表!$T$3:$T$24),LOOKUP(L369,[1]对照表!$Q$27:$Q$48,[1]对照表!$T$27:$T$48)))))</f>
        <v>90</v>
      </c>
      <c r="N369" s="33">
        <f>IF(B369="高三",MAX(IF(E369="男",L369-18,L369-55),0),IF(B369="高二",MAX(IF(E369="男",L369-17,L369-54),0),IF(B369="高一",MAX(IF(E369="男",L369-16,L369-53),0))))</f>
        <v>0</v>
      </c>
      <c r="O369" s="23">
        <f>IF(E369="男",LOOKUP($N369,[1]对照表!$Z$3:$Z$13,[1]对照表!$AA$3:$AA$13),LOOKUP($N369,[1]对照表!$Z$15:$Z$25,[1]对照表!$AA$15:$AA$25))</f>
        <v>0</v>
      </c>
      <c r="P369" s="24">
        <f>M369+O369</f>
        <v>90</v>
      </c>
      <c r="Q369" s="25">
        <v>3.46</v>
      </c>
      <c r="R369" s="32">
        <f>IF(B369="高三",IF($E369="男",LOOKUP(Q369,[1]对照表!$W$3:$W$24,[1]对照表!$X$3:$X$24),LOOKUP(Q369,[1]对照表!$W$27:$W$48,[1]对照表!$X$27:$X$48)),IF(B369="高二",IF($E369="男",LOOKUP(Q369,[1]对照表!$V$3:$V$24,[1]对照表!$X$3:$X$24),LOOKUP(Q369,[1]对照表!$V$27:$V$48,[1]对照表!$X$27:$X$48)),IF(B369="高一",IF($E369="男",LOOKUP(Q369,[1]对照表!$U$3:$U$24,[1]对照表!$X$3:$X$24),LOOKUP(Q369,[1]对照表!$U$27:$U$48,[1]对照表!$X$27:$X$48)))))</f>
        <v>80</v>
      </c>
      <c r="S369" s="33">
        <f>ROUND(IF(IF($B369="高三",MIN(IF($E369="男",$Q369-3.2,$Q369-3.2),0),IF($B369="高二",MIN(IF($E369="男",$Q369-3.25,$Q369-3.22),0),IF($B369="高一",MIN(IF($E369="男",$Q369-3.3,$Q369-3.24),0))))&lt;-0.6,IF($B369="高三",MIN(IF($E369="男",$Q369-3.2,$Q369-3.2),0),IF($B369="高二",MIN(IF($E369="男",$Q369-3.25,$Q369-3.22),0),IF($B369="高一",MIN(IF($E369="男",$Q369-3.3,$Q369-3.24),0))))+0.4,IF($B369="高三",MIN(IF($E369="男",$Q369-3.2,$Q369-3.2),0),IF($B369="高二",MIN(IF($E369="男",$Q369-3.25,$Q369-3.22),0),IF($B369="高一",MIN(IF($E369="男",$Q369-3.3,$Q369-3.24),0))))),2)</f>
        <v>0</v>
      </c>
      <c r="T369" s="23">
        <f>IF(E369="男",LOOKUP($S369,[1]对照表!$AB$3:$AB$13,[1]对照表!$AC$3:$AC$13),LOOKUP($S369,[1]对照表!$AB$15:$AB$25,[1]对照表!$AC$15:$AC$25))</f>
        <v>0</v>
      </c>
      <c r="U369" s="26">
        <f>R369+T369</f>
        <v>80</v>
      </c>
      <c r="V369" s="26">
        <f>SUM(I369,K369,M369)/3*0.3+SUM(G369,R369)/2*0.4</f>
        <v>53.900000000000006</v>
      </c>
      <c r="W369" s="27">
        <f>O369+T369</f>
        <v>0</v>
      </c>
      <c r="X369" s="28">
        <f>V369/0.7+W369</f>
        <v>77.000000000000014</v>
      </c>
      <c r="Y369" s="28">
        <v>77.000000000000014</v>
      </c>
      <c r="Z369" s="21"/>
    </row>
    <row r="370" spans="1:26" x14ac:dyDescent="0.25">
      <c r="A370" s="16">
        <v>30</v>
      </c>
      <c r="B370" s="17" t="s">
        <v>21</v>
      </c>
      <c r="C370" s="16">
        <v>109</v>
      </c>
      <c r="D370" s="18" t="s">
        <v>563</v>
      </c>
      <c r="E370" s="16" t="s">
        <v>23</v>
      </c>
      <c r="F370" s="19">
        <v>8</v>
      </c>
      <c r="G370" s="32">
        <f>IF(B370="高三",IF($E370="男",LOOKUP(F370,[1]对照表!$G$3:$G$24,[1]对照表!$H$3:$H$24),LOOKUP(F370,[1]对照表!$G$27:$G$48,[1]对照表!$H$27:$H$48)),IF(B370="高二",IF($E370="男",LOOKUP(F370,[1]对照表!$F$3:$F$24,[1]对照表!$H$3:$H$24),LOOKUP(F370,[1]对照表!$F$27:$F$48,[1]对照表!$H$27:$H$48)),IF(B370="高一",IF($E370="男",LOOKUP(F370,[1]对照表!$E$3:$E$24,[1]对照表!$H$3:$H$24),LOOKUP(F370,[1]对照表!$E$27:$E$48,[1]对照表!$H$27:$H$48)))))</f>
        <v>74</v>
      </c>
      <c r="H370" s="21">
        <v>11</v>
      </c>
      <c r="I370" s="32">
        <f>IF(B370="高三",IF($E370="男",LOOKUP(H370,[1]对照表!$K$3:$K$24,[1]对照表!$L$3:$L$24),LOOKUP(H370,[1]对照表!$K$27:$K$48,[1]对照表!$L$27:$L$48)),IF(B370="高二",IF($E370="男",LOOKUP(H370,[1]对照表!$J$3:$J$24,[1]对照表!$L$3:$L$24),LOOKUP(H370,[1]对照表!$J$27:$J$48,[1]对照表!$L$27:$L$48)),IF(B370="高一",IF($E370="男",LOOKUP(H370,[1]对照表!$I$3:$I$24,[1]对照表!$L$3:$L$24),LOOKUP(H370,[1]对照表!$I$27:$I$48,[1]对照表!$L$27:$L$48)))))</f>
        <v>74</v>
      </c>
      <c r="J370" s="21">
        <v>198</v>
      </c>
      <c r="K370" s="32">
        <f>IF(B370="高三",IF($E370="男",LOOKUP(J370,[1]对照表!$O$3:$O$24,[1]对照表!$P$3:$P$24),LOOKUP(J370,[1]对照表!$O$27:$O$48,[1]对照表!$P$27:$P$48)),IF(B370="高二",IF($E370="男",LOOKUP(J370,[1]对照表!$N$3:$N$24,[1]对照表!$P$3:$P$24),LOOKUP(J370,[1]对照表!$N$27:$N$48,[1]对照表!$P$27:$P$48)),IF(B370="高一",IF($E370="男",LOOKUP(J370,[1]对照表!$M$3:$M$24,[1]对照表!$P$3:$P$24),LOOKUP(J370,[1]对照表!$M$27:$M$48,[1]对照表!$P$27:$P$48)))))</f>
        <v>60</v>
      </c>
      <c r="L370" s="21">
        <v>5</v>
      </c>
      <c r="M370" s="32">
        <f>IF(B370="高三",IF($E370="男",LOOKUP(L370,[1]对照表!$S$3:$S$24,[1]对照表!$T$3:$T$24),LOOKUP(L370,[1]对照表!$S$27:$S$48,[1]对照表!$T$27:$T$48)),IF(B370="高二",IF($E370="男",LOOKUP(L370,[1]对照表!$R$3:$R$24,[1]对照表!$T$3:$T$24),LOOKUP(L370,[1]对照表!$R$27:$R$48,[1]对照表!$T$27:$T$48)),IF(B370="高一",IF($E370="男",LOOKUP(L370,[1]对照表!$Q$3:$Q$24,[1]对照表!$T$3:$T$24),LOOKUP(L370,[1]对照表!$Q$27:$Q$48,[1]对照表!$T$27:$T$48)))))</f>
        <v>40</v>
      </c>
      <c r="N370" s="33">
        <f>IF(B370="高三",MAX(IF(E370="男",L370-18,L370-55),0),IF(B370="高二",MAX(IF(E370="男",L370-17,L370-54),0),IF(B370="高一",MAX(IF(E370="男",L370-16,L370-53),0))))</f>
        <v>0</v>
      </c>
      <c r="O370" s="23">
        <f>IF(E370="男",LOOKUP($N370,[1]对照表!$Z$3:$Z$13,[1]对照表!$AA$3:$AA$13),LOOKUP($N370,[1]对照表!$Z$15:$Z$25,[1]对照表!$AA$15:$AA$25))</f>
        <v>0</v>
      </c>
      <c r="P370" s="24">
        <f>M370+O370</f>
        <v>40</v>
      </c>
      <c r="Q370" s="25">
        <v>4.42</v>
      </c>
      <c r="R370" s="32">
        <f>IF(B370="高三",IF($E370="男",LOOKUP(Q370,[1]对照表!$W$3:$W$24,[1]对照表!$X$3:$X$24),LOOKUP(Q370,[1]对照表!$W$27:$W$48,[1]对照表!$X$27:$X$48)),IF(B370="高二",IF($E370="男",LOOKUP(Q370,[1]对照表!$V$3:$V$24,[1]对照表!$X$3:$X$24),LOOKUP(Q370,[1]对照表!$V$27:$V$48,[1]对照表!$X$27:$X$48)),IF(B370="高一",IF($E370="男",LOOKUP(Q370,[1]对照表!$U$3:$U$24,[1]对照表!$X$3:$X$24),LOOKUP(Q370,[1]对照表!$U$27:$U$48,[1]对照表!$X$27:$X$48)))))</f>
        <v>60</v>
      </c>
      <c r="S370" s="33">
        <f>ROUND(IF(IF($B370="高三",MIN(IF($E370="男",$Q370-3.2,$Q370-3.2),0),IF($B370="高二",MIN(IF($E370="男",$Q370-3.25,$Q370-3.22),0),IF($B370="高一",MIN(IF($E370="男",$Q370-3.3,$Q370-3.24),0))))&lt;-0.6,IF($B370="高三",MIN(IF($E370="男",$Q370-3.2,$Q370-3.2),0),IF($B370="高二",MIN(IF($E370="男",$Q370-3.25,$Q370-3.22),0),IF($B370="高一",MIN(IF($E370="男",$Q370-3.3,$Q370-3.24),0))))+0.4,IF($B370="高三",MIN(IF($E370="男",$Q370-3.2,$Q370-3.2),0),IF($B370="高二",MIN(IF($E370="男",$Q370-3.25,$Q370-3.22),0),IF($B370="高一",MIN(IF($E370="男",$Q370-3.3,$Q370-3.24),0))))),2)</f>
        <v>0</v>
      </c>
      <c r="T370" s="23">
        <f>IF(E370="男",LOOKUP($S370,[1]对照表!$AB$3:$AB$13,[1]对照表!$AC$3:$AC$13),LOOKUP($S370,[1]对照表!$AB$15:$AB$25,[1]对照表!$AC$15:$AC$25))</f>
        <v>0</v>
      </c>
      <c r="U370" s="26">
        <f>R370+T370</f>
        <v>60</v>
      </c>
      <c r="V370" s="26">
        <f>SUM(I370,K370,M370)/3*0.3+SUM(G370,R370)/2*0.4</f>
        <v>44.2</v>
      </c>
      <c r="W370" s="27">
        <f>O370+T370</f>
        <v>0</v>
      </c>
      <c r="X370" s="28">
        <f>V370/0.7+W370</f>
        <v>63.142857142857153</v>
      </c>
      <c r="Y370" s="28">
        <v>63.142857142857153</v>
      </c>
      <c r="Z370" s="21"/>
    </row>
    <row r="371" spans="1:26" x14ac:dyDescent="0.25">
      <c r="A371" s="16">
        <v>11</v>
      </c>
      <c r="B371" s="17" t="s">
        <v>21</v>
      </c>
      <c r="C371" s="16">
        <v>109</v>
      </c>
      <c r="D371" s="18" t="s">
        <v>567</v>
      </c>
      <c r="E371" s="31" t="s">
        <v>23</v>
      </c>
      <c r="F371" s="19">
        <v>7.9</v>
      </c>
      <c r="G371" s="32">
        <f>IF(B371="高三",IF($E371="男",LOOKUP(F371,[1]对照表!$G$3:$G$24,[1]对照表!$H$3:$H$24),LOOKUP(F371,[1]对照表!$G$27:$G$48,[1]对照表!$H$27:$H$48)),IF(B371="高二",IF($E371="男",LOOKUP(F371,[1]对照表!$F$3:$F$24,[1]对照表!$H$3:$H$24),LOOKUP(F371,[1]对照表!$F$27:$F$48,[1]对照表!$H$27:$H$48)),IF(B371="高一",IF($E371="男",LOOKUP(F371,[1]对照表!$E$3:$E$24,[1]对照表!$H$3:$H$24),LOOKUP(F371,[1]对照表!$E$27:$E$48,[1]对照表!$H$27:$H$48)))))</f>
        <v>76</v>
      </c>
      <c r="H371" s="21">
        <v>9.1</v>
      </c>
      <c r="I371" s="32">
        <f>IF(B371="高三",IF($E371="男",LOOKUP(H371,[1]对照表!$K$3:$K$24,[1]对照表!$L$3:$L$24),LOOKUP(H371,[1]对照表!$K$27:$K$48,[1]对照表!$L$27:$L$48)),IF(B371="高二",IF($E371="男",LOOKUP(H371,[1]对照表!$J$3:$J$24,[1]对照表!$L$3:$L$24),LOOKUP(H371,[1]对照表!$J$27:$J$48,[1]对照表!$L$27:$L$48)),IF(B371="高一",IF($E371="男",LOOKUP(H371,[1]对照表!$I$3:$I$24,[1]对照表!$L$3:$L$24),LOOKUP(H371,[1]对照表!$I$27:$I$48,[1]对照表!$L$27:$L$48)))))</f>
        <v>70</v>
      </c>
      <c r="J371" s="21">
        <v>205</v>
      </c>
      <c r="K371" s="32">
        <f>IF(B371="高三",IF($E371="男",LOOKUP(J371,[1]对照表!$O$3:$O$24,[1]对照表!$P$3:$P$24),LOOKUP(J371,[1]对照表!$O$27:$O$48,[1]对照表!$P$27:$P$48)),IF(B371="高二",IF($E371="男",LOOKUP(J371,[1]对照表!$N$3:$N$24,[1]对照表!$P$3:$P$24),LOOKUP(J371,[1]对照表!$N$27:$N$48,[1]对照表!$P$27:$P$48)),IF(B371="高一",IF($E371="男",LOOKUP(J371,[1]对照表!$M$3:$M$24,[1]对照表!$P$3:$P$24),LOOKUP(J371,[1]对照表!$M$27:$M$48,[1]对照表!$P$27:$P$48)))))</f>
        <v>64</v>
      </c>
      <c r="L371" s="21">
        <v>0</v>
      </c>
      <c r="M371" s="32">
        <f>IF(B371="高三",IF($E371="男",LOOKUP(L371,[1]对照表!$S$3:$S$24,[1]对照表!$T$3:$T$24),LOOKUP(L371,[1]对照表!$S$27:$S$48,[1]对照表!$T$27:$T$48)),IF(B371="高二",IF($E371="男",LOOKUP(L371,[1]对照表!$R$3:$R$24,[1]对照表!$T$3:$T$24),LOOKUP(L371,[1]对照表!$R$27:$R$48,[1]对照表!$T$27:$T$48)),IF(B371="高一",IF($E371="男",LOOKUP(L371,[1]对照表!$Q$3:$Q$24,[1]对照表!$T$3:$T$24),LOOKUP(L371,[1]对照表!$Q$27:$Q$48,[1]对照表!$T$27:$T$48)))))</f>
        <v>0</v>
      </c>
      <c r="N371" s="33">
        <f>IF(B371="高三",MAX(IF(E371="男",L371-18,L371-55),0),IF(B371="高二",MAX(IF(E371="男",L371-17,L371-54),0),IF(B371="高一",MAX(IF(E371="男",L371-16,L371-53),0))))</f>
        <v>0</v>
      </c>
      <c r="O371" s="23">
        <f>IF(E371="男",LOOKUP($N371,[1]对照表!$Z$3:$Z$13,[1]对照表!$AA$3:$AA$13),LOOKUP($N371,[1]对照表!$Z$15:$Z$25,[1]对照表!$AA$15:$AA$25))</f>
        <v>0</v>
      </c>
      <c r="P371" s="24">
        <f>M371+O371</f>
        <v>0</v>
      </c>
      <c r="Q371" s="25">
        <v>4.12</v>
      </c>
      <c r="R371" s="32">
        <f>IF(B371="高三",IF($E371="男",LOOKUP(Q371,[1]对照表!$W$3:$W$24,[1]对照表!$X$3:$X$24),LOOKUP(Q371,[1]对照表!$W$27:$W$48,[1]对照表!$X$27:$X$48)),IF(B371="高二",IF($E371="男",LOOKUP(Q371,[1]对照表!$V$3:$V$24,[1]对照表!$X$3:$X$24),LOOKUP(Q371,[1]对照表!$V$27:$V$48,[1]对照表!$X$27:$X$48)),IF(B371="高一",IF($E371="男",LOOKUP(Q371,[1]对照表!$U$3:$U$24,[1]对照表!$X$3:$X$24),LOOKUP(Q371,[1]对照表!$U$27:$U$48,[1]对照表!$X$27:$X$48)))))</f>
        <v>72</v>
      </c>
      <c r="S371" s="33">
        <f>ROUND(IF(IF($B371="高三",MIN(IF($E371="男",$Q371-3.2,$Q371-3.2),0),IF($B371="高二",MIN(IF($E371="男",$Q371-3.25,$Q371-3.22),0),IF($B371="高一",MIN(IF($E371="男",$Q371-3.3,$Q371-3.24),0))))&lt;-0.6,IF($B371="高三",MIN(IF($E371="男",$Q371-3.2,$Q371-3.2),0),IF($B371="高二",MIN(IF($E371="男",$Q371-3.25,$Q371-3.22),0),IF($B371="高一",MIN(IF($E371="男",$Q371-3.3,$Q371-3.24),0))))+0.4,IF($B371="高三",MIN(IF($E371="男",$Q371-3.2,$Q371-3.2),0),IF($B371="高二",MIN(IF($E371="男",$Q371-3.25,$Q371-3.22),0),IF($B371="高一",MIN(IF($E371="男",$Q371-3.3,$Q371-3.24),0))))),2)</f>
        <v>0</v>
      </c>
      <c r="T371" s="23">
        <f>IF(E371="男",LOOKUP($S371,[1]对照表!$AB$3:$AB$13,[1]对照表!$AC$3:$AC$13),LOOKUP($S371,[1]对照表!$AB$15:$AB$25,[1]对照表!$AC$15:$AC$25))</f>
        <v>0</v>
      </c>
      <c r="U371" s="26">
        <f>R371+T371</f>
        <v>72</v>
      </c>
      <c r="V371" s="26">
        <f>SUM(I371,K371,M371)/3*0.3+SUM(G371,R371)/2*0.4</f>
        <v>43</v>
      </c>
      <c r="W371" s="27">
        <f>O371+T371</f>
        <v>0</v>
      </c>
      <c r="X371" s="28">
        <f>V371/0.7+W371</f>
        <v>61.428571428571431</v>
      </c>
      <c r="Y371" s="28">
        <v>61.428571428571431</v>
      </c>
      <c r="Z371" s="21"/>
    </row>
    <row r="372" spans="1:26" x14ac:dyDescent="0.25">
      <c r="A372" s="16">
        <v>7</v>
      </c>
      <c r="B372" s="17" t="s">
        <v>21</v>
      </c>
      <c r="C372" s="16">
        <v>109</v>
      </c>
      <c r="D372" s="18" t="s">
        <v>583</v>
      </c>
      <c r="E372" s="17" t="s">
        <v>23</v>
      </c>
      <c r="F372" s="19">
        <v>7.4</v>
      </c>
      <c r="G372" s="32">
        <f>IF(B372="高三",IF($E372="男",LOOKUP(F372,[1]对照表!$G$3:$G$24,[1]对照表!$H$3:$H$24),LOOKUP(F372,[1]对照表!$G$27:$G$48,[1]对照表!$H$27:$H$48)),IF(B372="高二",IF($E372="男",LOOKUP(F372,[1]对照表!$F$3:$F$24,[1]对照表!$H$3:$H$24),LOOKUP(F372,[1]对照表!$F$27:$F$48,[1]对照表!$H$27:$H$48)),IF(B372="高一",IF($E372="男",LOOKUP(F372,[1]对照表!$E$3:$E$24,[1]对照表!$H$3:$H$24),LOOKUP(F372,[1]对照表!$E$27:$E$48,[1]对照表!$H$27:$H$48)))))</f>
        <v>85</v>
      </c>
      <c r="H372" s="21">
        <v>-1</v>
      </c>
      <c r="I372" s="32">
        <f>IF(B372="高三",IF($E372="男",LOOKUP(H372,[1]对照表!$K$3:$K$24,[1]对照表!$L$3:$L$24),LOOKUP(H372,[1]对照表!$K$27:$K$48,[1]对照表!$L$27:$L$48)),IF(B372="高二",IF($E372="男",LOOKUP(H372,[1]对照表!$J$3:$J$24,[1]对照表!$L$3:$L$24),LOOKUP(H372,[1]对照表!$J$27:$J$48,[1]对照表!$L$27:$L$48)),IF(B372="高一",IF($E372="男",LOOKUP(H372,[1]对照表!$I$3:$I$24,[1]对照表!$L$3:$L$24),LOOKUP(H372,[1]对照表!$I$27:$I$48,[1]对照表!$L$27:$L$48)))))</f>
        <v>40</v>
      </c>
      <c r="J372" s="21">
        <v>195</v>
      </c>
      <c r="K372" s="32">
        <f>IF(B372="高三",IF($E372="男",LOOKUP(J372,[1]对照表!$O$3:$O$24,[1]对照表!$P$3:$P$24),LOOKUP(J372,[1]对照表!$O$27:$O$48,[1]对照表!$P$27:$P$48)),IF(B372="高二",IF($E372="男",LOOKUP(J372,[1]对照表!$N$3:$N$24,[1]对照表!$P$3:$P$24),LOOKUP(J372,[1]对照表!$N$27:$N$48,[1]对照表!$P$27:$P$48)),IF(B372="高一",IF($E372="男",LOOKUP(J372,[1]对照表!$M$3:$M$24,[1]对照表!$P$3:$P$24),LOOKUP(J372,[1]对照表!$M$27:$M$48,[1]对照表!$P$27:$P$48)))))</f>
        <v>60</v>
      </c>
      <c r="L372" s="21">
        <v>0</v>
      </c>
      <c r="M372" s="32">
        <f>IF(B372="高三",IF($E372="男",LOOKUP(L372,[1]对照表!$S$3:$S$24,[1]对照表!$T$3:$T$24),LOOKUP(L372,[1]对照表!$S$27:$S$48,[1]对照表!$T$27:$T$48)),IF(B372="高二",IF($E372="男",LOOKUP(L372,[1]对照表!$R$3:$R$24,[1]对照表!$T$3:$T$24),LOOKUP(L372,[1]对照表!$R$27:$R$48,[1]对照表!$T$27:$T$48)),IF(B372="高一",IF($E372="男",LOOKUP(L372,[1]对照表!$Q$3:$Q$24,[1]对照表!$T$3:$T$24),LOOKUP(L372,[1]对照表!$Q$27:$Q$48,[1]对照表!$T$27:$T$48)))))</f>
        <v>0</v>
      </c>
      <c r="N372" s="33">
        <f>IF(B372="高三",MAX(IF(E372="男",L372-18,L372-55),0),IF(B372="高二",MAX(IF(E372="男",L372-17,L372-54),0),IF(B372="高一",MAX(IF(E372="男",L372-16,L372-53),0))))</f>
        <v>0</v>
      </c>
      <c r="O372" s="23">
        <f>IF(E372="男",LOOKUP($N372,[1]对照表!$Z$3:$Z$13,[1]对照表!$AA$3:$AA$13),LOOKUP($N372,[1]对照表!$Z$15:$Z$25,[1]对照表!$AA$15:$AA$25))</f>
        <v>0</v>
      </c>
      <c r="P372" s="24">
        <f>M372+O372</f>
        <v>0</v>
      </c>
      <c r="Q372" s="25">
        <v>4.3600000000000003</v>
      </c>
      <c r="R372" s="32">
        <f>IF(B372="高三",IF($E372="男",LOOKUP(Q372,[1]对照表!$W$3:$W$24,[1]对照表!$X$3:$X$24),LOOKUP(Q372,[1]对照表!$W$27:$W$48,[1]对照表!$X$27:$X$48)),IF(B372="高二",IF($E372="男",LOOKUP(Q372,[1]对照表!$V$3:$V$24,[1]对照表!$X$3:$X$24),LOOKUP(Q372,[1]对照表!$V$27:$V$48,[1]对照表!$X$27:$X$48)),IF(B372="高一",IF($E372="男",LOOKUP(Q372,[1]对照表!$U$3:$U$24,[1]对照表!$X$3:$X$24),LOOKUP(Q372,[1]对照表!$U$27:$U$48,[1]对照表!$X$27:$X$48)))))</f>
        <v>62</v>
      </c>
      <c r="S372" s="33">
        <f>ROUND(IF(IF($B372="高三",MIN(IF($E372="男",$Q372-3.2,$Q372-3.2),0),IF($B372="高二",MIN(IF($E372="男",$Q372-3.25,$Q372-3.22),0),IF($B372="高一",MIN(IF($E372="男",$Q372-3.3,$Q372-3.24),0))))&lt;-0.6,IF($B372="高三",MIN(IF($E372="男",$Q372-3.2,$Q372-3.2),0),IF($B372="高二",MIN(IF($E372="男",$Q372-3.25,$Q372-3.22),0),IF($B372="高一",MIN(IF($E372="男",$Q372-3.3,$Q372-3.24),0))))+0.4,IF($B372="高三",MIN(IF($E372="男",$Q372-3.2,$Q372-3.2),0),IF($B372="高二",MIN(IF($E372="男",$Q372-3.25,$Q372-3.22),0),IF($B372="高一",MIN(IF($E372="男",$Q372-3.3,$Q372-3.24),0))))),2)</f>
        <v>0</v>
      </c>
      <c r="T372" s="23">
        <f>IF(E372="男",LOOKUP($S372,[1]对照表!$AB$3:$AB$13,[1]对照表!$AC$3:$AC$13),LOOKUP($S372,[1]对照表!$AB$15:$AB$25,[1]对照表!$AC$15:$AC$25))</f>
        <v>0</v>
      </c>
      <c r="U372" s="26">
        <f>R372+T372</f>
        <v>62</v>
      </c>
      <c r="V372" s="26">
        <f>SUM(I372,K372,M372)/3*0.3+SUM(G372,R372)/2*0.4</f>
        <v>39.400000000000006</v>
      </c>
      <c r="W372" s="27">
        <f>O372+T372</f>
        <v>0</v>
      </c>
      <c r="X372" s="28">
        <f>V372/0.7+W372</f>
        <v>56.285714285714299</v>
      </c>
      <c r="Y372" s="28">
        <v>56.285714285714299</v>
      </c>
      <c r="Z372" s="21"/>
    </row>
    <row r="373" spans="1:26" x14ac:dyDescent="0.25">
      <c r="A373" s="16">
        <v>42</v>
      </c>
      <c r="B373" s="17" t="s">
        <v>21</v>
      </c>
      <c r="C373" s="16">
        <v>109</v>
      </c>
      <c r="D373" s="18" t="s">
        <v>590</v>
      </c>
      <c r="E373" s="17" t="s">
        <v>65</v>
      </c>
      <c r="F373" s="19">
        <v>8.4499999999999993</v>
      </c>
      <c r="G373" s="32">
        <f>IF(B373="高三",IF($E373="男",LOOKUP(F373,[1]对照表!$G$3:$G$24,[1]对照表!$H$3:$H$24),LOOKUP(F373,[1]对照表!$G$27:$G$48,[1]对照表!$H$27:$H$48)),IF(B373="高二",IF($E373="男",LOOKUP(F373,[1]对照表!$F$3:$F$24,[1]对照表!$H$3:$H$24),LOOKUP(F373,[1]对照表!$F$27:$F$48,[1]对照表!$H$27:$H$48)),IF(B373="高一",IF($E373="男",LOOKUP(F373,[1]对照表!$E$3:$E$24,[1]对照表!$H$3:$H$24),LOOKUP(F373,[1]对照表!$E$27:$E$48,[1]对照表!$H$27:$H$48)))))</f>
        <v>80</v>
      </c>
      <c r="H373" s="21">
        <v>22</v>
      </c>
      <c r="I373" s="32">
        <f>IF(B373="高三",IF($E373="男",LOOKUP(H373,[1]对照表!$K$3:$K$24,[1]对照表!$L$3:$L$24),LOOKUP(H373,[1]对照表!$K$27:$K$48,[1]对照表!$L$27:$L$48)),IF(B373="高二",IF($E373="男",LOOKUP(H373,[1]对照表!$J$3:$J$24,[1]对照表!$L$3:$L$24),LOOKUP(H373,[1]对照表!$J$27:$J$48,[1]对照表!$L$27:$L$48)),IF(B373="高一",IF($E373="男",LOOKUP(H373,[1]对照表!$I$3:$I$24,[1]对照表!$L$3:$L$24),LOOKUP(H373,[1]对照表!$I$27:$I$48,[1]对照表!$L$27:$L$48)))))</f>
        <v>90</v>
      </c>
      <c r="J373" s="21">
        <v>176</v>
      </c>
      <c r="K373" s="32">
        <f>IF(B373="高三",IF($E373="男",LOOKUP(J373,[1]对照表!$O$3:$O$24,[1]对照表!$P$3:$P$24),LOOKUP(J373,[1]对照表!$O$27:$O$48,[1]对照表!$P$27:$P$48)),IF(B373="高二",IF($E373="男",LOOKUP(J373,[1]对照表!$N$3:$N$24,[1]对照表!$P$3:$P$24),LOOKUP(J373,[1]对照表!$N$27:$N$48,[1]对照表!$P$27:$P$48)),IF(B373="高一",IF($E373="男",LOOKUP(J373,[1]对照表!$M$3:$M$24,[1]对照表!$P$3:$P$24),LOOKUP(J373,[1]对照表!$M$27:$M$48,[1]对照表!$P$27:$P$48)))))</f>
        <v>78</v>
      </c>
      <c r="L373" s="21">
        <v>48</v>
      </c>
      <c r="M373" s="32">
        <f>IF(B373="高三",IF($E373="男",LOOKUP(L373,[1]对照表!$S$3:$S$24,[1]对照表!$T$3:$T$24),LOOKUP(L373,[1]对照表!$S$27:$S$48,[1]对照表!$T$27:$T$48)),IF(B373="高二",IF($E373="男",LOOKUP(L373,[1]对照表!$R$3:$R$24,[1]对照表!$T$3:$T$24),LOOKUP(L373,[1]对照表!$R$27:$R$48,[1]对照表!$T$27:$T$48)),IF(B373="高一",IF($E373="男",LOOKUP(L373,[1]对照表!$Q$3:$Q$24,[1]对照表!$T$3:$T$24),LOOKUP(L373,[1]对照表!$Q$27:$Q$48,[1]对照表!$T$27:$T$48)))))</f>
        <v>85</v>
      </c>
      <c r="N373" s="33">
        <f>IF(B373="高三",MAX(IF(E373="男",L373-18,L373-55),0),IF(B373="高二",MAX(IF(E373="男",L373-17,L373-54),0),IF(B373="高一",MAX(IF(E373="男",L373-16,L373-53),0))))</f>
        <v>0</v>
      </c>
      <c r="O373" s="23">
        <f>IF(E373="男",LOOKUP($N373,[1]对照表!$Z$3:$Z$13,[1]对照表!$AA$3:$AA$13),LOOKUP($N373,[1]对照表!$Z$15:$Z$25,[1]对照表!$AA$15:$AA$25))</f>
        <v>0</v>
      </c>
      <c r="P373" s="24">
        <f>M373+O373</f>
        <v>85</v>
      </c>
      <c r="Q373" s="25">
        <v>3.49</v>
      </c>
      <c r="R373" s="32">
        <f>IF(B373="高三",IF($E373="男",LOOKUP(Q373,[1]对照表!$W$3:$W$24,[1]对照表!$X$3:$X$24),LOOKUP(Q373,[1]对照表!$W$27:$W$48,[1]对照表!$X$27:$X$48)),IF(B373="高二",IF($E373="男",LOOKUP(Q373,[1]对照表!$V$3:$V$24,[1]对照表!$X$3:$X$24),LOOKUP(Q373,[1]对照表!$V$27:$V$48,[1]对照表!$X$27:$X$48)),IF(B373="高一",IF($E373="男",LOOKUP(Q373,[1]对照表!$U$3:$U$24,[1]对照表!$X$3:$X$24),LOOKUP(Q373,[1]对照表!$U$27:$U$48,[1]对照表!$X$27:$X$48)))))</f>
        <v>80</v>
      </c>
      <c r="S373" s="33">
        <f>ROUND(IF(IF($B373="高三",MIN(IF($E373="男",$Q373-3.2,$Q373-3.2),0),IF($B373="高二",MIN(IF($E373="男",$Q373-3.25,$Q373-3.22),0),IF($B373="高一",MIN(IF($E373="男",$Q373-3.3,$Q373-3.24),0))))&lt;-0.6,IF($B373="高三",MIN(IF($E373="男",$Q373-3.2,$Q373-3.2),0),IF($B373="高二",MIN(IF($E373="男",$Q373-3.25,$Q373-3.22),0),IF($B373="高一",MIN(IF($E373="男",$Q373-3.3,$Q373-3.24),0))))+0.4,IF($B373="高三",MIN(IF($E373="男",$Q373-3.2,$Q373-3.2),0),IF($B373="高二",MIN(IF($E373="男",$Q373-3.25,$Q373-3.22),0),IF($B373="高一",MIN(IF($E373="男",$Q373-3.3,$Q373-3.24),0))))),2)</f>
        <v>0</v>
      </c>
      <c r="T373" s="23">
        <f>IF(E373="男",LOOKUP($S373,[1]对照表!$AB$3:$AB$13,[1]对照表!$AC$3:$AC$13),LOOKUP($S373,[1]对照表!$AB$15:$AB$25,[1]对照表!$AC$15:$AC$25))</f>
        <v>0</v>
      </c>
      <c r="U373" s="26">
        <f>R373+T373</f>
        <v>80</v>
      </c>
      <c r="V373" s="26">
        <f>SUM(I373,K373,M373)/3*0.3+SUM(G373,R373)/2*0.4</f>
        <v>57.3</v>
      </c>
      <c r="W373" s="27">
        <f>O373+T373</f>
        <v>0</v>
      </c>
      <c r="X373" s="28">
        <f>V373/0.7+W373</f>
        <v>81.857142857142861</v>
      </c>
      <c r="Y373" s="28">
        <v>81.857142857142861</v>
      </c>
      <c r="Z373" s="21"/>
    </row>
    <row r="374" spans="1:26" x14ac:dyDescent="0.25">
      <c r="A374" s="16">
        <v>50</v>
      </c>
      <c r="B374" s="17" t="s">
        <v>21</v>
      </c>
      <c r="C374" s="16">
        <v>109</v>
      </c>
      <c r="D374" s="18" t="s">
        <v>599</v>
      </c>
      <c r="E374" s="17" t="s">
        <v>65</v>
      </c>
      <c r="F374" s="19">
        <v>9</v>
      </c>
      <c r="G374" s="32">
        <f>IF(B374="高三",IF($E374="男",LOOKUP(F374,[1]对照表!$G$3:$G$24,[1]对照表!$H$3:$H$24),LOOKUP(F374,[1]对照表!$G$27:$G$48,[1]对照表!$H$27:$H$48)),IF(B374="高二",IF($E374="男",LOOKUP(F374,[1]对照表!$F$3:$F$24,[1]对照表!$H$3:$H$24),LOOKUP(F374,[1]对照表!$F$27:$F$48,[1]对照表!$H$27:$H$48)),IF(B374="高一",IF($E374="男",LOOKUP(F374,[1]对照表!$E$3:$E$24,[1]对照表!$H$3:$H$24),LOOKUP(F374,[1]对照表!$E$27:$E$48,[1]对照表!$H$27:$H$48)))))</f>
        <v>76</v>
      </c>
      <c r="H374" s="21">
        <v>19</v>
      </c>
      <c r="I374" s="32">
        <f>IF(B374="高三",IF($E374="男",LOOKUP(H374,[1]对照表!$K$3:$K$24,[1]对照表!$L$3:$L$24),LOOKUP(H374,[1]对照表!$K$27:$K$48,[1]对照表!$L$27:$L$48)),IF(B374="高二",IF($E374="男",LOOKUP(H374,[1]对照表!$J$3:$J$24,[1]对照表!$L$3:$L$24),LOOKUP(H374,[1]对照表!$J$27:$J$48,[1]对照表!$L$27:$L$48)),IF(B374="高一",IF($E374="男",LOOKUP(H374,[1]对照表!$I$3:$I$24,[1]对照表!$L$3:$L$24),LOOKUP(H374,[1]对照表!$I$27:$I$48,[1]对照表!$L$27:$L$48)))))</f>
        <v>80</v>
      </c>
      <c r="J374" s="21">
        <v>195</v>
      </c>
      <c r="K374" s="32">
        <f>IF(B374="高三",IF($E374="男",LOOKUP(J374,[1]对照表!$O$3:$O$24,[1]对照表!$P$3:$P$24),LOOKUP(J374,[1]对照表!$O$27:$O$48,[1]对照表!$P$27:$P$48)),IF(B374="高二",IF($E374="男",LOOKUP(J374,[1]对照表!$N$3:$N$24,[1]对照表!$P$3:$P$24),LOOKUP(J374,[1]对照表!$N$27:$N$48,[1]对照表!$P$27:$P$48)),IF(B374="高一",IF($E374="男",LOOKUP(J374,[1]对照表!$M$3:$M$24,[1]对照表!$P$3:$P$24),LOOKUP(J374,[1]对照表!$M$27:$M$48,[1]对照表!$P$27:$P$48)))))</f>
        <v>90</v>
      </c>
      <c r="L374" s="21">
        <v>39</v>
      </c>
      <c r="M374" s="32">
        <f>IF(B374="高三",IF($E374="男",LOOKUP(L374,[1]对照表!$S$3:$S$24,[1]对照表!$T$3:$T$24),LOOKUP(L374,[1]对照表!$S$27:$S$48,[1]对照表!$T$27:$T$48)),IF(B374="高二",IF($E374="男",LOOKUP(L374,[1]对照表!$R$3:$R$24,[1]对照表!$T$3:$T$24),LOOKUP(L374,[1]对照表!$R$27:$R$48,[1]对照表!$T$27:$T$48)),IF(B374="高一",IF($E374="男",LOOKUP(L374,[1]对照表!$Q$3:$Q$24,[1]对照表!$T$3:$T$24),LOOKUP(L374,[1]对照表!$Q$27:$Q$48,[1]对照表!$T$27:$T$48)))))</f>
        <v>76</v>
      </c>
      <c r="N374" s="33">
        <f>IF(B374="高三",MAX(IF(E374="男",L374-18,L374-55),0),IF(B374="高二",MAX(IF(E374="男",L374-17,L374-54),0),IF(B374="高一",MAX(IF(E374="男",L374-16,L374-53),0))))</f>
        <v>0</v>
      </c>
      <c r="O374" s="23">
        <f>IF(E374="男",LOOKUP($N374,[1]对照表!$Z$3:$Z$13,[1]对照表!$AA$3:$AA$13),LOOKUP($N374,[1]对照表!$Z$15:$Z$25,[1]对照表!$AA$15:$AA$25))</f>
        <v>0</v>
      </c>
      <c r="P374" s="24">
        <f>M374+O374</f>
        <v>76</v>
      </c>
      <c r="Q374" s="25">
        <v>3.5</v>
      </c>
      <c r="R374" s="32">
        <f>IF(B374="高三",IF($E374="男",LOOKUP(Q374,[1]对照表!$W$3:$W$24,[1]对照表!$X$3:$X$24),LOOKUP(Q374,[1]对照表!$W$27:$W$48,[1]对照表!$X$27:$X$48)),IF(B374="高二",IF($E374="男",LOOKUP(Q374,[1]对照表!$V$3:$V$24,[1]对照表!$X$3:$X$24),LOOKUP(Q374,[1]对照表!$V$27:$V$48,[1]对照表!$X$27:$X$48)),IF(B374="高一",IF($E374="男",LOOKUP(Q374,[1]对照表!$U$3:$U$24,[1]对照表!$X$3:$X$24),LOOKUP(Q374,[1]对照表!$U$27:$U$48,[1]对照表!$X$27:$X$48)))))</f>
        <v>80</v>
      </c>
      <c r="S374" s="33">
        <f>ROUND(IF(IF($B374="高三",MIN(IF($E374="男",$Q374-3.2,$Q374-3.2),0),IF($B374="高二",MIN(IF($E374="男",$Q374-3.25,$Q374-3.22),0),IF($B374="高一",MIN(IF($E374="男",$Q374-3.3,$Q374-3.24),0))))&lt;-0.6,IF($B374="高三",MIN(IF($E374="男",$Q374-3.2,$Q374-3.2),0),IF($B374="高二",MIN(IF($E374="男",$Q374-3.25,$Q374-3.22),0),IF($B374="高一",MIN(IF($E374="男",$Q374-3.3,$Q374-3.24),0))))+0.4,IF($B374="高三",MIN(IF($E374="男",$Q374-3.2,$Q374-3.2),0),IF($B374="高二",MIN(IF($E374="男",$Q374-3.25,$Q374-3.22),0),IF($B374="高一",MIN(IF($E374="男",$Q374-3.3,$Q374-3.24),0))))),2)</f>
        <v>0</v>
      </c>
      <c r="T374" s="23">
        <f>IF(E374="男",LOOKUP($S374,[1]对照表!$AB$3:$AB$13,[1]对照表!$AC$3:$AC$13),LOOKUP($S374,[1]对照表!$AB$15:$AB$25,[1]对照表!$AC$15:$AC$25))</f>
        <v>0</v>
      </c>
      <c r="U374" s="26">
        <f>R374+T374</f>
        <v>80</v>
      </c>
      <c r="V374" s="26">
        <f>SUM(I374,K374,M374)/3*0.3+SUM(G374,R374)/2*0.4</f>
        <v>55.8</v>
      </c>
      <c r="W374" s="27">
        <f>O374+T374</f>
        <v>0</v>
      </c>
      <c r="X374" s="28">
        <f>V374/0.7+W374</f>
        <v>79.714285714285708</v>
      </c>
      <c r="Y374" s="28">
        <v>79.714285714285708</v>
      </c>
      <c r="Z374" s="21"/>
    </row>
    <row r="375" spans="1:26" x14ac:dyDescent="0.25">
      <c r="A375" s="16">
        <v>41</v>
      </c>
      <c r="B375" s="17" t="s">
        <v>21</v>
      </c>
      <c r="C375" s="16">
        <v>109</v>
      </c>
      <c r="D375" s="18" t="s">
        <v>607</v>
      </c>
      <c r="E375" s="17" t="s">
        <v>65</v>
      </c>
      <c r="F375" s="19">
        <v>9.6999999999999993</v>
      </c>
      <c r="G375" s="32">
        <f>IF(B375="高三",IF($E375="男",LOOKUP(F375,[1]对照表!$G$3:$G$24,[1]对照表!$H$3:$H$24),LOOKUP(F375,[1]对照表!$G$27:$G$48,[1]对照表!$H$27:$H$48)),IF(B375="高二",IF($E375="男",LOOKUP(F375,[1]对照表!$F$3:$F$24,[1]对照表!$H$3:$H$24),LOOKUP(F375,[1]对照表!$F$27:$F$48,[1]对照表!$H$27:$H$48)),IF(B375="高一",IF($E375="男",LOOKUP(F375,[1]对照表!$E$3:$E$24,[1]对照表!$H$3:$H$24),LOOKUP(F375,[1]对照表!$E$27:$E$48,[1]对照表!$H$27:$H$48)))))</f>
        <v>68</v>
      </c>
      <c r="H375" s="21">
        <v>8.5</v>
      </c>
      <c r="I375" s="32">
        <f>IF(B375="高三",IF($E375="男",LOOKUP(H375,[1]对照表!$K$3:$K$24,[1]对照表!$L$3:$L$24),LOOKUP(H375,[1]对照表!$K$27:$K$48,[1]对照表!$L$27:$L$48)),IF(B375="高二",IF($E375="男",LOOKUP(H375,[1]对照表!$J$3:$J$24,[1]对照表!$L$3:$L$24),LOOKUP(H375,[1]对照表!$J$27:$J$48,[1]对照表!$L$27:$L$48)),IF(B375="高一",IF($E375="男",LOOKUP(H375,[1]对照表!$I$3:$I$24,[1]对照表!$L$3:$L$24),LOOKUP(H375,[1]对照表!$I$27:$I$48,[1]对照表!$L$27:$L$48)))))</f>
        <v>66</v>
      </c>
      <c r="J375" s="21">
        <v>143</v>
      </c>
      <c r="K375" s="32">
        <f>IF(B375="高三",IF($E375="男",LOOKUP(J375,[1]对照表!$O$3:$O$24,[1]对照表!$P$3:$P$24),LOOKUP(J375,[1]对照表!$O$27:$O$48,[1]对照表!$P$27:$P$48)),IF(B375="高二",IF($E375="男",LOOKUP(J375,[1]对照表!$N$3:$N$24,[1]对照表!$P$3:$P$24),LOOKUP(J375,[1]对照表!$N$27:$N$48,[1]对照表!$P$27:$P$48)),IF(B375="高一",IF($E375="男",LOOKUP(J375,[1]对照表!$M$3:$M$24,[1]对照表!$P$3:$P$24),LOOKUP(J375,[1]对照表!$M$27:$M$48,[1]对照表!$P$27:$P$48)))))</f>
        <v>50</v>
      </c>
      <c r="L375" s="21">
        <v>49</v>
      </c>
      <c r="M375" s="32">
        <f>IF(B375="高三",IF($E375="男",LOOKUP(L375,[1]对照表!$S$3:$S$24,[1]对照表!$T$3:$T$24),LOOKUP(L375,[1]对照表!$S$27:$S$48,[1]对照表!$T$27:$T$48)),IF(B375="高二",IF($E375="男",LOOKUP(L375,[1]对照表!$R$3:$R$24,[1]对照表!$T$3:$T$24),LOOKUP(L375,[1]对照表!$R$27:$R$48,[1]对照表!$T$27:$T$48)),IF(B375="高一",IF($E375="男",LOOKUP(L375,[1]对照表!$Q$3:$Q$24,[1]对照表!$T$3:$T$24),LOOKUP(L375,[1]对照表!$Q$27:$Q$48,[1]对照表!$T$27:$T$48)))))</f>
        <v>90</v>
      </c>
      <c r="N375" s="33">
        <f>IF(B375="高三",MAX(IF(E375="男",L375-18,L375-55),0),IF(B375="高二",MAX(IF(E375="男",L375-17,L375-54),0),IF(B375="高一",MAX(IF(E375="男",L375-16,L375-53),0))))</f>
        <v>0</v>
      </c>
      <c r="O375" s="23">
        <f>IF(E375="男",LOOKUP($N375,[1]对照表!$Z$3:$Z$13,[1]对照表!$AA$3:$AA$13),LOOKUP($N375,[1]对照表!$Z$15:$Z$25,[1]对照表!$AA$15:$AA$25))</f>
        <v>0</v>
      </c>
      <c r="P375" s="24">
        <f>M375+O375</f>
        <v>90</v>
      </c>
      <c r="Q375" s="25">
        <v>3.51</v>
      </c>
      <c r="R375" s="32">
        <f>IF(B375="高三",IF($E375="男",LOOKUP(Q375,[1]对照表!$W$3:$W$24,[1]对照表!$X$3:$X$24),LOOKUP(Q375,[1]对照表!$W$27:$W$48,[1]对照表!$X$27:$X$48)),IF(B375="高二",IF($E375="男",LOOKUP(Q375,[1]对照表!$V$3:$V$24,[1]对照表!$X$3:$X$24),LOOKUP(Q375,[1]对照表!$V$27:$V$48,[1]对照表!$X$27:$X$48)),IF(B375="高一",IF($E375="男",LOOKUP(Q375,[1]对照表!$U$3:$U$24,[1]对照表!$X$3:$X$24),LOOKUP(Q375,[1]对照表!$U$27:$U$48,[1]对照表!$X$27:$X$48)))))</f>
        <v>78</v>
      </c>
      <c r="S375" s="33">
        <f>ROUND(IF(IF($B375="高三",MIN(IF($E375="男",$Q375-3.2,$Q375-3.2),0),IF($B375="高二",MIN(IF($E375="男",$Q375-3.25,$Q375-3.22),0),IF($B375="高一",MIN(IF($E375="男",$Q375-3.3,$Q375-3.24),0))))&lt;-0.6,IF($B375="高三",MIN(IF($E375="男",$Q375-3.2,$Q375-3.2),0),IF($B375="高二",MIN(IF($E375="男",$Q375-3.25,$Q375-3.22),0),IF($B375="高一",MIN(IF($E375="男",$Q375-3.3,$Q375-3.24),0))))+0.4,IF($B375="高三",MIN(IF($E375="男",$Q375-3.2,$Q375-3.2),0),IF($B375="高二",MIN(IF($E375="男",$Q375-3.25,$Q375-3.22),0),IF($B375="高一",MIN(IF($E375="男",$Q375-3.3,$Q375-3.24),0))))),2)</f>
        <v>0</v>
      </c>
      <c r="T375" s="23">
        <f>IF(E375="男",LOOKUP($S375,[1]对照表!$AB$3:$AB$13,[1]对照表!$AC$3:$AC$13),LOOKUP($S375,[1]对照表!$AB$15:$AB$25,[1]对照表!$AC$15:$AC$25))</f>
        <v>0</v>
      </c>
      <c r="U375" s="26">
        <f>R375+T375</f>
        <v>78</v>
      </c>
      <c r="V375" s="26">
        <f>SUM(I375,K375,M375)/3*0.3+SUM(G375,R375)/2*0.4</f>
        <v>49.800000000000004</v>
      </c>
      <c r="W375" s="27">
        <f>O375+T375</f>
        <v>0</v>
      </c>
      <c r="X375" s="28">
        <f>V375/0.7+W375</f>
        <v>71.142857142857153</v>
      </c>
      <c r="Y375" s="28">
        <v>71.142857142857153</v>
      </c>
      <c r="Z375" s="21"/>
    </row>
    <row r="376" spans="1:26" x14ac:dyDescent="0.25">
      <c r="A376" s="16">
        <v>15</v>
      </c>
      <c r="B376" s="17" t="s">
        <v>21</v>
      </c>
      <c r="C376" s="16">
        <v>109</v>
      </c>
      <c r="D376" s="18" t="s">
        <v>617</v>
      </c>
      <c r="E376" s="17" t="s">
        <v>23</v>
      </c>
      <c r="F376" s="19">
        <v>7.5</v>
      </c>
      <c r="G376" s="32">
        <f>IF(B376="高三",IF($E376="男",LOOKUP(F376,[1]对照表!$G$3:$G$24,[1]对照表!$H$3:$H$24),LOOKUP(F376,[1]对照表!$G$27:$G$48,[1]对照表!$H$27:$H$48)),IF(B376="高二",IF($E376="男",LOOKUP(F376,[1]对照表!$F$3:$F$24,[1]对照表!$H$3:$H$24),LOOKUP(F376,[1]对照表!$F$27:$F$48,[1]对照表!$H$27:$H$48)),IF(B376="高一",IF($E376="男",LOOKUP(F376,[1]对照表!$E$3:$E$24,[1]对照表!$H$3:$H$24),LOOKUP(F376,[1]对照表!$E$27:$E$48,[1]对照表!$H$27:$H$48)))))</f>
        <v>80</v>
      </c>
      <c r="H376" s="21">
        <v>9.5</v>
      </c>
      <c r="I376" s="32">
        <f>IF(B376="高三",IF($E376="男",LOOKUP(H376,[1]对照表!$K$3:$K$24,[1]对照表!$L$3:$L$24),LOOKUP(H376,[1]对照表!$K$27:$K$48,[1]对照表!$L$27:$L$48)),IF(B376="高二",IF($E376="男",LOOKUP(H376,[1]对照表!$J$3:$J$24,[1]对照表!$L$3:$L$24),LOOKUP(H376,[1]对照表!$J$27:$J$48,[1]对照表!$L$27:$L$48)),IF(B376="高一",IF($E376="男",LOOKUP(H376,[1]对照表!$I$3:$I$24,[1]对照表!$L$3:$L$24),LOOKUP(H376,[1]对照表!$I$27:$I$48,[1]对照表!$L$27:$L$48)))))</f>
        <v>72</v>
      </c>
      <c r="J376" s="21">
        <v>244</v>
      </c>
      <c r="K376" s="32">
        <f>IF(B376="高三",IF($E376="男",LOOKUP(J376,[1]对照表!$O$3:$O$24,[1]对照表!$P$3:$P$24),LOOKUP(J376,[1]对照表!$O$27:$O$48,[1]对照表!$P$27:$P$48)),IF(B376="高二",IF($E376="男",LOOKUP(J376,[1]对照表!$N$3:$N$24,[1]对照表!$P$3:$P$24),LOOKUP(J376,[1]对照表!$N$27:$N$48,[1]对照表!$P$27:$P$48)),IF(B376="高一",IF($E376="男",LOOKUP(J376,[1]对照表!$M$3:$M$24,[1]对照表!$P$3:$P$24),LOOKUP(J376,[1]对照表!$M$27:$M$48,[1]对照表!$P$27:$P$48)))))</f>
        <v>85</v>
      </c>
      <c r="L376" s="21">
        <v>11</v>
      </c>
      <c r="M376" s="32">
        <f>IF(B376="高三",IF($E376="男",LOOKUP(L376,[1]对照表!$S$3:$S$24,[1]对照表!$T$3:$T$24),LOOKUP(L376,[1]对照表!$S$27:$S$48,[1]对照表!$T$27:$T$48)),IF(B376="高二",IF($E376="男",LOOKUP(L376,[1]对照表!$R$3:$R$24,[1]对照表!$T$3:$T$24),LOOKUP(L376,[1]对照表!$R$27:$R$48,[1]对照表!$T$27:$T$48)),IF(B376="高一",IF($E376="男",LOOKUP(L376,[1]对照表!$Q$3:$Q$24,[1]对照表!$T$3:$T$24),LOOKUP(L376,[1]对照表!$Q$27:$Q$48,[1]对照表!$T$27:$T$48)))))</f>
        <v>76</v>
      </c>
      <c r="N376" s="33">
        <f>IF(B376="高三",MAX(IF(E376="男",L376-18,L376-55),0),IF(B376="高二",MAX(IF(E376="男",L376-17,L376-54),0),IF(B376="高一",MAX(IF(E376="男",L376-16,L376-53),0))))</f>
        <v>0</v>
      </c>
      <c r="O376" s="23">
        <f>IF(E376="男",LOOKUP($N376,[1]对照表!$Z$3:$Z$13,[1]对照表!$AA$3:$AA$13),LOOKUP($N376,[1]对照表!$Z$15:$Z$25,[1]对照表!$AA$15:$AA$25))</f>
        <v>0</v>
      </c>
      <c r="P376" s="24">
        <f>M376+O376</f>
        <v>76</v>
      </c>
      <c r="Q376" s="25"/>
      <c r="R376" s="20">
        <v>0</v>
      </c>
      <c r="S376" s="22">
        <v>0</v>
      </c>
      <c r="T376" s="23">
        <f>IF(E376="男",LOOKUP($S376,[1]对照表!$AB$3:$AB$13,[1]对照表!$AC$3:$AC$13),LOOKUP($S376,[1]对照表!$AB$15:$AB$25,[1]对照表!$AC$15:$AC$25))</f>
        <v>0</v>
      </c>
      <c r="U376" s="26">
        <f>R376+T376</f>
        <v>0</v>
      </c>
      <c r="V376" s="26">
        <f>SUM(I376,K376,M376)/3*0.3+SUM(G376,R376)/2*0.4</f>
        <v>39.299999999999997</v>
      </c>
      <c r="W376" s="27">
        <f>O376+T376</f>
        <v>0</v>
      </c>
      <c r="X376" s="28">
        <f>V376/0.7+W376</f>
        <v>56.142857142857146</v>
      </c>
      <c r="Y376" s="28">
        <v>56.142857142857146</v>
      </c>
      <c r="Z376" s="21"/>
    </row>
    <row r="377" spans="1:26" x14ac:dyDescent="0.25">
      <c r="A377" s="16">
        <v>1</v>
      </c>
      <c r="B377" s="17" t="s">
        <v>21</v>
      </c>
      <c r="C377" s="16">
        <v>109</v>
      </c>
      <c r="D377" s="18" t="s">
        <v>619</v>
      </c>
      <c r="E377" s="31" t="s">
        <v>23</v>
      </c>
      <c r="F377" s="19">
        <v>8</v>
      </c>
      <c r="G377" s="32">
        <f>IF(B377="高三",IF($E377="男",LOOKUP(F377,[1]对照表!$G$3:$G$24,[1]对照表!$H$3:$H$24),LOOKUP(F377,[1]对照表!$G$27:$G$48,[1]对照表!$H$27:$H$48)),IF(B377="高二",IF($E377="男",LOOKUP(F377,[1]对照表!$F$3:$F$24,[1]对照表!$H$3:$H$24),LOOKUP(F377,[1]对照表!$F$27:$F$48,[1]对照表!$H$27:$H$48)),IF(B377="高一",IF($E377="男",LOOKUP(F377,[1]对照表!$E$3:$E$24,[1]对照表!$H$3:$H$24),LOOKUP(F377,[1]对照表!$E$27:$E$48,[1]对照表!$H$27:$H$48)))))</f>
        <v>74</v>
      </c>
      <c r="H377" s="21">
        <v>2</v>
      </c>
      <c r="I377" s="32">
        <f>IF(B377="高三",IF($E377="男",LOOKUP(H377,[1]对照表!$K$3:$K$24,[1]对照表!$L$3:$L$24),LOOKUP(H377,[1]对照表!$K$27:$K$48,[1]对照表!$L$27:$L$48)),IF(B377="高二",IF($E377="男",LOOKUP(H377,[1]对照表!$J$3:$J$24,[1]对照表!$L$3:$L$24),LOOKUP(H377,[1]对照表!$J$27:$J$48,[1]对照表!$L$27:$L$48)),IF(B377="高一",IF($E377="男",LOOKUP(H377,[1]对照表!$I$3:$I$24,[1]对照表!$L$3:$L$24),LOOKUP(H377,[1]对照表!$I$27:$I$48,[1]对照表!$L$27:$L$48)))))</f>
        <v>60</v>
      </c>
      <c r="J377" s="21">
        <v>217</v>
      </c>
      <c r="K377" s="32">
        <f>IF(B377="高三",IF($E377="男",LOOKUP(J377,[1]对照表!$O$3:$O$24,[1]对照表!$P$3:$P$24),LOOKUP(J377,[1]对照表!$O$27:$O$48,[1]对照表!$P$27:$P$48)),IF(B377="高二",IF($E377="男",LOOKUP(J377,[1]对照表!$N$3:$N$24,[1]对照表!$P$3:$P$24),LOOKUP(J377,[1]对照表!$N$27:$N$48,[1]对照表!$P$27:$P$48)),IF(B377="高一",IF($E377="男",LOOKUP(J377,[1]对照表!$M$3:$M$24,[1]对照表!$P$3:$P$24),LOOKUP(J377,[1]对照表!$M$27:$M$48,[1]对照表!$P$27:$P$48)))))</f>
        <v>70</v>
      </c>
      <c r="L377" s="21">
        <v>0</v>
      </c>
      <c r="M377" s="32">
        <f>IF(B377="高三",IF($E377="男",LOOKUP(L377,[1]对照表!$S$3:$S$24,[1]对照表!$T$3:$T$24),LOOKUP(L377,[1]对照表!$S$27:$S$48,[1]对照表!$T$27:$T$48)),IF(B377="高二",IF($E377="男",LOOKUP(L377,[1]对照表!$R$3:$R$24,[1]对照表!$T$3:$T$24),LOOKUP(L377,[1]对照表!$R$27:$R$48,[1]对照表!$T$27:$T$48)),IF(B377="高一",IF($E377="男",LOOKUP(L377,[1]对照表!$Q$3:$Q$24,[1]对照表!$T$3:$T$24),LOOKUP(L377,[1]对照表!$Q$27:$Q$48,[1]对照表!$T$27:$T$48)))))</f>
        <v>0</v>
      </c>
      <c r="N377" s="33">
        <f>IF(B377="高三",MAX(IF(E377="男",L377-18,L377-55),0),IF(B377="高二",MAX(IF(E377="男",L377-17,L377-54),0),IF(B377="高一",MAX(IF(E377="男",L377-16,L377-53),0))))</f>
        <v>0</v>
      </c>
      <c r="O377" s="23">
        <f>IF(E377="男",LOOKUP($N377,[1]对照表!$Z$3:$Z$13,[1]对照表!$AA$3:$AA$13),LOOKUP($N377,[1]对照表!$Z$15:$Z$25,[1]对照表!$AA$15:$AA$25))</f>
        <v>0</v>
      </c>
      <c r="P377" s="24">
        <f>M377+O377</f>
        <v>0</v>
      </c>
      <c r="Q377" s="25">
        <v>4.5</v>
      </c>
      <c r="R377" s="32">
        <f>IF(B377="高三",IF($E377="男",LOOKUP(Q377,[1]对照表!$W$3:$W$24,[1]对照表!$X$3:$X$24),LOOKUP(Q377,[1]对照表!$W$27:$W$48,[1]对照表!$X$27:$X$48)),IF(B377="高二",IF($E377="男",LOOKUP(Q377,[1]对照表!$V$3:$V$24,[1]对照表!$X$3:$X$24),LOOKUP(Q377,[1]对照表!$V$27:$V$48,[1]对照表!$X$27:$X$48)),IF(B377="高一",IF($E377="男",LOOKUP(Q377,[1]对照表!$U$3:$U$24,[1]对照表!$X$3:$X$24),LOOKUP(Q377,[1]对照表!$U$27:$U$48,[1]对照表!$X$27:$X$48)))))</f>
        <v>50</v>
      </c>
      <c r="S377" s="33">
        <f>ROUND(IF(IF($B377="高三",MIN(IF($E377="男",$Q377-3.2,$Q377-3.2),0),IF($B377="高二",MIN(IF($E377="男",$Q377-3.25,$Q377-3.22),0),IF($B377="高一",MIN(IF($E377="男",$Q377-3.3,$Q377-3.24),0))))&lt;-0.6,IF($B377="高三",MIN(IF($E377="男",$Q377-3.2,$Q377-3.2),0),IF($B377="高二",MIN(IF($E377="男",$Q377-3.25,$Q377-3.22),0),IF($B377="高一",MIN(IF($E377="男",$Q377-3.3,$Q377-3.24),0))))+0.4,IF($B377="高三",MIN(IF($E377="男",$Q377-3.2,$Q377-3.2),0),IF($B377="高二",MIN(IF($E377="男",$Q377-3.25,$Q377-3.22),0),IF($B377="高一",MIN(IF($E377="男",$Q377-3.3,$Q377-3.24),0))))),2)</f>
        <v>0</v>
      </c>
      <c r="T377" s="23">
        <f>IF(E377="男",LOOKUP($S377,[1]对照表!$AB$3:$AB$13,[1]对照表!$AC$3:$AC$13),LOOKUP($S377,[1]对照表!$AB$15:$AB$25,[1]对照表!$AC$15:$AC$25))</f>
        <v>0</v>
      </c>
      <c r="U377" s="26">
        <f>R377+T377</f>
        <v>50</v>
      </c>
      <c r="V377" s="26">
        <f>SUM(I377,K377,M377)/3*0.3+SUM(G377,R377)/2*0.4</f>
        <v>37.799999999999997</v>
      </c>
      <c r="W377" s="27">
        <f>O377+T377</f>
        <v>0</v>
      </c>
      <c r="X377" s="28">
        <f>V377/0.7+W377</f>
        <v>54</v>
      </c>
      <c r="Y377" s="28">
        <v>54</v>
      </c>
      <c r="Z377" s="21"/>
    </row>
    <row r="378" spans="1:26" x14ac:dyDescent="0.25">
      <c r="A378" s="16">
        <v>45</v>
      </c>
      <c r="B378" s="17" t="s">
        <v>21</v>
      </c>
      <c r="C378" s="16">
        <v>109</v>
      </c>
      <c r="D378" s="18" t="s">
        <v>651</v>
      </c>
      <c r="E378" s="17" t="s">
        <v>65</v>
      </c>
      <c r="F378" s="19">
        <v>9</v>
      </c>
      <c r="G378" s="32">
        <f>IF(B378="高三",IF($E378="男",LOOKUP(F378,[1]对照表!$G$3:$G$24,[1]对照表!$H$3:$H$24),LOOKUP(F378,[1]对照表!$G$27:$G$48,[1]对照表!$H$27:$H$48)),IF(B378="高二",IF($E378="男",LOOKUP(F378,[1]对照表!$F$3:$F$24,[1]对照表!$H$3:$H$24),LOOKUP(F378,[1]对照表!$F$27:$F$48,[1]对照表!$H$27:$H$48)),IF(B378="高一",IF($E378="男",LOOKUP(F378,[1]对照表!$E$3:$E$24,[1]对照表!$H$3:$H$24),LOOKUP(F378,[1]对照表!$E$27:$E$48,[1]对照表!$H$27:$H$48)))))</f>
        <v>76</v>
      </c>
      <c r="H378" s="21">
        <v>15.5</v>
      </c>
      <c r="I378" s="32">
        <f>IF(B378="高三",IF($E378="男",LOOKUP(H378,[1]对照表!$K$3:$K$24,[1]对照表!$L$3:$L$24),LOOKUP(H378,[1]对照表!$K$27:$K$48,[1]对照表!$L$27:$L$48)),IF(B378="高二",IF($E378="男",LOOKUP(H378,[1]对照表!$J$3:$J$24,[1]对照表!$L$3:$L$24),LOOKUP(H378,[1]对照表!$J$27:$J$48,[1]对照表!$L$27:$L$48)),IF(B378="高一",IF($E378="男",LOOKUP(H378,[1]对照表!$I$3:$I$24,[1]对照表!$L$3:$L$24),LOOKUP(H378,[1]对照表!$I$27:$I$48,[1]对照表!$L$27:$L$48)))))</f>
        <v>76</v>
      </c>
      <c r="J378" s="21">
        <v>163</v>
      </c>
      <c r="K378" s="32">
        <f>IF(B378="高三",IF($E378="男",LOOKUP(J378,[1]对照表!$O$3:$O$24,[1]对照表!$P$3:$P$24),LOOKUP(J378,[1]对照表!$O$27:$O$48,[1]对照表!$P$27:$P$48)),IF(B378="高二",IF($E378="男",LOOKUP(J378,[1]对照表!$N$3:$N$24,[1]对照表!$P$3:$P$24),LOOKUP(J378,[1]对照表!$N$27:$N$48,[1]对照表!$P$27:$P$48)),IF(B378="高一",IF($E378="男",LOOKUP(J378,[1]对照表!$M$3:$M$24,[1]对照表!$P$3:$P$24),LOOKUP(J378,[1]对照表!$M$27:$M$48,[1]对照表!$P$27:$P$48)))))</f>
        <v>70</v>
      </c>
      <c r="L378" s="21">
        <v>39</v>
      </c>
      <c r="M378" s="32">
        <f>IF(B378="高三",IF($E378="男",LOOKUP(L378,[1]对照表!$S$3:$S$24,[1]对照表!$T$3:$T$24),LOOKUP(L378,[1]对照表!$S$27:$S$48,[1]对照表!$T$27:$T$48)),IF(B378="高二",IF($E378="男",LOOKUP(L378,[1]对照表!$R$3:$R$24,[1]对照表!$T$3:$T$24),LOOKUP(L378,[1]对照表!$R$27:$R$48,[1]对照表!$T$27:$T$48)),IF(B378="高一",IF($E378="男",LOOKUP(L378,[1]对照表!$Q$3:$Q$24,[1]对照表!$T$3:$T$24),LOOKUP(L378,[1]对照表!$Q$27:$Q$48,[1]对照表!$T$27:$T$48)))))</f>
        <v>76</v>
      </c>
      <c r="N378" s="33">
        <f>IF(B378="高三",MAX(IF(E378="男",L378-18,L378-55),0),IF(B378="高二",MAX(IF(E378="男",L378-17,L378-54),0),IF(B378="高一",MAX(IF(E378="男",L378-16,L378-53),0))))</f>
        <v>0</v>
      </c>
      <c r="O378" s="23">
        <f>IF(E378="男",LOOKUP($N378,[1]对照表!$Z$3:$Z$13,[1]对照表!$AA$3:$AA$13),LOOKUP($N378,[1]对照表!$Z$15:$Z$25,[1]对照表!$AA$15:$AA$25))</f>
        <v>0</v>
      </c>
      <c r="P378" s="24">
        <f>M378+O378</f>
        <v>76</v>
      </c>
      <c r="Q378" s="25">
        <v>3.56</v>
      </c>
      <c r="R378" s="32">
        <f>IF(B378="高三",IF($E378="男",LOOKUP(Q378,[1]对照表!$W$3:$W$24,[1]对照表!$X$3:$X$24),LOOKUP(Q378,[1]对照表!$W$27:$W$48,[1]对照表!$X$27:$X$48)),IF(B378="高二",IF($E378="男",LOOKUP(Q378,[1]对照表!$V$3:$V$24,[1]对照表!$X$3:$X$24),LOOKUP(Q378,[1]对照表!$V$27:$V$48,[1]对照表!$X$27:$X$48)),IF(B378="高一",IF($E378="男",LOOKUP(Q378,[1]对照表!$U$3:$U$24,[1]对照表!$X$3:$X$24),LOOKUP(Q378,[1]对照表!$U$27:$U$48,[1]对照表!$X$27:$X$48)))))</f>
        <v>76</v>
      </c>
      <c r="S378" s="33">
        <f>ROUND(IF(IF($B378="高三",MIN(IF($E378="男",$Q378-3.2,$Q378-3.2),0),IF($B378="高二",MIN(IF($E378="男",$Q378-3.25,$Q378-3.22),0),IF($B378="高一",MIN(IF($E378="男",$Q378-3.3,$Q378-3.24),0))))&lt;-0.6,IF($B378="高三",MIN(IF($E378="男",$Q378-3.2,$Q378-3.2),0),IF($B378="高二",MIN(IF($E378="男",$Q378-3.25,$Q378-3.22),0),IF($B378="高一",MIN(IF($E378="男",$Q378-3.3,$Q378-3.24),0))))+0.4,IF($B378="高三",MIN(IF($E378="男",$Q378-3.2,$Q378-3.2),0),IF($B378="高二",MIN(IF($E378="男",$Q378-3.25,$Q378-3.22),0),IF($B378="高一",MIN(IF($E378="男",$Q378-3.3,$Q378-3.24),0))))),2)</f>
        <v>0</v>
      </c>
      <c r="T378" s="23">
        <f>IF(E378="男",LOOKUP($S378,[1]对照表!$AB$3:$AB$13,[1]对照表!$AC$3:$AC$13),LOOKUP($S378,[1]对照表!$AB$15:$AB$25,[1]对照表!$AC$15:$AC$25))</f>
        <v>0</v>
      </c>
      <c r="U378" s="26">
        <f>R378+T378</f>
        <v>76</v>
      </c>
      <c r="V378" s="26">
        <f>SUM(I378,K378,M378)/3*0.3+SUM(G378,R378)/2*0.4</f>
        <v>52.6</v>
      </c>
      <c r="W378" s="27">
        <f>O378+T378</f>
        <v>0</v>
      </c>
      <c r="X378" s="28">
        <f>V378/0.7+W378</f>
        <v>75.142857142857153</v>
      </c>
      <c r="Y378" s="28">
        <v>75.142857142857153</v>
      </c>
      <c r="Z378" s="21"/>
    </row>
    <row r="379" spans="1:26" x14ac:dyDescent="0.25">
      <c r="A379" s="16">
        <v>34</v>
      </c>
      <c r="B379" s="17" t="s">
        <v>21</v>
      </c>
      <c r="C379" s="16">
        <v>109</v>
      </c>
      <c r="D379" s="18" t="s">
        <v>662</v>
      </c>
      <c r="E379" s="31" t="s">
        <v>65</v>
      </c>
      <c r="F379" s="19">
        <v>9.6</v>
      </c>
      <c r="G379" s="32">
        <f>IF(B379="高三",IF($E379="男",LOOKUP(F379,[1]对照表!$G$3:$G$24,[1]对照表!$H$3:$H$24),LOOKUP(F379,[1]对照表!$G$27:$G$48,[1]对照表!$H$27:$H$48)),IF(B379="高二",IF($E379="男",LOOKUP(F379,[1]对照表!$F$3:$F$24,[1]对照表!$H$3:$H$24),LOOKUP(F379,[1]对照表!$F$27:$F$48,[1]对照表!$H$27:$H$48)),IF(B379="高一",IF($E379="男",LOOKUP(F379,[1]对照表!$E$3:$E$24,[1]对照表!$H$3:$H$24),LOOKUP(F379,[1]对照表!$E$27:$E$48,[1]对照表!$H$27:$H$48)))))</f>
        <v>70</v>
      </c>
      <c r="H379" s="21">
        <v>10</v>
      </c>
      <c r="I379" s="32">
        <f>IF(B379="高三",IF($E379="男",LOOKUP(H379,[1]对照表!$K$3:$K$24,[1]对照表!$L$3:$L$24),LOOKUP(H379,[1]对照表!$K$27:$K$48,[1]对照表!$L$27:$L$48)),IF(B379="高二",IF($E379="男",LOOKUP(H379,[1]对照表!$J$3:$J$24,[1]对照表!$L$3:$L$24),LOOKUP(H379,[1]对照表!$J$27:$J$48,[1]对照表!$L$27:$L$48)),IF(B379="高一",IF($E379="男",LOOKUP(H379,[1]对照表!$I$3:$I$24,[1]对照表!$L$3:$L$24),LOOKUP(H379,[1]对照表!$I$27:$I$48,[1]对照表!$L$27:$L$48)))))</f>
        <v>68</v>
      </c>
      <c r="J379" s="21">
        <v>144</v>
      </c>
      <c r="K379" s="32">
        <f>IF(B379="高三",IF($E379="男",LOOKUP(J379,[1]对照表!$O$3:$O$24,[1]对照表!$P$3:$P$24),LOOKUP(J379,[1]对照表!$O$27:$O$48,[1]对照表!$P$27:$P$48)),IF(B379="高二",IF($E379="男",LOOKUP(J379,[1]对照表!$N$3:$N$24,[1]对照表!$P$3:$P$24),LOOKUP(J379,[1]对照表!$N$27:$N$48,[1]对照表!$P$27:$P$48)),IF(B379="高一",IF($E379="男",LOOKUP(J379,[1]对照表!$M$3:$M$24,[1]对照表!$P$3:$P$24),LOOKUP(J379,[1]对照表!$M$27:$M$48,[1]对照表!$P$27:$P$48)))))</f>
        <v>50</v>
      </c>
      <c r="L379" s="21">
        <v>49</v>
      </c>
      <c r="M379" s="32">
        <f>IF(B379="高三",IF($E379="男",LOOKUP(L379,[1]对照表!$S$3:$S$24,[1]对照表!$T$3:$T$24),LOOKUP(L379,[1]对照表!$S$27:$S$48,[1]对照表!$T$27:$T$48)),IF(B379="高二",IF($E379="男",LOOKUP(L379,[1]对照表!$R$3:$R$24,[1]对照表!$T$3:$T$24),LOOKUP(L379,[1]对照表!$R$27:$R$48,[1]对照表!$T$27:$T$48)),IF(B379="高一",IF($E379="男",LOOKUP(L379,[1]对照表!$Q$3:$Q$24,[1]对照表!$T$3:$T$24),LOOKUP(L379,[1]对照表!$Q$27:$Q$48,[1]对照表!$T$27:$T$48)))))</f>
        <v>90</v>
      </c>
      <c r="N379" s="33">
        <f>IF(B379="高三",MAX(IF(E379="男",L379-18,L379-55),0),IF(B379="高二",MAX(IF(E379="男",L379-17,L379-54),0),IF(B379="高一",MAX(IF(E379="男",L379-16,L379-53),0))))</f>
        <v>0</v>
      </c>
      <c r="O379" s="23">
        <f>IF(E379="男",LOOKUP($N379,[1]对照表!$Z$3:$Z$13,[1]对照表!$AA$3:$AA$13),LOOKUP($N379,[1]对照表!$Z$15:$Z$25,[1]对照表!$AA$15:$AA$25))</f>
        <v>0</v>
      </c>
      <c r="P379" s="24">
        <f>M379+O379</f>
        <v>90</v>
      </c>
      <c r="Q379" s="25">
        <v>3.58</v>
      </c>
      <c r="R379" s="32">
        <f>IF(B379="高三",IF($E379="男",LOOKUP(Q379,[1]对照表!$W$3:$W$24,[1]对照表!$X$3:$X$24),LOOKUP(Q379,[1]对照表!$W$27:$W$48,[1]对照表!$X$27:$X$48)),IF(B379="高二",IF($E379="男",LOOKUP(Q379,[1]对照表!$V$3:$V$24,[1]对照表!$X$3:$X$24),LOOKUP(Q379,[1]对照表!$V$27:$V$48,[1]对照表!$X$27:$X$48)),IF(B379="高一",IF($E379="男",LOOKUP(Q379,[1]对照表!$U$3:$U$24,[1]对照表!$X$3:$X$24),LOOKUP(Q379,[1]对照表!$U$27:$U$48,[1]对照表!$X$27:$X$48)))))</f>
        <v>76</v>
      </c>
      <c r="S379" s="33">
        <f>ROUND(IF(IF($B379="高三",MIN(IF($E379="男",$Q379-3.2,$Q379-3.2),0),IF($B379="高二",MIN(IF($E379="男",$Q379-3.25,$Q379-3.22),0),IF($B379="高一",MIN(IF($E379="男",$Q379-3.3,$Q379-3.24),0))))&lt;-0.6,IF($B379="高三",MIN(IF($E379="男",$Q379-3.2,$Q379-3.2),0),IF($B379="高二",MIN(IF($E379="男",$Q379-3.25,$Q379-3.22),0),IF($B379="高一",MIN(IF($E379="男",$Q379-3.3,$Q379-3.24),0))))+0.4,IF($B379="高三",MIN(IF($E379="男",$Q379-3.2,$Q379-3.2),0),IF($B379="高二",MIN(IF($E379="男",$Q379-3.25,$Q379-3.22),0),IF($B379="高一",MIN(IF($E379="男",$Q379-3.3,$Q379-3.24),0))))),2)</f>
        <v>0</v>
      </c>
      <c r="T379" s="23">
        <f>IF(E379="男",LOOKUP($S379,[1]对照表!$AB$3:$AB$13,[1]对照表!$AC$3:$AC$13),LOOKUP($S379,[1]对照表!$AB$15:$AB$25,[1]对照表!$AC$15:$AC$25))</f>
        <v>0</v>
      </c>
      <c r="U379" s="26">
        <f>R379+T379</f>
        <v>76</v>
      </c>
      <c r="V379" s="26">
        <f>SUM(I379,K379,M379)/3*0.3+SUM(G379,R379)/2*0.4</f>
        <v>50</v>
      </c>
      <c r="W379" s="27">
        <f>O379+T379</f>
        <v>0</v>
      </c>
      <c r="X379" s="28">
        <f>V379/0.7+W379</f>
        <v>71.428571428571431</v>
      </c>
      <c r="Y379" s="28">
        <v>71.428571428571431</v>
      </c>
      <c r="Z379" s="21"/>
    </row>
    <row r="380" spans="1:26" x14ac:dyDescent="0.25">
      <c r="A380" s="16">
        <v>52</v>
      </c>
      <c r="B380" s="17" t="s">
        <v>21</v>
      </c>
      <c r="C380" s="16">
        <v>109</v>
      </c>
      <c r="D380" s="18" t="s">
        <v>680</v>
      </c>
      <c r="E380" s="17" t="s">
        <v>65</v>
      </c>
      <c r="F380" s="19">
        <v>10.02</v>
      </c>
      <c r="G380" s="32">
        <f>IF(B380="高三",IF($E380="男",LOOKUP(F380,[1]对照表!$G$3:$G$24,[1]对照表!$H$3:$H$24),LOOKUP(F380,[1]对照表!$G$27:$G$48,[1]对照表!$H$27:$H$48)),IF(B380="高二",IF($E380="男",LOOKUP(F380,[1]对照表!$F$3:$F$24,[1]对照表!$H$3:$H$24),LOOKUP(F380,[1]对照表!$F$27:$F$48,[1]对照表!$H$27:$H$48)),IF(B380="高一",IF($E380="男",LOOKUP(F380,[1]对照表!$E$3:$E$24,[1]对照表!$H$3:$H$24),LOOKUP(F380,[1]对照表!$E$27:$E$48,[1]对照表!$H$27:$H$48)))))</f>
        <v>64</v>
      </c>
      <c r="H380" s="21">
        <v>15</v>
      </c>
      <c r="I380" s="32">
        <f>IF(B380="高三",IF($E380="男",LOOKUP(H380,[1]对照表!$K$3:$K$24,[1]对照表!$L$3:$L$24),LOOKUP(H380,[1]对照表!$K$27:$K$48,[1]对照表!$L$27:$L$48)),IF(B380="高二",IF($E380="男",LOOKUP(H380,[1]对照表!$J$3:$J$24,[1]对照表!$L$3:$L$24),LOOKUP(H380,[1]对照表!$J$27:$J$48,[1]对照表!$L$27:$L$48)),IF(B380="高一",IF($E380="男",LOOKUP(H380,[1]对照表!$I$3:$I$24,[1]对照表!$L$3:$L$24),LOOKUP(H380,[1]对照表!$I$27:$I$48,[1]对照表!$L$27:$L$48)))))</f>
        <v>76</v>
      </c>
      <c r="J380" s="21">
        <v>150</v>
      </c>
      <c r="K380" s="32">
        <f>IF(B380="高三",IF($E380="男",LOOKUP(J380,[1]对照表!$O$3:$O$24,[1]对照表!$P$3:$P$24),LOOKUP(J380,[1]对照表!$O$27:$O$48,[1]对照表!$P$27:$P$48)),IF(B380="高二",IF($E380="男",LOOKUP(J380,[1]对照表!$N$3:$N$24,[1]对照表!$P$3:$P$24),LOOKUP(J380,[1]对照表!$N$27:$N$48,[1]对照表!$P$27:$P$48)),IF(B380="高一",IF($E380="男",LOOKUP(J380,[1]对照表!$M$3:$M$24,[1]对照表!$P$3:$P$24),LOOKUP(J380,[1]对照表!$M$27:$M$48,[1]对照表!$P$27:$P$48)))))</f>
        <v>60</v>
      </c>
      <c r="L380" s="21">
        <v>48</v>
      </c>
      <c r="M380" s="32">
        <f>IF(B380="高三",IF($E380="男",LOOKUP(L380,[1]对照表!$S$3:$S$24,[1]对照表!$T$3:$T$24),LOOKUP(L380,[1]对照表!$S$27:$S$48,[1]对照表!$T$27:$T$48)),IF(B380="高二",IF($E380="男",LOOKUP(L380,[1]对照表!$R$3:$R$24,[1]对照表!$T$3:$T$24),LOOKUP(L380,[1]对照表!$R$27:$R$48,[1]对照表!$T$27:$T$48)),IF(B380="高一",IF($E380="男",LOOKUP(L380,[1]对照表!$Q$3:$Q$24,[1]对照表!$T$3:$T$24),LOOKUP(L380,[1]对照表!$Q$27:$Q$48,[1]对照表!$T$27:$T$48)))))</f>
        <v>85</v>
      </c>
      <c r="N380" s="33">
        <f>IF(B380="高三",MAX(IF(E380="男",L380-18,L380-55),0),IF(B380="高二",MAX(IF(E380="男",L380-17,L380-54),0),IF(B380="高一",MAX(IF(E380="男",L380-16,L380-53),0))))</f>
        <v>0</v>
      </c>
      <c r="O380" s="23">
        <f>IF(E380="男",LOOKUP($N380,[1]对照表!$Z$3:$Z$13,[1]对照表!$AA$3:$AA$13),LOOKUP($N380,[1]对照表!$Z$15:$Z$25,[1]对照表!$AA$15:$AA$25))</f>
        <v>0</v>
      </c>
      <c r="P380" s="24">
        <f>M380+O380</f>
        <v>85</v>
      </c>
      <c r="Q380" s="25">
        <v>3.59</v>
      </c>
      <c r="R380" s="32">
        <f>IF(B380="高三",IF($E380="男",LOOKUP(Q380,[1]对照表!$W$3:$W$24,[1]对照表!$X$3:$X$24),LOOKUP(Q380,[1]对照表!$W$27:$W$48,[1]对照表!$X$27:$X$48)),IF(B380="高二",IF($E380="男",LOOKUP(Q380,[1]对照表!$V$3:$V$24,[1]对照表!$X$3:$X$24),LOOKUP(Q380,[1]对照表!$V$27:$V$48,[1]对照表!$X$27:$X$48)),IF(B380="高一",IF($E380="男",LOOKUP(Q380,[1]对照表!$U$3:$U$24,[1]对照表!$X$3:$X$24),LOOKUP(Q380,[1]对照表!$U$27:$U$48,[1]对照表!$X$27:$X$48)))))</f>
        <v>76</v>
      </c>
      <c r="S380" s="33">
        <f>ROUND(IF(IF($B380="高三",MIN(IF($E380="男",$Q380-3.2,$Q380-3.2),0),IF($B380="高二",MIN(IF($E380="男",$Q380-3.25,$Q380-3.22),0),IF($B380="高一",MIN(IF($E380="男",$Q380-3.3,$Q380-3.24),0))))&lt;-0.6,IF($B380="高三",MIN(IF($E380="男",$Q380-3.2,$Q380-3.2),0),IF($B380="高二",MIN(IF($E380="男",$Q380-3.25,$Q380-3.22),0),IF($B380="高一",MIN(IF($E380="男",$Q380-3.3,$Q380-3.24),0))))+0.4,IF($B380="高三",MIN(IF($E380="男",$Q380-3.2,$Q380-3.2),0),IF($B380="高二",MIN(IF($E380="男",$Q380-3.25,$Q380-3.22),0),IF($B380="高一",MIN(IF($E380="男",$Q380-3.3,$Q380-3.24),0))))),2)</f>
        <v>0</v>
      </c>
      <c r="T380" s="23">
        <f>IF(E380="男",LOOKUP($S380,[1]对照表!$AB$3:$AB$13,[1]对照表!$AC$3:$AC$13),LOOKUP($S380,[1]对照表!$AB$15:$AB$25,[1]对照表!$AC$15:$AC$25))</f>
        <v>0</v>
      </c>
      <c r="U380" s="26">
        <f>R380+T380</f>
        <v>76</v>
      </c>
      <c r="V380" s="26">
        <f>SUM(I380,K380,M380)/3*0.3+SUM(G380,R380)/2*0.4</f>
        <v>50.1</v>
      </c>
      <c r="W380" s="27">
        <f>O380+T380</f>
        <v>0</v>
      </c>
      <c r="X380" s="28">
        <f>V380/0.7+W380</f>
        <v>71.571428571428584</v>
      </c>
      <c r="Y380" s="28">
        <v>71.571428571428584</v>
      </c>
      <c r="Z380" s="21"/>
    </row>
    <row r="381" spans="1:26" x14ac:dyDescent="0.25">
      <c r="A381" s="16">
        <v>39</v>
      </c>
      <c r="B381" s="17" t="s">
        <v>21</v>
      </c>
      <c r="C381" s="16">
        <v>109</v>
      </c>
      <c r="D381" s="18" t="s">
        <v>700</v>
      </c>
      <c r="E381" s="17" t="s">
        <v>65</v>
      </c>
      <c r="F381" s="19">
        <v>9.6199999999999992</v>
      </c>
      <c r="G381" s="32">
        <f>IF(B381="高三",IF($E381="男",LOOKUP(F381,[1]对照表!$G$3:$G$24,[1]对照表!$H$3:$H$24),LOOKUP(F381,[1]对照表!$G$27:$G$48,[1]对照表!$H$27:$H$48)),IF(B381="高二",IF($E381="男",LOOKUP(F381,[1]对照表!$F$3:$F$24,[1]对照表!$H$3:$H$24),LOOKUP(F381,[1]对照表!$F$27:$F$48,[1]对照表!$H$27:$H$48)),IF(B381="高一",IF($E381="男",LOOKUP(F381,[1]对照表!$E$3:$E$24,[1]对照表!$H$3:$H$24),LOOKUP(F381,[1]对照表!$E$27:$E$48,[1]对照表!$H$27:$H$48)))))</f>
        <v>68</v>
      </c>
      <c r="H381" s="21">
        <v>16</v>
      </c>
      <c r="I381" s="32">
        <f>IF(B381="高三",IF($E381="男",LOOKUP(H381,[1]对照表!$K$3:$K$24,[1]对照表!$L$3:$L$24),LOOKUP(H381,[1]对照表!$K$27:$K$48,[1]对照表!$L$27:$L$48)),IF(B381="高二",IF($E381="男",LOOKUP(H381,[1]对照表!$J$3:$J$24,[1]对照表!$L$3:$L$24),LOOKUP(H381,[1]对照表!$J$27:$J$48,[1]对照表!$L$27:$L$48)),IF(B381="高一",IF($E381="男",LOOKUP(H381,[1]对照表!$I$3:$I$24,[1]对照表!$L$3:$L$24),LOOKUP(H381,[1]对照表!$I$27:$I$48,[1]对照表!$L$27:$L$48)))))</f>
        <v>76</v>
      </c>
      <c r="J381" s="21">
        <v>160</v>
      </c>
      <c r="K381" s="32">
        <f>IF(B381="高三",IF($E381="男",LOOKUP(J381,[1]对照表!$O$3:$O$24,[1]对照表!$P$3:$P$24),LOOKUP(J381,[1]对照表!$O$27:$O$48,[1]对照表!$P$27:$P$48)),IF(B381="高二",IF($E381="男",LOOKUP(J381,[1]对照表!$N$3:$N$24,[1]对照表!$P$3:$P$24),LOOKUP(J381,[1]对照表!$N$27:$N$48,[1]对照表!$P$27:$P$48)),IF(B381="高一",IF($E381="男",LOOKUP(J381,[1]对照表!$M$3:$M$24,[1]对照表!$P$3:$P$24),LOOKUP(J381,[1]对照表!$M$27:$M$48,[1]对照表!$P$27:$P$48)))))</f>
        <v>68</v>
      </c>
      <c r="L381" s="21">
        <v>48</v>
      </c>
      <c r="M381" s="32">
        <f>IF(B381="高三",IF($E381="男",LOOKUP(L381,[1]对照表!$S$3:$S$24,[1]对照表!$T$3:$T$24),LOOKUP(L381,[1]对照表!$S$27:$S$48,[1]对照表!$T$27:$T$48)),IF(B381="高二",IF($E381="男",LOOKUP(L381,[1]对照表!$R$3:$R$24,[1]对照表!$T$3:$T$24),LOOKUP(L381,[1]对照表!$R$27:$R$48,[1]对照表!$T$27:$T$48)),IF(B381="高一",IF($E381="男",LOOKUP(L381,[1]对照表!$Q$3:$Q$24,[1]对照表!$T$3:$T$24),LOOKUP(L381,[1]对照表!$Q$27:$Q$48,[1]对照表!$T$27:$T$48)))))</f>
        <v>85</v>
      </c>
      <c r="N381" s="33">
        <f>IF(B381="高三",MAX(IF(E381="男",L381-18,L381-55),0),IF(B381="高二",MAX(IF(E381="男",L381-17,L381-54),0),IF(B381="高一",MAX(IF(E381="男",L381-16,L381-53),0))))</f>
        <v>0</v>
      </c>
      <c r="O381" s="23">
        <f>IF(E381="男",LOOKUP($N381,[1]对照表!$Z$3:$Z$13,[1]对照表!$AA$3:$AA$13),LOOKUP($N381,[1]对照表!$Z$15:$Z$25,[1]对照表!$AA$15:$AA$25))</f>
        <v>0</v>
      </c>
      <c r="P381" s="24">
        <f>M381+O381</f>
        <v>85</v>
      </c>
      <c r="Q381" s="25">
        <v>4.08</v>
      </c>
      <c r="R381" s="32">
        <f>IF(B381="高三",IF($E381="男",LOOKUP(Q381,[1]对照表!$W$3:$W$24,[1]对照表!$X$3:$X$24),LOOKUP(Q381,[1]对照表!$W$27:$W$48,[1]对照表!$X$27:$X$48)),IF(B381="高二",IF($E381="男",LOOKUP(Q381,[1]对照表!$V$3:$V$24,[1]对照表!$X$3:$X$24),LOOKUP(Q381,[1]对照表!$V$27:$V$48,[1]对照表!$X$27:$X$48)),IF(B381="高一",IF($E381="男",LOOKUP(Q381,[1]对照表!$U$3:$U$24,[1]对照表!$X$3:$X$24),LOOKUP(Q381,[1]对照表!$U$27:$U$48,[1]对照表!$X$27:$X$48)))))</f>
        <v>72</v>
      </c>
      <c r="S381" s="33">
        <f>ROUND(IF(IF($B381="高三",MIN(IF($E381="男",$Q381-3.2,$Q381-3.2),0),IF($B381="高二",MIN(IF($E381="男",$Q381-3.25,$Q381-3.22),0),IF($B381="高一",MIN(IF($E381="男",$Q381-3.3,$Q381-3.24),0))))&lt;-0.6,IF($B381="高三",MIN(IF($E381="男",$Q381-3.2,$Q381-3.2),0),IF($B381="高二",MIN(IF($E381="男",$Q381-3.25,$Q381-3.22),0),IF($B381="高一",MIN(IF($E381="男",$Q381-3.3,$Q381-3.24),0))))+0.4,IF($B381="高三",MIN(IF($E381="男",$Q381-3.2,$Q381-3.2),0),IF($B381="高二",MIN(IF($E381="男",$Q381-3.25,$Q381-3.22),0),IF($B381="高一",MIN(IF($E381="男",$Q381-3.3,$Q381-3.24),0))))),2)</f>
        <v>0</v>
      </c>
      <c r="T381" s="23">
        <f>IF(E381="男",LOOKUP($S381,[1]对照表!$AB$3:$AB$13,[1]对照表!$AC$3:$AC$13),LOOKUP($S381,[1]对照表!$AB$15:$AB$25,[1]对照表!$AC$15:$AC$25))</f>
        <v>0</v>
      </c>
      <c r="U381" s="26">
        <f>R381+T381</f>
        <v>72</v>
      </c>
      <c r="V381" s="26">
        <f>SUM(I381,K381,M381)/3*0.3+SUM(G381,R381)/2*0.4</f>
        <v>50.9</v>
      </c>
      <c r="W381" s="27">
        <f>O381+T381</f>
        <v>0</v>
      </c>
      <c r="X381" s="28">
        <f>V381/0.7+W381</f>
        <v>72.714285714285722</v>
      </c>
      <c r="Y381" s="28">
        <v>72.714285714285722</v>
      </c>
      <c r="Z381" s="21"/>
    </row>
    <row r="382" spans="1:26" x14ac:dyDescent="0.25">
      <c r="A382" s="16">
        <v>40</v>
      </c>
      <c r="B382" s="17" t="s">
        <v>21</v>
      </c>
      <c r="C382" s="16">
        <v>109</v>
      </c>
      <c r="D382" s="18" t="s">
        <v>735</v>
      </c>
      <c r="E382" s="17" t="s">
        <v>65</v>
      </c>
      <c r="F382" s="19">
        <v>8.8800000000000008</v>
      </c>
      <c r="G382" s="32">
        <f>IF(B382="高三",IF($E382="男",LOOKUP(F382,[1]对照表!$G$3:$G$24,[1]对照表!$H$3:$H$24),LOOKUP(F382,[1]对照表!$G$27:$G$48,[1]对照表!$H$27:$H$48)),IF(B382="高二",IF($E382="男",LOOKUP(F382,[1]对照表!$F$3:$F$24,[1]对照表!$H$3:$H$24),LOOKUP(F382,[1]对照表!$F$27:$F$48,[1]对照表!$H$27:$H$48)),IF(B382="高一",IF($E382="男",LOOKUP(F382,[1]对照表!$E$3:$E$24,[1]对照表!$H$3:$H$24),LOOKUP(F382,[1]对照表!$E$27:$E$48,[1]对照表!$H$27:$H$48)))))</f>
        <v>76</v>
      </c>
      <c r="H382" s="21">
        <v>11</v>
      </c>
      <c r="I382" s="32">
        <f>IF(B382="高三",IF($E382="男",LOOKUP(H382,[1]对照表!$K$3:$K$24,[1]对照表!$L$3:$L$24),LOOKUP(H382,[1]对照表!$K$27:$K$48,[1]对照表!$L$27:$L$48)),IF(B382="高二",IF($E382="男",LOOKUP(H382,[1]对照表!$J$3:$J$24,[1]对照表!$L$3:$L$24),LOOKUP(H382,[1]对照表!$J$27:$J$48,[1]对照表!$L$27:$L$48)),IF(B382="高一",IF($E382="男",LOOKUP(H382,[1]对照表!$I$3:$I$24,[1]对照表!$L$3:$L$24),LOOKUP(H382,[1]对照表!$I$27:$I$48,[1]对照表!$L$27:$L$48)))))</f>
        <v>70</v>
      </c>
      <c r="J382" s="21">
        <v>170</v>
      </c>
      <c r="K382" s="32">
        <f>IF(B382="高三",IF($E382="男",LOOKUP(J382,[1]对照表!$O$3:$O$24,[1]对照表!$P$3:$P$24),LOOKUP(J382,[1]对照表!$O$27:$O$48,[1]对照表!$P$27:$P$48)),IF(B382="高二",IF($E382="男",LOOKUP(J382,[1]对照表!$N$3:$N$24,[1]对照表!$P$3:$P$24),LOOKUP(J382,[1]对照表!$N$27:$N$48,[1]对照表!$P$27:$P$48)),IF(B382="高一",IF($E382="男",LOOKUP(J382,[1]对照表!$M$3:$M$24,[1]对照表!$P$3:$P$24),LOOKUP(J382,[1]对照表!$M$27:$M$48,[1]对照表!$P$27:$P$48)))))</f>
        <v>74</v>
      </c>
      <c r="L382" s="21">
        <v>42</v>
      </c>
      <c r="M382" s="32">
        <f>IF(B382="高三",IF($E382="男",LOOKUP(L382,[1]对照表!$S$3:$S$24,[1]对照表!$T$3:$T$24),LOOKUP(L382,[1]对照表!$S$27:$S$48,[1]对照表!$T$27:$T$48)),IF(B382="高二",IF($E382="男",LOOKUP(L382,[1]对照表!$R$3:$R$24,[1]对照表!$T$3:$T$24),LOOKUP(L382,[1]对照表!$R$27:$R$48,[1]对照表!$T$27:$T$48)),IF(B382="高一",IF($E382="男",LOOKUP(L382,[1]对照表!$Q$3:$Q$24,[1]对照表!$T$3:$T$24),LOOKUP(L382,[1]对照表!$Q$27:$Q$48,[1]对照表!$T$27:$T$48)))))</f>
        <v>78</v>
      </c>
      <c r="N382" s="33">
        <f>IF(B382="高三",MAX(IF(E382="男",L382-18,L382-55),0),IF(B382="高二",MAX(IF(E382="男",L382-17,L382-54),0),IF(B382="高一",MAX(IF(E382="男",L382-16,L382-53),0))))</f>
        <v>0</v>
      </c>
      <c r="O382" s="23">
        <f>IF(E382="男",LOOKUP($N382,[1]对照表!$Z$3:$Z$13,[1]对照表!$AA$3:$AA$13),LOOKUP($N382,[1]对照表!$Z$15:$Z$25,[1]对照表!$AA$15:$AA$25))</f>
        <v>0</v>
      </c>
      <c r="P382" s="24">
        <f>M382+O382</f>
        <v>78</v>
      </c>
      <c r="Q382" s="25">
        <v>4.38</v>
      </c>
      <c r="R382" s="32">
        <f>IF(B382="高三",IF($E382="男",LOOKUP(Q382,[1]对照表!$W$3:$W$24,[1]对照表!$X$3:$X$24),LOOKUP(Q382,[1]对照表!$W$27:$W$48,[1]对照表!$X$27:$X$48)),IF(B382="高二",IF($E382="男",LOOKUP(Q382,[1]对照表!$V$3:$V$24,[1]对照表!$X$3:$X$24),LOOKUP(Q382,[1]对照表!$V$27:$V$48,[1]对照表!$X$27:$X$48)),IF(B382="高一",IF($E382="男",LOOKUP(Q382,[1]对照表!$U$3:$U$24,[1]对照表!$X$3:$X$24),LOOKUP(Q382,[1]对照表!$U$27:$U$48,[1]对照表!$X$27:$X$48)))))</f>
        <v>60</v>
      </c>
      <c r="S382" s="33">
        <f>ROUND(IF(IF($B382="高三",MIN(IF($E382="男",$Q382-3.2,$Q382-3.2),0),IF($B382="高二",MIN(IF($E382="男",$Q382-3.25,$Q382-3.22),0),IF($B382="高一",MIN(IF($E382="男",$Q382-3.3,$Q382-3.24),0))))&lt;-0.6,IF($B382="高三",MIN(IF($E382="男",$Q382-3.2,$Q382-3.2),0),IF($B382="高二",MIN(IF($E382="男",$Q382-3.25,$Q382-3.22),0),IF($B382="高一",MIN(IF($E382="男",$Q382-3.3,$Q382-3.24),0))))+0.4,IF($B382="高三",MIN(IF($E382="男",$Q382-3.2,$Q382-3.2),0),IF($B382="高二",MIN(IF($E382="男",$Q382-3.25,$Q382-3.22),0),IF($B382="高一",MIN(IF($E382="男",$Q382-3.3,$Q382-3.24),0))))),2)</f>
        <v>0</v>
      </c>
      <c r="T382" s="23">
        <f>IF(E382="男",LOOKUP($S382,[1]对照表!$AB$3:$AB$13,[1]对照表!$AC$3:$AC$13),LOOKUP($S382,[1]对照表!$AB$15:$AB$25,[1]对照表!$AC$15:$AC$25))</f>
        <v>0</v>
      </c>
      <c r="U382" s="26">
        <f>R382+T382</f>
        <v>60</v>
      </c>
      <c r="V382" s="26">
        <f>SUM(I382,K382,M382)/3*0.3+SUM(G382,R382)/2*0.4</f>
        <v>49.400000000000006</v>
      </c>
      <c r="W382" s="27">
        <f>O382+T382</f>
        <v>0</v>
      </c>
      <c r="X382" s="28">
        <f>V382/0.7+W382</f>
        <v>70.571428571428584</v>
      </c>
      <c r="Y382" s="28">
        <v>70.571428571428584</v>
      </c>
      <c r="Z382" s="21"/>
    </row>
    <row r="383" spans="1:26" x14ac:dyDescent="0.25">
      <c r="A383" s="16">
        <v>36</v>
      </c>
      <c r="B383" s="17" t="s">
        <v>21</v>
      </c>
      <c r="C383" s="16">
        <v>109</v>
      </c>
      <c r="D383" s="18" t="s">
        <v>737</v>
      </c>
      <c r="E383" s="17" t="s">
        <v>65</v>
      </c>
      <c r="F383" s="19">
        <v>8.6</v>
      </c>
      <c r="G383" s="32">
        <f>IF(B383="高三",IF($E383="男",LOOKUP(F383,[1]对照表!$G$3:$G$24,[1]对照表!$H$3:$H$24),LOOKUP(F383,[1]对照表!$G$27:$G$48,[1]对照表!$H$27:$H$48)),IF(B383="高二",IF($E383="男",LOOKUP(F383,[1]对照表!$F$3:$F$24,[1]对照表!$H$3:$H$24),LOOKUP(F383,[1]对照表!$F$27:$F$48,[1]对照表!$H$27:$H$48)),IF(B383="高一",IF($E383="男",LOOKUP(F383,[1]对照表!$E$3:$E$24,[1]对照表!$H$3:$H$24),LOOKUP(F383,[1]对照表!$E$27:$E$48,[1]对照表!$H$27:$H$48)))))</f>
        <v>80</v>
      </c>
      <c r="H383" s="21">
        <v>5.5</v>
      </c>
      <c r="I383" s="32">
        <f>IF(B383="高三",IF($E383="男",LOOKUP(H383,[1]对照表!$K$3:$K$24,[1]对照表!$L$3:$L$24),LOOKUP(H383,[1]对照表!$K$27:$K$48,[1]对照表!$L$27:$L$48)),IF(B383="高二",IF($E383="男",LOOKUP(H383,[1]对照表!$J$3:$J$24,[1]对照表!$L$3:$L$24),LOOKUP(H383,[1]对照表!$J$27:$J$48,[1]对照表!$L$27:$L$48)),IF(B383="高一",IF($E383="男",LOOKUP(H383,[1]对照表!$I$3:$I$24,[1]对照表!$L$3:$L$24),LOOKUP(H383,[1]对照表!$I$27:$I$48,[1]对照表!$L$27:$L$48)))))</f>
        <v>60</v>
      </c>
      <c r="J383" s="21">
        <v>185</v>
      </c>
      <c r="K383" s="32">
        <f>IF(B383="高三",IF($E383="男",LOOKUP(J383,[1]对照表!$O$3:$O$24,[1]对照表!$P$3:$P$24),LOOKUP(J383,[1]对照表!$O$27:$O$48,[1]对照表!$P$27:$P$48)),IF(B383="高二",IF($E383="男",LOOKUP(J383,[1]对照表!$N$3:$N$24,[1]对照表!$P$3:$P$24),LOOKUP(J383,[1]对照表!$N$27:$N$48,[1]对照表!$P$27:$P$48)),IF(B383="高一",IF($E383="男",LOOKUP(J383,[1]对照表!$M$3:$M$24,[1]对照表!$P$3:$P$24),LOOKUP(J383,[1]对照表!$M$27:$M$48,[1]对照表!$P$27:$P$48)))))</f>
        <v>85</v>
      </c>
      <c r="L383" s="21">
        <v>45</v>
      </c>
      <c r="M383" s="32">
        <f>IF(B383="高三",IF($E383="男",LOOKUP(L383,[1]对照表!$S$3:$S$24,[1]对照表!$T$3:$T$24),LOOKUP(L383,[1]对照表!$S$27:$S$48,[1]对照表!$T$27:$T$48)),IF(B383="高二",IF($E383="男",LOOKUP(L383,[1]对照表!$R$3:$R$24,[1]对照表!$T$3:$T$24),LOOKUP(L383,[1]对照表!$R$27:$R$48,[1]对照表!$T$27:$T$48)),IF(B383="高一",IF($E383="男",LOOKUP(L383,[1]对照表!$Q$3:$Q$24,[1]对照表!$T$3:$T$24),LOOKUP(L383,[1]对照表!$Q$27:$Q$48,[1]对照表!$T$27:$T$48)))))</f>
        <v>80</v>
      </c>
      <c r="N383" s="33">
        <f>IF(B383="高三",MAX(IF(E383="男",L383-18,L383-55),0),IF(B383="高二",MAX(IF(E383="男",L383-17,L383-54),0),IF(B383="高一",MAX(IF(E383="男",L383-16,L383-53),0))))</f>
        <v>0</v>
      </c>
      <c r="O383" s="23">
        <f>IF(E383="男",LOOKUP($N383,[1]对照表!$Z$3:$Z$13,[1]对照表!$AA$3:$AA$13),LOOKUP($N383,[1]对照表!$Z$15:$Z$25,[1]对照表!$AA$15:$AA$25))</f>
        <v>0</v>
      </c>
      <c r="P383" s="24">
        <f>M383+O383</f>
        <v>80</v>
      </c>
      <c r="Q383" s="25">
        <v>4.43</v>
      </c>
      <c r="R383" s="32">
        <f>IF(B383="高三",IF($E383="男",LOOKUP(Q383,[1]对照表!$W$3:$W$24,[1]对照表!$X$3:$X$24),LOOKUP(Q383,[1]对照表!$W$27:$W$48,[1]对照表!$X$27:$X$48)),IF(B383="高二",IF($E383="男",LOOKUP(Q383,[1]对照表!$V$3:$V$24,[1]对照表!$X$3:$X$24),LOOKUP(Q383,[1]对照表!$V$27:$V$48,[1]对照表!$X$27:$X$48)),IF(B383="高一",IF($E383="男",LOOKUP(Q383,[1]对照表!$U$3:$U$24,[1]对照表!$X$3:$X$24),LOOKUP(Q383,[1]对照表!$U$27:$U$48,[1]对照表!$X$27:$X$48)))))</f>
        <v>50</v>
      </c>
      <c r="S383" s="27">
        <f>ROUND(IF(IF($B383="高三",MIN(IF($E383="男",$Q383-3.2,$Q383-3.2),0),IF($B383="高二",MIN(IF($E383="男",$Q383-3.25,$Q383-3.22),0),IF($B383="高一",MIN(IF($E383="男",$Q383-3.3,$Q383-3.24),0))))&lt;-0.6,IF($B383="高三",MIN(IF($E383="男",$Q383-3.2,$Q383-3.2),0),IF($B383="高二",MIN(IF($E383="男",$Q383-3.25,$Q383-3.22),0),IF($B383="高一",MIN(IF($E383="男",$Q383-3.3,$Q383-3.24),0))))+0.4,IF($B383="高三",MIN(IF($E383="男",$Q383-3.2,$Q383-3.2),0),IF($B383="高二",MIN(IF($E383="男",$Q383-3.25,$Q383-3.22),0),IF($B383="高一",MIN(IF($E383="男",$Q383-3.3,$Q383-3.24),0))))),2)</f>
        <v>0</v>
      </c>
      <c r="T383" s="23">
        <f>IF(E383="男",LOOKUP($S383,[1]对照表!$AB$3:$AB$13,[1]对照表!$AC$3:$AC$13),LOOKUP($S383,[1]对照表!$AB$15:$AB$25,[1]对照表!$AC$15:$AC$25))</f>
        <v>0</v>
      </c>
      <c r="U383" s="26">
        <f>R383+T383</f>
        <v>50</v>
      </c>
      <c r="V383" s="26">
        <f>SUM(I383,K383,M383)/3*0.3+SUM(G383,R383)/2*0.4</f>
        <v>48.5</v>
      </c>
      <c r="W383" s="27">
        <f>O383+T383</f>
        <v>0</v>
      </c>
      <c r="X383" s="28">
        <f>V383/0.7+W383</f>
        <v>69.285714285714292</v>
      </c>
      <c r="Y383" s="28">
        <v>69.285714285714292</v>
      </c>
      <c r="Z383" s="21"/>
    </row>
    <row r="384" spans="1:26" x14ac:dyDescent="0.25">
      <c r="A384" s="16">
        <v>35</v>
      </c>
      <c r="B384" s="17" t="s">
        <v>21</v>
      </c>
      <c r="C384" s="16">
        <v>109</v>
      </c>
      <c r="D384" s="18" t="s">
        <v>739</v>
      </c>
      <c r="E384" s="17" t="s">
        <v>65</v>
      </c>
      <c r="F384" s="19">
        <v>9.8000000000000007</v>
      </c>
      <c r="G384" s="32">
        <f>IF(B384="高三",IF($E384="男",LOOKUP(F384,[1]对照表!$G$3:$G$24,[1]对照表!$H$3:$H$24),LOOKUP(F384,[1]对照表!$G$27:$G$48,[1]对照表!$H$27:$H$48)),IF(B384="高二",IF($E384="男",LOOKUP(F384,[1]对照表!$F$3:$F$24,[1]对照表!$H$3:$H$24),LOOKUP(F384,[1]对照表!$F$27:$F$48,[1]对照表!$H$27:$H$48)),IF(B384="高一",IF($E384="男",LOOKUP(F384,[1]对照表!$E$3:$E$24,[1]对照表!$H$3:$H$24),LOOKUP(F384,[1]对照表!$E$27:$E$48,[1]对照表!$H$27:$H$48)))))</f>
        <v>68</v>
      </c>
      <c r="H384" s="21">
        <v>11.5</v>
      </c>
      <c r="I384" s="32">
        <f>IF(B384="高三",IF($E384="男",LOOKUP(H384,[1]对照表!$K$3:$K$24,[1]对照表!$L$3:$L$24),LOOKUP(H384,[1]对照表!$K$27:$K$48,[1]对照表!$L$27:$L$48)),IF(B384="高二",IF($E384="男",LOOKUP(H384,[1]对照表!$J$3:$J$24,[1]对照表!$L$3:$L$24),LOOKUP(H384,[1]对照表!$J$27:$J$48,[1]对照表!$L$27:$L$48)),IF(B384="高一",IF($E384="男",LOOKUP(H384,[1]对照表!$I$3:$I$24,[1]对照表!$L$3:$L$24),LOOKUP(H384,[1]对照表!$I$27:$I$48,[1]对照表!$L$27:$L$48)))))</f>
        <v>70</v>
      </c>
      <c r="J384" s="21">
        <v>150</v>
      </c>
      <c r="K384" s="32">
        <f>IF(B384="高三",IF($E384="男",LOOKUP(J384,[1]对照表!$O$3:$O$24,[1]对照表!$P$3:$P$24),LOOKUP(J384,[1]对照表!$O$27:$O$48,[1]对照表!$P$27:$P$48)),IF(B384="高二",IF($E384="男",LOOKUP(J384,[1]对照表!$N$3:$N$24,[1]对照表!$P$3:$P$24),LOOKUP(J384,[1]对照表!$N$27:$N$48,[1]对照表!$P$27:$P$48)),IF(B384="高一",IF($E384="男",LOOKUP(J384,[1]对照表!$M$3:$M$24,[1]对照表!$P$3:$P$24),LOOKUP(J384,[1]对照表!$M$27:$M$48,[1]对照表!$P$27:$P$48)))))</f>
        <v>60</v>
      </c>
      <c r="L384" s="21">
        <v>42</v>
      </c>
      <c r="M384" s="32">
        <f>IF(B384="高三",IF($E384="男",LOOKUP(L384,[1]对照表!$S$3:$S$24,[1]对照表!$T$3:$T$24),LOOKUP(L384,[1]对照表!$S$27:$S$48,[1]对照表!$T$27:$T$48)),IF(B384="高二",IF($E384="男",LOOKUP(L384,[1]对照表!$R$3:$R$24,[1]对照表!$T$3:$T$24),LOOKUP(L384,[1]对照表!$R$27:$R$48,[1]对照表!$T$27:$T$48)),IF(B384="高一",IF($E384="男",LOOKUP(L384,[1]对照表!$Q$3:$Q$24,[1]对照表!$T$3:$T$24),LOOKUP(L384,[1]对照表!$Q$27:$Q$48,[1]对照表!$T$27:$T$48)))))</f>
        <v>78</v>
      </c>
      <c r="N384" s="33">
        <f>IF(B384="高三",MAX(IF(E384="男",L384-18,L384-55),0),IF(B384="高二",MAX(IF(E384="男",L384-17,L384-54),0),IF(B384="高一",MAX(IF(E384="男",L384-16,L384-53),0))))</f>
        <v>0</v>
      </c>
      <c r="O384" s="23">
        <f>IF(E384="男",LOOKUP($N384,[1]对照表!$Z$3:$Z$13,[1]对照表!$AA$3:$AA$13),LOOKUP($N384,[1]对照表!$Z$15:$Z$25,[1]对照表!$AA$15:$AA$25))</f>
        <v>0</v>
      </c>
      <c r="P384" s="24">
        <f>M384+O384</f>
        <v>78</v>
      </c>
      <c r="Q384" s="25">
        <v>4.53</v>
      </c>
      <c r="R384" s="32">
        <f>IF(B384="高三",IF($E384="男",LOOKUP(Q384,[1]对照表!$W$3:$W$24,[1]对照表!$X$3:$X$24),LOOKUP(Q384,[1]对照表!$W$27:$W$48,[1]对照表!$X$27:$X$48)),IF(B384="高二",IF($E384="男",LOOKUP(Q384,[1]对照表!$V$3:$V$24,[1]对照表!$X$3:$X$24),LOOKUP(Q384,[1]对照表!$V$27:$V$48,[1]对照表!$X$27:$X$48)),IF(B384="高一",IF($E384="男",LOOKUP(Q384,[1]对照表!$U$3:$U$24,[1]对照表!$X$3:$X$24),LOOKUP(Q384,[1]对照表!$U$27:$U$48,[1]对照表!$X$27:$X$48)))))</f>
        <v>40</v>
      </c>
      <c r="S384" s="33">
        <f>ROUND(IF(IF($B384="高三",MIN(IF($E384="男",$Q384-3.2,$Q384-3.2),0),IF($B384="高二",MIN(IF($E384="男",$Q384-3.25,$Q384-3.22),0),IF($B384="高一",MIN(IF($E384="男",$Q384-3.3,$Q384-3.24),0))))&lt;-0.6,IF($B384="高三",MIN(IF($E384="男",$Q384-3.2,$Q384-3.2),0),IF($B384="高二",MIN(IF($E384="男",$Q384-3.25,$Q384-3.22),0),IF($B384="高一",MIN(IF($E384="男",$Q384-3.3,$Q384-3.24),0))))+0.4,IF($B384="高三",MIN(IF($E384="男",$Q384-3.2,$Q384-3.2),0),IF($B384="高二",MIN(IF($E384="男",$Q384-3.25,$Q384-3.22),0),IF($B384="高一",MIN(IF($E384="男",$Q384-3.3,$Q384-3.24),0))))),2)</f>
        <v>0</v>
      </c>
      <c r="T384" s="23">
        <f>IF(E384="男",LOOKUP($S384,[1]对照表!$AB$3:$AB$13,[1]对照表!$AC$3:$AC$13),LOOKUP($S384,[1]对照表!$AB$15:$AB$25,[1]对照表!$AC$15:$AC$25))</f>
        <v>0</v>
      </c>
      <c r="U384" s="26">
        <f>R384+T384</f>
        <v>40</v>
      </c>
      <c r="V384" s="26">
        <f>SUM(I384,K384,M384)/3*0.3+SUM(G384,R384)/2*0.4</f>
        <v>42.4</v>
      </c>
      <c r="W384" s="27">
        <f>O384+T384</f>
        <v>0</v>
      </c>
      <c r="X384" s="28">
        <f>V384/0.7+W384</f>
        <v>60.571428571428577</v>
      </c>
      <c r="Y384" s="28">
        <v>60.571428571428577</v>
      </c>
      <c r="Z384" s="21"/>
    </row>
    <row r="385" spans="1:26" x14ac:dyDescent="0.25">
      <c r="A385" s="16">
        <v>51</v>
      </c>
      <c r="B385" s="17" t="s">
        <v>21</v>
      </c>
      <c r="C385" s="16">
        <v>109</v>
      </c>
      <c r="D385" s="18" t="s">
        <v>756</v>
      </c>
      <c r="E385" s="17" t="s">
        <v>65</v>
      </c>
      <c r="F385" s="19"/>
      <c r="G385" s="20">
        <v>0</v>
      </c>
      <c r="H385" s="21">
        <v>18.5</v>
      </c>
      <c r="I385" s="32">
        <f>IF(B385="高三",IF($E385="男",LOOKUP(H385,[1]对照表!$K$3:$K$24,[1]对照表!$L$3:$L$24),LOOKUP(H385,[1]对照表!$K$27:$K$48,[1]对照表!$L$27:$L$48)),IF(B385="高二",IF($E385="男",LOOKUP(H385,[1]对照表!$J$3:$J$24,[1]对照表!$L$3:$L$24),LOOKUP(H385,[1]对照表!$J$27:$J$48,[1]对照表!$L$27:$L$48)),IF(B385="高一",IF($E385="男",LOOKUP(H385,[1]对照表!$I$3:$I$24,[1]对照表!$L$3:$L$24),LOOKUP(H385,[1]对照表!$I$27:$I$48,[1]对照表!$L$27:$L$48)))))</f>
        <v>80</v>
      </c>
      <c r="J385" s="21">
        <v>150</v>
      </c>
      <c r="K385" s="32">
        <f>IF(B385="高三",IF($E385="男",LOOKUP(J385,[1]对照表!$O$3:$O$24,[1]对照表!$P$3:$P$24),LOOKUP(J385,[1]对照表!$O$27:$O$48,[1]对照表!$P$27:$P$48)),IF(B385="高二",IF($E385="男",LOOKUP(J385,[1]对照表!$N$3:$N$24,[1]对照表!$P$3:$P$24),LOOKUP(J385,[1]对照表!$N$27:$N$48,[1]对照表!$P$27:$P$48)),IF(B385="高一",IF($E385="男",LOOKUP(J385,[1]对照表!$M$3:$M$24,[1]对照表!$P$3:$P$24),LOOKUP(J385,[1]对照表!$M$27:$M$48,[1]对照表!$P$27:$P$48)))))</f>
        <v>60</v>
      </c>
      <c r="L385" s="21">
        <v>47</v>
      </c>
      <c r="M385" s="32">
        <f>IF(B385="高三",IF($E385="男",LOOKUP(L385,[1]对照表!$S$3:$S$24,[1]对照表!$T$3:$T$24),LOOKUP(L385,[1]对照表!$S$27:$S$48,[1]对照表!$T$27:$T$48)),IF(B385="高二",IF($E385="男",LOOKUP(L385,[1]对照表!$R$3:$R$24,[1]对照表!$T$3:$T$24),LOOKUP(L385,[1]对照表!$R$27:$R$48,[1]对照表!$T$27:$T$48)),IF(B385="高一",IF($E385="男",LOOKUP(L385,[1]对照表!$Q$3:$Q$24,[1]对照表!$T$3:$T$24),LOOKUP(L385,[1]对照表!$Q$27:$Q$48,[1]对照表!$T$27:$T$48)))))</f>
        <v>85</v>
      </c>
      <c r="N385" s="33">
        <f>IF(B385="高三",MAX(IF(E385="男",L385-18,L385-55),0),IF(B385="高二",MAX(IF(E385="男",L385-17,L385-54),0),IF(B385="高一",MAX(IF(E385="男",L385-16,L385-53),0))))</f>
        <v>0</v>
      </c>
      <c r="O385" s="23">
        <f>IF(E385="男",LOOKUP($N385,[1]对照表!$Z$3:$Z$13,[1]对照表!$AA$3:$AA$13),LOOKUP($N385,[1]对照表!$Z$15:$Z$25,[1]对照表!$AA$15:$AA$25))</f>
        <v>0</v>
      </c>
      <c r="P385" s="24">
        <f>M385+O385</f>
        <v>85</v>
      </c>
      <c r="Q385" s="25"/>
      <c r="R385" s="20">
        <v>0</v>
      </c>
      <c r="S385" s="22">
        <v>0</v>
      </c>
      <c r="T385" s="23">
        <f>IF(E385="男",LOOKUP($S385,[1]对照表!$AB$3:$AB$13,[1]对照表!$AC$3:$AC$13),LOOKUP($S385,[1]对照表!$AB$15:$AB$25,[1]对照表!$AC$15:$AC$25))</f>
        <v>0</v>
      </c>
      <c r="U385" s="26">
        <f>R385+T385</f>
        <v>0</v>
      </c>
      <c r="V385" s="26">
        <f>SUM(I385,K385,M385)/3*0.3+SUM(G385,R385)/2*0.4</f>
        <v>22.5</v>
      </c>
      <c r="W385" s="27">
        <f>O385+T385</f>
        <v>0</v>
      </c>
      <c r="X385" s="28">
        <f>V385/0.7+W385</f>
        <v>32.142857142857146</v>
      </c>
      <c r="Y385" s="29">
        <v>50</v>
      </c>
      <c r="Z385" s="21" t="s">
        <v>578</v>
      </c>
    </row>
    <row r="386" spans="1:26" x14ac:dyDescent="0.25">
      <c r="A386" s="16">
        <v>31</v>
      </c>
      <c r="B386" s="17" t="s">
        <v>21</v>
      </c>
      <c r="C386" s="16">
        <v>110</v>
      </c>
      <c r="D386" s="18" t="s">
        <v>46</v>
      </c>
      <c r="E386" s="16" t="s">
        <v>23</v>
      </c>
      <c r="F386" s="19">
        <v>6.8</v>
      </c>
      <c r="G386" s="32">
        <f>IF(B386="高三",IF($E386="男",LOOKUP(F386,[1]对照表!$G$3:$G$24,[1]对照表!$H$3:$H$24),LOOKUP(F386,[1]对照表!$G$27:$G$48,[1]对照表!$H$27:$H$48)),IF(B386="高二",IF($E386="男",LOOKUP(F386,[1]对照表!$F$3:$F$24,[1]对照表!$H$3:$H$24),LOOKUP(F386,[1]对照表!$F$27:$F$48,[1]对照表!$H$27:$H$48)),IF(B386="高一",IF($E386="男",LOOKUP(F386,[1]对照表!$E$3:$E$24,[1]对照表!$H$3:$H$24),LOOKUP(F386,[1]对照表!$E$27:$E$48,[1]对照表!$H$27:$H$48)))))</f>
        <v>100</v>
      </c>
      <c r="H386" s="21">
        <v>13.6</v>
      </c>
      <c r="I386" s="32">
        <f>IF(B386="高三",IF($E386="男",LOOKUP(H386,[1]对照表!$K$3:$K$24,[1]对照表!$L$3:$L$24),LOOKUP(H386,[1]对照表!$K$27:$K$48,[1]对照表!$L$27:$L$48)),IF(B386="高二",IF($E386="男",LOOKUP(H386,[1]对照表!$J$3:$J$24,[1]对照表!$L$3:$L$24),LOOKUP(H386,[1]对照表!$J$27:$J$48,[1]对照表!$L$27:$L$48)),IF(B386="高一",IF($E386="男",LOOKUP(H386,[1]对照表!$I$3:$I$24,[1]对照表!$L$3:$L$24),LOOKUP(H386,[1]对照表!$I$27:$I$48,[1]对照表!$L$27:$L$48)))))</f>
        <v>78</v>
      </c>
      <c r="J386" s="21">
        <v>257</v>
      </c>
      <c r="K386" s="32">
        <f>IF(B386="高三",IF($E386="男",LOOKUP(J386,[1]对照表!$O$3:$O$24,[1]对照表!$P$3:$P$24),LOOKUP(J386,[1]对照表!$O$27:$O$48,[1]对照表!$P$27:$P$48)),IF(B386="高二",IF($E386="男",LOOKUP(J386,[1]对照表!$N$3:$N$24,[1]对照表!$P$3:$P$24),LOOKUP(J386,[1]对照表!$N$27:$N$48,[1]对照表!$P$27:$P$48)),IF(B386="高一",IF($E386="男",LOOKUP(J386,[1]对照表!$M$3:$M$24,[1]对照表!$P$3:$P$24),LOOKUP(J386,[1]对照表!$M$27:$M$48,[1]对照表!$P$27:$P$48)))))</f>
        <v>95</v>
      </c>
      <c r="L386" s="21">
        <v>20</v>
      </c>
      <c r="M386" s="32">
        <f>IF(B386="高三",IF($E386="男",LOOKUP(L386,[1]对照表!$S$3:$S$24,[1]对照表!$T$3:$T$24),LOOKUP(L386,[1]对照表!$S$27:$S$48,[1]对照表!$T$27:$T$48)),IF(B386="高二",IF($E386="男",LOOKUP(L386,[1]对照表!$R$3:$R$24,[1]对照表!$T$3:$T$24),LOOKUP(L386,[1]对照表!$R$27:$R$48,[1]对照表!$T$27:$T$48)),IF(B386="高一",IF($E386="男",LOOKUP(L386,[1]对照表!$Q$3:$Q$24,[1]对照表!$T$3:$T$24),LOOKUP(L386,[1]对照表!$Q$27:$Q$48,[1]对照表!$T$27:$T$48)))))</f>
        <v>100</v>
      </c>
      <c r="N386" s="33">
        <f>IF(B386="高三",MAX(IF(E386="男",L386-18,L386-55),0),IF(B386="高二",MAX(IF(E386="男",L386-17,L386-54),0),IF(B386="高一",MAX(IF(E386="男",L386-16,L386-53),0))))</f>
        <v>4</v>
      </c>
      <c r="O386" s="23">
        <f>IF(E386="男",LOOKUP($N386,[1]对照表!$Z$3:$Z$13,[1]对照表!$AA$3:$AA$13),LOOKUP($N386,[1]对照表!$Z$15:$Z$25,[1]对照表!$AA$15:$AA$25))</f>
        <v>4</v>
      </c>
      <c r="P386" s="24">
        <f>M386+O386</f>
        <v>104</v>
      </c>
      <c r="Q386" s="25">
        <v>3.13</v>
      </c>
      <c r="R386" s="32">
        <f>IF(B386="高三",IF($E386="男",LOOKUP(Q386,[1]对照表!$W$3:$W$24,[1]对照表!$X$3:$X$24),LOOKUP(Q386,[1]对照表!$W$27:$W$48,[1]对照表!$X$27:$X$48)),IF(B386="高二",IF($E386="男",LOOKUP(Q386,[1]对照表!$V$3:$V$24,[1]对照表!$X$3:$X$24),LOOKUP(Q386,[1]对照表!$V$27:$V$48,[1]对照表!$X$27:$X$48)),IF(B386="高一",IF($E386="男",LOOKUP(Q386,[1]对照表!$U$3:$U$24,[1]对照表!$X$3:$X$24),LOOKUP(Q386,[1]对照表!$U$27:$U$48,[1]对照表!$X$27:$X$48)))))</f>
        <v>100</v>
      </c>
      <c r="S386" s="33">
        <f>ROUND(IF(IF($B386="高三",MIN(IF($E386="男",$Q386-3.2,$Q386-3.2),0),IF($B386="高二",MIN(IF($E386="男",$Q386-3.25,$Q386-3.22),0),IF($B386="高一",MIN(IF($E386="男",$Q386-3.3,$Q386-3.24),0))))&lt;-0.6,IF($B386="高三",MIN(IF($E386="男",$Q386-3.2,$Q386-3.2),0),IF($B386="高二",MIN(IF($E386="男",$Q386-3.25,$Q386-3.22),0),IF($B386="高一",MIN(IF($E386="男",$Q386-3.3,$Q386-3.24),0))))+0.4,IF($B386="高三",MIN(IF($E386="男",$Q386-3.2,$Q386-3.2),0),IF($B386="高二",MIN(IF($E386="男",$Q386-3.25,$Q386-3.22),0),IF($B386="高一",MIN(IF($E386="男",$Q386-3.3,$Q386-3.24),0))))),2)</f>
        <v>-0.17</v>
      </c>
      <c r="T386" s="23">
        <f>IF(E386="男",LOOKUP($S386,[1]对照表!$AB$3:$AB$13,[1]对照表!$AC$3:$AC$13),LOOKUP($S386,[1]对照表!$AB$15:$AB$25,[1]对照表!$AC$15:$AC$25))</f>
        <v>4</v>
      </c>
      <c r="U386" s="26">
        <f>R386+T386</f>
        <v>104</v>
      </c>
      <c r="V386" s="26">
        <f>SUM(I386,K386,M386)/3*0.3+SUM(G386,R386)/2*0.4</f>
        <v>67.3</v>
      </c>
      <c r="W386" s="27">
        <f>O386+T386</f>
        <v>8</v>
      </c>
      <c r="X386" s="28">
        <f>V386/0.7+W386</f>
        <v>104.14285714285714</v>
      </c>
      <c r="Y386" s="28">
        <v>104.14285714285714</v>
      </c>
      <c r="Z386" s="21"/>
    </row>
    <row r="387" spans="1:26" x14ac:dyDescent="0.25">
      <c r="A387" s="16">
        <v>25</v>
      </c>
      <c r="B387" s="17" t="s">
        <v>21</v>
      </c>
      <c r="C387" s="16">
        <v>110</v>
      </c>
      <c r="D387" s="18" t="s">
        <v>61</v>
      </c>
      <c r="E387" s="16" t="s">
        <v>23</v>
      </c>
      <c r="F387" s="19">
        <v>7</v>
      </c>
      <c r="G387" s="32">
        <f>IF(B387="高三",IF($E387="男",LOOKUP(F387,[1]对照表!$G$3:$G$24,[1]对照表!$H$3:$H$24),LOOKUP(F387,[1]对照表!$G$27:$G$48,[1]对照表!$H$27:$H$48)),IF(B387="高二",IF($E387="男",LOOKUP(F387,[1]对照表!$F$3:$F$24,[1]对照表!$H$3:$H$24),LOOKUP(F387,[1]对照表!$F$27:$F$48,[1]对照表!$H$27:$H$48)),IF(B387="高一",IF($E387="男",LOOKUP(F387,[1]对照表!$E$3:$E$24,[1]对照表!$H$3:$H$24),LOOKUP(F387,[1]对照表!$E$27:$E$48,[1]对照表!$H$27:$H$48)))))</f>
        <v>100</v>
      </c>
      <c r="H387" s="21">
        <v>12.5</v>
      </c>
      <c r="I387" s="32">
        <f>IF(B387="高三",IF($E387="男",LOOKUP(H387,[1]对照表!$K$3:$K$24,[1]对照表!$L$3:$L$24),LOOKUP(H387,[1]对照表!$K$27:$K$48,[1]对照表!$L$27:$L$48)),IF(B387="高二",IF($E387="男",LOOKUP(H387,[1]对照表!$J$3:$J$24,[1]对照表!$L$3:$L$24),LOOKUP(H387,[1]对照表!$J$27:$J$48,[1]对照表!$L$27:$L$48)),IF(B387="高一",IF($E387="男",LOOKUP(H387,[1]对照表!$I$3:$I$24,[1]对照表!$L$3:$L$24),LOOKUP(H387,[1]对照表!$I$27:$I$48,[1]对照表!$L$27:$L$48)))))</f>
        <v>76</v>
      </c>
      <c r="J387" s="21">
        <v>263</v>
      </c>
      <c r="K387" s="32">
        <f>IF(B387="高三",IF($E387="男",LOOKUP(J387,[1]对照表!$O$3:$O$24,[1]对照表!$P$3:$P$24),LOOKUP(J387,[1]对照表!$O$27:$O$48,[1]对照表!$P$27:$P$48)),IF(B387="高二",IF($E387="男",LOOKUP(J387,[1]对照表!$N$3:$N$24,[1]对照表!$P$3:$P$24),LOOKUP(J387,[1]对照表!$N$27:$N$48,[1]对照表!$P$27:$P$48)),IF(B387="高一",IF($E387="男",LOOKUP(J387,[1]对照表!$M$3:$M$24,[1]对照表!$P$3:$P$24),LOOKUP(J387,[1]对照表!$M$27:$M$48,[1]对照表!$P$27:$P$48)))))</f>
        <v>100</v>
      </c>
      <c r="L387" s="21">
        <v>19</v>
      </c>
      <c r="M387" s="32">
        <f>IF(B387="高三",IF($E387="男",LOOKUP(L387,[1]对照表!$S$3:$S$24,[1]对照表!$T$3:$T$24),LOOKUP(L387,[1]对照表!$S$27:$S$48,[1]对照表!$T$27:$T$48)),IF(B387="高二",IF($E387="男",LOOKUP(L387,[1]对照表!$R$3:$R$24,[1]对照表!$T$3:$T$24),LOOKUP(L387,[1]对照表!$R$27:$R$48,[1]对照表!$T$27:$T$48)),IF(B387="高一",IF($E387="男",LOOKUP(L387,[1]对照表!$Q$3:$Q$24,[1]对照表!$T$3:$T$24),LOOKUP(L387,[1]对照表!$Q$27:$Q$48,[1]对照表!$T$27:$T$48)))))</f>
        <v>100</v>
      </c>
      <c r="N387" s="27">
        <f>IF(B387="高三",MAX(IF(E387="男",L387-18,L387-55),0),IF(B387="高二",MAX(IF(E387="男",L387-17,L387-54),0),IF(B387="高一",MAX(IF(E387="男",L387-16,L387-53),0))))</f>
        <v>3</v>
      </c>
      <c r="O387" s="23">
        <f>IF(E387="男",LOOKUP($N387,[1]对照表!$Z$3:$Z$13,[1]对照表!$AA$3:$AA$13),LOOKUP($N387,[1]对照表!$Z$15:$Z$25,[1]对照表!$AA$15:$AA$25))</f>
        <v>3</v>
      </c>
      <c r="P387" s="24">
        <f>M387+O387</f>
        <v>103</v>
      </c>
      <c r="Q387" s="25">
        <v>3.25</v>
      </c>
      <c r="R387" s="32">
        <f>IF(B387="高三",IF($E387="男",LOOKUP(Q387,[1]对照表!$W$3:$W$24,[1]对照表!$X$3:$X$24),LOOKUP(Q387,[1]对照表!$W$27:$W$48,[1]对照表!$X$27:$X$48)),IF(B387="高二",IF($E387="男",LOOKUP(Q387,[1]对照表!$V$3:$V$24,[1]对照表!$X$3:$X$24),LOOKUP(Q387,[1]对照表!$V$27:$V$48,[1]对照表!$X$27:$X$48)),IF(B387="高一",IF($E387="男",LOOKUP(Q387,[1]对照表!$U$3:$U$24,[1]对照表!$X$3:$X$24),LOOKUP(Q387,[1]对照表!$U$27:$U$48,[1]对照表!$X$27:$X$48)))))</f>
        <v>100</v>
      </c>
      <c r="S387" s="27">
        <f>ROUND(IF(IF($B387="高三",MIN(IF($E387="男",$Q387-3.2,$Q387-3.2),0),IF($B387="高二",MIN(IF($E387="男",$Q387-3.25,$Q387-3.22),0),IF($B387="高一",MIN(IF($E387="男",$Q387-3.3,$Q387-3.24),0))))&lt;-0.6,IF($B387="高三",MIN(IF($E387="男",$Q387-3.2,$Q387-3.2),0),IF($B387="高二",MIN(IF($E387="男",$Q387-3.25,$Q387-3.22),0),IF($B387="高一",MIN(IF($E387="男",$Q387-3.3,$Q387-3.24),0))))+0.4,IF($B387="高三",MIN(IF($E387="男",$Q387-3.2,$Q387-3.2),0),IF($B387="高二",MIN(IF($E387="男",$Q387-3.25,$Q387-3.22),0),IF($B387="高一",MIN(IF($E387="男",$Q387-3.3,$Q387-3.24),0))))),2)</f>
        <v>-0.05</v>
      </c>
      <c r="T387" s="23">
        <f>IF(E387="男",LOOKUP($S387,[1]对照表!$AB$3:$AB$13,[1]对照表!$AC$3:$AC$13),LOOKUP($S387,[1]对照表!$AB$15:$AB$25,[1]对照表!$AC$15:$AC$25))</f>
        <v>1</v>
      </c>
      <c r="U387" s="26">
        <f>R387+T387</f>
        <v>101</v>
      </c>
      <c r="V387" s="26">
        <f>SUM(I387,K387,M387)/3*0.3+SUM(G387,R387)/2*0.4</f>
        <v>67.599999999999994</v>
      </c>
      <c r="W387" s="27">
        <f>O387+T387</f>
        <v>4</v>
      </c>
      <c r="X387" s="28">
        <f>V387/0.7+W387</f>
        <v>100.57142857142857</v>
      </c>
      <c r="Y387" s="28">
        <v>100.57142857142857</v>
      </c>
      <c r="Z387" s="21"/>
    </row>
    <row r="388" spans="1:26" x14ac:dyDescent="0.25">
      <c r="A388" s="16">
        <v>10</v>
      </c>
      <c r="B388" s="17" t="s">
        <v>21</v>
      </c>
      <c r="C388" s="16">
        <v>110</v>
      </c>
      <c r="D388" s="18" t="s">
        <v>102</v>
      </c>
      <c r="E388" s="17" t="s">
        <v>23</v>
      </c>
      <c r="F388" s="19">
        <v>6.9</v>
      </c>
      <c r="G388" s="32">
        <f>IF(B388="高三",IF($E388="男",LOOKUP(F388,[1]对照表!$G$3:$G$24,[1]对照表!$H$3:$H$24),LOOKUP(F388,[1]对照表!$G$27:$G$48,[1]对照表!$H$27:$H$48)),IF(B388="高二",IF($E388="男",LOOKUP(F388,[1]对照表!$F$3:$F$24,[1]对照表!$H$3:$H$24),LOOKUP(F388,[1]对照表!$F$27:$F$48,[1]对照表!$H$27:$H$48)),IF(B388="高一",IF($E388="男",LOOKUP(F388,[1]对照表!$E$3:$E$24,[1]对照表!$H$3:$H$24),LOOKUP(F388,[1]对照表!$E$27:$E$48,[1]对照表!$H$27:$H$48)))))</f>
        <v>100</v>
      </c>
      <c r="H388" s="21">
        <v>16.600000000000001</v>
      </c>
      <c r="I388" s="32">
        <f>IF(B388="高三",IF($E388="男",LOOKUP(H388,[1]对照表!$K$3:$K$24,[1]对照表!$L$3:$L$24),LOOKUP(H388,[1]对照表!$K$27:$K$48,[1]对照表!$L$27:$L$48)),IF(B388="高二",IF($E388="男",LOOKUP(H388,[1]对照表!$J$3:$J$24,[1]对照表!$L$3:$L$24),LOOKUP(H388,[1]对照表!$J$27:$J$48,[1]对照表!$L$27:$L$48)),IF(B388="高一",IF($E388="男",LOOKUP(H388,[1]对照表!$I$3:$I$24,[1]对照表!$L$3:$L$24),LOOKUP(H388,[1]对照表!$I$27:$I$48,[1]对照表!$L$27:$L$48)))))</f>
        <v>80</v>
      </c>
      <c r="J388" s="21">
        <v>255</v>
      </c>
      <c r="K388" s="32">
        <f>IF(B388="高三",IF($E388="男",LOOKUP(J388,[1]对照表!$O$3:$O$24,[1]对照表!$P$3:$P$24),LOOKUP(J388,[1]对照表!$O$27:$O$48,[1]对照表!$P$27:$P$48)),IF(B388="高二",IF($E388="男",LOOKUP(J388,[1]对照表!$N$3:$N$24,[1]对照表!$P$3:$P$24),LOOKUP(J388,[1]对照表!$N$27:$N$48,[1]对照表!$P$27:$P$48)),IF(B388="高一",IF($E388="男",LOOKUP(J388,[1]对照表!$M$3:$M$24,[1]对照表!$P$3:$P$24),LOOKUP(J388,[1]对照表!$M$27:$M$48,[1]对照表!$P$27:$P$48)))))</f>
        <v>95</v>
      </c>
      <c r="L388" s="21">
        <v>16</v>
      </c>
      <c r="M388" s="32">
        <f>IF(B388="高三",IF($E388="男",LOOKUP(L388,[1]对照表!$S$3:$S$24,[1]对照表!$T$3:$T$24),LOOKUP(L388,[1]对照表!$S$27:$S$48,[1]对照表!$T$27:$T$48)),IF(B388="高二",IF($E388="男",LOOKUP(L388,[1]对照表!$R$3:$R$24,[1]对照表!$T$3:$T$24),LOOKUP(L388,[1]对照表!$R$27:$R$48,[1]对照表!$T$27:$T$48)),IF(B388="高一",IF($E388="男",LOOKUP(L388,[1]对照表!$Q$3:$Q$24,[1]对照表!$T$3:$T$24),LOOKUP(L388,[1]对照表!$Q$27:$Q$48,[1]对照表!$T$27:$T$48)))))</f>
        <v>100</v>
      </c>
      <c r="N388" s="33">
        <f>IF(B388="高三",MAX(IF(E388="男",L388-18,L388-55),0),IF(B388="高二",MAX(IF(E388="男",L388-17,L388-54),0),IF(B388="高一",MAX(IF(E388="男",L388-16,L388-53),0))))</f>
        <v>0</v>
      </c>
      <c r="O388" s="23">
        <f>IF(E388="男",LOOKUP($N388,[1]对照表!$Z$3:$Z$13,[1]对照表!$AA$3:$AA$13),LOOKUP($N388,[1]对照表!$Z$15:$Z$25,[1]对照表!$AA$15:$AA$25))</f>
        <v>0</v>
      </c>
      <c r="P388" s="24">
        <f>M388+O388</f>
        <v>100</v>
      </c>
      <c r="Q388" s="25">
        <v>3.28</v>
      </c>
      <c r="R388" s="32">
        <f>IF(B388="高三",IF($E388="男",LOOKUP(Q388,[1]对照表!$W$3:$W$24,[1]对照表!$X$3:$X$24),LOOKUP(Q388,[1]对照表!$W$27:$W$48,[1]对照表!$X$27:$X$48)),IF(B388="高二",IF($E388="男",LOOKUP(Q388,[1]对照表!$V$3:$V$24,[1]对照表!$X$3:$X$24),LOOKUP(Q388,[1]对照表!$V$27:$V$48,[1]对照表!$X$27:$X$48)),IF(B388="高一",IF($E388="男",LOOKUP(Q388,[1]对照表!$U$3:$U$24,[1]对照表!$X$3:$X$24),LOOKUP(Q388,[1]对照表!$U$27:$U$48,[1]对照表!$X$27:$X$48)))))</f>
        <v>100</v>
      </c>
      <c r="S388" s="33">
        <f>ROUND(IF(IF($B388="高三",MIN(IF($E388="男",$Q388-3.2,$Q388-3.2),0),IF($B388="高二",MIN(IF($E388="男",$Q388-3.25,$Q388-3.22),0),IF($B388="高一",MIN(IF($E388="男",$Q388-3.3,$Q388-3.24),0))))&lt;-0.6,IF($B388="高三",MIN(IF($E388="男",$Q388-3.2,$Q388-3.2),0),IF($B388="高二",MIN(IF($E388="男",$Q388-3.25,$Q388-3.22),0),IF($B388="高一",MIN(IF($E388="男",$Q388-3.3,$Q388-3.24),0))))+0.4,IF($B388="高三",MIN(IF($E388="男",$Q388-3.2,$Q388-3.2),0),IF($B388="高二",MIN(IF($E388="男",$Q388-3.25,$Q388-3.22),0),IF($B388="高一",MIN(IF($E388="男",$Q388-3.3,$Q388-3.24),0))))),2)</f>
        <v>-0.02</v>
      </c>
      <c r="T388" s="23">
        <f>IF(E388="男",LOOKUP($S388,[1]对照表!$AB$3:$AB$13,[1]对照表!$AC$3:$AC$13),LOOKUP($S388,[1]对照表!$AB$15:$AB$25,[1]对照表!$AC$15:$AC$25))</f>
        <v>0</v>
      </c>
      <c r="U388" s="26">
        <f>R388+T388</f>
        <v>100</v>
      </c>
      <c r="V388" s="26">
        <f>SUM(I388,K388,M388)/3*0.3+SUM(G388,R388)/2*0.4</f>
        <v>67.5</v>
      </c>
      <c r="W388" s="27">
        <f>O388+T388</f>
        <v>0</v>
      </c>
      <c r="X388" s="28">
        <f>V388/0.7+W388</f>
        <v>96.428571428571431</v>
      </c>
      <c r="Y388" s="28">
        <v>96.428571428571431</v>
      </c>
      <c r="Z388" s="21"/>
    </row>
    <row r="389" spans="1:26" x14ac:dyDescent="0.25">
      <c r="A389" s="16">
        <v>24</v>
      </c>
      <c r="B389" s="17" t="s">
        <v>21</v>
      </c>
      <c r="C389" s="16">
        <v>110</v>
      </c>
      <c r="D389" s="18" t="s">
        <v>108</v>
      </c>
      <c r="E389" s="16" t="s">
        <v>23</v>
      </c>
      <c r="F389" s="19">
        <v>6.7</v>
      </c>
      <c r="G389" s="32">
        <f>IF(B389="高三",IF($E389="男",LOOKUP(F389,[1]对照表!$G$3:$G$24,[1]对照表!$H$3:$H$24),LOOKUP(F389,[1]对照表!$G$27:$G$48,[1]对照表!$H$27:$H$48)),IF(B389="高二",IF($E389="男",LOOKUP(F389,[1]对照表!$F$3:$F$24,[1]对照表!$H$3:$H$24),LOOKUP(F389,[1]对照表!$F$27:$F$48,[1]对照表!$H$27:$H$48)),IF(B389="高一",IF($E389="男",LOOKUP(F389,[1]对照表!$E$3:$E$24,[1]对照表!$H$3:$H$24),LOOKUP(F389,[1]对照表!$E$27:$E$48,[1]对照表!$H$27:$H$48)))))</f>
        <v>100</v>
      </c>
      <c r="H389" s="21">
        <v>4.7</v>
      </c>
      <c r="I389" s="32">
        <f>IF(B389="高三",IF($E389="男",LOOKUP(H389,[1]对照表!$K$3:$K$24,[1]对照表!$L$3:$L$24),LOOKUP(H389,[1]对照表!$K$27:$K$48,[1]对照表!$L$27:$L$48)),IF(B389="高二",IF($E389="男",LOOKUP(H389,[1]对照表!$J$3:$J$24,[1]对照表!$L$3:$L$24),LOOKUP(H389,[1]对照表!$J$27:$J$48,[1]对照表!$L$27:$L$48)),IF(B389="高一",IF($E389="男",LOOKUP(H389,[1]对照表!$I$3:$I$24,[1]对照表!$L$3:$L$24),LOOKUP(H389,[1]对照表!$I$27:$I$48,[1]对照表!$L$27:$L$48)))))</f>
        <v>64</v>
      </c>
      <c r="J389" s="21">
        <v>260</v>
      </c>
      <c r="K389" s="32">
        <f>IF(B389="高三",IF($E389="男",LOOKUP(J389,[1]对照表!$O$3:$O$24,[1]对照表!$P$3:$P$24),LOOKUP(J389,[1]对照表!$O$27:$O$48,[1]对照表!$P$27:$P$48)),IF(B389="高二",IF($E389="男",LOOKUP(J389,[1]对照表!$N$3:$N$24,[1]对照表!$P$3:$P$24),LOOKUP(J389,[1]对照表!$N$27:$N$48,[1]对照表!$P$27:$P$48)),IF(B389="高一",IF($E389="男",LOOKUP(J389,[1]对照表!$M$3:$M$24,[1]对照表!$P$3:$P$24),LOOKUP(J389,[1]对照表!$M$27:$M$48,[1]对照表!$P$27:$P$48)))))</f>
        <v>100</v>
      </c>
      <c r="L389" s="21">
        <v>17</v>
      </c>
      <c r="M389" s="32">
        <f>IF(B389="高三",IF($E389="男",LOOKUP(L389,[1]对照表!$S$3:$S$24,[1]对照表!$T$3:$T$24),LOOKUP(L389,[1]对照表!$S$27:$S$48,[1]对照表!$T$27:$T$48)),IF(B389="高二",IF($E389="男",LOOKUP(L389,[1]对照表!$R$3:$R$24,[1]对照表!$T$3:$T$24),LOOKUP(L389,[1]对照表!$R$27:$R$48,[1]对照表!$T$27:$T$48)),IF(B389="高一",IF($E389="男",LOOKUP(L389,[1]对照表!$Q$3:$Q$24,[1]对照表!$T$3:$T$24),LOOKUP(L389,[1]对照表!$Q$27:$Q$48,[1]对照表!$T$27:$T$48)))))</f>
        <v>100</v>
      </c>
      <c r="N389" s="33">
        <f>IF(B389="高三",MAX(IF(E389="男",L389-18,L389-55),0),IF(B389="高二",MAX(IF(E389="男",L389-17,L389-54),0),IF(B389="高一",MAX(IF(E389="男",L389-16,L389-53),0))))</f>
        <v>1</v>
      </c>
      <c r="O389" s="23">
        <f>IF(E389="男",LOOKUP($N389,[1]对照表!$Z$3:$Z$13,[1]对照表!$AA$3:$AA$13),LOOKUP($N389,[1]对照表!$Z$15:$Z$25,[1]对照表!$AA$15:$AA$25))</f>
        <v>1</v>
      </c>
      <c r="P389" s="24">
        <f>M389+O389</f>
        <v>101</v>
      </c>
      <c r="Q389" s="25">
        <v>3.27</v>
      </c>
      <c r="R389" s="32">
        <f>IF(B389="高三",IF($E389="男",LOOKUP(Q389,[1]对照表!$W$3:$W$24,[1]对照表!$X$3:$X$24),LOOKUP(Q389,[1]对照表!$W$27:$W$48,[1]对照表!$X$27:$X$48)),IF(B389="高二",IF($E389="男",LOOKUP(Q389,[1]对照表!$V$3:$V$24,[1]对照表!$X$3:$X$24),LOOKUP(Q389,[1]对照表!$V$27:$V$48,[1]对照表!$X$27:$X$48)),IF(B389="高一",IF($E389="男",LOOKUP(Q389,[1]对照表!$U$3:$U$24,[1]对照表!$X$3:$X$24),LOOKUP(Q389,[1]对照表!$U$27:$U$48,[1]对照表!$X$27:$X$48)))))</f>
        <v>100</v>
      </c>
      <c r="S389" s="33">
        <f>ROUND(IF(IF($B389="高三",MIN(IF($E389="男",$Q389-3.2,$Q389-3.2),0),IF($B389="高二",MIN(IF($E389="男",$Q389-3.25,$Q389-3.22),0),IF($B389="高一",MIN(IF($E389="男",$Q389-3.3,$Q389-3.24),0))))&lt;-0.6,IF($B389="高三",MIN(IF($E389="男",$Q389-3.2,$Q389-3.2),0),IF($B389="高二",MIN(IF($E389="男",$Q389-3.25,$Q389-3.22),0),IF($B389="高一",MIN(IF($E389="男",$Q389-3.3,$Q389-3.24),0))))+0.4,IF($B389="高三",MIN(IF($E389="男",$Q389-3.2,$Q389-3.2),0),IF($B389="高二",MIN(IF($E389="男",$Q389-3.25,$Q389-3.22),0),IF($B389="高一",MIN(IF($E389="男",$Q389-3.3,$Q389-3.24),0))))),2)</f>
        <v>-0.03</v>
      </c>
      <c r="T389" s="23">
        <f>IF(E389="男",LOOKUP($S389,[1]对照表!$AB$3:$AB$13,[1]对照表!$AC$3:$AC$13),LOOKUP($S389,[1]对照表!$AB$15:$AB$25,[1]对照表!$AC$15:$AC$25))</f>
        <v>0</v>
      </c>
      <c r="U389" s="26">
        <f>R389+T389</f>
        <v>100</v>
      </c>
      <c r="V389" s="26">
        <f>SUM(I389,K389,M389)/3*0.3+SUM(G389,R389)/2*0.4</f>
        <v>66.400000000000006</v>
      </c>
      <c r="W389" s="27">
        <f>O389+T389</f>
        <v>1</v>
      </c>
      <c r="X389" s="28">
        <f>V389/0.7+W389</f>
        <v>95.857142857142875</v>
      </c>
      <c r="Y389" s="28">
        <v>95.857142857142875</v>
      </c>
      <c r="Z389" s="21"/>
    </row>
    <row r="390" spans="1:26" x14ac:dyDescent="0.25">
      <c r="A390" s="16">
        <v>48</v>
      </c>
      <c r="B390" s="17" t="s">
        <v>21</v>
      </c>
      <c r="C390" s="16">
        <v>110</v>
      </c>
      <c r="D390" s="18" t="s">
        <v>116</v>
      </c>
      <c r="E390" s="17" t="s">
        <v>65</v>
      </c>
      <c r="F390" s="19">
        <v>7.79</v>
      </c>
      <c r="G390" s="32">
        <f>IF(B390="高三",IF($E390="男",LOOKUP(F390,[1]对照表!$G$3:$G$24,[1]对照表!$H$3:$H$24),LOOKUP(F390,[1]对照表!$G$27:$G$48,[1]对照表!$H$27:$H$48)),IF(B390="高二",IF($E390="男",LOOKUP(F390,[1]对照表!$F$3:$F$24,[1]对照表!$H$3:$H$24),LOOKUP(F390,[1]对照表!$F$27:$F$48,[1]对照表!$H$27:$H$48)),IF(B390="高一",IF($E390="男",LOOKUP(F390,[1]对照表!$E$3:$E$24,[1]对照表!$H$3:$H$24),LOOKUP(F390,[1]对照表!$E$27:$E$48,[1]对照表!$H$27:$H$48)))))</f>
        <v>100</v>
      </c>
      <c r="H390" s="21">
        <v>24</v>
      </c>
      <c r="I390" s="32">
        <f>IF(B390="高三",IF($E390="男",LOOKUP(H390,[1]对照表!$K$3:$K$24,[1]对照表!$L$3:$L$24),LOOKUP(H390,[1]对照表!$K$27:$K$48,[1]对照表!$L$27:$L$48)),IF(B390="高二",IF($E390="男",LOOKUP(H390,[1]对照表!$J$3:$J$24,[1]对照表!$L$3:$L$24),LOOKUP(H390,[1]对照表!$J$27:$J$48,[1]对照表!$L$27:$L$48)),IF(B390="高一",IF($E390="男",LOOKUP(H390,[1]对照表!$I$3:$I$24,[1]对照表!$L$3:$L$24),LOOKUP(H390,[1]对照表!$I$27:$I$48,[1]对照表!$L$27:$L$48)))))</f>
        <v>95</v>
      </c>
      <c r="J390" s="21">
        <v>205</v>
      </c>
      <c r="K390" s="32">
        <f>IF(B390="高三",IF($E390="男",LOOKUP(J390,[1]对照表!$O$3:$O$24,[1]对照表!$P$3:$P$24),LOOKUP(J390,[1]对照表!$O$27:$O$48,[1]对照表!$P$27:$P$48)),IF(B390="高二",IF($E390="男",LOOKUP(J390,[1]对照表!$N$3:$N$24,[1]对照表!$P$3:$P$24),LOOKUP(J390,[1]对照表!$N$27:$N$48,[1]对照表!$P$27:$P$48)),IF(B390="高一",IF($E390="男",LOOKUP(J390,[1]对照表!$M$3:$M$24,[1]对照表!$P$3:$P$24),LOOKUP(J390,[1]对照表!$M$27:$M$48,[1]对照表!$P$27:$P$48)))))</f>
        <v>100</v>
      </c>
      <c r="L390" s="21">
        <v>42</v>
      </c>
      <c r="M390" s="32">
        <f>IF(B390="高三",IF($E390="男",LOOKUP(L390,[1]对照表!$S$3:$S$24,[1]对照表!$T$3:$T$24),LOOKUP(L390,[1]对照表!$S$27:$S$48,[1]对照表!$T$27:$T$48)),IF(B390="高二",IF($E390="男",LOOKUP(L390,[1]对照表!$R$3:$R$24,[1]对照表!$T$3:$T$24),LOOKUP(L390,[1]对照表!$R$27:$R$48,[1]对照表!$T$27:$T$48)),IF(B390="高一",IF($E390="男",LOOKUP(L390,[1]对照表!$Q$3:$Q$24,[1]对照表!$T$3:$T$24),LOOKUP(L390,[1]对照表!$Q$27:$Q$48,[1]对照表!$T$27:$T$48)))))</f>
        <v>78</v>
      </c>
      <c r="N390" s="33">
        <f>IF(B390="高三",MAX(IF(E390="男",L390-18,L390-55),0),IF(B390="高二",MAX(IF(E390="男",L390-17,L390-54),0),IF(B390="高一",MAX(IF(E390="男",L390-16,L390-53),0))))</f>
        <v>0</v>
      </c>
      <c r="O390" s="23">
        <f>IF(E390="男",LOOKUP($N390,[1]对照表!$Z$3:$Z$13,[1]对照表!$AA$3:$AA$13),LOOKUP($N390,[1]对照表!$Z$15:$Z$25,[1]对照表!$AA$15:$AA$25))</f>
        <v>0</v>
      </c>
      <c r="P390" s="24">
        <f>M390+O390</f>
        <v>78</v>
      </c>
      <c r="Q390" s="25">
        <v>3.1</v>
      </c>
      <c r="R390" s="32">
        <f>IF(B390="高三",IF($E390="男",LOOKUP(Q390,[1]对照表!$W$3:$W$24,[1]对照表!$X$3:$X$24),LOOKUP(Q390,[1]对照表!$W$27:$W$48,[1]对照表!$X$27:$X$48)),IF(B390="高二",IF($E390="男",LOOKUP(Q390,[1]对照表!$V$3:$V$24,[1]对照表!$X$3:$X$24),LOOKUP(Q390,[1]对照表!$V$27:$V$48,[1]对照表!$X$27:$X$48)),IF(B390="高一",IF($E390="男",LOOKUP(Q390,[1]对照表!$U$3:$U$24,[1]对照表!$X$3:$X$24),LOOKUP(Q390,[1]对照表!$U$27:$U$48,[1]对照表!$X$27:$X$48)))))</f>
        <v>100</v>
      </c>
      <c r="S390" s="33">
        <f>ROUND(IF(IF($B390="高三",MIN(IF($E390="男",$Q390-3.2,$Q390-3.2),0),IF($B390="高二",MIN(IF($E390="男",$Q390-3.25,$Q390-3.22),0),IF($B390="高一",MIN(IF($E390="男",$Q390-3.3,$Q390-3.24),0))))&lt;-0.6,IF($B390="高三",MIN(IF($E390="男",$Q390-3.2,$Q390-3.2),0),IF($B390="高二",MIN(IF($E390="男",$Q390-3.25,$Q390-3.22),0),IF($B390="高一",MIN(IF($E390="男",$Q390-3.3,$Q390-3.24),0))))+0.4,IF($B390="高三",MIN(IF($E390="男",$Q390-3.2,$Q390-3.2),0),IF($B390="高二",MIN(IF($E390="男",$Q390-3.25,$Q390-3.22),0),IF($B390="高一",MIN(IF($E390="男",$Q390-3.3,$Q390-3.24),0))))),2)</f>
        <v>-0.14000000000000001</v>
      </c>
      <c r="T390" s="23">
        <f>IF(E390="男",LOOKUP($S390,[1]对照表!$AB$3:$AB$13,[1]对照表!$AC$3:$AC$13),LOOKUP($S390,[1]对照表!$AB$15:$AB$25,[1]对照表!$AC$15:$AC$25))</f>
        <v>3</v>
      </c>
      <c r="U390" s="26">
        <f>R390+T390</f>
        <v>103</v>
      </c>
      <c r="V390" s="26">
        <f>SUM(I390,K390,M390)/3*0.3+SUM(G390,R390)/2*0.4</f>
        <v>67.3</v>
      </c>
      <c r="W390" s="27">
        <f>O390+T390</f>
        <v>3</v>
      </c>
      <c r="X390" s="28">
        <f>V390/0.7+W390</f>
        <v>99.142857142857139</v>
      </c>
      <c r="Y390" s="28">
        <v>98.142857142857139</v>
      </c>
      <c r="Z390" s="21"/>
    </row>
    <row r="391" spans="1:26" x14ac:dyDescent="0.25">
      <c r="A391" s="16">
        <v>45</v>
      </c>
      <c r="B391" s="17" t="s">
        <v>21</v>
      </c>
      <c r="C391" s="16">
        <v>110</v>
      </c>
      <c r="D391" s="18" t="s">
        <v>119</v>
      </c>
      <c r="E391" s="17" t="s">
        <v>65</v>
      </c>
      <c r="F391" s="19">
        <v>7.9</v>
      </c>
      <c r="G391" s="32">
        <f>IF(B391="高三",IF($E391="男",LOOKUP(F391,[1]对照表!$G$3:$G$24,[1]对照表!$H$3:$H$24),LOOKUP(F391,[1]对照表!$G$27:$G$48,[1]对照表!$H$27:$H$48)),IF(B391="高二",IF($E391="男",LOOKUP(F391,[1]对照表!$F$3:$F$24,[1]对照表!$H$3:$H$24),LOOKUP(F391,[1]对照表!$F$27:$F$48,[1]对照表!$H$27:$H$48)),IF(B391="高一",IF($E391="男",LOOKUP(F391,[1]对照表!$E$3:$E$24,[1]对照表!$H$3:$H$24),LOOKUP(F391,[1]对照表!$E$27:$E$48,[1]对照表!$H$27:$H$48)))))</f>
        <v>95</v>
      </c>
      <c r="H391" s="21">
        <v>14.5</v>
      </c>
      <c r="I391" s="32">
        <f>IF(B391="高三",IF($E391="男",LOOKUP(H391,[1]对照表!$K$3:$K$24,[1]对照表!$L$3:$L$24),LOOKUP(H391,[1]对照表!$K$27:$K$48,[1]对照表!$L$27:$L$48)),IF(B391="高二",IF($E391="男",LOOKUP(H391,[1]对照表!$J$3:$J$24,[1]对照表!$L$3:$L$24),LOOKUP(H391,[1]对照表!$J$27:$J$48,[1]对照表!$L$27:$L$48)),IF(B391="高一",IF($E391="男",LOOKUP(H391,[1]对照表!$I$3:$I$24,[1]对照表!$L$3:$L$24),LOOKUP(H391,[1]对照表!$I$27:$I$48,[1]对照表!$L$27:$L$48)))))</f>
        <v>74</v>
      </c>
      <c r="J391" s="21">
        <v>204</v>
      </c>
      <c r="K391" s="32">
        <f>IF(B391="高三",IF($E391="男",LOOKUP(J391,[1]对照表!$O$3:$O$24,[1]对照表!$P$3:$P$24),LOOKUP(J391,[1]对照表!$O$27:$O$48,[1]对照表!$P$27:$P$48)),IF(B391="高二",IF($E391="男",LOOKUP(J391,[1]对照表!$N$3:$N$24,[1]对照表!$P$3:$P$24),LOOKUP(J391,[1]对照表!$N$27:$N$48,[1]对照表!$P$27:$P$48)),IF(B391="高一",IF($E391="男",LOOKUP(J391,[1]对照表!$M$3:$M$24,[1]对照表!$P$3:$P$24),LOOKUP(J391,[1]对照表!$M$27:$M$48,[1]对照表!$P$27:$P$48)))))</f>
        <v>100</v>
      </c>
      <c r="L391" s="21">
        <v>62</v>
      </c>
      <c r="M391" s="32">
        <f>IF(B391="高三",IF($E391="男",LOOKUP(L391,[1]对照表!$S$3:$S$24,[1]对照表!$T$3:$T$24),LOOKUP(L391,[1]对照表!$S$27:$S$48,[1]对照表!$T$27:$T$48)),IF(B391="高二",IF($E391="男",LOOKUP(L391,[1]对照表!$R$3:$R$24,[1]对照表!$T$3:$T$24),LOOKUP(L391,[1]对照表!$R$27:$R$48,[1]对照表!$T$27:$T$48)),IF(B391="高一",IF($E391="男",LOOKUP(L391,[1]对照表!$Q$3:$Q$24,[1]对照表!$T$3:$T$24),LOOKUP(L391,[1]对照表!$Q$27:$Q$48,[1]对照表!$T$27:$T$48)))))</f>
        <v>100</v>
      </c>
      <c r="N391" s="33">
        <f>IF(B391="高三",MAX(IF(E391="男",L391-18,L391-55),0),IF(B391="高二",MAX(IF(E391="男",L391-17,L391-54),0),IF(B391="高一",MAX(IF(E391="男",L391-16,L391-53),0))))</f>
        <v>9</v>
      </c>
      <c r="O391" s="23">
        <f>IF(E391="男",LOOKUP($N391,[1]对照表!$Z$3:$Z$13,[1]对照表!$AA$3:$AA$13),LOOKUP($N391,[1]对照表!$Z$15:$Z$25,[1]对照表!$AA$15:$AA$25))</f>
        <v>6</v>
      </c>
      <c r="P391" s="24">
        <f>M391+O391</f>
        <v>106</v>
      </c>
      <c r="Q391" s="25">
        <v>3.14</v>
      </c>
      <c r="R391" s="32">
        <f>IF(B391="高三",IF($E391="男",LOOKUP(Q391,[1]对照表!$W$3:$W$24,[1]对照表!$X$3:$X$24),LOOKUP(Q391,[1]对照表!$W$27:$W$48,[1]对照表!$X$27:$X$48)),IF(B391="高二",IF($E391="男",LOOKUP(Q391,[1]对照表!$V$3:$V$24,[1]对照表!$X$3:$X$24),LOOKUP(Q391,[1]对照表!$V$27:$V$48,[1]对照表!$X$27:$X$48)),IF(B391="高一",IF($E391="男",LOOKUP(Q391,[1]对照表!$U$3:$U$24,[1]对照表!$X$3:$X$24),LOOKUP(Q391,[1]对照表!$U$27:$U$48,[1]对照表!$X$27:$X$48)))))</f>
        <v>100</v>
      </c>
      <c r="S391" s="33">
        <f>ROUND(IF(IF($B391="高三",MIN(IF($E391="男",$Q391-3.2,$Q391-3.2),0),IF($B391="高二",MIN(IF($E391="男",$Q391-3.25,$Q391-3.22),0),IF($B391="高一",MIN(IF($E391="男",$Q391-3.3,$Q391-3.24),0))))&lt;-0.6,IF($B391="高三",MIN(IF($E391="男",$Q391-3.2,$Q391-3.2),0),IF($B391="高二",MIN(IF($E391="男",$Q391-3.25,$Q391-3.22),0),IF($B391="高一",MIN(IF($E391="男",$Q391-3.3,$Q391-3.24),0))))+0.4,IF($B391="高三",MIN(IF($E391="男",$Q391-3.2,$Q391-3.2),0),IF($B391="高二",MIN(IF($E391="男",$Q391-3.25,$Q391-3.22),0),IF($B391="高一",MIN(IF($E391="男",$Q391-3.3,$Q391-3.24),0))))),2)</f>
        <v>-0.1</v>
      </c>
      <c r="T391" s="23">
        <f>IF(E391="男",LOOKUP($S391,[1]对照表!$AB$3:$AB$13,[1]对照表!$AC$3:$AC$13),LOOKUP($S391,[1]对照表!$AB$15:$AB$25,[1]对照表!$AC$15:$AC$25))</f>
        <v>2</v>
      </c>
      <c r="U391" s="26">
        <f>R391+T391</f>
        <v>102</v>
      </c>
      <c r="V391" s="26">
        <f>SUM(I391,K391,M391)/3*0.3+SUM(G391,R391)/2*0.4</f>
        <v>66.400000000000006</v>
      </c>
      <c r="W391" s="27">
        <f>O391+T391</f>
        <v>8</v>
      </c>
      <c r="X391" s="28">
        <f>V391/0.7+W391</f>
        <v>102.85714285714288</v>
      </c>
      <c r="Y391" s="28">
        <v>102.85714285714288</v>
      </c>
      <c r="Z391" s="21"/>
    </row>
    <row r="392" spans="1:26" x14ac:dyDescent="0.25">
      <c r="A392" s="16">
        <v>29</v>
      </c>
      <c r="B392" s="17" t="s">
        <v>21</v>
      </c>
      <c r="C392" s="16">
        <v>110</v>
      </c>
      <c r="D392" s="18" t="s">
        <v>172</v>
      </c>
      <c r="E392" s="16" t="s">
        <v>23</v>
      </c>
      <c r="F392" s="19">
        <v>7.6</v>
      </c>
      <c r="G392" s="32">
        <f>IF(B392="高三",IF($E392="男",LOOKUP(F392,[1]对照表!$G$3:$G$24,[1]对照表!$H$3:$H$24),LOOKUP(F392,[1]对照表!$G$27:$G$48,[1]对照表!$H$27:$H$48)),IF(B392="高二",IF($E392="男",LOOKUP(F392,[1]对照表!$F$3:$F$24,[1]对照表!$H$3:$H$24),LOOKUP(F392,[1]对照表!$F$27:$F$48,[1]对照表!$H$27:$H$48)),IF(B392="高一",IF($E392="男",LOOKUP(F392,[1]对照表!$E$3:$E$24,[1]对照表!$H$3:$H$24),LOOKUP(F392,[1]对照表!$E$27:$E$48,[1]对照表!$H$27:$H$48)))))</f>
        <v>78</v>
      </c>
      <c r="H392" s="21">
        <v>9.1999999999999993</v>
      </c>
      <c r="I392" s="32">
        <f>IF(B392="高三",IF($E392="男",LOOKUP(H392,[1]对照表!$K$3:$K$24,[1]对照表!$L$3:$L$24),LOOKUP(H392,[1]对照表!$K$27:$K$48,[1]对照表!$L$27:$L$48)),IF(B392="高二",IF($E392="男",LOOKUP(H392,[1]对照表!$J$3:$J$24,[1]对照表!$L$3:$L$24),LOOKUP(H392,[1]对照表!$J$27:$J$48,[1]对照表!$L$27:$L$48)),IF(B392="高一",IF($E392="男",LOOKUP(H392,[1]对照表!$I$3:$I$24,[1]对照表!$L$3:$L$24),LOOKUP(H392,[1]对照表!$I$27:$I$48,[1]对照表!$L$27:$L$48)))))</f>
        <v>70</v>
      </c>
      <c r="J392" s="21">
        <v>238</v>
      </c>
      <c r="K392" s="32">
        <f>IF(B392="高三",IF($E392="男",LOOKUP(J392,[1]对照表!$O$3:$O$24,[1]对照表!$P$3:$P$24),LOOKUP(J392,[1]对照表!$O$27:$O$48,[1]对照表!$P$27:$P$48)),IF(B392="高二",IF($E392="男",LOOKUP(J392,[1]对照表!$N$3:$N$24,[1]对照表!$P$3:$P$24),LOOKUP(J392,[1]对照表!$N$27:$N$48,[1]对照表!$P$27:$P$48)),IF(B392="高一",IF($E392="男",LOOKUP(J392,[1]对照表!$M$3:$M$24,[1]对照表!$P$3:$P$24),LOOKUP(J392,[1]对照表!$M$27:$M$48,[1]对照表!$P$27:$P$48)))))</f>
        <v>80</v>
      </c>
      <c r="L392" s="21">
        <v>20</v>
      </c>
      <c r="M392" s="32">
        <f>IF(B392="高三",IF($E392="男",LOOKUP(L392,[1]对照表!$S$3:$S$24,[1]对照表!$T$3:$T$24),LOOKUP(L392,[1]对照表!$S$27:$S$48,[1]对照表!$T$27:$T$48)),IF(B392="高二",IF($E392="男",LOOKUP(L392,[1]对照表!$R$3:$R$24,[1]对照表!$T$3:$T$24),LOOKUP(L392,[1]对照表!$R$27:$R$48,[1]对照表!$T$27:$T$48)),IF(B392="高一",IF($E392="男",LOOKUP(L392,[1]对照表!$Q$3:$Q$24,[1]对照表!$T$3:$T$24),LOOKUP(L392,[1]对照表!$Q$27:$Q$48,[1]对照表!$T$27:$T$48)))))</f>
        <v>100</v>
      </c>
      <c r="N392" s="33">
        <f>IF(B392="高三",MAX(IF(E392="男",L392-18,L392-55),0),IF(B392="高二",MAX(IF(E392="男",L392-17,L392-54),0),IF(B392="高一",MAX(IF(E392="男",L392-16,L392-53),0))))</f>
        <v>4</v>
      </c>
      <c r="O392" s="23">
        <f>IF(E392="男",LOOKUP($N392,[1]对照表!$Z$3:$Z$13,[1]对照表!$AA$3:$AA$13),LOOKUP($N392,[1]对照表!$Z$15:$Z$25,[1]对照表!$AA$15:$AA$25))</f>
        <v>4</v>
      </c>
      <c r="P392" s="24">
        <f>M392+O392</f>
        <v>104</v>
      </c>
      <c r="Q392" s="25">
        <v>3.24</v>
      </c>
      <c r="R392" s="32">
        <f>IF(B392="高三",IF($E392="男",LOOKUP(Q392,[1]对照表!$W$3:$W$24,[1]对照表!$X$3:$X$24),LOOKUP(Q392,[1]对照表!$W$27:$W$48,[1]对照表!$X$27:$X$48)),IF(B392="高二",IF($E392="男",LOOKUP(Q392,[1]对照表!$V$3:$V$24,[1]对照表!$X$3:$X$24),LOOKUP(Q392,[1]对照表!$V$27:$V$48,[1]对照表!$X$27:$X$48)),IF(B392="高一",IF($E392="男",LOOKUP(Q392,[1]对照表!$U$3:$U$24,[1]对照表!$X$3:$X$24),LOOKUP(Q392,[1]对照表!$U$27:$U$48,[1]对照表!$X$27:$X$48)))))</f>
        <v>100</v>
      </c>
      <c r="S392" s="33">
        <f>ROUND(IF(IF($B392="高三",MIN(IF($E392="男",$Q392-3.2,$Q392-3.2),0),IF($B392="高二",MIN(IF($E392="男",$Q392-3.25,$Q392-3.22),0),IF($B392="高一",MIN(IF($E392="男",$Q392-3.3,$Q392-3.24),0))))&lt;-0.6,IF($B392="高三",MIN(IF($E392="男",$Q392-3.2,$Q392-3.2),0),IF($B392="高二",MIN(IF($E392="男",$Q392-3.25,$Q392-3.22),0),IF($B392="高一",MIN(IF($E392="男",$Q392-3.3,$Q392-3.24),0))))+0.4,IF($B392="高三",MIN(IF($E392="男",$Q392-3.2,$Q392-3.2),0),IF($B392="高二",MIN(IF($E392="男",$Q392-3.25,$Q392-3.22),0),IF($B392="高一",MIN(IF($E392="男",$Q392-3.3,$Q392-3.24),0))))),2)</f>
        <v>-0.06</v>
      </c>
      <c r="T392" s="23">
        <f>IF(E392="男",LOOKUP($S392,[1]对照表!$AB$3:$AB$13,[1]对照表!$AC$3:$AC$13),LOOKUP($S392,[1]对照表!$AB$15:$AB$25,[1]对照表!$AC$15:$AC$25))</f>
        <v>1</v>
      </c>
      <c r="U392" s="26">
        <f>R392+T392</f>
        <v>101</v>
      </c>
      <c r="V392" s="26">
        <f>SUM(I392,K392,M392)/3*0.3+SUM(G392,R392)/2*0.4</f>
        <v>60.599999999999994</v>
      </c>
      <c r="W392" s="27">
        <f>O392+T392</f>
        <v>5</v>
      </c>
      <c r="X392" s="28">
        <f>V392/0.7+W392</f>
        <v>91.571428571428569</v>
      </c>
      <c r="Y392" s="28">
        <v>91.571428571428569</v>
      </c>
      <c r="Z392" s="21"/>
    </row>
    <row r="393" spans="1:26" x14ac:dyDescent="0.25">
      <c r="A393" s="16">
        <v>9</v>
      </c>
      <c r="B393" s="17" t="s">
        <v>21</v>
      </c>
      <c r="C393" s="16">
        <v>110</v>
      </c>
      <c r="D393" s="18" t="s">
        <v>175</v>
      </c>
      <c r="E393" s="17" t="s">
        <v>23</v>
      </c>
      <c r="F393" s="19">
        <v>6.9</v>
      </c>
      <c r="G393" s="32">
        <f>IF(B393="高三",IF($E393="男",LOOKUP(F393,[1]对照表!$G$3:$G$24,[1]对照表!$H$3:$H$24),LOOKUP(F393,[1]对照表!$G$27:$G$48,[1]对照表!$H$27:$H$48)),IF(B393="高二",IF($E393="男",LOOKUP(F393,[1]对照表!$F$3:$F$24,[1]对照表!$H$3:$H$24),LOOKUP(F393,[1]对照表!$F$27:$F$48,[1]对照表!$H$27:$H$48)),IF(B393="高一",IF($E393="男",LOOKUP(F393,[1]对照表!$E$3:$E$24,[1]对照表!$H$3:$H$24),LOOKUP(F393,[1]对照表!$E$27:$E$48,[1]对照表!$H$27:$H$48)))))</f>
        <v>100</v>
      </c>
      <c r="H393" s="21">
        <v>22</v>
      </c>
      <c r="I393" s="32">
        <f>IF(B393="高三",IF($E393="男",LOOKUP(H393,[1]对照表!$K$3:$K$24,[1]对照表!$L$3:$L$24),LOOKUP(H393,[1]对照表!$K$27:$K$48,[1]对照表!$L$27:$L$48)),IF(B393="高二",IF($E393="男",LOOKUP(H393,[1]对照表!$J$3:$J$24,[1]对照表!$L$3:$L$24),LOOKUP(H393,[1]对照表!$J$27:$J$48,[1]对照表!$L$27:$L$48)),IF(B393="高一",IF($E393="男",LOOKUP(H393,[1]对照表!$I$3:$I$24,[1]对照表!$L$3:$L$24),LOOKUP(H393,[1]对照表!$I$27:$I$48,[1]对照表!$L$27:$L$48)))))</f>
        <v>95</v>
      </c>
      <c r="J393" s="21">
        <v>248</v>
      </c>
      <c r="K393" s="32">
        <f>IF(B393="高三",IF($E393="男",LOOKUP(J393,[1]对照表!$O$3:$O$24,[1]对照表!$P$3:$P$24),LOOKUP(J393,[1]对照表!$O$27:$O$48,[1]对照表!$P$27:$P$48)),IF(B393="高二",IF($E393="男",LOOKUP(J393,[1]对照表!$N$3:$N$24,[1]对照表!$P$3:$P$24),LOOKUP(J393,[1]对照表!$N$27:$N$48,[1]对照表!$P$27:$P$48)),IF(B393="高一",IF($E393="男",LOOKUP(J393,[1]对照表!$M$3:$M$24,[1]对照表!$P$3:$P$24),LOOKUP(J393,[1]对照表!$M$27:$M$48,[1]对照表!$P$27:$P$48)))))</f>
        <v>85</v>
      </c>
      <c r="L393" s="21">
        <v>12</v>
      </c>
      <c r="M393" s="32">
        <f>IF(B393="高三",IF($E393="男",LOOKUP(L393,[1]对照表!$S$3:$S$24,[1]对照表!$T$3:$T$24),LOOKUP(L393,[1]对照表!$S$27:$S$48,[1]对照表!$T$27:$T$48)),IF(B393="高二",IF($E393="男",LOOKUP(L393,[1]对照表!$R$3:$R$24,[1]对照表!$T$3:$T$24),LOOKUP(L393,[1]对照表!$R$27:$R$48,[1]对照表!$T$27:$T$48)),IF(B393="高一",IF($E393="男",LOOKUP(L393,[1]对照表!$Q$3:$Q$24,[1]对照表!$T$3:$T$24),LOOKUP(L393,[1]对照表!$Q$27:$Q$48,[1]对照表!$T$27:$T$48)))))</f>
        <v>80</v>
      </c>
      <c r="N393" s="33">
        <f>IF(B393="高三",MAX(IF(E393="男",L393-18,L393-55),0),IF(B393="高二",MAX(IF(E393="男",L393-17,L393-54),0),IF(B393="高一",MAX(IF(E393="男",L393-16,L393-53),0))))</f>
        <v>0</v>
      </c>
      <c r="O393" s="23">
        <f>IF(E393="男",LOOKUP($N393,[1]对照表!$Z$3:$Z$13,[1]对照表!$AA$3:$AA$13),LOOKUP($N393,[1]对照表!$Z$15:$Z$25,[1]对照表!$AA$15:$AA$25))</f>
        <v>0</v>
      </c>
      <c r="P393" s="24">
        <f>M393+O393</f>
        <v>80</v>
      </c>
      <c r="Q393" s="25">
        <v>3.4</v>
      </c>
      <c r="R393" s="32">
        <f>IF(B393="高三",IF($E393="男",LOOKUP(Q393,[1]对照表!$W$3:$W$24,[1]对照表!$X$3:$X$24),LOOKUP(Q393,[1]对照表!$W$27:$W$48,[1]对照表!$X$27:$X$48)),IF(B393="高二",IF($E393="男",LOOKUP(Q393,[1]对照表!$V$3:$V$24,[1]对照表!$X$3:$X$24),LOOKUP(Q393,[1]对照表!$V$27:$V$48,[1]对照表!$X$27:$X$48)),IF(B393="高一",IF($E393="男",LOOKUP(Q393,[1]对照表!$U$3:$U$24,[1]对照表!$X$3:$X$24),LOOKUP(Q393,[1]对照表!$U$27:$U$48,[1]对照表!$X$27:$X$48)))))</f>
        <v>90</v>
      </c>
      <c r="S393" s="33">
        <f>ROUND(IF(IF($B393="高三",MIN(IF($E393="男",$Q393-3.2,$Q393-3.2),0),IF($B393="高二",MIN(IF($E393="男",$Q393-3.25,$Q393-3.22),0),IF($B393="高一",MIN(IF($E393="男",$Q393-3.3,$Q393-3.24),0))))&lt;-0.6,IF($B393="高三",MIN(IF($E393="男",$Q393-3.2,$Q393-3.2),0),IF($B393="高二",MIN(IF($E393="男",$Q393-3.25,$Q393-3.22),0),IF($B393="高一",MIN(IF($E393="男",$Q393-3.3,$Q393-3.24),0))))+0.4,IF($B393="高三",MIN(IF($E393="男",$Q393-3.2,$Q393-3.2),0),IF($B393="高二",MIN(IF($E393="男",$Q393-3.25,$Q393-3.22),0),IF($B393="高一",MIN(IF($E393="男",$Q393-3.3,$Q393-3.24),0))))),2)</f>
        <v>0</v>
      </c>
      <c r="T393" s="23">
        <f>IF(E393="男",LOOKUP($S393,[1]对照表!$AB$3:$AB$13,[1]对照表!$AC$3:$AC$13),LOOKUP($S393,[1]对照表!$AB$15:$AB$25,[1]对照表!$AC$15:$AC$25))</f>
        <v>0</v>
      </c>
      <c r="U393" s="26">
        <f>R393+T393</f>
        <v>90</v>
      </c>
      <c r="V393" s="26">
        <f>SUM(I393,K393,M393)/3*0.3+SUM(G393,R393)/2*0.4</f>
        <v>64</v>
      </c>
      <c r="W393" s="27">
        <f>O393+T393</f>
        <v>0</v>
      </c>
      <c r="X393" s="28">
        <f>V393/0.7+W393</f>
        <v>91.428571428571431</v>
      </c>
      <c r="Y393" s="28">
        <v>91.428571428571431</v>
      </c>
      <c r="Z393" s="21"/>
    </row>
    <row r="394" spans="1:26" x14ac:dyDescent="0.25">
      <c r="A394" s="16">
        <v>7</v>
      </c>
      <c r="B394" s="17" t="s">
        <v>21</v>
      </c>
      <c r="C394" s="16">
        <v>110</v>
      </c>
      <c r="D394" s="18" t="s">
        <v>178</v>
      </c>
      <c r="E394" s="17" t="s">
        <v>23</v>
      </c>
      <c r="F394" s="19">
        <v>7.2</v>
      </c>
      <c r="G394" s="32">
        <f>IF(B394="高三",IF($E394="男",LOOKUP(F394,[1]对照表!$G$3:$G$24,[1]对照表!$H$3:$H$24),LOOKUP(F394,[1]对照表!$G$27:$G$48,[1]对照表!$H$27:$H$48)),IF(B394="高二",IF($E394="男",LOOKUP(F394,[1]对照表!$F$3:$F$24,[1]对照表!$H$3:$H$24),LOOKUP(F394,[1]对照表!$F$27:$F$48,[1]对照表!$H$27:$H$48)),IF(B394="高一",IF($E394="男",LOOKUP(F394,[1]对照表!$E$3:$E$24,[1]对照表!$H$3:$H$24),LOOKUP(F394,[1]对照表!$E$27:$E$48,[1]对照表!$H$27:$H$48)))))</f>
        <v>95</v>
      </c>
      <c r="H394" s="21">
        <v>11.6</v>
      </c>
      <c r="I394" s="32">
        <f>IF(B394="高三",IF($E394="男",LOOKUP(H394,[1]对照表!$K$3:$K$24,[1]对照表!$L$3:$L$24),LOOKUP(H394,[1]对照表!$K$27:$K$48,[1]对照表!$L$27:$L$48)),IF(B394="高二",IF($E394="男",LOOKUP(H394,[1]对照表!$J$3:$J$24,[1]对照表!$L$3:$L$24),LOOKUP(H394,[1]对照表!$J$27:$J$48,[1]对照表!$L$27:$L$48)),IF(B394="高一",IF($E394="男",LOOKUP(H394,[1]对照表!$I$3:$I$24,[1]对照表!$L$3:$L$24),LOOKUP(H394,[1]对照表!$I$27:$I$48,[1]对照表!$L$27:$L$48)))))</f>
        <v>74</v>
      </c>
      <c r="J394" s="21">
        <v>210</v>
      </c>
      <c r="K394" s="32">
        <f>IF(B394="高三",IF($E394="男",LOOKUP(J394,[1]对照表!$O$3:$O$24,[1]对照表!$P$3:$P$24),LOOKUP(J394,[1]对照表!$O$27:$O$48,[1]对照表!$P$27:$P$48)),IF(B394="高二",IF($E394="男",LOOKUP(J394,[1]对照表!$N$3:$N$24,[1]对照表!$P$3:$P$24),LOOKUP(J394,[1]对照表!$N$27:$N$48,[1]对照表!$P$27:$P$48)),IF(B394="高一",IF($E394="男",LOOKUP(J394,[1]对照表!$M$3:$M$24,[1]对照表!$P$3:$P$24),LOOKUP(J394,[1]对照表!$M$27:$M$48,[1]对照表!$P$27:$P$48)))))</f>
        <v>66</v>
      </c>
      <c r="L394" s="21">
        <v>16</v>
      </c>
      <c r="M394" s="32">
        <f>IF(B394="高三",IF($E394="男",LOOKUP(L394,[1]对照表!$S$3:$S$24,[1]对照表!$T$3:$T$24),LOOKUP(L394,[1]对照表!$S$27:$S$48,[1]对照表!$T$27:$T$48)),IF(B394="高二",IF($E394="男",LOOKUP(L394,[1]对照表!$R$3:$R$24,[1]对照表!$T$3:$T$24),LOOKUP(L394,[1]对照表!$R$27:$R$48,[1]对照表!$T$27:$T$48)),IF(B394="高一",IF($E394="男",LOOKUP(L394,[1]对照表!$Q$3:$Q$24,[1]对照表!$T$3:$T$24),LOOKUP(L394,[1]对照表!$Q$27:$Q$48,[1]对照表!$T$27:$T$48)))))</f>
        <v>100</v>
      </c>
      <c r="N394" s="33">
        <f>IF(B394="高三",MAX(IF(E394="男",L394-18,L394-55),0),IF(B394="高二",MAX(IF(E394="男",L394-17,L394-54),0),IF(B394="高一",MAX(IF(E394="男",L394-16,L394-53),0))))</f>
        <v>0</v>
      </c>
      <c r="O394" s="23">
        <f>IF(E394="男",LOOKUP($N394,[1]对照表!$Z$3:$Z$13,[1]对照表!$AA$3:$AA$13),LOOKUP($N394,[1]对照表!$Z$15:$Z$25,[1]对照表!$AA$15:$AA$25))</f>
        <v>0</v>
      </c>
      <c r="P394" s="24">
        <f>M394+O394</f>
        <v>100</v>
      </c>
      <c r="Q394" s="25">
        <v>3.25</v>
      </c>
      <c r="R394" s="32">
        <f>IF(B394="高三",IF($E394="男",LOOKUP(Q394,[1]对照表!$W$3:$W$24,[1]对照表!$X$3:$X$24),LOOKUP(Q394,[1]对照表!$W$27:$W$48,[1]对照表!$X$27:$X$48)),IF(B394="高二",IF($E394="男",LOOKUP(Q394,[1]对照表!$V$3:$V$24,[1]对照表!$X$3:$X$24),LOOKUP(Q394,[1]对照表!$V$27:$V$48,[1]对照表!$X$27:$X$48)),IF(B394="高一",IF($E394="男",LOOKUP(Q394,[1]对照表!$U$3:$U$24,[1]对照表!$X$3:$X$24),LOOKUP(Q394,[1]对照表!$U$27:$U$48,[1]对照表!$X$27:$X$48)))))</f>
        <v>100</v>
      </c>
      <c r="S394" s="33">
        <f>ROUND(IF(IF($B394="高三",MIN(IF($E394="男",$Q394-3.2,$Q394-3.2),0),IF($B394="高二",MIN(IF($E394="男",$Q394-3.25,$Q394-3.22),0),IF($B394="高一",MIN(IF($E394="男",$Q394-3.3,$Q394-3.24),0))))&lt;-0.6,IF($B394="高三",MIN(IF($E394="男",$Q394-3.2,$Q394-3.2),0),IF($B394="高二",MIN(IF($E394="男",$Q394-3.25,$Q394-3.22),0),IF($B394="高一",MIN(IF($E394="男",$Q394-3.3,$Q394-3.24),0))))+0.4,IF($B394="高三",MIN(IF($E394="男",$Q394-3.2,$Q394-3.2),0),IF($B394="高二",MIN(IF($E394="男",$Q394-3.25,$Q394-3.22),0),IF($B394="高一",MIN(IF($E394="男",$Q394-3.3,$Q394-3.24),0))))),2)</f>
        <v>-0.05</v>
      </c>
      <c r="T394" s="23">
        <f>IF(E394="男",LOOKUP($S394,[1]对照表!$AB$3:$AB$13,[1]对照表!$AC$3:$AC$13),LOOKUP($S394,[1]对照表!$AB$15:$AB$25,[1]对照表!$AC$15:$AC$25))</f>
        <v>1</v>
      </c>
      <c r="U394" s="26">
        <f>R394+T394</f>
        <v>101</v>
      </c>
      <c r="V394" s="26">
        <f>SUM(I394,K394,M394)/3*0.3+SUM(G394,R394)/2*0.4</f>
        <v>63</v>
      </c>
      <c r="W394" s="27">
        <f>O394+T394</f>
        <v>1</v>
      </c>
      <c r="X394" s="28">
        <f>V394/0.7+W394</f>
        <v>91</v>
      </c>
      <c r="Y394" s="28">
        <v>91</v>
      </c>
      <c r="Z394" s="21"/>
    </row>
    <row r="395" spans="1:26" x14ac:dyDescent="0.25">
      <c r="A395" s="16">
        <v>1</v>
      </c>
      <c r="B395" s="17" t="s">
        <v>21</v>
      </c>
      <c r="C395" s="16">
        <v>110</v>
      </c>
      <c r="D395" s="18" t="s">
        <v>193</v>
      </c>
      <c r="E395" s="31" t="s">
        <v>23</v>
      </c>
      <c r="F395" s="19">
        <v>6.8</v>
      </c>
      <c r="G395" s="32">
        <f>IF(B395="高三",IF($E395="男",LOOKUP(F395,[1]对照表!$G$3:$G$24,[1]对照表!$H$3:$H$24),LOOKUP(F395,[1]对照表!$G$27:$G$48,[1]对照表!$H$27:$H$48)),IF(B395="高二",IF($E395="男",LOOKUP(F395,[1]对照表!$F$3:$F$24,[1]对照表!$H$3:$H$24),LOOKUP(F395,[1]对照表!$F$27:$F$48,[1]对照表!$H$27:$H$48)),IF(B395="高一",IF($E395="男",LOOKUP(F395,[1]对照表!$E$3:$E$24,[1]对照表!$H$3:$H$24),LOOKUP(F395,[1]对照表!$E$27:$E$48,[1]对照表!$H$27:$H$48)))))</f>
        <v>100</v>
      </c>
      <c r="H395" s="21">
        <v>5.2</v>
      </c>
      <c r="I395" s="32">
        <f>IF(B395="高三",IF($E395="男",LOOKUP(H395,[1]对照表!$K$3:$K$24,[1]对照表!$L$3:$L$24),LOOKUP(H395,[1]对照表!$K$27:$K$48,[1]对照表!$L$27:$L$48)),IF(B395="高二",IF($E395="男",LOOKUP(H395,[1]对照表!$J$3:$J$24,[1]对照表!$L$3:$L$24),LOOKUP(H395,[1]对照表!$J$27:$J$48,[1]对照表!$L$27:$L$48)),IF(B395="高一",IF($E395="男",LOOKUP(H395,[1]对照表!$I$3:$I$24,[1]对照表!$L$3:$L$24),LOOKUP(H395,[1]对照表!$I$27:$I$48,[1]对照表!$L$27:$L$48)))))</f>
        <v>66</v>
      </c>
      <c r="J395" s="21">
        <v>245</v>
      </c>
      <c r="K395" s="32">
        <f>IF(B395="高三",IF($E395="男",LOOKUP(J395,[1]对照表!$O$3:$O$24,[1]对照表!$P$3:$P$24),LOOKUP(J395,[1]对照表!$O$27:$O$48,[1]对照表!$P$27:$P$48)),IF(B395="高二",IF($E395="男",LOOKUP(J395,[1]对照表!$N$3:$N$24,[1]对照表!$P$3:$P$24),LOOKUP(J395,[1]对照表!$N$27:$N$48,[1]对照表!$P$27:$P$48)),IF(B395="高一",IF($E395="男",LOOKUP(J395,[1]对照表!$M$3:$M$24,[1]对照表!$P$3:$P$24),LOOKUP(J395,[1]对照表!$M$27:$M$48,[1]对照表!$P$27:$P$48)))))</f>
        <v>85</v>
      </c>
      <c r="L395" s="21">
        <v>17</v>
      </c>
      <c r="M395" s="32">
        <f>IF(B395="高三",IF($E395="男",LOOKUP(L395,[1]对照表!$S$3:$S$24,[1]对照表!$T$3:$T$24),LOOKUP(L395,[1]对照表!$S$27:$S$48,[1]对照表!$T$27:$T$48)),IF(B395="高二",IF($E395="男",LOOKUP(L395,[1]对照表!$R$3:$R$24,[1]对照表!$T$3:$T$24),LOOKUP(L395,[1]对照表!$R$27:$R$48,[1]对照表!$T$27:$T$48)),IF(B395="高一",IF($E395="男",LOOKUP(L395,[1]对照表!$Q$3:$Q$24,[1]对照表!$T$3:$T$24),LOOKUP(L395,[1]对照表!$Q$27:$Q$48,[1]对照表!$T$27:$T$48)))))</f>
        <v>100</v>
      </c>
      <c r="N395" s="33">
        <f>IF(B395="高三",MAX(IF(E395="男",L395-18,L395-55),0),IF(B395="高二",MAX(IF(E395="男",L395-17,L395-54),0),IF(B395="高一",MAX(IF(E395="男",L395-16,L395-53),0))))</f>
        <v>1</v>
      </c>
      <c r="O395" s="23">
        <f>IF(E395="男",LOOKUP($N395,[1]对照表!$Z$3:$Z$13,[1]对照表!$AA$3:$AA$13),LOOKUP($N395,[1]对照表!$Z$15:$Z$25,[1]对照表!$AA$15:$AA$25))</f>
        <v>1</v>
      </c>
      <c r="P395" s="24">
        <f>M395+O395</f>
        <v>101</v>
      </c>
      <c r="Q395" s="25">
        <v>3.47</v>
      </c>
      <c r="R395" s="32">
        <f>IF(B395="高三",IF($E395="男",LOOKUP(Q395,[1]对照表!$W$3:$W$24,[1]对照表!$X$3:$X$24),LOOKUP(Q395,[1]对照表!$W$27:$W$48,[1]对照表!$X$27:$X$48)),IF(B395="高二",IF($E395="男",LOOKUP(Q395,[1]对照表!$V$3:$V$24,[1]对照表!$X$3:$X$24),LOOKUP(Q395,[1]对照表!$V$27:$V$48,[1]对照表!$X$27:$X$48)),IF(B395="高一",IF($E395="男",LOOKUP(Q395,[1]对照表!$U$3:$U$24,[1]对照表!$X$3:$X$24),LOOKUP(Q395,[1]对照表!$U$27:$U$48,[1]对照表!$X$27:$X$48)))))</f>
        <v>85</v>
      </c>
      <c r="S395" s="33">
        <f>ROUND(IF(IF($B395="高三",MIN(IF($E395="男",$Q395-3.2,$Q395-3.2),0),IF($B395="高二",MIN(IF($E395="男",$Q395-3.25,$Q395-3.22),0),IF($B395="高一",MIN(IF($E395="男",$Q395-3.3,$Q395-3.24),0))))&lt;-0.6,IF($B395="高三",MIN(IF($E395="男",$Q395-3.2,$Q395-3.2),0),IF($B395="高二",MIN(IF($E395="男",$Q395-3.25,$Q395-3.22),0),IF($B395="高一",MIN(IF($E395="男",$Q395-3.3,$Q395-3.24),0))))+0.4,IF($B395="高三",MIN(IF($E395="男",$Q395-3.2,$Q395-3.2),0),IF($B395="高二",MIN(IF($E395="男",$Q395-3.25,$Q395-3.22),0),IF($B395="高一",MIN(IF($E395="男",$Q395-3.3,$Q395-3.24),0))))),2)</f>
        <v>0</v>
      </c>
      <c r="T395" s="23">
        <f>IF(E395="男",LOOKUP($S395,[1]对照表!$AB$3:$AB$13,[1]对照表!$AC$3:$AC$13),LOOKUP($S395,[1]对照表!$AB$15:$AB$25,[1]对照表!$AC$15:$AC$25))</f>
        <v>0</v>
      </c>
      <c r="U395" s="26">
        <f>R395+T395</f>
        <v>85</v>
      </c>
      <c r="V395" s="26">
        <f>SUM(I395,K395,M395)/3*0.3+SUM(G395,R395)/2*0.4</f>
        <v>62.1</v>
      </c>
      <c r="W395" s="27">
        <f>O395+T395</f>
        <v>1</v>
      </c>
      <c r="X395" s="28">
        <f>V395/0.7+W395</f>
        <v>89.714285714285722</v>
      </c>
      <c r="Y395" s="28">
        <v>89.714285714285722</v>
      </c>
      <c r="Z395" s="21"/>
    </row>
    <row r="396" spans="1:26" x14ac:dyDescent="0.25">
      <c r="A396" s="16">
        <v>19</v>
      </c>
      <c r="B396" s="17" t="s">
        <v>21</v>
      </c>
      <c r="C396" s="16">
        <v>110</v>
      </c>
      <c r="D396" s="18" t="s">
        <v>196</v>
      </c>
      <c r="E396" s="17" t="s">
        <v>23</v>
      </c>
      <c r="F396" s="19">
        <v>6.9</v>
      </c>
      <c r="G396" s="32">
        <f>IF(B396="高三",IF($E396="男",LOOKUP(F396,[1]对照表!$G$3:$G$24,[1]对照表!$H$3:$H$24),LOOKUP(F396,[1]对照表!$G$27:$G$48,[1]对照表!$H$27:$H$48)),IF(B396="高二",IF($E396="男",LOOKUP(F396,[1]对照表!$F$3:$F$24,[1]对照表!$H$3:$H$24),LOOKUP(F396,[1]对照表!$F$27:$F$48,[1]对照表!$H$27:$H$48)),IF(B396="高一",IF($E396="男",LOOKUP(F396,[1]对照表!$E$3:$E$24,[1]对照表!$H$3:$H$24),LOOKUP(F396,[1]对照表!$E$27:$E$48,[1]对照表!$H$27:$H$48)))))</f>
        <v>100</v>
      </c>
      <c r="H396" s="21">
        <v>7.5</v>
      </c>
      <c r="I396" s="32">
        <f>IF(B396="高三",IF($E396="男",LOOKUP(H396,[1]对照表!$K$3:$K$24,[1]对照表!$L$3:$L$24),LOOKUP(H396,[1]对照表!$K$27:$K$48,[1]对照表!$L$27:$L$48)),IF(B396="高二",IF($E396="男",LOOKUP(H396,[1]对照表!$J$3:$J$24,[1]对照表!$L$3:$L$24),LOOKUP(H396,[1]对照表!$J$27:$J$48,[1]对照表!$L$27:$L$48)),IF(B396="高一",IF($E396="男",LOOKUP(H396,[1]对照表!$I$3:$I$24,[1]对照表!$L$3:$L$24),LOOKUP(H396,[1]对照表!$I$27:$I$48,[1]对照表!$L$27:$L$48)))))</f>
        <v>68</v>
      </c>
      <c r="J396" s="21">
        <v>263</v>
      </c>
      <c r="K396" s="32">
        <f>IF(B396="高三",IF($E396="男",LOOKUP(J396,[1]对照表!$O$3:$O$24,[1]对照表!$P$3:$P$24),LOOKUP(J396,[1]对照表!$O$27:$O$48,[1]对照表!$P$27:$P$48)),IF(B396="高二",IF($E396="男",LOOKUP(J396,[1]对照表!$N$3:$N$24,[1]对照表!$P$3:$P$24),LOOKUP(J396,[1]对照表!$N$27:$N$48,[1]对照表!$P$27:$P$48)),IF(B396="高一",IF($E396="男",LOOKUP(J396,[1]对照表!$M$3:$M$24,[1]对照表!$P$3:$P$24),LOOKUP(J396,[1]对照表!$M$27:$M$48,[1]对照表!$P$27:$P$48)))))</f>
        <v>100</v>
      </c>
      <c r="L396" s="21">
        <v>6</v>
      </c>
      <c r="M396" s="32">
        <f>IF(B396="高三",IF($E396="男",LOOKUP(L396,[1]对照表!$S$3:$S$24,[1]对照表!$T$3:$T$24),LOOKUP(L396,[1]对照表!$S$27:$S$48,[1]对照表!$T$27:$T$48)),IF(B396="高二",IF($E396="男",LOOKUP(L396,[1]对照表!$R$3:$R$24,[1]对照表!$T$3:$T$24),LOOKUP(L396,[1]对照表!$R$27:$R$48,[1]对照表!$T$27:$T$48)),IF(B396="高一",IF($E396="男",LOOKUP(L396,[1]对照表!$Q$3:$Q$24,[1]对照表!$T$3:$T$24),LOOKUP(L396,[1]对照表!$Q$27:$Q$48,[1]对照表!$T$27:$T$48)))))</f>
        <v>50</v>
      </c>
      <c r="N396" s="33">
        <f>IF(B396="高三",MAX(IF(E396="男",L396-18,L396-55),0),IF(B396="高二",MAX(IF(E396="男",L396-17,L396-54),0),IF(B396="高一",MAX(IF(E396="男",L396-16,L396-53),0))))</f>
        <v>0</v>
      </c>
      <c r="O396" s="23">
        <f>IF(E396="男",LOOKUP($N396,[1]对照表!$Z$3:$Z$13,[1]对照表!$AA$3:$AA$13),LOOKUP($N396,[1]对照表!$Z$15:$Z$25,[1]对照表!$AA$15:$AA$25))</f>
        <v>0</v>
      </c>
      <c r="P396" s="24">
        <f>M396+O396</f>
        <v>50</v>
      </c>
      <c r="Q396" s="25">
        <v>3.23</v>
      </c>
      <c r="R396" s="32">
        <f>IF(B396="高三",IF($E396="男",LOOKUP(Q396,[1]对照表!$W$3:$W$24,[1]对照表!$X$3:$X$24),LOOKUP(Q396,[1]对照表!$W$27:$W$48,[1]对照表!$X$27:$X$48)),IF(B396="高二",IF($E396="男",LOOKUP(Q396,[1]对照表!$V$3:$V$24,[1]对照表!$X$3:$X$24),LOOKUP(Q396,[1]对照表!$V$27:$V$48,[1]对照表!$X$27:$X$48)),IF(B396="高一",IF($E396="男",LOOKUP(Q396,[1]对照表!$U$3:$U$24,[1]对照表!$X$3:$X$24),LOOKUP(Q396,[1]对照表!$U$27:$U$48,[1]对照表!$X$27:$X$48)))))</f>
        <v>100</v>
      </c>
      <c r="S396" s="33">
        <f>ROUND(IF(IF($B396="高三",MIN(IF($E396="男",$Q396-3.2,$Q396-3.2),0),IF($B396="高二",MIN(IF($E396="男",$Q396-3.25,$Q396-3.22),0),IF($B396="高一",MIN(IF($E396="男",$Q396-3.3,$Q396-3.24),0))))&lt;-0.6,IF($B396="高三",MIN(IF($E396="男",$Q396-3.2,$Q396-3.2),0),IF($B396="高二",MIN(IF($E396="男",$Q396-3.25,$Q396-3.22),0),IF($B396="高一",MIN(IF($E396="男",$Q396-3.3,$Q396-3.24),0))))+0.4,IF($B396="高三",MIN(IF($E396="男",$Q396-3.2,$Q396-3.2),0),IF($B396="高二",MIN(IF($E396="男",$Q396-3.25,$Q396-3.22),0),IF($B396="高一",MIN(IF($E396="男",$Q396-3.3,$Q396-3.24),0))))),2)</f>
        <v>-7.0000000000000007E-2</v>
      </c>
      <c r="T396" s="23">
        <f>IF(E396="男",LOOKUP($S396,[1]对照表!$AB$3:$AB$13,[1]对照表!$AC$3:$AC$13),LOOKUP($S396,[1]对照表!$AB$15:$AB$25,[1]对照表!$AC$15:$AC$25))</f>
        <v>1</v>
      </c>
      <c r="U396" s="26">
        <f>R396+T396</f>
        <v>101</v>
      </c>
      <c r="V396" s="26">
        <f>SUM(I396,K396,M396)/3*0.3+SUM(G396,R396)/2*0.4</f>
        <v>61.8</v>
      </c>
      <c r="W396" s="27">
        <f>O396+T396</f>
        <v>1</v>
      </c>
      <c r="X396" s="28">
        <f>V396/0.7+W396</f>
        <v>89.285714285714292</v>
      </c>
      <c r="Y396" s="28">
        <v>89.285714285714292</v>
      </c>
      <c r="Z396" s="21"/>
    </row>
    <row r="397" spans="1:26" x14ac:dyDescent="0.25">
      <c r="A397" s="16">
        <v>39</v>
      </c>
      <c r="B397" s="17" t="s">
        <v>21</v>
      </c>
      <c r="C397" s="16">
        <v>110</v>
      </c>
      <c r="D397" s="18" t="s">
        <v>206</v>
      </c>
      <c r="E397" s="17" t="s">
        <v>65</v>
      </c>
      <c r="F397" s="19">
        <v>8.56</v>
      </c>
      <c r="G397" s="32">
        <f>IF(B397="高三",IF($E397="男",LOOKUP(F397,[1]对照表!$G$3:$G$24,[1]对照表!$H$3:$H$24),LOOKUP(F397,[1]对照表!$G$27:$G$48,[1]对照表!$H$27:$H$48)),IF(B397="高二",IF($E397="男",LOOKUP(F397,[1]对照表!$F$3:$F$24,[1]对照表!$H$3:$H$24),LOOKUP(F397,[1]对照表!$F$27:$F$48,[1]对照表!$H$27:$H$48)),IF(B397="高一",IF($E397="男",LOOKUP(F397,[1]对照表!$E$3:$E$24,[1]对照表!$H$3:$H$24),LOOKUP(F397,[1]对照表!$E$27:$E$48,[1]对照表!$H$27:$H$48)))))</f>
        <v>80</v>
      </c>
      <c r="H397" s="21">
        <v>15</v>
      </c>
      <c r="I397" s="32">
        <f>IF(B397="高三",IF($E397="男",LOOKUP(H397,[1]对照表!$K$3:$K$24,[1]对照表!$L$3:$L$24),LOOKUP(H397,[1]对照表!$K$27:$K$48,[1]对照表!$L$27:$L$48)),IF(B397="高二",IF($E397="男",LOOKUP(H397,[1]对照表!$J$3:$J$24,[1]对照表!$L$3:$L$24),LOOKUP(H397,[1]对照表!$J$27:$J$48,[1]对照表!$L$27:$L$48)),IF(B397="高一",IF($E397="男",LOOKUP(H397,[1]对照表!$I$3:$I$24,[1]对照表!$L$3:$L$24),LOOKUP(H397,[1]对照表!$I$27:$I$48,[1]对照表!$L$27:$L$48)))))</f>
        <v>76</v>
      </c>
      <c r="J397" s="21">
        <v>198</v>
      </c>
      <c r="K397" s="32">
        <f>IF(B397="高三",IF($E397="男",LOOKUP(J397,[1]对照表!$O$3:$O$24,[1]对照表!$P$3:$P$24),LOOKUP(J397,[1]对照表!$O$27:$O$48,[1]对照表!$P$27:$P$48)),IF(B397="高二",IF($E397="男",LOOKUP(J397,[1]对照表!$N$3:$N$24,[1]对照表!$P$3:$P$24),LOOKUP(J397,[1]对照表!$N$27:$N$48,[1]对照表!$P$27:$P$48)),IF(B397="高一",IF($E397="男",LOOKUP(J397,[1]对照表!$M$3:$M$24,[1]对照表!$P$3:$P$24),LOOKUP(J397,[1]对照表!$M$27:$M$48,[1]对照表!$P$27:$P$48)))))</f>
        <v>95</v>
      </c>
      <c r="L397" s="21">
        <v>52</v>
      </c>
      <c r="M397" s="32">
        <f>IF(B397="高三",IF($E397="男",LOOKUP(L397,[1]对照表!$S$3:$S$24,[1]对照表!$T$3:$T$24),LOOKUP(L397,[1]对照表!$S$27:$S$48,[1]对照表!$T$27:$T$48)),IF(B397="高二",IF($E397="男",LOOKUP(L397,[1]对照表!$R$3:$R$24,[1]对照表!$T$3:$T$24),LOOKUP(L397,[1]对照表!$R$27:$R$48,[1]对照表!$T$27:$T$48)),IF(B397="高一",IF($E397="男",LOOKUP(L397,[1]对照表!$Q$3:$Q$24,[1]对照表!$T$3:$T$24),LOOKUP(L397,[1]对照表!$Q$27:$Q$48,[1]对照表!$T$27:$T$48)))))</f>
        <v>95</v>
      </c>
      <c r="N397" s="33">
        <f>IF(B397="高三",MAX(IF(E397="男",L397-18,L397-55),0),IF(B397="高二",MAX(IF(E397="男",L397-17,L397-54),0),IF(B397="高一",MAX(IF(E397="男",L397-16,L397-53),0))))</f>
        <v>0</v>
      </c>
      <c r="O397" s="23">
        <f>IF(E397="男",LOOKUP($N397,[1]对照表!$Z$3:$Z$13,[1]对照表!$AA$3:$AA$13),LOOKUP($N397,[1]对照表!$Z$15:$Z$25,[1]对照表!$AA$15:$AA$25))</f>
        <v>0</v>
      </c>
      <c r="P397" s="24">
        <f>M397+O397</f>
        <v>95</v>
      </c>
      <c r="Q397" s="25">
        <v>3.19</v>
      </c>
      <c r="R397" s="32">
        <f>IF(B397="高三",IF($E397="男",LOOKUP(Q397,[1]对照表!$W$3:$W$24,[1]对照表!$X$3:$X$24),LOOKUP(Q397,[1]对照表!$W$27:$W$48,[1]对照表!$X$27:$X$48)),IF(B397="高二",IF($E397="男",LOOKUP(Q397,[1]对照表!$V$3:$V$24,[1]对照表!$X$3:$X$24),LOOKUP(Q397,[1]对照表!$V$27:$V$48,[1]对照表!$X$27:$X$48)),IF(B397="高一",IF($E397="男",LOOKUP(Q397,[1]对照表!$U$3:$U$24,[1]对照表!$X$3:$X$24),LOOKUP(Q397,[1]对照表!$U$27:$U$48,[1]对照表!$X$27:$X$48)))))</f>
        <v>100</v>
      </c>
      <c r="S397" s="27">
        <f>ROUND(IF(IF($B397="高三",MIN(IF($E397="男",$Q397-3.2,$Q397-3.2),0),IF($B397="高二",MIN(IF($E397="男",$Q397-3.25,$Q397-3.22),0),IF($B397="高一",MIN(IF($E397="男",$Q397-3.3,$Q397-3.24),0))))&lt;-0.6,IF($B397="高三",MIN(IF($E397="男",$Q397-3.2,$Q397-3.2),0),IF($B397="高二",MIN(IF($E397="男",$Q397-3.25,$Q397-3.22),0),IF($B397="高一",MIN(IF($E397="男",$Q397-3.3,$Q397-3.24),0))))+0.4,IF($B397="高三",MIN(IF($E397="男",$Q397-3.2,$Q397-3.2),0),IF($B397="高二",MIN(IF($E397="男",$Q397-3.25,$Q397-3.22),0),IF($B397="高一",MIN(IF($E397="男",$Q397-3.3,$Q397-3.24),0))))),2)</f>
        <v>-0.05</v>
      </c>
      <c r="T397" s="23">
        <f>IF(E397="男",LOOKUP($S397,[1]对照表!$AB$3:$AB$13,[1]对照表!$AC$3:$AC$13),LOOKUP($S397,[1]对照表!$AB$15:$AB$25,[1]对照表!$AC$15:$AC$25))</f>
        <v>1</v>
      </c>
      <c r="U397" s="26">
        <f>R397+T397</f>
        <v>101</v>
      </c>
      <c r="V397" s="26">
        <f>SUM(I397,K397,M397)/3*0.3+SUM(G397,R397)/2*0.4</f>
        <v>62.6</v>
      </c>
      <c r="W397" s="27">
        <f>O397+T397</f>
        <v>1</v>
      </c>
      <c r="X397" s="28">
        <f>V397/0.7+W397</f>
        <v>90.428571428571431</v>
      </c>
      <c r="Y397" s="28">
        <v>90.428571428571431</v>
      </c>
      <c r="Z397" s="21"/>
    </row>
    <row r="398" spans="1:26" x14ac:dyDescent="0.25">
      <c r="A398" s="16">
        <v>47</v>
      </c>
      <c r="B398" s="17" t="s">
        <v>21</v>
      </c>
      <c r="C398" s="16">
        <v>110</v>
      </c>
      <c r="D398" s="18" t="s">
        <v>208</v>
      </c>
      <c r="E398" s="17" t="s">
        <v>65</v>
      </c>
      <c r="F398" s="19">
        <v>8.4499999999999993</v>
      </c>
      <c r="G398" s="32">
        <f>IF(B398="高三",IF($E398="男",LOOKUP(F398,[1]对照表!$G$3:$G$24,[1]对照表!$H$3:$H$24),LOOKUP(F398,[1]对照表!$G$27:$G$48,[1]对照表!$H$27:$H$48)),IF(B398="高二",IF($E398="男",LOOKUP(F398,[1]对照表!$F$3:$F$24,[1]对照表!$H$3:$H$24),LOOKUP(F398,[1]对照表!$F$27:$F$48,[1]对照表!$H$27:$H$48)),IF(B398="高一",IF($E398="男",LOOKUP(F398,[1]对照表!$E$3:$E$24,[1]对照表!$H$3:$H$24),LOOKUP(F398,[1]对照表!$E$27:$E$48,[1]对照表!$H$27:$H$48)))))</f>
        <v>80</v>
      </c>
      <c r="H398" s="21">
        <v>12</v>
      </c>
      <c r="I398" s="32">
        <f>IF(B398="高三",IF($E398="男",LOOKUP(H398,[1]对照表!$K$3:$K$24,[1]对照表!$L$3:$L$24),LOOKUP(H398,[1]对照表!$K$27:$K$48,[1]对照表!$L$27:$L$48)),IF(B398="高二",IF($E398="男",LOOKUP(H398,[1]对照表!$J$3:$J$24,[1]对照表!$L$3:$L$24),LOOKUP(H398,[1]对照表!$J$27:$J$48,[1]对照表!$L$27:$L$48)),IF(B398="高一",IF($E398="男",LOOKUP(H398,[1]对照表!$I$3:$I$24,[1]对照表!$L$3:$L$24),LOOKUP(H398,[1]对照表!$I$27:$I$48,[1]对照表!$L$27:$L$48)))))</f>
        <v>70</v>
      </c>
      <c r="J398" s="21">
        <v>192</v>
      </c>
      <c r="K398" s="32">
        <f>IF(B398="高三",IF($E398="男",LOOKUP(J398,[1]对照表!$O$3:$O$24,[1]对照表!$P$3:$P$24),LOOKUP(J398,[1]对照表!$O$27:$O$48,[1]对照表!$P$27:$P$48)),IF(B398="高二",IF($E398="男",LOOKUP(J398,[1]对照表!$N$3:$N$24,[1]对照表!$P$3:$P$24),LOOKUP(J398,[1]对照表!$N$27:$N$48,[1]对照表!$P$27:$P$48)),IF(B398="高一",IF($E398="男",LOOKUP(J398,[1]对照表!$M$3:$M$24,[1]对照表!$P$3:$P$24),LOOKUP(J398,[1]对照表!$M$27:$M$48,[1]对照表!$P$27:$P$48)))))</f>
        <v>90</v>
      </c>
      <c r="L398" s="21">
        <v>62</v>
      </c>
      <c r="M398" s="32">
        <f>IF(B398="高三",IF($E398="男",LOOKUP(L398,[1]对照表!$S$3:$S$24,[1]对照表!$T$3:$T$24),LOOKUP(L398,[1]对照表!$S$27:$S$48,[1]对照表!$T$27:$T$48)),IF(B398="高二",IF($E398="男",LOOKUP(L398,[1]对照表!$R$3:$R$24,[1]对照表!$T$3:$T$24),LOOKUP(L398,[1]对照表!$R$27:$R$48,[1]对照表!$T$27:$T$48)),IF(B398="高一",IF($E398="男",LOOKUP(L398,[1]对照表!$Q$3:$Q$24,[1]对照表!$T$3:$T$24),LOOKUP(L398,[1]对照表!$Q$27:$Q$48,[1]对照表!$T$27:$T$48)))))</f>
        <v>100</v>
      </c>
      <c r="N398" s="33">
        <f>IF(B398="高三",MAX(IF(E398="男",L398-18,L398-55),0),IF(B398="高二",MAX(IF(E398="男",L398-17,L398-54),0),IF(B398="高一",MAX(IF(E398="男",L398-16,L398-53),0))))</f>
        <v>9</v>
      </c>
      <c r="O398" s="23">
        <f>IF(E398="男",LOOKUP($N398,[1]对照表!$Z$3:$Z$13,[1]对照表!$AA$3:$AA$13),LOOKUP($N398,[1]对照表!$Z$15:$Z$25,[1]对照表!$AA$15:$AA$25))</f>
        <v>6</v>
      </c>
      <c r="P398" s="24">
        <f>M398+O398</f>
        <v>106</v>
      </c>
      <c r="Q398" s="25">
        <v>3.2</v>
      </c>
      <c r="R398" s="32">
        <f>IF(B398="高三",IF($E398="男",LOOKUP(Q398,[1]对照表!$W$3:$W$24,[1]对照表!$X$3:$X$24),LOOKUP(Q398,[1]对照表!$W$27:$W$48,[1]对照表!$X$27:$X$48)),IF(B398="高二",IF($E398="男",LOOKUP(Q398,[1]对照表!$V$3:$V$24,[1]对照表!$X$3:$X$24),LOOKUP(Q398,[1]对照表!$V$27:$V$48,[1]对照表!$X$27:$X$48)),IF(B398="高一",IF($E398="男",LOOKUP(Q398,[1]对照表!$U$3:$U$24,[1]对照表!$X$3:$X$24),LOOKUP(Q398,[1]对照表!$U$27:$U$48,[1]对照表!$X$27:$X$48)))))</f>
        <v>100</v>
      </c>
      <c r="S398" s="27">
        <f>ROUND(IF(IF($B398="高三",MIN(IF($E398="男",$Q398-3.2,$Q398-3.2),0),IF($B398="高二",MIN(IF($E398="男",$Q398-3.25,$Q398-3.22),0),IF($B398="高一",MIN(IF($E398="男",$Q398-3.3,$Q398-3.24),0))))&lt;-0.6,IF($B398="高三",MIN(IF($E398="男",$Q398-3.2,$Q398-3.2),0),IF($B398="高二",MIN(IF($E398="男",$Q398-3.25,$Q398-3.22),0),IF($B398="高一",MIN(IF($E398="男",$Q398-3.3,$Q398-3.24),0))))+0.4,IF($B398="高三",MIN(IF($E398="男",$Q398-3.2,$Q398-3.2),0),IF($B398="高二",MIN(IF($E398="男",$Q398-3.25,$Q398-3.22),0),IF($B398="高一",MIN(IF($E398="男",$Q398-3.3,$Q398-3.24),0))))),2)</f>
        <v>-0.04</v>
      </c>
      <c r="T398" s="23">
        <f>IF(E398="男",LOOKUP($S398,[1]对照表!$AB$3:$AB$13,[1]对照表!$AC$3:$AC$13),LOOKUP($S398,[1]对照表!$AB$15:$AB$25,[1]对照表!$AC$15:$AC$25))</f>
        <v>0</v>
      </c>
      <c r="U398" s="26">
        <f>R398+T398</f>
        <v>100</v>
      </c>
      <c r="V398" s="26">
        <f>SUM(I398,K398,M398)/3*0.3+SUM(G398,R398)/2*0.4</f>
        <v>62</v>
      </c>
      <c r="W398" s="27">
        <f>O398+T398</f>
        <v>6</v>
      </c>
      <c r="X398" s="28">
        <f>V398/0.7+W398</f>
        <v>94.571428571428584</v>
      </c>
      <c r="Y398" s="28">
        <v>94.571428571428584</v>
      </c>
      <c r="Z398" s="21"/>
    </row>
    <row r="399" spans="1:26" x14ac:dyDescent="0.25">
      <c r="A399" s="16">
        <v>33</v>
      </c>
      <c r="B399" s="17" t="s">
        <v>21</v>
      </c>
      <c r="C399" s="16">
        <v>110</v>
      </c>
      <c r="D399" s="18" t="s">
        <v>243</v>
      </c>
      <c r="E399" s="31" t="s">
        <v>65</v>
      </c>
      <c r="F399" s="19">
        <v>7.7</v>
      </c>
      <c r="G399" s="32">
        <f>IF(B399="高三",IF($E399="男",LOOKUP(F399,[1]对照表!$G$3:$G$24,[1]对照表!$H$3:$H$24),LOOKUP(F399,[1]对照表!$G$27:$G$48,[1]对照表!$H$27:$H$48)),IF(B399="高二",IF($E399="男",LOOKUP(F399,[1]对照表!$F$3:$F$24,[1]对照表!$H$3:$H$24),LOOKUP(F399,[1]对照表!$F$27:$F$48,[1]对照表!$H$27:$H$48)),IF(B399="高一",IF($E399="男",LOOKUP(F399,[1]对照表!$E$3:$E$24,[1]对照表!$H$3:$H$24),LOOKUP(F399,[1]对照表!$E$27:$E$48,[1]对照表!$H$27:$H$48)))))</f>
        <v>100</v>
      </c>
      <c r="H399" s="21">
        <v>22</v>
      </c>
      <c r="I399" s="32">
        <f>IF(B399="高三",IF($E399="男",LOOKUP(H399,[1]对照表!$K$3:$K$24,[1]对照表!$L$3:$L$24),LOOKUP(H399,[1]对照表!$K$27:$K$48,[1]对照表!$L$27:$L$48)),IF(B399="高二",IF($E399="男",LOOKUP(H399,[1]对照表!$J$3:$J$24,[1]对照表!$L$3:$L$24),LOOKUP(H399,[1]对照表!$J$27:$J$48,[1]对照表!$L$27:$L$48)),IF(B399="高一",IF($E399="男",LOOKUP(H399,[1]对照表!$I$3:$I$24,[1]对照表!$L$3:$L$24),LOOKUP(H399,[1]对照表!$I$27:$I$48,[1]对照表!$L$27:$L$48)))))</f>
        <v>90</v>
      </c>
      <c r="J399" s="21">
        <v>198</v>
      </c>
      <c r="K399" s="32">
        <f>IF(B399="高三",IF($E399="男",LOOKUP(J399,[1]对照表!$O$3:$O$24,[1]对照表!$P$3:$P$24),LOOKUP(J399,[1]对照表!$O$27:$O$48,[1]对照表!$P$27:$P$48)),IF(B399="高二",IF($E399="男",LOOKUP(J399,[1]对照表!$N$3:$N$24,[1]对照表!$P$3:$P$24),LOOKUP(J399,[1]对照表!$N$27:$N$48,[1]对照表!$P$27:$P$48)),IF(B399="高一",IF($E399="男",LOOKUP(J399,[1]对照表!$M$3:$M$24,[1]对照表!$P$3:$P$24),LOOKUP(J399,[1]对照表!$M$27:$M$48,[1]对照表!$P$27:$P$48)))))</f>
        <v>95</v>
      </c>
      <c r="L399" s="21">
        <v>52</v>
      </c>
      <c r="M399" s="32">
        <f>IF(B399="高三",IF($E399="男",LOOKUP(L399,[1]对照表!$S$3:$S$24,[1]对照表!$T$3:$T$24),LOOKUP(L399,[1]对照表!$S$27:$S$48,[1]对照表!$T$27:$T$48)),IF(B399="高二",IF($E399="男",LOOKUP(L399,[1]对照表!$R$3:$R$24,[1]对照表!$T$3:$T$24),LOOKUP(L399,[1]对照表!$R$27:$R$48,[1]对照表!$T$27:$T$48)),IF(B399="高一",IF($E399="男",LOOKUP(L399,[1]对照表!$Q$3:$Q$24,[1]对照表!$T$3:$T$24),LOOKUP(L399,[1]对照表!$Q$27:$Q$48,[1]对照表!$T$27:$T$48)))))</f>
        <v>95</v>
      </c>
      <c r="N399" s="33">
        <f>IF(B399="高三",MAX(IF(E399="男",L399-18,L399-55),0),IF(B399="高二",MAX(IF(E399="男",L399-17,L399-54),0),IF(B399="高一",MAX(IF(E399="男",L399-16,L399-53),0))))</f>
        <v>0</v>
      </c>
      <c r="O399" s="23">
        <f>IF(E399="男",LOOKUP($N399,[1]对照表!$Z$3:$Z$13,[1]对照表!$AA$3:$AA$13),LOOKUP($N399,[1]对照表!$Z$15:$Z$25,[1]对照表!$AA$15:$AA$25))</f>
        <v>0</v>
      </c>
      <c r="P399" s="24">
        <f>M399+O399</f>
        <v>95</v>
      </c>
      <c r="Q399" s="25">
        <v>3.26</v>
      </c>
      <c r="R399" s="32">
        <f>IF(B399="高三",IF($E399="男",LOOKUP(Q399,[1]对照表!$W$3:$W$24,[1]对照表!$X$3:$X$24),LOOKUP(Q399,[1]对照表!$W$27:$W$48,[1]对照表!$X$27:$X$48)),IF(B399="高二",IF($E399="男",LOOKUP(Q399,[1]对照表!$V$3:$V$24,[1]对照表!$X$3:$X$24),LOOKUP(Q399,[1]对照表!$V$27:$V$48,[1]对照表!$X$27:$X$48)),IF(B399="高一",IF($E399="男",LOOKUP(Q399,[1]对照表!$U$3:$U$24,[1]对照表!$X$3:$X$24),LOOKUP(Q399,[1]对照表!$U$27:$U$48,[1]对照表!$X$27:$X$48)))))</f>
        <v>95</v>
      </c>
      <c r="S399" s="33">
        <f>ROUND(IF(IF($B399="高三",MIN(IF($E399="男",$Q399-3.2,$Q399-3.2),0),IF($B399="高二",MIN(IF($E399="男",$Q399-3.25,$Q399-3.22),0),IF($B399="高一",MIN(IF($E399="男",$Q399-3.3,$Q399-3.24),0))))&lt;-0.6,IF($B399="高三",MIN(IF($E399="男",$Q399-3.2,$Q399-3.2),0),IF($B399="高二",MIN(IF($E399="男",$Q399-3.25,$Q399-3.22),0),IF($B399="高一",MIN(IF($E399="男",$Q399-3.3,$Q399-3.24),0))))+0.4,IF($B399="高三",MIN(IF($E399="男",$Q399-3.2,$Q399-3.2),0),IF($B399="高二",MIN(IF($E399="男",$Q399-3.25,$Q399-3.22),0),IF($B399="高一",MIN(IF($E399="男",$Q399-3.3,$Q399-3.24),0))))),2)</f>
        <v>0</v>
      </c>
      <c r="T399" s="23">
        <f>IF(E399="男",LOOKUP($S399,[1]对照表!$AB$3:$AB$13,[1]对照表!$AC$3:$AC$13),LOOKUP($S399,[1]对照表!$AB$15:$AB$25,[1]对照表!$AC$15:$AC$25))</f>
        <v>0</v>
      </c>
      <c r="U399" s="26">
        <f>R399+T399</f>
        <v>95</v>
      </c>
      <c r="V399" s="26">
        <f>SUM(I399,K399,M399)/3*0.3+SUM(G399,R399)/2*0.4</f>
        <v>67</v>
      </c>
      <c r="W399" s="27">
        <f>O399+T399</f>
        <v>0</v>
      </c>
      <c r="X399" s="28">
        <f>V399/0.7+W399</f>
        <v>95.714285714285722</v>
      </c>
      <c r="Y399" s="28">
        <v>95.714285714285722</v>
      </c>
      <c r="Z399" s="21"/>
    </row>
    <row r="400" spans="1:26" x14ac:dyDescent="0.25">
      <c r="A400" s="16">
        <v>37</v>
      </c>
      <c r="B400" s="17" t="s">
        <v>21</v>
      </c>
      <c r="C400" s="16">
        <v>110</v>
      </c>
      <c r="D400" s="18" t="s">
        <v>245</v>
      </c>
      <c r="E400" s="17" t="s">
        <v>65</v>
      </c>
      <c r="F400" s="19">
        <v>8.19</v>
      </c>
      <c r="G400" s="32">
        <f>IF(B400="高三",IF($E400="男",LOOKUP(F400,[1]对照表!$G$3:$G$24,[1]对照表!$H$3:$H$24),LOOKUP(F400,[1]对照表!$G$27:$G$48,[1]对照表!$H$27:$H$48)),IF(B400="高二",IF($E400="男",LOOKUP(F400,[1]对照表!$F$3:$F$24,[1]对照表!$H$3:$H$24),LOOKUP(F400,[1]对照表!$F$27:$F$48,[1]对照表!$H$27:$H$48)),IF(B400="高一",IF($E400="男",LOOKUP(F400,[1]对照表!$E$3:$E$24,[1]对照表!$H$3:$H$24),LOOKUP(F400,[1]对照表!$E$27:$E$48,[1]对照表!$H$27:$H$48)))))</f>
        <v>85</v>
      </c>
      <c r="H400" s="21">
        <v>29</v>
      </c>
      <c r="I400" s="32">
        <f>IF(B400="高三",IF($E400="男",LOOKUP(H400,[1]对照表!$K$3:$K$24,[1]对照表!$L$3:$L$24),LOOKUP(H400,[1]对照表!$K$27:$K$48,[1]对照表!$L$27:$L$48)),IF(B400="高二",IF($E400="男",LOOKUP(H400,[1]对照表!$J$3:$J$24,[1]对照表!$L$3:$L$24),LOOKUP(H400,[1]对照表!$J$27:$J$48,[1]对照表!$L$27:$L$48)),IF(B400="高一",IF($E400="男",LOOKUP(H400,[1]对照表!$I$3:$I$24,[1]对照表!$L$3:$L$24),LOOKUP(H400,[1]对照表!$I$27:$I$48,[1]对照表!$L$27:$L$48)))))</f>
        <v>100</v>
      </c>
      <c r="J400" s="21">
        <v>206</v>
      </c>
      <c r="K400" s="32">
        <f>IF(B400="高三",IF($E400="男",LOOKUP(J400,[1]对照表!$O$3:$O$24,[1]对照表!$P$3:$P$24),LOOKUP(J400,[1]对照表!$O$27:$O$48,[1]对照表!$P$27:$P$48)),IF(B400="高二",IF($E400="男",LOOKUP(J400,[1]对照表!$N$3:$N$24,[1]对照表!$P$3:$P$24),LOOKUP(J400,[1]对照表!$N$27:$N$48,[1]对照表!$P$27:$P$48)),IF(B400="高一",IF($E400="男",LOOKUP(J400,[1]对照表!$M$3:$M$24,[1]对照表!$P$3:$P$24),LOOKUP(J400,[1]对照表!$M$27:$M$48,[1]对照表!$P$27:$P$48)))))</f>
        <v>100</v>
      </c>
      <c r="L400" s="21">
        <v>51</v>
      </c>
      <c r="M400" s="32">
        <f>IF(B400="高三",IF($E400="男",LOOKUP(L400,[1]对照表!$S$3:$S$24,[1]对照表!$T$3:$T$24),LOOKUP(L400,[1]对照表!$S$27:$S$48,[1]对照表!$T$27:$T$48)),IF(B400="高二",IF($E400="男",LOOKUP(L400,[1]对照表!$R$3:$R$24,[1]对照表!$T$3:$T$24),LOOKUP(L400,[1]对照表!$R$27:$R$48,[1]对照表!$T$27:$T$48)),IF(B400="高一",IF($E400="男",LOOKUP(L400,[1]对照表!$Q$3:$Q$24,[1]对照表!$T$3:$T$24),LOOKUP(L400,[1]对照表!$Q$27:$Q$48,[1]对照表!$T$27:$T$48)))))</f>
        <v>95</v>
      </c>
      <c r="N400" s="33">
        <f>IF(B400="高三",MAX(IF(E400="男",L400-18,L400-55),0),IF(B400="高二",MAX(IF(E400="男",L400-17,L400-54),0),IF(B400="高一",MAX(IF(E400="男",L400-16,L400-53),0))))</f>
        <v>0</v>
      </c>
      <c r="O400" s="23">
        <f>IF(E400="男",LOOKUP($N400,[1]对照表!$Z$3:$Z$13,[1]对照表!$AA$3:$AA$13),LOOKUP($N400,[1]对照表!$Z$15:$Z$25,[1]对照表!$AA$15:$AA$25))</f>
        <v>0</v>
      </c>
      <c r="P400" s="24">
        <f>M400+O400</f>
        <v>95</v>
      </c>
      <c r="Q400" s="25">
        <v>3.26</v>
      </c>
      <c r="R400" s="32">
        <f>IF(B400="高三",IF($E400="男",LOOKUP(Q400,[1]对照表!$W$3:$W$24,[1]对照表!$X$3:$X$24),LOOKUP(Q400,[1]对照表!$W$27:$W$48,[1]对照表!$X$27:$X$48)),IF(B400="高二",IF($E400="男",LOOKUP(Q400,[1]对照表!$V$3:$V$24,[1]对照表!$X$3:$X$24),LOOKUP(Q400,[1]对照表!$V$27:$V$48,[1]对照表!$X$27:$X$48)),IF(B400="高一",IF($E400="男",LOOKUP(Q400,[1]对照表!$U$3:$U$24,[1]对照表!$X$3:$X$24),LOOKUP(Q400,[1]对照表!$U$27:$U$48,[1]对照表!$X$27:$X$48)))))</f>
        <v>95</v>
      </c>
      <c r="S400" s="33">
        <f>ROUND(IF(IF($B400="高三",MIN(IF($E400="男",$Q400-3.2,$Q400-3.2),0),IF($B400="高二",MIN(IF($E400="男",$Q400-3.25,$Q400-3.22),0),IF($B400="高一",MIN(IF($E400="男",$Q400-3.3,$Q400-3.24),0))))&lt;-0.6,IF($B400="高三",MIN(IF($E400="男",$Q400-3.2,$Q400-3.2),0),IF($B400="高二",MIN(IF($E400="男",$Q400-3.25,$Q400-3.22),0),IF($B400="高一",MIN(IF($E400="男",$Q400-3.3,$Q400-3.24),0))))+0.4,IF($B400="高三",MIN(IF($E400="男",$Q400-3.2,$Q400-3.2),0),IF($B400="高二",MIN(IF($E400="男",$Q400-3.25,$Q400-3.22),0),IF($B400="高一",MIN(IF($E400="男",$Q400-3.3,$Q400-3.24),0))))),2)</f>
        <v>0</v>
      </c>
      <c r="T400" s="23">
        <f>IF(E400="男",LOOKUP($S400,[1]对照表!$AB$3:$AB$13,[1]对照表!$AC$3:$AC$13),LOOKUP($S400,[1]对照表!$AB$15:$AB$25,[1]对照表!$AC$15:$AC$25))</f>
        <v>0</v>
      </c>
      <c r="U400" s="26">
        <f>R400+T400</f>
        <v>95</v>
      </c>
      <c r="V400" s="26">
        <f>SUM(I400,K400,M400)/3*0.3+SUM(G400,R400)/2*0.4</f>
        <v>65.5</v>
      </c>
      <c r="W400" s="27">
        <f>O400+T400</f>
        <v>0</v>
      </c>
      <c r="X400" s="28">
        <f>V400/0.7+W400</f>
        <v>93.571428571428584</v>
      </c>
      <c r="Y400" s="28">
        <v>93.571428571428584</v>
      </c>
      <c r="Z400" s="21"/>
    </row>
    <row r="401" spans="1:26" x14ac:dyDescent="0.25">
      <c r="A401" s="16">
        <v>38</v>
      </c>
      <c r="B401" s="17" t="s">
        <v>21</v>
      </c>
      <c r="C401" s="16">
        <v>110</v>
      </c>
      <c r="D401" s="18" t="s">
        <v>254</v>
      </c>
      <c r="E401" s="17" t="s">
        <v>65</v>
      </c>
      <c r="F401" s="19">
        <v>8.6300000000000008</v>
      </c>
      <c r="G401" s="32">
        <f>IF(B401="高三",IF($E401="男",LOOKUP(F401,[1]对照表!$G$3:$G$24,[1]对照表!$H$3:$H$24),LOOKUP(F401,[1]对照表!$G$27:$G$48,[1]对照表!$H$27:$H$48)),IF(B401="高二",IF($E401="男",LOOKUP(F401,[1]对照表!$F$3:$F$24,[1]对照表!$H$3:$H$24),LOOKUP(F401,[1]对照表!$F$27:$F$48,[1]对照表!$H$27:$H$48)),IF(B401="高一",IF($E401="男",LOOKUP(F401,[1]对照表!$E$3:$E$24,[1]对照表!$H$3:$H$24),LOOKUP(F401,[1]对照表!$E$27:$E$48,[1]对照表!$H$27:$H$48)))))</f>
        <v>78</v>
      </c>
      <c r="H401" s="21">
        <v>15</v>
      </c>
      <c r="I401" s="32">
        <f>IF(B401="高三",IF($E401="男",LOOKUP(H401,[1]对照表!$K$3:$K$24,[1]对照表!$L$3:$L$24),LOOKUP(H401,[1]对照表!$K$27:$K$48,[1]对照表!$L$27:$L$48)),IF(B401="高二",IF($E401="男",LOOKUP(H401,[1]对照表!$J$3:$J$24,[1]对照表!$L$3:$L$24),LOOKUP(H401,[1]对照表!$J$27:$J$48,[1]对照表!$L$27:$L$48)),IF(B401="高一",IF($E401="男",LOOKUP(H401,[1]对照表!$I$3:$I$24,[1]对照表!$L$3:$L$24),LOOKUP(H401,[1]对照表!$I$27:$I$48,[1]对照表!$L$27:$L$48)))))</f>
        <v>76</v>
      </c>
      <c r="J401" s="21">
        <v>166</v>
      </c>
      <c r="K401" s="32">
        <f>IF(B401="高三",IF($E401="男",LOOKUP(J401,[1]对照表!$O$3:$O$24,[1]对照表!$P$3:$P$24),LOOKUP(J401,[1]对照表!$O$27:$O$48,[1]对照表!$P$27:$P$48)),IF(B401="高二",IF($E401="男",LOOKUP(J401,[1]对照表!$N$3:$N$24,[1]对照表!$P$3:$P$24),LOOKUP(J401,[1]对照表!$N$27:$N$48,[1]对照表!$P$27:$P$48)),IF(B401="高一",IF($E401="男",LOOKUP(J401,[1]对照表!$M$3:$M$24,[1]对照表!$P$3:$P$24),LOOKUP(J401,[1]对照表!$M$27:$M$48,[1]对照表!$P$27:$P$48)))))</f>
        <v>72</v>
      </c>
      <c r="L401" s="21">
        <v>53</v>
      </c>
      <c r="M401" s="32">
        <f>IF(B401="高三",IF($E401="男",LOOKUP(L401,[1]对照表!$S$3:$S$24,[1]对照表!$T$3:$T$24),LOOKUP(L401,[1]对照表!$S$27:$S$48,[1]对照表!$T$27:$T$48)),IF(B401="高二",IF($E401="男",LOOKUP(L401,[1]对照表!$R$3:$R$24,[1]对照表!$T$3:$T$24),LOOKUP(L401,[1]对照表!$R$27:$R$48,[1]对照表!$T$27:$T$48)),IF(B401="高一",IF($E401="男",LOOKUP(L401,[1]对照表!$Q$3:$Q$24,[1]对照表!$T$3:$T$24),LOOKUP(L401,[1]对照表!$Q$27:$Q$48,[1]对照表!$T$27:$T$48)))))</f>
        <v>100</v>
      </c>
      <c r="N401" s="33">
        <f>IF(B401="高三",MAX(IF(E401="男",L401-18,L401-55),0),IF(B401="高二",MAX(IF(E401="男",L401-17,L401-54),0),IF(B401="高一",MAX(IF(E401="男",L401-16,L401-53),0))))</f>
        <v>0</v>
      </c>
      <c r="O401" s="23">
        <f>IF(E401="男",LOOKUP($N401,[1]对照表!$Z$3:$Z$13,[1]对照表!$AA$3:$AA$13),LOOKUP($N401,[1]对照表!$Z$15:$Z$25,[1]对照表!$AA$15:$AA$25))</f>
        <v>0</v>
      </c>
      <c r="P401" s="24">
        <f>M401+O401</f>
        <v>100</v>
      </c>
      <c r="Q401" s="25">
        <v>3.28</v>
      </c>
      <c r="R401" s="32">
        <f>IF(B401="高三",IF($E401="男",LOOKUP(Q401,[1]对照表!$W$3:$W$24,[1]对照表!$X$3:$X$24),LOOKUP(Q401,[1]对照表!$W$27:$W$48,[1]对照表!$X$27:$X$48)),IF(B401="高二",IF($E401="男",LOOKUP(Q401,[1]对照表!$V$3:$V$24,[1]对照表!$X$3:$X$24),LOOKUP(Q401,[1]对照表!$V$27:$V$48,[1]对照表!$X$27:$X$48)),IF(B401="高一",IF($E401="男",LOOKUP(Q401,[1]对照表!$U$3:$U$24,[1]对照表!$X$3:$X$24),LOOKUP(Q401,[1]对照表!$U$27:$U$48,[1]对照表!$X$27:$X$48)))))</f>
        <v>95</v>
      </c>
      <c r="S401" s="33">
        <f>ROUND(IF(IF($B401="高三",MIN(IF($E401="男",$Q401-3.2,$Q401-3.2),0),IF($B401="高二",MIN(IF($E401="男",$Q401-3.25,$Q401-3.22),0),IF($B401="高一",MIN(IF($E401="男",$Q401-3.3,$Q401-3.24),0))))&lt;-0.6,IF($B401="高三",MIN(IF($E401="男",$Q401-3.2,$Q401-3.2),0),IF($B401="高二",MIN(IF($E401="男",$Q401-3.25,$Q401-3.22),0),IF($B401="高一",MIN(IF($E401="男",$Q401-3.3,$Q401-3.24),0))))+0.4,IF($B401="高三",MIN(IF($E401="男",$Q401-3.2,$Q401-3.2),0),IF($B401="高二",MIN(IF($E401="男",$Q401-3.25,$Q401-3.22),0),IF($B401="高一",MIN(IF($E401="男",$Q401-3.3,$Q401-3.24),0))))),2)</f>
        <v>0</v>
      </c>
      <c r="T401" s="23">
        <f>IF(E401="男",LOOKUP($S401,[1]对照表!$AB$3:$AB$13,[1]对照表!$AC$3:$AC$13),LOOKUP($S401,[1]对照表!$AB$15:$AB$25,[1]对照表!$AC$15:$AC$25))</f>
        <v>0</v>
      </c>
      <c r="U401" s="26">
        <f>R401+T401</f>
        <v>95</v>
      </c>
      <c r="V401" s="26">
        <f>SUM(I401,K401,M401)/3*0.3+SUM(G401,R401)/2*0.4</f>
        <v>59.400000000000006</v>
      </c>
      <c r="W401" s="27">
        <f>O401+T401</f>
        <v>0</v>
      </c>
      <c r="X401" s="28">
        <f>V401/0.7+W401</f>
        <v>84.857142857142875</v>
      </c>
      <c r="Y401" s="28">
        <v>84.857142857142875</v>
      </c>
      <c r="Z401" s="21"/>
    </row>
    <row r="402" spans="1:26" x14ac:dyDescent="0.25">
      <c r="A402" s="16">
        <v>35</v>
      </c>
      <c r="B402" s="17" t="s">
        <v>21</v>
      </c>
      <c r="C402" s="16">
        <v>110</v>
      </c>
      <c r="D402" s="18" t="s">
        <v>262</v>
      </c>
      <c r="E402" s="17" t="s">
        <v>65</v>
      </c>
      <c r="F402" s="19">
        <v>9.15</v>
      </c>
      <c r="G402" s="32">
        <f>IF(B402="高三",IF($E402="男",LOOKUP(F402,[1]对照表!$G$3:$G$24,[1]对照表!$H$3:$H$24),LOOKUP(F402,[1]对照表!$G$27:$G$48,[1]对照表!$H$27:$H$48)),IF(B402="高二",IF($E402="男",LOOKUP(F402,[1]对照表!$F$3:$F$24,[1]对照表!$H$3:$H$24),LOOKUP(F402,[1]对照表!$F$27:$F$48,[1]对照表!$H$27:$H$48)),IF(B402="高一",IF($E402="男",LOOKUP(F402,[1]对照表!$E$3:$E$24,[1]对照表!$H$3:$H$24),LOOKUP(F402,[1]对照表!$E$27:$E$48,[1]对照表!$H$27:$H$48)))))</f>
        <v>74</v>
      </c>
      <c r="H402" s="21">
        <v>19</v>
      </c>
      <c r="I402" s="32">
        <f>IF(B402="高三",IF($E402="男",LOOKUP(H402,[1]对照表!$K$3:$K$24,[1]对照表!$L$3:$L$24),LOOKUP(H402,[1]对照表!$K$27:$K$48,[1]对照表!$L$27:$L$48)),IF(B402="高二",IF($E402="男",LOOKUP(H402,[1]对照表!$J$3:$J$24,[1]对照表!$L$3:$L$24),LOOKUP(H402,[1]对照表!$J$27:$J$48,[1]对照表!$L$27:$L$48)),IF(B402="高一",IF($E402="男",LOOKUP(H402,[1]对照表!$I$3:$I$24,[1]对照表!$L$3:$L$24),LOOKUP(H402,[1]对照表!$I$27:$I$48,[1]对照表!$L$27:$L$48)))))</f>
        <v>80</v>
      </c>
      <c r="J402" s="21">
        <v>168</v>
      </c>
      <c r="K402" s="32">
        <f>IF(B402="高三",IF($E402="男",LOOKUP(J402,[1]对照表!$O$3:$O$24,[1]对照表!$P$3:$P$24),LOOKUP(J402,[1]对照表!$O$27:$O$48,[1]对照表!$P$27:$P$48)),IF(B402="高二",IF($E402="男",LOOKUP(J402,[1]对照表!$N$3:$N$24,[1]对照表!$P$3:$P$24),LOOKUP(J402,[1]对照表!$N$27:$N$48,[1]对照表!$P$27:$P$48)),IF(B402="高一",IF($E402="男",LOOKUP(J402,[1]对照表!$M$3:$M$24,[1]对照表!$P$3:$P$24),LOOKUP(J402,[1]对照表!$M$27:$M$48,[1]对照表!$P$27:$P$48)))))</f>
        <v>72</v>
      </c>
      <c r="L402" s="21">
        <v>52</v>
      </c>
      <c r="M402" s="32">
        <f>IF(B402="高三",IF($E402="男",LOOKUP(L402,[1]对照表!$S$3:$S$24,[1]对照表!$T$3:$T$24),LOOKUP(L402,[1]对照表!$S$27:$S$48,[1]对照表!$T$27:$T$48)),IF(B402="高二",IF($E402="男",LOOKUP(L402,[1]对照表!$R$3:$R$24,[1]对照表!$T$3:$T$24),LOOKUP(L402,[1]对照表!$R$27:$R$48,[1]对照表!$T$27:$T$48)),IF(B402="高一",IF($E402="男",LOOKUP(L402,[1]对照表!$Q$3:$Q$24,[1]对照表!$T$3:$T$24),LOOKUP(L402,[1]对照表!$Q$27:$Q$48,[1]对照表!$T$27:$T$48)))))</f>
        <v>95</v>
      </c>
      <c r="N402" s="33">
        <f>IF(B402="高三",MAX(IF(E402="男",L402-18,L402-55),0),IF(B402="高二",MAX(IF(E402="男",L402-17,L402-54),0),IF(B402="高一",MAX(IF(E402="男",L402-16,L402-53),0))))</f>
        <v>0</v>
      </c>
      <c r="O402" s="23">
        <f>IF(E402="男",LOOKUP($N402,[1]对照表!$Z$3:$Z$13,[1]对照表!$AA$3:$AA$13),LOOKUP($N402,[1]对照表!$Z$15:$Z$25,[1]对照表!$AA$15:$AA$25))</f>
        <v>0</v>
      </c>
      <c r="P402" s="24">
        <f>M402+O402</f>
        <v>95</v>
      </c>
      <c r="Q402" s="25">
        <v>3.29</v>
      </c>
      <c r="R402" s="32">
        <f>IF(B402="高三",IF($E402="男",LOOKUP(Q402,[1]对照表!$W$3:$W$24,[1]对照表!$X$3:$X$24),LOOKUP(Q402,[1]对照表!$W$27:$W$48,[1]对照表!$X$27:$X$48)),IF(B402="高二",IF($E402="男",LOOKUP(Q402,[1]对照表!$V$3:$V$24,[1]对照表!$X$3:$X$24),LOOKUP(Q402,[1]对照表!$V$27:$V$48,[1]对照表!$X$27:$X$48)),IF(B402="高一",IF($E402="男",LOOKUP(Q402,[1]对照表!$U$3:$U$24,[1]对照表!$X$3:$X$24),LOOKUP(Q402,[1]对照表!$U$27:$U$48,[1]对照表!$X$27:$X$48)))))</f>
        <v>95</v>
      </c>
      <c r="S402" s="27">
        <f>ROUND(IF(IF($B402="高三",MIN(IF($E402="男",$Q402-3.2,$Q402-3.2),0),IF($B402="高二",MIN(IF($E402="男",$Q402-3.25,$Q402-3.22),0),IF($B402="高一",MIN(IF($E402="男",$Q402-3.3,$Q402-3.24),0))))&lt;-0.6,IF($B402="高三",MIN(IF($E402="男",$Q402-3.2,$Q402-3.2),0),IF($B402="高二",MIN(IF($E402="男",$Q402-3.25,$Q402-3.22),0),IF($B402="高一",MIN(IF($E402="男",$Q402-3.3,$Q402-3.24),0))))+0.4,IF($B402="高三",MIN(IF($E402="男",$Q402-3.2,$Q402-3.2),0),IF($B402="高二",MIN(IF($E402="男",$Q402-3.25,$Q402-3.22),0),IF($B402="高一",MIN(IF($E402="男",$Q402-3.3,$Q402-3.24),0))))),2)</f>
        <v>0</v>
      </c>
      <c r="T402" s="23">
        <f>IF(E402="男",LOOKUP($S402,[1]对照表!$AB$3:$AB$13,[1]对照表!$AC$3:$AC$13),LOOKUP($S402,[1]对照表!$AB$15:$AB$25,[1]对照表!$AC$15:$AC$25))</f>
        <v>0</v>
      </c>
      <c r="U402" s="26">
        <f>R402+T402</f>
        <v>95</v>
      </c>
      <c r="V402" s="26">
        <f>SUM(I402,K402,M402)/3*0.3+SUM(G402,R402)/2*0.4</f>
        <v>58.5</v>
      </c>
      <c r="W402" s="27">
        <f>O402+T402</f>
        <v>0</v>
      </c>
      <c r="X402" s="28">
        <f>V402/0.7+W402</f>
        <v>83.571428571428584</v>
      </c>
      <c r="Y402" s="28">
        <v>83.571428571428584</v>
      </c>
      <c r="Z402" s="21"/>
    </row>
    <row r="403" spans="1:26" x14ac:dyDescent="0.25">
      <c r="A403" s="16">
        <v>51</v>
      </c>
      <c r="B403" s="17" t="s">
        <v>21</v>
      </c>
      <c r="C403" s="16">
        <v>110</v>
      </c>
      <c r="D403" s="18" t="s">
        <v>264</v>
      </c>
      <c r="E403" s="17" t="s">
        <v>65</v>
      </c>
      <c r="F403" s="19">
        <v>9.26</v>
      </c>
      <c r="G403" s="32">
        <f>IF(B403="高三",IF($E403="男",LOOKUP(F403,[1]对照表!$G$3:$G$24,[1]对照表!$H$3:$H$24),LOOKUP(F403,[1]对照表!$G$27:$G$48,[1]对照表!$H$27:$H$48)),IF(B403="高二",IF($E403="男",LOOKUP(F403,[1]对照表!$F$3:$F$24,[1]对照表!$H$3:$H$24),LOOKUP(F403,[1]对照表!$F$27:$F$48,[1]对照表!$H$27:$H$48)),IF(B403="高一",IF($E403="男",LOOKUP(F403,[1]对照表!$E$3:$E$24,[1]对照表!$H$3:$H$24),LOOKUP(F403,[1]对照表!$E$27:$E$48,[1]对照表!$H$27:$H$48)))))</f>
        <v>72</v>
      </c>
      <c r="H403" s="21">
        <v>18</v>
      </c>
      <c r="I403" s="32">
        <f>IF(B403="高三",IF($E403="男",LOOKUP(H403,[1]对照表!$K$3:$K$24,[1]对照表!$L$3:$L$24),LOOKUP(H403,[1]对照表!$K$27:$K$48,[1]对照表!$L$27:$L$48)),IF(B403="高二",IF($E403="男",LOOKUP(H403,[1]对照表!$J$3:$J$24,[1]对照表!$L$3:$L$24),LOOKUP(H403,[1]对照表!$J$27:$J$48,[1]对照表!$L$27:$L$48)),IF(B403="高一",IF($E403="男",LOOKUP(H403,[1]对照表!$I$3:$I$24,[1]对照表!$L$3:$L$24),LOOKUP(H403,[1]对照表!$I$27:$I$48,[1]对照表!$L$27:$L$48)))))</f>
        <v>80</v>
      </c>
      <c r="J403" s="21">
        <v>166</v>
      </c>
      <c r="K403" s="32">
        <f>IF(B403="高三",IF($E403="男",LOOKUP(J403,[1]对照表!$O$3:$O$24,[1]对照表!$P$3:$P$24),LOOKUP(J403,[1]对照表!$O$27:$O$48,[1]对照表!$P$27:$P$48)),IF(B403="高二",IF($E403="男",LOOKUP(J403,[1]对照表!$N$3:$N$24,[1]对照表!$P$3:$P$24),LOOKUP(J403,[1]对照表!$N$27:$N$48,[1]对照表!$P$27:$P$48)),IF(B403="高一",IF($E403="男",LOOKUP(J403,[1]对照表!$M$3:$M$24,[1]对照表!$P$3:$P$24),LOOKUP(J403,[1]对照表!$M$27:$M$48,[1]对照表!$P$27:$P$48)))))</f>
        <v>72</v>
      </c>
      <c r="L403" s="21">
        <v>44</v>
      </c>
      <c r="M403" s="32">
        <f>IF(B403="高三",IF($E403="男",LOOKUP(L403,[1]对照表!$S$3:$S$24,[1]对照表!$T$3:$T$24),LOOKUP(L403,[1]对照表!$S$27:$S$48,[1]对照表!$T$27:$T$48)),IF(B403="高二",IF($E403="男",LOOKUP(L403,[1]对照表!$R$3:$R$24,[1]对照表!$T$3:$T$24),LOOKUP(L403,[1]对照表!$R$27:$R$48,[1]对照表!$T$27:$T$48)),IF(B403="高一",IF($E403="男",LOOKUP(L403,[1]对照表!$Q$3:$Q$24,[1]对照表!$T$3:$T$24),LOOKUP(L403,[1]对照表!$Q$27:$Q$48,[1]对照表!$T$27:$T$48)))))</f>
        <v>80</v>
      </c>
      <c r="N403" s="33">
        <f>IF(B403="高三",MAX(IF(E403="男",L403-18,L403-55),0),IF(B403="高二",MAX(IF(E403="男",L403-17,L403-54),0),IF(B403="高一",MAX(IF(E403="男",L403-16,L403-53),0))))</f>
        <v>0</v>
      </c>
      <c r="O403" s="23">
        <f>IF(E403="男",LOOKUP($N403,[1]对照表!$Z$3:$Z$13,[1]对照表!$AA$3:$AA$13),LOOKUP($N403,[1]对照表!$Z$15:$Z$25,[1]对照表!$AA$15:$AA$25))</f>
        <v>0</v>
      </c>
      <c r="P403" s="24">
        <f>M403+O403</f>
        <v>80</v>
      </c>
      <c r="Q403" s="25">
        <v>3.29</v>
      </c>
      <c r="R403" s="32">
        <f>IF(B403="高三",IF($E403="男",LOOKUP(Q403,[1]对照表!$W$3:$W$24,[1]对照表!$X$3:$X$24),LOOKUP(Q403,[1]对照表!$W$27:$W$48,[1]对照表!$X$27:$X$48)),IF(B403="高二",IF($E403="男",LOOKUP(Q403,[1]对照表!$V$3:$V$24,[1]对照表!$X$3:$X$24),LOOKUP(Q403,[1]对照表!$V$27:$V$48,[1]对照表!$X$27:$X$48)),IF(B403="高一",IF($E403="男",LOOKUP(Q403,[1]对照表!$U$3:$U$24,[1]对照表!$X$3:$X$24),LOOKUP(Q403,[1]对照表!$U$27:$U$48,[1]对照表!$X$27:$X$48)))))</f>
        <v>95</v>
      </c>
      <c r="S403" s="33">
        <f>ROUND(IF(IF($B403="高三",MIN(IF($E403="男",$Q403-3.2,$Q403-3.2),0),IF($B403="高二",MIN(IF($E403="男",$Q403-3.25,$Q403-3.22),0),IF($B403="高一",MIN(IF($E403="男",$Q403-3.3,$Q403-3.24),0))))&lt;-0.6,IF($B403="高三",MIN(IF($E403="男",$Q403-3.2,$Q403-3.2),0),IF($B403="高二",MIN(IF($E403="男",$Q403-3.25,$Q403-3.22),0),IF($B403="高一",MIN(IF($E403="男",$Q403-3.3,$Q403-3.24),0))))+0.4,IF($B403="高三",MIN(IF($E403="男",$Q403-3.2,$Q403-3.2),0),IF($B403="高二",MIN(IF($E403="男",$Q403-3.25,$Q403-3.22),0),IF($B403="高一",MIN(IF($E403="男",$Q403-3.3,$Q403-3.24),0))))),2)</f>
        <v>0</v>
      </c>
      <c r="T403" s="23">
        <f>IF(E403="男",LOOKUP($S403,[1]对照表!$AB$3:$AB$13,[1]对照表!$AC$3:$AC$13),LOOKUP($S403,[1]对照表!$AB$15:$AB$25,[1]对照表!$AC$15:$AC$25))</f>
        <v>0</v>
      </c>
      <c r="U403" s="26">
        <f>R403+T403</f>
        <v>95</v>
      </c>
      <c r="V403" s="26">
        <f>SUM(I403,K403,M403)/3*0.3+SUM(G403,R403)/2*0.4</f>
        <v>56.599999999999994</v>
      </c>
      <c r="W403" s="27">
        <f>O403+T403</f>
        <v>0</v>
      </c>
      <c r="X403" s="28">
        <f>V403/0.7+W403</f>
        <v>80.857142857142861</v>
      </c>
      <c r="Y403" s="28">
        <v>80.857142857142861</v>
      </c>
      <c r="Z403" s="21"/>
    </row>
    <row r="404" spans="1:26" x14ac:dyDescent="0.25">
      <c r="A404" s="16">
        <v>8</v>
      </c>
      <c r="B404" s="17" t="s">
        <v>21</v>
      </c>
      <c r="C404" s="16">
        <v>110</v>
      </c>
      <c r="D404" s="18" t="s">
        <v>276</v>
      </c>
      <c r="E404" s="17" t="s">
        <v>23</v>
      </c>
      <c r="F404" s="19">
        <v>6.6</v>
      </c>
      <c r="G404" s="32">
        <f>IF(B404="高三",IF($E404="男",LOOKUP(F404,[1]对照表!$G$3:$G$24,[1]对照表!$H$3:$H$24),LOOKUP(F404,[1]对照表!$G$27:$G$48,[1]对照表!$H$27:$H$48)),IF(B404="高二",IF($E404="男",LOOKUP(F404,[1]对照表!$F$3:$F$24,[1]对照表!$H$3:$H$24),LOOKUP(F404,[1]对照表!$F$27:$F$48,[1]对照表!$H$27:$H$48)),IF(B404="高一",IF($E404="男",LOOKUP(F404,[1]对照表!$E$3:$E$24,[1]对照表!$H$3:$H$24),LOOKUP(F404,[1]对照表!$E$27:$E$48,[1]对照表!$H$27:$H$48)))))</f>
        <v>100</v>
      </c>
      <c r="H404" s="21">
        <v>10.3</v>
      </c>
      <c r="I404" s="32">
        <f>IF(B404="高三",IF($E404="男",LOOKUP(H404,[1]对照表!$K$3:$K$24,[1]对照表!$L$3:$L$24),LOOKUP(H404,[1]对照表!$K$27:$K$48,[1]对照表!$L$27:$L$48)),IF(B404="高二",IF($E404="男",LOOKUP(H404,[1]对照表!$J$3:$J$24,[1]对照表!$L$3:$L$24),LOOKUP(H404,[1]对照表!$J$27:$J$48,[1]对照表!$L$27:$L$48)),IF(B404="高一",IF($E404="男",LOOKUP(H404,[1]对照表!$I$3:$I$24,[1]对照表!$L$3:$L$24),LOOKUP(H404,[1]对照表!$I$27:$I$48,[1]对照表!$L$27:$L$48)))))</f>
        <v>72</v>
      </c>
      <c r="J404" s="21">
        <v>230</v>
      </c>
      <c r="K404" s="32">
        <f>IF(B404="高三",IF($E404="男",LOOKUP(J404,[1]对照表!$O$3:$O$24,[1]对照表!$P$3:$P$24),LOOKUP(J404,[1]对照表!$O$27:$O$48,[1]对照表!$P$27:$P$48)),IF(B404="高二",IF($E404="男",LOOKUP(J404,[1]对照表!$N$3:$N$24,[1]对照表!$P$3:$P$24),LOOKUP(J404,[1]对照表!$N$27:$N$48,[1]对照表!$P$27:$P$48)),IF(B404="高一",IF($E404="男",LOOKUP(J404,[1]对照表!$M$3:$M$24,[1]对照表!$P$3:$P$24),LOOKUP(J404,[1]对照表!$M$27:$M$48,[1]对照表!$P$27:$P$48)))))</f>
        <v>76</v>
      </c>
      <c r="L404" s="21">
        <v>6</v>
      </c>
      <c r="M404" s="32">
        <f>IF(B404="高三",IF($E404="男",LOOKUP(L404,[1]对照表!$S$3:$S$24,[1]对照表!$T$3:$T$24),LOOKUP(L404,[1]对照表!$S$27:$S$48,[1]对照表!$T$27:$T$48)),IF(B404="高二",IF($E404="男",LOOKUP(L404,[1]对照表!$R$3:$R$24,[1]对照表!$T$3:$T$24),LOOKUP(L404,[1]对照表!$R$27:$R$48,[1]对照表!$T$27:$T$48)),IF(B404="高一",IF($E404="男",LOOKUP(L404,[1]对照表!$Q$3:$Q$24,[1]对照表!$T$3:$T$24),LOOKUP(L404,[1]对照表!$Q$27:$Q$48,[1]对照表!$T$27:$T$48)))))</f>
        <v>50</v>
      </c>
      <c r="N404" s="33">
        <f>IF(B404="高三",MAX(IF(E404="男",L404-18,L404-55),0),IF(B404="高二",MAX(IF(E404="男",L404-17,L404-54),0),IF(B404="高一",MAX(IF(E404="男",L404-16,L404-53),0))))</f>
        <v>0</v>
      </c>
      <c r="O404" s="23">
        <f>IF(E404="男",LOOKUP($N404,[1]对照表!$Z$3:$Z$13,[1]对照表!$AA$3:$AA$13),LOOKUP($N404,[1]对照表!$Z$15:$Z$25,[1]对照表!$AA$15:$AA$25))</f>
        <v>0</v>
      </c>
      <c r="P404" s="24">
        <f>M404+O404</f>
        <v>50</v>
      </c>
      <c r="Q404" s="25">
        <v>3.26</v>
      </c>
      <c r="R404" s="32">
        <f>IF(B404="高三",IF($E404="男",LOOKUP(Q404,[1]对照表!$W$3:$W$24,[1]对照表!$X$3:$X$24),LOOKUP(Q404,[1]对照表!$W$27:$W$48,[1]对照表!$X$27:$X$48)),IF(B404="高二",IF($E404="男",LOOKUP(Q404,[1]对照表!$V$3:$V$24,[1]对照表!$X$3:$X$24),LOOKUP(Q404,[1]对照表!$V$27:$V$48,[1]对照表!$X$27:$X$48)),IF(B404="高一",IF($E404="男",LOOKUP(Q404,[1]对照表!$U$3:$U$24,[1]对照表!$X$3:$X$24),LOOKUP(Q404,[1]对照表!$U$27:$U$48,[1]对照表!$X$27:$X$48)))))</f>
        <v>100</v>
      </c>
      <c r="S404" s="33">
        <f>ROUND(IF(IF($B404="高三",MIN(IF($E404="男",$Q404-3.2,$Q404-3.2),0),IF($B404="高二",MIN(IF($E404="男",$Q404-3.25,$Q404-3.22),0),IF($B404="高一",MIN(IF($E404="男",$Q404-3.3,$Q404-3.24),0))))&lt;-0.6,IF($B404="高三",MIN(IF($E404="男",$Q404-3.2,$Q404-3.2),0),IF($B404="高二",MIN(IF($E404="男",$Q404-3.25,$Q404-3.22),0),IF($B404="高一",MIN(IF($E404="男",$Q404-3.3,$Q404-3.24),0))))+0.4,IF($B404="高三",MIN(IF($E404="男",$Q404-3.2,$Q404-3.2),0),IF($B404="高二",MIN(IF($E404="男",$Q404-3.25,$Q404-3.22),0),IF($B404="高一",MIN(IF($E404="男",$Q404-3.3,$Q404-3.24),0))))),2)</f>
        <v>-0.04</v>
      </c>
      <c r="T404" s="23">
        <f>IF(E404="男",LOOKUP($S404,[1]对照表!$AB$3:$AB$13,[1]对照表!$AC$3:$AC$13),LOOKUP($S404,[1]对照表!$AB$15:$AB$25,[1]对照表!$AC$15:$AC$25))</f>
        <v>1</v>
      </c>
      <c r="U404" s="26">
        <f>R404+T404</f>
        <v>101</v>
      </c>
      <c r="V404" s="26">
        <f>SUM(I404,K404,M404)/3*0.3+SUM(G404,R404)/2*0.4</f>
        <v>59.8</v>
      </c>
      <c r="W404" s="27">
        <f>O404+T404</f>
        <v>1</v>
      </c>
      <c r="X404" s="28">
        <f>V404/0.7+W404</f>
        <v>86.428571428571431</v>
      </c>
      <c r="Y404" s="28">
        <v>86.428571428571431</v>
      </c>
      <c r="Z404" s="21"/>
    </row>
    <row r="405" spans="1:26" x14ac:dyDescent="0.25">
      <c r="A405" s="16">
        <v>20</v>
      </c>
      <c r="B405" s="17" t="s">
        <v>21</v>
      </c>
      <c r="C405" s="16">
        <v>110</v>
      </c>
      <c r="D405" s="18" t="s">
        <v>277</v>
      </c>
      <c r="E405" s="17" t="s">
        <v>23</v>
      </c>
      <c r="F405" s="19">
        <v>7.6</v>
      </c>
      <c r="G405" s="32">
        <f>IF(B405="高三",IF($E405="男",LOOKUP(F405,[1]对照表!$G$3:$G$24,[1]对照表!$H$3:$H$24),LOOKUP(F405,[1]对照表!$G$27:$G$48,[1]对照表!$H$27:$H$48)),IF(B405="高二",IF($E405="男",LOOKUP(F405,[1]对照表!$F$3:$F$24,[1]对照表!$H$3:$H$24),LOOKUP(F405,[1]对照表!$F$27:$F$48,[1]对照表!$H$27:$H$48)),IF(B405="高一",IF($E405="男",LOOKUP(F405,[1]对照表!$E$3:$E$24,[1]对照表!$H$3:$H$24),LOOKUP(F405,[1]对照表!$E$27:$E$48,[1]对照表!$H$27:$H$48)))))</f>
        <v>78</v>
      </c>
      <c r="H405" s="21">
        <v>11</v>
      </c>
      <c r="I405" s="32">
        <f>IF(B405="高三",IF($E405="男",LOOKUP(H405,[1]对照表!$K$3:$K$24,[1]对照表!$L$3:$L$24),LOOKUP(H405,[1]对照表!$K$27:$K$48,[1]对照表!$L$27:$L$48)),IF(B405="高二",IF($E405="男",LOOKUP(H405,[1]对照表!$J$3:$J$24,[1]对照表!$L$3:$L$24),LOOKUP(H405,[1]对照表!$J$27:$J$48,[1]对照表!$L$27:$L$48)),IF(B405="高一",IF($E405="男",LOOKUP(H405,[1]对照表!$I$3:$I$24,[1]对照表!$L$3:$L$24),LOOKUP(H405,[1]对照表!$I$27:$I$48,[1]对照表!$L$27:$L$48)))))</f>
        <v>74</v>
      </c>
      <c r="J405" s="21">
        <v>243</v>
      </c>
      <c r="K405" s="32">
        <f>IF(B405="高三",IF($E405="男",LOOKUP(J405,[1]对照表!$O$3:$O$24,[1]对照表!$P$3:$P$24),LOOKUP(J405,[1]对照表!$O$27:$O$48,[1]对照表!$P$27:$P$48)),IF(B405="高二",IF($E405="男",LOOKUP(J405,[1]对照表!$N$3:$N$24,[1]对照表!$P$3:$P$24),LOOKUP(J405,[1]对照表!$N$27:$N$48,[1]对照表!$P$27:$P$48)),IF(B405="高一",IF($E405="男",LOOKUP(J405,[1]对照表!$M$3:$M$24,[1]对照表!$P$3:$P$24),LOOKUP(J405,[1]对照表!$M$27:$M$48,[1]对照表!$P$27:$P$48)))))</f>
        <v>85</v>
      </c>
      <c r="L405" s="21">
        <v>16</v>
      </c>
      <c r="M405" s="32">
        <f>IF(B405="高三",IF($E405="男",LOOKUP(L405,[1]对照表!$S$3:$S$24,[1]对照表!$T$3:$T$24),LOOKUP(L405,[1]对照表!$S$27:$S$48,[1]对照表!$T$27:$T$48)),IF(B405="高二",IF($E405="男",LOOKUP(L405,[1]对照表!$R$3:$R$24,[1]对照表!$T$3:$T$24),LOOKUP(L405,[1]对照表!$R$27:$R$48,[1]对照表!$T$27:$T$48)),IF(B405="高一",IF($E405="男",LOOKUP(L405,[1]对照表!$Q$3:$Q$24,[1]对照表!$T$3:$T$24),LOOKUP(L405,[1]对照表!$Q$27:$Q$48,[1]对照表!$T$27:$T$48)))))</f>
        <v>100</v>
      </c>
      <c r="N405" s="33">
        <f>IF(B405="高三",MAX(IF(E405="男",L405-18,L405-55),0),IF(B405="高二",MAX(IF(E405="男",L405-17,L405-54),0),IF(B405="高一",MAX(IF(E405="男",L405-16,L405-53),0))))</f>
        <v>0</v>
      </c>
      <c r="O405" s="23">
        <f>IF(E405="男",LOOKUP($N405,[1]对照表!$Z$3:$Z$13,[1]对照表!$AA$3:$AA$13),LOOKUP($N405,[1]对照表!$Z$15:$Z$25,[1]对照表!$AA$15:$AA$25))</f>
        <v>0</v>
      </c>
      <c r="P405" s="24">
        <f>M405+O405</f>
        <v>100</v>
      </c>
      <c r="Q405" s="25">
        <v>3.35</v>
      </c>
      <c r="R405" s="32">
        <f>IF(B405="高三",IF($E405="男",LOOKUP(Q405,[1]对照表!$W$3:$W$24,[1]对照表!$X$3:$X$24),LOOKUP(Q405,[1]对照表!$W$27:$W$48,[1]对照表!$X$27:$X$48)),IF(B405="高二",IF($E405="男",LOOKUP(Q405,[1]对照表!$V$3:$V$24,[1]对照表!$X$3:$X$24),LOOKUP(Q405,[1]对照表!$V$27:$V$48,[1]对照表!$X$27:$X$48)),IF(B405="高一",IF($E405="男",LOOKUP(Q405,[1]对照表!$U$3:$U$24,[1]对照表!$X$3:$X$24),LOOKUP(Q405,[1]对照表!$U$27:$U$48,[1]对照表!$X$27:$X$48)))))</f>
        <v>95</v>
      </c>
      <c r="S405" s="33">
        <f>ROUND(IF(IF($B405="高三",MIN(IF($E405="男",$Q405-3.2,$Q405-3.2),0),IF($B405="高二",MIN(IF($E405="男",$Q405-3.25,$Q405-3.22),0),IF($B405="高一",MIN(IF($E405="男",$Q405-3.3,$Q405-3.24),0))))&lt;-0.6,IF($B405="高三",MIN(IF($E405="男",$Q405-3.2,$Q405-3.2),0),IF($B405="高二",MIN(IF($E405="男",$Q405-3.25,$Q405-3.22),0),IF($B405="高一",MIN(IF($E405="男",$Q405-3.3,$Q405-3.24),0))))+0.4,IF($B405="高三",MIN(IF($E405="男",$Q405-3.2,$Q405-3.2),0),IF($B405="高二",MIN(IF($E405="男",$Q405-3.25,$Q405-3.22),0),IF($B405="高一",MIN(IF($E405="男",$Q405-3.3,$Q405-3.24),0))))),2)</f>
        <v>0</v>
      </c>
      <c r="T405" s="23">
        <f>IF(E405="男",LOOKUP($S405,[1]对照表!$AB$3:$AB$13,[1]对照表!$AC$3:$AC$13),LOOKUP($S405,[1]对照表!$AB$15:$AB$25,[1]对照表!$AC$15:$AC$25))</f>
        <v>0</v>
      </c>
      <c r="U405" s="26">
        <f>R405+T405</f>
        <v>95</v>
      </c>
      <c r="V405" s="26">
        <f>SUM(I405,K405,M405)/3*0.3+SUM(G405,R405)/2*0.4</f>
        <v>60.5</v>
      </c>
      <c r="W405" s="27">
        <f>O405+T405</f>
        <v>0</v>
      </c>
      <c r="X405" s="28">
        <f>V405/0.7+W405</f>
        <v>86.428571428571431</v>
      </c>
      <c r="Y405" s="28">
        <v>86.428571428571431</v>
      </c>
      <c r="Z405" s="21"/>
    </row>
    <row r="406" spans="1:26" x14ac:dyDescent="0.25">
      <c r="A406" s="16">
        <v>18</v>
      </c>
      <c r="B406" s="17" t="s">
        <v>21</v>
      </c>
      <c r="C406" s="16">
        <v>110</v>
      </c>
      <c r="D406" s="18" t="s">
        <v>280</v>
      </c>
      <c r="E406" s="17" t="s">
        <v>23</v>
      </c>
      <c r="F406" s="19">
        <v>7</v>
      </c>
      <c r="G406" s="32">
        <f>IF(B406="高三",IF($E406="男",LOOKUP(F406,[1]对照表!$G$3:$G$24,[1]对照表!$H$3:$H$24),LOOKUP(F406,[1]对照表!$G$27:$G$48,[1]对照表!$H$27:$H$48)),IF(B406="高二",IF($E406="男",LOOKUP(F406,[1]对照表!$F$3:$F$24,[1]对照表!$H$3:$H$24),LOOKUP(F406,[1]对照表!$F$27:$F$48,[1]对照表!$H$27:$H$48)),IF(B406="高一",IF($E406="男",LOOKUP(F406,[1]对照表!$E$3:$E$24,[1]对照表!$H$3:$H$24),LOOKUP(F406,[1]对照表!$E$27:$E$48,[1]对照表!$H$27:$H$48)))))</f>
        <v>100</v>
      </c>
      <c r="H406" s="21">
        <v>14</v>
      </c>
      <c r="I406" s="32">
        <f>IF(B406="高三",IF($E406="男",LOOKUP(H406,[1]对照表!$K$3:$K$24,[1]对照表!$L$3:$L$24),LOOKUP(H406,[1]对照表!$K$27:$K$48,[1]对照表!$L$27:$L$48)),IF(B406="高二",IF($E406="男",LOOKUP(H406,[1]对照表!$J$3:$J$24,[1]对照表!$L$3:$L$24),LOOKUP(H406,[1]对照表!$J$27:$J$48,[1]对照表!$L$27:$L$48)),IF(B406="高一",IF($E406="男",LOOKUP(H406,[1]对照表!$I$3:$I$24,[1]对照表!$L$3:$L$24),LOOKUP(H406,[1]对照表!$I$27:$I$48,[1]对照表!$L$27:$L$48)))))</f>
        <v>78</v>
      </c>
      <c r="J406" s="21">
        <v>247</v>
      </c>
      <c r="K406" s="32">
        <f>IF(B406="高三",IF($E406="男",LOOKUP(J406,[1]对照表!$O$3:$O$24,[1]对照表!$P$3:$P$24),LOOKUP(J406,[1]对照表!$O$27:$O$48,[1]对照表!$P$27:$P$48)),IF(B406="高二",IF($E406="男",LOOKUP(J406,[1]对照表!$N$3:$N$24,[1]对照表!$P$3:$P$24),LOOKUP(J406,[1]对照表!$N$27:$N$48,[1]对照表!$P$27:$P$48)),IF(B406="高一",IF($E406="男",LOOKUP(J406,[1]对照表!$M$3:$M$24,[1]对照表!$P$3:$P$24),LOOKUP(J406,[1]对照表!$M$27:$M$48,[1]对照表!$P$27:$P$48)))))</f>
        <v>85</v>
      </c>
      <c r="L406" s="21">
        <v>5</v>
      </c>
      <c r="M406" s="32">
        <f>IF(B406="高三",IF($E406="男",LOOKUP(L406,[1]对照表!$S$3:$S$24,[1]对照表!$T$3:$T$24),LOOKUP(L406,[1]对照表!$S$27:$S$48,[1]对照表!$T$27:$T$48)),IF(B406="高二",IF($E406="男",LOOKUP(L406,[1]对照表!$R$3:$R$24,[1]对照表!$T$3:$T$24),LOOKUP(L406,[1]对照表!$R$27:$R$48,[1]对照表!$T$27:$T$48)),IF(B406="高一",IF($E406="男",LOOKUP(L406,[1]对照表!$Q$3:$Q$24,[1]对照表!$T$3:$T$24),LOOKUP(L406,[1]对照表!$Q$27:$Q$48,[1]对照表!$T$27:$T$48)))))</f>
        <v>40</v>
      </c>
      <c r="N406" s="33">
        <f>IF(B406="高三",MAX(IF(E406="男",L406-18,L406-55),0),IF(B406="高二",MAX(IF(E406="男",L406-17,L406-54),0),IF(B406="高一",MAX(IF(E406="男",L406-16,L406-53),0))))</f>
        <v>0</v>
      </c>
      <c r="O406" s="23">
        <f>IF(E406="男",LOOKUP($N406,[1]对照表!$Z$3:$Z$13,[1]对照表!$AA$3:$AA$13),LOOKUP($N406,[1]对照表!$Z$15:$Z$25,[1]对照表!$AA$15:$AA$25))</f>
        <v>0</v>
      </c>
      <c r="P406" s="24">
        <f>M406+O406</f>
        <v>40</v>
      </c>
      <c r="Q406" s="25">
        <v>3.28</v>
      </c>
      <c r="R406" s="32">
        <f>IF(B406="高三",IF($E406="男",LOOKUP(Q406,[1]对照表!$W$3:$W$24,[1]对照表!$X$3:$X$24),LOOKUP(Q406,[1]对照表!$W$27:$W$48,[1]对照表!$X$27:$X$48)),IF(B406="高二",IF($E406="男",LOOKUP(Q406,[1]对照表!$V$3:$V$24,[1]对照表!$X$3:$X$24),LOOKUP(Q406,[1]对照表!$V$27:$V$48,[1]对照表!$X$27:$X$48)),IF(B406="高一",IF($E406="男",LOOKUP(Q406,[1]对照表!$U$3:$U$24,[1]对照表!$X$3:$X$24),LOOKUP(Q406,[1]对照表!$U$27:$U$48,[1]对照表!$X$27:$X$48)))))</f>
        <v>100</v>
      </c>
      <c r="S406" s="33">
        <f>ROUND(IF(IF($B406="高三",MIN(IF($E406="男",$Q406-3.2,$Q406-3.2),0),IF($B406="高二",MIN(IF($E406="男",$Q406-3.25,$Q406-3.22),0),IF($B406="高一",MIN(IF($E406="男",$Q406-3.3,$Q406-3.24),0))))&lt;-0.6,IF($B406="高三",MIN(IF($E406="男",$Q406-3.2,$Q406-3.2),0),IF($B406="高二",MIN(IF($E406="男",$Q406-3.25,$Q406-3.22),0),IF($B406="高一",MIN(IF($E406="男",$Q406-3.3,$Q406-3.24),0))))+0.4,IF($B406="高三",MIN(IF($E406="男",$Q406-3.2,$Q406-3.2),0),IF($B406="高二",MIN(IF($E406="男",$Q406-3.25,$Q406-3.22),0),IF($B406="高一",MIN(IF($E406="男",$Q406-3.3,$Q406-3.24),0))))),2)</f>
        <v>-0.02</v>
      </c>
      <c r="T406" s="23">
        <f>IF(E406="男",LOOKUP($S406,[1]对照表!$AB$3:$AB$13,[1]对照表!$AC$3:$AC$13),LOOKUP($S406,[1]对照表!$AB$15:$AB$25,[1]对照表!$AC$15:$AC$25))</f>
        <v>0</v>
      </c>
      <c r="U406" s="26">
        <f>R406+T406</f>
        <v>100</v>
      </c>
      <c r="V406" s="26">
        <f>SUM(I406,K406,M406)/3*0.3+SUM(G406,R406)/2*0.4</f>
        <v>60.3</v>
      </c>
      <c r="W406" s="27">
        <f>O406+T406</f>
        <v>0</v>
      </c>
      <c r="X406" s="28">
        <f>V406/0.7+W406</f>
        <v>86.142857142857139</v>
      </c>
      <c r="Y406" s="28">
        <v>86.142857142857139</v>
      </c>
      <c r="Z406" s="21"/>
    </row>
    <row r="407" spans="1:26" x14ac:dyDescent="0.25">
      <c r="A407" s="16">
        <v>36</v>
      </c>
      <c r="B407" s="17" t="s">
        <v>21</v>
      </c>
      <c r="C407" s="16">
        <v>110</v>
      </c>
      <c r="D407" s="18" t="s">
        <v>306</v>
      </c>
      <c r="E407" s="17" t="s">
        <v>65</v>
      </c>
      <c r="F407" s="19">
        <v>9.15</v>
      </c>
      <c r="G407" s="32">
        <f>IF(B407="高三",IF($E407="男",LOOKUP(F407,[1]对照表!$G$3:$G$24,[1]对照表!$H$3:$H$24),LOOKUP(F407,[1]对照表!$G$27:$G$48,[1]对照表!$H$27:$H$48)),IF(B407="高二",IF($E407="男",LOOKUP(F407,[1]对照表!$F$3:$F$24,[1]对照表!$H$3:$H$24),LOOKUP(F407,[1]对照表!$F$27:$F$48,[1]对照表!$H$27:$H$48)),IF(B407="高一",IF($E407="男",LOOKUP(F407,[1]对照表!$E$3:$E$24,[1]对照表!$H$3:$H$24),LOOKUP(F407,[1]对照表!$E$27:$E$48,[1]对照表!$H$27:$H$48)))))</f>
        <v>74</v>
      </c>
      <c r="H407" s="21">
        <v>16</v>
      </c>
      <c r="I407" s="32">
        <f>IF(B407="高三",IF($E407="男",LOOKUP(H407,[1]对照表!$K$3:$K$24,[1]对照表!$L$3:$L$24),LOOKUP(H407,[1]对照表!$K$27:$K$48,[1]对照表!$L$27:$L$48)),IF(B407="高二",IF($E407="男",LOOKUP(H407,[1]对照表!$J$3:$J$24,[1]对照表!$L$3:$L$24),LOOKUP(H407,[1]对照表!$J$27:$J$48,[1]对照表!$L$27:$L$48)),IF(B407="高一",IF($E407="男",LOOKUP(H407,[1]对照表!$I$3:$I$24,[1]对照表!$L$3:$L$24),LOOKUP(H407,[1]对照表!$I$27:$I$48,[1]对照表!$L$27:$L$48)))))</f>
        <v>76</v>
      </c>
      <c r="J407" s="21">
        <v>160</v>
      </c>
      <c r="K407" s="32">
        <f>IF(B407="高三",IF($E407="男",LOOKUP(J407,[1]对照表!$O$3:$O$24,[1]对照表!$P$3:$P$24),LOOKUP(J407,[1]对照表!$O$27:$O$48,[1]对照表!$P$27:$P$48)),IF(B407="高二",IF($E407="男",LOOKUP(J407,[1]对照表!$N$3:$N$24,[1]对照表!$P$3:$P$24),LOOKUP(J407,[1]对照表!$N$27:$N$48,[1]对照表!$P$27:$P$48)),IF(B407="高一",IF($E407="男",LOOKUP(J407,[1]对照表!$M$3:$M$24,[1]对照表!$P$3:$P$24),LOOKUP(J407,[1]对照表!$M$27:$M$48,[1]对照表!$P$27:$P$48)))))</f>
        <v>68</v>
      </c>
      <c r="L407" s="21">
        <v>50</v>
      </c>
      <c r="M407" s="32">
        <f>IF(B407="高三",IF($E407="男",LOOKUP(L407,[1]对照表!$S$3:$S$24,[1]对照表!$T$3:$T$24),LOOKUP(L407,[1]对照表!$S$27:$S$48,[1]对照表!$T$27:$T$48)),IF(B407="高二",IF($E407="男",LOOKUP(L407,[1]对照表!$R$3:$R$24,[1]对照表!$T$3:$T$24),LOOKUP(L407,[1]对照表!$R$27:$R$48,[1]对照表!$T$27:$T$48)),IF(B407="高一",IF($E407="男",LOOKUP(L407,[1]对照表!$Q$3:$Q$24,[1]对照表!$T$3:$T$24),LOOKUP(L407,[1]对照表!$Q$27:$Q$48,[1]对照表!$T$27:$T$48)))))</f>
        <v>90</v>
      </c>
      <c r="N407" s="33">
        <f>IF(B407="高三",MAX(IF(E407="男",L407-18,L407-55),0),IF(B407="高二",MAX(IF(E407="男",L407-17,L407-54),0),IF(B407="高一",MAX(IF(E407="男",L407-16,L407-53),0))))</f>
        <v>0</v>
      </c>
      <c r="O407" s="23">
        <f>IF(E407="男",LOOKUP($N407,[1]对照表!$Z$3:$Z$13,[1]对照表!$AA$3:$AA$13),LOOKUP($N407,[1]对照表!$Z$15:$Z$25,[1]对照表!$AA$15:$AA$25))</f>
        <v>0</v>
      </c>
      <c r="P407" s="24">
        <f>M407+O407</f>
        <v>90</v>
      </c>
      <c r="Q407" s="25">
        <v>3.3</v>
      </c>
      <c r="R407" s="32">
        <f>IF(B407="高三",IF($E407="男",LOOKUP(Q407,[1]对照表!$W$3:$W$24,[1]对照表!$X$3:$X$24),LOOKUP(Q407,[1]对照表!$W$27:$W$48,[1]对照表!$X$27:$X$48)),IF(B407="高二",IF($E407="男",LOOKUP(Q407,[1]对照表!$V$3:$V$24,[1]对照表!$X$3:$X$24),LOOKUP(Q407,[1]对照表!$V$27:$V$48,[1]对照表!$X$27:$X$48)),IF(B407="高一",IF($E407="男",LOOKUP(Q407,[1]对照表!$U$3:$U$24,[1]对照表!$X$3:$X$24),LOOKUP(Q407,[1]对照表!$U$27:$U$48,[1]对照表!$X$27:$X$48)))))</f>
        <v>95</v>
      </c>
      <c r="S407" s="33">
        <f>ROUND(IF(IF($B407="高三",MIN(IF($E407="男",$Q407-3.2,$Q407-3.2),0),IF($B407="高二",MIN(IF($E407="男",$Q407-3.25,$Q407-3.22),0),IF($B407="高一",MIN(IF($E407="男",$Q407-3.3,$Q407-3.24),0))))&lt;-0.6,IF($B407="高三",MIN(IF($E407="男",$Q407-3.2,$Q407-3.2),0),IF($B407="高二",MIN(IF($E407="男",$Q407-3.25,$Q407-3.22),0),IF($B407="高一",MIN(IF($E407="男",$Q407-3.3,$Q407-3.24),0))))+0.4,IF($B407="高三",MIN(IF($E407="男",$Q407-3.2,$Q407-3.2),0),IF($B407="高二",MIN(IF($E407="男",$Q407-3.25,$Q407-3.22),0),IF($B407="高一",MIN(IF($E407="男",$Q407-3.3,$Q407-3.24),0))))),2)</f>
        <v>0</v>
      </c>
      <c r="T407" s="23">
        <f>IF(E407="男",LOOKUP($S407,[1]对照表!$AB$3:$AB$13,[1]对照表!$AC$3:$AC$13),LOOKUP($S407,[1]对照表!$AB$15:$AB$25,[1]对照表!$AC$15:$AC$25))</f>
        <v>0</v>
      </c>
      <c r="U407" s="26">
        <f>R407+T407</f>
        <v>95</v>
      </c>
      <c r="V407" s="26">
        <f>SUM(I407,K407,M407)/3*0.3+SUM(G407,R407)/2*0.4</f>
        <v>57.2</v>
      </c>
      <c r="W407" s="27">
        <f>O407+T407</f>
        <v>0</v>
      </c>
      <c r="X407" s="28">
        <f>V407/0.7+W407</f>
        <v>81.714285714285722</v>
      </c>
      <c r="Y407" s="28">
        <v>81.714285714285722</v>
      </c>
      <c r="Z407" s="21"/>
    </row>
    <row r="408" spans="1:26" x14ac:dyDescent="0.25">
      <c r="A408" s="16">
        <v>32</v>
      </c>
      <c r="B408" s="17" t="s">
        <v>21</v>
      </c>
      <c r="C408" s="16">
        <v>110</v>
      </c>
      <c r="D408" s="18" t="s">
        <v>325</v>
      </c>
      <c r="E408" s="16" t="s">
        <v>23</v>
      </c>
      <c r="F408" s="19">
        <v>7.6</v>
      </c>
      <c r="G408" s="32">
        <f>IF(B408="高三",IF($E408="男",LOOKUP(F408,[1]对照表!$G$3:$G$24,[1]对照表!$H$3:$H$24),LOOKUP(F408,[1]对照表!$G$27:$G$48,[1]对照表!$H$27:$H$48)),IF(B408="高二",IF($E408="男",LOOKUP(F408,[1]对照表!$F$3:$F$24,[1]对照表!$H$3:$H$24),LOOKUP(F408,[1]对照表!$F$27:$F$48,[1]对照表!$H$27:$H$48)),IF(B408="高一",IF($E408="男",LOOKUP(F408,[1]对照表!$E$3:$E$24,[1]对照表!$H$3:$H$24),LOOKUP(F408,[1]对照表!$E$27:$E$48,[1]对照表!$H$27:$H$48)))))</f>
        <v>78</v>
      </c>
      <c r="H408" s="21">
        <v>15</v>
      </c>
      <c r="I408" s="32">
        <f>IF(B408="高三",IF($E408="男",LOOKUP(H408,[1]对照表!$K$3:$K$24,[1]对照表!$L$3:$L$24),LOOKUP(H408,[1]对照表!$K$27:$K$48,[1]对照表!$L$27:$L$48)),IF(B408="高二",IF($E408="男",LOOKUP(H408,[1]对照表!$J$3:$J$24,[1]对照表!$L$3:$L$24),LOOKUP(H408,[1]对照表!$J$27:$J$48,[1]对照表!$L$27:$L$48)),IF(B408="高一",IF($E408="男",LOOKUP(H408,[1]对照表!$I$3:$I$24,[1]对照表!$L$3:$L$24),LOOKUP(H408,[1]对照表!$I$27:$I$48,[1]对照表!$L$27:$L$48)))))</f>
        <v>80</v>
      </c>
      <c r="J408" s="21">
        <v>219</v>
      </c>
      <c r="K408" s="32">
        <f>IF(B408="高三",IF($E408="男",LOOKUP(J408,[1]对照表!$O$3:$O$24,[1]对照表!$P$3:$P$24),LOOKUP(J408,[1]对照表!$O$27:$O$48,[1]对照表!$P$27:$P$48)),IF(B408="高二",IF($E408="男",LOOKUP(J408,[1]对照表!$N$3:$N$24,[1]对照表!$P$3:$P$24),LOOKUP(J408,[1]对照表!$N$27:$N$48,[1]对照表!$P$27:$P$48)),IF(B408="高一",IF($E408="男",LOOKUP(J408,[1]对照表!$M$3:$M$24,[1]对照表!$P$3:$P$24),LOOKUP(J408,[1]对照表!$M$27:$M$48,[1]对照表!$P$27:$P$48)))))</f>
        <v>72</v>
      </c>
      <c r="L408" s="21">
        <v>17</v>
      </c>
      <c r="M408" s="32">
        <f>IF(B408="高三",IF($E408="男",LOOKUP(L408,[1]对照表!$S$3:$S$24,[1]对照表!$T$3:$T$24),LOOKUP(L408,[1]对照表!$S$27:$S$48,[1]对照表!$T$27:$T$48)),IF(B408="高二",IF($E408="男",LOOKUP(L408,[1]对照表!$R$3:$R$24,[1]对照表!$T$3:$T$24),LOOKUP(L408,[1]对照表!$R$27:$R$48,[1]对照表!$T$27:$T$48)),IF(B408="高一",IF($E408="男",LOOKUP(L408,[1]对照表!$Q$3:$Q$24,[1]对照表!$T$3:$T$24),LOOKUP(L408,[1]对照表!$Q$27:$Q$48,[1]对照表!$T$27:$T$48)))))</f>
        <v>100</v>
      </c>
      <c r="N408" s="33">
        <f>IF(B408="高三",MAX(IF(E408="男",L408-18,L408-55),0),IF(B408="高二",MAX(IF(E408="男",L408-17,L408-54),0),IF(B408="高一",MAX(IF(E408="男",L408-16,L408-53),0))))</f>
        <v>1</v>
      </c>
      <c r="O408" s="23">
        <f>IF(E408="男",LOOKUP($N408,[1]对照表!$Z$3:$Z$13,[1]对照表!$AA$3:$AA$13),LOOKUP($N408,[1]对照表!$Z$15:$Z$25,[1]对照表!$AA$15:$AA$25))</f>
        <v>1</v>
      </c>
      <c r="P408" s="24">
        <f>M408+O408</f>
        <v>101</v>
      </c>
      <c r="Q408" s="25">
        <v>3.53</v>
      </c>
      <c r="R408" s="32">
        <f>IF(B408="高三",IF($E408="男",LOOKUP(Q408,[1]对照表!$W$3:$W$24,[1]对照表!$X$3:$X$24),LOOKUP(Q408,[1]对照表!$W$27:$W$48,[1]对照表!$X$27:$X$48)),IF(B408="高二",IF($E408="男",LOOKUP(Q408,[1]对照表!$V$3:$V$24,[1]对照表!$X$3:$X$24),LOOKUP(Q408,[1]对照表!$V$27:$V$48,[1]对照表!$X$27:$X$48)),IF(B408="高一",IF($E408="男",LOOKUP(Q408,[1]对照表!$U$3:$U$24,[1]对照表!$X$3:$X$24),LOOKUP(Q408,[1]对照表!$U$27:$U$48,[1]对照表!$X$27:$X$48)))))</f>
        <v>80</v>
      </c>
      <c r="S408" s="33">
        <f>ROUND(IF(IF($B408="高三",MIN(IF($E408="男",$Q408-3.2,$Q408-3.2),0),IF($B408="高二",MIN(IF($E408="男",$Q408-3.25,$Q408-3.22),0),IF($B408="高一",MIN(IF($E408="男",$Q408-3.3,$Q408-3.24),0))))&lt;-0.6,IF($B408="高三",MIN(IF($E408="男",$Q408-3.2,$Q408-3.2),0),IF($B408="高二",MIN(IF($E408="男",$Q408-3.25,$Q408-3.22),0),IF($B408="高一",MIN(IF($E408="男",$Q408-3.3,$Q408-3.24),0))))+0.4,IF($B408="高三",MIN(IF($E408="男",$Q408-3.2,$Q408-3.2),0),IF($B408="高二",MIN(IF($E408="男",$Q408-3.25,$Q408-3.22),0),IF($B408="高一",MIN(IF($E408="男",$Q408-3.3,$Q408-3.24),0))))),2)</f>
        <v>0</v>
      </c>
      <c r="T408" s="23">
        <f>IF(E408="男",LOOKUP($S408,[1]对照表!$AB$3:$AB$13,[1]对照表!$AC$3:$AC$13),LOOKUP($S408,[1]对照表!$AB$15:$AB$25,[1]对照表!$AC$15:$AC$25))</f>
        <v>0</v>
      </c>
      <c r="U408" s="26">
        <f>R408+T408</f>
        <v>80</v>
      </c>
      <c r="V408" s="26">
        <f>SUM(I408,K408,M408)/3*0.3+SUM(G408,R408)/2*0.4</f>
        <v>56.8</v>
      </c>
      <c r="W408" s="27">
        <f>O408+T408</f>
        <v>1</v>
      </c>
      <c r="X408" s="28">
        <f>V408/0.7+W408</f>
        <v>82.142857142857139</v>
      </c>
      <c r="Y408" s="28">
        <v>82.142857142857139</v>
      </c>
      <c r="Z408" s="21"/>
    </row>
    <row r="409" spans="1:26" x14ac:dyDescent="0.25">
      <c r="A409" s="16">
        <v>27</v>
      </c>
      <c r="B409" s="17" t="s">
        <v>21</v>
      </c>
      <c r="C409" s="16">
        <v>110</v>
      </c>
      <c r="D409" s="18" t="s">
        <v>331</v>
      </c>
      <c r="E409" s="16" t="s">
        <v>23</v>
      </c>
      <c r="F409" s="19">
        <v>7.5</v>
      </c>
      <c r="G409" s="32">
        <f>IF(B409="高三",IF($E409="男",LOOKUP(F409,[1]对照表!$G$3:$G$24,[1]对照表!$H$3:$H$24),LOOKUP(F409,[1]对照表!$G$27:$G$48,[1]对照表!$H$27:$H$48)),IF(B409="高二",IF($E409="男",LOOKUP(F409,[1]对照表!$F$3:$F$24,[1]对照表!$H$3:$H$24),LOOKUP(F409,[1]对照表!$F$27:$F$48,[1]对照表!$H$27:$H$48)),IF(B409="高一",IF($E409="男",LOOKUP(F409,[1]对照表!$E$3:$E$24,[1]对照表!$H$3:$H$24),LOOKUP(F409,[1]对照表!$E$27:$E$48,[1]对照表!$H$27:$H$48)))))</f>
        <v>80</v>
      </c>
      <c r="H409" s="21">
        <v>6.7</v>
      </c>
      <c r="I409" s="32">
        <f>IF(B409="高三",IF($E409="男",LOOKUP(H409,[1]对照表!$K$3:$K$24,[1]对照表!$L$3:$L$24),LOOKUP(H409,[1]对照表!$K$27:$K$48,[1]对照表!$L$27:$L$48)),IF(B409="高二",IF($E409="男",LOOKUP(H409,[1]对照表!$J$3:$J$24,[1]对照表!$L$3:$L$24),LOOKUP(H409,[1]对照表!$J$27:$J$48,[1]对照表!$L$27:$L$48)),IF(B409="高一",IF($E409="男",LOOKUP(H409,[1]对照表!$I$3:$I$24,[1]对照表!$L$3:$L$24),LOOKUP(H409,[1]对照表!$I$27:$I$48,[1]对照表!$L$27:$L$48)))))</f>
        <v>68</v>
      </c>
      <c r="J409" s="21">
        <v>213</v>
      </c>
      <c r="K409" s="32">
        <f>IF(B409="高三",IF($E409="男",LOOKUP(J409,[1]对照表!$O$3:$O$24,[1]对照表!$P$3:$P$24),LOOKUP(J409,[1]对照表!$O$27:$O$48,[1]对照表!$P$27:$P$48)),IF(B409="高二",IF($E409="男",LOOKUP(J409,[1]对照表!$N$3:$N$24,[1]对照表!$P$3:$P$24),LOOKUP(J409,[1]对照表!$N$27:$N$48,[1]对照表!$P$27:$P$48)),IF(B409="高一",IF($E409="男",LOOKUP(J409,[1]对照表!$M$3:$M$24,[1]对照表!$P$3:$P$24),LOOKUP(J409,[1]对照表!$M$27:$M$48,[1]对照表!$P$27:$P$48)))))</f>
        <v>68</v>
      </c>
      <c r="L409" s="21">
        <v>15</v>
      </c>
      <c r="M409" s="32">
        <f>IF(B409="高三",IF($E409="男",LOOKUP(L409,[1]对照表!$S$3:$S$24,[1]对照表!$T$3:$T$24),LOOKUP(L409,[1]对照表!$S$27:$S$48,[1]对照表!$T$27:$T$48)),IF(B409="高二",IF($E409="男",LOOKUP(L409,[1]对照表!$R$3:$R$24,[1]对照表!$T$3:$T$24),LOOKUP(L409,[1]对照表!$R$27:$R$48,[1]对照表!$T$27:$T$48)),IF(B409="高一",IF($E409="男",LOOKUP(L409,[1]对照表!$Q$3:$Q$24,[1]对照表!$T$3:$T$24),LOOKUP(L409,[1]对照表!$Q$27:$Q$48,[1]对照表!$T$27:$T$48)))))</f>
        <v>95</v>
      </c>
      <c r="N409" s="33">
        <f>IF(B409="高三",MAX(IF(E409="男",L409-18,L409-55),0),IF(B409="高二",MAX(IF(E409="男",L409-17,L409-54),0),IF(B409="高一",MAX(IF(E409="男",L409-16,L409-53),0))))</f>
        <v>0</v>
      </c>
      <c r="O409" s="23">
        <f>IF(E409="男",LOOKUP($N409,[1]对照表!$Z$3:$Z$13,[1]对照表!$AA$3:$AA$13),LOOKUP($N409,[1]对照表!$Z$15:$Z$25,[1]对照表!$AA$15:$AA$25))</f>
        <v>0</v>
      </c>
      <c r="P409" s="24">
        <f>M409+O409</f>
        <v>95</v>
      </c>
      <c r="Q409" s="25">
        <v>3.39</v>
      </c>
      <c r="R409" s="32">
        <f>IF(B409="高三",IF($E409="男",LOOKUP(Q409,[1]对照表!$W$3:$W$24,[1]对照表!$X$3:$X$24),LOOKUP(Q409,[1]对照表!$W$27:$W$48,[1]对照表!$X$27:$X$48)),IF(B409="高二",IF($E409="男",LOOKUP(Q409,[1]对照表!$V$3:$V$24,[1]对照表!$X$3:$X$24),LOOKUP(Q409,[1]对照表!$V$27:$V$48,[1]对照表!$X$27:$X$48)),IF(B409="高一",IF($E409="男",LOOKUP(Q409,[1]对照表!$U$3:$U$24,[1]对照表!$X$3:$X$24),LOOKUP(Q409,[1]对照表!$U$27:$U$48,[1]对照表!$X$27:$X$48)))))</f>
        <v>90</v>
      </c>
      <c r="S409" s="33">
        <f>ROUND(IF(IF($B409="高三",MIN(IF($E409="男",$Q409-3.2,$Q409-3.2),0),IF($B409="高二",MIN(IF($E409="男",$Q409-3.25,$Q409-3.22),0),IF($B409="高一",MIN(IF($E409="男",$Q409-3.3,$Q409-3.24),0))))&lt;-0.6,IF($B409="高三",MIN(IF($E409="男",$Q409-3.2,$Q409-3.2),0),IF($B409="高二",MIN(IF($E409="男",$Q409-3.25,$Q409-3.22),0),IF($B409="高一",MIN(IF($E409="男",$Q409-3.3,$Q409-3.24),0))))+0.4,IF($B409="高三",MIN(IF($E409="男",$Q409-3.2,$Q409-3.2),0),IF($B409="高二",MIN(IF($E409="男",$Q409-3.25,$Q409-3.22),0),IF($B409="高一",MIN(IF($E409="男",$Q409-3.3,$Q409-3.24),0))))),2)</f>
        <v>0</v>
      </c>
      <c r="T409" s="23">
        <f>IF(E409="男",LOOKUP($S409,[1]对照表!$AB$3:$AB$13,[1]对照表!$AC$3:$AC$13),LOOKUP($S409,[1]对照表!$AB$15:$AB$25,[1]对照表!$AC$15:$AC$25))</f>
        <v>0</v>
      </c>
      <c r="U409" s="26">
        <f>R409+T409</f>
        <v>90</v>
      </c>
      <c r="V409" s="26">
        <f>SUM(I409,K409,M409)/3*0.3+SUM(G409,R409)/2*0.4</f>
        <v>57.099999999999994</v>
      </c>
      <c r="W409" s="27">
        <f>O409+T409</f>
        <v>0</v>
      </c>
      <c r="X409" s="28">
        <f>V409/0.7+W409</f>
        <v>81.571428571428569</v>
      </c>
      <c r="Y409" s="28">
        <v>81.571428571428569</v>
      </c>
      <c r="Z409" s="21"/>
    </row>
    <row r="410" spans="1:26" x14ac:dyDescent="0.25">
      <c r="A410" s="16">
        <v>15</v>
      </c>
      <c r="B410" s="17" t="s">
        <v>21</v>
      </c>
      <c r="C410" s="16">
        <v>110</v>
      </c>
      <c r="D410" s="18" t="s">
        <v>335</v>
      </c>
      <c r="E410" s="17" t="s">
        <v>23</v>
      </c>
      <c r="F410" s="19">
        <v>7.5</v>
      </c>
      <c r="G410" s="32">
        <f>IF(B410="高三",IF($E410="男",LOOKUP(F410,[1]对照表!$G$3:$G$24,[1]对照表!$H$3:$H$24),LOOKUP(F410,[1]对照表!$G$27:$G$48,[1]对照表!$H$27:$H$48)),IF(B410="高二",IF($E410="男",LOOKUP(F410,[1]对照表!$F$3:$F$24,[1]对照表!$H$3:$H$24),LOOKUP(F410,[1]对照表!$F$27:$F$48,[1]对照表!$H$27:$H$48)),IF(B410="高一",IF($E410="男",LOOKUP(F410,[1]对照表!$E$3:$E$24,[1]对照表!$H$3:$H$24),LOOKUP(F410,[1]对照表!$E$27:$E$48,[1]对照表!$H$27:$H$48)))))</f>
        <v>80</v>
      </c>
      <c r="H410" s="21">
        <v>8.8000000000000007</v>
      </c>
      <c r="I410" s="32">
        <f>IF(B410="高三",IF($E410="男",LOOKUP(H410,[1]对照表!$K$3:$K$24,[1]对照表!$L$3:$L$24),LOOKUP(H410,[1]对照表!$K$27:$K$48,[1]对照表!$L$27:$L$48)),IF(B410="高二",IF($E410="男",LOOKUP(H410,[1]对照表!$J$3:$J$24,[1]对照表!$L$3:$L$24),LOOKUP(H410,[1]对照表!$J$27:$J$48,[1]对照表!$L$27:$L$48)),IF(B410="高一",IF($E410="男",LOOKUP(H410,[1]对照表!$I$3:$I$24,[1]对照表!$L$3:$L$24),LOOKUP(H410,[1]对照表!$I$27:$I$48,[1]对照表!$L$27:$L$48)))))</f>
        <v>70</v>
      </c>
      <c r="J410" s="21">
        <v>218</v>
      </c>
      <c r="K410" s="32">
        <f>IF(B410="高三",IF($E410="男",LOOKUP(J410,[1]对照表!$O$3:$O$24,[1]对照表!$P$3:$P$24),LOOKUP(J410,[1]对照表!$O$27:$O$48,[1]对照表!$P$27:$P$48)),IF(B410="高二",IF($E410="男",LOOKUP(J410,[1]对照表!$N$3:$N$24,[1]对照表!$P$3:$P$24),LOOKUP(J410,[1]对照表!$N$27:$N$48,[1]对照表!$P$27:$P$48)),IF(B410="高一",IF($E410="男",LOOKUP(J410,[1]对照表!$M$3:$M$24,[1]对照表!$P$3:$P$24),LOOKUP(J410,[1]对照表!$M$27:$M$48,[1]对照表!$P$27:$P$48)))))</f>
        <v>70</v>
      </c>
      <c r="L410" s="21">
        <v>16</v>
      </c>
      <c r="M410" s="32">
        <f>IF(B410="高三",IF($E410="男",LOOKUP(L410,[1]对照表!$S$3:$S$24,[1]对照表!$T$3:$T$24),LOOKUP(L410,[1]对照表!$S$27:$S$48,[1]对照表!$T$27:$T$48)),IF(B410="高二",IF($E410="男",LOOKUP(L410,[1]对照表!$R$3:$R$24,[1]对照表!$T$3:$T$24),LOOKUP(L410,[1]对照表!$R$27:$R$48,[1]对照表!$T$27:$T$48)),IF(B410="高一",IF($E410="男",LOOKUP(L410,[1]对照表!$Q$3:$Q$24,[1]对照表!$T$3:$T$24),LOOKUP(L410,[1]对照表!$Q$27:$Q$48,[1]对照表!$T$27:$T$48)))))</f>
        <v>100</v>
      </c>
      <c r="N410" s="33">
        <f>IF(B410="高三",MAX(IF(E410="男",L410-18,L410-55),0),IF(B410="高二",MAX(IF(E410="男",L410-17,L410-54),0),IF(B410="高一",MAX(IF(E410="男",L410-16,L410-53),0))))</f>
        <v>0</v>
      </c>
      <c r="O410" s="23">
        <f>IF(E410="男",LOOKUP($N410,[1]对照表!$Z$3:$Z$13,[1]对照表!$AA$3:$AA$13),LOOKUP($N410,[1]对照表!$Z$15:$Z$25,[1]对照表!$AA$15:$AA$25))</f>
        <v>0</v>
      </c>
      <c r="P410" s="24">
        <f>M410+O410</f>
        <v>100</v>
      </c>
      <c r="Q410" s="25">
        <v>3.41</v>
      </c>
      <c r="R410" s="32">
        <f>IF(B410="高三",IF($E410="男",LOOKUP(Q410,[1]对照表!$W$3:$W$24,[1]对照表!$X$3:$X$24),LOOKUP(Q410,[1]对照表!$W$27:$W$48,[1]对照表!$X$27:$X$48)),IF(B410="高二",IF($E410="男",LOOKUP(Q410,[1]对照表!$V$3:$V$24,[1]对照表!$X$3:$X$24),LOOKUP(Q410,[1]对照表!$V$27:$V$48,[1]对照表!$X$27:$X$48)),IF(B410="高一",IF($E410="男",LOOKUP(Q410,[1]对照表!$U$3:$U$24,[1]对照表!$X$3:$X$24),LOOKUP(Q410,[1]对照表!$U$27:$U$48,[1]对照表!$X$27:$X$48)))))</f>
        <v>85</v>
      </c>
      <c r="S410" s="33">
        <f>ROUND(IF(IF($B410="高三",MIN(IF($E410="男",$Q410-3.2,$Q410-3.2),0),IF($B410="高二",MIN(IF($E410="男",$Q410-3.25,$Q410-3.22),0),IF($B410="高一",MIN(IF($E410="男",$Q410-3.3,$Q410-3.24),0))))&lt;-0.6,IF($B410="高三",MIN(IF($E410="男",$Q410-3.2,$Q410-3.2),0),IF($B410="高二",MIN(IF($E410="男",$Q410-3.25,$Q410-3.22),0),IF($B410="高一",MIN(IF($E410="男",$Q410-3.3,$Q410-3.24),0))))+0.4,IF($B410="高三",MIN(IF($E410="男",$Q410-3.2,$Q410-3.2),0),IF($B410="高二",MIN(IF($E410="男",$Q410-3.25,$Q410-3.22),0),IF($B410="高一",MIN(IF($E410="男",$Q410-3.3,$Q410-3.24),0))))),2)</f>
        <v>0</v>
      </c>
      <c r="T410" s="23">
        <f>IF(E410="男",LOOKUP($S410,[1]对照表!$AB$3:$AB$13,[1]对照表!$AC$3:$AC$13),LOOKUP($S410,[1]对照表!$AB$15:$AB$25,[1]对照表!$AC$15:$AC$25))</f>
        <v>0</v>
      </c>
      <c r="U410" s="26">
        <f>R410+T410</f>
        <v>85</v>
      </c>
      <c r="V410" s="26">
        <f>SUM(I410,K410,M410)/3*0.3+SUM(G410,R410)/2*0.4</f>
        <v>57</v>
      </c>
      <c r="W410" s="27">
        <f>O410+T410</f>
        <v>0</v>
      </c>
      <c r="X410" s="28">
        <f>V410/0.7+W410</f>
        <v>81.428571428571431</v>
      </c>
      <c r="Y410" s="28">
        <v>81.428571428571431</v>
      </c>
      <c r="Z410" s="21"/>
    </row>
    <row r="411" spans="1:26" x14ac:dyDescent="0.25">
      <c r="A411" s="16">
        <v>16</v>
      </c>
      <c r="B411" s="17" t="s">
        <v>21</v>
      </c>
      <c r="C411" s="16">
        <v>110</v>
      </c>
      <c r="D411" s="18" t="s">
        <v>361</v>
      </c>
      <c r="E411" s="17" t="s">
        <v>23</v>
      </c>
      <c r="F411" s="19">
        <v>7.6</v>
      </c>
      <c r="G411" s="32">
        <f>IF(B411="高三",IF($E411="男",LOOKUP(F411,[1]对照表!$G$3:$G$24,[1]对照表!$H$3:$H$24),LOOKUP(F411,[1]对照表!$G$27:$G$48,[1]对照表!$H$27:$H$48)),IF(B411="高二",IF($E411="男",LOOKUP(F411,[1]对照表!$F$3:$F$24,[1]对照表!$H$3:$H$24),LOOKUP(F411,[1]对照表!$F$27:$F$48,[1]对照表!$H$27:$H$48)),IF(B411="高一",IF($E411="男",LOOKUP(F411,[1]对照表!$E$3:$E$24,[1]对照表!$H$3:$H$24),LOOKUP(F411,[1]对照表!$E$27:$E$48,[1]对照表!$H$27:$H$48)))))</f>
        <v>78</v>
      </c>
      <c r="H411" s="21">
        <v>14.5</v>
      </c>
      <c r="I411" s="32">
        <f>IF(B411="高三",IF($E411="男",LOOKUP(H411,[1]对照表!$K$3:$K$24,[1]对照表!$L$3:$L$24),LOOKUP(H411,[1]对照表!$K$27:$K$48,[1]对照表!$L$27:$L$48)),IF(B411="高二",IF($E411="男",LOOKUP(H411,[1]对照表!$J$3:$J$24,[1]对照表!$L$3:$L$24),LOOKUP(H411,[1]对照表!$J$27:$J$48,[1]对照表!$L$27:$L$48)),IF(B411="高一",IF($E411="男",LOOKUP(H411,[1]对照表!$I$3:$I$24,[1]对照表!$L$3:$L$24),LOOKUP(H411,[1]对照表!$I$27:$I$48,[1]对照表!$L$27:$L$48)))))</f>
        <v>78</v>
      </c>
      <c r="J411" s="21">
        <v>225</v>
      </c>
      <c r="K411" s="32">
        <f>IF(B411="高三",IF($E411="男",LOOKUP(J411,[1]对照表!$O$3:$O$24,[1]对照表!$P$3:$P$24),LOOKUP(J411,[1]对照表!$O$27:$O$48,[1]对照表!$P$27:$P$48)),IF(B411="高二",IF($E411="男",LOOKUP(J411,[1]对照表!$N$3:$N$24,[1]对照表!$P$3:$P$24),LOOKUP(J411,[1]对照表!$N$27:$N$48,[1]对照表!$P$27:$P$48)),IF(B411="高一",IF($E411="男",LOOKUP(J411,[1]对照表!$M$3:$M$24,[1]对照表!$P$3:$P$24),LOOKUP(J411,[1]对照表!$M$27:$M$48,[1]对照表!$P$27:$P$48)))))</f>
        <v>74</v>
      </c>
      <c r="L411" s="21">
        <v>12</v>
      </c>
      <c r="M411" s="32">
        <f>IF(B411="高三",IF($E411="男",LOOKUP(L411,[1]对照表!$S$3:$S$24,[1]对照表!$T$3:$T$24),LOOKUP(L411,[1]对照表!$S$27:$S$48,[1]对照表!$T$27:$T$48)),IF(B411="高二",IF($E411="男",LOOKUP(L411,[1]对照表!$R$3:$R$24,[1]对照表!$T$3:$T$24),LOOKUP(L411,[1]对照表!$R$27:$R$48,[1]对照表!$T$27:$T$48)),IF(B411="高一",IF($E411="男",LOOKUP(L411,[1]对照表!$Q$3:$Q$24,[1]对照表!$T$3:$T$24),LOOKUP(L411,[1]对照表!$Q$27:$Q$48,[1]对照表!$T$27:$T$48)))))</f>
        <v>80</v>
      </c>
      <c r="N411" s="33">
        <f>IF(B411="高三",MAX(IF(E411="男",L411-18,L411-55),0),IF(B411="高二",MAX(IF(E411="男",L411-17,L411-54),0),IF(B411="高一",MAX(IF(E411="男",L411-16,L411-53),0))))</f>
        <v>0</v>
      </c>
      <c r="O411" s="23">
        <f>IF(E411="男",LOOKUP($N411,[1]对照表!$Z$3:$Z$13,[1]对照表!$AA$3:$AA$13),LOOKUP($N411,[1]对照表!$Z$15:$Z$25,[1]对照表!$AA$15:$AA$25))</f>
        <v>0</v>
      </c>
      <c r="P411" s="24">
        <f>M411+O411</f>
        <v>80</v>
      </c>
      <c r="Q411" s="25">
        <v>3.36</v>
      </c>
      <c r="R411" s="32">
        <f>IF(B411="高三",IF($E411="男",LOOKUP(Q411,[1]对照表!$W$3:$W$24,[1]对照表!$X$3:$X$24),LOOKUP(Q411,[1]对照表!$W$27:$W$48,[1]对照表!$X$27:$X$48)),IF(B411="高二",IF($E411="男",LOOKUP(Q411,[1]对照表!$V$3:$V$24,[1]对照表!$X$3:$X$24),LOOKUP(Q411,[1]对照表!$V$27:$V$48,[1]对照表!$X$27:$X$48)),IF(B411="高一",IF($E411="男",LOOKUP(Q411,[1]对照表!$U$3:$U$24,[1]对照表!$X$3:$X$24),LOOKUP(Q411,[1]对照表!$U$27:$U$48,[1]对照表!$X$27:$X$48)))))</f>
        <v>90</v>
      </c>
      <c r="S411" s="33">
        <f>ROUND(IF(IF($B411="高三",MIN(IF($E411="男",$Q411-3.2,$Q411-3.2),0),IF($B411="高二",MIN(IF($E411="男",$Q411-3.25,$Q411-3.22),0),IF($B411="高一",MIN(IF($E411="男",$Q411-3.3,$Q411-3.24),0))))&lt;-0.6,IF($B411="高三",MIN(IF($E411="男",$Q411-3.2,$Q411-3.2),0),IF($B411="高二",MIN(IF($E411="男",$Q411-3.25,$Q411-3.22),0),IF($B411="高一",MIN(IF($E411="男",$Q411-3.3,$Q411-3.24),0))))+0.4,IF($B411="高三",MIN(IF($E411="男",$Q411-3.2,$Q411-3.2),0),IF($B411="高二",MIN(IF($E411="男",$Q411-3.25,$Q411-3.22),0),IF($B411="高一",MIN(IF($E411="男",$Q411-3.3,$Q411-3.24),0))))),2)</f>
        <v>0</v>
      </c>
      <c r="T411" s="23">
        <f>IF(E411="男",LOOKUP($S411,[1]对照表!$AB$3:$AB$13,[1]对照表!$AC$3:$AC$13),LOOKUP($S411,[1]对照表!$AB$15:$AB$25,[1]对照表!$AC$15:$AC$25))</f>
        <v>0</v>
      </c>
      <c r="U411" s="26">
        <f>R411+T411</f>
        <v>90</v>
      </c>
      <c r="V411" s="26">
        <f>SUM(I411,K411,M411)/3*0.3+SUM(G411,R411)/2*0.4</f>
        <v>56.8</v>
      </c>
      <c r="W411" s="27">
        <f>O411+T411</f>
        <v>0</v>
      </c>
      <c r="X411" s="28">
        <f>V411/0.7+W411</f>
        <v>81.142857142857139</v>
      </c>
      <c r="Y411" s="28">
        <v>81.142857142857139</v>
      </c>
      <c r="Z411" s="21"/>
    </row>
    <row r="412" spans="1:26" x14ac:dyDescent="0.25">
      <c r="A412" s="16">
        <v>14</v>
      </c>
      <c r="B412" s="17" t="s">
        <v>21</v>
      </c>
      <c r="C412" s="16">
        <v>110</v>
      </c>
      <c r="D412" s="18" t="s">
        <v>378</v>
      </c>
      <c r="E412" s="17" t="s">
        <v>23</v>
      </c>
      <c r="F412" s="19">
        <v>7.2</v>
      </c>
      <c r="G412" s="32">
        <f>IF(B412="高三",IF($E412="男",LOOKUP(F412,[1]对照表!$G$3:$G$24,[1]对照表!$H$3:$H$24),LOOKUP(F412,[1]对照表!$G$27:$G$48,[1]对照表!$H$27:$H$48)),IF(B412="高二",IF($E412="男",LOOKUP(F412,[1]对照表!$F$3:$F$24,[1]对照表!$H$3:$H$24),LOOKUP(F412,[1]对照表!$F$27:$F$48,[1]对照表!$H$27:$H$48)),IF(B412="高一",IF($E412="男",LOOKUP(F412,[1]对照表!$E$3:$E$24,[1]对照表!$H$3:$H$24),LOOKUP(F412,[1]对照表!$E$27:$E$48,[1]对照表!$H$27:$H$48)))))</f>
        <v>95</v>
      </c>
      <c r="H412" s="21">
        <v>-5</v>
      </c>
      <c r="I412" s="32">
        <f>IF(B412="高三",IF($E412="男",LOOKUP(H412,[1]对照表!$K$3:$K$24,[1]对照表!$L$3:$L$24),LOOKUP(H412,[1]对照表!$K$27:$K$48,[1]对照表!$L$27:$L$48)),IF(B412="高二",IF($E412="男",LOOKUP(H412,[1]对照表!$J$3:$J$24,[1]对照表!$L$3:$L$24),LOOKUP(H412,[1]对照表!$J$27:$J$48,[1]对照表!$L$27:$L$48)),IF(B412="高一",IF($E412="男",LOOKUP(H412,[1]对照表!$I$3:$I$24,[1]对照表!$L$3:$L$24),LOOKUP(H412,[1]对照表!$I$27:$I$48,[1]对照表!$L$27:$L$48)))))</f>
        <v>0</v>
      </c>
      <c r="J412" s="21">
        <v>238</v>
      </c>
      <c r="K412" s="32">
        <f>IF(B412="高三",IF($E412="男",LOOKUP(J412,[1]对照表!$O$3:$O$24,[1]对照表!$P$3:$P$24),LOOKUP(J412,[1]对照表!$O$27:$O$48,[1]对照表!$P$27:$P$48)),IF(B412="高二",IF($E412="男",LOOKUP(J412,[1]对照表!$N$3:$N$24,[1]对照表!$P$3:$P$24),LOOKUP(J412,[1]对照表!$N$27:$N$48,[1]对照表!$P$27:$P$48)),IF(B412="高一",IF($E412="男",LOOKUP(J412,[1]对照表!$M$3:$M$24,[1]对照表!$P$3:$P$24),LOOKUP(J412,[1]对照表!$M$27:$M$48,[1]对照表!$P$27:$P$48)))))</f>
        <v>80</v>
      </c>
      <c r="L412" s="21">
        <v>16</v>
      </c>
      <c r="M412" s="32">
        <f>IF(B412="高三",IF($E412="男",LOOKUP(L412,[1]对照表!$S$3:$S$24,[1]对照表!$T$3:$T$24),LOOKUP(L412,[1]对照表!$S$27:$S$48,[1]对照表!$T$27:$T$48)),IF(B412="高二",IF($E412="男",LOOKUP(L412,[1]对照表!$R$3:$R$24,[1]对照表!$T$3:$T$24),LOOKUP(L412,[1]对照表!$R$27:$R$48,[1]对照表!$T$27:$T$48)),IF(B412="高一",IF($E412="男",LOOKUP(L412,[1]对照表!$Q$3:$Q$24,[1]对照表!$T$3:$T$24),LOOKUP(L412,[1]对照表!$Q$27:$Q$48,[1]对照表!$T$27:$T$48)))))</f>
        <v>100</v>
      </c>
      <c r="N412" s="33">
        <f>IF(B412="高三",MAX(IF(E412="男",L412-18,L412-55),0),IF(B412="高二",MAX(IF(E412="男",L412-17,L412-54),0),IF(B412="高一",MAX(IF(E412="男",L412-16,L412-53),0))))</f>
        <v>0</v>
      </c>
      <c r="O412" s="23">
        <f>IF(E412="男",LOOKUP($N412,[1]对照表!$Z$3:$Z$13,[1]对照表!$AA$3:$AA$13),LOOKUP($N412,[1]对照表!$Z$15:$Z$25,[1]对照表!$AA$15:$AA$25))</f>
        <v>0</v>
      </c>
      <c r="P412" s="24">
        <f>M412+O412</f>
        <v>100</v>
      </c>
      <c r="Q412" s="25">
        <v>3.37</v>
      </c>
      <c r="R412" s="32">
        <f>IF(B412="高三",IF($E412="男",LOOKUP(Q412,[1]对照表!$W$3:$W$24,[1]对照表!$X$3:$X$24),LOOKUP(Q412,[1]对照表!$W$27:$W$48,[1]对照表!$X$27:$X$48)),IF(B412="高二",IF($E412="男",LOOKUP(Q412,[1]对照表!$V$3:$V$24,[1]对照表!$X$3:$X$24),LOOKUP(Q412,[1]对照表!$V$27:$V$48,[1]对照表!$X$27:$X$48)),IF(B412="高一",IF($E412="男",LOOKUP(Q412,[1]对照表!$U$3:$U$24,[1]对照表!$X$3:$X$24),LOOKUP(Q412,[1]对照表!$U$27:$U$48,[1]对照表!$X$27:$X$48)))))</f>
        <v>90</v>
      </c>
      <c r="S412" s="33">
        <f>ROUND(IF(IF($B412="高三",MIN(IF($E412="男",$Q412-3.2,$Q412-3.2),0),IF($B412="高二",MIN(IF($E412="男",$Q412-3.25,$Q412-3.22),0),IF($B412="高一",MIN(IF($E412="男",$Q412-3.3,$Q412-3.24),0))))&lt;-0.6,IF($B412="高三",MIN(IF($E412="男",$Q412-3.2,$Q412-3.2),0),IF($B412="高二",MIN(IF($E412="男",$Q412-3.25,$Q412-3.22),0),IF($B412="高一",MIN(IF($E412="男",$Q412-3.3,$Q412-3.24),0))))+0.4,IF($B412="高三",MIN(IF($E412="男",$Q412-3.2,$Q412-3.2),0),IF($B412="高二",MIN(IF($E412="男",$Q412-3.25,$Q412-3.22),0),IF($B412="高一",MIN(IF($E412="男",$Q412-3.3,$Q412-3.24),0))))),2)</f>
        <v>0</v>
      </c>
      <c r="T412" s="23">
        <f>IF(E412="男",LOOKUP($S412,[1]对照表!$AB$3:$AB$13,[1]对照表!$AC$3:$AC$13),LOOKUP($S412,[1]对照表!$AB$15:$AB$25,[1]对照表!$AC$15:$AC$25))</f>
        <v>0</v>
      </c>
      <c r="U412" s="26">
        <f>R412+T412</f>
        <v>90</v>
      </c>
      <c r="V412" s="26">
        <f>SUM(I412,K412,M412)/3*0.3+SUM(G412,R412)/2*0.4</f>
        <v>55</v>
      </c>
      <c r="W412" s="27">
        <f>O412+T412</f>
        <v>0</v>
      </c>
      <c r="X412" s="28">
        <f>V412/0.7+W412</f>
        <v>78.571428571428569</v>
      </c>
      <c r="Y412" s="28">
        <v>78.571428571428569</v>
      </c>
      <c r="Z412" s="21"/>
    </row>
    <row r="413" spans="1:26" x14ac:dyDescent="0.25">
      <c r="A413" s="16">
        <v>22</v>
      </c>
      <c r="B413" s="17" t="s">
        <v>21</v>
      </c>
      <c r="C413" s="16">
        <v>110</v>
      </c>
      <c r="D413" s="18" t="s">
        <v>427</v>
      </c>
      <c r="E413" s="16" t="s">
        <v>23</v>
      </c>
      <c r="F413" s="19">
        <v>6.9</v>
      </c>
      <c r="G413" s="32">
        <f>IF(B413="高三",IF($E413="男",LOOKUP(F413,[1]对照表!$G$3:$G$24,[1]对照表!$H$3:$H$24),LOOKUP(F413,[1]对照表!$G$27:$G$48,[1]对照表!$H$27:$H$48)),IF(B413="高二",IF($E413="男",LOOKUP(F413,[1]对照表!$F$3:$F$24,[1]对照表!$H$3:$H$24),LOOKUP(F413,[1]对照表!$F$27:$F$48,[1]对照表!$H$27:$H$48)),IF(B413="高一",IF($E413="男",LOOKUP(F413,[1]对照表!$E$3:$E$24,[1]对照表!$H$3:$H$24),LOOKUP(F413,[1]对照表!$E$27:$E$48,[1]对照表!$H$27:$H$48)))))</f>
        <v>100</v>
      </c>
      <c r="H413" s="21">
        <v>10</v>
      </c>
      <c r="I413" s="32">
        <f>IF(B413="高三",IF($E413="男",LOOKUP(H413,[1]对照表!$K$3:$K$24,[1]对照表!$L$3:$L$24),LOOKUP(H413,[1]对照表!$K$27:$K$48,[1]对照表!$L$27:$L$48)),IF(B413="高二",IF($E413="男",LOOKUP(H413,[1]对照表!$J$3:$J$24,[1]对照表!$L$3:$L$24),LOOKUP(H413,[1]对照表!$J$27:$J$48,[1]对照表!$L$27:$L$48)),IF(B413="高一",IF($E413="男",LOOKUP(H413,[1]对照表!$I$3:$I$24,[1]对照表!$L$3:$L$24),LOOKUP(H413,[1]对照表!$I$27:$I$48,[1]对照表!$L$27:$L$48)))))</f>
        <v>72</v>
      </c>
      <c r="J413" s="21">
        <v>250</v>
      </c>
      <c r="K413" s="32">
        <f>IF(B413="高三",IF($E413="男",LOOKUP(J413,[1]对照表!$O$3:$O$24,[1]对照表!$P$3:$P$24),LOOKUP(J413,[1]对照表!$O$27:$O$48,[1]对照表!$P$27:$P$48)),IF(B413="高二",IF($E413="男",LOOKUP(J413,[1]对照表!$N$3:$N$24,[1]对照表!$P$3:$P$24),LOOKUP(J413,[1]对照表!$N$27:$N$48,[1]对照表!$P$27:$P$48)),IF(B413="高一",IF($E413="男",LOOKUP(J413,[1]对照表!$M$3:$M$24,[1]对照表!$P$3:$P$24),LOOKUP(J413,[1]对照表!$M$27:$M$48,[1]对照表!$P$27:$P$48)))))</f>
        <v>90</v>
      </c>
      <c r="L413" s="21">
        <v>2</v>
      </c>
      <c r="M413" s="32">
        <f>IF(B413="高三",IF($E413="男",LOOKUP(L413,[1]对照表!$S$3:$S$24,[1]对照表!$T$3:$T$24),LOOKUP(L413,[1]对照表!$S$27:$S$48,[1]对照表!$T$27:$T$48)),IF(B413="高二",IF($E413="男",LOOKUP(L413,[1]对照表!$R$3:$R$24,[1]对照表!$T$3:$T$24),LOOKUP(L413,[1]对照表!$R$27:$R$48,[1]对照表!$T$27:$T$48)),IF(B413="高一",IF($E413="男",LOOKUP(L413,[1]对照表!$Q$3:$Q$24,[1]对照表!$T$3:$T$24),LOOKUP(L413,[1]对照表!$Q$27:$Q$48,[1]对照表!$T$27:$T$48)))))</f>
        <v>10</v>
      </c>
      <c r="N413" s="27">
        <f>IF(B413="高三",MAX(IF(E413="男",L413-18,L413-55),0),IF(B413="高二",MAX(IF(E413="男",L413-17,L413-54),0),IF(B413="高一",MAX(IF(E413="男",L413-16,L413-53),0))))</f>
        <v>0</v>
      </c>
      <c r="O413" s="23">
        <f>IF(E413="男",LOOKUP($N413,[1]对照表!$Z$3:$Z$13,[1]对照表!$AA$3:$AA$13),LOOKUP($N413,[1]对照表!$Z$15:$Z$25,[1]对照表!$AA$15:$AA$25))</f>
        <v>0</v>
      </c>
      <c r="P413" s="24">
        <f>M413+O413</f>
        <v>10</v>
      </c>
      <c r="Q413" s="25">
        <v>3.56</v>
      </c>
      <c r="R413" s="32">
        <f>IF(B413="高三",IF($E413="男",LOOKUP(Q413,[1]对照表!$W$3:$W$24,[1]对照表!$X$3:$X$24),LOOKUP(Q413,[1]对照表!$W$27:$W$48,[1]对照表!$X$27:$X$48)),IF(B413="高二",IF($E413="男",LOOKUP(Q413,[1]对照表!$V$3:$V$24,[1]对照表!$X$3:$X$24),LOOKUP(Q413,[1]对照表!$V$27:$V$48,[1]对照表!$X$27:$X$48)),IF(B413="高一",IF($E413="男",LOOKUP(Q413,[1]对照表!$U$3:$U$24,[1]对照表!$X$3:$X$24),LOOKUP(Q413,[1]对照表!$U$27:$U$48,[1]对照表!$X$27:$X$48)))))</f>
        <v>78</v>
      </c>
      <c r="S413" s="27">
        <f>ROUND(IF(IF($B413="高三",MIN(IF($E413="男",$Q413-3.2,$Q413-3.2),0),IF($B413="高二",MIN(IF($E413="男",$Q413-3.25,$Q413-3.22),0),IF($B413="高一",MIN(IF($E413="男",$Q413-3.3,$Q413-3.24),0))))&lt;-0.6,IF($B413="高三",MIN(IF($E413="男",$Q413-3.2,$Q413-3.2),0),IF($B413="高二",MIN(IF($E413="男",$Q413-3.25,$Q413-3.22),0),IF($B413="高一",MIN(IF($E413="男",$Q413-3.3,$Q413-3.24),0))))+0.4,IF($B413="高三",MIN(IF($E413="男",$Q413-3.2,$Q413-3.2),0),IF($B413="高二",MIN(IF($E413="男",$Q413-3.25,$Q413-3.22),0),IF($B413="高一",MIN(IF($E413="男",$Q413-3.3,$Q413-3.24),0))))),2)</f>
        <v>0</v>
      </c>
      <c r="T413" s="23">
        <f>IF(E413="男",LOOKUP($S413,[1]对照表!$AB$3:$AB$13,[1]对照表!$AC$3:$AC$13),LOOKUP($S413,[1]对照表!$AB$15:$AB$25,[1]对照表!$AC$15:$AC$25))</f>
        <v>0</v>
      </c>
      <c r="U413" s="26">
        <f>R413+T413</f>
        <v>78</v>
      </c>
      <c r="V413" s="26">
        <f>SUM(I413,K413,M413)/3*0.3+SUM(G413,R413)/2*0.4</f>
        <v>52.8</v>
      </c>
      <c r="W413" s="27">
        <f>O413+T413</f>
        <v>0</v>
      </c>
      <c r="X413" s="28">
        <f>V413/0.7+W413</f>
        <v>75.428571428571431</v>
      </c>
      <c r="Y413" s="28">
        <v>75.428571428571431</v>
      </c>
      <c r="Z413" s="21"/>
    </row>
    <row r="414" spans="1:26" x14ac:dyDescent="0.25">
      <c r="A414" s="16">
        <v>26</v>
      </c>
      <c r="B414" s="17" t="s">
        <v>21</v>
      </c>
      <c r="C414" s="16">
        <v>110</v>
      </c>
      <c r="D414" s="18" t="s">
        <v>428</v>
      </c>
      <c r="E414" s="16" t="s">
        <v>23</v>
      </c>
      <c r="F414" s="19">
        <v>7.5</v>
      </c>
      <c r="G414" s="32">
        <f>IF(B414="高三",IF($E414="男",LOOKUP(F414,[1]对照表!$G$3:$G$24,[1]对照表!$H$3:$H$24),LOOKUP(F414,[1]对照表!$G$27:$G$48,[1]对照表!$H$27:$H$48)),IF(B414="高二",IF($E414="男",LOOKUP(F414,[1]对照表!$F$3:$F$24,[1]对照表!$H$3:$H$24),LOOKUP(F414,[1]对照表!$F$27:$F$48,[1]对照表!$H$27:$H$48)),IF(B414="高一",IF($E414="男",LOOKUP(F414,[1]对照表!$E$3:$E$24,[1]对照表!$H$3:$H$24),LOOKUP(F414,[1]对照表!$E$27:$E$48,[1]对照表!$H$27:$H$48)))))</f>
        <v>80</v>
      </c>
      <c r="H414" s="21">
        <v>9</v>
      </c>
      <c r="I414" s="32">
        <f>IF(B414="高三",IF($E414="男",LOOKUP(H414,[1]对照表!$K$3:$K$24,[1]对照表!$L$3:$L$24),LOOKUP(H414,[1]对照表!$K$27:$K$48,[1]对照表!$L$27:$L$48)),IF(B414="高二",IF($E414="男",LOOKUP(H414,[1]对照表!$J$3:$J$24,[1]对照表!$L$3:$L$24),LOOKUP(H414,[1]对照表!$J$27:$J$48,[1]对照表!$L$27:$L$48)),IF(B414="高一",IF($E414="男",LOOKUP(H414,[1]对照表!$I$3:$I$24,[1]对照表!$L$3:$L$24),LOOKUP(H414,[1]对照表!$I$27:$I$48,[1]对照表!$L$27:$L$48)))))</f>
        <v>70</v>
      </c>
      <c r="J414" s="21">
        <v>231</v>
      </c>
      <c r="K414" s="32">
        <f>IF(B414="高三",IF($E414="男",LOOKUP(J414,[1]对照表!$O$3:$O$24,[1]对照表!$P$3:$P$24),LOOKUP(J414,[1]对照表!$O$27:$O$48,[1]对照表!$P$27:$P$48)),IF(B414="高二",IF($E414="男",LOOKUP(J414,[1]对照表!$N$3:$N$24,[1]对照表!$P$3:$P$24),LOOKUP(J414,[1]对照表!$N$27:$N$48,[1]对照表!$P$27:$P$48)),IF(B414="高一",IF($E414="男",LOOKUP(J414,[1]对照表!$M$3:$M$24,[1]对照表!$P$3:$P$24),LOOKUP(J414,[1]对照表!$M$27:$M$48,[1]对照表!$P$27:$P$48)))))</f>
        <v>78</v>
      </c>
      <c r="L414" s="21">
        <v>8</v>
      </c>
      <c r="M414" s="32">
        <f>IF(B414="高三",IF($E414="男",LOOKUP(L414,[1]对照表!$S$3:$S$24,[1]对照表!$T$3:$T$24),LOOKUP(L414,[1]对照表!$S$27:$S$48,[1]对照表!$T$27:$T$48)),IF(B414="高二",IF($E414="男",LOOKUP(L414,[1]对照表!$R$3:$R$24,[1]对照表!$T$3:$T$24),LOOKUP(L414,[1]对照表!$R$27:$R$48,[1]对照表!$T$27:$T$48)),IF(B414="高一",IF($E414="男",LOOKUP(L414,[1]对照表!$Q$3:$Q$24,[1]对照表!$T$3:$T$24),LOOKUP(L414,[1]对照表!$Q$27:$Q$48,[1]对照表!$T$27:$T$48)))))</f>
        <v>64</v>
      </c>
      <c r="N414" s="33">
        <f>IF(B414="高三",MAX(IF(E414="男",L414-18,L414-55),0),IF(B414="高二",MAX(IF(E414="男",L414-17,L414-54),0),IF(B414="高一",MAX(IF(E414="男",L414-16,L414-53),0))))</f>
        <v>0</v>
      </c>
      <c r="O414" s="23">
        <f>IF(E414="男",LOOKUP($N414,[1]对照表!$Z$3:$Z$13,[1]对照表!$AA$3:$AA$13),LOOKUP($N414,[1]对照表!$Z$15:$Z$25,[1]对照表!$AA$15:$AA$25))</f>
        <v>0</v>
      </c>
      <c r="P414" s="24">
        <f>M414+O414</f>
        <v>64</v>
      </c>
      <c r="Q414" s="25">
        <v>4</v>
      </c>
      <c r="R414" s="32">
        <f>IF(B414="高三",IF($E414="男",LOOKUP(Q414,[1]对照表!$W$3:$W$24,[1]对照表!$X$3:$X$24),LOOKUP(Q414,[1]对照表!$W$27:$W$48,[1]对照表!$X$27:$X$48)),IF(B414="高二",IF($E414="男",LOOKUP(Q414,[1]对照表!$V$3:$V$24,[1]对照表!$X$3:$X$24),LOOKUP(Q414,[1]对照表!$V$27:$V$48,[1]对照表!$X$27:$X$48)),IF(B414="高一",IF($E414="男",LOOKUP(Q414,[1]对照表!$U$3:$U$24,[1]对照表!$X$3:$X$24),LOOKUP(Q414,[1]对照表!$U$27:$U$48,[1]对照表!$X$27:$X$48)))))</f>
        <v>78</v>
      </c>
      <c r="S414" s="33">
        <f>ROUND(IF(IF($B414="高三",MIN(IF($E414="男",$Q414-3.2,$Q414-3.2),0),IF($B414="高二",MIN(IF($E414="男",$Q414-3.25,$Q414-3.22),0),IF($B414="高一",MIN(IF($E414="男",$Q414-3.3,$Q414-3.24),0))))&lt;-0.6,IF($B414="高三",MIN(IF($E414="男",$Q414-3.2,$Q414-3.2),0),IF($B414="高二",MIN(IF($E414="男",$Q414-3.25,$Q414-3.22),0),IF($B414="高一",MIN(IF($E414="男",$Q414-3.3,$Q414-3.24),0))))+0.4,IF($B414="高三",MIN(IF($E414="男",$Q414-3.2,$Q414-3.2),0),IF($B414="高二",MIN(IF($E414="男",$Q414-3.25,$Q414-3.22),0),IF($B414="高一",MIN(IF($E414="男",$Q414-3.3,$Q414-3.24),0))))),2)</f>
        <v>0</v>
      </c>
      <c r="T414" s="23">
        <f>IF(E414="男",LOOKUP($S414,[1]对照表!$AB$3:$AB$13,[1]对照表!$AC$3:$AC$13),LOOKUP($S414,[1]对照表!$AB$15:$AB$25,[1]对照表!$AC$15:$AC$25))</f>
        <v>0</v>
      </c>
      <c r="U414" s="26">
        <f>R414+T414</f>
        <v>78</v>
      </c>
      <c r="V414" s="26">
        <f>SUM(I414,K414,M414)/3*0.3+SUM(G414,R414)/2*0.4</f>
        <v>52.8</v>
      </c>
      <c r="W414" s="27">
        <f>O414+T414</f>
        <v>0</v>
      </c>
      <c r="X414" s="28">
        <f>V414/0.7+W414</f>
        <v>75.428571428571431</v>
      </c>
      <c r="Y414" s="28">
        <v>75.428571428571431</v>
      </c>
      <c r="Z414" s="21"/>
    </row>
    <row r="415" spans="1:26" x14ac:dyDescent="0.25">
      <c r="A415" s="16">
        <v>42</v>
      </c>
      <c r="B415" s="17" t="s">
        <v>21</v>
      </c>
      <c r="C415" s="16">
        <v>110</v>
      </c>
      <c r="D415" s="18" t="s">
        <v>458</v>
      </c>
      <c r="E415" s="17" t="s">
        <v>65</v>
      </c>
      <c r="F415" s="19">
        <v>9.2100000000000009</v>
      </c>
      <c r="G415" s="32">
        <f>IF(B415="高三",IF($E415="男",LOOKUP(F415,[1]对照表!$G$3:$G$24,[1]对照表!$H$3:$H$24),LOOKUP(F415,[1]对照表!$G$27:$G$48,[1]对照表!$H$27:$H$48)),IF(B415="高二",IF($E415="男",LOOKUP(F415,[1]对照表!$F$3:$F$24,[1]对照表!$H$3:$H$24),LOOKUP(F415,[1]对照表!$F$27:$F$48,[1]对照表!$H$27:$H$48)),IF(B415="高一",IF($E415="男",LOOKUP(F415,[1]对照表!$E$3:$E$24,[1]对照表!$H$3:$H$24),LOOKUP(F415,[1]对照表!$E$27:$E$48,[1]对照表!$H$27:$H$48)))))</f>
        <v>72</v>
      </c>
      <c r="H415" s="21">
        <v>7</v>
      </c>
      <c r="I415" s="32">
        <f>IF(B415="高三",IF($E415="男",LOOKUP(H415,[1]对照表!$K$3:$K$24,[1]对照表!$L$3:$L$24),LOOKUP(H415,[1]对照表!$K$27:$K$48,[1]对照表!$L$27:$L$48)),IF(B415="高二",IF($E415="男",LOOKUP(H415,[1]对照表!$J$3:$J$24,[1]对照表!$L$3:$L$24),LOOKUP(H415,[1]对照表!$J$27:$J$48,[1]对照表!$L$27:$L$48)),IF(B415="高一",IF($E415="男",LOOKUP(H415,[1]对照表!$I$3:$I$24,[1]对照表!$L$3:$L$24),LOOKUP(H415,[1]对照表!$I$27:$I$48,[1]对照表!$L$27:$L$48)))))</f>
        <v>64</v>
      </c>
      <c r="J415" s="21">
        <v>171</v>
      </c>
      <c r="K415" s="32">
        <f>IF(B415="高三",IF($E415="男",LOOKUP(J415,[1]对照表!$O$3:$O$24,[1]对照表!$P$3:$P$24),LOOKUP(J415,[1]对照表!$O$27:$O$48,[1]对照表!$P$27:$P$48)),IF(B415="高二",IF($E415="男",LOOKUP(J415,[1]对照表!$N$3:$N$24,[1]对照表!$P$3:$P$24),LOOKUP(J415,[1]对照表!$N$27:$N$48,[1]对照表!$P$27:$P$48)),IF(B415="高一",IF($E415="男",LOOKUP(J415,[1]对照表!$M$3:$M$24,[1]对照表!$P$3:$P$24),LOOKUP(J415,[1]对照表!$M$27:$M$48,[1]对照表!$P$27:$P$48)))))</f>
        <v>74</v>
      </c>
      <c r="L415" s="21">
        <v>42</v>
      </c>
      <c r="M415" s="32">
        <f>IF(B415="高三",IF($E415="男",LOOKUP(L415,[1]对照表!$S$3:$S$24,[1]对照表!$T$3:$T$24),LOOKUP(L415,[1]对照表!$S$27:$S$48,[1]对照表!$T$27:$T$48)),IF(B415="高二",IF($E415="男",LOOKUP(L415,[1]对照表!$R$3:$R$24,[1]对照表!$T$3:$T$24),LOOKUP(L415,[1]对照表!$R$27:$R$48,[1]对照表!$T$27:$T$48)),IF(B415="高一",IF($E415="男",LOOKUP(L415,[1]对照表!$Q$3:$Q$24,[1]对照表!$T$3:$T$24),LOOKUP(L415,[1]对照表!$Q$27:$Q$48,[1]对照表!$T$27:$T$48)))))</f>
        <v>78</v>
      </c>
      <c r="N415" s="33">
        <f>IF(B415="高三",MAX(IF(E415="男",L415-18,L415-55),0),IF(B415="高二",MAX(IF(E415="男",L415-17,L415-54),0),IF(B415="高一",MAX(IF(E415="男",L415-16,L415-53),0))))</f>
        <v>0</v>
      </c>
      <c r="O415" s="23">
        <f>IF(E415="男",LOOKUP($N415,[1]对照表!$Z$3:$Z$13,[1]对照表!$AA$3:$AA$13),LOOKUP($N415,[1]对照表!$Z$15:$Z$25,[1]对照表!$AA$15:$AA$25))</f>
        <v>0</v>
      </c>
      <c r="P415" s="24">
        <f>M415+O415</f>
        <v>78</v>
      </c>
      <c r="Q415" s="25">
        <v>3.4</v>
      </c>
      <c r="R415" s="32">
        <f>IF(B415="高三",IF($E415="男",LOOKUP(Q415,[1]对照表!$W$3:$W$24,[1]对照表!$X$3:$X$24),LOOKUP(Q415,[1]对照表!$W$27:$W$48,[1]对照表!$X$27:$X$48)),IF(B415="高二",IF($E415="男",LOOKUP(Q415,[1]对照表!$V$3:$V$24,[1]对照表!$X$3:$X$24),LOOKUP(Q415,[1]对照表!$V$27:$V$48,[1]对照表!$X$27:$X$48)),IF(B415="高一",IF($E415="男",LOOKUP(Q415,[1]对照表!$U$3:$U$24,[1]对照表!$X$3:$X$24),LOOKUP(Q415,[1]对照表!$U$27:$U$48,[1]对照表!$X$27:$X$48)))))</f>
        <v>85</v>
      </c>
      <c r="S415" s="27">
        <f>ROUND(IF(IF($B415="高三",MIN(IF($E415="男",$Q415-3.2,$Q415-3.2),0),IF($B415="高二",MIN(IF($E415="男",$Q415-3.25,$Q415-3.22),0),IF($B415="高一",MIN(IF($E415="男",$Q415-3.3,$Q415-3.24),0))))&lt;-0.6,IF($B415="高三",MIN(IF($E415="男",$Q415-3.2,$Q415-3.2),0),IF($B415="高二",MIN(IF($E415="男",$Q415-3.25,$Q415-3.22),0),IF($B415="高一",MIN(IF($E415="男",$Q415-3.3,$Q415-3.24),0))))+0.4,IF($B415="高三",MIN(IF($E415="男",$Q415-3.2,$Q415-3.2),0),IF($B415="高二",MIN(IF($E415="男",$Q415-3.25,$Q415-3.22),0),IF($B415="高一",MIN(IF($E415="男",$Q415-3.3,$Q415-3.24),0))))),2)</f>
        <v>0</v>
      </c>
      <c r="T415" s="23">
        <f>IF(E415="男",LOOKUP($S415,[1]对照表!$AB$3:$AB$13,[1]对照表!$AC$3:$AC$13),LOOKUP($S415,[1]对照表!$AB$15:$AB$25,[1]对照表!$AC$15:$AC$25))</f>
        <v>0</v>
      </c>
      <c r="U415" s="26">
        <f>R415+T415</f>
        <v>85</v>
      </c>
      <c r="V415" s="26">
        <f>SUM(I415,K415,M415)/3*0.3+SUM(G415,R415)/2*0.4</f>
        <v>53</v>
      </c>
      <c r="W415" s="27">
        <f>O415+T415</f>
        <v>0</v>
      </c>
      <c r="X415" s="28">
        <f>V415/0.7+W415</f>
        <v>75.714285714285722</v>
      </c>
      <c r="Y415" s="28">
        <v>75.714285714285722</v>
      </c>
      <c r="Z415" s="21"/>
    </row>
    <row r="416" spans="1:26" x14ac:dyDescent="0.25">
      <c r="A416" s="16">
        <v>4</v>
      </c>
      <c r="B416" s="17" t="s">
        <v>21</v>
      </c>
      <c r="C416" s="16">
        <v>110</v>
      </c>
      <c r="D416" s="18" t="s">
        <v>478</v>
      </c>
      <c r="E416" s="17" t="s">
        <v>23</v>
      </c>
      <c r="F416" s="19">
        <v>7.4</v>
      </c>
      <c r="G416" s="32">
        <f>IF(B416="高三",IF($E416="男",LOOKUP(F416,[1]对照表!$G$3:$G$24,[1]对照表!$H$3:$H$24),LOOKUP(F416,[1]对照表!$G$27:$G$48,[1]对照表!$H$27:$H$48)),IF(B416="高二",IF($E416="男",LOOKUP(F416,[1]对照表!$F$3:$F$24,[1]对照表!$H$3:$H$24),LOOKUP(F416,[1]对照表!$F$27:$F$48,[1]对照表!$H$27:$H$48)),IF(B416="高一",IF($E416="男",LOOKUP(F416,[1]对照表!$E$3:$E$24,[1]对照表!$H$3:$H$24),LOOKUP(F416,[1]对照表!$E$27:$E$48,[1]对照表!$H$27:$H$48)))))</f>
        <v>85</v>
      </c>
      <c r="H416" s="21">
        <v>2.6</v>
      </c>
      <c r="I416" s="32">
        <f>IF(B416="高三",IF($E416="男",LOOKUP(H416,[1]对照表!$K$3:$K$24,[1]对照表!$L$3:$L$24),LOOKUP(H416,[1]对照表!$K$27:$K$48,[1]对照表!$L$27:$L$48)),IF(B416="高二",IF($E416="男",LOOKUP(H416,[1]对照表!$J$3:$J$24,[1]对照表!$L$3:$L$24),LOOKUP(H416,[1]对照表!$J$27:$J$48,[1]对照表!$L$27:$L$48)),IF(B416="高一",IF($E416="男",LOOKUP(H416,[1]对照表!$I$3:$I$24,[1]对照表!$L$3:$L$24),LOOKUP(H416,[1]对照表!$I$27:$I$48,[1]对照表!$L$27:$L$48)))))</f>
        <v>62</v>
      </c>
      <c r="J416" s="21">
        <v>255</v>
      </c>
      <c r="K416" s="32">
        <f>IF(B416="高三",IF($E416="男",LOOKUP(J416,[1]对照表!$O$3:$O$24,[1]对照表!$P$3:$P$24),LOOKUP(J416,[1]对照表!$O$27:$O$48,[1]对照表!$P$27:$P$48)),IF(B416="高二",IF($E416="男",LOOKUP(J416,[1]对照表!$N$3:$N$24,[1]对照表!$P$3:$P$24),LOOKUP(J416,[1]对照表!$N$27:$N$48,[1]对照表!$P$27:$P$48)),IF(B416="高一",IF($E416="男",LOOKUP(J416,[1]对照表!$M$3:$M$24,[1]对照表!$P$3:$P$24),LOOKUP(J416,[1]对照表!$M$27:$M$48,[1]对照表!$P$27:$P$48)))))</f>
        <v>95</v>
      </c>
      <c r="L416" s="21">
        <v>4</v>
      </c>
      <c r="M416" s="32">
        <f>IF(B416="高三",IF($E416="男",LOOKUP(L416,[1]对照表!$S$3:$S$24,[1]对照表!$T$3:$T$24),LOOKUP(L416,[1]对照表!$S$27:$S$48,[1]对照表!$T$27:$T$48)),IF(B416="高二",IF($E416="男",LOOKUP(L416,[1]对照表!$R$3:$R$24,[1]对照表!$T$3:$T$24),LOOKUP(L416,[1]对照表!$R$27:$R$48,[1]对照表!$T$27:$T$48)),IF(B416="高一",IF($E416="男",LOOKUP(L416,[1]对照表!$Q$3:$Q$24,[1]对照表!$T$3:$T$24),LOOKUP(L416,[1]对照表!$Q$27:$Q$48,[1]对照表!$T$27:$T$48)))))</f>
        <v>30</v>
      </c>
      <c r="N416" s="33">
        <f>IF(B416="高三",MAX(IF(E416="男",L416-18,L416-55),0),IF(B416="高二",MAX(IF(E416="男",L416-17,L416-54),0),IF(B416="高一",MAX(IF(E416="男",L416-16,L416-53),0))))</f>
        <v>0</v>
      </c>
      <c r="O416" s="23">
        <f>IF(E416="男",LOOKUP($N416,[1]对照表!$Z$3:$Z$13,[1]对照表!$AA$3:$AA$13),LOOKUP($N416,[1]对照表!$Z$15:$Z$25,[1]对照表!$AA$15:$AA$25))</f>
        <v>0</v>
      </c>
      <c r="P416" s="24">
        <f>M416+O416</f>
        <v>30</v>
      </c>
      <c r="Q416" s="25">
        <v>4.1100000000000003</v>
      </c>
      <c r="R416" s="32">
        <f>IF(B416="高三",IF($E416="男",LOOKUP(Q416,[1]对照表!$W$3:$W$24,[1]对照表!$X$3:$X$24),LOOKUP(Q416,[1]对照表!$W$27:$W$48,[1]对照表!$X$27:$X$48)),IF(B416="高二",IF($E416="男",LOOKUP(Q416,[1]对照表!$V$3:$V$24,[1]对照表!$X$3:$X$24),LOOKUP(Q416,[1]对照表!$V$27:$V$48,[1]对照表!$X$27:$X$48)),IF(B416="高一",IF($E416="男",LOOKUP(Q416,[1]对照表!$U$3:$U$24,[1]对照表!$X$3:$X$24),LOOKUP(Q416,[1]对照表!$U$27:$U$48,[1]对照表!$X$27:$X$48)))))</f>
        <v>72</v>
      </c>
      <c r="S416" s="33">
        <f>ROUND(IF(IF($B416="高三",MIN(IF($E416="男",$Q416-3.2,$Q416-3.2),0),IF($B416="高二",MIN(IF($E416="男",$Q416-3.25,$Q416-3.22),0),IF($B416="高一",MIN(IF($E416="男",$Q416-3.3,$Q416-3.24),0))))&lt;-0.6,IF($B416="高三",MIN(IF($E416="男",$Q416-3.2,$Q416-3.2),0),IF($B416="高二",MIN(IF($E416="男",$Q416-3.25,$Q416-3.22),0),IF($B416="高一",MIN(IF($E416="男",$Q416-3.3,$Q416-3.24),0))))+0.4,IF($B416="高三",MIN(IF($E416="男",$Q416-3.2,$Q416-3.2),0),IF($B416="高二",MIN(IF($E416="男",$Q416-3.25,$Q416-3.22),0),IF($B416="高一",MIN(IF($E416="男",$Q416-3.3,$Q416-3.24),0))))),2)</f>
        <v>0</v>
      </c>
      <c r="T416" s="23">
        <f>IF(E416="男",LOOKUP($S416,[1]对照表!$AB$3:$AB$13,[1]对照表!$AC$3:$AC$13),LOOKUP($S416,[1]对照表!$AB$15:$AB$25,[1]对照表!$AC$15:$AC$25))</f>
        <v>0</v>
      </c>
      <c r="U416" s="26">
        <f>R416+T416</f>
        <v>72</v>
      </c>
      <c r="V416" s="26">
        <f>SUM(I416,K416,M416)/3*0.3+SUM(G416,R416)/2*0.4</f>
        <v>50.1</v>
      </c>
      <c r="W416" s="27">
        <f>O416+T416</f>
        <v>0</v>
      </c>
      <c r="X416" s="28">
        <f>V416/0.7+W416</f>
        <v>71.571428571428584</v>
      </c>
      <c r="Y416" s="28">
        <v>71.571428571428584</v>
      </c>
      <c r="Z416" s="21"/>
    </row>
    <row r="417" spans="1:26" x14ac:dyDescent="0.25">
      <c r="A417" s="16">
        <v>3</v>
      </c>
      <c r="B417" s="17" t="s">
        <v>21</v>
      </c>
      <c r="C417" s="16">
        <v>110</v>
      </c>
      <c r="D417" s="18" t="s">
        <v>479</v>
      </c>
      <c r="E417" s="17" t="s">
        <v>23</v>
      </c>
      <c r="F417" s="19">
        <v>7.2</v>
      </c>
      <c r="G417" s="32">
        <f>IF(B417="高三",IF($E417="男",LOOKUP(F417,[1]对照表!$G$3:$G$24,[1]对照表!$H$3:$H$24),LOOKUP(F417,[1]对照表!$G$27:$G$48,[1]对照表!$H$27:$H$48)),IF(B417="高二",IF($E417="男",LOOKUP(F417,[1]对照表!$F$3:$F$24,[1]对照表!$H$3:$H$24),LOOKUP(F417,[1]对照表!$F$27:$F$48,[1]对照表!$H$27:$H$48)),IF(B417="高一",IF($E417="男",LOOKUP(F417,[1]对照表!$E$3:$E$24,[1]对照表!$H$3:$H$24),LOOKUP(F417,[1]对照表!$E$27:$E$48,[1]对照表!$H$27:$H$48)))))</f>
        <v>95</v>
      </c>
      <c r="H417" s="21">
        <v>-1</v>
      </c>
      <c r="I417" s="32">
        <f>IF(B417="高三",IF($E417="男",LOOKUP(H417,[1]对照表!$K$3:$K$24,[1]对照表!$L$3:$L$24),LOOKUP(H417,[1]对照表!$K$27:$K$48,[1]对照表!$L$27:$L$48)),IF(B417="高二",IF($E417="男",LOOKUP(H417,[1]对照表!$J$3:$J$24,[1]对照表!$L$3:$L$24),LOOKUP(H417,[1]对照表!$J$27:$J$48,[1]对照表!$L$27:$L$48)),IF(B417="高一",IF($E417="男",LOOKUP(H417,[1]对照表!$I$3:$I$24,[1]对照表!$L$3:$L$24),LOOKUP(H417,[1]对照表!$I$27:$I$48,[1]对照表!$L$27:$L$48)))))</f>
        <v>40</v>
      </c>
      <c r="J417" s="21">
        <v>230</v>
      </c>
      <c r="K417" s="32">
        <f>IF(B417="高三",IF($E417="男",LOOKUP(J417,[1]对照表!$O$3:$O$24,[1]对照表!$P$3:$P$24),LOOKUP(J417,[1]对照表!$O$27:$O$48,[1]对照表!$P$27:$P$48)),IF(B417="高二",IF($E417="男",LOOKUP(J417,[1]对照表!$N$3:$N$24,[1]对照表!$P$3:$P$24),LOOKUP(J417,[1]对照表!$N$27:$N$48,[1]对照表!$P$27:$P$48)),IF(B417="高一",IF($E417="男",LOOKUP(J417,[1]对照表!$M$3:$M$24,[1]对照表!$P$3:$P$24),LOOKUP(J417,[1]对照表!$M$27:$M$48,[1]对照表!$P$27:$P$48)))))</f>
        <v>76</v>
      </c>
      <c r="L417" s="21">
        <v>5</v>
      </c>
      <c r="M417" s="32">
        <f>IF(B417="高三",IF($E417="男",LOOKUP(L417,[1]对照表!$S$3:$S$24,[1]对照表!$T$3:$T$24),LOOKUP(L417,[1]对照表!$S$27:$S$48,[1]对照表!$T$27:$T$48)),IF(B417="高二",IF($E417="男",LOOKUP(L417,[1]对照表!$R$3:$R$24,[1]对照表!$T$3:$T$24),LOOKUP(L417,[1]对照表!$R$27:$R$48,[1]对照表!$T$27:$T$48)),IF(B417="高一",IF($E417="男",LOOKUP(L417,[1]对照表!$Q$3:$Q$24,[1]对照表!$T$3:$T$24),LOOKUP(L417,[1]对照表!$Q$27:$Q$48,[1]对照表!$T$27:$T$48)))))</f>
        <v>40</v>
      </c>
      <c r="N417" s="33">
        <f>IF(B417="高三",MAX(IF(E417="男",L417-18,L417-55),0),IF(B417="高二",MAX(IF(E417="男",L417-17,L417-54),0),IF(B417="高一",MAX(IF(E417="男",L417-16,L417-53),0))))</f>
        <v>0</v>
      </c>
      <c r="O417" s="23">
        <f>IF(E417="男",LOOKUP($N417,[1]对照表!$Z$3:$Z$13,[1]对照表!$AA$3:$AA$13),LOOKUP($N417,[1]对照表!$Z$15:$Z$25,[1]对照表!$AA$15:$AA$25))</f>
        <v>0</v>
      </c>
      <c r="P417" s="24">
        <f>M417+O417</f>
        <v>40</v>
      </c>
      <c r="Q417" s="25">
        <v>4.0199999999999996</v>
      </c>
      <c r="R417" s="32">
        <f>IF(B417="高三",IF($E417="男",LOOKUP(Q417,[1]对照表!$W$3:$W$24,[1]对照表!$X$3:$X$24),LOOKUP(Q417,[1]对照表!$W$27:$W$48,[1]对照表!$X$27:$X$48)),IF(B417="高二",IF($E417="男",LOOKUP(Q417,[1]对照表!$V$3:$V$24,[1]对照表!$X$3:$X$24),LOOKUP(Q417,[1]对照表!$V$27:$V$48,[1]对照表!$X$27:$X$48)),IF(B417="高一",IF($E417="男",LOOKUP(Q417,[1]对照表!$U$3:$U$24,[1]对照表!$X$3:$X$24),LOOKUP(Q417,[1]对照表!$U$27:$U$48,[1]对照表!$X$27:$X$48)))))</f>
        <v>76</v>
      </c>
      <c r="S417" s="33">
        <f>ROUND(IF(IF($B417="高三",MIN(IF($E417="男",$Q417-3.2,$Q417-3.2),0),IF($B417="高二",MIN(IF($E417="男",$Q417-3.25,$Q417-3.22),0),IF($B417="高一",MIN(IF($E417="男",$Q417-3.3,$Q417-3.24),0))))&lt;-0.6,IF($B417="高三",MIN(IF($E417="男",$Q417-3.2,$Q417-3.2),0),IF($B417="高二",MIN(IF($E417="男",$Q417-3.25,$Q417-3.22),0),IF($B417="高一",MIN(IF($E417="男",$Q417-3.3,$Q417-3.24),0))))+0.4,IF($B417="高三",MIN(IF($E417="男",$Q417-3.2,$Q417-3.2),0),IF($B417="高二",MIN(IF($E417="男",$Q417-3.25,$Q417-3.22),0),IF($B417="高一",MIN(IF($E417="男",$Q417-3.3,$Q417-3.24),0))))),2)</f>
        <v>0</v>
      </c>
      <c r="T417" s="23">
        <f>IF(E417="男",LOOKUP($S417,[1]对照表!$AB$3:$AB$13,[1]对照表!$AC$3:$AC$13),LOOKUP($S417,[1]对照表!$AB$15:$AB$25,[1]对照表!$AC$15:$AC$25))</f>
        <v>0</v>
      </c>
      <c r="U417" s="26">
        <f>R417+T417</f>
        <v>76</v>
      </c>
      <c r="V417" s="26">
        <f>SUM(I417,K417,M417)/3*0.3+SUM(G417,R417)/2*0.4</f>
        <v>49.800000000000004</v>
      </c>
      <c r="W417" s="27">
        <f>O417+T417</f>
        <v>0</v>
      </c>
      <c r="X417" s="28">
        <f>V417/0.7+W417</f>
        <v>71.142857142857153</v>
      </c>
      <c r="Y417" s="28">
        <v>71.142857142857153</v>
      </c>
      <c r="Z417" s="21"/>
    </row>
    <row r="418" spans="1:26" x14ac:dyDescent="0.25">
      <c r="A418" s="16">
        <v>23</v>
      </c>
      <c r="B418" s="17" t="s">
        <v>21</v>
      </c>
      <c r="C418" s="16">
        <v>110</v>
      </c>
      <c r="D418" s="18" t="s">
        <v>508</v>
      </c>
      <c r="E418" s="16" t="s">
        <v>23</v>
      </c>
      <c r="F418" s="19">
        <v>7.7</v>
      </c>
      <c r="G418" s="32">
        <f>IF(B418="高三",IF($E418="男",LOOKUP(F418,[1]对照表!$G$3:$G$24,[1]对照表!$H$3:$H$24),LOOKUP(F418,[1]对照表!$G$27:$G$48,[1]对照表!$H$27:$H$48)),IF(B418="高二",IF($E418="男",LOOKUP(F418,[1]对照表!$F$3:$F$24,[1]对照表!$H$3:$H$24),LOOKUP(F418,[1]对照表!$F$27:$F$48,[1]对照表!$H$27:$H$48)),IF(B418="高一",IF($E418="男",LOOKUP(F418,[1]对照表!$E$3:$E$24,[1]对照表!$H$3:$H$24),LOOKUP(F418,[1]对照表!$E$27:$E$48,[1]对照表!$H$27:$H$48)))))</f>
        <v>78</v>
      </c>
      <c r="H418" s="21">
        <v>5.5</v>
      </c>
      <c r="I418" s="32">
        <f>IF(B418="高三",IF($E418="男",LOOKUP(H418,[1]对照表!$K$3:$K$24,[1]对照表!$L$3:$L$24),LOOKUP(H418,[1]对照表!$K$27:$K$48,[1]对照表!$L$27:$L$48)),IF(B418="高二",IF($E418="男",LOOKUP(H418,[1]对照表!$J$3:$J$24,[1]对照表!$L$3:$L$24),LOOKUP(H418,[1]对照表!$J$27:$J$48,[1]对照表!$L$27:$L$48)),IF(B418="高一",IF($E418="男",LOOKUP(H418,[1]对照表!$I$3:$I$24,[1]对照表!$L$3:$L$24),LOOKUP(H418,[1]对照表!$I$27:$I$48,[1]对照表!$L$27:$L$48)))))</f>
        <v>66</v>
      </c>
      <c r="J418" s="21">
        <v>212</v>
      </c>
      <c r="K418" s="32">
        <f>IF(B418="高三",IF($E418="男",LOOKUP(J418,[1]对照表!$O$3:$O$24,[1]对照表!$P$3:$P$24),LOOKUP(J418,[1]对照表!$O$27:$O$48,[1]对照表!$P$27:$P$48)),IF(B418="高二",IF($E418="男",LOOKUP(J418,[1]对照表!$N$3:$N$24,[1]对照表!$P$3:$P$24),LOOKUP(J418,[1]对照表!$N$27:$N$48,[1]对照表!$P$27:$P$48)),IF(B418="高一",IF($E418="男",LOOKUP(J418,[1]对照表!$M$3:$M$24,[1]对照表!$P$3:$P$24),LOOKUP(J418,[1]对照表!$M$27:$M$48,[1]对照表!$P$27:$P$48)))))</f>
        <v>68</v>
      </c>
      <c r="L418" s="21">
        <v>7</v>
      </c>
      <c r="M418" s="32">
        <f>IF(B418="高三",IF($E418="男",LOOKUP(L418,[1]对照表!$S$3:$S$24,[1]对照表!$T$3:$T$24),LOOKUP(L418,[1]对照表!$S$27:$S$48,[1]对照表!$T$27:$T$48)),IF(B418="高二",IF($E418="男",LOOKUP(L418,[1]对照表!$R$3:$R$24,[1]对照表!$T$3:$T$24),LOOKUP(L418,[1]对照表!$R$27:$R$48,[1]对照表!$T$27:$T$48)),IF(B418="高一",IF($E418="男",LOOKUP(L418,[1]对照表!$Q$3:$Q$24,[1]对照表!$T$3:$T$24),LOOKUP(L418,[1]对照表!$Q$27:$Q$48,[1]对照表!$T$27:$T$48)))))</f>
        <v>60</v>
      </c>
      <c r="N418" s="33">
        <f>IF(B418="高三",MAX(IF(E418="男",L418-18,L418-55),0),IF(B418="高二",MAX(IF(E418="男",L418-17,L418-54),0),IF(B418="高一",MAX(IF(E418="男",L418-16,L418-53),0))))</f>
        <v>0</v>
      </c>
      <c r="O418" s="23">
        <f>IF(E418="男",LOOKUP($N418,[1]对照表!$Z$3:$Z$13,[1]对照表!$AA$3:$AA$13),LOOKUP($N418,[1]对照表!$Z$15:$Z$25,[1]对照表!$AA$15:$AA$25))</f>
        <v>0</v>
      </c>
      <c r="P418" s="24">
        <f>M418+O418</f>
        <v>60</v>
      </c>
      <c r="Q418" s="25">
        <v>4.12</v>
      </c>
      <c r="R418" s="32">
        <f>IF(B418="高三",IF($E418="男",LOOKUP(Q418,[1]对照表!$W$3:$W$24,[1]对照表!$X$3:$X$24),LOOKUP(Q418,[1]对照表!$W$27:$W$48,[1]对照表!$X$27:$X$48)),IF(B418="高二",IF($E418="男",LOOKUP(Q418,[1]对照表!$V$3:$V$24,[1]对照表!$X$3:$X$24),LOOKUP(Q418,[1]对照表!$V$27:$V$48,[1]对照表!$X$27:$X$48)),IF(B418="高一",IF($E418="男",LOOKUP(Q418,[1]对照表!$U$3:$U$24,[1]对照表!$X$3:$X$24),LOOKUP(Q418,[1]对照表!$U$27:$U$48,[1]对照表!$X$27:$X$48)))))</f>
        <v>72</v>
      </c>
      <c r="S418" s="33">
        <f>ROUND(IF(IF($B418="高三",MIN(IF($E418="男",$Q418-3.2,$Q418-3.2),0),IF($B418="高二",MIN(IF($E418="男",$Q418-3.25,$Q418-3.22),0),IF($B418="高一",MIN(IF($E418="男",$Q418-3.3,$Q418-3.24),0))))&lt;-0.6,IF($B418="高三",MIN(IF($E418="男",$Q418-3.2,$Q418-3.2),0),IF($B418="高二",MIN(IF($E418="男",$Q418-3.25,$Q418-3.22),0),IF($B418="高一",MIN(IF($E418="男",$Q418-3.3,$Q418-3.24),0))))+0.4,IF($B418="高三",MIN(IF($E418="男",$Q418-3.2,$Q418-3.2),0),IF($B418="高二",MIN(IF($E418="男",$Q418-3.25,$Q418-3.22),0),IF($B418="高一",MIN(IF($E418="男",$Q418-3.3,$Q418-3.24),0))))),2)</f>
        <v>0</v>
      </c>
      <c r="T418" s="23">
        <f>IF(E418="男",LOOKUP($S418,[1]对照表!$AB$3:$AB$13,[1]对照表!$AC$3:$AC$13),LOOKUP($S418,[1]对照表!$AB$15:$AB$25,[1]对照表!$AC$15:$AC$25))</f>
        <v>0</v>
      </c>
      <c r="U418" s="26">
        <f>R418+T418</f>
        <v>72</v>
      </c>
      <c r="V418" s="26">
        <f>SUM(I418,K418,M418)/3*0.3+SUM(G418,R418)/2*0.4</f>
        <v>49.400000000000006</v>
      </c>
      <c r="W418" s="27">
        <f>O418+T418</f>
        <v>0</v>
      </c>
      <c r="X418" s="28">
        <f>V418/0.7+W418</f>
        <v>70.571428571428584</v>
      </c>
      <c r="Y418" s="28">
        <v>70.571428571428584</v>
      </c>
      <c r="Z418" s="21"/>
    </row>
    <row r="419" spans="1:26" x14ac:dyDescent="0.25">
      <c r="A419" s="16">
        <v>11</v>
      </c>
      <c r="B419" s="17" t="s">
        <v>21</v>
      </c>
      <c r="C419" s="16">
        <v>110</v>
      </c>
      <c r="D419" s="18" t="s">
        <v>520</v>
      </c>
      <c r="E419" s="31" t="s">
        <v>23</v>
      </c>
      <c r="F419" s="19">
        <v>6.9</v>
      </c>
      <c r="G419" s="32">
        <f>IF(B419="高三",IF($E419="男",LOOKUP(F419,[1]对照表!$G$3:$G$24,[1]对照表!$H$3:$H$24),LOOKUP(F419,[1]对照表!$G$27:$G$48,[1]对照表!$H$27:$H$48)),IF(B419="高二",IF($E419="男",LOOKUP(F419,[1]对照表!$F$3:$F$24,[1]对照表!$H$3:$H$24),LOOKUP(F419,[1]对照表!$F$27:$F$48,[1]对照表!$H$27:$H$48)),IF(B419="高一",IF($E419="男",LOOKUP(F419,[1]对照表!$E$3:$E$24,[1]对照表!$H$3:$H$24),LOOKUP(F419,[1]对照表!$E$27:$E$48,[1]对照表!$H$27:$H$48)))))</f>
        <v>100</v>
      </c>
      <c r="H419" s="21">
        <v>-2.8</v>
      </c>
      <c r="I419" s="32">
        <f>IF(B419="高三",IF($E419="男",LOOKUP(H419,[1]对照表!$K$3:$K$24,[1]对照表!$L$3:$L$24),LOOKUP(H419,[1]对照表!$K$27:$K$48,[1]对照表!$L$27:$L$48)),IF(B419="高二",IF($E419="男",LOOKUP(H419,[1]对照表!$J$3:$J$24,[1]对照表!$L$3:$L$24),LOOKUP(H419,[1]对照表!$J$27:$J$48,[1]对照表!$L$27:$L$48)),IF(B419="高一",IF($E419="男",LOOKUP(H419,[1]对照表!$I$3:$I$24,[1]对照表!$L$3:$L$24),LOOKUP(H419,[1]对照表!$I$27:$I$48,[1]对照表!$L$27:$L$48)))))</f>
        <v>20</v>
      </c>
      <c r="J419" s="21">
        <v>261</v>
      </c>
      <c r="K419" s="32">
        <f>IF(B419="高三",IF($E419="男",LOOKUP(J419,[1]对照表!$O$3:$O$24,[1]对照表!$P$3:$P$24),LOOKUP(J419,[1]对照表!$O$27:$O$48,[1]对照表!$P$27:$P$48)),IF(B419="高二",IF($E419="男",LOOKUP(J419,[1]对照表!$N$3:$N$24,[1]对照表!$P$3:$P$24),LOOKUP(J419,[1]对照表!$N$27:$N$48,[1]对照表!$P$27:$P$48)),IF(B419="高一",IF($E419="男",LOOKUP(J419,[1]对照表!$M$3:$M$24,[1]对照表!$P$3:$P$24),LOOKUP(J419,[1]对照表!$M$27:$M$48,[1]对照表!$P$27:$P$48)))))</f>
        <v>100</v>
      </c>
      <c r="L419" s="21">
        <v>3</v>
      </c>
      <c r="M419" s="32">
        <f>IF(B419="高三",IF($E419="男",LOOKUP(L419,[1]对照表!$S$3:$S$24,[1]对照表!$T$3:$T$24),LOOKUP(L419,[1]对照表!$S$27:$S$48,[1]对照表!$T$27:$T$48)),IF(B419="高二",IF($E419="男",LOOKUP(L419,[1]对照表!$R$3:$R$24,[1]对照表!$T$3:$T$24),LOOKUP(L419,[1]对照表!$R$27:$R$48,[1]对照表!$T$27:$T$48)),IF(B419="高一",IF($E419="男",LOOKUP(L419,[1]对照表!$Q$3:$Q$24,[1]对照表!$T$3:$T$24),LOOKUP(L419,[1]对照表!$Q$27:$Q$48,[1]对照表!$T$27:$T$48)))))</f>
        <v>20</v>
      </c>
      <c r="N419" s="33">
        <f>IF(B419="高三",MAX(IF(E419="男",L419-18,L419-55),0),IF(B419="高二",MAX(IF(E419="男",L419-17,L419-54),0),IF(B419="高一",MAX(IF(E419="男",L419-16,L419-53),0))))</f>
        <v>0</v>
      </c>
      <c r="O419" s="23">
        <f>IF(E419="男",LOOKUP($N419,[1]对照表!$Z$3:$Z$13,[1]对照表!$AA$3:$AA$13),LOOKUP($N419,[1]对照表!$Z$15:$Z$25,[1]对照表!$AA$15:$AA$25))</f>
        <v>0</v>
      </c>
      <c r="P419" s="24">
        <f>M419+O419</f>
        <v>20</v>
      </c>
      <c r="Q419" s="25">
        <v>4.1100000000000003</v>
      </c>
      <c r="R419" s="32">
        <f>IF(B419="高三",IF($E419="男",LOOKUP(Q419,[1]对照表!$W$3:$W$24,[1]对照表!$X$3:$X$24),LOOKUP(Q419,[1]对照表!$W$27:$W$48,[1]对照表!$X$27:$X$48)),IF(B419="高二",IF($E419="男",LOOKUP(Q419,[1]对照表!$V$3:$V$24,[1]对照表!$X$3:$X$24),LOOKUP(Q419,[1]对照表!$V$27:$V$48,[1]对照表!$X$27:$X$48)),IF(B419="高一",IF($E419="男",LOOKUP(Q419,[1]对照表!$U$3:$U$24,[1]对照表!$X$3:$X$24),LOOKUP(Q419,[1]对照表!$U$27:$U$48,[1]对照表!$X$27:$X$48)))))</f>
        <v>72</v>
      </c>
      <c r="S419" s="33">
        <f>ROUND(IF(IF($B419="高三",MIN(IF($E419="男",$Q419-3.2,$Q419-3.2),0),IF($B419="高二",MIN(IF($E419="男",$Q419-3.25,$Q419-3.22),0),IF($B419="高一",MIN(IF($E419="男",$Q419-3.3,$Q419-3.24),0))))&lt;-0.6,IF($B419="高三",MIN(IF($E419="男",$Q419-3.2,$Q419-3.2),0),IF($B419="高二",MIN(IF($E419="男",$Q419-3.25,$Q419-3.22),0),IF($B419="高一",MIN(IF($E419="男",$Q419-3.3,$Q419-3.24),0))))+0.4,IF($B419="高三",MIN(IF($E419="男",$Q419-3.2,$Q419-3.2),0),IF($B419="高二",MIN(IF($E419="男",$Q419-3.25,$Q419-3.22),0),IF($B419="高一",MIN(IF($E419="男",$Q419-3.3,$Q419-3.24),0))))),2)</f>
        <v>0</v>
      </c>
      <c r="T419" s="23">
        <f>IF(E419="男",LOOKUP($S419,[1]对照表!$AB$3:$AB$13,[1]对照表!$AC$3:$AC$13),LOOKUP($S419,[1]对照表!$AB$15:$AB$25,[1]对照表!$AC$15:$AC$25))</f>
        <v>0</v>
      </c>
      <c r="U419" s="26">
        <f>R419+T419</f>
        <v>72</v>
      </c>
      <c r="V419" s="26">
        <f>SUM(I419,K419,M419)/3*0.3+SUM(G419,R419)/2*0.4</f>
        <v>48.4</v>
      </c>
      <c r="W419" s="27">
        <f>O419+T419</f>
        <v>0</v>
      </c>
      <c r="X419" s="28">
        <f>V419/0.7+W419</f>
        <v>69.142857142857139</v>
      </c>
      <c r="Y419" s="28">
        <v>69.142857142857139</v>
      </c>
      <c r="Z419" s="21"/>
    </row>
    <row r="420" spans="1:26" x14ac:dyDescent="0.25">
      <c r="A420" s="16">
        <v>5</v>
      </c>
      <c r="B420" s="17" t="s">
        <v>21</v>
      </c>
      <c r="C420" s="16">
        <v>110</v>
      </c>
      <c r="D420" s="18" t="s">
        <v>521</v>
      </c>
      <c r="E420" s="17" t="s">
        <v>23</v>
      </c>
      <c r="F420" s="19">
        <v>7.6</v>
      </c>
      <c r="G420" s="32">
        <f>IF(B420="高三",IF($E420="男",LOOKUP(F420,[1]对照表!$G$3:$G$24,[1]对照表!$H$3:$H$24),LOOKUP(F420,[1]对照表!$G$27:$G$48,[1]对照表!$H$27:$H$48)),IF(B420="高二",IF($E420="男",LOOKUP(F420,[1]对照表!$F$3:$F$24,[1]对照表!$H$3:$H$24),LOOKUP(F420,[1]对照表!$F$27:$F$48,[1]对照表!$H$27:$H$48)),IF(B420="高一",IF($E420="男",LOOKUP(F420,[1]对照表!$E$3:$E$24,[1]对照表!$H$3:$H$24),LOOKUP(F420,[1]对照表!$E$27:$E$48,[1]对照表!$H$27:$H$48)))))</f>
        <v>78</v>
      </c>
      <c r="H420" s="21">
        <v>10.4</v>
      </c>
      <c r="I420" s="32">
        <f>IF(B420="高三",IF($E420="男",LOOKUP(H420,[1]对照表!$K$3:$K$24,[1]对照表!$L$3:$L$24),LOOKUP(H420,[1]对照表!$K$27:$K$48,[1]对照表!$L$27:$L$48)),IF(B420="高二",IF($E420="男",LOOKUP(H420,[1]对照表!$J$3:$J$24,[1]对照表!$L$3:$L$24),LOOKUP(H420,[1]对照表!$J$27:$J$48,[1]对照表!$L$27:$L$48)),IF(B420="高一",IF($E420="男",LOOKUP(H420,[1]对照表!$I$3:$I$24,[1]对照表!$L$3:$L$24),LOOKUP(H420,[1]对照表!$I$27:$I$48,[1]对照表!$L$27:$L$48)))))</f>
        <v>72</v>
      </c>
      <c r="J420" s="21">
        <v>220</v>
      </c>
      <c r="K420" s="32">
        <f>IF(B420="高三",IF($E420="男",LOOKUP(J420,[1]对照表!$O$3:$O$24,[1]对照表!$P$3:$P$24),LOOKUP(J420,[1]对照表!$O$27:$O$48,[1]对照表!$P$27:$P$48)),IF(B420="高二",IF($E420="男",LOOKUP(J420,[1]对照表!$N$3:$N$24,[1]对照表!$P$3:$P$24),LOOKUP(J420,[1]对照表!$N$27:$N$48,[1]对照表!$P$27:$P$48)),IF(B420="高一",IF($E420="男",LOOKUP(J420,[1]对照表!$M$3:$M$24,[1]对照表!$P$3:$P$24),LOOKUP(J420,[1]对照表!$M$27:$M$48,[1]对照表!$P$27:$P$48)))))</f>
        <v>72</v>
      </c>
      <c r="L420" s="21">
        <v>5</v>
      </c>
      <c r="M420" s="32">
        <f>IF(B420="高三",IF($E420="男",LOOKUP(L420,[1]对照表!$S$3:$S$24,[1]对照表!$T$3:$T$24),LOOKUP(L420,[1]对照表!$S$27:$S$48,[1]对照表!$T$27:$T$48)),IF(B420="高二",IF($E420="男",LOOKUP(L420,[1]对照表!$R$3:$R$24,[1]对照表!$T$3:$T$24),LOOKUP(L420,[1]对照表!$R$27:$R$48,[1]对照表!$T$27:$T$48)),IF(B420="高一",IF($E420="男",LOOKUP(L420,[1]对照表!$Q$3:$Q$24,[1]对照表!$T$3:$T$24),LOOKUP(L420,[1]对照表!$Q$27:$Q$48,[1]对照表!$T$27:$T$48)))))</f>
        <v>40</v>
      </c>
      <c r="N420" s="33">
        <f>IF(B420="高三",MAX(IF(E420="男",L420-18,L420-55),0),IF(B420="高二",MAX(IF(E420="男",L420-17,L420-54),0),IF(B420="高一",MAX(IF(E420="男",L420-16,L420-53),0))))</f>
        <v>0</v>
      </c>
      <c r="O420" s="23">
        <f>IF(E420="男",LOOKUP($N420,[1]对照表!$Z$3:$Z$13,[1]对照表!$AA$3:$AA$13),LOOKUP($N420,[1]对照表!$Z$15:$Z$25,[1]对照表!$AA$15:$AA$25))</f>
        <v>0</v>
      </c>
      <c r="P420" s="24">
        <f>M420+O420</f>
        <v>40</v>
      </c>
      <c r="Q420" s="25">
        <v>4.12</v>
      </c>
      <c r="R420" s="32">
        <f>IF(B420="高三",IF($E420="男",LOOKUP(Q420,[1]对照表!$W$3:$W$24,[1]对照表!$X$3:$X$24),LOOKUP(Q420,[1]对照表!$W$27:$W$48,[1]对照表!$X$27:$X$48)),IF(B420="高二",IF($E420="男",LOOKUP(Q420,[1]对照表!$V$3:$V$24,[1]对照表!$X$3:$X$24),LOOKUP(Q420,[1]对照表!$V$27:$V$48,[1]对照表!$X$27:$X$48)),IF(B420="高一",IF($E420="男",LOOKUP(Q420,[1]对照表!$U$3:$U$24,[1]对照表!$X$3:$X$24),LOOKUP(Q420,[1]对照表!$U$27:$U$48,[1]对照表!$X$27:$X$48)))))</f>
        <v>72</v>
      </c>
      <c r="S420" s="33">
        <f>ROUND(IF(IF($B420="高三",MIN(IF($E420="男",$Q420-3.2,$Q420-3.2),0),IF($B420="高二",MIN(IF($E420="男",$Q420-3.25,$Q420-3.22),0),IF($B420="高一",MIN(IF($E420="男",$Q420-3.3,$Q420-3.24),0))))&lt;-0.6,IF($B420="高三",MIN(IF($E420="男",$Q420-3.2,$Q420-3.2),0),IF($B420="高二",MIN(IF($E420="男",$Q420-3.25,$Q420-3.22),0),IF($B420="高一",MIN(IF($E420="男",$Q420-3.3,$Q420-3.24),0))))+0.4,IF($B420="高三",MIN(IF($E420="男",$Q420-3.2,$Q420-3.2),0),IF($B420="高二",MIN(IF($E420="男",$Q420-3.25,$Q420-3.22),0),IF($B420="高一",MIN(IF($E420="男",$Q420-3.3,$Q420-3.24),0))))),2)</f>
        <v>0</v>
      </c>
      <c r="T420" s="23">
        <f>IF(E420="男",LOOKUP($S420,[1]对照表!$AB$3:$AB$13,[1]对照表!$AC$3:$AC$13),LOOKUP($S420,[1]对照表!$AB$15:$AB$25,[1]对照表!$AC$15:$AC$25))</f>
        <v>0</v>
      </c>
      <c r="U420" s="26">
        <f>R420+T420</f>
        <v>72</v>
      </c>
      <c r="V420" s="26">
        <f>SUM(I420,K420,M420)/3*0.3+SUM(G420,R420)/2*0.4</f>
        <v>48.4</v>
      </c>
      <c r="W420" s="27">
        <f>O420+T420</f>
        <v>0</v>
      </c>
      <c r="X420" s="28">
        <f>V420/0.7+W420</f>
        <v>69.142857142857139</v>
      </c>
      <c r="Y420" s="28">
        <v>69.142857142857139</v>
      </c>
      <c r="Z420" s="21"/>
    </row>
    <row r="421" spans="1:26" x14ac:dyDescent="0.25">
      <c r="A421" s="16">
        <v>21</v>
      </c>
      <c r="B421" s="17" t="s">
        <v>21</v>
      </c>
      <c r="C421" s="16">
        <v>110</v>
      </c>
      <c r="D421" s="18" t="s">
        <v>525</v>
      </c>
      <c r="E421" s="34" t="s">
        <v>23</v>
      </c>
      <c r="F421" s="19">
        <v>7.9</v>
      </c>
      <c r="G421" s="32">
        <f>IF(B421="高三",IF($E421="男",LOOKUP(F421,[1]对照表!$G$3:$G$24,[1]对照表!$H$3:$H$24),LOOKUP(F421,[1]对照表!$G$27:$G$48,[1]对照表!$H$27:$H$48)),IF(B421="高二",IF($E421="男",LOOKUP(F421,[1]对照表!$F$3:$F$24,[1]对照表!$H$3:$H$24),LOOKUP(F421,[1]对照表!$F$27:$F$48,[1]对照表!$H$27:$H$48)),IF(B421="高一",IF($E421="男",LOOKUP(F421,[1]对照表!$E$3:$E$24,[1]对照表!$H$3:$H$24),LOOKUP(F421,[1]对照表!$E$27:$E$48,[1]对照表!$H$27:$H$48)))))</f>
        <v>76</v>
      </c>
      <c r="H421" s="21">
        <v>13.6</v>
      </c>
      <c r="I421" s="32">
        <f>IF(B421="高三",IF($E421="男",LOOKUP(H421,[1]对照表!$K$3:$K$24,[1]对照表!$L$3:$L$24),LOOKUP(H421,[1]对照表!$K$27:$K$48,[1]对照表!$L$27:$L$48)),IF(B421="高二",IF($E421="男",LOOKUP(H421,[1]对照表!$J$3:$J$24,[1]对照表!$L$3:$L$24),LOOKUP(H421,[1]对照表!$J$27:$J$48,[1]对照表!$L$27:$L$48)),IF(B421="高一",IF($E421="男",LOOKUP(H421,[1]对照表!$I$3:$I$24,[1]对照表!$L$3:$L$24),LOOKUP(H421,[1]对照表!$I$27:$I$48,[1]对照表!$L$27:$L$48)))))</f>
        <v>78</v>
      </c>
      <c r="J421" s="21">
        <v>251</v>
      </c>
      <c r="K421" s="32">
        <f>IF(B421="高三",IF($E421="男",LOOKUP(J421,[1]对照表!$O$3:$O$24,[1]对照表!$P$3:$P$24),LOOKUP(J421,[1]对照表!$O$27:$O$48,[1]对照表!$P$27:$P$48)),IF(B421="高二",IF($E421="男",LOOKUP(J421,[1]对照表!$N$3:$N$24,[1]对照表!$P$3:$P$24),LOOKUP(J421,[1]对照表!$N$27:$N$48,[1]对照表!$P$27:$P$48)),IF(B421="高一",IF($E421="男",LOOKUP(J421,[1]对照表!$M$3:$M$24,[1]对照表!$P$3:$P$24),LOOKUP(J421,[1]对照表!$M$27:$M$48,[1]对照表!$P$27:$P$48)))))</f>
        <v>90</v>
      </c>
      <c r="L421" s="21">
        <v>0</v>
      </c>
      <c r="M421" s="32">
        <f>IF(B421="高三",IF($E421="男",LOOKUP(L421,[1]对照表!$S$3:$S$24,[1]对照表!$T$3:$T$24),LOOKUP(L421,[1]对照表!$S$27:$S$48,[1]对照表!$T$27:$T$48)),IF(B421="高二",IF($E421="男",LOOKUP(L421,[1]对照表!$R$3:$R$24,[1]对照表!$T$3:$T$24),LOOKUP(L421,[1]对照表!$R$27:$R$48,[1]对照表!$T$27:$T$48)),IF(B421="高一",IF($E421="男",LOOKUP(L421,[1]对照表!$Q$3:$Q$24,[1]对照表!$T$3:$T$24),LOOKUP(L421,[1]对照表!$Q$27:$Q$48,[1]对照表!$T$27:$T$48)))))</f>
        <v>0</v>
      </c>
      <c r="N421" s="33">
        <f>IF(B421="高三",MAX(IF(E421="男",L421-18,L421-55),0),IF(B421="高二",MAX(IF(E421="男",L421-17,L421-54),0),IF(B421="高一",MAX(IF(E421="男",L421-16,L421-53),0))))</f>
        <v>0</v>
      </c>
      <c r="O421" s="23">
        <f>IF(E421="男",LOOKUP($N421,[1]对照表!$Z$3:$Z$13,[1]对照表!$AA$3:$AA$13),LOOKUP($N421,[1]对照表!$Z$15:$Z$25,[1]对照表!$AA$15:$AA$25))</f>
        <v>0</v>
      </c>
      <c r="P421" s="24">
        <f>M421+O421</f>
        <v>0</v>
      </c>
      <c r="Q421" s="25">
        <v>3.54</v>
      </c>
      <c r="R421" s="32">
        <f>IF(B421="高三",IF($E421="男",LOOKUP(Q421,[1]对照表!$W$3:$W$24,[1]对照表!$X$3:$X$24),LOOKUP(Q421,[1]对照表!$W$27:$W$48,[1]对照表!$X$27:$X$48)),IF(B421="高二",IF($E421="男",LOOKUP(Q421,[1]对照表!$V$3:$V$24,[1]对照表!$X$3:$X$24),LOOKUP(Q421,[1]对照表!$V$27:$V$48,[1]对照表!$X$27:$X$48)),IF(B421="高一",IF($E421="男",LOOKUP(Q421,[1]对照表!$U$3:$U$24,[1]对照表!$X$3:$X$24),LOOKUP(Q421,[1]对照表!$U$27:$U$48,[1]对照表!$X$27:$X$48)))))</f>
        <v>80</v>
      </c>
      <c r="S421" s="33">
        <f>ROUND(IF(IF($B421="高三",MIN(IF($E421="男",$Q421-3.2,$Q421-3.2),0),IF($B421="高二",MIN(IF($E421="男",$Q421-3.25,$Q421-3.22),0),IF($B421="高一",MIN(IF($E421="男",$Q421-3.3,$Q421-3.24),0))))&lt;-0.6,IF($B421="高三",MIN(IF($E421="男",$Q421-3.2,$Q421-3.2),0),IF($B421="高二",MIN(IF($E421="男",$Q421-3.25,$Q421-3.22),0),IF($B421="高一",MIN(IF($E421="男",$Q421-3.3,$Q421-3.24),0))))+0.4,IF($B421="高三",MIN(IF($E421="男",$Q421-3.2,$Q421-3.2),0),IF($B421="高二",MIN(IF($E421="男",$Q421-3.25,$Q421-3.22),0),IF($B421="高一",MIN(IF($E421="男",$Q421-3.3,$Q421-3.24),0))))),2)</f>
        <v>0</v>
      </c>
      <c r="T421" s="23">
        <f>IF(E421="男",LOOKUP($S421,[1]对照表!$AB$3:$AB$13,[1]对照表!$AC$3:$AC$13),LOOKUP($S421,[1]对照表!$AB$15:$AB$25,[1]对照表!$AC$15:$AC$25))</f>
        <v>0</v>
      </c>
      <c r="U421" s="26">
        <f>R421+T421</f>
        <v>80</v>
      </c>
      <c r="V421" s="26">
        <f>SUM(I421,K421,M421)/3*0.3+SUM(G421,R421)/2*0.4</f>
        <v>48</v>
      </c>
      <c r="W421" s="27">
        <f>O421+T421</f>
        <v>0</v>
      </c>
      <c r="X421" s="28">
        <f>V421/0.7+W421</f>
        <v>68.571428571428569</v>
      </c>
      <c r="Y421" s="28">
        <v>68.571428571428569</v>
      </c>
      <c r="Z421" s="21"/>
    </row>
    <row r="422" spans="1:26" x14ac:dyDescent="0.25">
      <c r="A422" s="16">
        <v>6</v>
      </c>
      <c r="B422" s="17" t="s">
        <v>21</v>
      </c>
      <c r="C422" s="16">
        <v>110</v>
      </c>
      <c r="D422" s="18" t="s">
        <v>540</v>
      </c>
      <c r="E422" s="17" t="s">
        <v>23</v>
      </c>
      <c r="F422" s="19">
        <v>8.6</v>
      </c>
      <c r="G422" s="32">
        <f>IF(B422="高三",IF($E422="男",LOOKUP(F422,[1]对照表!$G$3:$G$24,[1]对照表!$H$3:$H$24),LOOKUP(F422,[1]对照表!$G$27:$G$48,[1]对照表!$H$27:$H$48)),IF(B422="高二",IF($E422="男",LOOKUP(F422,[1]对照表!$F$3:$F$24,[1]对照表!$H$3:$H$24),LOOKUP(F422,[1]对照表!$F$27:$F$48,[1]对照表!$H$27:$H$48)),IF(B422="高一",IF($E422="男",LOOKUP(F422,[1]对照表!$E$3:$E$24,[1]对照表!$H$3:$H$24),LOOKUP(F422,[1]对照表!$E$27:$E$48,[1]对照表!$H$27:$H$48)))))</f>
        <v>68</v>
      </c>
      <c r="H422" s="21">
        <v>18</v>
      </c>
      <c r="I422" s="32">
        <f>IF(B422="高三",IF($E422="男",LOOKUP(H422,[1]对照表!$K$3:$K$24,[1]对照表!$L$3:$L$24),LOOKUP(H422,[1]对照表!$K$27:$K$48,[1]对照表!$L$27:$L$48)),IF(B422="高二",IF($E422="男",LOOKUP(H422,[1]对照表!$J$3:$J$24,[1]对照表!$L$3:$L$24),LOOKUP(H422,[1]对照表!$J$27:$J$48,[1]对照表!$L$27:$L$48)),IF(B422="高一",IF($E422="男",LOOKUP(H422,[1]对照表!$I$3:$I$24,[1]对照表!$L$3:$L$24),LOOKUP(H422,[1]对照表!$I$27:$I$48,[1]对照表!$L$27:$L$48)))))</f>
        <v>85</v>
      </c>
      <c r="J422" s="21">
        <v>202</v>
      </c>
      <c r="K422" s="32">
        <f>IF(B422="高三",IF($E422="男",LOOKUP(J422,[1]对照表!$O$3:$O$24,[1]对照表!$P$3:$P$24),LOOKUP(J422,[1]对照表!$O$27:$O$48,[1]对照表!$P$27:$P$48)),IF(B422="高二",IF($E422="男",LOOKUP(J422,[1]对照表!$N$3:$N$24,[1]对照表!$P$3:$P$24),LOOKUP(J422,[1]对照表!$N$27:$N$48,[1]对照表!$P$27:$P$48)),IF(B422="高一",IF($E422="男",LOOKUP(J422,[1]对照表!$M$3:$M$24,[1]对照表!$P$3:$P$24),LOOKUP(J422,[1]对照表!$M$27:$M$48,[1]对照表!$P$27:$P$48)))))</f>
        <v>62</v>
      </c>
      <c r="L422" s="21">
        <v>3</v>
      </c>
      <c r="M422" s="32">
        <f>IF(B422="高三",IF($E422="男",LOOKUP(L422,[1]对照表!$S$3:$S$24,[1]对照表!$T$3:$T$24),LOOKUP(L422,[1]对照表!$S$27:$S$48,[1]对照表!$T$27:$T$48)),IF(B422="高二",IF($E422="男",LOOKUP(L422,[1]对照表!$R$3:$R$24,[1]对照表!$T$3:$T$24),LOOKUP(L422,[1]对照表!$R$27:$R$48,[1]对照表!$T$27:$T$48)),IF(B422="高一",IF($E422="男",LOOKUP(L422,[1]对照表!$Q$3:$Q$24,[1]对照表!$T$3:$T$24),LOOKUP(L422,[1]对照表!$Q$27:$Q$48,[1]对照表!$T$27:$T$48)))))</f>
        <v>20</v>
      </c>
      <c r="N422" s="33">
        <f>IF(B422="高三",MAX(IF(E422="男",L422-18,L422-55),0),IF(B422="高二",MAX(IF(E422="男",L422-17,L422-54),0),IF(B422="高一",MAX(IF(E422="男",L422-16,L422-53),0))))</f>
        <v>0</v>
      </c>
      <c r="O422" s="23">
        <f>IF(E422="男",LOOKUP($N422,[1]对照表!$Z$3:$Z$13,[1]对照表!$AA$3:$AA$13),LOOKUP($N422,[1]对照表!$Z$15:$Z$25,[1]对照表!$AA$15:$AA$25))</f>
        <v>0</v>
      </c>
      <c r="P422" s="24">
        <f>M422+O422</f>
        <v>20</v>
      </c>
      <c r="Q422" s="25">
        <v>4.05</v>
      </c>
      <c r="R422" s="32">
        <f>IF(B422="高三",IF($E422="男",LOOKUP(Q422,[1]对照表!$W$3:$W$24,[1]对照表!$X$3:$X$24),LOOKUP(Q422,[1]对照表!$W$27:$W$48,[1]对照表!$X$27:$X$48)),IF(B422="高二",IF($E422="男",LOOKUP(Q422,[1]对照表!$V$3:$V$24,[1]对照表!$X$3:$X$24),LOOKUP(Q422,[1]对照表!$V$27:$V$48,[1]对照表!$X$27:$X$48)),IF(B422="高一",IF($E422="男",LOOKUP(Q422,[1]对照表!$U$3:$U$24,[1]对照表!$X$3:$X$24),LOOKUP(Q422,[1]对照表!$U$27:$U$48,[1]对照表!$X$27:$X$48)))))</f>
        <v>76</v>
      </c>
      <c r="S422" s="33">
        <f>ROUND(IF(IF($B422="高三",MIN(IF($E422="男",$Q422-3.2,$Q422-3.2),0),IF($B422="高二",MIN(IF($E422="男",$Q422-3.25,$Q422-3.22),0),IF($B422="高一",MIN(IF($E422="男",$Q422-3.3,$Q422-3.24),0))))&lt;-0.6,IF($B422="高三",MIN(IF($E422="男",$Q422-3.2,$Q422-3.2),0),IF($B422="高二",MIN(IF($E422="男",$Q422-3.25,$Q422-3.22),0),IF($B422="高一",MIN(IF($E422="男",$Q422-3.3,$Q422-3.24),0))))+0.4,IF($B422="高三",MIN(IF($E422="男",$Q422-3.2,$Q422-3.2),0),IF($B422="高二",MIN(IF($E422="男",$Q422-3.25,$Q422-3.22),0),IF($B422="高一",MIN(IF($E422="男",$Q422-3.3,$Q422-3.24),0))))),2)</f>
        <v>0</v>
      </c>
      <c r="T422" s="23">
        <f>IF(E422="男",LOOKUP($S422,[1]对照表!$AB$3:$AB$13,[1]对照表!$AC$3:$AC$13),LOOKUP($S422,[1]对照表!$AB$15:$AB$25,[1]对照表!$AC$15:$AC$25))</f>
        <v>0</v>
      </c>
      <c r="U422" s="26">
        <f>R422+T422</f>
        <v>76</v>
      </c>
      <c r="V422" s="26">
        <f>SUM(I422,K422,M422)/3*0.3+SUM(G422,R422)/2*0.4</f>
        <v>45.5</v>
      </c>
      <c r="W422" s="27">
        <f>O422+T422</f>
        <v>0</v>
      </c>
      <c r="X422" s="28">
        <f>V422/0.7+W422</f>
        <v>65</v>
      </c>
      <c r="Y422" s="28">
        <v>65</v>
      </c>
      <c r="Z422" s="21"/>
    </row>
    <row r="423" spans="1:26" x14ac:dyDescent="0.25">
      <c r="A423" s="16">
        <v>30</v>
      </c>
      <c r="B423" s="17" t="s">
        <v>21</v>
      </c>
      <c r="C423" s="16">
        <v>110</v>
      </c>
      <c r="D423" s="18" t="s">
        <v>572</v>
      </c>
      <c r="E423" s="16" t="s">
        <v>23</v>
      </c>
      <c r="F423" s="19">
        <v>7.8</v>
      </c>
      <c r="G423" s="32">
        <f>IF(B423="高三",IF($E423="男",LOOKUP(F423,[1]对照表!$G$3:$G$24,[1]对照表!$H$3:$H$24),LOOKUP(F423,[1]对照表!$G$27:$G$48,[1]对照表!$H$27:$H$48)),IF(B423="高二",IF($E423="男",LOOKUP(F423,[1]对照表!$F$3:$F$24,[1]对照表!$H$3:$H$24),LOOKUP(F423,[1]对照表!$F$27:$F$48,[1]对照表!$H$27:$H$48)),IF(B423="高一",IF($E423="男",LOOKUP(F423,[1]对照表!$E$3:$E$24,[1]对照表!$H$3:$H$24),LOOKUP(F423,[1]对照表!$E$27:$E$48,[1]对照表!$H$27:$H$48)))))</f>
        <v>76</v>
      </c>
      <c r="H423" s="21">
        <v>17.3</v>
      </c>
      <c r="I423" s="32">
        <f>IF(B423="高三",IF($E423="男",LOOKUP(H423,[1]对照表!$K$3:$K$24,[1]对照表!$L$3:$L$24),LOOKUP(H423,[1]对照表!$K$27:$K$48,[1]对照表!$L$27:$L$48)),IF(B423="高二",IF($E423="男",LOOKUP(H423,[1]对照表!$J$3:$J$24,[1]对照表!$L$3:$L$24),LOOKUP(H423,[1]对照表!$J$27:$J$48,[1]对照表!$L$27:$L$48)),IF(B423="高一",IF($E423="男",LOOKUP(H423,[1]对照表!$I$3:$I$24,[1]对照表!$L$3:$L$24),LOOKUP(H423,[1]对照表!$I$27:$I$48,[1]对照表!$L$27:$L$48)))))</f>
        <v>85</v>
      </c>
      <c r="J423" s="21">
        <v>236</v>
      </c>
      <c r="K423" s="32">
        <f>IF(B423="高三",IF($E423="男",LOOKUP(J423,[1]对照表!$O$3:$O$24,[1]对照表!$P$3:$P$24),LOOKUP(J423,[1]对照表!$O$27:$O$48,[1]对照表!$P$27:$P$48)),IF(B423="高二",IF($E423="男",LOOKUP(J423,[1]对照表!$N$3:$N$24,[1]对照表!$P$3:$P$24),LOOKUP(J423,[1]对照表!$N$27:$N$48,[1]对照表!$P$27:$P$48)),IF(B423="高一",IF($E423="男",LOOKUP(J423,[1]对照表!$M$3:$M$24,[1]对照表!$P$3:$P$24),LOOKUP(J423,[1]对照表!$M$27:$M$48,[1]对照表!$P$27:$P$48)))))</f>
        <v>80</v>
      </c>
      <c r="L423" s="21">
        <v>16</v>
      </c>
      <c r="M423" s="32">
        <f>IF(B423="高三",IF($E423="男",LOOKUP(L423,[1]对照表!$S$3:$S$24,[1]对照表!$T$3:$T$24),LOOKUP(L423,[1]对照表!$S$27:$S$48,[1]对照表!$T$27:$T$48)),IF(B423="高二",IF($E423="男",LOOKUP(L423,[1]对照表!$R$3:$R$24,[1]对照表!$T$3:$T$24),LOOKUP(L423,[1]对照表!$R$27:$R$48,[1]对照表!$T$27:$T$48)),IF(B423="高一",IF($E423="男",LOOKUP(L423,[1]对照表!$Q$3:$Q$24,[1]对照表!$T$3:$T$24),LOOKUP(L423,[1]对照表!$Q$27:$Q$48,[1]对照表!$T$27:$T$48)))))</f>
        <v>100</v>
      </c>
      <c r="N423" s="33">
        <f>IF(B423="高三",MAX(IF(E423="男",L423-18,L423-55),0),IF(B423="高二",MAX(IF(E423="男",L423-17,L423-54),0),IF(B423="高一",MAX(IF(E423="男",L423-16,L423-53),0))))</f>
        <v>0</v>
      </c>
      <c r="O423" s="23">
        <f>IF(E423="男",LOOKUP($N423,[1]对照表!$Z$3:$Z$13,[1]对照表!$AA$3:$AA$13),LOOKUP($N423,[1]对照表!$Z$15:$Z$25,[1]对照表!$AA$15:$AA$25))</f>
        <v>0</v>
      </c>
      <c r="P423" s="24">
        <f>M423+O423</f>
        <v>100</v>
      </c>
      <c r="Q423" s="25"/>
      <c r="R423" s="20">
        <v>0</v>
      </c>
      <c r="S423" s="22">
        <v>0</v>
      </c>
      <c r="T423" s="23">
        <f>IF(E423="男",LOOKUP($S423,[1]对照表!$AB$3:$AB$13,[1]对照表!$AC$3:$AC$13),LOOKUP($S423,[1]对照表!$AB$15:$AB$25,[1]对照表!$AC$15:$AC$25))</f>
        <v>0</v>
      </c>
      <c r="U423" s="26">
        <f>R423+T423</f>
        <v>0</v>
      </c>
      <c r="V423" s="26">
        <f>SUM(I423,K423,M423)/3*0.3+SUM(G423,R423)/2*0.4</f>
        <v>41.699999999999996</v>
      </c>
      <c r="W423" s="27">
        <f>O423+T423</f>
        <v>0</v>
      </c>
      <c r="X423" s="28">
        <f>V423/0.7+W423</f>
        <v>59.571428571428569</v>
      </c>
      <c r="Y423" s="28">
        <v>59.571428571428569</v>
      </c>
      <c r="Z423" s="21"/>
    </row>
    <row r="424" spans="1:26" x14ac:dyDescent="0.25">
      <c r="A424" s="16">
        <v>50</v>
      </c>
      <c r="B424" s="17" t="s">
        <v>21</v>
      </c>
      <c r="C424" s="16">
        <v>110</v>
      </c>
      <c r="D424" s="18" t="s">
        <v>608</v>
      </c>
      <c r="E424" s="17" t="s">
        <v>65</v>
      </c>
      <c r="F424" s="19">
        <v>9.7200000000000006</v>
      </c>
      <c r="G424" s="32">
        <f>IF(B424="高三",IF($E424="男",LOOKUP(F424,[1]对照表!$G$3:$G$24,[1]对照表!$H$3:$H$24),LOOKUP(F424,[1]对照表!$G$27:$G$48,[1]对照表!$H$27:$H$48)),IF(B424="高二",IF($E424="男",LOOKUP(F424,[1]对照表!$F$3:$F$24,[1]对照表!$H$3:$H$24),LOOKUP(F424,[1]对照表!$F$27:$F$48,[1]对照表!$H$27:$H$48)),IF(B424="高一",IF($E424="男",LOOKUP(F424,[1]对照表!$E$3:$E$24,[1]对照表!$H$3:$H$24),LOOKUP(F424,[1]对照表!$E$27:$E$48,[1]对照表!$H$27:$H$48)))))</f>
        <v>68</v>
      </c>
      <c r="H424" s="21">
        <v>13</v>
      </c>
      <c r="I424" s="32">
        <f>IF(B424="高三",IF($E424="男",LOOKUP(H424,[1]对照表!$K$3:$K$24,[1]对照表!$L$3:$L$24),LOOKUP(H424,[1]对照表!$K$27:$K$48,[1]对照表!$L$27:$L$48)),IF(B424="高二",IF($E424="男",LOOKUP(H424,[1]对照表!$J$3:$J$24,[1]对照表!$L$3:$L$24),LOOKUP(H424,[1]对照表!$J$27:$J$48,[1]对照表!$L$27:$L$48)),IF(B424="高一",IF($E424="男",LOOKUP(H424,[1]对照表!$I$3:$I$24,[1]对照表!$L$3:$L$24),LOOKUP(H424,[1]对照表!$I$27:$I$48,[1]对照表!$L$27:$L$48)))))</f>
        <v>72</v>
      </c>
      <c r="J424" s="21">
        <v>152</v>
      </c>
      <c r="K424" s="32">
        <f>IF(B424="高三",IF($E424="男",LOOKUP(J424,[1]对照表!$O$3:$O$24,[1]对照表!$P$3:$P$24),LOOKUP(J424,[1]对照表!$O$27:$O$48,[1]对照表!$P$27:$P$48)),IF(B424="高二",IF($E424="男",LOOKUP(J424,[1]对照表!$N$3:$N$24,[1]对照表!$P$3:$P$24),LOOKUP(J424,[1]对照表!$N$27:$N$48,[1]对照表!$P$27:$P$48)),IF(B424="高一",IF($E424="男",LOOKUP(J424,[1]对照表!$M$3:$M$24,[1]对照表!$P$3:$P$24),LOOKUP(J424,[1]对照表!$M$27:$M$48,[1]对照表!$P$27:$P$48)))))</f>
        <v>62</v>
      </c>
      <c r="L424" s="21">
        <v>42</v>
      </c>
      <c r="M424" s="32">
        <f>IF(B424="高三",IF($E424="男",LOOKUP(L424,[1]对照表!$S$3:$S$24,[1]对照表!$T$3:$T$24),LOOKUP(L424,[1]对照表!$S$27:$S$48,[1]对照表!$T$27:$T$48)),IF(B424="高二",IF($E424="男",LOOKUP(L424,[1]对照表!$R$3:$R$24,[1]对照表!$T$3:$T$24),LOOKUP(L424,[1]对照表!$R$27:$R$48,[1]对照表!$T$27:$T$48)),IF(B424="高一",IF($E424="男",LOOKUP(L424,[1]对照表!$Q$3:$Q$24,[1]对照表!$T$3:$T$24),LOOKUP(L424,[1]对照表!$Q$27:$Q$48,[1]对照表!$T$27:$T$48)))))</f>
        <v>78</v>
      </c>
      <c r="N424" s="33">
        <f>IF(B424="高三",MAX(IF(E424="男",L424-18,L424-55),0),IF(B424="高二",MAX(IF(E424="男",L424-17,L424-54),0),IF(B424="高一",MAX(IF(E424="男",L424-16,L424-53),0))))</f>
        <v>0</v>
      </c>
      <c r="O424" s="23">
        <f>IF(E424="男",LOOKUP($N424,[1]对照表!$Z$3:$Z$13,[1]对照表!$AA$3:$AA$13),LOOKUP($N424,[1]对照表!$Z$15:$Z$25,[1]对照表!$AA$15:$AA$25))</f>
        <v>0</v>
      </c>
      <c r="P424" s="24">
        <f>M424+O424</f>
        <v>78</v>
      </c>
      <c r="Q424" s="25">
        <v>3.51</v>
      </c>
      <c r="R424" s="32">
        <f>IF(B424="高三",IF($E424="男",LOOKUP(Q424,[1]对照表!$W$3:$W$24,[1]对照表!$X$3:$X$24),LOOKUP(Q424,[1]对照表!$W$27:$W$48,[1]对照表!$X$27:$X$48)),IF(B424="高二",IF($E424="男",LOOKUP(Q424,[1]对照表!$V$3:$V$24,[1]对照表!$X$3:$X$24),LOOKUP(Q424,[1]对照表!$V$27:$V$48,[1]对照表!$X$27:$X$48)),IF(B424="高一",IF($E424="男",LOOKUP(Q424,[1]对照表!$U$3:$U$24,[1]对照表!$X$3:$X$24),LOOKUP(Q424,[1]对照表!$U$27:$U$48,[1]对照表!$X$27:$X$48)))))</f>
        <v>78</v>
      </c>
      <c r="S424" s="33">
        <f>ROUND(IF(IF($B424="高三",MIN(IF($E424="男",$Q424-3.2,$Q424-3.2),0),IF($B424="高二",MIN(IF($E424="男",$Q424-3.25,$Q424-3.22),0),IF($B424="高一",MIN(IF($E424="男",$Q424-3.3,$Q424-3.24),0))))&lt;-0.6,IF($B424="高三",MIN(IF($E424="男",$Q424-3.2,$Q424-3.2),0),IF($B424="高二",MIN(IF($E424="男",$Q424-3.25,$Q424-3.22),0),IF($B424="高一",MIN(IF($E424="男",$Q424-3.3,$Q424-3.24),0))))+0.4,IF($B424="高三",MIN(IF($E424="男",$Q424-3.2,$Q424-3.2),0),IF($B424="高二",MIN(IF($E424="男",$Q424-3.25,$Q424-3.22),0),IF($B424="高一",MIN(IF($E424="男",$Q424-3.3,$Q424-3.24),0))))),2)</f>
        <v>0</v>
      </c>
      <c r="T424" s="23">
        <f>IF(E424="男",LOOKUP($S424,[1]对照表!$AB$3:$AB$13,[1]对照表!$AC$3:$AC$13),LOOKUP($S424,[1]对照表!$AB$15:$AB$25,[1]对照表!$AC$15:$AC$25))</f>
        <v>0</v>
      </c>
      <c r="U424" s="26">
        <f>R424+T424</f>
        <v>78</v>
      </c>
      <c r="V424" s="26">
        <f>SUM(I424,K424,M424)/3*0.3+SUM(G424,R424)/2*0.4</f>
        <v>50.400000000000006</v>
      </c>
      <c r="W424" s="27">
        <f>O424+T424</f>
        <v>0</v>
      </c>
      <c r="X424" s="28">
        <f>V424/0.7+W424</f>
        <v>72.000000000000014</v>
      </c>
      <c r="Y424" s="28">
        <v>72.000000000000014</v>
      </c>
      <c r="Z424" s="21"/>
    </row>
    <row r="425" spans="1:26" x14ac:dyDescent="0.25">
      <c r="A425" s="16">
        <v>12</v>
      </c>
      <c r="B425" s="17" t="s">
        <v>21</v>
      </c>
      <c r="C425" s="16">
        <v>110</v>
      </c>
      <c r="D425" s="18" t="s">
        <v>629</v>
      </c>
      <c r="E425" s="17" t="s">
        <v>23</v>
      </c>
      <c r="F425" s="19">
        <v>7.4</v>
      </c>
      <c r="G425" s="32">
        <f>IF(B425="高三",IF($E425="男",LOOKUP(F425,[1]对照表!$G$3:$G$24,[1]对照表!$H$3:$H$24),LOOKUP(F425,[1]对照表!$G$27:$G$48,[1]对照表!$H$27:$H$48)),IF(B425="高二",IF($E425="男",LOOKUP(F425,[1]对照表!$F$3:$F$24,[1]对照表!$H$3:$H$24),LOOKUP(F425,[1]对照表!$F$27:$F$48,[1]对照表!$H$27:$H$48)),IF(B425="高一",IF($E425="男",LOOKUP(F425,[1]对照表!$E$3:$E$24,[1]对照表!$H$3:$H$24),LOOKUP(F425,[1]对照表!$E$27:$E$48,[1]对照表!$H$27:$H$48)))))</f>
        <v>85</v>
      </c>
      <c r="H425" s="21">
        <v>15.5</v>
      </c>
      <c r="I425" s="32">
        <f>IF(B425="高三",IF($E425="男",LOOKUP(H425,[1]对照表!$K$3:$K$24,[1]对照表!$L$3:$L$24),LOOKUP(H425,[1]对照表!$K$27:$K$48,[1]对照表!$L$27:$L$48)),IF(B425="高二",IF($E425="男",LOOKUP(H425,[1]对照表!$J$3:$J$24,[1]对照表!$L$3:$L$24),LOOKUP(H425,[1]对照表!$J$27:$J$48,[1]对照表!$L$27:$L$48)),IF(B425="高一",IF($E425="男",LOOKUP(H425,[1]对照表!$I$3:$I$24,[1]对照表!$L$3:$L$24),LOOKUP(H425,[1]对照表!$I$27:$I$48,[1]对照表!$L$27:$L$48)))))</f>
        <v>80</v>
      </c>
      <c r="J425" s="21">
        <v>232</v>
      </c>
      <c r="K425" s="32">
        <f>IF(B425="高三",IF($E425="男",LOOKUP(J425,[1]对照表!$O$3:$O$24,[1]对照表!$P$3:$P$24),LOOKUP(J425,[1]对照表!$O$27:$O$48,[1]对照表!$P$27:$P$48)),IF(B425="高二",IF($E425="男",LOOKUP(J425,[1]对照表!$N$3:$N$24,[1]对照表!$P$3:$P$24),LOOKUP(J425,[1]对照表!$N$27:$N$48,[1]对照表!$P$27:$P$48)),IF(B425="高一",IF($E425="男",LOOKUP(J425,[1]对照表!$M$3:$M$24,[1]对照表!$P$3:$P$24),LOOKUP(J425,[1]对照表!$M$27:$M$48,[1]对照表!$P$27:$P$48)))))</f>
        <v>78</v>
      </c>
      <c r="L425" s="21">
        <v>1</v>
      </c>
      <c r="M425" s="32">
        <f>IF(B425="高三",IF($E425="男",LOOKUP(L425,[1]对照表!$S$3:$S$24,[1]对照表!$T$3:$T$24),LOOKUP(L425,[1]对照表!$S$27:$S$48,[1]对照表!$T$27:$T$48)),IF(B425="高二",IF($E425="男",LOOKUP(L425,[1]对照表!$R$3:$R$24,[1]对照表!$T$3:$T$24),LOOKUP(L425,[1]对照表!$R$27:$R$48,[1]对照表!$T$27:$T$48)),IF(B425="高一",IF($E425="男",LOOKUP(L425,[1]对照表!$Q$3:$Q$24,[1]对照表!$T$3:$T$24),LOOKUP(L425,[1]对照表!$Q$27:$Q$48,[1]对照表!$T$27:$T$48)))))</f>
        <v>0</v>
      </c>
      <c r="N425" s="33">
        <f>IF(B425="高三",MAX(IF(E425="男",L425-18,L425-55),0),IF(B425="高二",MAX(IF(E425="男",L425-17,L425-54),0),IF(B425="高一",MAX(IF(E425="男",L425-16,L425-53),0))))</f>
        <v>0</v>
      </c>
      <c r="O425" s="23">
        <f>IF(E425="男",LOOKUP($N425,[1]对照表!$Z$3:$Z$13,[1]对照表!$AA$3:$AA$13),LOOKUP($N425,[1]对照表!$Z$15:$Z$25,[1]对照表!$AA$15:$AA$25))</f>
        <v>0</v>
      </c>
      <c r="P425" s="24">
        <f>M425+O425</f>
        <v>0</v>
      </c>
      <c r="Q425" s="25"/>
      <c r="R425" s="20">
        <v>0</v>
      </c>
      <c r="S425" s="22">
        <v>0</v>
      </c>
      <c r="T425" s="23">
        <f>IF(E425="男",LOOKUP($S425,[1]对照表!$AB$3:$AB$13,[1]对照表!$AC$3:$AC$13),LOOKUP($S425,[1]对照表!$AB$15:$AB$25,[1]对照表!$AC$15:$AC$25))</f>
        <v>0</v>
      </c>
      <c r="U425" s="26">
        <f>R425+T425</f>
        <v>0</v>
      </c>
      <c r="V425" s="26">
        <f>SUM(I425,K425,M425)/3*0.3+SUM(G425,R425)/2*0.4</f>
        <v>32.799999999999997</v>
      </c>
      <c r="W425" s="27">
        <f>O425+T425</f>
        <v>0</v>
      </c>
      <c r="X425" s="28">
        <f>V425/0.7+W425</f>
        <v>46.857142857142854</v>
      </c>
      <c r="Y425" s="29">
        <v>50</v>
      </c>
      <c r="Z425" s="21"/>
    </row>
    <row r="426" spans="1:26" x14ac:dyDescent="0.25">
      <c r="A426" s="16">
        <v>13</v>
      </c>
      <c r="B426" s="17" t="s">
        <v>21</v>
      </c>
      <c r="C426" s="16">
        <v>110</v>
      </c>
      <c r="D426" s="18" t="s">
        <v>631</v>
      </c>
      <c r="E426" s="17" t="s">
        <v>23</v>
      </c>
      <c r="F426" s="19">
        <v>7.8</v>
      </c>
      <c r="G426" s="32">
        <f>IF(B426="高三",IF($E426="男",LOOKUP(F426,[1]对照表!$G$3:$G$24,[1]对照表!$H$3:$H$24),LOOKUP(F426,[1]对照表!$G$27:$G$48,[1]对照表!$H$27:$H$48)),IF(B426="高二",IF($E426="男",LOOKUP(F426,[1]对照表!$F$3:$F$24,[1]对照表!$H$3:$H$24),LOOKUP(F426,[1]对照表!$F$27:$F$48,[1]对照表!$H$27:$H$48)),IF(B426="高一",IF($E426="男",LOOKUP(F426,[1]对照表!$E$3:$E$24,[1]对照表!$H$3:$H$24),LOOKUP(F426,[1]对照表!$E$27:$E$48,[1]对照表!$H$27:$H$48)))))</f>
        <v>76</v>
      </c>
      <c r="H426" s="21">
        <v>15.8</v>
      </c>
      <c r="I426" s="32">
        <f>IF(B426="高三",IF($E426="男",LOOKUP(H426,[1]对照表!$K$3:$K$24,[1]对照表!$L$3:$L$24),LOOKUP(H426,[1]对照表!$K$27:$K$48,[1]对照表!$L$27:$L$48)),IF(B426="高二",IF($E426="男",LOOKUP(H426,[1]对照表!$J$3:$J$24,[1]对照表!$L$3:$L$24),LOOKUP(H426,[1]对照表!$J$27:$J$48,[1]对照表!$L$27:$L$48)),IF(B426="高一",IF($E426="男",LOOKUP(H426,[1]对照表!$I$3:$I$24,[1]对照表!$L$3:$L$24),LOOKUP(H426,[1]对照表!$I$27:$I$48,[1]对照表!$L$27:$L$48)))))</f>
        <v>80</v>
      </c>
      <c r="J426" s="21">
        <v>255</v>
      </c>
      <c r="K426" s="32">
        <f>IF(B426="高三",IF($E426="男",LOOKUP(J426,[1]对照表!$O$3:$O$24,[1]对照表!$P$3:$P$24),LOOKUP(J426,[1]对照表!$O$27:$O$48,[1]对照表!$P$27:$P$48)),IF(B426="高二",IF($E426="男",LOOKUP(J426,[1]对照表!$N$3:$N$24,[1]对照表!$P$3:$P$24),LOOKUP(J426,[1]对照表!$N$27:$N$48,[1]对照表!$P$27:$P$48)),IF(B426="高一",IF($E426="男",LOOKUP(J426,[1]对照表!$M$3:$M$24,[1]对照表!$P$3:$P$24),LOOKUP(J426,[1]对照表!$M$27:$M$48,[1]对照表!$P$27:$P$48)))))</f>
        <v>95</v>
      </c>
      <c r="L426" s="21">
        <v>3</v>
      </c>
      <c r="M426" s="32">
        <f>IF(B426="高三",IF($E426="男",LOOKUP(L426,[1]对照表!$S$3:$S$24,[1]对照表!$T$3:$T$24),LOOKUP(L426,[1]对照表!$S$27:$S$48,[1]对照表!$T$27:$T$48)),IF(B426="高二",IF($E426="男",LOOKUP(L426,[1]对照表!$R$3:$R$24,[1]对照表!$T$3:$T$24),LOOKUP(L426,[1]对照表!$R$27:$R$48,[1]对照表!$T$27:$T$48)),IF(B426="高一",IF($E426="男",LOOKUP(L426,[1]对照表!$Q$3:$Q$24,[1]对照表!$T$3:$T$24),LOOKUP(L426,[1]对照表!$Q$27:$Q$48,[1]对照表!$T$27:$T$48)))))</f>
        <v>20</v>
      </c>
      <c r="N426" s="33">
        <f>IF(B426="高三",MAX(IF(E426="男",L426-18,L426-55),0),IF(B426="高二",MAX(IF(E426="男",L426-17,L426-54),0),IF(B426="高一",MAX(IF(E426="男",L426-16,L426-53),0))))</f>
        <v>0</v>
      </c>
      <c r="O426" s="23">
        <f>IF(E426="男",LOOKUP($N426,[1]对照表!$Z$3:$Z$13,[1]对照表!$AA$3:$AA$13),LOOKUP($N426,[1]对照表!$Z$15:$Z$25,[1]对照表!$AA$15:$AA$25))</f>
        <v>0</v>
      </c>
      <c r="P426" s="24">
        <f>M426+O426</f>
        <v>20</v>
      </c>
      <c r="Q426" s="25"/>
      <c r="R426" s="20">
        <v>0</v>
      </c>
      <c r="S426" s="22">
        <v>0</v>
      </c>
      <c r="T426" s="23">
        <f>IF(E426="男",LOOKUP($S426,[1]对照表!$AB$3:$AB$13,[1]对照表!$AC$3:$AC$13),LOOKUP($S426,[1]对照表!$AB$15:$AB$25,[1]对照表!$AC$15:$AC$25))</f>
        <v>0</v>
      </c>
      <c r="U426" s="26">
        <f>R426+T426</f>
        <v>0</v>
      </c>
      <c r="V426" s="26">
        <f>SUM(I426,K426,M426)/3*0.3+SUM(G426,R426)/2*0.4</f>
        <v>34.700000000000003</v>
      </c>
      <c r="W426" s="27">
        <f>O426+T426</f>
        <v>0</v>
      </c>
      <c r="X426" s="28">
        <f>V426/0.7+W426</f>
        <v>49.571428571428577</v>
      </c>
      <c r="Y426" s="29">
        <v>50</v>
      </c>
      <c r="Z426" s="21"/>
    </row>
    <row r="427" spans="1:26" x14ac:dyDescent="0.25">
      <c r="A427" s="16">
        <v>17</v>
      </c>
      <c r="B427" s="17" t="s">
        <v>21</v>
      </c>
      <c r="C427" s="16">
        <v>110</v>
      </c>
      <c r="D427" s="18" t="s">
        <v>640</v>
      </c>
      <c r="E427" s="17" t="s">
        <v>23</v>
      </c>
      <c r="F427" s="19"/>
      <c r="G427" s="20">
        <v>0</v>
      </c>
      <c r="H427" s="21">
        <v>21.6</v>
      </c>
      <c r="I427" s="32">
        <f>IF(B427="高三",IF($E427="男",LOOKUP(H427,[1]对照表!$K$3:$K$24,[1]对照表!$L$3:$L$24),LOOKUP(H427,[1]对照表!$K$27:$K$48,[1]对照表!$L$27:$L$48)),IF(B427="高二",IF($E427="男",LOOKUP(H427,[1]对照表!$J$3:$J$24,[1]对照表!$L$3:$L$24),LOOKUP(H427,[1]对照表!$J$27:$J$48,[1]对照表!$L$27:$L$48)),IF(B427="高一",IF($E427="男",LOOKUP(H427,[1]对照表!$I$3:$I$24,[1]对照表!$L$3:$L$24),LOOKUP(H427,[1]对照表!$I$27:$I$48,[1]对照表!$L$27:$L$48)))))</f>
        <v>95</v>
      </c>
      <c r="J427" s="21">
        <v>238</v>
      </c>
      <c r="K427" s="32">
        <f>IF(B427="高三",IF($E427="男",LOOKUP(J427,[1]对照表!$O$3:$O$24,[1]对照表!$P$3:$P$24),LOOKUP(J427,[1]对照表!$O$27:$O$48,[1]对照表!$P$27:$P$48)),IF(B427="高二",IF($E427="男",LOOKUP(J427,[1]对照表!$N$3:$N$24,[1]对照表!$P$3:$P$24),LOOKUP(J427,[1]对照表!$N$27:$N$48,[1]对照表!$P$27:$P$48)),IF(B427="高一",IF($E427="男",LOOKUP(J427,[1]对照表!$M$3:$M$24,[1]对照表!$P$3:$P$24),LOOKUP(J427,[1]对照表!$M$27:$M$48,[1]对照表!$P$27:$P$48)))))</f>
        <v>80</v>
      </c>
      <c r="L427" s="21">
        <v>5</v>
      </c>
      <c r="M427" s="32">
        <f>IF(B427="高三",IF($E427="男",LOOKUP(L427,[1]对照表!$S$3:$S$24,[1]对照表!$T$3:$T$24),LOOKUP(L427,[1]对照表!$S$27:$S$48,[1]对照表!$T$27:$T$48)),IF(B427="高二",IF($E427="男",LOOKUP(L427,[1]对照表!$R$3:$R$24,[1]对照表!$T$3:$T$24),LOOKUP(L427,[1]对照表!$R$27:$R$48,[1]对照表!$T$27:$T$48)),IF(B427="高一",IF($E427="男",LOOKUP(L427,[1]对照表!$Q$3:$Q$24,[1]对照表!$T$3:$T$24),LOOKUP(L427,[1]对照表!$Q$27:$Q$48,[1]对照表!$T$27:$T$48)))))</f>
        <v>40</v>
      </c>
      <c r="N427" s="33">
        <f>IF(B427="高三",MAX(IF(E427="男",L427-18,L427-55),0),IF(B427="高二",MAX(IF(E427="男",L427-17,L427-54),0),IF(B427="高一",MAX(IF(E427="男",L427-16,L427-53),0))))</f>
        <v>0</v>
      </c>
      <c r="O427" s="23">
        <f>IF(E427="男",LOOKUP($N427,[1]对照表!$Z$3:$Z$13,[1]对照表!$AA$3:$AA$13),LOOKUP($N427,[1]对照表!$Z$15:$Z$25,[1]对照表!$AA$15:$AA$25))</f>
        <v>0</v>
      </c>
      <c r="P427" s="24">
        <f>M427+O427</f>
        <v>40</v>
      </c>
      <c r="Q427" s="25"/>
      <c r="R427" s="20">
        <v>0</v>
      </c>
      <c r="S427" s="22">
        <v>0</v>
      </c>
      <c r="T427" s="23">
        <f>IF(E427="男",LOOKUP($S427,[1]对照表!$AB$3:$AB$13,[1]对照表!$AC$3:$AC$13),LOOKUP($S427,[1]对照表!$AB$15:$AB$25,[1]对照表!$AC$15:$AC$25))</f>
        <v>0</v>
      </c>
      <c r="U427" s="26">
        <f>R427+T427</f>
        <v>0</v>
      </c>
      <c r="V427" s="26">
        <f>SUM(I427,K427,M427)/3*0.3+SUM(G427,R427)/2*0.4</f>
        <v>21.5</v>
      </c>
      <c r="W427" s="27">
        <f>O427+T427</f>
        <v>0</v>
      </c>
      <c r="X427" s="28">
        <f>V427/0.7+W427</f>
        <v>30.714285714285715</v>
      </c>
      <c r="Y427" s="29">
        <v>50</v>
      </c>
      <c r="Z427" s="21" t="s">
        <v>524</v>
      </c>
    </row>
    <row r="428" spans="1:26" x14ac:dyDescent="0.25">
      <c r="A428" s="16">
        <v>44</v>
      </c>
      <c r="B428" s="17" t="s">
        <v>21</v>
      </c>
      <c r="C428" s="16">
        <v>110</v>
      </c>
      <c r="D428" s="18" t="s">
        <v>653</v>
      </c>
      <c r="E428" s="31" t="s">
        <v>65</v>
      </c>
      <c r="F428" s="19">
        <v>9.7899999999999991</v>
      </c>
      <c r="G428" s="32">
        <f>IF(B428="高三",IF($E428="男",LOOKUP(F428,[1]对照表!$G$3:$G$24,[1]对照表!$H$3:$H$24),LOOKUP(F428,[1]对照表!$G$27:$G$48,[1]对照表!$H$27:$H$48)),IF(B428="高二",IF($E428="男",LOOKUP(F428,[1]对照表!$F$3:$F$24,[1]对照表!$H$3:$H$24),LOOKUP(F428,[1]对照表!$F$27:$F$48,[1]对照表!$H$27:$H$48)),IF(B428="高一",IF($E428="男",LOOKUP(F428,[1]对照表!$E$3:$E$24,[1]对照表!$H$3:$H$24),LOOKUP(F428,[1]对照表!$E$27:$E$48,[1]对照表!$H$27:$H$48)))))</f>
        <v>68</v>
      </c>
      <c r="H428" s="21">
        <v>14</v>
      </c>
      <c r="I428" s="32">
        <f>IF(B428="高三",IF($E428="男",LOOKUP(H428,[1]对照表!$K$3:$K$24,[1]对照表!$L$3:$L$24),LOOKUP(H428,[1]对照表!$K$27:$K$48,[1]对照表!$L$27:$L$48)),IF(B428="高二",IF($E428="男",LOOKUP(H428,[1]对照表!$J$3:$J$24,[1]对照表!$L$3:$L$24),LOOKUP(H428,[1]对照表!$J$27:$J$48,[1]对照表!$L$27:$L$48)),IF(B428="高一",IF($E428="男",LOOKUP(H428,[1]对照表!$I$3:$I$24,[1]对照表!$L$3:$L$24),LOOKUP(H428,[1]对照表!$I$27:$I$48,[1]对照表!$L$27:$L$48)))))</f>
        <v>74</v>
      </c>
      <c r="J428" s="21">
        <v>158</v>
      </c>
      <c r="K428" s="32">
        <f>IF(B428="高三",IF($E428="男",LOOKUP(J428,[1]对照表!$O$3:$O$24,[1]对照表!$P$3:$P$24),LOOKUP(J428,[1]对照表!$O$27:$O$48,[1]对照表!$P$27:$P$48)),IF(B428="高二",IF($E428="男",LOOKUP(J428,[1]对照表!$N$3:$N$24,[1]对照表!$P$3:$P$24),LOOKUP(J428,[1]对照表!$N$27:$N$48,[1]对照表!$P$27:$P$48)),IF(B428="高一",IF($E428="男",LOOKUP(J428,[1]对照表!$M$3:$M$24,[1]对照表!$P$3:$P$24),LOOKUP(J428,[1]对照表!$M$27:$M$48,[1]对照表!$P$27:$P$48)))))</f>
        <v>66</v>
      </c>
      <c r="L428" s="21">
        <v>46</v>
      </c>
      <c r="M428" s="32">
        <f>IF(B428="高三",IF($E428="男",LOOKUP(L428,[1]对照表!$S$3:$S$24,[1]对照表!$T$3:$T$24),LOOKUP(L428,[1]对照表!$S$27:$S$48,[1]对照表!$T$27:$T$48)),IF(B428="高二",IF($E428="男",LOOKUP(L428,[1]对照表!$R$3:$R$24,[1]对照表!$T$3:$T$24),LOOKUP(L428,[1]对照表!$R$27:$R$48,[1]对照表!$T$27:$T$48)),IF(B428="高一",IF($E428="男",LOOKUP(L428,[1]对照表!$Q$3:$Q$24,[1]对照表!$T$3:$T$24),LOOKUP(L428,[1]对照表!$Q$27:$Q$48,[1]对照表!$T$27:$T$48)))))</f>
        <v>85</v>
      </c>
      <c r="N428" s="33">
        <f>IF(B428="高三",MAX(IF(E428="男",L428-18,L428-55),0),IF(B428="高二",MAX(IF(E428="男",L428-17,L428-54),0),IF(B428="高一",MAX(IF(E428="男",L428-16,L428-53),0))))</f>
        <v>0</v>
      </c>
      <c r="O428" s="23">
        <f>IF(E428="男",LOOKUP($N428,[1]对照表!$Z$3:$Z$13,[1]对照表!$AA$3:$AA$13),LOOKUP($N428,[1]对照表!$Z$15:$Z$25,[1]对照表!$AA$15:$AA$25))</f>
        <v>0</v>
      </c>
      <c r="P428" s="24">
        <f>M428+O428</f>
        <v>85</v>
      </c>
      <c r="Q428" s="25">
        <v>3.57</v>
      </c>
      <c r="R428" s="32">
        <f>IF(B428="高三",IF($E428="男",LOOKUP(Q428,[1]对照表!$W$3:$W$24,[1]对照表!$X$3:$X$24),LOOKUP(Q428,[1]对照表!$W$27:$W$48,[1]对照表!$X$27:$X$48)),IF(B428="高二",IF($E428="男",LOOKUP(Q428,[1]对照表!$V$3:$V$24,[1]对照表!$X$3:$X$24),LOOKUP(Q428,[1]对照表!$V$27:$V$48,[1]对照表!$X$27:$X$48)),IF(B428="高一",IF($E428="男",LOOKUP(Q428,[1]对照表!$U$3:$U$24,[1]对照表!$X$3:$X$24),LOOKUP(Q428,[1]对照表!$U$27:$U$48,[1]对照表!$X$27:$X$48)))))</f>
        <v>76</v>
      </c>
      <c r="S428" s="33">
        <f>ROUND(IF(IF($B428="高三",MIN(IF($E428="男",$Q428-3.2,$Q428-3.2),0),IF($B428="高二",MIN(IF($E428="男",$Q428-3.25,$Q428-3.22),0),IF($B428="高一",MIN(IF($E428="男",$Q428-3.3,$Q428-3.24),0))))&lt;-0.6,IF($B428="高三",MIN(IF($E428="男",$Q428-3.2,$Q428-3.2),0),IF($B428="高二",MIN(IF($E428="男",$Q428-3.25,$Q428-3.22),0),IF($B428="高一",MIN(IF($E428="男",$Q428-3.3,$Q428-3.24),0))))+0.4,IF($B428="高三",MIN(IF($E428="男",$Q428-3.2,$Q428-3.2),0),IF($B428="高二",MIN(IF($E428="男",$Q428-3.25,$Q428-3.22),0),IF($B428="高一",MIN(IF($E428="男",$Q428-3.3,$Q428-3.24),0))))),2)</f>
        <v>0</v>
      </c>
      <c r="T428" s="23">
        <f>IF(E428="男",LOOKUP($S428,[1]对照表!$AB$3:$AB$13,[1]对照表!$AC$3:$AC$13),LOOKUP($S428,[1]对照表!$AB$15:$AB$25,[1]对照表!$AC$15:$AC$25))</f>
        <v>0</v>
      </c>
      <c r="U428" s="26">
        <f>R428+T428</f>
        <v>76</v>
      </c>
      <c r="V428" s="26">
        <f>SUM(I428,K428,M428)/3*0.3+SUM(G428,R428)/2*0.4</f>
        <v>51.3</v>
      </c>
      <c r="W428" s="27">
        <f>O428+T428</f>
        <v>0</v>
      </c>
      <c r="X428" s="28">
        <f>V428/0.7+W428</f>
        <v>73.285714285714292</v>
      </c>
      <c r="Y428" s="28">
        <v>73.285714285714292</v>
      </c>
      <c r="Z428" s="21"/>
    </row>
    <row r="429" spans="1:26" x14ac:dyDescent="0.25">
      <c r="A429" s="16">
        <v>40</v>
      </c>
      <c r="B429" s="17" t="s">
        <v>21</v>
      </c>
      <c r="C429" s="16">
        <v>110</v>
      </c>
      <c r="D429" s="18" t="s">
        <v>659</v>
      </c>
      <c r="E429" s="17" t="s">
        <v>65</v>
      </c>
      <c r="F429" s="19">
        <v>9.1999999999999993</v>
      </c>
      <c r="G429" s="32">
        <f>IF(B429="高三",IF($E429="男",LOOKUP(F429,[1]对照表!$G$3:$G$24,[1]对照表!$H$3:$H$24),LOOKUP(F429,[1]对照表!$G$27:$G$48,[1]对照表!$H$27:$H$48)),IF(B429="高二",IF($E429="男",LOOKUP(F429,[1]对照表!$F$3:$F$24,[1]对照表!$H$3:$H$24),LOOKUP(F429,[1]对照表!$F$27:$F$48,[1]对照表!$H$27:$H$48)),IF(B429="高一",IF($E429="男",LOOKUP(F429,[1]对照表!$E$3:$E$24,[1]对照表!$H$3:$H$24),LOOKUP(F429,[1]对照表!$E$27:$E$48,[1]对照表!$H$27:$H$48)))))</f>
        <v>74</v>
      </c>
      <c r="H429" s="21">
        <v>23</v>
      </c>
      <c r="I429" s="32">
        <f>IF(B429="高三",IF($E429="男",LOOKUP(H429,[1]对照表!$K$3:$K$24,[1]对照表!$L$3:$L$24),LOOKUP(H429,[1]对照表!$K$27:$K$48,[1]对照表!$L$27:$L$48)),IF(B429="高二",IF($E429="男",LOOKUP(H429,[1]对照表!$J$3:$J$24,[1]对照表!$L$3:$L$24),LOOKUP(H429,[1]对照表!$J$27:$J$48,[1]对照表!$L$27:$L$48)),IF(B429="高一",IF($E429="男",LOOKUP(H429,[1]对照表!$I$3:$I$24,[1]对照表!$L$3:$L$24),LOOKUP(H429,[1]对照表!$I$27:$I$48,[1]对照表!$L$27:$L$48)))))</f>
        <v>95</v>
      </c>
      <c r="J429" s="21">
        <v>160</v>
      </c>
      <c r="K429" s="32">
        <f>IF(B429="高三",IF($E429="男",LOOKUP(J429,[1]对照表!$O$3:$O$24,[1]对照表!$P$3:$P$24),LOOKUP(J429,[1]对照表!$O$27:$O$48,[1]对照表!$P$27:$P$48)),IF(B429="高二",IF($E429="男",LOOKUP(J429,[1]对照表!$N$3:$N$24,[1]对照表!$P$3:$P$24),LOOKUP(J429,[1]对照表!$N$27:$N$48,[1]对照表!$P$27:$P$48)),IF(B429="高一",IF($E429="男",LOOKUP(J429,[1]对照表!$M$3:$M$24,[1]对照表!$P$3:$P$24),LOOKUP(J429,[1]对照表!$M$27:$M$48,[1]对照表!$P$27:$P$48)))))</f>
        <v>68</v>
      </c>
      <c r="L429" s="21">
        <v>52</v>
      </c>
      <c r="M429" s="32">
        <f>IF(B429="高三",IF($E429="男",LOOKUP(L429,[1]对照表!$S$3:$S$24,[1]对照表!$T$3:$T$24),LOOKUP(L429,[1]对照表!$S$27:$S$48,[1]对照表!$T$27:$T$48)),IF(B429="高二",IF($E429="男",LOOKUP(L429,[1]对照表!$R$3:$R$24,[1]对照表!$T$3:$T$24),LOOKUP(L429,[1]对照表!$R$27:$R$48,[1]对照表!$T$27:$T$48)),IF(B429="高一",IF($E429="男",LOOKUP(L429,[1]对照表!$Q$3:$Q$24,[1]对照表!$T$3:$T$24),LOOKUP(L429,[1]对照表!$Q$27:$Q$48,[1]对照表!$T$27:$T$48)))))</f>
        <v>95</v>
      </c>
      <c r="N429" s="33">
        <f>IF(B429="高三",MAX(IF(E429="男",L429-18,L429-55),0),IF(B429="高二",MAX(IF(E429="男",L429-17,L429-54),0),IF(B429="高一",MAX(IF(E429="男",L429-16,L429-53),0))))</f>
        <v>0</v>
      </c>
      <c r="O429" s="23">
        <f>IF(E429="男",LOOKUP($N429,[1]对照表!$Z$3:$Z$13,[1]对照表!$AA$3:$AA$13),LOOKUP($N429,[1]对照表!$Z$15:$Z$25,[1]对照表!$AA$15:$AA$25))</f>
        <v>0</v>
      </c>
      <c r="P429" s="24">
        <f>M429+O429</f>
        <v>95</v>
      </c>
      <c r="Q429" s="25">
        <v>3.58</v>
      </c>
      <c r="R429" s="32">
        <f>IF(B429="高三",IF($E429="男",LOOKUP(Q429,[1]对照表!$W$3:$W$24,[1]对照表!$X$3:$X$24),LOOKUP(Q429,[1]对照表!$W$27:$W$48,[1]对照表!$X$27:$X$48)),IF(B429="高二",IF($E429="男",LOOKUP(Q429,[1]对照表!$V$3:$V$24,[1]对照表!$X$3:$X$24),LOOKUP(Q429,[1]对照表!$V$27:$V$48,[1]对照表!$X$27:$X$48)),IF(B429="高一",IF($E429="男",LOOKUP(Q429,[1]对照表!$U$3:$U$24,[1]对照表!$X$3:$X$24),LOOKUP(Q429,[1]对照表!$U$27:$U$48,[1]对照表!$X$27:$X$48)))))</f>
        <v>76</v>
      </c>
      <c r="S429" s="33">
        <f>ROUND(IF(IF($B429="高三",MIN(IF($E429="男",$Q429-3.2,$Q429-3.2),0),IF($B429="高二",MIN(IF($E429="男",$Q429-3.25,$Q429-3.22),0),IF($B429="高一",MIN(IF($E429="男",$Q429-3.3,$Q429-3.24),0))))&lt;-0.6,IF($B429="高三",MIN(IF($E429="男",$Q429-3.2,$Q429-3.2),0),IF($B429="高二",MIN(IF($E429="男",$Q429-3.25,$Q429-3.22),0),IF($B429="高一",MIN(IF($E429="男",$Q429-3.3,$Q429-3.24),0))))+0.4,IF($B429="高三",MIN(IF($E429="男",$Q429-3.2,$Q429-3.2),0),IF($B429="高二",MIN(IF($E429="男",$Q429-3.25,$Q429-3.22),0),IF($B429="高一",MIN(IF($E429="男",$Q429-3.3,$Q429-3.24),0))))),2)</f>
        <v>0</v>
      </c>
      <c r="T429" s="23">
        <f>IF(E429="男",LOOKUP($S429,[1]对照表!$AB$3:$AB$13,[1]对照表!$AC$3:$AC$13),LOOKUP($S429,[1]对照表!$AB$15:$AB$25,[1]对照表!$AC$15:$AC$25))</f>
        <v>0</v>
      </c>
      <c r="U429" s="26">
        <f>R429+T429</f>
        <v>76</v>
      </c>
      <c r="V429" s="26">
        <f>SUM(I429,K429,M429)/3*0.3+SUM(G429,R429)/2*0.4</f>
        <v>55.8</v>
      </c>
      <c r="W429" s="27">
        <f>O429+T429</f>
        <v>0</v>
      </c>
      <c r="X429" s="28">
        <f>V429/0.7+W429</f>
        <v>79.714285714285708</v>
      </c>
      <c r="Y429" s="28">
        <v>79.714285714285708</v>
      </c>
      <c r="Z429" s="21"/>
    </row>
    <row r="430" spans="1:26" x14ac:dyDescent="0.25">
      <c r="A430" s="16">
        <v>43</v>
      </c>
      <c r="B430" s="17" t="s">
        <v>21</v>
      </c>
      <c r="C430" s="16">
        <v>110</v>
      </c>
      <c r="D430" s="18" t="s">
        <v>703</v>
      </c>
      <c r="E430" s="17" t="s">
        <v>65</v>
      </c>
      <c r="F430" s="19">
        <v>8.94</v>
      </c>
      <c r="G430" s="32">
        <f>IF(B430="高三",IF($E430="男",LOOKUP(F430,[1]对照表!$G$3:$G$24,[1]对照表!$H$3:$H$24),LOOKUP(F430,[1]对照表!$G$27:$G$48,[1]对照表!$H$27:$H$48)),IF(B430="高二",IF($E430="男",LOOKUP(F430,[1]对照表!$F$3:$F$24,[1]对照表!$H$3:$H$24),LOOKUP(F430,[1]对照表!$F$27:$F$48,[1]对照表!$H$27:$H$48)),IF(B430="高一",IF($E430="男",LOOKUP(F430,[1]对照表!$E$3:$E$24,[1]对照表!$H$3:$H$24),LOOKUP(F430,[1]对照表!$E$27:$E$48,[1]对照表!$H$27:$H$48)))))</f>
        <v>76</v>
      </c>
      <c r="H430" s="21">
        <v>18</v>
      </c>
      <c r="I430" s="32">
        <f>IF(B430="高三",IF($E430="男",LOOKUP(H430,[1]对照表!$K$3:$K$24,[1]对照表!$L$3:$L$24),LOOKUP(H430,[1]对照表!$K$27:$K$48,[1]对照表!$L$27:$L$48)),IF(B430="高二",IF($E430="男",LOOKUP(H430,[1]对照表!$J$3:$J$24,[1]对照表!$L$3:$L$24),LOOKUP(H430,[1]对照表!$J$27:$J$48,[1]对照表!$L$27:$L$48)),IF(B430="高一",IF($E430="男",LOOKUP(H430,[1]对照表!$I$3:$I$24,[1]对照表!$L$3:$L$24),LOOKUP(H430,[1]对照表!$I$27:$I$48,[1]对照表!$L$27:$L$48)))))</f>
        <v>80</v>
      </c>
      <c r="J430" s="21">
        <v>160</v>
      </c>
      <c r="K430" s="32">
        <f>IF(B430="高三",IF($E430="男",LOOKUP(J430,[1]对照表!$O$3:$O$24,[1]对照表!$P$3:$P$24),LOOKUP(J430,[1]对照表!$O$27:$O$48,[1]对照表!$P$27:$P$48)),IF(B430="高二",IF($E430="男",LOOKUP(J430,[1]对照表!$N$3:$N$24,[1]对照表!$P$3:$P$24),LOOKUP(J430,[1]对照表!$N$27:$N$48,[1]对照表!$P$27:$P$48)),IF(B430="高一",IF($E430="男",LOOKUP(J430,[1]对照表!$M$3:$M$24,[1]对照表!$P$3:$P$24),LOOKUP(J430,[1]对照表!$M$27:$M$48,[1]对照表!$P$27:$P$48)))))</f>
        <v>68</v>
      </c>
      <c r="L430" s="21">
        <v>53</v>
      </c>
      <c r="M430" s="32">
        <f>IF(B430="高三",IF($E430="男",LOOKUP(L430,[1]对照表!$S$3:$S$24,[1]对照表!$T$3:$T$24),LOOKUP(L430,[1]对照表!$S$27:$S$48,[1]对照表!$T$27:$T$48)),IF(B430="高二",IF($E430="男",LOOKUP(L430,[1]对照表!$R$3:$R$24,[1]对照表!$T$3:$T$24),LOOKUP(L430,[1]对照表!$R$27:$R$48,[1]对照表!$T$27:$T$48)),IF(B430="高一",IF($E430="男",LOOKUP(L430,[1]对照表!$Q$3:$Q$24,[1]对照表!$T$3:$T$24),LOOKUP(L430,[1]对照表!$Q$27:$Q$48,[1]对照表!$T$27:$T$48)))))</f>
        <v>100</v>
      </c>
      <c r="N430" s="33">
        <f>IF(B430="高三",MAX(IF(E430="男",L430-18,L430-55),0),IF(B430="高二",MAX(IF(E430="男",L430-17,L430-54),0),IF(B430="高一",MAX(IF(E430="男",L430-16,L430-53),0))))</f>
        <v>0</v>
      </c>
      <c r="O430" s="23">
        <f>IF(E430="男",LOOKUP($N430,[1]对照表!$Z$3:$Z$13,[1]对照表!$AA$3:$AA$13),LOOKUP($N430,[1]对照表!$Z$15:$Z$25,[1]对照表!$AA$15:$AA$25))</f>
        <v>0</v>
      </c>
      <c r="P430" s="24">
        <f>M430+O430</f>
        <v>100</v>
      </c>
      <c r="Q430" s="25">
        <v>4.09</v>
      </c>
      <c r="R430" s="32">
        <f>IF(B430="高三",IF($E430="男",LOOKUP(Q430,[1]对照表!$W$3:$W$24,[1]对照表!$X$3:$X$24),LOOKUP(Q430,[1]对照表!$W$27:$W$48,[1]对照表!$X$27:$X$48)),IF(B430="高二",IF($E430="男",LOOKUP(Q430,[1]对照表!$V$3:$V$24,[1]对照表!$X$3:$X$24),LOOKUP(Q430,[1]对照表!$V$27:$V$48,[1]对照表!$X$27:$X$48)),IF(B430="高一",IF($E430="男",LOOKUP(Q430,[1]对照表!$U$3:$U$24,[1]对照表!$X$3:$X$24),LOOKUP(Q430,[1]对照表!$U$27:$U$48,[1]对照表!$X$27:$X$48)))))</f>
        <v>72</v>
      </c>
      <c r="S430" s="33">
        <f>ROUND(IF(IF($B430="高三",MIN(IF($E430="男",$Q430-3.2,$Q430-3.2),0),IF($B430="高二",MIN(IF($E430="男",$Q430-3.25,$Q430-3.22),0),IF($B430="高一",MIN(IF($E430="男",$Q430-3.3,$Q430-3.24),0))))&lt;-0.6,IF($B430="高三",MIN(IF($E430="男",$Q430-3.2,$Q430-3.2),0),IF($B430="高二",MIN(IF($E430="男",$Q430-3.25,$Q430-3.22),0),IF($B430="高一",MIN(IF($E430="男",$Q430-3.3,$Q430-3.24),0))))+0.4,IF($B430="高三",MIN(IF($E430="男",$Q430-3.2,$Q430-3.2),0),IF($B430="高二",MIN(IF($E430="男",$Q430-3.25,$Q430-3.22),0),IF($B430="高一",MIN(IF($E430="男",$Q430-3.3,$Q430-3.24),0))))),2)</f>
        <v>0</v>
      </c>
      <c r="T430" s="23">
        <f>IF(E430="男",LOOKUP($S430,[1]对照表!$AB$3:$AB$13,[1]对照表!$AC$3:$AC$13),LOOKUP($S430,[1]对照表!$AB$15:$AB$25,[1]对照表!$AC$15:$AC$25))</f>
        <v>0</v>
      </c>
      <c r="U430" s="26">
        <f>R430+T430</f>
        <v>72</v>
      </c>
      <c r="V430" s="26">
        <f>SUM(I430,K430,M430)/3*0.3+SUM(G430,R430)/2*0.4</f>
        <v>54.400000000000006</v>
      </c>
      <c r="W430" s="27">
        <f>O430+T430</f>
        <v>0</v>
      </c>
      <c r="X430" s="28">
        <f>V430/0.7+W430</f>
        <v>77.714285714285722</v>
      </c>
      <c r="Y430" s="28">
        <v>77.714285714285722</v>
      </c>
      <c r="Z430" s="21"/>
    </row>
    <row r="431" spans="1:26" x14ac:dyDescent="0.25">
      <c r="A431" s="16">
        <v>41</v>
      </c>
      <c r="B431" s="17" t="s">
        <v>21</v>
      </c>
      <c r="C431" s="16">
        <v>110</v>
      </c>
      <c r="D431" s="18" t="s">
        <v>707</v>
      </c>
      <c r="E431" s="17" t="s">
        <v>65</v>
      </c>
      <c r="F431" s="19">
        <v>9.3800000000000008</v>
      </c>
      <c r="G431" s="32">
        <f>IF(B431="高三",IF($E431="男",LOOKUP(F431,[1]对照表!$G$3:$G$24,[1]对照表!$H$3:$H$24),LOOKUP(F431,[1]对照表!$G$27:$G$48,[1]对照表!$H$27:$H$48)),IF(B431="高二",IF($E431="男",LOOKUP(F431,[1]对照表!$F$3:$F$24,[1]对照表!$H$3:$H$24),LOOKUP(F431,[1]对照表!$F$27:$F$48,[1]对照表!$H$27:$H$48)),IF(B431="高一",IF($E431="男",LOOKUP(F431,[1]对照表!$E$3:$E$24,[1]对照表!$H$3:$H$24),LOOKUP(F431,[1]对照表!$E$27:$E$48,[1]对照表!$H$27:$H$48)))))</f>
        <v>72</v>
      </c>
      <c r="H431" s="21">
        <v>4.5</v>
      </c>
      <c r="I431" s="32">
        <f>IF(B431="高三",IF($E431="男",LOOKUP(H431,[1]对照表!$K$3:$K$24,[1]对照表!$L$3:$L$24),LOOKUP(H431,[1]对照表!$K$27:$K$48,[1]对照表!$L$27:$L$48)),IF(B431="高二",IF($E431="男",LOOKUP(H431,[1]对照表!$J$3:$J$24,[1]对照表!$L$3:$L$24),LOOKUP(H431,[1]对照表!$J$27:$J$48,[1]对照表!$L$27:$L$48)),IF(B431="高一",IF($E431="男",LOOKUP(H431,[1]对照表!$I$3:$I$24,[1]对照表!$L$3:$L$24),LOOKUP(H431,[1]对照表!$I$27:$I$48,[1]对照表!$L$27:$L$48)))))</f>
        <v>60</v>
      </c>
      <c r="J431" s="21">
        <v>166</v>
      </c>
      <c r="K431" s="32">
        <f>IF(B431="高三",IF($E431="男",LOOKUP(J431,[1]对照表!$O$3:$O$24,[1]对照表!$P$3:$P$24),LOOKUP(J431,[1]对照表!$O$27:$O$48,[1]对照表!$P$27:$P$48)),IF(B431="高二",IF($E431="男",LOOKUP(J431,[1]对照表!$N$3:$N$24,[1]对照表!$P$3:$P$24),LOOKUP(J431,[1]对照表!$N$27:$N$48,[1]对照表!$P$27:$P$48)),IF(B431="高一",IF($E431="男",LOOKUP(J431,[1]对照表!$M$3:$M$24,[1]对照表!$P$3:$P$24),LOOKUP(J431,[1]对照表!$M$27:$M$48,[1]对照表!$P$27:$P$48)))))</f>
        <v>72</v>
      </c>
      <c r="L431" s="21">
        <v>50</v>
      </c>
      <c r="M431" s="32">
        <f>IF(B431="高三",IF($E431="男",LOOKUP(L431,[1]对照表!$S$3:$S$24,[1]对照表!$T$3:$T$24),LOOKUP(L431,[1]对照表!$S$27:$S$48,[1]对照表!$T$27:$T$48)),IF(B431="高二",IF($E431="男",LOOKUP(L431,[1]对照表!$R$3:$R$24,[1]对照表!$T$3:$T$24),LOOKUP(L431,[1]对照表!$R$27:$R$48,[1]对照表!$T$27:$T$48)),IF(B431="高一",IF($E431="男",LOOKUP(L431,[1]对照表!$Q$3:$Q$24,[1]对照表!$T$3:$T$24),LOOKUP(L431,[1]对照表!$Q$27:$Q$48,[1]对照表!$T$27:$T$48)))))</f>
        <v>90</v>
      </c>
      <c r="N431" s="33">
        <f>IF(B431="高三",MAX(IF(E431="男",L431-18,L431-55),0),IF(B431="高二",MAX(IF(E431="男",L431-17,L431-54),0),IF(B431="高一",MAX(IF(E431="男",L431-16,L431-53),0))))</f>
        <v>0</v>
      </c>
      <c r="O431" s="23">
        <f>IF(E431="男",LOOKUP($N431,[1]对照表!$Z$3:$Z$13,[1]对照表!$AA$3:$AA$13),LOOKUP($N431,[1]对照表!$Z$15:$Z$25,[1]对照表!$AA$15:$AA$25))</f>
        <v>0</v>
      </c>
      <c r="P431" s="24">
        <f>M431+O431</f>
        <v>90</v>
      </c>
      <c r="Q431" s="25">
        <v>4.1100000000000003</v>
      </c>
      <c r="R431" s="32">
        <f>IF(B431="高三",IF($E431="男",LOOKUP(Q431,[1]对照表!$W$3:$W$24,[1]对照表!$X$3:$X$24),LOOKUP(Q431,[1]对照表!$W$27:$W$48,[1]对照表!$X$27:$X$48)),IF(B431="高二",IF($E431="男",LOOKUP(Q431,[1]对照表!$V$3:$V$24,[1]对照表!$X$3:$X$24),LOOKUP(Q431,[1]对照表!$V$27:$V$48,[1]对照表!$X$27:$X$48)),IF(B431="高一",IF($E431="男",LOOKUP(Q431,[1]对照表!$U$3:$U$24,[1]对照表!$X$3:$X$24),LOOKUP(Q431,[1]对照表!$U$27:$U$48,[1]对照表!$X$27:$X$48)))))</f>
        <v>70</v>
      </c>
      <c r="S431" s="27">
        <f>ROUND(IF(IF($B431="高三",MIN(IF($E431="男",$Q431-3.2,$Q431-3.2),0),IF($B431="高二",MIN(IF($E431="男",$Q431-3.25,$Q431-3.22),0),IF($B431="高一",MIN(IF($E431="男",$Q431-3.3,$Q431-3.24),0))))&lt;-0.6,IF($B431="高三",MIN(IF($E431="男",$Q431-3.2,$Q431-3.2),0),IF($B431="高二",MIN(IF($E431="男",$Q431-3.25,$Q431-3.22),0),IF($B431="高一",MIN(IF($E431="男",$Q431-3.3,$Q431-3.24),0))))+0.4,IF($B431="高三",MIN(IF($E431="男",$Q431-3.2,$Q431-3.2),0),IF($B431="高二",MIN(IF($E431="男",$Q431-3.25,$Q431-3.22),0),IF($B431="高一",MIN(IF($E431="男",$Q431-3.3,$Q431-3.24),0))))),2)</f>
        <v>0</v>
      </c>
      <c r="T431" s="23">
        <f>IF(E431="男",LOOKUP($S431,[1]对照表!$AB$3:$AB$13,[1]对照表!$AC$3:$AC$13),LOOKUP($S431,[1]对照表!$AB$15:$AB$25,[1]对照表!$AC$15:$AC$25))</f>
        <v>0</v>
      </c>
      <c r="U431" s="26">
        <f>R431+T431</f>
        <v>70</v>
      </c>
      <c r="V431" s="26">
        <f>SUM(I431,K431,M431)/3*0.3+SUM(G431,R431)/2*0.4</f>
        <v>50.6</v>
      </c>
      <c r="W431" s="27">
        <f>O431+T431</f>
        <v>0</v>
      </c>
      <c r="X431" s="28">
        <f>V431/0.7+W431</f>
        <v>72.285714285714292</v>
      </c>
      <c r="Y431" s="28">
        <v>72.285714285714292</v>
      </c>
      <c r="Z431" s="21"/>
    </row>
    <row r="432" spans="1:26" x14ac:dyDescent="0.25">
      <c r="A432" s="16">
        <v>52</v>
      </c>
      <c r="B432" s="17" t="s">
        <v>21</v>
      </c>
      <c r="C432" s="16">
        <v>110</v>
      </c>
      <c r="D432" s="18" t="s">
        <v>711</v>
      </c>
      <c r="E432" s="17" t="s">
        <v>65</v>
      </c>
      <c r="F432" s="19">
        <v>9.4</v>
      </c>
      <c r="G432" s="32">
        <f>IF(B432="高三",IF($E432="男",LOOKUP(F432,[1]对照表!$G$3:$G$24,[1]对照表!$H$3:$H$24),LOOKUP(F432,[1]对照表!$G$27:$G$48,[1]对照表!$H$27:$H$48)),IF(B432="高二",IF($E432="男",LOOKUP(F432,[1]对照表!$F$3:$F$24,[1]对照表!$H$3:$H$24),LOOKUP(F432,[1]对照表!$F$27:$F$48,[1]对照表!$H$27:$H$48)),IF(B432="高一",IF($E432="男",LOOKUP(F432,[1]对照表!$E$3:$E$24,[1]对照表!$H$3:$H$24),LOOKUP(F432,[1]对照表!$E$27:$E$48,[1]对照表!$H$27:$H$48)))))</f>
        <v>72</v>
      </c>
      <c r="H432" s="21">
        <v>3.5</v>
      </c>
      <c r="I432" s="32">
        <f>IF(B432="高三",IF($E432="男",LOOKUP(H432,[1]对照表!$K$3:$K$24,[1]对照表!$L$3:$L$24),LOOKUP(H432,[1]对照表!$K$27:$K$48,[1]对照表!$L$27:$L$48)),IF(B432="高二",IF($E432="男",LOOKUP(H432,[1]对照表!$J$3:$J$24,[1]对照表!$L$3:$L$24),LOOKUP(H432,[1]对照表!$J$27:$J$48,[1]对照表!$L$27:$L$48)),IF(B432="高一",IF($E432="男",LOOKUP(H432,[1]对照表!$I$3:$I$24,[1]对照表!$L$3:$L$24),LOOKUP(H432,[1]对照表!$I$27:$I$48,[1]对照表!$L$27:$L$48)))))</f>
        <v>40</v>
      </c>
      <c r="J432" s="21">
        <v>135</v>
      </c>
      <c r="K432" s="32">
        <f>IF(B432="高三",IF($E432="男",LOOKUP(J432,[1]对照表!$O$3:$O$24,[1]对照表!$P$3:$P$24),LOOKUP(J432,[1]对照表!$O$27:$O$48,[1]对照表!$P$27:$P$48)),IF(B432="高二",IF($E432="男",LOOKUP(J432,[1]对照表!$N$3:$N$24,[1]对照表!$P$3:$P$24),LOOKUP(J432,[1]对照表!$N$27:$N$48,[1]对照表!$P$27:$P$48)),IF(B432="高一",IF($E432="男",LOOKUP(J432,[1]对照表!$M$3:$M$24,[1]对照表!$P$3:$P$24),LOOKUP(J432,[1]对照表!$M$27:$M$48,[1]对照表!$P$27:$P$48)))))</f>
        <v>30</v>
      </c>
      <c r="L432" s="21">
        <v>45</v>
      </c>
      <c r="M432" s="32">
        <f>IF(B432="高三",IF($E432="男",LOOKUP(L432,[1]对照表!$S$3:$S$24,[1]对照表!$T$3:$T$24),LOOKUP(L432,[1]对照表!$S$27:$S$48,[1]对照表!$T$27:$T$48)),IF(B432="高二",IF($E432="男",LOOKUP(L432,[1]对照表!$R$3:$R$24,[1]对照表!$T$3:$T$24),LOOKUP(L432,[1]对照表!$R$27:$R$48,[1]对照表!$T$27:$T$48)),IF(B432="高一",IF($E432="男",LOOKUP(L432,[1]对照表!$Q$3:$Q$24,[1]对照表!$T$3:$T$24),LOOKUP(L432,[1]对照表!$Q$27:$Q$48,[1]对照表!$T$27:$T$48)))))</f>
        <v>80</v>
      </c>
      <c r="N432" s="33">
        <f>IF(B432="高三",MAX(IF(E432="男",L432-18,L432-55),0),IF(B432="高二",MAX(IF(E432="男",L432-17,L432-54),0),IF(B432="高一",MAX(IF(E432="男",L432-16,L432-53),0))))</f>
        <v>0</v>
      </c>
      <c r="O432" s="23">
        <f>IF(E432="男",LOOKUP($N432,[1]对照表!$Z$3:$Z$13,[1]对照表!$AA$3:$AA$13),LOOKUP($N432,[1]对照表!$Z$15:$Z$25,[1]对照表!$AA$15:$AA$25))</f>
        <v>0</v>
      </c>
      <c r="P432" s="24">
        <f>M432+O432</f>
        <v>80</v>
      </c>
      <c r="Q432" s="25">
        <v>4.1500000000000004</v>
      </c>
      <c r="R432" s="32">
        <f>IF(B432="高三",IF($E432="男",LOOKUP(Q432,[1]对照表!$W$3:$W$24,[1]对照表!$X$3:$X$24),LOOKUP(Q432,[1]对照表!$W$27:$W$48,[1]对照表!$X$27:$X$48)),IF(B432="高二",IF($E432="男",LOOKUP(Q432,[1]对照表!$V$3:$V$24,[1]对照表!$X$3:$X$24),LOOKUP(Q432,[1]对照表!$V$27:$V$48,[1]对照表!$X$27:$X$48)),IF(B432="高一",IF($E432="男",LOOKUP(Q432,[1]对照表!$U$3:$U$24,[1]对照表!$X$3:$X$24),LOOKUP(Q432,[1]对照表!$U$27:$U$48,[1]对照表!$X$27:$X$48)))))</f>
        <v>70</v>
      </c>
      <c r="S432" s="33">
        <f>ROUND(IF(IF($B432="高三",MIN(IF($E432="男",$Q432-3.2,$Q432-3.2),0),IF($B432="高二",MIN(IF($E432="男",$Q432-3.25,$Q432-3.22),0),IF($B432="高一",MIN(IF($E432="男",$Q432-3.3,$Q432-3.24),0))))&lt;-0.6,IF($B432="高三",MIN(IF($E432="男",$Q432-3.2,$Q432-3.2),0),IF($B432="高二",MIN(IF($E432="男",$Q432-3.25,$Q432-3.22),0),IF($B432="高一",MIN(IF($E432="男",$Q432-3.3,$Q432-3.24),0))))+0.4,IF($B432="高三",MIN(IF($E432="男",$Q432-3.2,$Q432-3.2),0),IF($B432="高二",MIN(IF($E432="男",$Q432-3.25,$Q432-3.22),0),IF($B432="高一",MIN(IF($E432="男",$Q432-3.3,$Q432-3.24),0))))),2)</f>
        <v>0</v>
      </c>
      <c r="T432" s="23">
        <f>IF(E432="男",LOOKUP($S432,[1]对照表!$AB$3:$AB$13,[1]对照表!$AC$3:$AC$13),LOOKUP($S432,[1]对照表!$AB$15:$AB$25,[1]对照表!$AC$15:$AC$25))</f>
        <v>0</v>
      </c>
      <c r="U432" s="26">
        <f>R432+T432</f>
        <v>70</v>
      </c>
      <c r="V432" s="26">
        <f>SUM(I432,K432,M432)/3*0.3+SUM(G432,R432)/2*0.4</f>
        <v>43.400000000000006</v>
      </c>
      <c r="W432" s="27">
        <f>O432+T432</f>
        <v>0</v>
      </c>
      <c r="X432" s="28">
        <f>V432/0.7+W432</f>
        <v>62.000000000000014</v>
      </c>
      <c r="Y432" s="28">
        <v>62.000000000000014</v>
      </c>
      <c r="Z432" s="21"/>
    </row>
    <row r="433" spans="1:26" x14ac:dyDescent="0.25">
      <c r="A433" s="16">
        <v>49</v>
      </c>
      <c r="B433" s="17" t="s">
        <v>21</v>
      </c>
      <c r="C433" s="16">
        <v>110</v>
      </c>
      <c r="D433" s="18" t="s">
        <v>712</v>
      </c>
      <c r="E433" s="17" t="s">
        <v>65</v>
      </c>
      <c r="F433" s="19">
        <v>9.7200000000000006</v>
      </c>
      <c r="G433" s="32">
        <f>IF(B433="高三",IF($E433="男",LOOKUP(F433,[1]对照表!$G$3:$G$24,[1]对照表!$H$3:$H$24),LOOKUP(F433,[1]对照表!$G$27:$G$48,[1]对照表!$H$27:$H$48)),IF(B433="高二",IF($E433="男",LOOKUP(F433,[1]对照表!$F$3:$F$24,[1]对照表!$H$3:$H$24),LOOKUP(F433,[1]对照表!$F$27:$F$48,[1]对照表!$H$27:$H$48)),IF(B433="高一",IF($E433="男",LOOKUP(F433,[1]对照表!$E$3:$E$24,[1]对照表!$H$3:$H$24),LOOKUP(F433,[1]对照表!$E$27:$E$48,[1]对照表!$H$27:$H$48)))))</f>
        <v>68</v>
      </c>
      <c r="H433" s="21">
        <v>11.5</v>
      </c>
      <c r="I433" s="32">
        <f>IF(B433="高三",IF($E433="男",LOOKUP(H433,[1]对照表!$K$3:$K$24,[1]对照表!$L$3:$L$24),LOOKUP(H433,[1]对照表!$K$27:$K$48,[1]对照表!$L$27:$L$48)),IF(B433="高二",IF($E433="男",LOOKUP(H433,[1]对照表!$J$3:$J$24,[1]对照表!$L$3:$L$24),LOOKUP(H433,[1]对照表!$J$27:$J$48,[1]对照表!$L$27:$L$48)),IF(B433="高一",IF($E433="男",LOOKUP(H433,[1]对照表!$I$3:$I$24,[1]对照表!$L$3:$L$24),LOOKUP(H433,[1]对照表!$I$27:$I$48,[1]对照表!$L$27:$L$48)))))</f>
        <v>70</v>
      </c>
      <c r="J433" s="21">
        <v>164</v>
      </c>
      <c r="K433" s="32">
        <f>IF(B433="高三",IF($E433="男",LOOKUP(J433,[1]对照表!$O$3:$O$24,[1]对照表!$P$3:$P$24),LOOKUP(J433,[1]对照表!$O$27:$O$48,[1]对照表!$P$27:$P$48)),IF(B433="高二",IF($E433="男",LOOKUP(J433,[1]对照表!$N$3:$N$24,[1]对照表!$P$3:$P$24),LOOKUP(J433,[1]对照表!$N$27:$N$48,[1]对照表!$P$27:$P$48)),IF(B433="高一",IF($E433="男",LOOKUP(J433,[1]对照表!$M$3:$M$24,[1]对照表!$P$3:$P$24),LOOKUP(J433,[1]对照表!$M$27:$M$48,[1]对照表!$P$27:$P$48)))))</f>
        <v>70</v>
      </c>
      <c r="L433" s="21">
        <v>51</v>
      </c>
      <c r="M433" s="32">
        <f>IF(B433="高三",IF($E433="男",LOOKUP(L433,[1]对照表!$S$3:$S$24,[1]对照表!$T$3:$T$24),LOOKUP(L433,[1]对照表!$S$27:$S$48,[1]对照表!$T$27:$T$48)),IF(B433="高二",IF($E433="男",LOOKUP(L433,[1]对照表!$R$3:$R$24,[1]对照表!$T$3:$T$24),LOOKUP(L433,[1]对照表!$R$27:$R$48,[1]对照表!$T$27:$T$48)),IF(B433="高一",IF($E433="男",LOOKUP(L433,[1]对照表!$Q$3:$Q$24,[1]对照表!$T$3:$T$24),LOOKUP(L433,[1]对照表!$Q$27:$Q$48,[1]对照表!$T$27:$T$48)))))</f>
        <v>95</v>
      </c>
      <c r="N433" s="33">
        <f>IF(B433="高三",MAX(IF(E433="男",L433-18,L433-55),0),IF(B433="高二",MAX(IF(E433="男",L433-17,L433-54),0),IF(B433="高一",MAX(IF(E433="男",L433-16,L433-53),0))))</f>
        <v>0</v>
      </c>
      <c r="O433" s="23">
        <f>IF(E433="男",LOOKUP($N433,[1]对照表!$Z$3:$Z$13,[1]对照表!$AA$3:$AA$13),LOOKUP($N433,[1]对照表!$Z$15:$Z$25,[1]对照表!$AA$15:$AA$25))</f>
        <v>0</v>
      </c>
      <c r="P433" s="24">
        <f>M433+O433</f>
        <v>95</v>
      </c>
      <c r="Q433" s="25">
        <v>4.16</v>
      </c>
      <c r="R433" s="32">
        <f>IF(B433="高三",IF($E433="男",LOOKUP(Q433,[1]对照表!$W$3:$W$24,[1]对照表!$X$3:$X$24),LOOKUP(Q433,[1]对照表!$W$27:$W$48,[1]对照表!$X$27:$X$48)),IF(B433="高二",IF($E433="男",LOOKUP(Q433,[1]对照表!$V$3:$V$24,[1]对照表!$X$3:$X$24),LOOKUP(Q433,[1]对照表!$V$27:$V$48,[1]对照表!$X$27:$X$48)),IF(B433="高一",IF($E433="男",LOOKUP(Q433,[1]对照表!$U$3:$U$24,[1]对照表!$X$3:$X$24),LOOKUP(Q433,[1]对照表!$U$27:$U$48,[1]对照表!$X$27:$X$48)))))</f>
        <v>68</v>
      </c>
      <c r="S433" s="33">
        <f>ROUND(IF(IF($B433="高三",MIN(IF($E433="男",$Q433-3.2,$Q433-3.2),0),IF($B433="高二",MIN(IF($E433="男",$Q433-3.25,$Q433-3.22),0),IF($B433="高一",MIN(IF($E433="男",$Q433-3.3,$Q433-3.24),0))))&lt;-0.6,IF($B433="高三",MIN(IF($E433="男",$Q433-3.2,$Q433-3.2),0),IF($B433="高二",MIN(IF($E433="男",$Q433-3.25,$Q433-3.22),0),IF($B433="高一",MIN(IF($E433="男",$Q433-3.3,$Q433-3.24),0))))+0.4,IF($B433="高三",MIN(IF($E433="男",$Q433-3.2,$Q433-3.2),0),IF($B433="高二",MIN(IF($E433="男",$Q433-3.25,$Q433-3.22),0),IF($B433="高一",MIN(IF($E433="男",$Q433-3.3,$Q433-3.24),0))))),2)</f>
        <v>0</v>
      </c>
      <c r="T433" s="23">
        <f>IF(E433="男",LOOKUP($S433,[1]对照表!$AB$3:$AB$13,[1]对照表!$AC$3:$AC$13),LOOKUP($S433,[1]对照表!$AB$15:$AB$25,[1]对照表!$AC$15:$AC$25))</f>
        <v>0</v>
      </c>
      <c r="U433" s="26">
        <f>R433+T433</f>
        <v>68</v>
      </c>
      <c r="V433" s="26">
        <f>SUM(I433,K433,M433)/3*0.3+SUM(G433,R433)/2*0.4</f>
        <v>50.7</v>
      </c>
      <c r="W433" s="27">
        <f>O433+T433</f>
        <v>0</v>
      </c>
      <c r="X433" s="28">
        <f>V433/0.7+W433</f>
        <v>72.428571428571431</v>
      </c>
      <c r="Y433" s="28">
        <v>72.428571428571431</v>
      </c>
      <c r="Z433" s="21"/>
    </row>
    <row r="434" spans="1:26" x14ac:dyDescent="0.25">
      <c r="A434" s="16">
        <v>2</v>
      </c>
      <c r="B434" s="17" t="s">
        <v>21</v>
      </c>
      <c r="C434" s="16">
        <v>110</v>
      </c>
      <c r="D434" s="18" t="s">
        <v>716</v>
      </c>
      <c r="E434" s="17" t="s">
        <v>23</v>
      </c>
      <c r="F434" s="19"/>
      <c r="G434" s="20">
        <v>0</v>
      </c>
      <c r="H434" s="21"/>
      <c r="I434" s="20">
        <v>0</v>
      </c>
      <c r="J434" s="21"/>
      <c r="K434" s="20">
        <v>0</v>
      </c>
      <c r="L434" s="21"/>
      <c r="M434" s="20">
        <v>0</v>
      </c>
      <c r="N434" s="22">
        <v>0</v>
      </c>
      <c r="O434" s="23">
        <f>IF(E434="男",LOOKUP($N434,[1]对照表!$Z$3:$Z$13,[1]对照表!$AA$3:$AA$13),LOOKUP($N434,[1]对照表!$Z$15:$Z$25,[1]对照表!$AA$15:$AA$25))</f>
        <v>0</v>
      </c>
      <c r="P434" s="24">
        <f>M434+O434</f>
        <v>0</v>
      </c>
      <c r="Q434" s="25"/>
      <c r="R434" s="20">
        <v>0</v>
      </c>
      <c r="S434" s="22">
        <v>0</v>
      </c>
      <c r="T434" s="23">
        <f>IF(E434="男",LOOKUP($S434,[1]对照表!$AB$3:$AB$13,[1]对照表!$AC$3:$AC$13),LOOKUP($S434,[1]对照表!$AB$15:$AB$25,[1]对照表!$AC$15:$AC$25))</f>
        <v>0</v>
      </c>
      <c r="U434" s="26">
        <f>R434+T434</f>
        <v>0</v>
      </c>
      <c r="V434" s="26">
        <f>SUM(I434,K434,M434)/3*0.3+SUM(G434,R434)/2*0.4</f>
        <v>0</v>
      </c>
      <c r="W434" s="27">
        <f>O434+T434</f>
        <v>0</v>
      </c>
      <c r="X434" s="28">
        <f>V434/0.7+W434</f>
        <v>0</v>
      </c>
      <c r="Y434" s="29">
        <v>50</v>
      </c>
      <c r="Z434" s="21" t="s">
        <v>717</v>
      </c>
    </row>
    <row r="435" spans="1:26" x14ac:dyDescent="0.25">
      <c r="A435" s="16">
        <v>28</v>
      </c>
      <c r="B435" s="17" t="s">
        <v>21</v>
      </c>
      <c r="C435" s="16">
        <v>110</v>
      </c>
      <c r="D435" s="18" t="s">
        <v>718</v>
      </c>
      <c r="E435" s="16" t="s">
        <v>23</v>
      </c>
      <c r="F435" s="19"/>
      <c r="G435" s="20">
        <v>0</v>
      </c>
      <c r="H435" s="21"/>
      <c r="I435" s="20">
        <v>0</v>
      </c>
      <c r="J435" s="21"/>
      <c r="K435" s="20">
        <v>0</v>
      </c>
      <c r="L435" s="21"/>
      <c r="M435" s="20">
        <v>0</v>
      </c>
      <c r="N435" s="22">
        <v>0</v>
      </c>
      <c r="O435" s="23">
        <f>IF(E435="男",LOOKUP($N435,[1]对照表!$Z$3:$Z$13,[1]对照表!$AA$3:$AA$13),LOOKUP($N435,[1]对照表!$Z$15:$Z$25,[1]对照表!$AA$15:$AA$25))</f>
        <v>0</v>
      </c>
      <c r="P435" s="24">
        <f>M435+O435</f>
        <v>0</v>
      </c>
      <c r="Q435" s="25"/>
      <c r="R435" s="20">
        <v>0</v>
      </c>
      <c r="S435" s="22">
        <v>0</v>
      </c>
      <c r="T435" s="23">
        <f>IF(E435="男",LOOKUP($S435,[1]对照表!$AB$3:$AB$13,[1]对照表!$AC$3:$AC$13),LOOKUP($S435,[1]对照表!$AB$15:$AB$25,[1]对照表!$AC$15:$AC$25))</f>
        <v>0</v>
      </c>
      <c r="U435" s="26">
        <f>R435+T435</f>
        <v>0</v>
      </c>
      <c r="V435" s="26">
        <f>SUM(I435,K435,M435)/3*0.3+SUM(G435,R435)/2*0.4</f>
        <v>0</v>
      </c>
      <c r="W435" s="27">
        <f>O435+T435</f>
        <v>0</v>
      </c>
      <c r="X435" s="28">
        <f>V435/0.7+W435</f>
        <v>0</v>
      </c>
      <c r="Y435" s="29">
        <v>50</v>
      </c>
      <c r="Z435" s="21" t="s">
        <v>717</v>
      </c>
    </row>
    <row r="436" spans="1:26" x14ac:dyDescent="0.25">
      <c r="A436" s="16">
        <v>34</v>
      </c>
      <c r="B436" s="17" t="s">
        <v>21</v>
      </c>
      <c r="C436" s="16">
        <v>110</v>
      </c>
      <c r="D436" s="18" t="s">
        <v>721</v>
      </c>
      <c r="E436" s="17" t="s">
        <v>65</v>
      </c>
      <c r="F436" s="19">
        <v>10</v>
      </c>
      <c r="G436" s="32">
        <f>IF(B436="高三",IF($E436="男",LOOKUP(F436,[1]对照表!$G$3:$G$24,[1]对照表!$H$3:$H$24),LOOKUP(F436,[1]对照表!$G$27:$G$48,[1]对照表!$H$27:$H$48)),IF(B436="高二",IF($E436="男",LOOKUP(F436,[1]对照表!$F$3:$F$24,[1]对照表!$H$3:$H$24),LOOKUP(F436,[1]对照表!$F$27:$F$48,[1]对照表!$H$27:$H$48)),IF(B436="高一",IF($E436="男",LOOKUP(F436,[1]对照表!$E$3:$E$24,[1]对照表!$H$3:$H$24),LOOKUP(F436,[1]对照表!$E$27:$E$48,[1]对照表!$H$27:$H$48)))))</f>
        <v>66</v>
      </c>
      <c r="H436" s="21">
        <v>22</v>
      </c>
      <c r="I436" s="32">
        <f>IF(B436="高三",IF($E436="男",LOOKUP(H436,[1]对照表!$K$3:$K$24,[1]对照表!$L$3:$L$24),LOOKUP(H436,[1]对照表!$K$27:$K$48,[1]对照表!$L$27:$L$48)),IF(B436="高二",IF($E436="男",LOOKUP(H436,[1]对照表!$J$3:$J$24,[1]对照表!$L$3:$L$24),LOOKUP(H436,[1]对照表!$J$27:$J$48,[1]对照表!$L$27:$L$48)),IF(B436="高一",IF($E436="男",LOOKUP(H436,[1]对照表!$I$3:$I$24,[1]对照表!$L$3:$L$24),LOOKUP(H436,[1]对照表!$I$27:$I$48,[1]对照表!$L$27:$L$48)))))</f>
        <v>90</v>
      </c>
      <c r="J436" s="21">
        <v>160</v>
      </c>
      <c r="K436" s="32">
        <f>IF(B436="高三",IF($E436="男",LOOKUP(J436,[1]对照表!$O$3:$O$24,[1]对照表!$P$3:$P$24),LOOKUP(J436,[1]对照表!$O$27:$O$48,[1]对照表!$P$27:$P$48)),IF(B436="高二",IF($E436="男",LOOKUP(J436,[1]对照表!$N$3:$N$24,[1]对照表!$P$3:$P$24),LOOKUP(J436,[1]对照表!$N$27:$N$48,[1]对照表!$P$27:$P$48)),IF(B436="高一",IF($E436="男",LOOKUP(J436,[1]对照表!$M$3:$M$24,[1]对照表!$P$3:$P$24),LOOKUP(J436,[1]对照表!$M$27:$M$48,[1]对照表!$P$27:$P$48)))))</f>
        <v>68</v>
      </c>
      <c r="L436" s="21">
        <v>49</v>
      </c>
      <c r="M436" s="32">
        <f>IF(B436="高三",IF($E436="男",LOOKUP(L436,[1]对照表!$S$3:$S$24,[1]对照表!$T$3:$T$24),LOOKUP(L436,[1]对照表!$S$27:$S$48,[1]对照表!$T$27:$T$48)),IF(B436="高二",IF($E436="男",LOOKUP(L436,[1]对照表!$R$3:$R$24,[1]对照表!$T$3:$T$24),LOOKUP(L436,[1]对照表!$R$27:$R$48,[1]对照表!$T$27:$T$48)),IF(B436="高一",IF($E436="男",LOOKUP(L436,[1]对照表!$Q$3:$Q$24,[1]对照表!$T$3:$T$24),LOOKUP(L436,[1]对照表!$Q$27:$Q$48,[1]对照表!$T$27:$T$48)))))</f>
        <v>90</v>
      </c>
      <c r="N436" s="33">
        <f>IF(B436="高三",MAX(IF(E436="男",L436-18,L436-55),0),IF(B436="高二",MAX(IF(E436="男",L436-17,L436-54),0),IF(B436="高一",MAX(IF(E436="男",L436-16,L436-53),0))))</f>
        <v>0</v>
      </c>
      <c r="O436" s="23">
        <f>IF(E436="男",LOOKUP($N436,[1]对照表!$Z$3:$Z$13,[1]对照表!$AA$3:$AA$13),LOOKUP($N436,[1]对照表!$Z$15:$Z$25,[1]对照表!$AA$15:$AA$25))</f>
        <v>0</v>
      </c>
      <c r="P436" s="24">
        <f>M436+O436</f>
        <v>90</v>
      </c>
      <c r="Q436" s="25">
        <v>4.16</v>
      </c>
      <c r="R436" s="32">
        <f>IF(B436="高三",IF($E436="男",LOOKUP(Q436,[1]对照表!$W$3:$W$24,[1]对照表!$X$3:$X$24),LOOKUP(Q436,[1]对照表!$W$27:$W$48,[1]对照表!$X$27:$X$48)),IF(B436="高二",IF($E436="男",LOOKUP(Q436,[1]对照表!$V$3:$V$24,[1]对照表!$X$3:$X$24),LOOKUP(Q436,[1]对照表!$V$27:$V$48,[1]对照表!$X$27:$X$48)),IF(B436="高一",IF($E436="男",LOOKUP(Q436,[1]对照表!$U$3:$U$24,[1]对照表!$X$3:$X$24),LOOKUP(Q436,[1]对照表!$U$27:$U$48,[1]对照表!$X$27:$X$48)))))</f>
        <v>68</v>
      </c>
      <c r="S436" s="33">
        <f>ROUND(IF(IF($B436="高三",MIN(IF($E436="男",$Q436-3.2,$Q436-3.2),0),IF($B436="高二",MIN(IF($E436="男",$Q436-3.25,$Q436-3.22),0),IF($B436="高一",MIN(IF($E436="男",$Q436-3.3,$Q436-3.24),0))))&lt;-0.6,IF($B436="高三",MIN(IF($E436="男",$Q436-3.2,$Q436-3.2),0),IF($B436="高二",MIN(IF($E436="男",$Q436-3.25,$Q436-3.22),0),IF($B436="高一",MIN(IF($E436="男",$Q436-3.3,$Q436-3.24),0))))+0.4,IF($B436="高三",MIN(IF($E436="男",$Q436-3.2,$Q436-3.2),0),IF($B436="高二",MIN(IF($E436="男",$Q436-3.25,$Q436-3.22),0),IF($B436="高一",MIN(IF($E436="男",$Q436-3.3,$Q436-3.24),0))))),2)</f>
        <v>0</v>
      </c>
      <c r="T436" s="23">
        <f>IF(E436="男",LOOKUP($S436,[1]对照表!$AB$3:$AB$13,[1]对照表!$AC$3:$AC$13),LOOKUP($S436,[1]对照表!$AB$15:$AB$25,[1]对照表!$AC$15:$AC$25))</f>
        <v>0</v>
      </c>
      <c r="U436" s="26">
        <f>R436+T436</f>
        <v>68</v>
      </c>
      <c r="V436" s="26">
        <f>SUM(I436,K436,M436)/3*0.3+SUM(G436,R436)/2*0.4</f>
        <v>51.6</v>
      </c>
      <c r="W436" s="27">
        <f>O436+T436</f>
        <v>0</v>
      </c>
      <c r="X436" s="28">
        <f>V436/0.7+W436</f>
        <v>73.714285714285722</v>
      </c>
      <c r="Y436" s="28">
        <v>73.714285714285722</v>
      </c>
      <c r="Z436" s="21"/>
    </row>
    <row r="437" spans="1:26" x14ac:dyDescent="0.25">
      <c r="A437" s="16">
        <v>46</v>
      </c>
      <c r="B437" s="17" t="s">
        <v>21</v>
      </c>
      <c r="C437" s="16">
        <v>110</v>
      </c>
      <c r="D437" s="18" t="s">
        <v>748</v>
      </c>
      <c r="E437" s="17" t="s">
        <v>65</v>
      </c>
      <c r="F437" s="19">
        <v>8.6999999999999993</v>
      </c>
      <c r="G437" s="32">
        <f>IF(B437="高三",IF($E437="男",LOOKUP(F437,[1]对照表!$G$3:$G$24,[1]对照表!$H$3:$H$24),LOOKUP(F437,[1]对照表!$G$27:$G$48,[1]对照表!$H$27:$H$48)),IF(B437="高二",IF($E437="男",LOOKUP(F437,[1]对照表!$F$3:$F$24,[1]对照表!$H$3:$H$24),LOOKUP(F437,[1]对照表!$F$27:$F$48,[1]对照表!$H$27:$H$48)),IF(B437="高一",IF($E437="男",LOOKUP(F437,[1]对照表!$E$3:$E$24,[1]对照表!$H$3:$H$24),LOOKUP(F437,[1]对照表!$E$27:$E$48,[1]对照表!$H$27:$H$48)))))</f>
        <v>78</v>
      </c>
      <c r="H437" s="21">
        <v>22.5</v>
      </c>
      <c r="I437" s="32">
        <f>IF(B437="高三",IF($E437="男",LOOKUP(H437,[1]对照表!$K$3:$K$24,[1]对照表!$L$3:$L$24),LOOKUP(H437,[1]对照表!$K$27:$K$48,[1]对照表!$L$27:$L$48)),IF(B437="高二",IF($E437="男",LOOKUP(H437,[1]对照表!$J$3:$J$24,[1]对照表!$L$3:$L$24),LOOKUP(H437,[1]对照表!$J$27:$J$48,[1]对照表!$L$27:$L$48)),IF(B437="高一",IF($E437="男",LOOKUP(H437,[1]对照表!$I$3:$I$24,[1]对照表!$L$3:$L$24),LOOKUP(H437,[1]对照表!$I$27:$I$48,[1]对照表!$L$27:$L$48)))))</f>
        <v>95</v>
      </c>
      <c r="J437" s="21">
        <v>192</v>
      </c>
      <c r="K437" s="32">
        <f>IF(B437="高三",IF($E437="男",LOOKUP(J437,[1]对照表!$O$3:$O$24,[1]对照表!$P$3:$P$24),LOOKUP(J437,[1]对照表!$O$27:$O$48,[1]对照表!$P$27:$P$48)),IF(B437="高二",IF($E437="男",LOOKUP(J437,[1]对照表!$N$3:$N$24,[1]对照表!$P$3:$P$24),LOOKUP(J437,[1]对照表!$N$27:$N$48,[1]对照表!$P$27:$P$48)),IF(B437="高一",IF($E437="男",LOOKUP(J437,[1]对照表!$M$3:$M$24,[1]对照表!$P$3:$P$24),LOOKUP(J437,[1]对照表!$M$27:$M$48,[1]对照表!$P$27:$P$48)))))</f>
        <v>90</v>
      </c>
      <c r="L437" s="21">
        <v>54</v>
      </c>
      <c r="M437" s="32">
        <f>IF(B437="高三",IF($E437="男",LOOKUP(L437,[1]对照表!$S$3:$S$24,[1]对照表!$T$3:$T$24),LOOKUP(L437,[1]对照表!$S$27:$S$48,[1]对照表!$T$27:$T$48)),IF(B437="高二",IF($E437="男",LOOKUP(L437,[1]对照表!$R$3:$R$24,[1]对照表!$T$3:$T$24),LOOKUP(L437,[1]对照表!$R$27:$R$48,[1]对照表!$T$27:$T$48)),IF(B437="高一",IF($E437="男",LOOKUP(L437,[1]对照表!$Q$3:$Q$24,[1]对照表!$T$3:$T$24),LOOKUP(L437,[1]对照表!$Q$27:$Q$48,[1]对照表!$T$27:$T$48)))))</f>
        <v>100</v>
      </c>
      <c r="N437" s="33">
        <f>IF(B437="高三",MAX(IF(E437="男",L437-18,L437-55),0),IF(B437="高二",MAX(IF(E437="男",L437-17,L437-54),0),IF(B437="高一",MAX(IF(E437="男",L437-16,L437-53),0))))</f>
        <v>1</v>
      </c>
      <c r="O437" s="23">
        <f>IF(E437="男",LOOKUP($N437,[1]对照表!$Z$3:$Z$13,[1]对照表!$AA$3:$AA$13),LOOKUP($N437,[1]对照表!$Z$15:$Z$25,[1]对照表!$AA$15:$AA$25))</f>
        <v>0</v>
      </c>
      <c r="P437" s="24">
        <f>M437+O437</f>
        <v>100</v>
      </c>
      <c r="Q437" s="25" t="s">
        <v>578</v>
      </c>
      <c r="R437" s="20">
        <v>0</v>
      </c>
      <c r="S437" s="22">
        <v>0</v>
      </c>
      <c r="T437" s="23">
        <f>IF(E437="男",LOOKUP($S437,[1]对照表!$AB$3:$AB$13,[1]对照表!$AC$3:$AC$13),LOOKUP($S437,[1]对照表!$AB$15:$AB$25,[1]对照表!$AC$15:$AC$25))</f>
        <v>0</v>
      </c>
      <c r="U437" s="26">
        <f>R437+T437</f>
        <v>0</v>
      </c>
      <c r="V437" s="26">
        <f>SUM(I437,K437,M437)/3*0.3+SUM(G437,R437)/2*0.4</f>
        <v>44.1</v>
      </c>
      <c r="W437" s="27">
        <f>O437+T437</f>
        <v>0</v>
      </c>
      <c r="X437" s="28">
        <f>V437/0.7+W437</f>
        <v>63.000000000000007</v>
      </c>
      <c r="Y437" s="28">
        <v>63.000000000000007</v>
      </c>
      <c r="Z437" s="21"/>
    </row>
    <row r="438" spans="1:26" x14ac:dyDescent="0.25">
      <c r="A438" s="16">
        <v>53</v>
      </c>
      <c r="B438" s="17" t="s">
        <v>21</v>
      </c>
      <c r="C438" s="16">
        <v>110</v>
      </c>
      <c r="D438" s="18" t="s">
        <v>750</v>
      </c>
      <c r="E438" s="17" t="s">
        <v>65</v>
      </c>
      <c r="F438" s="19">
        <v>9</v>
      </c>
      <c r="G438" s="32">
        <f>IF(B438="高三",IF($E438="男",LOOKUP(F438,[1]对照表!$G$3:$G$24,[1]对照表!$H$3:$H$24),LOOKUP(F438,[1]对照表!$G$27:$G$48,[1]对照表!$H$27:$H$48)),IF(B438="高二",IF($E438="男",LOOKUP(F438,[1]对照表!$F$3:$F$24,[1]对照表!$H$3:$H$24),LOOKUP(F438,[1]对照表!$F$27:$F$48,[1]对照表!$H$27:$H$48)),IF(B438="高一",IF($E438="男",LOOKUP(F438,[1]对照表!$E$3:$E$24,[1]对照表!$H$3:$H$24),LOOKUP(F438,[1]对照表!$E$27:$E$48,[1]对照表!$H$27:$H$48)))))</f>
        <v>76</v>
      </c>
      <c r="H438" s="21">
        <v>19</v>
      </c>
      <c r="I438" s="32">
        <f>IF(B438="高三",IF($E438="男",LOOKUP(H438,[1]对照表!$K$3:$K$24,[1]对照表!$L$3:$L$24),LOOKUP(H438,[1]对照表!$K$27:$K$48,[1]对照表!$L$27:$L$48)),IF(B438="高二",IF($E438="男",LOOKUP(H438,[1]对照表!$J$3:$J$24,[1]对照表!$L$3:$L$24),LOOKUP(H438,[1]对照表!$J$27:$J$48,[1]对照表!$L$27:$L$48)),IF(B438="高一",IF($E438="男",LOOKUP(H438,[1]对照表!$I$3:$I$24,[1]对照表!$L$3:$L$24),LOOKUP(H438,[1]对照表!$I$27:$I$48,[1]对照表!$L$27:$L$48)))))</f>
        <v>80</v>
      </c>
      <c r="J438" s="21">
        <v>183</v>
      </c>
      <c r="K438" s="32">
        <f>IF(B438="高三",IF($E438="男",LOOKUP(J438,[1]对照表!$O$3:$O$24,[1]对照表!$P$3:$P$24),LOOKUP(J438,[1]对照表!$O$27:$O$48,[1]对照表!$P$27:$P$48)),IF(B438="高二",IF($E438="男",LOOKUP(J438,[1]对照表!$N$3:$N$24,[1]对照表!$P$3:$P$24),LOOKUP(J438,[1]对照表!$N$27:$N$48,[1]对照表!$P$27:$P$48)),IF(B438="高一",IF($E438="男",LOOKUP(J438,[1]对照表!$M$3:$M$24,[1]对照表!$P$3:$P$24),LOOKUP(J438,[1]对照表!$M$27:$M$48,[1]对照表!$P$27:$P$48)))))</f>
        <v>80</v>
      </c>
      <c r="L438" s="21">
        <v>59</v>
      </c>
      <c r="M438" s="32">
        <f>IF(B438="高三",IF($E438="男",LOOKUP(L438,[1]对照表!$S$3:$S$24,[1]对照表!$T$3:$T$24),LOOKUP(L438,[1]对照表!$S$27:$S$48,[1]对照表!$T$27:$T$48)),IF(B438="高二",IF($E438="男",LOOKUP(L438,[1]对照表!$R$3:$R$24,[1]对照表!$T$3:$T$24),LOOKUP(L438,[1]对照表!$R$27:$R$48,[1]对照表!$T$27:$T$48)),IF(B438="高一",IF($E438="男",LOOKUP(L438,[1]对照表!$Q$3:$Q$24,[1]对照表!$T$3:$T$24),LOOKUP(L438,[1]对照表!$Q$27:$Q$48,[1]对照表!$T$27:$T$48)))))</f>
        <v>100</v>
      </c>
      <c r="N438" s="33">
        <f>IF(B438="高三",MAX(IF(E438="男",L438-18,L438-55),0),IF(B438="高二",MAX(IF(E438="男",L438-17,L438-54),0),IF(B438="高一",MAX(IF(E438="男",L438-16,L438-53),0))))</f>
        <v>6</v>
      </c>
      <c r="O438" s="23">
        <f>IF(E438="男",LOOKUP($N438,[1]对照表!$Z$3:$Z$13,[1]对照表!$AA$3:$AA$13),LOOKUP($N438,[1]对照表!$Z$15:$Z$25,[1]对照表!$AA$15:$AA$25))</f>
        <v>3</v>
      </c>
      <c r="P438" s="24">
        <f>M438+O438</f>
        <v>103</v>
      </c>
      <c r="Q438" s="25" t="s">
        <v>578</v>
      </c>
      <c r="R438" s="20">
        <v>0</v>
      </c>
      <c r="S438" s="20">
        <v>0</v>
      </c>
      <c r="T438" s="23">
        <f>IF(E438="男",LOOKUP($S438,[1]对照表!$AB$3:$AB$13,[1]对照表!$AC$3:$AC$13),LOOKUP($S438,[1]对照表!$AB$15:$AB$25,[1]对照表!$AC$15:$AC$25))</f>
        <v>0</v>
      </c>
      <c r="U438" s="26">
        <f>R438+T438</f>
        <v>0</v>
      </c>
      <c r="V438" s="26">
        <f>SUM(I438,K438,M438)/3*0.3+SUM(G438,R438)/2*0.4</f>
        <v>41.2</v>
      </c>
      <c r="W438" s="27">
        <f>O438+T438</f>
        <v>3</v>
      </c>
      <c r="X438" s="28">
        <f>V438/0.7+W438</f>
        <v>61.857142857142868</v>
      </c>
      <c r="Y438" s="28">
        <v>61.857142857142868</v>
      </c>
      <c r="Z438" s="21"/>
    </row>
    <row r="439" spans="1:26" x14ac:dyDescent="0.25">
      <c r="A439" s="16">
        <v>54</v>
      </c>
      <c r="B439" s="17" t="s">
        <v>21</v>
      </c>
      <c r="C439" s="16">
        <v>110</v>
      </c>
      <c r="D439" s="18" t="s">
        <v>751</v>
      </c>
      <c r="E439" s="17" t="s">
        <v>65</v>
      </c>
      <c r="F439" s="19">
        <v>9.27</v>
      </c>
      <c r="G439" s="32">
        <f>IF(B439="高三",IF($E439="男",LOOKUP(F439,[1]对照表!$G$3:$G$24,[1]对照表!$H$3:$H$24),LOOKUP(F439,[1]对照表!$G$27:$G$48,[1]对照表!$H$27:$H$48)),IF(B439="高二",IF($E439="男",LOOKUP(F439,[1]对照表!$F$3:$F$24,[1]对照表!$H$3:$H$24),LOOKUP(F439,[1]对照表!$F$27:$F$48,[1]对照表!$H$27:$H$48)),IF(B439="高一",IF($E439="男",LOOKUP(F439,[1]对照表!$E$3:$E$24,[1]对照表!$H$3:$H$24),LOOKUP(F439,[1]对照表!$E$27:$E$48,[1]对照表!$H$27:$H$48)))))</f>
        <v>72</v>
      </c>
      <c r="H439" s="21">
        <v>18.5</v>
      </c>
      <c r="I439" s="32">
        <f>IF(B439="高三",IF($E439="男",LOOKUP(H439,[1]对照表!$K$3:$K$24,[1]对照表!$L$3:$L$24),LOOKUP(H439,[1]对照表!$K$27:$K$48,[1]对照表!$L$27:$L$48)),IF(B439="高二",IF($E439="男",LOOKUP(H439,[1]对照表!$J$3:$J$24,[1]对照表!$L$3:$L$24),LOOKUP(H439,[1]对照表!$J$27:$J$48,[1]对照表!$L$27:$L$48)),IF(B439="高一",IF($E439="男",LOOKUP(H439,[1]对照表!$I$3:$I$24,[1]对照表!$L$3:$L$24),LOOKUP(H439,[1]对照表!$I$27:$I$48,[1]对照表!$L$27:$L$48)))))</f>
        <v>80</v>
      </c>
      <c r="J439" s="21">
        <v>180</v>
      </c>
      <c r="K439" s="32">
        <f>IF(B439="高三",IF($E439="男",LOOKUP(J439,[1]对照表!$O$3:$O$24,[1]对照表!$P$3:$P$24),LOOKUP(J439,[1]对照表!$O$27:$O$48,[1]对照表!$P$27:$P$48)),IF(B439="高二",IF($E439="男",LOOKUP(J439,[1]对照表!$N$3:$N$24,[1]对照表!$P$3:$P$24),LOOKUP(J439,[1]对照表!$N$27:$N$48,[1]对照表!$P$27:$P$48)),IF(B439="高一",IF($E439="男",LOOKUP(J439,[1]对照表!$M$3:$M$24,[1]对照表!$P$3:$P$24),LOOKUP(J439,[1]对照表!$M$27:$M$48,[1]对照表!$P$27:$P$48)))))</f>
        <v>80</v>
      </c>
      <c r="L439" s="21">
        <v>54</v>
      </c>
      <c r="M439" s="32">
        <f>IF(B439="高三",IF($E439="男",LOOKUP(L439,[1]对照表!$S$3:$S$24,[1]对照表!$T$3:$T$24),LOOKUP(L439,[1]对照表!$S$27:$S$48,[1]对照表!$T$27:$T$48)),IF(B439="高二",IF($E439="男",LOOKUP(L439,[1]对照表!$R$3:$R$24,[1]对照表!$T$3:$T$24),LOOKUP(L439,[1]对照表!$R$27:$R$48,[1]对照表!$T$27:$T$48)),IF(B439="高一",IF($E439="男",LOOKUP(L439,[1]对照表!$Q$3:$Q$24,[1]对照表!$T$3:$T$24),LOOKUP(L439,[1]对照表!$Q$27:$Q$48,[1]对照表!$T$27:$T$48)))))</f>
        <v>100</v>
      </c>
      <c r="N439" s="33">
        <f>IF(B439="高三",MAX(IF(E439="男",L439-18,L439-55),0),IF(B439="高二",MAX(IF(E439="男",L439-17,L439-54),0),IF(B439="高一",MAX(IF(E439="男",L439-16,L439-53),0))))</f>
        <v>1</v>
      </c>
      <c r="O439" s="23">
        <f>IF(E439="男",LOOKUP($N439,[1]对照表!$Z$3:$Z$13,[1]对照表!$AA$3:$AA$13),LOOKUP($N439,[1]对照表!$Z$15:$Z$25,[1]对照表!$AA$15:$AA$25))</f>
        <v>0</v>
      </c>
      <c r="P439" s="24">
        <f>M439+O439</f>
        <v>100</v>
      </c>
      <c r="Q439" s="25" t="s">
        <v>578</v>
      </c>
      <c r="R439" s="20">
        <v>0</v>
      </c>
      <c r="S439" s="20">
        <v>0</v>
      </c>
      <c r="T439" s="23">
        <f>IF(E439="男",LOOKUP($S439,[1]对照表!$AB$3:$AB$13,[1]对照表!$AC$3:$AC$13),LOOKUP($S439,[1]对照表!$AB$15:$AB$25,[1]对照表!$AC$15:$AC$25))</f>
        <v>0</v>
      </c>
      <c r="U439" s="26">
        <f>R439+T439</f>
        <v>0</v>
      </c>
      <c r="V439" s="26">
        <f>SUM(I439,K439,M439)/3*0.3+SUM(G439,R439)/2*0.4</f>
        <v>40.4</v>
      </c>
      <c r="W439" s="27">
        <f>O439+T439</f>
        <v>0</v>
      </c>
      <c r="X439" s="28">
        <f>V439/0.7+W439</f>
        <v>57.714285714285715</v>
      </c>
      <c r="Y439" s="28">
        <v>57.714285714285715</v>
      </c>
      <c r="Z439" s="21"/>
    </row>
    <row r="440" spans="1:26" x14ac:dyDescent="0.25">
      <c r="A440" s="16">
        <v>23</v>
      </c>
      <c r="B440" s="17" t="s">
        <v>21</v>
      </c>
      <c r="C440" s="16">
        <v>111</v>
      </c>
      <c r="D440" s="18" t="s">
        <v>31</v>
      </c>
      <c r="E440" s="17" t="s">
        <v>23</v>
      </c>
      <c r="F440" s="19">
        <v>6.6</v>
      </c>
      <c r="G440" s="32">
        <f>IF(B440="高三",IF($E440="男",LOOKUP(F440,[1]对照表!$G$3:$G$24,[1]对照表!$H$3:$H$24),LOOKUP(F440,[1]对照表!$G$27:$G$48,[1]对照表!$H$27:$H$48)),IF(B440="高二",IF($E440="男",LOOKUP(F440,[1]对照表!$F$3:$F$24,[1]对照表!$H$3:$H$24),LOOKUP(F440,[1]对照表!$F$27:$F$48,[1]对照表!$H$27:$H$48)),IF(B440="高一",IF($E440="男",LOOKUP(F440,[1]对照表!$E$3:$E$24,[1]对照表!$H$3:$H$24),LOOKUP(F440,[1]对照表!$E$27:$E$48,[1]对照表!$H$27:$H$48)))))</f>
        <v>100</v>
      </c>
      <c r="H440" s="21">
        <v>24.5</v>
      </c>
      <c r="I440" s="32">
        <f>IF(B440="高三",IF($E440="男",LOOKUP(H440,[1]对照表!$K$3:$K$24,[1]对照表!$L$3:$L$24),LOOKUP(H440,[1]对照表!$K$27:$K$48,[1]对照表!$L$27:$L$48)),IF(B440="高二",IF($E440="男",LOOKUP(H440,[1]对照表!$J$3:$J$24,[1]对照表!$L$3:$L$24),LOOKUP(H440,[1]对照表!$J$27:$J$48,[1]对照表!$L$27:$L$48)),IF(B440="高一",IF($E440="男",LOOKUP(H440,[1]对照表!$I$3:$I$24,[1]对照表!$L$3:$L$24),LOOKUP(H440,[1]对照表!$I$27:$I$48,[1]对照表!$L$27:$L$48)))))</f>
        <v>100</v>
      </c>
      <c r="J440" s="21">
        <v>263</v>
      </c>
      <c r="K440" s="32">
        <f>IF(B440="高三",IF($E440="男",LOOKUP(J440,[1]对照表!$O$3:$O$24,[1]对照表!$P$3:$P$24),LOOKUP(J440,[1]对照表!$O$27:$O$48,[1]对照表!$P$27:$P$48)),IF(B440="高二",IF($E440="男",LOOKUP(J440,[1]对照表!$N$3:$N$24,[1]对照表!$P$3:$P$24),LOOKUP(J440,[1]对照表!$N$27:$N$48,[1]对照表!$P$27:$P$48)),IF(B440="高一",IF($E440="男",LOOKUP(J440,[1]对照表!$M$3:$M$24,[1]对照表!$P$3:$P$24),LOOKUP(J440,[1]对照表!$M$27:$M$48,[1]对照表!$P$27:$P$48)))))</f>
        <v>100</v>
      </c>
      <c r="L440" s="21">
        <v>25</v>
      </c>
      <c r="M440" s="32">
        <f>IF(B440="高三",IF($E440="男",LOOKUP(L440,[1]对照表!$S$3:$S$24,[1]对照表!$T$3:$T$24),LOOKUP(L440,[1]对照表!$S$27:$S$48,[1]对照表!$T$27:$T$48)),IF(B440="高二",IF($E440="男",LOOKUP(L440,[1]对照表!$R$3:$R$24,[1]对照表!$T$3:$T$24),LOOKUP(L440,[1]对照表!$R$27:$R$48,[1]对照表!$T$27:$T$48)),IF(B440="高一",IF($E440="男",LOOKUP(L440,[1]对照表!$Q$3:$Q$24,[1]对照表!$T$3:$T$24),LOOKUP(L440,[1]对照表!$Q$27:$Q$48,[1]对照表!$T$27:$T$48)))))</f>
        <v>100</v>
      </c>
      <c r="N440" s="33">
        <f>IF(B440="高三",MAX(IF(E440="男",L440-18,L440-55),0),IF(B440="高二",MAX(IF(E440="男",L440-17,L440-54),0),IF(B440="高一",MAX(IF(E440="男",L440-16,L440-53),0))))</f>
        <v>9</v>
      </c>
      <c r="O440" s="23">
        <f>IF(E440="男",LOOKUP($N440,[1]对照表!$Z$3:$Z$13,[1]对照表!$AA$3:$AA$13),LOOKUP($N440,[1]对照表!$Z$15:$Z$25,[1]对照表!$AA$15:$AA$25))</f>
        <v>9</v>
      </c>
      <c r="P440" s="24">
        <f>M440+O440</f>
        <v>109</v>
      </c>
      <c r="Q440" s="25">
        <v>3.17</v>
      </c>
      <c r="R440" s="32">
        <f>IF(B440="高三",IF($E440="男",LOOKUP(Q440,[1]对照表!$W$3:$W$24,[1]对照表!$X$3:$X$24),LOOKUP(Q440,[1]对照表!$W$27:$W$48,[1]对照表!$X$27:$X$48)),IF(B440="高二",IF($E440="男",LOOKUP(Q440,[1]对照表!$V$3:$V$24,[1]对照表!$X$3:$X$24),LOOKUP(Q440,[1]对照表!$V$27:$V$48,[1]对照表!$X$27:$X$48)),IF(B440="高一",IF($E440="男",LOOKUP(Q440,[1]对照表!$U$3:$U$24,[1]对照表!$X$3:$X$24),LOOKUP(Q440,[1]对照表!$U$27:$U$48,[1]对照表!$X$27:$X$48)))))</f>
        <v>100</v>
      </c>
      <c r="S440" s="33">
        <f>ROUND(IF(IF($B440="高三",MIN(IF($E440="男",$Q440-3.2,$Q440-3.2),0),IF($B440="高二",MIN(IF($E440="男",$Q440-3.25,$Q440-3.22),0),IF($B440="高一",MIN(IF($E440="男",$Q440-3.3,$Q440-3.24),0))))&lt;-0.6,IF($B440="高三",MIN(IF($E440="男",$Q440-3.2,$Q440-3.2),0),IF($B440="高二",MIN(IF($E440="男",$Q440-3.25,$Q440-3.22),0),IF($B440="高一",MIN(IF($E440="男",$Q440-3.3,$Q440-3.24),0))))+0.4,IF($B440="高三",MIN(IF($E440="男",$Q440-3.2,$Q440-3.2),0),IF($B440="高二",MIN(IF($E440="男",$Q440-3.25,$Q440-3.22),0),IF($B440="高一",MIN(IF($E440="男",$Q440-3.3,$Q440-3.24),0))))),2)</f>
        <v>-0.13</v>
      </c>
      <c r="T440" s="23">
        <f>IF(E440="男",LOOKUP($S440,[1]对照表!$AB$3:$AB$13,[1]对照表!$AC$3:$AC$13),LOOKUP($S440,[1]对照表!$AB$15:$AB$25,[1]对照表!$AC$15:$AC$25))</f>
        <v>3</v>
      </c>
      <c r="U440" s="26">
        <f>R440+T440</f>
        <v>103</v>
      </c>
      <c r="V440" s="26">
        <f>SUM(I440,K440,M440)/3*0.3+SUM(G440,R440)/2*0.4</f>
        <v>70</v>
      </c>
      <c r="W440" s="27">
        <f>O440+T440</f>
        <v>12</v>
      </c>
      <c r="X440" s="28">
        <f>V440/0.7+W440</f>
        <v>112</v>
      </c>
      <c r="Y440" s="28">
        <v>112</v>
      </c>
      <c r="Z440" s="21"/>
    </row>
    <row r="441" spans="1:26" x14ac:dyDescent="0.25">
      <c r="A441" s="16">
        <v>15</v>
      </c>
      <c r="B441" s="17" t="s">
        <v>21</v>
      </c>
      <c r="C441" s="16">
        <v>111</v>
      </c>
      <c r="D441" s="18" t="s">
        <v>36</v>
      </c>
      <c r="E441" s="17" t="s">
        <v>23</v>
      </c>
      <c r="F441" s="19">
        <v>7.1</v>
      </c>
      <c r="G441" s="32">
        <f>IF(B441="高三",IF($E441="男",LOOKUP(F441,[1]对照表!$G$3:$G$24,[1]对照表!$H$3:$H$24),LOOKUP(F441,[1]对照表!$G$27:$G$48,[1]对照表!$H$27:$H$48)),IF(B441="高二",IF($E441="男",LOOKUP(F441,[1]对照表!$F$3:$F$24,[1]对照表!$H$3:$H$24),LOOKUP(F441,[1]对照表!$F$27:$F$48,[1]对照表!$H$27:$H$48)),IF(B441="高一",IF($E441="男",LOOKUP(F441,[1]对照表!$E$3:$E$24,[1]对照表!$H$3:$H$24),LOOKUP(F441,[1]对照表!$E$27:$E$48,[1]对照表!$H$27:$H$48)))))</f>
        <v>100</v>
      </c>
      <c r="H441" s="21">
        <v>31.5</v>
      </c>
      <c r="I441" s="32">
        <f>IF(B441="高三",IF($E441="男",LOOKUP(H441,[1]对照表!$K$3:$K$24,[1]对照表!$L$3:$L$24),LOOKUP(H441,[1]对照表!$K$27:$K$48,[1]对照表!$L$27:$L$48)),IF(B441="高二",IF($E441="男",LOOKUP(H441,[1]对照表!$J$3:$J$24,[1]对照表!$L$3:$L$24),LOOKUP(H441,[1]对照表!$J$27:$J$48,[1]对照表!$L$27:$L$48)),IF(B441="高一",IF($E441="男",LOOKUP(H441,[1]对照表!$I$3:$I$24,[1]对照表!$L$3:$L$24),LOOKUP(H441,[1]对照表!$I$27:$I$48,[1]对照表!$L$27:$L$48)))))</f>
        <v>100</v>
      </c>
      <c r="J441" s="21">
        <v>237</v>
      </c>
      <c r="K441" s="32">
        <f>IF(B441="高三",IF($E441="男",LOOKUP(J441,[1]对照表!$O$3:$O$24,[1]对照表!$P$3:$P$24),LOOKUP(J441,[1]对照表!$O$27:$O$48,[1]对照表!$P$27:$P$48)),IF(B441="高二",IF($E441="男",LOOKUP(J441,[1]对照表!$N$3:$N$24,[1]对照表!$P$3:$P$24),LOOKUP(J441,[1]对照表!$N$27:$N$48,[1]对照表!$P$27:$P$48)),IF(B441="高一",IF($E441="男",LOOKUP(J441,[1]对照表!$M$3:$M$24,[1]对照表!$P$3:$P$24),LOOKUP(J441,[1]对照表!$M$27:$M$48,[1]对照表!$P$27:$P$48)))))</f>
        <v>80</v>
      </c>
      <c r="L441" s="21">
        <v>27</v>
      </c>
      <c r="M441" s="32">
        <f>IF(B441="高三",IF($E441="男",LOOKUP(L441,[1]对照表!$S$3:$S$24,[1]对照表!$T$3:$T$24),LOOKUP(L441,[1]对照表!$S$27:$S$48,[1]对照表!$T$27:$T$48)),IF(B441="高二",IF($E441="男",LOOKUP(L441,[1]对照表!$R$3:$R$24,[1]对照表!$T$3:$T$24),LOOKUP(L441,[1]对照表!$R$27:$R$48,[1]对照表!$T$27:$T$48)),IF(B441="高一",IF($E441="男",LOOKUP(L441,[1]对照表!$Q$3:$Q$24,[1]对照表!$T$3:$T$24),LOOKUP(L441,[1]对照表!$Q$27:$Q$48,[1]对照表!$T$27:$T$48)))))</f>
        <v>100</v>
      </c>
      <c r="N441" s="33">
        <f>IF(B441="高三",MAX(IF(E441="男",L441-18,L441-55),0),IF(B441="高二",MAX(IF(E441="男",L441-17,L441-54),0),IF(B441="高一",MAX(IF(E441="男",L441-16,L441-53),0))))</f>
        <v>11</v>
      </c>
      <c r="O441" s="23">
        <f>IF(E441="男",LOOKUP($N441,[1]对照表!$Z$3:$Z$13,[1]对照表!$AA$3:$AA$13),LOOKUP($N441,[1]对照表!$Z$15:$Z$25,[1]对照表!$AA$15:$AA$25))</f>
        <v>10</v>
      </c>
      <c r="P441" s="24">
        <f>M441+O441</f>
        <v>110</v>
      </c>
      <c r="Q441" s="25">
        <v>3.23</v>
      </c>
      <c r="R441" s="32">
        <f>IF(B441="高三",IF($E441="男",LOOKUP(Q441,[1]对照表!$W$3:$W$24,[1]对照表!$X$3:$X$24),LOOKUP(Q441,[1]对照表!$W$27:$W$48,[1]对照表!$X$27:$X$48)),IF(B441="高二",IF($E441="男",LOOKUP(Q441,[1]对照表!$V$3:$V$24,[1]对照表!$X$3:$X$24),LOOKUP(Q441,[1]对照表!$V$27:$V$48,[1]对照表!$X$27:$X$48)),IF(B441="高一",IF($E441="男",LOOKUP(Q441,[1]对照表!$U$3:$U$24,[1]对照表!$X$3:$X$24),LOOKUP(Q441,[1]对照表!$U$27:$U$48,[1]对照表!$X$27:$X$48)))))</f>
        <v>100</v>
      </c>
      <c r="S441" s="33">
        <f>ROUND(IF(IF($B441="高三",MIN(IF($E441="男",$Q441-3.2,$Q441-3.2),0),IF($B441="高二",MIN(IF($E441="男",$Q441-3.25,$Q441-3.22),0),IF($B441="高一",MIN(IF($E441="男",$Q441-3.3,$Q441-3.24),0))))&lt;-0.6,IF($B441="高三",MIN(IF($E441="男",$Q441-3.2,$Q441-3.2),0),IF($B441="高二",MIN(IF($E441="男",$Q441-3.25,$Q441-3.22),0),IF($B441="高一",MIN(IF($E441="男",$Q441-3.3,$Q441-3.24),0))))+0.4,IF($B441="高三",MIN(IF($E441="男",$Q441-3.2,$Q441-3.2),0),IF($B441="高二",MIN(IF($E441="男",$Q441-3.25,$Q441-3.22),0),IF($B441="高一",MIN(IF($E441="男",$Q441-3.3,$Q441-3.24),0))))),2)</f>
        <v>-7.0000000000000007E-2</v>
      </c>
      <c r="T441" s="23">
        <f>IF(E441="男",LOOKUP($S441,[1]对照表!$AB$3:$AB$13,[1]对照表!$AC$3:$AC$13),LOOKUP($S441,[1]对照表!$AB$15:$AB$25,[1]对照表!$AC$15:$AC$25))</f>
        <v>1</v>
      </c>
      <c r="U441" s="26">
        <f>R441+T441</f>
        <v>101</v>
      </c>
      <c r="V441" s="26">
        <f>SUM(I441,K441,M441)/3*0.3+SUM(G441,R441)/2*0.4</f>
        <v>68</v>
      </c>
      <c r="W441" s="27">
        <f>O441+T441</f>
        <v>11</v>
      </c>
      <c r="X441" s="28">
        <f>V441/0.7+W441</f>
        <v>108.14285714285715</v>
      </c>
      <c r="Y441" s="28">
        <v>108.14285714285715</v>
      </c>
      <c r="Z441" s="21"/>
    </row>
    <row r="442" spans="1:26" x14ac:dyDescent="0.25">
      <c r="A442" s="16">
        <v>22</v>
      </c>
      <c r="B442" s="17" t="s">
        <v>21</v>
      </c>
      <c r="C442" s="16">
        <v>111</v>
      </c>
      <c r="D442" s="18" t="s">
        <v>39</v>
      </c>
      <c r="E442" s="17" t="s">
        <v>23</v>
      </c>
      <c r="F442" s="19">
        <v>6.9</v>
      </c>
      <c r="G442" s="32">
        <f>IF(B442="高三",IF($E442="男",LOOKUP(F442,[1]对照表!$G$3:$G$24,[1]对照表!$H$3:$H$24),LOOKUP(F442,[1]对照表!$G$27:$G$48,[1]对照表!$H$27:$H$48)),IF(B442="高二",IF($E442="男",LOOKUP(F442,[1]对照表!$F$3:$F$24,[1]对照表!$H$3:$H$24),LOOKUP(F442,[1]对照表!$F$27:$F$48,[1]对照表!$H$27:$H$48)),IF(B442="高一",IF($E442="男",LOOKUP(F442,[1]对照表!$E$3:$E$24,[1]对照表!$H$3:$H$24),LOOKUP(F442,[1]对照表!$E$27:$E$48,[1]对照表!$H$27:$H$48)))))</f>
        <v>100</v>
      </c>
      <c r="H442" s="21">
        <v>23.2</v>
      </c>
      <c r="I442" s="32">
        <f>IF(B442="高三",IF($E442="男",LOOKUP(H442,[1]对照表!$K$3:$K$24,[1]对照表!$L$3:$L$24),LOOKUP(H442,[1]对照表!$K$27:$K$48,[1]对照表!$L$27:$L$48)),IF(B442="高二",IF($E442="男",LOOKUP(H442,[1]对照表!$J$3:$J$24,[1]对照表!$L$3:$L$24),LOOKUP(H442,[1]对照表!$J$27:$J$48,[1]对照表!$L$27:$L$48)),IF(B442="高一",IF($E442="男",LOOKUP(H442,[1]对照表!$I$3:$I$24,[1]对照表!$L$3:$L$24),LOOKUP(H442,[1]对照表!$I$27:$I$48,[1]对照表!$L$27:$L$48)))))</f>
        <v>95</v>
      </c>
      <c r="J442" s="21">
        <v>253</v>
      </c>
      <c r="K442" s="32">
        <f>IF(B442="高三",IF($E442="男",LOOKUP(J442,[1]对照表!$O$3:$O$24,[1]对照表!$P$3:$P$24),LOOKUP(J442,[1]对照表!$O$27:$O$48,[1]对照表!$P$27:$P$48)),IF(B442="高二",IF($E442="男",LOOKUP(J442,[1]对照表!$N$3:$N$24,[1]对照表!$P$3:$P$24),LOOKUP(J442,[1]对照表!$N$27:$N$48,[1]对照表!$P$27:$P$48)),IF(B442="高一",IF($E442="男",LOOKUP(J442,[1]对照表!$M$3:$M$24,[1]对照表!$P$3:$P$24),LOOKUP(J442,[1]对照表!$M$27:$M$48,[1]对照表!$P$27:$P$48)))))</f>
        <v>90</v>
      </c>
      <c r="L442" s="21">
        <v>26</v>
      </c>
      <c r="M442" s="32">
        <f>IF(B442="高三",IF($E442="男",LOOKUP(L442,[1]对照表!$S$3:$S$24,[1]对照表!$T$3:$T$24),LOOKUP(L442,[1]对照表!$S$27:$S$48,[1]对照表!$T$27:$T$48)),IF(B442="高二",IF($E442="男",LOOKUP(L442,[1]对照表!$R$3:$R$24,[1]对照表!$T$3:$T$24),LOOKUP(L442,[1]对照表!$R$27:$R$48,[1]对照表!$T$27:$T$48)),IF(B442="高一",IF($E442="男",LOOKUP(L442,[1]对照表!$Q$3:$Q$24,[1]对照表!$T$3:$T$24),LOOKUP(L442,[1]对照表!$Q$27:$Q$48,[1]对照表!$T$27:$T$48)))))</f>
        <v>100</v>
      </c>
      <c r="N442" s="33">
        <f>IF(B442="高三",MAX(IF(E442="男",L442-18,L442-55),0),IF(B442="高二",MAX(IF(E442="男",L442-17,L442-54),0),IF(B442="高一",MAX(IF(E442="男",L442-16,L442-53),0))))</f>
        <v>10</v>
      </c>
      <c r="O442" s="23">
        <f>IF(E442="男",LOOKUP($N442,[1]对照表!$Z$3:$Z$13,[1]对照表!$AA$3:$AA$13),LOOKUP($N442,[1]对照表!$Z$15:$Z$25,[1]对照表!$AA$15:$AA$25))</f>
        <v>10</v>
      </c>
      <c r="P442" s="24">
        <f>M442+O442</f>
        <v>110</v>
      </c>
      <c r="Q442" s="25">
        <v>3.35</v>
      </c>
      <c r="R442" s="32">
        <f>IF(B442="高三",IF($E442="男",LOOKUP(Q442,[1]对照表!$W$3:$W$24,[1]对照表!$X$3:$X$24),LOOKUP(Q442,[1]对照表!$W$27:$W$48,[1]对照表!$X$27:$X$48)),IF(B442="高二",IF($E442="男",LOOKUP(Q442,[1]对照表!$V$3:$V$24,[1]对照表!$X$3:$X$24),LOOKUP(Q442,[1]对照表!$V$27:$V$48,[1]对照表!$X$27:$X$48)),IF(B442="高一",IF($E442="男",LOOKUP(Q442,[1]对照表!$U$3:$U$24,[1]对照表!$X$3:$X$24),LOOKUP(Q442,[1]对照表!$U$27:$U$48,[1]对照表!$X$27:$X$48)))))</f>
        <v>95</v>
      </c>
      <c r="S442" s="33">
        <f>ROUND(IF(IF($B442="高三",MIN(IF($E442="男",$Q442-3.2,$Q442-3.2),0),IF($B442="高二",MIN(IF($E442="男",$Q442-3.25,$Q442-3.22),0),IF($B442="高一",MIN(IF($E442="男",$Q442-3.3,$Q442-3.24),0))))&lt;-0.6,IF($B442="高三",MIN(IF($E442="男",$Q442-3.2,$Q442-3.2),0),IF($B442="高二",MIN(IF($E442="男",$Q442-3.25,$Q442-3.22),0),IF($B442="高一",MIN(IF($E442="男",$Q442-3.3,$Q442-3.24),0))))+0.4,IF($B442="高三",MIN(IF($E442="男",$Q442-3.2,$Q442-3.2),0),IF($B442="高二",MIN(IF($E442="男",$Q442-3.25,$Q442-3.22),0),IF($B442="高一",MIN(IF($E442="男",$Q442-3.3,$Q442-3.24),0))))),2)</f>
        <v>0</v>
      </c>
      <c r="T442" s="23">
        <f>IF(E442="男",LOOKUP($S442,[1]对照表!$AB$3:$AB$13,[1]对照表!$AC$3:$AC$13),LOOKUP($S442,[1]对照表!$AB$15:$AB$25,[1]对照表!$AC$15:$AC$25))</f>
        <v>0</v>
      </c>
      <c r="U442" s="26">
        <f>R442+T442</f>
        <v>95</v>
      </c>
      <c r="V442" s="26">
        <f>SUM(I442,K442,M442)/3*0.3+SUM(G442,R442)/2*0.4</f>
        <v>67.5</v>
      </c>
      <c r="W442" s="27">
        <f>O442+T442</f>
        <v>10</v>
      </c>
      <c r="X442" s="28">
        <f>V442/0.7+W442</f>
        <v>106.42857142857143</v>
      </c>
      <c r="Y442" s="28">
        <v>106.42857142857143</v>
      </c>
      <c r="Z442" s="21"/>
    </row>
    <row r="443" spans="1:26" x14ac:dyDescent="0.25">
      <c r="A443" s="16">
        <v>16</v>
      </c>
      <c r="B443" s="17" t="s">
        <v>21</v>
      </c>
      <c r="C443" s="16">
        <v>111</v>
      </c>
      <c r="D443" s="18" t="s">
        <v>53</v>
      </c>
      <c r="E443" s="17" t="s">
        <v>23</v>
      </c>
      <c r="F443" s="19">
        <v>7.3</v>
      </c>
      <c r="G443" s="32">
        <f>IF(B443="高三",IF($E443="男",LOOKUP(F443,[1]对照表!$G$3:$G$24,[1]对照表!$H$3:$H$24),LOOKUP(F443,[1]对照表!$G$27:$G$48,[1]对照表!$H$27:$H$48)),IF(B443="高二",IF($E443="男",LOOKUP(F443,[1]对照表!$F$3:$F$24,[1]对照表!$H$3:$H$24),LOOKUP(F443,[1]对照表!$F$27:$F$48,[1]对照表!$H$27:$H$48)),IF(B443="高一",IF($E443="男",LOOKUP(F443,[1]对照表!$E$3:$E$24,[1]对照表!$H$3:$H$24),LOOKUP(F443,[1]对照表!$E$27:$E$48,[1]对照表!$H$27:$H$48)))))</f>
        <v>90</v>
      </c>
      <c r="H443" s="21">
        <v>18.600000000000001</v>
      </c>
      <c r="I443" s="32">
        <f>IF(B443="高三",IF($E443="男",LOOKUP(H443,[1]对照表!$K$3:$K$24,[1]对照表!$L$3:$L$24),LOOKUP(H443,[1]对照表!$K$27:$K$48,[1]对照表!$L$27:$L$48)),IF(B443="高二",IF($E443="男",LOOKUP(H443,[1]对照表!$J$3:$J$24,[1]对照表!$L$3:$L$24),LOOKUP(H443,[1]对照表!$J$27:$J$48,[1]对照表!$L$27:$L$48)),IF(B443="高一",IF($E443="男",LOOKUP(H443,[1]对照表!$I$3:$I$24,[1]对照表!$L$3:$L$24),LOOKUP(H443,[1]对照表!$I$27:$I$48,[1]对照表!$L$27:$L$48)))))</f>
        <v>85</v>
      </c>
      <c r="J443" s="21">
        <v>246</v>
      </c>
      <c r="K443" s="32">
        <f>IF(B443="高三",IF($E443="男",LOOKUP(J443,[1]对照表!$O$3:$O$24,[1]对照表!$P$3:$P$24),LOOKUP(J443,[1]对照表!$O$27:$O$48,[1]对照表!$P$27:$P$48)),IF(B443="高二",IF($E443="男",LOOKUP(J443,[1]对照表!$N$3:$N$24,[1]对照表!$P$3:$P$24),LOOKUP(J443,[1]对照表!$N$27:$N$48,[1]对照表!$P$27:$P$48)),IF(B443="高一",IF($E443="男",LOOKUP(J443,[1]对照表!$M$3:$M$24,[1]对照表!$P$3:$P$24),LOOKUP(J443,[1]对照表!$M$27:$M$48,[1]对照表!$P$27:$P$48)))))</f>
        <v>85</v>
      </c>
      <c r="L443" s="21">
        <v>24</v>
      </c>
      <c r="M443" s="32">
        <f>IF(B443="高三",IF($E443="男",LOOKUP(L443,[1]对照表!$S$3:$S$24,[1]对照表!$T$3:$T$24),LOOKUP(L443,[1]对照表!$S$27:$S$48,[1]对照表!$T$27:$T$48)),IF(B443="高二",IF($E443="男",LOOKUP(L443,[1]对照表!$R$3:$R$24,[1]对照表!$T$3:$T$24),LOOKUP(L443,[1]对照表!$R$27:$R$48,[1]对照表!$T$27:$T$48)),IF(B443="高一",IF($E443="男",LOOKUP(L443,[1]对照表!$Q$3:$Q$24,[1]对照表!$T$3:$T$24),LOOKUP(L443,[1]对照表!$Q$27:$Q$48,[1]对照表!$T$27:$T$48)))))</f>
        <v>100</v>
      </c>
      <c r="N443" s="33">
        <f>IF(B443="高三",MAX(IF(E443="男",L443-18,L443-55),0),IF(B443="高二",MAX(IF(E443="男",L443-17,L443-54),0),IF(B443="高一",MAX(IF(E443="男",L443-16,L443-53),0))))</f>
        <v>8</v>
      </c>
      <c r="O443" s="23">
        <f>IF(E443="男",LOOKUP($N443,[1]对照表!$Z$3:$Z$13,[1]对照表!$AA$3:$AA$13),LOOKUP($N443,[1]对照表!$Z$15:$Z$25,[1]对照表!$AA$15:$AA$25))</f>
        <v>8</v>
      </c>
      <c r="P443" s="24">
        <f>M443+O443</f>
        <v>108</v>
      </c>
      <c r="Q443" s="25">
        <v>3.25</v>
      </c>
      <c r="R443" s="32">
        <f>IF(B443="高三",IF($E443="男",LOOKUP(Q443,[1]对照表!$W$3:$W$24,[1]对照表!$X$3:$X$24),LOOKUP(Q443,[1]对照表!$W$27:$W$48,[1]对照表!$X$27:$X$48)),IF(B443="高二",IF($E443="男",LOOKUP(Q443,[1]对照表!$V$3:$V$24,[1]对照表!$X$3:$X$24),LOOKUP(Q443,[1]对照表!$V$27:$V$48,[1]对照表!$X$27:$X$48)),IF(B443="高一",IF($E443="男",LOOKUP(Q443,[1]对照表!$U$3:$U$24,[1]对照表!$X$3:$X$24),LOOKUP(Q443,[1]对照表!$U$27:$U$48,[1]对照表!$X$27:$X$48)))))</f>
        <v>100</v>
      </c>
      <c r="S443" s="33">
        <f>ROUND(IF(IF($B443="高三",MIN(IF($E443="男",$Q443-3.2,$Q443-3.2),0),IF($B443="高二",MIN(IF($E443="男",$Q443-3.25,$Q443-3.22),0),IF($B443="高一",MIN(IF($E443="男",$Q443-3.3,$Q443-3.24),0))))&lt;-0.6,IF($B443="高三",MIN(IF($E443="男",$Q443-3.2,$Q443-3.2),0),IF($B443="高二",MIN(IF($E443="男",$Q443-3.25,$Q443-3.22),0),IF($B443="高一",MIN(IF($E443="男",$Q443-3.3,$Q443-3.24),0))))+0.4,IF($B443="高三",MIN(IF($E443="男",$Q443-3.2,$Q443-3.2),0),IF($B443="高二",MIN(IF($E443="男",$Q443-3.25,$Q443-3.22),0),IF($B443="高一",MIN(IF($E443="男",$Q443-3.3,$Q443-3.24),0))))),2)</f>
        <v>-0.05</v>
      </c>
      <c r="T443" s="23">
        <f>IF(E443="男",LOOKUP($S443,[1]对照表!$AB$3:$AB$13,[1]对照表!$AC$3:$AC$13),LOOKUP($S443,[1]对照表!$AB$15:$AB$25,[1]对照表!$AC$15:$AC$25))</f>
        <v>1</v>
      </c>
      <c r="U443" s="26">
        <f>R443+T443</f>
        <v>101</v>
      </c>
      <c r="V443" s="26">
        <f>SUM(I443,K443,M443)/3*0.3+SUM(G443,R443)/2*0.4</f>
        <v>65</v>
      </c>
      <c r="W443" s="27">
        <f>O443+T443</f>
        <v>9</v>
      </c>
      <c r="X443" s="28">
        <f>V443/0.7+W443</f>
        <v>101.85714285714286</v>
      </c>
      <c r="Y443" s="28">
        <v>101.85714285714286</v>
      </c>
      <c r="Z443" s="21"/>
    </row>
    <row r="444" spans="1:26" x14ac:dyDescent="0.25">
      <c r="A444" s="16">
        <v>21</v>
      </c>
      <c r="B444" s="17" t="s">
        <v>21</v>
      </c>
      <c r="C444" s="16">
        <v>111</v>
      </c>
      <c r="D444" s="18" t="s">
        <v>60</v>
      </c>
      <c r="E444" s="17" t="s">
        <v>23</v>
      </c>
      <c r="F444" s="19">
        <v>7.3</v>
      </c>
      <c r="G444" s="32">
        <f>IF(B444="高三",IF($E444="男",LOOKUP(F444,[1]对照表!$G$3:$G$24,[1]对照表!$H$3:$H$24),LOOKUP(F444,[1]对照表!$G$27:$G$48,[1]对照表!$H$27:$H$48)),IF(B444="高二",IF($E444="男",LOOKUP(F444,[1]对照表!$F$3:$F$24,[1]对照表!$H$3:$H$24),LOOKUP(F444,[1]对照表!$F$27:$F$48,[1]对照表!$H$27:$H$48)),IF(B444="高一",IF($E444="男",LOOKUP(F444,[1]对照表!$E$3:$E$24,[1]对照表!$H$3:$H$24),LOOKUP(F444,[1]对照表!$E$27:$E$48,[1]对照表!$H$27:$H$48)))))</f>
        <v>90</v>
      </c>
      <c r="H444" s="21">
        <v>16</v>
      </c>
      <c r="I444" s="32">
        <f>IF(B444="高三",IF($E444="男",LOOKUP(H444,[1]对照表!$K$3:$K$24,[1]对照表!$L$3:$L$24),LOOKUP(H444,[1]对照表!$K$27:$K$48,[1]对照表!$L$27:$L$48)),IF(B444="高二",IF($E444="男",LOOKUP(H444,[1]对照表!$J$3:$J$24,[1]对照表!$L$3:$L$24),LOOKUP(H444,[1]对照表!$J$27:$J$48,[1]对照表!$L$27:$L$48)),IF(B444="高一",IF($E444="男",LOOKUP(H444,[1]对照表!$I$3:$I$24,[1]对照表!$L$3:$L$24),LOOKUP(H444,[1]对照表!$I$27:$I$48,[1]对照表!$L$27:$L$48)))))</f>
        <v>80</v>
      </c>
      <c r="J444" s="21">
        <v>243</v>
      </c>
      <c r="K444" s="32">
        <f>IF(B444="高三",IF($E444="男",LOOKUP(J444,[1]对照表!$O$3:$O$24,[1]对照表!$P$3:$P$24),LOOKUP(J444,[1]对照表!$O$27:$O$48,[1]对照表!$P$27:$P$48)),IF(B444="高二",IF($E444="男",LOOKUP(J444,[1]对照表!$N$3:$N$24,[1]对照表!$P$3:$P$24),LOOKUP(J444,[1]对照表!$N$27:$N$48,[1]对照表!$P$27:$P$48)),IF(B444="高一",IF($E444="男",LOOKUP(J444,[1]对照表!$M$3:$M$24,[1]对照表!$P$3:$P$24),LOOKUP(J444,[1]对照表!$M$27:$M$48,[1]对照表!$P$27:$P$48)))))</f>
        <v>85</v>
      </c>
      <c r="L444" s="21">
        <v>26</v>
      </c>
      <c r="M444" s="32">
        <f>IF(B444="高三",IF($E444="男",LOOKUP(L444,[1]对照表!$S$3:$S$24,[1]对照表!$T$3:$T$24),LOOKUP(L444,[1]对照表!$S$27:$S$48,[1]对照表!$T$27:$T$48)),IF(B444="高二",IF($E444="男",LOOKUP(L444,[1]对照表!$R$3:$R$24,[1]对照表!$T$3:$T$24),LOOKUP(L444,[1]对照表!$R$27:$R$48,[1]对照表!$T$27:$T$48)),IF(B444="高一",IF($E444="男",LOOKUP(L444,[1]对照表!$Q$3:$Q$24,[1]对照表!$T$3:$T$24),LOOKUP(L444,[1]对照表!$Q$27:$Q$48,[1]对照表!$T$27:$T$48)))))</f>
        <v>100</v>
      </c>
      <c r="N444" s="33">
        <f>IF(B444="高三",MAX(IF(E444="男",L444-18,L444-55),0),IF(B444="高二",MAX(IF(E444="男",L444-17,L444-54),0),IF(B444="高一",MAX(IF(E444="男",L444-16,L444-53),0))))</f>
        <v>10</v>
      </c>
      <c r="O444" s="23">
        <f>IF(E444="男",LOOKUP($N444,[1]对照表!$Z$3:$Z$13,[1]对照表!$AA$3:$AA$13),LOOKUP($N444,[1]对照表!$Z$15:$Z$25,[1]对照表!$AA$15:$AA$25))</f>
        <v>10</v>
      </c>
      <c r="P444" s="24">
        <f>M444+O444</f>
        <v>110</v>
      </c>
      <c r="Q444" s="25">
        <v>3.34</v>
      </c>
      <c r="R444" s="32">
        <f>IF(B444="高三",IF($E444="男",LOOKUP(Q444,[1]对照表!$W$3:$W$24,[1]对照表!$X$3:$X$24),LOOKUP(Q444,[1]对照表!$W$27:$W$48,[1]对照表!$X$27:$X$48)),IF(B444="高二",IF($E444="男",LOOKUP(Q444,[1]对照表!$V$3:$V$24,[1]对照表!$X$3:$X$24),LOOKUP(Q444,[1]对照表!$V$27:$V$48,[1]对照表!$X$27:$X$48)),IF(B444="高一",IF($E444="男",LOOKUP(Q444,[1]对照表!$U$3:$U$24,[1]对照表!$X$3:$X$24),LOOKUP(Q444,[1]对照表!$U$27:$U$48,[1]对照表!$X$27:$X$48)))))</f>
        <v>95</v>
      </c>
      <c r="S444" s="33">
        <f>ROUND(IF(IF($B444="高三",MIN(IF($E444="男",$Q444-3.2,$Q444-3.2),0),IF($B444="高二",MIN(IF($E444="男",$Q444-3.25,$Q444-3.22),0),IF($B444="高一",MIN(IF($E444="男",$Q444-3.3,$Q444-3.24),0))))&lt;-0.6,IF($B444="高三",MIN(IF($E444="男",$Q444-3.2,$Q444-3.2),0),IF($B444="高二",MIN(IF($E444="男",$Q444-3.25,$Q444-3.22),0),IF($B444="高一",MIN(IF($E444="男",$Q444-3.3,$Q444-3.24),0))))+0.4,IF($B444="高三",MIN(IF($E444="男",$Q444-3.2,$Q444-3.2),0),IF($B444="高二",MIN(IF($E444="男",$Q444-3.25,$Q444-3.22),0),IF($B444="高一",MIN(IF($E444="男",$Q444-3.3,$Q444-3.24),0))))),2)</f>
        <v>0</v>
      </c>
      <c r="T444" s="23">
        <f>IF(E444="男",LOOKUP($S444,[1]对照表!$AB$3:$AB$13,[1]对照表!$AC$3:$AC$13),LOOKUP($S444,[1]对照表!$AB$15:$AB$25,[1]对照表!$AC$15:$AC$25))</f>
        <v>0</v>
      </c>
      <c r="U444" s="26">
        <f>R444+T444</f>
        <v>95</v>
      </c>
      <c r="V444" s="26">
        <f>SUM(I444,K444,M444)/3*0.3+SUM(G444,R444)/2*0.4</f>
        <v>63.5</v>
      </c>
      <c r="W444" s="27">
        <f>O444+T444</f>
        <v>10</v>
      </c>
      <c r="X444" s="28">
        <f>V444/0.7+W444</f>
        <v>100.71428571428572</v>
      </c>
      <c r="Y444" s="28">
        <v>100.71428571428572</v>
      </c>
      <c r="Z444" s="21"/>
    </row>
    <row r="445" spans="1:26" x14ac:dyDescent="0.25">
      <c r="A445" s="16">
        <v>43</v>
      </c>
      <c r="B445" s="17" t="s">
        <v>21</v>
      </c>
      <c r="C445" s="16">
        <v>111</v>
      </c>
      <c r="D445" s="18" t="s">
        <v>71</v>
      </c>
      <c r="E445" s="17" t="s">
        <v>65</v>
      </c>
      <c r="F445" s="19">
        <v>7.71</v>
      </c>
      <c r="G445" s="32">
        <f>IF(B445="高三",IF($E445="男",LOOKUP(F445,[1]对照表!$G$3:$G$24,[1]对照表!$H$3:$H$24),LOOKUP(F445,[1]对照表!$G$27:$G$48,[1]对照表!$H$27:$H$48)),IF(B445="高二",IF($E445="男",LOOKUP(F445,[1]对照表!$F$3:$F$24,[1]对照表!$H$3:$H$24),LOOKUP(F445,[1]对照表!$F$27:$F$48,[1]对照表!$H$27:$H$48)),IF(B445="高一",IF($E445="男",LOOKUP(F445,[1]对照表!$E$3:$E$24,[1]对照表!$H$3:$H$24),LOOKUP(F445,[1]对照表!$E$27:$E$48,[1]对照表!$H$27:$H$48)))))</f>
        <v>100</v>
      </c>
      <c r="H445" s="21">
        <v>22.5</v>
      </c>
      <c r="I445" s="32">
        <f>IF(B445="高三",IF($E445="男",LOOKUP(H445,[1]对照表!$K$3:$K$24,[1]对照表!$L$3:$L$24),LOOKUP(H445,[1]对照表!$K$27:$K$48,[1]对照表!$L$27:$L$48)),IF(B445="高二",IF($E445="男",LOOKUP(H445,[1]对照表!$J$3:$J$24,[1]对照表!$L$3:$L$24),LOOKUP(H445,[1]对照表!$J$27:$J$48,[1]对照表!$L$27:$L$48)),IF(B445="高一",IF($E445="男",LOOKUP(H445,[1]对照表!$I$3:$I$24,[1]对照表!$L$3:$L$24),LOOKUP(H445,[1]对照表!$I$27:$I$48,[1]对照表!$L$27:$L$48)))))</f>
        <v>95</v>
      </c>
      <c r="J445" s="21">
        <v>215</v>
      </c>
      <c r="K445" s="32">
        <f>IF(B445="高三",IF($E445="男",LOOKUP(J445,[1]对照表!$O$3:$O$24,[1]对照表!$P$3:$P$24),LOOKUP(J445,[1]对照表!$O$27:$O$48,[1]对照表!$P$27:$P$48)),IF(B445="高二",IF($E445="男",LOOKUP(J445,[1]对照表!$N$3:$N$24,[1]对照表!$P$3:$P$24),LOOKUP(J445,[1]对照表!$N$27:$N$48,[1]对照表!$P$27:$P$48)),IF(B445="高一",IF($E445="男",LOOKUP(J445,[1]对照表!$M$3:$M$24,[1]对照表!$P$3:$P$24),LOOKUP(J445,[1]对照表!$M$27:$M$48,[1]对照表!$P$27:$P$48)))))</f>
        <v>100</v>
      </c>
      <c r="L445" s="21">
        <v>58</v>
      </c>
      <c r="M445" s="32">
        <f>IF(B445="高三",IF($E445="男",LOOKUP(L445,[1]对照表!$S$3:$S$24,[1]对照表!$T$3:$T$24),LOOKUP(L445,[1]对照表!$S$27:$S$48,[1]对照表!$T$27:$T$48)),IF(B445="高二",IF($E445="男",LOOKUP(L445,[1]对照表!$R$3:$R$24,[1]对照表!$T$3:$T$24),LOOKUP(L445,[1]对照表!$R$27:$R$48,[1]对照表!$T$27:$T$48)),IF(B445="高一",IF($E445="男",LOOKUP(L445,[1]对照表!$Q$3:$Q$24,[1]对照表!$T$3:$T$24),LOOKUP(L445,[1]对照表!$Q$27:$Q$48,[1]对照表!$T$27:$T$48)))))</f>
        <v>100</v>
      </c>
      <c r="N445" s="33">
        <f>IF(B445="高三",MAX(IF(E445="男",L445-18,L445-55),0),IF(B445="高二",MAX(IF(E445="男",L445-17,L445-54),0),IF(B445="高一",MAX(IF(E445="男",L445-16,L445-53),0))))</f>
        <v>5</v>
      </c>
      <c r="O445" s="23">
        <f>IF(E445="男",LOOKUP($N445,[1]对照表!$Z$3:$Z$13,[1]对照表!$AA$3:$AA$13),LOOKUP($N445,[1]对照表!$Z$15:$Z$25,[1]对照表!$AA$15:$AA$25))</f>
        <v>2</v>
      </c>
      <c r="P445" s="24">
        <f>M445+O445</f>
        <v>102</v>
      </c>
      <c r="Q445" s="25">
        <v>3.06</v>
      </c>
      <c r="R445" s="32">
        <f>IF(B445="高三",IF($E445="男",LOOKUP(Q445,[1]对照表!$W$3:$W$24,[1]对照表!$X$3:$X$24),LOOKUP(Q445,[1]对照表!$W$27:$W$48,[1]对照表!$X$27:$X$48)),IF(B445="高二",IF($E445="男",LOOKUP(Q445,[1]对照表!$V$3:$V$24,[1]对照表!$X$3:$X$24),LOOKUP(Q445,[1]对照表!$V$27:$V$48,[1]对照表!$X$27:$X$48)),IF(B445="高一",IF($E445="男",LOOKUP(Q445,[1]对照表!$U$3:$U$24,[1]对照表!$X$3:$X$24),LOOKUP(Q445,[1]对照表!$U$27:$U$48,[1]对照表!$X$27:$X$48)))))</f>
        <v>100</v>
      </c>
      <c r="S445" s="33">
        <f>ROUND(IF(IF($B445="高三",MIN(IF($E445="男",$Q445-3.2,$Q445-3.2),0),IF($B445="高二",MIN(IF($E445="男",$Q445-3.25,$Q445-3.22),0),IF($B445="高一",MIN(IF($E445="男",$Q445-3.3,$Q445-3.24),0))))&lt;-0.6,IF($B445="高三",MIN(IF($E445="男",$Q445-3.2,$Q445-3.2),0),IF($B445="高二",MIN(IF($E445="男",$Q445-3.25,$Q445-3.22),0),IF($B445="高一",MIN(IF($E445="男",$Q445-3.3,$Q445-3.24),0))))+0.4,IF($B445="高三",MIN(IF($E445="男",$Q445-3.2,$Q445-3.2),0),IF($B445="高二",MIN(IF($E445="男",$Q445-3.25,$Q445-3.22),0),IF($B445="高一",MIN(IF($E445="男",$Q445-3.3,$Q445-3.24),0))))),2)</f>
        <v>-0.18</v>
      </c>
      <c r="T445" s="23">
        <f>IF(E445="男",LOOKUP($S445,[1]对照表!$AB$3:$AB$13,[1]对照表!$AC$3:$AC$13),LOOKUP($S445,[1]对照表!$AB$15:$AB$25,[1]对照表!$AC$15:$AC$25))</f>
        <v>3</v>
      </c>
      <c r="U445" s="26">
        <f>R445+T445</f>
        <v>103</v>
      </c>
      <c r="V445" s="26">
        <f>SUM(I445,K445,M445)/3*0.3+SUM(G445,R445)/2*0.4</f>
        <v>69.5</v>
      </c>
      <c r="W445" s="27">
        <f>O445+T445</f>
        <v>5</v>
      </c>
      <c r="X445" s="28">
        <f>V445/0.7+W445</f>
        <v>104.28571428571429</v>
      </c>
      <c r="Y445" s="28">
        <v>104.28571428571429</v>
      </c>
      <c r="Z445" s="21"/>
    </row>
    <row r="446" spans="1:26" x14ac:dyDescent="0.25">
      <c r="A446" s="16">
        <v>4</v>
      </c>
      <c r="B446" s="17" t="s">
        <v>21</v>
      </c>
      <c r="C446" s="16">
        <v>111</v>
      </c>
      <c r="D446" s="18" t="s">
        <v>98</v>
      </c>
      <c r="E446" s="17" t="s">
        <v>23</v>
      </c>
      <c r="F446" s="19">
        <v>6.6</v>
      </c>
      <c r="G446" s="32">
        <f>IF(B446="高三",IF($E446="男",LOOKUP(F446,[1]对照表!$G$3:$G$24,[1]对照表!$H$3:$H$24),LOOKUP(F446,[1]对照表!$G$27:$G$48,[1]对照表!$H$27:$H$48)),IF(B446="高二",IF($E446="男",LOOKUP(F446,[1]对照表!$F$3:$F$24,[1]对照表!$H$3:$H$24),LOOKUP(F446,[1]对照表!$F$27:$F$48,[1]对照表!$H$27:$H$48)),IF(B446="高一",IF($E446="男",LOOKUP(F446,[1]对照表!$E$3:$E$24,[1]对照表!$H$3:$H$24),LOOKUP(F446,[1]对照表!$E$27:$E$48,[1]对照表!$H$27:$H$48)))))</f>
        <v>100</v>
      </c>
      <c r="H446" s="21">
        <v>10.3</v>
      </c>
      <c r="I446" s="32">
        <f>IF(B446="高三",IF($E446="男",LOOKUP(H446,[1]对照表!$K$3:$K$24,[1]对照表!$L$3:$L$24),LOOKUP(H446,[1]对照表!$K$27:$K$48,[1]对照表!$L$27:$L$48)),IF(B446="高二",IF($E446="男",LOOKUP(H446,[1]对照表!$J$3:$J$24,[1]对照表!$L$3:$L$24),LOOKUP(H446,[1]对照表!$J$27:$J$48,[1]对照表!$L$27:$L$48)),IF(B446="高一",IF($E446="男",LOOKUP(H446,[1]对照表!$I$3:$I$24,[1]对照表!$L$3:$L$24),LOOKUP(H446,[1]对照表!$I$27:$I$48,[1]对照表!$L$27:$L$48)))))</f>
        <v>72</v>
      </c>
      <c r="J446" s="21">
        <v>266</v>
      </c>
      <c r="K446" s="32">
        <f>IF(B446="高三",IF($E446="男",LOOKUP(J446,[1]对照表!$O$3:$O$24,[1]对照表!$P$3:$P$24),LOOKUP(J446,[1]对照表!$O$27:$O$48,[1]对照表!$P$27:$P$48)),IF(B446="高二",IF($E446="男",LOOKUP(J446,[1]对照表!$N$3:$N$24,[1]对照表!$P$3:$P$24),LOOKUP(J446,[1]对照表!$N$27:$N$48,[1]对照表!$P$27:$P$48)),IF(B446="高一",IF($E446="男",LOOKUP(J446,[1]对照表!$M$3:$M$24,[1]对照表!$P$3:$P$24),LOOKUP(J446,[1]对照表!$M$27:$M$48,[1]对照表!$P$27:$P$48)))))</f>
        <v>100</v>
      </c>
      <c r="L446" s="21">
        <v>20</v>
      </c>
      <c r="M446" s="32">
        <f>IF(B446="高三",IF($E446="男",LOOKUP(L446,[1]对照表!$S$3:$S$24,[1]对照表!$T$3:$T$24),LOOKUP(L446,[1]对照表!$S$27:$S$48,[1]对照表!$T$27:$T$48)),IF(B446="高二",IF($E446="男",LOOKUP(L446,[1]对照表!$R$3:$R$24,[1]对照表!$T$3:$T$24),LOOKUP(L446,[1]对照表!$R$27:$R$48,[1]对照表!$T$27:$T$48)),IF(B446="高一",IF($E446="男",LOOKUP(L446,[1]对照表!$Q$3:$Q$24,[1]对照表!$T$3:$T$24),LOOKUP(L446,[1]对照表!$Q$27:$Q$48,[1]对照表!$T$27:$T$48)))))</f>
        <v>100</v>
      </c>
      <c r="N446" s="33">
        <f>IF(B446="高三",MAX(IF(E446="男",L446-18,L446-55),0),IF(B446="高二",MAX(IF(E446="男",L446-17,L446-54),0),IF(B446="高一",MAX(IF(E446="男",L446-16,L446-53),0))))</f>
        <v>4</v>
      </c>
      <c r="O446" s="23">
        <f>IF(E446="男",LOOKUP($N446,[1]对照表!$Z$3:$Z$13,[1]对照表!$AA$3:$AA$13),LOOKUP($N446,[1]对照表!$Z$15:$Z$25,[1]对照表!$AA$15:$AA$25))</f>
        <v>4</v>
      </c>
      <c r="P446" s="24">
        <f>M446+O446</f>
        <v>104</v>
      </c>
      <c r="Q446" s="25">
        <v>3.36</v>
      </c>
      <c r="R446" s="32">
        <f>IF(B446="高三",IF($E446="男",LOOKUP(Q446,[1]对照表!$W$3:$W$24,[1]对照表!$X$3:$X$24),LOOKUP(Q446,[1]对照表!$W$27:$W$48,[1]对照表!$X$27:$X$48)),IF(B446="高二",IF($E446="男",LOOKUP(Q446,[1]对照表!$V$3:$V$24,[1]对照表!$X$3:$X$24),LOOKUP(Q446,[1]对照表!$V$27:$V$48,[1]对照表!$X$27:$X$48)),IF(B446="高一",IF($E446="男",LOOKUP(Q446,[1]对照表!$U$3:$U$24,[1]对照表!$X$3:$X$24),LOOKUP(Q446,[1]对照表!$U$27:$U$48,[1]对照表!$X$27:$X$48)))))</f>
        <v>90</v>
      </c>
      <c r="S446" s="27">
        <f>ROUND(IF(IF($B446="高三",MIN(IF($E446="男",$Q446-3.2,$Q446-3.2),0),IF($B446="高二",MIN(IF($E446="男",$Q446-3.25,$Q446-3.22),0),IF($B446="高一",MIN(IF($E446="男",$Q446-3.3,$Q446-3.24),0))))&lt;-0.6,IF($B446="高三",MIN(IF($E446="男",$Q446-3.2,$Q446-3.2),0),IF($B446="高二",MIN(IF($E446="男",$Q446-3.25,$Q446-3.22),0),IF($B446="高一",MIN(IF($E446="男",$Q446-3.3,$Q446-3.24),0))))+0.4,IF($B446="高三",MIN(IF($E446="男",$Q446-3.2,$Q446-3.2),0),IF($B446="高二",MIN(IF($E446="男",$Q446-3.25,$Q446-3.22),0),IF($B446="高一",MIN(IF($E446="男",$Q446-3.3,$Q446-3.24),0))))),2)</f>
        <v>0</v>
      </c>
      <c r="T446" s="23">
        <f>IF(E446="男",LOOKUP($S446,[1]对照表!$AB$3:$AB$13,[1]对照表!$AC$3:$AC$13),LOOKUP($S446,[1]对照表!$AB$15:$AB$25,[1]对照表!$AC$15:$AC$25))</f>
        <v>0</v>
      </c>
      <c r="U446" s="26">
        <f>R446+T446</f>
        <v>90</v>
      </c>
      <c r="V446" s="26">
        <f>SUM(I446,K446,M446)/3*0.3+SUM(G446,R446)/2*0.4</f>
        <v>65.2</v>
      </c>
      <c r="W446" s="27">
        <f>O446+T446</f>
        <v>4</v>
      </c>
      <c r="X446" s="28">
        <f>V446/0.7+W446</f>
        <v>97.142857142857153</v>
      </c>
      <c r="Y446" s="28">
        <v>97.142857142857153</v>
      </c>
      <c r="Z446" s="21"/>
    </row>
    <row r="447" spans="1:26" x14ac:dyDescent="0.25">
      <c r="A447" s="16">
        <v>34</v>
      </c>
      <c r="B447" s="17" t="s">
        <v>21</v>
      </c>
      <c r="C447" s="16">
        <v>111</v>
      </c>
      <c r="D447" s="18" t="s">
        <v>117</v>
      </c>
      <c r="E447" s="31" t="s">
        <v>65</v>
      </c>
      <c r="F447" s="19">
        <v>8.2200000000000006</v>
      </c>
      <c r="G447" s="32">
        <f>IF(B447="高三",IF($E447="男",LOOKUP(F447,[1]对照表!$G$3:$G$24,[1]对照表!$H$3:$H$24),LOOKUP(F447,[1]对照表!$G$27:$G$48,[1]对照表!$H$27:$H$48)),IF(B447="高二",IF($E447="男",LOOKUP(F447,[1]对照表!$F$3:$F$24,[1]对照表!$H$3:$H$24),LOOKUP(F447,[1]对照表!$F$27:$F$48,[1]对照表!$H$27:$H$48)),IF(B447="高一",IF($E447="男",LOOKUP(F447,[1]对照表!$E$3:$E$24,[1]对照表!$H$3:$H$24),LOOKUP(F447,[1]对照表!$E$27:$E$48,[1]对照表!$H$27:$H$48)))))</f>
        <v>85</v>
      </c>
      <c r="H447" s="21">
        <v>26</v>
      </c>
      <c r="I447" s="32">
        <f>IF(B447="高三",IF($E447="男",LOOKUP(H447,[1]对照表!$K$3:$K$24,[1]对照表!$L$3:$L$24),LOOKUP(H447,[1]对照表!$K$27:$K$48,[1]对照表!$L$27:$L$48)),IF(B447="高二",IF($E447="男",LOOKUP(H447,[1]对照表!$J$3:$J$24,[1]对照表!$L$3:$L$24),LOOKUP(H447,[1]对照表!$J$27:$J$48,[1]对照表!$L$27:$L$48)),IF(B447="高一",IF($E447="男",LOOKUP(H447,[1]对照表!$I$3:$I$24,[1]对照表!$L$3:$L$24),LOOKUP(H447,[1]对照表!$I$27:$I$48,[1]对照表!$L$27:$L$48)))))</f>
        <v>100</v>
      </c>
      <c r="J447" s="21">
        <v>205</v>
      </c>
      <c r="K447" s="32">
        <f>IF(B447="高三",IF($E447="男",LOOKUP(J447,[1]对照表!$O$3:$O$24,[1]对照表!$P$3:$P$24),LOOKUP(J447,[1]对照表!$O$27:$O$48,[1]对照表!$P$27:$P$48)),IF(B447="高二",IF($E447="男",LOOKUP(J447,[1]对照表!$N$3:$N$24,[1]对照表!$P$3:$P$24),LOOKUP(J447,[1]对照表!$N$27:$N$48,[1]对照表!$P$27:$P$48)),IF(B447="高一",IF($E447="男",LOOKUP(J447,[1]对照表!$M$3:$M$24,[1]对照表!$P$3:$P$24),LOOKUP(J447,[1]对照表!$M$27:$M$48,[1]对照表!$P$27:$P$48)))))</f>
        <v>100</v>
      </c>
      <c r="L447" s="21">
        <v>57</v>
      </c>
      <c r="M447" s="32">
        <f>IF(B447="高三",IF($E447="男",LOOKUP(L447,[1]对照表!$S$3:$S$24,[1]对照表!$T$3:$T$24),LOOKUP(L447,[1]对照表!$S$27:$S$48,[1]对照表!$T$27:$T$48)),IF(B447="高二",IF($E447="男",LOOKUP(L447,[1]对照表!$R$3:$R$24,[1]对照表!$T$3:$T$24),LOOKUP(L447,[1]对照表!$R$27:$R$48,[1]对照表!$T$27:$T$48)),IF(B447="高一",IF($E447="男",LOOKUP(L447,[1]对照表!$Q$3:$Q$24,[1]对照表!$T$3:$T$24),LOOKUP(L447,[1]对照表!$Q$27:$Q$48,[1]对照表!$T$27:$T$48)))))</f>
        <v>100</v>
      </c>
      <c r="N447" s="33">
        <f>IF(B447="高三",MAX(IF(E447="男",L447-18,L447-55),0),IF(B447="高二",MAX(IF(E447="男",L447-17,L447-54),0),IF(B447="高一",MAX(IF(E447="男",L447-16,L447-53),0))))</f>
        <v>4</v>
      </c>
      <c r="O447" s="23">
        <f>IF(E447="男",LOOKUP($N447,[1]对照表!$Z$3:$Z$13,[1]对照表!$AA$3:$AA$13),LOOKUP($N447,[1]对照表!$Z$15:$Z$25,[1]对照表!$AA$15:$AA$25))</f>
        <v>2</v>
      </c>
      <c r="P447" s="24">
        <f>M447+O447</f>
        <v>102</v>
      </c>
      <c r="Q447" s="25">
        <v>3.11</v>
      </c>
      <c r="R447" s="32">
        <f>IF(B447="高三",IF($E447="男",LOOKUP(Q447,[1]对照表!$W$3:$W$24,[1]对照表!$X$3:$X$24),LOOKUP(Q447,[1]对照表!$W$27:$W$48,[1]对照表!$X$27:$X$48)),IF(B447="高二",IF($E447="男",LOOKUP(Q447,[1]对照表!$V$3:$V$24,[1]对照表!$X$3:$X$24),LOOKUP(Q447,[1]对照表!$V$27:$V$48,[1]对照表!$X$27:$X$48)),IF(B447="高一",IF($E447="男",LOOKUP(Q447,[1]对照表!$U$3:$U$24,[1]对照表!$X$3:$X$24),LOOKUP(Q447,[1]对照表!$U$27:$U$48,[1]对照表!$X$27:$X$48)))))</f>
        <v>100</v>
      </c>
      <c r="S447" s="33">
        <f>ROUND(IF(IF($B447="高三",MIN(IF($E447="男",$Q447-3.2,$Q447-3.2),0),IF($B447="高二",MIN(IF($E447="男",$Q447-3.25,$Q447-3.22),0),IF($B447="高一",MIN(IF($E447="男",$Q447-3.3,$Q447-3.24),0))))&lt;-0.6,IF($B447="高三",MIN(IF($E447="男",$Q447-3.2,$Q447-3.2),0),IF($B447="高二",MIN(IF($E447="男",$Q447-3.25,$Q447-3.22),0),IF($B447="高一",MIN(IF($E447="男",$Q447-3.3,$Q447-3.24),0))))+0.4,IF($B447="高三",MIN(IF($E447="男",$Q447-3.2,$Q447-3.2),0),IF($B447="高二",MIN(IF($E447="男",$Q447-3.25,$Q447-3.22),0),IF($B447="高一",MIN(IF($E447="男",$Q447-3.3,$Q447-3.24),0))))),2)</f>
        <v>-0.13</v>
      </c>
      <c r="T447" s="23">
        <f>IF(E447="男",LOOKUP($S447,[1]对照表!$AB$3:$AB$13,[1]对照表!$AC$3:$AC$13),LOOKUP($S447,[1]对照表!$AB$15:$AB$25,[1]对照表!$AC$15:$AC$25))</f>
        <v>2</v>
      </c>
      <c r="U447" s="26">
        <f>R447+T447</f>
        <v>102</v>
      </c>
      <c r="V447" s="26">
        <f>SUM(I447,K447,M447)/3*0.3+SUM(G447,R447)/2*0.4</f>
        <v>67</v>
      </c>
      <c r="W447" s="27">
        <f>O447+T447</f>
        <v>4</v>
      </c>
      <c r="X447" s="28">
        <f>V447/0.7+W447</f>
        <v>99.714285714285722</v>
      </c>
      <c r="Y447" s="28">
        <v>99.714285714285722</v>
      </c>
      <c r="Z447" s="25"/>
    </row>
    <row r="448" spans="1:26" x14ac:dyDescent="0.25">
      <c r="A448" s="16">
        <v>14</v>
      </c>
      <c r="B448" s="17" t="s">
        <v>21</v>
      </c>
      <c r="C448" s="16">
        <v>111</v>
      </c>
      <c r="D448" s="18" t="s">
        <v>124</v>
      </c>
      <c r="E448" s="17" t="s">
        <v>23</v>
      </c>
      <c r="F448" s="19">
        <v>7.2</v>
      </c>
      <c r="G448" s="32">
        <f>IF(B448="高三",IF($E448="男",LOOKUP(F448,[1]对照表!$G$3:$G$24,[1]对照表!$H$3:$H$24),LOOKUP(F448,[1]对照表!$G$27:$G$48,[1]对照表!$H$27:$H$48)),IF(B448="高二",IF($E448="男",LOOKUP(F448,[1]对照表!$F$3:$F$24,[1]对照表!$H$3:$H$24),LOOKUP(F448,[1]对照表!$F$27:$F$48,[1]对照表!$H$27:$H$48)),IF(B448="高一",IF($E448="男",LOOKUP(F448,[1]对照表!$E$3:$E$24,[1]对照表!$H$3:$H$24),LOOKUP(F448,[1]对照表!$E$27:$E$48,[1]对照表!$H$27:$H$48)))))</f>
        <v>95</v>
      </c>
      <c r="H448" s="21">
        <v>19</v>
      </c>
      <c r="I448" s="32">
        <f>IF(B448="高三",IF($E448="男",LOOKUP(H448,[1]对照表!$K$3:$K$24,[1]对照表!$L$3:$L$24),LOOKUP(H448,[1]对照表!$K$27:$K$48,[1]对照表!$L$27:$L$48)),IF(B448="高二",IF($E448="男",LOOKUP(H448,[1]对照表!$J$3:$J$24,[1]对照表!$L$3:$L$24),LOOKUP(H448,[1]对照表!$J$27:$J$48,[1]对照表!$L$27:$L$48)),IF(B448="高一",IF($E448="男",LOOKUP(H448,[1]对照表!$I$3:$I$24,[1]对照表!$L$3:$L$24),LOOKUP(H448,[1]对照表!$I$27:$I$48,[1]对照表!$L$27:$L$48)))))</f>
        <v>85</v>
      </c>
      <c r="J448" s="21">
        <v>243</v>
      </c>
      <c r="K448" s="32">
        <f>IF(B448="高三",IF($E448="男",LOOKUP(J448,[1]对照表!$O$3:$O$24,[1]对照表!$P$3:$P$24),LOOKUP(J448,[1]对照表!$O$27:$O$48,[1]对照表!$P$27:$P$48)),IF(B448="高二",IF($E448="男",LOOKUP(J448,[1]对照表!$N$3:$N$24,[1]对照表!$P$3:$P$24),LOOKUP(J448,[1]对照表!$N$27:$N$48,[1]对照表!$P$27:$P$48)),IF(B448="高一",IF($E448="男",LOOKUP(J448,[1]对照表!$M$3:$M$24,[1]对照表!$P$3:$P$24),LOOKUP(J448,[1]对照表!$M$27:$M$48,[1]对照表!$P$27:$P$48)))))</f>
        <v>85</v>
      </c>
      <c r="L448" s="21">
        <v>17</v>
      </c>
      <c r="M448" s="32">
        <f>IF(B448="高三",IF($E448="男",LOOKUP(L448,[1]对照表!$S$3:$S$24,[1]对照表!$T$3:$T$24),LOOKUP(L448,[1]对照表!$S$27:$S$48,[1]对照表!$T$27:$T$48)),IF(B448="高二",IF($E448="男",LOOKUP(L448,[1]对照表!$R$3:$R$24,[1]对照表!$T$3:$T$24),LOOKUP(L448,[1]对照表!$R$27:$R$48,[1]对照表!$T$27:$T$48)),IF(B448="高一",IF($E448="男",LOOKUP(L448,[1]对照表!$Q$3:$Q$24,[1]对照表!$T$3:$T$24),LOOKUP(L448,[1]对照表!$Q$27:$Q$48,[1]对照表!$T$27:$T$48)))))</f>
        <v>100</v>
      </c>
      <c r="N448" s="33">
        <f>IF(B448="高三",MAX(IF(E448="男",L448-18,L448-55),0),IF(B448="高二",MAX(IF(E448="男",L448-17,L448-54),0),IF(B448="高一",MAX(IF(E448="男",L448-16,L448-53),0))))</f>
        <v>1</v>
      </c>
      <c r="O448" s="23">
        <f>IF(E448="男",LOOKUP($N448,[1]对照表!$Z$3:$Z$13,[1]对照表!$AA$3:$AA$13),LOOKUP($N448,[1]对照表!$Z$15:$Z$25,[1]对照表!$AA$15:$AA$25))</f>
        <v>1</v>
      </c>
      <c r="P448" s="24">
        <f>M448+O448</f>
        <v>101</v>
      </c>
      <c r="Q448" s="25">
        <v>3.3</v>
      </c>
      <c r="R448" s="32">
        <f>IF(B448="高三",IF($E448="男",LOOKUP(Q448,[1]对照表!$W$3:$W$24,[1]对照表!$X$3:$X$24),LOOKUP(Q448,[1]对照表!$W$27:$W$48,[1]对照表!$X$27:$X$48)),IF(B448="高二",IF($E448="男",LOOKUP(Q448,[1]对照表!$V$3:$V$24,[1]对照表!$X$3:$X$24),LOOKUP(Q448,[1]对照表!$V$27:$V$48,[1]对照表!$X$27:$X$48)),IF(B448="高一",IF($E448="男",LOOKUP(Q448,[1]对照表!$U$3:$U$24,[1]对照表!$X$3:$X$24),LOOKUP(Q448,[1]对照表!$U$27:$U$48,[1]对照表!$X$27:$X$48)))))</f>
        <v>100</v>
      </c>
      <c r="S448" s="33">
        <f>ROUND(IF(IF($B448="高三",MIN(IF($E448="男",$Q448-3.2,$Q448-3.2),0),IF($B448="高二",MIN(IF($E448="男",$Q448-3.25,$Q448-3.22),0),IF($B448="高一",MIN(IF($E448="男",$Q448-3.3,$Q448-3.24),0))))&lt;-0.6,IF($B448="高三",MIN(IF($E448="男",$Q448-3.2,$Q448-3.2),0),IF($B448="高二",MIN(IF($E448="男",$Q448-3.25,$Q448-3.22),0),IF($B448="高一",MIN(IF($E448="男",$Q448-3.3,$Q448-3.24),0))))+0.4,IF($B448="高三",MIN(IF($E448="男",$Q448-3.2,$Q448-3.2),0),IF($B448="高二",MIN(IF($E448="男",$Q448-3.25,$Q448-3.22),0),IF($B448="高一",MIN(IF($E448="男",$Q448-3.3,$Q448-3.24),0))))),2)</f>
        <v>0</v>
      </c>
      <c r="T448" s="23">
        <f>IF(E448="男",LOOKUP($S448,[1]对照表!$AB$3:$AB$13,[1]对照表!$AC$3:$AC$13),LOOKUP($S448,[1]对照表!$AB$15:$AB$25,[1]对照表!$AC$15:$AC$25))</f>
        <v>0</v>
      </c>
      <c r="U448" s="26">
        <f>R448+T448</f>
        <v>100</v>
      </c>
      <c r="V448" s="26">
        <f>SUM(I448,K448,M448)/3*0.3+SUM(G448,R448)/2*0.4</f>
        <v>66</v>
      </c>
      <c r="W448" s="27">
        <f>O448+T448</f>
        <v>1</v>
      </c>
      <c r="X448" s="28">
        <f>V448/0.7+W448</f>
        <v>95.285714285714292</v>
      </c>
      <c r="Y448" s="28">
        <v>95.285714285714292</v>
      </c>
      <c r="Z448" s="21"/>
    </row>
    <row r="449" spans="1:26" x14ac:dyDescent="0.25">
      <c r="A449" s="16">
        <v>8</v>
      </c>
      <c r="B449" s="17" t="s">
        <v>21</v>
      </c>
      <c r="C449" s="16">
        <v>111</v>
      </c>
      <c r="D449" s="18" t="s">
        <v>134</v>
      </c>
      <c r="E449" s="17" t="s">
        <v>23</v>
      </c>
      <c r="F449" s="19">
        <v>6.7</v>
      </c>
      <c r="G449" s="32">
        <f>IF(B449="高三",IF($E449="男",LOOKUP(F449,[1]对照表!$G$3:$G$24,[1]对照表!$H$3:$H$24),LOOKUP(F449,[1]对照表!$G$27:$G$48,[1]对照表!$H$27:$H$48)),IF(B449="高二",IF($E449="男",LOOKUP(F449,[1]对照表!$F$3:$F$24,[1]对照表!$H$3:$H$24),LOOKUP(F449,[1]对照表!$F$27:$F$48,[1]对照表!$H$27:$H$48)),IF(B449="高一",IF($E449="男",LOOKUP(F449,[1]对照表!$E$3:$E$24,[1]对照表!$H$3:$H$24),LOOKUP(F449,[1]对照表!$E$27:$E$48,[1]对照表!$H$27:$H$48)))))</f>
        <v>100</v>
      </c>
      <c r="H449" s="21">
        <v>19.2</v>
      </c>
      <c r="I449" s="32">
        <f>IF(B449="高三",IF($E449="男",LOOKUP(H449,[1]对照表!$K$3:$K$24,[1]对照表!$L$3:$L$24),LOOKUP(H449,[1]对照表!$K$27:$K$48,[1]对照表!$L$27:$L$48)),IF(B449="高二",IF($E449="男",LOOKUP(H449,[1]对照表!$J$3:$J$24,[1]对照表!$L$3:$L$24),LOOKUP(H449,[1]对照表!$J$27:$J$48,[1]对照表!$L$27:$L$48)),IF(B449="高一",IF($E449="男",LOOKUP(H449,[1]对照表!$I$3:$I$24,[1]对照表!$L$3:$L$24),LOOKUP(H449,[1]对照表!$I$27:$I$48,[1]对照表!$L$27:$L$48)))))</f>
        <v>85</v>
      </c>
      <c r="J449" s="21">
        <v>230</v>
      </c>
      <c r="K449" s="32">
        <f>IF(B449="高三",IF($E449="男",LOOKUP(J449,[1]对照表!$O$3:$O$24,[1]对照表!$P$3:$P$24),LOOKUP(J449,[1]对照表!$O$27:$O$48,[1]对照表!$P$27:$P$48)),IF(B449="高二",IF($E449="男",LOOKUP(J449,[1]对照表!$N$3:$N$24,[1]对照表!$P$3:$P$24),LOOKUP(J449,[1]对照表!$N$27:$N$48,[1]对照表!$P$27:$P$48)),IF(B449="高一",IF($E449="男",LOOKUP(J449,[1]对照表!$M$3:$M$24,[1]对照表!$P$3:$P$24),LOOKUP(J449,[1]对照表!$M$27:$M$48,[1]对照表!$P$27:$P$48)))))</f>
        <v>76</v>
      </c>
      <c r="L449" s="21">
        <v>19</v>
      </c>
      <c r="M449" s="32">
        <f>IF(B449="高三",IF($E449="男",LOOKUP(L449,[1]对照表!$S$3:$S$24,[1]对照表!$T$3:$T$24),LOOKUP(L449,[1]对照表!$S$27:$S$48,[1]对照表!$T$27:$T$48)),IF(B449="高二",IF($E449="男",LOOKUP(L449,[1]对照表!$R$3:$R$24,[1]对照表!$T$3:$T$24),LOOKUP(L449,[1]对照表!$R$27:$R$48,[1]对照表!$T$27:$T$48)),IF(B449="高一",IF($E449="男",LOOKUP(L449,[1]对照表!$Q$3:$Q$24,[1]对照表!$T$3:$T$24),LOOKUP(L449,[1]对照表!$Q$27:$Q$48,[1]对照表!$T$27:$T$48)))))</f>
        <v>100</v>
      </c>
      <c r="N449" s="27">
        <f>IF(B449="高三",MAX(IF(E449="男",L449-18,L449-55),0),IF(B449="高二",MAX(IF(E449="男",L449-17,L449-54),0),IF(B449="高一",MAX(IF(E449="男",L449-16,L449-53),0))))</f>
        <v>3</v>
      </c>
      <c r="O449" s="23">
        <f>IF(E449="男",LOOKUP($N449,[1]对照表!$Z$3:$Z$13,[1]对照表!$AA$3:$AA$13),LOOKUP($N449,[1]对照表!$Z$15:$Z$25,[1]对照表!$AA$15:$AA$25))</f>
        <v>3</v>
      </c>
      <c r="P449" s="24">
        <f>M449+O449</f>
        <v>103</v>
      </c>
      <c r="Q449" s="25">
        <v>3.4</v>
      </c>
      <c r="R449" s="32">
        <f>IF(B449="高三",IF($E449="男",LOOKUP(Q449,[1]对照表!$W$3:$W$24,[1]对照表!$X$3:$X$24),LOOKUP(Q449,[1]对照表!$W$27:$W$48,[1]对照表!$X$27:$X$48)),IF(B449="高二",IF($E449="男",LOOKUP(Q449,[1]对照表!$V$3:$V$24,[1]对照表!$X$3:$X$24),LOOKUP(Q449,[1]对照表!$V$27:$V$48,[1]对照表!$X$27:$X$48)),IF(B449="高一",IF($E449="男",LOOKUP(Q449,[1]对照表!$U$3:$U$24,[1]对照表!$X$3:$X$24),LOOKUP(Q449,[1]对照表!$U$27:$U$48,[1]对照表!$X$27:$X$48)))))</f>
        <v>90</v>
      </c>
      <c r="S449" s="27">
        <f>ROUND(IF(IF($B449="高三",MIN(IF($E449="男",$Q449-3.2,$Q449-3.2),0),IF($B449="高二",MIN(IF($E449="男",$Q449-3.25,$Q449-3.22),0),IF($B449="高一",MIN(IF($E449="男",$Q449-3.3,$Q449-3.24),0))))&lt;-0.6,IF($B449="高三",MIN(IF($E449="男",$Q449-3.2,$Q449-3.2),0),IF($B449="高二",MIN(IF($E449="男",$Q449-3.25,$Q449-3.22),0),IF($B449="高一",MIN(IF($E449="男",$Q449-3.3,$Q449-3.24),0))))+0.4,IF($B449="高三",MIN(IF($E449="男",$Q449-3.2,$Q449-3.2),0),IF($B449="高二",MIN(IF($E449="男",$Q449-3.25,$Q449-3.22),0),IF($B449="高一",MIN(IF($E449="男",$Q449-3.3,$Q449-3.24),0))))),2)</f>
        <v>0</v>
      </c>
      <c r="T449" s="23">
        <f>IF(E449="男",LOOKUP($S449,[1]对照表!$AB$3:$AB$13,[1]对照表!$AC$3:$AC$13),LOOKUP($S449,[1]对照表!$AB$15:$AB$25,[1]对照表!$AC$15:$AC$25))</f>
        <v>0</v>
      </c>
      <c r="U449" s="26">
        <f>R449+T449</f>
        <v>90</v>
      </c>
      <c r="V449" s="26">
        <f>SUM(I449,K449,M449)/3*0.3+SUM(G449,R449)/2*0.4</f>
        <v>64.099999999999994</v>
      </c>
      <c r="W449" s="27">
        <f>O449+T449</f>
        <v>3</v>
      </c>
      <c r="X449" s="28">
        <f>V449/0.7+W449</f>
        <v>94.571428571428569</v>
      </c>
      <c r="Y449" s="28">
        <v>94.571428571428569</v>
      </c>
      <c r="Z449" s="21"/>
    </row>
    <row r="450" spans="1:26" x14ac:dyDescent="0.25">
      <c r="A450" s="16">
        <v>2</v>
      </c>
      <c r="B450" s="17" t="s">
        <v>21</v>
      </c>
      <c r="C450" s="16">
        <v>111</v>
      </c>
      <c r="D450" s="18" t="s">
        <v>145</v>
      </c>
      <c r="E450" s="17" t="s">
        <v>23</v>
      </c>
      <c r="F450" s="19">
        <v>7.3</v>
      </c>
      <c r="G450" s="32">
        <f>IF(B450="高三",IF($E450="男",LOOKUP(F450,[1]对照表!$G$3:$G$24,[1]对照表!$H$3:$H$24),LOOKUP(F450,[1]对照表!$G$27:$G$48,[1]对照表!$H$27:$H$48)),IF(B450="高二",IF($E450="男",LOOKUP(F450,[1]对照表!$F$3:$F$24,[1]对照表!$H$3:$H$24),LOOKUP(F450,[1]对照表!$F$27:$F$48,[1]对照表!$H$27:$H$48)),IF(B450="高一",IF($E450="男",LOOKUP(F450,[1]对照表!$E$3:$E$24,[1]对照表!$H$3:$H$24),LOOKUP(F450,[1]对照表!$E$27:$E$48,[1]对照表!$H$27:$H$48)))))</f>
        <v>90</v>
      </c>
      <c r="H450" s="21">
        <v>13.5</v>
      </c>
      <c r="I450" s="32">
        <f>IF(B450="高三",IF($E450="男",LOOKUP(H450,[1]对照表!$K$3:$K$24,[1]对照表!$L$3:$L$24),LOOKUP(H450,[1]对照表!$K$27:$K$48,[1]对照表!$L$27:$L$48)),IF(B450="高二",IF($E450="男",LOOKUP(H450,[1]对照表!$J$3:$J$24,[1]对照表!$L$3:$L$24),LOOKUP(H450,[1]对照表!$J$27:$J$48,[1]对照表!$L$27:$L$48)),IF(B450="高一",IF($E450="男",LOOKUP(H450,[1]对照表!$I$3:$I$24,[1]对照表!$L$3:$L$24),LOOKUP(H450,[1]对照表!$I$27:$I$48,[1]对照表!$L$27:$L$48)))))</f>
        <v>76</v>
      </c>
      <c r="J450" s="21">
        <v>243</v>
      </c>
      <c r="K450" s="32">
        <f>IF(B450="高三",IF($E450="男",LOOKUP(J450,[1]对照表!$O$3:$O$24,[1]对照表!$P$3:$P$24),LOOKUP(J450,[1]对照表!$O$27:$O$48,[1]对照表!$P$27:$P$48)),IF(B450="高二",IF($E450="男",LOOKUP(J450,[1]对照表!$N$3:$N$24,[1]对照表!$P$3:$P$24),LOOKUP(J450,[1]对照表!$N$27:$N$48,[1]对照表!$P$27:$P$48)),IF(B450="高一",IF($E450="男",LOOKUP(J450,[1]对照表!$M$3:$M$24,[1]对照表!$P$3:$P$24),LOOKUP(J450,[1]对照表!$M$27:$M$48,[1]对照表!$P$27:$P$48)))))</f>
        <v>85</v>
      </c>
      <c r="L450" s="21">
        <v>16</v>
      </c>
      <c r="M450" s="32">
        <f>IF(B450="高三",IF($E450="男",LOOKUP(L450,[1]对照表!$S$3:$S$24,[1]对照表!$T$3:$T$24),LOOKUP(L450,[1]对照表!$S$27:$S$48,[1]对照表!$T$27:$T$48)),IF(B450="高二",IF($E450="男",LOOKUP(L450,[1]对照表!$R$3:$R$24,[1]对照表!$T$3:$T$24),LOOKUP(L450,[1]对照表!$R$27:$R$48,[1]对照表!$T$27:$T$48)),IF(B450="高一",IF($E450="男",LOOKUP(L450,[1]对照表!$Q$3:$Q$24,[1]对照表!$T$3:$T$24),LOOKUP(L450,[1]对照表!$Q$27:$Q$48,[1]对照表!$T$27:$T$48)))))</f>
        <v>100</v>
      </c>
      <c r="N450" s="33">
        <f>IF(B450="高三",MAX(IF(E450="男",L450-18,L450-55),0),IF(B450="高二",MAX(IF(E450="男",L450-17,L450-54),0),IF(B450="高一",MAX(IF(E450="男",L450-16,L450-53),0))))</f>
        <v>0</v>
      </c>
      <c r="O450" s="23">
        <f>IF(E450="男",LOOKUP($N450,[1]对照表!$Z$3:$Z$13,[1]对照表!$AA$3:$AA$13),LOOKUP($N450,[1]对照表!$Z$15:$Z$25,[1]对照表!$AA$15:$AA$25))</f>
        <v>0</v>
      </c>
      <c r="P450" s="24">
        <f>M450+O450</f>
        <v>100</v>
      </c>
      <c r="Q450" s="25">
        <v>3.19</v>
      </c>
      <c r="R450" s="32">
        <f>IF(B450="高三",IF($E450="男",LOOKUP(Q450,[1]对照表!$W$3:$W$24,[1]对照表!$X$3:$X$24),LOOKUP(Q450,[1]对照表!$W$27:$W$48,[1]对照表!$X$27:$X$48)),IF(B450="高二",IF($E450="男",LOOKUP(Q450,[1]对照表!$V$3:$V$24,[1]对照表!$X$3:$X$24),LOOKUP(Q450,[1]对照表!$V$27:$V$48,[1]对照表!$X$27:$X$48)),IF(B450="高一",IF($E450="男",LOOKUP(Q450,[1]对照表!$U$3:$U$24,[1]对照表!$X$3:$X$24),LOOKUP(Q450,[1]对照表!$U$27:$U$48,[1]对照表!$X$27:$X$48)))))</f>
        <v>100</v>
      </c>
      <c r="S450" s="33">
        <f>ROUND(IF(IF($B450="高三",MIN(IF($E450="男",$Q450-3.2,$Q450-3.2),0),IF($B450="高二",MIN(IF($E450="男",$Q450-3.25,$Q450-3.22),0),IF($B450="高一",MIN(IF($E450="男",$Q450-3.3,$Q450-3.24),0))))&lt;-0.6,IF($B450="高三",MIN(IF($E450="男",$Q450-3.2,$Q450-3.2),0),IF($B450="高二",MIN(IF($E450="男",$Q450-3.25,$Q450-3.22),0),IF($B450="高一",MIN(IF($E450="男",$Q450-3.3,$Q450-3.24),0))))+0.4,IF($B450="高三",MIN(IF($E450="男",$Q450-3.2,$Q450-3.2),0),IF($B450="高二",MIN(IF($E450="男",$Q450-3.25,$Q450-3.22),0),IF($B450="高一",MIN(IF($E450="男",$Q450-3.3,$Q450-3.24),0))))),2)</f>
        <v>-0.11</v>
      </c>
      <c r="T450" s="23">
        <f>IF(E450="男",LOOKUP($S450,[1]对照表!$AB$3:$AB$13,[1]对照表!$AC$3:$AC$13),LOOKUP($S450,[1]对照表!$AB$15:$AB$25,[1]对照表!$AC$15:$AC$25))</f>
        <v>2</v>
      </c>
      <c r="U450" s="26">
        <f>R450+T450</f>
        <v>102</v>
      </c>
      <c r="V450" s="26">
        <f>SUM(I450,K450,M450)/3*0.3+SUM(G450,R450)/2*0.4</f>
        <v>64.099999999999994</v>
      </c>
      <c r="W450" s="27">
        <f>O450+T450</f>
        <v>2</v>
      </c>
      <c r="X450" s="28">
        <f>V450/0.7+W450</f>
        <v>93.571428571428569</v>
      </c>
      <c r="Y450" s="28">
        <v>93.571428571428569</v>
      </c>
      <c r="Z450" s="21"/>
    </row>
    <row r="451" spans="1:26" x14ac:dyDescent="0.25">
      <c r="A451" s="16">
        <v>11</v>
      </c>
      <c r="B451" s="17" t="s">
        <v>21</v>
      </c>
      <c r="C451" s="16">
        <v>111</v>
      </c>
      <c r="D451" s="18" t="s">
        <v>146</v>
      </c>
      <c r="E451" s="31" t="s">
        <v>23</v>
      </c>
      <c r="F451" s="19">
        <v>7.2</v>
      </c>
      <c r="G451" s="32">
        <f>IF(B451="高三",IF($E451="男",LOOKUP(F451,[1]对照表!$G$3:$G$24,[1]对照表!$H$3:$H$24),LOOKUP(F451,[1]对照表!$G$27:$G$48,[1]对照表!$H$27:$H$48)),IF(B451="高二",IF($E451="男",LOOKUP(F451,[1]对照表!$F$3:$F$24,[1]对照表!$H$3:$H$24),LOOKUP(F451,[1]对照表!$F$27:$F$48,[1]对照表!$H$27:$H$48)),IF(B451="高一",IF($E451="男",LOOKUP(F451,[1]对照表!$E$3:$E$24,[1]对照表!$H$3:$H$24),LOOKUP(F451,[1]对照表!$E$27:$E$48,[1]对照表!$H$27:$H$48)))))</f>
        <v>95</v>
      </c>
      <c r="H451" s="21">
        <v>7.8</v>
      </c>
      <c r="I451" s="32">
        <f>IF(B451="高三",IF($E451="男",LOOKUP(H451,[1]对照表!$K$3:$K$24,[1]对照表!$L$3:$L$24),LOOKUP(H451,[1]对照表!$K$27:$K$48,[1]对照表!$L$27:$L$48)),IF(B451="高二",IF($E451="男",LOOKUP(H451,[1]对照表!$J$3:$J$24,[1]对照表!$L$3:$L$24),LOOKUP(H451,[1]对照表!$J$27:$J$48,[1]对照表!$L$27:$L$48)),IF(B451="高一",IF($E451="男",LOOKUP(H451,[1]对照表!$I$3:$I$24,[1]对照表!$L$3:$L$24),LOOKUP(H451,[1]对照表!$I$27:$I$48,[1]对照表!$L$27:$L$48)))))</f>
        <v>68</v>
      </c>
      <c r="J451" s="21">
        <v>251</v>
      </c>
      <c r="K451" s="32">
        <f>IF(B451="高三",IF($E451="男",LOOKUP(J451,[1]对照表!$O$3:$O$24,[1]对照表!$P$3:$P$24),LOOKUP(J451,[1]对照表!$O$27:$O$48,[1]对照表!$P$27:$P$48)),IF(B451="高二",IF($E451="男",LOOKUP(J451,[1]对照表!$N$3:$N$24,[1]对照表!$P$3:$P$24),LOOKUP(J451,[1]对照表!$N$27:$N$48,[1]对照表!$P$27:$P$48)),IF(B451="高一",IF($E451="男",LOOKUP(J451,[1]对照表!$M$3:$M$24,[1]对照表!$P$3:$P$24),LOOKUP(J451,[1]对照表!$M$27:$M$48,[1]对照表!$P$27:$P$48)))))</f>
        <v>90</v>
      </c>
      <c r="L451" s="21">
        <v>16</v>
      </c>
      <c r="M451" s="32">
        <f>IF(B451="高三",IF($E451="男",LOOKUP(L451,[1]对照表!$S$3:$S$24,[1]对照表!$T$3:$T$24),LOOKUP(L451,[1]对照表!$S$27:$S$48,[1]对照表!$T$27:$T$48)),IF(B451="高二",IF($E451="男",LOOKUP(L451,[1]对照表!$R$3:$R$24,[1]对照表!$T$3:$T$24),LOOKUP(L451,[1]对照表!$R$27:$R$48,[1]对照表!$T$27:$T$48)),IF(B451="高一",IF($E451="男",LOOKUP(L451,[1]对照表!$Q$3:$Q$24,[1]对照表!$T$3:$T$24),LOOKUP(L451,[1]对照表!$Q$27:$Q$48,[1]对照表!$T$27:$T$48)))))</f>
        <v>100</v>
      </c>
      <c r="N451" s="33">
        <f>IF(B451="高三",MAX(IF(E451="男",L451-18,L451-55),0),IF(B451="高二",MAX(IF(E451="男",L451-17,L451-54),0),IF(B451="高一",MAX(IF(E451="男",L451-16,L451-53),0))))</f>
        <v>0</v>
      </c>
      <c r="O451" s="23">
        <f>IF(E451="男",LOOKUP($N451,[1]对照表!$Z$3:$Z$13,[1]对照表!$AA$3:$AA$13),LOOKUP($N451,[1]对照表!$Z$15:$Z$25,[1]对照表!$AA$15:$AA$25))</f>
        <v>0</v>
      </c>
      <c r="P451" s="24">
        <f>M451+O451</f>
        <v>100</v>
      </c>
      <c r="Q451" s="25">
        <v>3.24</v>
      </c>
      <c r="R451" s="32">
        <f>IF(B451="高三",IF($E451="男",LOOKUP(Q451,[1]对照表!$W$3:$W$24,[1]对照表!$X$3:$X$24),LOOKUP(Q451,[1]对照表!$W$27:$W$48,[1]对照表!$X$27:$X$48)),IF(B451="高二",IF($E451="男",LOOKUP(Q451,[1]对照表!$V$3:$V$24,[1]对照表!$X$3:$X$24),LOOKUP(Q451,[1]对照表!$V$27:$V$48,[1]对照表!$X$27:$X$48)),IF(B451="高一",IF($E451="男",LOOKUP(Q451,[1]对照表!$U$3:$U$24,[1]对照表!$X$3:$X$24),LOOKUP(Q451,[1]对照表!$U$27:$U$48,[1]对照表!$X$27:$X$48)))))</f>
        <v>100</v>
      </c>
      <c r="S451" s="33">
        <f>ROUND(IF(IF($B451="高三",MIN(IF($E451="男",$Q451-3.2,$Q451-3.2),0),IF($B451="高二",MIN(IF($E451="男",$Q451-3.25,$Q451-3.22),0),IF($B451="高一",MIN(IF($E451="男",$Q451-3.3,$Q451-3.24),0))))&lt;-0.6,IF($B451="高三",MIN(IF($E451="男",$Q451-3.2,$Q451-3.2),0),IF($B451="高二",MIN(IF($E451="男",$Q451-3.25,$Q451-3.22),0),IF($B451="高一",MIN(IF($E451="男",$Q451-3.3,$Q451-3.24),0))))+0.4,IF($B451="高三",MIN(IF($E451="男",$Q451-3.2,$Q451-3.2),0),IF($B451="高二",MIN(IF($E451="男",$Q451-3.25,$Q451-3.22),0),IF($B451="高一",MIN(IF($E451="男",$Q451-3.3,$Q451-3.24),0))))),2)</f>
        <v>-0.06</v>
      </c>
      <c r="T451" s="23">
        <f>IF(E451="男",LOOKUP($S451,[1]对照表!$AB$3:$AB$13,[1]对照表!$AC$3:$AC$13),LOOKUP($S451,[1]对照表!$AB$15:$AB$25,[1]对照表!$AC$15:$AC$25))</f>
        <v>1</v>
      </c>
      <c r="U451" s="26">
        <f>R451+T451</f>
        <v>101</v>
      </c>
      <c r="V451" s="26">
        <f>SUM(I451,K451,M451)/3*0.3+SUM(G451,R451)/2*0.4</f>
        <v>64.8</v>
      </c>
      <c r="W451" s="27">
        <f>O451+T451</f>
        <v>1</v>
      </c>
      <c r="X451" s="28">
        <f>V451/0.7+W451</f>
        <v>93.571428571428569</v>
      </c>
      <c r="Y451" s="28">
        <v>93.571428571428569</v>
      </c>
      <c r="Z451" s="25"/>
    </row>
    <row r="452" spans="1:26" x14ac:dyDescent="0.25">
      <c r="A452" s="16">
        <v>5</v>
      </c>
      <c r="B452" s="17" t="s">
        <v>21</v>
      </c>
      <c r="C452" s="16">
        <v>111</v>
      </c>
      <c r="D452" s="18" t="s">
        <v>151</v>
      </c>
      <c r="E452" s="17" t="s">
        <v>23</v>
      </c>
      <c r="F452" s="19">
        <v>7.2</v>
      </c>
      <c r="G452" s="32">
        <f>IF(B452="高三",IF($E452="男",LOOKUP(F452,[1]对照表!$G$3:$G$24,[1]对照表!$H$3:$H$24),LOOKUP(F452,[1]对照表!$G$27:$G$48,[1]对照表!$H$27:$H$48)),IF(B452="高二",IF($E452="男",LOOKUP(F452,[1]对照表!$F$3:$F$24,[1]对照表!$H$3:$H$24),LOOKUP(F452,[1]对照表!$F$27:$F$48,[1]对照表!$H$27:$H$48)),IF(B452="高一",IF($E452="男",LOOKUP(F452,[1]对照表!$E$3:$E$24,[1]对照表!$H$3:$H$24),LOOKUP(F452,[1]对照表!$E$27:$E$48,[1]对照表!$H$27:$H$48)))))</f>
        <v>95</v>
      </c>
      <c r="H452" s="21">
        <v>9</v>
      </c>
      <c r="I452" s="32">
        <f>IF(B452="高三",IF($E452="男",LOOKUP(H452,[1]对照表!$K$3:$K$24,[1]对照表!$L$3:$L$24),LOOKUP(H452,[1]对照表!$K$27:$K$48,[1]对照表!$L$27:$L$48)),IF(B452="高二",IF($E452="男",LOOKUP(H452,[1]对照表!$J$3:$J$24,[1]对照表!$L$3:$L$24),LOOKUP(H452,[1]对照表!$J$27:$J$48,[1]对照表!$L$27:$L$48)),IF(B452="高一",IF($E452="男",LOOKUP(H452,[1]对照表!$I$3:$I$24,[1]对照表!$L$3:$L$24),LOOKUP(H452,[1]对照表!$I$27:$I$48,[1]对照表!$L$27:$L$48)))))</f>
        <v>70</v>
      </c>
      <c r="J452" s="21">
        <v>242</v>
      </c>
      <c r="K452" s="32">
        <f>IF(B452="高三",IF($E452="男",LOOKUP(J452,[1]对照表!$O$3:$O$24,[1]对照表!$P$3:$P$24),LOOKUP(J452,[1]对照表!$O$27:$O$48,[1]对照表!$P$27:$P$48)),IF(B452="高二",IF($E452="男",LOOKUP(J452,[1]对照表!$N$3:$N$24,[1]对照表!$P$3:$P$24),LOOKUP(J452,[1]对照表!$N$27:$N$48,[1]对照表!$P$27:$P$48)),IF(B452="高一",IF($E452="男",LOOKUP(J452,[1]对照表!$M$3:$M$24,[1]对照表!$P$3:$P$24),LOOKUP(J452,[1]对照表!$M$27:$M$48,[1]对照表!$P$27:$P$48)))))</f>
        <v>80</v>
      </c>
      <c r="L452" s="21">
        <v>14</v>
      </c>
      <c r="M452" s="32">
        <f>IF(B452="高三",IF($E452="男",LOOKUP(L452,[1]对照表!$S$3:$S$24,[1]对照表!$T$3:$T$24),LOOKUP(L452,[1]对照表!$S$27:$S$48,[1]对照表!$T$27:$T$48)),IF(B452="高二",IF($E452="男",LOOKUP(L452,[1]对照表!$R$3:$R$24,[1]对照表!$T$3:$T$24),LOOKUP(L452,[1]对照表!$R$27:$R$48,[1]对照表!$T$27:$T$48)),IF(B452="高一",IF($E452="男",LOOKUP(L452,[1]对照表!$Q$3:$Q$24,[1]对照表!$T$3:$T$24),LOOKUP(L452,[1]对照表!$Q$27:$Q$48,[1]对照表!$T$27:$T$48)))))</f>
        <v>90</v>
      </c>
      <c r="N452" s="33">
        <f>IF(B452="高三",MAX(IF(E452="男",L452-18,L452-55),0),IF(B452="高二",MAX(IF(E452="男",L452-17,L452-54),0),IF(B452="高一",MAX(IF(E452="男",L452-16,L452-53),0))))</f>
        <v>0</v>
      </c>
      <c r="O452" s="23">
        <f>IF(E452="男",LOOKUP($N452,[1]对照表!$Z$3:$Z$13,[1]对照表!$AA$3:$AA$13),LOOKUP($N452,[1]对照表!$Z$15:$Z$25,[1]对照表!$AA$15:$AA$25))</f>
        <v>0</v>
      </c>
      <c r="P452" s="24">
        <f>M452+O452</f>
        <v>90</v>
      </c>
      <c r="Q452" s="25">
        <v>3.16</v>
      </c>
      <c r="R452" s="32">
        <f>IF(B452="高三",IF($E452="男",LOOKUP(Q452,[1]对照表!$W$3:$W$24,[1]对照表!$X$3:$X$24),LOOKUP(Q452,[1]对照表!$W$27:$W$48,[1]对照表!$X$27:$X$48)),IF(B452="高二",IF($E452="男",LOOKUP(Q452,[1]对照表!$V$3:$V$24,[1]对照表!$X$3:$X$24),LOOKUP(Q452,[1]对照表!$V$27:$V$48,[1]对照表!$X$27:$X$48)),IF(B452="高一",IF($E452="男",LOOKUP(Q452,[1]对照表!$U$3:$U$24,[1]对照表!$X$3:$X$24),LOOKUP(Q452,[1]对照表!$U$27:$U$48,[1]对照表!$X$27:$X$48)))))</f>
        <v>100</v>
      </c>
      <c r="S452" s="33">
        <f>ROUND(IF(IF($B452="高三",MIN(IF($E452="男",$Q452-3.2,$Q452-3.2),0),IF($B452="高二",MIN(IF($E452="男",$Q452-3.25,$Q452-3.22),0),IF($B452="高一",MIN(IF($E452="男",$Q452-3.3,$Q452-3.24),0))))&lt;-0.6,IF($B452="高三",MIN(IF($E452="男",$Q452-3.2,$Q452-3.2),0),IF($B452="高二",MIN(IF($E452="男",$Q452-3.25,$Q452-3.22),0),IF($B452="高一",MIN(IF($E452="男",$Q452-3.3,$Q452-3.24),0))))+0.4,IF($B452="高三",MIN(IF($E452="男",$Q452-3.2,$Q452-3.2),0),IF($B452="高二",MIN(IF($E452="男",$Q452-3.25,$Q452-3.22),0),IF($B452="高一",MIN(IF($E452="男",$Q452-3.3,$Q452-3.24),0))))),2)</f>
        <v>-0.14000000000000001</v>
      </c>
      <c r="T452" s="23">
        <f>IF(E452="男",LOOKUP($S452,[1]对照表!$AB$3:$AB$13,[1]对照表!$AC$3:$AC$13),LOOKUP($S452,[1]对照表!$AB$15:$AB$25,[1]对照表!$AC$15:$AC$25))</f>
        <v>3</v>
      </c>
      <c r="U452" s="26">
        <f>R452+T452</f>
        <v>103</v>
      </c>
      <c r="V452" s="26">
        <f>SUM(I452,K452,M452)/3*0.3+SUM(G452,R452)/2*0.4</f>
        <v>63</v>
      </c>
      <c r="W452" s="27">
        <f>O452+T452</f>
        <v>3</v>
      </c>
      <c r="X452" s="28">
        <f>V452/0.7+W452</f>
        <v>93</v>
      </c>
      <c r="Y452" s="28">
        <v>93</v>
      </c>
      <c r="Z452" s="21"/>
    </row>
    <row r="453" spans="1:26" x14ac:dyDescent="0.25">
      <c r="A453" s="16">
        <v>39</v>
      </c>
      <c r="B453" s="17" t="s">
        <v>21</v>
      </c>
      <c r="C453" s="16">
        <v>111</v>
      </c>
      <c r="D453" s="18" t="s">
        <v>161</v>
      </c>
      <c r="E453" s="17" t="s">
        <v>65</v>
      </c>
      <c r="F453" s="19">
        <v>7.83</v>
      </c>
      <c r="G453" s="32">
        <f>IF(B453="高三",IF($E453="男",LOOKUP(F453,[1]对照表!$G$3:$G$24,[1]对照表!$H$3:$H$24),LOOKUP(F453,[1]对照表!$G$27:$G$48,[1]对照表!$H$27:$H$48)),IF(B453="高二",IF($E453="男",LOOKUP(F453,[1]对照表!$F$3:$F$24,[1]对照表!$H$3:$H$24),LOOKUP(F453,[1]对照表!$F$27:$F$48,[1]对照表!$H$27:$H$48)),IF(B453="高一",IF($E453="男",LOOKUP(F453,[1]对照表!$E$3:$E$24,[1]对照表!$H$3:$H$24),LOOKUP(F453,[1]对照表!$E$27:$E$48,[1]对照表!$H$27:$H$48)))))</f>
        <v>95</v>
      </c>
      <c r="H453" s="21">
        <v>14.5</v>
      </c>
      <c r="I453" s="32">
        <f>IF(B453="高三",IF($E453="男",LOOKUP(H453,[1]对照表!$K$3:$K$24,[1]对照表!$L$3:$L$24),LOOKUP(H453,[1]对照表!$K$27:$K$48,[1]对照表!$L$27:$L$48)),IF(B453="高二",IF($E453="男",LOOKUP(H453,[1]对照表!$J$3:$J$24,[1]对照表!$L$3:$L$24),LOOKUP(H453,[1]对照表!$J$27:$J$48,[1]对照表!$L$27:$L$48)),IF(B453="高一",IF($E453="男",LOOKUP(H453,[1]对照表!$I$3:$I$24,[1]对照表!$L$3:$L$24),LOOKUP(H453,[1]对照表!$I$27:$I$48,[1]对照表!$L$27:$L$48)))))</f>
        <v>74</v>
      </c>
      <c r="J453" s="21">
        <v>220</v>
      </c>
      <c r="K453" s="32">
        <f>IF(B453="高三",IF($E453="男",LOOKUP(J453,[1]对照表!$O$3:$O$24,[1]对照表!$P$3:$P$24),LOOKUP(J453,[1]对照表!$O$27:$O$48,[1]对照表!$P$27:$P$48)),IF(B453="高二",IF($E453="男",LOOKUP(J453,[1]对照表!$N$3:$N$24,[1]对照表!$P$3:$P$24),LOOKUP(J453,[1]对照表!$N$27:$N$48,[1]对照表!$P$27:$P$48)),IF(B453="高一",IF($E453="男",LOOKUP(J453,[1]对照表!$M$3:$M$24,[1]对照表!$P$3:$P$24),LOOKUP(J453,[1]对照表!$M$27:$M$48,[1]对照表!$P$27:$P$48)))))</f>
        <v>100</v>
      </c>
      <c r="L453" s="21">
        <v>49</v>
      </c>
      <c r="M453" s="32">
        <f>IF(B453="高三",IF($E453="男",LOOKUP(L453,[1]对照表!$S$3:$S$24,[1]对照表!$T$3:$T$24),LOOKUP(L453,[1]对照表!$S$27:$S$48,[1]对照表!$T$27:$T$48)),IF(B453="高二",IF($E453="男",LOOKUP(L453,[1]对照表!$R$3:$R$24,[1]对照表!$T$3:$T$24),LOOKUP(L453,[1]对照表!$R$27:$R$48,[1]对照表!$T$27:$T$48)),IF(B453="高一",IF($E453="男",LOOKUP(L453,[1]对照表!$Q$3:$Q$24,[1]对照表!$T$3:$T$24),LOOKUP(L453,[1]对照表!$Q$27:$Q$48,[1]对照表!$T$27:$T$48)))))</f>
        <v>90</v>
      </c>
      <c r="N453" s="33">
        <f>IF(B453="高三",MAX(IF(E453="男",L453-18,L453-55),0),IF(B453="高二",MAX(IF(E453="男",L453-17,L453-54),0),IF(B453="高一",MAX(IF(E453="男",L453-16,L453-53),0))))</f>
        <v>0</v>
      </c>
      <c r="O453" s="23">
        <f>IF(E453="男",LOOKUP($N453,[1]对照表!$Z$3:$Z$13,[1]对照表!$AA$3:$AA$13),LOOKUP($N453,[1]对照表!$Z$15:$Z$25,[1]对照表!$AA$15:$AA$25))</f>
        <v>0</v>
      </c>
      <c r="P453" s="24">
        <f>M453+O453</f>
        <v>90</v>
      </c>
      <c r="Q453" s="25">
        <v>3.15</v>
      </c>
      <c r="R453" s="32">
        <f>IF(B453="高三",IF($E453="男",LOOKUP(Q453,[1]对照表!$W$3:$W$24,[1]对照表!$X$3:$X$24),LOOKUP(Q453,[1]对照表!$W$27:$W$48,[1]对照表!$X$27:$X$48)),IF(B453="高二",IF($E453="男",LOOKUP(Q453,[1]对照表!$V$3:$V$24,[1]对照表!$X$3:$X$24),LOOKUP(Q453,[1]对照表!$V$27:$V$48,[1]对照表!$X$27:$X$48)),IF(B453="高一",IF($E453="男",LOOKUP(Q453,[1]对照表!$U$3:$U$24,[1]对照表!$X$3:$X$24),LOOKUP(Q453,[1]对照表!$U$27:$U$48,[1]对照表!$X$27:$X$48)))))</f>
        <v>100</v>
      </c>
      <c r="S453" s="33">
        <f>ROUND(IF(IF($B453="高三",MIN(IF($E453="男",$Q453-3.2,$Q453-3.2),0),IF($B453="高二",MIN(IF($E453="男",$Q453-3.25,$Q453-3.22),0),IF($B453="高一",MIN(IF($E453="男",$Q453-3.3,$Q453-3.24),0))))&lt;-0.6,IF($B453="高三",MIN(IF($E453="男",$Q453-3.2,$Q453-3.2),0),IF($B453="高二",MIN(IF($E453="男",$Q453-3.25,$Q453-3.22),0),IF($B453="高一",MIN(IF($E453="男",$Q453-3.3,$Q453-3.24),0))))+0.4,IF($B453="高三",MIN(IF($E453="男",$Q453-3.2,$Q453-3.2),0),IF($B453="高二",MIN(IF($E453="男",$Q453-3.25,$Q453-3.22),0),IF($B453="高一",MIN(IF($E453="男",$Q453-3.3,$Q453-3.24),0))))),2)</f>
        <v>-0.09</v>
      </c>
      <c r="T453" s="23">
        <f>IF(E453="男",LOOKUP($S453,[1]对照表!$AB$3:$AB$13,[1]对照表!$AC$3:$AC$13),LOOKUP($S453,[1]对照表!$AB$15:$AB$25,[1]对照表!$AC$15:$AC$25))</f>
        <v>1</v>
      </c>
      <c r="U453" s="26">
        <f>R453+T453</f>
        <v>101</v>
      </c>
      <c r="V453" s="26">
        <f>SUM(I453,K453,M453)/3*0.3+SUM(G453,R453)/2*0.4</f>
        <v>65.400000000000006</v>
      </c>
      <c r="W453" s="27">
        <f>O453+T453</f>
        <v>1</v>
      </c>
      <c r="X453" s="28">
        <f>V453/0.7+W453</f>
        <v>94.428571428571445</v>
      </c>
      <c r="Y453" s="28">
        <v>94.428571428571445</v>
      </c>
      <c r="Z453" s="21"/>
    </row>
    <row r="454" spans="1:26" x14ac:dyDescent="0.25">
      <c r="A454" s="16">
        <v>3</v>
      </c>
      <c r="B454" s="17" t="s">
        <v>21</v>
      </c>
      <c r="C454" s="16">
        <v>111</v>
      </c>
      <c r="D454" s="18" t="s">
        <v>231</v>
      </c>
      <c r="E454" s="17" t="s">
        <v>23</v>
      </c>
      <c r="F454" s="19">
        <v>6.8</v>
      </c>
      <c r="G454" s="32">
        <f>IF(B454="高三",IF($E454="男",LOOKUP(F454,[1]对照表!$G$3:$G$24,[1]对照表!$H$3:$H$24),LOOKUP(F454,[1]对照表!$G$27:$G$48,[1]对照表!$H$27:$H$48)),IF(B454="高二",IF($E454="男",LOOKUP(F454,[1]对照表!$F$3:$F$24,[1]对照表!$H$3:$H$24),LOOKUP(F454,[1]对照表!$F$27:$F$48,[1]对照表!$H$27:$H$48)),IF(B454="高一",IF($E454="男",LOOKUP(F454,[1]对照表!$E$3:$E$24,[1]对照表!$H$3:$H$24),LOOKUP(F454,[1]对照表!$E$27:$E$48,[1]对照表!$H$27:$H$48)))))</f>
        <v>100</v>
      </c>
      <c r="H454" s="21">
        <v>11.2</v>
      </c>
      <c r="I454" s="32">
        <f>IF(B454="高三",IF($E454="男",LOOKUP(H454,[1]对照表!$K$3:$K$24,[1]对照表!$L$3:$L$24),LOOKUP(H454,[1]对照表!$K$27:$K$48,[1]对照表!$L$27:$L$48)),IF(B454="高二",IF($E454="男",LOOKUP(H454,[1]对照表!$J$3:$J$24,[1]对照表!$L$3:$L$24),LOOKUP(H454,[1]对照表!$J$27:$J$48,[1]对照表!$L$27:$L$48)),IF(B454="高一",IF($E454="男",LOOKUP(H454,[1]对照表!$I$3:$I$24,[1]对照表!$L$3:$L$24),LOOKUP(H454,[1]对照表!$I$27:$I$48,[1]对照表!$L$27:$L$48)))))</f>
        <v>74</v>
      </c>
      <c r="J454" s="41">
        <v>235</v>
      </c>
      <c r="K454" s="32">
        <f>IF(B454="高三",IF($E454="男",LOOKUP(J454,[1]对照表!$O$3:$O$24,[1]对照表!$P$3:$P$24),LOOKUP(J454,[1]对照表!$O$27:$O$48,[1]对照表!$P$27:$P$48)),IF(B454="高二",IF($E454="男",LOOKUP(J454,[1]对照表!$N$3:$N$24,[1]对照表!$P$3:$P$24),LOOKUP(J454,[1]对照表!$N$27:$N$48,[1]对照表!$P$27:$P$48)),IF(B454="高一",IF($E454="男",LOOKUP(J454,[1]对照表!$M$3:$M$24,[1]对照表!$P$3:$P$24),LOOKUP(J454,[1]对照表!$M$27:$M$48,[1]对照表!$P$27:$P$48)))))</f>
        <v>80</v>
      </c>
      <c r="L454" s="21">
        <v>8</v>
      </c>
      <c r="M454" s="32">
        <f>IF(B454="高三",IF($E454="男",LOOKUP(L454,[1]对照表!$S$3:$S$24,[1]对照表!$T$3:$T$24),LOOKUP(L454,[1]对照表!$S$27:$S$48,[1]对照表!$T$27:$T$48)),IF(B454="高二",IF($E454="男",LOOKUP(L454,[1]对照表!$R$3:$R$24,[1]对照表!$T$3:$T$24),LOOKUP(L454,[1]对照表!$R$27:$R$48,[1]对照表!$T$27:$T$48)),IF(B454="高一",IF($E454="男",LOOKUP(L454,[1]对照表!$Q$3:$Q$24,[1]对照表!$T$3:$T$24),LOOKUP(L454,[1]对照表!$Q$27:$Q$48,[1]对照表!$T$27:$T$48)))))</f>
        <v>64</v>
      </c>
      <c r="N454" s="33">
        <f>IF(B454="高三",MAX(IF(E454="男",L454-18,L454-55),0),IF(B454="高二",MAX(IF(E454="男",L454-17,L454-54),0),IF(B454="高一",MAX(IF(E454="男",L454-16,L454-53),0))))</f>
        <v>0</v>
      </c>
      <c r="O454" s="23">
        <f>IF(E454="男",LOOKUP($N454,[1]对照表!$Z$3:$Z$13,[1]对照表!$AA$3:$AA$13),LOOKUP($N454,[1]对照表!$Z$15:$Z$25,[1]对照表!$AA$15:$AA$25))</f>
        <v>0</v>
      </c>
      <c r="P454" s="24">
        <f>M454+O454</f>
        <v>64</v>
      </c>
      <c r="Q454" s="25">
        <v>3.31</v>
      </c>
      <c r="R454" s="32">
        <f>IF(B454="高三",IF($E454="男",LOOKUP(Q454,[1]对照表!$W$3:$W$24,[1]对照表!$X$3:$X$24),LOOKUP(Q454,[1]对照表!$W$27:$W$48,[1]对照表!$X$27:$X$48)),IF(B454="高二",IF($E454="男",LOOKUP(Q454,[1]对照表!$V$3:$V$24,[1]对照表!$X$3:$X$24),LOOKUP(Q454,[1]对照表!$V$27:$V$48,[1]对照表!$X$27:$X$48)),IF(B454="高一",IF($E454="男",LOOKUP(Q454,[1]对照表!$U$3:$U$24,[1]对照表!$X$3:$X$24),LOOKUP(Q454,[1]对照表!$U$27:$U$48,[1]对照表!$X$27:$X$48)))))</f>
        <v>95</v>
      </c>
      <c r="S454" s="33">
        <f>ROUND(IF(IF($B454="高三",MIN(IF($E454="男",$Q454-3.2,$Q454-3.2),0),IF($B454="高二",MIN(IF($E454="男",$Q454-3.25,$Q454-3.22),0),IF($B454="高一",MIN(IF($E454="男",$Q454-3.3,$Q454-3.24),0))))&lt;-0.6,IF($B454="高三",MIN(IF($E454="男",$Q454-3.2,$Q454-3.2),0),IF($B454="高二",MIN(IF($E454="男",$Q454-3.25,$Q454-3.22),0),IF($B454="高一",MIN(IF($E454="男",$Q454-3.3,$Q454-3.24),0))))+0.4,IF($B454="高三",MIN(IF($E454="男",$Q454-3.2,$Q454-3.2),0),IF($B454="高二",MIN(IF($E454="男",$Q454-3.25,$Q454-3.22),0),IF($B454="高一",MIN(IF($E454="男",$Q454-3.3,$Q454-3.24),0))))),2)</f>
        <v>0</v>
      </c>
      <c r="T454" s="23">
        <f>IF(E454="男",LOOKUP($S454,[1]对照表!$AB$3:$AB$13,[1]对照表!$AC$3:$AC$13),LOOKUP($S454,[1]对照表!$AB$15:$AB$25,[1]对照表!$AC$15:$AC$25))</f>
        <v>0</v>
      </c>
      <c r="U454" s="26">
        <f>R454+T454</f>
        <v>95</v>
      </c>
      <c r="V454" s="26">
        <f>SUM(I454,K454,M454)/3*0.3+SUM(G454,R454)/2*0.4</f>
        <v>60.8</v>
      </c>
      <c r="W454" s="27">
        <f>O454+T454</f>
        <v>0</v>
      </c>
      <c r="X454" s="28">
        <f>V454/0.7+W454</f>
        <v>86.857142857142861</v>
      </c>
      <c r="Y454" s="28">
        <v>86.857142857142861</v>
      </c>
      <c r="Z454" s="21"/>
    </row>
    <row r="455" spans="1:26" x14ac:dyDescent="0.25">
      <c r="A455" s="16">
        <v>31</v>
      </c>
      <c r="B455" s="17" t="s">
        <v>21</v>
      </c>
      <c r="C455" s="16">
        <v>111</v>
      </c>
      <c r="D455" s="18" t="s">
        <v>258</v>
      </c>
      <c r="E455" s="17" t="s">
        <v>65</v>
      </c>
      <c r="F455" s="19">
        <v>9.65</v>
      </c>
      <c r="G455" s="32">
        <f>IF(B455="高三",IF($E455="男",LOOKUP(F455,[1]对照表!$G$3:$G$24,[1]对照表!$H$3:$H$24),LOOKUP(F455,[1]对照表!$G$27:$G$48,[1]对照表!$H$27:$H$48)),IF(B455="高二",IF($E455="男",LOOKUP(F455,[1]对照表!$F$3:$F$24,[1]对照表!$H$3:$H$24),LOOKUP(F455,[1]对照表!$F$27:$F$48,[1]对照表!$H$27:$H$48)),IF(B455="高一",IF($E455="男",LOOKUP(F455,[1]对照表!$E$3:$E$24,[1]对照表!$H$3:$H$24),LOOKUP(F455,[1]对照表!$E$27:$E$48,[1]对照表!$H$27:$H$48)))))</f>
        <v>68</v>
      </c>
      <c r="H455" s="21">
        <v>23.5</v>
      </c>
      <c r="I455" s="32">
        <f>IF(B455="高三",IF($E455="男",LOOKUP(H455,[1]对照表!$K$3:$K$24,[1]对照表!$L$3:$L$24),LOOKUP(H455,[1]对照表!$K$27:$K$48,[1]对照表!$L$27:$L$48)),IF(B455="高二",IF($E455="男",LOOKUP(H455,[1]对照表!$J$3:$J$24,[1]对照表!$L$3:$L$24),LOOKUP(H455,[1]对照表!$J$27:$J$48,[1]对照表!$L$27:$L$48)),IF(B455="高一",IF($E455="男",LOOKUP(H455,[1]对照表!$I$3:$I$24,[1]对照表!$L$3:$L$24),LOOKUP(H455,[1]对照表!$I$27:$I$48,[1]对照表!$L$27:$L$48)))))</f>
        <v>95</v>
      </c>
      <c r="J455" s="21">
        <v>161</v>
      </c>
      <c r="K455" s="32">
        <f>IF(B455="高三",IF($E455="男",LOOKUP(J455,[1]对照表!$O$3:$O$24,[1]对照表!$P$3:$P$24),LOOKUP(J455,[1]对照表!$O$27:$O$48,[1]对照表!$P$27:$P$48)),IF(B455="高二",IF($E455="男",LOOKUP(J455,[1]对照表!$N$3:$N$24,[1]对照表!$P$3:$P$24),LOOKUP(J455,[1]对照表!$N$27:$N$48,[1]对照表!$P$27:$P$48)),IF(B455="高一",IF($E455="男",LOOKUP(J455,[1]对照表!$M$3:$M$24,[1]对照表!$P$3:$P$24),LOOKUP(J455,[1]对照表!$M$27:$M$48,[1]对照表!$P$27:$P$48)))))</f>
        <v>68</v>
      </c>
      <c r="L455" s="21">
        <v>46</v>
      </c>
      <c r="M455" s="32">
        <f>IF(B455="高三",IF($E455="男",LOOKUP(L455,[1]对照表!$S$3:$S$24,[1]对照表!$T$3:$T$24),LOOKUP(L455,[1]对照表!$S$27:$S$48,[1]对照表!$T$27:$T$48)),IF(B455="高二",IF($E455="男",LOOKUP(L455,[1]对照表!$R$3:$R$24,[1]对照表!$T$3:$T$24),LOOKUP(L455,[1]对照表!$R$27:$R$48,[1]对照表!$T$27:$T$48)),IF(B455="高一",IF($E455="男",LOOKUP(L455,[1]对照表!$Q$3:$Q$24,[1]对照表!$T$3:$T$24),LOOKUP(L455,[1]对照表!$Q$27:$Q$48,[1]对照表!$T$27:$T$48)))))</f>
        <v>85</v>
      </c>
      <c r="N455" s="33">
        <f>IF(B455="高三",MAX(IF(E455="男",L455-18,L455-55),0),IF(B455="高二",MAX(IF(E455="男",L455-17,L455-54),0),IF(B455="高一",MAX(IF(E455="男",L455-16,L455-53),0))))</f>
        <v>0</v>
      </c>
      <c r="O455" s="23">
        <f>IF(E455="男",LOOKUP($N455,[1]对照表!$Z$3:$Z$13,[1]对照表!$AA$3:$AA$13),LOOKUP($N455,[1]对照表!$Z$15:$Z$25,[1]对照表!$AA$15:$AA$25))</f>
        <v>0</v>
      </c>
      <c r="P455" s="24">
        <f>M455+O455</f>
        <v>85</v>
      </c>
      <c r="Q455" s="25">
        <v>3.28</v>
      </c>
      <c r="R455" s="32">
        <f>IF(B455="高三",IF($E455="男",LOOKUP(Q455,[1]对照表!$W$3:$W$24,[1]对照表!$X$3:$X$24),LOOKUP(Q455,[1]对照表!$W$27:$W$48,[1]对照表!$X$27:$X$48)),IF(B455="高二",IF($E455="男",LOOKUP(Q455,[1]对照表!$V$3:$V$24,[1]对照表!$X$3:$X$24),LOOKUP(Q455,[1]对照表!$V$27:$V$48,[1]对照表!$X$27:$X$48)),IF(B455="高一",IF($E455="男",LOOKUP(Q455,[1]对照表!$U$3:$U$24,[1]对照表!$X$3:$X$24),LOOKUP(Q455,[1]对照表!$U$27:$U$48,[1]对照表!$X$27:$X$48)))))</f>
        <v>95</v>
      </c>
      <c r="S455" s="33">
        <f>ROUND(IF(IF($B455="高三",MIN(IF($E455="男",$Q455-3.2,$Q455-3.2),0),IF($B455="高二",MIN(IF($E455="男",$Q455-3.25,$Q455-3.22),0),IF($B455="高一",MIN(IF($E455="男",$Q455-3.3,$Q455-3.24),0))))&lt;-0.6,IF($B455="高三",MIN(IF($E455="男",$Q455-3.2,$Q455-3.2),0),IF($B455="高二",MIN(IF($E455="男",$Q455-3.25,$Q455-3.22),0),IF($B455="高一",MIN(IF($E455="男",$Q455-3.3,$Q455-3.24),0))))+0.4,IF($B455="高三",MIN(IF($E455="男",$Q455-3.2,$Q455-3.2),0),IF($B455="高二",MIN(IF($E455="男",$Q455-3.25,$Q455-3.22),0),IF($B455="高一",MIN(IF($E455="男",$Q455-3.3,$Q455-3.24),0))))),2)</f>
        <v>0</v>
      </c>
      <c r="T455" s="23">
        <f>IF(E455="男",LOOKUP($S455,[1]对照表!$AB$3:$AB$13,[1]对照表!$AC$3:$AC$13),LOOKUP($S455,[1]对照表!$AB$15:$AB$25,[1]对照表!$AC$15:$AC$25))</f>
        <v>0</v>
      </c>
      <c r="U455" s="26">
        <f>R455+T455</f>
        <v>95</v>
      </c>
      <c r="V455" s="26">
        <f>SUM(I455,K455,M455)/3*0.3+SUM(G455,R455)/2*0.4</f>
        <v>57.400000000000006</v>
      </c>
      <c r="W455" s="27">
        <f>O455+T455</f>
        <v>0</v>
      </c>
      <c r="X455" s="28">
        <f>V455/0.7+W455</f>
        <v>82.000000000000014</v>
      </c>
      <c r="Y455" s="28">
        <v>82.000000000000014</v>
      </c>
      <c r="Z455" s="21"/>
    </row>
    <row r="456" spans="1:26" x14ac:dyDescent="0.25">
      <c r="A456" s="16">
        <v>20</v>
      </c>
      <c r="B456" s="17" t="s">
        <v>21</v>
      </c>
      <c r="C456" s="16">
        <v>111</v>
      </c>
      <c r="D456" s="18" t="s">
        <v>322</v>
      </c>
      <c r="E456" s="17" t="s">
        <v>23</v>
      </c>
      <c r="F456" s="19">
        <v>7.6</v>
      </c>
      <c r="G456" s="32">
        <f>IF(B456="高三",IF($E456="男",LOOKUP(F456,[1]对照表!$G$3:$G$24,[1]对照表!$H$3:$H$24),LOOKUP(F456,[1]对照表!$G$27:$G$48,[1]对照表!$H$27:$H$48)),IF(B456="高二",IF($E456="男",LOOKUP(F456,[1]对照表!$F$3:$F$24,[1]对照表!$H$3:$H$24),LOOKUP(F456,[1]对照表!$F$27:$F$48,[1]对照表!$H$27:$H$48)),IF(B456="高一",IF($E456="男",LOOKUP(F456,[1]对照表!$E$3:$E$24,[1]对照表!$H$3:$H$24),LOOKUP(F456,[1]对照表!$E$27:$E$48,[1]对照表!$H$27:$H$48)))))</f>
        <v>78</v>
      </c>
      <c r="H456" s="21">
        <v>12.5</v>
      </c>
      <c r="I456" s="32">
        <f>IF(B456="高三",IF($E456="男",LOOKUP(H456,[1]对照表!$K$3:$K$24,[1]对照表!$L$3:$L$24),LOOKUP(H456,[1]对照表!$K$27:$K$48,[1]对照表!$L$27:$L$48)),IF(B456="高二",IF($E456="男",LOOKUP(H456,[1]对照表!$J$3:$J$24,[1]对照表!$L$3:$L$24),LOOKUP(H456,[1]对照表!$J$27:$J$48,[1]对照表!$L$27:$L$48)),IF(B456="高一",IF($E456="男",LOOKUP(H456,[1]对照表!$I$3:$I$24,[1]对照表!$L$3:$L$24),LOOKUP(H456,[1]对照表!$I$27:$I$48,[1]对照表!$L$27:$L$48)))))</f>
        <v>76</v>
      </c>
      <c r="J456" s="21">
        <v>218</v>
      </c>
      <c r="K456" s="32">
        <f>IF(B456="高三",IF($E456="男",LOOKUP(J456,[1]对照表!$O$3:$O$24,[1]对照表!$P$3:$P$24),LOOKUP(J456,[1]对照表!$O$27:$O$48,[1]对照表!$P$27:$P$48)),IF(B456="高二",IF($E456="男",LOOKUP(J456,[1]对照表!$N$3:$N$24,[1]对照表!$P$3:$P$24),LOOKUP(J456,[1]对照表!$N$27:$N$48,[1]对照表!$P$27:$P$48)),IF(B456="高一",IF($E456="男",LOOKUP(J456,[1]对照表!$M$3:$M$24,[1]对照表!$P$3:$P$24),LOOKUP(J456,[1]对照表!$M$27:$M$48,[1]对照表!$P$27:$P$48)))))</f>
        <v>70</v>
      </c>
      <c r="L456" s="21">
        <v>18</v>
      </c>
      <c r="M456" s="32">
        <f>IF(B456="高三",IF($E456="男",LOOKUP(L456,[1]对照表!$S$3:$S$24,[1]对照表!$T$3:$T$24),LOOKUP(L456,[1]对照表!$S$27:$S$48,[1]对照表!$T$27:$T$48)),IF(B456="高二",IF($E456="男",LOOKUP(L456,[1]对照表!$R$3:$R$24,[1]对照表!$T$3:$T$24),LOOKUP(L456,[1]对照表!$R$27:$R$48,[1]对照表!$T$27:$T$48)),IF(B456="高一",IF($E456="男",LOOKUP(L456,[1]对照表!$Q$3:$Q$24,[1]对照表!$T$3:$T$24),LOOKUP(L456,[1]对照表!$Q$27:$Q$48,[1]对照表!$T$27:$T$48)))))</f>
        <v>100</v>
      </c>
      <c r="N456" s="33">
        <f>IF(B456="高三",MAX(IF(E456="男",L456-18,L456-55),0),IF(B456="高二",MAX(IF(E456="男",L456-17,L456-54),0),IF(B456="高一",MAX(IF(E456="男",L456-16,L456-53),0))))</f>
        <v>2</v>
      </c>
      <c r="O456" s="23">
        <f>IF(E456="男",LOOKUP($N456,[1]对照表!$Z$3:$Z$13,[1]对照表!$AA$3:$AA$13),LOOKUP($N456,[1]对照表!$Z$15:$Z$25,[1]对照表!$AA$15:$AA$25))</f>
        <v>2</v>
      </c>
      <c r="P456" s="24">
        <f>M456+O456</f>
        <v>102</v>
      </c>
      <c r="Q456" s="25">
        <v>3.51</v>
      </c>
      <c r="R456" s="32">
        <f>IF(B456="高三",IF($E456="男",LOOKUP(Q456,[1]对照表!$W$3:$W$24,[1]对照表!$X$3:$X$24),LOOKUP(Q456,[1]对照表!$W$27:$W$48,[1]对照表!$X$27:$X$48)),IF(B456="高二",IF($E456="男",LOOKUP(Q456,[1]对照表!$V$3:$V$24,[1]对照表!$X$3:$X$24),LOOKUP(Q456,[1]对照表!$V$27:$V$48,[1]对照表!$X$27:$X$48)),IF(B456="高一",IF($E456="男",LOOKUP(Q456,[1]对照表!$U$3:$U$24,[1]对照表!$X$3:$X$24),LOOKUP(Q456,[1]对照表!$U$27:$U$48,[1]对照表!$X$27:$X$48)))))</f>
        <v>80</v>
      </c>
      <c r="S456" s="33">
        <f>ROUND(IF(IF($B456="高三",MIN(IF($E456="男",$Q456-3.2,$Q456-3.2),0),IF($B456="高二",MIN(IF($E456="男",$Q456-3.25,$Q456-3.22),0),IF($B456="高一",MIN(IF($E456="男",$Q456-3.3,$Q456-3.24),0))))&lt;-0.6,IF($B456="高三",MIN(IF($E456="男",$Q456-3.2,$Q456-3.2),0),IF($B456="高二",MIN(IF($E456="男",$Q456-3.25,$Q456-3.22),0),IF($B456="高一",MIN(IF($E456="男",$Q456-3.3,$Q456-3.24),0))))+0.4,IF($B456="高三",MIN(IF($E456="男",$Q456-3.2,$Q456-3.2),0),IF($B456="高二",MIN(IF($E456="男",$Q456-3.25,$Q456-3.22),0),IF($B456="高一",MIN(IF($E456="男",$Q456-3.3,$Q456-3.24),0))))),2)</f>
        <v>0</v>
      </c>
      <c r="T456" s="23">
        <f>IF(E456="男",LOOKUP($S456,[1]对照表!$AB$3:$AB$13,[1]对照表!$AC$3:$AC$13),LOOKUP($S456,[1]对照表!$AB$15:$AB$25,[1]对照表!$AC$15:$AC$25))</f>
        <v>0</v>
      </c>
      <c r="U456" s="26">
        <f>R456+T456</f>
        <v>80</v>
      </c>
      <c r="V456" s="26">
        <f>SUM(I456,K456,M456)/3*0.3+SUM(G456,R456)/2*0.4</f>
        <v>56.2</v>
      </c>
      <c r="W456" s="27">
        <f>O456+T456</f>
        <v>2</v>
      </c>
      <c r="X456" s="28">
        <f>V456/0.7+W456</f>
        <v>82.285714285714292</v>
      </c>
      <c r="Y456" s="28">
        <v>82.285714285714292</v>
      </c>
      <c r="Z456" s="21"/>
    </row>
    <row r="457" spans="1:26" x14ac:dyDescent="0.25">
      <c r="A457" s="16">
        <v>40</v>
      </c>
      <c r="B457" s="17" t="s">
        <v>21</v>
      </c>
      <c r="C457" s="16">
        <v>111</v>
      </c>
      <c r="D457" s="18" t="s">
        <v>342</v>
      </c>
      <c r="E457" s="17" t="s">
        <v>65</v>
      </c>
      <c r="F457" s="19">
        <v>8.07</v>
      </c>
      <c r="G457" s="32">
        <f>IF(B457="高三",IF($E457="男",LOOKUP(F457,[1]对照表!$G$3:$G$24,[1]对照表!$H$3:$H$24),LOOKUP(F457,[1]对照表!$G$27:$G$48,[1]对照表!$H$27:$H$48)),IF(B457="高二",IF($E457="男",LOOKUP(F457,[1]对照表!$F$3:$F$24,[1]对照表!$H$3:$H$24),LOOKUP(F457,[1]对照表!$F$27:$F$48,[1]对照表!$H$27:$H$48)),IF(B457="高一",IF($E457="男",LOOKUP(F457,[1]对照表!$E$3:$E$24,[1]对照表!$H$3:$H$24),LOOKUP(F457,[1]对照表!$E$27:$E$48,[1]对照表!$H$27:$H$48)))))</f>
        <v>85</v>
      </c>
      <c r="H457" s="21">
        <v>17</v>
      </c>
      <c r="I457" s="32">
        <f>IF(B457="高三",IF($E457="男",LOOKUP(H457,[1]对照表!$K$3:$K$24,[1]对照表!$L$3:$L$24),LOOKUP(H457,[1]对照表!$K$27:$K$48,[1]对照表!$L$27:$L$48)),IF(B457="高二",IF($E457="男",LOOKUP(H457,[1]对照表!$J$3:$J$24,[1]对照表!$L$3:$L$24),LOOKUP(H457,[1]对照表!$J$27:$J$48,[1]对照表!$L$27:$L$48)),IF(B457="高一",IF($E457="男",LOOKUP(H457,[1]对照表!$I$3:$I$24,[1]对照表!$L$3:$L$24),LOOKUP(H457,[1]对照表!$I$27:$I$48,[1]对照表!$L$27:$L$48)))))</f>
        <v>78</v>
      </c>
      <c r="J457" s="21">
        <v>180</v>
      </c>
      <c r="K457" s="32">
        <f>IF(B457="高三",IF($E457="男",LOOKUP(J457,[1]对照表!$O$3:$O$24,[1]对照表!$P$3:$P$24),LOOKUP(J457,[1]对照表!$O$27:$O$48,[1]对照表!$P$27:$P$48)),IF(B457="高二",IF($E457="男",LOOKUP(J457,[1]对照表!$N$3:$N$24,[1]对照表!$P$3:$P$24),LOOKUP(J457,[1]对照表!$N$27:$N$48,[1]对照表!$P$27:$P$48)),IF(B457="高一",IF($E457="男",LOOKUP(J457,[1]对照表!$M$3:$M$24,[1]对照表!$P$3:$P$24),LOOKUP(J457,[1]对照表!$M$27:$M$48,[1]对照表!$P$27:$P$48)))))</f>
        <v>80</v>
      </c>
      <c r="L457" s="21">
        <v>48</v>
      </c>
      <c r="M457" s="32">
        <f>IF(B457="高三",IF($E457="男",LOOKUP(L457,[1]对照表!$S$3:$S$24,[1]对照表!$T$3:$T$24),LOOKUP(L457,[1]对照表!$S$27:$S$48,[1]对照表!$T$27:$T$48)),IF(B457="高二",IF($E457="男",LOOKUP(L457,[1]对照表!$R$3:$R$24,[1]对照表!$T$3:$T$24),LOOKUP(L457,[1]对照表!$R$27:$R$48,[1]对照表!$T$27:$T$48)),IF(B457="高一",IF($E457="男",LOOKUP(L457,[1]对照表!$Q$3:$Q$24,[1]对照表!$T$3:$T$24),LOOKUP(L457,[1]对照表!$Q$27:$Q$48,[1]对照表!$T$27:$T$48)))))</f>
        <v>85</v>
      </c>
      <c r="N457" s="33">
        <f>IF(B457="高三",MAX(IF(E457="男",L457-18,L457-55),0),IF(B457="高二",MAX(IF(E457="男",L457-17,L457-54),0),IF(B457="高一",MAX(IF(E457="男",L457-16,L457-53),0))))</f>
        <v>0</v>
      </c>
      <c r="O457" s="23">
        <f>IF(E457="男",LOOKUP($N457,[1]对照表!$Z$3:$Z$13,[1]对照表!$AA$3:$AA$13),LOOKUP($N457,[1]对照表!$Z$15:$Z$25,[1]对照表!$AA$15:$AA$25))</f>
        <v>0</v>
      </c>
      <c r="P457" s="24">
        <f>M457+O457</f>
        <v>85</v>
      </c>
      <c r="Q457" s="25">
        <v>3.33</v>
      </c>
      <c r="R457" s="32">
        <f>IF(B457="高三",IF($E457="男",LOOKUP(Q457,[1]对照表!$W$3:$W$24,[1]对照表!$X$3:$X$24),LOOKUP(Q457,[1]对照表!$W$27:$W$48,[1]对照表!$X$27:$X$48)),IF(B457="高二",IF($E457="男",LOOKUP(Q457,[1]对照表!$V$3:$V$24,[1]对照表!$X$3:$X$24),LOOKUP(Q457,[1]对照表!$V$27:$V$48,[1]对照表!$X$27:$X$48)),IF(B457="高一",IF($E457="男",LOOKUP(Q457,[1]对照表!$U$3:$U$24,[1]对照表!$X$3:$X$24),LOOKUP(Q457,[1]对照表!$U$27:$U$48,[1]对照表!$X$27:$X$48)))))</f>
        <v>90</v>
      </c>
      <c r="S457" s="27">
        <f>ROUND(IF(IF($B457="高三",MIN(IF($E457="男",$Q457-3.2,$Q457-3.2),0),IF($B457="高二",MIN(IF($E457="男",$Q457-3.25,$Q457-3.22),0),IF($B457="高一",MIN(IF($E457="男",$Q457-3.3,$Q457-3.24),0))))&lt;-0.6,IF($B457="高三",MIN(IF($E457="男",$Q457-3.2,$Q457-3.2),0),IF($B457="高二",MIN(IF($E457="男",$Q457-3.25,$Q457-3.22),0),IF($B457="高一",MIN(IF($E457="男",$Q457-3.3,$Q457-3.24),0))))+0.4,IF($B457="高三",MIN(IF($E457="男",$Q457-3.2,$Q457-3.2),0),IF($B457="高二",MIN(IF($E457="男",$Q457-3.25,$Q457-3.22),0),IF($B457="高一",MIN(IF($E457="男",$Q457-3.3,$Q457-3.24),0))))),2)</f>
        <v>0</v>
      </c>
      <c r="T457" s="23">
        <f>IF(E457="男",LOOKUP($S457,[1]对照表!$AB$3:$AB$13,[1]对照表!$AC$3:$AC$13),LOOKUP($S457,[1]对照表!$AB$15:$AB$25,[1]对照表!$AC$15:$AC$25))</f>
        <v>0</v>
      </c>
      <c r="U457" s="26">
        <f>R457+T457</f>
        <v>90</v>
      </c>
      <c r="V457" s="26">
        <f>SUM(I457,K457,M457)/3*0.3+SUM(G457,R457)/2*0.4</f>
        <v>59.3</v>
      </c>
      <c r="W457" s="27">
        <f>O457+T457</f>
        <v>0</v>
      </c>
      <c r="X457" s="28">
        <f>V457/0.7+W457</f>
        <v>84.714285714285722</v>
      </c>
      <c r="Y457" s="28">
        <v>84.714285714285722</v>
      </c>
      <c r="Z457" s="21"/>
    </row>
    <row r="458" spans="1:26" x14ac:dyDescent="0.25">
      <c r="A458" s="16">
        <v>27</v>
      </c>
      <c r="B458" s="17" t="s">
        <v>21</v>
      </c>
      <c r="C458" s="16">
        <v>111</v>
      </c>
      <c r="D458" s="18" t="s">
        <v>397</v>
      </c>
      <c r="E458" s="17" t="s">
        <v>65</v>
      </c>
      <c r="F458" s="19">
        <v>9.1</v>
      </c>
      <c r="G458" s="32">
        <f>IF(B458="高三",IF($E458="男",LOOKUP(F458,[1]对照表!$G$3:$G$24,[1]对照表!$H$3:$H$24),LOOKUP(F458,[1]对照表!$G$27:$G$48,[1]对照表!$H$27:$H$48)),IF(B458="高二",IF($E458="男",LOOKUP(F458,[1]对照表!$F$3:$F$24,[1]对照表!$H$3:$H$24),LOOKUP(F458,[1]对照表!$F$27:$F$48,[1]对照表!$H$27:$H$48)),IF(B458="高一",IF($E458="男",LOOKUP(F458,[1]对照表!$E$3:$E$24,[1]对照表!$H$3:$H$24),LOOKUP(F458,[1]对照表!$E$27:$E$48,[1]对照表!$H$27:$H$48)))))</f>
        <v>74</v>
      </c>
      <c r="H458" s="21">
        <v>18</v>
      </c>
      <c r="I458" s="32">
        <f>IF(B458="高三",IF($E458="男",LOOKUP(H458,[1]对照表!$K$3:$K$24,[1]对照表!$L$3:$L$24),LOOKUP(H458,[1]对照表!$K$27:$K$48,[1]对照表!$L$27:$L$48)),IF(B458="高二",IF($E458="男",LOOKUP(H458,[1]对照表!$J$3:$J$24,[1]对照表!$L$3:$L$24),LOOKUP(H458,[1]对照表!$J$27:$J$48,[1]对照表!$L$27:$L$48)),IF(B458="高一",IF($E458="男",LOOKUP(H458,[1]对照表!$I$3:$I$24,[1]对照表!$L$3:$L$24),LOOKUP(H458,[1]对照表!$I$27:$I$48,[1]对照表!$L$27:$L$48)))))</f>
        <v>80</v>
      </c>
      <c r="J458" s="21">
        <v>160</v>
      </c>
      <c r="K458" s="32">
        <f>IF(B458="高三",IF($E458="男",LOOKUP(J458,[1]对照表!$O$3:$O$24,[1]对照表!$P$3:$P$24),LOOKUP(J458,[1]对照表!$O$27:$O$48,[1]对照表!$P$27:$P$48)),IF(B458="高二",IF($E458="男",LOOKUP(J458,[1]对照表!$N$3:$N$24,[1]对照表!$P$3:$P$24),LOOKUP(J458,[1]对照表!$N$27:$N$48,[1]对照表!$P$27:$P$48)),IF(B458="高一",IF($E458="男",LOOKUP(J458,[1]对照表!$M$3:$M$24,[1]对照表!$P$3:$P$24),LOOKUP(J458,[1]对照表!$M$27:$M$48,[1]对照表!$P$27:$P$48)))))</f>
        <v>68</v>
      </c>
      <c r="L458" s="21">
        <v>50</v>
      </c>
      <c r="M458" s="32">
        <f>IF(B458="高三",IF($E458="男",LOOKUP(L458,[1]对照表!$S$3:$S$24,[1]对照表!$T$3:$T$24),LOOKUP(L458,[1]对照表!$S$27:$S$48,[1]对照表!$T$27:$T$48)),IF(B458="高二",IF($E458="男",LOOKUP(L458,[1]对照表!$R$3:$R$24,[1]对照表!$T$3:$T$24),LOOKUP(L458,[1]对照表!$R$27:$R$48,[1]对照表!$T$27:$T$48)),IF(B458="高一",IF($E458="男",LOOKUP(L458,[1]对照表!$Q$3:$Q$24,[1]对照表!$T$3:$T$24),LOOKUP(L458,[1]对照表!$Q$27:$Q$48,[1]对照表!$T$27:$T$48)))))</f>
        <v>90</v>
      </c>
      <c r="N458" s="33">
        <f>IF(B458="高三",MAX(IF(E458="男",L458-18,L458-55),0),IF(B458="高二",MAX(IF(E458="男",L458-17,L458-54),0),IF(B458="高一",MAX(IF(E458="男",L458-16,L458-53),0))))</f>
        <v>0</v>
      </c>
      <c r="O458" s="23">
        <f>IF(E458="男",LOOKUP($N458,[1]对照表!$Z$3:$Z$13,[1]对照表!$AA$3:$AA$13),LOOKUP($N458,[1]对照表!$Z$15:$Z$25,[1]对照表!$AA$15:$AA$25))</f>
        <v>0</v>
      </c>
      <c r="P458" s="24">
        <f>M458+O458</f>
        <v>90</v>
      </c>
      <c r="Q458" s="25">
        <v>3.37</v>
      </c>
      <c r="R458" s="32">
        <f>IF(B458="高三",IF($E458="男",LOOKUP(Q458,[1]对照表!$W$3:$W$24,[1]对照表!$X$3:$X$24),LOOKUP(Q458,[1]对照表!$W$27:$W$48,[1]对照表!$X$27:$X$48)),IF(B458="高二",IF($E458="男",LOOKUP(Q458,[1]对照表!$V$3:$V$24,[1]对照表!$X$3:$X$24),LOOKUP(Q458,[1]对照表!$V$27:$V$48,[1]对照表!$X$27:$X$48)),IF(B458="高一",IF($E458="男",LOOKUP(Q458,[1]对照表!$U$3:$U$24,[1]对照表!$X$3:$X$24),LOOKUP(Q458,[1]对照表!$U$27:$U$48,[1]对照表!$X$27:$X$48)))))</f>
        <v>85</v>
      </c>
      <c r="S458" s="33">
        <f>ROUND(IF(IF($B458="高三",MIN(IF($E458="男",$Q458-3.2,$Q458-3.2),0),IF($B458="高二",MIN(IF($E458="男",$Q458-3.25,$Q458-3.22),0),IF($B458="高一",MIN(IF($E458="男",$Q458-3.3,$Q458-3.24),0))))&lt;-0.6,IF($B458="高三",MIN(IF($E458="男",$Q458-3.2,$Q458-3.2),0),IF($B458="高二",MIN(IF($E458="男",$Q458-3.25,$Q458-3.22),0),IF($B458="高一",MIN(IF($E458="男",$Q458-3.3,$Q458-3.24),0))))+0.4,IF($B458="高三",MIN(IF($E458="男",$Q458-3.2,$Q458-3.2),0),IF($B458="高二",MIN(IF($E458="男",$Q458-3.25,$Q458-3.22),0),IF($B458="高一",MIN(IF($E458="男",$Q458-3.3,$Q458-3.24),0))))),2)</f>
        <v>0</v>
      </c>
      <c r="T458" s="23">
        <f>IF(E458="男",LOOKUP($S458,[1]对照表!$AB$3:$AB$13,[1]对照表!$AC$3:$AC$13),LOOKUP($S458,[1]对照表!$AB$15:$AB$25,[1]对照表!$AC$15:$AC$25))</f>
        <v>0</v>
      </c>
      <c r="U458" s="26">
        <f>R458+T458</f>
        <v>85</v>
      </c>
      <c r="V458" s="26">
        <f>SUM(I458,K458,M458)/3*0.3+SUM(G458,R458)/2*0.4</f>
        <v>55.599999999999994</v>
      </c>
      <c r="W458" s="27">
        <f>O458+T458</f>
        <v>0</v>
      </c>
      <c r="X458" s="28">
        <f>V458/0.7+W458</f>
        <v>79.428571428571431</v>
      </c>
      <c r="Y458" s="28">
        <v>79.428571428571431</v>
      </c>
      <c r="Z458" s="21"/>
    </row>
    <row r="459" spans="1:26" x14ac:dyDescent="0.25">
      <c r="A459" s="16">
        <v>26</v>
      </c>
      <c r="B459" s="17" t="s">
        <v>21</v>
      </c>
      <c r="C459" s="16">
        <v>111</v>
      </c>
      <c r="D459" s="18" t="s">
        <v>406</v>
      </c>
      <c r="E459" s="17" t="s">
        <v>65</v>
      </c>
      <c r="F459" s="19">
        <v>8.23</v>
      </c>
      <c r="G459" s="32">
        <f>IF(B459="高三",IF($E459="男",LOOKUP(F459,[1]对照表!$G$3:$G$24,[1]对照表!$H$3:$H$24),LOOKUP(F459,[1]对照表!$G$27:$G$48,[1]对照表!$H$27:$H$48)),IF(B459="高二",IF($E459="男",LOOKUP(F459,[1]对照表!$F$3:$F$24,[1]对照表!$H$3:$H$24),LOOKUP(F459,[1]对照表!$F$27:$F$48,[1]对照表!$H$27:$H$48)),IF(B459="高一",IF($E459="男",LOOKUP(F459,[1]对照表!$E$3:$E$24,[1]对照表!$H$3:$H$24),LOOKUP(F459,[1]对照表!$E$27:$E$48,[1]对照表!$H$27:$H$48)))))</f>
        <v>85</v>
      </c>
      <c r="H459" s="21">
        <v>21.5</v>
      </c>
      <c r="I459" s="32">
        <f>IF(B459="高三",IF($E459="男",LOOKUP(H459,[1]对照表!$K$3:$K$24,[1]对照表!$L$3:$L$24),LOOKUP(H459,[1]对照表!$K$27:$K$48,[1]对照表!$L$27:$L$48)),IF(B459="高二",IF($E459="男",LOOKUP(H459,[1]对照表!$J$3:$J$24,[1]对照表!$L$3:$L$24),LOOKUP(H459,[1]对照表!$J$27:$J$48,[1]对照表!$L$27:$L$48)),IF(B459="高一",IF($E459="男",LOOKUP(H459,[1]对照表!$I$3:$I$24,[1]对照表!$L$3:$L$24),LOOKUP(H459,[1]对照表!$I$27:$I$48,[1]对照表!$L$27:$L$48)))))</f>
        <v>90</v>
      </c>
      <c r="J459" s="21">
        <v>170</v>
      </c>
      <c r="K459" s="32">
        <f>IF(B459="高三",IF($E459="男",LOOKUP(J459,[1]对照表!$O$3:$O$24,[1]对照表!$P$3:$P$24),LOOKUP(J459,[1]对照表!$O$27:$O$48,[1]对照表!$P$27:$P$48)),IF(B459="高二",IF($E459="男",LOOKUP(J459,[1]对照表!$N$3:$N$24,[1]对照表!$P$3:$P$24),LOOKUP(J459,[1]对照表!$N$27:$N$48,[1]对照表!$P$27:$P$48)),IF(B459="高一",IF($E459="男",LOOKUP(J459,[1]对照表!$M$3:$M$24,[1]对照表!$P$3:$P$24),LOOKUP(J459,[1]对照表!$M$27:$M$48,[1]对照表!$P$27:$P$48)))))</f>
        <v>74</v>
      </c>
      <c r="L459" s="21">
        <v>52</v>
      </c>
      <c r="M459" s="32">
        <f>IF(B459="高三",IF($E459="男",LOOKUP(L459,[1]对照表!$S$3:$S$24,[1]对照表!$T$3:$T$24),LOOKUP(L459,[1]对照表!$S$27:$S$48,[1]对照表!$T$27:$T$48)),IF(B459="高二",IF($E459="男",LOOKUP(L459,[1]对照表!$R$3:$R$24,[1]对照表!$T$3:$T$24),LOOKUP(L459,[1]对照表!$R$27:$R$48,[1]对照表!$T$27:$T$48)),IF(B459="高一",IF($E459="男",LOOKUP(L459,[1]对照表!$Q$3:$Q$24,[1]对照表!$T$3:$T$24),LOOKUP(L459,[1]对照表!$Q$27:$Q$48,[1]对照表!$T$27:$T$48)))))</f>
        <v>95</v>
      </c>
      <c r="N459" s="33">
        <f>IF(B459="高三",MAX(IF(E459="男",L459-18,L459-55),0),IF(B459="高二",MAX(IF(E459="男",L459-17,L459-54),0),IF(B459="高一",MAX(IF(E459="男",L459-16,L459-53),0))))</f>
        <v>0</v>
      </c>
      <c r="O459" s="23">
        <f>IF(E459="男",LOOKUP($N459,[1]对照表!$Z$3:$Z$13,[1]对照表!$AA$3:$AA$13),LOOKUP($N459,[1]对照表!$Z$15:$Z$25,[1]对照表!$AA$15:$AA$25))</f>
        <v>0</v>
      </c>
      <c r="P459" s="24">
        <f>M459+O459</f>
        <v>95</v>
      </c>
      <c r="Q459" s="25">
        <v>3.38</v>
      </c>
      <c r="R459" s="32">
        <f>IF(B459="高三",IF($E459="男",LOOKUP(Q459,[1]对照表!$W$3:$W$24,[1]对照表!$X$3:$X$24),LOOKUP(Q459,[1]对照表!$W$27:$W$48,[1]对照表!$X$27:$X$48)),IF(B459="高二",IF($E459="男",LOOKUP(Q459,[1]对照表!$V$3:$V$24,[1]对照表!$X$3:$X$24),LOOKUP(Q459,[1]对照表!$V$27:$V$48,[1]对照表!$X$27:$X$48)),IF(B459="高一",IF($E459="男",LOOKUP(Q459,[1]对照表!$U$3:$U$24,[1]对照表!$X$3:$X$24),LOOKUP(Q459,[1]对照表!$U$27:$U$48,[1]对照表!$X$27:$X$48)))))</f>
        <v>85</v>
      </c>
      <c r="S459" s="33">
        <f>ROUND(IF(IF($B459="高三",MIN(IF($E459="男",$Q459-3.2,$Q459-3.2),0),IF($B459="高二",MIN(IF($E459="男",$Q459-3.25,$Q459-3.22),0),IF($B459="高一",MIN(IF($E459="男",$Q459-3.3,$Q459-3.24),0))))&lt;-0.6,IF($B459="高三",MIN(IF($E459="男",$Q459-3.2,$Q459-3.2),0),IF($B459="高二",MIN(IF($E459="男",$Q459-3.25,$Q459-3.22),0),IF($B459="高一",MIN(IF($E459="男",$Q459-3.3,$Q459-3.24),0))))+0.4,IF($B459="高三",MIN(IF($E459="男",$Q459-3.2,$Q459-3.2),0),IF($B459="高二",MIN(IF($E459="男",$Q459-3.25,$Q459-3.22),0),IF($B459="高一",MIN(IF($E459="男",$Q459-3.3,$Q459-3.24),0))))),2)</f>
        <v>0</v>
      </c>
      <c r="T459" s="23">
        <f>IF(E459="男",LOOKUP($S459,[1]对照表!$AB$3:$AB$13,[1]对照表!$AC$3:$AC$13),LOOKUP($S459,[1]对照表!$AB$15:$AB$25,[1]对照表!$AC$15:$AC$25))</f>
        <v>0</v>
      </c>
      <c r="U459" s="26">
        <f>R459+T459</f>
        <v>85</v>
      </c>
      <c r="V459" s="26">
        <f>SUM(I459,K459,M459)/3*0.3+SUM(G459,R459)/2*0.4</f>
        <v>59.9</v>
      </c>
      <c r="W459" s="27">
        <f>O459+T459</f>
        <v>0</v>
      </c>
      <c r="X459" s="28">
        <f>V459/0.7+W459</f>
        <v>85.571428571428569</v>
      </c>
      <c r="Y459" s="28">
        <v>85.571428571428569</v>
      </c>
      <c r="Z459" s="21"/>
    </row>
    <row r="460" spans="1:26" x14ac:dyDescent="0.25">
      <c r="A460" s="16">
        <v>6</v>
      </c>
      <c r="B460" s="17" t="s">
        <v>21</v>
      </c>
      <c r="C460" s="16">
        <v>111</v>
      </c>
      <c r="D460" s="18" t="s">
        <v>429</v>
      </c>
      <c r="E460" s="17" t="s">
        <v>23</v>
      </c>
      <c r="F460" s="19">
        <v>7.7</v>
      </c>
      <c r="G460" s="32">
        <f>IF(B460="高三",IF($E460="男",LOOKUP(F460,[1]对照表!$G$3:$G$24,[1]对照表!$H$3:$H$24),LOOKUP(F460,[1]对照表!$G$27:$G$48,[1]对照表!$H$27:$H$48)),IF(B460="高二",IF($E460="男",LOOKUP(F460,[1]对照表!$F$3:$F$24,[1]对照表!$H$3:$H$24),LOOKUP(F460,[1]对照表!$F$27:$F$48,[1]对照表!$H$27:$H$48)),IF(B460="高一",IF($E460="男",LOOKUP(F460,[1]对照表!$E$3:$E$24,[1]对照表!$H$3:$H$24),LOOKUP(F460,[1]对照表!$E$27:$E$48,[1]对照表!$H$27:$H$48)))))</f>
        <v>78</v>
      </c>
      <c r="H460" s="21">
        <v>10.8</v>
      </c>
      <c r="I460" s="32">
        <f>IF(B460="高三",IF($E460="男",LOOKUP(H460,[1]对照表!$K$3:$K$24,[1]对照表!$L$3:$L$24),LOOKUP(H460,[1]对照表!$K$27:$K$48,[1]对照表!$L$27:$L$48)),IF(B460="高二",IF($E460="男",LOOKUP(H460,[1]对照表!$J$3:$J$24,[1]对照表!$L$3:$L$24),LOOKUP(H460,[1]对照表!$J$27:$J$48,[1]对照表!$L$27:$L$48)),IF(B460="高一",IF($E460="男",LOOKUP(H460,[1]对照表!$I$3:$I$24,[1]对照表!$L$3:$L$24),LOOKUP(H460,[1]对照表!$I$27:$I$48,[1]对照表!$L$27:$L$48)))))</f>
        <v>74</v>
      </c>
      <c r="J460" s="21">
        <v>213</v>
      </c>
      <c r="K460" s="32">
        <f>IF(B460="高三",IF($E460="男",LOOKUP(J460,[1]对照表!$O$3:$O$24,[1]对照表!$P$3:$P$24),LOOKUP(J460,[1]对照表!$O$27:$O$48,[1]对照表!$P$27:$P$48)),IF(B460="高二",IF($E460="男",LOOKUP(J460,[1]对照表!$N$3:$N$24,[1]对照表!$P$3:$P$24),LOOKUP(J460,[1]对照表!$N$27:$N$48,[1]对照表!$P$27:$P$48)),IF(B460="高一",IF($E460="男",LOOKUP(J460,[1]对照表!$M$3:$M$24,[1]对照表!$P$3:$P$24),LOOKUP(J460,[1]对照表!$M$27:$M$48,[1]对照表!$P$27:$P$48)))))</f>
        <v>68</v>
      </c>
      <c r="L460" s="21">
        <v>9</v>
      </c>
      <c r="M460" s="32">
        <f>IF(B460="高三",IF($E460="男",LOOKUP(L460,[1]对照表!$S$3:$S$24,[1]对照表!$T$3:$T$24),LOOKUP(L460,[1]对照表!$S$27:$S$48,[1]对照表!$T$27:$T$48)),IF(B460="高二",IF($E460="男",LOOKUP(L460,[1]对照表!$R$3:$R$24,[1]对照表!$T$3:$T$24),LOOKUP(L460,[1]对照表!$R$27:$R$48,[1]对照表!$T$27:$T$48)),IF(B460="高一",IF($E460="男",LOOKUP(L460,[1]对照表!$Q$3:$Q$24,[1]对照表!$T$3:$T$24),LOOKUP(L460,[1]对照表!$Q$27:$Q$48,[1]对照表!$T$27:$T$48)))))</f>
        <v>68</v>
      </c>
      <c r="N460" s="33">
        <f>IF(B460="高三",MAX(IF(E460="男",L460-18,L460-55),0),IF(B460="高二",MAX(IF(E460="男",L460-17,L460-54),0),IF(B460="高一",MAX(IF(E460="男",L460-16,L460-53),0))))</f>
        <v>0</v>
      </c>
      <c r="O460" s="23">
        <f>IF(E460="男",LOOKUP($N460,[1]对照表!$Z$3:$Z$13,[1]对照表!$AA$3:$AA$13),LOOKUP($N460,[1]对照表!$Z$15:$Z$25,[1]对照表!$AA$15:$AA$25))</f>
        <v>0</v>
      </c>
      <c r="P460" s="24">
        <f>M460+O460</f>
        <v>68</v>
      </c>
      <c r="Q460" s="25">
        <v>3.55</v>
      </c>
      <c r="R460" s="32">
        <f>IF(B460="高三",IF($E460="男",LOOKUP(Q460,[1]对照表!$W$3:$W$24,[1]对照表!$X$3:$X$24),LOOKUP(Q460,[1]对照表!$W$27:$W$48,[1]对照表!$X$27:$X$48)),IF(B460="高二",IF($E460="男",LOOKUP(Q460,[1]对照表!$V$3:$V$24,[1]对照表!$X$3:$X$24),LOOKUP(Q460,[1]对照表!$V$27:$V$48,[1]对照表!$X$27:$X$48)),IF(B460="高一",IF($E460="男",LOOKUP(Q460,[1]对照表!$U$3:$U$24,[1]对照表!$X$3:$X$24),LOOKUP(Q460,[1]对照表!$U$27:$U$48,[1]对照表!$X$27:$X$48)))))</f>
        <v>80</v>
      </c>
      <c r="S460" s="33">
        <f>ROUND(IF(IF($B460="高三",MIN(IF($E460="男",$Q460-3.2,$Q460-3.2),0),IF($B460="高二",MIN(IF($E460="男",$Q460-3.25,$Q460-3.22),0),IF($B460="高一",MIN(IF($E460="男",$Q460-3.3,$Q460-3.24),0))))&lt;-0.6,IF($B460="高三",MIN(IF($E460="男",$Q460-3.2,$Q460-3.2),0),IF($B460="高二",MIN(IF($E460="男",$Q460-3.25,$Q460-3.22),0),IF($B460="高一",MIN(IF($E460="男",$Q460-3.3,$Q460-3.24),0))))+0.4,IF($B460="高三",MIN(IF($E460="男",$Q460-3.2,$Q460-3.2),0),IF($B460="高二",MIN(IF($E460="男",$Q460-3.25,$Q460-3.22),0),IF($B460="高一",MIN(IF($E460="男",$Q460-3.3,$Q460-3.24),0))))),2)</f>
        <v>0</v>
      </c>
      <c r="T460" s="23">
        <f>IF(E460="男",LOOKUP($S460,[1]对照表!$AB$3:$AB$13,[1]对照表!$AC$3:$AC$13),LOOKUP($S460,[1]对照表!$AB$15:$AB$25,[1]对照表!$AC$15:$AC$25))</f>
        <v>0</v>
      </c>
      <c r="U460" s="26">
        <f>R460+T460</f>
        <v>80</v>
      </c>
      <c r="V460" s="26">
        <f>SUM(I460,K460,M460)/3*0.3+SUM(G460,R460)/2*0.4</f>
        <v>52.6</v>
      </c>
      <c r="W460" s="27">
        <f>O460+T460</f>
        <v>0</v>
      </c>
      <c r="X460" s="28">
        <f>V460/0.7+W460</f>
        <v>75.142857142857153</v>
      </c>
      <c r="Y460" s="28">
        <v>75.142857142857153</v>
      </c>
      <c r="Z460" s="21"/>
    </row>
    <row r="461" spans="1:26" x14ac:dyDescent="0.25">
      <c r="A461" s="16">
        <v>9</v>
      </c>
      <c r="B461" s="17" t="s">
        <v>21</v>
      </c>
      <c r="C461" s="16">
        <v>111</v>
      </c>
      <c r="D461" s="18" t="s">
        <v>440</v>
      </c>
      <c r="E461" s="17" t="s">
        <v>23</v>
      </c>
      <c r="F461" s="19">
        <v>7.9</v>
      </c>
      <c r="G461" s="32">
        <f>IF(B461="高三",IF($E461="男",LOOKUP(F461,[1]对照表!$G$3:$G$24,[1]对照表!$H$3:$H$24),LOOKUP(F461,[1]对照表!$G$27:$G$48,[1]对照表!$H$27:$H$48)),IF(B461="高二",IF($E461="男",LOOKUP(F461,[1]对照表!$F$3:$F$24,[1]对照表!$H$3:$H$24),LOOKUP(F461,[1]对照表!$F$27:$F$48,[1]对照表!$H$27:$H$48)),IF(B461="高一",IF($E461="男",LOOKUP(F461,[1]对照表!$E$3:$E$24,[1]对照表!$H$3:$H$24),LOOKUP(F461,[1]对照表!$E$27:$E$48,[1]对照表!$H$27:$H$48)))))</f>
        <v>76</v>
      </c>
      <c r="H461" s="21">
        <v>8.5</v>
      </c>
      <c r="I461" s="32">
        <f>IF(B461="高三",IF($E461="男",LOOKUP(H461,[1]对照表!$K$3:$K$24,[1]对照表!$L$3:$L$24),LOOKUP(H461,[1]对照表!$K$27:$K$48,[1]对照表!$L$27:$L$48)),IF(B461="高二",IF($E461="男",LOOKUP(H461,[1]对照表!$J$3:$J$24,[1]对照表!$L$3:$L$24),LOOKUP(H461,[1]对照表!$J$27:$J$48,[1]对照表!$L$27:$L$48)),IF(B461="高一",IF($E461="男",LOOKUP(H461,[1]对照表!$I$3:$I$24,[1]对照表!$L$3:$L$24),LOOKUP(H461,[1]对照表!$I$27:$I$48,[1]对照表!$L$27:$L$48)))))</f>
        <v>70</v>
      </c>
      <c r="J461" s="21">
        <v>210</v>
      </c>
      <c r="K461" s="32">
        <f>IF(B461="高三",IF($E461="男",LOOKUP(J461,[1]对照表!$O$3:$O$24,[1]对照表!$P$3:$P$24),LOOKUP(J461,[1]对照表!$O$27:$O$48,[1]对照表!$P$27:$P$48)),IF(B461="高二",IF($E461="男",LOOKUP(J461,[1]对照表!$N$3:$N$24,[1]对照表!$P$3:$P$24),LOOKUP(J461,[1]对照表!$N$27:$N$48,[1]对照表!$P$27:$P$48)),IF(B461="高一",IF($E461="男",LOOKUP(J461,[1]对照表!$M$3:$M$24,[1]对照表!$P$3:$P$24),LOOKUP(J461,[1]对照表!$M$27:$M$48,[1]对照表!$P$27:$P$48)))))</f>
        <v>66</v>
      </c>
      <c r="L461" s="21">
        <v>9</v>
      </c>
      <c r="M461" s="32">
        <f>IF(B461="高三",IF($E461="男",LOOKUP(L461,[1]对照表!$S$3:$S$24,[1]对照表!$T$3:$T$24),LOOKUP(L461,[1]对照表!$S$27:$S$48,[1]对照表!$T$27:$T$48)),IF(B461="高二",IF($E461="男",LOOKUP(L461,[1]对照表!$R$3:$R$24,[1]对照表!$T$3:$T$24),LOOKUP(L461,[1]对照表!$R$27:$R$48,[1]对照表!$T$27:$T$48)),IF(B461="高一",IF($E461="男",LOOKUP(L461,[1]对照表!$Q$3:$Q$24,[1]对照表!$T$3:$T$24),LOOKUP(L461,[1]对照表!$Q$27:$Q$48,[1]对照表!$T$27:$T$48)))))</f>
        <v>68</v>
      </c>
      <c r="N461" s="33">
        <f>IF(B461="高三",MAX(IF(E461="男",L461-18,L461-55),0),IF(B461="高二",MAX(IF(E461="男",L461-17,L461-54),0),IF(B461="高一",MAX(IF(E461="男",L461-16,L461-53),0))))</f>
        <v>0</v>
      </c>
      <c r="O461" s="23">
        <f>IF(E461="男",LOOKUP($N461,[1]对照表!$Z$3:$Z$13,[1]对照表!$AA$3:$AA$13),LOOKUP($N461,[1]对照表!$Z$15:$Z$25,[1]对照表!$AA$15:$AA$25))</f>
        <v>0</v>
      </c>
      <c r="P461" s="24">
        <f>M461+O461</f>
        <v>68</v>
      </c>
      <c r="Q461" s="25">
        <v>3.5</v>
      </c>
      <c r="R461" s="32">
        <f>IF(B461="高三",IF($E461="男",LOOKUP(Q461,[1]对照表!$W$3:$W$24,[1]对照表!$X$3:$X$24),LOOKUP(Q461,[1]对照表!$W$27:$W$48,[1]对照表!$X$27:$X$48)),IF(B461="高二",IF($E461="男",LOOKUP(Q461,[1]对照表!$V$3:$V$24,[1]对照表!$X$3:$X$24),LOOKUP(Q461,[1]对照表!$V$27:$V$48,[1]对照表!$X$27:$X$48)),IF(B461="高一",IF($E461="男",LOOKUP(Q461,[1]对照表!$U$3:$U$24,[1]对照表!$X$3:$X$24),LOOKUP(Q461,[1]对照表!$U$27:$U$48,[1]对照表!$X$27:$X$48)))))</f>
        <v>80</v>
      </c>
      <c r="S461" s="33">
        <f>ROUND(IF(IF($B461="高三",MIN(IF($E461="男",$Q461-3.2,$Q461-3.2),0),IF($B461="高二",MIN(IF($E461="男",$Q461-3.25,$Q461-3.22),0),IF($B461="高一",MIN(IF($E461="男",$Q461-3.3,$Q461-3.24),0))))&lt;-0.6,IF($B461="高三",MIN(IF($E461="男",$Q461-3.2,$Q461-3.2),0),IF($B461="高二",MIN(IF($E461="男",$Q461-3.25,$Q461-3.22),0),IF($B461="高一",MIN(IF($E461="男",$Q461-3.3,$Q461-3.24),0))))+0.4,IF($B461="高三",MIN(IF($E461="男",$Q461-3.2,$Q461-3.2),0),IF($B461="高二",MIN(IF($E461="男",$Q461-3.25,$Q461-3.22),0),IF($B461="高一",MIN(IF($E461="男",$Q461-3.3,$Q461-3.24),0))))),2)</f>
        <v>0</v>
      </c>
      <c r="T461" s="23">
        <f>IF(E461="男",LOOKUP($S461,[1]对照表!$AB$3:$AB$13,[1]对照表!$AC$3:$AC$13),LOOKUP($S461,[1]对照表!$AB$15:$AB$25,[1]对照表!$AC$15:$AC$25))</f>
        <v>0</v>
      </c>
      <c r="U461" s="26">
        <f>R461+T461</f>
        <v>80</v>
      </c>
      <c r="V461" s="26">
        <f>SUM(I461,K461,M461)/3*0.3+SUM(G461,R461)/2*0.4</f>
        <v>51.6</v>
      </c>
      <c r="W461" s="27">
        <f>O461+T461</f>
        <v>0</v>
      </c>
      <c r="X461" s="28">
        <f>V461/0.7+W461</f>
        <v>73.714285714285722</v>
      </c>
      <c r="Y461" s="28">
        <v>73.714285714285722</v>
      </c>
      <c r="Z461" s="21"/>
    </row>
    <row r="462" spans="1:26" x14ac:dyDescent="0.25">
      <c r="A462" s="16">
        <v>32</v>
      </c>
      <c r="B462" s="17" t="s">
        <v>21</v>
      </c>
      <c r="C462" s="16">
        <v>111</v>
      </c>
      <c r="D462" s="18" t="s">
        <v>444</v>
      </c>
      <c r="E462" s="17" t="s">
        <v>65</v>
      </c>
      <c r="F462" s="19">
        <v>8.58</v>
      </c>
      <c r="G462" s="20">
        <f>IF(B462="高三",IF($E462="男",LOOKUP(F462,[1]对照表!$G$3:$G$24,[1]对照表!$H$3:$H$24),LOOKUP(F462,[1]对照表!$G$27:$G$48,[1]对照表!$H$27:$H$48)),IF(B462="高二",IF($E462="男",LOOKUP(F462,[1]对照表!$F$3:$F$24,[1]对照表!$H$3:$H$24),LOOKUP(F462,[1]对照表!$F$27:$F$48,[1]对照表!$H$27:$H$48)),IF(B462="高一",IF($E462="男",LOOKUP(F462,[1]对照表!$E$3:$E$24,[1]对照表!$H$3:$H$24),LOOKUP(F462,[1]对照表!$E$27:$E$48,[1]对照表!$H$27:$H$48)))))</f>
        <v>80</v>
      </c>
      <c r="H462" s="21">
        <v>30.5</v>
      </c>
      <c r="I462" s="32">
        <f>IF(B462="高三",IF($E462="男",LOOKUP(H462,[1]对照表!$K$3:$K$24,[1]对照表!$L$3:$L$24),LOOKUP(H462,[1]对照表!$K$27:$K$48,[1]对照表!$L$27:$L$48)),IF(B462="高二",IF($E462="男",LOOKUP(H462,[1]对照表!$J$3:$J$24,[1]对照表!$L$3:$L$24),LOOKUP(H462,[1]对照表!$J$27:$J$48,[1]对照表!$L$27:$L$48)),IF(B462="高一",IF($E462="男",LOOKUP(H462,[1]对照表!$I$3:$I$24,[1]对照表!$L$3:$L$24),LOOKUP(H462,[1]对照表!$I$27:$I$48,[1]对照表!$L$27:$L$48)))))</f>
        <v>100</v>
      </c>
      <c r="J462" s="21">
        <v>198</v>
      </c>
      <c r="K462" s="32">
        <f>IF(B462="高三",IF($E462="男",LOOKUP(J462,[1]对照表!$O$3:$O$24,[1]对照表!$P$3:$P$24),LOOKUP(J462,[1]对照表!$O$27:$O$48,[1]对照表!$P$27:$P$48)),IF(B462="高二",IF($E462="男",LOOKUP(J462,[1]对照表!$N$3:$N$24,[1]对照表!$P$3:$P$24),LOOKUP(J462,[1]对照表!$N$27:$N$48,[1]对照表!$P$27:$P$48)),IF(B462="高一",IF($E462="男",LOOKUP(J462,[1]对照表!$M$3:$M$24,[1]对照表!$P$3:$P$24),LOOKUP(J462,[1]对照表!$M$27:$M$48,[1]对照表!$P$27:$P$48)))))</f>
        <v>95</v>
      </c>
      <c r="L462" s="21">
        <v>44</v>
      </c>
      <c r="M462" s="32">
        <f>IF(B462="高三",IF($E462="男",LOOKUP(L462,[1]对照表!$S$3:$S$24,[1]对照表!$T$3:$T$24),LOOKUP(L462,[1]对照表!$S$27:$S$48,[1]对照表!$T$27:$T$48)),IF(B462="高二",IF($E462="男",LOOKUP(L462,[1]对照表!$R$3:$R$24,[1]对照表!$T$3:$T$24),LOOKUP(L462,[1]对照表!$R$27:$R$48,[1]对照表!$T$27:$T$48)),IF(B462="高一",IF($E462="男",LOOKUP(L462,[1]对照表!$Q$3:$Q$24,[1]对照表!$T$3:$T$24),LOOKUP(L462,[1]对照表!$Q$27:$Q$48,[1]对照表!$T$27:$T$48)))))</f>
        <v>80</v>
      </c>
      <c r="N462" s="33">
        <f>IF(B462="高三",MAX(IF(E462="男",L462-18,L462-55),0),IF(B462="高二",MAX(IF(E462="男",L462-17,L462-54),0),IF(B462="高一",MAX(IF(E462="男",L462-16,L462-53),0))))</f>
        <v>0</v>
      </c>
      <c r="O462" s="23">
        <f>IF(E462="男",LOOKUP($N462,[1]对照表!$Z$3:$Z$13,[1]对照表!$AA$3:$AA$13),LOOKUP($N462,[1]对照表!$Z$15:$Z$25,[1]对照表!$AA$15:$AA$25))</f>
        <v>0</v>
      </c>
      <c r="P462" s="24">
        <f>M462+O462</f>
        <v>80</v>
      </c>
      <c r="Q462" s="25">
        <v>3.39</v>
      </c>
      <c r="R462" s="32">
        <f>IF(B462="高三",IF($E462="男",LOOKUP(Q462,[1]对照表!$W$3:$W$24,[1]对照表!$X$3:$X$24),LOOKUP(Q462,[1]对照表!$W$27:$W$48,[1]对照表!$X$27:$X$48)),IF(B462="高二",IF($E462="男",LOOKUP(Q462,[1]对照表!$V$3:$V$24,[1]对照表!$X$3:$X$24),LOOKUP(Q462,[1]对照表!$V$27:$V$48,[1]对照表!$X$27:$X$48)),IF(B462="高一",IF($E462="男",LOOKUP(Q462,[1]对照表!$U$3:$U$24,[1]对照表!$X$3:$X$24),LOOKUP(Q462,[1]对照表!$U$27:$U$48,[1]对照表!$X$27:$X$48)))))</f>
        <v>85</v>
      </c>
      <c r="S462" s="33">
        <f>ROUND(IF(IF($B462="高三",MIN(IF($E462="男",$Q462-3.2,$Q462-3.2),0),IF($B462="高二",MIN(IF($E462="男",$Q462-3.25,$Q462-3.22),0),IF($B462="高一",MIN(IF($E462="男",$Q462-3.3,$Q462-3.24),0))))&lt;-0.6,IF($B462="高三",MIN(IF($E462="男",$Q462-3.2,$Q462-3.2),0),IF($B462="高二",MIN(IF($E462="男",$Q462-3.25,$Q462-3.22),0),IF($B462="高一",MIN(IF($E462="男",$Q462-3.3,$Q462-3.24),0))))+0.4,IF($B462="高三",MIN(IF($E462="男",$Q462-3.2,$Q462-3.2),0),IF($B462="高二",MIN(IF($E462="男",$Q462-3.25,$Q462-3.22),0),IF($B462="高一",MIN(IF($E462="男",$Q462-3.3,$Q462-3.24),0))))),2)</f>
        <v>0</v>
      </c>
      <c r="T462" s="23">
        <f>IF(E462="男",LOOKUP($S462,[1]对照表!$AB$3:$AB$13,[1]对照表!$AC$3:$AC$13),LOOKUP($S462,[1]对照表!$AB$15:$AB$25,[1]对照表!$AC$15:$AC$25))</f>
        <v>0</v>
      </c>
      <c r="U462" s="26">
        <f>R462+T462</f>
        <v>85</v>
      </c>
      <c r="V462" s="26">
        <f>SUM(I462,K462,M462)/3*0.3+SUM(G462,R462)/2*0.4</f>
        <v>60.5</v>
      </c>
      <c r="W462" s="27">
        <f>O462+T462</f>
        <v>0</v>
      </c>
      <c r="X462" s="28">
        <f>V462/0.7+W462</f>
        <v>86.428571428571431</v>
      </c>
      <c r="Y462" s="28">
        <v>86.428571428571431</v>
      </c>
      <c r="Z462" s="21"/>
    </row>
    <row r="463" spans="1:26" x14ac:dyDescent="0.25">
      <c r="A463" s="16">
        <v>28</v>
      </c>
      <c r="B463" s="17" t="s">
        <v>21</v>
      </c>
      <c r="C463" s="16">
        <v>111</v>
      </c>
      <c r="D463" s="18" t="s">
        <v>449</v>
      </c>
      <c r="E463" s="17" t="s">
        <v>65</v>
      </c>
      <c r="F463" s="19">
        <v>9.27</v>
      </c>
      <c r="G463" s="32">
        <f>IF(B463="高三",IF($E463="男",LOOKUP(F463,[1]对照表!$G$3:$G$24,[1]对照表!$H$3:$H$24),LOOKUP(F463,[1]对照表!$G$27:$G$48,[1]对照表!$H$27:$H$48)),IF(B463="高二",IF($E463="男",LOOKUP(F463,[1]对照表!$F$3:$F$24,[1]对照表!$H$3:$H$24),LOOKUP(F463,[1]对照表!$F$27:$F$48,[1]对照表!$H$27:$H$48)),IF(B463="高一",IF($E463="男",LOOKUP(F463,[1]对照表!$E$3:$E$24,[1]对照表!$H$3:$H$24),LOOKUP(F463,[1]对照表!$E$27:$E$48,[1]对照表!$H$27:$H$48)))))</f>
        <v>72</v>
      </c>
      <c r="H463" s="21">
        <v>22.5</v>
      </c>
      <c r="I463" s="32">
        <f>IF(B463="高三",IF($E463="男",LOOKUP(H463,[1]对照表!$K$3:$K$24,[1]对照表!$L$3:$L$24),LOOKUP(H463,[1]对照表!$K$27:$K$48,[1]对照表!$L$27:$L$48)),IF(B463="高二",IF($E463="男",LOOKUP(H463,[1]对照表!$J$3:$J$24,[1]对照表!$L$3:$L$24),LOOKUP(H463,[1]对照表!$J$27:$J$48,[1]对照表!$L$27:$L$48)),IF(B463="高一",IF($E463="男",LOOKUP(H463,[1]对照表!$I$3:$I$24,[1]对照表!$L$3:$L$24),LOOKUP(H463,[1]对照表!$I$27:$I$48,[1]对照表!$L$27:$L$48)))))</f>
        <v>95</v>
      </c>
      <c r="J463" s="21">
        <v>171</v>
      </c>
      <c r="K463" s="32">
        <f>IF(B463="高三",IF($E463="男",LOOKUP(J463,[1]对照表!$O$3:$O$24,[1]对照表!$P$3:$P$24),LOOKUP(J463,[1]对照表!$O$27:$O$48,[1]对照表!$P$27:$P$48)),IF(B463="高二",IF($E463="男",LOOKUP(J463,[1]对照表!$N$3:$N$24,[1]对照表!$P$3:$P$24),LOOKUP(J463,[1]对照表!$N$27:$N$48,[1]对照表!$P$27:$P$48)),IF(B463="高一",IF($E463="男",LOOKUP(J463,[1]对照表!$M$3:$M$24,[1]对照表!$P$3:$P$24),LOOKUP(J463,[1]对照表!$M$27:$M$48,[1]对照表!$P$27:$P$48)))))</f>
        <v>74</v>
      </c>
      <c r="L463" s="21">
        <v>52</v>
      </c>
      <c r="M463" s="32">
        <f>IF(B463="高三",IF($E463="男",LOOKUP(L463,[1]对照表!$S$3:$S$24,[1]对照表!$T$3:$T$24),LOOKUP(L463,[1]对照表!$S$27:$S$48,[1]对照表!$T$27:$T$48)),IF(B463="高二",IF($E463="男",LOOKUP(L463,[1]对照表!$R$3:$R$24,[1]对照表!$T$3:$T$24),LOOKUP(L463,[1]对照表!$R$27:$R$48,[1]对照表!$T$27:$T$48)),IF(B463="高一",IF($E463="男",LOOKUP(L463,[1]对照表!$Q$3:$Q$24,[1]对照表!$T$3:$T$24),LOOKUP(L463,[1]对照表!$Q$27:$Q$48,[1]对照表!$T$27:$T$48)))))</f>
        <v>95</v>
      </c>
      <c r="N463" s="33">
        <f>IF(B463="高三",MAX(IF(E463="男",L463-18,L463-55),0),IF(B463="高二",MAX(IF(E463="男",L463-17,L463-54),0),IF(B463="高一",MAX(IF(E463="男",L463-16,L463-53),0))))</f>
        <v>0</v>
      </c>
      <c r="O463" s="23">
        <f>IF(E463="男",LOOKUP($N463,[1]对照表!$Z$3:$Z$13,[1]对照表!$AA$3:$AA$13),LOOKUP($N463,[1]对照表!$Z$15:$Z$25,[1]对照表!$AA$15:$AA$25))</f>
        <v>0</v>
      </c>
      <c r="P463" s="24">
        <f>M463+O463</f>
        <v>95</v>
      </c>
      <c r="Q463" s="25">
        <v>3.39</v>
      </c>
      <c r="R463" s="32">
        <f>IF(B463="高三",IF($E463="男",LOOKUP(Q463,[1]对照表!$W$3:$W$24,[1]对照表!$X$3:$X$24),LOOKUP(Q463,[1]对照表!$W$27:$W$48,[1]对照表!$X$27:$X$48)),IF(B463="高二",IF($E463="男",LOOKUP(Q463,[1]对照表!$V$3:$V$24,[1]对照表!$X$3:$X$24),LOOKUP(Q463,[1]对照表!$V$27:$V$48,[1]对照表!$X$27:$X$48)),IF(B463="高一",IF($E463="男",LOOKUP(Q463,[1]对照表!$U$3:$U$24,[1]对照表!$X$3:$X$24),LOOKUP(Q463,[1]对照表!$U$27:$U$48,[1]对照表!$X$27:$X$48)))))</f>
        <v>85</v>
      </c>
      <c r="S463" s="33">
        <f>ROUND(IF(IF($B463="高三",MIN(IF($E463="男",$Q463-3.2,$Q463-3.2),0),IF($B463="高二",MIN(IF($E463="男",$Q463-3.25,$Q463-3.22),0),IF($B463="高一",MIN(IF($E463="男",$Q463-3.3,$Q463-3.24),0))))&lt;-0.6,IF($B463="高三",MIN(IF($E463="男",$Q463-3.2,$Q463-3.2),0),IF($B463="高二",MIN(IF($E463="男",$Q463-3.25,$Q463-3.22),0),IF($B463="高一",MIN(IF($E463="男",$Q463-3.3,$Q463-3.24),0))))+0.4,IF($B463="高三",MIN(IF($E463="男",$Q463-3.2,$Q463-3.2),0),IF($B463="高二",MIN(IF($E463="男",$Q463-3.25,$Q463-3.22),0),IF($B463="高一",MIN(IF($E463="男",$Q463-3.3,$Q463-3.24),0))))),2)</f>
        <v>0</v>
      </c>
      <c r="T463" s="23">
        <f>IF(E463="男",LOOKUP($S463,[1]对照表!$AB$3:$AB$13,[1]对照表!$AC$3:$AC$13),LOOKUP($S463,[1]对照表!$AB$15:$AB$25,[1]对照表!$AC$15:$AC$25))</f>
        <v>0</v>
      </c>
      <c r="U463" s="26">
        <f>R463+T463</f>
        <v>85</v>
      </c>
      <c r="V463" s="26">
        <f>SUM(I463,K463,M463)/3*0.3+SUM(G463,R463)/2*0.4</f>
        <v>57.8</v>
      </c>
      <c r="W463" s="27">
        <f>O463+T463</f>
        <v>0</v>
      </c>
      <c r="X463" s="28">
        <f>V463/0.7+W463</f>
        <v>82.571428571428569</v>
      </c>
      <c r="Y463" s="28">
        <v>82.571428571428569</v>
      </c>
      <c r="Z463" s="21"/>
    </row>
    <row r="464" spans="1:26" x14ac:dyDescent="0.25">
      <c r="A464" s="16">
        <v>33</v>
      </c>
      <c r="B464" s="17" t="s">
        <v>21</v>
      </c>
      <c r="C464" s="16">
        <v>111</v>
      </c>
      <c r="D464" s="18" t="s">
        <v>450</v>
      </c>
      <c r="E464" s="17" t="s">
        <v>65</v>
      </c>
      <c r="F464" s="19">
        <v>9.3800000000000008</v>
      </c>
      <c r="G464" s="20">
        <f>IF(B464="高三",IF($E464="男",LOOKUP(F464,[1]对照表!$G$3:$G$24,[1]对照表!$H$3:$H$24),LOOKUP(F464,[1]对照表!$G$27:$G$48,[1]对照表!$H$27:$H$48)),IF(B464="高二",IF($E464="男",LOOKUP(F464,[1]对照表!$F$3:$F$24,[1]对照表!$H$3:$H$24),LOOKUP(F464,[1]对照表!$F$27:$F$48,[1]对照表!$H$27:$H$48)),IF(B464="高一",IF($E464="男",LOOKUP(F464,[1]对照表!$E$3:$E$24,[1]对照表!$H$3:$H$24),LOOKUP(F464,[1]对照表!$E$27:$E$48,[1]对照表!$H$27:$H$48)))))</f>
        <v>72</v>
      </c>
      <c r="H464" s="21">
        <v>34.5</v>
      </c>
      <c r="I464" s="32">
        <f>IF(B464="高三",IF($E464="男",LOOKUP(H464,[1]对照表!$K$3:$K$24,[1]对照表!$L$3:$L$24),LOOKUP(H464,[1]对照表!$K$27:$K$48,[1]对照表!$L$27:$L$48)),IF(B464="高二",IF($E464="男",LOOKUP(H464,[1]对照表!$J$3:$J$24,[1]对照表!$L$3:$L$24),LOOKUP(H464,[1]对照表!$J$27:$J$48,[1]对照表!$L$27:$L$48)),IF(B464="高一",IF($E464="男",LOOKUP(H464,[1]对照表!$I$3:$I$24,[1]对照表!$L$3:$L$24),LOOKUP(H464,[1]对照表!$I$27:$I$48,[1]对照表!$L$27:$L$48)))))</f>
        <v>100</v>
      </c>
      <c r="J464" s="21">
        <v>183</v>
      </c>
      <c r="K464" s="32">
        <f>IF(B464="高三",IF($E464="男",LOOKUP(J464,[1]对照表!$O$3:$O$24,[1]对照表!$P$3:$P$24),LOOKUP(J464,[1]对照表!$O$27:$O$48,[1]对照表!$P$27:$P$48)),IF(B464="高二",IF($E464="男",LOOKUP(J464,[1]对照表!$N$3:$N$24,[1]对照表!$P$3:$P$24),LOOKUP(J464,[1]对照表!$N$27:$N$48,[1]对照表!$P$27:$P$48)),IF(B464="高一",IF($E464="男",LOOKUP(J464,[1]对照表!$M$3:$M$24,[1]对照表!$P$3:$P$24),LOOKUP(J464,[1]对照表!$M$27:$M$48,[1]对照表!$P$27:$P$48)))))</f>
        <v>80</v>
      </c>
      <c r="L464" s="21">
        <v>43</v>
      </c>
      <c r="M464" s="32">
        <f>IF(B464="高三",IF($E464="男",LOOKUP(L464,[1]对照表!$S$3:$S$24,[1]对照表!$T$3:$T$24),LOOKUP(L464,[1]对照表!$S$27:$S$48,[1]对照表!$T$27:$T$48)),IF(B464="高二",IF($E464="男",LOOKUP(L464,[1]对照表!$R$3:$R$24,[1]对照表!$T$3:$T$24),LOOKUP(L464,[1]对照表!$R$27:$R$48,[1]对照表!$T$27:$T$48)),IF(B464="高一",IF($E464="男",LOOKUP(L464,[1]对照表!$Q$3:$Q$24,[1]对照表!$T$3:$T$24),LOOKUP(L464,[1]对照表!$Q$27:$Q$48,[1]对照表!$T$27:$T$48)))))</f>
        <v>80</v>
      </c>
      <c r="N464" s="33">
        <f>IF(B464="高三",MAX(IF(E464="男",L464-18,L464-55),0),IF(B464="高二",MAX(IF(E464="男",L464-17,L464-54),0),IF(B464="高一",MAX(IF(E464="男",L464-16,L464-53),0))))</f>
        <v>0</v>
      </c>
      <c r="O464" s="23">
        <f>IF(E464="男",LOOKUP($N464,[1]对照表!$Z$3:$Z$13,[1]对照表!$AA$3:$AA$13),LOOKUP($N464,[1]对照表!$Z$15:$Z$25,[1]对照表!$AA$15:$AA$25))</f>
        <v>0</v>
      </c>
      <c r="P464" s="24">
        <f>M464+O464</f>
        <v>80</v>
      </c>
      <c r="Q464" s="25">
        <v>3.39</v>
      </c>
      <c r="R464" s="32">
        <f>IF(B464="高三",IF($E464="男",LOOKUP(Q464,[1]对照表!$W$3:$W$24,[1]对照表!$X$3:$X$24),LOOKUP(Q464,[1]对照表!$W$27:$W$48,[1]对照表!$X$27:$X$48)),IF(B464="高二",IF($E464="男",LOOKUP(Q464,[1]对照表!$V$3:$V$24,[1]对照表!$X$3:$X$24),LOOKUP(Q464,[1]对照表!$V$27:$V$48,[1]对照表!$X$27:$X$48)),IF(B464="高一",IF($E464="男",LOOKUP(Q464,[1]对照表!$U$3:$U$24,[1]对照表!$X$3:$X$24),LOOKUP(Q464,[1]对照表!$U$27:$U$48,[1]对照表!$X$27:$X$48)))))</f>
        <v>85</v>
      </c>
      <c r="S464" s="33">
        <f>ROUND(IF(IF($B464="高三",MIN(IF($E464="男",$Q464-3.2,$Q464-3.2),0),IF($B464="高二",MIN(IF($E464="男",$Q464-3.25,$Q464-3.22),0),IF($B464="高一",MIN(IF($E464="男",$Q464-3.3,$Q464-3.24),0))))&lt;-0.6,IF($B464="高三",MIN(IF($E464="男",$Q464-3.2,$Q464-3.2),0),IF($B464="高二",MIN(IF($E464="男",$Q464-3.25,$Q464-3.22),0),IF($B464="高一",MIN(IF($E464="男",$Q464-3.3,$Q464-3.24),0))))+0.4,IF($B464="高三",MIN(IF($E464="男",$Q464-3.2,$Q464-3.2),0),IF($B464="高二",MIN(IF($E464="男",$Q464-3.25,$Q464-3.22),0),IF($B464="高一",MIN(IF($E464="男",$Q464-3.3,$Q464-3.24),0))))),2)</f>
        <v>0</v>
      </c>
      <c r="T464" s="23">
        <f>IF(E464="男",LOOKUP($S464,[1]对照表!$AB$3:$AB$13,[1]对照表!$AC$3:$AC$13),LOOKUP($S464,[1]对照表!$AB$15:$AB$25,[1]对照表!$AC$15:$AC$25))</f>
        <v>0</v>
      </c>
      <c r="U464" s="26">
        <f>R464+T464</f>
        <v>85</v>
      </c>
      <c r="V464" s="26">
        <f>SUM(I464,K464,M464)/3*0.3+SUM(G464,R464)/2*0.4</f>
        <v>57.400000000000006</v>
      </c>
      <c r="W464" s="27">
        <f>O464+T464</f>
        <v>0</v>
      </c>
      <c r="X464" s="28">
        <f>V464/0.7+W464</f>
        <v>82.000000000000014</v>
      </c>
      <c r="Y464" s="28">
        <v>82.000000000000014</v>
      </c>
      <c r="Z464" s="21"/>
    </row>
    <row r="465" spans="1:26" x14ac:dyDescent="0.25">
      <c r="A465" s="16">
        <v>41</v>
      </c>
      <c r="B465" s="17" t="s">
        <v>21</v>
      </c>
      <c r="C465" s="16">
        <v>111</v>
      </c>
      <c r="D465" s="18" t="s">
        <v>459</v>
      </c>
      <c r="E465" s="17" t="s">
        <v>65</v>
      </c>
      <c r="F465" s="19">
        <v>9.82</v>
      </c>
      <c r="G465" s="32">
        <f>IF(B465="高三",IF($E465="男",LOOKUP(F465,[1]对照表!$G$3:$G$24,[1]对照表!$H$3:$H$24),LOOKUP(F465,[1]对照表!$G$27:$G$48,[1]对照表!$H$27:$H$48)),IF(B465="高二",IF($E465="男",LOOKUP(F465,[1]对照表!$F$3:$F$24,[1]对照表!$H$3:$H$24),LOOKUP(F465,[1]对照表!$F$27:$F$48,[1]对照表!$H$27:$H$48)),IF(B465="高一",IF($E465="男",LOOKUP(F465,[1]对照表!$E$3:$E$24,[1]对照表!$H$3:$H$24),LOOKUP(F465,[1]对照表!$E$27:$E$48,[1]对照表!$H$27:$H$48)))))</f>
        <v>66</v>
      </c>
      <c r="H465" s="21">
        <v>16.5</v>
      </c>
      <c r="I465" s="32">
        <f>IF(B465="高三",IF($E465="男",LOOKUP(H465,[1]对照表!$K$3:$K$24,[1]对照表!$L$3:$L$24),LOOKUP(H465,[1]对照表!$K$27:$K$48,[1]对照表!$L$27:$L$48)),IF(B465="高二",IF($E465="男",LOOKUP(H465,[1]对照表!$J$3:$J$24,[1]对照表!$L$3:$L$24),LOOKUP(H465,[1]对照表!$J$27:$J$48,[1]对照表!$L$27:$L$48)),IF(B465="高一",IF($E465="男",LOOKUP(H465,[1]对照表!$I$3:$I$24,[1]对照表!$L$3:$L$24),LOOKUP(H465,[1]对照表!$I$27:$I$48,[1]对照表!$L$27:$L$48)))))</f>
        <v>78</v>
      </c>
      <c r="J465" s="21">
        <v>152</v>
      </c>
      <c r="K465" s="32">
        <f>IF(B465="高三",IF($E465="男",LOOKUP(J465,[1]对照表!$O$3:$O$24,[1]对照表!$P$3:$P$24),LOOKUP(J465,[1]对照表!$O$27:$O$48,[1]对照表!$P$27:$P$48)),IF(B465="高二",IF($E465="男",LOOKUP(J465,[1]对照表!$N$3:$N$24,[1]对照表!$P$3:$P$24),LOOKUP(J465,[1]对照表!$N$27:$N$48,[1]对照表!$P$27:$P$48)),IF(B465="高一",IF($E465="男",LOOKUP(J465,[1]对照表!$M$3:$M$24,[1]对照表!$P$3:$P$24),LOOKUP(J465,[1]对照表!$M$27:$M$48,[1]对照表!$P$27:$P$48)))))</f>
        <v>62</v>
      </c>
      <c r="L465" s="21">
        <v>42</v>
      </c>
      <c r="M465" s="32">
        <f>IF(B465="高三",IF($E465="男",LOOKUP(L465,[1]对照表!$S$3:$S$24,[1]对照表!$T$3:$T$24),LOOKUP(L465,[1]对照表!$S$27:$S$48,[1]对照表!$T$27:$T$48)),IF(B465="高二",IF($E465="男",LOOKUP(L465,[1]对照表!$R$3:$R$24,[1]对照表!$T$3:$T$24),LOOKUP(L465,[1]对照表!$R$27:$R$48,[1]对照表!$T$27:$T$48)),IF(B465="高一",IF($E465="男",LOOKUP(L465,[1]对照表!$Q$3:$Q$24,[1]对照表!$T$3:$T$24),LOOKUP(L465,[1]对照表!$Q$27:$Q$48,[1]对照表!$T$27:$T$48)))))</f>
        <v>78</v>
      </c>
      <c r="N465" s="33">
        <f>IF(B465="高三",MAX(IF(E465="男",L465-18,L465-55),0),IF(B465="高二",MAX(IF(E465="男",L465-17,L465-54),0),IF(B465="高一",MAX(IF(E465="男",L465-16,L465-53),0))))</f>
        <v>0</v>
      </c>
      <c r="O465" s="23">
        <f>IF(E465="男",LOOKUP($N465,[1]对照表!$Z$3:$Z$13,[1]对照表!$AA$3:$AA$13),LOOKUP($N465,[1]对照表!$Z$15:$Z$25,[1]对照表!$AA$15:$AA$25))</f>
        <v>0</v>
      </c>
      <c r="P465" s="24">
        <f>M465+O465</f>
        <v>78</v>
      </c>
      <c r="Q465" s="25">
        <v>3.4</v>
      </c>
      <c r="R465" s="32">
        <f>IF(B465="高三",IF($E465="男",LOOKUP(Q465,[1]对照表!$W$3:$W$24,[1]对照表!$X$3:$X$24),LOOKUP(Q465,[1]对照表!$W$27:$W$48,[1]对照表!$X$27:$X$48)),IF(B465="高二",IF($E465="男",LOOKUP(Q465,[1]对照表!$V$3:$V$24,[1]对照表!$X$3:$X$24),LOOKUP(Q465,[1]对照表!$V$27:$V$48,[1]对照表!$X$27:$X$48)),IF(B465="高一",IF($E465="男",LOOKUP(Q465,[1]对照表!$U$3:$U$24,[1]对照表!$X$3:$X$24),LOOKUP(Q465,[1]对照表!$U$27:$U$48,[1]对照表!$X$27:$X$48)))))</f>
        <v>85</v>
      </c>
      <c r="S465" s="33">
        <f>ROUND(IF(IF($B465="高三",MIN(IF($E465="男",$Q465-3.2,$Q465-3.2),0),IF($B465="高二",MIN(IF($E465="男",$Q465-3.25,$Q465-3.22),0),IF($B465="高一",MIN(IF($E465="男",$Q465-3.3,$Q465-3.24),0))))&lt;-0.6,IF($B465="高三",MIN(IF($E465="男",$Q465-3.2,$Q465-3.2),0),IF($B465="高二",MIN(IF($E465="男",$Q465-3.25,$Q465-3.22),0),IF($B465="高一",MIN(IF($E465="男",$Q465-3.3,$Q465-3.24),0))))+0.4,IF($B465="高三",MIN(IF($E465="男",$Q465-3.2,$Q465-3.2),0),IF($B465="高二",MIN(IF($E465="男",$Q465-3.25,$Q465-3.22),0),IF($B465="高一",MIN(IF($E465="男",$Q465-3.3,$Q465-3.24),0))))),2)</f>
        <v>0</v>
      </c>
      <c r="T465" s="23">
        <f>IF(E465="男",LOOKUP($S465,[1]对照表!$AB$3:$AB$13,[1]对照表!$AC$3:$AC$13),LOOKUP($S465,[1]对照表!$AB$15:$AB$25,[1]对照表!$AC$15:$AC$25))</f>
        <v>0</v>
      </c>
      <c r="U465" s="26">
        <f>R465+T465</f>
        <v>85</v>
      </c>
      <c r="V465" s="26">
        <f>SUM(I465,K465,M465)/3*0.3+SUM(G465,R465)/2*0.4</f>
        <v>52</v>
      </c>
      <c r="W465" s="27">
        <f>O465+T465</f>
        <v>0</v>
      </c>
      <c r="X465" s="28">
        <f>V465/0.7+W465</f>
        <v>74.285714285714292</v>
      </c>
      <c r="Y465" s="28">
        <v>74.285714285714292</v>
      </c>
      <c r="Z465" s="21"/>
    </row>
    <row r="466" spans="1:26" x14ac:dyDescent="0.25">
      <c r="A466" s="16">
        <v>12</v>
      </c>
      <c r="B466" s="17" t="s">
        <v>21</v>
      </c>
      <c r="C466" s="16">
        <v>111</v>
      </c>
      <c r="D466" s="18" t="s">
        <v>481</v>
      </c>
      <c r="E466" s="17" t="s">
        <v>23</v>
      </c>
      <c r="F466" s="19">
        <v>7.6</v>
      </c>
      <c r="G466" s="32">
        <f>IF(B466="高三",IF($E466="男",LOOKUP(F466,[1]对照表!$G$3:$G$24,[1]对照表!$H$3:$H$24),LOOKUP(F466,[1]对照表!$G$27:$G$48,[1]对照表!$H$27:$H$48)),IF(B466="高二",IF($E466="男",LOOKUP(F466,[1]对照表!$F$3:$F$24,[1]对照表!$H$3:$H$24),LOOKUP(F466,[1]对照表!$F$27:$F$48,[1]对照表!$H$27:$H$48)),IF(B466="高一",IF($E466="男",LOOKUP(F466,[1]对照表!$E$3:$E$24,[1]对照表!$H$3:$H$24),LOOKUP(F466,[1]对照表!$E$27:$E$48,[1]对照表!$H$27:$H$48)))))</f>
        <v>78</v>
      </c>
      <c r="H466" s="21">
        <v>20.399999999999999</v>
      </c>
      <c r="I466" s="32">
        <f>IF(B466="高三",IF($E466="男",LOOKUP(H466,[1]对照表!$K$3:$K$24,[1]对照表!$L$3:$L$24),LOOKUP(H466,[1]对照表!$K$27:$K$48,[1]对照表!$L$27:$L$48)),IF(B466="高二",IF($E466="男",LOOKUP(H466,[1]对照表!$J$3:$J$24,[1]对照表!$L$3:$L$24),LOOKUP(H466,[1]对照表!$J$27:$J$48,[1]对照表!$L$27:$L$48)),IF(B466="高一",IF($E466="男",LOOKUP(H466,[1]对照表!$I$3:$I$24,[1]对照表!$L$3:$L$24),LOOKUP(H466,[1]对照表!$I$27:$I$48,[1]对照表!$L$27:$L$48)))))</f>
        <v>90</v>
      </c>
      <c r="J466" s="21">
        <v>240</v>
      </c>
      <c r="K466" s="32">
        <f>IF(B466="高三",IF($E466="男",LOOKUP(J466,[1]对照表!$O$3:$O$24,[1]对照表!$P$3:$P$24),LOOKUP(J466,[1]对照表!$O$27:$O$48,[1]对照表!$P$27:$P$48)),IF(B466="高二",IF($E466="男",LOOKUP(J466,[1]对照表!$N$3:$N$24,[1]对照表!$P$3:$P$24),LOOKUP(J466,[1]对照表!$N$27:$N$48,[1]对照表!$P$27:$P$48)),IF(B466="高一",IF($E466="男",LOOKUP(J466,[1]对照表!$M$3:$M$24,[1]对照表!$P$3:$P$24),LOOKUP(J466,[1]对照表!$M$27:$M$48,[1]对照表!$P$27:$P$48)))))</f>
        <v>80</v>
      </c>
      <c r="L466" s="21" t="s">
        <v>319</v>
      </c>
      <c r="M466" s="20">
        <v>0</v>
      </c>
      <c r="N466" s="42">
        <v>0</v>
      </c>
      <c r="O466" s="23">
        <f>IF(E466="男",LOOKUP($N466,[1]对照表!$Z$3:$Z$13,[1]对照表!$AA$3:$AA$13),LOOKUP($N466,[1]对照表!$Z$15:$Z$25,[1]对照表!$AA$15:$AA$25))</f>
        <v>0</v>
      </c>
      <c r="P466" s="24">
        <f>M466+O466</f>
        <v>0</v>
      </c>
      <c r="Q466" s="25">
        <v>3.46</v>
      </c>
      <c r="R466" s="32">
        <f>IF(B466="高三",IF($E466="男",LOOKUP(Q466,[1]对照表!$W$3:$W$24,[1]对照表!$X$3:$X$24),LOOKUP(Q466,[1]对照表!$W$27:$W$48,[1]对照表!$X$27:$X$48)),IF(B466="高二",IF($E466="男",LOOKUP(Q466,[1]对照表!$V$3:$V$24,[1]对照表!$X$3:$X$24),LOOKUP(Q466,[1]对照表!$V$27:$V$48,[1]对照表!$X$27:$X$48)),IF(B466="高一",IF($E466="男",LOOKUP(Q466,[1]对照表!$U$3:$U$24,[1]对照表!$X$3:$X$24),LOOKUP(Q466,[1]对照表!$U$27:$U$48,[1]对照表!$X$27:$X$48)))))</f>
        <v>85</v>
      </c>
      <c r="S466" s="33">
        <f>ROUND(IF(IF($B466="高三",MIN(IF($E466="男",$Q466-3.2,$Q466-3.2),0),IF($B466="高二",MIN(IF($E466="男",$Q466-3.25,$Q466-3.22),0),IF($B466="高一",MIN(IF($E466="男",$Q466-3.3,$Q466-3.24),0))))&lt;-0.6,IF($B466="高三",MIN(IF($E466="男",$Q466-3.2,$Q466-3.2),0),IF($B466="高二",MIN(IF($E466="男",$Q466-3.25,$Q466-3.22),0),IF($B466="高一",MIN(IF($E466="男",$Q466-3.3,$Q466-3.24),0))))+0.4,IF($B466="高三",MIN(IF($E466="男",$Q466-3.2,$Q466-3.2),0),IF($B466="高二",MIN(IF($E466="男",$Q466-3.25,$Q466-3.22),0),IF($B466="高一",MIN(IF($E466="男",$Q466-3.3,$Q466-3.24),0))))),2)</f>
        <v>0</v>
      </c>
      <c r="T466" s="23">
        <f>IF(E466="男",LOOKUP($S466,[1]对照表!$AB$3:$AB$13,[1]对照表!$AC$3:$AC$13),LOOKUP($S466,[1]对照表!$AB$15:$AB$25,[1]对照表!$AC$15:$AC$25))</f>
        <v>0</v>
      </c>
      <c r="U466" s="26">
        <f>R466+T466</f>
        <v>85</v>
      </c>
      <c r="V466" s="26">
        <f>SUM(I466,K466,M466)/3*0.3+SUM(G466,R466)/2*0.4</f>
        <v>49.6</v>
      </c>
      <c r="W466" s="27">
        <f>O466+T466</f>
        <v>0</v>
      </c>
      <c r="X466" s="28">
        <f>V466/0.7+W466</f>
        <v>70.857142857142861</v>
      </c>
      <c r="Y466" s="28">
        <v>70.857142857142861</v>
      </c>
      <c r="Z466" s="21"/>
    </row>
    <row r="467" spans="1:26" x14ac:dyDescent="0.25">
      <c r="A467" s="16">
        <v>13</v>
      </c>
      <c r="B467" s="17" t="s">
        <v>21</v>
      </c>
      <c r="C467" s="16">
        <v>111</v>
      </c>
      <c r="D467" s="18" t="s">
        <v>482</v>
      </c>
      <c r="E467" s="17" t="s">
        <v>23</v>
      </c>
      <c r="F467" s="19">
        <v>7.4</v>
      </c>
      <c r="G467" s="32">
        <f>IF(B467="高三",IF($E467="男",LOOKUP(F467,[1]对照表!$G$3:$G$24,[1]对照表!$H$3:$H$24),LOOKUP(F467,[1]对照表!$G$27:$G$48,[1]对照表!$H$27:$H$48)),IF(B467="高二",IF($E467="男",LOOKUP(F467,[1]对照表!$F$3:$F$24,[1]对照表!$H$3:$H$24),LOOKUP(F467,[1]对照表!$F$27:$F$48,[1]对照表!$H$27:$H$48)),IF(B467="高一",IF($E467="男",LOOKUP(F467,[1]对照表!$E$3:$E$24,[1]对照表!$H$3:$H$24),LOOKUP(F467,[1]对照表!$E$27:$E$48,[1]对照表!$H$27:$H$48)))))</f>
        <v>85</v>
      </c>
      <c r="H467" s="21">
        <v>8.5</v>
      </c>
      <c r="I467" s="32">
        <f>IF(B467="高三",IF($E467="男",LOOKUP(H467,[1]对照表!$K$3:$K$24,[1]对照表!$L$3:$L$24),LOOKUP(H467,[1]对照表!$K$27:$K$48,[1]对照表!$L$27:$L$48)),IF(B467="高二",IF($E467="男",LOOKUP(H467,[1]对照表!$J$3:$J$24,[1]对照表!$L$3:$L$24),LOOKUP(H467,[1]对照表!$J$27:$J$48,[1]对照表!$L$27:$L$48)),IF(B467="高一",IF($E467="男",LOOKUP(H467,[1]对照表!$I$3:$I$24,[1]对照表!$L$3:$L$24),LOOKUP(H467,[1]对照表!$I$27:$I$48,[1]对照表!$L$27:$L$48)))))</f>
        <v>70</v>
      </c>
      <c r="J467" s="21">
        <v>227</v>
      </c>
      <c r="K467" s="32">
        <f>IF(B467="高三",IF($E467="男",LOOKUP(J467,[1]对照表!$O$3:$O$24,[1]对照表!$P$3:$P$24),LOOKUP(J467,[1]对照表!$O$27:$O$48,[1]对照表!$P$27:$P$48)),IF(B467="高二",IF($E467="男",LOOKUP(J467,[1]对照表!$N$3:$N$24,[1]对照表!$P$3:$P$24),LOOKUP(J467,[1]对照表!$N$27:$N$48,[1]对照表!$P$27:$P$48)),IF(B467="高一",IF($E467="男",LOOKUP(J467,[1]对照表!$M$3:$M$24,[1]对照表!$P$3:$P$24),LOOKUP(J467,[1]对照表!$M$27:$M$48,[1]对照表!$P$27:$P$48)))))</f>
        <v>76</v>
      </c>
      <c r="L467" s="21">
        <v>3</v>
      </c>
      <c r="M467" s="32">
        <f>IF(B467="高三",IF($E467="男",LOOKUP(L467,[1]对照表!$S$3:$S$24,[1]对照表!$T$3:$T$24),LOOKUP(L467,[1]对照表!$S$27:$S$48,[1]对照表!$T$27:$T$48)),IF(B467="高二",IF($E467="男",LOOKUP(L467,[1]对照表!$R$3:$R$24,[1]对照表!$T$3:$T$24),LOOKUP(L467,[1]对照表!$R$27:$R$48,[1]对照表!$T$27:$T$48)),IF(B467="高一",IF($E467="男",LOOKUP(L467,[1]对照表!$Q$3:$Q$24,[1]对照表!$T$3:$T$24),LOOKUP(L467,[1]对照表!$Q$27:$Q$48,[1]对照表!$T$27:$T$48)))))</f>
        <v>20</v>
      </c>
      <c r="N467" s="33">
        <f>IF(B467="高三",MAX(IF(E467="男",L467-18,L467-55),0),IF(B467="高二",MAX(IF(E467="男",L467-17,L467-54),0),IF(B467="高一",MAX(IF(E467="男",L467-16,L467-53),0))))</f>
        <v>0</v>
      </c>
      <c r="O467" s="23">
        <f>IF(E467="男",LOOKUP($N467,[1]对照表!$Z$3:$Z$13,[1]对照表!$AA$3:$AA$13),LOOKUP($N467,[1]对照表!$Z$15:$Z$25,[1]对照表!$AA$15:$AA$25))</f>
        <v>0</v>
      </c>
      <c r="P467" s="24">
        <f>M467+O467</f>
        <v>20</v>
      </c>
      <c r="Q467" s="25">
        <v>3.52</v>
      </c>
      <c r="R467" s="32">
        <f>IF(B467="高三",IF($E467="男",LOOKUP(Q467,[1]对照表!$W$3:$W$24,[1]对照表!$X$3:$X$24),LOOKUP(Q467,[1]对照表!$W$27:$W$48,[1]对照表!$X$27:$X$48)),IF(B467="高二",IF($E467="男",LOOKUP(Q467,[1]对照表!$V$3:$V$24,[1]对照表!$X$3:$X$24),LOOKUP(Q467,[1]对照表!$V$27:$V$48,[1]对照表!$X$27:$X$48)),IF(B467="高一",IF($E467="男",LOOKUP(Q467,[1]对照表!$U$3:$U$24,[1]对照表!$X$3:$X$24),LOOKUP(Q467,[1]对照表!$U$27:$U$48,[1]对照表!$X$27:$X$48)))))</f>
        <v>80</v>
      </c>
      <c r="S467" s="33">
        <f>ROUND(IF(IF($B467="高三",MIN(IF($E467="男",$Q467-3.2,$Q467-3.2),0),IF($B467="高二",MIN(IF($E467="男",$Q467-3.25,$Q467-3.22),0),IF($B467="高一",MIN(IF($E467="男",$Q467-3.3,$Q467-3.24),0))))&lt;-0.6,IF($B467="高三",MIN(IF($E467="男",$Q467-3.2,$Q467-3.2),0),IF($B467="高二",MIN(IF($E467="男",$Q467-3.25,$Q467-3.22),0),IF($B467="高一",MIN(IF($E467="男",$Q467-3.3,$Q467-3.24),0))))+0.4,IF($B467="高三",MIN(IF($E467="男",$Q467-3.2,$Q467-3.2),0),IF($B467="高二",MIN(IF($E467="男",$Q467-3.25,$Q467-3.22),0),IF($B467="高一",MIN(IF($E467="男",$Q467-3.3,$Q467-3.24),0))))),2)</f>
        <v>0</v>
      </c>
      <c r="T467" s="23">
        <f>IF(E467="男",LOOKUP($S467,[1]对照表!$AB$3:$AB$13,[1]对照表!$AC$3:$AC$13),LOOKUP($S467,[1]对照表!$AB$15:$AB$25,[1]对照表!$AC$15:$AC$25))</f>
        <v>0</v>
      </c>
      <c r="U467" s="26">
        <f>R467+T467</f>
        <v>80</v>
      </c>
      <c r="V467" s="26">
        <f>SUM(I467,K467,M467)/3*0.3+SUM(G467,R467)/2*0.4</f>
        <v>49.6</v>
      </c>
      <c r="W467" s="27">
        <f>O467+T467</f>
        <v>0</v>
      </c>
      <c r="X467" s="28">
        <f>V467/0.7+W467</f>
        <v>70.857142857142861</v>
      </c>
      <c r="Y467" s="28">
        <v>70.857142857142861</v>
      </c>
      <c r="Z467" s="21"/>
    </row>
    <row r="468" spans="1:26" x14ac:dyDescent="0.25">
      <c r="A468" s="16">
        <v>30</v>
      </c>
      <c r="B468" s="17" t="s">
        <v>21</v>
      </c>
      <c r="C468" s="16">
        <v>111</v>
      </c>
      <c r="D468" s="18" t="s">
        <v>498</v>
      </c>
      <c r="E468" s="17" t="s">
        <v>65</v>
      </c>
      <c r="F468" s="19">
        <v>10.199999999999999</v>
      </c>
      <c r="G468" s="32">
        <f>IF(B468="高三",IF($E468="男",LOOKUP(F468,[1]对照表!$G$3:$G$24,[1]对照表!$H$3:$H$24),LOOKUP(F468,[1]对照表!$G$27:$G$48,[1]对照表!$H$27:$H$48)),IF(B468="高二",IF($E468="男",LOOKUP(F468,[1]对照表!$F$3:$F$24,[1]对照表!$H$3:$H$24),LOOKUP(F468,[1]对照表!$F$27:$F$48,[1]对照表!$H$27:$H$48)),IF(B468="高一",IF($E468="男",LOOKUP(F468,[1]对照表!$E$3:$E$24,[1]对照表!$H$3:$H$24),LOOKUP(F468,[1]对照表!$E$27:$E$48,[1]对照表!$H$27:$H$48)))))</f>
        <v>64</v>
      </c>
      <c r="H468" s="21">
        <v>22</v>
      </c>
      <c r="I468" s="32">
        <f>IF(B468="高三",IF($E468="男",LOOKUP(H468,[1]对照表!$K$3:$K$24,[1]对照表!$L$3:$L$24),LOOKUP(H468,[1]对照表!$K$27:$K$48,[1]对照表!$L$27:$L$48)),IF(B468="高二",IF($E468="男",LOOKUP(H468,[1]对照表!$J$3:$J$24,[1]对照表!$L$3:$L$24),LOOKUP(H468,[1]对照表!$J$27:$J$48,[1]对照表!$L$27:$L$48)),IF(B468="高一",IF($E468="男",LOOKUP(H468,[1]对照表!$I$3:$I$24,[1]对照表!$L$3:$L$24),LOOKUP(H468,[1]对照表!$I$27:$I$48,[1]对照表!$L$27:$L$48)))))</f>
        <v>90</v>
      </c>
      <c r="J468" s="21">
        <v>162</v>
      </c>
      <c r="K468" s="32">
        <f>IF(B468="高三",IF($E468="男",LOOKUP(J468,[1]对照表!$O$3:$O$24,[1]对照表!$P$3:$P$24),LOOKUP(J468,[1]对照表!$O$27:$O$48,[1]对照表!$P$27:$P$48)),IF(B468="高二",IF($E468="男",LOOKUP(J468,[1]对照表!$N$3:$N$24,[1]对照表!$P$3:$P$24),LOOKUP(J468,[1]对照表!$N$27:$N$48,[1]对照表!$P$27:$P$48)),IF(B468="高一",IF($E468="男",LOOKUP(J468,[1]对照表!$M$3:$M$24,[1]对照表!$P$3:$P$24),LOOKUP(J468,[1]对照表!$M$27:$M$48,[1]对照表!$P$27:$P$48)))))</f>
        <v>68</v>
      </c>
      <c r="L468" s="21">
        <v>51</v>
      </c>
      <c r="M468" s="32">
        <f>IF(B468="高三",IF($E468="男",LOOKUP(L468,[1]对照表!$S$3:$S$24,[1]对照表!$T$3:$T$24),LOOKUP(L468,[1]对照表!$S$27:$S$48,[1]对照表!$T$27:$T$48)),IF(B468="高二",IF($E468="男",LOOKUP(L468,[1]对照表!$R$3:$R$24,[1]对照表!$T$3:$T$24),LOOKUP(L468,[1]对照表!$R$27:$R$48,[1]对照表!$T$27:$T$48)),IF(B468="高一",IF($E468="男",LOOKUP(L468,[1]对照表!$Q$3:$Q$24,[1]对照表!$T$3:$T$24),LOOKUP(L468,[1]对照表!$Q$27:$Q$48,[1]对照表!$T$27:$T$48)))))</f>
        <v>95</v>
      </c>
      <c r="N468" s="33">
        <f>IF(B468="高三",MAX(IF(E468="男",L468-18,L468-55),0),IF(B468="高二",MAX(IF(E468="男",L468-17,L468-54),0),IF(B468="高一",MAX(IF(E468="男",L468-16,L468-53),0))))</f>
        <v>0</v>
      </c>
      <c r="O468" s="23">
        <f>IF(E468="男",LOOKUP($N468,[1]对照表!$Z$3:$Z$13,[1]对照表!$AA$3:$AA$13),LOOKUP($N468,[1]对照表!$Z$15:$Z$25,[1]对照表!$AA$15:$AA$25))</f>
        <v>0</v>
      </c>
      <c r="P468" s="24">
        <f>M468+O468</f>
        <v>95</v>
      </c>
      <c r="Q468" s="25">
        <v>3.43</v>
      </c>
      <c r="R468" s="32">
        <f>IF(B468="高三",IF($E468="男",LOOKUP(Q468,[1]对照表!$W$3:$W$24,[1]对照表!$X$3:$X$24),LOOKUP(Q468,[1]对照表!$W$27:$W$48,[1]对照表!$X$27:$X$48)),IF(B468="高二",IF($E468="男",LOOKUP(Q468,[1]对照表!$V$3:$V$24,[1]对照表!$X$3:$X$24),LOOKUP(Q468,[1]对照表!$V$27:$V$48,[1]对照表!$X$27:$X$48)),IF(B468="高一",IF($E468="男",LOOKUP(Q468,[1]对照表!$U$3:$U$24,[1]对照表!$X$3:$X$24),LOOKUP(Q468,[1]对照表!$U$27:$U$48,[1]对照表!$X$27:$X$48)))))</f>
        <v>85</v>
      </c>
      <c r="S468" s="33">
        <f>ROUND(IF(IF($B468="高三",MIN(IF($E468="男",$Q468-3.2,$Q468-3.2),0),IF($B468="高二",MIN(IF($E468="男",$Q468-3.25,$Q468-3.22),0),IF($B468="高一",MIN(IF($E468="男",$Q468-3.3,$Q468-3.24),0))))&lt;-0.6,IF($B468="高三",MIN(IF($E468="男",$Q468-3.2,$Q468-3.2),0),IF($B468="高二",MIN(IF($E468="男",$Q468-3.25,$Q468-3.22),0),IF($B468="高一",MIN(IF($E468="男",$Q468-3.3,$Q468-3.24),0))))+0.4,IF($B468="高三",MIN(IF($E468="男",$Q468-3.2,$Q468-3.2),0),IF($B468="高二",MIN(IF($E468="男",$Q468-3.25,$Q468-3.22),0),IF($B468="高一",MIN(IF($E468="男",$Q468-3.3,$Q468-3.24),0))))),2)</f>
        <v>0</v>
      </c>
      <c r="T468" s="23">
        <f>IF(E468="男",LOOKUP($S468,[1]对照表!$AB$3:$AB$13,[1]对照表!$AC$3:$AC$13),LOOKUP($S468,[1]对照表!$AB$15:$AB$25,[1]对照表!$AC$15:$AC$25))</f>
        <v>0</v>
      </c>
      <c r="U468" s="26">
        <f>R468+T468</f>
        <v>85</v>
      </c>
      <c r="V468" s="26">
        <f>SUM(I468,K468,M468)/3*0.3+SUM(G468,R468)/2*0.4</f>
        <v>55.099999999999994</v>
      </c>
      <c r="W468" s="27">
        <f>O468+T468</f>
        <v>0</v>
      </c>
      <c r="X468" s="28">
        <f>V468/0.7+W468</f>
        <v>78.714285714285708</v>
      </c>
      <c r="Y468" s="28">
        <v>78.714285714285708</v>
      </c>
      <c r="Z468" s="21"/>
    </row>
    <row r="469" spans="1:26" x14ac:dyDescent="0.25">
      <c r="A469" s="16">
        <v>35</v>
      </c>
      <c r="B469" s="17" t="s">
        <v>21</v>
      </c>
      <c r="C469" s="16">
        <v>111</v>
      </c>
      <c r="D469" s="18" t="s">
        <v>507</v>
      </c>
      <c r="E469" s="17" t="s">
        <v>65</v>
      </c>
      <c r="F469" s="19">
        <v>9.6300000000000008</v>
      </c>
      <c r="G469" s="32">
        <f>IF(B469="高三",IF($E469="男",LOOKUP(F469,[1]对照表!$G$3:$G$24,[1]对照表!$H$3:$H$24),LOOKUP(F469,[1]对照表!$G$27:$G$48,[1]对照表!$H$27:$H$48)),IF(B469="高二",IF($E469="男",LOOKUP(F469,[1]对照表!$F$3:$F$24,[1]对照表!$H$3:$H$24),LOOKUP(F469,[1]对照表!$F$27:$F$48,[1]对照表!$H$27:$H$48)),IF(B469="高一",IF($E469="男",LOOKUP(F469,[1]对照表!$E$3:$E$24,[1]对照表!$H$3:$H$24),LOOKUP(F469,[1]对照表!$E$27:$E$48,[1]对照表!$H$27:$H$48)))))</f>
        <v>68</v>
      </c>
      <c r="H469" s="21">
        <v>17</v>
      </c>
      <c r="I469" s="32">
        <f>IF(B469="高三",IF($E469="男",LOOKUP(H469,[1]对照表!$K$3:$K$24,[1]对照表!$L$3:$L$24),LOOKUP(H469,[1]对照表!$K$27:$K$48,[1]对照表!$L$27:$L$48)),IF(B469="高二",IF($E469="男",LOOKUP(H469,[1]对照表!$J$3:$J$24,[1]对照表!$L$3:$L$24),LOOKUP(H469,[1]对照表!$J$27:$J$48,[1]对照表!$L$27:$L$48)),IF(B469="高一",IF($E469="男",LOOKUP(H469,[1]对照表!$I$3:$I$24,[1]对照表!$L$3:$L$24),LOOKUP(H469,[1]对照表!$I$27:$I$48,[1]对照表!$L$27:$L$48)))))</f>
        <v>78</v>
      </c>
      <c r="J469" s="21">
        <v>155</v>
      </c>
      <c r="K469" s="32">
        <f>IF(B469="高三",IF($E469="男",LOOKUP(J469,[1]对照表!$O$3:$O$24,[1]对照表!$P$3:$P$24),LOOKUP(J469,[1]对照表!$O$27:$O$48,[1]对照表!$P$27:$P$48)),IF(B469="高二",IF($E469="男",LOOKUP(J469,[1]对照表!$N$3:$N$24,[1]对照表!$P$3:$P$24),LOOKUP(J469,[1]对照表!$N$27:$N$48,[1]对照表!$P$27:$P$48)),IF(B469="高一",IF($E469="男",LOOKUP(J469,[1]对照表!$M$3:$M$24,[1]对照表!$P$3:$P$24),LOOKUP(J469,[1]对照表!$M$27:$M$48,[1]对照表!$P$27:$P$48)))))</f>
        <v>64</v>
      </c>
      <c r="L469" s="21">
        <v>43</v>
      </c>
      <c r="M469" s="32">
        <f>IF(B469="高三",IF($E469="男",LOOKUP(L469,[1]对照表!$S$3:$S$24,[1]对照表!$T$3:$T$24),LOOKUP(L469,[1]对照表!$S$27:$S$48,[1]对照表!$T$27:$T$48)),IF(B469="高二",IF($E469="男",LOOKUP(L469,[1]对照表!$R$3:$R$24,[1]对照表!$T$3:$T$24),LOOKUP(L469,[1]对照表!$R$27:$R$48,[1]对照表!$T$27:$T$48)),IF(B469="高一",IF($E469="男",LOOKUP(L469,[1]对照表!$Q$3:$Q$24,[1]对照表!$T$3:$T$24),LOOKUP(L469,[1]对照表!$Q$27:$Q$48,[1]对照表!$T$27:$T$48)))))</f>
        <v>80</v>
      </c>
      <c r="N469" s="33">
        <f>IF(B469="高三",MAX(IF(E469="男",L469-18,L469-55),0),IF(B469="高二",MAX(IF(E469="男",L469-17,L469-54),0),IF(B469="高一",MAX(IF(E469="男",L469-16,L469-53),0))))</f>
        <v>0</v>
      </c>
      <c r="O469" s="23">
        <f>IF(E469="男",LOOKUP($N469,[1]对照表!$Z$3:$Z$13,[1]对照表!$AA$3:$AA$13),LOOKUP($N469,[1]对照表!$Z$15:$Z$25,[1]对照表!$AA$15:$AA$25))</f>
        <v>0</v>
      </c>
      <c r="P469" s="24">
        <f>M469+O469</f>
        <v>80</v>
      </c>
      <c r="Q469" s="25">
        <v>3.45</v>
      </c>
      <c r="R469" s="32">
        <f>IF(B469="高三",IF($E469="男",LOOKUP(Q469,[1]对照表!$W$3:$W$24,[1]对照表!$X$3:$X$24),LOOKUP(Q469,[1]对照表!$W$27:$W$48,[1]对照表!$X$27:$X$48)),IF(B469="高二",IF($E469="男",LOOKUP(Q469,[1]对照表!$V$3:$V$24,[1]对照表!$X$3:$X$24),LOOKUP(Q469,[1]对照表!$V$27:$V$48,[1]对照表!$X$27:$X$48)),IF(B469="高一",IF($E469="男",LOOKUP(Q469,[1]对照表!$U$3:$U$24,[1]对照表!$X$3:$X$24),LOOKUP(Q469,[1]对照表!$U$27:$U$48,[1]对照表!$X$27:$X$48)))))</f>
        <v>80</v>
      </c>
      <c r="S469" s="33">
        <f>ROUND(IF(IF($B469="高三",MIN(IF($E469="男",$Q469-3.2,$Q469-3.2),0),IF($B469="高二",MIN(IF($E469="男",$Q469-3.25,$Q469-3.22),0),IF($B469="高一",MIN(IF($E469="男",$Q469-3.3,$Q469-3.24),0))))&lt;-0.6,IF($B469="高三",MIN(IF($E469="男",$Q469-3.2,$Q469-3.2),0),IF($B469="高二",MIN(IF($E469="男",$Q469-3.25,$Q469-3.22),0),IF($B469="高一",MIN(IF($E469="男",$Q469-3.3,$Q469-3.24),0))))+0.4,IF($B469="高三",MIN(IF($E469="男",$Q469-3.2,$Q469-3.2),0),IF($B469="高二",MIN(IF($E469="男",$Q469-3.25,$Q469-3.22),0),IF($B469="高一",MIN(IF($E469="男",$Q469-3.3,$Q469-3.24),0))))),2)</f>
        <v>0</v>
      </c>
      <c r="T469" s="23">
        <f>IF(E469="男",LOOKUP($S469,[1]对照表!$AB$3:$AB$13,[1]对照表!$AC$3:$AC$13),LOOKUP($S469,[1]对照表!$AB$15:$AB$25,[1]对照表!$AC$15:$AC$25))</f>
        <v>0</v>
      </c>
      <c r="U469" s="26">
        <f>R469+T469</f>
        <v>80</v>
      </c>
      <c r="V469" s="26">
        <f>SUM(I469,K469,M469)/3*0.3+SUM(G469,R469)/2*0.4</f>
        <v>51.8</v>
      </c>
      <c r="W469" s="27">
        <f>O469+T469</f>
        <v>0</v>
      </c>
      <c r="X469" s="28">
        <f>V469/0.7+W469</f>
        <v>74</v>
      </c>
      <c r="Y469" s="28">
        <v>74</v>
      </c>
      <c r="Z469" s="21"/>
    </row>
    <row r="470" spans="1:26" x14ac:dyDescent="0.25">
      <c r="A470" s="16">
        <v>19</v>
      </c>
      <c r="B470" s="17" t="s">
        <v>21</v>
      </c>
      <c r="C470" s="16">
        <v>111</v>
      </c>
      <c r="D470" s="18" t="s">
        <v>512</v>
      </c>
      <c r="E470" s="17" t="s">
        <v>23</v>
      </c>
      <c r="F470" s="19">
        <v>7.3</v>
      </c>
      <c r="G470" s="32">
        <f>IF(B470="高三",IF($E470="男",LOOKUP(F470,[1]对照表!$G$3:$G$24,[1]对照表!$H$3:$H$24),LOOKUP(F470,[1]对照表!$G$27:$G$48,[1]对照表!$H$27:$H$48)),IF(B470="高二",IF($E470="男",LOOKUP(F470,[1]对照表!$F$3:$F$24,[1]对照表!$H$3:$H$24),LOOKUP(F470,[1]对照表!$F$27:$F$48,[1]对照表!$H$27:$H$48)),IF(B470="高一",IF($E470="男",LOOKUP(F470,[1]对照表!$E$3:$E$24,[1]对照表!$H$3:$H$24),LOOKUP(F470,[1]对照表!$E$27:$E$48,[1]对照表!$H$27:$H$48)))))</f>
        <v>90</v>
      </c>
      <c r="H470" s="21">
        <v>12</v>
      </c>
      <c r="I470" s="32">
        <f>IF(B470="高三",IF($E470="男",LOOKUP(H470,[1]对照表!$K$3:$K$24,[1]对照表!$L$3:$L$24),LOOKUP(H470,[1]对照表!$K$27:$K$48,[1]对照表!$L$27:$L$48)),IF(B470="高二",IF($E470="男",LOOKUP(H470,[1]对照表!$J$3:$J$24,[1]对照表!$L$3:$L$24),LOOKUP(H470,[1]对照表!$J$27:$J$48,[1]对照表!$L$27:$L$48)),IF(B470="高一",IF($E470="男",LOOKUP(H470,[1]对照表!$I$3:$I$24,[1]对照表!$L$3:$L$24),LOOKUP(H470,[1]对照表!$I$27:$I$48,[1]对照表!$L$27:$L$48)))))</f>
        <v>74</v>
      </c>
      <c r="J470" s="21">
        <v>213</v>
      </c>
      <c r="K470" s="32">
        <f>IF(B470="高三",IF($E470="男",LOOKUP(J470,[1]对照表!$O$3:$O$24,[1]对照表!$P$3:$P$24),LOOKUP(J470,[1]对照表!$O$27:$O$48,[1]对照表!$P$27:$P$48)),IF(B470="高二",IF($E470="男",LOOKUP(J470,[1]对照表!$N$3:$N$24,[1]对照表!$P$3:$P$24),LOOKUP(J470,[1]对照表!$N$27:$N$48,[1]对照表!$P$27:$P$48)),IF(B470="高一",IF($E470="男",LOOKUP(J470,[1]对照表!$M$3:$M$24,[1]对照表!$P$3:$P$24),LOOKUP(J470,[1]对照表!$M$27:$M$48,[1]对照表!$P$27:$P$48)))))</f>
        <v>68</v>
      </c>
      <c r="L470" s="21">
        <v>0</v>
      </c>
      <c r="M470" s="32">
        <f>IF(B470="高三",IF($E470="男",LOOKUP(L470,[1]对照表!$S$3:$S$24,[1]对照表!$T$3:$T$24),LOOKUP(L470,[1]对照表!$S$27:$S$48,[1]对照表!$T$27:$T$48)),IF(B470="高二",IF($E470="男",LOOKUP(L470,[1]对照表!$R$3:$R$24,[1]对照表!$T$3:$T$24),LOOKUP(L470,[1]对照表!$R$27:$R$48,[1]对照表!$T$27:$T$48)),IF(B470="高一",IF($E470="男",LOOKUP(L470,[1]对照表!$Q$3:$Q$24,[1]对照表!$T$3:$T$24),LOOKUP(L470,[1]对照表!$Q$27:$Q$48,[1]对照表!$T$27:$T$48)))))</f>
        <v>0</v>
      </c>
      <c r="N470" s="33">
        <f>IF(B470="高三",MAX(IF(E470="男",L470-18,L470-55),0),IF(B470="高二",MAX(IF(E470="男",L470-17,L470-54),0),IF(B470="高一",MAX(IF(E470="男",L470-16,L470-53),0))))</f>
        <v>0</v>
      </c>
      <c r="O470" s="23">
        <f>IF(E470="男",LOOKUP($N470,[1]对照表!$Z$3:$Z$13,[1]对照表!$AA$3:$AA$13),LOOKUP($N470,[1]对照表!$Z$15:$Z$25,[1]对照表!$AA$15:$AA$25))</f>
        <v>0</v>
      </c>
      <c r="P470" s="24">
        <f>M470+O470</f>
        <v>0</v>
      </c>
      <c r="Q470" s="25">
        <v>3.42</v>
      </c>
      <c r="R470" s="32">
        <f>IF(B470="高三",IF($E470="男",LOOKUP(Q470,[1]对照表!$W$3:$W$24,[1]对照表!$X$3:$X$24),LOOKUP(Q470,[1]对照表!$W$27:$W$48,[1]对照表!$X$27:$X$48)),IF(B470="高二",IF($E470="男",LOOKUP(Q470,[1]对照表!$V$3:$V$24,[1]对照表!$X$3:$X$24),LOOKUP(Q470,[1]对照表!$V$27:$V$48,[1]对照表!$X$27:$X$48)),IF(B470="高一",IF($E470="男",LOOKUP(Q470,[1]对照表!$U$3:$U$24,[1]对照表!$X$3:$X$24),LOOKUP(Q470,[1]对照表!$U$27:$U$48,[1]对照表!$X$27:$X$48)))))</f>
        <v>85</v>
      </c>
      <c r="S470" s="33">
        <f>ROUND(IF(IF($B470="高三",MIN(IF($E470="男",$Q470-3.2,$Q470-3.2),0),IF($B470="高二",MIN(IF($E470="男",$Q470-3.25,$Q470-3.22),0),IF($B470="高一",MIN(IF($E470="男",$Q470-3.3,$Q470-3.24),0))))&lt;-0.6,IF($B470="高三",MIN(IF($E470="男",$Q470-3.2,$Q470-3.2),0),IF($B470="高二",MIN(IF($E470="男",$Q470-3.25,$Q470-3.22),0),IF($B470="高一",MIN(IF($E470="男",$Q470-3.3,$Q470-3.24),0))))+0.4,IF($B470="高三",MIN(IF($E470="男",$Q470-3.2,$Q470-3.2),0),IF($B470="高二",MIN(IF($E470="男",$Q470-3.25,$Q470-3.22),0),IF($B470="高一",MIN(IF($E470="男",$Q470-3.3,$Q470-3.24),0))))),2)</f>
        <v>0</v>
      </c>
      <c r="T470" s="23">
        <f>IF(E470="男",LOOKUP($S470,[1]对照表!$AB$3:$AB$13,[1]对照表!$AC$3:$AC$13),LOOKUP($S470,[1]对照表!$AB$15:$AB$25,[1]对照表!$AC$15:$AC$25))</f>
        <v>0</v>
      </c>
      <c r="U470" s="26">
        <f>R470+T470</f>
        <v>85</v>
      </c>
      <c r="V470" s="26">
        <f>SUM(I470,K470,M470)/3*0.3+SUM(G470,R470)/2*0.4</f>
        <v>49.2</v>
      </c>
      <c r="W470" s="27">
        <f>O470+T470</f>
        <v>0</v>
      </c>
      <c r="X470" s="28">
        <f>V470/0.7+W470</f>
        <v>70.285714285714292</v>
      </c>
      <c r="Y470" s="28">
        <v>70.285714285714292</v>
      </c>
      <c r="Z470" s="21"/>
    </row>
    <row r="471" spans="1:26" x14ac:dyDescent="0.25">
      <c r="A471" s="16">
        <v>17</v>
      </c>
      <c r="B471" s="17" t="s">
        <v>21</v>
      </c>
      <c r="C471" s="16">
        <v>111</v>
      </c>
      <c r="D471" s="18" t="s">
        <v>543</v>
      </c>
      <c r="E471" s="17" t="s">
        <v>23</v>
      </c>
      <c r="F471" s="19">
        <v>7.8</v>
      </c>
      <c r="G471" s="32">
        <f>IF(B471="高三",IF($E471="男",LOOKUP(F471,[1]对照表!$G$3:$G$24,[1]对照表!$H$3:$H$24),LOOKUP(F471,[1]对照表!$G$27:$G$48,[1]对照表!$H$27:$H$48)),IF(B471="高二",IF($E471="男",LOOKUP(F471,[1]对照表!$F$3:$F$24,[1]对照表!$H$3:$H$24),LOOKUP(F471,[1]对照表!$F$27:$F$48,[1]对照表!$H$27:$H$48)),IF(B471="高一",IF($E471="男",LOOKUP(F471,[1]对照表!$E$3:$E$24,[1]对照表!$H$3:$H$24),LOOKUP(F471,[1]对照表!$E$27:$E$48,[1]对照表!$H$27:$H$48)))))</f>
        <v>76</v>
      </c>
      <c r="H471" s="21">
        <v>14</v>
      </c>
      <c r="I471" s="32">
        <f>IF(B471="高三",IF($E471="男",LOOKUP(H471,[1]对照表!$K$3:$K$24,[1]对照表!$L$3:$L$24),LOOKUP(H471,[1]对照表!$K$27:$K$48,[1]对照表!$L$27:$L$48)),IF(B471="高二",IF($E471="男",LOOKUP(H471,[1]对照表!$J$3:$J$24,[1]对照表!$L$3:$L$24),LOOKUP(H471,[1]对照表!$J$27:$J$48,[1]对照表!$L$27:$L$48)),IF(B471="高一",IF($E471="男",LOOKUP(H471,[1]对照表!$I$3:$I$24,[1]对照表!$L$3:$L$24),LOOKUP(H471,[1]对照表!$I$27:$I$48,[1]对照表!$L$27:$L$48)))))</f>
        <v>78</v>
      </c>
      <c r="J471" s="21">
        <v>218</v>
      </c>
      <c r="K471" s="32">
        <f>IF(B471="高三",IF($E471="男",LOOKUP(J471,[1]对照表!$O$3:$O$24,[1]对照表!$P$3:$P$24),LOOKUP(J471,[1]对照表!$O$27:$O$48,[1]对照表!$P$27:$P$48)),IF(B471="高二",IF($E471="男",LOOKUP(J471,[1]对照表!$N$3:$N$24,[1]对照表!$P$3:$P$24),LOOKUP(J471,[1]对照表!$N$27:$N$48,[1]对照表!$P$27:$P$48)),IF(B471="高一",IF($E471="男",LOOKUP(J471,[1]对照表!$M$3:$M$24,[1]对照表!$P$3:$P$24),LOOKUP(J471,[1]对照表!$M$27:$M$48,[1]对照表!$P$27:$P$48)))))</f>
        <v>70</v>
      </c>
      <c r="L471" s="21">
        <v>1</v>
      </c>
      <c r="M471" s="32">
        <f>IF(B471="高三",IF($E471="男",LOOKUP(L471,[1]对照表!$S$3:$S$24,[1]对照表!$T$3:$T$24),LOOKUP(L471,[1]对照表!$S$27:$S$48,[1]对照表!$T$27:$T$48)),IF(B471="高二",IF($E471="男",LOOKUP(L471,[1]对照表!$R$3:$R$24,[1]对照表!$T$3:$T$24),LOOKUP(L471,[1]对照表!$R$27:$R$48,[1]对照表!$T$27:$T$48)),IF(B471="高一",IF($E471="男",LOOKUP(L471,[1]对照表!$Q$3:$Q$24,[1]对照表!$T$3:$T$24),LOOKUP(L471,[1]对照表!$Q$27:$Q$48,[1]对照表!$T$27:$T$48)))))</f>
        <v>0</v>
      </c>
      <c r="N471" s="33">
        <f>IF(B471="高三",MAX(IF(E471="男",L471-18,L471-55),0),IF(B471="高二",MAX(IF(E471="男",L471-17,L471-54),0),IF(B471="高一",MAX(IF(E471="男",L471-16,L471-53),0))))</f>
        <v>0</v>
      </c>
      <c r="O471" s="23">
        <f>IF(E471="男",LOOKUP($N471,[1]对照表!$Z$3:$Z$13,[1]对照表!$AA$3:$AA$13),LOOKUP($N471,[1]对照表!$Z$15:$Z$25,[1]对照表!$AA$15:$AA$25))</f>
        <v>0</v>
      </c>
      <c r="P471" s="24">
        <f>M471+O471</f>
        <v>0</v>
      </c>
      <c r="Q471" s="25">
        <v>4.03</v>
      </c>
      <c r="R471" s="32">
        <f>IF(B471="高三",IF($E471="男",LOOKUP(Q471,[1]对照表!$W$3:$W$24,[1]对照表!$X$3:$X$24),LOOKUP(Q471,[1]对照表!$W$27:$W$48,[1]对照表!$X$27:$X$48)),IF(B471="高二",IF($E471="男",LOOKUP(Q471,[1]对照表!$V$3:$V$24,[1]对照表!$X$3:$X$24),LOOKUP(Q471,[1]对照表!$V$27:$V$48,[1]对照表!$X$27:$X$48)),IF(B471="高一",IF($E471="男",LOOKUP(Q471,[1]对照表!$U$3:$U$24,[1]对照表!$X$3:$X$24),LOOKUP(Q471,[1]对照表!$U$27:$U$48,[1]对照表!$X$27:$X$48)))))</f>
        <v>76</v>
      </c>
      <c r="S471" s="33">
        <f>ROUND(IF(IF($B471="高三",MIN(IF($E471="男",$Q471-3.2,$Q471-3.2),0),IF($B471="高二",MIN(IF($E471="男",$Q471-3.25,$Q471-3.22),0),IF($B471="高一",MIN(IF($E471="男",$Q471-3.3,$Q471-3.24),0))))&lt;-0.6,IF($B471="高三",MIN(IF($E471="男",$Q471-3.2,$Q471-3.2),0),IF($B471="高二",MIN(IF($E471="男",$Q471-3.25,$Q471-3.22),0),IF($B471="高一",MIN(IF($E471="男",$Q471-3.3,$Q471-3.24),0))))+0.4,IF($B471="高三",MIN(IF($E471="男",$Q471-3.2,$Q471-3.2),0),IF($B471="高二",MIN(IF($E471="男",$Q471-3.25,$Q471-3.22),0),IF($B471="高一",MIN(IF($E471="男",$Q471-3.3,$Q471-3.24),0))))),2)</f>
        <v>0</v>
      </c>
      <c r="T471" s="23">
        <f>IF(E471="男",LOOKUP($S471,[1]对照表!$AB$3:$AB$13,[1]对照表!$AC$3:$AC$13),LOOKUP($S471,[1]对照表!$AB$15:$AB$25,[1]对照表!$AC$15:$AC$25))</f>
        <v>0</v>
      </c>
      <c r="U471" s="26">
        <f>R471+T471</f>
        <v>76</v>
      </c>
      <c r="V471" s="26">
        <f>SUM(I471,K471,M471)/3*0.3+SUM(G471,R471)/2*0.4</f>
        <v>45.2</v>
      </c>
      <c r="W471" s="27">
        <f>O471+T471</f>
        <v>0</v>
      </c>
      <c r="X471" s="28">
        <f>V471/0.7+W471</f>
        <v>64.571428571428584</v>
      </c>
      <c r="Y471" s="28">
        <v>64.571428571428584</v>
      </c>
      <c r="Z471" s="21"/>
    </row>
    <row r="472" spans="1:26" x14ac:dyDescent="0.25">
      <c r="A472" s="16">
        <v>29</v>
      </c>
      <c r="B472" s="17" t="s">
        <v>21</v>
      </c>
      <c r="C472" s="16">
        <v>111</v>
      </c>
      <c r="D472" s="18" t="s">
        <v>550</v>
      </c>
      <c r="E472" s="17" t="s">
        <v>65</v>
      </c>
      <c r="F472" s="19">
        <v>9.91</v>
      </c>
      <c r="G472" s="32">
        <f>IF(B472="高三",IF($E472="男",LOOKUP(F472,[1]对照表!$G$3:$G$24,[1]对照表!$H$3:$H$24),LOOKUP(F472,[1]对照表!$G$27:$G$48,[1]对照表!$H$27:$H$48)),IF(B472="高二",IF($E472="男",LOOKUP(F472,[1]对照表!$F$3:$F$24,[1]对照表!$H$3:$H$24),LOOKUP(F472,[1]对照表!$F$27:$F$48,[1]对照表!$H$27:$H$48)),IF(B472="高一",IF($E472="男",LOOKUP(F472,[1]对照表!$E$3:$E$24,[1]对照表!$H$3:$H$24),LOOKUP(F472,[1]对照表!$E$27:$E$48,[1]对照表!$H$27:$H$48)))))</f>
        <v>66</v>
      </c>
      <c r="H472" s="21">
        <v>20</v>
      </c>
      <c r="I472" s="32">
        <f>IF(B472="高三",IF($E472="男",LOOKUP(H472,[1]对照表!$K$3:$K$24,[1]对照表!$L$3:$L$24),LOOKUP(H472,[1]对照表!$K$27:$K$48,[1]对照表!$L$27:$L$48)),IF(B472="高二",IF($E472="男",LOOKUP(H472,[1]对照表!$J$3:$J$24,[1]对照表!$L$3:$L$24),LOOKUP(H472,[1]对照表!$J$27:$J$48,[1]对照表!$L$27:$L$48)),IF(B472="高一",IF($E472="男",LOOKUP(H472,[1]对照表!$I$3:$I$24,[1]对照表!$L$3:$L$24),LOOKUP(H472,[1]对照表!$I$27:$I$48,[1]对照表!$L$27:$L$48)))))</f>
        <v>85</v>
      </c>
      <c r="J472" s="21">
        <v>167</v>
      </c>
      <c r="K472" s="32">
        <f>IF(B472="高三",IF($E472="男",LOOKUP(J472,[1]对照表!$O$3:$O$24,[1]对照表!$P$3:$P$24),LOOKUP(J472,[1]对照表!$O$27:$O$48,[1]对照表!$P$27:$P$48)),IF(B472="高二",IF($E472="男",LOOKUP(J472,[1]对照表!$N$3:$N$24,[1]对照表!$P$3:$P$24),LOOKUP(J472,[1]对照表!$N$27:$N$48,[1]对照表!$P$27:$P$48)),IF(B472="高一",IF($E472="男",LOOKUP(J472,[1]对照表!$M$3:$M$24,[1]对照表!$P$3:$P$24),LOOKUP(J472,[1]对照表!$M$27:$M$48,[1]对照表!$P$27:$P$48)))))</f>
        <v>72</v>
      </c>
      <c r="L472" s="21">
        <v>50</v>
      </c>
      <c r="M472" s="32">
        <f>IF(B472="高三",IF($E472="男",LOOKUP(L472,[1]对照表!$S$3:$S$24,[1]对照表!$T$3:$T$24),LOOKUP(L472,[1]对照表!$S$27:$S$48,[1]对照表!$T$27:$T$48)),IF(B472="高二",IF($E472="男",LOOKUP(L472,[1]对照表!$R$3:$R$24,[1]对照表!$T$3:$T$24),LOOKUP(L472,[1]对照表!$R$27:$R$48,[1]对照表!$T$27:$T$48)),IF(B472="高一",IF($E472="男",LOOKUP(L472,[1]对照表!$Q$3:$Q$24,[1]对照表!$T$3:$T$24),LOOKUP(L472,[1]对照表!$Q$27:$Q$48,[1]对照表!$T$27:$T$48)))))</f>
        <v>90</v>
      </c>
      <c r="N472" s="33">
        <f>IF(B472="高三",MAX(IF(E472="男",L472-18,L472-55),0),IF(B472="高二",MAX(IF(E472="男",L472-17,L472-54),0),IF(B472="高一",MAX(IF(E472="男",L472-16,L472-53),0))))</f>
        <v>0</v>
      </c>
      <c r="O472" s="23">
        <f>IF(E472="男",LOOKUP($N472,[1]对照表!$Z$3:$Z$13,[1]对照表!$AA$3:$AA$13),LOOKUP($N472,[1]对照表!$Z$15:$Z$25,[1]对照表!$AA$15:$AA$25))</f>
        <v>0</v>
      </c>
      <c r="P472" s="24">
        <f>M472+O472</f>
        <v>90</v>
      </c>
      <c r="Q472" s="25">
        <v>3.46</v>
      </c>
      <c r="R472" s="32">
        <f>IF(B472="高三",IF($E472="男",LOOKUP(Q472,[1]对照表!$W$3:$W$24,[1]对照表!$X$3:$X$24),LOOKUP(Q472,[1]对照表!$W$27:$W$48,[1]对照表!$X$27:$X$48)),IF(B472="高二",IF($E472="男",LOOKUP(Q472,[1]对照表!$V$3:$V$24,[1]对照表!$X$3:$X$24),LOOKUP(Q472,[1]对照表!$V$27:$V$48,[1]对照表!$X$27:$X$48)),IF(B472="高一",IF($E472="男",LOOKUP(Q472,[1]对照表!$U$3:$U$24,[1]对照表!$X$3:$X$24),LOOKUP(Q472,[1]对照表!$U$27:$U$48,[1]对照表!$X$27:$X$48)))))</f>
        <v>80</v>
      </c>
      <c r="S472" s="33">
        <f>ROUND(IF(IF($B472="高三",MIN(IF($E472="男",$Q472-3.2,$Q472-3.2),0),IF($B472="高二",MIN(IF($E472="男",$Q472-3.25,$Q472-3.22),0),IF($B472="高一",MIN(IF($E472="男",$Q472-3.3,$Q472-3.24),0))))&lt;-0.6,IF($B472="高三",MIN(IF($E472="男",$Q472-3.2,$Q472-3.2),0),IF($B472="高二",MIN(IF($E472="男",$Q472-3.25,$Q472-3.22),0),IF($B472="高一",MIN(IF($E472="男",$Q472-3.3,$Q472-3.24),0))))+0.4,IF($B472="高三",MIN(IF($E472="男",$Q472-3.2,$Q472-3.2),0),IF($B472="高二",MIN(IF($E472="男",$Q472-3.25,$Q472-3.22),0),IF($B472="高一",MIN(IF($E472="男",$Q472-3.3,$Q472-3.24),0))))),2)</f>
        <v>0</v>
      </c>
      <c r="T472" s="23">
        <f>IF(E472="男",LOOKUP($S472,[1]对照表!$AB$3:$AB$13,[1]对照表!$AC$3:$AC$13),LOOKUP($S472,[1]对照表!$AB$15:$AB$25,[1]对照表!$AC$15:$AC$25))</f>
        <v>0</v>
      </c>
      <c r="U472" s="26">
        <f>R472+T472</f>
        <v>80</v>
      </c>
      <c r="V472" s="26">
        <f>SUM(I472,K472,M472)/3*0.3+SUM(G472,R472)/2*0.4</f>
        <v>53.900000000000006</v>
      </c>
      <c r="W472" s="27">
        <f>O472+T472</f>
        <v>0</v>
      </c>
      <c r="X472" s="28">
        <f>V472/0.7+W472</f>
        <v>77.000000000000014</v>
      </c>
      <c r="Y472" s="28">
        <v>77.000000000000014</v>
      </c>
      <c r="Z472" s="21"/>
    </row>
    <row r="473" spans="1:26" x14ac:dyDescent="0.25">
      <c r="A473" s="16">
        <v>25</v>
      </c>
      <c r="B473" s="17" t="s">
        <v>21</v>
      </c>
      <c r="C473" s="16">
        <v>111</v>
      </c>
      <c r="D473" s="18" t="s">
        <v>555</v>
      </c>
      <c r="E473" s="17" t="s">
        <v>65</v>
      </c>
      <c r="F473" s="19">
        <v>9.1999999999999993</v>
      </c>
      <c r="G473" s="20">
        <f>IF(B473="高三",IF($E473="男",LOOKUP(F473,[1]对照表!$G$3:$G$24,[1]对照表!$H$3:$H$24),LOOKUP(F473,[1]对照表!$G$27:$G$48,[1]对照表!$H$27:$H$48)),IF(B473="高二",IF($E473="男",LOOKUP(F473,[1]对照表!$F$3:$F$24,[1]对照表!$H$3:$H$24),LOOKUP(F473,[1]对照表!$F$27:$F$48,[1]对照表!$H$27:$H$48)),IF(B473="高一",IF($E473="男",LOOKUP(F473,[1]对照表!$E$3:$E$24,[1]对照表!$H$3:$H$24),LOOKUP(F473,[1]对照表!$E$27:$E$48,[1]对照表!$H$27:$H$48)))))</f>
        <v>74</v>
      </c>
      <c r="H473" s="21">
        <v>31</v>
      </c>
      <c r="I473" s="32">
        <f>IF(B473="高三",IF($E473="男",LOOKUP(H473,[1]对照表!$K$3:$K$24,[1]对照表!$L$3:$L$24),LOOKUP(H473,[1]对照表!$K$27:$K$48,[1]对照表!$L$27:$L$48)),IF(B473="高二",IF($E473="男",LOOKUP(H473,[1]对照表!$J$3:$J$24,[1]对照表!$L$3:$L$24),LOOKUP(H473,[1]对照表!$J$27:$J$48,[1]对照表!$L$27:$L$48)),IF(B473="高一",IF($E473="男",LOOKUP(H473,[1]对照表!$I$3:$I$24,[1]对照表!$L$3:$L$24),LOOKUP(H473,[1]对照表!$I$27:$I$48,[1]对照表!$L$27:$L$48)))))</f>
        <v>100</v>
      </c>
      <c r="J473" s="21">
        <v>180</v>
      </c>
      <c r="K473" s="32">
        <f>IF(B473="高三",IF($E473="男",LOOKUP(J473,[1]对照表!$O$3:$O$24,[1]对照表!$P$3:$P$24),LOOKUP(J473,[1]对照表!$O$27:$O$48,[1]对照表!$P$27:$P$48)),IF(B473="高二",IF($E473="男",LOOKUP(J473,[1]对照表!$N$3:$N$24,[1]对照表!$P$3:$P$24),LOOKUP(J473,[1]对照表!$N$27:$N$48,[1]对照表!$P$27:$P$48)),IF(B473="高一",IF($E473="男",LOOKUP(J473,[1]对照表!$M$3:$M$24,[1]对照表!$P$3:$P$24),LOOKUP(J473,[1]对照表!$M$27:$M$48,[1]对照表!$P$27:$P$48)))))</f>
        <v>80</v>
      </c>
      <c r="L473" s="21">
        <v>50</v>
      </c>
      <c r="M473" s="32">
        <f>IF(B473="高三",IF($E473="男",LOOKUP(L473,[1]对照表!$S$3:$S$24,[1]对照表!$T$3:$T$24),LOOKUP(L473,[1]对照表!$S$27:$S$48,[1]对照表!$T$27:$T$48)),IF(B473="高二",IF($E473="男",LOOKUP(L473,[1]对照表!$R$3:$R$24,[1]对照表!$T$3:$T$24),LOOKUP(L473,[1]对照表!$R$27:$R$48,[1]对照表!$T$27:$T$48)),IF(B473="高一",IF($E473="男",LOOKUP(L473,[1]对照表!$Q$3:$Q$24,[1]对照表!$T$3:$T$24),LOOKUP(L473,[1]对照表!$Q$27:$Q$48,[1]对照表!$T$27:$T$48)))))</f>
        <v>90</v>
      </c>
      <c r="N473" s="33">
        <f>IF(B473="高三",MAX(IF(E473="男",L473-18,L473-55),0),IF(B473="高二",MAX(IF(E473="男",L473-17,L473-54),0),IF(B473="高一",MAX(IF(E473="男",L473-16,L473-53),0))))</f>
        <v>0</v>
      </c>
      <c r="O473" s="23">
        <f>IF(E473="男",LOOKUP($N473,[1]对照表!$Z$3:$Z$13,[1]对照表!$AA$3:$AA$13),LOOKUP($N473,[1]对照表!$Z$15:$Z$25,[1]对照表!$AA$15:$AA$25))</f>
        <v>0</v>
      </c>
      <c r="P473" s="24">
        <f>M473+O473</f>
        <v>90</v>
      </c>
      <c r="Q473" s="25">
        <v>3.47</v>
      </c>
      <c r="R473" s="32">
        <f>IF(B473="高三",IF($E473="男",LOOKUP(Q473,[1]对照表!$W$3:$W$24,[1]对照表!$X$3:$X$24),LOOKUP(Q473,[1]对照表!$W$27:$W$48,[1]对照表!$X$27:$X$48)),IF(B473="高二",IF($E473="男",LOOKUP(Q473,[1]对照表!$V$3:$V$24,[1]对照表!$X$3:$X$24),LOOKUP(Q473,[1]对照表!$V$27:$V$48,[1]对照表!$X$27:$X$48)),IF(B473="高一",IF($E473="男",LOOKUP(Q473,[1]对照表!$U$3:$U$24,[1]对照表!$X$3:$X$24),LOOKUP(Q473,[1]对照表!$U$27:$U$48,[1]对照表!$X$27:$X$48)))))</f>
        <v>80</v>
      </c>
      <c r="S473" s="33">
        <f>ROUND(IF(IF($B473="高三",MIN(IF($E473="男",$Q473-3.2,$Q473-3.2),0),IF($B473="高二",MIN(IF($E473="男",$Q473-3.25,$Q473-3.22),0),IF($B473="高一",MIN(IF($E473="男",$Q473-3.3,$Q473-3.24),0))))&lt;-0.6,IF($B473="高三",MIN(IF($E473="男",$Q473-3.2,$Q473-3.2),0),IF($B473="高二",MIN(IF($E473="男",$Q473-3.25,$Q473-3.22),0),IF($B473="高一",MIN(IF($E473="男",$Q473-3.3,$Q473-3.24),0))))+0.4,IF($B473="高三",MIN(IF($E473="男",$Q473-3.2,$Q473-3.2),0),IF($B473="高二",MIN(IF($E473="男",$Q473-3.25,$Q473-3.22),0),IF($B473="高一",MIN(IF($E473="男",$Q473-3.3,$Q473-3.24),0))))),2)</f>
        <v>0</v>
      </c>
      <c r="T473" s="23">
        <f>IF(E473="男",LOOKUP($S473,[1]对照表!$AB$3:$AB$13,[1]对照表!$AC$3:$AC$13),LOOKUP($S473,[1]对照表!$AB$15:$AB$25,[1]对照表!$AC$15:$AC$25))</f>
        <v>0</v>
      </c>
      <c r="U473" s="26">
        <f>R473+T473</f>
        <v>80</v>
      </c>
      <c r="V473" s="26">
        <f>SUM(I473,K473,M473)/3*0.3+SUM(G473,R473)/2*0.4</f>
        <v>57.8</v>
      </c>
      <c r="W473" s="27">
        <f>O473+T473</f>
        <v>0</v>
      </c>
      <c r="X473" s="28">
        <f>V473/0.7+W473</f>
        <v>82.571428571428569</v>
      </c>
      <c r="Y473" s="28">
        <v>82.571428571428569</v>
      </c>
      <c r="Z473" s="21"/>
    </row>
    <row r="474" spans="1:26" x14ac:dyDescent="0.25">
      <c r="A474" s="16">
        <v>1</v>
      </c>
      <c r="B474" s="17" t="s">
        <v>21</v>
      </c>
      <c r="C474" s="16">
        <v>111</v>
      </c>
      <c r="D474" s="18" t="s">
        <v>560</v>
      </c>
      <c r="E474" s="31" t="s">
        <v>23</v>
      </c>
      <c r="F474" s="19">
        <v>7.6</v>
      </c>
      <c r="G474" s="32">
        <f>IF(B474="高三",IF($E474="男",LOOKUP(F474,[1]对照表!$G$3:$G$24,[1]对照表!$H$3:$H$24),LOOKUP(F474,[1]对照表!$G$27:$G$48,[1]对照表!$H$27:$H$48)),IF(B474="高二",IF($E474="男",LOOKUP(F474,[1]对照表!$F$3:$F$24,[1]对照表!$H$3:$H$24),LOOKUP(F474,[1]对照表!$F$27:$F$48,[1]对照表!$H$27:$H$48)),IF(B474="高一",IF($E474="男",LOOKUP(F474,[1]对照表!$E$3:$E$24,[1]对照表!$H$3:$H$24),LOOKUP(F474,[1]对照表!$E$27:$E$48,[1]对照表!$H$27:$H$48)))))</f>
        <v>78</v>
      </c>
      <c r="H474" s="21">
        <v>2.2999999999999998</v>
      </c>
      <c r="I474" s="32">
        <f>IF(B474="高三",IF($E474="男",LOOKUP(H474,[1]对照表!$K$3:$K$24,[1]对照表!$L$3:$L$24),LOOKUP(H474,[1]对照表!$K$27:$K$48,[1]对照表!$L$27:$L$48)),IF(B474="高二",IF($E474="男",LOOKUP(H474,[1]对照表!$J$3:$J$24,[1]对照表!$L$3:$L$24),LOOKUP(H474,[1]对照表!$J$27:$J$48,[1]对照表!$L$27:$L$48)),IF(B474="高一",IF($E474="男",LOOKUP(H474,[1]对照表!$I$3:$I$24,[1]对照表!$L$3:$L$24),LOOKUP(H474,[1]对照表!$I$27:$I$48,[1]对照表!$L$27:$L$48)))))</f>
        <v>60</v>
      </c>
      <c r="J474" s="21">
        <v>195</v>
      </c>
      <c r="K474" s="32">
        <f>IF(B474="高三",IF($E474="男",LOOKUP(J474,[1]对照表!$O$3:$O$24,[1]对照表!$P$3:$P$24),LOOKUP(J474,[1]对照表!$O$27:$O$48,[1]对照表!$P$27:$P$48)),IF(B474="高二",IF($E474="男",LOOKUP(J474,[1]对照表!$N$3:$N$24,[1]对照表!$P$3:$P$24),LOOKUP(J474,[1]对照表!$N$27:$N$48,[1]对照表!$P$27:$P$48)),IF(B474="高一",IF($E474="男",LOOKUP(J474,[1]对照表!$M$3:$M$24,[1]对照表!$P$3:$P$24),LOOKUP(J474,[1]对照表!$M$27:$M$48,[1]对照表!$P$27:$P$48)))))</f>
        <v>60</v>
      </c>
      <c r="L474" s="21">
        <v>0</v>
      </c>
      <c r="M474" s="32">
        <f>IF(B474="高三",IF($E474="男",LOOKUP(L474,[1]对照表!$S$3:$S$24,[1]对照表!$T$3:$T$24),LOOKUP(L474,[1]对照表!$S$27:$S$48,[1]对照表!$T$27:$T$48)),IF(B474="高二",IF($E474="男",LOOKUP(L474,[1]对照表!$R$3:$R$24,[1]对照表!$T$3:$T$24),LOOKUP(L474,[1]对照表!$R$27:$R$48,[1]对照表!$T$27:$T$48)),IF(B474="高一",IF($E474="男",LOOKUP(L474,[1]对照表!$Q$3:$Q$24,[1]对照表!$T$3:$T$24),LOOKUP(L474,[1]对照表!$Q$27:$Q$48,[1]对照表!$T$27:$T$48)))))</f>
        <v>0</v>
      </c>
      <c r="N474" s="33">
        <f>IF(B474="高三",MAX(IF(E474="男",L474-18,L474-55),0),IF(B474="高二",MAX(IF(E474="男",L474-17,L474-54),0),IF(B474="高一",MAX(IF(E474="男",L474-16,L474-53),0))))</f>
        <v>0</v>
      </c>
      <c r="O474" s="23">
        <f>IF(E474="男",LOOKUP($N474,[1]对照表!$Z$3:$Z$13,[1]对照表!$AA$3:$AA$13),LOOKUP($N474,[1]对照表!$Z$15:$Z$25,[1]对照表!$AA$15:$AA$25))</f>
        <v>0</v>
      </c>
      <c r="P474" s="24">
        <f>M474+O474</f>
        <v>0</v>
      </c>
      <c r="Q474" s="25">
        <v>3.43</v>
      </c>
      <c r="R474" s="32">
        <f>IF(B474="高三",IF($E474="男",LOOKUP(Q474,[1]对照表!$W$3:$W$24,[1]对照表!$X$3:$X$24),LOOKUP(Q474,[1]对照表!$W$27:$W$48,[1]对照表!$X$27:$X$48)),IF(B474="高二",IF($E474="男",LOOKUP(Q474,[1]对照表!$V$3:$V$24,[1]对照表!$X$3:$X$24),LOOKUP(Q474,[1]对照表!$V$27:$V$48,[1]对照表!$X$27:$X$48)),IF(B474="高一",IF($E474="男",LOOKUP(Q474,[1]对照表!$U$3:$U$24,[1]对照表!$X$3:$X$24),LOOKUP(Q474,[1]对照表!$U$27:$U$48,[1]对照表!$X$27:$X$48)))))</f>
        <v>85</v>
      </c>
      <c r="S474" s="33">
        <f>ROUND(IF(IF($B474="高三",MIN(IF($E474="男",$Q474-3.2,$Q474-3.2),0),IF($B474="高二",MIN(IF($E474="男",$Q474-3.25,$Q474-3.22),0),IF($B474="高一",MIN(IF($E474="男",$Q474-3.3,$Q474-3.24),0))))&lt;-0.6,IF($B474="高三",MIN(IF($E474="男",$Q474-3.2,$Q474-3.2),0),IF($B474="高二",MIN(IF($E474="男",$Q474-3.25,$Q474-3.22),0),IF($B474="高一",MIN(IF($E474="男",$Q474-3.3,$Q474-3.24),0))))+0.4,IF($B474="高三",MIN(IF($E474="男",$Q474-3.2,$Q474-3.2),0),IF($B474="高二",MIN(IF($E474="男",$Q474-3.25,$Q474-3.22),0),IF($B474="高一",MIN(IF($E474="男",$Q474-3.3,$Q474-3.24),0))))),2)</f>
        <v>0</v>
      </c>
      <c r="T474" s="23">
        <f>IF(E474="男",LOOKUP($S474,[1]对照表!$AB$3:$AB$13,[1]对照表!$AC$3:$AC$13),LOOKUP($S474,[1]对照表!$AB$15:$AB$25,[1]对照表!$AC$15:$AC$25))</f>
        <v>0</v>
      </c>
      <c r="U474" s="26">
        <f>R474+T474</f>
        <v>85</v>
      </c>
      <c r="V474" s="26">
        <f>SUM(I474,K474,M474)/3*0.3+SUM(G474,R474)/2*0.4</f>
        <v>44.6</v>
      </c>
      <c r="W474" s="27">
        <f>O474+T474</f>
        <v>0</v>
      </c>
      <c r="X474" s="28">
        <f>V474/0.7+W474</f>
        <v>63.714285714285722</v>
      </c>
      <c r="Y474" s="28">
        <v>63.714285714285722</v>
      </c>
      <c r="Z474" s="21"/>
    </row>
    <row r="475" spans="1:26" x14ac:dyDescent="0.25">
      <c r="A475" s="16">
        <v>24</v>
      </c>
      <c r="B475" s="17" t="s">
        <v>21</v>
      </c>
      <c r="C475" s="16">
        <v>111</v>
      </c>
      <c r="D475" s="18" t="s">
        <v>554</v>
      </c>
      <c r="E475" s="31" t="s">
        <v>65</v>
      </c>
      <c r="F475" s="19">
        <v>9.2899999999999991</v>
      </c>
      <c r="G475" s="32">
        <f>IF(B475="高三",IF($E475="男",LOOKUP(F475,[1]对照表!$G$3:$G$24,[1]对照表!$H$3:$H$24),LOOKUP(F475,[1]对照表!$G$27:$G$48,[1]对照表!$H$27:$H$48)),IF(B475="高二",IF($E475="男",LOOKUP(F475,[1]对照表!$F$3:$F$24,[1]对照表!$H$3:$H$24),LOOKUP(F475,[1]对照表!$F$27:$F$48,[1]对照表!$H$27:$H$48)),IF(B475="高一",IF($E475="男",LOOKUP(F475,[1]对照表!$E$3:$E$24,[1]对照表!$H$3:$H$24),LOOKUP(F475,[1]对照表!$E$27:$E$48,[1]对照表!$H$27:$H$48)))))</f>
        <v>72</v>
      </c>
      <c r="H475" s="21">
        <v>27</v>
      </c>
      <c r="I475" s="32">
        <f>IF(B475="高三",IF($E475="男",LOOKUP(H475,[1]对照表!$K$3:$K$24,[1]对照表!$L$3:$L$24),LOOKUP(H475,[1]对照表!$K$27:$K$48,[1]对照表!$L$27:$L$48)),IF(B475="高二",IF($E475="男",LOOKUP(H475,[1]对照表!$J$3:$J$24,[1]对照表!$L$3:$L$24),LOOKUP(H475,[1]对照表!$J$27:$J$48,[1]对照表!$L$27:$L$48)),IF(B475="高一",IF($E475="男",LOOKUP(H475,[1]对照表!$I$3:$I$24,[1]对照表!$L$3:$L$24),LOOKUP(H475,[1]对照表!$I$27:$I$48,[1]对照表!$L$27:$L$48)))))</f>
        <v>100</v>
      </c>
      <c r="J475" s="21">
        <v>175</v>
      </c>
      <c r="K475" s="32">
        <f>IF(B475="高三",IF($E475="男",LOOKUP(J475,[1]对照表!$O$3:$O$24,[1]对照表!$P$3:$P$24),LOOKUP(J475,[1]对照表!$O$27:$O$48,[1]对照表!$P$27:$P$48)),IF(B475="高二",IF($E475="男",LOOKUP(J475,[1]对照表!$N$3:$N$24,[1]对照表!$P$3:$P$24),LOOKUP(J475,[1]对照表!$N$27:$N$48,[1]对照表!$P$27:$P$48)),IF(B475="高一",IF($E475="男",LOOKUP(J475,[1]对照表!$M$3:$M$24,[1]对照表!$P$3:$P$24),LOOKUP(J475,[1]对照表!$M$27:$M$48,[1]对照表!$P$27:$P$48)))))</f>
        <v>78</v>
      </c>
      <c r="L475" s="21">
        <v>46</v>
      </c>
      <c r="M475" s="32">
        <f>IF(B475="高三",IF($E475="男",LOOKUP(L475,[1]对照表!$S$3:$S$24,[1]对照表!$T$3:$T$24),LOOKUP(L475,[1]对照表!$S$27:$S$48,[1]对照表!$T$27:$T$48)),IF(B475="高二",IF($E475="男",LOOKUP(L475,[1]对照表!$R$3:$R$24,[1]对照表!$T$3:$T$24),LOOKUP(L475,[1]对照表!$R$27:$R$48,[1]对照表!$T$27:$T$48)),IF(B475="高一",IF($E475="男",LOOKUP(L475,[1]对照表!$Q$3:$Q$24,[1]对照表!$T$3:$T$24),LOOKUP(L475,[1]对照表!$Q$27:$Q$48,[1]对照表!$T$27:$T$48)))))</f>
        <v>85</v>
      </c>
      <c r="N475" s="33">
        <f>IF(B475="高三",MAX(IF(E475="男",L475-18,L475-55),0),IF(B475="高二",MAX(IF(E475="男",L475-17,L475-54),0),IF(B475="高一",MAX(IF(E475="男",L475-16,L475-53),0))))</f>
        <v>0</v>
      </c>
      <c r="O475" s="23">
        <f>IF(E475="男",LOOKUP($N475,[1]对照表!$Z$3:$Z$13,[1]对照表!$AA$3:$AA$13),LOOKUP($N475,[1]对照表!$Z$15:$Z$25,[1]对照表!$AA$15:$AA$25))</f>
        <v>0</v>
      </c>
      <c r="P475" s="24">
        <f>M475+O475</f>
        <v>85</v>
      </c>
      <c r="Q475" s="25">
        <v>3.48</v>
      </c>
      <c r="R475" s="32">
        <f>IF(B475="高三",IF($E475="男",LOOKUP(Q475,[1]对照表!$W$3:$W$24,[1]对照表!$X$3:$X$24),LOOKUP(Q475,[1]对照表!$W$27:$W$48,[1]对照表!$X$27:$X$48)),IF(B475="高二",IF($E475="男",LOOKUP(Q475,[1]对照表!$V$3:$V$24,[1]对照表!$X$3:$X$24),LOOKUP(Q475,[1]对照表!$V$27:$V$48,[1]对照表!$X$27:$X$48)),IF(B475="高一",IF($E475="男",LOOKUP(Q475,[1]对照表!$U$3:$U$24,[1]对照表!$X$3:$X$24),LOOKUP(Q475,[1]对照表!$U$27:$U$48,[1]对照表!$X$27:$X$48)))))</f>
        <v>80</v>
      </c>
      <c r="S475" s="33">
        <f>ROUND(IF(IF($B475="高三",MIN(IF($E475="男",$Q475-3.2,$Q475-3.2),0),IF($B475="高二",MIN(IF($E475="男",$Q475-3.25,$Q475-3.22),0),IF($B475="高一",MIN(IF($E475="男",$Q475-3.3,$Q475-3.24),0))))&lt;-0.6,IF($B475="高三",MIN(IF($E475="男",$Q475-3.2,$Q475-3.2),0),IF($B475="高二",MIN(IF($E475="男",$Q475-3.25,$Q475-3.22),0),IF($B475="高一",MIN(IF($E475="男",$Q475-3.3,$Q475-3.24),0))))+0.4,IF($B475="高三",MIN(IF($E475="男",$Q475-3.2,$Q475-3.2),0),IF($B475="高二",MIN(IF($E475="男",$Q475-3.25,$Q475-3.22),0),IF($B475="高一",MIN(IF($E475="男",$Q475-3.3,$Q475-3.24),0))))),2)</f>
        <v>0</v>
      </c>
      <c r="T475" s="23">
        <f>IF(E475="男",LOOKUP($S475,[1]对照表!$AB$3:$AB$13,[1]对照表!$AC$3:$AC$13),LOOKUP($S475,[1]对照表!$AB$15:$AB$25,[1]对照表!$AC$15:$AC$25))</f>
        <v>0</v>
      </c>
      <c r="U475" s="26">
        <f>R475+T475</f>
        <v>80</v>
      </c>
      <c r="V475" s="26">
        <f>SUM(I475,K475,M475)/3*0.3+SUM(G475,R475)/2*0.4</f>
        <v>56.7</v>
      </c>
      <c r="W475" s="27">
        <f>O475+T475</f>
        <v>0</v>
      </c>
      <c r="X475" s="28">
        <f>V475/0.7+W475</f>
        <v>81.000000000000014</v>
      </c>
      <c r="Y475" s="28">
        <v>81.000000000000014</v>
      </c>
      <c r="Z475" s="21"/>
    </row>
    <row r="476" spans="1:26" x14ac:dyDescent="0.25">
      <c r="A476" s="16">
        <v>38</v>
      </c>
      <c r="B476" s="17" t="s">
        <v>21</v>
      </c>
      <c r="C476" s="16">
        <v>111</v>
      </c>
      <c r="D476" s="18" t="s">
        <v>594</v>
      </c>
      <c r="E476" s="17" t="s">
        <v>65</v>
      </c>
      <c r="F476" s="19">
        <v>9.6199999999999992</v>
      </c>
      <c r="G476" s="32">
        <f>IF(B476="高三",IF($E476="男",LOOKUP(F476,[1]对照表!$G$3:$G$24,[1]对照表!$H$3:$H$24),LOOKUP(F476,[1]对照表!$G$27:$G$48,[1]对照表!$H$27:$H$48)),IF(B476="高二",IF($E476="男",LOOKUP(F476,[1]对照表!$F$3:$F$24,[1]对照表!$H$3:$H$24),LOOKUP(F476,[1]对照表!$F$27:$F$48,[1]对照表!$H$27:$H$48)),IF(B476="高一",IF($E476="男",LOOKUP(F476,[1]对照表!$E$3:$E$24,[1]对照表!$H$3:$H$24),LOOKUP(F476,[1]对照表!$E$27:$E$48,[1]对照表!$H$27:$H$48)))))</f>
        <v>68</v>
      </c>
      <c r="H476" s="21">
        <v>18</v>
      </c>
      <c r="I476" s="32">
        <f>IF(B476="高三",IF($E476="男",LOOKUP(H476,[1]对照表!$K$3:$K$24,[1]对照表!$L$3:$L$24),LOOKUP(H476,[1]对照表!$K$27:$K$48,[1]对照表!$L$27:$L$48)),IF(B476="高二",IF($E476="男",LOOKUP(H476,[1]对照表!$J$3:$J$24,[1]对照表!$L$3:$L$24),LOOKUP(H476,[1]对照表!$J$27:$J$48,[1]对照表!$L$27:$L$48)),IF(B476="高一",IF($E476="男",LOOKUP(H476,[1]对照表!$I$3:$I$24,[1]对照表!$L$3:$L$24),LOOKUP(H476,[1]对照表!$I$27:$I$48,[1]对照表!$L$27:$L$48)))))</f>
        <v>80</v>
      </c>
      <c r="J476" s="21">
        <v>175</v>
      </c>
      <c r="K476" s="32">
        <f>IF(B476="高三",IF($E476="男",LOOKUP(J476,[1]对照表!$O$3:$O$24,[1]对照表!$P$3:$P$24),LOOKUP(J476,[1]对照表!$O$27:$O$48,[1]对照表!$P$27:$P$48)),IF(B476="高二",IF($E476="男",LOOKUP(J476,[1]对照表!$N$3:$N$24,[1]对照表!$P$3:$P$24),LOOKUP(J476,[1]对照表!$N$27:$N$48,[1]对照表!$P$27:$P$48)),IF(B476="高一",IF($E476="男",LOOKUP(J476,[1]对照表!$M$3:$M$24,[1]对照表!$P$3:$P$24),LOOKUP(J476,[1]对照表!$M$27:$M$48,[1]对照表!$P$27:$P$48)))))</f>
        <v>78</v>
      </c>
      <c r="L476" s="21">
        <v>45</v>
      </c>
      <c r="M476" s="32">
        <f>IF(B476="高三",IF($E476="男",LOOKUP(L476,[1]对照表!$S$3:$S$24,[1]对照表!$T$3:$T$24),LOOKUP(L476,[1]对照表!$S$27:$S$48,[1]对照表!$T$27:$T$48)),IF(B476="高二",IF($E476="男",LOOKUP(L476,[1]对照表!$R$3:$R$24,[1]对照表!$T$3:$T$24),LOOKUP(L476,[1]对照表!$R$27:$R$48,[1]对照表!$T$27:$T$48)),IF(B476="高一",IF($E476="男",LOOKUP(L476,[1]对照表!$Q$3:$Q$24,[1]对照表!$T$3:$T$24),LOOKUP(L476,[1]对照表!$Q$27:$Q$48,[1]对照表!$T$27:$T$48)))))</f>
        <v>80</v>
      </c>
      <c r="N476" s="33">
        <f>IF(B476="高三",MAX(IF(E476="男",L476-18,L476-55),0),IF(B476="高二",MAX(IF(E476="男",L476-17,L476-54),0),IF(B476="高一",MAX(IF(E476="男",L476-16,L476-53),0))))</f>
        <v>0</v>
      </c>
      <c r="O476" s="23">
        <f>IF(E476="男",LOOKUP($N476,[1]对照表!$Z$3:$Z$13,[1]对照表!$AA$3:$AA$13),LOOKUP($N476,[1]对照表!$Z$15:$Z$25,[1]对照表!$AA$15:$AA$25))</f>
        <v>0</v>
      </c>
      <c r="P476" s="24">
        <f>M476+O476</f>
        <v>80</v>
      </c>
      <c r="Q476" s="25">
        <v>3.49</v>
      </c>
      <c r="R476" s="32">
        <f>IF(B476="高三",IF($E476="男",LOOKUP(Q476,[1]对照表!$W$3:$W$24,[1]对照表!$X$3:$X$24),LOOKUP(Q476,[1]对照表!$W$27:$W$48,[1]对照表!$X$27:$X$48)),IF(B476="高二",IF($E476="男",LOOKUP(Q476,[1]对照表!$V$3:$V$24,[1]对照表!$X$3:$X$24),LOOKUP(Q476,[1]对照表!$V$27:$V$48,[1]对照表!$X$27:$X$48)),IF(B476="高一",IF($E476="男",LOOKUP(Q476,[1]对照表!$U$3:$U$24,[1]对照表!$X$3:$X$24),LOOKUP(Q476,[1]对照表!$U$27:$U$48,[1]对照表!$X$27:$X$48)))))</f>
        <v>80</v>
      </c>
      <c r="S476" s="33">
        <f>ROUND(IF(IF($B476="高三",MIN(IF($E476="男",$Q476-3.2,$Q476-3.2),0),IF($B476="高二",MIN(IF($E476="男",$Q476-3.25,$Q476-3.22),0),IF($B476="高一",MIN(IF($E476="男",$Q476-3.3,$Q476-3.24),0))))&lt;-0.6,IF($B476="高三",MIN(IF($E476="男",$Q476-3.2,$Q476-3.2),0),IF($B476="高二",MIN(IF($E476="男",$Q476-3.25,$Q476-3.22),0),IF($B476="高一",MIN(IF($E476="男",$Q476-3.3,$Q476-3.24),0))))+0.4,IF($B476="高三",MIN(IF($E476="男",$Q476-3.2,$Q476-3.2),0),IF($B476="高二",MIN(IF($E476="男",$Q476-3.25,$Q476-3.22),0),IF($B476="高一",MIN(IF($E476="男",$Q476-3.3,$Q476-3.24),0))))),2)</f>
        <v>0</v>
      </c>
      <c r="T476" s="23">
        <f>IF(E476="男",LOOKUP($S476,[1]对照表!$AB$3:$AB$13,[1]对照表!$AC$3:$AC$13),LOOKUP($S476,[1]对照表!$AB$15:$AB$25,[1]对照表!$AC$15:$AC$25))</f>
        <v>0</v>
      </c>
      <c r="U476" s="26">
        <f>R476+T476</f>
        <v>80</v>
      </c>
      <c r="V476" s="26">
        <f>SUM(I476,K476,M476)/3*0.3+SUM(G476,R476)/2*0.4</f>
        <v>53.4</v>
      </c>
      <c r="W476" s="27">
        <f>O476+T476</f>
        <v>0</v>
      </c>
      <c r="X476" s="28">
        <f>V476/0.7+W476</f>
        <v>76.285714285714292</v>
      </c>
      <c r="Y476" s="28">
        <v>76.285714285714292</v>
      </c>
      <c r="Z476" s="21"/>
    </row>
    <row r="477" spans="1:26" x14ac:dyDescent="0.25">
      <c r="A477" s="16">
        <v>37</v>
      </c>
      <c r="B477" s="17" t="s">
        <v>21</v>
      </c>
      <c r="C477" s="16">
        <v>111</v>
      </c>
      <c r="D477" s="18" t="s">
        <v>595</v>
      </c>
      <c r="E477" s="17" t="s">
        <v>65</v>
      </c>
      <c r="F477" s="19">
        <v>9.89</v>
      </c>
      <c r="G477" s="32">
        <f>IF(B477="高三",IF($E477="男",LOOKUP(F477,[1]对照表!$G$3:$G$24,[1]对照表!$H$3:$H$24),LOOKUP(F477,[1]对照表!$G$27:$G$48,[1]对照表!$H$27:$H$48)),IF(B477="高二",IF($E477="男",LOOKUP(F477,[1]对照表!$F$3:$F$24,[1]对照表!$H$3:$H$24),LOOKUP(F477,[1]对照表!$F$27:$F$48,[1]对照表!$H$27:$H$48)),IF(B477="高一",IF($E477="男",LOOKUP(F477,[1]对照表!$E$3:$E$24,[1]对照表!$H$3:$H$24),LOOKUP(F477,[1]对照表!$E$27:$E$48,[1]对照表!$H$27:$H$48)))))</f>
        <v>66</v>
      </c>
      <c r="H477" s="21">
        <v>14.5</v>
      </c>
      <c r="I477" s="32">
        <f>IF(B477="高三",IF($E477="男",LOOKUP(H477,[1]对照表!$K$3:$K$24,[1]对照表!$L$3:$L$24),LOOKUP(H477,[1]对照表!$K$27:$K$48,[1]对照表!$L$27:$L$48)),IF(B477="高二",IF($E477="男",LOOKUP(H477,[1]对照表!$J$3:$J$24,[1]对照表!$L$3:$L$24),LOOKUP(H477,[1]对照表!$J$27:$J$48,[1]对照表!$L$27:$L$48)),IF(B477="高一",IF($E477="男",LOOKUP(H477,[1]对照表!$I$3:$I$24,[1]对照表!$L$3:$L$24),LOOKUP(H477,[1]对照表!$I$27:$I$48,[1]对照表!$L$27:$L$48)))))</f>
        <v>74</v>
      </c>
      <c r="J477" s="21">
        <v>164</v>
      </c>
      <c r="K477" s="32">
        <f>IF(B477="高三",IF($E477="男",LOOKUP(J477,[1]对照表!$O$3:$O$24,[1]对照表!$P$3:$P$24),LOOKUP(J477,[1]对照表!$O$27:$O$48,[1]对照表!$P$27:$P$48)),IF(B477="高二",IF($E477="男",LOOKUP(J477,[1]对照表!$N$3:$N$24,[1]对照表!$P$3:$P$24),LOOKUP(J477,[1]对照表!$N$27:$N$48,[1]对照表!$P$27:$P$48)),IF(B477="高一",IF($E477="男",LOOKUP(J477,[1]对照表!$M$3:$M$24,[1]对照表!$P$3:$P$24),LOOKUP(J477,[1]对照表!$M$27:$M$48,[1]对照表!$P$27:$P$48)))))</f>
        <v>70</v>
      </c>
      <c r="L477" s="21">
        <v>49</v>
      </c>
      <c r="M477" s="32">
        <f>IF(B477="高三",IF($E477="男",LOOKUP(L477,[1]对照表!$S$3:$S$24,[1]对照表!$T$3:$T$24),LOOKUP(L477,[1]对照表!$S$27:$S$48,[1]对照表!$T$27:$T$48)),IF(B477="高二",IF($E477="男",LOOKUP(L477,[1]对照表!$R$3:$R$24,[1]对照表!$T$3:$T$24),LOOKUP(L477,[1]对照表!$R$27:$R$48,[1]对照表!$T$27:$T$48)),IF(B477="高一",IF($E477="男",LOOKUP(L477,[1]对照表!$Q$3:$Q$24,[1]对照表!$T$3:$T$24),LOOKUP(L477,[1]对照表!$Q$27:$Q$48,[1]对照表!$T$27:$T$48)))))</f>
        <v>90</v>
      </c>
      <c r="N477" s="33">
        <f>IF(B477="高三",MAX(IF(E477="男",L477-18,L477-55),0),IF(B477="高二",MAX(IF(E477="男",L477-17,L477-54),0),IF(B477="高一",MAX(IF(E477="男",L477-16,L477-53),0))))</f>
        <v>0</v>
      </c>
      <c r="O477" s="23">
        <f>IF(E477="男",LOOKUP($N477,[1]对照表!$Z$3:$Z$13,[1]对照表!$AA$3:$AA$13),LOOKUP($N477,[1]对照表!$Z$15:$Z$25,[1]对照表!$AA$15:$AA$25))</f>
        <v>0</v>
      </c>
      <c r="P477" s="24">
        <f>M477+O477</f>
        <v>90</v>
      </c>
      <c r="Q477" s="25">
        <v>3.49</v>
      </c>
      <c r="R477" s="32">
        <f>IF(B477="高三",IF($E477="男",LOOKUP(Q477,[1]对照表!$W$3:$W$24,[1]对照表!$X$3:$X$24),LOOKUP(Q477,[1]对照表!$W$27:$W$48,[1]对照表!$X$27:$X$48)),IF(B477="高二",IF($E477="男",LOOKUP(Q477,[1]对照表!$V$3:$V$24,[1]对照表!$X$3:$X$24),LOOKUP(Q477,[1]对照表!$V$27:$V$48,[1]对照表!$X$27:$X$48)),IF(B477="高一",IF($E477="男",LOOKUP(Q477,[1]对照表!$U$3:$U$24,[1]对照表!$X$3:$X$24),LOOKUP(Q477,[1]对照表!$U$27:$U$48,[1]对照表!$X$27:$X$48)))))</f>
        <v>80</v>
      </c>
      <c r="S477" s="33">
        <f>ROUND(IF(IF($B477="高三",MIN(IF($E477="男",$Q477-3.2,$Q477-3.2),0),IF($B477="高二",MIN(IF($E477="男",$Q477-3.25,$Q477-3.22),0),IF($B477="高一",MIN(IF($E477="男",$Q477-3.3,$Q477-3.24),0))))&lt;-0.6,IF($B477="高三",MIN(IF($E477="男",$Q477-3.2,$Q477-3.2),0),IF($B477="高二",MIN(IF($E477="男",$Q477-3.25,$Q477-3.22),0),IF($B477="高一",MIN(IF($E477="男",$Q477-3.3,$Q477-3.24),0))))+0.4,IF($B477="高三",MIN(IF($E477="男",$Q477-3.2,$Q477-3.2),0),IF($B477="高二",MIN(IF($E477="男",$Q477-3.25,$Q477-3.22),0),IF($B477="高一",MIN(IF($E477="男",$Q477-3.3,$Q477-3.24),0))))),2)</f>
        <v>0</v>
      </c>
      <c r="T477" s="23">
        <f>IF(E477="男",LOOKUP($S477,[1]对照表!$AB$3:$AB$13,[1]对照表!$AC$3:$AC$13),LOOKUP($S477,[1]对照表!$AB$15:$AB$25,[1]对照表!$AC$15:$AC$25))</f>
        <v>0</v>
      </c>
      <c r="U477" s="26">
        <f>R477+T477</f>
        <v>80</v>
      </c>
      <c r="V477" s="26">
        <f>SUM(I477,K477,M477)/3*0.3+SUM(G477,R477)/2*0.4</f>
        <v>52.6</v>
      </c>
      <c r="W477" s="27">
        <f>O477+T477</f>
        <v>0</v>
      </c>
      <c r="X477" s="28">
        <f>V477/0.7+W477</f>
        <v>75.142857142857153</v>
      </c>
      <c r="Y477" s="28">
        <v>75.142857142857153</v>
      </c>
      <c r="Z477" s="21"/>
    </row>
    <row r="478" spans="1:26" x14ac:dyDescent="0.25">
      <c r="A478" s="16">
        <v>36</v>
      </c>
      <c r="B478" s="17" t="s">
        <v>21</v>
      </c>
      <c r="C478" s="16">
        <v>111</v>
      </c>
      <c r="D478" s="18" t="s">
        <v>606</v>
      </c>
      <c r="E478" s="17" t="s">
        <v>65</v>
      </c>
      <c r="F478" s="19">
        <v>9.4600000000000009</v>
      </c>
      <c r="G478" s="32">
        <f>IF(B478="高三",IF($E478="男",LOOKUP(F478,[1]对照表!$G$3:$G$24,[1]对照表!$H$3:$H$24),LOOKUP(F478,[1]对照表!$G$27:$G$48,[1]对照表!$H$27:$H$48)),IF(B478="高二",IF($E478="男",LOOKUP(F478,[1]对照表!$F$3:$F$24,[1]对照表!$H$3:$H$24),LOOKUP(F478,[1]对照表!$F$27:$F$48,[1]对照表!$H$27:$H$48)),IF(B478="高一",IF($E478="男",LOOKUP(F478,[1]对照表!$E$3:$E$24,[1]对照表!$H$3:$H$24),LOOKUP(F478,[1]对照表!$E$27:$E$48,[1]对照表!$H$27:$H$48)))))</f>
        <v>70</v>
      </c>
      <c r="H478" s="21">
        <v>6</v>
      </c>
      <c r="I478" s="32">
        <f>IF(B478="高三",IF($E478="男",LOOKUP(H478,[1]对照表!$K$3:$K$24,[1]对照表!$L$3:$L$24),LOOKUP(H478,[1]对照表!$K$27:$K$48,[1]对照表!$L$27:$L$48)),IF(B478="高二",IF($E478="男",LOOKUP(H478,[1]对照表!$J$3:$J$24,[1]对照表!$L$3:$L$24),LOOKUP(H478,[1]对照表!$J$27:$J$48,[1]对照表!$L$27:$L$48)),IF(B478="高一",IF($E478="男",LOOKUP(H478,[1]对照表!$I$3:$I$24,[1]对照表!$L$3:$L$24),LOOKUP(H478,[1]对照表!$I$27:$I$48,[1]对照表!$L$27:$L$48)))))</f>
        <v>62</v>
      </c>
      <c r="J478" s="21">
        <v>185</v>
      </c>
      <c r="K478" s="32">
        <f>IF(B478="高三",IF($E478="男",LOOKUP(J478,[1]对照表!$O$3:$O$24,[1]对照表!$P$3:$P$24),LOOKUP(J478,[1]对照表!$O$27:$O$48,[1]对照表!$P$27:$P$48)),IF(B478="高二",IF($E478="男",LOOKUP(J478,[1]对照表!$N$3:$N$24,[1]对照表!$P$3:$P$24),LOOKUP(J478,[1]对照表!$N$27:$N$48,[1]对照表!$P$27:$P$48)),IF(B478="高一",IF($E478="男",LOOKUP(J478,[1]对照表!$M$3:$M$24,[1]对照表!$P$3:$P$24),LOOKUP(J478,[1]对照表!$M$27:$M$48,[1]对照表!$P$27:$P$48)))))</f>
        <v>85</v>
      </c>
      <c r="L478" s="21">
        <v>52</v>
      </c>
      <c r="M478" s="32">
        <f>IF(B478="高三",IF($E478="男",LOOKUP(L478,[1]对照表!$S$3:$S$24,[1]对照表!$T$3:$T$24),LOOKUP(L478,[1]对照表!$S$27:$S$48,[1]对照表!$T$27:$T$48)),IF(B478="高二",IF($E478="男",LOOKUP(L478,[1]对照表!$R$3:$R$24,[1]对照表!$T$3:$T$24),LOOKUP(L478,[1]对照表!$R$27:$R$48,[1]对照表!$T$27:$T$48)),IF(B478="高一",IF($E478="男",LOOKUP(L478,[1]对照表!$Q$3:$Q$24,[1]对照表!$T$3:$T$24),LOOKUP(L478,[1]对照表!$Q$27:$Q$48,[1]对照表!$T$27:$T$48)))))</f>
        <v>95</v>
      </c>
      <c r="N478" s="33">
        <f>IF(B478="高三",MAX(IF(E478="男",L478-18,L478-55),0),IF(B478="高二",MAX(IF(E478="男",L478-17,L478-54),0),IF(B478="高一",MAX(IF(E478="男",L478-16,L478-53),0))))</f>
        <v>0</v>
      </c>
      <c r="O478" s="23">
        <f>IF(E478="男",LOOKUP($N478,[1]对照表!$Z$3:$Z$13,[1]对照表!$AA$3:$AA$13),LOOKUP($N478,[1]对照表!$Z$15:$Z$25,[1]对照表!$AA$15:$AA$25))</f>
        <v>0</v>
      </c>
      <c r="P478" s="24">
        <f>M478+O478</f>
        <v>95</v>
      </c>
      <c r="Q478" s="25">
        <v>3.51</v>
      </c>
      <c r="R478" s="32">
        <f>IF(B478="高三",IF($E478="男",LOOKUP(Q478,[1]对照表!$W$3:$W$24,[1]对照表!$X$3:$X$24),LOOKUP(Q478,[1]对照表!$W$27:$W$48,[1]对照表!$X$27:$X$48)),IF(B478="高二",IF($E478="男",LOOKUP(Q478,[1]对照表!$V$3:$V$24,[1]对照表!$X$3:$X$24),LOOKUP(Q478,[1]对照表!$V$27:$V$48,[1]对照表!$X$27:$X$48)),IF(B478="高一",IF($E478="男",LOOKUP(Q478,[1]对照表!$U$3:$U$24,[1]对照表!$X$3:$X$24),LOOKUP(Q478,[1]对照表!$U$27:$U$48,[1]对照表!$X$27:$X$48)))))</f>
        <v>78</v>
      </c>
      <c r="S478" s="33">
        <f>ROUND(IF(IF($B478="高三",MIN(IF($E478="男",$Q478-3.2,$Q478-3.2),0),IF($B478="高二",MIN(IF($E478="男",$Q478-3.25,$Q478-3.22),0),IF($B478="高一",MIN(IF($E478="男",$Q478-3.3,$Q478-3.24),0))))&lt;-0.6,IF($B478="高三",MIN(IF($E478="男",$Q478-3.2,$Q478-3.2),0),IF($B478="高二",MIN(IF($E478="男",$Q478-3.25,$Q478-3.22),0),IF($B478="高一",MIN(IF($E478="男",$Q478-3.3,$Q478-3.24),0))))+0.4,IF($B478="高三",MIN(IF($E478="男",$Q478-3.2,$Q478-3.2),0),IF($B478="高二",MIN(IF($E478="男",$Q478-3.25,$Q478-3.22),0),IF($B478="高一",MIN(IF($E478="男",$Q478-3.3,$Q478-3.24),0))))),2)</f>
        <v>0</v>
      </c>
      <c r="T478" s="23">
        <f>IF(E478="男",LOOKUP($S478,[1]对照表!$AB$3:$AB$13,[1]对照表!$AC$3:$AC$13),LOOKUP($S478,[1]对照表!$AB$15:$AB$25,[1]对照表!$AC$15:$AC$25))</f>
        <v>0</v>
      </c>
      <c r="U478" s="26">
        <f>R478+T478</f>
        <v>78</v>
      </c>
      <c r="V478" s="26">
        <f>SUM(I478,K478,M478)/3*0.3+SUM(G478,R478)/2*0.4</f>
        <v>53.8</v>
      </c>
      <c r="W478" s="27">
        <f>O478+T478</f>
        <v>0</v>
      </c>
      <c r="X478" s="28">
        <f>V478/0.7+W478</f>
        <v>76.857142857142861</v>
      </c>
      <c r="Y478" s="28">
        <v>76.857142857142861</v>
      </c>
      <c r="Z478" s="21"/>
    </row>
    <row r="479" spans="1:26" x14ac:dyDescent="0.25">
      <c r="A479" s="16">
        <v>7</v>
      </c>
      <c r="B479" s="17" t="s">
        <v>21</v>
      </c>
      <c r="C479" s="16">
        <v>111</v>
      </c>
      <c r="D479" s="18" t="s">
        <v>641</v>
      </c>
      <c r="E479" s="17" t="s">
        <v>23</v>
      </c>
      <c r="F479" s="19"/>
      <c r="G479" s="20">
        <v>0</v>
      </c>
      <c r="H479" s="21">
        <v>23.1</v>
      </c>
      <c r="I479" s="32">
        <f>IF(B479="高三",IF($E479="男",LOOKUP(H479,[1]对照表!$K$3:$K$24,[1]对照表!$L$3:$L$24),LOOKUP(H479,[1]对照表!$K$27:$K$48,[1]对照表!$L$27:$L$48)),IF(B479="高二",IF($E479="男",LOOKUP(H479,[1]对照表!$J$3:$J$24,[1]对照表!$L$3:$L$24),LOOKUP(H479,[1]对照表!$J$27:$J$48,[1]对照表!$L$27:$L$48)),IF(B479="高一",IF($E479="男",LOOKUP(H479,[1]对照表!$I$3:$I$24,[1]对照表!$L$3:$L$24),LOOKUP(H479,[1]对照表!$I$27:$I$48,[1]对照表!$L$27:$L$48)))))</f>
        <v>95</v>
      </c>
      <c r="J479" s="21"/>
      <c r="K479" s="20">
        <v>0</v>
      </c>
      <c r="L479" s="21">
        <v>5</v>
      </c>
      <c r="M479" s="32">
        <f>IF(B479="高三",IF($E479="男",LOOKUP(L479,[1]对照表!$S$3:$S$24,[1]对照表!$T$3:$T$24),LOOKUP(L479,[1]对照表!$S$27:$S$48,[1]对照表!$T$27:$T$48)),IF(B479="高二",IF($E479="男",LOOKUP(L479,[1]对照表!$R$3:$R$24,[1]对照表!$T$3:$T$24),LOOKUP(L479,[1]对照表!$R$27:$R$48,[1]对照表!$T$27:$T$48)),IF(B479="高一",IF($E479="男",LOOKUP(L479,[1]对照表!$Q$3:$Q$24,[1]对照表!$T$3:$T$24),LOOKUP(L479,[1]对照表!$Q$27:$Q$48,[1]对照表!$T$27:$T$48)))))</f>
        <v>40</v>
      </c>
      <c r="N479" s="33">
        <f>IF(B479="高三",MAX(IF(E479="男",L479-18,L479-55),0),IF(B479="高二",MAX(IF(E479="男",L479-17,L479-54),0),IF(B479="高一",MAX(IF(E479="男",L479-16,L479-53),0))))</f>
        <v>0</v>
      </c>
      <c r="O479" s="23">
        <f>IF(E479="男",LOOKUP($N479,[1]对照表!$Z$3:$Z$13,[1]对照表!$AA$3:$AA$13),LOOKUP($N479,[1]对照表!$Z$15:$Z$25,[1]对照表!$AA$15:$AA$25))</f>
        <v>0</v>
      </c>
      <c r="P479" s="24">
        <f>M479+O479</f>
        <v>40</v>
      </c>
      <c r="Q479" s="25"/>
      <c r="R479" s="20">
        <v>0</v>
      </c>
      <c r="S479" s="22">
        <v>0</v>
      </c>
      <c r="T479" s="23">
        <f>IF(E479="男",LOOKUP($S479,[1]对照表!$AB$3:$AB$13,[1]对照表!$AC$3:$AC$13),LOOKUP($S479,[1]对照表!$AB$15:$AB$25,[1]对照表!$AC$15:$AC$25))</f>
        <v>0</v>
      </c>
      <c r="U479" s="26">
        <f>R479+T479</f>
        <v>0</v>
      </c>
      <c r="V479" s="26">
        <f>SUM(I479,K479,M479)/3*0.3+SUM(G479,R479)/2*0.4</f>
        <v>13.5</v>
      </c>
      <c r="W479" s="27">
        <f>O479+T479</f>
        <v>0</v>
      </c>
      <c r="X479" s="28">
        <f>V479/0.7+W479</f>
        <v>19.285714285714288</v>
      </c>
      <c r="Y479" s="29">
        <v>50</v>
      </c>
      <c r="Z479" s="21" t="s">
        <v>642</v>
      </c>
    </row>
    <row r="480" spans="1:26" x14ac:dyDescent="0.25">
      <c r="A480" s="16">
        <v>44</v>
      </c>
      <c r="B480" s="17" t="s">
        <v>21</v>
      </c>
      <c r="C480" s="16">
        <v>111</v>
      </c>
      <c r="D480" s="18" t="s">
        <v>658</v>
      </c>
      <c r="E480" s="17" t="s">
        <v>65</v>
      </c>
      <c r="F480" s="19">
        <v>9.02</v>
      </c>
      <c r="G480" s="32">
        <f>IF(B480="高三",IF($E480="男",LOOKUP(F480,[1]对照表!$G$3:$G$24,[1]对照表!$H$3:$H$24),LOOKUP(F480,[1]对照表!$G$27:$G$48,[1]对照表!$H$27:$H$48)),IF(B480="高二",IF($E480="男",LOOKUP(F480,[1]对照表!$F$3:$F$24,[1]对照表!$H$3:$H$24),LOOKUP(F480,[1]对照表!$F$27:$F$48,[1]对照表!$H$27:$H$48)),IF(B480="高一",IF($E480="男",LOOKUP(F480,[1]对照表!$E$3:$E$24,[1]对照表!$H$3:$H$24),LOOKUP(F480,[1]对照表!$E$27:$E$48,[1]对照表!$H$27:$H$48)))))</f>
        <v>74</v>
      </c>
      <c r="H480" s="21">
        <v>18</v>
      </c>
      <c r="I480" s="32">
        <f>IF(B480="高三",IF($E480="男",LOOKUP(H480,[1]对照表!$K$3:$K$24,[1]对照表!$L$3:$L$24),LOOKUP(H480,[1]对照表!$K$27:$K$48,[1]对照表!$L$27:$L$48)),IF(B480="高二",IF($E480="男",LOOKUP(H480,[1]对照表!$J$3:$J$24,[1]对照表!$L$3:$L$24),LOOKUP(H480,[1]对照表!$J$27:$J$48,[1]对照表!$L$27:$L$48)),IF(B480="高一",IF($E480="男",LOOKUP(H480,[1]对照表!$I$3:$I$24,[1]对照表!$L$3:$L$24),LOOKUP(H480,[1]对照表!$I$27:$I$48,[1]对照表!$L$27:$L$48)))))</f>
        <v>80</v>
      </c>
      <c r="J480" s="21">
        <v>185</v>
      </c>
      <c r="K480" s="32">
        <f>IF(B480="高三",IF($E480="男",LOOKUP(J480,[1]对照表!$O$3:$O$24,[1]对照表!$P$3:$P$24),LOOKUP(J480,[1]对照表!$O$27:$O$48,[1]对照表!$P$27:$P$48)),IF(B480="高二",IF($E480="男",LOOKUP(J480,[1]对照表!$N$3:$N$24,[1]对照表!$P$3:$P$24),LOOKUP(J480,[1]对照表!$N$27:$N$48,[1]对照表!$P$27:$P$48)),IF(B480="高一",IF($E480="男",LOOKUP(J480,[1]对照表!$M$3:$M$24,[1]对照表!$P$3:$P$24),LOOKUP(J480,[1]对照表!$M$27:$M$48,[1]对照表!$P$27:$P$48)))))</f>
        <v>85</v>
      </c>
      <c r="L480" s="21">
        <v>43</v>
      </c>
      <c r="M480" s="32">
        <f>IF(B480="高三",IF($E480="男",LOOKUP(L480,[1]对照表!$S$3:$S$24,[1]对照表!$T$3:$T$24),LOOKUP(L480,[1]对照表!$S$27:$S$48,[1]对照表!$T$27:$T$48)),IF(B480="高二",IF($E480="男",LOOKUP(L480,[1]对照表!$R$3:$R$24,[1]对照表!$T$3:$T$24),LOOKUP(L480,[1]对照表!$R$27:$R$48,[1]对照表!$T$27:$T$48)),IF(B480="高一",IF($E480="男",LOOKUP(L480,[1]对照表!$Q$3:$Q$24,[1]对照表!$T$3:$T$24),LOOKUP(L480,[1]对照表!$Q$27:$Q$48,[1]对照表!$T$27:$T$48)))))</f>
        <v>80</v>
      </c>
      <c r="N480" s="33">
        <f>IF(B480="高三",MAX(IF(E480="男",L480-18,L480-55),0),IF(B480="高二",MAX(IF(E480="男",L480-17,L480-54),0),IF(B480="高一",MAX(IF(E480="男",L480-16,L480-53),0))))</f>
        <v>0</v>
      </c>
      <c r="O480" s="23">
        <f>IF(E480="男",LOOKUP($N480,[1]对照表!$Z$3:$Z$13,[1]对照表!$AA$3:$AA$13),LOOKUP($N480,[1]对照表!$Z$15:$Z$25,[1]对照表!$AA$15:$AA$25))</f>
        <v>0</v>
      </c>
      <c r="P480" s="24">
        <f>M480+O480</f>
        <v>80</v>
      </c>
      <c r="Q480" s="25">
        <v>3.58</v>
      </c>
      <c r="R480" s="32">
        <f>IF(B480="高三",IF($E480="男",LOOKUP(Q480,[1]对照表!$W$3:$W$24,[1]对照表!$X$3:$X$24),LOOKUP(Q480,[1]对照表!$W$27:$W$48,[1]对照表!$X$27:$X$48)),IF(B480="高二",IF($E480="男",LOOKUP(Q480,[1]对照表!$V$3:$V$24,[1]对照表!$X$3:$X$24),LOOKUP(Q480,[1]对照表!$V$27:$V$48,[1]对照表!$X$27:$X$48)),IF(B480="高一",IF($E480="男",LOOKUP(Q480,[1]对照表!$U$3:$U$24,[1]对照表!$X$3:$X$24),LOOKUP(Q480,[1]对照表!$U$27:$U$48,[1]对照表!$X$27:$X$48)))))</f>
        <v>76</v>
      </c>
      <c r="S480" s="33">
        <f>ROUND(IF(IF($B480="高三",MIN(IF($E480="男",$Q480-3.2,$Q480-3.2),0),IF($B480="高二",MIN(IF($E480="男",$Q480-3.25,$Q480-3.22),0),IF($B480="高一",MIN(IF($E480="男",$Q480-3.3,$Q480-3.24),0))))&lt;-0.6,IF($B480="高三",MIN(IF($E480="男",$Q480-3.2,$Q480-3.2),0),IF($B480="高二",MIN(IF($E480="男",$Q480-3.25,$Q480-3.22),0),IF($B480="高一",MIN(IF($E480="男",$Q480-3.3,$Q480-3.24),0))))+0.4,IF($B480="高三",MIN(IF($E480="男",$Q480-3.2,$Q480-3.2),0),IF($B480="高二",MIN(IF($E480="男",$Q480-3.25,$Q480-3.22),0),IF($B480="高一",MIN(IF($E480="男",$Q480-3.3,$Q480-3.24),0))))),2)</f>
        <v>0</v>
      </c>
      <c r="T480" s="23">
        <f>IF(E480="男",LOOKUP($S480,[1]对照表!$AB$3:$AB$13,[1]对照表!$AC$3:$AC$13),LOOKUP($S480,[1]对照表!$AB$15:$AB$25,[1]对照表!$AC$15:$AC$25))</f>
        <v>0</v>
      </c>
      <c r="U480" s="26">
        <f>R480+T480</f>
        <v>76</v>
      </c>
      <c r="V480" s="26">
        <f>SUM(I480,K480,M480)/3*0.3+SUM(G480,R480)/2*0.4</f>
        <v>54.5</v>
      </c>
      <c r="W480" s="27">
        <f>O480+T480</f>
        <v>0</v>
      </c>
      <c r="X480" s="28">
        <f>V480/0.7+W480</f>
        <v>77.857142857142861</v>
      </c>
      <c r="Y480" s="28">
        <v>77.857142857142861</v>
      </c>
      <c r="Z480" s="21"/>
    </row>
    <row r="481" spans="1:26" x14ac:dyDescent="0.25">
      <c r="A481" s="16">
        <v>18</v>
      </c>
      <c r="B481" s="17" t="s">
        <v>21</v>
      </c>
      <c r="C481" s="16">
        <v>111</v>
      </c>
      <c r="D481" s="18" t="s">
        <v>667</v>
      </c>
      <c r="E481" s="17" t="s">
        <v>23</v>
      </c>
      <c r="F481" s="19"/>
      <c r="G481" s="20">
        <v>0</v>
      </c>
      <c r="H481" s="21">
        <v>15</v>
      </c>
      <c r="I481" s="32">
        <f>IF(B481="高三",IF($E481="男",LOOKUP(H481,[1]对照表!$K$3:$K$24,[1]对照表!$L$3:$L$24),LOOKUP(H481,[1]对照表!$K$27:$K$48,[1]对照表!$L$27:$L$48)),IF(B481="高二",IF($E481="男",LOOKUP(H481,[1]对照表!$J$3:$J$24,[1]对照表!$L$3:$L$24),LOOKUP(H481,[1]对照表!$J$27:$J$48,[1]对照表!$L$27:$L$48)),IF(B481="高一",IF($E481="男",LOOKUP(H481,[1]对照表!$I$3:$I$24,[1]对照表!$L$3:$L$24),LOOKUP(H481,[1]对照表!$I$27:$I$48,[1]对照表!$L$27:$L$48)))))</f>
        <v>80</v>
      </c>
      <c r="J481" s="21">
        <v>217</v>
      </c>
      <c r="K481" s="32">
        <f>IF(B481="高三",IF($E481="男",LOOKUP(J481,[1]对照表!$O$3:$O$24,[1]对照表!$P$3:$P$24),LOOKUP(J481,[1]对照表!$O$27:$O$48,[1]对照表!$P$27:$P$48)),IF(B481="高二",IF($E481="男",LOOKUP(J481,[1]对照表!$N$3:$N$24,[1]对照表!$P$3:$P$24),LOOKUP(J481,[1]对照表!$N$27:$N$48,[1]对照表!$P$27:$P$48)),IF(B481="高一",IF($E481="男",LOOKUP(J481,[1]对照表!$M$3:$M$24,[1]对照表!$P$3:$P$24),LOOKUP(J481,[1]对照表!$M$27:$M$48,[1]对照表!$P$27:$P$48)))))</f>
        <v>70</v>
      </c>
      <c r="L481" s="21">
        <v>0</v>
      </c>
      <c r="M481" s="32">
        <f>IF(B481="高三",IF($E481="男",LOOKUP(L481,[1]对照表!$S$3:$S$24,[1]对照表!$T$3:$T$24),LOOKUP(L481,[1]对照表!$S$27:$S$48,[1]对照表!$T$27:$T$48)),IF(B481="高二",IF($E481="男",LOOKUP(L481,[1]对照表!$R$3:$R$24,[1]对照表!$T$3:$T$24),LOOKUP(L481,[1]对照表!$R$27:$R$48,[1]对照表!$T$27:$T$48)),IF(B481="高一",IF($E481="男",LOOKUP(L481,[1]对照表!$Q$3:$Q$24,[1]对照表!$T$3:$T$24),LOOKUP(L481,[1]对照表!$Q$27:$Q$48,[1]对照表!$T$27:$T$48)))))</f>
        <v>0</v>
      </c>
      <c r="N481" s="33">
        <f>IF(B481="高三",MAX(IF(E481="男",L481-18,L481-55),0),IF(B481="高二",MAX(IF(E481="男",L481-17,L481-54),0),IF(B481="高一",MAX(IF(E481="男",L481-16,L481-53),0))))</f>
        <v>0</v>
      </c>
      <c r="O481" s="23">
        <f>IF(E481="男",LOOKUP($N481,[1]对照表!$Z$3:$Z$13,[1]对照表!$AA$3:$AA$13),LOOKUP($N481,[1]对照表!$Z$15:$Z$25,[1]对照表!$AA$15:$AA$25))</f>
        <v>0</v>
      </c>
      <c r="P481" s="24">
        <f>M481+O481</f>
        <v>0</v>
      </c>
      <c r="Q481" s="25"/>
      <c r="R481" s="20">
        <v>0</v>
      </c>
      <c r="S481" s="22">
        <v>0</v>
      </c>
      <c r="T481" s="23">
        <f>IF(E481="男",LOOKUP($S481,[1]对照表!$AB$3:$AB$13,[1]对照表!$AC$3:$AC$13),LOOKUP($S481,[1]对照表!$AB$15:$AB$25,[1]对照表!$AC$15:$AC$25))</f>
        <v>0</v>
      </c>
      <c r="U481" s="26">
        <f>R481+T481</f>
        <v>0</v>
      </c>
      <c r="V481" s="26">
        <f>SUM(I481,K481,M481)/3*0.3+SUM(G481,R481)/2*0.4</f>
        <v>15</v>
      </c>
      <c r="W481" s="27">
        <f>O481+T481</f>
        <v>0</v>
      </c>
      <c r="X481" s="28">
        <f>V481/0.7+W481</f>
        <v>21.428571428571431</v>
      </c>
      <c r="Y481" s="29">
        <v>50</v>
      </c>
      <c r="Z481" s="25" t="s">
        <v>575</v>
      </c>
    </row>
    <row r="482" spans="1:26" x14ac:dyDescent="0.25">
      <c r="A482" s="16">
        <v>10</v>
      </c>
      <c r="B482" s="17" t="s">
        <v>21</v>
      </c>
      <c r="C482" s="16">
        <v>111</v>
      </c>
      <c r="D482" s="18" t="s">
        <v>719</v>
      </c>
      <c r="E482" s="17" t="s">
        <v>23</v>
      </c>
      <c r="F482" s="19"/>
      <c r="G482" s="20">
        <v>0</v>
      </c>
      <c r="H482" s="21"/>
      <c r="I482" s="20">
        <v>0</v>
      </c>
      <c r="J482" s="21"/>
      <c r="K482" s="20">
        <v>0</v>
      </c>
      <c r="L482" s="21"/>
      <c r="M482" s="20">
        <v>0</v>
      </c>
      <c r="N482" s="22">
        <v>0</v>
      </c>
      <c r="O482" s="23">
        <f>IF(E482="男",LOOKUP($N482,[1]对照表!$Z$3:$Z$13,[1]对照表!$AA$3:$AA$13),LOOKUP($N482,[1]对照表!$Z$15:$Z$25,[1]对照表!$AA$15:$AA$25))</f>
        <v>0</v>
      </c>
      <c r="P482" s="24">
        <f>M482+O482</f>
        <v>0</v>
      </c>
      <c r="Q482" s="25"/>
      <c r="R482" s="20">
        <v>0</v>
      </c>
      <c r="S482" s="22">
        <v>0</v>
      </c>
      <c r="T482" s="23">
        <f>IF(E482="男",LOOKUP($S482,[1]对照表!$AB$3:$AB$13,[1]对照表!$AC$3:$AC$13),LOOKUP($S482,[1]对照表!$AB$15:$AB$25,[1]对照表!$AC$15:$AC$25))</f>
        <v>0</v>
      </c>
      <c r="U482" s="26">
        <f>R482+T482</f>
        <v>0</v>
      </c>
      <c r="V482" s="26">
        <f>SUM(I482,K482,M482)/3*0.3+SUM(G482,R482)/2*0.4</f>
        <v>0</v>
      </c>
      <c r="W482" s="27">
        <f>O482+T482</f>
        <v>0</v>
      </c>
      <c r="X482" s="28">
        <f>V482/0.7+W482</f>
        <v>0</v>
      </c>
      <c r="Y482" s="29">
        <v>50</v>
      </c>
      <c r="Z482" s="21" t="s">
        <v>578</v>
      </c>
    </row>
    <row r="483" spans="1:26" x14ac:dyDescent="0.25">
      <c r="A483" s="16">
        <v>42</v>
      </c>
      <c r="B483" s="17" t="s">
        <v>21</v>
      </c>
      <c r="C483" s="16">
        <v>111</v>
      </c>
      <c r="D483" s="18" t="s">
        <v>730</v>
      </c>
      <c r="E483" s="17" t="s">
        <v>65</v>
      </c>
      <c r="F483" s="19">
        <v>9.77</v>
      </c>
      <c r="G483" s="32">
        <f>IF(B483="高三",IF($E483="男",LOOKUP(F483,[1]对照表!$G$3:$G$24,[1]对照表!$H$3:$H$24),LOOKUP(F483,[1]对照表!$G$27:$G$48,[1]对照表!$H$27:$H$48)),IF(B483="高二",IF($E483="男",LOOKUP(F483,[1]对照表!$F$3:$F$24,[1]对照表!$H$3:$H$24),LOOKUP(F483,[1]对照表!$F$27:$F$48,[1]对照表!$H$27:$H$48)),IF(B483="高一",IF($E483="男",LOOKUP(F483,[1]对照表!$E$3:$E$24,[1]对照表!$H$3:$H$24),LOOKUP(F483,[1]对照表!$E$27:$E$48,[1]对照表!$H$27:$H$48)))))</f>
        <v>68</v>
      </c>
      <c r="H483" s="21">
        <v>24.5</v>
      </c>
      <c r="I483" s="32">
        <f>IF(B483="高三",IF($E483="男",LOOKUP(H483,[1]对照表!$K$3:$K$24,[1]对照表!$L$3:$L$24),LOOKUP(H483,[1]对照表!$K$27:$K$48,[1]对照表!$L$27:$L$48)),IF(B483="高二",IF($E483="男",LOOKUP(H483,[1]对照表!$J$3:$J$24,[1]对照表!$L$3:$L$24),LOOKUP(H483,[1]对照表!$J$27:$J$48,[1]对照表!$L$27:$L$48)),IF(B483="高一",IF($E483="男",LOOKUP(H483,[1]对照表!$I$3:$I$24,[1]对照表!$L$3:$L$24),LOOKUP(H483,[1]对照表!$I$27:$I$48,[1]对照表!$L$27:$L$48)))))</f>
        <v>100</v>
      </c>
      <c r="J483" s="21">
        <v>155</v>
      </c>
      <c r="K483" s="32">
        <f>IF(B483="高三",IF($E483="男",LOOKUP(J483,[1]对照表!$O$3:$O$24,[1]对照表!$P$3:$P$24),LOOKUP(J483,[1]对照表!$O$27:$O$48,[1]对照表!$P$27:$P$48)),IF(B483="高二",IF($E483="男",LOOKUP(J483,[1]对照表!$N$3:$N$24,[1]对照表!$P$3:$P$24),LOOKUP(J483,[1]对照表!$N$27:$N$48,[1]对照表!$P$27:$P$48)),IF(B483="高一",IF($E483="男",LOOKUP(J483,[1]对照表!$M$3:$M$24,[1]对照表!$P$3:$P$24),LOOKUP(J483,[1]对照表!$M$27:$M$48,[1]对照表!$P$27:$P$48)))))</f>
        <v>64</v>
      </c>
      <c r="L483" s="21">
        <v>46</v>
      </c>
      <c r="M483" s="32">
        <f>IF(B483="高三",IF($E483="男",LOOKUP(L483,[1]对照表!$S$3:$S$24,[1]对照表!$T$3:$T$24),LOOKUP(L483,[1]对照表!$S$27:$S$48,[1]对照表!$T$27:$T$48)),IF(B483="高二",IF($E483="男",LOOKUP(L483,[1]对照表!$R$3:$R$24,[1]对照表!$T$3:$T$24),LOOKUP(L483,[1]对照表!$R$27:$R$48,[1]对照表!$T$27:$T$48)),IF(B483="高一",IF($E483="男",LOOKUP(L483,[1]对照表!$Q$3:$Q$24,[1]对照表!$T$3:$T$24),LOOKUP(L483,[1]对照表!$Q$27:$Q$48,[1]对照表!$T$27:$T$48)))))</f>
        <v>85</v>
      </c>
      <c r="N483" s="33">
        <f>IF(B483="高三",MAX(IF(E483="男",L483-18,L483-55),0),IF(B483="高二",MAX(IF(E483="男",L483-17,L483-54),0),IF(B483="高一",MAX(IF(E483="男",L483-16,L483-53),0))))</f>
        <v>0</v>
      </c>
      <c r="O483" s="23">
        <f>IF(E483="男",LOOKUP($N483,[1]对照表!$Z$3:$Z$13,[1]对照表!$AA$3:$AA$13),LOOKUP($N483,[1]对照表!$Z$15:$Z$25,[1]对照表!$AA$15:$AA$25))</f>
        <v>0</v>
      </c>
      <c r="P483" s="24">
        <f>M483+O483</f>
        <v>85</v>
      </c>
      <c r="Q483" s="25">
        <v>4.22</v>
      </c>
      <c r="R483" s="32">
        <f>IF(B483="高三",IF($E483="男",LOOKUP(Q483,[1]对照表!$W$3:$W$24,[1]对照表!$X$3:$X$24),LOOKUP(Q483,[1]对照表!$W$27:$W$48,[1]对照表!$X$27:$X$48)),IF(B483="高二",IF($E483="男",LOOKUP(Q483,[1]对照表!$V$3:$V$24,[1]对照表!$X$3:$X$24),LOOKUP(Q483,[1]对照表!$V$27:$V$48,[1]对照表!$X$27:$X$48)),IF(B483="高一",IF($E483="男",LOOKUP(Q483,[1]对照表!$U$3:$U$24,[1]对照表!$X$3:$X$24),LOOKUP(Q483,[1]对照表!$U$27:$U$48,[1]对照表!$X$27:$X$48)))))</f>
        <v>66</v>
      </c>
      <c r="S483" s="33">
        <f>ROUND(IF(IF($B483="高三",MIN(IF($E483="男",$Q483-3.2,$Q483-3.2),0),IF($B483="高二",MIN(IF($E483="男",$Q483-3.25,$Q483-3.22),0),IF($B483="高一",MIN(IF($E483="男",$Q483-3.3,$Q483-3.24),0))))&lt;-0.6,IF($B483="高三",MIN(IF($E483="男",$Q483-3.2,$Q483-3.2),0),IF($B483="高二",MIN(IF($E483="男",$Q483-3.25,$Q483-3.22),0),IF($B483="高一",MIN(IF($E483="男",$Q483-3.3,$Q483-3.24),0))))+0.4,IF($B483="高三",MIN(IF($E483="男",$Q483-3.2,$Q483-3.2),0),IF($B483="高二",MIN(IF($E483="男",$Q483-3.25,$Q483-3.22),0),IF($B483="高一",MIN(IF($E483="男",$Q483-3.3,$Q483-3.24),0))))),2)</f>
        <v>0</v>
      </c>
      <c r="T483" s="23">
        <f>IF(E483="男",LOOKUP($S483,[1]对照表!$AB$3:$AB$13,[1]对照表!$AC$3:$AC$13),LOOKUP($S483,[1]对照表!$AB$15:$AB$25,[1]对照表!$AC$15:$AC$25))</f>
        <v>0</v>
      </c>
      <c r="U483" s="26">
        <f>R483+T483</f>
        <v>66</v>
      </c>
      <c r="V483" s="26">
        <f>SUM(I483,K483,M483)/3*0.3+SUM(G483,R483)/2*0.4</f>
        <v>51.7</v>
      </c>
      <c r="W483" s="27">
        <f>O483+T483</f>
        <v>0</v>
      </c>
      <c r="X483" s="28">
        <f>V483/0.7+W483</f>
        <v>73.857142857142861</v>
      </c>
      <c r="Y483" s="28">
        <v>73.857142857142861</v>
      </c>
      <c r="Z483" s="21"/>
    </row>
    <row r="484" spans="1:26" x14ac:dyDescent="0.25">
      <c r="A484" s="16">
        <v>34</v>
      </c>
      <c r="B484" s="17" t="s">
        <v>21</v>
      </c>
      <c r="C484" s="16">
        <v>112</v>
      </c>
      <c r="D484" s="18" t="s">
        <v>30</v>
      </c>
      <c r="E484" s="17" t="s">
        <v>23</v>
      </c>
      <c r="F484" s="19">
        <v>6.8</v>
      </c>
      <c r="G484" s="32">
        <f>IF(B484="高三",IF($E484="男",LOOKUP(F484,[1]对照表!$G$3:$G$24,[1]对照表!$H$3:$H$24),LOOKUP(F484,[1]对照表!$G$27:$G$48,[1]对照表!$H$27:$H$48)),IF(B484="高二",IF($E484="男",LOOKUP(F484,[1]对照表!$F$3:$F$24,[1]对照表!$H$3:$H$24),LOOKUP(F484,[1]对照表!$F$27:$F$48,[1]对照表!$H$27:$H$48)),IF(B484="高一",IF($E484="男",LOOKUP(F484,[1]对照表!$E$3:$E$24,[1]对照表!$H$3:$H$24),LOOKUP(F484,[1]对照表!$E$27:$E$48,[1]对照表!$H$27:$H$48)))))</f>
        <v>100</v>
      </c>
      <c r="H484" s="21">
        <v>21.6</v>
      </c>
      <c r="I484" s="32">
        <f>IF(B484="高三",IF($E484="男",LOOKUP(H484,[1]对照表!$K$3:$K$24,[1]对照表!$L$3:$L$24),LOOKUP(H484,[1]对照表!$K$27:$K$48,[1]对照表!$L$27:$L$48)),IF(B484="高二",IF($E484="男",LOOKUP(H484,[1]对照表!$J$3:$J$24,[1]对照表!$L$3:$L$24),LOOKUP(H484,[1]对照表!$J$27:$J$48,[1]对照表!$L$27:$L$48)),IF(B484="高一",IF($E484="男",LOOKUP(H484,[1]对照表!$I$3:$I$24,[1]对照表!$L$3:$L$24),LOOKUP(H484,[1]对照表!$I$27:$I$48,[1]对照表!$L$27:$L$48)))))</f>
        <v>95</v>
      </c>
      <c r="J484" s="21">
        <v>264</v>
      </c>
      <c r="K484" s="32">
        <f>IF(B484="高三",IF($E484="男",LOOKUP(J484,[1]对照表!$O$3:$O$24,[1]对照表!$P$3:$P$24),LOOKUP(J484,[1]对照表!$O$27:$O$48,[1]对照表!$P$27:$P$48)),IF(B484="高二",IF($E484="男",LOOKUP(J484,[1]对照表!$N$3:$N$24,[1]对照表!$P$3:$P$24),LOOKUP(J484,[1]对照表!$N$27:$N$48,[1]对照表!$P$27:$P$48)),IF(B484="高一",IF($E484="男",LOOKUP(J484,[1]对照表!$M$3:$M$24,[1]对照表!$P$3:$P$24),LOOKUP(J484,[1]对照表!$M$27:$M$48,[1]对照表!$P$27:$P$48)))))</f>
        <v>100</v>
      </c>
      <c r="L484" s="21">
        <v>26</v>
      </c>
      <c r="M484" s="32">
        <f>IF(B484="高三",IF($E484="男",LOOKUP(L484,[1]对照表!$S$3:$S$24,[1]对照表!$T$3:$T$24),LOOKUP(L484,[1]对照表!$S$27:$S$48,[1]对照表!$T$27:$T$48)),IF(B484="高二",IF($E484="男",LOOKUP(L484,[1]对照表!$R$3:$R$24,[1]对照表!$T$3:$T$24),LOOKUP(L484,[1]对照表!$R$27:$R$48,[1]对照表!$T$27:$T$48)),IF(B484="高一",IF($E484="男",LOOKUP(L484,[1]对照表!$Q$3:$Q$24,[1]对照表!$T$3:$T$24),LOOKUP(L484,[1]对照表!$Q$27:$Q$48,[1]对照表!$T$27:$T$48)))))</f>
        <v>100</v>
      </c>
      <c r="N484" s="33">
        <f>IF(B484="高三",MAX(IF(E484="男",L484-18,L484-55),0),IF(B484="高二",MAX(IF(E484="男",L484-17,L484-54),0),IF(B484="高一",MAX(IF(E484="男",L484-16,L484-53),0))))</f>
        <v>10</v>
      </c>
      <c r="O484" s="23">
        <f>IF(E484="男",LOOKUP($N484,[1]对照表!$Z$3:$Z$13,[1]对照表!$AA$3:$AA$13),LOOKUP($N484,[1]对照表!$Z$15:$Z$25,[1]对照表!$AA$15:$AA$25))</f>
        <v>10</v>
      </c>
      <c r="P484" s="24">
        <f>M484+O484</f>
        <v>110</v>
      </c>
      <c r="Q484" s="25">
        <v>3.18</v>
      </c>
      <c r="R484" s="32">
        <f>IF(B484="高三",IF($E484="男",LOOKUP(Q484,[1]对照表!$W$3:$W$24,[1]对照表!$X$3:$X$24),LOOKUP(Q484,[1]对照表!$W$27:$W$48,[1]对照表!$X$27:$X$48)),IF(B484="高二",IF($E484="男",LOOKUP(Q484,[1]对照表!$V$3:$V$24,[1]对照表!$X$3:$X$24),LOOKUP(Q484,[1]对照表!$V$27:$V$48,[1]对照表!$X$27:$X$48)),IF(B484="高一",IF($E484="男",LOOKUP(Q484,[1]对照表!$U$3:$U$24,[1]对照表!$X$3:$X$24),LOOKUP(Q484,[1]对照表!$U$27:$U$48,[1]对照表!$X$27:$X$48)))))</f>
        <v>100</v>
      </c>
      <c r="S484" s="33">
        <f>ROUND(IF(IF($B484="高三",MIN(IF($E484="男",$Q484-3.2,$Q484-3.2),0),IF($B484="高二",MIN(IF($E484="男",$Q484-3.25,$Q484-3.22),0),IF($B484="高一",MIN(IF($E484="男",$Q484-3.3,$Q484-3.24),0))))&lt;-0.6,IF($B484="高三",MIN(IF($E484="男",$Q484-3.2,$Q484-3.2),0),IF($B484="高二",MIN(IF($E484="男",$Q484-3.25,$Q484-3.22),0),IF($B484="高一",MIN(IF($E484="男",$Q484-3.3,$Q484-3.24),0))))+0.4,IF($B484="高三",MIN(IF($E484="男",$Q484-3.2,$Q484-3.2),0),IF($B484="高二",MIN(IF($E484="男",$Q484-3.25,$Q484-3.22),0),IF($B484="高一",MIN(IF($E484="男",$Q484-3.3,$Q484-3.24),0))))),2)</f>
        <v>-0.12</v>
      </c>
      <c r="T484" s="23">
        <f>IF(E484="男",LOOKUP($S484,[1]对照表!$AB$3:$AB$13,[1]对照表!$AC$3:$AC$13),LOOKUP($S484,[1]对照表!$AB$15:$AB$25,[1]对照表!$AC$15:$AC$25))</f>
        <v>3</v>
      </c>
      <c r="U484" s="26">
        <f>R484+T484</f>
        <v>103</v>
      </c>
      <c r="V484" s="26">
        <f>SUM(I484,K484,M484)/3*0.3+SUM(G484,R484)/2*0.4</f>
        <v>69.5</v>
      </c>
      <c r="W484" s="27">
        <f>O484+T484</f>
        <v>13</v>
      </c>
      <c r="X484" s="28">
        <f>V484/0.7+W484</f>
        <v>112.28571428571429</v>
      </c>
      <c r="Y484" s="28">
        <v>112.28571428571429</v>
      </c>
      <c r="Z484" s="21"/>
    </row>
    <row r="485" spans="1:26" x14ac:dyDescent="0.25">
      <c r="A485" s="16">
        <v>4</v>
      </c>
      <c r="B485" s="17" t="s">
        <v>21</v>
      </c>
      <c r="C485" s="16">
        <v>112</v>
      </c>
      <c r="D485" s="18" t="s">
        <v>41</v>
      </c>
      <c r="E485" s="16" t="s">
        <v>23</v>
      </c>
      <c r="F485" s="19">
        <v>6.7</v>
      </c>
      <c r="G485" s="32">
        <f>IF(B485="高三",IF($E485="男",LOOKUP(F485,[1]对照表!$G$3:$G$24,[1]对照表!$H$3:$H$24),LOOKUP(F485,[1]对照表!$G$27:$G$48,[1]对照表!$H$27:$H$48)),IF(B485="高二",IF($E485="男",LOOKUP(F485,[1]对照表!$F$3:$F$24,[1]对照表!$H$3:$H$24),LOOKUP(F485,[1]对照表!$F$27:$F$48,[1]对照表!$H$27:$H$48)),IF(B485="高一",IF($E485="男",LOOKUP(F485,[1]对照表!$E$3:$E$24,[1]对照表!$H$3:$H$24),LOOKUP(F485,[1]对照表!$E$27:$E$48,[1]对照表!$H$27:$H$48)))))</f>
        <v>100</v>
      </c>
      <c r="H485" s="21">
        <v>21.7</v>
      </c>
      <c r="I485" s="32">
        <f>IF(B485="高三",IF($E485="男",LOOKUP(H485,[1]对照表!$K$3:$K$24,[1]对照表!$L$3:$L$24),LOOKUP(H485,[1]对照表!$K$27:$K$48,[1]对照表!$L$27:$L$48)),IF(B485="高二",IF($E485="男",LOOKUP(H485,[1]对照表!$J$3:$J$24,[1]对照表!$L$3:$L$24),LOOKUP(H485,[1]对照表!$J$27:$J$48,[1]对照表!$L$27:$L$48)),IF(B485="高一",IF($E485="男",LOOKUP(H485,[1]对照表!$I$3:$I$24,[1]对照表!$L$3:$L$24),LOOKUP(H485,[1]对照表!$I$27:$I$48,[1]对照表!$L$27:$L$48)))))</f>
        <v>95</v>
      </c>
      <c r="J485" s="21">
        <v>270</v>
      </c>
      <c r="K485" s="32">
        <f>IF(B485="高三",IF($E485="男",LOOKUP(J485,[1]对照表!$O$3:$O$24,[1]对照表!$P$3:$P$24),LOOKUP(J485,[1]对照表!$O$27:$O$48,[1]对照表!$P$27:$P$48)),IF(B485="高二",IF($E485="男",LOOKUP(J485,[1]对照表!$N$3:$N$24,[1]对照表!$P$3:$P$24),LOOKUP(J485,[1]对照表!$N$27:$N$48,[1]对照表!$P$27:$P$48)),IF(B485="高一",IF($E485="男",LOOKUP(J485,[1]对照表!$M$3:$M$24,[1]对照表!$P$3:$P$24),LOOKUP(J485,[1]对照表!$M$27:$M$48,[1]对照表!$P$27:$P$48)))))</f>
        <v>100</v>
      </c>
      <c r="L485" s="21">
        <v>19</v>
      </c>
      <c r="M485" s="32">
        <f>IF(B485="高三",IF($E485="男",LOOKUP(L485,[1]对照表!$S$3:$S$24,[1]对照表!$T$3:$T$24),LOOKUP(L485,[1]对照表!$S$27:$S$48,[1]对照表!$T$27:$T$48)),IF(B485="高二",IF($E485="男",LOOKUP(L485,[1]对照表!$R$3:$R$24,[1]对照表!$T$3:$T$24),LOOKUP(L485,[1]对照表!$R$27:$R$48,[1]对照表!$T$27:$T$48)),IF(B485="高一",IF($E485="男",LOOKUP(L485,[1]对照表!$Q$3:$Q$24,[1]对照表!$T$3:$T$24),LOOKUP(L485,[1]对照表!$Q$27:$Q$48,[1]对照表!$T$27:$T$48)))))</f>
        <v>100</v>
      </c>
      <c r="N485" s="33">
        <f>IF(B485="高三",MAX(IF(E485="男",L485-18,L485-55),0),IF(B485="高二",MAX(IF(E485="男",L485-17,L485-54),0),IF(B485="高一",MAX(IF(E485="男",L485-16,L485-53),0))))</f>
        <v>3</v>
      </c>
      <c r="O485" s="23">
        <f>IF(E485="男",LOOKUP($N485,[1]对照表!$Z$3:$Z$13,[1]对照表!$AA$3:$AA$13),LOOKUP($N485,[1]对照表!$Z$15:$Z$25,[1]对照表!$AA$15:$AA$25))</f>
        <v>3</v>
      </c>
      <c r="P485" s="24">
        <f>M485+O485</f>
        <v>103</v>
      </c>
      <c r="Q485" s="25">
        <v>3.13</v>
      </c>
      <c r="R485" s="32">
        <f>IF(B485="高三",IF($E485="男",LOOKUP(Q485,[1]对照表!$W$3:$W$24,[1]对照表!$X$3:$X$24),LOOKUP(Q485,[1]对照表!$W$27:$W$48,[1]对照表!$X$27:$X$48)),IF(B485="高二",IF($E485="男",LOOKUP(Q485,[1]对照表!$V$3:$V$24,[1]对照表!$X$3:$X$24),LOOKUP(Q485,[1]对照表!$V$27:$V$48,[1]对照表!$X$27:$X$48)),IF(B485="高一",IF($E485="男",LOOKUP(Q485,[1]对照表!$U$3:$U$24,[1]对照表!$X$3:$X$24),LOOKUP(Q485,[1]对照表!$U$27:$U$48,[1]对照表!$X$27:$X$48)))))</f>
        <v>100</v>
      </c>
      <c r="S485" s="33">
        <f>ROUND(IF(IF($B485="高三",MIN(IF($E485="男",$Q485-3.2,$Q485-3.2),0),IF($B485="高二",MIN(IF($E485="男",$Q485-3.25,$Q485-3.22),0),IF($B485="高一",MIN(IF($E485="男",$Q485-3.3,$Q485-3.24),0))))&lt;-0.6,IF($B485="高三",MIN(IF($E485="男",$Q485-3.2,$Q485-3.2),0),IF($B485="高二",MIN(IF($E485="男",$Q485-3.25,$Q485-3.22),0),IF($B485="高一",MIN(IF($E485="男",$Q485-3.3,$Q485-3.24),0))))+0.4,IF($B485="高三",MIN(IF($E485="男",$Q485-3.2,$Q485-3.2),0),IF($B485="高二",MIN(IF($E485="男",$Q485-3.25,$Q485-3.22),0),IF($B485="高一",MIN(IF($E485="男",$Q485-3.3,$Q485-3.24),0))))),2)</f>
        <v>-0.17</v>
      </c>
      <c r="T485" s="23">
        <f>IF(E485="男",LOOKUP($S485,[1]对照表!$AB$3:$AB$13,[1]对照表!$AC$3:$AC$13),LOOKUP($S485,[1]对照表!$AB$15:$AB$25,[1]对照表!$AC$15:$AC$25))</f>
        <v>4</v>
      </c>
      <c r="U485" s="26">
        <f>R485+T485</f>
        <v>104</v>
      </c>
      <c r="V485" s="26">
        <f>SUM(I485,K485,M485)/3*0.3+SUM(G485,R485)/2*0.4</f>
        <v>69.5</v>
      </c>
      <c r="W485" s="27">
        <f>O485+T485</f>
        <v>7</v>
      </c>
      <c r="X485" s="28">
        <f>V485/0.7+W485</f>
        <v>106.28571428571429</v>
      </c>
      <c r="Y485" s="28">
        <v>106.28571428571429</v>
      </c>
      <c r="Z485" s="21"/>
    </row>
    <row r="486" spans="1:26" x14ac:dyDescent="0.25">
      <c r="A486" s="16">
        <v>21</v>
      </c>
      <c r="B486" s="17" t="s">
        <v>21</v>
      </c>
      <c r="C486" s="16">
        <v>112</v>
      </c>
      <c r="D486" s="18" t="s">
        <v>47</v>
      </c>
      <c r="E486" s="35" t="s">
        <v>23</v>
      </c>
      <c r="F486" s="19">
        <v>6.7</v>
      </c>
      <c r="G486" s="32">
        <f>IF(B486="高三",IF($E486="男",LOOKUP(F486,[1]对照表!$G$3:$G$24,[1]对照表!$H$3:$H$24),LOOKUP(F486,[1]对照表!$G$27:$G$48,[1]对照表!$H$27:$H$48)),IF(B486="高二",IF($E486="男",LOOKUP(F486,[1]对照表!$F$3:$F$24,[1]对照表!$H$3:$H$24),LOOKUP(F486,[1]对照表!$F$27:$F$48,[1]对照表!$H$27:$H$48)),IF(B486="高一",IF($E486="男",LOOKUP(F486,[1]对照表!$E$3:$E$24,[1]对照表!$H$3:$H$24),LOOKUP(F486,[1]对照表!$E$27:$E$48,[1]对照表!$H$27:$H$48)))))</f>
        <v>100</v>
      </c>
      <c r="H486" s="21">
        <v>18.3</v>
      </c>
      <c r="I486" s="32">
        <f>IF(B486="高三",IF($E486="男",LOOKUP(H486,[1]对照表!$K$3:$K$24,[1]对照表!$L$3:$L$24),LOOKUP(H486,[1]对照表!$K$27:$K$48,[1]对照表!$L$27:$L$48)),IF(B486="高二",IF($E486="男",LOOKUP(H486,[1]对照表!$J$3:$J$24,[1]对照表!$L$3:$L$24),LOOKUP(H486,[1]对照表!$J$27:$J$48,[1]对照表!$L$27:$L$48)),IF(B486="高一",IF($E486="男",LOOKUP(H486,[1]对照表!$I$3:$I$24,[1]对照表!$L$3:$L$24),LOOKUP(H486,[1]对照表!$I$27:$I$48,[1]对照表!$L$27:$L$48)))))</f>
        <v>85</v>
      </c>
      <c r="J486" s="21">
        <v>277</v>
      </c>
      <c r="K486" s="32">
        <f>IF(B486="高三",IF($E486="男",LOOKUP(J486,[1]对照表!$O$3:$O$24,[1]对照表!$P$3:$P$24),LOOKUP(J486,[1]对照表!$O$27:$O$48,[1]对照表!$P$27:$P$48)),IF(B486="高二",IF($E486="男",LOOKUP(J486,[1]对照表!$N$3:$N$24,[1]对照表!$P$3:$P$24),LOOKUP(J486,[1]对照表!$N$27:$N$48,[1]对照表!$P$27:$P$48)),IF(B486="高一",IF($E486="男",LOOKUP(J486,[1]对照表!$M$3:$M$24,[1]对照表!$P$3:$P$24),LOOKUP(J486,[1]对照表!$M$27:$M$48,[1]对照表!$P$27:$P$48)))))</f>
        <v>100</v>
      </c>
      <c r="L486" s="21">
        <v>26</v>
      </c>
      <c r="M486" s="32">
        <f>IF(B486="高三",IF($E486="男",LOOKUP(L486,[1]对照表!$S$3:$S$24,[1]对照表!$T$3:$T$24),LOOKUP(L486,[1]对照表!$S$27:$S$48,[1]对照表!$T$27:$T$48)),IF(B486="高二",IF($E486="男",LOOKUP(L486,[1]对照表!$R$3:$R$24,[1]对照表!$T$3:$T$24),LOOKUP(L486,[1]对照表!$R$27:$R$48,[1]对照表!$T$27:$T$48)),IF(B486="高一",IF($E486="男",LOOKUP(L486,[1]对照表!$Q$3:$Q$24,[1]对照表!$T$3:$T$24),LOOKUP(L486,[1]对照表!$Q$27:$Q$48,[1]对照表!$T$27:$T$48)))))</f>
        <v>100</v>
      </c>
      <c r="N486" s="33">
        <f>IF(B486="高三",MAX(IF(E486="男",L486-18,L486-55),0),IF(B486="高二",MAX(IF(E486="男",L486-17,L486-54),0),IF(B486="高一",MAX(IF(E486="男",L486-16,L486-53),0))))</f>
        <v>10</v>
      </c>
      <c r="O486" s="23">
        <f>IF(E486="男",LOOKUP($N486,[1]对照表!$Z$3:$Z$13,[1]对照表!$AA$3:$AA$13),LOOKUP($N486,[1]对照表!$Z$15:$Z$25,[1]对照表!$AA$15:$AA$25))</f>
        <v>10</v>
      </c>
      <c r="P486" s="24">
        <f>M486+O486</f>
        <v>110</v>
      </c>
      <c r="Q486" s="25">
        <v>3.41</v>
      </c>
      <c r="R486" s="32">
        <f>IF(B486="高三",IF($E486="男",LOOKUP(Q486,[1]对照表!$W$3:$W$24,[1]对照表!$X$3:$X$24),LOOKUP(Q486,[1]对照表!$W$27:$W$48,[1]对照表!$X$27:$X$48)),IF(B486="高二",IF($E486="男",LOOKUP(Q486,[1]对照表!$V$3:$V$24,[1]对照表!$X$3:$X$24),LOOKUP(Q486,[1]对照表!$V$27:$V$48,[1]对照表!$X$27:$X$48)),IF(B486="高一",IF($E486="男",LOOKUP(Q486,[1]对照表!$U$3:$U$24,[1]对照表!$X$3:$X$24),LOOKUP(Q486,[1]对照表!$U$27:$U$48,[1]对照表!$X$27:$X$48)))))</f>
        <v>85</v>
      </c>
      <c r="S486" s="33">
        <f>ROUND(IF(IF($B486="高三",MIN(IF($E486="男",$Q486-3.2,$Q486-3.2),0),IF($B486="高二",MIN(IF($E486="男",$Q486-3.25,$Q486-3.22),0),IF($B486="高一",MIN(IF($E486="男",$Q486-3.3,$Q486-3.24),0))))&lt;-0.6,IF($B486="高三",MIN(IF($E486="男",$Q486-3.2,$Q486-3.2),0),IF($B486="高二",MIN(IF($E486="男",$Q486-3.25,$Q486-3.22),0),IF($B486="高一",MIN(IF($E486="男",$Q486-3.3,$Q486-3.24),0))))+0.4,IF($B486="高三",MIN(IF($E486="男",$Q486-3.2,$Q486-3.2),0),IF($B486="高二",MIN(IF($E486="男",$Q486-3.25,$Q486-3.22),0),IF($B486="高一",MIN(IF($E486="男",$Q486-3.3,$Q486-3.24),0))))),2)</f>
        <v>0</v>
      </c>
      <c r="T486" s="23">
        <f>IF(E486="男",LOOKUP($S486,[1]对照表!$AB$3:$AB$13,[1]对照表!$AC$3:$AC$13),LOOKUP($S486,[1]对照表!$AB$15:$AB$25,[1]对照表!$AC$15:$AC$25))</f>
        <v>0</v>
      </c>
      <c r="U486" s="26">
        <f>R486+T486</f>
        <v>85</v>
      </c>
      <c r="V486" s="26">
        <f>SUM(I486,K486,M486)/3*0.3+SUM(G486,R486)/2*0.4</f>
        <v>65.5</v>
      </c>
      <c r="W486" s="27">
        <f>O486+T486</f>
        <v>10</v>
      </c>
      <c r="X486" s="28">
        <f>V486/0.7+W486</f>
        <v>103.57142857142858</v>
      </c>
      <c r="Y486" s="28">
        <v>103.57142857142858</v>
      </c>
      <c r="Z486" s="21"/>
    </row>
    <row r="487" spans="1:26" x14ac:dyDescent="0.25">
      <c r="A487" s="16">
        <v>32</v>
      </c>
      <c r="B487" s="17" t="s">
        <v>21</v>
      </c>
      <c r="C487" s="16">
        <v>112</v>
      </c>
      <c r="D487" s="18" t="s">
        <v>52</v>
      </c>
      <c r="E487" s="17" t="s">
        <v>23</v>
      </c>
      <c r="F487" s="19">
        <v>6.7</v>
      </c>
      <c r="G487" s="32">
        <f>IF(B487="高三",IF($E487="男",LOOKUP(F487,[1]对照表!$G$3:$G$24,[1]对照表!$H$3:$H$24),LOOKUP(F487,[1]对照表!$G$27:$G$48,[1]对照表!$H$27:$H$48)),IF(B487="高二",IF($E487="男",LOOKUP(F487,[1]对照表!$F$3:$F$24,[1]对照表!$H$3:$H$24),LOOKUP(F487,[1]对照表!$F$27:$F$48,[1]对照表!$H$27:$H$48)),IF(B487="高一",IF($E487="男",LOOKUP(F487,[1]对照表!$E$3:$E$24,[1]对照表!$H$3:$H$24),LOOKUP(F487,[1]对照表!$E$27:$E$48,[1]对照表!$H$27:$H$48)))))</f>
        <v>100</v>
      </c>
      <c r="H487" s="21">
        <v>27</v>
      </c>
      <c r="I487" s="32">
        <f>IF(B487="高三",IF($E487="男",LOOKUP(H487,[1]对照表!$K$3:$K$24,[1]对照表!$L$3:$L$24),LOOKUP(H487,[1]对照表!$K$27:$K$48,[1]对照表!$L$27:$L$48)),IF(B487="高二",IF($E487="男",LOOKUP(H487,[1]对照表!$J$3:$J$24,[1]对照表!$L$3:$L$24),LOOKUP(H487,[1]对照表!$J$27:$J$48,[1]对照表!$L$27:$L$48)),IF(B487="高一",IF($E487="男",LOOKUP(H487,[1]对照表!$I$3:$I$24,[1]对照表!$L$3:$L$24),LOOKUP(H487,[1]对照表!$I$27:$I$48,[1]对照表!$L$27:$L$48)))))</f>
        <v>100</v>
      </c>
      <c r="J487" s="21">
        <v>260</v>
      </c>
      <c r="K487" s="32">
        <f>IF(B487="高三",IF($E487="男",LOOKUP(J487,[1]对照表!$O$3:$O$24,[1]对照表!$P$3:$P$24),LOOKUP(J487,[1]对照表!$O$27:$O$48,[1]对照表!$P$27:$P$48)),IF(B487="高二",IF($E487="男",LOOKUP(J487,[1]对照表!$N$3:$N$24,[1]对照表!$P$3:$P$24),LOOKUP(J487,[1]对照表!$N$27:$N$48,[1]对照表!$P$27:$P$48)),IF(B487="高一",IF($E487="男",LOOKUP(J487,[1]对照表!$M$3:$M$24,[1]对照表!$P$3:$P$24),LOOKUP(J487,[1]对照表!$M$27:$M$48,[1]对照表!$P$27:$P$48)))))</f>
        <v>100</v>
      </c>
      <c r="L487" s="21">
        <v>18</v>
      </c>
      <c r="M487" s="32">
        <f>IF(B487="高三",IF($E487="男",LOOKUP(L487,[1]对照表!$S$3:$S$24,[1]对照表!$T$3:$T$24),LOOKUP(L487,[1]对照表!$S$27:$S$48,[1]对照表!$T$27:$T$48)),IF(B487="高二",IF($E487="男",LOOKUP(L487,[1]对照表!$R$3:$R$24,[1]对照表!$T$3:$T$24),LOOKUP(L487,[1]对照表!$R$27:$R$48,[1]对照表!$T$27:$T$48)),IF(B487="高一",IF($E487="男",LOOKUP(L487,[1]对照表!$Q$3:$Q$24,[1]对照表!$T$3:$T$24),LOOKUP(L487,[1]对照表!$Q$27:$Q$48,[1]对照表!$T$27:$T$48)))))</f>
        <v>100</v>
      </c>
      <c r="N487" s="33">
        <f>IF(B487="高三",MAX(IF(E487="男",L487-18,L487-55),0),IF(B487="高二",MAX(IF(E487="男",L487-17,L487-54),0),IF(B487="高一",MAX(IF(E487="男",L487-16,L487-53),0))))</f>
        <v>2</v>
      </c>
      <c r="O487" s="23">
        <f>IF(E487="男",LOOKUP($N487,[1]对照表!$Z$3:$Z$13,[1]对照表!$AA$3:$AA$13),LOOKUP($N487,[1]对照表!$Z$15:$Z$25,[1]对照表!$AA$15:$AA$25))</f>
        <v>2</v>
      </c>
      <c r="P487" s="24">
        <f>M487+O487</f>
        <v>102</v>
      </c>
      <c r="Q487" s="25">
        <v>3.28</v>
      </c>
      <c r="R487" s="32">
        <f>IF(B487="高三",IF($E487="男",LOOKUP(Q487,[1]对照表!$W$3:$W$24,[1]对照表!$X$3:$X$24),LOOKUP(Q487,[1]对照表!$W$27:$W$48,[1]对照表!$X$27:$X$48)),IF(B487="高二",IF($E487="男",LOOKUP(Q487,[1]对照表!$V$3:$V$24,[1]对照表!$X$3:$X$24),LOOKUP(Q487,[1]对照表!$V$27:$V$48,[1]对照表!$X$27:$X$48)),IF(B487="高一",IF($E487="男",LOOKUP(Q487,[1]对照表!$U$3:$U$24,[1]对照表!$X$3:$X$24),LOOKUP(Q487,[1]对照表!$U$27:$U$48,[1]对照表!$X$27:$X$48)))))</f>
        <v>100</v>
      </c>
      <c r="S487" s="33">
        <f>ROUND(IF(IF($B487="高三",MIN(IF($E487="男",$Q487-3.2,$Q487-3.2),0),IF($B487="高二",MIN(IF($E487="男",$Q487-3.25,$Q487-3.22),0),IF($B487="高一",MIN(IF($E487="男",$Q487-3.3,$Q487-3.24),0))))&lt;-0.6,IF($B487="高三",MIN(IF($E487="男",$Q487-3.2,$Q487-3.2),0),IF($B487="高二",MIN(IF($E487="男",$Q487-3.25,$Q487-3.22),0),IF($B487="高一",MIN(IF($E487="男",$Q487-3.3,$Q487-3.24),0))))+0.4,IF($B487="高三",MIN(IF($E487="男",$Q487-3.2,$Q487-3.2),0),IF($B487="高二",MIN(IF($E487="男",$Q487-3.25,$Q487-3.22),0),IF($B487="高一",MIN(IF($E487="男",$Q487-3.3,$Q487-3.24),0))))),2)</f>
        <v>-0.02</v>
      </c>
      <c r="T487" s="23">
        <f>IF(E487="男",LOOKUP($S487,[1]对照表!$AB$3:$AB$13,[1]对照表!$AC$3:$AC$13),LOOKUP($S487,[1]对照表!$AB$15:$AB$25,[1]对照表!$AC$15:$AC$25))</f>
        <v>0</v>
      </c>
      <c r="U487" s="26">
        <f>R487+T487</f>
        <v>100</v>
      </c>
      <c r="V487" s="26">
        <f>SUM(I487,K487,M487)/3*0.3+SUM(G487,R487)/2*0.4</f>
        <v>70</v>
      </c>
      <c r="W487" s="27">
        <f>O487+T487</f>
        <v>2</v>
      </c>
      <c r="X487" s="28">
        <f>V487/0.7+W487</f>
        <v>102</v>
      </c>
      <c r="Y487" s="28">
        <v>102</v>
      </c>
      <c r="Z487" s="21"/>
    </row>
    <row r="488" spans="1:26" x14ac:dyDescent="0.25">
      <c r="A488" s="16">
        <v>28</v>
      </c>
      <c r="B488" s="17" t="s">
        <v>21</v>
      </c>
      <c r="C488" s="16">
        <v>112</v>
      </c>
      <c r="D488" s="18" t="s">
        <v>54</v>
      </c>
      <c r="E488" s="17" t="s">
        <v>23</v>
      </c>
      <c r="F488" s="19">
        <v>7.2</v>
      </c>
      <c r="G488" s="32">
        <f>IF(B488="高三",IF($E488="男",LOOKUP(F488,[1]对照表!$G$3:$G$24,[1]对照表!$H$3:$H$24),LOOKUP(F488,[1]对照表!$G$27:$G$48,[1]对照表!$H$27:$H$48)),IF(B488="高二",IF($E488="男",LOOKUP(F488,[1]对照表!$F$3:$F$24,[1]对照表!$H$3:$H$24),LOOKUP(F488,[1]对照表!$F$27:$F$48,[1]对照表!$H$27:$H$48)),IF(B488="高一",IF($E488="男",LOOKUP(F488,[1]对照表!$E$3:$E$24,[1]对照表!$H$3:$H$24),LOOKUP(F488,[1]对照表!$E$27:$E$48,[1]对照表!$H$27:$H$48)))))</f>
        <v>95</v>
      </c>
      <c r="H488" s="21">
        <v>10.3</v>
      </c>
      <c r="I488" s="32">
        <f>IF(B488="高三",IF($E488="男",LOOKUP(H488,[1]对照表!$K$3:$K$24,[1]对照表!$L$3:$L$24),LOOKUP(H488,[1]对照表!$K$27:$K$48,[1]对照表!$L$27:$L$48)),IF(B488="高二",IF($E488="男",LOOKUP(H488,[1]对照表!$J$3:$J$24,[1]对照表!$L$3:$L$24),LOOKUP(H488,[1]对照表!$J$27:$J$48,[1]对照表!$L$27:$L$48)),IF(B488="高一",IF($E488="男",LOOKUP(H488,[1]对照表!$I$3:$I$24,[1]对照表!$L$3:$L$24),LOOKUP(H488,[1]对照表!$I$27:$I$48,[1]对照表!$L$27:$L$48)))))</f>
        <v>72</v>
      </c>
      <c r="J488" s="21">
        <v>240</v>
      </c>
      <c r="K488" s="32">
        <f>IF(B488="高三",IF($E488="男",LOOKUP(J488,[1]对照表!$O$3:$O$24,[1]对照表!$P$3:$P$24),LOOKUP(J488,[1]对照表!$O$27:$O$48,[1]对照表!$P$27:$P$48)),IF(B488="高二",IF($E488="男",LOOKUP(J488,[1]对照表!$N$3:$N$24,[1]对照表!$P$3:$P$24),LOOKUP(J488,[1]对照表!$N$27:$N$48,[1]对照表!$P$27:$P$48)),IF(B488="高一",IF($E488="男",LOOKUP(J488,[1]对照表!$M$3:$M$24,[1]对照表!$P$3:$P$24),LOOKUP(J488,[1]对照表!$M$27:$M$48,[1]对照表!$P$27:$P$48)))))</f>
        <v>80</v>
      </c>
      <c r="L488" s="21">
        <v>26</v>
      </c>
      <c r="M488" s="32">
        <f>IF(B488="高三",IF($E488="男",LOOKUP(L488,[1]对照表!$S$3:$S$24,[1]对照表!$T$3:$T$24),LOOKUP(L488,[1]对照表!$S$27:$S$48,[1]对照表!$T$27:$T$48)),IF(B488="高二",IF($E488="男",LOOKUP(L488,[1]对照表!$R$3:$R$24,[1]对照表!$T$3:$T$24),LOOKUP(L488,[1]对照表!$R$27:$R$48,[1]对照表!$T$27:$T$48)),IF(B488="高一",IF($E488="男",LOOKUP(L488,[1]对照表!$Q$3:$Q$24,[1]对照表!$T$3:$T$24),LOOKUP(L488,[1]对照表!$Q$27:$Q$48,[1]对照表!$T$27:$T$48)))))</f>
        <v>100</v>
      </c>
      <c r="N488" s="33">
        <f>IF(B488="高三",MAX(IF(E488="男",L488-18,L488-55),0),IF(B488="高二",MAX(IF(E488="男",L488-17,L488-54),0),IF(B488="高一",MAX(IF(E488="男",L488-16,L488-53),0))))</f>
        <v>10</v>
      </c>
      <c r="O488" s="23">
        <f>IF(E488="男",LOOKUP($N488,[1]对照表!$Z$3:$Z$13,[1]对照表!$AA$3:$AA$13),LOOKUP($N488,[1]对照表!$Z$15:$Z$25,[1]对照表!$AA$15:$AA$25))</f>
        <v>10</v>
      </c>
      <c r="P488" s="24">
        <f>M488+O488</f>
        <v>110</v>
      </c>
      <c r="Q488" s="25">
        <v>3.28</v>
      </c>
      <c r="R488" s="32">
        <f>IF(B488="高三",IF($E488="男",LOOKUP(Q488,[1]对照表!$W$3:$W$24,[1]对照表!$X$3:$X$24),LOOKUP(Q488,[1]对照表!$W$27:$W$48,[1]对照表!$X$27:$X$48)),IF(B488="高二",IF($E488="男",LOOKUP(Q488,[1]对照表!$V$3:$V$24,[1]对照表!$X$3:$X$24),LOOKUP(Q488,[1]对照表!$V$27:$V$48,[1]对照表!$X$27:$X$48)),IF(B488="高一",IF($E488="男",LOOKUP(Q488,[1]对照表!$U$3:$U$24,[1]对照表!$X$3:$X$24),LOOKUP(Q488,[1]对照表!$U$27:$U$48,[1]对照表!$X$27:$X$48)))))</f>
        <v>100</v>
      </c>
      <c r="S488" s="33">
        <f>ROUND(IF(IF($B488="高三",MIN(IF($E488="男",$Q488-3.2,$Q488-3.2),0),IF($B488="高二",MIN(IF($E488="男",$Q488-3.25,$Q488-3.22),0),IF($B488="高一",MIN(IF($E488="男",$Q488-3.3,$Q488-3.24),0))))&lt;-0.6,IF($B488="高三",MIN(IF($E488="男",$Q488-3.2,$Q488-3.2),0),IF($B488="高二",MIN(IF($E488="男",$Q488-3.25,$Q488-3.22),0),IF($B488="高一",MIN(IF($E488="男",$Q488-3.3,$Q488-3.24),0))))+0.4,IF($B488="高三",MIN(IF($E488="男",$Q488-3.2,$Q488-3.2),0),IF($B488="高二",MIN(IF($E488="男",$Q488-3.25,$Q488-3.22),0),IF($B488="高一",MIN(IF($E488="男",$Q488-3.3,$Q488-3.24),0))))),2)</f>
        <v>-0.02</v>
      </c>
      <c r="T488" s="23">
        <f>IF(E488="男",LOOKUP($S488,[1]对照表!$AB$3:$AB$13,[1]对照表!$AC$3:$AC$13),LOOKUP($S488,[1]对照表!$AB$15:$AB$25,[1]对照表!$AC$15:$AC$25))</f>
        <v>0</v>
      </c>
      <c r="U488" s="26">
        <f>R488+T488</f>
        <v>100</v>
      </c>
      <c r="V488" s="26">
        <f>SUM(I488,K488,M488)/3*0.3+SUM(G488,R488)/2*0.4</f>
        <v>64.2</v>
      </c>
      <c r="W488" s="27">
        <f>O488+T488</f>
        <v>10</v>
      </c>
      <c r="X488" s="28">
        <f>V488/0.7+W488</f>
        <v>101.71428571428572</v>
      </c>
      <c r="Y488" s="28">
        <v>101.71428571428572</v>
      </c>
      <c r="Z488" s="21"/>
    </row>
    <row r="489" spans="1:26" x14ac:dyDescent="0.25">
      <c r="A489" s="16">
        <v>20</v>
      </c>
      <c r="B489" s="17" t="s">
        <v>21</v>
      </c>
      <c r="C489" s="16">
        <v>112</v>
      </c>
      <c r="D489" s="18" t="s">
        <v>75</v>
      </c>
      <c r="E489" s="35" t="s">
        <v>23</v>
      </c>
      <c r="F489" s="19">
        <v>6.9</v>
      </c>
      <c r="G489" s="32">
        <f>IF(B489="高三",IF($E489="男",LOOKUP(F489,[1]对照表!$G$3:$G$24,[1]对照表!$H$3:$H$24),LOOKUP(F489,[1]对照表!$G$27:$G$48,[1]对照表!$H$27:$H$48)),IF(B489="高二",IF($E489="男",LOOKUP(F489,[1]对照表!$F$3:$F$24,[1]对照表!$H$3:$H$24),LOOKUP(F489,[1]对照表!$F$27:$F$48,[1]对照表!$H$27:$H$48)),IF(B489="高一",IF($E489="男",LOOKUP(F489,[1]对照表!$E$3:$E$24,[1]对照表!$H$3:$H$24),LOOKUP(F489,[1]对照表!$E$27:$E$48,[1]对照表!$H$27:$H$48)))))</f>
        <v>100</v>
      </c>
      <c r="H489" s="21">
        <v>27</v>
      </c>
      <c r="I489" s="32">
        <f>IF(B489="高三",IF($E489="男",LOOKUP(H489,[1]对照表!$K$3:$K$24,[1]对照表!$L$3:$L$24),LOOKUP(H489,[1]对照表!$K$27:$K$48,[1]对照表!$L$27:$L$48)),IF(B489="高二",IF($E489="男",LOOKUP(H489,[1]对照表!$J$3:$J$24,[1]对照表!$L$3:$L$24),LOOKUP(H489,[1]对照表!$J$27:$J$48,[1]对照表!$L$27:$L$48)),IF(B489="高一",IF($E489="男",LOOKUP(H489,[1]对照表!$I$3:$I$24,[1]对照表!$L$3:$L$24),LOOKUP(H489,[1]对照表!$I$27:$I$48,[1]对照表!$L$27:$L$48)))))</f>
        <v>100</v>
      </c>
      <c r="J489" s="21">
        <v>271</v>
      </c>
      <c r="K489" s="32">
        <f>IF(B489="高三",IF($E489="男",LOOKUP(J489,[1]对照表!$O$3:$O$24,[1]对照表!$P$3:$P$24),LOOKUP(J489,[1]对照表!$O$27:$O$48,[1]对照表!$P$27:$P$48)),IF(B489="高二",IF($E489="男",LOOKUP(J489,[1]对照表!$N$3:$N$24,[1]对照表!$P$3:$P$24),LOOKUP(J489,[1]对照表!$N$27:$N$48,[1]对照表!$P$27:$P$48)),IF(B489="高一",IF($E489="男",LOOKUP(J489,[1]对照表!$M$3:$M$24,[1]对照表!$P$3:$P$24),LOOKUP(J489,[1]对照表!$M$27:$M$48,[1]对照表!$P$27:$P$48)))))</f>
        <v>100</v>
      </c>
      <c r="L489" s="21">
        <v>16</v>
      </c>
      <c r="M489" s="32">
        <f>IF(B489="高三",IF($E489="男",LOOKUP(L489,[1]对照表!$S$3:$S$24,[1]对照表!$T$3:$T$24),LOOKUP(L489,[1]对照表!$S$27:$S$48,[1]对照表!$T$27:$T$48)),IF(B489="高二",IF($E489="男",LOOKUP(L489,[1]对照表!$R$3:$R$24,[1]对照表!$T$3:$T$24),LOOKUP(L489,[1]对照表!$R$27:$R$48,[1]对照表!$T$27:$T$48)),IF(B489="高一",IF($E489="男",LOOKUP(L489,[1]对照表!$Q$3:$Q$24,[1]对照表!$T$3:$T$24),LOOKUP(L489,[1]对照表!$Q$27:$Q$48,[1]对照表!$T$27:$T$48)))))</f>
        <v>100</v>
      </c>
      <c r="N489" s="33">
        <f>IF(B489="高三",MAX(IF(E489="男",L489-18,L489-55),0),IF(B489="高二",MAX(IF(E489="男",L489-17,L489-54),0),IF(B489="高一",MAX(IF(E489="男",L489-16,L489-53),0))))</f>
        <v>0</v>
      </c>
      <c r="O489" s="23">
        <f>IF(E489="男",LOOKUP($N489,[1]对照表!$Z$3:$Z$13,[1]对照表!$AA$3:$AA$13),LOOKUP($N489,[1]对照表!$Z$15:$Z$25,[1]对照表!$AA$15:$AA$25))</f>
        <v>0</v>
      </c>
      <c r="P489" s="24">
        <f>M489+O489</f>
        <v>100</v>
      </c>
      <c r="Q489" s="25">
        <v>3.27</v>
      </c>
      <c r="R489" s="32">
        <f>IF(B489="高三",IF($E489="男",LOOKUP(Q489,[1]对照表!$W$3:$W$24,[1]对照表!$X$3:$X$24),LOOKUP(Q489,[1]对照表!$W$27:$W$48,[1]对照表!$X$27:$X$48)),IF(B489="高二",IF($E489="男",LOOKUP(Q489,[1]对照表!$V$3:$V$24,[1]对照表!$X$3:$X$24),LOOKUP(Q489,[1]对照表!$V$27:$V$48,[1]对照表!$X$27:$X$48)),IF(B489="高一",IF($E489="男",LOOKUP(Q489,[1]对照表!$U$3:$U$24,[1]对照表!$X$3:$X$24),LOOKUP(Q489,[1]对照表!$U$27:$U$48,[1]对照表!$X$27:$X$48)))))</f>
        <v>100</v>
      </c>
      <c r="S489" s="33">
        <f>ROUND(IF(IF($B489="高三",MIN(IF($E489="男",$Q489-3.2,$Q489-3.2),0),IF($B489="高二",MIN(IF($E489="男",$Q489-3.25,$Q489-3.22),0),IF($B489="高一",MIN(IF($E489="男",$Q489-3.3,$Q489-3.24),0))))&lt;-0.6,IF($B489="高三",MIN(IF($E489="男",$Q489-3.2,$Q489-3.2),0),IF($B489="高二",MIN(IF($E489="男",$Q489-3.25,$Q489-3.22),0),IF($B489="高一",MIN(IF($E489="男",$Q489-3.3,$Q489-3.24),0))))+0.4,IF($B489="高三",MIN(IF($E489="男",$Q489-3.2,$Q489-3.2),0),IF($B489="高二",MIN(IF($E489="男",$Q489-3.25,$Q489-3.22),0),IF($B489="高一",MIN(IF($E489="男",$Q489-3.3,$Q489-3.24),0))))),2)</f>
        <v>-0.03</v>
      </c>
      <c r="T489" s="23">
        <f>IF(E489="男",LOOKUP($S489,[1]对照表!$AB$3:$AB$13,[1]对照表!$AC$3:$AC$13),LOOKUP($S489,[1]对照表!$AB$15:$AB$25,[1]对照表!$AC$15:$AC$25))</f>
        <v>0</v>
      </c>
      <c r="U489" s="26">
        <f>R489+T489</f>
        <v>100</v>
      </c>
      <c r="V489" s="26">
        <f>SUM(I489,K489,M489)/3*0.3+SUM(G489,R489)/2*0.4</f>
        <v>70</v>
      </c>
      <c r="W489" s="27">
        <f>O489+T489</f>
        <v>0</v>
      </c>
      <c r="X489" s="28">
        <f>V489/0.7+W489</f>
        <v>100</v>
      </c>
      <c r="Y489" s="28">
        <v>100</v>
      </c>
      <c r="Z489" s="21"/>
    </row>
    <row r="490" spans="1:26" x14ac:dyDescent="0.25">
      <c r="A490" s="16">
        <v>8</v>
      </c>
      <c r="B490" s="17" t="s">
        <v>21</v>
      </c>
      <c r="C490" s="16">
        <v>112</v>
      </c>
      <c r="D490" s="18" t="s">
        <v>77</v>
      </c>
      <c r="E490" s="16" t="s">
        <v>23</v>
      </c>
      <c r="F490" s="19">
        <v>7.2</v>
      </c>
      <c r="G490" s="32">
        <f>IF(B490="高三",IF($E490="男",LOOKUP(F490,[1]对照表!$G$3:$G$24,[1]对照表!$H$3:$H$24),LOOKUP(F490,[1]对照表!$G$27:$G$48,[1]对照表!$H$27:$H$48)),IF(B490="高二",IF($E490="男",LOOKUP(F490,[1]对照表!$F$3:$F$24,[1]对照表!$H$3:$H$24),LOOKUP(F490,[1]对照表!$F$27:$F$48,[1]对照表!$H$27:$H$48)),IF(B490="高一",IF($E490="男",LOOKUP(F490,[1]对照表!$E$3:$E$24,[1]对照表!$H$3:$H$24),LOOKUP(F490,[1]对照表!$E$27:$E$48,[1]对照表!$H$27:$H$48)))))</f>
        <v>95</v>
      </c>
      <c r="H490" s="21">
        <v>17</v>
      </c>
      <c r="I490" s="32">
        <f>IF(B490="高三",IF($E490="男",LOOKUP(H490,[1]对照表!$K$3:$K$24,[1]对照表!$L$3:$L$24),LOOKUP(H490,[1]对照表!$K$27:$K$48,[1]对照表!$L$27:$L$48)),IF(B490="高二",IF($E490="男",LOOKUP(H490,[1]对照表!$J$3:$J$24,[1]对照表!$L$3:$L$24),LOOKUP(H490,[1]对照表!$J$27:$J$48,[1]对照表!$L$27:$L$48)),IF(B490="高一",IF($E490="男",LOOKUP(H490,[1]对照表!$I$3:$I$24,[1]对照表!$L$3:$L$24),LOOKUP(H490,[1]对照表!$I$27:$I$48,[1]对照表!$L$27:$L$48)))))</f>
        <v>80</v>
      </c>
      <c r="J490" s="21">
        <v>269</v>
      </c>
      <c r="K490" s="32">
        <f>IF(B490="高三",IF($E490="男",LOOKUP(J490,[1]对照表!$O$3:$O$24,[1]对照表!$P$3:$P$24),LOOKUP(J490,[1]对照表!$O$27:$O$48,[1]对照表!$P$27:$P$48)),IF(B490="高二",IF($E490="男",LOOKUP(J490,[1]对照表!$N$3:$N$24,[1]对照表!$P$3:$P$24),LOOKUP(J490,[1]对照表!$N$27:$N$48,[1]对照表!$P$27:$P$48)),IF(B490="高一",IF($E490="男",LOOKUP(J490,[1]对照表!$M$3:$M$24,[1]对照表!$P$3:$P$24),LOOKUP(J490,[1]对照表!$M$27:$M$48,[1]对照表!$P$27:$P$48)))))</f>
        <v>100</v>
      </c>
      <c r="L490" s="21">
        <v>20</v>
      </c>
      <c r="M490" s="32">
        <f>IF(B490="高三",IF($E490="男",LOOKUP(L490,[1]对照表!$S$3:$S$24,[1]对照表!$T$3:$T$24),LOOKUP(L490,[1]对照表!$S$27:$S$48,[1]对照表!$T$27:$T$48)),IF(B490="高二",IF($E490="男",LOOKUP(L490,[1]对照表!$R$3:$R$24,[1]对照表!$T$3:$T$24),LOOKUP(L490,[1]对照表!$R$27:$R$48,[1]对照表!$T$27:$T$48)),IF(B490="高一",IF($E490="男",LOOKUP(L490,[1]对照表!$Q$3:$Q$24,[1]对照表!$T$3:$T$24),LOOKUP(L490,[1]对照表!$Q$27:$Q$48,[1]对照表!$T$27:$T$48)))))</f>
        <v>100</v>
      </c>
      <c r="N490" s="33">
        <f>IF(B490="高三",MAX(IF(E490="男",L490-18,L490-55),0),IF(B490="高二",MAX(IF(E490="男",L490-17,L490-54),0),IF(B490="高一",MAX(IF(E490="男",L490-16,L490-53),0))))</f>
        <v>4</v>
      </c>
      <c r="O490" s="23">
        <f>IF(E490="男",LOOKUP($N490,[1]对照表!$Z$3:$Z$13,[1]对照表!$AA$3:$AA$13),LOOKUP($N490,[1]对照表!$Z$15:$Z$25,[1]对照表!$AA$15:$AA$25))</f>
        <v>4</v>
      </c>
      <c r="P490" s="24">
        <f>M490+O490</f>
        <v>104</v>
      </c>
      <c r="Q490" s="25">
        <v>3.3</v>
      </c>
      <c r="R490" s="32">
        <f>IF(B490="高三",IF($E490="男",LOOKUP(Q490,[1]对照表!$W$3:$W$24,[1]对照表!$X$3:$X$24),LOOKUP(Q490,[1]对照表!$W$27:$W$48,[1]对照表!$X$27:$X$48)),IF(B490="高二",IF($E490="男",LOOKUP(Q490,[1]对照表!$V$3:$V$24,[1]对照表!$X$3:$X$24),LOOKUP(Q490,[1]对照表!$V$27:$V$48,[1]对照表!$X$27:$X$48)),IF(B490="高一",IF($E490="男",LOOKUP(Q490,[1]对照表!$U$3:$U$24,[1]对照表!$X$3:$X$24),LOOKUP(Q490,[1]对照表!$U$27:$U$48,[1]对照表!$X$27:$X$48)))))</f>
        <v>100</v>
      </c>
      <c r="S490" s="33">
        <f>ROUND(IF(IF($B490="高三",MIN(IF($E490="男",$Q490-3.2,$Q490-3.2),0),IF($B490="高二",MIN(IF($E490="男",$Q490-3.25,$Q490-3.22),0),IF($B490="高一",MIN(IF($E490="男",$Q490-3.3,$Q490-3.24),0))))&lt;-0.6,IF($B490="高三",MIN(IF($E490="男",$Q490-3.2,$Q490-3.2),0),IF($B490="高二",MIN(IF($E490="男",$Q490-3.25,$Q490-3.22),0),IF($B490="高一",MIN(IF($E490="男",$Q490-3.3,$Q490-3.24),0))))+0.4,IF($B490="高三",MIN(IF($E490="男",$Q490-3.2,$Q490-3.2),0),IF($B490="高二",MIN(IF($E490="男",$Q490-3.25,$Q490-3.22),0),IF($B490="高一",MIN(IF($E490="男",$Q490-3.3,$Q490-3.24),0))))),2)</f>
        <v>0</v>
      </c>
      <c r="T490" s="23">
        <f>IF(E490="男",LOOKUP($S490,[1]对照表!$AB$3:$AB$13,[1]对照表!$AC$3:$AC$13),LOOKUP($S490,[1]对照表!$AB$15:$AB$25,[1]对照表!$AC$15:$AC$25))</f>
        <v>0</v>
      </c>
      <c r="U490" s="26">
        <f>R490+T490</f>
        <v>100</v>
      </c>
      <c r="V490" s="26">
        <f>SUM(I490,K490,M490)/3*0.3+SUM(G490,R490)/2*0.4</f>
        <v>67</v>
      </c>
      <c r="W490" s="27">
        <f>O490+T490</f>
        <v>4</v>
      </c>
      <c r="X490" s="28">
        <f>V490/0.7+W490</f>
        <v>99.714285714285722</v>
      </c>
      <c r="Y490" s="28">
        <v>99.714285714285722</v>
      </c>
      <c r="Z490" s="21"/>
    </row>
    <row r="491" spans="1:26" x14ac:dyDescent="0.25">
      <c r="A491" s="16">
        <v>19</v>
      </c>
      <c r="B491" s="17" t="s">
        <v>21</v>
      </c>
      <c r="C491" s="16">
        <v>112</v>
      </c>
      <c r="D491" s="18" t="s">
        <v>78</v>
      </c>
      <c r="E491" s="35" t="s">
        <v>23</v>
      </c>
      <c r="F491" s="19">
        <v>7</v>
      </c>
      <c r="G491" s="32">
        <f>IF(B491="高三",IF($E491="男",LOOKUP(F491,[1]对照表!$G$3:$G$24,[1]对照表!$H$3:$H$24),LOOKUP(F491,[1]对照表!$G$27:$G$48,[1]对照表!$H$27:$H$48)),IF(B491="高二",IF($E491="男",LOOKUP(F491,[1]对照表!$F$3:$F$24,[1]对照表!$H$3:$H$24),LOOKUP(F491,[1]对照表!$F$27:$F$48,[1]对照表!$H$27:$H$48)),IF(B491="高一",IF($E491="男",LOOKUP(F491,[1]对照表!$E$3:$E$24,[1]对照表!$H$3:$H$24),LOOKUP(F491,[1]对照表!$E$27:$E$48,[1]对照表!$H$27:$H$48)))))</f>
        <v>100</v>
      </c>
      <c r="H491" s="21">
        <v>5.5</v>
      </c>
      <c r="I491" s="32">
        <f>IF(B491="高三",IF($E491="男",LOOKUP(H491,[1]对照表!$K$3:$K$24,[1]对照表!$L$3:$L$24),LOOKUP(H491,[1]对照表!$K$27:$K$48,[1]对照表!$L$27:$L$48)),IF(B491="高二",IF($E491="男",LOOKUP(H491,[1]对照表!$J$3:$J$24,[1]对照表!$L$3:$L$24),LOOKUP(H491,[1]对照表!$J$27:$J$48,[1]对照表!$L$27:$L$48)),IF(B491="高一",IF($E491="男",LOOKUP(H491,[1]对照表!$I$3:$I$24,[1]对照表!$L$3:$L$24),LOOKUP(H491,[1]对照表!$I$27:$I$48,[1]对照表!$L$27:$L$48)))))</f>
        <v>66</v>
      </c>
      <c r="J491" s="21">
        <v>247</v>
      </c>
      <c r="K491" s="32">
        <f>IF(B491="高三",IF($E491="男",LOOKUP(J491,[1]对照表!$O$3:$O$24,[1]对照表!$P$3:$P$24),LOOKUP(J491,[1]对照表!$O$27:$O$48,[1]对照表!$P$27:$P$48)),IF(B491="高二",IF($E491="男",LOOKUP(J491,[1]对照表!$N$3:$N$24,[1]对照表!$P$3:$P$24),LOOKUP(J491,[1]对照表!$N$27:$N$48,[1]对照表!$P$27:$P$48)),IF(B491="高一",IF($E491="男",LOOKUP(J491,[1]对照表!$M$3:$M$24,[1]对照表!$P$3:$P$24),LOOKUP(J491,[1]对照表!$M$27:$M$48,[1]对照表!$P$27:$P$48)))))</f>
        <v>85</v>
      </c>
      <c r="L491" s="21">
        <v>24</v>
      </c>
      <c r="M491" s="32">
        <f>IF(B491="高三",IF($E491="男",LOOKUP(L491,[1]对照表!$S$3:$S$24,[1]对照表!$T$3:$T$24),LOOKUP(L491,[1]对照表!$S$27:$S$48,[1]对照表!$T$27:$T$48)),IF(B491="高二",IF($E491="男",LOOKUP(L491,[1]对照表!$R$3:$R$24,[1]对照表!$T$3:$T$24),LOOKUP(L491,[1]对照表!$R$27:$R$48,[1]对照表!$T$27:$T$48)),IF(B491="高一",IF($E491="男",LOOKUP(L491,[1]对照表!$Q$3:$Q$24,[1]对照表!$T$3:$T$24),LOOKUP(L491,[1]对照表!$Q$27:$Q$48,[1]对照表!$T$27:$T$48)))))</f>
        <v>100</v>
      </c>
      <c r="N491" s="33">
        <f>IF(B491="高三",MAX(IF(E491="男",L491-18,L491-55),0),IF(B491="高二",MAX(IF(E491="男",L491-17,L491-54),0),IF(B491="高一",MAX(IF(E491="男",L491-16,L491-53),0))))</f>
        <v>8</v>
      </c>
      <c r="O491" s="23">
        <f>IF(E491="男",LOOKUP($N491,[1]对照表!$Z$3:$Z$13,[1]对照表!$AA$3:$AA$13),LOOKUP($N491,[1]对照表!$Z$15:$Z$25,[1]对照表!$AA$15:$AA$25))</f>
        <v>8</v>
      </c>
      <c r="P491" s="24">
        <f>M491+O491</f>
        <v>108</v>
      </c>
      <c r="Q491" s="25">
        <v>3.33</v>
      </c>
      <c r="R491" s="32">
        <f>IF(B491="高三",IF($E491="男",LOOKUP(Q491,[1]对照表!$W$3:$W$24,[1]对照表!$X$3:$X$24),LOOKUP(Q491,[1]对照表!$W$27:$W$48,[1]对照表!$X$27:$X$48)),IF(B491="高二",IF($E491="男",LOOKUP(Q491,[1]对照表!$V$3:$V$24,[1]对照表!$X$3:$X$24),LOOKUP(Q491,[1]对照表!$V$27:$V$48,[1]对照表!$X$27:$X$48)),IF(B491="高一",IF($E491="男",LOOKUP(Q491,[1]对照表!$U$3:$U$24,[1]对照表!$X$3:$X$24),LOOKUP(Q491,[1]对照表!$U$27:$U$48,[1]对照表!$X$27:$X$48)))))</f>
        <v>95</v>
      </c>
      <c r="S491" s="33">
        <f>ROUND(IF(IF($B491="高三",MIN(IF($E491="男",$Q491-3.2,$Q491-3.2),0),IF($B491="高二",MIN(IF($E491="男",$Q491-3.25,$Q491-3.22),0),IF($B491="高一",MIN(IF($E491="男",$Q491-3.3,$Q491-3.24),0))))&lt;-0.6,IF($B491="高三",MIN(IF($E491="男",$Q491-3.2,$Q491-3.2),0),IF($B491="高二",MIN(IF($E491="男",$Q491-3.25,$Q491-3.22),0),IF($B491="高一",MIN(IF($E491="男",$Q491-3.3,$Q491-3.24),0))))+0.4,IF($B491="高三",MIN(IF($E491="男",$Q491-3.2,$Q491-3.2),0),IF($B491="高二",MIN(IF($E491="男",$Q491-3.25,$Q491-3.22),0),IF($B491="高一",MIN(IF($E491="男",$Q491-3.3,$Q491-3.24),0))))),2)</f>
        <v>0</v>
      </c>
      <c r="T491" s="23">
        <f>IF(E491="男",LOOKUP($S491,[1]对照表!$AB$3:$AB$13,[1]对照表!$AC$3:$AC$13),LOOKUP($S491,[1]对照表!$AB$15:$AB$25,[1]对照表!$AC$15:$AC$25))</f>
        <v>0</v>
      </c>
      <c r="U491" s="26">
        <f>R491+T491</f>
        <v>95</v>
      </c>
      <c r="V491" s="26">
        <f>SUM(I491,K491,M491)/3*0.3+SUM(G491,R491)/2*0.4</f>
        <v>64.099999999999994</v>
      </c>
      <c r="W491" s="27">
        <f>O491+T491</f>
        <v>8</v>
      </c>
      <c r="X491" s="28">
        <f>V491/0.7+W491</f>
        <v>99.571428571428569</v>
      </c>
      <c r="Y491" s="28">
        <v>99.571428571428569</v>
      </c>
      <c r="Z491" s="25"/>
    </row>
    <row r="492" spans="1:26" x14ac:dyDescent="0.25">
      <c r="A492" s="16">
        <v>2</v>
      </c>
      <c r="B492" s="17" t="s">
        <v>21</v>
      </c>
      <c r="C492" s="16">
        <v>112</v>
      </c>
      <c r="D492" s="18" t="s">
        <v>92</v>
      </c>
      <c r="E492" s="16" t="s">
        <v>23</v>
      </c>
      <c r="F492" s="19">
        <v>7.4</v>
      </c>
      <c r="G492" s="32">
        <f>IF(B492="高三",IF($E492="男",LOOKUP(F492,[1]对照表!$G$3:$G$24,[1]对照表!$H$3:$H$24),LOOKUP(F492,[1]对照表!$G$27:$G$48,[1]对照表!$H$27:$H$48)),IF(B492="高二",IF($E492="男",LOOKUP(F492,[1]对照表!$F$3:$F$24,[1]对照表!$H$3:$H$24),LOOKUP(F492,[1]对照表!$F$27:$F$48,[1]对照表!$H$27:$H$48)),IF(B492="高一",IF($E492="男",LOOKUP(F492,[1]对照表!$E$3:$E$24,[1]对照表!$H$3:$H$24),LOOKUP(F492,[1]对照表!$E$27:$E$48,[1]对照表!$H$27:$H$48)))))</f>
        <v>85</v>
      </c>
      <c r="H492" s="21">
        <v>18.5</v>
      </c>
      <c r="I492" s="32">
        <f>IF(B492="高三",IF($E492="男",LOOKUP(H492,[1]对照表!$K$3:$K$24,[1]对照表!$L$3:$L$24),LOOKUP(H492,[1]对照表!$K$27:$K$48,[1]对照表!$L$27:$L$48)),IF(B492="高二",IF($E492="男",LOOKUP(H492,[1]对照表!$J$3:$J$24,[1]对照表!$L$3:$L$24),LOOKUP(H492,[1]对照表!$J$27:$J$48,[1]对照表!$L$27:$L$48)),IF(B492="高一",IF($E492="男",LOOKUP(H492,[1]对照表!$I$3:$I$24,[1]对照表!$L$3:$L$24),LOOKUP(H492,[1]对照表!$I$27:$I$48,[1]对照表!$L$27:$L$48)))))</f>
        <v>85</v>
      </c>
      <c r="J492" s="21">
        <v>241</v>
      </c>
      <c r="K492" s="32">
        <f>IF(B492="高三",IF($E492="男",LOOKUP(J492,[1]对照表!$O$3:$O$24,[1]对照表!$P$3:$P$24),LOOKUP(J492,[1]对照表!$O$27:$O$48,[1]对照表!$P$27:$P$48)),IF(B492="高二",IF($E492="男",LOOKUP(J492,[1]对照表!$N$3:$N$24,[1]对照表!$P$3:$P$24),LOOKUP(J492,[1]对照表!$N$27:$N$48,[1]对照表!$P$27:$P$48)),IF(B492="高一",IF($E492="男",LOOKUP(J492,[1]对照表!$M$3:$M$24,[1]对照表!$P$3:$P$24),LOOKUP(J492,[1]对照表!$M$27:$M$48,[1]对照表!$P$27:$P$48)))))</f>
        <v>80</v>
      </c>
      <c r="L492" s="21">
        <v>26</v>
      </c>
      <c r="M492" s="32">
        <f>IF(B492="高三",IF($E492="男",LOOKUP(L492,[1]对照表!$S$3:$S$24,[1]对照表!$T$3:$T$24),LOOKUP(L492,[1]对照表!$S$27:$S$48,[1]对照表!$T$27:$T$48)),IF(B492="高二",IF($E492="男",LOOKUP(L492,[1]对照表!$R$3:$R$24,[1]对照表!$T$3:$T$24),LOOKUP(L492,[1]对照表!$R$27:$R$48,[1]对照表!$T$27:$T$48)),IF(B492="高一",IF($E492="男",LOOKUP(L492,[1]对照表!$Q$3:$Q$24,[1]对照表!$T$3:$T$24),LOOKUP(L492,[1]对照表!$Q$27:$Q$48,[1]对照表!$T$27:$T$48)))))</f>
        <v>100</v>
      </c>
      <c r="N492" s="33">
        <f>IF(B492="高三",MAX(IF(E492="男",L492-18,L492-55),0),IF(B492="高二",MAX(IF(E492="男",L492-17,L492-54),0),IF(B492="高一",MAX(IF(E492="男",L492-16,L492-53),0))))</f>
        <v>10</v>
      </c>
      <c r="O492" s="23">
        <f>IF(E492="男",LOOKUP($N492,[1]对照表!$Z$3:$Z$13,[1]对照表!$AA$3:$AA$13),LOOKUP($N492,[1]对照表!$Z$15:$Z$25,[1]对照表!$AA$15:$AA$25))</f>
        <v>10</v>
      </c>
      <c r="P492" s="24">
        <f>M492+O492</f>
        <v>110</v>
      </c>
      <c r="Q492" s="25">
        <v>3.4</v>
      </c>
      <c r="R492" s="32">
        <f>IF(B492="高三",IF($E492="男",LOOKUP(Q492,[1]对照表!$W$3:$W$24,[1]对照表!$X$3:$X$24),LOOKUP(Q492,[1]对照表!$W$27:$W$48,[1]对照表!$X$27:$X$48)),IF(B492="高二",IF($E492="男",LOOKUP(Q492,[1]对照表!$V$3:$V$24,[1]对照表!$X$3:$X$24),LOOKUP(Q492,[1]对照表!$V$27:$V$48,[1]对照表!$X$27:$X$48)),IF(B492="高一",IF($E492="男",LOOKUP(Q492,[1]对照表!$U$3:$U$24,[1]对照表!$X$3:$X$24),LOOKUP(Q492,[1]对照表!$U$27:$U$48,[1]对照表!$X$27:$X$48)))))</f>
        <v>90</v>
      </c>
      <c r="S492" s="27">
        <f>ROUND(IF(IF($B492="高三",MIN(IF($E492="男",$Q492-3.2,$Q492-3.2),0),IF($B492="高二",MIN(IF($E492="男",$Q492-3.25,$Q492-3.22),0),IF($B492="高一",MIN(IF($E492="男",$Q492-3.3,$Q492-3.24),0))))&lt;-0.6,IF($B492="高三",MIN(IF($E492="男",$Q492-3.2,$Q492-3.2),0),IF($B492="高二",MIN(IF($E492="男",$Q492-3.25,$Q492-3.22),0),IF($B492="高一",MIN(IF($E492="男",$Q492-3.3,$Q492-3.24),0))))+0.4,IF($B492="高三",MIN(IF($E492="男",$Q492-3.2,$Q492-3.2),0),IF($B492="高二",MIN(IF($E492="男",$Q492-3.25,$Q492-3.22),0),IF($B492="高一",MIN(IF($E492="男",$Q492-3.3,$Q492-3.24),0))))),2)</f>
        <v>0</v>
      </c>
      <c r="T492" s="23">
        <f>IF(E492="男",LOOKUP($S492,[1]对照表!$AB$3:$AB$13,[1]对照表!$AC$3:$AC$13),LOOKUP($S492,[1]对照表!$AB$15:$AB$25,[1]对照表!$AC$15:$AC$25))</f>
        <v>0</v>
      </c>
      <c r="U492" s="26">
        <f>R492+T492</f>
        <v>90</v>
      </c>
      <c r="V492" s="26">
        <f>SUM(I492,K492,M492)/3*0.3+SUM(G492,R492)/2*0.4</f>
        <v>61.5</v>
      </c>
      <c r="W492" s="27">
        <f>O492+T492</f>
        <v>10</v>
      </c>
      <c r="X492" s="28">
        <f>V492/0.7+W492</f>
        <v>97.857142857142861</v>
      </c>
      <c r="Y492" s="28">
        <v>97.857142857142861</v>
      </c>
      <c r="Z492" s="21"/>
    </row>
    <row r="493" spans="1:26" x14ac:dyDescent="0.25">
      <c r="A493" s="16">
        <v>38</v>
      </c>
      <c r="B493" s="17" t="s">
        <v>21</v>
      </c>
      <c r="C493" s="16">
        <v>112</v>
      </c>
      <c r="D493" s="18" t="s">
        <v>113</v>
      </c>
      <c r="E493" s="16" t="s">
        <v>65</v>
      </c>
      <c r="F493" s="19">
        <v>8.32</v>
      </c>
      <c r="G493" s="32">
        <f>IF(B493="高三",IF($E493="男",LOOKUP(F493,[1]对照表!$G$3:$G$24,[1]对照表!$H$3:$H$24),LOOKUP(F493,[1]对照表!$G$27:$G$48,[1]对照表!$H$27:$H$48)),IF(B493="高二",IF($E493="男",LOOKUP(F493,[1]对照表!$F$3:$F$24,[1]对照表!$H$3:$H$24),LOOKUP(F493,[1]对照表!$F$27:$F$48,[1]对照表!$H$27:$H$48)),IF(B493="高一",IF($E493="男",LOOKUP(F493,[1]对照表!$E$3:$E$24,[1]对照表!$H$3:$H$24),LOOKUP(F493,[1]对照表!$E$27:$E$48,[1]对照表!$H$27:$H$48)))))</f>
        <v>80</v>
      </c>
      <c r="H493" s="21">
        <v>21</v>
      </c>
      <c r="I493" s="32">
        <f>IF(B493="高三",IF($E493="男",LOOKUP(H493,[1]对照表!$K$3:$K$24,[1]对照表!$L$3:$L$24),LOOKUP(H493,[1]对照表!$K$27:$K$48,[1]对照表!$L$27:$L$48)),IF(B493="高二",IF($E493="男",LOOKUP(H493,[1]对照表!$J$3:$J$24,[1]对照表!$L$3:$L$24),LOOKUP(H493,[1]对照表!$J$27:$J$48,[1]对照表!$L$27:$L$48)),IF(B493="高一",IF($E493="男",LOOKUP(H493,[1]对照表!$I$3:$I$24,[1]对照表!$L$3:$L$24),LOOKUP(H493,[1]对照表!$I$27:$I$48,[1]对照表!$L$27:$L$48)))))</f>
        <v>90</v>
      </c>
      <c r="J493" s="21">
        <v>202</v>
      </c>
      <c r="K493" s="32">
        <f>IF(B493="高三",IF($E493="男",LOOKUP(J493,[1]对照表!$O$3:$O$24,[1]对照表!$P$3:$P$24),LOOKUP(J493,[1]对照表!$O$27:$O$48,[1]对照表!$P$27:$P$48)),IF(B493="高二",IF($E493="男",LOOKUP(J493,[1]对照表!$N$3:$N$24,[1]对照表!$P$3:$P$24),LOOKUP(J493,[1]对照表!$N$27:$N$48,[1]对照表!$P$27:$P$48)),IF(B493="高一",IF($E493="男",LOOKUP(J493,[1]对照表!$M$3:$M$24,[1]对照表!$P$3:$P$24),LOOKUP(J493,[1]对照表!$M$27:$M$48,[1]对照表!$P$27:$P$48)))))</f>
        <v>95</v>
      </c>
      <c r="L493" s="21">
        <v>41</v>
      </c>
      <c r="M493" s="32">
        <f>IF(B493="高三",IF($E493="男",LOOKUP(L493,[1]对照表!$S$3:$S$24,[1]对照表!$T$3:$T$24),LOOKUP(L493,[1]对照表!$S$27:$S$48,[1]对照表!$T$27:$T$48)),IF(B493="高二",IF($E493="男",LOOKUP(L493,[1]对照表!$R$3:$R$24,[1]对照表!$T$3:$T$24),LOOKUP(L493,[1]对照表!$R$27:$R$48,[1]对照表!$T$27:$T$48)),IF(B493="高一",IF($E493="男",LOOKUP(L493,[1]对照表!$Q$3:$Q$24,[1]对照表!$T$3:$T$24),LOOKUP(L493,[1]对照表!$Q$27:$Q$48,[1]对照表!$T$27:$T$48)))))</f>
        <v>78</v>
      </c>
      <c r="N493" s="33">
        <f>IF(B493="高三",MAX(IF(E493="男",L493-18,L493-55),0),IF(B493="高二",MAX(IF(E493="男",L493-17,L493-54),0),IF(B493="高一",MAX(IF(E493="男",L493-16,L493-53),0))))</f>
        <v>0</v>
      </c>
      <c r="O493" s="23">
        <f>IF(E493="男",LOOKUP($N493,[1]对照表!$Z$3:$Z$13,[1]对照表!$AA$3:$AA$13),LOOKUP($N493,[1]对照表!$Z$15:$Z$25,[1]对照表!$AA$15:$AA$25))</f>
        <v>0</v>
      </c>
      <c r="P493" s="24">
        <f>M493+O493</f>
        <v>78</v>
      </c>
      <c r="Q493" s="25">
        <v>3.06</v>
      </c>
      <c r="R493" s="32">
        <f>IF(B493="高三",IF($E493="男",LOOKUP(Q493,[1]对照表!$W$3:$W$24,[1]对照表!$X$3:$X$24),LOOKUP(Q493,[1]对照表!$W$27:$W$48,[1]对照表!$X$27:$X$48)),IF(B493="高二",IF($E493="男",LOOKUP(Q493,[1]对照表!$V$3:$V$24,[1]对照表!$X$3:$X$24),LOOKUP(Q493,[1]对照表!$V$27:$V$48,[1]对照表!$X$27:$X$48)),IF(B493="高一",IF($E493="男",LOOKUP(Q493,[1]对照表!$U$3:$U$24,[1]对照表!$X$3:$X$24),LOOKUP(Q493,[1]对照表!$U$27:$U$48,[1]对照表!$X$27:$X$48)))))</f>
        <v>100</v>
      </c>
      <c r="S493" s="33">
        <f>ROUND(IF(IF($B493="高三",MIN(IF($E493="男",$Q493-3.2,$Q493-3.2),0),IF($B493="高二",MIN(IF($E493="男",$Q493-3.25,$Q493-3.22),0),IF($B493="高一",MIN(IF($E493="男",$Q493-3.3,$Q493-3.24),0))))&lt;-0.6,IF($B493="高三",MIN(IF($E493="男",$Q493-3.2,$Q493-3.2),0),IF($B493="高二",MIN(IF($E493="男",$Q493-3.25,$Q493-3.22),0),IF($B493="高一",MIN(IF($E493="男",$Q493-3.3,$Q493-3.24),0))))+0.4,IF($B493="高三",MIN(IF($E493="男",$Q493-3.2,$Q493-3.2),0),IF($B493="高二",MIN(IF($E493="男",$Q493-3.25,$Q493-3.22),0),IF($B493="高一",MIN(IF($E493="男",$Q493-3.3,$Q493-3.24),0))))),2)</f>
        <v>-0.18</v>
      </c>
      <c r="T493" s="23">
        <f>IF(E493="男",LOOKUP($S493,[1]对照表!$AB$3:$AB$13,[1]对照表!$AC$3:$AC$13),LOOKUP($S493,[1]对照表!$AB$15:$AB$25,[1]对照表!$AC$15:$AC$25))</f>
        <v>3</v>
      </c>
      <c r="U493" s="26">
        <f>R493+T493</f>
        <v>103</v>
      </c>
      <c r="V493" s="26">
        <f>SUM(I493,K493,M493)/3*0.3+SUM(G493,R493)/2*0.4</f>
        <v>62.3</v>
      </c>
      <c r="W493" s="27">
        <f>O493+T493</f>
        <v>3</v>
      </c>
      <c r="X493" s="28">
        <f>V493/0.7+W493</f>
        <v>92</v>
      </c>
      <c r="Y493" s="28">
        <v>92</v>
      </c>
      <c r="Z493" s="21"/>
    </row>
    <row r="494" spans="1:26" x14ac:dyDescent="0.25">
      <c r="A494" s="16">
        <v>26</v>
      </c>
      <c r="B494" s="17" t="s">
        <v>21</v>
      </c>
      <c r="C494" s="16">
        <v>112</v>
      </c>
      <c r="D494" s="18" t="s">
        <v>132</v>
      </c>
      <c r="E494" s="17" t="s">
        <v>23</v>
      </c>
      <c r="F494" s="19">
        <v>7.2</v>
      </c>
      <c r="G494" s="32">
        <f>IF(B494="高三",IF($E494="男",LOOKUP(F494,[1]对照表!$G$3:$G$24,[1]对照表!$H$3:$H$24),LOOKUP(F494,[1]对照表!$G$27:$G$48,[1]对照表!$H$27:$H$48)),IF(B494="高二",IF($E494="男",LOOKUP(F494,[1]对照表!$F$3:$F$24,[1]对照表!$H$3:$H$24),LOOKUP(F494,[1]对照表!$F$27:$F$48,[1]对照表!$H$27:$H$48)),IF(B494="高一",IF($E494="男",LOOKUP(F494,[1]对照表!$E$3:$E$24,[1]对照表!$H$3:$H$24),LOOKUP(F494,[1]对照表!$E$27:$E$48,[1]对照表!$H$27:$H$48)))))</f>
        <v>95</v>
      </c>
      <c r="H494" s="21">
        <v>12</v>
      </c>
      <c r="I494" s="32">
        <f>IF(B494="高三",IF($E494="男",LOOKUP(H494,[1]对照表!$K$3:$K$24,[1]对照表!$L$3:$L$24),LOOKUP(H494,[1]对照表!$K$27:$K$48,[1]对照表!$L$27:$L$48)),IF(B494="高二",IF($E494="男",LOOKUP(H494,[1]对照表!$J$3:$J$24,[1]对照表!$L$3:$L$24),LOOKUP(H494,[1]对照表!$J$27:$J$48,[1]对照表!$L$27:$L$48)),IF(B494="高一",IF($E494="男",LOOKUP(H494,[1]对照表!$I$3:$I$24,[1]对照表!$L$3:$L$24),LOOKUP(H494,[1]对照表!$I$27:$I$48,[1]对照表!$L$27:$L$48)))))</f>
        <v>74</v>
      </c>
      <c r="J494" s="21">
        <v>270</v>
      </c>
      <c r="K494" s="32">
        <f>IF(B494="高三",IF($E494="男",LOOKUP(J494,[1]对照表!$O$3:$O$24,[1]对照表!$P$3:$P$24),LOOKUP(J494,[1]对照表!$O$27:$O$48,[1]对照表!$P$27:$P$48)),IF(B494="高二",IF($E494="男",LOOKUP(J494,[1]对照表!$N$3:$N$24,[1]对照表!$P$3:$P$24),LOOKUP(J494,[1]对照表!$N$27:$N$48,[1]对照表!$P$27:$P$48)),IF(B494="高一",IF($E494="男",LOOKUP(J494,[1]对照表!$M$3:$M$24,[1]对照表!$P$3:$P$24),LOOKUP(J494,[1]对照表!$M$27:$M$48,[1]对照表!$P$27:$P$48)))))</f>
        <v>100</v>
      </c>
      <c r="L494" s="21">
        <v>16</v>
      </c>
      <c r="M494" s="32">
        <f>IF(B494="高三",IF($E494="男",LOOKUP(L494,[1]对照表!$S$3:$S$24,[1]对照表!$T$3:$T$24),LOOKUP(L494,[1]对照表!$S$27:$S$48,[1]对照表!$T$27:$T$48)),IF(B494="高二",IF($E494="男",LOOKUP(L494,[1]对照表!$R$3:$R$24,[1]对照表!$T$3:$T$24),LOOKUP(L494,[1]对照表!$R$27:$R$48,[1]对照表!$T$27:$T$48)),IF(B494="高一",IF($E494="男",LOOKUP(L494,[1]对照表!$Q$3:$Q$24,[1]对照表!$T$3:$T$24),LOOKUP(L494,[1]对照表!$Q$27:$Q$48,[1]对照表!$T$27:$T$48)))))</f>
        <v>100</v>
      </c>
      <c r="N494" s="33">
        <f>IF(B494="高三",MAX(IF(E494="男",L494-18,L494-55),0),IF(B494="高二",MAX(IF(E494="男",L494-17,L494-54),0),IF(B494="高一",MAX(IF(E494="男",L494-16,L494-53),0))))</f>
        <v>0</v>
      </c>
      <c r="O494" s="23">
        <f>IF(E494="男",LOOKUP($N494,[1]对照表!$Z$3:$Z$13,[1]对照表!$AA$3:$AA$13),LOOKUP($N494,[1]对照表!$Z$15:$Z$25,[1]对照表!$AA$15:$AA$25))</f>
        <v>0</v>
      </c>
      <c r="P494" s="24">
        <f>M494+O494</f>
        <v>100</v>
      </c>
      <c r="Q494" s="25">
        <v>3.3</v>
      </c>
      <c r="R494" s="32">
        <f>IF(B494="高三",IF($E494="男",LOOKUP(Q494,[1]对照表!$W$3:$W$24,[1]对照表!$X$3:$X$24),LOOKUP(Q494,[1]对照表!$W$27:$W$48,[1]对照表!$X$27:$X$48)),IF(B494="高二",IF($E494="男",LOOKUP(Q494,[1]对照表!$V$3:$V$24,[1]对照表!$X$3:$X$24),LOOKUP(Q494,[1]对照表!$V$27:$V$48,[1]对照表!$X$27:$X$48)),IF(B494="高一",IF($E494="男",LOOKUP(Q494,[1]对照表!$U$3:$U$24,[1]对照表!$X$3:$X$24),LOOKUP(Q494,[1]对照表!$U$27:$U$48,[1]对照表!$X$27:$X$48)))))</f>
        <v>100</v>
      </c>
      <c r="S494" s="33">
        <f>ROUND(IF(IF($B494="高三",MIN(IF($E494="男",$Q494-3.2,$Q494-3.2),0),IF($B494="高二",MIN(IF($E494="男",$Q494-3.25,$Q494-3.22),0),IF($B494="高一",MIN(IF($E494="男",$Q494-3.3,$Q494-3.24),0))))&lt;-0.6,IF($B494="高三",MIN(IF($E494="男",$Q494-3.2,$Q494-3.2),0),IF($B494="高二",MIN(IF($E494="男",$Q494-3.25,$Q494-3.22),0),IF($B494="高一",MIN(IF($E494="男",$Q494-3.3,$Q494-3.24),0))))+0.4,IF($B494="高三",MIN(IF($E494="男",$Q494-3.2,$Q494-3.2),0),IF($B494="高二",MIN(IF($E494="男",$Q494-3.25,$Q494-3.22),0),IF($B494="高一",MIN(IF($E494="男",$Q494-3.3,$Q494-3.24),0))))),2)</f>
        <v>0</v>
      </c>
      <c r="T494" s="23">
        <f>IF(E494="男",LOOKUP($S494,[1]对照表!$AB$3:$AB$13,[1]对照表!$AC$3:$AC$13),LOOKUP($S494,[1]对照表!$AB$15:$AB$25,[1]对照表!$AC$15:$AC$25))</f>
        <v>0</v>
      </c>
      <c r="U494" s="26">
        <f>R494+T494</f>
        <v>100</v>
      </c>
      <c r="V494" s="26">
        <f>SUM(I494,K494,M494)/3*0.3+SUM(G494,R494)/2*0.4</f>
        <v>66.400000000000006</v>
      </c>
      <c r="W494" s="27">
        <f>O494+T494</f>
        <v>0</v>
      </c>
      <c r="X494" s="28">
        <f>V494/0.7+W494</f>
        <v>94.857142857142875</v>
      </c>
      <c r="Y494" s="28">
        <v>94.857142857142875</v>
      </c>
      <c r="Z494" s="21"/>
    </row>
    <row r="495" spans="1:26" x14ac:dyDescent="0.25">
      <c r="A495" s="16">
        <v>1</v>
      </c>
      <c r="B495" s="17" t="s">
        <v>21</v>
      </c>
      <c r="C495" s="16">
        <v>112</v>
      </c>
      <c r="D495" s="18" t="s">
        <v>135</v>
      </c>
      <c r="E495" s="34" t="s">
        <v>23</v>
      </c>
      <c r="F495" s="19">
        <v>7</v>
      </c>
      <c r="G495" s="32">
        <f>IF(B495="高三",IF($E495="男",LOOKUP(F495,[1]对照表!$G$3:$G$24,[1]对照表!$H$3:$H$24),LOOKUP(F495,[1]对照表!$G$27:$G$48,[1]对照表!$H$27:$H$48)),IF(B495="高二",IF($E495="男",LOOKUP(F495,[1]对照表!$F$3:$F$24,[1]对照表!$H$3:$H$24),LOOKUP(F495,[1]对照表!$F$27:$F$48,[1]对照表!$H$27:$H$48)),IF(B495="高一",IF($E495="男",LOOKUP(F495,[1]对照表!$E$3:$E$24,[1]对照表!$H$3:$H$24),LOOKUP(F495,[1]对照表!$E$27:$E$48,[1]对照表!$H$27:$H$48)))))</f>
        <v>100</v>
      </c>
      <c r="H495" s="21">
        <v>14.1</v>
      </c>
      <c r="I495" s="32">
        <f>IF(B495="高三",IF($E495="男",LOOKUP(H495,[1]对照表!$K$3:$K$24,[1]对照表!$L$3:$L$24),LOOKUP(H495,[1]对照表!$K$27:$K$48,[1]对照表!$L$27:$L$48)),IF(B495="高二",IF($E495="男",LOOKUP(H495,[1]对照表!$J$3:$J$24,[1]对照表!$L$3:$L$24),LOOKUP(H495,[1]对照表!$J$27:$J$48,[1]对照表!$L$27:$L$48)),IF(B495="高一",IF($E495="男",LOOKUP(H495,[1]对照表!$I$3:$I$24,[1]对照表!$L$3:$L$24),LOOKUP(H495,[1]对照表!$I$27:$I$48,[1]对照表!$L$27:$L$48)))))</f>
        <v>78</v>
      </c>
      <c r="J495" s="21">
        <v>247</v>
      </c>
      <c r="K495" s="32">
        <f>IF(B495="高三",IF($E495="男",LOOKUP(J495,[1]对照表!$O$3:$O$24,[1]对照表!$P$3:$P$24),LOOKUP(J495,[1]对照表!$O$27:$O$48,[1]对照表!$P$27:$P$48)),IF(B495="高二",IF($E495="男",LOOKUP(J495,[1]对照表!$N$3:$N$24,[1]对照表!$P$3:$P$24),LOOKUP(J495,[1]对照表!$N$27:$N$48,[1]对照表!$P$27:$P$48)),IF(B495="高一",IF($E495="男",LOOKUP(J495,[1]对照表!$M$3:$M$24,[1]对照表!$P$3:$P$24),LOOKUP(J495,[1]对照表!$M$27:$M$48,[1]对照表!$P$27:$P$48)))))</f>
        <v>85</v>
      </c>
      <c r="L495" s="21">
        <v>20</v>
      </c>
      <c r="M495" s="32">
        <f>IF(B495="高三",IF($E495="男",LOOKUP(L495,[1]对照表!$S$3:$S$24,[1]对照表!$T$3:$T$24),LOOKUP(L495,[1]对照表!$S$27:$S$48,[1]对照表!$T$27:$T$48)),IF(B495="高二",IF($E495="男",LOOKUP(L495,[1]对照表!$R$3:$R$24,[1]对照表!$T$3:$T$24),LOOKUP(L495,[1]对照表!$R$27:$R$48,[1]对照表!$T$27:$T$48)),IF(B495="高一",IF($E495="男",LOOKUP(L495,[1]对照表!$Q$3:$Q$24,[1]对照表!$T$3:$T$24),LOOKUP(L495,[1]对照表!$Q$27:$Q$48,[1]对照表!$T$27:$T$48)))))</f>
        <v>100</v>
      </c>
      <c r="N495" s="27">
        <f>IF(B495="高三",MAX(IF(E495="男",L495-18,L495-55),0),IF(B495="高二",MAX(IF(E495="男",L495-17,L495-54),0),IF(B495="高一",MAX(IF(E495="男",L495-16,L495-53),0))))</f>
        <v>4</v>
      </c>
      <c r="O495" s="23">
        <f>IF(E495="男",LOOKUP($N495,[1]对照表!$Z$3:$Z$13,[1]对照表!$AA$3:$AA$13),LOOKUP($N495,[1]对照表!$Z$15:$Z$25,[1]对照表!$AA$15:$AA$25))</f>
        <v>4</v>
      </c>
      <c r="P495" s="24">
        <f>M495+O495</f>
        <v>104</v>
      </c>
      <c r="Q495" s="25">
        <v>3.45</v>
      </c>
      <c r="R495" s="32">
        <f>IF(B495="高三",IF($E495="男",LOOKUP(Q495,[1]对照表!$W$3:$W$24,[1]对照表!$X$3:$X$24),LOOKUP(Q495,[1]对照表!$W$27:$W$48,[1]对照表!$X$27:$X$48)),IF(B495="高二",IF($E495="男",LOOKUP(Q495,[1]对照表!$V$3:$V$24,[1]对照表!$X$3:$X$24),LOOKUP(Q495,[1]对照表!$V$27:$V$48,[1]对照表!$X$27:$X$48)),IF(B495="高一",IF($E495="男",LOOKUP(Q495,[1]对照表!$U$3:$U$24,[1]对照表!$X$3:$X$24),LOOKUP(Q495,[1]对照表!$U$27:$U$48,[1]对照表!$X$27:$X$48)))))</f>
        <v>85</v>
      </c>
      <c r="S495" s="27">
        <f>ROUND(IF(IF($B495="高三",MIN(IF($E495="男",$Q495-3.2,$Q495-3.2),0),IF($B495="高二",MIN(IF($E495="男",$Q495-3.25,$Q495-3.22),0),IF($B495="高一",MIN(IF($E495="男",$Q495-3.3,$Q495-3.24),0))))&lt;-0.6,IF($B495="高三",MIN(IF($E495="男",$Q495-3.2,$Q495-3.2),0),IF($B495="高二",MIN(IF($E495="男",$Q495-3.25,$Q495-3.22),0),IF($B495="高一",MIN(IF($E495="男",$Q495-3.3,$Q495-3.24),0))))+0.4,IF($B495="高三",MIN(IF($E495="男",$Q495-3.2,$Q495-3.2),0),IF($B495="高二",MIN(IF($E495="男",$Q495-3.25,$Q495-3.22),0),IF($B495="高一",MIN(IF($E495="男",$Q495-3.3,$Q495-3.24),0))))),2)</f>
        <v>0</v>
      </c>
      <c r="T495" s="23">
        <f>IF(E495="男",LOOKUP($S495,[1]对照表!$AB$3:$AB$13,[1]对照表!$AC$3:$AC$13),LOOKUP($S495,[1]对照表!$AB$15:$AB$25,[1]对照表!$AC$15:$AC$25))</f>
        <v>0</v>
      </c>
      <c r="U495" s="26">
        <f>R495+T495</f>
        <v>85</v>
      </c>
      <c r="V495" s="26">
        <f>SUM(I495,K495,M495)/3*0.3+SUM(G495,R495)/2*0.4</f>
        <v>63.3</v>
      </c>
      <c r="W495" s="27">
        <f>O495+T495</f>
        <v>4</v>
      </c>
      <c r="X495" s="28">
        <f>V495/0.7+W495</f>
        <v>94.428571428571431</v>
      </c>
      <c r="Y495" s="28">
        <v>94.428571428571431</v>
      </c>
      <c r="Z495" s="21"/>
    </row>
    <row r="496" spans="1:26" x14ac:dyDescent="0.25">
      <c r="A496" s="16">
        <v>5</v>
      </c>
      <c r="B496" s="17" t="s">
        <v>21</v>
      </c>
      <c r="C496" s="16">
        <v>112</v>
      </c>
      <c r="D496" s="18" t="s">
        <v>136</v>
      </c>
      <c r="E496" s="16" t="s">
        <v>23</v>
      </c>
      <c r="F496" s="19">
        <v>7.1</v>
      </c>
      <c r="G496" s="32">
        <f>IF(B496="高三",IF($E496="男",LOOKUP(F496,[1]对照表!$G$3:$G$24,[1]对照表!$H$3:$H$24),LOOKUP(F496,[1]对照表!$G$27:$G$48,[1]对照表!$H$27:$H$48)),IF(B496="高二",IF($E496="男",LOOKUP(F496,[1]对照表!$F$3:$F$24,[1]对照表!$H$3:$H$24),LOOKUP(F496,[1]对照表!$F$27:$F$48,[1]对照表!$H$27:$H$48)),IF(B496="高一",IF($E496="男",LOOKUP(F496,[1]对照表!$E$3:$E$24,[1]对照表!$H$3:$H$24),LOOKUP(F496,[1]对照表!$E$27:$E$48,[1]对照表!$H$27:$H$48)))))</f>
        <v>100</v>
      </c>
      <c r="H496" s="21">
        <v>10</v>
      </c>
      <c r="I496" s="32">
        <f>IF(B496="高三",IF($E496="男",LOOKUP(H496,[1]对照表!$K$3:$K$24,[1]对照表!$L$3:$L$24),LOOKUP(H496,[1]对照表!$K$27:$K$48,[1]对照表!$L$27:$L$48)),IF(B496="高二",IF($E496="男",LOOKUP(H496,[1]对照表!$J$3:$J$24,[1]对照表!$L$3:$L$24),LOOKUP(H496,[1]对照表!$J$27:$J$48,[1]对照表!$L$27:$L$48)),IF(B496="高一",IF($E496="男",LOOKUP(H496,[1]对照表!$I$3:$I$24,[1]对照表!$L$3:$L$24),LOOKUP(H496,[1]对照表!$I$27:$I$48,[1]对照表!$L$27:$L$48)))))</f>
        <v>72</v>
      </c>
      <c r="J496" s="21">
        <v>237</v>
      </c>
      <c r="K496" s="32">
        <f>IF(B496="高三",IF($E496="男",LOOKUP(J496,[1]对照表!$O$3:$O$24,[1]对照表!$P$3:$P$24),LOOKUP(J496,[1]对照表!$O$27:$O$48,[1]对照表!$P$27:$P$48)),IF(B496="高二",IF($E496="男",LOOKUP(J496,[1]对照表!$N$3:$N$24,[1]对照表!$P$3:$P$24),LOOKUP(J496,[1]对照表!$N$27:$N$48,[1]对照表!$P$27:$P$48)),IF(B496="高一",IF($E496="男",LOOKUP(J496,[1]对照表!$M$3:$M$24,[1]对照表!$P$3:$P$24),LOOKUP(J496,[1]对照表!$M$27:$M$48,[1]对照表!$P$27:$P$48)))))</f>
        <v>80</v>
      </c>
      <c r="L496" s="21">
        <v>24</v>
      </c>
      <c r="M496" s="32">
        <f>IF(B496="高三",IF($E496="男",LOOKUP(L496,[1]对照表!$S$3:$S$24,[1]对照表!$T$3:$T$24),LOOKUP(L496,[1]对照表!$S$27:$S$48,[1]对照表!$T$27:$T$48)),IF(B496="高二",IF($E496="男",LOOKUP(L496,[1]对照表!$R$3:$R$24,[1]对照表!$T$3:$T$24),LOOKUP(L496,[1]对照表!$R$27:$R$48,[1]对照表!$T$27:$T$48)),IF(B496="高一",IF($E496="男",LOOKUP(L496,[1]对照表!$Q$3:$Q$24,[1]对照表!$T$3:$T$24),LOOKUP(L496,[1]对照表!$Q$27:$Q$48,[1]对照表!$T$27:$T$48)))))</f>
        <v>100</v>
      </c>
      <c r="N496" s="33">
        <f>IF(B496="高三",MAX(IF(E496="男",L496-18,L496-55),0),IF(B496="高二",MAX(IF(E496="男",L496-17,L496-54),0),IF(B496="高一",MAX(IF(E496="男",L496-16,L496-53),0))))</f>
        <v>8</v>
      </c>
      <c r="O496" s="23">
        <f>IF(E496="男",LOOKUP($N496,[1]对照表!$Z$3:$Z$13,[1]对照表!$AA$3:$AA$13),LOOKUP($N496,[1]对照表!$Z$15:$Z$25,[1]对照表!$AA$15:$AA$25))</f>
        <v>8</v>
      </c>
      <c r="P496" s="24">
        <f>M496+O496</f>
        <v>108</v>
      </c>
      <c r="Q496" s="25">
        <v>4.03</v>
      </c>
      <c r="R496" s="32">
        <f>IF(B496="高三",IF($E496="男",LOOKUP(Q496,[1]对照表!$W$3:$W$24,[1]对照表!$X$3:$X$24),LOOKUP(Q496,[1]对照表!$W$27:$W$48,[1]对照表!$X$27:$X$48)),IF(B496="高二",IF($E496="男",LOOKUP(Q496,[1]对照表!$V$3:$V$24,[1]对照表!$X$3:$X$24),LOOKUP(Q496,[1]对照表!$V$27:$V$48,[1]对照表!$X$27:$X$48)),IF(B496="高一",IF($E496="男",LOOKUP(Q496,[1]对照表!$U$3:$U$24,[1]对照表!$X$3:$X$24),LOOKUP(Q496,[1]对照表!$U$27:$U$48,[1]对照表!$X$27:$X$48)))))</f>
        <v>76</v>
      </c>
      <c r="S496" s="33">
        <f>ROUND(IF(IF($B496="高三",MIN(IF($E496="男",$Q496-3.2,$Q496-3.2),0),IF($B496="高二",MIN(IF($E496="男",$Q496-3.25,$Q496-3.22),0),IF($B496="高一",MIN(IF($E496="男",$Q496-3.3,$Q496-3.24),0))))&lt;-0.6,IF($B496="高三",MIN(IF($E496="男",$Q496-3.2,$Q496-3.2),0),IF($B496="高二",MIN(IF($E496="男",$Q496-3.25,$Q496-3.22),0),IF($B496="高一",MIN(IF($E496="男",$Q496-3.3,$Q496-3.24),0))))+0.4,IF($B496="高三",MIN(IF($E496="男",$Q496-3.2,$Q496-3.2),0),IF($B496="高二",MIN(IF($E496="男",$Q496-3.25,$Q496-3.22),0),IF($B496="高一",MIN(IF($E496="男",$Q496-3.3,$Q496-3.24),0))))),2)</f>
        <v>0</v>
      </c>
      <c r="T496" s="23">
        <f>IF(E496="男",LOOKUP($S496,[1]对照表!$AB$3:$AB$13,[1]对照表!$AC$3:$AC$13),LOOKUP($S496,[1]对照表!$AB$15:$AB$25,[1]对照表!$AC$15:$AC$25))</f>
        <v>0</v>
      </c>
      <c r="U496" s="26">
        <f>R496+T496</f>
        <v>76</v>
      </c>
      <c r="V496" s="26">
        <f>SUM(I496,K496,M496)/3*0.3+SUM(G496,R496)/2*0.4</f>
        <v>60.400000000000006</v>
      </c>
      <c r="W496" s="27">
        <f>O496+T496</f>
        <v>8</v>
      </c>
      <c r="X496" s="28">
        <f>V496/0.7+W496</f>
        <v>94.285714285714306</v>
      </c>
      <c r="Y496" s="28">
        <v>94.285714285714306</v>
      </c>
      <c r="Z496" s="21"/>
    </row>
    <row r="497" spans="1:26" x14ac:dyDescent="0.25">
      <c r="A497" s="16">
        <v>14</v>
      </c>
      <c r="B497" s="17" t="s">
        <v>21</v>
      </c>
      <c r="C497" s="16">
        <v>112</v>
      </c>
      <c r="D497" s="18" t="s">
        <v>152</v>
      </c>
      <c r="E497" s="16" t="s">
        <v>23</v>
      </c>
      <c r="F497" s="19">
        <v>6.8</v>
      </c>
      <c r="G497" s="32">
        <f>IF(B497="高三",IF($E497="男",LOOKUP(F497,[1]对照表!$G$3:$G$24,[1]对照表!$H$3:$H$24),LOOKUP(F497,[1]对照表!$G$27:$G$48,[1]对照表!$H$27:$H$48)),IF(B497="高二",IF($E497="男",LOOKUP(F497,[1]对照表!$F$3:$F$24,[1]对照表!$H$3:$H$24),LOOKUP(F497,[1]对照表!$F$27:$F$48,[1]对照表!$H$27:$H$48)),IF(B497="高一",IF($E497="男",LOOKUP(F497,[1]对照表!$E$3:$E$24,[1]对照表!$H$3:$H$24),LOOKUP(F497,[1]对照表!$E$27:$E$48,[1]对照表!$H$27:$H$48)))))</f>
        <v>100</v>
      </c>
      <c r="H497" s="21">
        <v>23.3</v>
      </c>
      <c r="I497" s="32">
        <f>IF(B497="高三",IF($E497="男",LOOKUP(H497,[1]对照表!$K$3:$K$24,[1]对照表!$L$3:$L$24),LOOKUP(H497,[1]对照表!$K$27:$K$48,[1]对照表!$L$27:$L$48)),IF(B497="高二",IF($E497="男",LOOKUP(H497,[1]对照表!$J$3:$J$24,[1]对照表!$L$3:$L$24),LOOKUP(H497,[1]对照表!$J$27:$J$48,[1]对照表!$L$27:$L$48)),IF(B497="高一",IF($E497="男",LOOKUP(H497,[1]对照表!$I$3:$I$24,[1]对照表!$L$3:$L$24),LOOKUP(H497,[1]对照表!$I$27:$I$48,[1]对照表!$L$27:$L$48)))))</f>
        <v>95</v>
      </c>
      <c r="J497" s="21">
        <v>235</v>
      </c>
      <c r="K497" s="32">
        <f>IF(B497="高三",IF($E497="男",LOOKUP(J497,[1]对照表!$O$3:$O$24,[1]对照表!$P$3:$P$24),LOOKUP(J497,[1]对照表!$O$27:$O$48,[1]对照表!$P$27:$P$48)),IF(B497="高二",IF($E497="男",LOOKUP(J497,[1]对照表!$N$3:$N$24,[1]对照表!$P$3:$P$24),LOOKUP(J497,[1]对照表!$N$27:$N$48,[1]对照表!$P$27:$P$48)),IF(B497="高一",IF($E497="男",LOOKUP(J497,[1]对照表!$M$3:$M$24,[1]对照表!$P$3:$P$24),LOOKUP(J497,[1]对照表!$M$27:$M$48,[1]对照表!$P$27:$P$48)))))</f>
        <v>80</v>
      </c>
      <c r="L497" s="21">
        <v>18</v>
      </c>
      <c r="M497" s="32">
        <f>IF(B497="高三",IF($E497="男",LOOKUP(L497,[1]对照表!$S$3:$S$24,[1]对照表!$T$3:$T$24),LOOKUP(L497,[1]对照表!$S$27:$S$48,[1]对照表!$T$27:$T$48)),IF(B497="高二",IF($E497="男",LOOKUP(L497,[1]对照表!$R$3:$R$24,[1]对照表!$T$3:$T$24),LOOKUP(L497,[1]对照表!$R$27:$R$48,[1]对照表!$T$27:$T$48)),IF(B497="高一",IF($E497="男",LOOKUP(L497,[1]对照表!$Q$3:$Q$24,[1]对照表!$T$3:$T$24),LOOKUP(L497,[1]对照表!$Q$27:$Q$48,[1]对照表!$T$27:$T$48)))))</f>
        <v>100</v>
      </c>
      <c r="N497" s="33">
        <f>IF(B497="高三",MAX(IF(E497="男",L497-18,L497-55),0),IF(B497="高二",MAX(IF(E497="男",L497-17,L497-54),0),IF(B497="高一",MAX(IF(E497="男",L497-16,L497-53),0))))</f>
        <v>2</v>
      </c>
      <c r="O497" s="23">
        <f>IF(E497="男",LOOKUP($N497,[1]对照表!$Z$3:$Z$13,[1]对照表!$AA$3:$AA$13),LOOKUP($N497,[1]对照表!$Z$15:$Z$25,[1]对照表!$AA$15:$AA$25))</f>
        <v>2</v>
      </c>
      <c r="P497" s="24">
        <f>M497+O497</f>
        <v>102</v>
      </c>
      <c r="Q497" s="25">
        <v>3.52</v>
      </c>
      <c r="R497" s="32">
        <f>IF(B497="高三",IF($E497="男",LOOKUP(Q497,[1]对照表!$W$3:$W$24,[1]对照表!$X$3:$X$24),LOOKUP(Q497,[1]对照表!$W$27:$W$48,[1]对照表!$X$27:$X$48)),IF(B497="高二",IF($E497="男",LOOKUP(Q497,[1]对照表!$V$3:$V$24,[1]对照表!$X$3:$X$24),LOOKUP(Q497,[1]对照表!$V$27:$V$48,[1]对照表!$X$27:$X$48)),IF(B497="高一",IF($E497="男",LOOKUP(Q497,[1]对照表!$U$3:$U$24,[1]对照表!$X$3:$X$24),LOOKUP(Q497,[1]对照表!$U$27:$U$48,[1]对照表!$X$27:$X$48)))))</f>
        <v>80</v>
      </c>
      <c r="S497" s="33">
        <f>ROUND(IF(IF($B497="高三",MIN(IF($E497="男",$Q497-3.2,$Q497-3.2),0),IF($B497="高二",MIN(IF($E497="男",$Q497-3.25,$Q497-3.22),0),IF($B497="高一",MIN(IF($E497="男",$Q497-3.3,$Q497-3.24),0))))&lt;-0.6,IF($B497="高三",MIN(IF($E497="男",$Q497-3.2,$Q497-3.2),0),IF($B497="高二",MIN(IF($E497="男",$Q497-3.25,$Q497-3.22),0),IF($B497="高一",MIN(IF($E497="男",$Q497-3.3,$Q497-3.24),0))))+0.4,IF($B497="高三",MIN(IF($E497="男",$Q497-3.2,$Q497-3.2),0),IF($B497="高二",MIN(IF($E497="男",$Q497-3.25,$Q497-3.22),0),IF($B497="高一",MIN(IF($E497="男",$Q497-3.3,$Q497-3.24),0))))),2)</f>
        <v>0</v>
      </c>
      <c r="T497" s="23">
        <f>IF(E497="男",LOOKUP($S497,[1]对照表!$AB$3:$AB$13,[1]对照表!$AC$3:$AC$13),LOOKUP($S497,[1]对照表!$AB$15:$AB$25,[1]对照表!$AC$15:$AC$25))</f>
        <v>0</v>
      </c>
      <c r="U497" s="26">
        <f>R497+T497</f>
        <v>80</v>
      </c>
      <c r="V497" s="26">
        <f>SUM(I497,K497,M497)/3*0.3+SUM(G497,R497)/2*0.4</f>
        <v>63.5</v>
      </c>
      <c r="W497" s="27">
        <f>O497+T497</f>
        <v>2</v>
      </c>
      <c r="X497" s="28">
        <f>V497/0.7+W497</f>
        <v>92.714285714285722</v>
      </c>
      <c r="Y497" s="28">
        <v>92.714285714285722</v>
      </c>
      <c r="Z497" s="21"/>
    </row>
    <row r="498" spans="1:26" x14ac:dyDescent="0.25">
      <c r="A498" s="16">
        <v>7</v>
      </c>
      <c r="B498" s="17" t="s">
        <v>21</v>
      </c>
      <c r="C498" s="16">
        <v>112</v>
      </c>
      <c r="D498" s="18" t="s">
        <v>156</v>
      </c>
      <c r="E498" s="16" t="s">
        <v>23</v>
      </c>
      <c r="F498" s="19">
        <v>7.2</v>
      </c>
      <c r="G498" s="32">
        <f>IF(B498="高三",IF($E498="男",LOOKUP(F498,[1]对照表!$G$3:$G$24,[1]对照表!$H$3:$H$24),LOOKUP(F498,[1]对照表!$G$27:$G$48,[1]对照表!$H$27:$H$48)),IF(B498="高二",IF($E498="男",LOOKUP(F498,[1]对照表!$F$3:$F$24,[1]对照表!$H$3:$H$24),LOOKUP(F498,[1]对照表!$F$27:$F$48,[1]对照表!$H$27:$H$48)),IF(B498="高一",IF($E498="男",LOOKUP(F498,[1]对照表!$E$3:$E$24,[1]对照表!$H$3:$H$24),LOOKUP(F498,[1]对照表!$E$27:$E$48,[1]对照表!$H$27:$H$48)))))</f>
        <v>95</v>
      </c>
      <c r="H498" s="21">
        <v>9</v>
      </c>
      <c r="I498" s="32">
        <f>IF(B498="高三",IF($E498="男",LOOKUP(H498,[1]对照表!$K$3:$K$24,[1]对照表!$L$3:$L$24),LOOKUP(H498,[1]对照表!$K$27:$K$48,[1]对照表!$L$27:$L$48)),IF(B498="高二",IF($E498="男",LOOKUP(H498,[1]对照表!$J$3:$J$24,[1]对照表!$L$3:$L$24),LOOKUP(H498,[1]对照表!$J$27:$J$48,[1]对照表!$L$27:$L$48)),IF(B498="高一",IF($E498="男",LOOKUP(H498,[1]对照表!$I$3:$I$24,[1]对照表!$L$3:$L$24),LOOKUP(H498,[1]对照表!$I$27:$I$48,[1]对照表!$L$27:$L$48)))))</f>
        <v>70</v>
      </c>
      <c r="J498" s="21">
        <v>233</v>
      </c>
      <c r="K498" s="32">
        <f>IF(B498="高三",IF($E498="男",LOOKUP(J498,[1]对照表!$O$3:$O$24,[1]对照表!$P$3:$P$24),LOOKUP(J498,[1]对照表!$O$27:$O$48,[1]对照表!$P$27:$P$48)),IF(B498="高二",IF($E498="男",LOOKUP(J498,[1]对照表!$N$3:$N$24,[1]对照表!$P$3:$P$24),LOOKUP(J498,[1]对照表!$N$27:$N$48,[1]对照表!$P$27:$P$48)),IF(B498="高一",IF($E498="男",LOOKUP(J498,[1]对照表!$M$3:$M$24,[1]对照表!$P$3:$P$24),LOOKUP(J498,[1]对照表!$M$27:$M$48,[1]对照表!$P$27:$P$48)))))</f>
        <v>78</v>
      </c>
      <c r="L498" s="21">
        <v>17</v>
      </c>
      <c r="M498" s="32">
        <f>IF(B498="高三",IF($E498="男",LOOKUP(L498,[1]对照表!$S$3:$S$24,[1]对照表!$T$3:$T$24),LOOKUP(L498,[1]对照表!$S$27:$S$48,[1]对照表!$T$27:$T$48)),IF(B498="高二",IF($E498="男",LOOKUP(L498,[1]对照表!$R$3:$R$24,[1]对照表!$T$3:$T$24),LOOKUP(L498,[1]对照表!$R$27:$R$48,[1]对照表!$T$27:$T$48)),IF(B498="高一",IF($E498="男",LOOKUP(L498,[1]对照表!$Q$3:$Q$24,[1]对照表!$T$3:$T$24),LOOKUP(L498,[1]对照表!$Q$27:$Q$48,[1]对照表!$T$27:$T$48)))))</f>
        <v>100</v>
      </c>
      <c r="N498" s="33">
        <f>IF(B498="高三",MAX(IF(E498="男",L498-18,L498-55),0),IF(B498="高二",MAX(IF(E498="男",L498-17,L498-54),0),IF(B498="高一",MAX(IF(E498="男",L498-16,L498-53),0))))</f>
        <v>1</v>
      </c>
      <c r="O498" s="23">
        <f>IF(E498="男",LOOKUP($N498,[1]对照表!$Z$3:$Z$13,[1]对照表!$AA$3:$AA$13),LOOKUP($N498,[1]对照表!$Z$15:$Z$25,[1]对照表!$AA$15:$AA$25))</f>
        <v>1</v>
      </c>
      <c r="P498" s="24">
        <f>M498+O498</f>
        <v>101</v>
      </c>
      <c r="Q498" s="25">
        <v>3.28</v>
      </c>
      <c r="R498" s="32">
        <f>IF(B498="高三",IF($E498="男",LOOKUP(Q498,[1]对照表!$W$3:$W$24,[1]对照表!$X$3:$X$24),LOOKUP(Q498,[1]对照表!$W$27:$W$48,[1]对照表!$X$27:$X$48)),IF(B498="高二",IF($E498="男",LOOKUP(Q498,[1]对照表!$V$3:$V$24,[1]对照表!$X$3:$X$24),LOOKUP(Q498,[1]对照表!$V$27:$V$48,[1]对照表!$X$27:$X$48)),IF(B498="高一",IF($E498="男",LOOKUP(Q498,[1]对照表!$U$3:$U$24,[1]对照表!$X$3:$X$24),LOOKUP(Q498,[1]对照表!$U$27:$U$48,[1]对照表!$X$27:$X$48)))))</f>
        <v>100</v>
      </c>
      <c r="S498" s="33">
        <f>ROUND(IF(IF($B498="高三",MIN(IF($E498="男",$Q498-3.2,$Q498-3.2),0),IF($B498="高二",MIN(IF($E498="男",$Q498-3.25,$Q498-3.22),0),IF($B498="高一",MIN(IF($E498="男",$Q498-3.3,$Q498-3.24),0))))&lt;-0.6,IF($B498="高三",MIN(IF($E498="男",$Q498-3.2,$Q498-3.2),0),IF($B498="高二",MIN(IF($E498="男",$Q498-3.25,$Q498-3.22),0),IF($B498="高一",MIN(IF($E498="男",$Q498-3.3,$Q498-3.24),0))))+0.4,IF($B498="高三",MIN(IF($E498="男",$Q498-3.2,$Q498-3.2),0),IF($B498="高二",MIN(IF($E498="男",$Q498-3.25,$Q498-3.22),0),IF($B498="高一",MIN(IF($E498="男",$Q498-3.3,$Q498-3.24),0))))),2)</f>
        <v>-0.02</v>
      </c>
      <c r="T498" s="23">
        <f>IF(E498="男",LOOKUP($S498,[1]对照表!$AB$3:$AB$13,[1]对照表!$AC$3:$AC$13),LOOKUP($S498,[1]对照表!$AB$15:$AB$25,[1]对照表!$AC$15:$AC$25))</f>
        <v>0</v>
      </c>
      <c r="U498" s="26">
        <f>R498+T498</f>
        <v>100</v>
      </c>
      <c r="V498" s="26">
        <f>SUM(I498,K498,M498)/3*0.3+SUM(G498,R498)/2*0.4</f>
        <v>63.8</v>
      </c>
      <c r="W498" s="27">
        <f>O498+T498</f>
        <v>1</v>
      </c>
      <c r="X498" s="28">
        <f>V498/0.7+W498</f>
        <v>92.142857142857139</v>
      </c>
      <c r="Y498" s="28">
        <v>92.142857142857139</v>
      </c>
      <c r="Z498" s="21"/>
    </row>
    <row r="499" spans="1:26" x14ac:dyDescent="0.25">
      <c r="A499" s="16">
        <v>11</v>
      </c>
      <c r="B499" s="17" t="s">
        <v>21</v>
      </c>
      <c r="C499" s="16">
        <v>112</v>
      </c>
      <c r="D499" s="18" t="s">
        <v>187</v>
      </c>
      <c r="E499" s="34" t="s">
        <v>23</v>
      </c>
      <c r="F499" s="19">
        <v>7.2</v>
      </c>
      <c r="G499" s="32">
        <f>IF(B499="高三",IF($E499="男",LOOKUP(F499,[1]对照表!$G$3:$G$24,[1]对照表!$H$3:$H$24),LOOKUP(F499,[1]对照表!$G$27:$G$48,[1]对照表!$H$27:$H$48)),IF(B499="高二",IF($E499="男",LOOKUP(F499,[1]对照表!$F$3:$F$24,[1]对照表!$H$3:$H$24),LOOKUP(F499,[1]对照表!$F$27:$F$48,[1]对照表!$H$27:$H$48)),IF(B499="高一",IF($E499="男",LOOKUP(F499,[1]对照表!$E$3:$E$24,[1]对照表!$H$3:$H$24),LOOKUP(F499,[1]对照表!$E$27:$E$48,[1]对照表!$H$27:$H$48)))))</f>
        <v>95</v>
      </c>
      <c r="H499" s="21">
        <v>12.5</v>
      </c>
      <c r="I499" s="32">
        <f>IF(B499="高三",IF($E499="男",LOOKUP(H499,[1]对照表!$K$3:$K$24,[1]对照表!$L$3:$L$24),LOOKUP(H499,[1]对照表!$K$27:$K$48,[1]对照表!$L$27:$L$48)),IF(B499="高二",IF($E499="男",LOOKUP(H499,[1]对照表!$J$3:$J$24,[1]对照表!$L$3:$L$24),LOOKUP(H499,[1]对照表!$J$27:$J$48,[1]对照表!$L$27:$L$48)),IF(B499="高一",IF($E499="男",LOOKUP(H499,[1]对照表!$I$3:$I$24,[1]对照表!$L$3:$L$24),LOOKUP(H499,[1]对照表!$I$27:$I$48,[1]对照表!$L$27:$L$48)))))</f>
        <v>76</v>
      </c>
      <c r="J499" s="21">
        <v>224</v>
      </c>
      <c r="K499" s="32">
        <f>IF(B499="高三",IF($E499="男",LOOKUP(J499,[1]对照表!$O$3:$O$24,[1]对照表!$P$3:$P$24),LOOKUP(J499,[1]对照表!$O$27:$O$48,[1]对照表!$P$27:$P$48)),IF(B499="高二",IF($E499="男",LOOKUP(J499,[1]对照表!$N$3:$N$24,[1]对照表!$P$3:$P$24),LOOKUP(J499,[1]对照表!$N$27:$N$48,[1]对照表!$P$27:$P$48)),IF(B499="高一",IF($E499="男",LOOKUP(J499,[1]对照表!$M$3:$M$24,[1]对照表!$P$3:$P$24),LOOKUP(J499,[1]对照表!$M$27:$M$48,[1]对照表!$P$27:$P$48)))))</f>
        <v>74</v>
      </c>
      <c r="L499" s="21">
        <v>13</v>
      </c>
      <c r="M499" s="32">
        <f>IF(B499="高三",IF($E499="男",LOOKUP(L499,[1]对照表!$S$3:$S$24,[1]对照表!$T$3:$T$24),LOOKUP(L499,[1]对照表!$S$27:$S$48,[1]对照表!$T$27:$T$48)),IF(B499="高二",IF($E499="男",LOOKUP(L499,[1]对照表!$R$3:$R$24,[1]对照表!$T$3:$T$24),LOOKUP(L499,[1]对照表!$R$27:$R$48,[1]对照表!$T$27:$T$48)),IF(B499="高一",IF($E499="男",LOOKUP(L499,[1]对照表!$Q$3:$Q$24,[1]对照表!$T$3:$T$24),LOOKUP(L499,[1]对照表!$Q$27:$Q$48,[1]对照表!$T$27:$T$48)))))</f>
        <v>85</v>
      </c>
      <c r="N499" s="33">
        <f>IF(B499="高三",MAX(IF(E499="男",L499-18,L499-55),0),IF(B499="高二",MAX(IF(E499="男",L499-17,L499-54),0),IF(B499="高一",MAX(IF(E499="男",L499-16,L499-53),0))))</f>
        <v>0</v>
      </c>
      <c r="O499" s="23">
        <f>IF(E499="男",LOOKUP($N499,[1]对照表!$Z$3:$Z$13,[1]对照表!$AA$3:$AA$13),LOOKUP($N499,[1]对照表!$Z$15:$Z$25,[1]对照表!$AA$15:$AA$25))</f>
        <v>0</v>
      </c>
      <c r="P499" s="24">
        <f>M499+O499</f>
        <v>85</v>
      </c>
      <c r="Q499" s="25">
        <v>3.23</v>
      </c>
      <c r="R499" s="32">
        <f>IF(B499="高三",IF($E499="男",LOOKUP(Q499,[1]对照表!$W$3:$W$24,[1]对照表!$X$3:$X$24),LOOKUP(Q499,[1]对照表!$W$27:$W$48,[1]对照表!$X$27:$X$48)),IF(B499="高二",IF($E499="男",LOOKUP(Q499,[1]对照表!$V$3:$V$24,[1]对照表!$X$3:$X$24),LOOKUP(Q499,[1]对照表!$V$27:$V$48,[1]对照表!$X$27:$X$48)),IF(B499="高一",IF($E499="男",LOOKUP(Q499,[1]对照表!$U$3:$U$24,[1]对照表!$X$3:$X$24),LOOKUP(Q499,[1]对照表!$U$27:$U$48,[1]对照表!$X$27:$X$48)))))</f>
        <v>100</v>
      </c>
      <c r="S499" s="33">
        <f>ROUND(IF(IF($B499="高三",MIN(IF($E499="男",$Q499-3.2,$Q499-3.2),0),IF($B499="高二",MIN(IF($E499="男",$Q499-3.25,$Q499-3.22),0),IF($B499="高一",MIN(IF($E499="男",$Q499-3.3,$Q499-3.24),0))))&lt;-0.6,IF($B499="高三",MIN(IF($E499="男",$Q499-3.2,$Q499-3.2),0),IF($B499="高二",MIN(IF($E499="男",$Q499-3.25,$Q499-3.22),0),IF($B499="高一",MIN(IF($E499="男",$Q499-3.3,$Q499-3.24),0))))+0.4,IF($B499="高三",MIN(IF($E499="男",$Q499-3.2,$Q499-3.2),0),IF($B499="高二",MIN(IF($E499="男",$Q499-3.25,$Q499-3.22),0),IF($B499="高一",MIN(IF($E499="男",$Q499-3.3,$Q499-3.24),0))))),2)</f>
        <v>-7.0000000000000007E-2</v>
      </c>
      <c r="T499" s="23">
        <f>IF(E499="男",LOOKUP($S499,[1]对照表!$AB$3:$AB$13,[1]对照表!$AC$3:$AC$13),LOOKUP($S499,[1]对照表!$AB$15:$AB$25,[1]对照表!$AC$15:$AC$25))</f>
        <v>1</v>
      </c>
      <c r="U499" s="26">
        <f>R499+T499</f>
        <v>101</v>
      </c>
      <c r="V499" s="26">
        <f>SUM(I499,K499,M499)/3*0.3+SUM(G499,R499)/2*0.4</f>
        <v>62.5</v>
      </c>
      <c r="W499" s="27">
        <f>O499+T499</f>
        <v>1</v>
      </c>
      <c r="X499" s="28">
        <f>V499/0.7+W499</f>
        <v>90.285714285714292</v>
      </c>
      <c r="Y499" s="28">
        <v>90.285714285714292</v>
      </c>
      <c r="Z499" s="21"/>
    </row>
    <row r="500" spans="1:26" x14ac:dyDescent="0.25">
      <c r="A500" s="16">
        <v>18</v>
      </c>
      <c r="B500" s="17" t="s">
        <v>21</v>
      </c>
      <c r="C500" s="16">
        <v>112</v>
      </c>
      <c r="D500" s="18" t="s">
        <v>199</v>
      </c>
      <c r="E500" s="35" t="s">
        <v>23</v>
      </c>
      <c r="F500" s="19">
        <v>7.3</v>
      </c>
      <c r="G500" s="32">
        <f>IF(B500="高三",IF($E500="男",LOOKUP(F500,[1]对照表!$G$3:$G$24,[1]对照表!$H$3:$H$24),LOOKUP(F500,[1]对照表!$G$27:$G$48,[1]对照表!$H$27:$H$48)),IF(B500="高二",IF($E500="男",LOOKUP(F500,[1]对照表!$F$3:$F$24,[1]对照表!$H$3:$H$24),LOOKUP(F500,[1]对照表!$F$27:$F$48,[1]对照表!$H$27:$H$48)),IF(B500="高一",IF($E500="男",LOOKUP(F500,[1]对照表!$E$3:$E$24,[1]对照表!$H$3:$H$24),LOOKUP(F500,[1]对照表!$E$27:$E$48,[1]对照表!$H$27:$H$48)))))</f>
        <v>90</v>
      </c>
      <c r="H500" s="21">
        <v>10.5</v>
      </c>
      <c r="I500" s="32">
        <f>IF(B500="高三",IF($E500="男",LOOKUP(H500,[1]对照表!$K$3:$K$24,[1]对照表!$L$3:$L$24),LOOKUP(H500,[1]对照表!$K$27:$K$48,[1]对照表!$L$27:$L$48)),IF(B500="高二",IF($E500="男",LOOKUP(H500,[1]对照表!$J$3:$J$24,[1]对照表!$L$3:$L$24),LOOKUP(H500,[1]对照表!$J$27:$J$48,[1]对照表!$L$27:$L$48)),IF(B500="高一",IF($E500="男",LOOKUP(H500,[1]对照表!$I$3:$I$24,[1]对照表!$L$3:$L$24),LOOKUP(H500,[1]对照表!$I$27:$I$48,[1]对照表!$L$27:$L$48)))))</f>
        <v>72</v>
      </c>
      <c r="J500" s="21">
        <v>213</v>
      </c>
      <c r="K500" s="32">
        <f>IF(B500="高三",IF($E500="男",LOOKUP(J500,[1]对照表!$O$3:$O$24,[1]对照表!$P$3:$P$24),LOOKUP(J500,[1]对照表!$O$27:$O$48,[1]对照表!$P$27:$P$48)),IF(B500="高二",IF($E500="男",LOOKUP(J500,[1]对照表!$N$3:$N$24,[1]对照表!$P$3:$P$24),LOOKUP(J500,[1]对照表!$N$27:$N$48,[1]对照表!$P$27:$P$48)),IF(B500="高一",IF($E500="男",LOOKUP(J500,[1]对照表!$M$3:$M$24,[1]对照表!$P$3:$P$24),LOOKUP(J500,[1]对照表!$M$27:$M$48,[1]对照表!$P$27:$P$48)))))</f>
        <v>68</v>
      </c>
      <c r="L500" s="21">
        <v>13</v>
      </c>
      <c r="M500" s="32">
        <f>IF(B500="高三",IF($E500="男",LOOKUP(L500,[1]对照表!$S$3:$S$24,[1]对照表!$T$3:$T$24),LOOKUP(L500,[1]对照表!$S$27:$S$48,[1]对照表!$T$27:$T$48)),IF(B500="高二",IF($E500="男",LOOKUP(L500,[1]对照表!$R$3:$R$24,[1]对照表!$T$3:$T$24),LOOKUP(L500,[1]对照表!$R$27:$R$48,[1]对照表!$T$27:$T$48)),IF(B500="高一",IF($E500="男",LOOKUP(L500,[1]对照表!$Q$3:$Q$24,[1]对照表!$T$3:$T$24),LOOKUP(L500,[1]对照表!$Q$27:$Q$48,[1]对照表!$T$27:$T$48)))))</f>
        <v>85</v>
      </c>
      <c r="N500" s="33">
        <f>IF(B500="高三",MAX(IF(E500="男",L500-18,L500-55),0),IF(B500="高二",MAX(IF(E500="男",L500-17,L500-54),0),IF(B500="高一",MAX(IF(E500="男",L500-16,L500-53),0))))</f>
        <v>0</v>
      </c>
      <c r="O500" s="23">
        <f>IF(E500="男",LOOKUP($N500,[1]对照表!$Z$3:$Z$13,[1]对照表!$AA$3:$AA$13),LOOKUP($N500,[1]对照表!$Z$15:$Z$25,[1]对照表!$AA$15:$AA$25))</f>
        <v>0</v>
      </c>
      <c r="P500" s="24">
        <f>M500+O500</f>
        <v>85</v>
      </c>
      <c r="Q500" s="25">
        <v>3.22</v>
      </c>
      <c r="R500" s="32">
        <f>IF(B500="高三",IF($E500="男",LOOKUP(Q500,[1]对照表!$W$3:$W$24,[1]对照表!$X$3:$X$24),LOOKUP(Q500,[1]对照表!$W$27:$W$48,[1]对照表!$X$27:$X$48)),IF(B500="高二",IF($E500="男",LOOKUP(Q500,[1]对照表!$V$3:$V$24,[1]对照表!$X$3:$X$24),LOOKUP(Q500,[1]对照表!$V$27:$V$48,[1]对照表!$X$27:$X$48)),IF(B500="高一",IF($E500="男",LOOKUP(Q500,[1]对照表!$U$3:$U$24,[1]对照表!$X$3:$X$24),LOOKUP(Q500,[1]对照表!$U$27:$U$48,[1]对照表!$X$27:$X$48)))))</f>
        <v>100</v>
      </c>
      <c r="S500" s="33">
        <f>ROUND(IF(IF($B500="高三",MIN(IF($E500="男",$Q500-3.2,$Q500-3.2),0),IF($B500="高二",MIN(IF($E500="男",$Q500-3.25,$Q500-3.22),0),IF($B500="高一",MIN(IF($E500="男",$Q500-3.3,$Q500-3.24),0))))&lt;-0.6,IF($B500="高三",MIN(IF($E500="男",$Q500-3.2,$Q500-3.2),0),IF($B500="高二",MIN(IF($E500="男",$Q500-3.25,$Q500-3.22),0),IF($B500="高一",MIN(IF($E500="男",$Q500-3.3,$Q500-3.24),0))))+0.4,IF($B500="高三",MIN(IF($E500="男",$Q500-3.2,$Q500-3.2),0),IF($B500="高二",MIN(IF($E500="男",$Q500-3.25,$Q500-3.22),0),IF($B500="高一",MIN(IF($E500="男",$Q500-3.3,$Q500-3.24),0))))),2)</f>
        <v>-0.08</v>
      </c>
      <c r="T500" s="23">
        <f>IF(E500="男",LOOKUP($S500,[1]对照表!$AB$3:$AB$13,[1]对照表!$AC$3:$AC$13),LOOKUP($S500,[1]对照表!$AB$15:$AB$25,[1]对照表!$AC$15:$AC$25))</f>
        <v>2</v>
      </c>
      <c r="U500" s="26">
        <f>R500+T500</f>
        <v>102</v>
      </c>
      <c r="V500" s="26">
        <f>SUM(I500,K500,M500)/3*0.3+SUM(G500,R500)/2*0.4</f>
        <v>60.5</v>
      </c>
      <c r="W500" s="27">
        <f>O500+T500</f>
        <v>2</v>
      </c>
      <c r="X500" s="28">
        <f>V500/0.7+W500</f>
        <v>88.428571428571431</v>
      </c>
      <c r="Y500" s="28">
        <v>88.428571428571431</v>
      </c>
      <c r="Z500" s="21"/>
    </row>
    <row r="501" spans="1:26" x14ac:dyDescent="0.25">
      <c r="A501" s="16">
        <v>17</v>
      </c>
      <c r="B501" s="17" t="s">
        <v>21</v>
      </c>
      <c r="C501" s="16">
        <v>112</v>
      </c>
      <c r="D501" s="18" t="s">
        <v>225</v>
      </c>
      <c r="E501" s="16" t="s">
        <v>23</v>
      </c>
      <c r="F501" s="19">
        <v>6.7</v>
      </c>
      <c r="G501" s="32">
        <f>IF(B501="高三",IF($E501="男",LOOKUP(F501,[1]对照表!$G$3:$G$24,[1]对照表!$H$3:$H$24),LOOKUP(F501,[1]对照表!$G$27:$G$48,[1]对照表!$H$27:$H$48)),IF(B501="高二",IF($E501="男",LOOKUP(F501,[1]对照表!$F$3:$F$24,[1]对照表!$H$3:$H$24),LOOKUP(F501,[1]对照表!$F$27:$F$48,[1]对照表!$H$27:$H$48)),IF(B501="高一",IF($E501="男",LOOKUP(F501,[1]对照表!$E$3:$E$24,[1]对照表!$H$3:$H$24),LOOKUP(F501,[1]对照表!$E$27:$E$48,[1]对照表!$H$27:$H$48)))))</f>
        <v>100</v>
      </c>
      <c r="H501" s="21">
        <v>5.5</v>
      </c>
      <c r="I501" s="32">
        <f>IF(B501="高三",IF($E501="男",LOOKUP(H501,[1]对照表!$K$3:$K$24,[1]对照表!$L$3:$L$24),LOOKUP(H501,[1]对照表!$K$27:$K$48,[1]对照表!$L$27:$L$48)),IF(B501="高二",IF($E501="男",LOOKUP(H501,[1]对照表!$J$3:$J$24,[1]对照表!$L$3:$L$24),LOOKUP(H501,[1]对照表!$J$27:$J$48,[1]对照表!$L$27:$L$48)),IF(B501="高一",IF($E501="男",LOOKUP(H501,[1]对照表!$I$3:$I$24,[1]对照表!$L$3:$L$24),LOOKUP(H501,[1]对照表!$I$27:$I$48,[1]对照表!$L$27:$L$48)))))</f>
        <v>66</v>
      </c>
      <c r="J501" s="21">
        <v>270</v>
      </c>
      <c r="K501" s="32">
        <f>IF(B501="高三",IF($E501="男",LOOKUP(J501,[1]对照表!$O$3:$O$24,[1]对照表!$P$3:$P$24),LOOKUP(J501,[1]对照表!$O$27:$O$48,[1]对照表!$P$27:$P$48)),IF(B501="高二",IF($E501="男",LOOKUP(J501,[1]对照表!$N$3:$N$24,[1]对照表!$P$3:$P$24),LOOKUP(J501,[1]对照表!$N$27:$N$48,[1]对照表!$P$27:$P$48)),IF(B501="高一",IF($E501="男",LOOKUP(J501,[1]对照表!$M$3:$M$24,[1]对照表!$P$3:$P$24),LOOKUP(J501,[1]对照表!$M$27:$M$48,[1]对照表!$P$27:$P$48)))))</f>
        <v>100</v>
      </c>
      <c r="L501" s="21">
        <v>16</v>
      </c>
      <c r="M501" s="32">
        <f>IF(B501="高三",IF($E501="男",LOOKUP(L501,[1]对照表!$S$3:$S$24,[1]对照表!$T$3:$T$24),LOOKUP(L501,[1]对照表!$S$27:$S$48,[1]对照表!$T$27:$T$48)),IF(B501="高二",IF($E501="男",LOOKUP(L501,[1]对照表!$R$3:$R$24,[1]对照表!$T$3:$T$24),LOOKUP(L501,[1]对照表!$R$27:$R$48,[1]对照表!$T$27:$T$48)),IF(B501="高一",IF($E501="男",LOOKUP(L501,[1]对照表!$Q$3:$Q$24,[1]对照表!$T$3:$T$24),LOOKUP(L501,[1]对照表!$Q$27:$Q$48,[1]对照表!$T$27:$T$48)))))</f>
        <v>100</v>
      </c>
      <c r="N501" s="33">
        <f>IF(B501="高三",MAX(IF(E501="男",L501-18,L501-55),0),IF(B501="高二",MAX(IF(E501="男",L501-17,L501-54),0),IF(B501="高一",MAX(IF(E501="男",L501-16,L501-53),0))))</f>
        <v>0</v>
      </c>
      <c r="O501" s="23">
        <f>IF(E501="男",LOOKUP($N501,[1]对照表!$Z$3:$Z$13,[1]对照表!$AA$3:$AA$13),LOOKUP($N501,[1]对照表!$Z$15:$Z$25,[1]对照表!$AA$15:$AA$25))</f>
        <v>0</v>
      </c>
      <c r="P501" s="24">
        <f>M501+O501</f>
        <v>100</v>
      </c>
      <c r="Q501" s="25">
        <v>4.0599999999999996</v>
      </c>
      <c r="R501" s="32">
        <f>IF(B501="高三",IF($E501="男",LOOKUP(Q501,[1]对照表!$W$3:$W$24,[1]对照表!$X$3:$X$24),LOOKUP(Q501,[1]对照表!$W$27:$W$48,[1]对照表!$X$27:$X$48)),IF(B501="高二",IF($E501="男",LOOKUP(Q501,[1]对照表!$V$3:$V$24,[1]对照表!$X$3:$X$24),LOOKUP(Q501,[1]对照表!$V$27:$V$48,[1]对照表!$X$27:$X$48)),IF(B501="高一",IF($E501="男",LOOKUP(Q501,[1]对照表!$U$3:$U$24,[1]对照表!$X$3:$X$24),LOOKUP(Q501,[1]对照表!$U$27:$U$48,[1]对照表!$X$27:$X$48)))))</f>
        <v>74</v>
      </c>
      <c r="S501" s="33">
        <f>ROUND(IF(IF($B501="高三",MIN(IF($E501="男",$Q501-3.2,$Q501-3.2),0),IF($B501="高二",MIN(IF($E501="男",$Q501-3.25,$Q501-3.22),0),IF($B501="高一",MIN(IF($E501="男",$Q501-3.3,$Q501-3.24),0))))&lt;-0.6,IF($B501="高三",MIN(IF($E501="男",$Q501-3.2,$Q501-3.2),0),IF($B501="高二",MIN(IF($E501="男",$Q501-3.25,$Q501-3.22),0),IF($B501="高一",MIN(IF($E501="男",$Q501-3.3,$Q501-3.24),0))))+0.4,IF($B501="高三",MIN(IF($E501="男",$Q501-3.2,$Q501-3.2),0),IF($B501="高二",MIN(IF($E501="男",$Q501-3.25,$Q501-3.22),0),IF($B501="高一",MIN(IF($E501="男",$Q501-3.3,$Q501-3.24),0))))),2)</f>
        <v>0</v>
      </c>
      <c r="T501" s="23">
        <f>IF(E501="男",LOOKUP($S501,[1]对照表!$AB$3:$AB$13,[1]对照表!$AC$3:$AC$13),LOOKUP($S501,[1]对照表!$AB$15:$AB$25,[1]对照表!$AC$15:$AC$25))</f>
        <v>0</v>
      </c>
      <c r="U501" s="26">
        <f>R501+T501</f>
        <v>74</v>
      </c>
      <c r="V501" s="26">
        <f>SUM(I501,K501,M501)/3*0.3+SUM(G501,R501)/2*0.4</f>
        <v>61.400000000000006</v>
      </c>
      <c r="W501" s="27">
        <f>O501+T501</f>
        <v>0</v>
      </c>
      <c r="X501" s="28">
        <f>V501/0.7+W501</f>
        <v>87.714285714285722</v>
      </c>
      <c r="Y501" s="28">
        <v>87.714285714285722</v>
      </c>
      <c r="Z501" s="21"/>
    </row>
    <row r="502" spans="1:26" x14ac:dyDescent="0.25">
      <c r="A502" s="16">
        <v>43</v>
      </c>
      <c r="B502" s="17" t="s">
        <v>21</v>
      </c>
      <c r="C502" s="16">
        <v>112</v>
      </c>
      <c r="D502" s="18" t="s">
        <v>235</v>
      </c>
      <c r="E502" s="16" t="s">
        <v>65</v>
      </c>
      <c r="F502" s="19">
        <v>8.59</v>
      </c>
      <c r="G502" s="32">
        <f>IF(B502="高三",IF($E502="男",LOOKUP(F502,[1]对照表!$G$3:$G$24,[1]对照表!$H$3:$H$24),LOOKUP(F502,[1]对照表!$G$27:$G$48,[1]对照表!$H$27:$H$48)),IF(B502="高二",IF($E502="男",LOOKUP(F502,[1]对照表!$F$3:$F$24,[1]对照表!$H$3:$H$24),LOOKUP(F502,[1]对照表!$F$27:$F$48,[1]对照表!$H$27:$H$48)),IF(B502="高一",IF($E502="男",LOOKUP(F502,[1]对照表!$E$3:$E$24,[1]对照表!$H$3:$H$24),LOOKUP(F502,[1]对照表!$E$27:$E$48,[1]对照表!$H$27:$H$48)))))</f>
        <v>80</v>
      </c>
      <c r="H502" s="21">
        <v>24</v>
      </c>
      <c r="I502" s="32">
        <f>IF(B502="高三",IF($E502="男",LOOKUP(H502,[1]对照表!$K$3:$K$24,[1]对照表!$L$3:$L$24),LOOKUP(H502,[1]对照表!$K$27:$K$48,[1]对照表!$L$27:$L$48)),IF(B502="高二",IF($E502="男",LOOKUP(H502,[1]对照表!$J$3:$J$24,[1]对照表!$L$3:$L$24),LOOKUP(H502,[1]对照表!$J$27:$J$48,[1]对照表!$L$27:$L$48)),IF(B502="高一",IF($E502="男",LOOKUP(H502,[1]对照表!$I$3:$I$24,[1]对照表!$L$3:$L$24),LOOKUP(H502,[1]对照表!$I$27:$I$48,[1]对照表!$L$27:$L$48)))))</f>
        <v>95</v>
      </c>
      <c r="J502" s="21">
        <v>196</v>
      </c>
      <c r="K502" s="32">
        <f>IF(B502="高三",IF($E502="男",LOOKUP(J502,[1]对照表!$O$3:$O$24,[1]对照表!$P$3:$P$24),LOOKUP(J502,[1]对照表!$O$27:$O$48,[1]对照表!$P$27:$P$48)),IF(B502="高二",IF($E502="男",LOOKUP(J502,[1]对照表!$N$3:$N$24,[1]对照表!$P$3:$P$24),LOOKUP(J502,[1]对照表!$N$27:$N$48,[1]对照表!$P$27:$P$48)),IF(B502="高一",IF($E502="男",LOOKUP(J502,[1]对照表!$M$3:$M$24,[1]对照表!$P$3:$P$24),LOOKUP(J502,[1]对照表!$M$27:$M$48,[1]对照表!$P$27:$P$48)))))</f>
        <v>90</v>
      </c>
      <c r="L502" s="21">
        <v>41</v>
      </c>
      <c r="M502" s="32">
        <f>IF(B502="高三",IF($E502="男",LOOKUP(L502,[1]对照表!$S$3:$S$24,[1]对照表!$T$3:$T$24),LOOKUP(L502,[1]对照表!$S$27:$S$48,[1]对照表!$T$27:$T$48)),IF(B502="高二",IF($E502="男",LOOKUP(L502,[1]对照表!$R$3:$R$24,[1]对照表!$T$3:$T$24),LOOKUP(L502,[1]对照表!$R$27:$R$48,[1]对照表!$T$27:$T$48)),IF(B502="高一",IF($E502="男",LOOKUP(L502,[1]对照表!$Q$3:$Q$24,[1]对照表!$T$3:$T$24),LOOKUP(L502,[1]对照表!$Q$27:$Q$48,[1]对照表!$T$27:$T$48)))))</f>
        <v>78</v>
      </c>
      <c r="N502" s="33">
        <f>IF(B502="高三",MAX(IF(E502="男",L502-18,L502-55),0),IF(B502="高二",MAX(IF(E502="男",L502-17,L502-54),0),IF(B502="高一",MAX(IF(E502="男",L502-16,L502-53),0))))</f>
        <v>0</v>
      </c>
      <c r="O502" s="23">
        <f>IF(E502="男",LOOKUP($N502,[1]对照表!$Z$3:$Z$13,[1]对照表!$AA$3:$AA$13),LOOKUP($N502,[1]对照表!$Z$15:$Z$25,[1]对照表!$AA$15:$AA$25))</f>
        <v>0</v>
      </c>
      <c r="P502" s="24">
        <f>M502+O502</f>
        <v>78</v>
      </c>
      <c r="Q502" s="25">
        <v>3.24</v>
      </c>
      <c r="R502" s="32">
        <f>IF(B502="高三",IF($E502="男",LOOKUP(Q502,[1]对照表!$W$3:$W$24,[1]对照表!$X$3:$X$24),LOOKUP(Q502,[1]对照表!$W$27:$W$48,[1]对照表!$X$27:$X$48)),IF(B502="高二",IF($E502="男",LOOKUP(Q502,[1]对照表!$V$3:$V$24,[1]对照表!$X$3:$X$24),LOOKUP(Q502,[1]对照表!$V$27:$V$48,[1]对照表!$X$27:$X$48)),IF(B502="高一",IF($E502="男",LOOKUP(Q502,[1]对照表!$U$3:$U$24,[1]对照表!$X$3:$X$24),LOOKUP(Q502,[1]对照表!$U$27:$U$48,[1]对照表!$X$27:$X$48)))))</f>
        <v>100</v>
      </c>
      <c r="S502" s="33">
        <f>ROUND(IF(IF($B502="高三",MIN(IF($E502="男",$Q502-3.2,$Q502-3.2),0),IF($B502="高二",MIN(IF($E502="男",$Q502-3.25,$Q502-3.22),0),IF($B502="高一",MIN(IF($E502="男",$Q502-3.3,$Q502-3.24),0))))&lt;-0.6,IF($B502="高三",MIN(IF($E502="男",$Q502-3.2,$Q502-3.2),0),IF($B502="高二",MIN(IF($E502="男",$Q502-3.25,$Q502-3.22),0),IF($B502="高一",MIN(IF($E502="男",$Q502-3.3,$Q502-3.24),0))))+0.4,IF($B502="高三",MIN(IF($E502="男",$Q502-3.2,$Q502-3.2),0),IF($B502="高二",MIN(IF($E502="男",$Q502-3.25,$Q502-3.22),0),IF($B502="高一",MIN(IF($E502="男",$Q502-3.3,$Q502-3.24),0))))),2)</f>
        <v>0</v>
      </c>
      <c r="T502" s="23">
        <f>IF(E502="男",LOOKUP($S502,[1]对照表!$AB$3:$AB$13,[1]对照表!$AC$3:$AC$13),LOOKUP($S502,[1]对照表!$AB$15:$AB$25,[1]对照表!$AC$15:$AC$25))</f>
        <v>0</v>
      </c>
      <c r="U502" s="26">
        <f>R502+T502</f>
        <v>100</v>
      </c>
      <c r="V502" s="26">
        <f>SUM(I502,K502,M502)/3*0.3+SUM(G502,R502)/2*0.4</f>
        <v>62.3</v>
      </c>
      <c r="W502" s="27">
        <f>O502+T502</f>
        <v>0</v>
      </c>
      <c r="X502" s="28">
        <f>V502/0.7+W502</f>
        <v>89</v>
      </c>
      <c r="Y502" s="28">
        <v>89</v>
      </c>
      <c r="Z502" s="21"/>
    </row>
    <row r="503" spans="1:26" x14ac:dyDescent="0.25">
      <c r="A503" s="16">
        <v>45</v>
      </c>
      <c r="B503" s="17" t="s">
        <v>21</v>
      </c>
      <c r="C503" s="16">
        <v>112</v>
      </c>
      <c r="D503" s="18" t="s">
        <v>236</v>
      </c>
      <c r="E503" s="16" t="s">
        <v>65</v>
      </c>
      <c r="F503" s="19">
        <v>8.8000000000000007</v>
      </c>
      <c r="G503" s="32">
        <f>IF(B503="高三",IF($E503="男",LOOKUP(F503,[1]对照表!$G$3:$G$24,[1]对照表!$H$3:$H$24),LOOKUP(F503,[1]对照表!$G$27:$G$48,[1]对照表!$H$27:$H$48)),IF(B503="高二",IF($E503="男",LOOKUP(F503,[1]对照表!$F$3:$F$24,[1]对照表!$H$3:$H$24),LOOKUP(F503,[1]对照表!$F$27:$F$48,[1]对照表!$H$27:$H$48)),IF(B503="高一",IF($E503="男",LOOKUP(F503,[1]对照表!$E$3:$E$24,[1]对照表!$H$3:$H$24),LOOKUP(F503,[1]对照表!$E$27:$E$48,[1]对照表!$H$27:$H$48)))))</f>
        <v>78</v>
      </c>
      <c r="H503" s="21">
        <v>20</v>
      </c>
      <c r="I503" s="32">
        <f>IF(B503="高三",IF($E503="男",LOOKUP(H503,[1]对照表!$K$3:$K$24,[1]对照表!$L$3:$L$24),LOOKUP(H503,[1]对照表!$K$27:$K$48,[1]对照表!$L$27:$L$48)),IF(B503="高二",IF($E503="男",LOOKUP(H503,[1]对照表!$J$3:$J$24,[1]对照表!$L$3:$L$24),LOOKUP(H503,[1]对照表!$J$27:$J$48,[1]对照表!$L$27:$L$48)),IF(B503="高一",IF($E503="男",LOOKUP(H503,[1]对照表!$I$3:$I$24,[1]对照表!$L$3:$L$24),LOOKUP(H503,[1]对照表!$I$27:$I$48,[1]对照表!$L$27:$L$48)))))</f>
        <v>85</v>
      </c>
      <c r="J503" s="21">
        <v>198</v>
      </c>
      <c r="K503" s="32">
        <f>IF(B503="高三",IF($E503="男",LOOKUP(J503,[1]对照表!$O$3:$O$24,[1]对照表!$P$3:$P$24),LOOKUP(J503,[1]对照表!$O$27:$O$48,[1]对照表!$P$27:$P$48)),IF(B503="高二",IF($E503="男",LOOKUP(J503,[1]对照表!$N$3:$N$24,[1]对照表!$P$3:$P$24),LOOKUP(J503,[1]对照表!$N$27:$N$48,[1]对照表!$P$27:$P$48)),IF(B503="高一",IF($E503="男",LOOKUP(J503,[1]对照表!$M$3:$M$24,[1]对照表!$P$3:$P$24),LOOKUP(J503,[1]对照表!$M$27:$M$48,[1]对照表!$P$27:$P$48)))))</f>
        <v>95</v>
      </c>
      <c r="L503" s="21">
        <v>56</v>
      </c>
      <c r="M503" s="32">
        <f>IF(B503="高三",IF($E503="男",LOOKUP(L503,[1]对照表!$S$3:$S$24,[1]对照表!$T$3:$T$24),LOOKUP(L503,[1]对照表!$S$27:$S$48,[1]对照表!$T$27:$T$48)),IF(B503="高二",IF($E503="男",LOOKUP(L503,[1]对照表!$R$3:$R$24,[1]对照表!$T$3:$T$24),LOOKUP(L503,[1]对照表!$R$27:$R$48,[1]对照表!$T$27:$T$48)),IF(B503="高一",IF($E503="男",LOOKUP(L503,[1]对照表!$Q$3:$Q$24,[1]对照表!$T$3:$T$24),LOOKUP(L503,[1]对照表!$Q$27:$Q$48,[1]对照表!$T$27:$T$48)))))</f>
        <v>100</v>
      </c>
      <c r="N503" s="33">
        <f>IF(B503="高三",MAX(IF(E503="男",L503-18,L503-55),0),IF(B503="高二",MAX(IF(E503="男",L503-17,L503-54),0),IF(B503="高一",MAX(IF(E503="男",L503-16,L503-53),0))))</f>
        <v>3</v>
      </c>
      <c r="O503" s="23">
        <f>IF(E503="男",LOOKUP($N503,[1]对照表!$Z$3:$Z$13,[1]对照表!$AA$3:$AA$13),LOOKUP($N503,[1]对照表!$Z$15:$Z$25,[1]对照表!$AA$15:$AA$25))</f>
        <v>1</v>
      </c>
      <c r="P503" s="24">
        <f>M503+O503</f>
        <v>101</v>
      </c>
      <c r="Q503" s="25">
        <v>3.24</v>
      </c>
      <c r="R503" s="32">
        <f>IF(B503="高三",IF($E503="男",LOOKUP(Q503,[1]对照表!$W$3:$W$24,[1]对照表!$X$3:$X$24),LOOKUP(Q503,[1]对照表!$W$27:$W$48,[1]对照表!$X$27:$X$48)),IF(B503="高二",IF($E503="男",LOOKUP(Q503,[1]对照表!$V$3:$V$24,[1]对照表!$X$3:$X$24),LOOKUP(Q503,[1]对照表!$V$27:$V$48,[1]对照表!$X$27:$X$48)),IF(B503="高一",IF($E503="男",LOOKUP(Q503,[1]对照表!$U$3:$U$24,[1]对照表!$X$3:$X$24),LOOKUP(Q503,[1]对照表!$U$27:$U$48,[1]对照表!$X$27:$X$48)))))</f>
        <v>100</v>
      </c>
      <c r="S503" s="33">
        <f>ROUND(IF(IF($B503="高三",MIN(IF($E503="男",$Q503-3.2,$Q503-3.2),0),IF($B503="高二",MIN(IF($E503="男",$Q503-3.25,$Q503-3.22),0),IF($B503="高一",MIN(IF($E503="男",$Q503-3.3,$Q503-3.24),0))))&lt;-0.6,IF($B503="高三",MIN(IF($E503="男",$Q503-3.2,$Q503-3.2),0),IF($B503="高二",MIN(IF($E503="男",$Q503-3.25,$Q503-3.22),0),IF($B503="高一",MIN(IF($E503="男",$Q503-3.3,$Q503-3.24),0))))+0.4,IF($B503="高三",MIN(IF($E503="男",$Q503-3.2,$Q503-3.2),0),IF($B503="高二",MIN(IF($E503="男",$Q503-3.25,$Q503-3.22),0),IF($B503="高一",MIN(IF($E503="男",$Q503-3.3,$Q503-3.24),0))))),2)</f>
        <v>0</v>
      </c>
      <c r="T503" s="23">
        <f>IF(E503="男",LOOKUP($S503,[1]对照表!$AB$3:$AB$13,[1]对照表!$AC$3:$AC$13),LOOKUP($S503,[1]对照表!$AB$15:$AB$25,[1]对照表!$AC$15:$AC$25))</f>
        <v>0</v>
      </c>
      <c r="U503" s="26">
        <f>R503+T503</f>
        <v>100</v>
      </c>
      <c r="V503" s="26">
        <f>SUM(I503,K503,M503)/3*0.3+SUM(G503,R503)/2*0.4</f>
        <v>63.599999999999994</v>
      </c>
      <c r="W503" s="27">
        <f>O503+T503</f>
        <v>1</v>
      </c>
      <c r="X503" s="28">
        <f>V503/0.7+W503</f>
        <v>91.857142857142861</v>
      </c>
      <c r="Y503" s="28">
        <v>91.857142857142861</v>
      </c>
      <c r="Z503" s="21"/>
    </row>
    <row r="504" spans="1:26" x14ac:dyDescent="0.25">
      <c r="A504" s="16">
        <v>27</v>
      </c>
      <c r="B504" s="17" t="s">
        <v>21</v>
      </c>
      <c r="C504" s="16">
        <v>112</v>
      </c>
      <c r="D504" s="18" t="s">
        <v>270</v>
      </c>
      <c r="E504" s="17" t="s">
        <v>23</v>
      </c>
      <c r="F504" s="19">
        <v>7</v>
      </c>
      <c r="G504" s="32">
        <f>IF(B504="高三",IF($E504="男",LOOKUP(F504,[1]对照表!$G$3:$G$24,[1]对照表!$H$3:$H$24),LOOKUP(F504,[1]对照表!$G$27:$G$48,[1]对照表!$H$27:$H$48)),IF(B504="高二",IF($E504="男",LOOKUP(F504,[1]对照表!$F$3:$F$24,[1]对照表!$H$3:$H$24),LOOKUP(F504,[1]对照表!$F$27:$F$48,[1]对照表!$H$27:$H$48)),IF(B504="高一",IF($E504="男",LOOKUP(F504,[1]对照表!$E$3:$E$24,[1]对照表!$H$3:$H$24),LOOKUP(F504,[1]对照表!$E$27:$E$48,[1]对照表!$H$27:$H$48)))))</f>
        <v>100</v>
      </c>
      <c r="H504" s="21">
        <v>11.5</v>
      </c>
      <c r="I504" s="32">
        <f>IF(B504="高三",IF($E504="男",LOOKUP(H504,[1]对照表!$K$3:$K$24,[1]对照表!$L$3:$L$24),LOOKUP(H504,[1]对照表!$K$27:$K$48,[1]对照表!$L$27:$L$48)),IF(B504="高二",IF($E504="男",LOOKUP(H504,[1]对照表!$J$3:$J$24,[1]对照表!$L$3:$L$24),LOOKUP(H504,[1]对照表!$J$27:$J$48,[1]对照表!$L$27:$L$48)),IF(B504="高一",IF($E504="男",LOOKUP(H504,[1]对照表!$I$3:$I$24,[1]对照表!$L$3:$L$24),LOOKUP(H504,[1]对照表!$I$27:$I$48,[1]对照表!$L$27:$L$48)))))</f>
        <v>74</v>
      </c>
      <c r="J504" s="21">
        <v>243</v>
      </c>
      <c r="K504" s="32">
        <f>IF(B504="高三",IF($E504="男",LOOKUP(J504,[1]对照表!$O$3:$O$24,[1]对照表!$P$3:$P$24),LOOKUP(J504,[1]对照表!$O$27:$O$48,[1]对照表!$P$27:$P$48)),IF(B504="高二",IF($E504="男",LOOKUP(J504,[1]对照表!$N$3:$N$24,[1]对照表!$P$3:$P$24),LOOKUP(J504,[1]对照表!$N$27:$N$48,[1]对照表!$P$27:$P$48)),IF(B504="高一",IF($E504="男",LOOKUP(J504,[1]对照表!$M$3:$M$24,[1]对照表!$P$3:$P$24),LOOKUP(J504,[1]对照表!$M$27:$M$48,[1]对照表!$P$27:$P$48)))))</f>
        <v>85</v>
      </c>
      <c r="L504" s="21">
        <v>9</v>
      </c>
      <c r="M504" s="32">
        <f>IF(B504="高三",IF($E504="男",LOOKUP(L504,[1]对照表!$S$3:$S$24,[1]对照表!$T$3:$T$24),LOOKUP(L504,[1]对照表!$S$27:$S$48,[1]对照表!$T$27:$T$48)),IF(B504="高二",IF($E504="男",LOOKUP(L504,[1]对照表!$R$3:$R$24,[1]对照表!$T$3:$T$24),LOOKUP(L504,[1]对照表!$R$27:$R$48,[1]对照表!$T$27:$T$48)),IF(B504="高一",IF($E504="男",LOOKUP(L504,[1]对照表!$Q$3:$Q$24,[1]对照表!$T$3:$T$24),LOOKUP(L504,[1]对照表!$Q$27:$Q$48,[1]对照表!$T$27:$T$48)))))</f>
        <v>68</v>
      </c>
      <c r="N504" s="33">
        <f>IF(B504="高三",MAX(IF(E504="男",L504-18,L504-55),0),IF(B504="高二",MAX(IF(E504="男",L504-17,L504-54),0),IF(B504="高一",MAX(IF(E504="男",L504-16,L504-53),0))))</f>
        <v>0</v>
      </c>
      <c r="O504" s="23">
        <f>IF(E504="男",LOOKUP($N504,[1]对照表!$Z$3:$Z$13,[1]对照表!$AA$3:$AA$13),LOOKUP($N504,[1]对照表!$Z$15:$Z$25,[1]对照表!$AA$15:$AA$25))</f>
        <v>0</v>
      </c>
      <c r="P504" s="24">
        <f>M504+O504</f>
        <v>68</v>
      </c>
      <c r="Q504" s="25">
        <v>3.36</v>
      </c>
      <c r="R504" s="32">
        <f>IF(B504="高三",IF($E504="男",LOOKUP(Q504,[1]对照表!$W$3:$W$24,[1]对照表!$X$3:$X$24),LOOKUP(Q504,[1]对照表!$W$27:$W$48,[1]对照表!$X$27:$X$48)),IF(B504="高二",IF($E504="男",LOOKUP(Q504,[1]对照表!$V$3:$V$24,[1]对照表!$X$3:$X$24),LOOKUP(Q504,[1]对照表!$V$27:$V$48,[1]对照表!$X$27:$X$48)),IF(B504="高一",IF($E504="男",LOOKUP(Q504,[1]对照表!$U$3:$U$24,[1]对照表!$X$3:$X$24),LOOKUP(Q504,[1]对照表!$U$27:$U$48,[1]对照表!$X$27:$X$48)))))</f>
        <v>90</v>
      </c>
      <c r="S504" s="33">
        <f>ROUND(IF(IF($B504="高三",MIN(IF($E504="男",$Q504-3.2,$Q504-3.2),0),IF($B504="高二",MIN(IF($E504="男",$Q504-3.25,$Q504-3.22),0),IF($B504="高一",MIN(IF($E504="男",$Q504-3.3,$Q504-3.24),0))))&lt;-0.6,IF($B504="高三",MIN(IF($E504="男",$Q504-3.2,$Q504-3.2),0),IF($B504="高二",MIN(IF($E504="男",$Q504-3.25,$Q504-3.22),0),IF($B504="高一",MIN(IF($E504="男",$Q504-3.3,$Q504-3.24),0))))+0.4,IF($B504="高三",MIN(IF($E504="男",$Q504-3.2,$Q504-3.2),0),IF($B504="高二",MIN(IF($E504="男",$Q504-3.25,$Q504-3.22),0),IF($B504="高一",MIN(IF($E504="男",$Q504-3.3,$Q504-3.24),0))))),2)</f>
        <v>0</v>
      </c>
      <c r="T504" s="23">
        <f>IF(E504="男",LOOKUP($S504,[1]对照表!$AB$3:$AB$13,[1]对照表!$AC$3:$AC$13),LOOKUP($S504,[1]对照表!$AB$15:$AB$25,[1]对照表!$AC$15:$AC$25))</f>
        <v>0</v>
      </c>
      <c r="U504" s="26">
        <f>R504+T504</f>
        <v>90</v>
      </c>
      <c r="V504" s="26">
        <f>SUM(I504,K504,M504)/3*0.3+SUM(G504,R504)/2*0.4</f>
        <v>60.7</v>
      </c>
      <c r="W504" s="27">
        <f>O504+T504</f>
        <v>0</v>
      </c>
      <c r="X504" s="28">
        <f>V504/0.7+W504</f>
        <v>86.714285714285722</v>
      </c>
      <c r="Y504" s="28">
        <v>86.714285714285722</v>
      </c>
      <c r="Z504" s="21"/>
    </row>
    <row r="505" spans="1:26" x14ac:dyDescent="0.25">
      <c r="A505" s="16">
        <v>24</v>
      </c>
      <c r="B505" s="17" t="s">
        <v>21</v>
      </c>
      <c r="C505" s="16">
        <v>112</v>
      </c>
      <c r="D505" s="18" t="s">
        <v>278</v>
      </c>
      <c r="E505" s="17" t="s">
        <v>23</v>
      </c>
      <c r="F505" s="19">
        <v>7.4</v>
      </c>
      <c r="G505" s="32">
        <f>IF(B505="高三",IF($E505="男",LOOKUP(F505,[1]对照表!$G$3:$G$24,[1]对照表!$H$3:$H$24),LOOKUP(F505,[1]对照表!$G$27:$G$48,[1]对照表!$H$27:$H$48)),IF(B505="高二",IF($E505="男",LOOKUP(F505,[1]对照表!$F$3:$F$24,[1]对照表!$H$3:$H$24),LOOKUP(F505,[1]对照表!$F$27:$F$48,[1]对照表!$H$27:$H$48)),IF(B505="高一",IF($E505="男",LOOKUP(F505,[1]对照表!$E$3:$E$24,[1]对照表!$H$3:$H$24),LOOKUP(F505,[1]对照表!$E$27:$E$48,[1]对照表!$H$27:$H$48)))))</f>
        <v>85</v>
      </c>
      <c r="H505" s="21">
        <v>3.9</v>
      </c>
      <c r="I505" s="32">
        <f>IF(B505="高三",IF($E505="男",LOOKUP(H505,[1]对照表!$K$3:$K$24,[1]对照表!$L$3:$L$24),LOOKUP(H505,[1]对照表!$K$27:$K$48,[1]对照表!$L$27:$L$48)),IF(B505="高二",IF($E505="男",LOOKUP(H505,[1]对照表!$J$3:$J$24,[1]对照表!$L$3:$L$24),LOOKUP(H505,[1]对照表!$J$27:$J$48,[1]对照表!$L$27:$L$48)),IF(B505="高一",IF($E505="男",LOOKUP(H505,[1]对照表!$I$3:$I$24,[1]对照表!$L$3:$L$24),LOOKUP(H505,[1]对照表!$I$27:$I$48,[1]对照表!$L$27:$L$48)))))</f>
        <v>64</v>
      </c>
      <c r="J505" s="21">
        <v>261</v>
      </c>
      <c r="K505" s="32">
        <f>IF(B505="高三",IF($E505="男",LOOKUP(J505,[1]对照表!$O$3:$O$24,[1]对照表!$P$3:$P$24),LOOKUP(J505,[1]对照表!$O$27:$O$48,[1]对照表!$P$27:$P$48)),IF(B505="高二",IF($E505="男",LOOKUP(J505,[1]对照表!$N$3:$N$24,[1]对照表!$P$3:$P$24),LOOKUP(J505,[1]对照表!$N$27:$N$48,[1]对照表!$P$27:$P$48)),IF(B505="高一",IF($E505="男",LOOKUP(J505,[1]对照表!$M$3:$M$24,[1]对照表!$P$3:$P$24),LOOKUP(J505,[1]对照表!$M$27:$M$48,[1]对照表!$P$27:$P$48)))))</f>
        <v>100</v>
      </c>
      <c r="L505" s="21">
        <v>16</v>
      </c>
      <c r="M505" s="32">
        <f>IF(B505="高三",IF($E505="男",LOOKUP(L505,[1]对照表!$S$3:$S$24,[1]对照表!$T$3:$T$24),LOOKUP(L505,[1]对照表!$S$27:$S$48,[1]对照表!$T$27:$T$48)),IF(B505="高二",IF($E505="男",LOOKUP(L505,[1]对照表!$R$3:$R$24,[1]对照表!$T$3:$T$24),LOOKUP(L505,[1]对照表!$R$27:$R$48,[1]对照表!$T$27:$T$48)),IF(B505="高一",IF($E505="男",LOOKUP(L505,[1]对照表!$Q$3:$Q$24,[1]对照表!$T$3:$T$24),LOOKUP(L505,[1]对照表!$Q$27:$Q$48,[1]对照表!$T$27:$T$48)))))</f>
        <v>100</v>
      </c>
      <c r="N505" s="33">
        <f>IF(B505="高三",MAX(IF(E505="男",L505-18,L505-55),0),IF(B505="高二",MAX(IF(E505="男",L505-17,L505-54),0),IF(B505="高一",MAX(IF(E505="男",L505-16,L505-53),0))))</f>
        <v>0</v>
      </c>
      <c r="O505" s="23">
        <f>IF(E505="男",LOOKUP($N505,[1]对照表!$Z$3:$Z$13,[1]对照表!$AA$3:$AA$13),LOOKUP($N505,[1]对照表!$Z$15:$Z$25,[1]对照表!$AA$15:$AA$25))</f>
        <v>0</v>
      </c>
      <c r="P505" s="24">
        <f>M505+O505</f>
        <v>100</v>
      </c>
      <c r="Q505" s="25">
        <v>3.47</v>
      </c>
      <c r="R505" s="32">
        <f>IF(B505="高三",IF($E505="男",LOOKUP(Q505,[1]对照表!$W$3:$W$24,[1]对照表!$X$3:$X$24),LOOKUP(Q505,[1]对照表!$W$27:$W$48,[1]对照表!$X$27:$X$48)),IF(B505="高二",IF($E505="男",LOOKUP(Q505,[1]对照表!$V$3:$V$24,[1]对照表!$X$3:$X$24),LOOKUP(Q505,[1]对照表!$V$27:$V$48,[1]对照表!$X$27:$X$48)),IF(B505="高一",IF($E505="男",LOOKUP(Q505,[1]对照表!$U$3:$U$24,[1]对照表!$X$3:$X$24),LOOKUP(Q505,[1]对照表!$U$27:$U$48,[1]对照表!$X$27:$X$48)))))</f>
        <v>85</v>
      </c>
      <c r="S505" s="33">
        <f>ROUND(IF(IF($B505="高三",MIN(IF($E505="男",$Q505-3.2,$Q505-3.2),0),IF($B505="高二",MIN(IF($E505="男",$Q505-3.25,$Q505-3.22),0),IF($B505="高一",MIN(IF($E505="男",$Q505-3.3,$Q505-3.24),0))))&lt;-0.6,IF($B505="高三",MIN(IF($E505="男",$Q505-3.2,$Q505-3.2),0),IF($B505="高二",MIN(IF($E505="男",$Q505-3.25,$Q505-3.22),0),IF($B505="高一",MIN(IF($E505="男",$Q505-3.3,$Q505-3.24),0))))+0.4,IF($B505="高三",MIN(IF($E505="男",$Q505-3.2,$Q505-3.2),0),IF($B505="高二",MIN(IF($E505="男",$Q505-3.25,$Q505-3.22),0),IF($B505="高一",MIN(IF($E505="男",$Q505-3.3,$Q505-3.24),0))))),2)</f>
        <v>0</v>
      </c>
      <c r="T505" s="23">
        <f>IF(E505="男",LOOKUP($S505,[1]对照表!$AB$3:$AB$13,[1]对照表!$AC$3:$AC$13),LOOKUP($S505,[1]对照表!$AB$15:$AB$25,[1]对照表!$AC$15:$AC$25))</f>
        <v>0</v>
      </c>
      <c r="U505" s="26">
        <f>R505+T505</f>
        <v>85</v>
      </c>
      <c r="V505" s="26">
        <f>SUM(I505,K505,M505)/3*0.3+SUM(G505,R505)/2*0.4</f>
        <v>60.4</v>
      </c>
      <c r="W505" s="27">
        <f>O505+T505</f>
        <v>0</v>
      </c>
      <c r="X505" s="28">
        <f>V505/0.7+W505</f>
        <v>86.285714285714292</v>
      </c>
      <c r="Y505" s="28">
        <v>86.285714285714292</v>
      </c>
      <c r="Z505" s="21"/>
    </row>
    <row r="506" spans="1:26" x14ac:dyDescent="0.25">
      <c r="A506" s="16">
        <v>29</v>
      </c>
      <c r="B506" s="17" t="s">
        <v>21</v>
      </c>
      <c r="C506" s="16">
        <v>112</v>
      </c>
      <c r="D506" s="18" t="s">
        <v>294</v>
      </c>
      <c r="E506" s="17" t="s">
        <v>23</v>
      </c>
      <c r="F506" s="19">
        <v>6.9</v>
      </c>
      <c r="G506" s="32">
        <f>IF(B506="高三",IF($E506="男",LOOKUP(F506,[1]对照表!$G$3:$G$24,[1]对照表!$H$3:$H$24),LOOKUP(F506,[1]对照表!$G$27:$G$48,[1]对照表!$H$27:$H$48)),IF(B506="高二",IF($E506="男",LOOKUP(F506,[1]对照表!$F$3:$F$24,[1]对照表!$H$3:$H$24),LOOKUP(F506,[1]对照表!$F$27:$F$48,[1]对照表!$H$27:$H$48)),IF(B506="高一",IF($E506="男",LOOKUP(F506,[1]对照表!$E$3:$E$24,[1]对照表!$H$3:$H$24),LOOKUP(F506,[1]对照表!$E$27:$E$48,[1]对照表!$H$27:$H$48)))))</f>
        <v>100</v>
      </c>
      <c r="H506" s="21">
        <v>14.1</v>
      </c>
      <c r="I506" s="32">
        <f>IF(B506="高三",IF($E506="男",LOOKUP(H506,[1]对照表!$K$3:$K$24,[1]对照表!$L$3:$L$24),LOOKUP(H506,[1]对照表!$K$27:$K$48,[1]对照表!$L$27:$L$48)),IF(B506="高二",IF($E506="男",LOOKUP(H506,[1]对照表!$J$3:$J$24,[1]对照表!$L$3:$L$24),LOOKUP(H506,[1]对照表!$J$27:$J$48,[1]对照表!$L$27:$L$48)),IF(B506="高一",IF($E506="男",LOOKUP(H506,[1]对照表!$I$3:$I$24,[1]对照表!$L$3:$L$24),LOOKUP(H506,[1]对照表!$I$27:$I$48,[1]对照表!$L$27:$L$48)))))</f>
        <v>78</v>
      </c>
      <c r="J506" s="21">
        <v>230</v>
      </c>
      <c r="K506" s="32">
        <f>IF(B506="高三",IF($E506="男",LOOKUP(J506,[1]对照表!$O$3:$O$24,[1]对照表!$P$3:$P$24),LOOKUP(J506,[1]对照表!$O$27:$O$48,[1]对照表!$P$27:$P$48)),IF(B506="高二",IF($E506="男",LOOKUP(J506,[1]对照表!$N$3:$N$24,[1]对照表!$P$3:$P$24),LOOKUP(J506,[1]对照表!$N$27:$N$48,[1]对照表!$P$27:$P$48)),IF(B506="高一",IF($E506="男",LOOKUP(J506,[1]对照表!$M$3:$M$24,[1]对照表!$P$3:$P$24),LOOKUP(J506,[1]对照表!$M$27:$M$48,[1]对照表!$P$27:$P$48)))))</f>
        <v>76</v>
      </c>
      <c r="L506" s="21">
        <v>5</v>
      </c>
      <c r="M506" s="32">
        <f>IF(B506="高三",IF($E506="男",LOOKUP(L506,[1]对照表!$S$3:$S$24,[1]对照表!$T$3:$T$24),LOOKUP(L506,[1]对照表!$S$27:$S$48,[1]对照表!$T$27:$T$48)),IF(B506="高二",IF($E506="男",LOOKUP(L506,[1]对照表!$R$3:$R$24,[1]对照表!$T$3:$T$24),LOOKUP(L506,[1]对照表!$R$27:$R$48,[1]对照表!$T$27:$T$48)),IF(B506="高一",IF($E506="男",LOOKUP(L506,[1]对照表!$Q$3:$Q$24,[1]对照表!$T$3:$T$24),LOOKUP(L506,[1]对照表!$Q$27:$Q$48,[1]对照表!$T$27:$T$48)))))</f>
        <v>40</v>
      </c>
      <c r="N506" s="33">
        <f>IF(B506="高三",MAX(IF(E506="男",L506-18,L506-55),0),IF(B506="高二",MAX(IF(E506="男",L506-17,L506-54),0),IF(B506="高一",MAX(IF(E506="男",L506-16,L506-53),0))))</f>
        <v>0</v>
      </c>
      <c r="O506" s="23">
        <f>IF(E506="男",LOOKUP($N506,[1]对照表!$Z$3:$Z$13,[1]对照表!$AA$3:$AA$13),LOOKUP($N506,[1]对照表!$Z$15:$Z$25,[1]对照表!$AA$15:$AA$25))</f>
        <v>0</v>
      </c>
      <c r="P506" s="24">
        <f>M506+O506</f>
        <v>40</v>
      </c>
      <c r="Q506" s="25">
        <v>3.29</v>
      </c>
      <c r="R506" s="32">
        <f>IF(B506="高三",IF($E506="男",LOOKUP(Q506,[1]对照表!$W$3:$W$24,[1]对照表!$X$3:$X$24),LOOKUP(Q506,[1]对照表!$W$27:$W$48,[1]对照表!$X$27:$X$48)),IF(B506="高二",IF($E506="男",LOOKUP(Q506,[1]对照表!$V$3:$V$24,[1]对照表!$X$3:$X$24),LOOKUP(Q506,[1]对照表!$V$27:$V$48,[1]对照表!$X$27:$X$48)),IF(B506="高一",IF($E506="男",LOOKUP(Q506,[1]对照表!$U$3:$U$24,[1]对照表!$X$3:$X$24),LOOKUP(Q506,[1]对照表!$U$27:$U$48,[1]对照表!$X$27:$X$48)))))</f>
        <v>100</v>
      </c>
      <c r="S506" s="27">
        <f>ROUND(IF(IF($B506="高三",MIN(IF($E506="男",$Q506-3.2,$Q506-3.2),0),IF($B506="高二",MIN(IF($E506="男",$Q506-3.25,$Q506-3.22),0),IF($B506="高一",MIN(IF($E506="男",$Q506-3.3,$Q506-3.24),0))))&lt;-0.6,IF($B506="高三",MIN(IF($E506="男",$Q506-3.2,$Q506-3.2),0),IF($B506="高二",MIN(IF($E506="男",$Q506-3.25,$Q506-3.22),0),IF($B506="高一",MIN(IF($E506="男",$Q506-3.3,$Q506-3.24),0))))+0.4,IF($B506="高三",MIN(IF($E506="男",$Q506-3.2,$Q506-3.2),0),IF($B506="高二",MIN(IF($E506="男",$Q506-3.25,$Q506-3.22),0),IF($B506="高一",MIN(IF($E506="男",$Q506-3.3,$Q506-3.24),0))))),2)</f>
        <v>-0.01</v>
      </c>
      <c r="T506" s="23">
        <f>IF(E506="男",LOOKUP($S506,[1]对照表!$AB$3:$AB$13,[1]对照表!$AC$3:$AC$13),LOOKUP($S506,[1]对照表!$AB$15:$AB$25,[1]对照表!$AC$15:$AC$25))</f>
        <v>0</v>
      </c>
      <c r="U506" s="26">
        <f>R506+T506</f>
        <v>100</v>
      </c>
      <c r="V506" s="26">
        <f>SUM(I506,K506,M506)/3*0.3+SUM(G506,R506)/2*0.4</f>
        <v>59.400000000000006</v>
      </c>
      <c r="W506" s="27">
        <f>O506+T506</f>
        <v>0</v>
      </c>
      <c r="X506" s="28">
        <f>V506/0.7+W506</f>
        <v>84.857142857142875</v>
      </c>
      <c r="Y506" s="28">
        <v>84.857142857142875</v>
      </c>
      <c r="Z506" s="21"/>
    </row>
    <row r="507" spans="1:26" x14ac:dyDescent="0.25">
      <c r="A507" s="16">
        <v>30</v>
      </c>
      <c r="B507" s="17" t="s">
        <v>21</v>
      </c>
      <c r="C507" s="16">
        <v>112</v>
      </c>
      <c r="D507" s="18" t="s">
        <v>301</v>
      </c>
      <c r="E507" s="17" t="s">
        <v>23</v>
      </c>
      <c r="F507" s="19">
        <v>7.5</v>
      </c>
      <c r="G507" s="32">
        <f>IF(B507="高三",IF($E507="男",LOOKUP(F507,[1]对照表!$G$3:$G$24,[1]对照表!$H$3:$H$24),LOOKUP(F507,[1]对照表!$G$27:$G$48,[1]对照表!$H$27:$H$48)),IF(B507="高二",IF($E507="男",LOOKUP(F507,[1]对照表!$F$3:$F$24,[1]对照表!$H$3:$H$24),LOOKUP(F507,[1]对照表!$F$27:$F$48,[1]对照表!$H$27:$H$48)),IF(B507="高一",IF($E507="男",LOOKUP(F507,[1]对照表!$E$3:$E$24,[1]对照表!$H$3:$H$24),LOOKUP(F507,[1]对照表!$E$27:$E$48,[1]对照表!$H$27:$H$48)))))</f>
        <v>80</v>
      </c>
      <c r="H507" s="21">
        <v>20.8</v>
      </c>
      <c r="I507" s="32">
        <f>IF(B507="高三",IF($E507="男",LOOKUP(H507,[1]对照表!$K$3:$K$24,[1]对照表!$L$3:$L$24),LOOKUP(H507,[1]对照表!$K$27:$K$48,[1]对照表!$L$27:$L$48)),IF(B507="高二",IF($E507="男",LOOKUP(H507,[1]对照表!$J$3:$J$24,[1]对照表!$L$3:$L$24),LOOKUP(H507,[1]对照表!$J$27:$J$48,[1]对照表!$L$27:$L$48)),IF(B507="高一",IF($E507="男",LOOKUP(H507,[1]对照表!$I$3:$I$24,[1]对照表!$L$3:$L$24),LOOKUP(H507,[1]对照表!$I$27:$I$48,[1]对照表!$L$27:$L$48)))))</f>
        <v>90</v>
      </c>
      <c r="J507" s="21">
        <v>247</v>
      </c>
      <c r="K507" s="32">
        <f>IF(B507="高三",IF($E507="男",LOOKUP(J507,[1]对照表!$O$3:$O$24,[1]对照表!$P$3:$P$24),LOOKUP(J507,[1]对照表!$O$27:$O$48,[1]对照表!$P$27:$P$48)),IF(B507="高二",IF($E507="男",LOOKUP(J507,[1]对照表!$N$3:$N$24,[1]对照表!$P$3:$P$24),LOOKUP(J507,[1]对照表!$N$27:$N$48,[1]对照表!$P$27:$P$48)),IF(B507="高一",IF($E507="男",LOOKUP(J507,[1]对照表!$M$3:$M$24,[1]对照表!$P$3:$P$24),LOOKUP(J507,[1]对照表!$M$27:$M$48,[1]对照表!$P$27:$P$48)))))</f>
        <v>85</v>
      </c>
      <c r="L507" s="21">
        <v>8</v>
      </c>
      <c r="M507" s="32">
        <f>IF(B507="高三",IF($E507="男",LOOKUP(L507,[1]对照表!$S$3:$S$24,[1]对照表!$T$3:$T$24),LOOKUP(L507,[1]对照表!$S$27:$S$48,[1]对照表!$T$27:$T$48)),IF(B507="高二",IF($E507="男",LOOKUP(L507,[1]对照表!$R$3:$R$24,[1]对照表!$T$3:$T$24),LOOKUP(L507,[1]对照表!$R$27:$R$48,[1]对照表!$T$27:$T$48)),IF(B507="高一",IF($E507="男",LOOKUP(L507,[1]对照表!$Q$3:$Q$24,[1]对照表!$T$3:$T$24),LOOKUP(L507,[1]对照表!$Q$27:$Q$48,[1]对照表!$T$27:$T$48)))))</f>
        <v>64</v>
      </c>
      <c r="N507" s="33">
        <f>IF(B507="高三",MAX(IF(E507="男",L507-18,L507-55),0),IF(B507="高二",MAX(IF(E507="男",L507-17,L507-54),0),IF(B507="高一",MAX(IF(E507="男",L507-16,L507-53),0))))</f>
        <v>0</v>
      </c>
      <c r="O507" s="23">
        <f>IF(E507="男",LOOKUP($N507,[1]对照表!$Z$3:$Z$13,[1]对照表!$AA$3:$AA$13),LOOKUP($N507,[1]对照表!$Z$15:$Z$25,[1]对照表!$AA$15:$AA$25))</f>
        <v>0</v>
      </c>
      <c r="P507" s="24">
        <f>M507+O507</f>
        <v>64</v>
      </c>
      <c r="Q507" s="25">
        <v>3.35</v>
      </c>
      <c r="R507" s="32">
        <f>IF(B507="高三",IF($E507="男",LOOKUP(Q507,[1]对照表!$W$3:$W$24,[1]对照表!$X$3:$X$24),LOOKUP(Q507,[1]对照表!$W$27:$W$48,[1]对照表!$X$27:$X$48)),IF(B507="高二",IF($E507="男",LOOKUP(Q507,[1]对照表!$V$3:$V$24,[1]对照表!$X$3:$X$24),LOOKUP(Q507,[1]对照表!$V$27:$V$48,[1]对照表!$X$27:$X$48)),IF(B507="高一",IF($E507="男",LOOKUP(Q507,[1]对照表!$U$3:$U$24,[1]对照表!$X$3:$X$24),LOOKUP(Q507,[1]对照表!$U$27:$U$48,[1]对照表!$X$27:$X$48)))))</f>
        <v>95</v>
      </c>
      <c r="S507" s="33">
        <f>ROUND(IF(IF($B507="高三",MIN(IF($E507="男",$Q507-3.2,$Q507-3.2),0),IF($B507="高二",MIN(IF($E507="男",$Q507-3.25,$Q507-3.22),0),IF($B507="高一",MIN(IF($E507="男",$Q507-3.3,$Q507-3.24),0))))&lt;-0.6,IF($B507="高三",MIN(IF($E507="男",$Q507-3.2,$Q507-3.2),0),IF($B507="高二",MIN(IF($E507="男",$Q507-3.25,$Q507-3.22),0),IF($B507="高一",MIN(IF($E507="男",$Q507-3.3,$Q507-3.24),0))))+0.4,IF($B507="高三",MIN(IF($E507="男",$Q507-3.2,$Q507-3.2),0),IF($B507="高二",MIN(IF($E507="男",$Q507-3.25,$Q507-3.22),0),IF($B507="高一",MIN(IF($E507="男",$Q507-3.3,$Q507-3.24),0))))),2)</f>
        <v>0</v>
      </c>
      <c r="T507" s="23">
        <f>IF(E507="男",LOOKUP($S507,[1]对照表!$AB$3:$AB$13,[1]对照表!$AC$3:$AC$13),LOOKUP($S507,[1]对照表!$AB$15:$AB$25,[1]对照表!$AC$15:$AC$25))</f>
        <v>0</v>
      </c>
      <c r="U507" s="26">
        <f>R507+T507</f>
        <v>95</v>
      </c>
      <c r="V507" s="26">
        <f>SUM(I507,K507,M507)/3*0.3+SUM(G507,R507)/2*0.4</f>
        <v>58.900000000000006</v>
      </c>
      <c r="W507" s="27">
        <f>O507+T507</f>
        <v>0</v>
      </c>
      <c r="X507" s="28">
        <f>V507/0.7+W507</f>
        <v>84.142857142857153</v>
      </c>
      <c r="Y507" s="28">
        <v>84.142857142857153</v>
      </c>
      <c r="Z507" s="21"/>
    </row>
    <row r="508" spans="1:26" x14ac:dyDescent="0.25">
      <c r="A508" s="16">
        <v>13</v>
      </c>
      <c r="B508" s="17" t="s">
        <v>21</v>
      </c>
      <c r="C508" s="16">
        <v>112</v>
      </c>
      <c r="D508" s="18" t="s">
        <v>358</v>
      </c>
      <c r="E508" s="16" t="s">
        <v>23</v>
      </c>
      <c r="F508" s="19">
        <v>7.4</v>
      </c>
      <c r="G508" s="32">
        <f>IF(B508="高三",IF($E508="男",LOOKUP(F508,[1]对照表!$G$3:$G$24,[1]对照表!$H$3:$H$24),LOOKUP(F508,[1]对照表!$G$27:$G$48,[1]对照表!$H$27:$H$48)),IF(B508="高二",IF($E508="男",LOOKUP(F508,[1]对照表!$F$3:$F$24,[1]对照表!$H$3:$H$24),LOOKUP(F508,[1]对照表!$F$27:$F$48,[1]对照表!$H$27:$H$48)),IF(B508="高一",IF($E508="男",LOOKUP(F508,[1]对照表!$E$3:$E$24,[1]对照表!$H$3:$H$24),LOOKUP(F508,[1]对照表!$E$27:$E$48,[1]对照表!$H$27:$H$48)))))</f>
        <v>85</v>
      </c>
      <c r="H508" s="21">
        <v>11</v>
      </c>
      <c r="I508" s="32">
        <f>IF(B508="高三",IF($E508="男",LOOKUP(H508,[1]对照表!$K$3:$K$24,[1]对照表!$L$3:$L$24),LOOKUP(H508,[1]对照表!$K$27:$K$48,[1]对照表!$L$27:$L$48)),IF(B508="高二",IF($E508="男",LOOKUP(H508,[1]对照表!$J$3:$J$24,[1]对照表!$L$3:$L$24),LOOKUP(H508,[1]对照表!$J$27:$J$48,[1]对照表!$L$27:$L$48)),IF(B508="高一",IF($E508="男",LOOKUP(H508,[1]对照表!$I$3:$I$24,[1]对照表!$L$3:$L$24),LOOKUP(H508,[1]对照表!$I$27:$I$48,[1]对照表!$L$27:$L$48)))))</f>
        <v>74</v>
      </c>
      <c r="J508" s="21">
        <v>210</v>
      </c>
      <c r="K508" s="32">
        <f>IF(B508="高三",IF($E508="男",LOOKUP(J508,[1]对照表!$O$3:$O$24,[1]对照表!$P$3:$P$24),LOOKUP(J508,[1]对照表!$O$27:$O$48,[1]对照表!$P$27:$P$48)),IF(B508="高二",IF($E508="男",LOOKUP(J508,[1]对照表!$N$3:$N$24,[1]对照表!$P$3:$P$24),LOOKUP(J508,[1]对照表!$N$27:$N$48,[1]对照表!$P$27:$P$48)),IF(B508="高一",IF($E508="男",LOOKUP(J508,[1]对照表!$M$3:$M$24,[1]对照表!$P$3:$P$24),LOOKUP(J508,[1]对照表!$M$27:$M$48,[1]对照表!$P$27:$P$48)))))</f>
        <v>66</v>
      </c>
      <c r="L508" s="21">
        <v>16</v>
      </c>
      <c r="M508" s="32">
        <f>IF(B508="高三",IF($E508="男",LOOKUP(L508,[1]对照表!$S$3:$S$24,[1]对照表!$T$3:$T$24),LOOKUP(L508,[1]对照表!$S$27:$S$48,[1]对照表!$T$27:$T$48)),IF(B508="高二",IF($E508="男",LOOKUP(L508,[1]对照表!$R$3:$R$24,[1]对照表!$T$3:$T$24),LOOKUP(L508,[1]对照表!$R$27:$R$48,[1]对照表!$T$27:$T$48)),IF(B508="高一",IF($E508="男",LOOKUP(L508,[1]对照表!$Q$3:$Q$24,[1]对照表!$T$3:$T$24),LOOKUP(L508,[1]对照表!$Q$27:$Q$48,[1]对照表!$T$27:$T$48)))))</f>
        <v>100</v>
      </c>
      <c r="N508" s="33">
        <f>IF(B508="高三",MAX(IF(E508="男",L508-18,L508-55),0),IF(B508="高二",MAX(IF(E508="男",L508-17,L508-54),0),IF(B508="高一",MAX(IF(E508="男",L508-16,L508-53),0))))</f>
        <v>0</v>
      </c>
      <c r="O508" s="23">
        <f>IF(E508="男",LOOKUP($N508,[1]对照表!$Z$3:$Z$13,[1]对照表!$AA$3:$AA$13),LOOKUP($N508,[1]对照表!$Z$15:$Z$25,[1]对照表!$AA$15:$AA$25))</f>
        <v>0</v>
      </c>
      <c r="P508" s="24">
        <f>M508+O508</f>
        <v>100</v>
      </c>
      <c r="Q508" s="25">
        <v>3.48</v>
      </c>
      <c r="R508" s="32">
        <f>IF(B508="高三",IF($E508="男",LOOKUP(Q508,[1]对照表!$W$3:$W$24,[1]对照表!$X$3:$X$24),LOOKUP(Q508,[1]对照表!$W$27:$W$48,[1]对照表!$X$27:$X$48)),IF(B508="高二",IF($E508="男",LOOKUP(Q508,[1]对照表!$V$3:$V$24,[1]对照表!$X$3:$X$24),LOOKUP(Q508,[1]对照表!$V$27:$V$48,[1]对照表!$X$27:$X$48)),IF(B508="高一",IF($E508="男",LOOKUP(Q508,[1]对照表!$U$3:$U$24,[1]对照表!$X$3:$X$24),LOOKUP(Q508,[1]对照表!$U$27:$U$48,[1]对照表!$X$27:$X$48)))))</f>
        <v>80</v>
      </c>
      <c r="S508" s="33">
        <f>ROUND(IF(IF($B508="高三",MIN(IF($E508="男",$Q508-3.2,$Q508-3.2),0),IF($B508="高二",MIN(IF($E508="男",$Q508-3.25,$Q508-3.22),0),IF($B508="高一",MIN(IF($E508="男",$Q508-3.3,$Q508-3.24),0))))&lt;-0.6,IF($B508="高三",MIN(IF($E508="男",$Q508-3.2,$Q508-3.2),0),IF($B508="高二",MIN(IF($E508="男",$Q508-3.25,$Q508-3.22),0),IF($B508="高一",MIN(IF($E508="男",$Q508-3.3,$Q508-3.24),0))))+0.4,IF($B508="高三",MIN(IF($E508="男",$Q508-3.2,$Q508-3.2),0),IF($B508="高二",MIN(IF($E508="男",$Q508-3.25,$Q508-3.22),0),IF($B508="高一",MIN(IF($E508="男",$Q508-3.3,$Q508-3.24),0))))),2)</f>
        <v>0</v>
      </c>
      <c r="T508" s="23">
        <f>IF(E508="男",LOOKUP($S508,[1]对照表!$AB$3:$AB$13,[1]对照表!$AC$3:$AC$13),LOOKUP($S508,[1]对照表!$AB$15:$AB$25,[1]对照表!$AC$15:$AC$25))</f>
        <v>0</v>
      </c>
      <c r="U508" s="26">
        <f>R508+T508</f>
        <v>80</v>
      </c>
      <c r="V508" s="26">
        <f>SUM(I508,K508,M508)/3*0.3+SUM(G508,R508)/2*0.4</f>
        <v>57</v>
      </c>
      <c r="W508" s="27">
        <f>O508+T508</f>
        <v>0</v>
      </c>
      <c r="X508" s="28">
        <f>V508/0.7+W508</f>
        <v>81.428571428571431</v>
      </c>
      <c r="Y508" s="28">
        <v>81.428571428571431</v>
      </c>
      <c r="Z508" s="21"/>
    </row>
    <row r="509" spans="1:26" x14ac:dyDescent="0.25">
      <c r="A509" s="16">
        <v>46</v>
      </c>
      <c r="B509" s="17" t="s">
        <v>21</v>
      </c>
      <c r="C509" s="16">
        <v>112</v>
      </c>
      <c r="D509" s="17" t="s">
        <v>26</v>
      </c>
      <c r="E509" s="17" t="s">
        <v>23</v>
      </c>
      <c r="F509" s="19">
        <v>7.4</v>
      </c>
      <c r="G509" s="32">
        <f>IF(B509="高三",IF($E509="男",LOOKUP(F509,[1]对照表!$G$3:$G$24,[1]对照表!$H$3:$H$24),LOOKUP(F509,[1]对照表!$G$27:$G$48,[1]对照表!$H$27:$H$48)),IF(B509="高二",IF($E509="男",LOOKUP(F509,[1]对照表!$F$3:$F$24,[1]对照表!$H$3:$H$24),LOOKUP(F509,[1]对照表!$F$27:$F$48,[1]对照表!$H$27:$H$48)),IF(B509="高一",IF($E509="男",LOOKUP(F509,[1]对照表!$E$3:$E$24,[1]对照表!$H$3:$H$24),LOOKUP(F509,[1]对照表!$E$27:$E$48,[1]对照表!$H$27:$H$48)))))</f>
        <v>85</v>
      </c>
      <c r="H509" s="21">
        <v>14</v>
      </c>
      <c r="I509" s="32">
        <f>IF(B509="高三",IF($E509="男",LOOKUP(H509,[1]对照表!$K$3:$K$24,[1]对照表!$L$3:$L$24),LOOKUP(H509,[1]对照表!$K$27:$K$48,[1]对照表!$L$27:$L$48)),IF(B509="高二",IF($E509="男",LOOKUP(H509,[1]对照表!$J$3:$J$24,[1]对照表!$L$3:$L$24),LOOKUP(H509,[1]对照表!$J$27:$J$48,[1]对照表!$L$27:$L$48)),IF(B509="高一",IF($E509="男",LOOKUP(H509,[1]对照表!$I$3:$I$24,[1]对照表!$L$3:$L$24),LOOKUP(H509,[1]对照表!$I$27:$I$48,[1]对照表!$L$27:$L$48)))))</f>
        <v>78</v>
      </c>
      <c r="J509" s="21">
        <v>230</v>
      </c>
      <c r="K509" s="32">
        <f>IF(B509="高三",IF($E509="男",LOOKUP(J509,[1]对照表!$O$3:$O$24,[1]对照表!$P$3:$P$24),LOOKUP(J509,[1]对照表!$O$27:$O$48,[1]对照表!$P$27:$P$48)),IF(B509="高二",IF($E509="男",LOOKUP(J509,[1]对照表!$N$3:$N$24,[1]对照表!$P$3:$P$24),LOOKUP(J509,[1]对照表!$N$27:$N$48,[1]对照表!$P$27:$P$48)),IF(B509="高一",IF($E509="男",LOOKUP(J509,[1]对照表!$M$3:$M$24,[1]对照表!$P$3:$P$24),LOOKUP(J509,[1]对照表!$M$27:$M$48,[1]对照表!$P$27:$P$48)))))</f>
        <v>76</v>
      </c>
      <c r="L509" s="21">
        <v>7</v>
      </c>
      <c r="M509" s="32">
        <f>IF(B509="高三",IF($E509="男",LOOKUP(L509,[1]对照表!$S$3:$S$24,[1]对照表!$T$3:$T$24),LOOKUP(L509,[1]对照表!$S$27:$S$48,[1]对照表!$T$27:$T$48)),IF(B509="高二",IF($E509="男",LOOKUP(L509,[1]对照表!$R$3:$R$24,[1]对照表!$T$3:$T$24),LOOKUP(L509,[1]对照表!$R$27:$R$48,[1]对照表!$T$27:$T$48)),IF(B509="高一",IF($E509="男",LOOKUP(L509,[1]对照表!$Q$3:$Q$24,[1]对照表!$T$3:$T$24),LOOKUP(L509,[1]对照表!$Q$27:$Q$48,[1]对照表!$T$27:$T$48)))))</f>
        <v>60</v>
      </c>
      <c r="N509" s="33">
        <f>IF(B509="高三",MAX(IF(E509="男",L509-18,L509-55),0),IF(B509="高二",MAX(IF(E509="男",L509-17,L509-54),0),IF(B509="高一",MAX(IF(E509="男",L509-16,L509-53),0))))</f>
        <v>0</v>
      </c>
      <c r="O509" s="23">
        <f>IF(E509="男",LOOKUP($N509,[1]对照表!$Z$3:$Z$13,[1]对照表!$AA$3:$AA$13),LOOKUP($N509,[1]对照表!$Z$15:$Z$25,[1]对照表!$AA$15:$AA$25))</f>
        <v>0</v>
      </c>
      <c r="P509" s="24">
        <f>M509+O509</f>
        <v>60</v>
      </c>
      <c r="Q509" s="25">
        <v>3.44</v>
      </c>
      <c r="R509" s="32">
        <f>IF(B509="高三",IF($E509="男",LOOKUP(Q509,[1]对照表!$W$3:$W$24,[1]对照表!$X$3:$X$24),LOOKUP(Q509,[1]对照表!$W$27:$W$48,[1]对照表!$X$27:$X$48)),IF(B509="高二",IF($E509="男",LOOKUP(Q509,[1]对照表!$V$3:$V$24,[1]对照表!$X$3:$X$24),LOOKUP(Q509,[1]对照表!$V$27:$V$48,[1]对照表!$X$27:$X$48)),IF(B509="高一",IF($E509="男",LOOKUP(Q509,[1]对照表!$U$3:$U$24,[1]对照表!$X$3:$X$24),LOOKUP(Q509,[1]对照表!$U$27:$U$48,[1]对照表!$X$27:$X$48)))))</f>
        <v>85</v>
      </c>
      <c r="S509" s="33">
        <f>ROUND(IF(IF($B509="高三",MIN(IF($E509="男",$Q509-3.2,$Q509-3.2),0),IF($B509="高二",MIN(IF($E509="男",$Q509-3.25,$Q509-3.22),0),IF($B509="高一",MIN(IF($E509="男",$Q509-3.3,$Q509-3.24),0))))&lt;-0.6,IF($B509="高三",MIN(IF($E509="男",$Q509-3.2,$Q509-3.2),0),IF($B509="高二",MIN(IF($E509="男",$Q509-3.25,$Q509-3.22),0),IF($B509="高一",MIN(IF($E509="男",$Q509-3.3,$Q509-3.24),0))))+0.4,IF($B509="高三",MIN(IF($E509="男",$Q509-3.2,$Q509-3.2),0),IF($B509="高二",MIN(IF($E509="男",$Q509-3.25,$Q509-3.22),0),IF($B509="高一",MIN(IF($E509="男",$Q509-3.3,$Q509-3.24),0))))),2)</f>
        <v>0</v>
      </c>
      <c r="T509" s="23">
        <f>IF(E509="男",LOOKUP($S509,[1]对照表!$AB$3:$AB$13,[1]对照表!$AC$3:$AC$13),LOOKUP($S509,[1]对照表!$AB$15:$AB$25,[1]对照表!$AC$15:$AC$25))</f>
        <v>0</v>
      </c>
      <c r="U509" s="26">
        <f>R509+T509</f>
        <v>85</v>
      </c>
      <c r="V509" s="26">
        <f>SUM(I509,K509,M509)/3*0.3+SUM(G509,R509)/2*0.4</f>
        <v>55.4</v>
      </c>
      <c r="W509" s="27">
        <f>O509+T509</f>
        <v>0</v>
      </c>
      <c r="X509" s="28">
        <f>V509/0.7+W509</f>
        <v>79.142857142857139</v>
      </c>
      <c r="Y509" s="28">
        <v>79.142857142857139</v>
      </c>
      <c r="Z509" s="21"/>
    </row>
    <row r="510" spans="1:26" x14ac:dyDescent="0.25">
      <c r="A510" s="16">
        <v>10</v>
      </c>
      <c r="B510" s="17" t="s">
        <v>21</v>
      </c>
      <c r="C510" s="16">
        <v>112</v>
      </c>
      <c r="D510" s="18" t="s">
        <v>417</v>
      </c>
      <c r="E510" s="16" t="s">
        <v>23</v>
      </c>
      <c r="F510" s="19">
        <v>8.6</v>
      </c>
      <c r="G510" s="32">
        <f>IF(B510="高三",IF($E510="男",LOOKUP(F510,[1]对照表!$G$3:$G$24,[1]对照表!$H$3:$H$24),LOOKUP(F510,[1]对照表!$G$27:$G$48,[1]对照表!$H$27:$H$48)),IF(B510="高二",IF($E510="男",LOOKUP(F510,[1]对照表!$F$3:$F$24,[1]对照表!$H$3:$H$24),LOOKUP(F510,[1]对照表!$F$27:$F$48,[1]对照表!$H$27:$H$48)),IF(B510="高一",IF($E510="男",LOOKUP(F510,[1]对照表!$E$3:$E$24,[1]对照表!$H$3:$H$24),LOOKUP(F510,[1]对照表!$E$27:$E$48,[1]对照表!$H$27:$H$48)))))</f>
        <v>68</v>
      </c>
      <c r="H510" s="21">
        <v>15</v>
      </c>
      <c r="I510" s="32">
        <f>IF(B510="高三",IF($E510="男",LOOKUP(H510,[1]对照表!$K$3:$K$24,[1]对照表!$L$3:$L$24),LOOKUP(H510,[1]对照表!$K$27:$K$48,[1]对照表!$L$27:$L$48)),IF(B510="高二",IF($E510="男",LOOKUP(H510,[1]对照表!$J$3:$J$24,[1]对照表!$L$3:$L$24),LOOKUP(H510,[1]对照表!$J$27:$J$48,[1]对照表!$L$27:$L$48)),IF(B510="高一",IF($E510="男",LOOKUP(H510,[1]对照表!$I$3:$I$24,[1]对照表!$L$3:$L$24),LOOKUP(H510,[1]对照表!$I$27:$I$48,[1]对照表!$L$27:$L$48)))))</f>
        <v>80</v>
      </c>
      <c r="J510" s="21">
        <v>200</v>
      </c>
      <c r="K510" s="32">
        <f>IF(B510="高三",IF($E510="男",LOOKUP(J510,[1]对照表!$O$3:$O$24,[1]对照表!$P$3:$P$24),LOOKUP(J510,[1]对照表!$O$27:$O$48,[1]对照表!$P$27:$P$48)),IF(B510="高二",IF($E510="男",LOOKUP(J510,[1]对照表!$N$3:$N$24,[1]对照表!$P$3:$P$24),LOOKUP(J510,[1]对照表!$N$27:$N$48,[1]对照表!$P$27:$P$48)),IF(B510="高一",IF($E510="男",LOOKUP(J510,[1]对照表!$M$3:$M$24,[1]对照表!$P$3:$P$24),LOOKUP(J510,[1]对照表!$M$27:$M$48,[1]对照表!$P$27:$P$48)))))</f>
        <v>62</v>
      </c>
      <c r="L510" s="21">
        <v>17</v>
      </c>
      <c r="M510" s="32">
        <f>IF(B510="高三",IF($E510="男",LOOKUP(L510,[1]对照表!$S$3:$S$24,[1]对照表!$T$3:$T$24),LOOKUP(L510,[1]对照表!$S$27:$S$48,[1]对照表!$T$27:$T$48)),IF(B510="高二",IF($E510="男",LOOKUP(L510,[1]对照表!$R$3:$R$24,[1]对照表!$T$3:$T$24),LOOKUP(L510,[1]对照表!$R$27:$R$48,[1]对照表!$T$27:$T$48)),IF(B510="高一",IF($E510="男",LOOKUP(L510,[1]对照表!$Q$3:$Q$24,[1]对照表!$T$3:$T$24),LOOKUP(L510,[1]对照表!$Q$27:$Q$48,[1]对照表!$T$27:$T$48)))))</f>
        <v>100</v>
      </c>
      <c r="N510" s="33">
        <f>IF(B510="高三",MAX(IF(E510="男",L510-18,L510-55),0),IF(B510="高二",MAX(IF(E510="男",L510-17,L510-54),0),IF(B510="高一",MAX(IF(E510="男",L510-16,L510-53),0))))</f>
        <v>1</v>
      </c>
      <c r="O510" s="23">
        <f>IF(E510="男",LOOKUP($N510,[1]对照表!$Z$3:$Z$13,[1]对照表!$AA$3:$AA$13),LOOKUP($N510,[1]对照表!$Z$15:$Z$25,[1]对照表!$AA$15:$AA$25))</f>
        <v>1</v>
      </c>
      <c r="P510" s="24">
        <f>M510+O510</f>
        <v>101</v>
      </c>
      <c r="Q510" s="25">
        <v>4.0199999999999996</v>
      </c>
      <c r="R510" s="32">
        <f>IF(B510="高三",IF($E510="男",LOOKUP(Q510,[1]对照表!$W$3:$W$24,[1]对照表!$X$3:$X$24),LOOKUP(Q510,[1]对照表!$W$27:$W$48,[1]对照表!$X$27:$X$48)),IF(B510="高二",IF($E510="男",LOOKUP(Q510,[1]对照表!$V$3:$V$24,[1]对照表!$X$3:$X$24),LOOKUP(Q510,[1]对照表!$V$27:$V$48,[1]对照表!$X$27:$X$48)),IF(B510="高一",IF($E510="男",LOOKUP(Q510,[1]对照表!$U$3:$U$24,[1]对照表!$X$3:$X$24),LOOKUP(Q510,[1]对照表!$U$27:$U$48,[1]对照表!$X$27:$X$48)))))</f>
        <v>76</v>
      </c>
      <c r="S510" s="33">
        <f>ROUND(IF(IF($B510="高三",MIN(IF($E510="男",$Q510-3.2,$Q510-3.2),0),IF($B510="高二",MIN(IF($E510="男",$Q510-3.25,$Q510-3.22),0),IF($B510="高一",MIN(IF($E510="男",$Q510-3.3,$Q510-3.24),0))))&lt;-0.6,IF($B510="高三",MIN(IF($E510="男",$Q510-3.2,$Q510-3.2),0),IF($B510="高二",MIN(IF($E510="男",$Q510-3.25,$Q510-3.22),0),IF($B510="高一",MIN(IF($E510="男",$Q510-3.3,$Q510-3.24),0))))+0.4,IF($B510="高三",MIN(IF($E510="男",$Q510-3.2,$Q510-3.2),0),IF($B510="高二",MIN(IF($E510="男",$Q510-3.25,$Q510-3.22),0),IF($B510="高一",MIN(IF($E510="男",$Q510-3.3,$Q510-3.24),0))))),2)</f>
        <v>0</v>
      </c>
      <c r="T510" s="23">
        <f>IF(E510="男",LOOKUP($S510,[1]对照表!$AB$3:$AB$13,[1]对照表!$AC$3:$AC$13),LOOKUP($S510,[1]对照表!$AB$15:$AB$25,[1]对照表!$AC$15:$AC$25))</f>
        <v>0</v>
      </c>
      <c r="U510" s="26">
        <f>R510+T510</f>
        <v>76</v>
      </c>
      <c r="V510" s="26">
        <f>SUM(I510,K510,M510)/3*0.3+SUM(G510,R510)/2*0.4</f>
        <v>53</v>
      </c>
      <c r="W510" s="27">
        <f>O510+T510</f>
        <v>1</v>
      </c>
      <c r="X510" s="28">
        <f>V510/0.7+W510</f>
        <v>76.714285714285722</v>
      </c>
      <c r="Y510" s="28">
        <v>76.714285714285722</v>
      </c>
      <c r="Z510" s="21"/>
    </row>
    <row r="511" spans="1:26" x14ac:dyDescent="0.25">
      <c r="A511" s="16">
        <v>16</v>
      </c>
      <c r="B511" s="17" t="s">
        <v>21</v>
      </c>
      <c r="C511" s="16">
        <v>112</v>
      </c>
      <c r="D511" s="18" t="s">
        <v>424</v>
      </c>
      <c r="E511" s="16" t="s">
        <v>23</v>
      </c>
      <c r="F511" s="19">
        <v>7.3</v>
      </c>
      <c r="G511" s="32">
        <f>IF(B511="高三",IF($E511="男",LOOKUP(F511,[1]对照表!$G$3:$G$24,[1]对照表!$H$3:$H$24),LOOKUP(F511,[1]对照表!$G$27:$G$48,[1]对照表!$H$27:$H$48)),IF(B511="高二",IF($E511="男",LOOKUP(F511,[1]对照表!$F$3:$F$24,[1]对照表!$H$3:$H$24),LOOKUP(F511,[1]对照表!$F$27:$F$48,[1]对照表!$H$27:$H$48)),IF(B511="高一",IF($E511="男",LOOKUP(F511,[1]对照表!$E$3:$E$24,[1]对照表!$H$3:$H$24),LOOKUP(F511,[1]对照表!$E$27:$E$48,[1]对照表!$H$27:$H$48)))))</f>
        <v>90</v>
      </c>
      <c r="H511" s="21">
        <v>9.5</v>
      </c>
      <c r="I511" s="32">
        <f>IF(B511="高三",IF($E511="男",LOOKUP(H511,[1]对照表!$K$3:$K$24,[1]对照表!$L$3:$L$24),LOOKUP(H511,[1]对照表!$K$27:$K$48,[1]对照表!$L$27:$L$48)),IF(B511="高二",IF($E511="男",LOOKUP(H511,[1]对照表!$J$3:$J$24,[1]对照表!$L$3:$L$24),LOOKUP(H511,[1]对照表!$J$27:$J$48,[1]对照表!$L$27:$L$48)),IF(B511="高一",IF($E511="男",LOOKUP(H511,[1]对照表!$I$3:$I$24,[1]对照表!$L$3:$L$24),LOOKUP(H511,[1]对照表!$I$27:$I$48,[1]对照表!$L$27:$L$48)))))</f>
        <v>72</v>
      </c>
      <c r="J511" s="21">
        <v>210</v>
      </c>
      <c r="K511" s="32">
        <f>IF(B511="高三",IF($E511="男",LOOKUP(J511,[1]对照表!$O$3:$O$24,[1]对照表!$P$3:$P$24),LOOKUP(J511,[1]对照表!$O$27:$O$48,[1]对照表!$P$27:$P$48)),IF(B511="高二",IF($E511="男",LOOKUP(J511,[1]对照表!$N$3:$N$24,[1]对照表!$P$3:$P$24),LOOKUP(J511,[1]对照表!$N$27:$N$48,[1]对照表!$P$27:$P$48)),IF(B511="高一",IF($E511="男",LOOKUP(J511,[1]对照表!$M$3:$M$24,[1]对照表!$P$3:$P$24),LOOKUP(J511,[1]对照表!$M$27:$M$48,[1]对照表!$P$27:$P$48)))))</f>
        <v>66</v>
      </c>
      <c r="L511" s="21">
        <v>8</v>
      </c>
      <c r="M511" s="32">
        <f>IF(B511="高三",IF($E511="男",LOOKUP(L511,[1]对照表!$S$3:$S$24,[1]对照表!$T$3:$T$24),LOOKUP(L511,[1]对照表!$S$27:$S$48,[1]对照表!$T$27:$T$48)),IF(B511="高二",IF($E511="男",LOOKUP(L511,[1]对照表!$R$3:$R$24,[1]对照表!$T$3:$T$24),LOOKUP(L511,[1]对照表!$R$27:$R$48,[1]对照表!$T$27:$T$48)),IF(B511="高一",IF($E511="男",LOOKUP(L511,[1]对照表!$Q$3:$Q$24,[1]对照表!$T$3:$T$24),LOOKUP(L511,[1]对照表!$Q$27:$Q$48,[1]对照表!$T$27:$T$48)))))</f>
        <v>64</v>
      </c>
      <c r="N511" s="33">
        <f>IF(B511="高三",MAX(IF(E511="男",L511-18,L511-55),0),IF(B511="高二",MAX(IF(E511="男",L511-17,L511-54),0),IF(B511="高一",MAX(IF(E511="男",L511-16,L511-53),0))))</f>
        <v>0</v>
      </c>
      <c r="O511" s="23">
        <f>IF(E511="男",LOOKUP($N511,[1]对照表!$Z$3:$Z$13,[1]对照表!$AA$3:$AA$13),LOOKUP($N511,[1]对照表!$Z$15:$Z$25,[1]对照表!$AA$15:$AA$25))</f>
        <v>0</v>
      </c>
      <c r="P511" s="24">
        <f>M511+O511</f>
        <v>64</v>
      </c>
      <c r="Q511" s="25">
        <v>4.09</v>
      </c>
      <c r="R511" s="32">
        <f>IF(B511="高三",IF($E511="男",LOOKUP(Q511,[1]对照表!$W$3:$W$24,[1]对照表!$X$3:$X$24),LOOKUP(Q511,[1]对照表!$W$27:$W$48,[1]对照表!$X$27:$X$48)),IF(B511="高二",IF($E511="男",LOOKUP(Q511,[1]对照表!$V$3:$V$24,[1]对照表!$X$3:$X$24),LOOKUP(Q511,[1]对照表!$V$27:$V$48,[1]对照表!$X$27:$X$48)),IF(B511="高一",IF($E511="男",LOOKUP(Q511,[1]对照表!$U$3:$U$24,[1]对照表!$X$3:$X$24),LOOKUP(Q511,[1]对照表!$U$27:$U$48,[1]对照表!$X$27:$X$48)))))</f>
        <v>74</v>
      </c>
      <c r="S511" s="33">
        <f>ROUND(IF(IF($B511="高三",MIN(IF($E511="男",$Q511-3.2,$Q511-3.2),0),IF($B511="高二",MIN(IF($E511="男",$Q511-3.25,$Q511-3.22),0),IF($B511="高一",MIN(IF($E511="男",$Q511-3.3,$Q511-3.24),0))))&lt;-0.6,IF($B511="高三",MIN(IF($E511="男",$Q511-3.2,$Q511-3.2),0),IF($B511="高二",MIN(IF($E511="男",$Q511-3.25,$Q511-3.22),0),IF($B511="高一",MIN(IF($E511="男",$Q511-3.3,$Q511-3.24),0))))+0.4,IF($B511="高三",MIN(IF($E511="男",$Q511-3.2,$Q511-3.2),0),IF($B511="高二",MIN(IF($E511="男",$Q511-3.25,$Q511-3.22),0),IF($B511="高一",MIN(IF($E511="男",$Q511-3.3,$Q511-3.24),0))))),2)</f>
        <v>0</v>
      </c>
      <c r="T511" s="23">
        <f>IF(E511="男",LOOKUP($S511,[1]对照表!$AB$3:$AB$13,[1]对照表!$AC$3:$AC$13),LOOKUP($S511,[1]对照表!$AB$15:$AB$25,[1]对照表!$AC$15:$AC$25))</f>
        <v>0</v>
      </c>
      <c r="U511" s="26">
        <f>R511+T511</f>
        <v>74</v>
      </c>
      <c r="V511" s="26">
        <f>SUM(I511,K511,M511)/3*0.3+SUM(G511,R511)/2*0.4</f>
        <v>53</v>
      </c>
      <c r="W511" s="27">
        <f>O511+T511</f>
        <v>0</v>
      </c>
      <c r="X511" s="28">
        <f>V511/0.7+W511</f>
        <v>75.714285714285722</v>
      </c>
      <c r="Y511" s="28">
        <v>75.714285714285722</v>
      </c>
      <c r="Z511" s="21"/>
    </row>
    <row r="512" spans="1:26" x14ac:dyDescent="0.25">
      <c r="A512" s="16">
        <v>44</v>
      </c>
      <c r="B512" s="17" t="s">
        <v>21</v>
      </c>
      <c r="C512" s="16">
        <v>112</v>
      </c>
      <c r="D512" s="18" t="s">
        <v>446</v>
      </c>
      <c r="E512" s="16" t="s">
        <v>65</v>
      </c>
      <c r="F512" s="19">
        <v>8.69</v>
      </c>
      <c r="G512" s="32">
        <f>IF(B512="高三",IF($E512="男",LOOKUP(F512,[1]对照表!$G$3:$G$24,[1]对照表!$H$3:$H$24),LOOKUP(F512,[1]对照表!$G$27:$G$48,[1]对照表!$H$27:$H$48)),IF(B512="高二",IF($E512="男",LOOKUP(F512,[1]对照表!$F$3:$F$24,[1]对照表!$H$3:$H$24),LOOKUP(F512,[1]对照表!$F$27:$F$48,[1]对照表!$H$27:$H$48)),IF(B512="高一",IF($E512="男",LOOKUP(F512,[1]对照表!$E$3:$E$24,[1]对照表!$H$3:$H$24),LOOKUP(F512,[1]对照表!$E$27:$E$48,[1]对照表!$H$27:$H$48)))))</f>
        <v>78</v>
      </c>
      <c r="H512" s="21">
        <v>4</v>
      </c>
      <c r="I512" s="32">
        <f>IF(B512="高三",IF($E512="男",LOOKUP(H512,[1]对照表!$K$3:$K$24,[1]对照表!$L$3:$L$24),LOOKUP(H512,[1]对照表!$K$27:$K$48,[1]对照表!$L$27:$L$48)),IF(B512="高二",IF($E512="男",LOOKUP(H512,[1]对照表!$J$3:$J$24,[1]对照表!$L$3:$L$24),LOOKUP(H512,[1]对照表!$J$27:$J$48,[1]对照表!$L$27:$L$48)),IF(B512="高一",IF($E512="男",LOOKUP(H512,[1]对照表!$I$3:$I$24,[1]对照表!$L$3:$L$24),LOOKUP(H512,[1]对照表!$I$27:$I$48,[1]对照表!$L$27:$L$48)))))</f>
        <v>50</v>
      </c>
      <c r="J512" s="21">
        <v>180</v>
      </c>
      <c r="K512" s="32">
        <f>IF(B512="高三",IF($E512="男",LOOKUP(J512,[1]对照表!$O$3:$O$24,[1]对照表!$P$3:$P$24),LOOKUP(J512,[1]对照表!$O$27:$O$48,[1]对照表!$P$27:$P$48)),IF(B512="高二",IF($E512="男",LOOKUP(J512,[1]对照表!$N$3:$N$24,[1]对照表!$P$3:$P$24),LOOKUP(J512,[1]对照表!$N$27:$N$48,[1]对照表!$P$27:$P$48)),IF(B512="高一",IF($E512="男",LOOKUP(J512,[1]对照表!$M$3:$M$24,[1]对照表!$P$3:$P$24),LOOKUP(J512,[1]对照表!$M$27:$M$48,[1]对照表!$P$27:$P$48)))))</f>
        <v>80</v>
      </c>
      <c r="L512" s="21">
        <v>45</v>
      </c>
      <c r="M512" s="32">
        <f>IF(B512="高三",IF($E512="男",LOOKUP(L512,[1]对照表!$S$3:$S$24,[1]对照表!$T$3:$T$24),LOOKUP(L512,[1]对照表!$S$27:$S$48,[1]对照表!$T$27:$T$48)),IF(B512="高二",IF($E512="男",LOOKUP(L512,[1]对照表!$R$3:$R$24,[1]对照表!$T$3:$T$24),LOOKUP(L512,[1]对照表!$R$27:$R$48,[1]对照表!$T$27:$T$48)),IF(B512="高一",IF($E512="男",LOOKUP(L512,[1]对照表!$Q$3:$Q$24,[1]对照表!$T$3:$T$24),LOOKUP(L512,[1]对照表!$Q$27:$Q$48,[1]对照表!$T$27:$T$48)))))</f>
        <v>80</v>
      </c>
      <c r="N512" s="33">
        <f>IF(B512="高三",MAX(IF(E512="男",L512-18,L512-55),0),IF(B512="高二",MAX(IF(E512="男",L512-17,L512-54),0),IF(B512="高一",MAX(IF(E512="男",L512-16,L512-53),0))))</f>
        <v>0</v>
      </c>
      <c r="O512" s="23">
        <f>IF(E512="男",LOOKUP($N512,[1]对照表!$Z$3:$Z$13,[1]对照表!$AA$3:$AA$13),LOOKUP($N512,[1]对照表!$Z$15:$Z$25,[1]对照表!$AA$15:$AA$25))</f>
        <v>0</v>
      </c>
      <c r="P512" s="24">
        <f>M512+O512</f>
        <v>80</v>
      </c>
      <c r="Q512" s="25">
        <v>3.39</v>
      </c>
      <c r="R512" s="32">
        <f>IF(B512="高三",IF($E512="男",LOOKUP(Q512,[1]对照表!$W$3:$W$24,[1]对照表!$X$3:$X$24),LOOKUP(Q512,[1]对照表!$W$27:$W$48,[1]对照表!$X$27:$X$48)),IF(B512="高二",IF($E512="男",LOOKUP(Q512,[1]对照表!$V$3:$V$24,[1]对照表!$X$3:$X$24),LOOKUP(Q512,[1]对照表!$V$27:$V$48,[1]对照表!$X$27:$X$48)),IF(B512="高一",IF($E512="男",LOOKUP(Q512,[1]对照表!$U$3:$U$24,[1]对照表!$X$3:$X$24),LOOKUP(Q512,[1]对照表!$U$27:$U$48,[1]对照表!$X$27:$X$48)))))</f>
        <v>85</v>
      </c>
      <c r="S512" s="33">
        <f>ROUND(IF(IF($B512="高三",MIN(IF($E512="男",$Q512-3.2,$Q512-3.2),0),IF($B512="高二",MIN(IF($E512="男",$Q512-3.25,$Q512-3.22),0),IF($B512="高一",MIN(IF($E512="男",$Q512-3.3,$Q512-3.24),0))))&lt;-0.6,IF($B512="高三",MIN(IF($E512="男",$Q512-3.2,$Q512-3.2),0),IF($B512="高二",MIN(IF($E512="男",$Q512-3.25,$Q512-3.22),0),IF($B512="高一",MIN(IF($E512="男",$Q512-3.3,$Q512-3.24),0))))+0.4,IF($B512="高三",MIN(IF($E512="男",$Q512-3.2,$Q512-3.2),0),IF($B512="高二",MIN(IF($E512="男",$Q512-3.25,$Q512-3.22),0),IF($B512="高一",MIN(IF($E512="男",$Q512-3.3,$Q512-3.24),0))))),2)</f>
        <v>0</v>
      </c>
      <c r="T512" s="23">
        <f>IF(E512="男",LOOKUP($S512,[1]对照表!$AB$3:$AB$13,[1]对照表!$AC$3:$AC$13),LOOKUP($S512,[1]对照表!$AB$15:$AB$25,[1]对照表!$AC$15:$AC$25))</f>
        <v>0</v>
      </c>
      <c r="U512" s="26">
        <f>R512+T512</f>
        <v>85</v>
      </c>
      <c r="V512" s="26">
        <f>SUM(I512,K512,M512)/3*0.3+SUM(G512,R512)/2*0.4</f>
        <v>53.6</v>
      </c>
      <c r="W512" s="27">
        <f>O512+T512</f>
        <v>0</v>
      </c>
      <c r="X512" s="28">
        <f>V512/0.7+W512</f>
        <v>76.571428571428584</v>
      </c>
      <c r="Y512" s="28">
        <v>76.571428571428584</v>
      </c>
      <c r="Z512" s="21"/>
    </row>
    <row r="513" spans="1:26" x14ac:dyDescent="0.25">
      <c r="A513" s="16">
        <v>31</v>
      </c>
      <c r="B513" s="17" t="s">
        <v>21</v>
      </c>
      <c r="C513" s="16">
        <v>112</v>
      </c>
      <c r="D513" s="18" t="s">
        <v>464</v>
      </c>
      <c r="E513" s="17" t="s">
        <v>23</v>
      </c>
      <c r="F513" s="19">
        <v>7</v>
      </c>
      <c r="G513" s="32">
        <f>IF(B513="高三",IF($E513="男",LOOKUP(F513,[1]对照表!$G$3:$G$24,[1]对照表!$H$3:$H$24),LOOKUP(F513,[1]对照表!$G$27:$G$48,[1]对照表!$H$27:$H$48)),IF(B513="高二",IF($E513="男",LOOKUP(F513,[1]对照表!$F$3:$F$24,[1]对照表!$H$3:$H$24),LOOKUP(F513,[1]对照表!$F$27:$F$48,[1]对照表!$H$27:$H$48)),IF(B513="高一",IF($E513="男",LOOKUP(F513,[1]对照表!$E$3:$E$24,[1]对照表!$H$3:$H$24),LOOKUP(F513,[1]对照表!$E$27:$E$48,[1]对照表!$H$27:$H$48)))))</f>
        <v>100</v>
      </c>
      <c r="H513" s="21">
        <v>9.9</v>
      </c>
      <c r="I513" s="32">
        <f>IF(B513="高三",IF($E513="男",LOOKUP(H513,[1]对照表!$K$3:$K$24,[1]对照表!$L$3:$L$24),LOOKUP(H513,[1]对照表!$K$27:$K$48,[1]对照表!$L$27:$L$48)),IF(B513="高二",IF($E513="男",LOOKUP(H513,[1]对照表!$J$3:$J$24,[1]对照表!$L$3:$L$24),LOOKUP(H513,[1]对照表!$J$27:$J$48,[1]对照表!$L$27:$L$48)),IF(B513="高一",IF($E513="男",LOOKUP(H513,[1]对照表!$I$3:$I$24,[1]对照表!$L$3:$L$24),LOOKUP(H513,[1]对照表!$I$27:$I$48,[1]对照表!$L$27:$L$48)))))</f>
        <v>72</v>
      </c>
      <c r="J513" s="21">
        <v>220</v>
      </c>
      <c r="K513" s="32">
        <f>IF(B513="高三",IF($E513="男",LOOKUP(J513,[1]对照表!$O$3:$O$24,[1]对照表!$P$3:$P$24),LOOKUP(J513,[1]对照表!$O$27:$O$48,[1]对照表!$P$27:$P$48)),IF(B513="高二",IF($E513="男",LOOKUP(J513,[1]对照表!$N$3:$N$24,[1]对照表!$P$3:$P$24),LOOKUP(J513,[1]对照表!$N$27:$N$48,[1]对照表!$P$27:$P$48)),IF(B513="高一",IF($E513="男",LOOKUP(J513,[1]对照表!$M$3:$M$24,[1]对照表!$P$3:$P$24),LOOKUP(J513,[1]对照表!$M$27:$M$48,[1]对照表!$P$27:$P$48)))))</f>
        <v>72</v>
      </c>
      <c r="L513" s="21">
        <v>1</v>
      </c>
      <c r="M513" s="32">
        <f>IF(B513="高三",IF($E513="男",LOOKUP(L513,[1]对照表!$S$3:$S$24,[1]对照表!$T$3:$T$24),LOOKUP(L513,[1]对照表!$S$27:$S$48,[1]对照表!$T$27:$T$48)),IF(B513="高二",IF($E513="男",LOOKUP(L513,[1]对照表!$R$3:$R$24,[1]对照表!$T$3:$T$24),LOOKUP(L513,[1]对照表!$R$27:$R$48,[1]对照表!$T$27:$T$48)),IF(B513="高一",IF($E513="男",LOOKUP(L513,[1]对照表!$Q$3:$Q$24,[1]对照表!$T$3:$T$24),LOOKUP(L513,[1]对照表!$Q$27:$Q$48,[1]对照表!$T$27:$T$48)))))</f>
        <v>0</v>
      </c>
      <c r="N513" s="33">
        <f>IF(B513="高三",MAX(IF(E513="男",L513-18,L513-55),0),IF(B513="高二",MAX(IF(E513="男",L513-17,L513-54),0),IF(B513="高一",MAX(IF(E513="男",L513-16,L513-53),0))))</f>
        <v>0</v>
      </c>
      <c r="O513" s="23">
        <f>IF(E513="男",LOOKUP($N513,[1]对照表!$Z$3:$Z$13,[1]对照表!$AA$3:$AA$13),LOOKUP($N513,[1]对照表!$Z$15:$Z$25,[1]对照表!$AA$15:$AA$25))</f>
        <v>0</v>
      </c>
      <c r="P513" s="24">
        <f>M513+O513</f>
        <v>0</v>
      </c>
      <c r="Q513" s="25">
        <v>3.45</v>
      </c>
      <c r="R513" s="32">
        <f>IF(B513="高三",IF($E513="男",LOOKUP(Q513,[1]对照表!$W$3:$W$24,[1]对照表!$X$3:$X$24),LOOKUP(Q513,[1]对照表!$W$27:$W$48,[1]对照表!$X$27:$X$48)),IF(B513="高二",IF($E513="男",LOOKUP(Q513,[1]对照表!$V$3:$V$24,[1]对照表!$X$3:$X$24),LOOKUP(Q513,[1]对照表!$V$27:$V$48,[1]对照表!$X$27:$X$48)),IF(B513="高一",IF($E513="男",LOOKUP(Q513,[1]对照表!$U$3:$U$24,[1]对照表!$X$3:$X$24),LOOKUP(Q513,[1]对照表!$U$27:$U$48,[1]对照表!$X$27:$X$48)))))</f>
        <v>85</v>
      </c>
      <c r="S513" s="33">
        <f>ROUND(IF(IF($B513="高三",MIN(IF($E513="男",$Q513-3.2,$Q513-3.2),0),IF($B513="高二",MIN(IF($E513="男",$Q513-3.25,$Q513-3.22),0),IF($B513="高一",MIN(IF($E513="男",$Q513-3.3,$Q513-3.24),0))))&lt;-0.6,IF($B513="高三",MIN(IF($E513="男",$Q513-3.2,$Q513-3.2),0),IF($B513="高二",MIN(IF($E513="男",$Q513-3.25,$Q513-3.22),0),IF($B513="高一",MIN(IF($E513="男",$Q513-3.3,$Q513-3.24),0))))+0.4,IF($B513="高三",MIN(IF($E513="男",$Q513-3.2,$Q513-3.2),0),IF($B513="高二",MIN(IF($E513="男",$Q513-3.25,$Q513-3.22),0),IF($B513="高一",MIN(IF($E513="男",$Q513-3.3,$Q513-3.24),0))))),2)</f>
        <v>0</v>
      </c>
      <c r="T513" s="23">
        <f>IF(E513="男",LOOKUP($S513,[1]对照表!$AB$3:$AB$13,[1]对照表!$AC$3:$AC$13),LOOKUP($S513,[1]对照表!$AB$15:$AB$25,[1]对照表!$AC$15:$AC$25))</f>
        <v>0</v>
      </c>
      <c r="U513" s="26">
        <f>R513+T513</f>
        <v>85</v>
      </c>
      <c r="V513" s="26">
        <f>SUM(I513,K513,M513)/3*0.3+SUM(G513,R513)/2*0.4</f>
        <v>51.4</v>
      </c>
      <c r="W513" s="27">
        <f>O513+T513</f>
        <v>0</v>
      </c>
      <c r="X513" s="28">
        <f>V513/0.7+W513</f>
        <v>73.428571428571431</v>
      </c>
      <c r="Y513" s="28">
        <v>73.428571428571431</v>
      </c>
      <c r="Z513" s="21"/>
    </row>
    <row r="514" spans="1:26" x14ac:dyDescent="0.25">
      <c r="A514" s="16">
        <v>25</v>
      </c>
      <c r="B514" s="17" t="s">
        <v>21</v>
      </c>
      <c r="C514" s="16">
        <v>112</v>
      </c>
      <c r="D514" s="18" t="s">
        <v>473</v>
      </c>
      <c r="E514" s="17" t="s">
        <v>23</v>
      </c>
      <c r="F514" s="19">
        <v>7.4</v>
      </c>
      <c r="G514" s="32">
        <f>IF(B514="高三",IF($E514="男",LOOKUP(F514,[1]对照表!$G$3:$G$24,[1]对照表!$H$3:$H$24),LOOKUP(F514,[1]对照表!$G$27:$G$48,[1]对照表!$H$27:$H$48)),IF(B514="高二",IF($E514="男",LOOKUP(F514,[1]对照表!$F$3:$F$24,[1]对照表!$H$3:$H$24),LOOKUP(F514,[1]对照表!$F$27:$F$48,[1]对照表!$H$27:$H$48)),IF(B514="高一",IF($E514="男",LOOKUP(F514,[1]对照表!$E$3:$E$24,[1]对照表!$H$3:$H$24),LOOKUP(F514,[1]对照表!$E$27:$E$48,[1]对照表!$H$27:$H$48)))))</f>
        <v>85</v>
      </c>
      <c r="H514" s="21">
        <v>12</v>
      </c>
      <c r="I514" s="32">
        <f>IF(B514="高三",IF($E514="男",LOOKUP(H514,[1]对照表!$K$3:$K$24,[1]对照表!$L$3:$L$24),LOOKUP(H514,[1]对照表!$K$27:$K$48,[1]对照表!$L$27:$L$48)),IF(B514="高二",IF($E514="男",LOOKUP(H514,[1]对照表!$J$3:$J$24,[1]对照表!$L$3:$L$24),LOOKUP(H514,[1]对照表!$J$27:$J$48,[1]对照表!$L$27:$L$48)),IF(B514="高一",IF($E514="男",LOOKUP(H514,[1]对照表!$I$3:$I$24,[1]对照表!$L$3:$L$24),LOOKUP(H514,[1]对照表!$I$27:$I$48,[1]对照表!$L$27:$L$48)))))</f>
        <v>74</v>
      </c>
      <c r="J514" s="21">
        <v>220</v>
      </c>
      <c r="K514" s="32">
        <f>IF(B514="高三",IF($E514="男",LOOKUP(J514,[1]对照表!$O$3:$O$24,[1]对照表!$P$3:$P$24),LOOKUP(J514,[1]对照表!$O$27:$O$48,[1]对照表!$P$27:$P$48)),IF(B514="高二",IF($E514="男",LOOKUP(J514,[1]对照表!$N$3:$N$24,[1]对照表!$P$3:$P$24),LOOKUP(J514,[1]对照表!$N$27:$N$48,[1]对照表!$P$27:$P$48)),IF(B514="高一",IF($E514="男",LOOKUP(J514,[1]对照表!$M$3:$M$24,[1]对照表!$P$3:$P$24),LOOKUP(J514,[1]对照表!$M$27:$M$48,[1]对照表!$P$27:$P$48)))))</f>
        <v>72</v>
      </c>
      <c r="L514" s="21">
        <v>3</v>
      </c>
      <c r="M514" s="32">
        <f>IF(B514="高三",IF($E514="男",LOOKUP(L514,[1]对照表!$S$3:$S$24,[1]对照表!$T$3:$T$24),LOOKUP(L514,[1]对照表!$S$27:$S$48,[1]对照表!$T$27:$T$48)),IF(B514="高二",IF($E514="男",LOOKUP(L514,[1]对照表!$R$3:$R$24,[1]对照表!$T$3:$T$24),LOOKUP(L514,[1]对照表!$R$27:$R$48,[1]对照表!$T$27:$T$48)),IF(B514="高一",IF($E514="男",LOOKUP(L514,[1]对照表!$Q$3:$Q$24,[1]对照表!$T$3:$T$24),LOOKUP(L514,[1]对照表!$Q$27:$Q$48,[1]对照表!$T$27:$T$48)))))</f>
        <v>20</v>
      </c>
      <c r="N514" s="33">
        <f>IF(B514="高三",MAX(IF(E514="男",L514-18,L514-55),0),IF(B514="高二",MAX(IF(E514="男",L514-17,L514-54),0),IF(B514="高一",MAX(IF(E514="男",L514-16,L514-53),0))))</f>
        <v>0</v>
      </c>
      <c r="O514" s="23">
        <f>IF(E514="男",LOOKUP($N514,[1]对照表!$Z$3:$Z$13,[1]对照表!$AA$3:$AA$13),LOOKUP($N514,[1]对照表!$Z$15:$Z$25,[1]对照表!$AA$15:$AA$25))</f>
        <v>0</v>
      </c>
      <c r="P514" s="24">
        <f>M514+O514</f>
        <v>20</v>
      </c>
      <c r="Q514" s="25">
        <v>3.41</v>
      </c>
      <c r="R514" s="32">
        <f>IF(B514="高三",IF($E514="男",LOOKUP(Q514,[1]对照表!$W$3:$W$24,[1]对照表!$X$3:$X$24),LOOKUP(Q514,[1]对照表!$W$27:$W$48,[1]对照表!$X$27:$X$48)),IF(B514="高二",IF($E514="男",LOOKUP(Q514,[1]对照表!$V$3:$V$24,[1]对照表!$X$3:$X$24),LOOKUP(Q514,[1]对照表!$V$27:$V$48,[1]对照表!$X$27:$X$48)),IF(B514="高一",IF($E514="男",LOOKUP(Q514,[1]对照表!$U$3:$U$24,[1]对照表!$X$3:$X$24),LOOKUP(Q514,[1]对照表!$U$27:$U$48,[1]对照表!$X$27:$X$48)))))</f>
        <v>85</v>
      </c>
      <c r="S514" s="33">
        <f>ROUND(IF(IF($B514="高三",MIN(IF($E514="男",$Q514-3.2,$Q514-3.2),0),IF($B514="高二",MIN(IF($E514="男",$Q514-3.25,$Q514-3.22),0),IF($B514="高一",MIN(IF($E514="男",$Q514-3.3,$Q514-3.24),0))))&lt;-0.6,IF($B514="高三",MIN(IF($E514="男",$Q514-3.2,$Q514-3.2),0),IF($B514="高二",MIN(IF($E514="男",$Q514-3.25,$Q514-3.22),0),IF($B514="高一",MIN(IF($E514="男",$Q514-3.3,$Q514-3.24),0))))+0.4,IF($B514="高三",MIN(IF($E514="男",$Q514-3.2,$Q514-3.2),0),IF($B514="高二",MIN(IF($E514="男",$Q514-3.25,$Q514-3.22),0),IF($B514="高一",MIN(IF($E514="男",$Q514-3.3,$Q514-3.24),0))))),2)</f>
        <v>0</v>
      </c>
      <c r="T514" s="23">
        <f>IF(E514="男",LOOKUP($S514,[1]对照表!$AB$3:$AB$13,[1]对照表!$AC$3:$AC$13),LOOKUP($S514,[1]对照表!$AB$15:$AB$25,[1]对照表!$AC$15:$AC$25))</f>
        <v>0</v>
      </c>
      <c r="U514" s="26">
        <f>R514+T514</f>
        <v>85</v>
      </c>
      <c r="V514" s="26">
        <f>SUM(I514,K514,M514)/3*0.3+SUM(G514,R514)/2*0.4</f>
        <v>50.6</v>
      </c>
      <c r="W514" s="27">
        <f>O514+T514</f>
        <v>0</v>
      </c>
      <c r="X514" s="28">
        <f>V514/0.7+W514</f>
        <v>72.285714285714292</v>
      </c>
      <c r="Y514" s="28">
        <v>72.285714285714292</v>
      </c>
      <c r="Z514" s="21"/>
    </row>
    <row r="515" spans="1:26" x14ac:dyDescent="0.25">
      <c r="A515" s="16">
        <v>3</v>
      </c>
      <c r="B515" s="17" t="s">
        <v>21</v>
      </c>
      <c r="C515" s="16">
        <v>112</v>
      </c>
      <c r="D515" s="18" t="s">
        <v>477</v>
      </c>
      <c r="E515" s="16" t="s">
        <v>23</v>
      </c>
      <c r="F515" s="19">
        <v>7</v>
      </c>
      <c r="G515" s="32">
        <f>IF(B515="高三",IF($E515="男",LOOKUP(F515,[1]对照表!$G$3:$G$24,[1]对照表!$H$3:$H$24),LOOKUP(F515,[1]对照表!$G$27:$G$48,[1]对照表!$H$27:$H$48)),IF(B515="高二",IF($E515="男",LOOKUP(F515,[1]对照表!$F$3:$F$24,[1]对照表!$H$3:$H$24),LOOKUP(F515,[1]对照表!$F$27:$F$48,[1]对照表!$H$27:$H$48)),IF(B515="高一",IF($E515="男",LOOKUP(F515,[1]对照表!$E$3:$E$24,[1]对照表!$H$3:$H$24),LOOKUP(F515,[1]对照表!$E$27:$E$48,[1]对照表!$H$27:$H$48)))))</f>
        <v>100</v>
      </c>
      <c r="H515" s="21">
        <v>10.1</v>
      </c>
      <c r="I515" s="32">
        <f>IF(B515="高三",IF($E515="男",LOOKUP(H515,[1]对照表!$K$3:$K$24,[1]对照表!$L$3:$L$24),LOOKUP(H515,[1]对照表!$K$27:$K$48,[1]对照表!$L$27:$L$48)),IF(B515="高二",IF($E515="男",LOOKUP(H515,[1]对照表!$J$3:$J$24,[1]对照表!$L$3:$L$24),LOOKUP(H515,[1]对照表!$J$27:$J$48,[1]对照表!$L$27:$L$48)),IF(B515="高一",IF($E515="男",LOOKUP(H515,[1]对照表!$I$3:$I$24,[1]对照表!$L$3:$L$24),LOOKUP(H515,[1]对照表!$I$27:$I$48,[1]对照表!$L$27:$L$48)))))</f>
        <v>72</v>
      </c>
      <c r="J515" s="21">
        <v>217</v>
      </c>
      <c r="K515" s="32">
        <f>IF(B515="高三",IF($E515="男",LOOKUP(J515,[1]对照表!$O$3:$O$24,[1]对照表!$P$3:$P$24),LOOKUP(J515,[1]对照表!$O$27:$O$48,[1]对照表!$P$27:$P$48)),IF(B515="高二",IF($E515="男",LOOKUP(J515,[1]对照表!$N$3:$N$24,[1]对照表!$P$3:$P$24),LOOKUP(J515,[1]对照表!$N$27:$N$48,[1]对照表!$P$27:$P$48)),IF(B515="高一",IF($E515="男",LOOKUP(J515,[1]对照表!$M$3:$M$24,[1]对照表!$P$3:$P$24),LOOKUP(J515,[1]对照表!$M$27:$M$48,[1]对照表!$P$27:$P$48)))))</f>
        <v>70</v>
      </c>
      <c r="L515" s="21">
        <v>0</v>
      </c>
      <c r="M515" s="32">
        <f>IF(B515="高三",IF($E515="男",LOOKUP(L515,[1]对照表!$S$3:$S$24,[1]对照表!$T$3:$T$24),LOOKUP(L515,[1]对照表!$S$27:$S$48,[1]对照表!$T$27:$T$48)),IF(B515="高二",IF($E515="男",LOOKUP(L515,[1]对照表!$R$3:$R$24,[1]对照表!$T$3:$T$24),LOOKUP(L515,[1]对照表!$R$27:$R$48,[1]对照表!$T$27:$T$48)),IF(B515="高一",IF($E515="男",LOOKUP(L515,[1]对照表!$Q$3:$Q$24,[1]对照表!$T$3:$T$24),LOOKUP(L515,[1]对照表!$Q$27:$Q$48,[1]对照表!$T$27:$T$48)))))</f>
        <v>0</v>
      </c>
      <c r="N515" s="33">
        <f>IF(B515="高三",MAX(IF(E515="男",L515-18,L515-55),0),IF(B515="高二",MAX(IF(E515="男",L515-17,L515-54),0),IF(B515="高一",MAX(IF(E515="男",L515-16,L515-53),0))))</f>
        <v>0</v>
      </c>
      <c r="O515" s="23">
        <f>IF(E515="男",LOOKUP($N515,[1]对照表!$Z$3:$Z$13,[1]对照表!$AA$3:$AA$13),LOOKUP($N515,[1]对照表!$Z$15:$Z$25,[1]对照表!$AA$15:$AA$25))</f>
        <v>0</v>
      </c>
      <c r="P515" s="24">
        <f>M515+O515</f>
        <v>0</v>
      </c>
      <c r="Q515" s="25">
        <v>3.52</v>
      </c>
      <c r="R515" s="32">
        <f>IF(B515="高三",IF($E515="男",LOOKUP(Q515,[1]对照表!$W$3:$W$24,[1]对照表!$X$3:$X$24),LOOKUP(Q515,[1]对照表!$W$27:$W$48,[1]对照表!$X$27:$X$48)),IF(B515="高二",IF($E515="男",LOOKUP(Q515,[1]对照表!$V$3:$V$24,[1]对照表!$X$3:$X$24),LOOKUP(Q515,[1]对照表!$V$27:$V$48,[1]对照表!$X$27:$X$48)),IF(B515="高一",IF($E515="男",LOOKUP(Q515,[1]对照表!$U$3:$U$24,[1]对照表!$X$3:$X$24),LOOKUP(Q515,[1]对照表!$U$27:$U$48,[1]对照表!$X$27:$X$48)))))</f>
        <v>80</v>
      </c>
      <c r="S515" s="33">
        <f>ROUND(IF(IF($B515="高三",MIN(IF($E515="男",$Q515-3.2,$Q515-3.2),0),IF($B515="高二",MIN(IF($E515="男",$Q515-3.25,$Q515-3.22),0),IF($B515="高一",MIN(IF($E515="男",$Q515-3.3,$Q515-3.24),0))))&lt;-0.6,IF($B515="高三",MIN(IF($E515="男",$Q515-3.2,$Q515-3.2),0),IF($B515="高二",MIN(IF($E515="男",$Q515-3.25,$Q515-3.22),0),IF($B515="高一",MIN(IF($E515="男",$Q515-3.3,$Q515-3.24),0))))+0.4,IF($B515="高三",MIN(IF($E515="男",$Q515-3.2,$Q515-3.2),0),IF($B515="高二",MIN(IF($E515="男",$Q515-3.25,$Q515-3.22),0),IF($B515="高一",MIN(IF($E515="男",$Q515-3.3,$Q515-3.24),0))))),2)</f>
        <v>0</v>
      </c>
      <c r="T515" s="23">
        <f>IF(E515="男",LOOKUP($S515,[1]对照表!$AB$3:$AB$13,[1]对照表!$AC$3:$AC$13),LOOKUP($S515,[1]对照表!$AB$15:$AB$25,[1]对照表!$AC$15:$AC$25))</f>
        <v>0</v>
      </c>
      <c r="U515" s="26">
        <f>R515+T515</f>
        <v>80</v>
      </c>
      <c r="V515" s="26">
        <f>SUM(I515,K515,M515)/3*0.3+SUM(G515,R515)/2*0.4</f>
        <v>50.2</v>
      </c>
      <c r="W515" s="27">
        <f>O515+T515</f>
        <v>0</v>
      </c>
      <c r="X515" s="28">
        <f>V515/0.7+W515</f>
        <v>71.714285714285722</v>
      </c>
      <c r="Y515" s="28">
        <v>71.714285714285722</v>
      </c>
      <c r="Z515" s="21"/>
    </row>
    <row r="516" spans="1:26" x14ac:dyDescent="0.25">
      <c r="A516" s="16">
        <v>40</v>
      </c>
      <c r="B516" s="17" t="s">
        <v>21</v>
      </c>
      <c r="C516" s="16">
        <v>112</v>
      </c>
      <c r="D516" s="18" t="s">
        <v>496</v>
      </c>
      <c r="E516" s="16" t="s">
        <v>65</v>
      </c>
      <c r="F516" s="19">
        <v>9.24</v>
      </c>
      <c r="G516" s="32">
        <f>IF(B516="高三",IF($E516="男",LOOKUP(F516,[1]对照表!$G$3:$G$24,[1]对照表!$H$3:$H$24),LOOKUP(F516,[1]对照表!$G$27:$G$48,[1]对照表!$H$27:$H$48)),IF(B516="高二",IF($E516="男",LOOKUP(F516,[1]对照表!$F$3:$F$24,[1]对照表!$H$3:$H$24),LOOKUP(F516,[1]对照表!$F$27:$F$48,[1]对照表!$H$27:$H$48)),IF(B516="高一",IF($E516="男",LOOKUP(F516,[1]对照表!$E$3:$E$24,[1]对照表!$H$3:$H$24),LOOKUP(F516,[1]对照表!$E$27:$E$48,[1]对照表!$H$27:$H$48)))))</f>
        <v>72</v>
      </c>
      <c r="H516" s="21">
        <v>25</v>
      </c>
      <c r="I516" s="32">
        <f>IF(B516="高三",IF($E516="男",LOOKUP(H516,[1]对照表!$K$3:$K$24,[1]对照表!$L$3:$L$24),LOOKUP(H516,[1]对照表!$K$27:$K$48,[1]对照表!$L$27:$L$48)),IF(B516="高二",IF($E516="男",LOOKUP(H516,[1]对照表!$J$3:$J$24,[1]对照表!$L$3:$L$24),LOOKUP(H516,[1]对照表!$J$27:$J$48,[1]对照表!$L$27:$L$48)),IF(B516="高一",IF($E516="男",LOOKUP(H516,[1]对照表!$I$3:$I$24,[1]对照表!$L$3:$L$24),LOOKUP(H516,[1]对照表!$I$27:$I$48,[1]对照表!$L$27:$L$48)))))</f>
        <v>100</v>
      </c>
      <c r="J516" s="21">
        <v>164</v>
      </c>
      <c r="K516" s="32">
        <f>IF(B516="高三",IF($E516="男",LOOKUP(J516,[1]对照表!$O$3:$O$24,[1]对照表!$P$3:$P$24),LOOKUP(J516,[1]对照表!$O$27:$O$48,[1]对照表!$P$27:$P$48)),IF(B516="高二",IF($E516="男",LOOKUP(J516,[1]对照表!$N$3:$N$24,[1]对照表!$P$3:$P$24),LOOKUP(J516,[1]对照表!$N$27:$N$48,[1]对照表!$P$27:$P$48)),IF(B516="高一",IF($E516="男",LOOKUP(J516,[1]对照表!$M$3:$M$24,[1]对照表!$P$3:$P$24),LOOKUP(J516,[1]对照表!$M$27:$M$48,[1]对照表!$P$27:$P$48)))))</f>
        <v>70</v>
      </c>
      <c r="L516" s="21">
        <v>42</v>
      </c>
      <c r="M516" s="32">
        <f>IF(B516="高三",IF($E516="男",LOOKUP(L516,[1]对照表!$S$3:$S$24,[1]对照表!$T$3:$T$24),LOOKUP(L516,[1]对照表!$S$27:$S$48,[1]对照表!$T$27:$T$48)),IF(B516="高二",IF($E516="男",LOOKUP(L516,[1]对照表!$R$3:$R$24,[1]对照表!$T$3:$T$24),LOOKUP(L516,[1]对照表!$R$27:$R$48,[1]对照表!$T$27:$T$48)),IF(B516="高一",IF($E516="男",LOOKUP(L516,[1]对照表!$Q$3:$Q$24,[1]对照表!$T$3:$T$24),LOOKUP(L516,[1]对照表!$Q$27:$Q$48,[1]对照表!$T$27:$T$48)))))</f>
        <v>78</v>
      </c>
      <c r="N516" s="33">
        <f>IF(B516="高三",MAX(IF(E516="男",L516-18,L516-55),0),IF(B516="高二",MAX(IF(E516="男",L516-17,L516-54),0),IF(B516="高一",MAX(IF(E516="男",L516-16,L516-53),0))))</f>
        <v>0</v>
      </c>
      <c r="O516" s="23">
        <f>IF(E516="男",LOOKUP($N516,[1]对照表!$Z$3:$Z$13,[1]对照表!$AA$3:$AA$13),LOOKUP($N516,[1]对照表!$Z$15:$Z$25,[1]对照表!$AA$15:$AA$25))</f>
        <v>0</v>
      </c>
      <c r="P516" s="24">
        <f>M516+O516</f>
        <v>78</v>
      </c>
      <c r="Q516" s="25">
        <v>3.43</v>
      </c>
      <c r="R516" s="32">
        <f>IF(B516="高三",IF($E516="男",LOOKUP(Q516,[1]对照表!$W$3:$W$24,[1]对照表!$X$3:$X$24),LOOKUP(Q516,[1]对照表!$W$27:$W$48,[1]对照表!$X$27:$X$48)),IF(B516="高二",IF($E516="男",LOOKUP(Q516,[1]对照表!$V$3:$V$24,[1]对照表!$X$3:$X$24),LOOKUP(Q516,[1]对照表!$V$27:$V$48,[1]对照表!$X$27:$X$48)),IF(B516="高一",IF($E516="男",LOOKUP(Q516,[1]对照表!$U$3:$U$24,[1]对照表!$X$3:$X$24),LOOKUP(Q516,[1]对照表!$U$27:$U$48,[1]对照表!$X$27:$X$48)))))</f>
        <v>85</v>
      </c>
      <c r="S516" s="33">
        <f>ROUND(IF(IF($B516="高三",MIN(IF($E516="男",$Q516-3.2,$Q516-3.2),0),IF($B516="高二",MIN(IF($E516="男",$Q516-3.25,$Q516-3.22),0),IF($B516="高一",MIN(IF($E516="男",$Q516-3.3,$Q516-3.24),0))))&lt;-0.6,IF($B516="高三",MIN(IF($E516="男",$Q516-3.2,$Q516-3.2),0),IF($B516="高二",MIN(IF($E516="男",$Q516-3.25,$Q516-3.22),0),IF($B516="高一",MIN(IF($E516="男",$Q516-3.3,$Q516-3.24),0))))+0.4,IF($B516="高三",MIN(IF($E516="男",$Q516-3.2,$Q516-3.2),0),IF($B516="高二",MIN(IF($E516="男",$Q516-3.25,$Q516-3.22),0),IF($B516="高一",MIN(IF($E516="男",$Q516-3.3,$Q516-3.24),0))))),2)</f>
        <v>0</v>
      </c>
      <c r="T516" s="23">
        <f>IF(E516="男",LOOKUP($S516,[1]对照表!$AB$3:$AB$13,[1]对照表!$AC$3:$AC$13),LOOKUP($S516,[1]对照表!$AB$15:$AB$25,[1]对照表!$AC$15:$AC$25))</f>
        <v>0</v>
      </c>
      <c r="U516" s="26">
        <f>R516+T516</f>
        <v>85</v>
      </c>
      <c r="V516" s="26">
        <f>SUM(I516,K516,M516)/3*0.3+SUM(G516,R516)/2*0.4</f>
        <v>56.2</v>
      </c>
      <c r="W516" s="27">
        <f>O516+T516</f>
        <v>0</v>
      </c>
      <c r="X516" s="28">
        <f>V516/0.7+W516</f>
        <v>80.285714285714292</v>
      </c>
      <c r="Y516" s="28">
        <v>80.285714285714292</v>
      </c>
      <c r="Z516" s="25"/>
    </row>
    <row r="517" spans="1:26" x14ac:dyDescent="0.25">
      <c r="A517" s="16">
        <v>15</v>
      </c>
      <c r="B517" s="17" t="s">
        <v>21</v>
      </c>
      <c r="C517" s="16">
        <v>112</v>
      </c>
      <c r="D517" s="18" t="s">
        <v>532</v>
      </c>
      <c r="E517" s="16" t="s">
        <v>23</v>
      </c>
      <c r="F517" s="19">
        <v>8</v>
      </c>
      <c r="G517" s="32">
        <f>IF(B517="高三",IF($E517="男",LOOKUP(F517,[1]对照表!$G$3:$G$24,[1]对照表!$H$3:$H$24),LOOKUP(F517,[1]对照表!$G$27:$G$48,[1]对照表!$H$27:$H$48)),IF(B517="高二",IF($E517="男",LOOKUP(F517,[1]对照表!$F$3:$F$24,[1]对照表!$H$3:$H$24),LOOKUP(F517,[1]对照表!$F$27:$F$48,[1]对照表!$H$27:$H$48)),IF(B517="高一",IF($E517="男",LOOKUP(F517,[1]对照表!$E$3:$E$24,[1]对照表!$H$3:$H$24),LOOKUP(F517,[1]对照表!$E$27:$E$48,[1]对照表!$H$27:$H$48)))))</f>
        <v>74</v>
      </c>
      <c r="H517" s="21">
        <v>6.5</v>
      </c>
      <c r="I517" s="32">
        <f>IF(B517="高三",IF($E517="男",LOOKUP(H517,[1]对照表!$K$3:$K$24,[1]对照表!$L$3:$L$24),LOOKUP(H517,[1]对照表!$K$27:$K$48,[1]对照表!$L$27:$L$48)),IF(B517="高二",IF($E517="男",LOOKUP(H517,[1]对照表!$J$3:$J$24,[1]对照表!$L$3:$L$24),LOOKUP(H517,[1]对照表!$J$27:$J$48,[1]对照表!$L$27:$L$48)),IF(B517="高一",IF($E517="男",LOOKUP(H517,[1]对照表!$I$3:$I$24,[1]对照表!$L$3:$L$24),LOOKUP(H517,[1]对照表!$I$27:$I$48,[1]对照表!$L$27:$L$48)))))</f>
        <v>66</v>
      </c>
      <c r="J517" s="21">
        <v>225</v>
      </c>
      <c r="K517" s="32">
        <f>IF(B517="高三",IF($E517="男",LOOKUP(J517,[1]对照表!$O$3:$O$24,[1]对照表!$P$3:$P$24),LOOKUP(J517,[1]对照表!$O$27:$O$48,[1]对照表!$P$27:$P$48)),IF(B517="高二",IF($E517="男",LOOKUP(J517,[1]对照表!$N$3:$N$24,[1]对照表!$P$3:$P$24),LOOKUP(J517,[1]对照表!$N$27:$N$48,[1]对照表!$P$27:$P$48)),IF(B517="高一",IF($E517="男",LOOKUP(J517,[1]对照表!$M$3:$M$24,[1]对照表!$P$3:$P$24),LOOKUP(J517,[1]对照表!$M$27:$M$48,[1]对照表!$P$27:$P$48)))))</f>
        <v>74</v>
      </c>
      <c r="L517" s="21">
        <v>6</v>
      </c>
      <c r="M517" s="32">
        <f>IF(B517="高三",IF($E517="男",LOOKUP(L517,[1]对照表!$S$3:$S$24,[1]对照表!$T$3:$T$24),LOOKUP(L517,[1]对照表!$S$27:$S$48,[1]对照表!$T$27:$T$48)),IF(B517="高二",IF($E517="男",LOOKUP(L517,[1]对照表!$R$3:$R$24,[1]对照表!$T$3:$T$24),LOOKUP(L517,[1]对照表!$R$27:$R$48,[1]对照表!$T$27:$T$48)),IF(B517="高一",IF($E517="男",LOOKUP(L517,[1]对照表!$Q$3:$Q$24,[1]对照表!$T$3:$T$24),LOOKUP(L517,[1]对照表!$Q$27:$Q$48,[1]对照表!$T$27:$T$48)))))</f>
        <v>50</v>
      </c>
      <c r="N517" s="33">
        <f>IF(B517="高三",MAX(IF(E517="男",L517-18,L517-55),0),IF(B517="高二",MAX(IF(E517="男",L517-17,L517-54),0),IF(B517="高一",MAX(IF(E517="男",L517-16,L517-53),0))))</f>
        <v>0</v>
      </c>
      <c r="O517" s="23">
        <f>IF(E517="男",LOOKUP($N517,[1]对照表!$Z$3:$Z$13,[1]对照表!$AA$3:$AA$13),LOOKUP($N517,[1]对照表!$Z$15:$Z$25,[1]对照表!$AA$15:$AA$25))</f>
        <v>0</v>
      </c>
      <c r="P517" s="24">
        <f>M517+O517</f>
        <v>50</v>
      </c>
      <c r="Q517" s="25">
        <v>4.2699999999999996</v>
      </c>
      <c r="R517" s="32">
        <f>IF(B517="高三",IF($E517="男",LOOKUP(Q517,[1]对照表!$W$3:$W$24,[1]对照表!$X$3:$X$24),LOOKUP(Q517,[1]对照表!$W$27:$W$48,[1]对照表!$X$27:$X$48)),IF(B517="高二",IF($E517="男",LOOKUP(Q517,[1]对照表!$V$3:$V$24,[1]对照表!$X$3:$X$24),LOOKUP(Q517,[1]对照表!$V$27:$V$48,[1]对照表!$X$27:$X$48)),IF(B517="高一",IF($E517="男",LOOKUP(Q517,[1]对照表!$U$3:$U$24,[1]对照表!$X$3:$X$24),LOOKUP(Q517,[1]对照表!$U$27:$U$48,[1]对照表!$X$27:$X$48)))))</f>
        <v>66</v>
      </c>
      <c r="S517" s="33">
        <f>ROUND(IF(IF($B517="高三",MIN(IF($E517="男",$Q517-3.2,$Q517-3.2),0),IF($B517="高二",MIN(IF($E517="男",$Q517-3.25,$Q517-3.22),0),IF($B517="高一",MIN(IF($E517="男",$Q517-3.3,$Q517-3.24),0))))&lt;-0.6,IF($B517="高三",MIN(IF($E517="男",$Q517-3.2,$Q517-3.2),0),IF($B517="高二",MIN(IF($E517="男",$Q517-3.25,$Q517-3.22),0),IF($B517="高一",MIN(IF($E517="男",$Q517-3.3,$Q517-3.24),0))))+0.4,IF($B517="高三",MIN(IF($E517="男",$Q517-3.2,$Q517-3.2),0),IF($B517="高二",MIN(IF($E517="男",$Q517-3.25,$Q517-3.22),0),IF($B517="高一",MIN(IF($E517="男",$Q517-3.3,$Q517-3.24),0))))),2)</f>
        <v>0</v>
      </c>
      <c r="T517" s="23">
        <f>IF(E517="男",LOOKUP($S517,[1]对照表!$AB$3:$AB$13,[1]对照表!$AC$3:$AC$13),LOOKUP($S517,[1]对照表!$AB$15:$AB$25,[1]对照表!$AC$15:$AC$25))</f>
        <v>0</v>
      </c>
      <c r="U517" s="26">
        <f>R517+T517</f>
        <v>66</v>
      </c>
      <c r="V517" s="26">
        <f>SUM(I517,K517,M517)/3*0.3+SUM(G517,R517)/2*0.4</f>
        <v>47</v>
      </c>
      <c r="W517" s="27">
        <f>O517+T517</f>
        <v>0</v>
      </c>
      <c r="X517" s="28">
        <f>V517/0.7+W517</f>
        <v>67.142857142857153</v>
      </c>
      <c r="Y517" s="28">
        <v>67.142857142857153</v>
      </c>
      <c r="Z517" s="21"/>
    </row>
    <row r="518" spans="1:26" x14ac:dyDescent="0.25">
      <c r="A518" s="16">
        <v>33</v>
      </c>
      <c r="B518" s="17" t="s">
        <v>21</v>
      </c>
      <c r="C518" s="16">
        <v>112</v>
      </c>
      <c r="D518" s="18" t="s">
        <v>566</v>
      </c>
      <c r="E518" s="17" t="s">
        <v>23</v>
      </c>
      <c r="F518" s="19">
        <v>8.1999999999999993</v>
      </c>
      <c r="G518" s="32">
        <f>IF(B518="高三",IF($E518="男",LOOKUP(F518,[1]对照表!$G$3:$G$24,[1]对照表!$H$3:$H$24),LOOKUP(F518,[1]对照表!$G$27:$G$48,[1]对照表!$H$27:$H$48)),IF(B518="高二",IF($E518="男",LOOKUP(F518,[1]对照表!$F$3:$F$24,[1]对照表!$H$3:$H$24),LOOKUP(F518,[1]对照表!$F$27:$F$48,[1]对照表!$H$27:$H$48)),IF(B518="高一",IF($E518="男",LOOKUP(F518,[1]对照表!$E$3:$E$24,[1]对照表!$H$3:$H$24),LOOKUP(F518,[1]对照表!$E$27:$E$48,[1]对照表!$H$27:$H$48)))))</f>
        <v>72</v>
      </c>
      <c r="H518" s="21">
        <v>8.5</v>
      </c>
      <c r="I518" s="32">
        <f>IF(B518="高三",IF($E518="男",LOOKUP(H518,[1]对照表!$K$3:$K$24,[1]对照表!$L$3:$L$24),LOOKUP(H518,[1]对照表!$K$27:$K$48,[1]对照表!$L$27:$L$48)),IF(B518="高二",IF($E518="男",LOOKUP(H518,[1]对照表!$J$3:$J$24,[1]对照表!$L$3:$L$24),LOOKUP(H518,[1]对照表!$J$27:$J$48,[1]对照表!$L$27:$L$48)),IF(B518="高一",IF($E518="男",LOOKUP(H518,[1]对照表!$I$3:$I$24,[1]对照表!$L$3:$L$24),LOOKUP(H518,[1]对照表!$I$27:$I$48,[1]对照表!$L$27:$L$48)))))</f>
        <v>70</v>
      </c>
      <c r="J518" s="21">
        <v>223</v>
      </c>
      <c r="K518" s="32">
        <f>IF(B518="高三",IF($E518="男",LOOKUP(J518,[1]对照表!$O$3:$O$24,[1]对照表!$P$3:$P$24),LOOKUP(J518,[1]对照表!$O$27:$O$48,[1]对照表!$P$27:$P$48)),IF(B518="高二",IF($E518="男",LOOKUP(J518,[1]对照表!$N$3:$N$24,[1]对照表!$P$3:$P$24),LOOKUP(J518,[1]对照表!$N$27:$N$48,[1]对照表!$P$27:$P$48)),IF(B518="高一",IF($E518="男",LOOKUP(J518,[1]对照表!$M$3:$M$24,[1]对照表!$P$3:$P$24),LOOKUP(J518,[1]对照表!$M$27:$M$48,[1]对照表!$P$27:$P$48)))))</f>
        <v>74</v>
      </c>
      <c r="L518" s="21">
        <v>1</v>
      </c>
      <c r="M518" s="32">
        <f>IF(B518="高三",IF($E518="男",LOOKUP(L518,[1]对照表!$S$3:$S$24,[1]对照表!$T$3:$T$24),LOOKUP(L518,[1]对照表!$S$27:$S$48,[1]对照表!$T$27:$T$48)),IF(B518="高二",IF($E518="男",LOOKUP(L518,[1]对照表!$R$3:$R$24,[1]对照表!$T$3:$T$24),LOOKUP(L518,[1]对照表!$R$27:$R$48,[1]对照表!$T$27:$T$48)),IF(B518="高一",IF($E518="男",LOOKUP(L518,[1]对照表!$Q$3:$Q$24,[1]对照表!$T$3:$T$24),LOOKUP(L518,[1]对照表!$Q$27:$Q$48,[1]对照表!$T$27:$T$48)))))</f>
        <v>0</v>
      </c>
      <c r="N518" s="33">
        <f>IF(B518="高三",MAX(IF(E518="男",L518-18,L518-55),0),IF(B518="高二",MAX(IF(E518="男",L518-17,L518-54),0),IF(B518="高一",MAX(IF(E518="男",L518-16,L518-53),0))))</f>
        <v>0</v>
      </c>
      <c r="O518" s="23">
        <f>IF(E518="男",LOOKUP($N518,[1]对照表!$Z$3:$Z$13,[1]对照表!$AA$3:$AA$13),LOOKUP($N518,[1]对照表!$Z$15:$Z$25,[1]对照表!$AA$15:$AA$25))</f>
        <v>0</v>
      </c>
      <c r="P518" s="24">
        <f>M518+O518</f>
        <v>0</v>
      </c>
      <c r="Q518" s="25">
        <v>4.12</v>
      </c>
      <c r="R518" s="32">
        <f>IF(B518="高三",IF($E518="男",LOOKUP(Q518,[1]对照表!$W$3:$W$24,[1]对照表!$X$3:$X$24),LOOKUP(Q518,[1]对照表!$W$27:$W$48,[1]对照表!$X$27:$X$48)),IF(B518="高二",IF($E518="男",LOOKUP(Q518,[1]对照表!$V$3:$V$24,[1]对照表!$X$3:$X$24),LOOKUP(Q518,[1]对照表!$V$27:$V$48,[1]对照表!$X$27:$X$48)),IF(B518="高一",IF($E518="男",LOOKUP(Q518,[1]对照表!$U$3:$U$24,[1]对照表!$X$3:$X$24),LOOKUP(Q518,[1]对照表!$U$27:$U$48,[1]对照表!$X$27:$X$48)))))</f>
        <v>72</v>
      </c>
      <c r="S518" s="33">
        <f>ROUND(IF(IF($B518="高三",MIN(IF($E518="男",$Q518-3.2,$Q518-3.2),0),IF($B518="高二",MIN(IF($E518="男",$Q518-3.25,$Q518-3.22),0),IF($B518="高一",MIN(IF($E518="男",$Q518-3.3,$Q518-3.24),0))))&lt;-0.6,IF($B518="高三",MIN(IF($E518="男",$Q518-3.2,$Q518-3.2),0),IF($B518="高二",MIN(IF($E518="男",$Q518-3.25,$Q518-3.22),0),IF($B518="高一",MIN(IF($E518="男",$Q518-3.3,$Q518-3.24),0))))+0.4,IF($B518="高三",MIN(IF($E518="男",$Q518-3.2,$Q518-3.2),0),IF($B518="高二",MIN(IF($E518="男",$Q518-3.25,$Q518-3.22),0),IF($B518="高一",MIN(IF($E518="男",$Q518-3.3,$Q518-3.24),0))))),2)</f>
        <v>0</v>
      </c>
      <c r="T518" s="23">
        <f>IF(E518="男",LOOKUP($S518,[1]对照表!$AB$3:$AB$13,[1]对照表!$AC$3:$AC$13),LOOKUP($S518,[1]对照表!$AB$15:$AB$25,[1]对照表!$AC$15:$AC$25))</f>
        <v>0</v>
      </c>
      <c r="U518" s="26">
        <f>R518+T518</f>
        <v>72</v>
      </c>
      <c r="V518" s="26">
        <f>SUM(I518,K518,M518)/3*0.3+SUM(G518,R518)/2*0.4</f>
        <v>43.2</v>
      </c>
      <c r="W518" s="27">
        <f>O518+T518</f>
        <v>0</v>
      </c>
      <c r="X518" s="28">
        <f>V518/0.7+W518</f>
        <v>61.714285714285722</v>
      </c>
      <c r="Y518" s="28">
        <v>61.714285714285722</v>
      </c>
      <c r="Z518" s="21"/>
    </row>
    <row r="519" spans="1:26" x14ac:dyDescent="0.25">
      <c r="A519" s="16">
        <v>22</v>
      </c>
      <c r="B519" s="17" t="s">
        <v>21</v>
      </c>
      <c r="C519" s="16">
        <v>112</v>
      </c>
      <c r="D519" s="18" t="s">
        <v>576</v>
      </c>
      <c r="E519" s="35" t="s">
        <v>23</v>
      </c>
      <c r="F519" s="19">
        <v>7.6</v>
      </c>
      <c r="G519" s="32">
        <f>IF(B519="高三",IF($E519="男",LOOKUP(F519,[1]对照表!$G$3:$G$24,[1]对照表!$H$3:$H$24),LOOKUP(F519,[1]对照表!$G$27:$G$48,[1]对照表!$H$27:$H$48)),IF(B519="高二",IF($E519="男",LOOKUP(F519,[1]对照表!$F$3:$F$24,[1]对照表!$H$3:$H$24),LOOKUP(F519,[1]对照表!$F$27:$F$48,[1]对照表!$H$27:$H$48)),IF(B519="高一",IF($E519="男",LOOKUP(F519,[1]对照表!$E$3:$E$24,[1]对照表!$H$3:$H$24),LOOKUP(F519,[1]对照表!$E$27:$E$48,[1]对照表!$H$27:$H$48)))))</f>
        <v>78</v>
      </c>
      <c r="H519" s="21">
        <v>0.6</v>
      </c>
      <c r="I519" s="32">
        <f>IF(B519="高三",IF($E519="男",LOOKUP(H519,[1]对照表!$K$3:$K$24,[1]对照表!$L$3:$L$24),LOOKUP(H519,[1]对照表!$K$27:$K$48,[1]对照表!$L$27:$L$48)),IF(B519="高二",IF($E519="男",LOOKUP(H519,[1]对照表!$J$3:$J$24,[1]对照表!$L$3:$L$24),LOOKUP(H519,[1]对照表!$J$27:$J$48,[1]对照表!$L$27:$L$48)),IF(B519="高一",IF($E519="男",LOOKUP(H519,[1]对照表!$I$3:$I$24,[1]对照表!$L$3:$L$24),LOOKUP(H519,[1]对照表!$I$27:$I$48,[1]对照表!$L$27:$L$48)))))</f>
        <v>50</v>
      </c>
      <c r="J519" s="21">
        <v>223</v>
      </c>
      <c r="K519" s="32">
        <f>IF(B519="高三",IF($E519="男",LOOKUP(J519,[1]对照表!$O$3:$O$24,[1]对照表!$P$3:$P$24),LOOKUP(J519,[1]对照表!$O$27:$O$48,[1]对照表!$P$27:$P$48)),IF(B519="高二",IF($E519="男",LOOKUP(J519,[1]对照表!$N$3:$N$24,[1]对照表!$P$3:$P$24),LOOKUP(J519,[1]对照表!$N$27:$N$48,[1]对照表!$P$27:$P$48)),IF(B519="高一",IF($E519="男",LOOKUP(J519,[1]对照表!$M$3:$M$24,[1]对照表!$P$3:$P$24),LOOKUP(J519,[1]对照表!$M$27:$M$48,[1]对照表!$P$27:$P$48)))))</f>
        <v>74</v>
      </c>
      <c r="L519" s="21">
        <v>0</v>
      </c>
      <c r="M519" s="32">
        <f>IF(B519="高三",IF($E519="男",LOOKUP(L519,[1]对照表!$S$3:$S$24,[1]对照表!$T$3:$T$24),LOOKUP(L519,[1]对照表!$S$27:$S$48,[1]对照表!$T$27:$T$48)),IF(B519="高二",IF($E519="男",LOOKUP(L519,[1]对照表!$R$3:$R$24,[1]对照表!$T$3:$T$24),LOOKUP(L519,[1]对照表!$R$27:$R$48,[1]对照表!$T$27:$T$48)),IF(B519="高一",IF($E519="男",LOOKUP(L519,[1]对照表!$Q$3:$Q$24,[1]对照表!$T$3:$T$24),LOOKUP(L519,[1]对照表!$Q$27:$Q$48,[1]对照表!$T$27:$T$48)))))</f>
        <v>0</v>
      </c>
      <c r="N519" s="33">
        <f>IF(B519="高三",MAX(IF(E519="男",L519-18,L519-55),0),IF(B519="高二",MAX(IF(E519="男",L519-17,L519-54),0),IF(B519="高一",MAX(IF(E519="男",L519-16,L519-53),0))))</f>
        <v>0</v>
      </c>
      <c r="O519" s="23">
        <f>IF(E519="男",LOOKUP($N519,[1]对照表!$Z$3:$Z$13,[1]对照表!$AA$3:$AA$13),LOOKUP($N519,[1]对照表!$Z$15:$Z$25,[1]对照表!$AA$15:$AA$25))</f>
        <v>0</v>
      </c>
      <c r="P519" s="24">
        <f>M519+O519</f>
        <v>0</v>
      </c>
      <c r="Q519" s="25">
        <v>4.29</v>
      </c>
      <c r="R519" s="32">
        <f>IF(B519="高三",IF($E519="男",LOOKUP(Q519,[1]对照表!$W$3:$W$24,[1]对照表!$X$3:$X$24),LOOKUP(Q519,[1]对照表!$W$27:$W$48,[1]对照表!$X$27:$X$48)),IF(B519="高二",IF($E519="男",LOOKUP(Q519,[1]对照表!$V$3:$V$24,[1]对照表!$X$3:$X$24),LOOKUP(Q519,[1]对照表!$V$27:$V$48,[1]对照表!$X$27:$X$48)),IF(B519="高一",IF($E519="男",LOOKUP(Q519,[1]对照表!$U$3:$U$24,[1]对照表!$X$3:$X$24),LOOKUP(Q519,[1]对照表!$U$27:$U$48,[1]对照表!$X$27:$X$48)))))</f>
        <v>66</v>
      </c>
      <c r="S519" s="33">
        <f>ROUND(IF(IF($B519="高三",MIN(IF($E519="男",$Q519-3.2,$Q519-3.2),0),IF($B519="高二",MIN(IF($E519="男",$Q519-3.25,$Q519-3.22),0),IF($B519="高一",MIN(IF($E519="男",$Q519-3.3,$Q519-3.24),0))))&lt;-0.6,IF($B519="高三",MIN(IF($E519="男",$Q519-3.2,$Q519-3.2),0),IF($B519="高二",MIN(IF($E519="男",$Q519-3.25,$Q519-3.22),0),IF($B519="高一",MIN(IF($E519="男",$Q519-3.3,$Q519-3.24),0))))+0.4,IF($B519="高三",MIN(IF($E519="男",$Q519-3.2,$Q519-3.2),0),IF($B519="高二",MIN(IF($E519="男",$Q519-3.25,$Q519-3.22),0),IF($B519="高一",MIN(IF($E519="男",$Q519-3.3,$Q519-3.24),0))))),2)</f>
        <v>0</v>
      </c>
      <c r="T519" s="23">
        <f>IF(E519="男",LOOKUP($S519,[1]对照表!$AB$3:$AB$13,[1]对照表!$AC$3:$AC$13),LOOKUP($S519,[1]对照表!$AB$15:$AB$25,[1]对照表!$AC$15:$AC$25))</f>
        <v>0</v>
      </c>
      <c r="U519" s="26">
        <f>R519+T519</f>
        <v>66</v>
      </c>
      <c r="V519" s="26">
        <f>SUM(I519,K519,M519)/3*0.3+SUM(G519,R519)/2*0.4</f>
        <v>41.2</v>
      </c>
      <c r="W519" s="27">
        <f>O519+T519</f>
        <v>0</v>
      </c>
      <c r="X519" s="28">
        <f>V519/0.7+W519</f>
        <v>58.857142857142868</v>
      </c>
      <c r="Y519" s="28">
        <v>58.857142857142868</v>
      </c>
      <c r="Z519" s="21"/>
    </row>
    <row r="520" spans="1:26" x14ac:dyDescent="0.25">
      <c r="A520" s="16">
        <v>6</v>
      </c>
      <c r="B520" s="17" t="s">
        <v>21</v>
      </c>
      <c r="C520" s="16">
        <v>112</v>
      </c>
      <c r="D520" s="18" t="s">
        <v>628</v>
      </c>
      <c r="E520" s="16" t="s">
        <v>23</v>
      </c>
      <c r="F520" s="19">
        <v>8.1999999999999993</v>
      </c>
      <c r="G520" s="32">
        <f>IF(B520="高三",IF($E520="男",LOOKUP(F520,[1]对照表!$G$3:$G$24,[1]对照表!$H$3:$H$24),LOOKUP(F520,[1]对照表!$G$27:$G$48,[1]对照表!$H$27:$H$48)),IF(B520="高二",IF($E520="男",LOOKUP(F520,[1]对照表!$F$3:$F$24,[1]对照表!$H$3:$H$24),LOOKUP(F520,[1]对照表!$F$27:$F$48,[1]对照表!$H$27:$H$48)),IF(B520="高一",IF($E520="男",LOOKUP(F520,[1]对照表!$E$3:$E$24,[1]对照表!$H$3:$H$24),LOOKUP(F520,[1]对照表!$E$27:$E$48,[1]对照表!$H$27:$H$48)))))</f>
        <v>72</v>
      </c>
      <c r="H520" s="21">
        <v>12.1</v>
      </c>
      <c r="I520" s="32">
        <f>IF(B520="高三",IF($E520="男",LOOKUP(H520,[1]对照表!$K$3:$K$24,[1]对照表!$L$3:$L$24),LOOKUP(H520,[1]对照表!$K$27:$K$48,[1]对照表!$L$27:$L$48)),IF(B520="高二",IF($E520="男",LOOKUP(H520,[1]对照表!$J$3:$J$24,[1]对照表!$L$3:$L$24),LOOKUP(H520,[1]对照表!$J$27:$J$48,[1]对照表!$L$27:$L$48)),IF(B520="高一",IF($E520="男",LOOKUP(H520,[1]对照表!$I$3:$I$24,[1]对照表!$L$3:$L$24),LOOKUP(H520,[1]对照表!$I$27:$I$48,[1]对照表!$L$27:$L$48)))))</f>
        <v>74</v>
      </c>
      <c r="J520" s="21">
        <v>195</v>
      </c>
      <c r="K520" s="32">
        <f>IF(B520="高三",IF($E520="男",LOOKUP(J520,[1]对照表!$O$3:$O$24,[1]对照表!$P$3:$P$24),LOOKUP(J520,[1]对照表!$O$27:$O$48,[1]对照表!$P$27:$P$48)),IF(B520="高二",IF($E520="男",LOOKUP(J520,[1]对照表!$N$3:$N$24,[1]对照表!$P$3:$P$24),LOOKUP(J520,[1]对照表!$N$27:$N$48,[1]对照表!$P$27:$P$48)),IF(B520="高一",IF($E520="男",LOOKUP(J520,[1]对照表!$M$3:$M$24,[1]对照表!$P$3:$P$24),LOOKUP(J520,[1]对照表!$M$27:$M$48,[1]对照表!$P$27:$P$48)))))</f>
        <v>60</v>
      </c>
      <c r="L520" s="21">
        <v>0</v>
      </c>
      <c r="M520" s="32">
        <f>IF(B520="高三",IF($E520="男",LOOKUP(L520,[1]对照表!$S$3:$S$24,[1]对照表!$T$3:$T$24),LOOKUP(L520,[1]对照表!$S$27:$S$48,[1]对照表!$T$27:$T$48)),IF(B520="高二",IF($E520="男",LOOKUP(L520,[1]对照表!$R$3:$R$24,[1]对照表!$T$3:$T$24),LOOKUP(L520,[1]对照表!$R$27:$R$48,[1]对照表!$T$27:$T$48)),IF(B520="高一",IF($E520="男",LOOKUP(L520,[1]对照表!$Q$3:$Q$24,[1]对照表!$T$3:$T$24),LOOKUP(L520,[1]对照表!$Q$27:$Q$48,[1]对照表!$T$27:$T$48)))))</f>
        <v>0</v>
      </c>
      <c r="N520" s="33">
        <f>IF(B520="高三",MAX(IF(E520="男",L520-18,L520-55),0),IF(B520="高二",MAX(IF(E520="男",L520-17,L520-54),0),IF(B520="高一",MAX(IF(E520="男",L520-16,L520-53),0))))</f>
        <v>0</v>
      </c>
      <c r="O520" s="23">
        <f>IF(E520="男",LOOKUP($N520,[1]对照表!$Z$3:$Z$13,[1]对照表!$AA$3:$AA$13),LOOKUP($N520,[1]对照表!$Z$15:$Z$25,[1]对照表!$AA$15:$AA$25))</f>
        <v>0</v>
      </c>
      <c r="P520" s="24">
        <f>M520+O520</f>
        <v>0</v>
      </c>
      <c r="Q520" s="25">
        <v>5.27</v>
      </c>
      <c r="R520" s="32">
        <f>IF(B520="高三",IF($E520="男",LOOKUP(Q520,[1]对照表!$W$3:$W$24,[1]对照表!$X$3:$X$24),LOOKUP(Q520,[1]对照表!$W$27:$W$48,[1]对照表!$X$27:$X$48)),IF(B520="高二",IF($E520="男",LOOKUP(Q520,[1]对照表!$V$3:$V$24,[1]对照表!$X$3:$X$24),LOOKUP(Q520,[1]对照表!$V$27:$V$48,[1]对照表!$X$27:$X$48)),IF(B520="高一",IF($E520="男",LOOKUP(Q520,[1]对照表!$U$3:$U$24,[1]对照表!$X$3:$X$24),LOOKUP(Q520,[1]对照表!$U$27:$U$48,[1]对照表!$X$27:$X$48)))))</f>
        <v>30</v>
      </c>
      <c r="S520" s="33">
        <f>ROUND(IF(IF($B520="高三",MIN(IF($E520="男",$Q520-3.2,$Q520-3.2),0),IF($B520="高二",MIN(IF($E520="男",$Q520-3.25,$Q520-3.22),0),IF($B520="高一",MIN(IF($E520="男",$Q520-3.3,$Q520-3.24),0))))&lt;-0.6,IF($B520="高三",MIN(IF($E520="男",$Q520-3.2,$Q520-3.2),0),IF($B520="高二",MIN(IF($E520="男",$Q520-3.25,$Q520-3.22),0),IF($B520="高一",MIN(IF($E520="男",$Q520-3.3,$Q520-3.24),0))))+0.4,IF($B520="高三",MIN(IF($E520="男",$Q520-3.2,$Q520-3.2),0),IF($B520="高二",MIN(IF($E520="男",$Q520-3.25,$Q520-3.22),0),IF($B520="高一",MIN(IF($E520="男",$Q520-3.3,$Q520-3.24),0))))),2)</f>
        <v>0</v>
      </c>
      <c r="T520" s="23">
        <f>IF(E520="男",LOOKUP($S520,[1]对照表!$AB$3:$AB$13,[1]对照表!$AC$3:$AC$13),LOOKUP($S520,[1]对照表!$AB$15:$AB$25,[1]对照表!$AC$15:$AC$25))</f>
        <v>0</v>
      </c>
      <c r="U520" s="26">
        <f>R520+T520</f>
        <v>30</v>
      </c>
      <c r="V520" s="26">
        <f>SUM(I520,K520,M520)/3*0.3+SUM(G520,R520)/2*0.4</f>
        <v>33.799999999999997</v>
      </c>
      <c r="W520" s="27">
        <f>O520+T520</f>
        <v>0</v>
      </c>
      <c r="X520" s="28">
        <f>V520/0.7+W520</f>
        <v>48.285714285714285</v>
      </c>
      <c r="Y520" s="29">
        <v>50</v>
      </c>
      <c r="Z520" s="21"/>
    </row>
    <row r="521" spans="1:26" x14ac:dyDescent="0.25">
      <c r="A521" s="16">
        <v>23</v>
      </c>
      <c r="B521" s="17" t="s">
        <v>21</v>
      </c>
      <c r="C521" s="16">
        <v>112</v>
      </c>
      <c r="D521" s="18" t="s">
        <v>630</v>
      </c>
      <c r="E521" s="31" t="s">
        <v>23</v>
      </c>
      <c r="F521" s="19">
        <v>7.62</v>
      </c>
      <c r="G521" s="32">
        <f>IF(B521="高三",IF($E521="男",LOOKUP(F521,[1]对照表!$G$3:$G$24,[1]对照表!$H$3:$H$24),LOOKUP(F521,[1]对照表!$G$27:$G$48,[1]对照表!$H$27:$H$48)),IF(B521="高二",IF($E521="男",LOOKUP(F521,[1]对照表!$F$3:$F$24,[1]对照表!$H$3:$H$24),LOOKUP(F521,[1]对照表!$F$27:$F$48,[1]对照表!$H$27:$H$48)),IF(B521="高一",IF($E521="男",LOOKUP(F521,[1]对照表!$E$3:$E$24,[1]对照表!$H$3:$H$24),LOOKUP(F521,[1]对照表!$E$27:$E$48,[1]对照表!$H$27:$H$48)))))</f>
        <v>78</v>
      </c>
      <c r="H521" s="21">
        <v>9.3000000000000007</v>
      </c>
      <c r="I521" s="32">
        <f>IF(B521="高三",IF($E521="男",LOOKUP(H521,[1]对照表!$K$3:$K$24,[1]对照表!$L$3:$L$24),LOOKUP(H521,[1]对照表!$K$27:$K$48,[1]对照表!$L$27:$L$48)),IF(B521="高二",IF($E521="男",LOOKUP(H521,[1]对照表!$J$3:$J$24,[1]对照表!$L$3:$L$24),LOOKUP(H521,[1]对照表!$J$27:$J$48,[1]对照表!$L$27:$L$48)),IF(B521="高一",IF($E521="男",LOOKUP(H521,[1]对照表!$I$3:$I$24,[1]对照表!$L$3:$L$24),LOOKUP(H521,[1]对照表!$I$27:$I$48,[1]对照表!$L$27:$L$48)))))</f>
        <v>70</v>
      </c>
      <c r="J521" s="21">
        <v>220</v>
      </c>
      <c r="K521" s="32">
        <f>IF(B521="高三",IF($E521="男",LOOKUP(J521,[1]对照表!$O$3:$O$24,[1]对照表!$P$3:$P$24),LOOKUP(J521,[1]对照表!$O$27:$O$48,[1]对照表!$P$27:$P$48)),IF(B521="高二",IF($E521="男",LOOKUP(J521,[1]对照表!$N$3:$N$24,[1]对照表!$P$3:$P$24),LOOKUP(J521,[1]对照表!$N$27:$N$48,[1]对照表!$P$27:$P$48)),IF(B521="高一",IF($E521="男",LOOKUP(J521,[1]对照表!$M$3:$M$24,[1]对照表!$P$3:$P$24),LOOKUP(J521,[1]对照表!$M$27:$M$48,[1]对照表!$P$27:$P$48)))))</f>
        <v>72</v>
      </c>
      <c r="L521" s="21">
        <v>5</v>
      </c>
      <c r="M521" s="32">
        <f>IF(B521="高三",IF($E521="男",LOOKUP(L521,[1]对照表!$S$3:$S$24,[1]对照表!$T$3:$T$24),LOOKUP(L521,[1]对照表!$S$27:$S$48,[1]对照表!$T$27:$T$48)),IF(B521="高二",IF($E521="男",LOOKUP(L521,[1]对照表!$R$3:$R$24,[1]对照表!$T$3:$T$24),LOOKUP(L521,[1]对照表!$R$27:$R$48,[1]对照表!$T$27:$T$48)),IF(B521="高一",IF($E521="男",LOOKUP(L521,[1]对照表!$Q$3:$Q$24,[1]对照表!$T$3:$T$24),LOOKUP(L521,[1]对照表!$Q$27:$Q$48,[1]对照表!$T$27:$T$48)))))</f>
        <v>40</v>
      </c>
      <c r="N521" s="33">
        <f>IF(B521="高三",MAX(IF(E521="男",L521-18,L521-55),0),IF(B521="高二",MAX(IF(E521="男",L521-17,L521-54),0),IF(B521="高一",MAX(IF(E521="男",L521-16,L521-53),0))))</f>
        <v>0</v>
      </c>
      <c r="O521" s="23">
        <f>IF(E521="男",LOOKUP($N521,[1]对照表!$Z$3:$Z$13,[1]对照表!$AA$3:$AA$13),LOOKUP($N521,[1]对照表!$Z$15:$Z$25,[1]对照表!$AA$15:$AA$25))</f>
        <v>0</v>
      </c>
      <c r="P521" s="24">
        <f>M521+O521</f>
        <v>40</v>
      </c>
      <c r="Q521" s="25"/>
      <c r="R521" s="20">
        <v>0</v>
      </c>
      <c r="S521" s="22">
        <v>0</v>
      </c>
      <c r="T521" s="23">
        <f>IF(E521="男",LOOKUP($S521,[1]对照表!$AB$3:$AB$13,[1]对照表!$AC$3:$AC$13),LOOKUP($S521,[1]对照表!$AB$15:$AB$25,[1]对照表!$AC$15:$AC$25))</f>
        <v>0</v>
      </c>
      <c r="U521" s="26">
        <f>R521+T521</f>
        <v>0</v>
      </c>
      <c r="V521" s="26">
        <f>SUM(I521,K521,M521)/3*0.3+SUM(G521,R521)/2*0.4</f>
        <v>33.799999999999997</v>
      </c>
      <c r="W521" s="27">
        <f>O521+T521</f>
        <v>0</v>
      </c>
      <c r="X521" s="28">
        <f>V521/0.7+W521</f>
        <v>48.285714285714285</v>
      </c>
      <c r="Y521" s="29">
        <v>50</v>
      </c>
      <c r="Z521" s="21"/>
    </row>
    <row r="522" spans="1:26" x14ac:dyDescent="0.25">
      <c r="A522" s="16">
        <v>41</v>
      </c>
      <c r="B522" s="17" t="s">
        <v>21</v>
      </c>
      <c r="C522" s="16">
        <v>112</v>
      </c>
      <c r="D522" s="18" t="s">
        <v>654</v>
      </c>
      <c r="E522" s="16" t="s">
        <v>65</v>
      </c>
      <c r="F522" s="19">
        <v>10.93</v>
      </c>
      <c r="G522" s="32">
        <f>IF(B522="高三",IF($E522="男",LOOKUP(F522,[1]对照表!$G$3:$G$24,[1]对照表!$H$3:$H$24),LOOKUP(F522,[1]对照表!$G$27:$G$48,[1]对照表!$H$27:$H$48)),IF(B522="高二",IF($E522="男",LOOKUP(F522,[1]对照表!$F$3:$F$24,[1]对照表!$H$3:$H$24),LOOKUP(F522,[1]对照表!$F$27:$F$48,[1]对照表!$H$27:$H$48)),IF(B522="高一",IF($E522="男",LOOKUP(F522,[1]对照表!$E$3:$E$24,[1]对照表!$H$3:$H$24),LOOKUP(F522,[1]对照表!$E$27:$E$48,[1]对照表!$H$27:$H$48)))))</f>
        <v>40</v>
      </c>
      <c r="H522" s="21">
        <v>14</v>
      </c>
      <c r="I522" s="32">
        <f>IF(B522="高三",IF($E522="男",LOOKUP(H522,[1]对照表!$K$3:$K$24,[1]对照表!$L$3:$L$24),LOOKUP(H522,[1]对照表!$K$27:$K$48,[1]对照表!$L$27:$L$48)),IF(B522="高二",IF($E522="男",LOOKUP(H522,[1]对照表!$J$3:$J$24,[1]对照表!$L$3:$L$24),LOOKUP(H522,[1]对照表!$J$27:$J$48,[1]对照表!$L$27:$L$48)),IF(B522="高一",IF($E522="男",LOOKUP(H522,[1]对照表!$I$3:$I$24,[1]对照表!$L$3:$L$24),LOOKUP(H522,[1]对照表!$I$27:$I$48,[1]对照表!$L$27:$L$48)))))</f>
        <v>74</v>
      </c>
      <c r="J522" s="21">
        <v>155</v>
      </c>
      <c r="K522" s="32">
        <f>IF(B522="高三",IF($E522="男",LOOKUP(J522,[1]对照表!$O$3:$O$24,[1]对照表!$P$3:$P$24),LOOKUP(J522,[1]对照表!$O$27:$O$48,[1]对照表!$P$27:$P$48)),IF(B522="高二",IF($E522="男",LOOKUP(J522,[1]对照表!$N$3:$N$24,[1]对照表!$P$3:$P$24),LOOKUP(J522,[1]对照表!$N$27:$N$48,[1]对照表!$P$27:$P$48)),IF(B522="高一",IF($E522="男",LOOKUP(J522,[1]对照表!$M$3:$M$24,[1]对照表!$P$3:$P$24),LOOKUP(J522,[1]对照表!$M$27:$M$48,[1]对照表!$P$27:$P$48)))))</f>
        <v>64</v>
      </c>
      <c r="L522" s="21">
        <v>44</v>
      </c>
      <c r="M522" s="32">
        <f>IF(B522="高三",IF($E522="男",LOOKUP(L522,[1]对照表!$S$3:$S$24,[1]对照表!$T$3:$T$24),LOOKUP(L522,[1]对照表!$S$27:$S$48,[1]对照表!$T$27:$T$48)),IF(B522="高二",IF($E522="男",LOOKUP(L522,[1]对照表!$R$3:$R$24,[1]对照表!$T$3:$T$24),LOOKUP(L522,[1]对照表!$R$27:$R$48,[1]对照表!$T$27:$T$48)),IF(B522="高一",IF($E522="男",LOOKUP(L522,[1]对照表!$Q$3:$Q$24,[1]对照表!$T$3:$T$24),LOOKUP(L522,[1]对照表!$Q$27:$Q$48,[1]对照表!$T$27:$T$48)))))</f>
        <v>80</v>
      </c>
      <c r="N522" s="33">
        <f>IF(B522="高三",MAX(IF(E522="男",L522-18,L522-55),0),IF(B522="高二",MAX(IF(E522="男",L522-17,L522-54),0),IF(B522="高一",MAX(IF(E522="男",L522-16,L522-53),0))))</f>
        <v>0</v>
      </c>
      <c r="O522" s="23">
        <f>IF(E522="男",LOOKUP($N522,[1]对照表!$Z$3:$Z$13,[1]对照表!$AA$3:$AA$13),LOOKUP($N522,[1]对照表!$Z$15:$Z$25,[1]对照表!$AA$15:$AA$25))</f>
        <v>0</v>
      </c>
      <c r="P522" s="24">
        <f>M522+O522</f>
        <v>80</v>
      </c>
      <c r="Q522" s="25">
        <v>3.57</v>
      </c>
      <c r="R522" s="32">
        <f>IF(B522="高三",IF($E522="男",LOOKUP(Q522,[1]对照表!$W$3:$W$24,[1]对照表!$X$3:$X$24),LOOKUP(Q522,[1]对照表!$W$27:$W$48,[1]对照表!$X$27:$X$48)),IF(B522="高二",IF($E522="男",LOOKUP(Q522,[1]对照表!$V$3:$V$24,[1]对照表!$X$3:$X$24),LOOKUP(Q522,[1]对照表!$V$27:$V$48,[1]对照表!$X$27:$X$48)),IF(B522="高一",IF($E522="男",LOOKUP(Q522,[1]对照表!$U$3:$U$24,[1]对照表!$X$3:$X$24),LOOKUP(Q522,[1]对照表!$U$27:$U$48,[1]对照表!$X$27:$X$48)))))</f>
        <v>76</v>
      </c>
      <c r="S522" s="33">
        <f>ROUND(IF(IF($B522="高三",MIN(IF($E522="男",$Q522-3.2,$Q522-3.2),0),IF($B522="高二",MIN(IF($E522="男",$Q522-3.25,$Q522-3.22),0),IF($B522="高一",MIN(IF($E522="男",$Q522-3.3,$Q522-3.24),0))))&lt;-0.6,IF($B522="高三",MIN(IF($E522="男",$Q522-3.2,$Q522-3.2),0),IF($B522="高二",MIN(IF($E522="男",$Q522-3.25,$Q522-3.22),0),IF($B522="高一",MIN(IF($E522="男",$Q522-3.3,$Q522-3.24),0))))+0.4,IF($B522="高三",MIN(IF($E522="男",$Q522-3.2,$Q522-3.2),0),IF($B522="高二",MIN(IF($E522="男",$Q522-3.25,$Q522-3.22),0),IF($B522="高一",MIN(IF($E522="男",$Q522-3.3,$Q522-3.24),0))))),2)</f>
        <v>0</v>
      </c>
      <c r="T522" s="23">
        <f>IF(E522="男",LOOKUP($S522,[1]对照表!$AB$3:$AB$13,[1]对照表!$AC$3:$AC$13),LOOKUP($S522,[1]对照表!$AB$15:$AB$25,[1]对照表!$AC$15:$AC$25))</f>
        <v>0</v>
      </c>
      <c r="U522" s="26">
        <f>R522+T522</f>
        <v>76</v>
      </c>
      <c r="V522" s="26">
        <f>SUM(I522,K522,M522)/3*0.3+SUM(G522,R522)/2*0.4</f>
        <v>45</v>
      </c>
      <c r="W522" s="27">
        <f>O522+T522</f>
        <v>0</v>
      </c>
      <c r="X522" s="28">
        <f>V522/0.7+W522</f>
        <v>64.285714285714292</v>
      </c>
      <c r="Y522" s="28">
        <v>64.285714285714292</v>
      </c>
      <c r="Z522" s="21"/>
    </row>
    <row r="523" spans="1:26" x14ac:dyDescent="0.25">
      <c r="A523" s="16">
        <v>9</v>
      </c>
      <c r="B523" s="17" t="s">
        <v>21</v>
      </c>
      <c r="C523" s="16">
        <v>112</v>
      </c>
      <c r="D523" s="18" t="s">
        <v>668</v>
      </c>
      <c r="E523" s="16" t="s">
        <v>23</v>
      </c>
      <c r="F523" s="19"/>
      <c r="G523" s="20">
        <v>0</v>
      </c>
      <c r="H523" s="21">
        <v>28.3</v>
      </c>
      <c r="I523" s="32">
        <f>IF(B523="高三",IF($E523="男",LOOKUP(H523,[1]对照表!$K$3:$K$24,[1]对照表!$L$3:$L$24),LOOKUP(H523,[1]对照表!$K$27:$K$48,[1]对照表!$L$27:$L$48)),IF(B523="高二",IF($E523="男",LOOKUP(H523,[1]对照表!$J$3:$J$24,[1]对照表!$L$3:$L$24),LOOKUP(H523,[1]对照表!$J$27:$J$48,[1]对照表!$L$27:$L$48)),IF(B523="高一",IF($E523="男",LOOKUP(H523,[1]对照表!$I$3:$I$24,[1]对照表!$L$3:$L$24),LOOKUP(H523,[1]对照表!$I$27:$I$48,[1]对照表!$L$27:$L$48)))))</f>
        <v>100</v>
      </c>
      <c r="J523" s="21"/>
      <c r="K523" s="20">
        <v>0</v>
      </c>
      <c r="L523" s="21"/>
      <c r="M523" s="20">
        <v>0</v>
      </c>
      <c r="N523" s="33">
        <f>IF(B523="高三",MAX(IF(E523="男",L523-18,L523-55),0),IF(B523="高二",MAX(IF(E523="男",L523-17,L523-54),0),IF(B523="高一",MAX(IF(E523="男",L523-16,L523-53),0))))</f>
        <v>0</v>
      </c>
      <c r="O523" s="23">
        <f>IF(E523="男",LOOKUP($N523,[1]对照表!$Z$3:$Z$13,[1]对照表!$AA$3:$AA$13),LOOKUP($N523,[1]对照表!$Z$15:$Z$25,[1]对照表!$AA$15:$AA$25))</f>
        <v>0</v>
      </c>
      <c r="P523" s="24">
        <f>M523+O523</f>
        <v>0</v>
      </c>
      <c r="Q523" s="25"/>
      <c r="R523" s="20">
        <v>0</v>
      </c>
      <c r="S523" s="22">
        <v>0</v>
      </c>
      <c r="T523" s="23">
        <f>IF(E523="男",LOOKUP($S523,[1]对照表!$AB$3:$AB$13,[1]对照表!$AC$3:$AC$13),LOOKUP($S523,[1]对照表!$AB$15:$AB$25,[1]对照表!$AC$15:$AC$25))</f>
        <v>0</v>
      </c>
      <c r="U523" s="26">
        <f>R523+T523</f>
        <v>0</v>
      </c>
      <c r="V523" s="26">
        <f>SUM(I523,K523,M523)/3*0.3+SUM(G523,R523)/2*0.4</f>
        <v>10</v>
      </c>
      <c r="W523" s="27">
        <f>O523+T523</f>
        <v>0</v>
      </c>
      <c r="X523" s="28">
        <f>V523/0.7+W523</f>
        <v>14.285714285714286</v>
      </c>
      <c r="Y523" s="29">
        <v>50</v>
      </c>
      <c r="Z523" s="21" t="s">
        <v>578</v>
      </c>
    </row>
    <row r="524" spans="1:26" x14ac:dyDescent="0.25">
      <c r="A524" s="16">
        <v>37</v>
      </c>
      <c r="B524" s="17" t="s">
        <v>21</v>
      </c>
      <c r="C524" s="16">
        <v>112</v>
      </c>
      <c r="D524" s="18" t="s">
        <v>681</v>
      </c>
      <c r="E524" s="16" t="s">
        <v>65</v>
      </c>
      <c r="F524" s="19">
        <v>10.9</v>
      </c>
      <c r="G524" s="32">
        <f>IF(B524="高三",IF($E524="男",LOOKUP(F524,[1]对照表!$G$3:$G$24,[1]对照表!$H$3:$H$24),LOOKUP(F524,[1]对照表!$G$27:$G$48,[1]对照表!$H$27:$H$48)),IF(B524="高二",IF($E524="男",LOOKUP(F524,[1]对照表!$F$3:$F$24,[1]对照表!$H$3:$H$24),LOOKUP(F524,[1]对照表!$F$27:$F$48,[1]对照表!$H$27:$H$48)),IF(B524="高一",IF($E524="男",LOOKUP(F524,[1]对照表!$E$3:$E$24,[1]对照表!$H$3:$H$24),LOOKUP(F524,[1]对照表!$E$27:$E$48,[1]对照表!$H$27:$H$48)))))</f>
        <v>40</v>
      </c>
      <c r="H524" s="21">
        <v>24</v>
      </c>
      <c r="I524" s="32">
        <f>IF(B524="高三",IF($E524="男",LOOKUP(H524,[1]对照表!$K$3:$K$24,[1]对照表!$L$3:$L$24),LOOKUP(H524,[1]对照表!$K$27:$K$48,[1]对照表!$L$27:$L$48)),IF(B524="高二",IF($E524="男",LOOKUP(H524,[1]对照表!$J$3:$J$24,[1]对照表!$L$3:$L$24),LOOKUP(H524,[1]对照表!$J$27:$J$48,[1]对照表!$L$27:$L$48)),IF(B524="高一",IF($E524="男",LOOKUP(H524,[1]对照表!$I$3:$I$24,[1]对照表!$L$3:$L$24),LOOKUP(H524,[1]对照表!$I$27:$I$48,[1]对照表!$L$27:$L$48)))))</f>
        <v>95</v>
      </c>
      <c r="J524" s="21">
        <v>160</v>
      </c>
      <c r="K524" s="32">
        <f>IF(B524="高三",IF($E524="男",LOOKUP(J524,[1]对照表!$O$3:$O$24,[1]对照表!$P$3:$P$24),LOOKUP(J524,[1]对照表!$O$27:$O$48,[1]对照表!$P$27:$P$48)),IF(B524="高二",IF($E524="男",LOOKUP(J524,[1]对照表!$N$3:$N$24,[1]对照表!$P$3:$P$24),LOOKUP(J524,[1]对照表!$N$27:$N$48,[1]对照表!$P$27:$P$48)),IF(B524="高一",IF($E524="男",LOOKUP(J524,[1]对照表!$M$3:$M$24,[1]对照表!$P$3:$P$24),LOOKUP(J524,[1]对照表!$M$27:$M$48,[1]对照表!$P$27:$P$48)))))</f>
        <v>68</v>
      </c>
      <c r="L524" s="21">
        <v>49</v>
      </c>
      <c r="M524" s="32">
        <f>IF(B524="高三",IF($E524="男",LOOKUP(L524,[1]对照表!$S$3:$S$24,[1]对照表!$T$3:$T$24),LOOKUP(L524,[1]对照表!$S$27:$S$48,[1]对照表!$T$27:$T$48)),IF(B524="高二",IF($E524="男",LOOKUP(L524,[1]对照表!$R$3:$R$24,[1]对照表!$T$3:$T$24),LOOKUP(L524,[1]对照表!$R$27:$R$48,[1]对照表!$T$27:$T$48)),IF(B524="高一",IF($E524="男",LOOKUP(L524,[1]对照表!$Q$3:$Q$24,[1]对照表!$T$3:$T$24),LOOKUP(L524,[1]对照表!$Q$27:$Q$48,[1]对照表!$T$27:$T$48)))))</f>
        <v>90</v>
      </c>
      <c r="N524" s="33">
        <f>IF(B524="高三",MAX(IF(E524="男",L524-18,L524-55),0),IF(B524="高二",MAX(IF(E524="男",L524-17,L524-54),0),IF(B524="高一",MAX(IF(E524="男",L524-16,L524-53),0))))</f>
        <v>0</v>
      </c>
      <c r="O524" s="23">
        <f>IF(E524="男",LOOKUP($N524,[1]对照表!$Z$3:$Z$13,[1]对照表!$AA$3:$AA$13),LOOKUP($N524,[1]对照表!$Z$15:$Z$25,[1]对照表!$AA$15:$AA$25))</f>
        <v>0</v>
      </c>
      <c r="P524" s="24">
        <f>M524+O524</f>
        <v>90</v>
      </c>
      <c r="Q524" s="25">
        <v>3.59</v>
      </c>
      <c r="R524" s="32">
        <f>IF(B524="高三",IF($E524="男",LOOKUP(Q524,[1]对照表!$W$3:$W$24,[1]对照表!$X$3:$X$24),LOOKUP(Q524,[1]对照表!$W$27:$W$48,[1]对照表!$X$27:$X$48)),IF(B524="高二",IF($E524="男",LOOKUP(Q524,[1]对照表!$V$3:$V$24,[1]对照表!$X$3:$X$24),LOOKUP(Q524,[1]对照表!$V$27:$V$48,[1]对照表!$X$27:$X$48)),IF(B524="高一",IF($E524="男",LOOKUP(Q524,[1]对照表!$U$3:$U$24,[1]对照表!$X$3:$X$24),LOOKUP(Q524,[1]对照表!$U$27:$U$48,[1]对照表!$X$27:$X$48)))))</f>
        <v>76</v>
      </c>
      <c r="S524" s="33">
        <f>ROUND(IF(IF($B524="高三",MIN(IF($E524="男",$Q524-3.2,$Q524-3.2),0),IF($B524="高二",MIN(IF($E524="男",$Q524-3.25,$Q524-3.22),0),IF($B524="高一",MIN(IF($E524="男",$Q524-3.3,$Q524-3.24),0))))&lt;-0.6,IF($B524="高三",MIN(IF($E524="男",$Q524-3.2,$Q524-3.2),0),IF($B524="高二",MIN(IF($E524="男",$Q524-3.25,$Q524-3.22),0),IF($B524="高一",MIN(IF($E524="男",$Q524-3.3,$Q524-3.24),0))))+0.4,IF($B524="高三",MIN(IF($E524="男",$Q524-3.2,$Q524-3.2),0),IF($B524="高二",MIN(IF($E524="男",$Q524-3.25,$Q524-3.22),0),IF($B524="高一",MIN(IF($E524="男",$Q524-3.3,$Q524-3.24),0))))),2)</f>
        <v>0</v>
      </c>
      <c r="T524" s="23">
        <f>IF(E524="男",LOOKUP($S524,[1]对照表!$AB$3:$AB$13,[1]对照表!$AC$3:$AC$13),LOOKUP($S524,[1]对照表!$AB$15:$AB$25,[1]对照表!$AC$15:$AC$25))</f>
        <v>0</v>
      </c>
      <c r="U524" s="26">
        <f>R524+T524</f>
        <v>76</v>
      </c>
      <c r="V524" s="26">
        <f>SUM(I524,K524,M524)/3*0.3+SUM(G524,R524)/2*0.4</f>
        <v>48.5</v>
      </c>
      <c r="W524" s="27">
        <f>O524+T524</f>
        <v>0</v>
      </c>
      <c r="X524" s="28">
        <f>V524/0.7+W524</f>
        <v>69.285714285714292</v>
      </c>
      <c r="Y524" s="28">
        <v>69.285714285714292</v>
      </c>
      <c r="Z524" s="21"/>
    </row>
    <row r="525" spans="1:26" x14ac:dyDescent="0.25">
      <c r="A525" s="16">
        <v>39</v>
      </c>
      <c r="B525" s="17" t="s">
        <v>21</v>
      </c>
      <c r="C525" s="16">
        <v>112</v>
      </c>
      <c r="D525" s="18" t="s">
        <v>706</v>
      </c>
      <c r="E525" s="16" t="s">
        <v>65</v>
      </c>
      <c r="F525" s="19">
        <v>9.0299999999999994</v>
      </c>
      <c r="G525" s="32">
        <f>IF(B525="高三",IF($E525="男",LOOKUP(F525,[1]对照表!$G$3:$G$24,[1]对照表!$H$3:$H$24),LOOKUP(F525,[1]对照表!$G$27:$G$48,[1]对照表!$H$27:$H$48)),IF(B525="高二",IF($E525="男",LOOKUP(F525,[1]对照表!$F$3:$F$24,[1]对照表!$H$3:$H$24),LOOKUP(F525,[1]对照表!$F$27:$F$48,[1]对照表!$H$27:$H$48)),IF(B525="高一",IF($E525="男",LOOKUP(F525,[1]对照表!$E$3:$E$24,[1]对照表!$H$3:$H$24),LOOKUP(F525,[1]对照表!$E$27:$E$48,[1]对照表!$H$27:$H$48)))))</f>
        <v>74</v>
      </c>
      <c r="H525" s="21">
        <v>21.5</v>
      </c>
      <c r="I525" s="32">
        <f>IF(B525="高三",IF($E525="男",LOOKUP(H525,[1]对照表!$K$3:$K$24,[1]对照表!$L$3:$L$24),LOOKUP(H525,[1]对照表!$K$27:$K$48,[1]对照表!$L$27:$L$48)),IF(B525="高二",IF($E525="男",LOOKUP(H525,[1]对照表!$J$3:$J$24,[1]对照表!$L$3:$L$24),LOOKUP(H525,[1]对照表!$J$27:$J$48,[1]对照表!$L$27:$L$48)),IF(B525="高一",IF($E525="男",LOOKUP(H525,[1]对照表!$I$3:$I$24,[1]对照表!$L$3:$L$24),LOOKUP(H525,[1]对照表!$I$27:$I$48,[1]对照表!$L$27:$L$48)))))</f>
        <v>90</v>
      </c>
      <c r="J525" s="21">
        <v>175</v>
      </c>
      <c r="K525" s="32">
        <f>IF(B525="高三",IF($E525="男",LOOKUP(J525,[1]对照表!$O$3:$O$24,[1]对照表!$P$3:$P$24),LOOKUP(J525,[1]对照表!$O$27:$O$48,[1]对照表!$P$27:$P$48)),IF(B525="高二",IF($E525="男",LOOKUP(J525,[1]对照表!$N$3:$N$24,[1]对照表!$P$3:$P$24),LOOKUP(J525,[1]对照表!$N$27:$N$48,[1]对照表!$P$27:$P$48)),IF(B525="高一",IF($E525="男",LOOKUP(J525,[1]对照表!$M$3:$M$24,[1]对照表!$P$3:$P$24),LOOKUP(J525,[1]对照表!$M$27:$M$48,[1]对照表!$P$27:$P$48)))))</f>
        <v>78</v>
      </c>
      <c r="L525" s="21">
        <v>51</v>
      </c>
      <c r="M525" s="32">
        <f>IF(B525="高三",IF($E525="男",LOOKUP(L525,[1]对照表!$S$3:$S$24,[1]对照表!$T$3:$T$24),LOOKUP(L525,[1]对照表!$S$27:$S$48,[1]对照表!$T$27:$T$48)),IF(B525="高二",IF($E525="男",LOOKUP(L525,[1]对照表!$R$3:$R$24,[1]对照表!$T$3:$T$24),LOOKUP(L525,[1]对照表!$R$27:$R$48,[1]对照表!$T$27:$T$48)),IF(B525="高一",IF($E525="男",LOOKUP(L525,[1]对照表!$Q$3:$Q$24,[1]对照表!$T$3:$T$24),LOOKUP(L525,[1]对照表!$Q$27:$Q$48,[1]对照表!$T$27:$T$48)))))</f>
        <v>95</v>
      </c>
      <c r="N525" s="33">
        <f>IF(B525="高三",MAX(IF(E525="男",L525-18,L525-55),0),IF(B525="高二",MAX(IF(E525="男",L525-17,L525-54),0),IF(B525="高一",MAX(IF(E525="男",L525-16,L525-53),0))))</f>
        <v>0</v>
      </c>
      <c r="O525" s="23">
        <f>IF(E525="男",LOOKUP($N525,[1]对照表!$Z$3:$Z$13,[1]对照表!$AA$3:$AA$13),LOOKUP($N525,[1]对照表!$Z$15:$Z$25,[1]对照表!$AA$15:$AA$25))</f>
        <v>0</v>
      </c>
      <c r="P525" s="24">
        <f>M525+O525</f>
        <v>95</v>
      </c>
      <c r="Q525" s="25">
        <v>4.0999999999999996</v>
      </c>
      <c r="R525" s="32">
        <f>IF(B525="高三",IF($E525="男",LOOKUP(Q525,[1]对照表!$W$3:$W$24,[1]对照表!$X$3:$X$24),LOOKUP(Q525,[1]对照表!$W$27:$W$48,[1]对照表!$X$27:$X$48)),IF(B525="高二",IF($E525="男",LOOKUP(Q525,[1]对照表!$V$3:$V$24,[1]对照表!$X$3:$X$24),LOOKUP(Q525,[1]对照表!$V$27:$V$48,[1]对照表!$X$27:$X$48)),IF(B525="高一",IF($E525="男",LOOKUP(Q525,[1]对照表!$U$3:$U$24,[1]对照表!$X$3:$X$24),LOOKUP(Q525,[1]对照表!$U$27:$U$48,[1]对照表!$X$27:$X$48)))))</f>
        <v>72</v>
      </c>
      <c r="S525" s="33">
        <f>ROUND(IF(IF($B525="高三",MIN(IF($E525="男",$Q525-3.2,$Q525-3.2),0),IF($B525="高二",MIN(IF($E525="男",$Q525-3.25,$Q525-3.22),0),IF($B525="高一",MIN(IF($E525="男",$Q525-3.3,$Q525-3.24),0))))&lt;-0.6,IF($B525="高三",MIN(IF($E525="男",$Q525-3.2,$Q525-3.2),0),IF($B525="高二",MIN(IF($E525="男",$Q525-3.25,$Q525-3.22),0),IF($B525="高一",MIN(IF($E525="男",$Q525-3.3,$Q525-3.24),0))))+0.4,IF($B525="高三",MIN(IF($E525="男",$Q525-3.2,$Q525-3.2),0),IF($B525="高二",MIN(IF($E525="男",$Q525-3.25,$Q525-3.22),0),IF($B525="高一",MIN(IF($E525="男",$Q525-3.3,$Q525-3.24),0))))),2)</f>
        <v>0</v>
      </c>
      <c r="T525" s="23">
        <f>IF(E525="男",LOOKUP($S525,[1]对照表!$AB$3:$AB$13,[1]对照表!$AC$3:$AC$13),LOOKUP($S525,[1]对照表!$AB$15:$AB$25,[1]对照表!$AC$15:$AC$25))</f>
        <v>0</v>
      </c>
      <c r="U525" s="26">
        <f>R525+T525</f>
        <v>72</v>
      </c>
      <c r="V525" s="26">
        <f>SUM(I525,K525,M525)/3*0.3+SUM(G525,R525)/2*0.4</f>
        <v>55.5</v>
      </c>
      <c r="W525" s="27">
        <f>O525+T525</f>
        <v>0</v>
      </c>
      <c r="X525" s="28">
        <f>V525/0.7+W525</f>
        <v>79.285714285714292</v>
      </c>
      <c r="Y525" s="28">
        <v>79.285714285714292</v>
      </c>
      <c r="Z525" s="21"/>
    </row>
    <row r="526" spans="1:26" x14ac:dyDescent="0.25">
      <c r="A526" s="16">
        <v>12</v>
      </c>
      <c r="B526" s="17" t="s">
        <v>21</v>
      </c>
      <c r="C526" s="16">
        <v>112</v>
      </c>
      <c r="D526" s="18" t="s">
        <v>720</v>
      </c>
      <c r="E526" s="16" t="s">
        <v>23</v>
      </c>
      <c r="F526" s="19"/>
      <c r="G526" s="20">
        <v>0</v>
      </c>
      <c r="H526" s="21"/>
      <c r="I526" s="20">
        <v>0</v>
      </c>
      <c r="J526" s="21"/>
      <c r="K526" s="20">
        <v>0</v>
      </c>
      <c r="L526" s="21"/>
      <c r="M526" s="20">
        <v>0</v>
      </c>
      <c r="N526" s="22">
        <v>0</v>
      </c>
      <c r="O526" s="23">
        <f>IF(E526="男",LOOKUP($N526,[1]对照表!$Z$3:$Z$13,[1]对照表!$AA$3:$AA$13),LOOKUP($N526,[1]对照表!$Z$15:$Z$25,[1]对照表!$AA$15:$AA$25))</f>
        <v>0</v>
      </c>
      <c r="P526" s="24">
        <f>M526+O526</f>
        <v>0</v>
      </c>
      <c r="Q526" s="25"/>
      <c r="R526" s="20">
        <v>0</v>
      </c>
      <c r="S526" s="22">
        <v>0</v>
      </c>
      <c r="T526" s="23">
        <f>IF(E526="男",LOOKUP($S526,[1]对照表!$AB$3:$AB$13,[1]对照表!$AC$3:$AC$13),LOOKUP($S526,[1]对照表!$AB$15:$AB$25,[1]对照表!$AC$15:$AC$25))</f>
        <v>0</v>
      </c>
      <c r="U526" s="26">
        <f>R526+T526</f>
        <v>0</v>
      </c>
      <c r="V526" s="26">
        <f>SUM(I526,K526,M526)/3*0.3+SUM(G526,R526)/2*0.4</f>
        <v>0</v>
      </c>
      <c r="W526" s="27">
        <f>O526+T526</f>
        <v>0</v>
      </c>
      <c r="X526" s="28">
        <f>V526/0.7+W526</f>
        <v>0</v>
      </c>
      <c r="Y526" s="29">
        <v>50</v>
      </c>
      <c r="Z526" s="21"/>
    </row>
    <row r="527" spans="1:26" x14ac:dyDescent="0.25">
      <c r="A527" s="16">
        <v>42</v>
      </c>
      <c r="B527" s="17" t="s">
        <v>21</v>
      </c>
      <c r="C527" s="16">
        <v>112</v>
      </c>
      <c r="D527" s="18" t="s">
        <v>727</v>
      </c>
      <c r="E527" s="16" t="s">
        <v>65</v>
      </c>
      <c r="F527" s="19">
        <v>10.039999999999999</v>
      </c>
      <c r="G527" s="32">
        <f>IF(B527="高三",IF($E527="男",LOOKUP(F527,[1]对照表!$G$3:$G$24,[1]对照表!$H$3:$H$24),LOOKUP(F527,[1]对照表!$G$27:$G$48,[1]对照表!$H$27:$H$48)),IF(B527="高二",IF($E527="男",LOOKUP(F527,[1]对照表!$F$3:$F$24,[1]对照表!$H$3:$H$24),LOOKUP(F527,[1]对照表!$F$27:$F$48,[1]对照表!$H$27:$H$48)),IF(B527="高一",IF($E527="男",LOOKUP(F527,[1]对照表!$E$3:$E$24,[1]对照表!$H$3:$H$24),LOOKUP(F527,[1]对照表!$E$27:$E$48,[1]对照表!$H$27:$H$48)))))</f>
        <v>64</v>
      </c>
      <c r="H527" s="21">
        <v>27.5</v>
      </c>
      <c r="I527" s="32">
        <f>IF(B527="高三",IF($E527="男",LOOKUP(H527,[1]对照表!$K$3:$K$24,[1]对照表!$L$3:$L$24),LOOKUP(H527,[1]对照表!$K$27:$K$48,[1]对照表!$L$27:$L$48)),IF(B527="高二",IF($E527="男",LOOKUP(H527,[1]对照表!$J$3:$J$24,[1]对照表!$L$3:$L$24),LOOKUP(H527,[1]对照表!$J$27:$J$48,[1]对照表!$L$27:$L$48)),IF(B527="高一",IF($E527="男",LOOKUP(H527,[1]对照表!$I$3:$I$24,[1]对照表!$L$3:$L$24),LOOKUP(H527,[1]对照表!$I$27:$I$48,[1]对照表!$L$27:$L$48)))))</f>
        <v>100</v>
      </c>
      <c r="J527" s="21">
        <v>162</v>
      </c>
      <c r="K527" s="32">
        <f>IF(B527="高三",IF($E527="男",LOOKUP(J527,[1]对照表!$O$3:$O$24,[1]对照表!$P$3:$P$24),LOOKUP(J527,[1]对照表!$O$27:$O$48,[1]对照表!$P$27:$P$48)),IF(B527="高二",IF($E527="男",LOOKUP(J527,[1]对照表!$N$3:$N$24,[1]对照表!$P$3:$P$24),LOOKUP(J527,[1]对照表!$N$27:$N$48,[1]对照表!$P$27:$P$48)),IF(B527="高一",IF($E527="男",LOOKUP(J527,[1]对照表!$M$3:$M$24,[1]对照表!$P$3:$P$24),LOOKUP(J527,[1]对照表!$M$27:$M$48,[1]对照表!$P$27:$P$48)))))</f>
        <v>68</v>
      </c>
      <c r="L527" s="21">
        <v>25</v>
      </c>
      <c r="M527" s="32">
        <f>IF(B527="高三",IF($E527="男",LOOKUP(L527,[1]对照表!$S$3:$S$24,[1]对照表!$T$3:$T$24),LOOKUP(L527,[1]对照表!$S$27:$S$48,[1]对照表!$T$27:$T$48)),IF(B527="高二",IF($E527="男",LOOKUP(L527,[1]对照表!$R$3:$R$24,[1]对照表!$T$3:$T$24),LOOKUP(L527,[1]对照表!$R$27:$R$48,[1]对照表!$T$27:$T$48)),IF(B527="高一",IF($E527="男",LOOKUP(L527,[1]对照表!$Q$3:$Q$24,[1]对照表!$T$3:$T$24),LOOKUP(L527,[1]对照表!$Q$27:$Q$48,[1]对照表!$T$27:$T$48)))))</f>
        <v>62</v>
      </c>
      <c r="N527" s="33">
        <f>IF(B527="高三",MAX(IF(E527="男",L527-18,L527-55),0),IF(B527="高二",MAX(IF(E527="男",L527-17,L527-54),0),IF(B527="高一",MAX(IF(E527="男",L527-16,L527-53),0))))</f>
        <v>0</v>
      </c>
      <c r="O527" s="23">
        <f>IF(E527="男",LOOKUP($N527,[1]对照表!$Z$3:$Z$13,[1]对照表!$AA$3:$AA$13),LOOKUP($N527,[1]对照表!$Z$15:$Z$25,[1]对照表!$AA$15:$AA$25))</f>
        <v>0</v>
      </c>
      <c r="P527" s="24">
        <f>M527+O527</f>
        <v>62</v>
      </c>
      <c r="Q527" s="25">
        <v>4.2</v>
      </c>
      <c r="R527" s="32">
        <f>IF(B527="高三",IF($E527="男",LOOKUP(Q527,[1]对照表!$W$3:$W$24,[1]对照表!$X$3:$X$24),LOOKUP(Q527,[1]对照表!$W$27:$W$48,[1]对照表!$X$27:$X$48)),IF(B527="高二",IF($E527="男",LOOKUP(Q527,[1]对照表!$V$3:$V$24,[1]对照表!$X$3:$X$24),LOOKUP(Q527,[1]对照表!$V$27:$V$48,[1]对照表!$X$27:$X$48)),IF(B527="高一",IF($E527="男",LOOKUP(Q527,[1]对照表!$U$3:$U$24,[1]对照表!$X$3:$X$24),LOOKUP(Q527,[1]对照表!$U$27:$U$48,[1]对照表!$X$27:$X$48)))))</f>
        <v>68</v>
      </c>
      <c r="S527" s="33">
        <f>ROUND(IF(IF($B527="高三",MIN(IF($E527="男",$Q527-3.2,$Q527-3.2),0),IF($B527="高二",MIN(IF($E527="男",$Q527-3.25,$Q527-3.22),0),IF($B527="高一",MIN(IF($E527="男",$Q527-3.3,$Q527-3.24),0))))&lt;-0.6,IF($B527="高三",MIN(IF($E527="男",$Q527-3.2,$Q527-3.2),0),IF($B527="高二",MIN(IF($E527="男",$Q527-3.25,$Q527-3.22),0),IF($B527="高一",MIN(IF($E527="男",$Q527-3.3,$Q527-3.24),0))))+0.4,IF($B527="高三",MIN(IF($E527="男",$Q527-3.2,$Q527-3.2),0),IF($B527="高二",MIN(IF($E527="男",$Q527-3.25,$Q527-3.22),0),IF($B527="高一",MIN(IF($E527="男",$Q527-3.3,$Q527-3.24),0))))),2)</f>
        <v>0</v>
      </c>
      <c r="T527" s="23">
        <f>IF(E527="男",LOOKUP($S527,[1]对照表!$AB$3:$AB$13,[1]对照表!$AC$3:$AC$13),LOOKUP($S527,[1]对照表!$AB$15:$AB$25,[1]对照表!$AC$15:$AC$25))</f>
        <v>0</v>
      </c>
      <c r="U527" s="26">
        <f>R527+T527</f>
        <v>68</v>
      </c>
      <c r="V527" s="26">
        <f>SUM(I527,K527,M527)/3*0.3+SUM(G527,R527)/2*0.4</f>
        <v>49.400000000000006</v>
      </c>
      <c r="W527" s="27">
        <f>O527+T527</f>
        <v>0</v>
      </c>
      <c r="X527" s="28">
        <f>V527/0.7+W527</f>
        <v>70.571428571428584</v>
      </c>
      <c r="Y527" s="28">
        <v>70.571428571428584</v>
      </c>
      <c r="Z527" s="21"/>
    </row>
    <row r="528" spans="1:26" x14ac:dyDescent="0.25">
      <c r="A528" s="16">
        <v>35</v>
      </c>
      <c r="B528" s="17" t="s">
        <v>21</v>
      </c>
      <c r="C528" s="16">
        <v>112</v>
      </c>
      <c r="D528" s="18" t="s">
        <v>734</v>
      </c>
      <c r="E528" s="34" t="s">
        <v>65</v>
      </c>
      <c r="F528" s="19">
        <v>11.4</v>
      </c>
      <c r="G528" s="32">
        <f>IF(B528="高三",IF($E528="男",LOOKUP(F528,[1]对照表!$G$3:$G$24,[1]对照表!$H$3:$H$24),LOOKUP(F528,[1]对照表!$G$27:$G$48,[1]对照表!$H$27:$H$48)),IF(B528="高二",IF($E528="男",LOOKUP(F528,[1]对照表!$F$3:$F$24,[1]对照表!$H$3:$H$24),LOOKUP(F528,[1]对照表!$F$27:$F$48,[1]对照表!$H$27:$H$48)),IF(B528="高一",IF($E528="男",LOOKUP(F528,[1]对照表!$E$3:$E$24,[1]对照表!$H$3:$H$24),LOOKUP(F528,[1]对照表!$E$27:$E$48,[1]对照表!$H$27:$H$48)))))</f>
        <v>20</v>
      </c>
      <c r="H528" s="21">
        <v>21</v>
      </c>
      <c r="I528" s="32">
        <f>IF(B528="高三",IF($E528="男",LOOKUP(H528,[1]对照表!$K$3:$K$24,[1]对照表!$L$3:$L$24),LOOKUP(H528,[1]对照表!$K$27:$K$48,[1]对照表!$L$27:$L$48)),IF(B528="高二",IF($E528="男",LOOKUP(H528,[1]对照表!$J$3:$J$24,[1]对照表!$L$3:$L$24),LOOKUP(H528,[1]对照表!$J$27:$J$48,[1]对照表!$L$27:$L$48)),IF(B528="高一",IF($E528="男",LOOKUP(H528,[1]对照表!$I$3:$I$24,[1]对照表!$L$3:$L$24),LOOKUP(H528,[1]对照表!$I$27:$I$48,[1]对照表!$L$27:$L$48)))))</f>
        <v>90</v>
      </c>
      <c r="J528" s="21">
        <v>133</v>
      </c>
      <c r="K528" s="32">
        <f>IF(B528="高三",IF($E528="男",LOOKUP(J528,[1]对照表!$O$3:$O$24,[1]对照表!$P$3:$P$24),LOOKUP(J528,[1]对照表!$O$27:$O$48,[1]对照表!$P$27:$P$48)),IF(B528="高二",IF($E528="男",LOOKUP(J528,[1]对照表!$N$3:$N$24,[1]对照表!$P$3:$P$24),LOOKUP(J528,[1]对照表!$N$27:$N$48,[1]对照表!$P$27:$P$48)),IF(B528="高一",IF($E528="男",LOOKUP(J528,[1]对照表!$M$3:$M$24,[1]对照表!$P$3:$P$24),LOOKUP(J528,[1]对照表!$M$27:$M$48,[1]对照表!$P$27:$P$48)))))</f>
        <v>30</v>
      </c>
      <c r="L528" s="21">
        <v>46</v>
      </c>
      <c r="M528" s="32">
        <f>IF(B528="高三",IF($E528="男",LOOKUP(L528,[1]对照表!$S$3:$S$24,[1]对照表!$T$3:$T$24),LOOKUP(L528,[1]对照表!$S$27:$S$48,[1]对照表!$T$27:$T$48)),IF(B528="高二",IF($E528="男",LOOKUP(L528,[1]对照表!$R$3:$R$24,[1]对照表!$T$3:$T$24),LOOKUP(L528,[1]对照表!$R$27:$R$48,[1]对照表!$T$27:$T$48)),IF(B528="高一",IF($E528="男",LOOKUP(L528,[1]对照表!$Q$3:$Q$24,[1]对照表!$T$3:$T$24),LOOKUP(L528,[1]对照表!$Q$27:$Q$48,[1]对照表!$T$27:$T$48)))))</f>
        <v>85</v>
      </c>
      <c r="N528" s="33">
        <f>IF(B528="高三",MAX(IF(E528="男",L528-18,L528-55),0),IF(B528="高二",MAX(IF(E528="男",L528-17,L528-54),0),IF(B528="高一",MAX(IF(E528="男",L528-16,L528-53),0))))</f>
        <v>0</v>
      </c>
      <c r="O528" s="23">
        <f>IF(E528="男",LOOKUP($N528,[1]对照表!$Z$3:$Z$13,[1]对照表!$AA$3:$AA$13),LOOKUP($N528,[1]对照表!$Z$15:$Z$25,[1]对照表!$AA$15:$AA$25))</f>
        <v>0</v>
      </c>
      <c r="P528" s="24">
        <f>M528+O528</f>
        <v>85</v>
      </c>
      <c r="Q528" s="25">
        <v>4.3600000000000003</v>
      </c>
      <c r="R528" s="32">
        <f>IF(B528="高三",IF($E528="男",LOOKUP(Q528,[1]对照表!$W$3:$W$24,[1]对照表!$X$3:$X$24),LOOKUP(Q528,[1]对照表!$W$27:$W$48,[1]对照表!$X$27:$X$48)),IF(B528="高二",IF($E528="男",LOOKUP(Q528,[1]对照表!$V$3:$V$24,[1]对照表!$X$3:$X$24),LOOKUP(Q528,[1]对照表!$V$27:$V$48,[1]对照表!$X$27:$X$48)),IF(B528="高一",IF($E528="男",LOOKUP(Q528,[1]对照表!$U$3:$U$24,[1]对照表!$X$3:$X$24),LOOKUP(Q528,[1]对照表!$U$27:$U$48,[1]对照表!$X$27:$X$48)))))</f>
        <v>60</v>
      </c>
      <c r="S528" s="33">
        <f>ROUND(IF(IF($B528="高三",MIN(IF($E528="男",$Q528-3.2,$Q528-3.2),0),IF($B528="高二",MIN(IF($E528="男",$Q528-3.25,$Q528-3.22),0),IF($B528="高一",MIN(IF($E528="男",$Q528-3.3,$Q528-3.24),0))))&lt;-0.6,IF($B528="高三",MIN(IF($E528="男",$Q528-3.2,$Q528-3.2),0),IF($B528="高二",MIN(IF($E528="男",$Q528-3.25,$Q528-3.22),0),IF($B528="高一",MIN(IF($E528="男",$Q528-3.3,$Q528-3.24),0))))+0.4,IF($B528="高三",MIN(IF($E528="男",$Q528-3.2,$Q528-3.2),0),IF($B528="高二",MIN(IF($E528="男",$Q528-3.25,$Q528-3.22),0),IF($B528="高一",MIN(IF($E528="男",$Q528-3.3,$Q528-3.24),0))))),2)</f>
        <v>0</v>
      </c>
      <c r="T528" s="23">
        <f>IF(E528="男",LOOKUP($S528,[1]对照表!$AB$3:$AB$13,[1]对照表!$AC$3:$AC$13),LOOKUP($S528,[1]对照表!$AB$15:$AB$25,[1]对照表!$AC$15:$AC$25))</f>
        <v>0</v>
      </c>
      <c r="U528" s="26">
        <f>R528+T528</f>
        <v>60</v>
      </c>
      <c r="V528" s="26">
        <f>SUM(I528,K528,M528)/3*0.3+SUM(G528,R528)/2*0.4</f>
        <v>36.5</v>
      </c>
      <c r="W528" s="27">
        <f>O528+T528</f>
        <v>0</v>
      </c>
      <c r="X528" s="28">
        <f>V528/0.7+W528</f>
        <v>52.142857142857146</v>
      </c>
      <c r="Y528" s="28">
        <v>52.142857142857146</v>
      </c>
      <c r="Z528" s="21"/>
    </row>
    <row r="529" spans="1:26" x14ac:dyDescent="0.25">
      <c r="A529" s="16">
        <v>36</v>
      </c>
      <c r="B529" s="17" t="s">
        <v>21</v>
      </c>
      <c r="C529" s="16">
        <v>112</v>
      </c>
      <c r="D529" s="18" t="s">
        <v>743</v>
      </c>
      <c r="E529" s="16" t="s">
        <v>65</v>
      </c>
      <c r="F529" s="19">
        <v>9.2200000000000006</v>
      </c>
      <c r="G529" s="32">
        <f>IF(B529="高三",IF($E529="男",LOOKUP(F529,[1]对照表!$G$3:$G$24,[1]对照表!$H$3:$H$24),LOOKUP(F529,[1]对照表!$G$27:$G$48,[1]对照表!$H$27:$H$48)),IF(B529="高二",IF($E529="男",LOOKUP(F529,[1]对照表!$F$3:$F$24,[1]对照表!$H$3:$H$24),LOOKUP(F529,[1]对照表!$F$27:$F$48,[1]对照表!$H$27:$H$48)),IF(B529="高一",IF($E529="男",LOOKUP(F529,[1]对照表!$E$3:$E$24,[1]对照表!$H$3:$H$24),LOOKUP(F529,[1]对照表!$E$27:$E$48,[1]对照表!$H$27:$H$48)))))</f>
        <v>72</v>
      </c>
      <c r="H529" s="21">
        <v>15.5</v>
      </c>
      <c r="I529" s="32">
        <f>IF(B529="高三",IF($E529="男",LOOKUP(H529,[1]对照表!$K$3:$K$24,[1]对照表!$L$3:$L$24),LOOKUP(H529,[1]对照表!$K$27:$K$48,[1]对照表!$L$27:$L$48)),IF(B529="高二",IF($E529="男",LOOKUP(H529,[1]对照表!$J$3:$J$24,[1]对照表!$L$3:$L$24),LOOKUP(H529,[1]对照表!$J$27:$J$48,[1]对照表!$L$27:$L$48)),IF(B529="高一",IF($E529="男",LOOKUP(H529,[1]对照表!$I$3:$I$24,[1]对照表!$L$3:$L$24),LOOKUP(H529,[1]对照表!$I$27:$I$48,[1]对照表!$L$27:$L$48)))))</f>
        <v>76</v>
      </c>
      <c r="J529" s="21">
        <v>182</v>
      </c>
      <c r="K529" s="32">
        <f>IF(B529="高三",IF($E529="男",LOOKUP(J529,[1]对照表!$O$3:$O$24,[1]对照表!$P$3:$P$24),LOOKUP(J529,[1]对照表!$O$27:$O$48,[1]对照表!$P$27:$P$48)),IF(B529="高二",IF($E529="男",LOOKUP(J529,[1]对照表!$N$3:$N$24,[1]对照表!$P$3:$P$24),LOOKUP(J529,[1]对照表!$N$27:$N$48,[1]对照表!$P$27:$P$48)),IF(B529="高一",IF($E529="男",LOOKUP(J529,[1]对照表!$M$3:$M$24,[1]对照表!$P$3:$P$24),LOOKUP(J529,[1]对照表!$M$27:$M$48,[1]对照表!$P$27:$P$48)))))</f>
        <v>80</v>
      </c>
      <c r="L529" s="21">
        <v>57</v>
      </c>
      <c r="M529" s="32">
        <f>IF(B529="高三",IF($E529="男",LOOKUP(L529,[1]对照表!$S$3:$S$24,[1]对照表!$T$3:$T$24),LOOKUP(L529,[1]对照表!$S$27:$S$48,[1]对照表!$T$27:$T$48)),IF(B529="高二",IF($E529="男",LOOKUP(L529,[1]对照表!$R$3:$R$24,[1]对照表!$T$3:$T$24),LOOKUP(L529,[1]对照表!$R$27:$R$48,[1]对照表!$T$27:$T$48)),IF(B529="高一",IF($E529="男",LOOKUP(L529,[1]对照表!$Q$3:$Q$24,[1]对照表!$T$3:$T$24),LOOKUP(L529,[1]对照表!$Q$27:$Q$48,[1]对照表!$T$27:$T$48)))))</f>
        <v>100</v>
      </c>
      <c r="N529" s="33">
        <f>IF(B529="高三",MAX(IF(E529="男",L529-18,L529-55),0),IF(B529="高二",MAX(IF(E529="男",L529-17,L529-54),0),IF(B529="高一",MAX(IF(E529="男",L529-16,L529-53),0))))</f>
        <v>4</v>
      </c>
      <c r="O529" s="23">
        <f>IF(E529="男",LOOKUP($N529,[1]对照表!$Z$3:$Z$13,[1]对照表!$AA$3:$AA$13),LOOKUP($N529,[1]对照表!$Z$15:$Z$25,[1]对照表!$AA$15:$AA$25))</f>
        <v>2</v>
      </c>
      <c r="P529" s="24">
        <f>M529+O529</f>
        <v>102</v>
      </c>
      <c r="Q529" s="25">
        <v>5.12</v>
      </c>
      <c r="R529" s="32">
        <f>IF(B529="高三",IF($E529="男",LOOKUP(Q529,[1]对照表!$W$3:$W$24,[1]对照表!$X$3:$X$24),LOOKUP(Q529,[1]对照表!$W$27:$W$48,[1]对照表!$X$27:$X$48)),IF(B529="高二",IF($E529="男",LOOKUP(Q529,[1]对照表!$V$3:$V$24,[1]对照表!$X$3:$X$24),LOOKUP(Q529,[1]对照表!$V$27:$V$48,[1]对照表!$X$27:$X$48)),IF(B529="高一",IF($E529="男",LOOKUP(Q529,[1]对照表!$U$3:$U$24,[1]对照表!$X$3:$X$24),LOOKUP(Q529,[1]对照表!$U$27:$U$48,[1]对照表!$X$27:$X$48)))))</f>
        <v>20</v>
      </c>
      <c r="S529" s="33">
        <f>ROUND(IF(IF($B529="高三",MIN(IF($E529="男",$Q529-3.2,$Q529-3.2),0),IF($B529="高二",MIN(IF($E529="男",$Q529-3.25,$Q529-3.22),0),IF($B529="高一",MIN(IF($E529="男",$Q529-3.3,$Q529-3.24),0))))&lt;-0.6,IF($B529="高三",MIN(IF($E529="男",$Q529-3.2,$Q529-3.2),0),IF($B529="高二",MIN(IF($E529="男",$Q529-3.25,$Q529-3.22),0),IF($B529="高一",MIN(IF($E529="男",$Q529-3.3,$Q529-3.24),0))))+0.4,IF($B529="高三",MIN(IF($E529="男",$Q529-3.2,$Q529-3.2),0),IF($B529="高二",MIN(IF($E529="男",$Q529-3.25,$Q529-3.22),0),IF($B529="高一",MIN(IF($E529="男",$Q529-3.3,$Q529-3.24),0))))),2)</f>
        <v>0</v>
      </c>
      <c r="T529" s="23">
        <f>IF(E529="男",LOOKUP($S529,[1]对照表!$AB$3:$AB$13,[1]对照表!$AC$3:$AC$13),LOOKUP($S529,[1]对照表!$AB$15:$AB$25,[1]对照表!$AC$15:$AC$25))</f>
        <v>0</v>
      </c>
      <c r="U529" s="26">
        <f>R529+T529</f>
        <v>20</v>
      </c>
      <c r="V529" s="26">
        <f>SUM(I529,K529,M529)/3*0.3+SUM(G529,R529)/2*0.4</f>
        <v>44</v>
      </c>
      <c r="W529" s="27">
        <f>O529+T529</f>
        <v>2</v>
      </c>
      <c r="X529" s="28">
        <f>V529/0.7+W529</f>
        <v>64.857142857142861</v>
      </c>
      <c r="Y529" s="28">
        <v>64.857142857142861</v>
      </c>
      <c r="Z529" s="21"/>
    </row>
    <row r="530" spans="1:26" x14ac:dyDescent="0.25">
      <c r="A530" s="16">
        <v>4</v>
      </c>
      <c r="B530" s="17" t="s">
        <v>21</v>
      </c>
      <c r="C530" s="16">
        <v>113</v>
      </c>
      <c r="D530" s="18" t="s">
        <v>28</v>
      </c>
      <c r="E530" s="16" t="s">
        <v>23</v>
      </c>
      <c r="F530" s="19">
        <v>7</v>
      </c>
      <c r="G530" s="32">
        <f>IF(B530="高三",IF($E530="男",LOOKUP(F530,[1]对照表!$G$3:$G$24,[1]对照表!$H$3:$H$24),LOOKUP(F530,[1]对照表!$G$27:$G$48,[1]对照表!$H$27:$H$48)),IF(B530="高二",IF($E530="男",LOOKUP(F530,[1]对照表!$F$3:$F$24,[1]对照表!$H$3:$H$24),LOOKUP(F530,[1]对照表!$F$27:$F$48,[1]对照表!$H$27:$H$48)),IF(B530="高一",IF($E530="男",LOOKUP(F530,[1]对照表!$E$3:$E$24,[1]对照表!$H$3:$H$24),LOOKUP(F530,[1]对照表!$E$27:$E$48,[1]对照表!$H$27:$H$48)))))</f>
        <v>100</v>
      </c>
      <c r="H530" s="21">
        <v>18</v>
      </c>
      <c r="I530" s="32">
        <f>IF(B530="高三",IF($E530="男",LOOKUP(H530,[1]对照表!$K$3:$K$24,[1]对照表!$L$3:$L$24),LOOKUP(H530,[1]对照表!$K$27:$K$48,[1]对照表!$L$27:$L$48)),IF(B530="高二",IF($E530="男",LOOKUP(H530,[1]对照表!$J$3:$J$24,[1]对照表!$L$3:$L$24),LOOKUP(H530,[1]对照表!$J$27:$J$48,[1]对照表!$L$27:$L$48)),IF(B530="高一",IF($E530="男",LOOKUP(H530,[1]对照表!$I$3:$I$24,[1]对照表!$L$3:$L$24),LOOKUP(H530,[1]对照表!$I$27:$I$48,[1]对照表!$L$27:$L$48)))))</f>
        <v>85</v>
      </c>
      <c r="J530" s="21">
        <v>255</v>
      </c>
      <c r="K530" s="32">
        <f>IF(B530="高三",IF($E530="男",LOOKUP(J530,[1]对照表!$O$3:$O$24,[1]对照表!$P$3:$P$24),LOOKUP(J530,[1]对照表!$O$27:$O$48,[1]对照表!$P$27:$P$48)),IF(B530="高二",IF($E530="男",LOOKUP(J530,[1]对照表!$N$3:$N$24,[1]对照表!$P$3:$P$24),LOOKUP(J530,[1]对照表!$N$27:$N$48,[1]对照表!$P$27:$P$48)),IF(B530="高一",IF($E530="男",LOOKUP(J530,[1]对照表!$M$3:$M$24,[1]对照表!$P$3:$P$24),LOOKUP(J530,[1]对照表!$M$27:$M$48,[1]对照表!$P$27:$P$48)))))</f>
        <v>95</v>
      </c>
      <c r="L530" s="21">
        <v>26</v>
      </c>
      <c r="M530" s="32">
        <f>IF(B530="高三",IF($E530="男",LOOKUP(L530,[1]对照表!$S$3:$S$24,[1]对照表!$T$3:$T$24),LOOKUP(L530,[1]对照表!$S$27:$S$48,[1]对照表!$T$27:$T$48)),IF(B530="高二",IF($E530="男",LOOKUP(L530,[1]对照表!$R$3:$R$24,[1]对照表!$T$3:$T$24),LOOKUP(L530,[1]对照表!$R$27:$R$48,[1]对照表!$T$27:$T$48)),IF(B530="高一",IF($E530="男",LOOKUP(L530,[1]对照表!$Q$3:$Q$24,[1]对照表!$T$3:$T$24),LOOKUP(L530,[1]对照表!$Q$27:$Q$48,[1]对照表!$T$27:$T$48)))))</f>
        <v>100</v>
      </c>
      <c r="N530" s="33">
        <f>IF(B530="高三",MAX(IF(E530="男",L530-18,L530-55),0),IF(B530="高二",MAX(IF(E530="男",L530-17,L530-54),0),IF(B530="高一",MAX(IF(E530="男",L530-16,L530-53),0))))</f>
        <v>10</v>
      </c>
      <c r="O530" s="23">
        <f>IF(E530="男",LOOKUP($N530,[1]对照表!$Z$3:$Z$13,[1]对照表!$AA$3:$AA$13),LOOKUP($N530,[1]对照表!$Z$15:$Z$25,[1]对照表!$AA$15:$AA$25))</f>
        <v>10</v>
      </c>
      <c r="P530" s="24">
        <f>M530+O530</f>
        <v>110</v>
      </c>
      <c r="Q530" s="25">
        <v>3.04</v>
      </c>
      <c r="R530" s="32">
        <f>IF(B530="高三",IF($E530="男",LOOKUP(Q530,[1]对照表!$W$3:$W$24,[1]对照表!$X$3:$X$24),LOOKUP(Q530,[1]对照表!$W$27:$W$48,[1]对照表!$X$27:$X$48)),IF(B530="高二",IF($E530="男",LOOKUP(Q530,[1]对照表!$V$3:$V$24,[1]对照表!$X$3:$X$24),LOOKUP(Q530,[1]对照表!$V$27:$V$48,[1]对照表!$X$27:$X$48)),IF(B530="高一",IF($E530="男",LOOKUP(Q530,[1]对照表!$U$3:$U$24,[1]对照表!$X$3:$X$24),LOOKUP(Q530,[1]对照表!$U$27:$U$48,[1]对照表!$X$27:$X$48)))))</f>
        <v>100</v>
      </c>
      <c r="S530" s="33">
        <f>ROUND(IF(IF($B530="高三",MIN(IF($E530="男",$Q530-3.2,$Q530-3.2),0),IF($B530="高二",MIN(IF($E530="男",$Q530-3.25,$Q530-3.22),0),IF($B530="高一",MIN(IF($E530="男",$Q530-3.3,$Q530-3.24),0))))&lt;-0.6,IF($B530="高三",MIN(IF($E530="男",$Q530-3.2,$Q530-3.2),0),IF($B530="高二",MIN(IF($E530="男",$Q530-3.25,$Q530-3.22),0),IF($B530="高一",MIN(IF($E530="男",$Q530-3.3,$Q530-3.24),0))))+0.4,IF($B530="高三",MIN(IF($E530="男",$Q530-3.2,$Q530-3.2),0),IF($B530="高二",MIN(IF($E530="男",$Q530-3.25,$Q530-3.22),0),IF($B530="高一",MIN(IF($E530="男",$Q530-3.3,$Q530-3.24),0))))),2)</f>
        <v>-0.26</v>
      </c>
      <c r="T530" s="23">
        <f>IF(E530="男",LOOKUP($S530,[1]对照表!$AB$3:$AB$13,[1]对照表!$AC$3:$AC$13),LOOKUP($S530,[1]对照表!$AB$15:$AB$25,[1]对照表!$AC$15:$AC$25))</f>
        <v>7</v>
      </c>
      <c r="U530" s="26">
        <f>R530+T530</f>
        <v>107</v>
      </c>
      <c r="V530" s="26">
        <f>SUM(I530,K530,M530)/3*0.3+SUM(G530,R530)/2*0.4</f>
        <v>68</v>
      </c>
      <c r="W530" s="27">
        <f>O530+T530</f>
        <v>17</v>
      </c>
      <c r="X530" s="28">
        <f>V530/0.7+W530</f>
        <v>114.14285714285715</v>
      </c>
      <c r="Y530" s="28">
        <v>114.14285714285715</v>
      </c>
      <c r="Z530" s="21"/>
    </row>
    <row r="531" spans="1:26" x14ac:dyDescent="0.25">
      <c r="A531" s="16">
        <v>15</v>
      </c>
      <c r="B531" s="17" t="s">
        <v>21</v>
      </c>
      <c r="C531" s="16">
        <v>113</v>
      </c>
      <c r="D531" s="18" t="s">
        <v>32</v>
      </c>
      <c r="E531" s="16" t="s">
        <v>23</v>
      </c>
      <c r="F531" s="19">
        <v>6.8</v>
      </c>
      <c r="G531" s="32">
        <f>IF(B531="高三",IF($E531="男",LOOKUP(F531,[1]对照表!$G$3:$G$24,[1]对照表!$H$3:$H$24),LOOKUP(F531,[1]对照表!$G$27:$G$48,[1]对照表!$H$27:$H$48)),IF(B531="高二",IF($E531="男",LOOKUP(F531,[1]对照表!$F$3:$F$24,[1]对照表!$H$3:$H$24),LOOKUP(F531,[1]对照表!$F$27:$F$48,[1]对照表!$H$27:$H$48)),IF(B531="高一",IF($E531="男",LOOKUP(F531,[1]对照表!$E$3:$E$24,[1]对照表!$H$3:$H$24),LOOKUP(F531,[1]对照表!$E$27:$E$48,[1]对照表!$H$27:$H$48)))))</f>
        <v>100</v>
      </c>
      <c r="H531" s="21">
        <v>14.5</v>
      </c>
      <c r="I531" s="32">
        <f>IF(B531="高三",IF($E531="男",LOOKUP(H531,[1]对照表!$K$3:$K$24,[1]对照表!$L$3:$L$24),LOOKUP(H531,[1]对照表!$K$27:$K$48,[1]对照表!$L$27:$L$48)),IF(B531="高二",IF($E531="男",LOOKUP(H531,[1]对照表!$J$3:$J$24,[1]对照表!$L$3:$L$24),LOOKUP(H531,[1]对照表!$J$27:$J$48,[1]对照表!$L$27:$L$48)),IF(B531="高一",IF($E531="男",LOOKUP(H531,[1]对照表!$I$3:$I$24,[1]对照表!$L$3:$L$24),LOOKUP(H531,[1]对照表!$I$27:$I$48,[1]对照表!$L$27:$L$48)))))</f>
        <v>78</v>
      </c>
      <c r="J531" s="21">
        <v>270</v>
      </c>
      <c r="K531" s="32">
        <f>IF(B531="高三",IF($E531="男",LOOKUP(J531,[1]对照表!$O$3:$O$24,[1]对照表!$P$3:$P$24),LOOKUP(J531,[1]对照表!$O$27:$O$48,[1]对照表!$P$27:$P$48)),IF(B531="高二",IF($E531="男",LOOKUP(J531,[1]对照表!$N$3:$N$24,[1]对照表!$P$3:$P$24),LOOKUP(J531,[1]对照表!$N$27:$N$48,[1]对照表!$P$27:$P$48)),IF(B531="高一",IF($E531="男",LOOKUP(J531,[1]对照表!$M$3:$M$24,[1]对照表!$P$3:$P$24),LOOKUP(J531,[1]对照表!$M$27:$M$48,[1]对照表!$P$27:$P$48)))))</f>
        <v>100</v>
      </c>
      <c r="L531" s="21">
        <v>26</v>
      </c>
      <c r="M531" s="32">
        <f>IF(B531="高三",IF($E531="男",LOOKUP(L531,[1]对照表!$S$3:$S$24,[1]对照表!$T$3:$T$24),LOOKUP(L531,[1]对照表!$S$27:$S$48,[1]对照表!$T$27:$T$48)),IF(B531="高二",IF($E531="男",LOOKUP(L531,[1]对照表!$R$3:$R$24,[1]对照表!$T$3:$T$24),LOOKUP(L531,[1]对照表!$R$27:$R$48,[1]对照表!$T$27:$T$48)),IF(B531="高一",IF($E531="男",LOOKUP(L531,[1]对照表!$Q$3:$Q$24,[1]对照表!$T$3:$T$24),LOOKUP(L531,[1]对照表!$Q$27:$Q$48,[1]对照表!$T$27:$T$48)))))</f>
        <v>100</v>
      </c>
      <c r="N531" s="33">
        <f>IF(B531="高三",MAX(IF(E531="男",L531-18,L531-55),0),IF(B531="高二",MAX(IF(E531="男",L531-17,L531-54),0),IF(B531="高一",MAX(IF(E531="男",L531-16,L531-53),0))))</f>
        <v>10</v>
      </c>
      <c r="O531" s="23">
        <f>IF(E531="男",LOOKUP($N531,[1]对照表!$Z$3:$Z$13,[1]对照表!$AA$3:$AA$13),LOOKUP($N531,[1]对照表!$Z$15:$Z$25,[1]对照表!$AA$15:$AA$25))</f>
        <v>10</v>
      </c>
      <c r="P531" s="24">
        <f>M531+O531</f>
        <v>110</v>
      </c>
      <c r="Q531" s="25">
        <v>3.11</v>
      </c>
      <c r="R531" s="32">
        <f>IF(B531="高三",IF($E531="男",LOOKUP(Q531,[1]对照表!$W$3:$W$24,[1]对照表!$X$3:$X$24),LOOKUP(Q531,[1]对照表!$W$27:$W$48,[1]对照表!$X$27:$X$48)),IF(B531="高二",IF($E531="男",LOOKUP(Q531,[1]对照表!$V$3:$V$24,[1]对照表!$X$3:$X$24),LOOKUP(Q531,[1]对照表!$V$27:$V$48,[1]对照表!$X$27:$X$48)),IF(B531="高一",IF($E531="男",LOOKUP(Q531,[1]对照表!$U$3:$U$24,[1]对照表!$X$3:$X$24),LOOKUP(Q531,[1]对照表!$U$27:$U$48,[1]对照表!$X$27:$X$48)))))</f>
        <v>100</v>
      </c>
      <c r="S531" s="33">
        <f>ROUND(IF(IF($B531="高三",MIN(IF($E531="男",$Q531-3.2,$Q531-3.2),0),IF($B531="高二",MIN(IF($E531="男",$Q531-3.25,$Q531-3.22),0),IF($B531="高一",MIN(IF($E531="男",$Q531-3.3,$Q531-3.24),0))))&lt;-0.6,IF($B531="高三",MIN(IF($E531="男",$Q531-3.2,$Q531-3.2),0),IF($B531="高二",MIN(IF($E531="男",$Q531-3.25,$Q531-3.22),0),IF($B531="高一",MIN(IF($E531="男",$Q531-3.3,$Q531-3.24),0))))+0.4,IF($B531="高三",MIN(IF($E531="男",$Q531-3.2,$Q531-3.2),0),IF($B531="高二",MIN(IF($E531="男",$Q531-3.25,$Q531-3.22),0),IF($B531="高一",MIN(IF($E531="男",$Q531-3.3,$Q531-3.24),0))))),2)</f>
        <v>-0.19</v>
      </c>
      <c r="T531" s="23">
        <f>IF(E531="男",LOOKUP($S531,[1]对照表!$AB$3:$AB$13,[1]对照表!$AC$3:$AC$13),LOOKUP($S531,[1]对照表!$AB$15:$AB$25,[1]对照表!$AC$15:$AC$25))</f>
        <v>4</v>
      </c>
      <c r="U531" s="26">
        <f>R531+T531</f>
        <v>104</v>
      </c>
      <c r="V531" s="26">
        <f>SUM(I531,K531,M531)/3*0.3+SUM(G531,R531)/2*0.4</f>
        <v>67.8</v>
      </c>
      <c r="W531" s="27">
        <f>O531+T531</f>
        <v>14</v>
      </c>
      <c r="X531" s="28">
        <f>V531/0.7+W531</f>
        <v>110.85714285714286</v>
      </c>
      <c r="Y531" s="28">
        <v>110.85714285714286</v>
      </c>
      <c r="Z531" s="21"/>
    </row>
    <row r="532" spans="1:26" x14ac:dyDescent="0.25">
      <c r="A532" s="16">
        <v>7</v>
      </c>
      <c r="B532" s="17" t="s">
        <v>21</v>
      </c>
      <c r="C532" s="16">
        <v>113</v>
      </c>
      <c r="D532" s="18" t="s">
        <v>37</v>
      </c>
      <c r="E532" s="16" t="s">
        <v>23</v>
      </c>
      <c r="F532" s="19">
        <v>6.9</v>
      </c>
      <c r="G532" s="32">
        <f>IF(B532="高三",IF($E532="男",LOOKUP(F532,[1]对照表!$G$3:$G$24,[1]对照表!$H$3:$H$24),LOOKUP(F532,[1]对照表!$G$27:$G$48,[1]对照表!$H$27:$H$48)),IF(B532="高二",IF($E532="男",LOOKUP(F532,[1]对照表!$F$3:$F$24,[1]对照表!$H$3:$H$24),LOOKUP(F532,[1]对照表!$F$27:$F$48,[1]对照表!$H$27:$H$48)),IF(B532="高一",IF($E532="男",LOOKUP(F532,[1]对照表!$E$3:$E$24,[1]对照表!$H$3:$H$24),LOOKUP(F532,[1]对照表!$E$27:$E$48,[1]对照表!$H$27:$H$48)))))</f>
        <v>100</v>
      </c>
      <c r="H532" s="21">
        <v>17.100000000000001</v>
      </c>
      <c r="I532" s="32">
        <f>IF(B532="高三",IF($E532="男",LOOKUP(H532,[1]对照表!$K$3:$K$24,[1]对照表!$L$3:$L$24),LOOKUP(H532,[1]对照表!$K$27:$K$48,[1]对照表!$L$27:$L$48)),IF(B532="高二",IF($E532="男",LOOKUP(H532,[1]对照表!$J$3:$J$24,[1]对照表!$L$3:$L$24),LOOKUP(H532,[1]对照表!$J$27:$J$48,[1]对照表!$L$27:$L$48)),IF(B532="高一",IF($E532="男",LOOKUP(H532,[1]对照表!$I$3:$I$24,[1]对照表!$L$3:$L$24),LOOKUP(H532,[1]对照表!$I$27:$I$48,[1]对照表!$L$27:$L$48)))))</f>
        <v>80</v>
      </c>
      <c r="J532" s="21">
        <v>270</v>
      </c>
      <c r="K532" s="32">
        <f>IF(B532="高三",IF($E532="男",LOOKUP(J532,[1]对照表!$O$3:$O$24,[1]对照表!$P$3:$P$24),LOOKUP(J532,[1]对照表!$O$27:$O$48,[1]对照表!$P$27:$P$48)),IF(B532="高二",IF($E532="男",LOOKUP(J532,[1]对照表!$N$3:$N$24,[1]对照表!$P$3:$P$24),LOOKUP(J532,[1]对照表!$N$27:$N$48,[1]对照表!$P$27:$P$48)),IF(B532="高一",IF($E532="男",LOOKUP(J532,[1]对照表!$M$3:$M$24,[1]对照表!$P$3:$P$24),LOOKUP(J532,[1]对照表!$M$27:$M$48,[1]对照表!$P$27:$P$48)))))</f>
        <v>100</v>
      </c>
      <c r="L532" s="21">
        <v>26</v>
      </c>
      <c r="M532" s="32">
        <f>IF(B532="高三",IF($E532="男",LOOKUP(L532,[1]对照表!$S$3:$S$24,[1]对照表!$T$3:$T$24),LOOKUP(L532,[1]对照表!$S$27:$S$48,[1]对照表!$T$27:$T$48)),IF(B532="高二",IF($E532="男",LOOKUP(L532,[1]对照表!$R$3:$R$24,[1]对照表!$T$3:$T$24),LOOKUP(L532,[1]对照表!$R$27:$R$48,[1]对照表!$T$27:$T$48)),IF(B532="高一",IF($E532="男",LOOKUP(L532,[1]对照表!$Q$3:$Q$24,[1]对照表!$T$3:$T$24),LOOKUP(L532,[1]对照表!$Q$27:$Q$48,[1]对照表!$T$27:$T$48)))))</f>
        <v>100</v>
      </c>
      <c r="N532" s="33">
        <f>IF(B532="高三",MAX(IF(E532="男",L532-18,L532-55),0),IF(B532="高二",MAX(IF(E532="男",L532-17,L532-54),0),IF(B532="高一",MAX(IF(E532="男",L532-16,L532-53),0))))</f>
        <v>10</v>
      </c>
      <c r="O532" s="23">
        <f>IF(E532="男",LOOKUP($N532,[1]对照表!$Z$3:$Z$13,[1]对照表!$AA$3:$AA$13),LOOKUP($N532,[1]对照表!$Z$15:$Z$25,[1]对照表!$AA$15:$AA$25))</f>
        <v>10</v>
      </c>
      <c r="P532" s="24">
        <f>M532+O532</f>
        <v>110</v>
      </c>
      <c r="Q532" s="25">
        <v>3.3</v>
      </c>
      <c r="R532" s="32">
        <f>IF(B532="高三",IF($E532="男",LOOKUP(Q532,[1]对照表!$W$3:$W$24,[1]对照表!$X$3:$X$24),LOOKUP(Q532,[1]对照表!$W$27:$W$48,[1]对照表!$X$27:$X$48)),IF(B532="高二",IF($E532="男",LOOKUP(Q532,[1]对照表!$V$3:$V$24,[1]对照表!$X$3:$X$24),LOOKUP(Q532,[1]对照表!$V$27:$V$48,[1]对照表!$X$27:$X$48)),IF(B532="高一",IF($E532="男",LOOKUP(Q532,[1]对照表!$U$3:$U$24,[1]对照表!$X$3:$X$24),LOOKUP(Q532,[1]对照表!$U$27:$U$48,[1]对照表!$X$27:$X$48)))))</f>
        <v>100</v>
      </c>
      <c r="S532" s="33">
        <f>ROUND(IF(IF($B532="高三",MIN(IF($E532="男",$Q532-3.2,$Q532-3.2),0),IF($B532="高二",MIN(IF($E532="男",$Q532-3.25,$Q532-3.22),0),IF($B532="高一",MIN(IF($E532="男",$Q532-3.3,$Q532-3.24),0))))&lt;-0.6,IF($B532="高三",MIN(IF($E532="男",$Q532-3.2,$Q532-3.2),0),IF($B532="高二",MIN(IF($E532="男",$Q532-3.25,$Q532-3.22),0),IF($B532="高一",MIN(IF($E532="男",$Q532-3.3,$Q532-3.24),0))))+0.4,IF($B532="高三",MIN(IF($E532="男",$Q532-3.2,$Q532-3.2),0),IF($B532="高二",MIN(IF($E532="男",$Q532-3.25,$Q532-3.22),0),IF($B532="高一",MIN(IF($E532="男",$Q532-3.3,$Q532-3.24),0))))),2)</f>
        <v>0</v>
      </c>
      <c r="T532" s="23">
        <f>IF(E532="男",LOOKUP($S532,[1]对照表!$AB$3:$AB$13,[1]对照表!$AC$3:$AC$13),LOOKUP($S532,[1]对照表!$AB$15:$AB$25,[1]对照表!$AC$15:$AC$25))</f>
        <v>0</v>
      </c>
      <c r="U532" s="26">
        <f>R532+T532</f>
        <v>100</v>
      </c>
      <c r="V532" s="26">
        <f>SUM(I532,K532,M532)/3*0.3+SUM(G532,R532)/2*0.4</f>
        <v>68</v>
      </c>
      <c r="W532" s="27">
        <f>O532+T532</f>
        <v>10</v>
      </c>
      <c r="X532" s="28">
        <f>V532/0.7+W532</f>
        <v>107.14285714285715</v>
      </c>
      <c r="Y532" s="28">
        <v>107.14285714285715</v>
      </c>
      <c r="Z532" s="21"/>
    </row>
    <row r="533" spans="1:26" x14ac:dyDescent="0.25">
      <c r="A533" s="16">
        <v>5</v>
      </c>
      <c r="B533" s="17" t="s">
        <v>21</v>
      </c>
      <c r="C533" s="16">
        <v>113</v>
      </c>
      <c r="D533" s="18" t="s">
        <v>38</v>
      </c>
      <c r="E533" s="16" t="s">
        <v>23</v>
      </c>
      <c r="F533" s="19">
        <v>6.7</v>
      </c>
      <c r="G533" s="32">
        <f>IF(B533="高三",IF($E533="男",LOOKUP(F533,[1]对照表!$G$3:$G$24,[1]对照表!$H$3:$H$24),LOOKUP(F533,[1]对照表!$G$27:$G$48,[1]对照表!$H$27:$H$48)),IF(B533="高二",IF($E533="男",LOOKUP(F533,[1]对照表!$F$3:$F$24,[1]对照表!$H$3:$H$24),LOOKUP(F533,[1]对照表!$F$27:$F$48,[1]对照表!$H$27:$H$48)),IF(B533="高一",IF($E533="男",LOOKUP(F533,[1]对照表!$E$3:$E$24,[1]对照表!$H$3:$H$24),LOOKUP(F533,[1]对照表!$E$27:$E$48,[1]对照表!$H$27:$H$48)))))</f>
        <v>100</v>
      </c>
      <c r="H533" s="21">
        <v>18</v>
      </c>
      <c r="I533" s="32">
        <f>IF(B533="高三",IF($E533="男",LOOKUP(H533,[1]对照表!$K$3:$K$24,[1]对照表!$L$3:$L$24),LOOKUP(H533,[1]对照表!$K$27:$K$48,[1]对照表!$L$27:$L$48)),IF(B533="高二",IF($E533="男",LOOKUP(H533,[1]对照表!$J$3:$J$24,[1]对照表!$L$3:$L$24),LOOKUP(H533,[1]对照表!$J$27:$J$48,[1]对照表!$L$27:$L$48)),IF(B533="高一",IF($E533="男",LOOKUP(H533,[1]对照表!$I$3:$I$24,[1]对照表!$L$3:$L$24),LOOKUP(H533,[1]对照表!$I$27:$I$48,[1]对照表!$L$27:$L$48)))))</f>
        <v>85</v>
      </c>
      <c r="J533" s="21">
        <v>270</v>
      </c>
      <c r="K533" s="32">
        <f>IF(B533="高三",IF($E533="男",LOOKUP(J533,[1]对照表!$O$3:$O$24,[1]对照表!$P$3:$P$24),LOOKUP(J533,[1]对照表!$O$27:$O$48,[1]对照表!$P$27:$P$48)),IF(B533="高二",IF($E533="男",LOOKUP(J533,[1]对照表!$N$3:$N$24,[1]对照表!$P$3:$P$24),LOOKUP(J533,[1]对照表!$N$27:$N$48,[1]对照表!$P$27:$P$48)),IF(B533="高一",IF($E533="男",LOOKUP(J533,[1]对照表!$M$3:$M$24,[1]对照表!$P$3:$P$24),LOOKUP(J533,[1]对照表!$M$27:$M$48,[1]对照表!$P$27:$P$48)))))</f>
        <v>100</v>
      </c>
      <c r="L533" s="21">
        <v>26</v>
      </c>
      <c r="M533" s="32">
        <f>IF(B533="高三",IF($E533="男",LOOKUP(L533,[1]对照表!$S$3:$S$24,[1]对照表!$T$3:$T$24),LOOKUP(L533,[1]对照表!$S$27:$S$48,[1]对照表!$T$27:$T$48)),IF(B533="高二",IF($E533="男",LOOKUP(L533,[1]对照表!$R$3:$R$24,[1]对照表!$T$3:$T$24),LOOKUP(L533,[1]对照表!$R$27:$R$48,[1]对照表!$T$27:$T$48)),IF(B533="高一",IF($E533="男",LOOKUP(L533,[1]对照表!$Q$3:$Q$24,[1]对照表!$T$3:$T$24),LOOKUP(L533,[1]对照表!$Q$27:$Q$48,[1]对照表!$T$27:$T$48)))))</f>
        <v>100</v>
      </c>
      <c r="N533" s="33">
        <f>IF(B533="高三",MAX(IF(E533="男",L533-18,L533-55),0),IF(B533="高二",MAX(IF(E533="男",L533-17,L533-54),0),IF(B533="高一",MAX(IF(E533="男",L533-16,L533-53),0))))</f>
        <v>10</v>
      </c>
      <c r="O533" s="23">
        <f>IF(E533="男",LOOKUP($N533,[1]对照表!$Z$3:$Z$13,[1]对照表!$AA$3:$AA$13),LOOKUP($N533,[1]对照表!$Z$15:$Z$25,[1]对照表!$AA$15:$AA$25))</f>
        <v>10</v>
      </c>
      <c r="P533" s="24">
        <f>M533+O533</f>
        <v>110</v>
      </c>
      <c r="Q533" s="25">
        <v>3.33</v>
      </c>
      <c r="R533" s="32">
        <f>IF(B533="高三",IF($E533="男",LOOKUP(Q533,[1]对照表!$W$3:$W$24,[1]对照表!$X$3:$X$24),LOOKUP(Q533,[1]对照表!$W$27:$W$48,[1]对照表!$X$27:$X$48)),IF(B533="高二",IF($E533="男",LOOKUP(Q533,[1]对照表!$V$3:$V$24,[1]对照表!$X$3:$X$24),LOOKUP(Q533,[1]对照表!$V$27:$V$48,[1]对照表!$X$27:$X$48)),IF(B533="高一",IF($E533="男",LOOKUP(Q533,[1]对照表!$U$3:$U$24,[1]对照表!$X$3:$X$24),LOOKUP(Q533,[1]对照表!$U$27:$U$48,[1]对照表!$X$27:$X$48)))))</f>
        <v>95</v>
      </c>
      <c r="S533" s="33">
        <f>ROUND(IF(IF($B533="高三",MIN(IF($E533="男",$Q533-3.2,$Q533-3.2),0),IF($B533="高二",MIN(IF($E533="男",$Q533-3.25,$Q533-3.22),0),IF($B533="高一",MIN(IF($E533="男",$Q533-3.3,$Q533-3.24),0))))&lt;-0.6,IF($B533="高三",MIN(IF($E533="男",$Q533-3.2,$Q533-3.2),0),IF($B533="高二",MIN(IF($E533="男",$Q533-3.25,$Q533-3.22),0),IF($B533="高一",MIN(IF($E533="男",$Q533-3.3,$Q533-3.24),0))))+0.4,IF($B533="高三",MIN(IF($E533="男",$Q533-3.2,$Q533-3.2),0),IF($B533="高二",MIN(IF($E533="男",$Q533-3.25,$Q533-3.22),0),IF($B533="高一",MIN(IF($E533="男",$Q533-3.3,$Q533-3.24),0))))),2)</f>
        <v>0</v>
      </c>
      <c r="T533" s="23">
        <f>IF(E533="男",LOOKUP($S533,[1]对照表!$AB$3:$AB$13,[1]对照表!$AC$3:$AC$13),LOOKUP($S533,[1]对照表!$AB$15:$AB$25,[1]对照表!$AC$15:$AC$25))</f>
        <v>0</v>
      </c>
      <c r="U533" s="26">
        <f>R533+T533</f>
        <v>95</v>
      </c>
      <c r="V533" s="26">
        <f>SUM(I533,K533,M533)/3*0.3+SUM(G533,R533)/2*0.4</f>
        <v>67.5</v>
      </c>
      <c r="W533" s="27">
        <f>O533+T533</f>
        <v>10</v>
      </c>
      <c r="X533" s="28">
        <f>V533/0.7+W533</f>
        <v>106.42857142857143</v>
      </c>
      <c r="Y533" s="28">
        <v>106.42857142857143</v>
      </c>
      <c r="Z533" s="21"/>
    </row>
    <row r="534" spans="1:26" x14ac:dyDescent="0.25">
      <c r="A534" s="16">
        <v>12</v>
      </c>
      <c r="B534" s="17" t="s">
        <v>21</v>
      </c>
      <c r="C534" s="16">
        <v>113</v>
      </c>
      <c r="D534" s="18" t="s">
        <v>57</v>
      </c>
      <c r="E534" s="16" t="s">
        <v>23</v>
      </c>
      <c r="F534" s="19">
        <v>6.7</v>
      </c>
      <c r="G534" s="32">
        <f>IF(B534="高三",IF($E534="男",LOOKUP(F534,[1]对照表!$G$3:$G$24,[1]对照表!$H$3:$H$24),LOOKUP(F534,[1]对照表!$G$27:$G$48,[1]对照表!$H$27:$H$48)),IF(B534="高二",IF($E534="男",LOOKUP(F534,[1]对照表!$F$3:$F$24,[1]对照表!$H$3:$H$24),LOOKUP(F534,[1]对照表!$F$27:$F$48,[1]对照表!$H$27:$H$48)),IF(B534="高一",IF($E534="男",LOOKUP(F534,[1]对照表!$E$3:$E$24,[1]对照表!$H$3:$H$24),LOOKUP(F534,[1]对照表!$E$27:$E$48,[1]对照表!$H$27:$H$48)))))</f>
        <v>100</v>
      </c>
      <c r="H534" s="21">
        <v>8.3000000000000007</v>
      </c>
      <c r="I534" s="32">
        <f>IF(B534="高三",IF($E534="男",LOOKUP(H534,[1]对照表!$K$3:$K$24,[1]对照表!$L$3:$L$24),LOOKUP(H534,[1]对照表!$K$27:$K$48,[1]对照表!$L$27:$L$48)),IF(B534="高二",IF($E534="男",LOOKUP(H534,[1]对照表!$J$3:$J$24,[1]对照表!$L$3:$L$24),LOOKUP(H534,[1]对照表!$J$27:$J$48,[1]对照表!$L$27:$L$48)),IF(B534="高一",IF($E534="男",LOOKUP(H534,[1]对照表!$I$3:$I$24,[1]对照表!$L$3:$L$24),LOOKUP(H534,[1]对照表!$I$27:$I$48,[1]对照表!$L$27:$L$48)))))</f>
        <v>70</v>
      </c>
      <c r="J534" s="21">
        <v>250</v>
      </c>
      <c r="K534" s="32">
        <f>IF(B534="高三",IF($E534="男",LOOKUP(J534,[1]对照表!$O$3:$O$24,[1]对照表!$P$3:$P$24),LOOKUP(J534,[1]对照表!$O$27:$O$48,[1]对照表!$P$27:$P$48)),IF(B534="高二",IF($E534="男",LOOKUP(J534,[1]对照表!$N$3:$N$24,[1]对照表!$P$3:$P$24),LOOKUP(J534,[1]对照表!$N$27:$N$48,[1]对照表!$P$27:$P$48)),IF(B534="高一",IF($E534="男",LOOKUP(J534,[1]对照表!$M$3:$M$24,[1]对照表!$P$3:$P$24),LOOKUP(J534,[1]对照表!$M$27:$M$48,[1]对照表!$P$27:$P$48)))))</f>
        <v>90</v>
      </c>
      <c r="L534" s="21">
        <v>26</v>
      </c>
      <c r="M534" s="32">
        <f>IF(B534="高三",IF($E534="男",LOOKUP(L534,[1]对照表!$S$3:$S$24,[1]对照表!$T$3:$T$24),LOOKUP(L534,[1]对照表!$S$27:$S$48,[1]对照表!$T$27:$T$48)),IF(B534="高二",IF($E534="男",LOOKUP(L534,[1]对照表!$R$3:$R$24,[1]对照表!$T$3:$T$24),LOOKUP(L534,[1]对照表!$R$27:$R$48,[1]对照表!$T$27:$T$48)),IF(B534="高一",IF($E534="男",LOOKUP(L534,[1]对照表!$Q$3:$Q$24,[1]对照表!$T$3:$T$24),LOOKUP(L534,[1]对照表!$Q$27:$Q$48,[1]对照表!$T$27:$T$48)))))</f>
        <v>100</v>
      </c>
      <c r="N534" s="33">
        <f>IF(B534="高三",MAX(IF(E534="男",L534-18,L534-55),0),IF(B534="高二",MAX(IF(E534="男",L534-17,L534-54),0),IF(B534="高一",MAX(IF(E534="男",L534-16,L534-53),0))))</f>
        <v>10</v>
      </c>
      <c r="O534" s="23">
        <f>IF(E534="男",LOOKUP($N534,[1]对照表!$Z$3:$Z$13,[1]对照表!$AA$3:$AA$13),LOOKUP($N534,[1]对照表!$Z$15:$Z$25,[1]对照表!$AA$15:$AA$25))</f>
        <v>10</v>
      </c>
      <c r="P534" s="24">
        <f>M534+O534</f>
        <v>110</v>
      </c>
      <c r="Q534" s="25">
        <v>3.39</v>
      </c>
      <c r="R534" s="32">
        <f>IF(B534="高三",IF($E534="男",LOOKUP(Q534,[1]对照表!$W$3:$W$24,[1]对照表!$X$3:$X$24),LOOKUP(Q534,[1]对照表!$W$27:$W$48,[1]对照表!$X$27:$X$48)),IF(B534="高二",IF($E534="男",LOOKUP(Q534,[1]对照表!$V$3:$V$24,[1]对照表!$X$3:$X$24),LOOKUP(Q534,[1]对照表!$V$27:$V$48,[1]对照表!$X$27:$X$48)),IF(B534="高一",IF($E534="男",LOOKUP(Q534,[1]对照表!$U$3:$U$24,[1]对照表!$X$3:$X$24),LOOKUP(Q534,[1]对照表!$U$27:$U$48,[1]对照表!$X$27:$X$48)))))</f>
        <v>90</v>
      </c>
      <c r="S534" s="33">
        <f>ROUND(IF(IF($B534="高三",MIN(IF($E534="男",$Q534-3.2,$Q534-3.2),0),IF($B534="高二",MIN(IF($E534="男",$Q534-3.25,$Q534-3.22),0),IF($B534="高一",MIN(IF($E534="男",$Q534-3.3,$Q534-3.24),0))))&lt;-0.6,IF($B534="高三",MIN(IF($E534="男",$Q534-3.2,$Q534-3.2),0),IF($B534="高二",MIN(IF($E534="男",$Q534-3.25,$Q534-3.22),0),IF($B534="高一",MIN(IF($E534="男",$Q534-3.3,$Q534-3.24),0))))+0.4,IF($B534="高三",MIN(IF($E534="男",$Q534-3.2,$Q534-3.2),0),IF($B534="高二",MIN(IF($E534="男",$Q534-3.25,$Q534-3.22),0),IF($B534="高一",MIN(IF($E534="男",$Q534-3.3,$Q534-3.24),0))))),2)</f>
        <v>0</v>
      </c>
      <c r="T534" s="23">
        <f>IF(E534="男",LOOKUP($S534,[1]对照表!$AB$3:$AB$13,[1]对照表!$AC$3:$AC$13),LOOKUP($S534,[1]对照表!$AB$15:$AB$25,[1]对照表!$AC$15:$AC$25))</f>
        <v>0</v>
      </c>
      <c r="U534" s="26">
        <f>R534+T534</f>
        <v>90</v>
      </c>
      <c r="V534" s="26">
        <f>SUM(I534,K534,M534)/3*0.3+SUM(G534,R534)/2*0.4</f>
        <v>64</v>
      </c>
      <c r="W534" s="27">
        <f>O534+T534</f>
        <v>10</v>
      </c>
      <c r="X534" s="28">
        <f>V534/0.7+W534</f>
        <v>101.42857142857143</v>
      </c>
      <c r="Y534" s="28">
        <v>101.42857142857143</v>
      </c>
      <c r="Z534" s="21"/>
    </row>
    <row r="535" spans="1:26" x14ac:dyDescent="0.25">
      <c r="A535" s="16">
        <v>28</v>
      </c>
      <c r="B535" s="17" t="s">
        <v>21</v>
      </c>
      <c r="C535" s="16">
        <v>113</v>
      </c>
      <c r="D535" s="18" t="s">
        <v>66</v>
      </c>
      <c r="E535" s="17" t="s">
        <v>65</v>
      </c>
      <c r="F535" s="19">
        <v>8.2200000000000006</v>
      </c>
      <c r="G535" s="32">
        <f>IF(B535="高三",IF($E535="男",LOOKUP(F535,[1]对照表!$G$3:$G$24,[1]对照表!$H$3:$H$24),LOOKUP(F535,[1]对照表!$G$27:$G$48,[1]对照表!$H$27:$H$48)),IF(B535="高二",IF($E535="男",LOOKUP(F535,[1]对照表!$F$3:$F$24,[1]对照表!$H$3:$H$24),LOOKUP(F535,[1]对照表!$F$27:$F$48,[1]对照表!$H$27:$H$48)),IF(B535="高一",IF($E535="男",LOOKUP(F535,[1]对照表!$E$3:$E$24,[1]对照表!$H$3:$H$24),LOOKUP(F535,[1]对照表!$E$27:$E$48,[1]对照表!$H$27:$H$48)))))</f>
        <v>85</v>
      </c>
      <c r="H535" s="21">
        <v>19.5</v>
      </c>
      <c r="I535" s="32">
        <f>IF(B535="高三",IF($E535="男",LOOKUP(H535,[1]对照表!$K$3:$K$24,[1]对照表!$L$3:$L$24),LOOKUP(H535,[1]对照表!$K$27:$K$48,[1]对照表!$L$27:$L$48)),IF(B535="高二",IF($E535="男",LOOKUP(H535,[1]对照表!$J$3:$J$24,[1]对照表!$L$3:$L$24),LOOKUP(H535,[1]对照表!$J$27:$J$48,[1]对照表!$L$27:$L$48)),IF(B535="高一",IF($E535="男",LOOKUP(H535,[1]对照表!$I$3:$I$24,[1]对照表!$L$3:$L$24),LOOKUP(H535,[1]对照表!$I$27:$I$48,[1]对照表!$L$27:$L$48)))))</f>
        <v>85</v>
      </c>
      <c r="J535" s="21">
        <v>185</v>
      </c>
      <c r="K535" s="32">
        <f>IF(B535="高三",IF($E535="男",LOOKUP(J535,[1]对照表!$O$3:$O$24,[1]对照表!$P$3:$P$24),LOOKUP(J535,[1]对照表!$O$27:$O$48,[1]对照表!$P$27:$P$48)),IF(B535="高二",IF($E535="男",LOOKUP(J535,[1]对照表!$N$3:$N$24,[1]对照表!$P$3:$P$24),LOOKUP(J535,[1]对照表!$N$27:$N$48,[1]对照表!$P$27:$P$48)),IF(B535="高一",IF($E535="男",LOOKUP(J535,[1]对照表!$M$3:$M$24,[1]对照表!$P$3:$P$24),LOOKUP(J535,[1]对照表!$M$27:$M$48,[1]对照表!$P$27:$P$48)))))</f>
        <v>85</v>
      </c>
      <c r="L535" s="21">
        <v>50</v>
      </c>
      <c r="M535" s="32">
        <f>IF(B535="高三",IF($E535="男",LOOKUP(L535,[1]对照表!$S$3:$S$24,[1]对照表!$T$3:$T$24),LOOKUP(L535,[1]对照表!$S$27:$S$48,[1]对照表!$T$27:$T$48)),IF(B535="高二",IF($E535="男",LOOKUP(L535,[1]对照表!$R$3:$R$24,[1]对照表!$T$3:$T$24),LOOKUP(L535,[1]对照表!$R$27:$R$48,[1]对照表!$T$27:$T$48)),IF(B535="高一",IF($E535="男",LOOKUP(L535,[1]对照表!$Q$3:$Q$24,[1]对照表!$T$3:$T$24),LOOKUP(L535,[1]对照表!$Q$27:$Q$48,[1]对照表!$T$27:$T$48)))))</f>
        <v>90</v>
      </c>
      <c r="N535" s="33">
        <f>IF(B535="高三",MAX(IF(E535="男",L535-18,L535-55),0),IF(B535="高二",MAX(IF(E535="男",L535-17,L535-54),0),IF(B535="高一",MAX(IF(E535="男",L535-16,L535-53),0))))</f>
        <v>0</v>
      </c>
      <c r="O535" s="23">
        <f>IF(E535="男",LOOKUP($N535,[1]对照表!$Z$3:$Z$13,[1]对照表!$AA$3:$AA$13),LOOKUP($N535,[1]对照表!$Z$15:$Z$25,[1]对照表!$AA$15:$AA$25))</f>
        <v>0</v>
      </c>
      <c r="P535" s="24">
        <f>M535+O535</f>
        <v>90</v>
      </c>
      <c r="Q535" s="25">
        <v>3</v>
      </c>
      <c r="R535" s="32">
        <f>IF(B535="高三",IF($E535="男",LOOKUP(Q535,[1]对照表!$W$3:$W$24,[1]对照表!$X$3:$X$24),LOOKUP(Q535,[1]对照表!$W$27:$W$48,[1]对照表!$X$27:$X$48)),IF(B535="高二",IF($E535="男",LOOKUP(Q535,[1]对照表!$V$3:$V$24,[1]对照表!$X$3:$X$24),LOOKUP(Q535,[1]对照表!$V$27:$V$48,[1]对照表!$X$27:$X$48)),IF(B535="高一",IF($E535="男",LOOKUP(Q535,[1]对照表!$U$3:$U$24,[1]对照表!$X$3:$X$24),LOOKUP(Q535,[1]对照表!$U$27:$U$48,[1]对照表!$X$27:$X$48)))))</f>
        <v>100</v>
      </c>
      <c r="S535" s="33">
        <f>ROUND(IF(IF($B535="高三",MIN(IF($E535="男",$Q535-3.2,$Q535-3.2),0),IF($B535="高二",MIN(IF($E535="男",$Q535-3.25,$Q535-3.22),0),IF($B535="高一",MIN(IF($E535="男",$Q535-3.3,$Q535-3.24),0))))&lt;-0.6,IF($B535="高三",MIN(IF($E535="男",$Q535-3.2,$Q535-3.2),0),IF($B535="高二",MIN(IF($E535="男",$Q535-3.25,$Q535-3.22),0),IF($B535="高一",MIN(IF($E535="男",$Q535-3.3,$Q535-3.24),0))))+0.4,IF($B535="高三",MIN(IF($E535="男",$Q535-3.2,$Q535-3.2),0),IF($B535="高二",MIN(IF($E535="男",$Q535-3.25,$Q535-3.22),0),IF($B535="高一",MIN(IF($E535="男",$Q535-3.3,$Q535-3.24),0))))),2)</f>
        <v>-0.24</v>
      </c>
      <c r="T535" s="23">
        <f>IF(E535="男",LOOKUP($S535,[1]对照表!$AB$3:$AB$13,[1]对照表!$AC$3:$AC$13),LOOKUP($S535,[1]对照表!$AB$15:$AB$25,[1]对照表!$AC$15:$AC$25))</f>
        <v>4</v>
      </c>
      <c r="U535" s="26">
        <f>R535+T535</f>
        <v>104</v>
      </c>
      <c r="V535" s="26">
        <f>SUM(I535,K535,M535)/3*0.3+SUM(G535,R535)/2*0.4</f>
        <v>63</v>
      </c>
      <c r="W535" s="27">
        <f>O535+T535</f>
        <v>4</v>
      </c>
      <c r="X535" s="28">
        <f>V535/0.7+W535</f>
        <v>94</v>
      </c>
      <c r="Y535" s="28">
        <v>94</v>
      </c>
      <c r="Z535" s="21"/>
    </row>
    <row r="536" spans="1:26" x14ac:dyDescent="0.25">
      <c r="A536" s="16">
        <v>14</v>
      </c>
      <c r="B536" s="17" t="s">
        <v>21</v>
      </c>
      <c r="C536" s="16">
        <v>113</v>
      </c>
      <c r="D536" s="18" t="s">
        <v>88</v>
      </c>
      <c r="E536" s="16" t="s">
        <v>23</v>
      </c>
      <c r="F536" s="19">
        <v>6.6</v>
      </c>
      <c r="G536" s="32">
        <f>IF(B536="高三",IF($E536="男",LOOKUP(F536,[1]对照表!$G$3:$G$24,[1]对照表!$H$3:$H$24),LOOKUP(F536,[1]对照表!$G$27:$G$48,[1]对照表!$H$27:$H$48)),IF(B536="高二",IF($E536="男",LOOKUP(F536,[1]对照表!$F$3:$F$24,[1]对照表!$H$3:$H$24),LOOKUP(F536,[1]对照表!$F$27:$F$48,[1]对照表!$H$27:$H$48)),IF(B536="高一",IF($E536="男",LOOKUP(F536,[1]对照表!$E$3:$E$24,[1]对照表!$H$3:$H$24),LOOKUP(F536,[1]对照表!$E$27:$E$48,[1]对照表!$H$27:$H$48)))))</f>
        <v>100</v>
      </c>
      <c r="H536" s="21">
        <v>3.2</v>
      </c>
      <c r="I536" s="32">
        <f>IF(B536="高三",IF($E536="男",LOOKUP(H536,[1]对照表!$K$3:$K$24,[1]对照表!$L$3:$L$24),LOOKUP(H536,[1]对照表!$K$27:$K$48,[1]对照表!$L$27:$L$48)),IF(B536="高二",IF($E536="男",LOOKUP(H536,[1]对照表!$J$3:$J$24,[1]对照表!$L$3:$L$24),LOOKUP(H536,[1]对照表!$J$27:$J$48,[1]对照表!$L$27:$L$48)),IF(B536="高一",IF($E536="男",LOOKUP(H536,[1]对照表!$I$3:$I$24,[1]对照表!$L$3:$L$24),LOOKUP(H536,[1]对照表!$I$27:$I$48,[1]对照表!$L$27:$L$48)))))</f>
        <v>62</v>
      </c>
      <c r="J536" s="21">
        <v>263</v>
      </c>
      <c r="K536" s="32">
        <f>IF(B536="高三",IF($E536="男",LOOKUP(J536,[1]对照表!$O$3:$O$24,[1]对照表!$P$3:$P$24),LOOKUP(J536,[1]对照表!$O$27:$O$48,[1]对照表!$P$27:$P$48)),IF(B536="高二",IF($E536="男",LOOKUP(J536,[1]对照表!$N$3:$N$24,[1]对照表!$P$3:$P$24),LOOKUP(J536,[1]对照表!$N$27:$N$48,[1]对照表!$P$27:$P$48)),IF(B536="高一",IF($E536="男",LOOKUP(J536,[1]对照表!$M$3:$M$24,[1]对照表!$P$3:$P$24),LOOKUP(J536,[1]对照表!$M$27:$M$48,[1]对照表!$P$27:$P$48)))))</f>
        <v>100</v>
      </c>
      <c r="L536" s="21">
        <v>16</v>
      </c>
      <c r="M536" s="32">
        <f>IF(B536="高三",IF($E536="男",LOOKUP(L536,[1]对照表!$S$3:$S$24,[1]对照表!$T$3:$T$24),LOOKUP(L536,[1]对照表!$S$27:$S$48,[1]对照表!$T$27:$T$48)),IF(B536="高二",IF($E536="男",LOOKUP(L536,[1]对照表!$R$3:$R$24,[1]对照表!$T$3:$T$24),LOOKUP(L536,[1]对照表!$R$27:$R$48,[1]对照表!$T$27:$T$48)),IF(B536="高一",IF($E536="男",LOOKUP(L536,[1]对照表!$Q$3:$Q$24,[1]对照表!$T$3:$T$24),LOOKUP(L536,[1]对照表!$Q$27:$Q$48,[1]对照表!$T$27:$T$48)))))</f>
        <v>100</v>
      </c>
      <c r="N536" s="33">
        <f>IF(B536="高三",MAX(IF(E536="男",L536-18,L536-55),0),IF(B536="高二",MAX(IF(E536="男",L536-17,L536-54),0),IF(B536="高一",MAX(IF(E536="男",L536-16,L536-53),0))))</f>
        <v>0</v>
      </c>
      <c r="O536" s="23">
        <f>IF(E536="男",LOOKUP($N536,[1]对照表!$Z$3:$Z$13,[1]对照表!$AA$3:$AA$13),LOOKUP($N536,[1]对照表!$Z$15:$Z$25,[1]对照表!$AA$15:$AA$25))</f>
        <v>0</v>
      </c>
      <c r="P536" s="24">
        <f>M536+O536</f>
        <v>100</v>
      </c>
      <c r="Q536" s="25">
        <v>3.11</v>
      </c>
      <c r="R536" s="32">
        <f>IF(B536="高三",IF($E536="男",LOOKUP(Q536,[1]对照表!$W$3:$W$24,[1]对照表!$X$3:$X$24),LOOKUP(Q536,[1]对照表!$W$27:$W$48,[1]对照表!$X$27:$X$48)),IF(B536="高二",IF($E536="男",LOOKUP(Q536,[1]对照表!$V$3:$V$24,[1]对照表!$X$3:$X$24),LOOKUP(Q536,[1]对照表!$V$27:$V$48,[1]对照表!$X$27:$X$48)),IF(B536="高一",IF($E536="男",LOOKUP(Q536,[1]对照表!$U$3:$U$24,[1]对照表!$X$3:$X$24),LOOKUP(Q536,[1]对照表!$U$27:$U$48,[1]对照表!$X$27:$X$48)))))</f>
        <v>100</v>
      </c>
      <c r="S536" s="33">
        <f>ROUND(IF(IF($B536="高三",MIN(IF($E536="男",$Q536-3.2,$Q536-3.2),0),IF($B536="高二",MIN(IF($E536="男",$Q536-3.25,$Q536-3.22),0),IF($B536="高一",MIN(IF($E536="男",$Q536-3.3,$Q536-3.24),0))))&lt;-0.6,IF($B536="高三",MIN(IF($E536="男",$Q536-3.2,$Q536-3.2),0),IF($B536="高二",MIN(IF($E536="男",$Q536-3.25,$Q536-3.22),0),IF($B536="高一",MIN(IF($E536="男",$Q536-3.3,$Q536-3.24),0))))+0.4,IF($B536="高三",MIN(IF($E536="男",$Q536-3.2,$Q536-3.2),0),IF($B536="高二",MIN(IF($E536="男",$Q536-3.25,$Q536-3.22),0),IF($B536="高一",MIN(IF($E536="男",$Q536-3.3,$Q536-3.24),0))))),2)</f>
        <v>-0.19</v>
      </c>
      <c r="T536" s="23">
        <f>IF(E536="男",LOOKUP($S536,[1]对照表!$AB$3:$AB$13,[1]对照表!$AC$3:$AC$13),LOOKUP($S536,[1]对照表!$AB$15:$AB$25,[1]对照表!$AC$15:$AC$25))</f>
        <v>4</v>
      </c>
      <c r="U536" s="26">
        <f>R536+T536</f>
        <v>104</v>
      </c>
      <c r="V536" s="26">
        <f>SUM(I536,K536,M536)/3*0.3+SUM(G536,R536)/2*0.4</f>
        <v>66.2</v>
      </c>
      <c r="W536" s="27">
        <f>O536+T536</f>
        <v>4</v>
      </c>
      <c r="X536" s="28">
        <f>V536/0.7+W536</f>
        <v>98.571428571428584</v>
      </c>
      <c r="Y536" s="28">
        <v>98.571428571428584</v>
      </c>
      <c r="Z536" s="21"/>
    </row>
    <row r="537" spans="1:26" x14ac:dyDescent="0.25">
      <c r="A537" s="16">
        <v>3</v>
      </c>
      <c r="B537" s="17" t="s">
        <v>21</v>
      </c>
      <c r="C537" s="16">
        <v>113</v>
      </c>
      <c r="D537" s="18" t="s">
        <v>89</v>
      </c>
      <c r="E537" s="16" t="s">
        <v>23</v>
      </c>
      <c r="F537" s="19">
        <v>7.1</v>
      </c>
      <c r="G537" s="32">
        <f>IF(B537="高三",IF($E537="男",LOOKUP(F537,[1]对照表!$G$3:$G$24,[1]对照表!$H$3:$H$24),LOOKUP(F537,[1]对照表!$G$27:$G$48,[1]对照表!$H$27:$H$48)),IF(B537="高二",IF($E537="男",LOOKUP(F537,[1]对照表!$F$3:$F$24,[1]对照表!$H$3:$H$24),LOOKUP(F537,[1]对照表!$F$27:$F$48,[1]对照表!$H$27:$H$48)),IF(B537="高一",IF($E537="男",LOOKUP(F537,[1]对照表!$E$3:$E$24,[1]对照表!$H$3:$H$24),LOOKUP(F537,[1]对照表!$E$27:$E$48,[1]对照表!$H$27:$H$48)))))</f>
        <v>100</v>
      </c>
      <c r="H537" s="21">
        <v>10.3</v>
      </c>
      <c r="I537" s="32">
        <f>IF(B537="高三",IF($E537="男",LOOKUP(H537,[1]对照表!$K$3:$K$24,[1]对照表!$L$3:$L$24),LOOKUP(H537,[1]对照表!$K$27:$K$48,[1]对照表!$L$27:$L$48)),IF(B537="高二",IF($E537="男",LOOKUP(H537,[1]对照表!$J$3:$J$24,[1]对照表!$L$3:$L$24),LOOKUP(H537,[1]对照表!$J$27:$J$48,[1]对照表!$L$27:$L$48)),IF(B537="高一",IF($E537="男",LOOKUP(H537,[1]对照表!$I$3:$I$24,[1]对照表!$L$3:$L$24),LOOKUP(H537,[1]对照表!$I$27:$I$48,[1]对照表!$L$27:$L$48)))))</f>
        <v>72</v>
      </c>
      <c r="J537" s="21">
        <v>243</v>
      </c>
      <c r="K537" s="32">
        <f>IF(B537="高三",IF($E537="男",LOOKUP(J537,[1]对照表!$O$3:$O$24,[1]对照表!$P$3:$P$24),LOOKUP(J537,[1]对照表!$O$27:$O$48,[1]对照表!$P$27:$P$48)),IF(B537="高二",IF($E537="男",LOOKUP(J537,[1]对照表!$N$3:$N$24,[1]对照表!$P$3:$P$24),LOOKUP(J537,[1]对照表!$N$27:$N$48,[1]对照表!$P$27:$P$48)),IF(B537="高一",IF($E537="男",LOOKUP(J537,[1]对照表!$M$3:$M$24,[1]对照表!$P$3:$P$24),LOOKUP(J537,[1]对照表!$M$27:$M$48,[1]对照表!$P$27:$P$48)))))</f>
        <v>85</v>
      </c>
      <c r="L537" s="21">
        <v>22</v>
      </c>
      <c r="M537" s="32">
        <f>IF(B537="高三",IF($E537="男",LOOKUP(L537,[1]对照表!$S$3:$S$24,[1]对照表!$T$3:$T$24),LOOKUP(L537,[1]对照表!$S$27:$S$48,[1]对照表!$T$27:$T$48)),IF(B537="高二",IF($E537="男",LOOKUP(L537,[1]对照表!$R$3:$R$24,[1]对照表!$T$3:$T$24),LOOKUP(L537,[1]对照表!$R$27:$R$48,[1]对照表!$T$27:$T$48)),IF(B537="高一",IF($E537="男",LOOKUP(L537,[1]对照表!$Q$3:$Q$24,[1]对照表!$T$3:$T$24),LOOKUP(L537,[1]对照表!$Q$27:$Q$48,[1]对照表!$T$27:$T$48)))))</f>
        <v>100</v>
      </c>
      <c r="N537" s="33">
        <f>IF(B537="高三",MAX(IF(E537="男",L537-18,L537-55),0),IF(B537="高二",MAX(IF(E537="男",L537-17,L537-54),0),IF(B537="高一",MAX(IF(E537="男",L537-16,L537-53),0))))</f>
        <v>6</v>
      </c>
      <c r="O537" s="23">
        <f>IF(E537="男",LOOKUP($N537,[1]对照表!$Z$3:$Z$13,[1]对照表!$AA$3:$AA$13),LOOKUP($N537,[1]对照表!$Z$15:$Z$25,[1]对照表!$AA$15:$AA$25))</f>
        <v>6</v>
      </c>
      <c r="P537" s="24">
        <f>M537+O537</f>
        <v>106</v>
      </c>
      <c r="Q537" s="25">
        <v>3.34</v>
      </c>
      <c r="R537" s="32">
        <f>IF(B537="高三",IF($E537="男",LOOKUP(Q537,[1]对照表!$W$3:$W$24,[1]对照表!$X$3:$X$24),LOOKUP(Q537,[1]对照表!$W$27:$W$48,[1]对照表!$X$27:$X$48)),IF(B537="高二",IF($E537="男",LOOKUP(Q537,[1]对照表!$V$3:$V$24,[1]对照表!$X$3:$X$24),LOOKUP(Q537,[1]对照表!$V$27:$V$48,[1]对照表!$X$27:$X$48)),IF(B537="高一",IF($E537="男",LOOKUP(Q537,[1]对照表!$U$3:$U$24,[1]对照表!$X$3:$X$24),LOOKUP(Q537,[1]对照表!$U$27:$U$48,[1]对照表!$X$27:$X$48)))))</f>
        <v>95</v>
      </c>
      <c r="S537" s="33">
        <f>ROUND(IF(IF($B537="高三",MIN(IF($E537="男",$Q537-3.2,$Q537-3.2),0),IF($B537="高二",MIN(IF($E537="男",$Q537-3.25,$Q537-3.22),0),IF($B537="高一",MIN(IF($E537="男",$Q537-3.3,$Q537-3.24),0))))&lt;-0.6,IF($B537="高三",MIN(IF($E537="男",$Q537-3.2,$Q537-3.2),0),IF($B537="高二",MIN(IF($E537="男",$Q537-3.25,$Q537-3.22),0),IF($B537="高一",MIN(IF($E537="男",$Q537-3.3,$Q537-3.24),0))))+0.4,IF($B537="高三",MIN(IF($E537="男",$Q537-3.2,$Q537-3.2),0),IF($B537="高二",MIN(IF($E537="男",$Q537-3.25,$Q537-3.22),0),IF($B537="高一",MIN(IF($E537="男",$Q537-3.3,$Q537-3.24),0))))),2)</f>
        <v>0</v>
      </c>
      <c r="T537" s="23">
        <f>IF(E537="男",LOOKUP($S537,[1]对照表!$AB$3:$AB$13,[1]对照表!$AC$3:$AC$13),LOOKUP($S537,[1]对照表!$AB$15:$AB$25,[1]对照表!$AC$15:$AC$25))</f>
        <v>0</v>
      </c>
      <c r="U537" s="26">
        <f>R537+T537</f>
        <v>95</v>
      </c>
      <c r="V537" s="26">
        <f>SUM(I537,K537,M537)/3*0.3+SUM(G537,R537)/2*0.4</f>
        <v>64.7</v>
      </c>
      <c r="W537" s="27">
        <f>O537+T537</f>
        <v>6</v>
      </c>
      <c r="X537" s="28">
        <f>V537/0.7+W537</f>
        <v>98.428571428571445</v>
      </c>
      <c r="Y537" s="28">
        <v>98.428571428571445</v>
      </c>
      <c r="Z537" s="21"/>
    </row>
    <row r="538" spans="1:26" x14ac:dyDescent="0.25">
      <c r="A538" s="16">
        <v>1</v>
      </c>
      <c r="B538" s="17" t="s">
        <v>21</v>
      </c>
      <c r="C538" s="16">
        <v>113</v>
      </c>
      <c r="D538" s="18" t="s">
        <v>110</v>
      </c>
      <c r="E538" s="34" t="s">
        <v>23</v>
      </c>
      <c r="F538" s="19">
        <v>7</v>
      </c>
      <c r="G538" s="32">
        <f>IF(B538="高三",IF($E538="男",LOOKUP(F538,[1]对照表!$G$3:$G$24,[1]对照表!$H$3:$H$24),LOOKUP(F538,[1]对照表!$G$27:$G$48,[1]对照表!$H$27:$H$48)),IF(B538="高二",IF($E538="男",LOOKUP(F538,[1]对照表!$F$3:$F$24,[1]对照表!$H$3:$H$24),LOOKUP(F538,[1]对照表!$F$27:$F$48,[1]对照表!$H$27:$H$48)),IF(B538="高一",IF($E538="男",LOOKUP(F538,[1]对照表!$E$3:$E$24,[1]对照表!$H$3:$H$24),LOOKUP(F538,[1]对照表!$E$27:$E$48,[1]对照表!$H$27:$H$48)))))</f>
        <v>100</v>
      </c>
      <c r="H538" s="21">
        <v>15.5</v>
      </c>
      <c r="I538" s="32">
        <f>IF(B538="高三",IF($E538="男",LOOKUP(H538,[1]对照表!$K$3:$K$24,[1]对照表!$L$3:$L$24),LOOKUP(H538,[1]对照表!$K$27:$K$48,[1]对照表!$L$27:$L$48)),IF(B538="高二",IF($E538="男",LOOKUP(H538,[1]对照表!$J$3:$J$24,[1]对照表!$L$3:$L$24),LOOKUP(H538,[1]对照表!$J$27:$J$48,[1]对照表!$L$27:$L$48)),IF(B538="高一",IF($E538="男",LOOKUP(H538,[1]对照表!$I$3:$I$24,[1]对照表!$L$3:$L$24),LOOKUP(H538,[1]对照表!$I$27:$I$48,[1]对照表!$L$27:$L$48)))))</f>
        <v>80</v>
      </c>
      <c r="J538" s="21">
        <v>268</v>
      </c>
      <c r="K538" s="32">
        <f>IF(B538="高三",IF($E538="男",LOOKUP(J538,[1]对照表!$O$3:$O$24,[1]对照表!$P$3:$P$24),LOOKUP(J538,[1]对照表!$O$27:$O$48,[1]对照表!$P$27:$P$48)),IF(B538="高二",IF($E538="男",LOOKUP(J538,[1]对照表!$N$3:$N$24,[1]对照表!$P$3:$P$24),LOOKUP(J538,[1]对照表!$N$27:$N$48,[1]对照表!$P$27:$P$48)),IF(B538="高一",IF($E538="男",LOOKUP(J538,[1]对照表!$M$3:$M$24,[1]对照表!$P$3:$P$24),LOOKUP(J538,[1]对照表!$M$27:$M$48,[1]对照表!$P$27:$P$48)))))</f>
        <v>100</v>
      </c>
      <c r="L538" s="21">
        <v>16</v>
      </c>
      <c r="M538" s="32">
        <f>IF(B538="高三",IF($E538="男",LOOKUP(L538,[1]对照表!$S$3:$S$24,[1]对照表!$T$3:$T$24),LOOKUP(L538,[1]对照表!$S$27:$S$48,[1]对照表!$T$27:$T$48)),IF(B538="高二",IF($E538="男",LOOKUP(L538,[1]对照表!$R$3:$R$24,[1]对照表!$T$3:$T$24),LOOKUP(L538,[1]对照表!$R$27:$R$48,[1]对照表!$T$27:$T$48)),IF(B538="高一",IF($E538="男",LOOKUP(L538,[1]对照表!$Q$3:$Q$24,[1]对照表!$T$3:$T$24),LOOKUP(L538,[1]对照表!$Q$27:$Q$48,[1]对照表!$T$27:$T$48)))))</f>
        <v>100</v>
      </c>
      <c r="N538" s="33">
        <f>IF(B538="高三",MAX(IF(E538="男",L538-18,L538-55),0),IF(B538="高二",MAX(IF(E538="男",L538-17,L538-54),0),IF(B538="高一",MAX(IF(E538="男",L538-16,L538-53),0))))</f>
        <v>0</v>
      </c>
      <c r="O538" s="23">
        <f>IF(E538="男",LOOKUP($N538,[1]对照表!$Z$3:$Z$13,[1]对照表!$AA$3:$AA$13),LOOKUP($N538,[1]对照表!$Z$15:$Z$25,[1]对照表!$AA$15:$AA$25))</f>
        <v>0</v>
      </c>
      <c r="P538" s="24">
        <f>M538+O538</f>
        <v>100</v>
      </c>
      <c r="Q538" s="25">
        <v>3.35</v>
      </c>
      <c r="R538" s="32">
        <f>IF(B538="高三",IF($E538="男",LOOKUP(Q538,[1]对照表!$W$3:$W$24,[1]对照表!$X$3:$X$24),LOOKUP(Q538,[1]对照表!$W$27:$W$48,[1]对照表!$X$27:$X$48)),IF(B538="高二",IF($E538="男",LOOKUP(Q538,[1]对照表!$V$3:$V$24,[1]对照表!$X$3:$X$24),LOOKUP(Q538,[1]对照表!$V$27:$V$48,[1]对照表!$X$27:$X$48)),IF(B538="高一",IF($E538="男",LOOKUP(Q538,[1]对照表!$U$3:$U$24,[1]对照表!$X$3:$X$24),LOOKUP(Q538,[1]对照表!$U$27:$U$48,[1]对照表!$X$27:$X$48)))))</f>
        <v>95</v>
      </c>
      <c r="S538" s="33">
        <f>ROUND(IF(IF($B538="高三",MIN(IF($E538="男",$Q538-3.2,$Q538-3.2),0),IF($B538="高二",MIN(IF($E538="男",$Q538-3.25,$Q538-3.22),0),IF($B538="高一",MIN(IF($E538="男",$Q538-3.3,$Q538-3.24),0))))&lt;-0.6,IF($B538="高三",MIN(IF($E538="男",$Q538-3.2,$Q538-3.2),0),IF($B538="高二",MIN(IF($E538="男",$Q538-3.25,$Q538-3.22),0),IF($B538="高一",MIN(IF($E538="男",$Q538-3.3,$Q538-3.24),0))))+0.4,IF($B538="高三",MIN(IF($E538="男",$Q538-3.2,$Q538-3.2),0),IF($B538="高二",MIN(IF($E538="男",$Q538-3.25,$Q538-3.22),0),IF($B538="高一",MIN(IF($E538="男",$Q538-3.3,$Q538-3.24),0))))),2)</f>
        <v>0</v>
      </c>
      <c r="T538" s="23">
        <f>IF(E538="男",LOOKUP($S538,[1]对照表!$AB$3:$AB$13,[1]对照表!$AC$3:$AC$13),LOOKUP($S538,[1]对照表!$AB$15:$AB$25,[1]对照表!$AC$15:$AC$25))</f>
        <v>0</v>
      </c>
      <c r="U538" s="26">
        <f>R538+T538</f>
        <v>95</v>
      </c>
      <c r="V538" s="26">
        <f>SUM(I538,K538,M538)/3*0.3+SUM(G538,R538)/2*0.4</f>
        <v>67</v>
      </c>
      <c r="W538" s="27">
        <f>O538+T538</f>
        <v>0</v>
      </c>
      <c r="X538" s="28">
        <f>V538/0.7+W538</f>
        <v>95.714285714285722</v>
      </c>
      <c r="Y538" s="28">
        <v>95.714285714285722</v>
      </c>
      <c r="Z538" s="21"/>
    </row>
    <row r="539" spans="1:26" x14ac:dyDescent="0.25">
      <c r="A539" s="16">
        <v>52</v>
      </c>
      <c r="B539" s="17" t="s">
        <v>21</v>
      </c>
      <c r="C539" s="16">
        <v>113</v>
      </c>
      <c r="D539" s="18" t="s">
        <v>115</v>
      </c>
      <c r="E539" s="16" t="s">
        <v>65</v>
      </c>
      <c r="F539" s="19">
        <v>7.75</v>
      </c>
      <c r="G539" s="32">
        <f>IF(B539="高三",IF($E539="男",LOOKUP(F539,[1]对照表!$G$3:$G$24,[1]对照表!$H$3:$H$24),LOOKUP(F539,[1]对照表!$G$27:$G$48,[1]对照表!$H$27:$H$48)),IF(B539="高二",IF($E539="男",LOOKUP(F539,[1]对照表!$F$3:$F$24,[1]对照表!$H$3:$H$24),LOOKUP(F539,[1]对照表!$F$27:$F$48,[1]对照表!$H$27:$H$48)),IF(B539="高一",IF($E539="男",LOOKUP(F539,[1]对照表!$E$3:$E$24,[1]对照表!$H$3:$H$24),LOOKUP(F539,[1]对照表!$E$27:$E$48,[1]对照表!$H$27:$H$48)))))</f>
        <v>100</v>
      </c>
      <c r="H539" s="21">
        <v>19</v>
      </c>
      <c r="I539" s="32">
        <f>IF(B539="高三",IF($E539="男",LOOKUP(H539,[1]对照表!$K$3:$K$24,[1]对照表!$L$3:$L$24),LOOKUP(H539,[1]对照表!$K$27:$K$48,[1]对照表!$L$27:$L$48)),IF(B539="高二",IF($E539="男",LOOKUP(H539,[1]对照表!$J$3:$J$24,[1]对照表!$L$3:$L$24),LOOKUP(H539,[1]对照表!$J$27:$J$48,[1]对照表!$L$27:$L$48)),IF(B539="高一",IF($E539="男",LOOKUP(H539,[1]对照表!$I$3:$I$24,[1]对照表!$L$3:$L$24),LOOKUP(H539,[1]对照表!$I$27:$I$48,[1]对照表!$L$27:$L$48)))))</f>
        <v>80</v>
      </c>
      <c r="J539" s="21">
        <v>204</v>
      </c>
      <c r="K539" s="32">
        <f>IF(B539="高三",IF($E539="男",LOOKUP(J539,[1]对照表!$O$3:$O$24,[1]对照表!$P$3:$P$24),LOOKUP(J539,[1]对照表!$O$27:$O$48,[1]对照表!$P$27:$P$48)),IF(B539="高二",IF($E539="男",LOOKUP(J539,[1]对照表!$N$3:$N$24,[1]对照表!$P$3:$P$24),LOOKUP(J539,[1]对照表!$N$27:$N$48,[1]对照表!$P$27:$P$48)),IF(B539="高一",IF($E539="男",LOOKUP(J539,[1]对照表!$M$3:$M$24,[1]对照表!$P$3:$P$24),LOOKUP(J539,[1]对照表!$M$27:$M$48,[1]对照表!$P$27:$P$48)))))</f>
        <v>100</v>
      </c>
      <c r="L539" s="21">
        <v>63</v>
      </c>
      <c r="M539" s="32">
        <f>IF(B539="高三",IF($E539="男",LOOKUP(L539,[1]对照表!$S$3:$S$24,[1]对照表!$T$3:$T$24),LOOKUP(L539,[1]对照表!$S$27:$S$48,[1]对照表!$T$27:$T$48)),IF(B539="高二",IF($E539="男",LOOKUP(L539,[1]对照表!$R$3:$R$24,[1]对照表!$T$3:$T$24),LOOKUP(L539,[1]对照表!$R$27:$R$48,[1]对照表!$T$27:$T$48)),IF(B539="高一",IF($E539="男",LOOKUP(L539,[1]对照表!$Q$3:$Q$24,[1]对照表!$T$3:$T$24),LOOKUP(L539,[1]对照表!$Q$27:$Q$48,[1]对照表!$T$27:$T$48)))))</f>
        <v>100</v>
      </c>
      <c r="N539" s="33">
        <f>IF(B539="高三",MAX(IF(E539="男",L539-18,L539-55),0),IF(B539="高二",MAX(IF(E539="男",L539-17,L539-54),0),IF(B539="高一",MAX(IF(E539="男",L539-16,L539-53),0))))</f>
        <v>10</v>
      </c>
      <c r="O539" s="23">
        <f>IF(E539="男",LOOKUP($N539,[1]对照表!$Z$3:$Z$13,[1]对照表!$AA$3:$AA$13),LOOKUP($N539,[1]对照表!$Z$15:$Z$25,[1]对照表!$AA$15:$AA$25))</f>
        <v>7</v>
      </c>
      <c r="P539" s="24">
        <f>M539+O539</f>
        <v>107</v>
      </c>
      <c r="Q539" s="25">
        <v>3.07</v>
      </c>
      <c r="R539" s="32">
        <f>IF(B539="高三",IF($E539="男",LOOKUP(Q539,[1]对照表!$W$3:$W$24,[1]对照表!$X$3:$X$24),LOOKUP(Q539,[1]对照表!$W$27:$W$48,[1]对照表!$X$27:$X$48)),IF(B539="高二",IF($E539="男",LOOKUP(Q539,[1]对照表!$V$3:$V$24,[1]对照表!$X$3:$X$24),LOOKUP(Q539,[1]对照表!$V$27:$V$48,[1]对照表!$X$27:$X$48)),IF(B539="高一",IF($E539="男",LOOKUP(Q539,[1]对照表!$U$3:$U$24,[1]对照表!$X$3:$X$24),LOOKUP(Q539,[1]对照表!$U$27:$U$48,[1]对照表!$X$27:$X$48)))))</f>
        <v>100</v>
      </c>
      <c r="S539" s="33">
        <f>ROUND(IF(IF($B539="高三",MIN(IF($E539="男",$Q539-3.2,$Q539-3.2),0),IF($B539="高二",MIN(IF($E539="男",$Q539-3.25,$Q539-3.22),0),IF($B539="高一",MIN(IF($E539="男",$Q539-3.3,$Q539-3.24),0))))&lt;-0.6,IF($B539="高三",MIN(IF($E539="男",$Q539-3.2,$Q539-3.2),0),IF($B539="高二",MIN(IF($E539="男",$Q539-3.25,$Q539-3.22),0),IF($B539="高一",MIN(IF($E539="男",$Q539-3.3,$Q539-3.24),0))))+0.4,IF($B539="高三",MIN(IF($E539="男",$Q539-3.2,$Q539-3.2),0),IF($B539="高二",MIN(IF($E539="男",$Q539-3.25,$Q539-3.22),0),IF($B539="高一",MIN(IF($E539="男",$Q539-3.3,$Q539-3.24),0))))),2)</f>
        <v>-0.17</v>
      </c>
      <c r="T539" s="23">
        <f>IF(E539="男",LOOKUP($S539,[1]对照表!$AB$3:$AB$13,[1]对照表!$AC$3:$AC$13),LOOKUP($S539,[1]对照表!$AB$15:$AB$25,[1]对照表!$AC$15:$AC$25))</f>
        <v>3</v>
      </c>
      <c r="U539" s="26">
        <f>R539+T539</f>
        <v>103</v>
      </c>
      <c r="V539" s="26">
        <f>SUM(I539,K539,M539)/3*0.3+SUM(G539,R539)/2*0.4</f>
        <v>68</v>
      </c>
      <c r="W539" s="27">
        <f>O539+T539</f>
        <v>10</v>
      </c>
      <c r="X539" s="28">
        <f>V539/0.7+W539</f>
        <v>107.14285714285715</v>
      </c>
      <c r="Y539" s="28">
        <v>107.14285714285715</v>
      </c>
      <c r="Z539" s="21"/>
    </row>
    <row r="540" spans="1:26" x14ac:dyDescent="0.25">
      <c r="A540" s="16">
        <v>20</v>
      </c>
      <c r="B540" s="17" t="s">
        <v>21</v>
      </c>
      <c r="C540" s="16">
        <v>113</v>
      </c>
      <c r="D540" s="18" t="s">
        <v>137</v>
      </c>
      <c r="E540" s="16" t="s">
        <v>23</v>
      </c>
      <c r="F540" s="19">
        <v>7.1</v>
      </c>
      <c r="G540" s="32">
        <f>IF(B540="高三",IF($E540="男",LOOKUP(F540,[1]对照表!$G$3:$G$24,[1]对照表!$H$3:$H$24),LOOKUP(F540,[1]对照表!$G$27:$G$48,[1]对照表!$H$27:$H$48)),IF(B540="高二",IF($E540="男",LOOKUP(F540,[1]对照表!$F$3:$F$24,[1]对照表!$H$3:$H$24),LOOKUP(F540,[1]对照表!$F$27:$F$48,[1]对照表!$H$27:$H$48)),IF(B540="高一",IF($E540="男",LOOKUP(F540,[1]对照表!$E$3:$E$24,[1]对照表!$H$3:$H$24),LOOKUP(F540,[1]对照表!$E$27:$E$48,[1]对照表!$H$27:$H$48)))))</f>
        <v>100</v>
      </c>
      <c r="H540" s="21">
        <v>15.5</v>
      </c>
      <c r="I540" s="32">
        <f>IF(B540="高三",IF($E540="男",LOOKUP(H540,[1]对照表!$K$3:$K$24,[1]对照表!$L$3:$L$24),LOOKUP(H540,[1]对照表!$K$27:$K$48,[1]对照表!$L$27:$L$48)),IF(B540="高二",IF($E540="男",LOOKUP(H540,[1]对照表!$J$3:$J$24,[1]对照表!$L$3:$L$24),LOOKUP(H540,[1]对照表!$J$27:$J$48,[1]对照表!$L$27:$L$48)),IF(B540="高一",IF($E540="男",LOOKUP(H540,[1]对照表!$I$3:$I$24,[1]对照表!$L$3:$L$24),LOOKUP(H540,[1]对照表!$I$27:$I$48,[1]对照表!$L$27:$L$48)))))</f>
        <v>80</v>
      </c>
      <c r="J540" s="21">
        <v>250</v>
      </c>
      <c r="K540" s="32">
        <f>IF(B540="高三",IF($E540="男",LOOKUP(J540,[1]对照表!$O$3:$O$24,[1]对照表!$P$3:$P$24),LOOKUP(J540,[1]对照表!$O$27:$O$48,[1]对照表!$P$27:$P$48)),IF(B540="高二",IF($E540="男",LOOKUP(J540,[1]对照表!$N$3:$N$24,[1]对照表!$P$3:$P$24),LOOKUP(J540,[1]对照表!$N$27:$N$48,[1]对照表!$P$27:$P$48)),IF(B540="高一",IF($E540="男",LOOKUP(J540,[1]对照表!$M$3:$M$24,[1]对照表!$P$3:$P$24),LOOKUP(J540,[1]对照表!$M$27:$M$48,[1]对照表!$P$27:$P$48)))))</f>
        <v>90</v>
      </c>
      <c r="L540" s="21">
        <v>16</v>
      </c>
      <c r="M540" s="32">
        <f>IF(B540="高三",IF($E540="男",LOOKUP(L540,[1]对照表!$S$3:$S$24,[1]对照表!$T$3:$T$24),LOOKUP(L540,[1]对照表!$S$27:$S$48,[1]对照表!$T$27:$T$48)),IF(B540="高二",IF($E540="男",LOOKUP(L540,[1]对照表!$R$3:$R$24,[1]对照表!$T$3:$T$24),LOOKUP(L540,[1]对照表!$R$27:$R$48,[1]对照表!$T$27:$T$48)),IF(B540="高一",IF($E540="男",LOOKUP(L540,[1]对照表!$Q$3:$Q$24,[1]对照表!$T$3:$T$24),LOOKUP(L540,[1]对照表!$Q$27:$Q$48,[1]对照表!$T$27:$T$48)))))</f>
        <v>100</v>
      </c>
      <c r="N540" s="33">
        <f>IF(B540="高三",MAX(IF(E540="男",L540-18,L540-55),0),IF(B540="高二",MAX(IF(E540="男",L540-17,L540-54),0),IF(B540="高一",MAX(IF(E540="男",L540-16,L540-53),0))))</f>
        <v>0</v>
      </c>
      <c r="O540" s="23">
        <f>IF(E540="男",LOOKUP($N540,[1]对照表!$Z$3:$Z$13,[1]对照表!$AA$3:$AA$13),LOOKUP($N540,[1]对照表!$Z$15:$Z$25,[1]对照表!$AA$15:$AA$25))</f>
        <v>0</v>
      </c>
      <c r="P540" s="24">
        <f>M540+O540</f>
        <v>100</v>
      </c>
      <c r="Q540" s="25">
        <v>3.33</v>
      </c>
      <c r="R540" s="32">
        <f>IF(B540="高三",IF($E540="男",LOOKUP(Q540,[1]对照表!$W$3:$W$24,[1]对照表!$X$3:$X$24),LOOKUP(Q540,[1]对照表!$W$27:$W$48,[1]对照表!$X$27:$X$48)),IF(B540="高二",IF($E540="男",LOOKUP(Q540,[1]对照表!$V$3:$V$24,[1]对照表!$X$3:$X$24),LOOKUP(Q540,[1]对照表!$V$27:$V$48,[1]对照表!$X$27:$X$48)),IF(B540="高一",IF($E540="男",LOOKUP(Q540,[1]对照表!$U$3:$U$24,[1]对照表!$X$3:$X$24),LOOKUP(Q540,[1]对照表!$U$27:$U$48,[1]对照表!$X$27:$X$48)))))</f>
        <v>95</v>
      </c>
      <c r="S540" s="33">
        <f>ROUND(IF(IF($B540="高三",MIN(IF($E540="男",$Q540-3.2,$Q540-3.2),0),IF($B540="高二",MIN(IF($E540="男",$Q540-3.25,$Q540-3.22),0),IF($B540="高一",MIN(IF($E540="男",$Q540-3.3,$Q540-3.24),0))))&lt;-0.6,IF($B540="高三",MIN(IF($E540="男",$Q540-3.2,$Q540-3.2),0),IF($B540="高二",MIN(IF($E540="男",$Q540-3.25,$Q540-3.22),0),IF($B540="高一",MIN(IF($E540="男",$Q540-3.3,$Q540-3.24),0))))+0.4,IF($B540="高三",MIN(IF($E540="男",$Q540-3.2,$Q540-3.2),0),IF($B540="高二",MIN(IF($E540="男",$Q540-3.25,$Q540-3.22),0),IF($B540="高一",MIN(IF($E540="男",$Q540-3.3,$Q540-3.24),0))))),2)</f>
        <v>0</v>
      </c>
      <c r="T540" s="23">
        <f>IF(E540="男",LOOKUP($S540,[1]对照表!$AB$3:$AB$13,[1]对照表!$AC$3:$AC$13),LOOKUP($S540,[1]对照表!$AB$15:$AB$25,[1]对照表!$AC$15:$AC$25))</f>
        <v>0</v>
      </c>
      <c r="U540" s="26">
        <f>R540+T540</f>
        <v>95</v>
      </c>
      <c r="V540" s="26">
        <f>SUM(I540,K540,M540)/3*0.3+SUM(G540,R540)/2*0.4</f>
        <v>66</v>
      </c>
      <c r="W540" s="27">
        <f>O540+T540</f>
        <v>0</v>
      </c>
      <c r="X540" s="28">
        <f>V540/0.7+W540</f>
        <v>94.285714285714292</v>
      </c>
      <c r="Y540" s="28">
        <v>94.285714285714292</v>
      </c>
      <c r="Z540" s="21"/>
    </row>
    <row r="541" spans="1:26" x14ac:dyDescent="0.25">
      <c r="A541" s="16">
        <v>43</v>
      </c>
      <c r="B541" s="17" t="s">
        <v>21</v>
      </c>
      <c r="C541" s="16">
        <v>113</v>
      </c>
      <c r="D541" s="18" t="s">
        <v>165</v>
      </c>
      <c r="E541" s="17" t="s">
        <v>65</v>
      </c>
      <c r="F541" s="19">
        <v>9.14</v>
      </c>
      <c r="G541" s="32">
        <f>IF(B541="高三",IF($E541="男",LOOKUP(F541,[1]对照表!$G$3:$G$24,[1]对照表!$H$3:$H$24),LOOKUP(F541,[1]对照表!$G$27:$G$48,[1]对照表!$H$27:$H$48)),IF(B541="高二",IF($E541="男",LOOKUP(F541,[1]对照表!$F$3:$F$24,[1]对照表!$H$3:$H$24),LOOKUP(F541,[1]对照表!$F$27:$F$48,[1]对照表!$H$27:$H$48)),IF(B541="高一",IF($E541="男",LOOKUP(F541,[1]对照表!$E$3:$E$24,[1]对照表!$H$3:$H$24),LOOKUP(F541,[1]对照表!$E$27:$E$48,[1]对照表!$H$27:$H$48)))))</f>
        <v>74</v>
      </c>
      <c r="H541" s="21">
        <v>18.5</v>
      </c>
      <c r="I541" s="32">
        <f>IF(B541="高三",IF($E541="男",LOOKUP(H541,[1]对照表!$K$3:$K$24,[1]对照表!$L$3:$L$24),LOOKUP(H541,[1]对照表!$K$27:$K$48,[1]对照表!$L$27:$L$48)),IF(B541="高二",IF($E541="男",LOOKUP(H541,[1]对照表!$J$3:$J$24,[1]对照表!$L$3:$L$24),LOOKUP(H541,[1]对照表!$J$27:$J$48,[1]对照表!$L$27:$L$48)),IF(B541="高一",IF($E541="男",LOOKUP(H541,[1]对照表!$I$3:$I$24,[1]对照表!$L$3:$L$24),LOOKUP(H541,[1]对照表!$I$27:$I$48,[1]对照表!$L$27:$L$48)))))</f>
        <v>80</v>
      </c>
      <c r="J541" s="21">
        <v>173</v>
      </c>
      <c r="K541" s="32">
        <f>IF(B541="高三",IF($E541="男",LOOKUP(J541,[1]对照表!$O$3:$O$24,[1]对照表!$P$3:$P$24),LOOKUP(J541,[1]对照表!$O$27:$O$48,[1]对照表!$P$27:$P$48)),IF(B541="高二",IF($E541="男",LOOKUP(J541,[1]对照表!$N$3:$N$24,[1]对照表!$P$3:$P$24),LOOKUP(J541,[1]对照表!$N$27:$N$48,[1]对照表!$P$27:$P$48)),IF(B541="高一",IF($E541="男",LOOKUP(J541,[1]对照表!$M$3:$M$24,[1]对照表!$P$3:$P$24),LOOKUP(J541,[1]对照表!$M$27:$M$48,[1]对照表!$P$27:$P$48)))))</f>
        <v>76</v>
      </c>
      <c r="L541" s="21">
        <v>55</v>
      </c>
      <c r="M541" s="32">
        <f>IF(B541="高三",IF($E541="男",LOOKUP(L541,[1]对照表!$S$3:$S$24,[1]对照表!$T$3:$T$24),LOOKUP(L541,[1]对照表!$S$27:$S$48,[1]对照表!$T$27:$T$48)),IF(B541="高二",IF($E541="男",LOOKUP(L541,[1]对照表!$R$3:$R$24,[1]对照表!$T$3:$T$24),LOOKUP(L541,[1]对照表!$R$27:$R$48,[1]对照表!$T$27:$T$48)),IF(B541="高一",IF($E541="男",LOOKUP(L541,[1]对照表!$Q$3:$Q$24,[1]对照表!$T$3:$T$24),LOOKUP(L541,[1]对照表!$Q$27:$Q$48,[1]对照表!$T$27:$T$48)))))</f>
        <v>100</v>
      </c>
      <c r="N541" s="33">
        <f>IF(B541="高三",MAX(IF(E541="男",L541-18,L541-55),0),IF(B541="高二",MAX(IF(E541="男",L541-17,L541-54),0),IF(B541="高一",MAX(IF(E541="男",L541-16,L541-53),0))))</f>
        <v>2</v>
      </c>
      <c r="O541" s="23">
        <f>IF(E541="男",LOOKUP($N541,[1]对照表!$Z$3:$Z$13,[1]对照表!$AA$3:$AA$13),LOOKUP($N541,[1]对照表!$Z$15:$Z$25,[1]对照表!$AA$15:$AA$25))</f>
        <v>1</v>
      </c>
      <c r="P541" s="24">
        <f>M541+O541</f>
        <v>101</v>
      </c>
      <c r="Q541" s="25">
        <v>3.15</v>
      </c>
      <c r="R541" s="32">
        <f>IF(B541="高三",IF($E541="男",LOOKUP(Q541,[1]对照表!$W$3:$W$24,[1]对照表!$X$3:$X$24),LOOKUP(Q541,[1]对照表!$W$27:$W$48,[1]对照表!$X$27:$X$48)),IF(B541="高二",IF($E541="男",LOOKUP(Q541,[1]对照表!$V$3:$V$24,[1]对照表!$X$3:$X$24),LOOKUP(Q541,[1]对照表!$V$27:$V$48,[1]对照表!$X$27:$X$48)),IF(B541="高一",IF($E541="男",LOOKUP(Q541,[1]对照表!$U$3:$U$24,[1]对照表!$X$3:$X$24),LOOKUP(Q541,[1]对照表!$U$27:$U$48,[1]对照表!$X$27:$X$48)))))</f>
        <v>100</v>
      </c>
      <c r="S541" s="33">
        <f>ROUND(IF(IF($B541="高三",MIN(IF($E541="男",$Q541-3.2,$Q541-3.2),0),IF($B541="高二",MIN(IF($E541="男",$Q541-3.25,$Q541-3.22),0),IF($B541="高一",MIN(IF($E541="男",$Q541-3.3,$Q541-3.24),0))))&lt;-0.6,IF($B541="高三",MIN(IF($E541="男",$Q541-3.2,$Q541-3.2),0),IF($B541="高二",MIN(IF($E541="男",$Q541-3.25,$Q541-3.22),0),IF($B541="高一",MIN(IF($E541="男",$Q541-3.3,$Q541-3.24),0))))+0.4,IF($B541="高三",MIN(IF($E541="男",$Q541-3.2,$Q541-3.2),0),IF($B541="高二",MIN(IF($E541="男",$Q541-3.25,$Q541-3.22),0),IF($B541="高一",MIN(IF($E541="男",$Q541-3.3,$Q541-3.24),0))))),2)</f>
        <v>-0.09</v>
      </c>
      <c r="T541" s="23">
        <f>IF(E541="男",LOOKUP($S541,[1]对照表!$AB$3:$AB$13,[1]对照表!$AC$3:$AC$13),LOOKUP($S541,[1]对照表!$AB$15:$AB$25,[1]对照表!$AC$15:$AC$25))</f>
        <v>1</v>
      </c>
      <c r="U541" s="26">
        <f>R541+T541</f>
        <v>101</v>
      </c>
      <c r="V541" s="26">
        <f>SUM(I541,K541,M541)/3*0.3+SUM(G541,R541)/2*0.4</f>
        <v>60.400000000000006</v>
      </c>
      <c r="W541" s="27">
        <f>O541+T541</f>
        <v>2</v>
      </c>
      <c r="X541" s="28">
        <f>V541/0.7+W541</f>
        <v>88.285714285714306</v>
      </c>
      <c r="Y541" s="28">
        <v>88.285714285714306</v>
      </c>
      <c r="Z541" s="21"/>
    </row>
    <row r="542" spans="1:26" x14ac:dyDescent="0.25">
      <c r="A542" s="16">
        <v>10</v>
      </c>
      <c r="B542" s="17" t="s">
        <v>21</v>
      </c>
      <c r="C542" s="16">
        <v>113</v>
      </c>
      <c r="D542" s="18" t="s">
        <v>179</v>
      </c>
      <c r="E542" s="16" t="s">
        <v>23</v>
      </c>
      <c r="F542" s="19">
        <v>7.4</v>
      </c>
      <c r="G542" s="32">
        <f>IF(B542="高三",IF($E542="男",LOOKUP(F542,[1]对照表!$G$3:$G$24,[1]对照表!$H$3:$H$24),LOOKUP(F542,[1]对照表!$G$27:$G$48,[1]对照表!$H$27:$H$48)),IF(B542="高二",IF($E542="男",LOOKUP(F542,[1]对照表!$F$3:$F$24,[1]对照表!$H$3:$H$24),LOOKUP(F542,[1]对照表!$F$27:$F$48,[1]对照表!$H$27:$H$48)),IF(B542="高一",IF($E542="男",LOOKUP(F542,[1]对照表!$E$3:$E$24,[1]对照表!$H$3:$H$24),LOOKUP(F542,[1]对照表!$E$27:$E$48,[1]对照表!$H$27:$H$48)))))</f>
        <v>85</v>
      </c>
      <c r="H542" s="21">
        <v>11.3</v>
      </c>
      <c r="I542" s="32">
        <f>IF(B542="高三",IF($E542="男",LOOKUP(H542,[1]对照表!$K$3:$K$24,[1]对照表!$L$3:$L$24),LOOKUP(H542,[1]对照表!$K$27:$K$48,[1]对照表!$L$27:$L$48)),IF(B542="高二",IF($E542="男",LOOKUP(H542,[1]对照表!$J$3:$J$24,[1]对照表!$L$3:$L$24),LOOKUP(H542,[1]对照表!$J$27:$J$48,[1]对照表!$L$27:$L$48)),IF(B542="高一",IF($E542="男",LOOKUP(H542,[1]对照表!$I$3:$I$24,[1]对照表!$L$3:$L$24),LOOKUP(H542,[1]对照表!$I$27:$I$48,[1]对照表!$L$27:$L$48)))))</f>
        <v>74</v>
      </c>
      <c r="J542" s="21">
        <v>225</v>
      </c>
      <c r="K542" s="32">
        <f>IF(B542="高三",IF($E542="男",LOOKUP(J542,[1]对照表!$O$3:$O$24,[1]对照表!$P$3:$P$24),LOOKUP(J542,[1]对照表!$O$27:$O$48,[1]对照表!$P$27:$P$48)),IF(B542="高二",IF($E542="男",LOOKUP(J542,[1]对照表!$N$3:$N$24,[1]对照表!$P$3:$P$24),LOOKUP(J542,[1]对照表!$N$27:$N$48,[1]对照表!$P$27:$P$48)),IF(B542="高一",IF($E542="男",LOOKUP(J542,[1]对照表!$M$3:$M$24,[1]对照表!$P$3:$P$24),LOOKUP(J542,[1]对照表!$M$27:$M$48,[1]对照表!$P$27:$P$48)))))</f>
        <v>74</v>
      </c>
      <c r="L542" s="21">
        <v>20</v>
      </c>
      <c r="M542" s="32">
        <f>IF(B542="高三",IF($E542="男",LOOKUP(L542,[1]对照表!$S$3:$S$24,[1]对照表!$T$3:$T$24),LOOKUP(L542,[1]对照表!$S$27:$S$48,[1]对照表!$T$27:$T$48)),IF(B542="高二",IF($E542="男",LOOKUP(L542,[1]对照表!$R$3:$R$24,[1]对照表!$T$3:$T$24),LOOKUP(L542,[1]对照表!$R$27:$R$48,[1]对照表!$T$27:$T$48)),IF(B542="高一",IF($E542="男",LOOKUP(L542,[1]对照表!$Q$3:$Q$24,[1]对照表!$T$3:$T$24),LOOKUP(L542,[1]对照表!$Q$27:$Q$48,[1]对照表!$T$27:$T$48)))))</f>
        <v>100</v>
      </c>
      <c r="N542" s="33">
        <f>IF(B542="高三",MAX(IF(E542="男",L542-18,L542-55),0),IF(B542="高二",MAX(IF(E542="男",L542-17,L542-54),0),IF(B542="高一",MAX(IF(E542="男",L542-16,L542-53),0))))</f>
        <v>4</v>
      </c>
      <c r="O542" s="23">
        <f>IF(E542="男",LOOKUP($N542,[1]对照表!$Z$3:$Z$13,[1]对照表!$AA$3:$AA$13),LOOKUP($N542,[1]对照表!$Z$15:$Z$25,[1]对照表!$AA$15:$AA$25))</f>
        <v>4</v>
      </c>
      <c r="P542" s="24">
        <f>M542+O542</f>
        <v>104</v>
      </c>
      <c r="Q542" s="25">
        <v>3.34</v>
      </c>
      <c r="R542" s="32">
        <f>IF(B542="高三",IF($E542="男",LOOKUP(Q542,[1]对照表!$W$3:$W$24,[1]对照表!$X$3:$X$24),LOOKUP(Q542,[1]对照表!$W$27:$W$48,[1]对照表!$X$27:$X$48)),IF(B542="高二",IF($E542="男",LOOKUP(Q542,[1]对照表!$V$3:$V$24,[1]对照表!$X$3:$X$24),LOOKUP(Q542,[1]对照表!$V$27:$V$48,[1]对照表!$X$27:$X$48)),IF(B542="高一",IF($E542="男",LOOKUP(Q542,[1]对照表!$U$3:$U$24,[1]对照表!$X$3:$X$24),LOOKUP(Q542,[1]对照表!$U$27:$U$48,[1]对照表!$X$27:$X$48)))))</f>
        <v>95</v>
      </c>
      <c r="S542" s="33">
        <f>ROUND(IF(IF($B542="高三",MIN(IF($E542="男",$Q542-3.2,$Q542-3.2),0),IF($B542="高二",MIN(IF($E542="男",$Q542-3.25,$Q542-3.22),0),IF($B542="高一",MIN(IF($E542="男",$Q542-3.3,$Q542-3.24),0))))&lt;-0.6,IF($B542="高三",MIN(IF($E542="男",$Q542-3.2,$Q542-3.2),0),IF($B542="高二",MIN(IF($E542="男",$Q542-3.25,$Q542-3.22),0),IF($B542="高一",MIN(IF($E542="男",$Q542-3.3,$Q542-3.24),0))))+0.4,IF($B542="高三",MIN(IF($E542="男",$Q542-3.2,$Q542-3.2),0),IF($B542="高二",MIN(IF($E542="男",$Q542-3.25,$Q542-3.22),0),IF($B542="高一",MIN(IF($E542="男",$Q542-3.3,$Q542-3.24),0))))),2)</f>
        <v>0</v>
      </c>
      <c r="T542" s="23">
        <f>IF(E542="男",LOOKUP($S542,[1]对照表!$AB$3:$AB$13,[1]对照表!$AC$3:$AC$13),LOOKUP($S542,[1]对照表!$AB$15:$AB$25,[1]对照表!$AC$15:$AC$25))</f>
        <v>0</v>
      </c>
      <c r="U542" s="26">
        <f>R542+T542</f>
        <v>95</v>
      </c>
      <c r="V542" s="26">
        <f>SUM(I542,K542,M542)/3*0.3+SUM(G542,R542)/2*0.4</f>
        <v>60.8</v>
      </c>
      <c r="W542" s="27">
        <f>O542+T542</f>
        <v>4</v>
      </c>
      <c r="X542" s="28">
        <f>V542/0.7+W542</f>
        <v>90.857142857142861</v>
      </c>
      <c r="Y542" s="28">
        <v>90.857142857142861</v>
      </c>
      <c r="Z542" s="21"/>
    </row>
    <row r="543" spans="1:26" x14ac:dyDescent="0.25">
      <c r="A543" s="16">
        <v>57</v>
      </c>
      <c r="B543" s="17" t="s">
        <v>21</v>
      </c>
      <c r="C543" s="16">
        <v>113</v>
      </c>
      <c r="D543" s="18" t="s">
        <v>205</v>
      </c>
      <c r="E543" s="16" t="s">
        <v>65</v>
      </c>
      <c r="F543" s="19">
        <v>8.36</v>
      </c>
      <c r="G543" s="32">
        <f>IF(B543="高三",IF($E543="男",LOOKUP(F543,[1]对照表!$G$3:$G$24,[1]对照表!$H$3:$H$24),LOOKUP(F543,[1]对照表!$G$27:$G$48,[1]对照表!$H$27:$H$48)),IF(B543="高二",IF($E543="男",LOOKUP(F543,[1]对照表!$F$3:$F$24,[1]对照表!$H$3:$H$24),LOOKUP(F543,[1]对照表!$F$27:$F$48,[1]对照表!$H$27:$H$48)),IF(B543="高一",IF($E543="男",LOOKUP(F543,[1]对照表!$E$3:$E$24,[1]对照表!$H$3:$H$24),LOOKUP(F543,[1]对照表!$E$27:$E$48,[1]对照表!$H$27:$H$48)))))</f>
        <v>80</v>
      </c>
      <c r="H543" s="21">
        <v>21</v>
      </c>
      <c r="I543" s="32">
        <f>IF(B543="高三",IF($E543="男",LOOKUP(H543,[1]对照表!$K$3:$K$24,[1]对照表!$L$3:$L$24),LOOKUP(H543,[1]对照表!$K$27:$K$48,[1]对照表!$L$27:$L$48)),IF(B543="高二",IF($E543="男",LOOKUP(H543,[1]对照表!$J$3:$J$24,[1]对照表!$L$3:$L$24),LOOKUP(H543,[1]对照表!$J$27:$J$48,[1]对照表!$L$27:$L$48)),IF(B543="高一",IF($E543="男",LOOKUP(H543,[1]对照表!$I$3:$I$24,[1]对照表!$L$3:$L$24),LOOKUP(H543,[1]对照表!$I$27:$I$48,[1]对照表!$L$27:$L$48)))))</f>
        <v>90</v>
      </c>
      <c r="J543" s="21">
        <v>162</v>
      </c>
      <c r="K543" s="32">
        <f>IF(B543="高三",IF($E543="男",LOOKUP(J543,[1]对照表!$O$3:$O$24,[1]对照表!$P$3:$P$24),LOOKUP(J543,[1]对照表!$O$27:$O$48,[1]对照表!$P$27:$P$48)),IF(B543="高二",IF($E543="男",LOOKUP(J543,[1]对照表!$N$3:$N$24,[1]对照表!$P$3:$P$24),LOOKUP(J543,[1]对照表!$N$27:$N$48,[1]对照表!$P$27:$P$48)),IF(B543="高一",IF($E543="男",LOOKUP(J543,[1]对照表!$M$3:$M$24,[1]对照表!$P$3:$P$24),LOOKUP(J543,[1]对照表!$M$27:$M$48,[1]对照表!$P$27:$P$48)))))</f>
        <v>68</v>
      </c>
      <c r="L543" s="21">
        <v>69</v>
      </c>
      <c r="M543" s="32">
        <f>IF(B543="高三",IF($E543="男",LOOKUP(L543,[1]对照表!$S$3:$S$24,[1]对照表!$T$3:$T$24),LOOKUP(L543,[1]对照表!$S$27:$S$48,[1]对照表!$T$27:$T$48)),IF(B543="高二",IF($E543="男",LOOKUP(L543,[1]对照表!$R$3:$R$24,[1]对照表!$T$3:$T$24),LOOKUP(L543,[1]对照表!$R$27:$R$48,[1]对照表!$T$27:$T$48)),IF(B543="高一",IF($E543="男",LOOKUP(L543,[1]对照表!$Q$3:$Q$24,[1]对照表!$T$3:$T$24),LOOKUP(L543,[1]对照表!$Q$27:$Q$48,[1]对照表!$T$27:$T$48)))))</f>
        <v>100</v>
      </c>
      <c r="N543" s="33">
        <f>IF(B543="高三",MAX(IF(E543="男",L543-18,L543-55),0),IF(B543="高二",MAX(IF(E543="男",L543-17,L543-54),0),IF(B543="高一",MAX(IF(E543="男",L543-16,L543-53),0))))</f>
        <v>16</v>
      </c>
      <c r="O543" s="23">
        <f>IF(E543="男",LOOKUP($N543,[1]对照表!$Z$3:$Z$13,[1]对照表!$AA$3:$AA$13),LOOKUP($N543,[1]对照表!$Z$15:$Z$25,[1]对照表!$AA$15:$AA$25))</f>
        <v>10</v>
      </c>
      <c r="P543" s="24">
        <f>M543+O543</f>
        <v>110</v>
      </c>
      <c r="Q543" s="25">
        <v>3.19</v>
      </c>
      <c r="R543" s="32">
        <f>IF(B543="高三",IF($E543="男",LOOKUP(Q543,[1]对照表!$W$3:$W$24,[1]对照表!$X$3:$X$24),LOOKUP(Q543,[1]对照表!$W$27:$W$48,[1]对照表!$X$27:$X$48)),IF(B543="高二",IF($E543="男",LOOKUP(Q543,[1]对照表!$V$3:$V$24,[1]对照表!$X$3:$X$24),LOOKUP(Q543,[1]对照表!$V$27:$V$48,[1]对照表!$X$27:$X$48)),IF(B543="高一",IF($E543="男",LOOKUP(Q543,[1]对照表!$U$3:$U$24,[1]对照表!$X$3:$X$24),LOOKUP(Q543,[1]对照表!$U$27:$U$48,[1]对照表!$X$27:$X$48)))))</f>
        <v>100</v>
      </c>
      <c r="S543" s="33">
        <f>ROUND(IF(IF($B543="高三",MIN(IF($E543="男",$Q543-3.2,$Q543-3.2),0),IF($B543="高二",MIN(IF($E543="男",$Q543-3.25,$Q543-3.22),0),IF($B543="高一",MIN(IF($E543="男",$Q543-3.3,$Q543-3.24),0))))&lt;-0.6,IF($B543="高三",MIN(IF($E543="男",$Q543-3.2,$Q543-3.2),0),IF($B543="高二",MIN(IF($E543="男",$Q543-3.25,$Q543-3.22),0),IF($B543="高一",MIN(IF($E543="男",$Q543-3.3,$Q543-3.24),0))))+0.4,IF($B543="高三",MIN(IF($E543="男",$Q543-3.2,$Q543-3.2),0),IF($B543="高二",MIN(IF($E543="男",$Q543-3.25,$Q543-3.22),0),IF($B543="高一",MIN(IF($E543="男",$Q543-3.3,$Q543-3.24),0))))),2)</f>
        <v>-0.05</v>
      </c>
      <c r="T543" s="23">
        <f>IF(E543="男",LOOKUP($S543,[1]对照表!$AB$3:$AB$13,[1]对照表!$AC$3:$AC$13),LOOKUP($S543,[1]对照表!$AB$15:$AB$25,[1]对照表!$AC$15:$AC$25))</f>
        <v>1</v>
      </c>
      <c r="U543" s="26">
        <f>R543+T543</f>
        <v>101</v>
      </c>
      <c r="V543" s="26">
        <f>SUM(I543,K543,M543)/3*0.3+SUM(G543,R543)/2*0.4</f>
        <v>61.8</v>
      </c>
      <c r="W543" s="27">
        <f>O543+T543</f>
        <v>11</v>
      </c>
      <c r="X543" s="28">
        <f>V543/0.7+W543</f>
        <v>99.285714285714292</v>
      </c>
      <c r="Y543" s="28">
        <v>99.285714285714292</v>
      </c>
      <c r="Z543" s="21"/>
    </row>
    <row r="544" spans="1:26" x14ac:dyDescent="0.25">
      <c r="A544" s="16">
        <v>35</v>
      </c>
      <c r="B544" s="17" t="s">
        <v>21</v>
      </c>
      <c r="C544" s="16">
        <v>113</v>
      </c>
      <c r="D544" s="18" t="s">
        <v>207</v>
      </c>
      <c r="E544" s="17" t="s">
        <v>65</v>
      </c>
      <c r="F544" s="19">
        <v>8.25</v>
      </c>
      <c r="G544" s="32">
        <f>IF(B544="高三",IF($E544="男",LOOKUP(F544,[1]对照表!$G$3:$G$24,[1]对照表!$H$3:$H$24),LOOKUP(F544,[1]对照表!$G$27:$G$48,[1]对照表!$H$27:$H$48)),IF(B544="高二",IF($E544="男",LOOKUP(F544,[1]对照表!$F$3:$F$24,[1]对照表!$H$3:$H$24),LOOKUP(F544,[1]对照表!$F$27:$F$48,[1]对照表!$H$27:$H$48)),IF(B544="高一",IF($E544="男",LOOKUP(F544,[1]对照表!$E$3:$E$24,[1]对照表!$H$3:$H$24),LOOKUP(F544,[1]对照表!$E$27:$E$48,[1]对照表!$H$27:$H$48)))))</f>
        <v>85</v>
      </c>
      <c r="H544" s="21">
        <v>23</v>
      </c>
      <c r="I544" s="32">
        <f>IF(B544="高三",IF($E544="男",LOOKUP(H544,[1]对照表!$K$3:$K$24,[1]对照表!$L$3:$L$24),LOOKUP(H544,[1]对照表!$K$27:$K$48,[1]对照表!$L$27:$L$48)),IF(B544="高二",IF($E544="男",LOOKUP(H544,[1]对照表!$J$3:$J$24,[1]对照表!$L$3:$L$24),LOOKUP(H544,[1]对照表!$J$27:$J$48,[1]对照表!$L$27:$L$48)),IF(B544="高一",IF($E544="男",LOOKUP(H544,[1]对照表!$I$3:$I$24,[1]对照表!$L$3:$L$24),LOOKUP(H544,[1]对照表!$I$27:$I$48,[1]对照表!$L$27:$L$48)))))</f>
        <v>95</v>
      </c>
      <c r="J544" s="21">
        <v>202</v>
      </c>
      <c r="K544" s="32">
        <f>IF(B544="高三",IF($E544="男",LOOKUP(J544,[1]对照表!$O$3:$O$24,[1]对照表!$P$3:$P$24),LOOKUP(J544,[1]对照表!$O$27:$O$48,[1]对照表!$P$27:$P$48)),IF(B544="高二",IF($E544="男",LOOKUP(J544,[1]对照表!$N$3:$N$24,[1]对照表!$P$3:$P$24),LOOKUP(J544,[1]对照表!$N$27:$N$48,[1]对照表!$P$27:$P$48)),IF(B544="高一",IF($E544="男",LOOKUP(J544,[1]对照表!$M$3:$M$24,[1]对照表!$P$3:$P$24),LOOKUP(J544,[1]对照表!$M$27:$M$48,[1]对照表!$P$27:$P$48)))))</f>
        <v>95</v>
      </c>
      <c r="L544" s="21">
        <v>61</v>
      </c>
      <c r="M544" s="32">
        <f>IF(B544="高三",IF($E544="男",LOOKUP(L544,[1]对照表!$S$3:$S$24,[1]对照表!$T$3:$T$24),LOOKUP(L544,[1]对照表!$S$27:$S$48,[1]对照表!$T$27:$T$48)),IF(B544="高二",IF($E544="男",LOOKUP(L544,[1]对照表!$R$3:$R$24,[1]对照表!$T$3:$T$24),LOOKUP(L544,[1]对照表!$R$27:$R$48,[1]对照表!$T$27:$T$48)),IF(B544="高一",IF($E544="男",LOOKUP(L544,[1]对照表!$Q$3:$Q$24,[1]对照表!$T$3:$T$24),LOOKUP(L544,[1]对照表!$Q$27:$Q$48,[1]对照表!$T$27:$T$48)))))</f>
        <v>100</v>
      </c>
      <c r="N544" s="33">
        <f>IF(B544="高三",MAX(IF(E544="男",L544-18,L544-55),0),IF(B544="高二",MAX(IF(E544="男",L544-17,L544-54),0),IF(B544="高一",MAX(IF(E544="男",L544-16,L544-53),0))))</f>
        <v>8</v>
      </c>
      <c r="O544" s="23">
        <f>IF(E544="男",LOOKUP($N544,[1]对照表!$Z$3:$Z$13,[1]对照表!$AA$3:$AA$13),LOOKUP($N544,[1]对照表!$Z$15:$Z$25,[1]对照表!$AA$15:$AA$25))</f>
        <v>5</v>
      </c>
      <c r="P544" s="24">
        <f>M544+O544</f>
        <v>105</v>
      </c>
      <c r="Q544" s="25">
        <v>3.2</v>
      </c>
      <c r="R544" s="32">
        <f>IF(B544="高三",IF($E544="男",LOOKUP(Q544,[1]对照表!$W$3:$W$24,[1]对照表!$X$3:$X$24),LOOKUP(Q544,[1]对照表!$W$27:$W$48,[1]对照表!$X$27:$X$48)),IF(B544="高二",IF($E544="男",LOOKUP(Q544,[1]对照表!$V$3:$V$24,[1]对照表!$X$3:$X$24),LOOKUP(Q544,[1]对照表!$V$27:$V$48,[1]对照表!$X$27:$X$48)),IF(B544="高一",IF($E544="男",LOOKUP(Q544,[1]对照表!$U$3:$U$24,[1]对照表!$X$3:$X$24),LOOKUP(Q544,[1]对照表!$U$27:$U$48,[1]对照表!$X$27:$X$48)))))</f>
        <v>100</v>
      </c>
      <c r="S544" s="33">
        <f>ROUND(IF(IF($B544="高三",MIN(IF($E544="男",$Q544-3.2,$Q544-3.2),0),IF($B544="高二",MIN(IF($E544="男",$Q544-3.25,$Q544-3.22),0),IF($B544="高一",MIN(IF($E544="男",$Q544-3.3,$Q544-3.24),0))))&lt;-0.6,IF($B544="高三",MIN(IF($E544="男",$Q544-3.2,$Q544-3.2),0),IF($B544="高二",MIN(IF($E544="男",$Q544-3.25,$Q544-3.22),0),IF($B544="高一",MIN(IF($E544="男",$Q544-3.3,$Q544-3.24),0))))+0.4,IF($B544="高三",MIN(IF($E544="男",$Q544-3.2,$Q544-3.2),0),IF($B544="高二",MIN(IF($E544="男",$Q544-3.25,$Q544-3.22),0),IF($B544="高一",MIN(IF($E544="男",$Q544-3.3,$Q544-3.24),0))))),2)</f>
        <v>-0.04</v>
      </c>
      <c r="T544" s="23">
        <f>IF(E544="男",LOOKUP($S544,[1]对照表!$AB$3:$AB$13,[1]对照表!$AC$3:$AC$13),LOOKUP($S544,[1]对照表!$AB$15:$AB$25,[1]对照表!$AC$15:$AC$25))</f>
        <v>0</v>
      </c>
      <c r="U544" s="26">
        <f>R544+T544</f>
        <v>100</v>
      </c>
      <c r="V544" s="26">
        <f>SUM(I544,K544,M544)/3*0.3+SUM(G544,R544)/2*0.4</f>
        <v>66</v>
      </c>
      <c r="W544" s="27">
        <f>O544+T544</f>
        <v>5</v>
      </c>
      <c r="X544" s="28">
        <f>V544/0.7+W544</f>
        <v>99.285714285714292</v>
      </c>
      <c r="Y544" s="28">
        <v>99.285714285714292</v>
      </c>
      <c r="Z544" s="21"/>
    </row>
    <row r="545" spans="1:26" x14ac:dyDescent="0.25">
      <c r="A545" s="16">
        <v>49</v>
      </c>
      <c r="B545" s="17" t="s">
        <v>21</v>
      </c>
      <c r="C545" s="16">
        <v>113</v>
      </c>
      <c r="D545" s="18" t="s">
        <v>215</v>
      </c>
      <c r="E545" s="16" t="s">
        <v>65</v>
      </c>
      <c r="F545" s="19">
        <v>7.95</v>
      </c>
      <c r="G545" s="32">
        <f>IF(B545="高三",IF($E545="男",LOOKUP(F545,[1]对照表!$G$3:$G$24,[1]对照表!$H$3:$H$24),LOOKUP(F545,[1]对照表!$G$27:$G$48,[1]对照表!$H$27:$H$48)),IF(B545="高二",IF($E545="男",LOOKUP(F545,[1]对照表!$F$3:$F$24,[1]对照表!$H$3:$H$24),LOOKUP(F545,[1]对照表!$F$27:$F$48,[1]对照表!$H$27:$H$48)),IF(B545="高一",IF($E545="男",LOOKUP(F545,[1]对照表!$E$3:$E$24,[1]对照表!$H$3:$H$24),LOOKUP(F545,[1]对照表!$E$27:$E$48,[1]对照表!$H$27:$H$48)))))</f>
        <v>90</v>
      </c>
      <c r="H545" s="21">
        <v>11</v>
      </c>
      <c r="I545" s="32">
        <f>IF(B545="高三",IF($E545="男",LOOKUP(H545,[1]对照表!$K$3:$K$24,[1]对照表!$L$3:$L$24),LOOKUP(H545,[1]对照表!$K$27:$K$48,[1]对照表!$L$27:$L$48)),IF(B545="高二",IF($E545="男",LOOKUP(H545,[1]对照表!$J$3:$J$24,[1]对照表!$L$3:$L$24),LOOKUP(H545,[1]对照表!$J$27:$J$48,[1]对照表!$L$27:$L$48)),IF(B545="高一",IF($E545="男",LOOKUP(H545,[1]对照表!$I$3:$I$24,[1]对照表!$L$3:$L$24),LOOKUP(H545,[1]对照表!$I$27:$I$48,[1]对照表!$L$27:$L$48)))))</f>
        <v>70</v>
      </c>
      <c r="J545" s="21">
        <v>212</v>
      </c>
      <c r="K545" s="32">
        <f>IF(B545="高三",IF($E545="男",LOOKUP(J545,[1]对照表!$O$3:$O$24,[1]对照表!$P$3:$P$24),LOOKUP(J545,[1]对照表!$O$27:$O$48,[1]对照表!$P$27:$P$48)),IF(B545="高二",IF($E545="男",LOOKUP(J545,[1]对照表!$N$3:$N$24,[1]对照表!$P$3:$P$24),LOOKUP(J545,[1]对照表!$N$27:$N$48,[1]对照表!$P$27:$P$48)),IF(B545="高一",IF($E545="男",LOOKUP(J545,[1]对照表!$M$3:$M$24,[1]对照表!$P$3:$P$24),LOOKUP(J545,[1]对照表!$M$27:$M$48,[1]对照表!$P$27:$P$48)))))</f>
        <v>100</v>
      </c>
      <c r="L545" s="21">
        <v>43</v>
      </c>
      <c r="M545" s="32">
        <f>IF(B545="高三",IF($E545="男",LOOKUP(L545,[1]对照表!$S$3:$S$24,[1]对照表!$T$3:$T$24),LOOKUP(L545,[1]对照表!$S$27:$S$48,[1]对照表!$T$27:$T$48)),IF(B545="高二",IF($E545="男",LOOKUP(L545,[1]对照表!$R$3:$R$24,[1]对照表!$T$3:$T$24),LOOKUP(L545,[1]对照表!$R$27:$R$48,[1]对照表!$T$27:$T$48)),IF(B545="高一",IF($E545="男",LOOKUP(L545,[1]对照表!$Q$3:$Q$24,[1]对照表!$T$3:$T$24),LOOKUP(L545,[1]对照表!$Q$27:$Q$48,[1]对照表!$T$27:$T$48)))))</f>
        <v>80</v>
      </c>
      <c r="N545" s="33">
        <f>IF(B545="高三",MAX(IF(E545="男",L545-18,L545-55),0),IF(B545="高二",MAX(IF(E545="男",L545-17,L545-54),0),IF(B545="高一",MAX(IF(E545="男",L545-16,L545-53),0))))</f>
        <v>0</v>
      </c>
      <c r="O545" s="23">
        <f>IF(E545="男",LOOKUP($N545,[1]对照表!$Z$3:$Z$13,[1]对照表!$AA$3:$AA$13),LOOKUP($N545,[1]对照表!$Z$15:$Z$25,[1]对照表!$AA$15:$AA$25))</f>
        <v>0</v>
      </c>
      <c r="P545" s="24">
        <f>M545+O545</f>
        <v>80</v>
      </c>
      <c r="Q545" s="25">
        <v>3.22</v>
      </c>
      <c r="R545" s="32">
        <f>IF(B545="高三",IF($E545="男",LOOKUP(Q545,[1]对照表!$W$3:$W$24,[1]对照表!$X$3:$X$24),LOOKUP(Q545,[1]对照表!$W$27:$W$48,[1]对照表!$X$27:$X$48)),IF(B545="高二",IF($E545="男",LOOKUP(Q545,[1]对照表!$V$3:$V$24,[1]对照表!$X$3:$X$24),LOOKUP(Q545,[1]对照表!$V$27:$V$48,[1]对照表!$X$27:$X$48)),IF(B545="高一",IF($E545="男",LOOKUP(Q545,[1]对照表!$U$3:$U$24,[1]对照表!$X$3:$X$24),LOOKUP(Q545,[1]对照表!$U$27:$U$48,[1]对照表!$X$27:$X$48)))))</f>
        <v>100</v>
      </c>
      <c r="S545" s="33">
        <f>ROUND(IF(IF($B545="高三",MIN(IF($E545="男",$Q545-3.2,$Q545-3.2),0),IF($B545="高二",MIN(IF($E545="男",$Q545-3.25,$Q545-3.22),0),IF($B545="高一",MIN(IF($E545="男",$Q545-3.3,$Q545-3.24),0))))&lt;-0.6,IF($B545="高三",MIN(IF($E545="男",$Q545-3.2,$Q545-3.2),0),IF($B545="高二",MIN(IF($E545="男",$Q545-3.25,$Q545-3.22),0),IF($B545="高一",MIN(IF($E545="男",$Q545-3.3,$Q545-3.24),0))))+0.4,IF($B545="高三",MIN(IF($E545="男",$Q545-3.2,$Q545-3.2),0),IF($B545="高二",MIN(IF($E545="男",$Q545-3.25,$Q545-3.22),0),IF($B545="高一",MIN(IF($E545="男",$Q545-3.3,$Q545-3.24),0))))),2)</f>
        <v>-0.02</v>
      </c>
      <c r="T545" s="23">
        <f>IF(E545="男",LOOKUP($S545,[1]对照表!$AB$3:$AB$13,[1]对照表!$AC$3:$AC$13),LOOKUP($S545,[1]对照表!$AB$15:$AB$25,[1]对照表!$AC$15:$AC$25))</f>
        <v>0</v>
      </c>
      <c r="U545" s="26">
        <f>R545+T545</f>
        <v>100</v>
      </c>
      <c r="V545" s="26">
        <f>SUM(I545,K545,M545)/3*0.3+SUM(G545,R545)/2*0.4</f>
        <v>63</v>
      </c>
      <c r="W545" s="27">
        <f>O545+T545</f>
        <v>0</v>
      </c>
      <c r="X545" s="28">
        <f>V545/0.7+W545</f>
        <v>90</v>
      </c>
      <c r="Y545" s="28">
        <v>90</v>
      </c>
      <c r="Z545" s="21"/>
    </row>
    <row r="546" spans="1:26" x14ac:dyDescent="0.25">
      <c r="A546" s="16">
        <v>41</v>
      </c>
      <c r="B546" s="17" t="s">
        <v>21</v>
      </c>
      <c r="C546" s="16">
        <v>113</v>
      </c>
      <c r="D546" s="18" t="s">
        <v>217</v>
      </c>
      <c r="E546" s="17" t="s">
        <v>65</v>
      </c>
      <c r="F546" s="19">
        <v>8.52</v>
      </c>
      <c r="G546" s="32">
        <f>IF(B546="高三",IF($E546="男",LOOKUP(F546,[1]对照表!$G$3:$G$24,[1]对照表!$H$3:$H$24),LOOKUP(F546,[1]对照表!$G$27:$G$48,[1]对照表!$H$27:$H$48)),IF(B546="高二",IF($E546="男",LOOKUP(F546,[1]对照表!$F$3:$F$24,[1]对照表!$H$3:$H$24),LOOKUP(F546,[1]对照表!$F$27:$F$48,[1]对照表!$H$27:$H$48)),IF(B546="高一",IF($E546="男",LOOKUP(F546,[1]对照表!$E$3:$E$24,[1]对照表!$H$3:$H$24),LOOKUP(F546,[1]对照表!$E$27:$E$48,[1]对照表!$H$27:$H$48)))))</f>
        <v>80</v>
      </c>
      <c r="H546" s="21">
        <v>19</v>
      </c>
      <c r="I546" s="32">
        <f>IF(B546="高三",IF($E546="男",LOOKUP(H546,[1]对照表!$K$3:$K$24,[1]对照表!$L$3:$L$24),LOOKUP(H546,[1]对照表!$K$27:$K$48,[1]对照表!$L$27:$L$48)),IF(B546="高二",IF($E546="男",LOOKUP(H546,[1]对照表!$J$3:$J$24,[1]对照表!$L$3:$L$24),LOOKUP(H546,[1]对照表!$J$27:$J$48,[1]对照表!$L$27:$L$48)),IF(B546="高一",IF($E546="男",LOOKUP(H546,[1]对照表!$I$3:$I$24,[1]对照表!$L$3:$L$24),LOOKUP(H546,[1]对照表!$I$27:$I$48,[1]对照表!$L$27:$L$48)))))</f>
        <v>80</v>
      </c>
      <c r="J546" s="21">
        <v>193</v>
      </c>
      <c r="K546" s="32">
        <f>IF(B546="高三",IF($E546="男",LOOKUP(J546,[1]对照表!$O$3:$O$24,[1]对照表!$P$3:$P$24),LOOKUP(J546,[1]对照表!$O$27:$O$48,[1]对照表!$P$27:$P$48)),IF(B546="高二",IF($E546="男",LOOKUP(J546,[1]对照表!$N$3:$N$24,[1]对照表!$P$3:$P$24),LOOKUP(J546,[1]对照表!$N$27:$N$48,[1]对照表!$P$27:$P$48)),IF(B546="高一",IF($E546="男",LOOKUP(J546,[1]对照表!$M$3:$M$24,[1]对照表!$P$3:$P$24),LOOKUP(J546,[1]对照表!$M$27:$M$48,[1]对照表!$P$27:$P$48)))))</f>
        <v>90</v>
      </c>
      <c r="L546" s="21">
        <v>50</v>
      </c>
      <c r="M546" s="32">
        <f>IF(B546="高三",IF($E546="男",LOOKUP(L546,[1]对照表!$S$3:$S$24,[1]对照表!$T$3:$T$24),LOOKUP(L546,[1]对照表!$S$27:$S$48,[1]对照表!$T$27:$T$48)),IF(B546="高二",IF($E546="男",LOOKUP(L546,[1]对照表!$R$3:$R$24,[1]对照表!$T$3:$T$24),LOOKUP(L546,[1]对照表!$R$27:$R$48,[1]对照表!$T$27:$T$48)),IF(B546="高一",IF($E546="男",LOOKUP(L546,[1]对照表!$Q$3:$Q$24,[1]对照表!$T$3:$T$24),LOOKUP(L546,[1]对照表!$Q$27:$Q$48,[1]对照表!$T$27:$T$48)))))</f>
        <v>90</v>
      </c>
      <c r="N546" s="33">
        <f>IF(B546="高三",MAX(IF(E546="男",L546-18,L546-55),0),IF(B546="高二",MAX(IF(E546="男",L546-17,L546-54),0),IF(B546="高一",MAX(IF(E546="男",L546-16,L546-53),0))))</f>
        <v>0</v>
      </c>
      <c r="O546" s="23">
        <f>IF(E546="男",LOOKUP($N546,[1]对照表!$Z$3:$Z$13,[1]对照表!$AA$3:$AA$13),LOOKUP($N546,[1]对照表!$Z$15:$Z$25,[1]对照表!$AA$15:$AA$25))</f>
        <v>0</v>
      </c>
      <c r="P546" s="24">
        <f>M546+O546</f>
        <v>90</v>
      </c>
      <c r="Q546" s="25">
        <v>3.23</v>
      </c>
      <c r="R546" s="32">
        <f>IF(B546="高三",IF($E546="男",LOOKUP(Q546,[1]对照表!$W$3:$W$24,[1]对照表!$X$3:$X$24),LOOKUP(Q546,[1]对照表!$W$27:$W$48,[1]对照表!$X$27:$X$48)),IF(B546="高二",IF($E546="男",LOOKUP(Q546,[1]对照表!$V$3:$V$24,[1]对照表!$X$3:$X$24),LOOKUP(Q546,[1]对照表!$V$27:$V$48,[1]对照表!$X$27:$X$48)),IF(B546="高一",IF($E546="男",LOOKUP(Q546,[1]对照表!$U$3:$U$24,[1]对照表!$X$3:$X$24),LOOKUP(Q546,[1]对照表!$U$27:$U$48,[1]对照表!$X$27:$X$48)))))</f>
        <v>100</v>
      </c>
      <c r="S546" s="33">
        <f>ROUND(IF(IF($B546="高三",MIN(IF($E546="男",$Q546-3.2,$Q546-3.2),0),IF($B546="高二",MIN(IF($E546="男",$Q546-3.25,$Q546-3.22),0),IF($B546="高一",MIN(IF($E546="男",$Q546-3.3,$Q546-3.24),0))))&lt;-0.6,IF($B546="高三",MIN(IF($E546="男",$Q546-3.2,$Q546-3.2),0),IF($B546="高二",MIN(IF($E546="男",$Q546-3.25,$Q546-3.22),0),IF($B546="高一",MIN(IF($E546="男",$Q546-3.3,$Q546-3.24),0))))+0.4,IF($B546="高三",MIN(IF($E546="男",$Q546-3.2,$Q546-3.2),0),IF($B546="高二",MIN(IF($E546="男",$Q546-3.25,$Q546-3.22),0),IF($B546="高一",MIN(IF($E546="男",$Q546-3.3,$Q546-3.24),0))))),2)</f>
        <v>-0.01</v>
      </c>
      <c r="T546" s="23">
        <f>IF(E546="男",LOOKUP($S546,[1]对照表!$AB$3:$AB$13,[1]对照表!$AC$3:$AC$13),LOOKUP($S546,[1]对照表!$AB$15:$AB$25,[1]对照表!$AC$15:$AC$25))</f>
        <v>0</v>
      </c>
      <c r="U546" s="26">
        <f>R546+T546</f>
        <v>100</v>
      </c>
      <c r="V546" s="26">
        <f>SUM(I546,K546,M546)/3*0.3+SUM(G546,R546)/2*0.4</f>
        <v>62</v>
      </c>
      <c r="W546" s="27">
        <f>O546+T546</f>
        <v>0</v>
      </c>
      <c r="X546" s="28">
        <f>V546/0.7+W546</f>
        <v>88.571428571428584</v>
      </c>
      <c r="Y546" s="28">
        <v>88.571428571428584</v>
      </c>
      <c r="Z546" s="21"/>
    </row>
    <row r="547" spans="1:26" x14ac:dyDescent="0.25">
      <c r="A547" s="16">
        <v>48</v>
      </c>
      <c r="B547" s="17" t="s">
        <v>21</v>
      </c>
      <c r="C547" s="16">
        <v>113</v>
      </c>
      <c r="D547" s="18" t="s">
        <v>219</v>
      </c>
      <c r="E547" s="16" t="s">
        <v>65</v>
      </c>
      <c r="F547" s="19">
        <v>8.66</v>
      </c>
      <c r="G547" s="32">
        <f>IF(B547="高三",IF($E547="男",LOOKUP(F547,[1]对照表!$G$3:$G$24,[1]对照表!$H$3:$H$24),LOOKUP(F547,[1]对照表!$G$27:$G$48,[1]对照表!$H$27:$H$48)),IF(B547="高二",IF($E547="男",LOOKUP(F547,[1]对照表!$F$3:$F$24,[1]对照表!$H$3:$H$24),LOOKUP(F547,[1]对照表!$F$27:$F$48,[1]对照表!$H$27:$H$48)),IF(B547="高一",IF($E547="男",LOOKUP(F547,[1]对照表!$E$3:$E$24,[1]对照表!$H$3:$H$24),LOOKUP(F547,[1]对照表!$E$27:$E$48,[1]对照表!$H$27:$H$48)))))</f>
        <v>78</v>
      </c>
      <c r="H547" s="21">
        <v>23</v>
      </c>
      <c r="I547" s="32">
        <f>IF(B547="高三",IF($E547="男",LOOKUP(H547,[1]对照表!$K$3:$K$24,[1]对照表!$L$3:$L$24),LOOKUP(H547,[1]对照表!$K$27:$K$48,[1]对照表!$L$27:$L$48)),IF(B547="高二",IF($E547="男",LOOKUP(H547,[1]对照表!$J$3:$J$24,[1]对照表!$L$3:$L$24),LOOKUP(H547,[1]对照表!$J$27:$J$48,[1]对照表!$L$27:$L$48)),IF(B547="高一",IF($E547="男",LOOKUP(H547,[1]对照表!$I$3:$I$24,[1]对照表!$L$3:$L$24),LOOKUP(H547,[1]对照表!$I$27:$I$48,[1]对照表!$L$27:$L$48)))))</f>
        <v>95</v>
      </c>
      <c r="J547" s="21">
        <v>194</v>
      </c>
      <c r="K547" s="32">
        <f>IF(B547="高三",IF($E547="男",LOOKUP(J547,[1]对照表!$O$3:$O$24,[1]对照表!$P$3:$P$24),LOOKUP(J547,[1]对照表!$O$27:$O$48,[1]对照表!$P$27:$P$48)),IF(B547="高二",IF($E547="男",LOOKUP(J547,[1]对照表!$N$3:$N$24,[1]对照表!$P$3:$P$24),LOOKUP(J547,[1]对照表!$N$27:$N$48,[1]对照表!$P$27:$P$48)),IF(B547="高一",IF($E547="男",LOOKUP(J547,[1]对照表!$M$3:$M$24,[1]对照表!$P$3:$P$24),LOOKUP(J547,[1]对照表!$M$27:$M$48,[1]对照表!$P$27:$P$48)))))</f>
        <v>90</v>
      </c>
      <c r="L547" s="21">
        <v>51</v>
      </c>
      <c r="M547" s="32">
        <f>IF(B547="高三",IF($E547="男",LOOKUP(L547,[1]对照表!$S$3:$S$24,[1]对照表!$T$3:$T$24),LOOKUP(L547,[1]对照表!$S$27:$S$48,[1]对照表!$T$27:$T$48)),IF(B547="高二",IF($E547="男",LOOKUP(L547,[1]对照表!$R$3:$R$24,[1]对照表!$T$3:$T$24),LOOKUP(L547,[1]对照表!$R$27:$R$48,[1]对照表!$T$27:$T$48)),IF(B547="高一",IF($E547="男",LOOKUP(L547,[1]对照表!$Q$3:$Q$24,[1]对照表!$T$3:$T$24),LOOKUP(L547,[1]对照表!$Q$27:$Q$48,[1]对照表!$T$27:$T$48)))))</f>
        <v>95</v>
      </c>
      <c r="N547" s="33">
        <f>IF(B547="高三",MAX(IF(E547="男",L547-18,L547-55),0),IF(B547="高二",MAX(IF(E547="男",L547-17,L547-54),0),IF(B547="高一",MAX(IF(E547="男",L547-16,L547-53),0))))</f>
        <v>0</v>
      </c>
      <c r="O547" s="23">
        <f>IF(E547="男",LOOKUP($N547,[1]对照表!$Z$3:$Z$13,[1]对照表!$AA$3:$AA$13),LOOKUP($N547,[1]对照表!$Z$15:$Z$25,[1]对照表!$AA$15:$AA$25))</f>
        <v>0</v>
      </c>
      <c r="P547" s="24">
        <f>M547+O547</f>
        <v>95</v>
      </c>
      <c r="Q547" s="25">
        <v>3.23</v>
      </c>
      <c r="R547" s="32">
        <f>IF(B547="高三",IF($E547="男",LOOKUP(Q547,[1]对照表!$W$3:$W$24,[1]对照表!$X$3:$X$24),LOOKUP(Q547,[1]对照表!$W$27:$W$48,[1]对照表!$X$27:$X$48)),IF(B547="高二",IF($E547="男",LOOKUP(Q547,[1]对照表!$V$3:$V$24,[1]对照表!$X$3:$X$24),LOOKUP(Q547,[1]对照表!$V$27:$V$48,[1]对照表!$X$27:$X$48)),IF(B547="高一",IF($E547="男",LOOKUP(Q547,[1]对照表!$U$3:$U$24,[1]对照表!$X$3:$X$24),LOOKUP(Q547,[1]对照表!$U$27:$U$48,[1]对照表!$X$27:$X$48)))))</f>
        <v>100</v>
      </c>
      <c r="S547" s="33">
        <f>ROUND(IF(IF($B547="高三",MIN(IF($E547="男",$Q547-3.2,$Q547-3.2),0),IF($B547="高二",MIN(IF($E547="男",$Q547-3.25,$Q547-3.22),0),IF($B547="高一",MIN(IF($E547="男",$Q547-3.3,$Q547-3.24),0))))&lt;-0.6,IF($B547="高三",MIN(IF($E547="男",$Q547-3.2,$Q547-3.2),0),IF($B547="高二",MIN(IF($E547="男",$Q547-3.25,$Q547-3.22),0),IF($B547="高一",MIN(IF($E547="男",$Q547-3.3,$Q547-3.24),0))))+0.4,IF($B547="高三",MIN(IF($E547="男",$Q547-3.2,$Q547-3.2),0),IF($B547="高二",MIN(IF($E547="男",$Q547-3.25,$Q547-3.22),0),IF($B547="高一",MIN(IF($E547="男",$Q547-3.3,$Q547-3.24),0))))),2)</f>
        <v>-0.01</v>
      </c>
      <c r="T547" s="23">
        <f>IF(E547="男",LOOKUP($S547,[1]对照表!$AB$3:$AB$13,[1]对照表!$AC$3:$AC$13),LOOKUP($S547,[1]对照表!$AB$15:$AB$25,[1]对照表!$AC$15:$AC$25))</f>
        <v>0</v>
      </c>
      <c r="U547" s="26">
        <f>R547+T547</f>
        <v>100</v>
      </c>
      <c r="V547" s="26">
        <f>SUM(I547,K547,M547)/3*0.3+SUM(G547,R547)/2*0.4</f>
        <v>63.599999999999994</v>
      </c>
      <c r="W547" s="27">
        <f>O547+T547</f>
        <v>0</v>
      </c>
      <c r="X547" s="28">
        <f>V547/0.7+W547</f>
        <v>90.857142857142861</v>
      </c>
      <c r="Y547" s="28">
        <v>90.857142857142861</v>
      </c>
      <c r="Z547" s="21"/>
    </row>
    <row r="548" spans="1:26" x14ac:dyDescent="0.25">
      <c r="A548" s="16">
        <v>8</v>
      </c>
      <c r="B548" s="17" t="s">
        <v>21</v>
      </c>
      <c r="C548" s="16">
        <v>113</v>
      </c>
      <c r="D548" s="18" t="s">
        <v>271</v>
      </c>
      <c r="E548" s="16" t="s">
        <v>23</v>
      </c>
      <c r="F548" s="19">
        <v>7.2</v>
      </c>
      <c r="G548" s="32">
        <f>IF(B548="高三",IF($E548="男",LOOKUP(F548,[1]对照表!$G$3:$G$24,[1]对照表!$H$3:$H$24),LOOKUP(F548,[1]对照表!$G$27:$G$48,[1]对照表!$H$27:$H$48)),IF(B548="高二",IF($E548="男",LOOKUP(F548,[1]对照表!$F$3:$F$24,[1]对照表!$H$3:$H$24),LOOKUP(F548,[1]对照表!$F$27:$F$48,[1]对照表!$H$27:$H$48)),IF(B548="高一",IF($E548="男",LOOKUP(F548,[1]对照表!$E$3:$E$24,[1]对照表!$H$3:$H$24),LOOKUP(F548,[1]对照表!$E$27:$E$48,[1]对照表!$H$27:$H$48)))))</f>
        <v>95</v>
      </c>
      <c r="H548" s="21">
        <v>9</v>
      </c>
      <c r="I548" s="32">
        <f>IF(B548="高三",IF($E548="男",LOOKUP(H548,[1]对照表!$K$3:$K$24,[1]对照表!$L$3:$L$24),LOOKUP(H548,[1]对照表!$K$27:$K$48,[1]对照表!$L$27:$L$48)),IF(B548="高二",IF($E548="男",LOOKUP(H548,[1]对照表!$J$3:$J$24,[1]对照表!$L$3:$L$24),LOOKUP(H548,[1]对照表!$J$27:$J$48,[1]对照表!$L$27:$L$48)),IF(B548="高一",IF($E548="男",LOOKUP(H548,[1]对照表!$I$3:$I$24,[1]对照表!$L$3:$L$24),LOOKUP(H548,[1]对照表!$I$27:$I$48,[1]对照表!$L$27:$L$48)))))</f>
        <v>70</v>
      </c>
      <c r="J548" s="21">
        <v>220</v>
      </c>
      <c r="K548" s="32">
        <f>IF(B548="高三",IF($E548="男",LOOKUP(J548,[1]对照表!$O$3:$O$24,[1]对照表!$P$3:$P$24),LOOKUP(J548,[1]对照表!$O$27:$O$48,[1]对照表!$P$27:$P$48)),IF(B548="高二",IF($E548="男",LOOKUP(J548,[1]对照表!$N$3:$N$24,[1]对照表!$P$3:$P$24),LOOKUP(J548,[1]对照表!$N$27:$N$48,[1]对照表!$P$27:$P$48)),IF(B548="高一",IF($E548="男",LOOKUP(J548,[1]对照表!$M$3:$M$24,[1]对照表!$P$3:$P$24),LOOKUP(J548,[1]对照表!$M$27:$M$48,[1]对照表!$P$27:$P$48)))))</f>
        <v>72</v>
      </c>
      <c r="L548" s="21">
        <v>7</v>
      </c>
      <c r="M548" s="32">
        <f>IF(B548="高三",IF($E548="男",LOOKUP(L548,[1]对照表!$S$3:$S$24,[1]对照表!$T$3:$T$24),LOOKUP(L548,[1]对照表!$S$27:$S$48,[1]对照表!$T$27:$T$48)),IF(B548="高二",IF($E548="男",LOOKUP(L548,[1]对照表!$R$3:$R$24,[1]对照表!$T$3:$T$24),LOOKUP(L548,[1]对照表!$R$27:$R$48,[1]对照表!$T$27:$T$48)),IF(B548="高一",IF($E548="男",LOOKUP(L548,[1]对照表!$Q$3:$Q$24,[1]对照表!$T$3:$T$24),LOOKUP(L548,[1]对照表!$Q$27:$Q$48,[1]对照表!$T$27:$T$48)))))</f>
        <v>60</v>
      </c>
      <c r="N548" s="33">
        <f>IF(B548="高三",MAX(IF(E548="男",L548-18,L548-55),0),IF(B548="高二",MAX(IF(E548="男",L548-17,L548-54),0),IF(B548="高一",MAX(IF(E548="男",L548-16,L548-53),0))))</f>
        <v>0</v>
      </c>
      <c r="O548" s="23">
        <f>IF(E548="男",LOOKUP($N548,[1]对照表!$Z$3:$Z$13,[1]对照表!$AA$3:$AA$13),LOOKUP($N548,[1]对照表!$Z$15:$Z$25,[1]对照表!$AA$15:$AA$25))</f>
        <v>0</v>
      </c>
      <c r="P548" s="24">
        <f>M548+O548</f>
        <v>60</v>
      </c>
      <c r="Q548" s="25">
        <v>3.19</v>
      </c>
      <c r="R548" s="32">
        <f>IF(B548="高三",IF($E548="男",LOOKUP(Q548,[1]对照表!$W$3:$W$24,[1]对照表!$X$3:$X$24),LOOKUP(Q548,[1]对照表!$W$27:$W$48,[1]对照表!$X$27:$X$48)),IF(B548="高二",IF($E548="男",LOOKUP(Q548,[1]对照表!$V$3:$V$24,[1]对照表!$X$3:$X$24),LOOKUP(Q548,[1]对照表!$V$27:$V$48,[1]对照表!$X$27:$X$48)),IF(B548="高一",IF($E548="男",LOOKUP(Q548,[1]对照表!$U$3:$U$24,[1]对照表!$X$3:$X$24),LOOKUP(Q548,[1]对照表!$U$27:$U$48,[1]对照表!$X$27:$X$48)))))</f>
        <v>100</v>
      </c>
      <c r="S548" s="33">
        <f>ROUND(IF(IF($B548="高三",MIN(IF($E548="男",$Q548-3.2,$Q548-3.2),0),IF($B548="高二",MIN(IF($E548="男",$Q548-3.25,$Q548-3.22),0),IF($B548="高一",MIN(IF($E548="男",$Q548-3.3,$Q548-3.24),0))))&lt;-0.6,IF($B548="高三",MIN(IF($E548="男",$Q548-3.2,$Q548-3.2),0),IF($B548="高二",MIN(IF($E548="男",$Q548-3.25,$Q548-3.22),0),IF($B548="高一",MIN(IF($E548="男",$Q548-3.3,$Q548-3.24),0))))+0.4,IF($B548="高三",MIN(IF($E548="男",$Q548-3.2,$Q548-3.2),0),IF($B548="高二",MIN(IF($E548="男",$Q548-3.25,$Q548-3.22),0),IF($B548="高一",MIN(IF($E548="男",$Q548-3.3,$Q548-3.24),0))))),2)</f>
        <v>-0.11</v>
      </c>
      <c r="T548" s="23">
        <f>IF(E548="男",LOOKUP($S548,[1]对照表!$AB$3:$AB$13,[1]对照表!$AC$3:$AC$13),LOOKUP($S548,[1]对照表!$AB$15:$AB$25,[1]对照表!$AC$15:$AC$25))</f>
        <v>2</v>
      </c>
      <c r="U548" s="26">
        <f>R548+T548</f>
        <v>102</v>
      </c>
      <c r="V548" s="26">
        <f>SUM(I548,K548,M548)/3*0.3+SUM(G548,R548)/2*0.4</f>
        <v>59.2</v>
      </c>
      <c r="W548" s="27">
        <f>O548+T548</f>
        <v>2</v>
      </c>
      <c r="X548" s="28">
        <f>V548/0.7+W548</f>
        <v>86.571428571428584</v>
      </c>
      <c r="Y548" s="28">
        <v>86.571428571428584</v>
      </c>
      <c r="Z548" s="21"/>
    </row>
    <row r="549" spans="1:26" x14ac:dyDescent="0.25">
      <c r="A549" s="16">
        <v>50</v>
      </c>
      <c r="B549" s="17" t="s">
        <v>21</v>
      </c>
      <c r="C549" s="16">
        <v>113</v>
      </c>
      <c r="D549" s="18" t="s">
        <v>309</v>
      </c>
      <c r="E549" s="16" t="s">
        <v>65</v>
      </c>
      <c r="F549" s="19">
        <v>9.3000000000000007</v>
      </c>
      <c r="G549" s="32">
        <f>IF(B549="高三",IF($E549="男",LOOKUP(F549,[1]对照表!$G$3:$G$24,[1]对照表!$H$3:$H$24),LOOKUP(F549,[1]对照表!$G$27:$G$48,[1]对照表!$H$27:$H$48)),IF(B549="高二",IF($E549="男",LOOKUP(F549,[1]对照表!$F$3:$F$24,[1]对照表!$H$3:$H$24),LOOKUP(F549,[1]对照表!$F$27:$F$48,[1]对照表!$H$27:$H$48)),IF(B549="高一",IF($E549="男",LOOKUP(F549,[1]对照表!$E$3:$E$24,[1]对照表!$H$3:$H$24),LOOKUP(F549,[1]对照表!$E$27:$E$48,[1]对照表!$H$27:$H$48)))))</f>
        <v>72</v>
      </c>
      <c r="H549" s="21">
        <v>26</v>
      </c>
      <c r="I549" s="32">
        <f>IF(B549="高三",IF($E549="男",LOOKUP(H549,[1]对照表!$K$3:$K$24,[1]对照表!$L$3:$L$24),LOOKUP(H549,[1]对照表!$K$27:$K$48,[1]对照表!$L$27:$L$48)),IF(B549="高二",IF($E549="男",LOOKUP(H549,[1]对照表!$J$3:$J$24,[1]对照表!$L$3:$L$24),LOOKUP(H549,[1]对照表!$J$27:$J$48,[1]对照表!$L$27:$L$48)),IF(B549="高一",IF($E549="男",LOOKUP(H549,[1]对照表!$I$3:$I$24,[1]对照表!$L$3:$L$24),LOOKUP(H549,[1]对照表!$I$27:$I$48,[1]对照表!$L$27:$L$48)))))</f>
        <v>100</v>
      </c>
      <c r="J549" s="21">
        <v>170</v>
      </c>
      <c r="K549" s="32">
        <f>IF(B549="高三",IF($E549="男",LOOKUP(J549,[1]对照表!$O$3:$O$24,[1]对照表!$P$3:$P$24),LOOKUP(J549,[1]对照表!$O$27:$O$48,[1]对照表!$P$27:$P$48)),IF(B549="高二",IF($E549="男",LOOKUP(J549,[1]对照表!$N$3:$N$24,[1]对照表!$P$3:$P$24),LOOKUP(J549,[1]对照表!$N$27:$N$48,[1]对照表!$P$27:$P$48)),IF(B549="高一",IF($E549="男",LOOKUP(J549,[1]对照表!$M$3:$M$24,[1]对照表!$P$3:$P$24),LOOKUP(J549,[1]对照表!$M$27:$M$48,[1]对照表!$P$27:$P$48)))))</f>
        <v>74</v>
      </c>
      <c r="L549" s="21">
        <v>63</v>
      </c>
      <c r="M549" s="32">
        <f>IF(B549="高三",IF($E549="男",LOOKUP(L549,[1]对照表!$S$3:$S$24,[1]对照表!$T$3:$T$24),LOOKUP(L549,[1]对照表!$S$27:$S$48,[1]对照表!$T$27:$T$48)),IF(B549="高二",IF($E549="男",LOOKUP(L549,[1]对照表!$R$3:$R$24,[1]对照表!$T$3:$T$24),LOOKUP(L549,[1]对照表!$R$27:$R$48,[1]对照表!$T$27:$T$48)),IF(B549="高一",IF($E549="男",LOOKUP(L549,[1]对照表!$Q$3:$Q$24,[1]对照表!$T$3:$T$24),LOOKUP(L549,[1]对照表!$Q$27:$Q$48,[1]对照表!$T$27:$T$48)))))</f>
        <v>100</v>
      </c>
      <c r="N549" s="33">
        <f>IF(B549="高三",MAX(IF(E549="男",L549-18,L549-55),0),IF(B549="高二",MAX(IF(E549="男",L549-17,L549-54),0),IF(B549="高一",MAX(IF(E549="男",L549-16,L549-53),0))))</f>
        <v>10</v>
      </c>
      <c r="O549" s="23">
        <f>IF(E549="男",LOOKUP($N549,[1]对照表!$Z$3:$Z$13,[1]对照表!$AA$3:$AA$13),LOOKUP($N549,[1]对照表!$Z$15:$Z$25,[1]对照表!$AA$15:$AA$25))</f>
        <v>7</v>
      </c>
      <c r="P549" s="24">
        <f>M549+O549</f>
        <v>107</v>
      </c>
      <c r="Q549" s="25">
        <v>3.3</v>
      </c>
      <c r="R549" s="32">
        <f>IF(B549="高三",IF($E549="男",LOOKUP(Q549,[1]对照表!$W$3:$W$24,[1]对照表!$X$3:$X$24),LOOKUP(Q549,[1]对照表!$W$27:$W$48,[1]对照表!$X$27:$X$48)),IF(B549="高二",IF($E549="男",LOOKUP(Q549,[1]对照表!$V$3:$V$24,[1]对照表!$X$3:$X$24),LOOKUP(Q549,[1]对照表!$V$27:$V$48,[1]对照表!$X$27:$X$48)),IF(B549="高一",IF($E549="男",LOOKUP(Q549,[1]对照表!$U$3:$U$24,[1]对照表!$X$3:$X$24),LOOKUP(Q549,[1]对照表!$U$27:$U$48,[1]对照表!$X$27:$X$48)))))</f>
        <v>95</v>
      </c>
      <c r="S549" s="33">
        <f>ROUND(IF(IF($B549="高三",MIN(IF($E549="男",$Q549-3.2,$Q549-3.2),0),IF($B549="高二",MIN(IF($E549="男",$Q549-3.25,$Q549-3.22),0),IF($B549="高一",MIN(IF($E549="男",$Q549-3.3,$Q549-3.24),0))))&lt;-0.6,IF($B549="高三",MIN(IF($E549="男",$Q549-3.2,$Q549-3.2),0),IF($B549="高二",MIN(IF($E549="男",$Q549-3.25,$Q549-3.22),0),IF($B549="高一",MIN(IF($E549="男",$Q549-3.3,$Q549-3.24),0))))+0.4,IF($B549="高三",MIN(IF($E549="男",$Q549-3.2,$Q549-3.2),0),IF($B549="高二",MIN(IF($E549="男",$Q549-3.25,$Q549-3.22),0),IF($B549="高一",MIN(IF($E549="男",$Q549-3.3,$Q549-3.24),0))))),2)</f>
        <v>0</v>
      </c>
      <c r="T549" s="23">
        <f>IF(E549="男",LOOKUP($S549,[1]对照表!$AB$3:$AB$13,[1]对照表!$AC$3:$AC$13),LOOKUP($S549,[1]对照表!$AB$15:$AB$25,[1]对照表!$AC$15:$AC$25))</f>
        <v>0</v>
      </c>
      <c r="U549" s="26">
        <f>R549+T549</f>
        <v>95</v>
      </c>
      <c r="V549" s="26">
        <f>SUM(I549,K549,M549)/3*0.3+SUM(G549,R549)/2*0.4</f>
        <v>60.8</v>
      </c>
      <c r="W549" s="27">
        <f>O549+T549</f>
        <v>7</v>
      </c>
      <c r="X549" s="28">
        <f>V549/0.7+W549</f>
        <v>93.857142857142861</v>
      </c>
      <c r="Y549" s="28">
        <v>93.857142857142861</v>
      </c>
      <c r="Z549" s="21"/>
    </row>
    <row r="550" spans="1:26" x14ac:dyDescent="0.25">
      <c r="A550" s="16">
        <v>21</v>
      </c>
      <c r="B550" s="17" t="s">
        <v>21</v>
      </c>
      <c r="C550" s="16">
        <v>113</v>
      </c>
      <c r="D550" s="18" t="s">
        <v>48</v>
      </c>
      <c r="E550" s="16" t="s">
        <v>23</v>
      </c>
      <c r="F550" s="19">
        <v>7</v>
      </c>
      <c r="G550" s="32">
        <f>IF(B550="高三",IF($E550="男",LOOKUP(F550,[1]对照表!$G$3:$G$24,[1]对照表!$H$3:$H$24),LOOKUP(F550,[1]对照表!$G$27:$G$48,[1]对照表!$H$27:$H$48)),IF(B550="高二",IF($E550="男",LOOKUP(F550,[1]对照表!$F$3:$F$24,[1]对照表!$H$3:$H$24),LOOKUP(F550,[1]对照表!$F$27:$F$48,[1]对照表!$H$27:$H$48)),IF(B550="高一",IF($E550="男",LOOKUP(F550,[1]对照表!$E$3:$E$24,[1]对照表!$H$3:$H$24),LOOKUP(F550,[1]对照表!$E$27:$E$48,[1]对照表!$H$27:$H$48)))))</f>
        <v>100</v>
      </c>
      <c r="H550" s="21">
        <v>14.2</v>
      </c>
      <c r="I550" s="32">
        <f>IF(B550="高三",IF($E550="男",LOOKUP(H550,[1]对照表!$K$3:$K$24,[1]对照表!$L$3:$L$24),LOOKUP(H550,[1]对照表!$K$27:$K$48,[1]对照表!$L$27:$L$48)),IF(B550="高二",IF($E550="男",LOOKUP(H550,[1]对照表!$J$3:$J$24,[1]对照表!$L$3:$L$24),LOOKUP(H550,[1]对照表!$J$27:$J$48,[1]对照表!$L$27:$L$48)),IF(B550="高一",IF($E550="男",LOOKUP(H550,[1]对照表!$I$3:$I$24,[1]对照表!$L$3:$L$24),LOOKUP(H550,[1]对照表!$I$27:$I$48,[1]对照表!$L$27:$L$48)))))</f>
        <v>78</v>
      </c>
      <c r="J550" s="21">
        <v>260</v>
      </c>
      <c r="K550" s="32">
        <f>IF(B550="高三",IF($E550="男",LOOKUP(J550,[1]对照表!$O$3:$O$24,[1]对照表!$P$3:$P$24),LOOKUP(J550,[1]对照表!$O$27:$O$48,[1]对照表!$P$27:$P$48)),IF(B550="高二",IF($E550="男",LOOKUP(J550,[1]对照表!$N$3:$N$24,[1]对照表!$P$3:$P$24),LOOKUP(J550,[1]对照表!$N$27:$N$48,[1]对照表!$P$27:$P$48)),IF(B550="高一",IF($E550="男",LOOKUP(J550,[1]对照表!$M$3:$M$24,[1]对照表!$P$3:$P$24),LOOKUP(J550,[1]对照表!$M$27:$M$48,[1]对照表!$P$27:$P$48)))))</f>
        <v>100</v>
      </c>
      <c r="L550" s="21" t="s">
        <v>319</v>
      </c>
      <c r="M550" s="20">
        <v>0</v>
      </c>
      <c r="N550" s="42">
        <v>0</v>
      </c>
      <c r="O550" s="23">
        <f>IF(E550="男",LOOKUP($N550,[1]对照表!$Z$3:$Z$13,[1]对照表!$AA$3:$AA$13),LOOKUP($N550,[1]对照表!$Z$15:$Z$25,[1]对照表!$AA$15:$AA$25))</f>
        <v>0</v>
      </c>
      <c r="P550" s="24">
        <f>M550+O550</f>
        <v>0</v>
      </c>
      <c r="Q550" s="25">
        <v>3.29</v>
      </c>
      <c r="R550" s="32">
        <f>IF(B550="高三",IF($E550="男",LOOKUP(Q550,[1]对照表!$W$3:$W$24,[1]对照表!$X$3:$X$24),LOOKUP(Q550,[1]对照表!$W$27:$W$48,[1]对照表!$X$27:$X$48)),IF(B550="高二",IF($E550="男",LOOKUP(Q550,[1]对照表!$V$3:$V$24,[1]对照表!$X$3:$X$24),LOOKUP(Q550,[1]对照表!$V$27:$V$48,[1]对照表!$X$27:$X$48)),IF(B550="高一",IF($E550="男",LOOKUP(Q550,[1]对照表!$U$3:$U$24,[1]对照表!$X$3:$X$24),LOOKUP(Q550,[1]对照表!$U$27:$U$48,[1]对照表!$X$27:$X$48)))))</f>
        <v>100</v>
      </c>
      <c r="S550" s="33">
        <f>ROUND(IF(IF($B550="高三",MIN(IF($E550="男",$Q550-3.2,$Q550-3.2),0),IF($B550="高二",MIN(IF($E550="男",$Q550-3.25,$Q550-3.22),0),IF($B550="高一",MIN(IF($E550="男",$Q550-3.3,$Q550-3.24),0))))&lt;-0.6,IF($B550="高三",MIN(IF($E550="男",$Q550-3.2,$Q550-3.2),0),IF($B550="高二",MIN(IF($E550="男",$Q550-3.25,$Q550-3.22),0),IF($B550="高一",MIN(IF($E550="男",$Q550-3.3,$Q550-3.24),0))))+0.4,IF($B550="高三",MIN(IF($E550="男",$Q550-3.2,$Q550-3.2),0),IF($B550="高二",MIN(IF($E550="男",$Q550-3.25,$Q550-3.22),0),IF($B550="高一",MIN(IF($E550="男",$Q550-3.3,$Q550-3.24),0))))),2)</f>
        <v>-0.01</v>
      </c>
      <c r="T550" s="23">
        <f>IF(E550="男",LOOKUP($S550,[1]对照表!$AB$3:$AB$13,[1]对照表!$AC$3:$AC$13),LOOKUP($S550,[1]对照表!$AB$15:$AB$25,[1]对照表!$AC$15:$AC$25))</f>
        <v>0</v>
      </c>
      <c r="U550" s="26">
        <f>R550+T550</f>
        <v>100</v>
      </c>
      <c r="V550" s="26">
        <f>SUM(I550,K550,M550)/3*0.3+SUM(G550,R550)/2*0.4</f>
        <v>57.8</v>
      </c>
      <c r="W550" s="27">
        <f>O550+T550</f>
        <v>0</v>
      </c>
      <c r="X550" s="28">
        <f>V550/0.7+W550</f>
        <v>82.571428571428569</v>
      </c>
      <c r="Y550" s="28">
        <v>82.571428571428569</v>
      </c>
      <c r="Z550" s="21"/>
    </row>
    <row r="551" spans="1:26" x14ac:dyDescent="0.25">
      <c r="A551" s="16">
        <v>11</v>
      </c>
      <c r="B551" s="17" t="s">
        <v>21</v>
      </c>
      <c r="C551" s="16">
        <v>113</v>
      </c>
      <c r="D551" s="18" t="s">
        <v>329</v>
      </c>
      <c r="E551" s="16" t="s">
        <v>23</v>
      </c>
      <c r="F551" s="19">
        <v>7.2</v>
      </c>
      <c r="G551" s="32">
        <f>IF(B551="高三",IF($E551="男",LOOKUP(F551,[1]对照表!$G$3:$G$24,[1]对照表!$H$3:$H$24),LOOKUP(F551,[1]对照表!$G$27:$G$48,[1]对照表!$H$27:$H$48)),IF(B551="高二",IF($E551="男",LOOKUP(F551,[1]对照表!$F$3:$F$24,[1]对照表!$H$3:$H$24),LOOKUP(F551,[1]对照表!$F$27:$F$48,[1]对照表!$H$27:$H$48)),IF(B551="高一",IF($E551="男",LOOKUP(F551,[1]对照表!$E$3:$E$24,[1]对照表!$H$3:$H$24),LOOKUP(F551,[1]对照表!$E$27:$E$48,[1]对照表!$H$27:$H$48)))))</f>
        <v>95</v>
      </c>
      <c r="H551" s="21">
        <v>9.1</v>
      </c>
      <c r="I551" s="32">
        <f>IF(B551="高三",IF($E551="男",LOOKUP(H551,[1]对照表!$K$3:$K$24,[1]对照表!$L$3:$L$24),LOOKUP(H551,[1]对照表!$K$27:$K$48,[1]对照表!$L$27:$L$48)),IF(B551="高二",IF($E551="男",LOOKUP(H551,[1]对照表!$J$3:$J$24,[1]对照表!$L$3:$L$24),LOOKUP(H551,[1]对照表!$J$27:$J$48,[1]对照表!$L$27:$L$48)),IF(B551="高一",IF($E551="男",LOOKUP(H551,[1]对照表!$I$3:$I$24,[1]对照表!$L$3:$L$24),LOOKUP(H551,[1]对照表!$I$27:$I$48,[1]对照表!$L$27:$L$48)))))</f>
        <v>70</v>
      </c>
      <c r="J551" s="21">
        <v>237</v>
      </c>
      <c r="K551" s="32">
        <f>IF(B551="高三",IF($E551="男",LOOKUP(J551,[1]对照表!$O$3:$O$24,[1]对照表!$P$3:$P$24),LOOKUP(J551,[1]对照表!$O$27:$O$48,[1]对照表!$P$27:$P$48)),IF(B551="高二",IF($E551="男",LOOKUP(J551,[1]对照表!$N$3:$N$24,[1]对照表!$P$3:$P$24),LOOKUP(J551,[1]对照表!$N$27:$N$48,[1]对照表!$P$27:$P$48)),IF(B551="高一",IF($E551="男",LOOKUP(J551,[1]对照表!$M$3:$M$24,[1]对照表!$P$3:$P$24),LOOKUP(J551,[1]对照表!$M$27:$M$48,[1]对照表!$P$27:$P$48)))))</f>
        <v>80</v>
      </c>
      <c r="L551" s="21">
        <v>12</v>
      </c>
      <c r="M551" s="32">
        <f>IF(B551="高三",IF($E551="男",LOOKUP(L551,[1]对照表!$S$3:$S$24,[1]对照表!$T$3:$T$24),LOOKUP(L551,[1]对照表!$S$27:$S$48,[1]对照表!$T$27:$T$48)),IF(B551="高二",IF($E551="男",LOOKUP(L551,[1]对照表!$R$3:$R$24,[1]对照表!$T$3:$T$24),LOOKUP(L551,[1]对照表!$R$27:$R$48,[1]对照表!$T$27:$T$48)),IF(B551="高一",IF($E551="男",LOOKUP(L551,[1]对照表!$Q$3:$Q$24,[1]对照表!$T$3:$T$24),LOOKUP(L551,[1]对照表!$Q$27:$Q$48,[1]对照表!$T$27:$T$48)))))</f>
        <v>80</v>
      </c>
      <c r="N551" s="33">
        <f>IF(B551="高三",MAX(IF(E551="男",L551-18,L551-55),0),IF(B551="高二",MAX(IF(E551="男",L551-17,L551-54),0),IF(B551="高一",MAX(IF(E551="男",L551-16,L551-53),0))))</f>
        <v>0</v>
      </c>
      <c r="O551" s="23">
        <f>IF(E551="男",LOOKUP($N551,[1]对照表!$Z$3:$Z$13,[1]对照表!$AA$3:$AA$13),LOOKUP($N551,[1]对照表!$Z$15:$Z$25,[1]对照表!$AA$15:$AA$25))</f>
        <v>0</v>
      </c>
      <c r="P551" s="24">
        <f>M551+O551</f>
        <v>80</v>
      </c>
      <c r="Q551" s="25">
        <v>4.05</v>
      </c>
      <c r="R551" s="32">
        <f>IF(B551="高三",IF($E551="男",LOOKUP(Q551,[1]对照表!$W$3:$W$24,[1]对照表!$X$3:$X$24),LOOKUP(Q551,[1]对照表!$W$27:$W$48,[1]对照表!$X$27:$X$48)),IF(B551="高二",IF($E551="男",LOOKUP(Q551,[1]对照表!$V$3:$V$24,[1]对照表!$X$3:$X$24),LOOKUP(Q551,[1]对照表!$V$27:$V$48,[1]对照表!$X$27:$X$48)),IF(B551="高一",IF($E551="男",LOOKUP(Q551,[1]对照表!$U$3:$U$24,[1]对照表!$X$3:$X$24),LOOKUP(Q551,[1]对照表!$U$27:$U$48,[1]对照表!$X$27:$X$48)))))</f>
        <v>76</v>
      </c>
      <c r="S551" s="33">
        <f>ROUND(IF(IF($B551="高三",MIN(IF($E551="男",$Q551-3.2,$Q551-3.2),0),IF($B551="高二",MIN(IF($E551="男",$Q551-3.25,$Q551-3.22),0),IF($B551="高一",MIN(IF($E551="男",$Q551-3.3,$Q551-3.24),0))))&lt;-0.6,IF($B551="高三",MIN(IF($E551="男",$Q551-3.2,$Q551-3.2),0),IF($B551="高二",MIN(IF($E551="男",$Q551-3.25,$Q551-3.22),0),IF($B551="高一",MIN(IF($E551="男",$Q551-3.3,$Q551-3.24),0))))+0.4,IF($B551="高三",MIN(IF($E551="男",$Q551-3.2,$Q551-3.2),0),IF($B551="高二",MIN(IF($E551="男",$Q551-3.25,$Q551-3.22),0),IF($B551="高一",MIN(IF($E551="男",$Q551-3.3,$Q551-3.24),0))))),2)</f>
        <v>0</v>
      </c>
      <c r="T551" s="23">
        <f>IF(E551="男",LOOKUP($S551,[1]对照表!$AB$3:$AB$13,[1]对照表!$AC$3:$AC$13),LOOKUP($S551,[1]对照表!$AB$15:$AB$25,[1]对照表!$AC$15:$AC$25))</f>
        <v>0</v>
      </c>
      <c r="U551" s="26">
        <f>R551+T551</f>
        <v>76</v>
      </c>
      <c r="V551" s="26">
        <f>SUM(I551,K551,M551)/3*0.3+SUM(G551,R551)/2*0.4</f>
        <v>57.2</v>
      </c>
      <c r="W551" s="27">
        <f>O551+T551</f>
        <v>0</v>
      </c>
      <c r="X551" s="28">
        <f>V551/0.7+W551</f>
        <v>81.714285714285722</v>
      </c>
      <c r="Y551" s="28">
        <v>81.714285714285722</v>
      </c>
      <c r="Z551" s="21"/>
    </row>
    <row r="552" spans="1:26" x14ac:dyDescent="0.25">
      <c r="A552" s="16">
        <v>58</v>
      </c>
      <c r="B552" s="17" t="s">
        <v>21</v>
      </c>
      <c r="C552" s="16">
        <v>113</v>
      </c>
      <c r="D552" s="18" t="s">
        <v>337</v>
      </c>
      <c r="E552" s="16" t="s">
        <v>65</v>
      </c>
      <c r="F552" s="19">
        <v>8.36</v>
      </c>
      <c r="G552" s="32">
        <f>IF(B552="高三",IF($E552="男",LOOKUP(F552,[1]对照表!$G$3:$G$24,[1]对照表!$H$3:$H$24),LOOKUP(F552,[1]对照表!$G$27:$G$48,[1]对照表!$H$27:$H$48)),IF(B552="高二",IF($E552="男",LOOKUP(F552,[1]对照表!$F$3:$F$24,[1]对照表!$H$3:$H$24),LOOKUP(F552,[1]对照表!$F$27:$F$48,[1]对照表!$H$27:$H$48)),IF(B552="高一",IF($E552="男",LOOKUP(F552,[1]对照表!$E$3:$E$24,[1]对照表!$H$3:$H$24),LOOKUP(F552,[1]对照表!$E$27:$E$48,[1]对照表!$H$27:$H$48)))))</f>
        <v>80</v>
      </c>
      <c r="H552" s="21">
        <v>26</v>
      </c>
      <c r="I552" s="32">
        <f>IF(B552="高三",IF($E552="男",LOOKUP(H552,[1]对照表!$K$3:$K$24,[1]对照表!$L$3:$L$24),LOOKUP(H552,[1]对照表!$K$27:$K$48,[1]对照表!$L$27:$L$48)),IF(B552="高二",IF($E552="男",LOOKUP(H552,[1]对照表!$J$3:$J$24,[1]对照表!$L$3:$L$24),LOOKUP(H552,[1]对照表!$J$27:$J$48,[1]对照表!$L$27:$L$48)),IF(B552="高一",IF($E552="男",LOOKUP(H552,[1]对照表!$I$3:$I$24,[1]对照表!$L$3:$L$24),LOOKUP(H552,[1]对照表!$I$27:$I$48,[1]对照表!$L$27:$L$48)))))</f>
        <v>100</v>
      </c>
      <c r="J552" s="21">
        <v>192</v>
      </c>
      <c r="K552" s="32">
        <f>IF(B552="高三",IF($E552="男",LOOKUP(J552,[1]对照表!$O$3:$O$24,[1]对照表!$P$3:$P$24),LOOKUP(J552,[1]对照表!$O$27:$O$48,[1]对照表!$P$27:$P$48)),IF(B552="高二",IF($E552="男",LOOKUP(J552,[1]对照表!$N$3:$N$24,[1]对照表!$P$3:$P$24),LOOKUP(J552,[1]对照表!$N$27:$N$48,[1]对照表!$P$27:$P$48)),IF(B552="高一",IF($E552="男",LOOKUP(J552,[1]对照表!$M$3:$M$24,[1]对照表!$P$3:$P$24),LOOKUP(J552,[1]对照表!$M$27:$M$48,[1]对照表!$P$27:$P$48)))))</f>
        <v>90</v>
      </c>
      <c r="L552" s="21">
        <v>55</v>
      </c>
      <c r="M552" s="32">
        <f>IF(B552="高三",IF($E552="男",LOOKUP(L552,[1]对照表!$S$3:$S$24,[1]对照表!$T$3:$T$24),LOOKUP(L552,[1]对照表!$S$27:$S$48,[1]对照表!$T$27:$T$48)),IF(B552="高二",IF($E552="男",LOOKUP(L552,[1]对照表!$R$3:$R$24,[1]对照表!$T$3:$T$24),LOOKUP(L552,[1]对照表!$R$27:$R$48,[1]对照表!$T$27:$T$48)),IF(B552="高一",IF($E552="男",LOOKUP(L552,[1]对照表!$Q$3:$Q$24,[1]对照表!$T$3:$T$24),LOOKUP(L552,[1]对照表!$Q$27:$Q$48,[1]对照表!$T$27:$T$48)))))</f>
        <v>100</v>
      </c>
      <c r="N552" s="33">
        <f>IF(B552="高三",MAX(IF(E552="男",L552-18,L552-55),0),IF(B552="高二",MAX(IF(E552="男",L552-17,L552-54),0),IF(B552="高一",MAX(IF(E552="男",L552-16,L552-53),0))))</f>
        <v>2</v>
      </c>
      <c r="O552" s="23">
        <f>IF(E552="男",LOOKUP($N552,[1]对照表!$Z$3:$Z$13,[1]对照表!$AA$3:$AA$13),LOOKUP($N552,[1]对照表!$Z$15:$Z$25,[1]对照表!$AA$15:$AA$25))</f>
        <v>1</v>
      </c>
      <c r="P552" s="24">
        <f>M552+O552</f>
        <v>101</v>
      </c>
      <c r="Q552" s="25">
        <v>3.32</v>
      </c>
      <c r="R552" s="32">
        <f>IF(B552="高三",IF($E552="男",LOOKUP(Q552,[1]对照表!$W$3:$W$24,[1]对照表!$X$3:$X$24),LOOKUP(Q552,[1]对照表!$W$27:$W$48,[1]对照表!$X$27:$X$48)),IF(B552="高二",IF($E552="男",LOOKUP(Q552,[1]对照表!$V$3:$V$24,[1]对照表!$X$3:$X$24),LOOKUP(Q552,[1]对照表!$V$27:$V$48,[1]对照表!$X$27:$X$48)),IF(B552="高一",IF($E552="男",LOOKUP(Q552,[1]对照表!$U$3:$U$24,[1]对照表!$X$3:$X$24),LOOKUP(Q552,[1]对照表!$U$27:$U$48,[1]对照表!$X$27:$X$48)))))</f>
        <v>90</v>
      </c>
      <c r="S552" s="33">
        <f>ROUND(IF(IF($B552="高三",MIN(IF($E552="男",$Q552-3.2,$Q552-3.2),0),IF($B552="高二",MIN(IF($E552="男",$Q552-3.25,$Q552-3.22),0),IF($B552="高一",MIN(IF($E552="男",$Q552-3.3,$Q552-3.24),0))))&lt;-0.6,IF($B552="高三",MIN(IF($E552="男",$Q552-3.2,$Q552-3.2),0),IF($B552="高二",MIN(IF($E552="男",$Q552-3.25,$Q552-3.22),0),IF($B552="高一",MIN(IF($E552="男",$Q552-3.3,$Q552-3.24),0))))+0.4,IF($B552="高三",MIN(IF($E552="男",$Q552-3.2,$Q552-3.2),0),IF($B552="高二",MIN(IF($E552="男",$Q552-3.25,$Q552-3.22),0),IF($B552="高一",MIN(IF($E552="男",$Q552-3.3,$Q552-3.24),0))))),2)</f>
        <v>0</v>
      </c>
      <c r="T552" s="23">
        <f>IF(E552="男",LOOKUP($S552,[1]对照表!$AB$3:$AB$13,[1]对照表!$AC$3:$AC$13),LOOKUP($S552,[1]对照表!$AB$15:$AB$25,[1]对照表!$AC$15:$AC$25))</f>
        <v>0</v>
      </c>
      <c r="U552" s="26">
        <f>R552+T552</f>
        <v>90</v>
      </c>
      <c r="V552" s="26">
        <f>SUM(I552,K552,M552)/3*0.3+SUM(G552,R552)/2*0.4</f>
        <v>63</v>
      </c>
      <c r="W552" s="27">
        <f>O552+T552</f>
        <v>1</v>
      </c>
      <c r="X552" s="28">
        <f>V552/0.7+W552</f>
        <v>91</v>
      </c>
      <c r="Y552" s="28">
        <v>91</v>
      </c>
      <c r="Z552" s="21"/>
    </row>
    <row r="553" spans="1:26" x14ac:dyDescent="0.25">
      <c r="A553" s="16">
        <v>38</v>
      </c>
      <c r="B553" s="17" t="s">
        <v>21</v>
      </c>
      <c r="C553" s="16">
        <v>113</v>
      </c>
      <c r="D553" s="18" t="s">
        <v>352</v>
      </c>
      <c r="E553" s="17" t="s">
        <v>65</v>
      </c>
      <c r="F553" s="19">
        <v>9.24</v>
      </c>
      <c r="G553" s="32">
        <f>IF(B553="高三",IF($E553="男",LOOKUP(F553,[1]对照表!$G$3:$G$24,[1]对照表!$H$3:$H$24),LOOKUP(F553,[1]对照表!$G$27:$G$48,[1]对照表!$H$27:$H$48)),IF(B553="高二",IF($E553="男",LOOKUP(F553,[1]对照表!$F$3:$F$24,[1]对照表!$H$3:$H$24),LOOKUP(F553,[1]对照表!$F$27:$F$48,[1]对照表!$H$27:$H$48)),IF(B553="高一",IF($E553="男",LOOKUP(F553,[1]对照表!$E$3:$E$24,[1]对照表!$H$3:$H$24),LOOKUP(F553,[1]对照表!$E$27:$E$48,[1]对照表!$H$27:$H$48)))))</f>
        <v>72</v>
      </c>
      <c r="H553" s="21">
        <v>21.5</v>
      </c>
      <c r="I553" s="32">
        <f>IF(B553="高三",IF($E553="男",LOOKUP(H553,[1]对照表!$K$3:$K$24,[1]对照表!$L$3:$L$24),LOOKUP(H553,[1]对照表!$K$27:$K$48,[1]对照表!$L$27:$L$48)),IF(B553="高二",IF($E553="男",LOOKUP(H553,[1]对照表!$J$3:$J$24,[1]对照表!$L$3:$L$24),LOOKUP(H553,[1]对照表!$J$27:$J$48,[1]对照表!$L$27:$L$48)),IF(B553="高一",IF($E553="男",LOOKUP(H553,[1]对照表!$I$3:$I$24,[1]对照表!$L$3:$L$24),LOOKUP(H553,[1]对照表!$I$27:$I$48,[1]对照表!$L$27:$L$48)))))</f>
        <v>90</v>
      </c>
      <c r="J553" s="21">
        <v>156</v>
      </c>
      <c r="K553" s="32">
        <f>IF(B553="高三",IF($E553="男",LOOKUP(J553,[1]对照表!$O$3:$O$24,[1]对照表!$P$3:$P$24),LOOKUP(J553,[1]对照表!$O$27:$O$48,[1]对照表!$P$27:$P$48)),IF(B553="高二",IF($E553="男",LOOKUP(J553,[1]对照表!$N$3:$N$24,[1]对照表!$P$3:$P$24),LOOKUP(J553,[1]对照表!$N$27:$N$48,[1]对照表!$P$27:$P$48)),IF(B553="高一",IF($E553="男",LOOKUP(J553,[1]对照表!$M$3:$M$24,[1]对照表!$P$3:$P$24),LOOKUP(J553,[1]对照表!$M$27:$M$48,[1]对照表!$P$27:$P$48)))))</f>
        <v>64</v>
      </c>
      <c r="L553" s="21">
        <v>56</v>
      </c>
      <c r="M553" s="32">
        <f>IF(B553="高三",IF($E553="男",LOOKUP(L553,[1]对照表!$S$3:$S$24,[1]对照表!$T$3:$T$24),LOOKUP(L553,[1]对照表!$S$27:$S$48,[1]对照表!$T$27:$T$48)),IF(B553="高二",IF($E553="男",LOOKUP(L553,[1]对照表!$R$3:$R$24,[1]对照表!$T$3:$T$24),LOOKUP(L553,[1]对照表!$R$27:$R$48,[1]对照表!$T$27:$T$48)),IF(B553="高一",IF($E553="男",LOOKUP(L553,[1]对照表!$Q$3:$Q$24,[1]对照表!$T$3:$T$24),LOOKUP(L553,[1]对照表!$Q$27:$Q$48,[1]对照表!$T$27:$T$48)))))</f>
        <v>100</v>
      </c>
      <c r="N553" s="33">
        <f>IF(B553="高三",MAX(IF(E553="男",L553-18,L553-55),0),IF(B553="高二",MAX(IF(E553="男",L553-17,L553-54),0),IF(B553="高一",MAX(IF(E553="男",L553-16,L553-53),0))))</f>
        <v>3</v>
      </c>
      <c r="O553" s="23">
        <f>IF(E553="男",LOOKUP($N553,[1]对照表!$Z$3:$Z$13,[1]对照表!$AA$3:$AA$13),LOOKUP($N553,[1]对照表!$Z$15:$Z$25,[1]对照表!$AA$15:$AA$25))</f>
        <v>1</v>
      </c>
      <c r="P553" s="24">
        <f>M553+O553</f>
        <v>101</v>
      </c>
      <c r="Q553" s="25">
        <v>3.34</v>
      </c>
      <c r="R553" s="32">
        <f>IF(B553="高三",IF($E553="男",LOOKUP(Q553,[1]对照表!$W$3:$W$24,[1]对照表!$X$3:$X$24),LOOKUP(Q553,[1]对照表!$W$27:$W$48,[1]对照表!$X$27:$X$48)),IF(B553="高二",IF($E553="男",LOOKUP(Q553,[1]对照表!$V$3:$V$24,[1]对照表!$X$3:$X$24),LOOKUP(Q553,[1]对照表!$V$27:$V$48,[1]对照表!$X$27:$X$48)),IF(B553="高一",IF($E553="男",LOOKUP(Q553,[1]对照表!$U$3:$U$24,[1]对照表!$X$3:$X$24),LOOKUP(Q553,[1]对照表!$U$27:$U$48,[1]对照表!$X$27:$X$48)))))</f>
        <v>90</v>
      </c>
      <c r="S553" s="33">
        <f>ROUND(IF(IF($B553="高三",MIN(IF($E553="男",$Q553-3.2,$Q553-3.2),0),IF($B553="高二",MIN(IF($E553="男",$Q553-3.25,$Q553-3.22),0),IF($B553="高一",MIN(IF($E553="男",$Q553-3.3,$Q553-3.24),0))))&lt;-0.6,IF($B553="高三",MIN(IF($E553="男",$Q553-3.2,$Q553-3.2),0),IF($B553="高二",MIN(IF($E553="男",$Q553-3.25,$Q553-3.22),0),IF($B553="高一",MIN(IF($E553="男",$Q553-3.3,$Q553-3.24),0))))+0.4,IF($B553="高三",MIN(IF($E553="男",$Q553-3.2,$Q553-3.2),0),IF($B553="高二",MIN(IF($E553="男",$Q553-3.25,$Q553-3.22),0),IF($B553="高一",MIN(IF($E553="男",$Q553-3.3,$Q553-3.24),0))))),2)</f>
        <v>0</v>
      </c>
      <c r="T553" s="23">
        <f>IF(E553="男",LOOKUP($S553,[1]对照表!$AB$3:$AB$13,[1]对照表!$AC$3:$AC$13),LOOKUP($S553,[1]对照表!$AB$15:$AB$25,[1]对照表!$AC$15:$AC$25))</f>
        <v>0</v>
      </c>
      <c r="U553" s="26">
        <f>R553+T553</f>
        <v>90</v>
      </c>
      <c r="V553" s="26">
        <f>SUM(I553,K553,M553)/3*0.3+SUM(G553,R553)/2*0.4</f>
        <v>57.8</v>
      </c>
      <c r="W553" s="27">
        <f>O553+T553</f>
        <v>1</v>
      </c>
      <c r="X553" s="28">
        <f>V553/0.7+W553</f>
        <v>83.571428571428569</v>
      </c>
      <c r="Y553" s="28">
        <v>83.571428571428569</v>
      </c>
      <c r="Z553" s="21"/>
    </row>
    <row r="554" spans="1:26" x14ac:dyDescent="0.25">
      <c r="A554" s="16">
        <v>13</v>
      </c>
      <c r="B554" s="17" t="s">
        <v>21</v>
      </c>
      <c r="C554" s="16">
        <v>113</v>
      </c>
      <c r="D554" s="18" t="s">
        <v>383</v>
      </c>
      <c r="E554" s="34" t="s">
        <v>23</v>
      </c>
      <c r="F554" s="19">
        <v>7.6</v>
      </c>
      <c r="G554" s="32">
        <f>IF(B554="高三",IF($E554="男",LOOKUP(F554,[1]对照表!$G$3:$G$24,[1]对照表!$H$3:$H$24),LOOKUP(F554,[1]对照表!$G$27:$G$48,[1]对照表!$H$27:$H$48)),IF(B554="高二",IF($E554="男",LOOKUP(F554,[1]对照表!$F$3:$F$24,[1]对照表!$H$3:$H$24),LOOKUP(F554,[1]对照表!$F$27:$F$48,[1]对照表!$H$27:$H$48)),IF(B554="高一",IF($E554="男",LOOKUP(F554,[1]对照表!$E$3:$E$24,[1]对照表!$H$3:$H$24),LOOKUP(F554,[1]对照表!$E$27:$E$48,[1]对照表!$H$27:$H$48)))))</f>
        <v>78</v>
      </c>
      <c r="H554" s="21">
        <v>8</v>
      </c>
      <c r="I554" s="32">
        <f>IF(B554="高三",IF($E554="男",LOOKUP(H554,[1]对照表!$K$3:$K$24,[1]对照表!$L$3:$L$24),LOOKUP(H554,[1]对照表!$K$27:$K$48,[1]对照表!$L$27:$L$48)),IF(B554="高二",IF($E554="男",LOOKUP(H554,[1]对照表!$J$3:$J$24,[1]对照表!$L$3:$L$24),LOOKUP(H554,[1]对照表!$J$27:$J$48,[1]对照表!$L$27:$L$48)),IF(B554="高一",IF($E554="男",LOOKUP(H554,[1]对照表!$I$3:$I$24,[1]对照表!$L$3:$L$24),LOOKUP(H554,[1]对照表!$I$27:$I$48,[1]对照表!$L$27:$L$48)))))</f>
        <v>70</v>
      </c>
      <c r="J554" s="21">
        <v>210</v>
      </c>
      <c r="K554" s="32">
        <f>IF(B554="高三",IF($E554="男",LOOKUP(J554,[1]对照表!$O$3:$O$24,[1]对照表!$P$3:$P$24),LOOKUP(J554,[1]对照表!$O$27:$O$48,[1]对照表!$P$27:$P$48)),IF(B554="高二",IF($E554="男",LOOKUP(J554,[1]对照表!$N$3:$N$24,[1]对照表!$P$3:$P$24),LOOKUP(J554,[1]对照表!$N$27:$N$48,[1]对照表!$P$27:$P$48)),IF(B554="高一",IF($E554="男",LOOKUP(J554,[1]对照表!$M$3:$M$24,[1]对照表!$P$3:$P$24),LOOKUP(J554,[1]对照表!$M$27:$M$48,[1]对照表!$P$27:$P$48)))))</f>
        <v>66</v>
      </c>
      <c r="L554" s="21">
        <v>11</v>
      </c>
      <c r="M554" s="32">
        <f>IF(B554="高三",IF($E554="男",LOOKUP(L554,[1]对照表!$S$3:$S$24,[1]对照表!$T$3:$T$24),LOOKUP(L554,[1]对照表!$S$27:$S$48,[1]对照表!$T$27:$T$48)),IF(B554="高二",IF($E554="男",LOOKUP(L554,[1]对照表!$R$3:$R$24,[1]对照表!$T$3:$T$24),LOOKUP(L554,[1]对照表!$R$27:$R$48,[1]对照表!$T$27:$T$48)),IF(B554="高一",IF($E554="男",LOOKUP(L554,[1]对照表!$Q$3:$Q$24,[1]对照表!$T$3:$T$24),LOOKUP(L554,[1]对照表!$Q$27:$Q$48,[1]对照表!$T$27:$T$48)))))</f>
        <v>76</v>
      </c>
      <c r="N554" s="33">
        <f>IF(B554="高三",MAX(IF(E554="男",L554-18,L554-55),0),IF(B554="高二",MAX(IF(E554="男",L554-17,L554-54),0),IF(B554="高一",MAX(IF(E554="男",L554-16,L554-53),0))))</f>
        <v>0</v>
      </c>
      <c r="O554" s="23">
        <f>IF(E554="男",LOOKUP($N554,[1]对照表!$Z$3:$Z$13,[1]对照表!$AA$3:$AA$13),LOOKUP($N554,[1]对照表!$Z$15:$Z$25,[1]对照表!$AA$15:$AA$25))</f>
        <v>0</v>
      </c>
      <c r="P554" s="24">
        <f>M554+O554</f>
        <v>76</v>
      </c>
      <c r="Q554" s="25">
        <v>3.4</v>
      </c>
      <c r="R554" s="32">
        <f>IF(B554="高三",IF($E554="男",LOOKUP(Q554,[1]对照表!$W$3:$W$24,[1]对照表!$X$3:$X$24),LOOKUP(Q554,[1]对照表!$W$27:$W$48,[1]对照表!$X$27:$X$48)),IF(B554="高二",IF($E554="男",LOOKUP(Q554,[1]对照表!$V$3:$V$24,[1]对照表!$X$3:$X$24),LOOKUP(Q554,[1]对照表!$V$27:$V$48,[1]对照表!$X$27:$X$48)),IF(B554="高一",IF($E554="男",LOOKUP(Q554,[1]对照表!$U$3:$U$24,[1]对照表!$X$3:$X$24),LOOKUP(Q554,[1]对照表!$U$27:$U$48,[1]对照表!$X$27:$X$48)))))</f>
        <v>90</v>
      </c>
      <c r="S554" s="33">
        <f>ROUND(IF(IF($B554="高三",MIN(IF($E554="男",$Q554-3.2,$Q554-3.2),0),IF($B554="高二",MIN(IF($E554="男",$Q554-3.25,$Q554-3.22),0),IF($B554="高一",MIN(IF($E554="男",$Q554-3.3,$Q554-3.24),0))))&lt;-0.6,IF($B554="高三",MIN(IF($E554="男",$Q554-3.2,$Q554-3.2),0),IF($B554="高二",MIN(IF($E554="男",$Q554-3.25,$Q554-3.22),0),IF($B554="高一",MIN(IF($E554="男",$Q554-3.3,$Q554-3.24),0))))+0.4,IF($B554="高三",MIN(IF($E554="男",$Q554-3.2,$Q554-3.2),0),IF($B554="高二",MIN(IF($E554="男",$Q554-3.25,$Q554-3.22),0),IF($B554="高一",MIN(IF($E554="男",$Q554-3.3,$Q554-3.24),0))))),2)</f>
        <v>0</v>
      </c>
      <c r="T554" s="23">
        <f>IF(E554="男",LOOKUP($S554,[1]对照表!$AB$3:$AB$13,[1]对照表!$AC$3:$AC$13),LOOKUP($S554,[1]对照表!$AB$15:$AB$25,[1]对照表!$AC$15:$AC$25))</f>
        <v>0</v>
      </c>
      <c r="U554" s="26">
        <f>R554+T554</f>
        <v>90</v>
      </c>
      <c r="V554" s="26">
        <f>SUM(I554,K554,M554)/3*0.3+SUM(G554,R554)/2*0.4</f>
        <v>54.8</v>
      </c>
      <c r="W554" s="27">
        <f>O554+T554</f>
        <v>0</v>
      </c>
      <c r="X554" s="28">
        <f>V554/0.7+W554</f>
        <v>78.285714285714292</v>
      </c>
      <c r="Y554" s="28">
        <v>78.285714285714292</v>
      </c>
      <c r="Z554" s="21"/>
    </row>
    <row r="555" spans="1:26" x14ac:dyDescent="0.25">
      <c r="A555" s="16">
        <v>22</v>
      </c>
      <c r="B555" s="17" t="s">
        <v>21</v>
      </c>
      <c r="C555" s="16">
        <v>113</v>
      </c>
      <c r="D555" s="18" t="s">
        <v>386</v>
      </c>
      <c r="E555" s="16" t="s">
        <v>23</v>
      </c>
      <c r="F555" s="19">
        <v>7.3</v>
      </c>
      <c r="G555" s="32">
        <f>IF(B555="高三",IF($E555="男",LOOKUP(F555,[1]对照表!$G$3:$G$24,[1]对照表!$H$3:$H$24),LOOKUP(F555,[1]对照表!$G$27:$G$48,[1]对照表!$H$27:$H$48)),IF(B555="高二",IF($E555="男",LOOKUP(F555,[1]对照表!$F$3:$F$24,[1]对照表!$H$3:$H$24),LOOKUP(F555,[1]对照表!$F$27:$F$48,[1]对照表!$H$27:$H$48)),IF(B555="高一",IF($E555="男",LOOKUP(F555,[1]对照表!$E$3:$E$24,[1]对照表!$H$3:$H$24),LOOKUP(F555,[1]对照表!$E$27:$E$48,[1]对照表!$H$27:$H$48)))))</f>
        <v>90</v>
      </c>
      <c r="H555" s="21">
        <v>-1.3</v>
      </c>
      <c r="I555" s="32">
        <f>IF(B555="高三",IF($E555="男",LOOKUP(H555,[1]对照表!$K$3:$K$24,[1]对照表!$L$3:$L$24),LOOKUP(H555,[1]对照表!$K$27:$K$48,[1]对照表!$L$27:$L$48)),IF(B555="高二",IF($E555="男",LOOKUP(H555,[1]对照表!$J$3:$J$24,[1]对照表!$L$3:$L$24),LOOKUP(H555,[1]对照表!$J$27:$J$48,[1]对照表!$L$27:$L$48)),IF(B555="高一",IF($E555="男",LOOKUP(H555,[1]对照表!$I$3:$I$24,[1]对照表!$L$3:$L$24),LOOKUP(H555,[1]对照表!$I$27:$I$48,[1]对照表!$L$27:$L$48)))))</f>
        <v>30</v>
      </c>
      <c r="J555" s="21">
        <v>230</v>
      </c>
      <c r="K555" s="32">
        <f>IF(B555="高三",IF($E555="男",LOOKUP(J555,[1]对照表!$O$3:$O$24,[1]对照表!$P$3:$P$24),LOOKUP(J555,[1]对照表!$O$27:$O$48,[1]对照表!$P$27:$P$48)),IF(B555="高二",IF($E555="男",LOOKUP(J555,[1]对照表!$N$3:$N$24,[1]对照表!$P$3:$P$24),LOOKUP(J555,[1]对照表!$N$27:$N$48,[1]对照表!$P$27:$P$48)),IF(B555="高一",IF($E555="男",LOOKUP(J555,[1]对照表!$M$3:$M$24,[1]对照表!$P$3:$P$24),LOOKUP(J555,[1]对照表!$M$27:$M$48,[1]对照表!$P$27:$P$48)))))</f>
        <v>76</v>
      </c>
      <c r="L555" s="21">
        <v>16</v>
      </c>
      <c r="M555" s="32">
        <f>IF(B555="高三",IF($E555="男",LOOKUP(L555,[1]对照表!$S$3:$S$24,[1]对照表!$T$3:$T$24),LOOKUP(L555,[1]对照表!$S$27:$S$48,[1]对照表!$T$27:$T$48)),IF(B555="高二",IF($E555="男",LOOKUP(L555,[1]对照表!$R$3:$R$24,[1]对照表!$T$3:$T$24),LOOKUP(L555,[1]对照表!$R$27:$R$48,[1]对照表!$T$27:$T$48)),IF(B555="高一",IF($E555="男",LOOKUP(L555,[1]对照表!$Q$3:$Q$24,[1]对照表!$T$3:$T$24),LOOKUP(L555,[1]对照表!$Q$27:$Q$48,[1]对照表!$T$27:$T$48)))))</f>
        <v>100</v>
      </c>
      <c r="N555" s="33">
        <f>IF(B555="高三",MAX(IF(E555="男",L555-18,L555-55),0),IF(B555="高二",MAX(IF(E555="男",L555-17,L555-54),0),IF(B555="高一",MAX(IF(E555="男",L555-16,L555-53),0))))</f>
        <v>0</v>
      </c>
      <c r="O555" s="23">
        <f>IF(E555="男",LOOKUP($N555,[1]对照表!$Z$3:$Z$13,[1]对照表!$AA$3:$AA$13),LOOKUP($N555,[1]对照表!$Z$15:$Z$25,[1]对照表!$AA$15:$AA$25))</f>
        <v>0</v>
      </c>
      <c r="P555" s="24">
        <f>M555+O555</f>
        <v>100</v>
      </c>
      <c r="Q555" s="25">
        <v>3.51</v>
      </c>
      <c r="R555" s="32">
        <f>IF(B555="高三",IF($E555="男",LOOKUP(Q555,[1]对照表!$W$3:$W$24,[1]对照表!$X$3:$X$24),LOOKUP(Q555,[1]对照表!$W$27:$W$48,[1]对照表!$X$27:$X$48)),IF(B555="高二",IF($E555="男",LOOKUP(Q555,[1]对照表!$V$3:$V$24,[1]对照表!$X$3:$X$24),LOOKUP(Q555,[1]对照表!$V$27:$V$48,[1]对照表!$X$27:$X$48)),IF(B555="高一",IF($E555="男",LOOKUP(Q555,[1]对照表!$U$3:$U$24,[1]对照表!$X$3:$X$24),LOOKUP(Q555,[1]对照表!$U$27:$U$48,[1]对照表!$X$27:$X$48)))))</f>
        <v>80</v>
      </c>
      <c r="S555" s="33">
        <f>ROUND(IF(IF($B555="高三",MIN(IF($E555="男",$Q555-3.2,$Q555-3.2),0),IF($B555="高二",MIN(IF($E555="男",$Q555-3.25,$Q555-3.22),0),IF($B555="高一",MIN(IF($E555="男",$Q555-3.3,$Q555-3.24),0))))&lt;-0.6,IF($B555="高三",MIN(IF($E555="男",$Q555-3.2,$Q555-3.2),0),IF($B555="高二",MIN(IF($E555="男",$Q555-3.25,$Q555-3.22),0),IF($B555="高一",MIN(IF($E555="男",$Q555-3.3,$Q555-3.24),0))))+0.4,IF($B555="高三",MIN(IF($E555="男",$Q555-3.2,$Q555-3.2),0),IF($B555="高二",MIN(IF($E555="男",$Q555-3.25,$Q555-3.22),0),IF($B555="高一",MIN(IF($E555="男",$Q555-3.3,$Q555-3.24),0))))),2)</f>
        <v>0</v>
      </c>
      <c r="T555" s="23">
        <f>IF(E555="男",LOOKUP($S555,[1]对照表!$AB$3:$AB$13,[1]对照表!$AC$3:$AC$13),LOOKUP($S555,[1]对照表!$AB$15:$AB$25,[1]对照表!$AC$15:$AC$25))</f>
        <v>0</v>
      </c>
      <c r="U555" s="26">
        <f>R555+T555</f>
        <v>80</v>
      </c>
      <c r="V555" s="26">
        <f>SUM(I555,K555,M555)/3*0.3+SUM(G555,R555)/2*0.4</f>
        <v>54.6</v>
      </c>
      <c r="W555" s="27">
        <f>O555+T555</f>
        <v>0</v>
      </c>
      <c r="X555" s="28">
        <f>V555/0.7+W555</f>
        <v>78</v>
      </c>
      <c r="Y555" s="28">
        <v>78</v>
      </c>
      <c r="Z555" s="21"/>
    </row>
    <row r="556" spans="1:26" x14ac:dyDescent="0.25">
      <c r="A556" s="16">
        <v>54</v>
      </c>
      <c r="B556" s="17" t="s">
        <v>21</v>
      </c>
      <c r="C556" s="16">
        <v>113</v>
      </c>
      <c r="D556" s="18" t="s">
        <v>391</v>
      </c>
      <c r="E556" s="16" t="s">
        <v>65</v>
      </c>
      <c r="F556" s="19">
        <v>8.94</v>
      </c>
      <c r="G556" s="32">
        <f>IF(B556="高三",IF($E556="男",LOOKUP(F556,[1]对照表!$G$3:$G$24,[1]对照表!$H$3:$H$24),LOOKUP(F556,[1]对照表!$G$27:$G$48,[1]对照表!$H$27:$H$48)),IF(B556="高二",IF($E556="男",LOOKUP(F556,[1]对照表!$F$3:$F$24,[1]对照表!$H$3:$H$24),LOOKUP(F556,[1]对照表!$F$27:$F$48,[1]对照表!$H$27:$H$48)),IF(B556="高一",IF($E556="男",LOOKUP(F556,[1]对照表!$E$3:$E$24,[1]对照表!$H$3:$H$24),LOOKUP(F556,[1]对照表!$E$27:$E$48,[1]对照表!$H$27:$H$48)))))</f>
        <v>76</v>
      </c>
      <c r="H556" s="21">
        <v>24</v>
      </c>
      <c r="I556" s="32">
        <f>IF(B556="高三",IF($E556="男",LOOKUP(H556,[1]对照表!$K$3:$K$24,[1]对照表!$L$3:$L$24),LOOKUP(H556,[1]对照表!$K$27:$K$48,[1]对照表!$L$27:$L$48)),IF(B556="高二",IF($E556="男",LOOKUP(H556,[1]对照表!$J$3:$J$24,[1]对照表!$L$3:$L$24),LOOKUP(H556,[1]对照表!$J$27:$J$48,[1]对照表!$L$27:$L$48)),IF(B556="高一",IF($E556="男",LOOKUP(H556,[1]对照表!$I$3:$I$24,[1]对照表!$L$3:$L$24),LOOKUP(H556,[1]对照表!$I$27:$I$48,[1]对照表!$L$27:$L$48)))))</f>
        <v>95</v>
      </c>
      <c r="J556" s="21">
        <v>175</v>
      </c>
      <c r="K556" s="32">
        <f>IF(B556="高三",IF($E556="男",LOOKUP(J556,[1]对照表!$O$3:$O$24,[1]对照表!$P$3:$P$24),LOOKUP(J556,[1]对照表!$O$27:$O$48,[1]对照表!$P$27:$P$48)),IF(B556="高二",IF($E556="男",LOOKUP(J556,[1]对照表!$N$3:$N$24,[1]对照表!$P$3:$P$24),LOOKUP(J556,[1]对照表!$N$27:$N$48,[1]对照表!$P$27:$P$48)),IF(B556="高一",IF($E556="男",LOOKUP(J556,[1]对照表!$M$3:$M$24,[1]对照表!$P$3:$P$24),LOOKUP(J556,[1]对照表!$M$27:$M$48,[1]对照表!$P$27:$P$48)))))</f>
        <v>78</v>
      </c>
      <c r="L556" s="21">
        <v>43</v>
      </c>
      <c r="M556" s="32">
        <f>IF(B556="高三",IF($E556="男",LOOKUP(L556,[1]对照表!$S$3:$S$24,[1]对照表!$T$3:$T$24),LOOKUP(L556,[1]对照表!$S$27:$S$48,[1]对照表!$T$27:$T$48)),IF(B556="高二",IF($E556="男",LOOKUP(L556,[1]对照表!$R$3:$R$24,[1]对照表!$T$3:$T$24),LOOKUP(L556,[1]对照表!$R$27:$R$48,[1]对照表!$T$27:$T$48)),IF(B556="高一",IF($E556="男",LOOKUP(L556,[1]对照表!$Q$3:$Q$24,[1]对照表!$T$3:$T$24),LOOKUP(L556,[1]对照表!$Q$27:$Q$48,[1]对照表!$T$27:$T$48)))))</f>
        <v>80</v>
      </c>
      <c r="N556" s="33">
        <f>IF(B556="高三",MAX(IF(E556="男",L556-18,L556-55),0),IF(B556="高二",MAX(IF(E556="男",L556-17,L556-54),0),IF(B556="高一",MAX(IF(E556="男",L556-16,L556-53),0))))</f>
        <v>0</v>
      </c>
      <c r="O556" s="23">
        <f>IF(E556="男",LOOKUP($N556,[1]对照表!$Z$3:$Z$13,[1]对照表!$AA$3:$AA$13),LOOKUP($N556,[1]对照表!$Z$15:$Z$25,[1]对照表!$AA$15:$AA$25))</f>
        <v>0</v>
      </c>
      <c r="P556" s="24">
        <f>M556+O556</f>
        <v>80</v>
      </c>
      <c r="Q556" s="25">
        <v>3.36</v>
      </c>
      <c r="R556" s="32">
        <f>IF(B556="高三",IF($E556="男",LOOKUP(Q556,[1]对照表!$W$3:$W$24,[1]对照表!$X$3:$X$24),LOOKUP(Q556,[1]对照表!$W$27:$W$48,[1]对照表!$X$27:$X$48)),IF(B556="高二",IF($E556="男",LOOKUP(Q556,[1]对照表!$V$3:$V$24,[1]对照表!$X$3:$X$24),LOOKUP(Q556,[1]对照表!$V$27:$V$48,[1]对照表!$X$27:$X$48)),IF(B556="高一",IF($E556="男",LOOKUP(Q556,[1]对照表!$U$3:$U$24,[1]对照表!$X$3:$X$24),LOOKUP(Q556,[1]对照表!$U$27:$U$48,[1]对照表!$X$27:$X$48)))))</f>
        <v>90</v>
      </c>
      <c r="S556" s="33">
        <f>ROUND(IF(IF($B556="高三",MIN(IF($E556="男",$Q556-3.2,$Q556-3.2),0),IF($B556="高二",MIN(IF($E556="男",$Q556-3.25,$Q556-3.22),0),IF($B556="高一",MIN(IF($E556="男",$Q556-3.3,$Q556-3.24),0))))&lt;-0.6,IF($B556="高三",MIN(IF($E556="男",$Q556-3.2,$Q556-3.2),0),IF($B556="高二",MIN(IF($E556="男",$Q556-3.25,$Q556-3.22),0),IF($B556="高一",MIN(IF($E556="男",$Q556-3.3,$Q556-3.24),0))))+0.4,IF($B556="高三",MIN(IF($E556="男",$Q556-3.2,$Q556-3.2),0),IF($B556="高二",MIN(IF($E556="男",$Q556-3.25,$Q556-3.22),0),IF($B556="高一",MIN(IF($E556="男",$Q556-3.3,$Q556-3.24),0))))),2)</f>
        <v>0</v>
      </c>
      <c r="T556" s="23">
        <f>IF(E556="男",LOOKUP($S556,[1]对照表!$AB$3:$AB$13,[1]对照表!$AC$3:$AC$13),LOOKUP($S556,[1]对照表!$AB$15:$AB$25,[1]对照表!$AC$15:$AC$25))</f>
        <v>0</v>
      </c>
      <c r="U556" s="26">
        <f>R556+T556</f>
        <v>90</v>
      </c>
      <c r="V556" s="26">
        <f>SUM(I556,K556,M556)/3*0.3+SUM(G556,R556)/2*0.4</f>
        <v>58.5</v>
      </c>
      <c r="W556" s="27">
        <f>O556+T556</f>
        <v>0</v>
      </c>
      <c r="X556" s="28">
        <f>V556/0.7+W556</f>
        <v>83.571428571428584</v>
      </c>
      <c r="Y556" s="28">
        <v>83.571428571428584</v>
      </c>
      <c r="Z556" s="21"/>
    </row>
    <row r="557" spans="1:26" x14ac:dyDescent="0.25">
      <c r="A557" s="16">
        <v>9</v>
      </c>
      <c r="B557" s="17" t="s">
        <v>21</v>
      </c>
      <c r="C557" s="16">
        <v>113</v>
      </c>
      <c r="D557" s="18" t="s">
        <v>419</v>
      </c>
      <c r="E557" s="16" t="s">
        <v>23</v>
      </c>
      <c r="F557" s="19">
        <v>7.7</v>
      </c>
      <c r="G557" s="32">
        <f>IF(B557="高三",IF($E557="男",LOOKUP(F557,[1]对照表!$G$3:$G$24,[1]对照表!$H$3:$H$24),LOOKUP(F557,[1]对照表!$G$27:$G$48,[1]对照表!$H$27:$H$48)),IF(B557="高二",IF($E557="男",LOOKUP(F557,[1]对照表!$F$3:$F$24,[1]对照表!$H$3:$H$24),LOOKUP(F557,[1]对照表!$F$27:$F$48,[1]对照表!$H$27:$H$48)),IF(B557="高一",IF($E557="男",LOOKUP(F557,[1]对照表!$E$3:$E$24,[1]对照表!$H$3:$H$24),LOOKUP(F557,[1]对照表!$E$27:$E$48,[1]对照表!$H$27:$H$48)))))</f>
        <v>78</v>
      </c>
      <c r="H557" s="21">
        <v>4.5999999999999996</v>
      </c>
      <c r="I557" s="32">
        <f>IF(B557="高三",IF($E557="男",LOOKUP(H557,[1]对照表!$K$3:$K$24,[1]对照表!$L$3:$L$24),LOOKUP(H557,[1]对照表!$K$27:$K$48,[1]对照表!$L$27:$L$48)),IF(B557="高二",IF($E557="男",LOOKUP(H557,[1]对照表!$J$3:$J$24,[1]对照表!$L$3:$L$24),LOOKUP(H557,[1]对照表!$J$27:$J$48,[1]对照表!$L$27:$L$48)),IF(B557="高一",IF($E557="男",LOOKUP(H557,[1]对照表!$I$3:$I$24,[1]对照表!$L$3:$L$24),LOOKUP(H557,[1]对照表!$I$27:$I$48,[1]对照表!$L$27:$L$48)))))</f>
        <v>64</v>
      </c>
      <c r="J557" s="21">
        <v>225</v>
      </c>
      <c r="K557" s="32">
        <f>IF(B557="高三",IF($E557="男",LOOKUP(J557,[1]对照表!$O$3:$O$24,[1]对照表!$P$3:$P$24),LOOKUP(J557,[1]对照表!$O$27:$O$48,[1]对照表!$P$27:$P$48)),IF(B557="高二",IF($E557="男",LOOKUP(J557,[1]对照表!$N$3:$N$24,[1]对照表!$P$3:$P$24),LOOKUP(J557,[1]对照表!$N$27:$N$48,[1]对照表!$P$27:$P$48)),IF(B557="高一",IF($E557="男",LOOKUP(J557,[1]对照表!$M$3:$M$24,[1]对照表!$P$3:$P$24),LOOKUP(J557,[1]对照表!$M$27:$M$48,[1]对照表!$P$27:$P$48)))))</f>
        <v>74</v>
      </c>
      <c r="L557" s="21">
        <v>5</v>
      </c>
      <c r="M557" s="32">
        <f>IF(B557="高三",IF($E557="男",LOOKUP(L557,[1]对照表!$S$3:$S$24,[1]对照表!$T$3:$T$24),LOOKUP(L557,[1]对照表!$S$27:$S$48,[1]对照表!$T$27:$T$48)),IF(B557="高二",IF($E557="男",LOOKUP(L557,[1]对照表!$R$3:$R$24,[1]对照表!$T$3:$T$24),LOOKUP(L557,[1]对照表!$R$27:$R$48,[1]对照表!$T$27:$T$48)),IF(B557="高一",IF($E557="男",LOOKUP(L557,[1]对照表!$Q$3:$Q$24,[1]对照表!$T$3:$T$24),LOOKUP(L557,[1]对照表!$Q$27:$Q$48,[1]对照表!$T$27:$T$48)))))</f>
        <v>40</v>
      </c>
      <c r="N557" s="33">
        <f>IF(B557="高三",MAX(IF(E557="男",L557-18,L557-55),0),IF(B557="高二",MAX(IF(E557="男",L557-17,L557-54),0),IF(B557="高一",MAX(IF(E557="男",L557-16,L557-53),0))))</f>
        <v>0</v>
      </c>
      <c r="O557" s="23">
        <f>IF(E557="男",LOOKUP($N557,[1]对照表!$Z$3:$Z$13,[1]对照表!$AA$3:$AA$13),LOOKUP($N557,[1]对照表!$Z$15:$Z$25,[1]对照表!$AA$15:$AA$25))</f>
        <v>0</v>
      </c>
      <c r="P557" s="24">
        <f>M557+O557</f>
        <v>40</v>
      </c>
      <c r="Q557" s="25">
        <v>3.3</v>
      </c>
      <c r="R557" s="32">
        <f>IF(B557="高三",IF($E557="男",LOOKUP(Q557,[1]对照表!$W$3:$W$24,[1]对照表!$X$3:$X$24),LOOKUP(Q557,[1]对照表!$W$27:$W$48,[1]对照表!$X$27:$X$48)),IF(B557="高二",IF($E557="男",LOOKUP(Q557,[1]对照表!$V$3:$V$24,[1]对照表!$X$3:$X$24),LOOKUP(Q557,[1]对照表!$V$27:$V$48,[1]对照表!$X$27:$X$48)),IF(B557="高一",IF($E557="男",LOOKUP(Q557,[1]对照表!$U$3:$U$24,[1]对照表!$X$3:$X$24),LOOKUP(Q557,[1]对照表!$U$27:$U$48,[1]对照表!$X$27:$X$48)))))</f>
        <v>100</v>
      </c>
      <c r="S557" s="33">
        <f>ROUND(IF(IF($B557="高三",MIN(IF($E557="男",$Q557-3.2,$Q557-3.2),0),IF($B557="高二",MIN(IF($E557="男",$Q557-3.25,$Q557-3.22),0),IF($B557="高一",MIN(IF($E557="男",$Q557-3.3,$Q557-3.24),0))))&lt;-0.6,IF($B557="高三",MIN(IF($E557="男",$Q557-3.2,$Q557-3.2),0),IF($B557="高二",MIN(IF($E557="男",$Q557-3.25,$Q557-3.22),0),IF($B557="高一",MIN(IF($E557="男",$Q557-3.3,$Q557-3.24),0))))+0.4,IF($B557="高三",MIN(IF($E557="男",$Q557-3.2,$Q557-3.2),0),IF($B557="高二",MIN(IF($E557="男",$Q557-3.25,$Q557-3.22),0),IF($B557="高一",MIN(IF($E557="男",$Q557-3.3,$Q557-3.24),0))))),2)</f>
        <v>0</v>
      </c>
      <c r="T557" s="23">
        <f>IF(E557="男",LOOKUP($S557,[1]对照表!$AB$3:$AB$13,[1]对照表!$AC$3:$AC$13),LOOKUP($S557,[1]对照表!$AB$15:$AB$25,[1]对照表!$AC$15:$AC$25))</f>
        <v>0</v>
      </c>
      <c r="U557" s="26">
        <f>R557+T557</f>
        <v>100</v>
      </c>
      <c r="V557" s="26">
        <f>SUM(I557,K557,M557)/3*0.3+SUM(G557,R557)/2*0.4</f>
        <v>53.400000000000006</v>
      </c>
      <c r="W557" s="27">
        <f>O557+T557</f>
        <v>0</v>
      </c>
      <c r="X557" s="28">
        <f>V557/0.7+W557</f>
        <v>76.285714285714292</v>
      </c>
      <c r="Y557" s="28">
        <v>76.285714285714292</v>
      </c>
      <c r="Z557" s="21"/>
    </row>
    <row r="558" spans="1:26" x14ac:dyDescent="0.25">
      <c r="A558" s="16">
        <v>24</v>
      </c>
      <c r="B558" s="17" t="s">
        <v>21</v>
      </c>
      <c r="C558" s="16">
        <v>113</v>
      </c>
      <c r="D558" s="18" t="s">
        <v>422</v>
      </c>
      <c r="E558" s="16" t="s">
        <v>23</v>
      </c>
      <c r="F558" s="19">
        <v>7</v>
      </c>
      <c r="G558" s="32">
        <f>IF(B558="高三",IF($E558="男",LOOKUP(F558,[1]对照表!$G$3:$G$24,[1]对照表!$H$3:$H$24),LOOKUP(F558,[1]对照表!$G$27:$G$48,[1]对照表!$H$27:$H$48)),IF(B558="高二",IF($E558="男",LOOKUP(F558,[1]对照表!$F$3:$F$24,[1]对照表!$H$3:$H$24),LOOKUP(F558,[1]对照表!$F$27:$F$48,[1]对照表!$H$27:$H$48)),IF(B558="高一",IF($E558="男",LOOKUP(F558,[1]对照表!$E$3:$E$24,[1]对照表!$H$3:$H$24),LOOKUP(F558,[1]对照表!$E$27:$E$48,[1]对照表!$H$27:$H$48)))))</f>
        <v>100</v>
      </c>
      <c r="H558" s="21">
        <v>7</v>
      </c>
      <c r="I558" s="32">
        <f>IF(B558="高三",IF($E558="男",LOOKUP(H558,[1]对照表!$K$3:$K$24,[1]对照表!$L$3:$L$24),LOOKUP(H558,[1]对照表!$K$27:$K$48,[1]对照表!$L$27:$L$48)),IF(B558="高二",IF($E558="男",LOOKUP(H558,[1]对照表!$J$3:$J$24,[1]对照表!$L$3:$L$24),LOOKUP(H558,[1]对照表!$J$27:$J$48,[1]对照表!$L$27:$L$48)),IF(B558="高一",IF($E558="男",LOOKUP(H558,[1]对照表!$I$3:$I$24,[1]对照表!$L$3:$L$24),LOOKUP(H558,[1]对照表!$I$27:$I$48,[1]对照表!$L$27:$L$48)))))</f>
        <v>68</v>
      </c>
      <c r="J558" s="21">
        <v>245</v>
      </c>
      <c r="K558" s="32">
        <f>IF(B558="高三",IF($E558="男",LOOKUP(J558,[1]对照表!$O$3:$O$24,[1]对照表!$P$3:$P$24),LOOKUP(J558,[1]对照表!$O$27:$O$48,[1]对照表!$P$27:$P$48)),IF(B558="高二",IF($E558="男",LOOKUP(J558,[1]对照表!$N$3:$N$24,[1]对照表!$P$3:$P$24),LOOKUP(J558,[1]对照表!$N$27:$N$48,[1]对照表!$P$27:$P$48)),IF(B558="高一",IF($E558="男",LOOKUP(J558,[1]对照表!$M$3:$M$24,[1]对照表!$P$3:$P$24),LOOKUP(J558,[1]对照表!$M$27:$M$48,[1]对照表!$P$27:$P$48)))))</f>
        <v>85</v>
      </c>
      <c r="L558" s="21">
        <v>3</v>
      </c>
      <c r="M558" s="32">
        <f>IF(B558="高三",IF($E558="男",LOOKUP(L558,[1]对照表!$S$3:$S$24,[1]对照表!$T$3:$T$24),LOOKUP(L558,[1]对照表!$S$27:$S$48,[1]对照表!$T$27:$T$48)),IF(B558="高二",IF($E558="男",LOOKUP(L558,[1]对照表!$R$3:$R$24,[1]对照表!$T$3:$T$24),LOOKUP(L558,[1]对照表!$R$27:$R$48,[1]对照表!$T$27:$T$48)),IF(B558="高一",IF($E558="男",LOOKUP(L558,[1]对照表!$Q$3:$Q$24,[1]对照表!$T$3:$T$24),LOOKUP(L558,[1]对照表!$Q$27:$Q$48,[1]对照表!$T$27:$T$48)))))</f>
        <v>20</v>
      </c>
      <c r="N558" s="33">
        <f>IF(B558="高三",MAX(IF(E558="男",L558-18,L558-55),0),IF(B558="高二",MAX(IF(E558="男",L558-17,L558-54),0),IF(B558="高一",MAX(IF(E558="男",L558-16,L558-53),0))))</f>
        <v>0</v>
      </c>
      <c r="O558" s="23">
        <f>IF(E558="男",LOOKUP($N558,[1]对照表!$Z$3:$Z$13,[1]对照表!$AA$3:$AA$13),LOOKUP($N558,[1]对照表!$Z$15:$Z$25,[1]对照表!$AA$15:$AA$25))</f>
        <v>0</v>
      </c>
      <c r="P558" s="24">
        <f>M558+O558</f>
        <v>20</v>
      </c>
      <c r="Q558" s="25">
        <v>3.51</v>
      </c>
      <c r="R558" s="32">
        <f>IF(B558="高三",IF($E558="男",LOOKUP(Q558,[1]对照表!$W$3:$W$24,[1]对照表!$X$3:$X$24),LOOKUP(Q558,[1]对照表!$W$27:$W$48,[1]对照表!$X$27:$X$48)),IF(B558="高二",IF($E558="男",LOOKUP(Q558,[1]对照表!$V$3:$V$24,[1]对照表!$X$3:$X$24),LOOKUP(Q558,[1]对照表!$V$27:$V$48,[1]对照表!$X$27:$X$48)),IF(B558="高一",IF($E558="男",LOOKUP(Q558,[1]对照表!$U$3:$U$24,[1]对照表!$X$3:$X$24),LOOKUP(Q558,[1]对照表!$U$27:$U$48,[1]对照表!$X$27:$X$48)))))</f>
        <v>80</v>
      </c>
      <c r="S558" s="33">
        <f>ROUND(IF(IF($B558="高三",MIN(IF($E558="男",$Q558-3.2,$Q558-3.2),0),IF($B558="高二",MIN(IF($E558="男",$Q558-3.25,$Q558-3.22),0),IF($B558="高一",MIN(IF($E558="男",$Q558-3.3,$Q558-3.24),0))))&lt;-0.6,IF($B558="高三",MIN(IF($E558="男",$Q558-3.2,$Q558-3.2),0),IF($B558="高二",MIN(IF($E558="男",$Q558-3.25,$Q558-3.22),0),IF($B558="高一",MIN(IF($E558="男",$Q558-3.3,$Q558-3.24),0))))+0.4,IF($B558="高三",MIN(IF($E558="男",$Q558-3.2,$Q558-3.2),0),IF($B558="高二",MIN(IF($E558="男",$Q558-3.25,$Q558-3.22),0),IF($B558="高一",MIN(IF($E558="男",$Q558-3.3,$Q558-3.24),0))))),2)</f>
        <v>0</v>
      </c>
      <c r="T558" s="23">
        <f>IF(E558="男",LOOKUP($S558,[1]对照表!$AB$3:$AB$13,[1]对照表!$AC$3:$AC$13),LOOKUP($S558,[1]对照表!$AB$15:$AB$25,[1]对照表!$AC$15:$AC$25))</f>
        <v>0</v>
      </c>
      <c r="U558" s="26">
        <f>R558+T558</f>
        <v>80</v>
      </c>
      <c r="V558" s="26">
        <f>SUM(I558,K558,M558)/3*0.3+SUM(G558,R558)/2*0.4</f>
        <v>53.3</v>
      </c>
      <c r="W558" s="27">
        <f>O558+T558</f>
        <v>0</v>
      </c>
      <c r="X558" s="28">
        <f>V558/0.7+W558</f>
        <v>76.142857142857139</v>
      </c>
      <c r="Y558" s="28">
        <v>76.142857142857139</v>
      </c>
      <c r="Z558" s="21"/>
    </row>
    <row r="559" spans="1:26" x14ac:dyDescent="0.25">
      <c r="A559" s="16">
        <v>6</v>
      </c>
      <c r="B559" s="17" t="s">
        <v>21</v>
      </c>
      <c r="C559" s="16">
        <v>113</v>
      </c>
      <c r="D559" s="18" t="s">
        <v>426</v>
      </c>
      <c r="E559" s="16" t="s">
        <v>23</v>
      </c>
      <c r="F559" s="19">
        <v>7.1</v>
      </c>
      <c r="G559" s="32">
        <f>IF(B559="高三",IF($E559="男",LOOKUP(F559,[1]对照表!$G$3:$G$24,[1]对照表!$H$3:$H$24),LOOKUP(F559,[1]对照表!$G$27:$G$48,[1]对照表!$H$27:$H$48)),IF(B559="高二",IF($E559="男",LOOKUP(F559,[1]对照表!$F$3:$F$24,[1]对照表!$H$3:$H$24),LOOKUP(F559,[1]对照表!$F$27:$F$48,[1]对照表!$H$27:$H$48)),IF(B559="高一",IF($E559="男",LOOKUP(F559,[1]对照表!$E$3:$E$24,[1]对照表!$H$3:$H$24),LOOKUP(F559,[1]对照表!$E$27:$E$48,[1]对照表!$H$27:$H$48)))))</f>
        <v>100</v>
      </c>
      <c r="H559" s="21">
        <v>13.3</v>
      </c>
      <c r="I559" s="32">
        <f>IF(B559="高三",IF($E559="男",LOOKUP(H559,[1]对照表!$K$3:$K$24,[1]对照表!$L$3:$L$24),LOOKUP(H559,[1]对照表!$K$27:$K$48,[1]对照表!$L$27:$L$48)),IF(B559="高二",IF($E559="男",LOOKUP(H559,[1]对照表!$J$3:$J$24,[1]对照表!$L$3:$L$24),LOOKUP(H559,[1]对照表!$J$27:$J$48,[1]对照表!$L$27:$L$48)),IF(B559="高一",IF($E559="男",LOOKUP(H559,[1]对照表!$I$3:$I$24,[1]对照表!$L$3:$L$24),LOOKUP(H559,[1]对照表!$I$27:$I$48,[1]对照表!$L$27:$L$48)))))</f>
        <v>76</v>
      </c>
      <c r="J559" s="21">
        <v>220</v>
      </c>
      <c r="K559" s="32">
        <f>IF(B559="高三",IF($E559="男",LOOKUP(J559,[1]对照表!$O$3:$O$24,[1]对照表!$P$3:$P$24),LOOKUP(J559,[1]对照表!$O$27:$O$48,[1]对照表!$P$27:$P$48)),IF(B559="高二",IF($E559="男",LOOKUP(J559,[1]对照表!$N$3:$N$24,[1]对照表!$P$3:$P$24),LOOKUP(J559,[1]对照表!$N$27:$N$48,[1]对照表!$P$27:$P$48)),IF(B559="高一",IF($E559="男",LOOKUP(J559,[1]对照表!$M$3:$M$24,[1]对照表!$P$3:$P$24),LOOKUP(J559,[1]对照表!$M$27:$M$48,[1]对照表!$P$27:$P$48)))))</f>
        <v>72</v>
      </c>
      <c r="L559" s="21">
        <v>1</v>
      </c>
      <c r="M559" s="32">
        <f>IF(B559="高三",IF($E559="男",LOOKUP(L559,[1]对照表!$S$3:$S$24,[1]对照表!$T$3:$T$24),LOOKUP(L559,[1]对照表!$S$27:$S$48,[1]对照表!$T$27:$T$48)),IF(B559="高二",IF($E559="男",LOOKUP(L559,[1]对照表!$R$3:$R$24,[1]对照表!$T$3:$T$24),LOOKUP(L559,[1]对照表!$R$27:$R$48,[1]对照表!$T$27:$T$48)),IF(B559="高一",IF($E559="男",LOOKUP(L559,[1]对照表!$Q$3:$Q$24,[1]对照表!$T$3:$T$24),LOOKUP(L559,[1]对照表!$Q$27:$Q$48,[1]对照表!$T$27:$T$48)))))</f>
        <v>0</v>
      </c>
      <c r="N559" s="33">
        <f>IF(B559="高三",MAX(IF(E559="男",L559-18,L559-55),0),IF(B559="高二",MAX(IF(E559="男",L559-17,L559-54),0),IF(B559="高一",MAX(IF(E559="男",L559-16,L559-53),0))))</f>
        <v>0</v>
      </c>
      <c r="O559" s="23">
        <f>IF(E559="男",LOOKUP($N559,[1]对照表!$Z$3:$Z$13,[1]对照表!$AA$3:$AA$13),LOOKUP($N559,[1]对照表!$Z$15:$Z$25,[1]对照表!$AA$15:$AA$25))</f>
        <v>0</v>
      </c>
      <c r="P559" s="24">
        <f>M559+O559</f>
        <v>0</v>
      </c>
      <c r="Q559" s="25">
        <v>3.4</v>
      </c>
      <c r="R559" s="32">
        <f>IF(B559="高三",IF($E559="男",LOOKUP(Q559,[1]对照表!$W$3:$W$24,[1]对照表!$X$3:$X$24),LOOKUP(Q559,[1]对照表!$W$27:$W$48,[1]对照表!$X$27:$X$48)),IF(B559="高二",IF($E559="男",LOOKUP(Q559,[1]对照表!$V$3:$V$24,[1]对照表!$X$3:$X$24),LOOKUP(Q559,[1]对照表!$V$27:$V$48,[1]对照表!$X$27:$X$48)),IF(B559="高一",IF($E559="男",LOOKUP(Q559,[1]对照表!$U$3:$U$24,[1]对照表!$X$3:$X$24),LOOKUP(Q559,[1]对照表!$U$27:$U$48,[1]对照表!$X$27:$X$48)))))</f>
        <v>90</v>
      </c>
      <c r="S559" s="33">
        <f>ROUND(IF(IF($B559="高三",MIN(IF($E559="男",$Q559-3.2,$Q559-3.2),0),IF($B559="高二",MIN(IF($E559="男",$Q559-3.25,$Q559-3.22),0),IF($B559="高一",MIN(IF($E559="男",$Q559-3.3,$Q559-3.24),0))))&lt;-0.6,IF($B559="高三",MIN(IF($E559="男",$Q559-3.2,$Q559-3.2),0),IF($B559="高二",MIN(IF($E559="男",$Q559-3.25,$Q559-3.22),0),IF($B559="高一",MIN(IF($E559="男",$Q559-3.3,$Q559-3.24),0))))+0.4,IF($B559="高三",MIN(IF($E559="男",$Q559-3.2,$Q559-3.2),0),IF($B559="高二",MIN(IF($E559="男",$Q559-3.25,$Q559-3.22),0),IF($B559="高一",MIN(IF($E559="男",$Q559-3.3,$Q559-3.24),0))))),2)</f>
        <v>0</v>
      </c>
      <c r="T559" s="23">
        <f>IF(E559="男",LOOKUP($S559,[1]对照表!$AB$3:$AB$13,[1]对照表!$AC$3:$AC$13),LOOKUP($S559,[1]对照表!$AB$15:$AB$25,[1]对照表!$AC$15:$AC$25))</f>
        <v>0</v>
      </c>
      <c r="U559" s="26">
        <f>R559+T559</f>
        <v>90</v>
      </c>
      <c r="V559" s="26">
        <f>SUM(I559,K559,M559)/3*0.3+SUM(G559,R559)/2*0.4</f>
        <v>52.8</v>
      </c>
      <c r="W559" s="27">
        <f>O559+T559</f>
        <v>0</v>
      </c>
      <c r="X559" s="28">
        <f>V559/0.7+W559</f>
        <v>75.428571428571431</v>
      </c>
      <c r="Y559" s="28">
        <v>75.428571428571431</v>
      </c>
      <c r="Z559" s="21"/>
    </row>
    <row r="560" spans="1:26" x14ac:dyDescent="0.25">
      <c r="A560" s="16">
        <v>19</v>
      </c>
      <c r="B560" s="17" t="s">
        <v>21</v>
      </c>
      <c r="C560" s="16">
        <v>113</v>
      </c>
      <c r="D560" s="18" t="s">
        <v>431</v>
      </c>
      <c r="E560" s="16" t="s">
        <v>23</v>
      </c>
      <c r="F560" s="19">
        <v>7.8</v>
      </c>
      <c r="G560" s="32">
        <f>IF(B560="高三",IF($E560="男",LOOKUP(F560,[1]对照表!$G$3:$G$24,[1]对照表!$H$3:$H$24),LOOKUP(F560,[1]对照表!$G$27:$G$48,[1]对照表!$H$27:$H$48)),IF(B560="高二",IF($E560="男",LOOKUP(F560,[1]对照表!$F$3:$F$24,[1]对照表!$H$3:$H$24),LOOKUP(F560,[1]对照表!$F$27:$F$48,[1]对照表!$H$27:$H$48)),IF(B560="高一",IF($E560="男",LOOKUP(F560,[1]对照表!$E$3:$E$24,[1]对照表!$H$3:$H$24),LOOKUP(F560,[1]对照表!$E$27:$E$48,[1]对照表!$H$27:$H$48)))))</f>
        <v>76</v>
      </c>
      <c r="H560" s="21">
        <v>7.5</v>
      </c>
      <c r="I560" s="32">
        <f>IF(B560="高三",IF($E560="男",LOOKUP(H560,[1]对照表!$K$3:$K$24,[1]对照表!$L$3:$L$24),LOOKUP(H560,[1]对照表!$K$27:$K$48,[1]对照表!$L$27:$L$48)),IF(B560="高二",IF($E560="男",LOOKUP(H560,[1]对照表!$J$3:$J$24,[1]对照表!$L$3:$L$24),LOOKUP(H560,[1]对照表!$J$27:$J$48,[1]对照表!$L$27:$L$48)),IF(B560="高一",IF($E560="男",LOOKUP(H560,[1]对照表!$I$3:$I$24,[1]对照表!$L$3:$L$24),LOOKUP(H560,[1]对照表!$I$27:$I$48,[1]对照表!$L$27:$L$48)))))</f>
        <v>68</v>
      </c>
      <c r="J560" s="21">
        <v>245</v>
      </c>
      <c r="K560" s="32">
        <f>IF(B560="高三",IF($E560="男",LOOKUP(J560,[1]对照表!$O$3:$O$24,[1]对照表!$P$3:$P$24),LOOKUP(J560,[1]对照表!$O$27:$O$48,[1]对照表!$P$27:$P$48)),IF(B560="高二",IF($E560="男",LOOKUP(J560,[1]对照表!$N$3:$N$24,[1]对照表!$P$3:$P$24),LOOKUP(J560,[1]对照表!$N$27:$N$48,[1]对照表!$P$27:$P$48)),IF(B560="高一",IF($E560="男",LOOKUP(J560,[1]对照表!$M$3:$M$24,[1]对照表!$P$3:$P$24),LOOKUP(J560,[1]对照表!$M$27:$M$48,[1]对照表!$P$27:$P$48)))))</f>
        <v>85</v>
      </c>
      <c r="L560" s="21">
        <v>6</v>
      </c>
      <c r="M560" s="32">
        <f>IF(B560="高三",IF($E560="男",LOOKUP(L560,[1]对照表!$S$3:$S$24,[1]对照表!$T$3:$T$24),LOOKUP(L560,[1]对照表!$S$27:$S$48,[1]对照表!$T$27:$T$48)),IF(B560="高二",IF($E560="男",LOOKUP(L560,[1]对照表!$R$3:$R$24,[1]对照表!$T$3:$T$24),LOOKUP(L560,[1]对照表!$R$27:$R$48,[1]对照表!$T$27:$T$48)),IF(B560="高一",IF($E560="男",LOOKUP(L560,[1]对照表!$Q$3:$Q$24,[1]对照表!$T$3:$T$24),LOOKUP(L560,[1]对照表!$Q$27:$Q$48,[1]对照表!$T$27:$T$48)))))</f>
        <v>50</v>
      </c>
      <c r="N560" s="33">
        <f>IF(B560="高三",MAX(IF(E560="男",L560-18,L560-55),0),IF(B560="高二",MAX(IF(E560="男",L560-17,L560-54),0),IF(B560="高一",MAX(IF(E560="男",L560-16,L560-53),0))))</f>
        <v>0</v>
      </c>
      <c r="O560" s="23">
        <f>IF(E560="男",LOOKUP($N560,[1]对照表!$Z$3:$Z$13,[1]对照表!$AA$3:$AA$13),LOOKUP($N560,[1]对照表!$Z$15:$Z$25,[1]对照表!$AA$15:$AA$25))</f>
        <v>0</v>
      </c>
      <c r="P560" s="24">
        <f>M560+O560</f>
        <v>50</v>
      </c>
      <c r="Q560" s="25">
        <v>3.41</v>
      </c>
      <c r="R560" s="32">
        <f>IF(B560="高三",IF($E560="男",LOOKUP(Q560,[1]对照表!$W$3:$W$24,[1]对照表!$X$3:$X$24),LOOKUP(Q560,[1]对照表!$W$27:$W$48,[1]对照表!$X$27:$X$48)),IF(B560="高二",IF($E560="男",LOOKUP(Q560,[1]对照表!$V$3:$V$24,[1]对照表!$X$3:$X$24),LOOKUP(Q560,[1]对照表!$V$27:$V$48,[1]对照表!$X$27:$X$48)),IF(B560="高一",IF($E560="男",LOOKUP(Q560,[1]对照表!$U$3:$U$24,[1]对照表!$X$3:$X$24),LOOKUP(Q560,[1]对照表!$U$27:$U$48,[1]对照表!$X$27:$X$48)))))</f>
        <v>85</v>
      </c>
      <c r="S560" s="33">
        <f>ROUND(IF(IF($B560="高三",MIN(IF($E560="男",$Q560-3.2,$Q560-3.2),0),IF($B560="高二",MIN(IF($E560="男",$Q560-3.25,$Q560-3.22),0),IF($B560="高一",MIN(IF($E560="男",$Q560-3.3,$Q560-3.24),0))))&lt;-0.6,IF($B560="高三",MIN(IF($E560="男",$Q560-3.2,$Q560-3.2),0),IF($B560="高二",MIN(IF($E560="男",$Q560-3.25,$Q560-3.22),0),IF($B560="高一",MIN(IF($E560="男",$Q560-3.3,$Q560-3.24),0))))+0.4,IF($B560="高三",MIN(IF($E560="男",$Q560-3.2,$Q560-3.2),0),IF($B560="高二",MIN(IF($E560="男",$Q560-3.25,$Q560-3.22),0),IF($B560="高一",MIN(IF($E560="男",$Q560-3.3,$Q560-3.24),0))))),2)</f>
        <v>0</v>
      </c>
      <c r="T560" s="23">
        <f>IF(E560="男",LOOKUP($S560,[1]对照表!$AB$3:$AB$13,[1]对照表!$AC$3:$AC$13),LOOKUP($S560,[1]对照表!$AB$15:$AB$25,[1]对照表!$AC$15:$AC$25))</f>
        <v>0</v>
      </c>
      <c r="U560" s="26">
        <f>R560+T560</f>
        <v>85</v>
      </c>
      <c r="V560" s="26">
        <f>SUM(I560,K560,M560)/3*0.3+SUM(G560,R560)/2*0.4</f>
        <v>52.5</v>
      </c>
      <c r="W560" s="27">
        <f>O560+T560</f>
        <v>0</v>
      </c>
      <c r="X560" s="28">
        <f>V560/0.7+W560</f>
        <v>75</v>
      </c>
      <c r="Y560" s="28">
        <v>75</v>
      </c>
      <c r="Z560" s="21"/>
    </row>
    <row r="561" spans="1:26" x14ac:dyDescent="0.25">
      <c r="A561" s="16">
        <v>23</v>
      </c>
      <c r="B561" s="17" t="s">
        <v>21</v>
      </c>
      <c r="C561" s="16">
        <v>113</v>
      </c>
      <c r="D561" s="18" t="s">
        <v>476</v>
      </c>
      <c r="E561" s="16" t="s">
        <v>23</v>
      </c>
      <c r="F561" s="19">
        <v>7.2</v>
      </c>
      <c r="G561" s="32">
        <f>IF(B561="高三",IF($E561="男",LOOKUP(F561,[1]对照表!$G$3:$G$24,[1]对照表!$H$3:$H$24),LOOKUP(F561,[1]对照表!$G$27:$G$48,[1]对照表!$H$27:$H$48)),IF(B561="高二",IF($E561="男",LOOKUP(F561,[1]对照表!$F$3:$F$24,[1]对照表!$H$3:$H$24),LOOKUP(F561,[1]对照表!$F$27:$F$48,[1]对照表!$H$27:$H$48)),IF(B561="高一",IF($E561="男",LOOKUP(F561,[1]对照表!$E$3:$E$24,[1]对照表!$H$3:$H$24),LOOKUP(F561,[1]对照表!$E$27:$E$48,[1]对照表!$H$27:$H$48)))))</f>
        <v>95</v>
      </c>
      <c r="H561" s="21">
        <v>3.5</v>
      </c>
      <c r="I561" s="32">
        <f>IF(B561="高三",IF($E561="男",LOOKUP(H561,[1]对照表!$K$3:$K$24,[1]对照表!$L$3:$L$24),LOOKUP(H561,[1]对照表!$K$27:$K$48,[1]对照表!$L$27:$L$48)),IF(B561="高二",IF($E561="男",LOOKUP(H561,[1]对照表!$J$3:$J$24,[1]对照表!$L$3:$L$24),LOOKUP(H561,[1]对照表!$J$27:$J$48,[1]对照表!$L$27:$L$48)),IF(B561="高一",IF($E561="男",LOOKUP(H561,[1]对照表!$I$3:$I$24,[1]对照表!$L$3:$L$24),LOOKUP(H561,[1]对照表!$I$27:$I$48,[1]对照表!$L$27:$L$48)))))</f>
        <v>62</v>
      </c>
      <c r="J561" s="21">
        <v>215</v>
      </c>
      <c r="K561" s="32">
        <f>IF(B561="高三",IF($E561="男",LOOKUP(J561,[1]对照表!$O$3:$O$24,[1]对照表!$P$3:$P$24),LOOKUP(J561,[1]对照表!$O$27:$O$48,[1]对照表!$P$27:$P$48)),IF(B561="高二",IF($E561="男",LOOKUP(J561,[1]对照表!$N$3:$N$24,[1]对照表!$P$3:$P$24),LOOKUP(J561,[1]对照表!$N$27:$N$48,[1]对照表!$P$27:$P$48)),IF(B561="高一",IF($E561="男",LOOKUP(J561,[1]对照表!$M$3:$M$24,[1]对照表!$P$3:$P$24),LOOKUP(J561,[1]对照表!$M$27:$M$48,[1]对照表!$P$27:$P$48)))))</f>
        <v>70</v>
      </c>
      <c r="L561" s="21">
        <v>1</v>
      </c>
      <c r="M561" s="32">
        <f>IF(B561="高三",IF($E561="男",LOOKUP(L561,[1]对照表!$S$3:$S$24,[1]对照表!$T$3:$T$24),LOOKUP(L561,[1]对照表!$S$27:$S$48,[1]对照表!$T$27:$T$48)),IF(B561="高二",IF($E561="男",LOOKUP(L561,[1]对照表!$R$3:$R$24,[1]对照表!$T$3:$T$24),LOOKUP(L561,[1]对照表!$R$27:$R$48,[1]对照表!$T$27:$T$48)),IF(B561="高一",IF($E561="男",LOOKUP(L561,[1]对照表!$Q$3:$Q$24,[1]对照表!$T$3:$T$24),LOOKUP(L561,[1]对照表!$Q$27:$Q$48,[1]对照表!$T$27:$T$48)))))</f>
        <v>0</v>
      </c>
      <c r="N561" s="33">
        <f>IF(B561="高三",MAX(IF(E561="男",L561-18,L561-55),0),IF(B561="高二",MAX(IF(E561="男",L561-17,L561-54),0),IF(B561="高一",MAX(IF(E561="男",L561-16,L561-53),0))))</f>
        <v>0</v>
      </c>
      <c r="O561" s="23">
        <f>IF(E561="男",LOOKUP($N561,[1]对照表!$Z$3:$Z$13,[1]对照表!$AA$3:$AA$13),LOOKUP($N561,[1]对照表!$Z$15:$Z$25,[1]对照表!$AA$15:$AA$25))</f>
        <v>0</v>
      </c>
      <c r="P561" s="24">
        <f>M561+O561</f>
        <v>0</v>
      </c>
      <c r="Q561" s="25">
        <v>3.37</v>
      </c>
      <c r="R561" s="32">
        <f>IF(B561="高三",IF($E561="男",LOOKUP(Q561,[1]对照表!$W$3:$W$24,[1]对照表!$X$3:$X$24),LOOKUP(Q561,[1]对照表!$W$27:$W$48,[1]对照表!$X$27:$X$48)),IF(B561="高二",IF($E561="男",LOOKUP(Q561,[1]对照表!$V$3:$V$24,[1]对照表!$X$3:$X$24),LOOKUP(Q561,[1]对照表!$V$27:$V$48,[1]对照表!$X$27:$X$48)),IF(B561="高一",IF($E561="男",LOOKUP(Q561,[1]对照表!$U$3:$U$24,[1]对照表!$X$3:$X$24),LOOKUP(Q561,[1]对照表!$U$27:$U$48,[1]对照表!$X$27:$X$48)))))</f>
        <v>90</v>
      </c>
      <c r="S561" s="33">
        <f>ROUND(IF(IF($B561="高三",MIN(IF($E561="男",$Q561-3.2,$Q561-3.2),0),IF($B561="高二",MIN(IF($E561="男",$Q561-3.25,$Q561-3.22),0),IF($B561="高一",MIN(IF($E561="男",$Q561-3.3,$Q561-3.24),0))))&lt;-0.6,IF($B561="高三",MIN(IF($E561="男",$Q561-3.2,$Q561-3.2),0),IF($B561="高二",MIN(IF($E561="男",$Q561-3.25,$Q561-3.22),0),IF($B561="高一",MIN(IF($E561="男",$Q561-3.3,$Q561-3.24),0))))+0.4,IF($B561="高三",MIN(IF($E561="男",$Q561-3.2,$Q561-3.2),0),IF($B561="高二",MIN(IF($E561="男",$Q561-3.25,$Q561-3.22),0),IF($B561="高一",MIN(IF($E561="男",$Q561-3.3,$Q561-3.24),0))))),2)</f>
        <v>0</v>
      </c>
      <c r="T561" s="23">
        <f>IF(E561="男",LOOKUP($S561,[1]对照表!$AB$3:$AB$13,[1]对照表!$AC$3:$AC$13),LOOKUP($S561,[1]对照表!$AB$15:$AB$25,[1]对照表!$AC$15:$AC$25))</f>
        <v>0</v>
      </c>
      <c r="U561" s="26">
        <f>R561+T561</f>
        <v>90</v>
      </c>
      <c r="V561" s="26">
        <f>SUM(I561,K561,M561)/3*0.3+SUM(G561,R561)/2*0.4</f>
        <v>50.2</v>
      </c>
      <c r="W561" s="27">
        <f>O561+T561</f>
        <v>0</v>
      </c>
      <c r="X561" s="28">
        <f>V561/0.7+W561</f>
        <v>71.714285714285722</v>
      </c>
      <c r="Y561" s="28">
        <v>71.714285714285722</v>
      </c>
      <c r="Z561" s="21"/>
    </row>
    <row r="562" spans="1:26" x14ac:dyDescent="0.25">
      <c r="A562" s="16">
        <v>26</v>
      </c>
      <c r="B562" s="17" t="s">
        <v>21</v>
      </c>
      <c r="C562" s="16">
        <v>113</v>
      </c>
      <c r="D562" s="18" t="s">
        <v>488</v>
      </c>
      <c r="E562" s="17" t="s">
        <v>65</v>
      </c>
      <c r="F562" s="19">
        <v>9.3000000000000007</v>
      </c>
      <c r="G562" s="32">
        <f>IF(B562="高三",IF($E562="男",LOOKUP(F562,[1]对照表!$G$3:$G$24,[1]对照表!$H$3:$H$24),LOOKUP(F562,[1]对照表!$G$27:$G$48,[1]对照表!$H$27:$H$48)),IF(B562="高二",IF($E562="男",LOOKUP(F562,[1]对照表!$F$3:$F$24,[1]对照表!$H$3:$H$24),LOOKUP(F562,[1]对照表!$F$27:$F$48,[1]对照表!$H$27:$H$48)),IF(B562="高一",IF($E562="男",LOOKUP(F562,[1]对照表!$E$3:$E$24,[1]对照表!$H$3:$H$24),LOOKUP(F562,[1]对照表!$E$27:$E$48,[1]对照表!$H$27:$H$48)))))</f>
        <v>72</v>
      </c>
      <c r="H562" s="21">
        <v>18</v>
      </c>
      <c r="I562" s="32">
        <f>IF(B562="高三",IF($E562="男",LOOKUP(H562,[1]对照表!$K$3:$K$24,[1]对照表!$L$3:$L$24),LOOKUP(H562,[1]对照表!$K$27:$K$48,[1]对照表!$L$27:$L$48)),IF(B562="高二",IF($E562="男",LOOKUP(H562,[1]对照表!$J$3:$J$24,[1]对照表!$L$3:$L$24),LOOKUP(H562,[1]对照表!$J$27:$J$48,[1]对照表!$L$27:$L$48)),IF(B562="高一",IF($E562="男",LOOKUP(H562,[1]对照表!$I$3:$I$24,[1]对照表!$L$3:$L$24),LOOKUP(H562,[1]对照表!$I$27:$I$48,[1]对照表!$L$27:$L$48)))))</f>
        <v>80</v>
      </c>
      <c r="J562" s="21">
        <v>181</v>
      </c>
      <c r="K562" s="32">
        <f>IF(B562="高三",IF($E562="男",LOOKUP(J562,[1]对照表!$O$3:$O$24,[1]对照表!$P$3:$P$24),LOOKUP(J562,[1]对照表!$O$27:$O$48,[1]对照表!$P$27:$P$48)),IF(B562="高二",IF($E562="男",LOOKUP(J562,[1]对照表!$N$3:$N$24,[1]对照表!$P$3:$P$24),LOOKUP(J562,[1]对照表!$N$27:$N$48,[1]对照表!$P$27:$P$48)),IF(B562="高一",IF($E562="男",LOOKUP(J562,[1]对照表!$M$3:$M$24,[1]对照表!$P$3:$P$24),LOOKUP(J562,[1]对照表!$M$27:$M$48,[1]对照表!$P$27:$P$48)))))</f>
        <v>80</v>
      </c>
      <c r="L562" s="21">
        <v>44</v>
      </c>
      <c r="M562" s="32">
        <f>IF(B562="高三",IF($E562="男",LOOKUP(L562,[1]对照表!$S$3:$S$24,[1]对照表!$T$3:$T$24),LOOKUP(L562,[1]对照表!$S$27:$S$48,[1]对照表!$T$27:$T$48)),IF(B562="高二",IF($E562="男",LOOKUP(L562,[1]对照表!$R$3:$R$24,[1]对照表!$T$3:$T$24),LOOKUP(L562,[1]对照表!$R$27:$R$48,[1]对照表!$T$27:$T$48)),IF(B562="高一",IF($E562="男",LOOKUP(L562,[1]对照表!$Q$3:$Q$24,[1]对照表!$T$3:$T$24),LOOKUP(L562,[1]对照表!$Q$27:$Q$48,[1]对照表!$T$27:$T$48)))))</f>
        <v>80</v>
      </c>
      <c r="N562" s="33">
        <f>IF(B562="高三",MAX(IF(E562="男",L562-18,L562-55),0),IF(B562="高二",MAX(IF(E562="男",L562-17,L562-54),0),IF(B562="高一",MAX(IF(E562="男",L562-16,L562-53),0))))</f>
        <v>0</v>
      </c>
      <c r="O562" s="23">
        <f>IF(E562="男",LOOKUP($N562,[1]对照表!$Z$3:$Z$13,[1]对照表!$AA$3:$AA$13),LOOKUP($N562,[1]对照表!$Z$15:$Z$25,[1]对照表!$AA$15:$AA$25))</f>
        <v>0</v>
      </c>
      <c r="P562" s="24">
        <f>M562+O562</f>
        <v>80</v>
      </c>
      <c r="Q562" s="25">
        <v>3.41</v>
      </c>
      <c r="R562" s="32">
        <f>IF(B562="高三",IF($E562="男",LOOKUP(Q562,[1]对照表!$W$3:$W$24,[1]对照表!$X$3:$X$24),LOOKUP(Q562,[1]对照表!$W$27:$W$48,[1]对照表!$X$27:$X$48)),IF(B562="高二",IF($E562="男",LOOKUP(Q562,[1]对照表!$V$3:$V$24,[1]对照表!$X$3:$X$24),LOOKUP(Q562,[1]对照表!$V$27:$V$48,[1]对照表!$X$27:$X$48)),IF(B562="高一",IF($E562="男",LOOKUP(Q562,[1]对照表!$U$3:$U$24,[1]对照表!$X$3:$X$24),LOOKUP(Q562,[1]对照表!$U$27:$U$48,[1]对照表!$X$27:$X$48)))))</f>
        <v>85</v>
      </c>
      <c r="S562" s="33">
        <f>ROUND(IF(IF($B562="高三",MIN(IF($E562="男",$Q562-3.2,$Q562-3.2),0),IF($B562="高二",MIN(IF($E562="男",$Q562-3.25,$Q562-3.22),0),IF($B562="高一",MIN(IF($E562="男",$Q562-3.3,$Q562-3.24),0))))&lt;-0.6,IF($B562="高三",MIN(IF($E562="男",$Q562-3.2,$Q562-3.2),0),IF($B562="高二",MIN(IF($E562="男",$Q562-3.25,$Q562-3.22),0),IF($B562="高一",MIN(IF($E562="男",$Q562-3.3,$Q562-3.24),0))))+0.4,IF($B562="高三",MIN(IF($E562="男",$Q562-3.2,$Q562-3.2),0),IF($B562="高二",MIN(IF($E562="男",$Q562-3.25,$Q562-3.22),0),IF($B562="高一",MIN(IF($E562="男",$Q562-3.3,$Q562-3.24),0))))),2)</f>
        <v>0</v>
      </c>
      <c r="T562" s="23">
        <f>IF(E562="男",LOOKUP($S562,[1]对照表!$AB$3:$AB$13,[1]对照表!$AC$3:$AC$13),LOOKUP($S562,[1]对照表!$AB$15:$AB$25,[1]对照表!$AC$15:$AC$25))</f>
        <v>0</v>
      </c>
      <c r="U562" s="26">
        <f>R562+T562</f>
        <v>85</v>
      </c>
      <c r="V562" s="26">
        <f>SUM(I562,K562,M562)/3*0.3+SUM(G562,R562)/2*0.4</f>
        <v>55.400000000000006</v>
      </c>
      <c r="W562" s="27">
        <f>O562+T562</f>
        <v>0</v>
      </c>
      <c r="X562" s="28">
        <f>V562/0.7+W562</f>
        <v>79.142857142857153</v>
      </c>
      <c r="Y562" s="28">
        <v>79.142857142857153</v>
      </c>
      <c r="Z562" s="21"/>
    </row>
    <row r="563" spans="1:26" x14ac:dyDescent="0.25">
      <c r="A563" s="16">
        <v>29</v>
      </c>
      <c r="B563" s="17" t="s">
        <v>21</v>
      </c>
      <c r="C563" s="16">
        <v>113</v>
      </c>
      <c r="D563" s="18" t="s">
        <v>489</v>
      </c>
      <c r="E563" s="17" t="s">
        <v>65</v>
      </c>
      <c r="F563" s="19">
        <v>9.6</v>
      </c>
      <c r="G563" s="32">
        <f>IF(B563="高三",IF($E563="男",LOOKUP(F563,[1]对照表!$G$3:$G$24,[1]对照表!$H$3:$H$24),LOOKUP(F563,[1]对照表!$G$27:$G$48,[1]对照表!$H$27:$H$48)),IF(B563="高二",IF($E563="男",LOOKUP(F563,[1]对照表!$F$3:$F$24,[1]对照表!$H$3:$H$24),LOOKUP(F563,[1]对照表!$F$27:$F$48,[1]对照表!$H$27:$H$48)),IF(B563="高一",IF($E563="男",LOOKUP(F563,[1]对照表!$E$3:$E$24,[1]对照表!$H$3:$H$24),LOOKUP(F563,[1]对照表!$E$27:$E$48,[1]对照表!$H$27:$H$48)))))</f>
        <v>70</v>
      </c>
      <c r="H563" s="21">
        <v>22</v>
      </c>
      <c r="I563" s="32">
        <f>IF(B563="高三",IF($E563="男",LOOKUP(H563,[1]对照表!$K$3:$K$24,[1]对照表!$L$3:$L$24),LOOKUP(H563,[1]对照表!$K$27:$K$48,[1]对照表!$L$27:$L$48)),IF(B563="高二",IF($E563="男",LOOKUP(H563,[1]对照表!$J$3:$J$24,[1]对照表!$L$3:$L$24),LOOKUP(H563,[1]对照表!$J$27:$J$48,[1]对照表!$L$27:$L$48)),IF(B563="高一",IF($E563="男",LOOKUP(H563,[1]对照表!$I$3:$I$24,[1]对照表!$L$3:$L$24),LOOKUP(H563,[1]对照表!$I$27:$I$48,[1]对照表!$L$27:$L$48)))))</f>
        <v>90</v>
      </c>
      <c r="J563" s="21">
        <v>175</v>
      </c>
      <c r="K563" s="32">
        <f>IF(B563="高三",IF($E563="男",LOOKUP(J563,[1]对照表!$O$3:$O$24,[1]对照表!$P$3:$P$24),LOOKUP(J563,[1]对照表!$O$27:$O$48,[1]对照表!$P$27:$P$48)),IF(B563="高二",IF($E563="男",LOOKUP(J563,[1]对照表!$N$3:$N$24,[1]对照表!$P$3:$P$24),LOOKUP(J563,[1]对照表!$N$27:$N$48,[1]对照表!$P$27:$P$48)),IF(B563="高一",IF($E563="男",LOOKUP(J563,[1]对照表!$M$3:$M$24,[1]对照表!$P$3:$P$24),LOOKUP(J563,[1]对照表!$M$27:$M$48,[1]对照表!$P$27:$P$48)))))</f>
        <v>78</v>
      </c>
      <c r="L563" s="21">
        <v>52</v>
      </c>
      <c r="M563" s="32">
        <f>IF(B563="高三",IF($E563="男",LOOKUP(L563,[1]对照表!$S$3:$S$24,[1]对照表!$T$3:$T$24),LOOKUP(L563,[1]对照表!$S$27:$S$48,[1]对照表!$T$27:$T$48)),IF(B563="高二",IF($E563="男",LOOKUP(L563,[1]对照表!$R$3:$R$24,[1]对照表!$T$3:$T$24),LOOKUP(L563,[1]对照表!$R$27:$R$48,[1]对照表!$T$27:$T$48)),IF(B563="高一",IF($E563="男",LOOKUP(L563,[1]对照表!$Q$3:$Q$24,[1]对照表!$T$3:$T$24),LOOKUP(L563,[1]对照表!$Q$27:$Q$48,[1]对照表!$T$27:$T$48)))))</f>
        <v>95</v>
      </c>
      <c r="N563" s="33">
        <f>IF(B563="高三",MAX(IF(E563="男",L563-18,L563-55),0),IF(B563="高二",MAX(IF(E563="男",L563-17,L563-54),0),IF(B563="高一",MAX(IF(E563="男",L563-16,L563-53),0))))</f>
        <v>0</v>
      </c>
      <c r="O563" s="23">
        <f>IF(E563="男",LOOKUP($N563,[1]对照表!$Z$3:$Z$13,[1]对照表!$AA$3:$AA$13),LOOKUP($N563,[1]对照表!$Z$15:$Z$25,[1]对照表!$AA$15:$AA$25))</f>
        <v>0</v>
      </c>
      <c r="P563" s="24">
        <f>M563+O563</f>
        <v>95</v>
      </c>
      <c r="Q563" s="25">
        <v>3.41</v>
      </c>
      <c r="R563" s="32">
        <f>IF(B563="高三",IF($E563="男",LOOKUP(Q563,[1]对照表!$W$3:$W$24,[1]对照表!$X$3:$X$24),LOOKUP(Q563,[1]对照表!$W$27:$W$48,[1]对照表!$X$27:$X$48)),IF(B563="高二",IF($E563="男",LOOKUP(Q563,[1]对照表!$V$3:$V$24,[1]对照表!$X$3:$X$24),LOOKUP(Q563,[1]对照表!$V$27:$V$48,[1]对照表!$X$27:$X$48)),IF(B563="高一",IF($E563="男",LOOKUP(Q563,[1]对照表!$U$3:$U$24,[1]对照表!$X$3:$X$24),LOOKUP(Q563,[1]对照表!$U$27:$U$48,[1]对照表!$X$27:$X$48)))))</f>
        <v>85</v>
      </c>
      <c r="S563" s="33">
        <f>ROUND(IF(IF($B563="高三",MIN(IF($E563="男",$Q563-3.2,$Q563-3.2),0),IF($B563="高二",MIN(IF($E563="男",$Q563-3.25,$Q563-3.22),0),IF($B563="高一",MIN(IF($E563="男",$Q563-3.3,$Q563-3.24),0))))&lt;-0.6,IF($B563="高三",MIN(IF($E563="男",$Q563-3.2,$Q563-3.2),0),IF($B563="高二",MIN(IF($E563="男",$Q563-3.25,$Q563-3.22),0),IF($B563="高一",MIN(IF($E563="男",$Q563-3.3,$Q563-3.24),0))))+0.4,IF($B563="高三",MIN(IF($E563="男",$Q563-3.2,$Q563-3.2),0),IF($B563="高二",MIN(IF($E563="男",$Q563-3.25,$Q563-3.22),0),IF($B563="高一",MIN(IF($E563="男",$Q563-3.3,$Q563-3.24),0))))),2)</f>
        <v>0</v>
      </c>
      <c r="T563" s="23">
        <f>IF(E563="男",LOOKUP($S563,[1]对照表!$AB$3:$AB$13,[1]对照表!$AC$3:$AC$13),LOOKUP($S563,[1]对照表!$AB$15:$AB$25,[1]对照表!$AC$15:$AC$25))</f>
        <v>0</v>
      </c>
      <c r="U563" s="26">
        <f>R563+T563</f>
        <v>85</v>
      </c>
      <c r="V563" s="26">
        <f>SUM(I563,K563,M563)/3*0.3+SUM(G563,R563)/2*0.4</f>
        <v>57.3</v>
      </c>
      <c r="W563" s="27">
        <f>O563+T563</f>
        <v>0</v>
      </c>
      <c r="X563" s="28">
        <f>V563/0.7+W563</f>
        <v>81.857142857142861</v>
      </c>
      <c r="Y563" s="28">
        <v>81.857142857142861</v>
      </c>
      <c r="Z563" s="21"/>
    </row>
    <row r="564" spans="1:26" x14ac:dyDescent="0.25">
      <c r="A564" s="16">
        <v>32</v>
      </c>
      <c r="B564" s="17" t="s">
        <v>21</v>
      </c>
      <c r="C564" s="16">
        <v>113</v>
      </c>
      <c r="D564" s="18" t="s">
        <v>494</v>
      </c>
      <c r="E564" s="17" t="s">
        <v>65</v>
      </c>
      <c r="F564" s="19">
        <v>9.1999999999999993</v>
      </c>
      <c r="G564" s="32">
        <f>IF(B564="高三",IF($E564="男",LOOKUP(F564,[1]对照表!$G$3:$G$24,[1]对照表!$H$3:$H$24),LOOKUP(F564,[1]对照表!$G$27:$G$48,[1]对照表!$H$27:$H$48)),IF(B564="高二",IF($E564="男",LOOKUP(F564,[1]对照表!$F$3:$F$24,[1]对照表!$H$3:$H$24),LOOKUP(F564,[1]对照表!$F$27:$F$48,[1]对照表!$H$27:$H$48)),IF(B564="高一",IF($E564="男",LOOKUP(F564,[1]对照表!$E$3:$E$24,[1]对照表!$H$3:$H$24),LOOKUP(F564,[1]对照表!$E$27:$E$48,[1]对照表!$H$27:$H$48)))))</f>
        <v>74</v>
      </c>
      <c r="H564" s="21">
        <v>18</v>
      </c>
      <c r="I564" s="32">
        <f>IF(B564="高三",IF($E564="男",LOOKUP(H564,[1]对照表!$K$3:$K$24,[1]对照表!$L$3:$L$24),LOOKUP(H564,[1]对照表!$K$27:$K$48,[1]对照表!$L$27:$L$48)),IF(B564="高二",IF($E564="男",LOOKUP(H564,[1]对照表!$J$3:$J$24,[1]对照表!$L$3:$L$24),LOOKUP(H564,[1]对照表!$J$27:$J$48,[1]对照表!$L$27:$L$48)),IF(B564="高一",IF($E564="男",LOOKUP(H564,[1]对照表!$I$3:$I$24,[1]对照表!$L$3:$L$24),LOOKUP(H564,[1]对照表!$I$27:$I$48,[1]对照表!$L$27:$L$48)))))</f>
        <v>80</v>
      </c>
      <c r="J564" s="21">
        <v>168</v>
      </c>
      <c r="K564" s="32">
        <f>IF(B564="高三",IF($E564="男",LOOKUP(J564,[1]对照表!$O$3:$O$24,[1]对照表!$P$3:$P$24),LOOKUP(J564,[1]对照表!$O$27:$O$48,[1]对照表!$P$27:$P$48)),IF(B564="高二",IF($E564="男",LOOKUP(J564,[1]对照表!$N$3:$N$24,[1]对照表!$P$3:$P$24),LOOKUP(J564,[1]对照表!$N$27:$N$48,[1]对照表!$P$27:$P$48)),IF(B564="高一",IF($E564="男",LOOKUP(J564,[1]对照表!$M$3:$M$24,[1]对照表!$P$3:$P$24),LOOKUP(J564,[1]对照表!$M$27:$M$48,[1]对照表!$P$27:$P$48)))))</f>
        <v>72</v>
      </c>
      <c r="L564" s="21">
        <v>54</v>
      </c>
      <c r="M564" s="32">
        <f>IF(B564="高三",IF($E564="男",LOOKUP(L564,[1]对照表!$S$3:$S$24,[1]对照表!$T$3:$T$24),LOOKUP(L564,[1]对照表!$S$27:$S$48,[1]对照表!$T$27:$T$48)),IF(B564="高二",IF($E564="男",LOOKUP(L564,[1]对照表!$R$3:$R$24,[1]对照表!$T$3:$T$24),LOOKUP(L564,[1]对照表!$R$27:$R$48,[1]对照表!$T$27:$T$48)),IF(B564="高一",IF($E564="男",LOOKUP(L564,[1]对照表!$Q$3:$Q$24,[1]对照表!$T$3:$T$24),LOOKUP(L564,[1]对照表!$Q$27:$Q$48,[1]对照表!$T$27:$T$48)))))</f>
        <v>100</v>
      </c>
      <c r="N564" s="33">
        <f>IF(B564="高三",MAX(IF(E564="男",L564-18,L564-55),0),IF(B564="高二",MAX(IF(E564="男",L564-17,L564-54),0),IF(B564="高一",MAX(IF(E564="男",L564-16,L564-53),0))))</f>
        <v>1</v>
      </c>
      <c r="O564" s="23">
        <f>IF(E564="男",LOOKUP($N564,[1]对照表!$Z$3:$Z$13,[1]对照表!$AA$3:$AA$13),LOOKUP($N564,[1]对照表!$Z$15:$Z$25,[1]对照表!$AA$15:$AA$25))</f>
        <v>0</v>
      </c>
      <c r="P564" s="24">
        <f>M564+O564</f>
        <v>100</v>
      </c>
      <c r="Q564" s="25">
        <v>3.43</v>
      </c>
      <c r="R564" s="32">
        <f>IF(B564="高三",IF($E564="男",LOOKUP(Q564,[1]对照表!$W$3:$W$24,[1]对照表!$X$3:$X$24),LOOKUP(Q564,[1]对照表!$W$27:$W$48,[1]对照表!$X$27:$X$48)),IF(B564="高二",IF($E564="男",LOOKUP(Q564,[1]对照表!$V$3:$V$24,[1]对照表!$X$3:$X$24),LOOKUP(Q564,[1]对照表!$V$27:$V$48,[1]对照表!$X$27:$X$48)),IF(B564="高一",IF($E564="男",LOOKUP(Q564,[1]对照表!$U$3:$U$24,[1]对照表!$X$3:$X$24),LOOKUP(Q564,[1]对照表!$U$27:$U$48,[1]对照表!$X$27:$X$48)))))</f>
        <v>85</v>
      </c>
      <c r="S564" s="33">
        <f>ROUND(IF(IF($B564="高三",MIN(IF($E564="男",$Q564-3.2,$Q564-3.2),0),IF($B564="高二",MIN(IF($E564="男",$Q564-3.25,$Q564-3.22),0),IF($B564="高一",MIN(IF($E564="男",$Q564-3.3,$Q564-3.24),0))))&lt;-0.6,IF($B564="高三",MIN(IF($E564="男",$Q564-3.2,$Q564-3.2),0),IF($B564="高二",MIN(IF($E564="男",$Q564-3.25,$Q564-3.22),0),IF($B564="高一",MIN(IF($E564="男",$Q564-3.3,$Q564-3.24),0))))+0.4,IF($B564="高三",MIN(IF($E564="男",$Q564-3.2,$Q564-3.2),0),IF($B564="高二",MIN(IF($E564="男",$Q564-3.25,$Q564-3.22),0),IF($B564="高一",MIN(IF($E564="男",$Q564-3.3,$Q564-3.24),0))))),2)</f>
        <v>0</v>
      </c>
      <c r="T564" s="23">
        <f>IF(E564="男",LOOKUP($S564,[1]对照表!$AB$3:$AB$13,[1]对照表!$AC$3:$AC$13),LOOKUP($S564,[1]对照表!$AB$15:$AB$25,[1]对照表!$AC$15:$AC$25))</f>
        <v>0</v>
      </c>
      <c r="U564" s="26">
        <f>R564+T564</f>
        <v>85</v>
      </c>
      <c r="V564" s="26">
        <f>SUM(I564,K564,M564)/3*0.3+SUM(G564,R564)/2*0.4</f>
        <v>57</v>
      </c>
      <c r="W564" s="27">
        <f>O564+T564</f>
        <v>0</v>
      </c>
      <c r="X564" s="28">
        <f>V564/0.7+W564</f>
        <v>81.428571428571431</v>
      </c>
      <c r="Y564" s="28">
        <v>81.428571428571431</v>
      </c>
      <c r="Z564" s="21"/>
    </row>
    <row r="565" spans="1:26" x14ac:dyDescent="0.25">
      <c r="A565" s="16">
        <v>44</v>
      </c>
      <c r="B565" s="17" t="s">
        <v>21</v>
      </c>
      <c r="C565" s="16">
        <v>113</v>
      </c>
      <c r="D565" s="18" t="s">
        <v>500</v>
      </c>
      <c r="E565" s="17" t="s">
        <v>65</v>
      </c>
      <c r="F565" s="19">
        <v>8.52</v>
      </c>
      <c r="G565" s="32">
        <f>IF(B565="高三",IF($E565="男",LOOKUP(F565,[1]对照表!$G$3:$G$24,[1]对照表!$H$3:$H$24),LOOKUP(F565,[1]对照表!$G$27:$G$48,[1]对照表!$H$27:$H$48)),IF(B565="高二",IF($E565="男",LOOKUP(F565,[1]对照表!$F$3:$F$24,[1]对照表!$H$3:$H$24),LOOKUP(F565,[1]对照表!$F$27:$F$48,[1]对照表!$H$27:$H$48)),IF(B565="高一",IF($E565="男",LOOKUP(F565,[1]对照表!$E$3:$E$24,[1]对照表!$H$3:$H$24),LOOKUP(F565,[1]对照表!$E$27:$E$48,[1]对照表!$H$27:$H$48)))))</f>
        <v>80</v>
      </c>
      <c r="H565" s="21">
        <v>23</v>
      </c>
      <c r="I565" s="32">
        <f>IF(B565="高三",IF($E565="男",LOOKUP(H565,[1]对照表!$K$3:$K$24,[1]对照表!$L$3:$L$24),LOOKUP(H565,[1]对照表!$K$27:$K$48,[1]对照表!$L$27:$L$48)),IF(B565="高二",IF($E565="男",LOOKUP(H565,[1]对照表!$J$3:$J$24,[1]对照表!$L$3:$L$24),LOOKUP(H565,[1]对照表!$J$27:$J$48,[1]对照表!$L$27:$L$48)),IF(B565="高一",IF($E565="男",LOOKUP(H565,[1]对照表!$I$3:$I$24,[1]对照表!$L$3:$L$24),LOOKUP(H565,[1]对照表!$I$27:$I$48,[1]对照表!$L$27:$L$48)))))</f>
        <v>95</v>
      </c>
      <c r="J565" s="21">
        <v>195</v>
      </c>
      <c r="K565" s="32">
        <f>IF(B565="高三",IF($E565="男",LOOKUP(J565,[1]对照表!$O$3:$O$24,[1]对照表!$P$3:$P$24),LOOKUP(J565,[1]对照表!$O$27:$O$48,[1]对照表!$P$27:$P$48)),IF(B565="高二",IF($E565="男",LOOKUP(J565,[1]对照表!$N$3:$N$24,[1]对照表!$P$3:$P$24),LOOKUP(J565,[1]对照表!$N$27:$N$48,[1]对照表!$P$27:$P$48)),IF(B565="高一",IF($E565="男",LOOKUP(J565,[1]对照表!$M$3:$M$24,[1]对照表!$P$3:$P$24),LOOKUP(J565,[1]对照表!$M$27:$M$48,[1]对照表!$P$27:$P$48)))))</f>
        <v>90</v>
      </c>
      <c r="L565" s="21">
        <v>46</v>
      </c>
      <c r="M565" s="32">
        <f>IF(B565="高三",IF($E565="男",LOOKUP(L565,[1]对照表!$S$3:$S$24,[1]对照表!$T$3:$T$24),LOOKUP(L565,[1]对照表!$S$27:$S$48,[1]对照表!$T$27:$T$48)),IF(B565="高二",IF($E565="男",LOOKUP(L565,[1]对照表!$R$3:$R$24,[1]对照表!$T$3:$T$24),LOOKUP(L565,[1]对照表!$R$27:$R$48,[1]对照表!$T$27:$T$48)),IF(B565="高一",IF($E565="男",LOOKUP(L565,[1]对照表!$Q$3:$Q$24,[1]对照表!$T$3:$T$24),LOOKUP(L565,[1]对照表!$Q$27:$Q$48,[1]对照表!$T$27:$T$48)))))</f>
        <v>85</v>
      </c>
      <c r="N565" s="27">
        <f>IF(B565="高三",MAX(IF(E565="男",L565-18,L565-55),0),IF(B565="高二",MAX(IF(E565="男",L565-17,L565-54),0),IF(B565="高一",MAX(IF(E565="男",L565-16,L565-53),0))))</f>
        <v>0</v>
      </c>
      <c r="O565" s="23">
        <f>IF(E565="男",LOOKUP($N565,[1]对照表!$Z$3:$Z$13,[1]对照表!$AA$3:$AA$13),LOOKUP($N565,[1]对照表!$Z$15:$Z$25,[1]对照表!$AA$15:$AA$25))</f>
        <v>0</v>
      </c>
      <c r="P565" s="24">
        <f>M565+O565</f>
        <v>85</v>
      </c>
      <c r="Q565" s="25">
        <v>3.44</v>
      </c>
      <c r="R565" s="32">
        <f>IF(B565="高三",IF($E565="男",LOOKUP(Q565,[1]对照表!$W$3:$W$24,[1]对照表!$X$3:$X$24),LOOKUP(Q565,[1]对照表!$W$27:$W$48,[1]对照表!$X$27:$X$48)),IF(B565="高二",IF($E565="男",LOOKUP(Q565,[1]对照表!$V$3:$V$24,[1]对照表!$X$3:$X$24),LOOKUP(Q565,[1]对照表!$V$27:$V$48,[1]对照表!$X$27:$X$48)),IF(B565="高一",IF($E565="男",LOOKUP(Q565,[1]对照表!$U$3:$U$24,[1]对照表!$X$3:$X$24),LOOKUP(Q565,[1]对照表!$U$27:$U$48,[1]对照表!$X$27:$X$48)))))</f>
        <v>80</v>
      </c>
      <c r="S565" s="27">
        <f>ROUND(IF(IF($B565="高三",MIN(IF($E565="男",$Q565-3.2,$Q565-3.2),0),IF($B565="高二",MIN(IF($E565="男",$Q565-3.25,$Q565-3.22),0),IF($B565="高一",MIN(IF($E565="男",$Q565-3.3,$Q565-3.24),0))))&lt;-0.6,IF($B565="高三",MIN(IF($E565="男",$Q565-3.2,$Q565-3.2),0),IF($B565="高二",MIN(IF($E565="男",$Q565-3.25,$Q565-3.22),0),IF($B565="高一",MIN(IF($E565="男",$Q565-3.3,$Q565-3.24),0))))+0.4,IF($B565="高三",MIN(IF($E565="男",$Q565-3.2,$Q565-3.2),0),IF($B565="高二",MIN(IF($E565="男",$Q565-3.25,$Q565-3.22),0),IF($B565="高一",MIN(IF($E565="男",$Q565-3.3,$Q565-3.24),0))))),2)</f>
        <v>0</v>
      </c>
      <c r="T565" s="23">
        <f>IF(E565="男",LOOKUP($S565,[1]对照表!$AB$3:$AB$13,[1]对照表!$AC$3:$AC$13),LOOKUP($S565,[1]对照表!$AB$15:$AB$25,[1]对照表!$AC$15:$AC$25))</f>
        <v>0</v>
      </c>
      <c r="U565" s="26">
        <f>R565+T565</f>
        <v>80</v>
      </c>
      <c r="V565" s="26">
        <f>SUM(I565,K565,M565)/3*0.3+SUM(G565,R565)/2*0.4</f>
        <v>59</v>
      </c>
      <c r="W565" s="27">
        <f>O565+T565</f>
        <v>0</v>
      </c>
      <c r="X565" s="28">
        <f>V565/0.7+W565</f>
        <v>84.285714285714292</v>
      </c>
      <c r="Y565" s="28">
        <v>84.285714285714292</v>
      </c>
      <c r="Z565" s="21"/>
    </row>
    <row r="566" spans="1:26" x14ac:dyDescent="0.25">
      <c r="A566" s="16">
        <v>18</v>
      </c>
      <c r="B566" s="17" t="s">
        <v>21</v>
      </c>
      <c r="C566" s="16">
        <v>113</v>
      </c>
      <c r="D566" s="18" t="s">
        <v>518</v>
      </c>
      <c r="E566" s="16" t="s">
        <v>23</v>
      </c>
      <c r="F566" s="19">
        <v>8.1</v>
      </c>
      <c r="G566" s="32">
        <f>IF(B566="高三",IF($E566="男",LOOKUP(F566,[1]对照表!$G$3:$G$24,[1]对照表!$H$3:$H$24),LOOKUP(F566,[1]对照表!$G$27:$G$48,[1]对照表!$H$27:$H$48)),IF(B566="高二",IF($E566="男",LOOKUP(F566,[1]对照表!$F$3:$F$24,[1]对照表!$H$3:$H$24),LOOKUP(F566,[1]对照表!$F$27:$F$48,[1]对照表!$H$27:$H$48)),IF(B566="高一",IF($E566="男",LOOKUP(F566,[1]对照表!$E$3:$E$24,[1]对照表!$H$3:$H$24),LOOKUP(F566,[1]对照表!$E$27:$E$48,[1]对照表!$H$27:$H$48)))))</f>
        <v>74</v>
      </c>
      <c r="H566" s="21">
        <v>8.1</v>
      </c>
      <c r="I566" s="32">
        <f>IF(B566="高三",IF($E566="男",LOOKUP(H566,[1]对照表!$K$3:$K$24,[1]对照表!$L$3:$L$24),LOOKUP(H566,[1]对照表!$K$27:$K$48,[1]对照表!$L$27:$L$48)),IF(B566="高二",IF($E566="男",LOOKUP(H566,[1]对照表!$J$3:$J$24,[1]对照表!$L$3:$L$24),LOOKUP(H566,[1]对照表!$J$27:$J$48,[1]对照表!$L$27:$L$48)),IF(B566="高一",IF($E566="男",LOOKUP(H566,[1]对照表!$I$3:$I$24,[1]对照表!$L$3:$L$24),LOOKUP(H566,[1]对照表!$I$27:$I$48,[1]对照表!$L$27:$L$48)))))</f>
        <v>70</v>
      </c>
      <c r="J566" s="21">
        <v>197</v>
      </c>
      <c r="K566" s="32">
        <f>IF(B566="高三",IF($E566="男",LOOKUP(J566,[1]对照表!$O$3:$O$24,[1]对照表!$P$3:$P$24),LOOKUP(J566,[1]对照表!$O$27:$O$48,[1]对照表!$P$27:$P$48)),IF(B566="高二",IF($E566="男",LOOKUP(J566,[1]对照表!$N$3:$N$24,[1]对照表!$P$3:$P$24),LOOKUP(J566,[1]对照表!$N$27:$N$48,[1]对照表!$P$27:$P$48)),IF(B566="高一",IF($E566="男",LOOKUP(J566,[1]对照表!$M$3:$M$24,[1]对照表!$P$3:$P$24),LOOKUP(J566,[1]对照表!$M$27:$M$48,[1]对照表!$P$27:$P$48)))))</f>
        <v>60</v>
      </c>
      <c r="L566" s="21">
        <v>7</v>
      </c>
      <c r="M566" s="32">
        <f>IF(B566="高三",IF($E566="男",LOOKUP(L566,[1]对照表!$S$3:$S$24,[1]对照表!$T$3:$T$24),LOOKUP(L566,[1]对照表!$S$27:$S$48,[1]对照表!$T$27:$T$48)),IF(B566="高二",IF($E566="男",LOOKUP(L566,[1]对照表!$R$3:$R$24,[1]对照表!$T$3:$T$24),LOOKUP(L566,[1]对照表!$R$27:$R$48,[1]对照表!$T$27:$T$48)),IF(B566="高一",IF($E566="男",LOOKUP(L566,[1]对照表!$Q$3:$Q$24,[1]对照表!$T$3:$T$24),LOOKUP(L566,[1]对照表!$Q$27:$Q$48,[1]对照表!$T$27:$T$48)))))</f>
        <v>60</v>
      </c>
      <c r="N566" s="33">
        <f>IF(B566="高三",MAX(IF(E566="男",L566-18,L566-55),0),IF(B566="高二",MAX(IF(E566="男",L566-17,L566-54),0),IF(B566="高一",MAX(IF(E566="男",L566-16,L566-53),0))))</f>
        <v>0</v>
      </c>
      <c r="O566" s="23">
        <f>IF(E566="男",LOOKUP($N566,[1]对照表!$Z$3:$Z$13,[1]对照表!$AA$3:$AA$13),LOOKUP($N566,[1]对照表!$Z$15:$Z$25,[1]对照表!$AA$15:$AA$25))</f>
        <v>0</v>
      </c>
      <c r="P566" s="24">
        <f>M566+O566</f>
        <v>60</v>
      </c>
      <c r="Q566" s="25">
        <v>4.08</v>
      </c>
      <c r="R566" s="32">
        <f>IF(B566="高三",IF($E566="男",LOOKUP(Q566,[1]对照表!$W$3:$W$24,[1]对照表!$X$3:$X$24),LOOKUP(Q566,[1]对照表!$W$27:$W$48,[1]对照表!$X$27:$X$48)),IF(B566="高二",IF($E566="男",LOOKUP(Q566,[1]对照表!$V$3:$V$24,[1]对照表!$X$3:$X$24),LOOKUP(Q566,[1]对照表!$V$27:$V$48,[1]对照表!$X$27:$X$48)),IF(B566="高一",IF($E566="男",LOOKUP(Q566,[1]对照表!$U$3:$U$24,[1]对照表!$X$3:$X$24),LOOKUP(Q566,[1]对照表!$U$27:$U$48,[1]对照表!$X$27:$X$48)))))</f>
        <v>74</v>
      </c>
      <c r="S566" s="33">
        <f>ROUND(IF(IF($B566="高三",MIN(IF($E566="男",$Q566-3.2,$Q566-3.2),0),IF($B566="高二",MIN(IF($E566="男",$Q566-3.25,$Q566-3.22),0),IF($B566="高一",MIN(IF($E566="男",$Q566-3.3,$Q566-3.24),0))))&lt;-0.6,IF($B566="高三",MIN(IF($E566="男",$Q566-3.2,$Q566-3.2),0),IF($B566="高二",MIN(IF($E566="男",$Q566-3.25,$Q566-3.22),0),IF($B566="高一",MIN(IF($E566="男",$Q566-3.3,$Q566-3.24),0))))+0.4,IF($B566="高三",MIN(IF($E566="男",$Q566-3.2,$Q566-3.2),0),IF($B566="高二",MIN(IF($E566="男",$Q566-3.25,$Q566-3.22),0),IF($B566="高一",MIN(IF($E566="男",$Q566-3.3,$Q566-3.24),0))))),2)</f>
        <v>0</v>
      </c>
      <c r="T566" s="23">
        <f>IF(E566="男",LOOKUP($S566,[1]对照表!$AB$3:$AB$13,[1]对照表!$AC$3:$AC$13),LOOKUP($S566,[1]对照表!$AB$15:$AB$25,[1]对照表!$AC$15:$AC$25))</f>
        <v>0</v>
      </c>
      <c r="U566" s="26">
        <f>R566+T566</f>
        <v>74</v>
      </c>
      <c r="V566" s="26">
        <f>SUM(I566,K566,M566)/3*0.3+SUM(G566,R566)/2*0.4</f>
        <v>48.6</v>
      </c>
      <c r="W566" s="27">
        <f>O566+T566</f>
        <v>0</v>
      </c>
      <c r="X566" s="28">
        <f>V566/0.7+W566</f>
        <v>69.428571428571431</v>
      </c>
      <c r="Y566" s="28">
        <v>69.428571428571431</v>
      </c>
      <c r="Z566" s="21"/>
    </row>
    <row r="567" spans="1:26" x14ac:dyDescent="0.25">
      <c r="A567" s="16">
        <v>2</v>
      </c>
      <c r="B567" s="17" t="s">
        <v>21</v>
      </c>
      <c r="C567" s="16">
        <v>113</v>
      </c>
      <c r="D567" s="18" t="s">
        <v>526</v>
      </c>
      <c r="E567" s="16" t="s">
        <v>23</v>
      </c>
      <c r="F567" s="19">
        <v>7.7</v>
      </c>
      <c r="G567" s="32">
        <f>IF(B567="高三",IF($E567="男",LOOKUP(F567,[1]对照表!$G$3:$G$24,[1]对照表!$H$3:$H$24),LOOKUP(F567,[1]对照表!$G$27:$G$48,[1]对照表!$H$27:$H$48)),IF(B567="高二",IF($E567="男",LOOKUP(F567,[1]对照表!$F$3:$F$24,[1]对照表!$H$3:$H$24),LOOKUP(F567,[1]对照表!$F$27:$F$48,[1]对照表!$H$27:$H$48)),IF(B567="高一",IF($E567="男",LOOKUP(F567,[1]对照表!$E$3:$E$24,[1]对照表!$H$3:$H$24),LOOKUP(F567,[1]对照表!$E$27:$E$48,[1]对照表!$H$27:$H$48)))))</f>
        <v>78</v>
      </c>
      <c r="H567" s="21">
        <v>22</v>
      </c>
      <c r="I567" s="32">
        <f>IF(B567="高三",IF($E567="男",LOOKUP(H567,[1]对照表!$K$3:$K$24,[1]对照表!$L$3:$L$24),LOOKUP(H567,[1]对照表!$K$27:$K$48,[1]对照表!$L$27:$L$48)),IF(B567="高二",IF($E567="男",LOOKUP(H567,[1]对照表!$J$3:$J$24,[1]对照表!$L$3:$L$24),LOOKUP(H567,[1]对照表!$J$27:$J$48,[1]对照表!$L$27:$L$48)),IF(B567="高一",IF($E567="男",LOOKUP(H567,[1]对照表!$I$3:$I$24,[1]对照表!$L$3:$L$24),LOOKUP(H567,[1]对照表!$I$27:$I$48,[1]对照表!$L$27:$L$48)))))</f>
        <v>95</v>
      </c>
      <c r="J567" s="21">
        <v>227</v>
      </c>
      <c r="K567" s="32">
        <f>IF(B567="高三",IF($E567="男",LOOKUP(J567,[1]对照表!$O$3:$O$24,[1]对照表!$P$3:$P$24),LOOKUP(J567,[1]对照表!$O$27:$O$48,[1]对照表!$P$27:$P$48)),IF(B567="高二",IF($E567="男",LOOKUP(J567,[1]对照表!$N$3:$N$24,[1]对照表!$P$3:$P$24),LOOKUP(J567,[1]对照表!$N$27:$N$48,[1]对照表!$P$27:$P$48)),IF(B567="高一",IF($E567="男",LOOKUP(J567,[1]对照表!$M$3:$M$24,[1]对照表!$P$3:$P$24),LOOKUP(J567,[1]对照表!$M$27:$M$48,[1]对照表!$P$27:$P$48)))))</f>
        <v>76</v>
      </c>
      <c r="L567" s="21">
        <v>1</v>
      </c>
      <c r="M567" s="32">
        <f>IF(B567="高三",IF($E567="男",LOOKUP(L567,[1]对照表!$S$3:$S$24,[1]对照表!$T$3:$T$24),LOOKUP(L567,[1]对照表!$S$27:$S$48,[1]对照表!$T$27:$T$48)),IF(B567="高二",IF($E567="男",LOOKUP(L567,[1]对照表!$R$3:$R$24,[1]对照表!$T$3:$T$24),LOOKUP(L567,[1]对照表!$R$27:$R$48,[1]对照表!$T$27:$T$48)),IF(B567="高一",IF($E567="男",LOOKUP(L567,[1]对照表!$Q$3:$Q$24,[1]对照表!$T$3:$T$24),LOOKUP(L567,[1]对照表!$Q$27:$Q$48,[1]对照表!$T$27:$T$48)))))</f>
        <v>0</v>
      </c>
      <c r="N567" s="33">
        <f>IF(B567="高三",MAX(IF(E567="男",L567-18,L567-55),0),IF(B567="高二",MAX(IF(E567="男",L567-17,L567-54),0),IF(B567="高一",MAX(IF(E567="男",L567-16,L567-53),0))))</f>
        <v>0</v>
      </c>
      <c r="O567" s="23">
        <f>IF(E567="男",LOOKUP($N567,[1]对照表!$Z$3:$Z$13,[1]对照表!$AA$3:$AA$13),LOOKUP($N567,[1]对照表!$Z$15:$Z$25,[1]对照表!$AA$15:$AA$25))</f>
        <v>0</v>
      </c>
      <c r="P567" s="24">
        <f>M567+O567</f>
        <v>0</v>
      </c>
      <c r="Q567" s="25">
        <v>4.03</v>
      </c>
      <c r="R567" s="32">
        <f>IF(B567="高三",IF($E567="男",LOOKUP(Q567,[1]对照表!$W$3:$W$24,[1]对照表!$X$3:$X$24),LOOKUP(Q567,[1]对照表!$W$27:$W$48,[1]对照表!$X$27:$X$48)),IF(B567="高二",IF($E567="男",LOOKUP(Q567,[1]对照表!$V$3:$V$24,[1]对照表!$X$3:$X$24),LOOKUP(Q567,[1]对照表!$V$27:$V$48,[1]对照表!$X$27:$X$48)),IF(B567="高一",IF($E567="男",LOOKUP(Q567,[1]对照表!$U$3:$U$24,[1]对照表!$X$3:$X$24),LOOKUP(Q567,[1]对照表!$U$27:$U$48,[1]对照表!$X$27:$X$48)))))</f>
        <v>76</v>
      </c>
      <c r="S567" s="33">
        <f>ROUND(IF(IF($B567="高三",MIN(IF($E567="男",$Q567-3.2,$Q567-3.2),0),IF($B567="高二",MIN(IF($E567="男",$Q567-3.25,$Q567-3.22),0),IF($B567="高一",MIN(IF($E567="男",$Q567-3.3,$Q567-3.24),0))))&lt;-0.6,IF($B567="高三",MIN(IF($E567="男",$Q567-3.2,$Q567-3.2),0),IF($B567="高二",MIN(IF($E567="男",$Q567-3.25,$Q567-3.22),0),IF($B567="高一",MIN(IF($E567="男",$Q567-3.3,$Q567-3.24),0))))+0.4,IF($B567="高三",MIN(IF($E567="男",$Q567-3.2,$Q567-3.2),0),IF($B567="高二",MIN(IF($E567="男",$Q567-3.25,$Q567-3.22),0),IF($B567="高一",MIN(IF($E567="男",$Q567-3.3,$Q567-3.24),0))))),2)</f>
        <v>0</v>
      </c>
      <c r="T567" s="23">
        <f>IF(E567="男",LOOKUP($S567,[1]对照表!$AB$3:$AB$13,[1]对照表!$AC$3:$AC$13),LOOKUP($S567,[1]对照表!$AB$15:$AB$25,[1]对照表!$AC$15:$AC$25))</f>
        <v>0</v>
      </c>
      <c r="U567" s="26">
        <f>R567+T567</f>
        <v>76</v>
      </c>
      <c r="V567" s="26">
        <f>SUM(I567,K567,M567)/3*0.3+SUM(G567,R567)/2*0.4</f>
        <v>47.9</v>
      </c>
      <c r="W567" s="27">
        <f>O567+T567</f>
        <v>0</v>
      </c>
      <c r="X567" s="28">
        <f>V567/0.7+W567</f>
        <v>68.428571428571431</v>
      </c>
      <c r="Y567" s="28">
        <v>68.428571428571431</v>
      </c>
      <c r="Z567" s="21"/>
    </row>
    <row r="568" spans="1:26" x14ac:dyDescent="0.25">
      <c r="A568" s="16">
        <v>53</v>
      </c>
      <c r="B568" s="17" t="s">
        <v>21</v>
      </c>
      <c r="C568" s="16">
        <v>113</v>
      </c>
      <c r="D568" s="18" t="s">
        <v>547</v>
      </c>
      <c r="E568" s="16" t="s">
        <v>65</v>
      </c>
      <c r="F568" s="19">
        <v>9.74</v>
      </c>
      <c r="G568" s="32">
        <f>IF(B568="高三",IF($E568="男",LOOKUP(F568,[1]对照表!$G$3:$G$24,[1]对照表!$H$3:$H$24),LOOKUP(F568,[1]对照表!$G$27:$G$48,[1]对照表!$H$27:$H$48)),IF(B568="高二",IF($E568="男",LOOKUP(F568,[1]对照表!$F$3:$F$24,[1]对照表!$H$3:$H$24),LOOKUP(F568,[1]对照表!$F$27:$F$48,[1]对照表!$H$27:$H$48)),IF(B568="高一",IF($E568="男",LOOKUP(F568,[1]对照表!$E$3:$E$24,[1]对照表!$H$3:$H$24),LOOKUP(F568,[1]对照表!$E$27:$E$48,[1]对照表!$H$27:$H$48)))))</f>
        <v>68</v>
      </c>
      <c r="H568" s="21">
        <v>23.5</v>
      </c>
      <c r="I568" s="32">
        <f>IF(B568="高三",IF($E568="男",LOOKUP(H568,[1]对照表!$K$3:$K$24,[1]对照表!$L$3:$L$24),LOOKUP(H568,[1]对照表!$K$27:$K$48,[1]对照表!$L$27:$L$48)),IF(B568="高二",IF($E568="男",LOOKUP(H568,[1]对照表!$J$3:$J$24,[1]对照表!$L$3:$L$24),LOOKUP(H568,[1]对照表!$J$27:$J$48,[1]对照表!$L$27:$L$48)),IF(B568="高一",IF($E568="男",LOOKUP(H568,[1]对照表!$I$3:$I$24,[1]对照表!$L$3:$L$24),LOOKUP(H568,[1]对照表!$I$27:$I$48,[1]对照表!$L$27:$L$48)))))</f>
        <v>95</v>
      </c>
      <c r="J568" s="21">
        <v>145</v>
      </c>
      <c r="K568" s="32">
        <f>IF(B568="高三",IF($E568="男",LOOKUP(J568,[1]对照表!$O$3:$O$24,[1]对照表!$P$3:$P$24),LOOKUP(J568,[1]对照表!$O$27:$O$48,[1]对照表!$P$27:$P$48)),IF(B568="高二",IF($E568="男",LOOKUP(J568,[1]对照表!$N$3:$N$24,[1]对照表!$P$3:$P$24),LOOKUP(J568,[1]对照表!$N$27:$N$48,[1]对照表!$P$27:$P$48)),IF(B568="高一",IF($E568="男",LOOKUP(J568,[1]对照表!$M$3:$M$24,[1]对照表!$P$3:$P$24),LOOKUP(J568,[1]对照表!$M$27:$M$48,[1]对照表!$P$27:$P$48)))))</f>
        <v>50</v>
      </c>
      <c r="L568" s="21">
        <v>38</v>
      </c>
      <c r="M568" s="32">
        <f>IF(B568="高三",IF($E568="男",LOOKUP(L568,[1]对照表!$S$3:$S$24,[1]对照表!$T$3:$T$24),LOOKUP(L568,[1]对照表!$S$27:$S$48,[1]对照表!$T$27:$T$48)),IF(B568="高二",IF($E568="男",LOOKUP(L568,[1]对照表!$R$3:$R$24,[1]对照表!$T$3:$T$24),LOOKUP(L568,[1]对照表!$R$27:$R$48,[1]对照表!$T$27:$T$48)),IF(B568="高一",IF($E568="男",LOOKUP(L568,[1]对照表!$Q$3:$Q$24,[1]对照表!$T$3:$T$24),LOOKUP(L568,[1]对照表!$Q$27:$Q$48,[1]对照表!$T$27:$T$48)))))</f>
        <v>74</v>
      </c>
      <c r="N568" s="33">
        <f>IF(B568="高三",MAX(IF(E568="男",L568-18,L568-55),0),IF(B568="高二",MAX(IF(E568="男",L568-17,L568-54),0),IF(B568="高一",MAX(IF(E568="男",L568-16,L568-53),0))))</f>
        <v>0</v>
      </c>
      <c r="O568" s="23">
        <f>IF(E568="男",LOOKUP($N568,[1]对照表!$Z$3:$Z$13,[1]对照表!$AA$3:$AA$13),LOOKUP($N568,[1]对照表!$Z$15:$Z$25,[1]对照表!$AA$15:$AA$25))</f>
        <v>0</v>
      </c>
      <c r="P568" s="24">
        <f>M568+O568</f>
        <v>74</v>
      </c>
      <c r="Q568" s="25">
        <v>3.45</v>
      </c>
      <c r="R568" s="32">
        <f>IF(B568="高三",IF($E568="男",LOOKUP(Q568,[1]对照表!$W$3:$W$24,[1]对照表!$X$3:$X$24),LOOKUP(Q568,[1]对照表!$W$27:$W$48,[1]对照表!$X$27:$X$48)),IF(B568="高二",IF($E568="男",LOOKUP(Q568,[1]对照表!$V$3:$V$24,[1]对照表!$X$3:$X$24),LOOKUP(Q568,[1]对照表!$V$27:$V$48,[1]对照表!$X$27:$X$48)),IF(B568="高一",IF($E568="男",LOOKUP(Q568,[1]对照表!$U$3:$U$24,[1]对照表!$X$3:$X$24),LOOKUP(Q568,[1]对照表!$U$27:$U$48,[1]对照表!$X$27:$X$48)))))</f>
        <v>80</v>
      </c>
      <c r="S568" s="33">
        <f>ROUND(IF(IF($B568="高三",MIN(IF($E568="男",$Q568-3.2,$Q568-3.2),0),IF($B568="高二",MIN(IF($E568="男",$Q568-3.25,$Q568-3.22),0),IF($B568="高一",MIN(IF($E568="男",$Q568-3.3,$Q568-3.24),0))))&lt;-0.6,IF($B568="高三",MIN(IF($E568="男",$Q568-3.2,$Q568-3.2),0),IF($B568="高二",MIN(IF($E568="男",$Q568-3.25,$Q568-3.22),0),IF($B568="高一",MIN(IF($E568="男",$Q568-3.3,$Q568-3.24),0))))+0.4,IF($B568="高三",MIN(IF($E568="男",$Q568-3.2,$Q568-3.2),0),IF($B568="高二",MIN(IF($E568="男",$Q568-3.25,$Q568-3.22),0),IF($B568="高一",MIN(IF($E568="男",$Q568-3.3,$Q568-3.24),0))))),2)</f>
        <v>0</v>
      </c>
      <c r="T568" s="23">
        <f>IF(E568="男",LOOKUP($S568,[1]对照表!$AB$3:$AB$13,[1]对照表!$AC$3:$AC$13),LOOKUP($S568,[1]对照表!$AB$15:$AB$25,[1]对照表!$AC$15:$AC$25))</f>
        <v>0</v>
      </c>
      <c r="U568" s="26">
        <f>R568+T568</f>
        <v>80</v>
      </c>
      <c r="V568" s="26">
        <f>SUM(I568,K568,M568)/3*0.3+SUM(G568,R568)/2*0.4</f>
        <v>51.5</v>
      </c>
      <c r="W568" s="27">
        <f>O568+T568</f>
        <v>0</v>
      </c>
      <c r="X568" s="28">
        <f>V568/0.7+W568</f>
        <v>73.571428571428569</v>
      </c>
      <c r="Y568" s="28">
        <v>73.571428571428569</v>
      </c>
      <c r="Z568" s="21"/>
    </row>
    <row r="569" spans="1:26" x14ac:dyDescent="0.25">
      <c r="A569" s="16">
        <v>16</v>
      </c>
      <c r="B569" s="17" t="s">
        <v>21</v>
      </c>
      <c r="C569" s="16">
        <v>113</v>
      </c>
      <c r="D569" s="18" t="s">
        <v>568</v>
      </c>
      <c r="E569" s="16" t="s">
        <v>23</v>
      </c>
      <c r="F569" s="19">
        <v>7.8</v>
      </c>
      <c r="G569" s="32">
        <f>IF(B569="高三",IF($E569="男",LOOKUP(F569,[1]对照表!$G$3:$G$24,[1]对照表!$H$3:$H$24),LOOKUP(F569,[1]对照表!$G$27:$G$48,[1]对照表!$H$27:$H$48)),IF(B569="高二",IF($E569="男",LOOKUP(F569,[1]对照表!$F$3:$F$24,[1]对照表!$H$3:$H$24),LOOKUP(F569,[1]对照表!$F$27:$F$48,[1]对照表!$H$27:$H$48)),IF(B569="高一",IF($E569="男",LOOKUP(F569,[1]对照表!$E$3:$E$24,[1]对照表!$H$3:$H$24),LOOKUP(F569,[1]对照表!$E$27:$E$48,[1]对照表!$H$27:$H$48)))))</f>
        <v>76</v>
      </c>
      <c r="H569" s="21">
        <v>12.1</v>
      </c>
      <c r="I569" s="32">
        <f>IF(B569="高三",IF($E569="男",LOOKUP(H569,[1]对照表!$K$3:$K$24,[1]对照表!$L$3:$L$24),LOOKUP(H569,[1]对照表!$K$27:$K$48,[1]对照表!$L$27:$L$48)),IF(B569="高二",IF($E569="男",LOOKUP(H569,[1]对照表!$J$3:$J$24,[1]对照表!$L$3:$L$24),LOOKUP(H569,[1]对照表!$J$27:$J$48,[1]对照表!$L$27:$L$48)),IF(B569="高一",IF($E569="男",LOOKUP(H569,[1]对照表!$I$3:$I$24,[1]对照表!$L$3:$L$24),LOOKUP(H569,[1]对照表!$I$27:$I$48,[1]对照表!$L$27:$L$48)))))</f>
        <v>74</v>
      </c>
      <c r="J569" s="21">
        <v>190</v>
      </c>
      <c r="K569" s="32">
        <f>IF(B569="高三",IF($E569="男",LOOKUP(J569,[1]对照表!$O$3:$O$24,[1]对照表!$P$3:$P$24),LOOKUP(J569,[1]对照表!$O$27:$O$48,[1]对照表!$P$27:$P$48)),IF(B569="高二",IF($E569="男",LOOKUP(J569,[1]对照表!$N$3:$N$24,[1]对照表!$P$3:$P$24),LOOKUP(J569,[1]对照表!$N$27:$N$48,[1]对照表!$P$27:$P$48)),IF(B569="高一",IF($E569="男",LOOKUP(J569,[1]对照表!$M$3:$M$24,[1]对照表!$P$3:$P$24),LOOKUP(J569,[1]对照表!$M$27:$M$48,[1]对照表!$P$27:$P$48)))))</f>
        <v>50</v>
      </c>
      <c r="L569" s="21">
        <v>0</v>
      </c>
      <c r="M569" s="32">
        <f>IF(B569="高三",IF($E569="男",LOOKUP(L569,[1]对照表!$S$3:$S$24,[1]对照表!$T$3:$T$24),LOOKUP(L569,[1]对照表!$S$27:$S$48,[1]对照表!$T$27:$T$48)),IF(B569="高二",IF($E569="男",LOOKUP(L569,[1]对照表!$R$3:$R$24,[1]对照表!$T$3:$T$24),LOOKUP(L569,[1]对照表!$R$27:$R$48,[1]对照表!$T$27:$T$48)),IF(B569="高一",IF($E569="男",LOOKUP(L569,[1]对照表!$Q$3:$Q$24,[1]对照表!$T$3:$T$24),LOOKUP(L569,[1]对照表!$Q$27:$Q$48,[1]对照表!$T$27:$T$48)))))</f>
        <v>0</v>
      </c>
      <c r="N569" s="33">
        <f>IF(B569="高三",MAX(IF(E569="男",L569-18,L569-55),0),IF(B569="高二",MAX(IF(E569="男",L569-17,L569-54),0),IF(B569="高一",MAX(IF(E569="男",L569-16,L569-53),0))))</f>
        <v>0</v>
      </c>
      <c r="O569" s="23">
        <f>IF(E569="男",LOOKUP($N569,[1]对照表!$Z$3:$Z$13,[1]对照表!$AA$3:$AA$13),LOOKUP($N569,[1]对照表!$Z$15:$Z$25,[1]对照表!$AA$15:$AA$25))</f>
        <v>0</v>
      </c>
      <c r="P569" s="24">
        <f>M569+O569</f>
        <v>0</v>
      </c>
      <c r="Q569" s="25">
        <v>4.04</v>
      </c>
      <c r="R569" s="32">
        <f>IF(B569="高三",IF($E569="男",LOOKUP(Q569,[1]对照表!$W$3:$W$24,[1]对照表!$X$3:$X$24),LOOKUP(Q569,[1]对照表!$W$27:$W$48,[1]对照表!$X$27:$X$48)),IF(B569="高二",IF($E569="男",LOOKUP(Q569,[1]对照表!$V$3:$V$24,[1]对照表!$X$3:$X$24),LOOKUP(Q569,[1]对照表!$V$27:$V$48,[1]对照表!$X$27:$X$48)),IF(B569="高一",IF($E569="男",LOOKUP(Q569,[1]对照表!$U$3:$U$24,[1]对照表!$X$3:$X$24),LOOKUP(Q569,[1]对照表!$U$27:$U$48,[1]对照表!$X$27:$X$48)))))</f>
        <v>76</v>
      </c>
      <c r="S569" s="27">
        <f>ROUND(IF(IF($B569="高三",MIN(IF($E569="男",$Q569-3.2,$Q569-3.2),0),IF($B569="高二",MIN(IF($E569="男",$Q569-3.25,$Q569-3.22),0),IF($B569="高一",MIN(IF($E569="男",$Q569-3.3,$Q569-3.24),0))))&lt;-0.6,IF($B569="高三",MIN(IF($E569="男",$Q569-3.2,$Q569-3.2),0),IF($B569="高二",MIN(IF($E569="男",$Q569-3.25,$Q569-3.22),0),IF($B569="高一",MIN(IF($E569="男",$Q569-3.3,$Q569-3.24),0))))+0.4,IF($B569="高三",MIN(IF($E569="男",$Q569-3.2,$Q569-3.2),0),IF($B569="高二",MIN(IF($E569="男",$Q569-3.25,$Q569-3.22),0),IF($B569="高一",MIN(IF($E569="男",$Q569-3.3,$Q569-3.24),0))))),2)</f>
        <v>0</v>
      </c>
      <c r="T569" s="23">
        <f>IF(E569="男",LOOKUP($S569,[1]对照表!$AB$3:$AB$13,[1]对照表!$AC$3:$AC$13),LOOKUP($S569,[1]对照表!$AB$15:$AB$25,[1]对照表!$AC$15:$AC$25))</f>
        <v>0</v>
      </c>
      <c r="U569" s="26">
        <f>R569+T569</f>
        <v>76</v>
      </c>
      <c r="V569" s="26">
        <f>SUM(I569,K569,M569)/3*0.3+SUM(G569,R569)/2*0.4</f>
        <v>42.800000000000004</v>
      </c>
      <c r="W569" s="27">
        <f>O569+T569</f>
        <v>0</v>
      </c>
      <c r="X569" s="28">
        <f>V569/0.7+W569</f>
        <v>61.142857142857153</v>
      </c>
      <c r="Y569" s="28">
        <v>61.142857142857153</v>
      </c>
      <c r="Z569" s="21"/>
    </row>
    <row r="570" spans="1:26" x14ac:dyDescent="0.25">
      <c r="A570" s="16">
        <v>42</v>
      </c>
      <c r="B570" s="17" t="s">
        <v>21</v>
      </c>
      <c r="C570" s="16">
        <v>113</v>
      </c>
      <c r="D570" s="18" t="s">
        <v>586</v>
      </c>
      <c r="E570" s="17" t="s">
        <v>65</v>
      </c>
      <c r="F570" s="19">
        <v>9.14</v>
      </c>
      <c r="G570" s="32">
        <f>IF(B570="高三",IF($E570="男",LOOKUP(F570,[1]对照表!$G$3:$G$24,[1]对照表!$H$3:$H$24),LOOKUP(F570,[1]对照表!$G$27:$G$48,[1]对照表!$H$27:$H$48)),IF(B570="高二",IF($E570="男",LOOKUP(F570,[1]对照表!$F$3:$F$24,[1]对照表!$H$3:$H$24),LOOKUP(F570,[1]对照表!$F$27:$F$48,[1]对照表!$H$27:$H$48)),IF(B570="高一",IF($E570="男",LOOKUP(F570,[1]对照表!$E$3:$E$24,[1]对照表!$H$3:$H$24),LOOKUP(F570,[1]对照表!$E$27:$E$48,[1]对照表!$H$27:$H$48)))))</f>
        <v>74</v>
      </c>
      <c r="H570" s="21">
        <v>14</v>
      </c>
      <c r="I570" s="32">
        <f>IF(B570="高三",IF($E570="男",LOOKUP(H570,[1]对照表!$K$3:$K$24,[1]对照表!$L$3:$L$24),LOOKUP(H570,[1]对照表!$K$27:$K$48,[1]对照表!$L$27:$L$48)),IF(B570="高二",IF($E570="男",LOOKUP(H570,[1]对照表!$J$3:$J$24,[1]对照表!$L$3:$L$24),LOOKUP(H570,[1]对照表!$J$27:$J$48,[1]对照表!$L$27:$L$48)),IF(B570="高一",IF($E570="男",LOOKUP(H570,[1]对照表!$I$3:$I$24,[1]对照表!$L$3:$L$24),LOOKUP(H570,[1]对照表!$I$27:$I$48,[1]对照表!$L$27:$L$48)))))</f>
        <v>74</v>
      </c>
      <c r="J570" s="21">
        <v>156</v>
      </c>
      <c r="K570" s="32">
        <f>IF(B570="高三",IF($E570="男",LOOKUP(J570,[1]对照表!$O$3:$O$24,[1]对照表!$P$3:$P$24),LOOKUP(J570,[1]对照表!$O$27:$O$48,[1]对照表!$P$27:$P$48)),IF(B570="高二",IF($E570="男",LOOKUP(J570,[1]对照表!$N$3:$N$24,[1]对照表!$P$3:$P$24),LOOKUP(J570,[1]对照表!$N$27:$N$48,[1]对照表!$P$27:$P$48)),IF(B570="高一",IF($E570="男",LOOKUP(J570,[1]对照表!$M$3:$M$24,[1]对照表!$P$3:$P$24),LOOKUP(J570,[1]对照表!$M$27:$M$48,[1]对照表!$P$27:$P$48)))))</f>
        <v>64</v>
      </c>
      <c r="L570" s="21">
        <v>48</v>
      </c>
      <c r="M570" s="32">
        <f>IF(B570="高三",IF($E570="男",LOOKUP(L570,[1]对照表!$S$3:$S$24,[1]对照表!$T$3:$T$24),LOOKUP(L570,[1]对照表!$S$27:$S$48,[1]对照表!$T$27:$T$48)),IF(B570="高二",IF($E570="男",LOOKUP(L570,[1]对照表!$R$3:$R$24,[1]对照表!$T$3:$T$24),LOOKUP(L570,[1]对照表!$R$27:$R$48,[1]对照表!$T$27:$T$48)),IF(B570="高一",IF($E570="男",LOOKUP(L570,[1]对照表!$Q$3:$Q$24,[1]对照表!$T$3:$T$24),LOOKUP(L570,[1]对照表!$Q$27:$Q$48,[1]对照表!$T$27:$T$48)))))</f>
        <v>85</v>
      </c>
      <c r="N570" s="33">
        <f>IF(B570="高三",MAX(IF(E570="男",L570-18,L570-55),0),IF(B570="高二",MAX(IF(E570="男",L570-17,L570-54),0),IF(B570="高一",MAX(IF(E570="男",L570-16,L570-53),0))))</f>
        <v>0</v>
      </c>
      <c r="O570" s="23">
        <f>IF(E570="男",LOOKUP($N570,[1]对照表!$Z$3:$Z$13,[1]对照表!$AA$3:$AA$13),LOOKUP($N570,[1]对照表!$Z$15:$Z$25,[1]对照表!$AA$15:$AA$25))</f>
        <v>0</v>
      </c>
      <c r="P570" s="24">
        <f>M570+O570</f>
        <v>85</v>
      </c>
      <c r="Q570" s="25">
        <v>3.48</v>
      </c>
      <c r="R570" s="32">
        <f>IF(B570="高三",IF($E570="男",LOOKUP(Q570,[1]对照表!$W$3:$W$24,[1]对照表!$X$3:$X$24),LOOKUP(Q570,[1]对照表!$W$27:$W$48,[1]对照表!$X$27:$X$48)),IF(B570="高二",IF($E570="男",LOOKUP(Q570,[1]对照表!$V$3:$V$24,[1]对照表!$X$3:$X$24),LOOKUP(Q570,[1]对照表!$V$27:$V$48,[1]对照表!$X$27:$X$48)),IF(B570="高一",IF($E570="男",LOOKUP(Q570,[1]对照表!$U$3:$U$24,[1]对照表!$X$3:$X$24),LOOKUP(Q570,[1]对照表!$U$27:$U$48,[1]对照表!$X$27:$X$48)))))</f>
        <v>80</v>
      </c>
      <c r="S570" s="33">
        <f>ROUND(IF(IF($B570="高三",MIN(IF($E570="男",$Q570-3.2,$Q570-3.2),0),IF($B570="高二",MIN(IF($E570="男",$Q570-3.25,$Q570-3.22),0),IF($B570="高一",MIN(IF($E570="男",$Q570-3.3,$Q570-3.24),0))))&lt;-0.6,IF($B570="高三",MIN(IF($E570="男",$Q570-3.2,$Q570-3.2),0),IF($B570="高二",MIN(IF($E570="男",$Q570-3.25,$Q570-3.22),0),IF($B570="高一",MIN(IF($E570="男",$Q570-3.3,$Q570-3.24),0))))+0.4,IF($B570="高三",MIN(IF($E570="男",$Q570-3.2,$Q570-3.2),0),IF($B570="高二",MIN(IF($E570="男",$Q570-3.25,$Q570-3.22),0),IF($B570="高一",MIN(IF($E570="男",$Q570-3.3,$Q570-3.24),0))))),2)</f>
        <v>0</v>
      </c>
      <c r="T570" s="23">
        <f>IF(E570="男",LOOKUP($S570,[1]对照表!$AB$3:$AB$13,[1]对照表!$AC$3:$AC$13),LOOKUP($S570,[1]对照表!$AB$15:$AB$25,[1]对照表!$AC$15:$AC$25))</f>
        <v>0</v>
      </c>
      <c r="U570" s="26">
        <f>R570+T570</f>
        <v>80</v>
      </c>
      <c r="V570" s="26">
        <f>SUM(I570,K570,M570)/3*0.3+SUM(G570,R570)/2*0.4</f>
        <v>53.099999999999994</v>
      </c>
      <c r="W570" s="27">
        <f>O570+T570</f>
        <v>0</v>
      </c>
      <c r="X570" s="28">
        <f>V570/0.7+W570</f>
        <v>75.857142857142847</v>
      </c>
      <c r="Y570" s="28">
        <v>75.857142857142847</v>
      </c>
      <c r="Z570" s="21"/>
    </row>
    <row r="571" spans="1:26" x14ac:dyDescent="0.25">
      <c r="A571" s="16">
        <v>33</v>
      </c>
      <c r="B571" s="17" t="s">
        <v>21</v>
      </c>
      <c r="C571" s="16">
        <v>113</v>
      </c>
      <c r="D571" s="18" t="s">
        <v>604</v>
      </c>
      <c r="E571" s="17" t="s">
        <v>65</v>
      </c>
      <c r="F571" s="19">
        <v>9.2899999999999991</v>
      </c>
      <c r="G571" s="32">
        <f>IF(B571="高三",IF($E571="男",LOOKUP(F571,[1]对照表!$G$3:$G$24,[1]对照表!$H$3:$H$24),LOOKUP(F571,[1]对照表!$G$27:$G$48,[1]对照表!$H$27:$H$48)),IF(B571="高二",IF($E571="男",LOOKUP(F571,[1]对照表!$F$3:$F$24,[1]对照表!$H$3:$H$24),LOOKUP(F571,[1]对照表!$F$27:$F$48,[1]对照表!$H$27:$H$48)),IF(B571="高一",IF($E571="男",LOOKUP(F571,[1]对照表!$E$3:$E$24,[1]对照表!$H$3:$H$24),LOOKUP(F571,[1]对照表!$E$27:$E$48,[1]对照表!$H$27:$H$48)))))</f>
        <v>72</v>
      </c>
      <c r="H571" s="21">
        <v>26</v>
      </c>
      <c r="I571" s="32">
        <f>IF(B571="高三",IF($E571="男",LOOKUP(H571,[1]对照表!$K$3:$K$24,[1]对照表!$L$3:$L$24),LOOKUP(H571,[1]对照表!$K$27:$K$48,[1]对照表!$L$27:$L$48)),IF(B571="高二",IF($E571="男",LOOKUP(H571,[1]对照表!$J$3:$J$24,[1]对照表!$L$3:$L$24),LOOKUP(H571,[1]对照表!$J$27:$J$48,[1]对照表!$L$27:$L$48)),IF(B571="高一",IF($E571="男",LOOKUP(H571,[1]对照表!$I$3:$I$24,[1]对照表!$L$3:$L$24),LOOKUP(H571,[1]对照表!$I$27:$I$48,[1]对照表!$L$27:$L$48)))))</f>
        <v>100</v>
      </c>
      <c r="J571" s="21">
        <v>195</v>
      </c>
      <c r="K571" s="32">
        <f>IF(B571="高三",IF($E571="男",LOOKUP(J571,[1]对照表!$O$3:$O$24,[1]对照表!$P$3:$P$24),LOOKUP(J571,[1]对照表!$O$27:$O$48,[1]对照表!$P$27:$P$48)),IF(B571="高二",IF($E571="男",LOOKUP(J571,[1]对照表!$N$3:$N$24,[1]对照表!$P$3:$P$24),LOOKUP(J571,[1]对照表!$N$27:$N$48,[1]对照表!$P$27:$P$48)),IF(B571="高一",IF($E571="男",LOOKUP(J571,[1]对照表!$M$3:$M$24,[1]对照表!$P$3:$P$24),LOOKUP(J571,[1]对照表!$M$27:$M$48,[1]对照表!$P$27:$P$48)))))</f>
        <v>90</v>
      </c>
      <c r="L571" s="21">
        <v>53</v>
      </c>
      <c r="M571" s="32">
        <f>IF(B571="高三",IF($E571="男",LOOKUP(L571,[1]对照表!$S$3:$S$24,[1]对照表!$T$3:$T$24),LOOKUP(L571,[1]对照表!$S$27:$S$48,[1]对照表!$T$27:$T$48)),IF(B571="高二",IF($E571="男",LOOKUP(L571,[1]对照表!$R$3:$R$24,[1]对照表!$T$3:$T$24),LOOKUP(L571,[1]对照表!$R$27:$R$48,[1]对照表!$T$27:$T$48)),IF(B571="高一",IF($E571="男",LOOKUP(L571,[1]对照表!$Q$3:$Q$24,[1]对照表!$T$3:$T$24),LOOKUP(L571,[1]对照表!$Q$27:$Q$48,[1]对照表!$T$27:$T$48)))))</f>
        <v>100</v>
      </c>
      <c r="N571" s="33">
        <f>IF(B571="高三",MAX(IF(E571="男",L571-18,L571-55),0),IF(B571="高二",MAX(IF(E571="男",L571-17,L571-54),0),IF(B571="高一",MAX(IF(E571="男",L571-16,L571-53),0))))</f>
        <v>0</v>
      </c>
      <c r="O571" s="23">
        <f>IF(E571="男",LOOKUP($N571,[1]对照表!$Z$3:$Z$13,[1]对照表!$AA$3:$AA$13),LOOKUP($N571,[1]对照表!$Z$15:$Z$25,[1]对照表!$AA$15:$AA$25))</f>
        <v>0</v>
      </c>
      <c r="P571" s="24">
        <f>M571+O571</f>
        <v>100</v>
      </c>
      <c r="Q571" s="25">
        <v>3.51</v>
      </c>
      <c r="R571" s="32">
        <f>IF(B571="高三",IF($E571="男",LOOKUP(Q571,[1]对照表!$W$3:$W$24,[1]对照表!$X$3:$X$24),LOOKUP(Q571,[1]对照表!$W$27:$W$48,[1]对照表!$X$27:$X$48)),IF(B571="高二",IF($E571="男",LOOKUP(Q571,[1]对照表!$V$3:$V$24,[1]对照表!$X$3:$X$24),LOOKUP(Q571,[1]对照表!$V$27:$V$48,[1]对照表!$X$27:$X$48)),IF(B571="高一",IF($E571="男",LOOKUP(Q571,[1]对照表!$U$3:$U$24,[1]对照表!$X$3:$X$24),LOOKUP(Q571,[1]对照表!$U$27:$U$48,[1]对照表!$X$27:$X$48)))))</f>
        <v>78</v>
      </c>
      <c r="S571" s="33">
        <f>ROUND(IF(IF($B571="高三",MIN(IF($E571="男",$Q571-3.2,$Q571-3.2),0),IF($B571="高二",MIN(IF($E571="男",$Q571-3.25,$Q571-3.22),0),IF($B571="高一",MIN(IF($E571="男",$Q571-3.3,$Q571-3.24),0))))&lt;-0.6,IF($B571="高三",MIN(IF($E571="男",$Q571-3.2,$Q571-3.2),0),IF($B571="高二",MIN(IF($E571="男",$Q571-3.25,$Q571-3.22),0),IF($B571="高一",MIN(IF($E571="男",$Q571-3.3,$Q571-3.24),0))))+0.4,IF($B571="高三",MIN(IF($E571="男",$Q571-3.2,$Q571-3.2),0),IF($B571="高二",MIN(IF($E571="男",$Q571-3.25,$Q571-3.22),0),IF($B571="高一",MIN(IF($E571="男",$Q571-3.3,$Q571-3.24),0))))),2)</f>
        <v>0</v>
      </c>
      <c r="T571" s="23">
        <f>IF(E571="男",LOOKUP($S571,[1]对照表!$AB$3:$AB$13,[1]对照表!$AC$3:$AC$13),LOOKUP($S571,[1]对照表!$AB$15:$AB$25,[1]对照表!$AC$15:$AC$25))</f>
        <v>0</v>
      </c>
      <c r="U571" s="26">
        <f>R571+T571</f>
        <v>78</v>
      </c>
      <c r="V571" s="26">
        <f>SUM(I571,K571,M571)/3*0.3+SUM(G571,R571)/2*0.4</f>
        <v>59</v>
      </c>
      <c r="W571" s="27">
        <f>O571+T571</f>
        <v>0</v>
      </c>
      <c r="X571" s="28">
        <f>V571/0.7+W571</f>
        <v>84.285714285714292</v>
      </c>
      <c r="Y571" s="28">
        <v>84.285714285714292</v>
      </c>
      <c r="Z571" s="21"/>
    </row>
    <row r="572" spans="1:26" x14ac:dyDescent="0.25">
      <c r="A572" s="16">
        <v>30</v>
      </c>
      <c r="B572" s="17" t="s">
        <v>21</v>
      </c>
      <c r="C572" s="16">
        <v>113</v>
      </c>
      <c r="D572" s="18" t="s">
        <v>614</v>
      </c>
      <c r="E572" s="17" t="s">
        <v>65</v>
      </c>
      <c r="F572" s="19">
        <v>9.6</v>
      </c>
      <c r="G572" s="32">
        <f>IF(B572="高三",IF($E572="男",LOOKUP(F572,[1]对照表!$G$3:$G$24,[1]对照表!$H$3:$H$24),LOOKUP(F572,[1]对照表!$G$27:$G$48,[1]对照表!$H$27:$H$48)),IF(B572="高二",IF($E572="男",LOOKUP(F572,[1]对照表!$F$3:$F$24,[1]对照表!$H$3:$H$24),LOOKUP(F572,[1]对照表!$F$27:$F$48,[1]对照表!$H$27:$H$48)),IF(B572="高一",IF($E572="男",LOOKUP(F572,[1]对照表!$E$3:$E$24,[1]对照表!$H$3:$H$24),LOOKUP(F572,[1]对照表!$E$27:$E$48,[1]对照表!$H$27:$H$48)))))</f>
        <v>70</v>
      </c>
      <c r="H572" s="21">
        <v>19</v>
      </c>
      <c r="I572" s="32">
        <f>IF(B572="高三",IF($E572="男",LOOKUP(H572,[1]对照表!$K$3:$K$24,[1]对照表!$L$3:$L$24),LOOKUP(H572,[1]对照表!$K$27:$K$48,[1]对照表!$L$27:$L$48)),IF(B572="高二",IF($E572="男",LOOKUP(H572,[1]对照表!$J$3:$J$24,[1]对照表!$L$3:$L$24),LOOKUP(H572,[1]对照表!$J$27:$J$48,[1]对照表!$L$27:$L$48)),IF(B572="高一",IF($E572="男",LOOKUP(H572,[1]对照表!$I$3:$I$24,[1]对照表!$L$3:$L$24),LOOKUP(H572,[1]对照表!$I$27:$I$48,[1]对照表!$L$27:$L$48)))))</f>
        <v>80</v>
      </c>
      <c r="J572" s="21">
        <v>148</v>
      </c>
      <c r="K572" s="32">
        <f>IF(B572="高三",IF($E572="男",LOOKUP(J572,[1]对照表!$O$3:$O$24,[1]对照表!$P$3:$P$24),LOOKUP(J572,[1]对照表!$O$27:$O$48,[1]对照表!$P$27:$P$48)),IF(B572="高二",IF($E572="男",LOOKUP(J572,[1]对照表!$N$3:$N$24,[1]对照表!$P$3:$P$24),LOOKUP(J572,[1]对照表!$N$27:$N$48,[1]对照表!$P$27:$P$48)),IF(B572="高一",IF($E572="男",LOOKUP(J572,[1]对照表!$M$3:$M$24,[1]对照表!$P$3:$P$24),LOOKUP(J572,[1]对照表!$M$27:$M$48,[1]对照表!$P$27:$P$48)))))</f>
        <v>60</v>
      </c>
      <c r="L572" s="21">
        <v>49</v>
      </c>
      <c r="M572" s="32">
        <f>IF(B572="高三",IF($E572="男",LOOKUP(L572,[1]对照表!$S$3:$S$24,[1]对照表!$T$3:$T$24),LOOKUP(L572,[1]对照表!$S$27:$S$48,[1]对照表!$T$27:$T$48)),IF(B572="高二",IF($E572="男",LOOKUP(L572,[1]对照表!$R$3:$R$24,[1]对照表!$T$3:$T$24),LOOKUP(L572,[1]对照表!$R$27:$R$48,[1]对照表!$T$27:$T$48)),IF(B572="高一",IF($E572="男",LOOKUP(L572,[1]对照表!$Q$3:$Q$24,[1]对照表!$T$3:$T$24),LOOKUP(L572,[1]对照表!$Q$27:$Q$48,[1]对照表!$T$27:$T$48)))))</f>
        <v>90</v>
      </c>
      <c r="N572" s="33">
        <f>IF(B572="高三",MAX(IF(E572="男",L572-18,L572-55),0),IF(B572="高二",MAX(IF(E572="男",L572-17,L572-54),0),IF(B572="高一",MAX(IF(E572="男",L572-16,L572-53),0))))</f>
        <v>0</v>
      </c>
      <c r="O572" s="23">
        <f>IF(E572="男",LOOKUP($N572,[1]对照表!$Z$3:$Z$13,[1]对照表!$AA$3:$AA$13),LOOKUP($N572,[1]对照表!$Z$15:$Z$25,[1]对照表!$AA$15:$AA$25))</f>
        <v>0</v>
      </c>
      <c r="P572" s="24">
        <f>M572+O572</f>
        <v>90</v>
      </c>
      <c r="Q572" s="25">
        <v>3.53</v>
      </c>
      <c r="R572" s="32">
        <f>IF(B572="高三",IF($E572="男",LOOKUP(Q572,[1]对照表!$W$3:$W$24,[1]对照表!$X$3:$X$24),LOOKUP(Q572,[1]对照表!$W$27:$W$48,[1]对照表!$X$27:$X$48)),IF(B572="高二",IF($E572="男",LOOKUP(Q572,[1]对照表!$V$3:$V$24,[1]对照表!$X$3:$X$24),LOOKUP(Q572,[1]对照表!$V$27:$V$48,[1]对照表!$X$27:$X$48)),IF(B572="高一",IF($E572="男",LOOKUP(Q572,[1]对照表!$U$3:$U$24,[1]对照表!$X$3:$X$24),LOOKUP(Q572,[1]对照表!$U$27:$U$48,[1]对照表!$X$27:$X$48)))))</f>
        <v>78</v>
      </c>
      <c r="S572" s="33">
        <f>ROUND(IF(IF($B572="高三",MIN(IF($E572="男",$Q572-3.2,$Q572-3.2),0),IF($B572="高二",MIN(IF($E572="男",$Q572-3.25,$Q572-3.22),0),IF($B572="高一",MIN(IF($E572="男",$Q572-3.3,$Q572-3.24),0))))&lt;-0.6,IF($B572="高三",MIN(IF($E572="男",$Q572-3.2,$Q572-3.2),0),IF($B572="高二",MIN(IF($E572="男",$Q572-3.25,$Q572-3.22),0),IF($B572="高一",MIN(IF($E572="男",$Q572-3.3,$Q572-3.24),0))))+0.4,IF($B572="高三",MIN(IF($E572="男",$Q572-3.2,$Q572-3.2),0),IF($B572="高二",MIN(IF($E572="男",$Q572-3.25,$Q572-3.22),0),IF($B572="高一",MIN(IF($E572="男",$Q572-3.3,$Q572-3.24),0))))),2)</f>
        <v>0</v>
      </c>
      <c r="T572" s="23">
        <f>IF(E572="男",LOOKUP($S572,[1]对照表!$AB$3:$AB$13,[1]对照表!$AC$3:$AC$13),LOOKUP($S572,[1]对照表!$AB$15:$AB$25,[1]对照表!$AC$15:$AC$25))</f>
        <v>0</v>
      </c>
      <c r="U572" s="26">
        <f>R572+T572</f>
        <v>78</v>
      </c>
      <c r="V572" s="26">
        <f>SUM(I572,K572,M572)/3*0.3+SUM(G572,R572)/2*0.4</f>
        <v>52.6</v>
      </c>
      <c r="W572" s="27">
        <f>O572+T572</f>
        <v>0</v>
      </c>
      <c r="X572" s="28">
        <f>V572/0.7+W572</f>
        <v>75.142857142857153</v>
      </c>
      <c r="Y572" s="28">
        <v>75.142857142857153</v>
      </c>
      <c r="Z572" s="21"/>
    </row>
    <row r="573" spans="1:26" x14ac:dyDescent="0.25">
      <c r="A573" s="16">
        <v>47</v>
      </c>
      <c r="B573" s="17" t="s">
        <v>21</v>
      </c>
      <c r="C573" s="16">
        <v>113</v>
      </c>
      <c r="D573" s="18" t="s">
        <v>615</v>
      </c>
      <c r="E573" s="34" t="s">
        <v>65</v>
      </c>
      <c r="F573" s="19">
        <v>9.6999999999999993</v>
      </c>
      <c r="G573" s="32">
        <f>IF(B573="高三",IF($E573="男",LOOKUP(F573,[1]对照表!$G$3:$G$24,[1]对照表!$H$3:$H$24),LOOKUP(F573,[1]对照表!$G$27:$G$48,[1]对照表!$H$27:$H$48)),IF(B573="高二",IF($E573="男",LOOKUP(F573,[1]对照表!$F$3:$F$24,[1]对照表!$H$3:$H$24),LOOKUP(F573,[1]对照表!$F$27:$F$48,[1]对照表!$H$27:$H$48)),IF(B573="高一",IF($E573="男",LOOKUP(F573,[1]对照表!$E$3:$E$24,[1]对照表!$H$3:$H$24),LOOKUP(F573,[1]对照表!$E$27:$E$48,[1]对照表!$H$27:$H$48)))))</f>
        <v>68</v>
      </c>
      <c r="H573" s="21">
        <v>22.5</v>
      </c>
      <c r="I573" s="32">
        <f>IF(B573="高三",IF($E573="男",LOOKUP(H573,[1]对照表!$K$3:$K$24,[1]对照表!$L$3:$L$24),LOOKUP(H573,[1]对照表!$K$27:$K$48,[1]对照表!$L$27:$L$48)),IF(B573="高二",IF($E573="男",LOOKUP(H573,[1]对照表!$J$3:$J$24,[1]对照表!$L$3:$L$24),LOOKUP(H573,[1]对照表!$J$27:$J$48,[1]对照表!$L$27:$L$48)),IF(B573="高一",IF($E573="男",LOOKUP(H573,[1]对照表!$I$3:$I$24,[1]对照表!$L$3:$L$24),LOOKUP(H573,[1]对照表!$I$27:$I$48,[1]对照表!$L$27:$L$48)))))</f>
        <v>95</v>
      </c>
      <c r="J573" s="21">
        <v>172</v>
      </c>
      <c r="K573" s="32">
        <f>IF(B573="高三",IF($E573="男",LOOKUP(J573,[1]对照表!$O$3:$O$24,[1]对照表!$P$3:$P$24),LOOKUP(J573,[1]对照表!$O$27:$O$48,[1]对照表!$P$27:$P$48)),IF(B573="高二",IF($E573="男",LOOKUP(J573,[1]对照表!$N$3:$N$24,[1]对照表!$P$3:$P$24),LOOKUP(J573,[1]对照表!$N$27:$N$48,[1]对照表!$P$27:$P$48)),IF(B573="高一",IF($E573="男",LOOKUP(J573,[1]对照表!$M$3:$M$24,[1]对照表!$P$3:$P$24),LOOKUP(J573,[1]对照表!$M$27:$M$48,[1]对照表!$P$27:$P$48)))))</f>
        <v>76</v>
      </c>
      <c r="L573" s="21">
        <v>51</v>
      </c>
      <c r="M573" s="32">
        <f>IF(B573="高三",IF($E573="男",LOOKUP(L573,[1]对照表!$S$3:$S$24,[1]对照表!$T$3:$T$24),LOOKUP(L573,[1]对照表!$S$27:$S$48,[1]对照表!$T$27:$T$48)),IF(B573="高二",IF($E573="男",LOOKUP(L573,[1]对照表!$R$3:$R$24,[1]对照表!$T$3:$T$24),LOOKUP(L573,[1]对照表!$R$27:$R$48,[1]对照表!$T$27:$T$48)),IF(B573="高一",IF($E573="男",LOOKUP(L573,[1]对照表!$Q$3:$Q$24,[1]对照表!$T$3:$T$24),LOOKUP(L573,[1]对照表!$Q$27:$Q$48,[1]对照表!$T$27:$T$48)))))</f>
        <v>95</v>
      </c>
      <c r="N573" s="33">
        <f>IF(B573="高三",MAX(IF(E573="男",L573-18,L573-55),0),IF(B573="高二",MAX(IF(E573="男",L573-17,L573-54),0),IF(B573="高一",MAX(IF(E573="男",L573-16,L573-53),0))))</f>
        <v>0</v>
      </c>
      <c r="O573" s="23">
        <f>IF(E573="男",LOOKUP($N573,[1]对照表!$Z$3:$Z$13,[1]对照表!$AA$3:$AA$13),LOOKUP($N573,[1]对照表!$Z$15:$Z$25,[1]对照表!$AA$15:$AA$25))</f>
        <v>0</v>
      </c>
      <c r="P573" s="24">
        <f>M573+O573</f>
        <v>95</v>
      </c>
      <c r="Q573" s="25">
        <v>3.53</v>
      </c>
      <c r="R573" s="32">
        <f>IF(B573="高三",IF($E573="男",LOOKUP(Q573,[1]对照表!$W$3:$W$24,[1]对照表!$X$3:$X$24),LOOKUP(Q573,[1]对照表!$W$27:$W$48,[1]对照表!$X$27:$X$48)),IF(B573="高二",IF($E573="男",LOOKUP(Q573,[1]对照表!$V$3:$V$24,[1]对照表!$X$3:$X$24),LOOKUP(Q573,[1]对照表!$V$27:$V$48,[1]对照表!$X$27:$X$48)),IF(B573="高一",IF($E573="男",LOOKUP(Q573,[1]对照表!$U$3:$U$24,[1]对照表!$X$3:$X$24),LOOKUP(Q573,[1]对照表!$U$27:$U$48,[1]对照表!$X$27:$X$48)))))</f>
        <v>78</v>
      </c>
      <c r="S573" s="33">
        <f>ROUND(IF(IF($B573="高三",MIN(IF($E573="男",$Q573-3.2,$Q573-3.2),0),IF($B573="高二",MIN(IF($E573="男",$Q573-3.25,$Q573-3.22),0),IF($B573="高一",MIN(IF($E573="男",$Q573-3.3,$Q573-3.24),0))))&lt;-0.6,IF($B573="高三",MIN(IF($E573="男",$Q573-3.2,$Q573-3.2),0),IF($B573="高二",MIN(IF($E573="男",$Q573-3.25,$Q573-3.22),0),IF($B573="高一",MIN(IF($E573="男",$Q573-3.3,$Q573-3.24),0))))+0.4,IF($B573="高三",MIN(IF($E573="男",$Q573-3.2,$Q573-3.2),0),IF($B573="高二",MIN(IF($E573="男",$Q573-3.25,$Q573-3.22),0),IF($B573="高一",MIN(IF($E573="男",$Q573-3.3,$Q573-3.24),0))))),2)</f>
        <v>0</v>
      </c>
      <c r="T573" s="23">
        <f>IF(E573="男",LOOKUP($S573,[1]对照表!$AB$3:$AB$13,[1]对照表!$AC$3:$AC$13),LOOKUP($S573,[1]对照表!$AB$15:$AB$25,[1]对照表!$AC$15:$AC$25))</f>
        <v>0</v>
      </c>
      <c r="U573" s="26">
        <f>R573+T573</f>
        <v>78</v>
      </c>
      <c r="V573" s="26">
        <f>SUM(I573,K573,M573)/3*0.3+SUM(G573,R573)/2*0.4</f>
        <v>55.800000000000004</v>
      </c>
      <c r="W573" s="27">
        <f>O573+T573</f>
        <v>0</v>
      </c>
      <c r="X573" s="28">
        <f>V573/0.7+W573</f>
        <v>79.714285714285722</v>
      </c>
      <c r="Y573" s="28">
        <v>79.714285714285722</v>
      </c>
      <c r="Z573" s="21"/>
    </row>
    <row r="574" spans="1:26" x14ac:dyDescent="0.25">
      <c r="A574" s="16">
        <v>17</v>
      </c>
      <c r="B574" s="17" t="s">
        <v>21</v>
      </c>
      <c r="C574" s="16">
        <v>113</v>
      </c>
      <c r="D574" s="18" t="s">
        <v>626</v>
      </c>
      <c r="E574" s="16" t="s">
        <v>23</v>
      </c>
      <c r="F574" s="19">
        <v>9</v>
      </c>
      <c r="G574" s="32">
        <f>IF(B574="高三",IF($E574="男",LOOKUP(F574,[1]对照表!$G$3:$G$24,[1]对照表!$H$3:$H$24),LOOKUP(F574,[1]对照表!$G$27:$G$48,[1]对照表!$H$27:$H$48)),IF(B574="高二",IF($E574="男",LOOKUP(F574,[1]对照表!$F$3:$F$24,[1]对照表!$H$3:$H$24),LOOKUP(F574,[1]对照表!$F$27:$F$48,[1]对照表!$H$27:$H$48)),IF(B574="高一",IF($E574="男",LOOKUP(F574,[1]对照表!$E$3:$E$24,[1]对照表!$H$3:$H$24),LOOKUP(F574,[1]对照表!$E$27:$E$48,[1]对照表!$H$27:$H$48)))))</f>
        <v>64</v>
      </c>
      <c r="H574" s="21">
        <v>5.5</v>
      </c>
      <c r="I574" s="32">
        <f>IF(B574="高三",IF($E574="男",LOOKUP(H574,[1]对照表!$K$3:$K$24,[1]对照表!$L$3:$L$24),LOOKUP(H574,[1]对照表!$K$27:$K$48,[1]对照表!$L$27:$L$48)),IF(B574="高二",IF($E574="男",LOOKUP(H574,[1]对照表!$J$3:$J$24,[1]对照表!$L$3:$L$24),LOOKUP(H574,[1]对照表!$J$27:$J$48,[1]对照表!$L$27:$L$48)),IF(B574="高一",IF($E574="男",LOOKUP(H574,[1]对照表!$I$3:$I$24,[1]对照表!$L$3:$L$24),LOOKUP(H574,[1]对照表!$I$27:$I$48,[1]对照表!$L$27:$L$48)))))</f>
        <v>66</v>
      </c>
      <c r="J574" s="21">
        <v>165</v>
      </c>
      <c r="K574" s="32">
        <f>IF(B574="高三",IF($E574="男",LOOKUP(J574,[1]对照表!$O$3:$O$24,[1]对照表!$P$3:$P$24),LOOKUP(J574,[1]对照表!$O$27:$O$48,[1]对照表!$P$27:$P$48)),IF(B574="高二",IF($E574="男",LOOKUP(J574,[1]对照表!$N$3:$N$24,[1]对照表!$P$3:$P$24),LOOKUP(J574,[1]对照表!$N$27:$N$48,[1]对照表!$P$27:$P$48)),IF(B574="高一",IF($E574="男",LOOKUP(J574,[1]对照表!$M$3:$M$24,[1]对照表!$P$3:$P$24),LOOKUP(J574,[1]对照表!$M$27:$M$48,[1]对照表!$P$27:$P$48)))))</f>
        <v>0</v>
      </c>
      <c r="L574" s="21">
        <v>1</v>
      </c>
      <c r="M574" s="32">
        <f>IF(B574="高三",IF($E574="男",LOOKUP(L574,[1]对照表!$S$3:$S$24,[1]对照表!$T$3:$T$24),LOOKUP(L574,[1]对照表!$S$27:$S$48,[1]对照表!$T$27:$T$48)),IF(B574="高二",IF($E574="男",LOOKUP(L574,[1]对照表!$R$3:$R$24,[1]对照表!$T$3:$T$24),LOOKUP(L574,[1]对照表!$R$27:$R$48,[1]对照表!$T$27:$T$48)),IF(B574="高一",IF($E574="男",LOOKUP(L574,[1]对照表!$Q$3:$Q$24,[1]对照表!$T$3:$T$24),LOOKUP(L574,[1]对照表!$Q$27:$Q$48,[1]对照表!$T$27:$T$48)))))</f>
        <v>0</v>
      </c>
      <c r="N574" s="33">
        <f>IF(B574="高三",MAX(IF(E574="男",L574-18,L574-55),0),IF(B574="高二",MAX(IF(E574="男",L574-17,L574-54),0),IF(B574="高一",MAX(IF(E574="男",L574-16,L574-53),0))))</f>
        <v>0</v>
      </c>
      <c r="O574" s="23">
        <f>IF(E574="男",LOOKUP($N574,[1]对照表!$Z$3:$Z$13,[1]对照表!$AA$3:$AA$13),LOOKUP($N574,[1]对照表!$Z$15:$Z$25,[1]对照表!$AA$15:$AA$25))</f>
        <v>0</v>
      </c>
      <c r="P574" s="24">
        <f>M574+O574</f>
        <v>0</v>
      </c>
      <c r="Q574" s="25">
        <v>5.12</v>
      </c>
      <c r="R574" s="32">
        <f>IF(B574="高三",IF($E574="男",LOOKUP(Q574,[1]对照表!$W$3:$W$24,[1]对照表!$X$3:$X$24),LOOKUP(Q574,[1]对照表!$W$27:$W$48,[1]对照表!$X$27:$X$48)),IF(B574="高二",IF($E574="男",LOOKUP(Q574,[1]对照表!$V$3:$V$24,[1]对照表!$X$3:$X$24),LOOKUP(Q574,[1]对照表!$V$27:$V$48,[1]对照表!$X$27:$X$48)),IF(B574="高一",IF($E574="男",LOOKUP(Q574,[1]对照表!$U$3:$U$24,[1]对照表!$X$3:$X$24),LOOKUP(Q574,[1]对照表!$U$27:$U$48,[1]对照表!$X$27:$X$48)))))</f>
        <v>40</v>
      </c>
      <c r="S574" s="33">
        <f>ROUND(IF(IF($B574="高三",MIN(IF($E574="男",$Q574-3.2,$Q574-3.2),0),IF($B574="高二",MIN(IF($E574="男",$Q574-3.25,$Q574-3.22),0),IF($B574="高一",MIN(IF($E574="男",$Q574-3.3,$Q574-3.24),0))))&lt;-0.6,IF($B574="高三",MIN(IF($E574="男",$Q574-3.2,$Q574-3.2),0),IF($B574="高二",MIN(IF($E574="男",$Q574-3.25,$Q574-3.22),0),IF($B574="高一",MIN(IF($E574="男",$Q574-3.3,$Q574-3.24),0))))+0.4,IF($B574="高三",MIN(IF($E574="男",$Q574-3.2,$Q574-3.2),0),IF($B574="高二",MIN(IF($E574="男",$Q574-3.25,$Q574-3.22),0),IF($B574="高一",MIN(IF($E574="男",$Q574-3.3,$Q574-3.24),0))))),2)</f>
        <v>0</v>
      </c>
      <c r="T574" s="23">
        <f>IF(E574="男",LOOKUP($S574,[1]对照表!$AB$3:$AB$13,[1]对照表!$AC$3:$AC$13),LOOKUP($S574,[1]对照表!$AB$15:$AB$25,[1]对照表!$AC$15:$AC$25))</f>
        <v>0</v>
      </c>
      <c r="U574" s="26">
        <f>R574+T574</f>
        <v>40</v>
      </c>
      <c r="V574" s="26">
        <f>SUM(I574,K574,M574)/3*0.3+SUM(G574,R574)/2*0.4</f>
        <v>27.4</v>
      </c>
      <c r="W574" s="27">
        <f>O574+T574</f>
        <v>0</v>
      </c>
      <c r="X574" s="28">
        <f>V574/0.7+W574</f>
        <v>39.142857142857146</v>
      </c>
      <c r="Y574" s="29">
        <v>50</v>
      </c>
      <c r="Z574" s="21"/>
    </row>
    <row r="575" spans="1:26" x14ac:dyDescent="0.25">
      <c r="A575" s="16">
        <v>46</v>
      </c>
      <c r="B575" s="17" t="s">
        <v>21</v>
      </c>
      <c r="C575" s="16">
        <v>113</v>
      </c>
      <c r="D575" s="18" t="s">
        <v>645</v>
      </c>
      <c r="E575" s="17" t="s">
        <v>65</v>
      </c>
      <c r="F575" s="19">
        <v>9.26</v>
      </c>
      <c r="G575" s="32">
        <f>IF(B575="高三",IF($E575="男",LOOKUP(F575,[1]对照表!$G$3:$G$24,[1]对照表!$H$3:$H$24),LOOKUP(F575,[1]对照表!$G$27:$G$48,[1]对照表!$H$27:$H$48)),IF(B575="高二",IF($E575="男",LOOKUP(F575,[1]对照表!$F$3:$F$24,[1]对照表!$H$3:$H$24),LOOKUP(F575,[1]对照表!$F$27:$F$48,[1]对照表!$H$27:$H$48)),IF(B575="高一",IF($E575="男",LOOKUP(F575,[1]对照表!$E$3:$E$24,[1]对照表!$H$3:$H$24),LOOKUP(F575,[1]对照表!$E$27:$E$48,[1]对照表!$H$27:$H$48)))))</f>
        <v>72</v>
      </c>
      <c r="H575" s="21">
        <v>22.5</v>
      </c>
      <c r="I575" s="32">
        <f>IF(B575="高三",IF($E575="男",LOOKUP(H575,[1]对照表!$K$3:$K$24,[1]对照表!$L$3:$L$24),LOOKUP(H575,[1]对照表!$K$27:$K$48,[1]对照表!$L$27:$L$48)),IF(B575="高二",IF($E575="男",LOOKUP(H575,[1]对照表!$J$3:$J$24,[1]对照表!$L$3:$L$24),LOOKUP(H575,[1]对照表!$J$27:$J$48,[1]对照表!$L$27:$L$48)),IF(B575="高一",IF($E575="男",LOOKUP(H575,[1]对照表!$I$3:$I$24,[1]对照表!$L$3:$L$24),LOOKUP(H575,[1]对照表!$I$27:$I$48,[1]对照表!$L$27:$L$48)))))</f>
        <v>95</v>
      </c>
      <c r="J575" s="21">
        <v>176</v>
      </c>
      <c r="K575" s="32">
        <f>IF(B575="高三",IF($E575="男",LOOKUP(J575,[1]对照表!$O$3:$O$24,[1]对照表!$P$3:$P$24),LOOKUP(J575,[1]对照表!$O$27:$O$48,[1]对照表!$P$27:$P$48)),IF(B575="高二",IF($E575="男",LOOKUP(J575,[1]对照表!$N$3:$N$24,[1]对照表!$P$3:$P$24),LOOKUP(J575,[1]对照表!$N$27:$N$48,[1]对照表!$P$27:$P$48)),IF(B575="高一",IF($E575="男",LOOKUP(J575,[1]对照表!$M$3:$M$24,[1]对照表!$P$3:$P$24),LOOKUP(J575,[1]对照表!$M$27:$M$48,[1]对照表!$P$27:$P$48)))))</f>
        <v>78</v>
      </c>
      <c r="L575" s="21">
        <v>46</v>
      </c>
      <c r="M575" s="32">
        <f>IF(B575="高三",IF($E575="男",LOOKUP(L575,[1]对照表!$S$3:$S$24,[1]对照表!$T$3:$T$24),LOOKUP(L575,[1]对照表!$S$27:$S$48,[1]对照表!$T$27:$T$48)),IF(B575="高二",IF($E575="男",LOOKUP(L575,[1]对照表!$R$3:$R$24,[1]对照表!$T$3:$T$24),LOOKUP(L575,[1]对照表!$R$27:$R$48,[1]对照表!$T$27:$T$48)),IF(B575="高一",IF($E575="男",LOOKUP(L575,[1]对照表!$Q$3:$Q$24,[1]对照表!$T$3:$T$24),LOOKUP(L575,[1]对照表!$Q$27:$Q$48,[1]对照表!$T$27:$T$48)))))</f>
        <v>85</v>
      </c>
      <c r="N575" s="33">
        <f>IF(B575="高三",MAX(IF(E575="男",L575-18,L575-55),0),IF(B575="高二",MAX(IF(E575="男",L575-17,L575-54),0),IF(B575="高一",MAX(IF(E575="男",L575-16,L575-53),0))))</f>
        <v>0</v>
      </c>
      <c r="O575" s="23">
        <f>IF(E575="男",LOOKUP($N575,[1]对照表!$Z$3:$Z$13,[1]对照表!$AA$3:$AA$13),LOOKUP($N575,[1]对照表!$Z$15:$Z$25,[1]对照表!$AA$15:$AA$25))</f>
        <v>0</v>
      </c>
      <c r="P575" s="24">
        <f>M575+O575</f>
        <v>85</v>
      </c>
      <c r="Q575" s="25">
        <v>3.54</v>
      </c>
      <c r="R575" s="32">
        <f>IF(B575="高三",IF($E575="男",LOOKUP(Q575,[1]对照表!$W$3:$W$24,[1]对照表!$X$3:$X$24),LOOKUP(Q575,[1]对照表!$W$27:$W$48,[1]对照表!$X$27:$X$48)),IF(B575="高二",IF($E575="男",LOOKUP(Q575,[1]对照表!$V$3:$V$24,[1]对照表!$X$3:$X$24),LOOKUP(Q575,[1]对照表!$V$27:$V$48,[1]对照表!$X$27:$X$48)),IF(B575="高一",IF($E575="男",LOOKUP(Q575,[1]对照表!$U$3:$U$24,[1]对照表!$X$3:$X$24),LOOKUP(Q575,[1]对照表!$U$27:$U$48,[1]对照表!$X$27:$X$48)))))</f>
        <v>78</v>
      </c>
      <c r="S575" s="33">
        <f>ROUND(IF(IF($B575="高三",MIN(IF($E575="男",$Q575-3.2,$Q575-3.2),0),IF($B575="高二",MIN(IF($E575="男",$Q575-3.25,$Q575-3.22),0),IF($B575="高一",MIN(IF($E575="男",$Q575-3.3,$Q575-3.24),0))))&lt;-0.6,IF($B575="高三",MIN(IF($E575="男",$Q575-3.2,$Q575-3.2),0),IF($B575="高二",MIN(IF($E575="男",$Q575-3.25,$Q575-3.22),0),IF($B575="高一",MIN(IF($E575="男",$Q575-3.3,$Q575-3.24),0))))+0.4,IF($B575="高三",MIN(IF($E575="男",$Q575-3.2,$Q575-3.2),0),IF($B575="高二",MIN(IF($E575="男",$Q575-3.25,$Q575-3.22),0),IF($B575="高一",MIN(IF($E575="男",$Q575-3.3,$Q575-3.24),0))))),2)</f>
        <v>0</v>
      </c>
      <c r="T575" s="23">
        <f>IF(E575="男",LOOKUP($S575,[1]对照表!$AB$3:$AB$13,[1]对照表!$AC$3:$AC$13),LOOKUP($S575,[1]对照表!$AB$15:$AB$25,[1]对照表!$AC$15:$AC$25))</f>
        <v>0</v>
      </c>
      <c r="U575" s="26">
        <f>R575+T575</f>
        <v>78</v>
      </c>
      <c r="V575" s="26">
        <f>SUM(I575,K575,M575)/3*0.3+SUM(G575,R575)/2*0.4</f>
        <v>55.8</v>
      </c>
      <c r="W575" s="27">
        <f>O575+T575</f>
        <v>0</v>
      </c>
      <c r="X575" s="28">
        <f>V575/0.7+W575</f>
        <v>79.714285714285708</v>
      </c>
      <c r="Y575" s="28">
        <v>79.714285714285708</v>
      </c>
      <c r="Z575" s="21"/>
    </row>
    <row r="576" spans="1:26" x14ac:dyDescent="0.25">
      <c r="A576" s="16">
        <v>34</v>
      </c>
      <c r="B576" s="17" t="s">
        <v>21</v>
      </c>
      <c r="C576" s="16">
        <v>113</v>
      </c>
      <c r="D576" s="18" t="s">
        <v>660</v>
      </c>
      <c r="E576" s="17" t="s">
        <v>65</v>
      </c>
      <c r="F576" s="19">
        <v>9.2899999999999991</v>
      </c>
      <c r="G576" s="32">
        <f>IF(B576="高三",IF($E576="男",LOOKUP(F576,[1]对照表!$G$3:$G$24,[1]对照表!$H$3:$H$24),LOOKUP(F576,[1]对照表!$G$27:$G$48,[1]对照表!$H$27:$H$48)),IF(B576="高二",IF($E576="男",LOOKUP(F576,[1]对照表!$F$3:$F$24,[1]对照表!$H$3:$H$24),LOOKUP(F576,[1]对照表!$F$27:$F$48,[1]对照表!$H$27:$H$48)),IF(B576="高一",IF($E576="男",LOOKUP(F576,[1]对照表!$E$3:$E$24,[1]对照表!$H$3:$H$24),LOOKUP(F576,[1]对照表!$E$27:$E$48,[1]对照表!$H$27:$H$48)))))</f>
        <v>72</v>
      </c>
      <c r="H576" s="21">
        <v>20</v>
      </c>
      <c r="I576" s="32">
        <f>IF(B576="高三",IF($E576="男",LOOKUP(H576,[1]对照表!$K$3:$K$24,[1]对照表!$L$3:$L$24),LOOKUP(H576,[1]对照表!$K$27:$K$48,[1]对照表!$L$27:$L$48)),IF(B576="高二",IF($E576="男",LOOKUP(H576,[1]对照表!$J$3:$J$24,[1]对照表!$L$3:$L$24),LOOKUP(H576,[1]对照表!$J$27:$J$48,[1]对照表!$L$27:$L$48)),IF(B576="高一",IF($E576="男",LOOKUP(H576,[1]对照表!$I$3:$I$24,[1]对照表!$L$3:$L$24),LOOKUP(H576,[1]对照表!$I$27:$I$48,[1]对照表!$L$27:$L$48)))))</f>
        <v>85</v>
      </c>
      <c r="J576" s="21">
        <v>175</v>
      </c>
      <c r="K576" s="32">
        <f>IF(B576="高三",IF($E576="男",LOOKUP(J576,[1]对照表!$O$3:$O$24,[1]对照表!$P$3:$P$24),LOOKUP(J576,[1]对照表!$O$27:$O$48,[1]对照表!$P$27:$P$48)),IF(B576="高二",IF($E576="男",LOOKUP(J576,[1]对照表!$N$3:$N$24,[1]对照表!$P$3:$P$24),LOOKUP(J576,[1]对照表!$N$27:$N$48,[1]对照表!$P$27:$P$48)),IF(B576="高一",IF($E576="男",LOOKUP(J576,[1]对照表!$M$3:$M$24,[1]对照表!$P$3:$P$24),LOOKUP(J576,[1]对照表!$M$27:$M$48,[1]对照表!$P$27:$P$48)))))</f>
        <v>78</v>
      </c>
      <c r="L576" s="21">
        <v>50</v>
      </c>
      <c r="M576" s="32">
        <f>IF(B576="高三",IF($E576="男",LOOKUP(L576,[1]对照表!$S$3:$S$24,[1]对照表!$T$3:$T$24),LOOKUP(L576,[1]对照表!$S$27:$S$48,[1]对照表!$T$27:$T$48)),IF(B576="高二",IF($E576="男",LOOKUP(L576,[1]对照表!$R$3:$R$24,[1]对照表!$T$3:$T$24),LOOKUP(L576,[1]对照表!$R$27:$R$48,[1]对照表!$T$27:$T$48)),IF(B576="高一",IF($E576="男",LOOKUP(L576,[1]对照表!$Q$3:$Q$24,[1]对照表!$T$3:$T$24),LOOKUP(L576,[1]对照表!$Q$27:$Q$48,[1]对照表!$T$27:$T$48)))))</f>
        <v>90</v>
      </c>
      <c r="N576" s="33">
        <f>IF(B576="高三",MAX(IF(E576="男",L576-18,L576-55),0),IF(B576="高二",MAX(IF(E576="男",L576-17,L576-54),0),IF(B576="高一",MAX(IF(E576="男",L576-16,L576-53),0))))</f>
        <v>0</v>
      </c>
      <c r="O576" s="23">
        <f>IF(E576="男",LOOKUP($N576,[1]对照表!$Z$3:$Z$13,[1]对照表!$AA$3:$AA$13),LOOKUP($N576,[1]对照表!$Z$15:$Z$25,[1]对照表!$AA$15:$AA$25))</f>
        <v>0</v>
      </c>
      <c r="P576" s="24">
        <f>M576+O576</f>
        <v>90</v>
      </c>
      <c r="Q576" s="25">
        <v>3.58</v>
      </c>
      <c r="R576" s="32">
        <f>IF(B576="高三",IF($E576="男",LOOKUP(Q576,[1]对照表!$W$3:$W$24,[1]对照表!$X$3:$X$24),LOOKUP(Q576,[1]对照表!$W$27:$W$48,[1]对照表!$X$27:$X$48)),IF(B576="高二",IF($E576="男",LOOKUP(Q576,[1]对照表!$V$3:$V$24,[1]对照表!$X$3:$X$24),LOOKUP(Q576,[1]对照表!$V$27:$V$48,[1]对照表!$X$27:$X$48)),IF(B576="高一",IF($E576="男",LOOKUP(Q576,[1]对照表!$U$3:$U$24,[1]对照表!$X$3:$X$24),LOOKUP(Q576,[1]对照表!$U$27:$U$48,[1]对照表!$X$27:$X$48)))))</f>
        <v>76</v>
      </c>
      <c r="S576" s="33">
        <f>ROUND(IF(IF($B576="高三",MIN(IF($E576="男",$Q576-3.2,$Q576-3.2),0),IF($B576="高二",MIN(IF($E576="男",$Q576-3.25,$Q576-3.22),0),IF($B576="高一",MIN(IF($E576="男",$Q576-3.3,$Q576-3.24),0))))&lt;-0.6,IF($B576="高三",MIN(IF($E576="男",$Q576-3.2,$Q576-3.2),0),IF($B576="高二",MIN(IF($E576="男",$Q576-3.25,$Q576-3.22),0),IF($B576="高一",MIN(IF($E576="男",$Q576-3.3,$Q576-3.24),0))))+0.4,IF($B576="高三",MIN(IF($E576="男",$Q576-3.2,$Q576-3.2),0),IF($B576="高二",MIN(IF($E576="男",$Q576-3.25,$Q576-3.22),0),IF($B576="高一",MIN(IF($E576="男",$Q576-3.3,$Q576-3.24),0))))),2)</f>
        <v>0</v>
      </c>
      <c r="T576" s="23">
        <f>IF(E576="男",LOOKUP($S576,[1]对照表!$AB$3:$AB$13,[1]对照表!$AC$3:$AC$13),LOOKUP($S576,[1]对照表!$AB$15:$AB$25,[1]对照表!$AC$15:$AC$25))</f>
        <v>0</v>
      </c>
      <c r="U576" s="26">
        <f>R576+T576</f>
        <v>76</v>
      </c>
      <c r="V576" s="26">
        <f>SUM(I576,K576,M576)/3*0.3+SUM(G576,R576)/2*0.4</f>
        <v>54.9</v>
      </c>
      <c r="W576" s="27">
        <f>O576+T576</f>
        <v>0</v>
      </c>
      <c r="X576" s="28">
        <f>V576/0.7+W576</f>
        <v>78.428571428571431</v>
      </c>
      <c r="Y576" s="28">
        <v>78.428571428571431</v>
      </c>
      <c r="Z576" s="21"/>
    </row>
    <row r="577" spans="1:26" x14ac:dyDescent="0.25">
      <c r="A577" s="16">
        <v>25</v>
      </c>
      <c r="B577" s="17" t="s">
        <v>21</v>
      </c>
      <c r="C577" s="16">
        <v>113</v>
      </c>
      <c r="D577" s="18" t="s">
        <v>661</v>
      </c>
      <c r="E577" s="31" t="s">
        <v>65</v>
      </c>
      <c r="F577" s="19">
        <v>9.3000000000000007</v>
      </c>
      <c r="G577" s="32">
        <f>IF(B577="高三",IF($E577="男",LOOKUP(F577,[1]对照表!$G$3:$G$24,[1]对照表!$H$3:$H$24),LOOKUP(F577,[1]对照表!$G$27:$G$48,[1]对照表!$H$27:$H$48)),IF(B577="高二",IF($E577="男",LOOKUP(F577,[1]对照表!$F$3:$F$24,[1]对照表!$H$3:$H$24),LOOKUP(F577,[1]对照表!$F$27:$F$48,[1]对照表!$H$27:$H$48)),IF(B577="高一",IF($E577="男",LOOKUP(F577,[1]对照表!$E$3:$E$24,[1]对照表!$H$3:$H$24),LOOKUP(F577,[1]对照表!$E$27:$E$48,[1]对照表!$H$27:$H$48)))))</f>
        <v>72</v>
      </c>
      <c r="H577" s="21">
        <v>17.5</v>
      </c>
      <c r="I577" s="32">
        <f>IF(B577="高三",IF($E577="男",LOOKUP(H577,[1]对照表!$K$3:$K$24,[1]对照表!$L$3:$L$24),LOOKUP(H577,[1]对照表!$K$27:$K$48,[1]对照表!$L$27:$L$48)),IF(B577="高二",IF($E577="男",LOOKUP(H577,[1]对照表!$J$3:$J$24,[1]对照表!$L$3:$L$24),LOOKUP(H577,[1]对照表!$J$27:$J$48,[1]对照表!$L$27:$L$48)),IF(B577="高一",IF($E577="男",LOOKUP(H577,[1]对照表!$I$3:$I$24,[1]对照表!$L$3:$L$24),LOOKUP(H577,[1]对照表!$I$27:$I$48,[1]对照表!$L$27:$L$48)))))</f>
        <v>80</v>
      </c>
      <c r="J577" s="21">
        <v>153</v>
      </c>
      <c r="K577" s="32">
        <f>IF(B577="高三",IF($E577="男",LOOKUP(J577,[1]对照表!$O$3:$O$24,[1]对照表!$P$3:$P$24),LOOKUP(J577,[1]对照表!$O$27:$O$48,[1]对照表!$P$27:$P$48)),IF(B577="高二",IF($E577="男",LOOKUP(J577,[1]对照表!$N$3:$N$24,[1]对照表!$P$3:$P$24),LOOKUP(J577,[1]对照表!$N$27:$N$48,[1]对照表!$P$27:$P$48)),IF(B577="高一",IF($E577="男",LOOKUP(J577,[1]对照表!$M$3:$M$24,[1]对照表!$P$3:$P$24),LOOKUP(J577,[1]对照表!$M$27:$M$48,[1]对照表!$P$27:$P$48)))))</f>
        <v>62</v>
      </c>
      <c r="L577" s="21">
        <v>45</v>
      </c>
      <c r="M577" s="32">
        <f>IF(B577="高三",IF($E577="男",LOOKUP(L577,[1]对照表!$S$3:$S$24,[1]对照表!$T$3:$T$24),LOOKUP(L577,[1]对照表!$S$27:$S$48,[1]对照表!$T$27:$T$48)),IF(B577="高二",IF($E577="男",LOOKUP(L577,[1]对照表!$R$3:$R$24,[1]对照表!$T$3:$T$24),LOOKUP(L577,[1]对照表!$R$27:$R$48,[1]对照表!$T$27:$T$48)),IF(B577="高一",IF($E577="男",LOOKUP(L577,[1]对照表!$Q$3:$Q$24,[1]对照表!$T$3:$T$24),LOOKUP(L577,[1]对照表!$Q$27:$Q$48,[1]对照表!$T$27:$T$48)))))</f>
        <v>80</v>
      </c>
      <c r="N577" s="33">
        <f>IF(B577="高三",MAX(IF(E577="男",L577-18,L577-55),0),IF(B577="高二",MAX(IF(E577="男",L577-17,L577-54),0),IF(B577="高一",MAX(IF(E577="男",L577-16,L577-53),0))))</f>
        <v>0</v>
      </c>
      <c r="O577" s="23">
        <f>IF(E577="男",LOOKUP($N577,[1]对照表!$Z$3:$Z$13,[1]对照表!$AA$3:$AA$13),LOOKUP($N577,[1]对照表!$Z$15:$Z$25,[1]对照表!$AA$15:$AA$25))</f>
        <v>0</v>
      </c>
      <c r="P577" s="24">
        <f>M577+O577</f>
        <v>80</v>
      </c>
      <c r="Q577" s="25">
        <v>3.58</v>
      </c>
      <c r="R577" s="32">
        <f>IF(B577="高三",IF($E577="男",LOOKUP(Q577,[1]对照表!$W$3:$W$24,[1]对照表!$X$3:$X$24),LOOKUP(Q577,[1]对照表!$W$27:$W$48,[1]对照表!$X$27:$X$48)),IF(B577="高二",IF($E577="男",LOOKUP(Q577,[1]对照表!$V$3:$V$24,[1]对照表!$X$3:$X$24),LOOKUP(Q577,[1]对照表!$V$27:$V$48,[1]对照表!$X$27:$X$48)),IF(B577="高一",IF($E577="男",LOOKUP(Q577,[1]对照表!$U$3:$U$24,[1]对照表!$X$3:$X$24),LOOKUP(Q577,[1]对照表!$U$27:$U$48,[1]对照表!$X$27:$X$48)))))</f>
        <v>76</v>
      </c>
      <c r="S577" s="33">
        <f>ROUND(IF(IF($B577="高三",MIN(IF($E577="男",$Q577-3.2,$Q577-3.2),0),IF($B577="高二",MIN(IF($E577="男",$Q577-3.25,$Q577-3.22),0),IF($B577="高一",MIN(IF($E577="男",$Q577-3.3,$Q577-3.24),0))))&lt;-0.6,IF($B577="高三",MIN(IF($E577="男",$Q577-3.2,$Q577-3.2),0),IF($B577="高二",MIN(IF($E577="男",$Q577-3.25,$Q577-3.22),0),IF($B577="高一",MIN(IF($E577="男",$Q577-3.3,$Q577-3.24),0))))+0.4,IF($B577="高三",MIN(IF($E577="男",$Q577-3.2,$Q577-3.2),0),IF($B577="高二",MIN(IF($E577="男",$Q577-3.25,$Q577-3.22),0),IF($B577="高一",MIN(IF($E577="男",$Q577-3.3,$Q577-3.24),0))))),2)</f>
        <v>0</v>
      </c>
      <c r="T577" s="23">
        <f>IF(E577="男",LOOKUP($S577,[1]对照表!$AB$3:$AB$13,[1]对照表!$AC$3:$AC$13),LOOKUP($S577,[1]对照表!$AB$15:$AB$25,[1]对照表!$AC$15:$AC$25))</f>
        <v>0</v>
      </c>
      <c r="U577" s="26">
        <f>R577+T577</f>
        <v>76</v>
      </c>
      <c r="V577" s="26">
        <f>SUM(I577,K577,M577)/3*0.3+SUM(G577,R577)/2*0.4</f>
        <v>51.8</v>
      </c>
      <c r="W577" s="27">
        <f>O577+T577</f>
        <v>0</v>
      </c>
      <c r="X577" s="28">
        <f>V577/0.7+W577</f>
        <v>74</v>
      </c>
      <c r="Y577" s="28">
        <v>74</v>
      </c>
      <c r="Z577" s="21"/>
    </row>
    <row r="578" spans="1:26" x14ac:dyDescent="0.25">
      <c r="A578" s="16">
        <v>56</v>
      </c>
      <c r="B578" s="17" t="s">
        <v>21</v>
      </c>
      <c r="C578" s="16">
        <v>113</v>
      </c>
      <c r="D578" s="18" t="s">
        <v>679</v>
      </c>
      <c r="E578" s="16" t="s">
        <v>65</v>
      </c>
      <c r="F578" s="19">
        <v>9.98</v>
      </c>
      <c r="G578" s="32">
        <f>IF(B578="高三",IF($E578="男",LOOKUP(F578,[1]对照表!$G$3:$G$24,[1]对照表!$H$3:$H$24),LOOKUP(F578,[1]对照表!$G$27:$G$48,[1]对照表!$H$27:$H$48)),IF(B578="高二",IF($E578="男",LOOKUP(F578,[1]对照表!$F$3:$F$24,[1]对照表!$H$3:$H$24),LOOKUP(F578,[1]对照表!$F$27:$F$48,[1]对照表!$H$27:$H$48)),IF(B578="高一",IF($E578="男",LOOKUP(F578,[1]对照表!$E$3:$E$24,[1]对照表!$H$3:$H$24),LOOKUP(F578,[1]对照表!$E$27:$E$48,[1]对照表!$H$27:$H$48)))))</f>
        <v>66</v>
      </c>
      <c r="H578" s="21">
        <v>10</v>
      </c>
      <c r="I578" s="32">
        <f>IF(B578="高三",IF($E578="男",LOOKUP(H578,[1]对照表!$K$3:$K$24,[1]对照表!$L$3:$L$24),LOOKUP(H578,[1]对照表!$K$27:$K$48,[1]对照表!$L$27:$L$48)),IF(B578="高二",IF($E578="男",LOOKUP(H578,[1]对照表!$J$3:$J$24,[1]对照表!$L$3:$L$24),LOOKUP(H578,[1]对照表!$J$27:$J$48,[1]对照表!$L$27:$L$48)),IF(B578="高一",IF($E578="男",LOOKUP(H578,[1]对照表!$I$3:$I$24,[1]对照表!$L$3:$L$24),LOOKUP(H578,[1]对照表!$I$27:$I$48,[1]对照表!$L$27:$L$48)))))</f>
        <v>68</v>
      </c>
      <c r="J578" s="21">
        <v>166</v>
      </c>
      <c r="K578" s="32">
        <f>IF(B578="高三",IF($E578="男",LOOKUP(J578,[1]对照表!$O$3:$O$24,[1]对照表!$P$3:$P$24),LOOKUP(J578,[1]对照表!$O$27:$O$48,[1]对照表!$P$27:$P$48)),IF(B578="高二",IF($E578="男",LOOKUP(J578,[1]对照表!$N$3:$N$24,[1]对照表!$P$3:$P$24),LOOKUP(J578,[1]对照表!$N$27:$N$48,[1]对照表!$P$27:$P$48)),IF(B578="高一",IF($E578="男",LOOKUP(J578,[1]对照表!$M$3:$M$24,[1]对照表!$P$3:$P$24),LOOKUP(J578,[1]对照表!$M$27:$M$48,[1]对照表!$P$27:$P$48)))))</f>
        <v>72</v>
      </c>
      <c r="L578" s="21">
        <v>37</v>
      </c>
      <c r="M578" s="32">
        <f>IF(B578="高三",IF($E578="男",LOOKUP(L578,[1]对照表!$S$3:$S$24,[1]对照表!$T$3:$T$24),LOOKUP(L578,[1]对照表!$S$27:$S$48,[1]对照表!$T$27:$T$48)),IF(B578="高二",IF($E578="男",LOOKUP(L578,[1]对照表!$R$3:$R$24,[1]对照表!$T$3:$T$24),LOOKUP(L578,[1]对照表!$R$27:$R$48,[1]对照表!$T$27:$T$48)),IF(B578="高一",IF($E578="男",LOOKUP(L578,[1]对照表!$Q$3:$Q$24,[1]对照表!$T$3:$T$24),LOOKUP(L578,[1]对照表!$Q$27:$Q$48,[1]对照表!$T$27:$T$48)))))</f>
        <v>74</v>
      </c>
      <c r="N578" s="33">
        <f>IF(B578="高三",MAX(IF(E578="男",L578-18,L578-55),0),IF(B578="高二",MAX(IF(E578="男",L578-17,L578-54),0),IF(B578="高一",MAX(IF(E578="男",L578-16,L578-53),0))))</f>
        <v>0</v>
      </c>
      <c r="O578" s="23">
        <f>IF(E578="男",LOOKUP($N578,[1]对照表!$Z$3:$Z$13,[1]对照表!$AA$3:$AA$13),LOOKUP($N578,[1]对照表!$Z$15:$Z$25,[1]对照表!$AA$15:$AA$25))</f>
        <v>0</v>
      </c>
      <c r="P578" s="24">
        <f>M578+O578</f>
        <v>74</v>
      </c>
      <c r="Q578" s="25">
        <v>3.59</v>
      </c>
      <c r="R578" s="32">
        <f>IF(B578="高三",IF($E578="男",LOOKUP(Q578,[1]对照表!$W$3:$W$24,[1]对照表!$X$3:$X$24),LOOKUP(Q578,[1]对照表!$W$27:$W$48,[1]对照表!$X$27:$X$48)),IF(B578="高二",IF($E578="男",LOOKUP(Q578,[1]对照表!$V$3:$V$24,[1]对照表!$X$3:$X$24),LOOKUP(Q578,[1]对照表!$V$27:$V$48,[1]对照表!$X$27:$X$48)),IF(B578="高一",IF($E578="男",LOOKUP(Q578,[1]对照表!$U$3:$U$24,[1]对照表!$X$3:$X$24),LOOKUP(Q578,[1]对照表!$U$27:$U$48,[1]对照表!$X$27:$X$48)))))</f>
        <v>76</v>
      </c>
      <c r="S578" s="33">
        <f>ROUND(IF(IF($B578="高三",MIN(IF($E578="男",$Q578-3.2,$Q578-3.2),0),IF($B578="高二",MIN(IF($E578="男",$Q578-3.25,$Q578-3.22),0),IF($B578="高一",MIN(IF($E578="男",$Q578-3.3,$Q578-3.24),0))))&lt;-0.6,IF($B578="高三",MIN(IF($E578="男",$Q578-3.2,$Q578-3.2),0),IF($B578="高二",MIN(IF($E578="男",$Q578-3.25,$Q578-3.22),0),IF($B578="高一",MIN(IF($E578="男",$Q578-3.3,$Q578-3.24),0))))+0.4,IF($B578="高三",MIN(IF($E578="男",$Q578-3.2,$Q578-3.2),0),IF($B578="高二",MIN(IF($E578="男",$Q578-3.25,$Q578-3.22),0),IF($B578="高一",MIN(IF($E578="男",$Q578-3.3,$Q578-3.24),0))))),2)</f>
        <v>0</v>
      </c>
      <c r="T578" s="23">
        <f>IF(E578="男",LOOKUP($S578,[1]对照表!$AB$3:$AB$13,[1]对照表!$AC$3:$AC$13),LOOKUP($S578,[1]对照表!$AB$15:$AB$25,[1]对照表!$AC$15:$AC$25))</f>
        <v>0</v>
      </c>
      <c r="U578" s="26">
        <f>R578+T578</f>
        <v>76</v>
      </c>
      <c r="V578" s="26">
        <f>SUM(I578,K578,M578)/3*0.3+SUM(G578,R578)/2*0.4</f>
        <v>49.8</v>
      </c>
      <c r="W578" s="27">
        <f>O578+T578</f>
        <v>0</v>
      </c>
      <c r="X578" s="28">
        <f>V578/0.7+W578</f>
        <v>71.142857142857139</v>
      </c>
      <c r="Y578" s="28">
        <v>71.142857142857139</v>
      </c>
      <c r="Z578" s="21"/>
    </row>
    <row r="579" spans="1:26" x14ac:dyDescent="0.25">
      <c r="A579" s="16">
        <v>31</v>
      </c>
      <c r="B579" s="17" t="s">
        <v>21</v>
      </c>
      <c r="C579" s="16">
        <v>113</v>
      </c>
      <c r="D579" s="18" t="s">
        <v>687</v>
      </c>
      <c r="E579" s="17" t="s">
        <v>65</v>
      </c>
      <c r="F579" s="19">
        <v>9.4</v>
      </c>
      <c r="G579" s="32">
        <f>IF(B579="高三",IF($E579="男",LOOKUP(F579,[1]对照表!$G$3:$G$24,[1]对照表!$H$3:$H$24),LOOKUP(F579,[1]对照表!$G$27:$G$48,[1]对照表!$H$27:$H$48)),IF(B579="高二",IF($E579="男",LOOKUP(F579,[1]对照表!$F$3:$F$24,[1]对照表!$H$3:$H$24),LOOKUP(F579,[1]对照表!$F$27:$F$48,[1]对照表!$H$27:$H$48)),IF(B579="高一",IF($E579="男",LOOKUP(F579,[1]对照表!$E$3:$E$24,[1]对照表!$H$3:$H$24),LOOKUP(F579,[1]对照表!$E$27:$E$48,[1]对照表!$H$27:$H$48)))))</f>
        <v>72</v>
      </c>
      <c r="H579" s="21">
        <v>14.5</v>
      </c>
      <c r="I579" s="32">
        <f>IF(B579="高三",IF($E579="男",LOOKUP(H579,[1]对照表!$K$3:$K$24,[1]对照表!$L$3:$L$24),LOOKUP(H579,[1]对照表!$K$27:$K$48,[1]对照表!$L$27:$L$48)),IF(B579="高二",IF($E579="男",LOOKUP(H579,[1]对照表!$J$3:$J$24,[1]对照表!$L$3:$L$24),LOOKUP(H579,[1]对照表!$J$27:$J$48,[1]对照表!$L$27:$L$48)),IF(B579="高一",IF($E579="男",LOOKUP(H579,[1]对照表!$I$3:$I$24,[1]对照表!$L$3:$L$24),LOOKUP(H579,[1]对照表!$I$27:$I$48,[1]对照表!$L$27:$L$48)))))</f>
        <v>74</v>
      </c>
      <c r="J579" s="21">
        <v>153</v>
      </c>
      <c r="K579" s="32">
        <f>IF(B579="高三",IF($E579="男",LOOKUP(J579,[1]对照表!$O$3:$O$24,[1]对照表!$P$3:$P$24),LOOKUP(J579,[1]对照表!$O$27:$O$48,[1]对照表!$P$27:$P$48)),IF(B579="高二",IF($E579="男",LOOKUP(J579,[1]对照表!$N$3:$N$24,[1]对照表!$P$3:$P$24),LOOKUP(J579,[1]对照表!$N$27:$N$48,[1]对照表!$P$27:$P$48)),IF(B579="高一",IF($E579="男",LOOKUP(J579,[1]对照表!$M$3:$M$24,[1]对照表!$P$3:$P$24),LOOKUP(J579,[1]对照表!$M$27:$M$48,[1]对照表!$P$27:$P$48)))))</f>
        <v>62</v>
      </c>
      <c r="L579" s="21">
        <v>48</v>
      </c>
      <c r="M579" s="32">
        <f>IF(B579="高三",IF($E579="男",LOOKUP(L579,[1]对照表!$S$3:$S$24,[1]对照表!$T$3:$T$24),LOOKUP(L579,[1]对照表!$S$27:$S$48,[1]对照表!$T$27:$T$48)),IF(B579="高二",IF($E579="男",LOOKUP(L579,[1]对照表!$R$3:$R$24,[1]对照表!$T$3:$T$24),LOOKUP(L579,[1]对照表!$R$27:$R$48,[1]对照表!$T$27:$T$48)),IF(B579="高一",IF($E579="男",LOOKUP(L579,[1]对照表!$Q$3:$Q$24,[1]对照表!$T$3:$T$24),LOOKUP(L579,[1]对照表!$Q$27:$Q$48,[1]对照表!$T$27:$T$48)))))</f>
        <v>85</v>
      </c>
      <c r="N579" s="33">
        <f>IF(B579="高三",MAX(IF(E579="男",L579-18,L579-55),0),IF(B579="高二",MAX(IF(E579="男",L579-17,L579-54),0),IF(B579="高一",MAX(IF(E579="男",L579-16,L579-53),0))))</f>
        <v>0</v>
      </c>
      <c r="O579" s="23">
        <f>IF(E579="男",LOOKUP($N579,[1]对照表!$Z$3:$Z$13,[1]对照表!$AA$3:$AA$13),LOOKUP($N579,[1]对照表!$Z$15:$Z$25,[1]对照表!$AA$15:$AA$25))</f>
        <v>0</v>
      </c>
      <c r="P579" s="24">
        <f>M579+O579</f>
        <v>85</v>
      </c>
      <c r="Q579" s="25">
        <v>4.0199999999999996</v>
      </c>
      <c r="R579" s="32">
        <f>IF(B579="高三",IF($E579="男",LOOKUP(Q579,[1]对照表!$W$3:$W$24,[1]对照表!$X$3:$X$24),LOOKUP(Q579,[1]对照表!$W$27:$W$48,[1]对照表!$X$27:$X$48)),IF(B579="高二",IF($E579="男",LOOKUP(Q579,[1]对照表!$V$3:$V$24,[1]对照表!$X$3:$X$24),LOOKUP(Q579,[1]对照表!$V$27:$V$48,[1]对照表!$X$27:$X$48)),IF(B579="高一",IF($E579="男",LOOKUP(Q579,[1]对照表!$U$3:$U$24,[1]对照表!$X$3:$X$24),LOOKUP(Q579,[1]对照表!$U$27:$U$48,[1]对照表!$X$27:$X$48)))))</f>
        <v>74</v>
      </c>
      <c r="S579" s="33">
        <f>ROUND(IF(IF($B579="高三",MIN(IF($E579="男",$Q579-3.2,$Q579-3.2),0),IF($B579="高二",MIN(IF($E579="男",$Q579-3.25,$Q579-3.22),0),IF($B579="高一",MIN(IF($E579="男",$Q579-3.3,$Q579-3.24),0))))&lt;-0.6,IF($B579="高三",MIN(IF($E579="男",$Q579-3.2,$Q579-3.2),0),IF($B579="高二",MIN(IF($E579="男",$Q579-3.25,$Q579-3.22),0),IF($B579="高一",MIN(IF($E579="男",$Q579-3.3,$Q579-3.24),0))))+0.4,IF($B579="高三",MIN(IF($E579="男",$Q579-3.2,$Q579-3.2),0),IF($B579="高二",MIN(IF($E579="男",$Q579-3.25,$Q579-3.22),0),IF($B579="高一",MIN(IF($E579="男",$Q579-3.3,$Q579-3.24),0))))),2)</f>
        <v>0</v>
      </c>
      <c r="T579" s="23">
        <f>IF(E579="男",LOOKUP($S579,[1]对照表!$AB$3:$AB$13,[1]对照表!$AC$3:$AC$13),LOOKUP($S579,[1]对照表!$AB$15:$AB$25,[1]对照表!$AC$15:$AC$25))</f>
        <v>0</v>
      </c>
      <c r="U579" s="26">
        <f>R579+T579</f>
        <v>74</v>
      </c>
      <c r="V579" s="26">
        <f>SUM(I579,K579,M579)/3*0.3+SUM(G579,R579)/2*0.4</f>
        <v>51.300000000000004</v>
      </c>
      <c r="W579" s="27">
        <f>O579+T579</f>
        <v>0</v>
      </c>
      <c r="X579" s="28">
        <f>V579/0.7+W579</f>
        <v>73.285714285714292</v>
      </c>
      <c r="Y579" s="28">
        <v>73.285714285714292</v>
      </c>
      <c r="Z579" s="21"/>
    </row>
    <row r="580" spans="1:26" x14ac:dyDescent="0.25">
      <c r="A580" s="16">
        <v>39</v>
      </c>
      <c r="B580" s="17" t="s">
        <v>21</v>
      </c>
      <c r="C580" s="16">
        <v>113</v>
      </c>
      <c r="D580" s="18" t="s">
        <v>691</v>
      </c>
      <c r="E580" s="17" t="s">
        <v>65</v>
      </c>
      <c r="F580" s="19">
        <v>10.1</v>
      </c>
      <c r="G580" s="32">
        <f>IF(B580="高三",IF($E580="男",LOOKUP(F580,[1]对照表!$G$3:$G$24,[1]对照表!$H$3:$H$24),LOOKUP(F580,[1]对照表!$G$27:$G$48,[1]对照表!$H$27:$H$48)),IF(B580="高二",IF($E580="男",LOOKUP(F580,[1]对照表!$F$3:$F$24,[1]对照表!$H$3:$H$24),LOOKUP(F580,[1]对照表!$F$27:$F$48,[1]对照表!$H$27:$H$48)),IF(B580="高一",IF($E580="男",LOOKUP(F580,[1]对照表!$E$3:$E$24,[1]对照表!$H$3:$H$24),LOOKUP(F580,[1]对照表!$E$27:$E$48,[1]对照表!$H$27:$H$48)))))</f>
        <v>64</v>
      </c>
      <c r="H580" s="21">
        <v>22</v>
      </c>
      <c r="I580" s="32">
        <f>IF(B580="高三",IF($E580="男",LOOKUP(H580,[1]对照表!$K$3:$K$24,[1]对照表!$L$3:$L$24),LOOKUP(H580,[1]对照表!$K$27:$K$48,[1]对照表!$L$27:$L$48)),IF(B580="高二",IF($E580="男",LOOKUP(H580,[1]对照表!$J$3:$J$24,[1]对照表!$L$3:$L$24),LOOKUP(H580,[1]对照表!$J$27:$J$48,[1]对照表!$L$27:$L$48)),IF(B580="高一",IF($E580="男",LOOKUP(H580,[1]对照表!$I$3:$I$24,[1]对照表!$L$3:$L$24),LOOKUP(H580,[1]对照表!$I$27:$I$48,[1]对照表!$L$27:$L$48)))))</f>
        <v>90</v>
      </c>
      <c r="J580" s="21">
        <v>164</v>
      </c>
      <c r="K580" s="32">
        <f>IF(B580="高三",IF($E580="男",LOOKUP(J580,[1]对照表!$O$3:$O$24,[1]对照表!$P$3:$P$24),LOOKUP(J580,[1]对照表!$O$27:$O$48,[1]对照表!$P$27:$P$48)),IF(B580="高二",IF($E580="男",LOOKUP(J580,[1]对照表!$N$3:$N$24,[1]对照表!$P$3:$P$24),LOOKUP(J580,[1]对照表!$N$27:$N$48,[1]对照表!$P$27:$P$48)),IF(B580="高一",IF($E580="男",LOOKUP(J580,[1]对照表!$M$3:$M$24,[1]对照表!$P$3:$P$24),LOOKUP(J580,[1]对照表!$M$27:$M$48,[1]对照表!$P$27:$P$48)))))</f>
        <v>70</v>
      </c>
      <c r="L580" s="21">
        <v>47</v>
      </c>
      <c r="M580" s="32">
        <f>IF(B580="高三",IF($E580="男",LOOKUP(L580,[1]对照表!$S$3:$S$24,[1]对照表!$T$3:$T$24),LOOKUP(L580,[1]对照表!$S$27:$S$48,[1]对照表!$T$27:$T$48)),IF(B580="高二",IF($E580="男",LOOKUP(L580,[1]对照表!$R$3:$R$24,[1]对照表!$T$3:$T$24),LOOKUP(L580,[1]对照表!$R$27:$R$48,[1]对照表!$T$27:$T$48)),IF(B580="高一",IF($E580="男",LOOKUP(L580,[1]对照表!$Q$3:$Q$24,[1]对照表!$T$3:$T$24),LOOKUP(L580,[1]对照表!$Q$27:$Q$48,[1]对照表!$T$27:$T$48)))))</f>
        <v>85</v>
      </c>
      <c r="N580" s="33">
        <f>IF(B580="高三",MAX(IF(E580="男",L580-18,L580-55),0),IF(B580="高二",MAX(IF(E580="男",L580-17,L580-54),0),IF(B580="高一",MAX(IF(E580="男",L580-16,L580-53),0))))</f>
        <v>0</v>
      </c>
      <c r="O580" s="23">
        <f>IF(E580="男",LOOKUP($N580,[1]对照表!$Z$3:$Z$13,[1]对照表!$AA$3:$AA$13),LOOKUP($N580,[1]对照表!$Z$15:$Z$25,[1]对照表!$AA$15:$AA$25))</f>
        <v>0</v>
      </c>
      <c r="P580" s="24">
        <f>M580+O580</f>
        <v>85</v>
      </c>
      <c r="Q580" s="25">
        <v>4.04</v>
      </c>
      <c r="R580" s="32">
        <f>IF(B580="高三",IF($E580="男",LOOKUP(Q580,[1]对照表!$W$3:$W$24,[1]对照表!$X$3:$X$24),LOOKUP(Q580,[1]对照表!$W$27:$W$48,[1]对照表!$X$27:$X$48)),IF(B580="高二",IF($E580="男",LOOKUP(Q580,[1]对照表!$V$3:$V$24,[1]对照表!$X$3:$X$24),LOOKUP(Q580,[1]对照表!$V$27:$V$48,[1]对照表!$X$27:$X$48)),IF(B580="高一",IF($E580="男",LOOKUP(Q580,[1]对照表!$U$3:$U$24,[1]对照表!$X$3:$X$24),LOOKUP(Q580,[1]对照表!$U$27:$U$48,[1]对照表!$X$27:$X$48)))))</f>
        <v>74</v>
      </c>
      <c r="S580" s="33">
        <f>ROUND(IF(IF($B580="高三",MIN(IF($E580="男",$Q580-3.2,$Q580-3.2),0),IF($B580="高二",MIN(IF($E580="男",$Q580-3.25,$Q580-3.22),0),IF($B580="高一",MIN(IF($E580="男",$Q580-3.3,$Q580-3.24),0))))&lt;-0.6,IF($B580="高三",MIN(IF($E580="男",$Q580-3.2,$Q580-3.2),0),IF($B580="高二",MIN(IF($E580="男",$Q580-3.25,$Q580-3.22),0),IF($B580="高一",MIN(IF($E580="男",$Q580-3.3,$Q580-3.24),0))))+0.4,IF($B580="高三",MIN(IF($E580="男",$Q580-3.2,$Q580-3.2),0),IF($B580="高二",MIN(IF($E580="男",$Q580-3.25,$Q580-3.22),0),IF($B580="高一",MIN(IF($E580="男",$Q580-3.3,$Q580-3.24),0))))),2)</f>
        <v>0</v>
      </c>
      <c r="T580" s="23">
        <f>IF(E580="男",LOOKUP($S580,[1]对照表!$AB$3:$AB$13,[1]对照表!$AC$3:$AC$13),LOOKUP($S580,[1]对照表!$AB$15:$AB$25,[1]对照表!$AC$15:$AC$25))</f>
        <v>0</v>
      </c>
      <c r="U580" s="26">
        <f>R580+T580</f>
        <v>74</v>
      </c>
      <c r="V580" s="26">
        <f>SUM(I580,K580,M580)/3*0.3+SUM(G580,R580)/2*0.4</f>
        <v>52.1</v>
      </c>
      <c r="W580" s="27">
        <f>O580+T580</f>
        <v>0</v>
      </c>
      <c r="X580" s="28">
        <f>V580/0.7+W580</f>
        <v>74.428571428571431</v>
      </c>
      <c r="Y580" s="28">
        <v>74.428571428571431</v>
      </c>
      <c r="Z580" s="21"/>
    </row>
    <row r="581" spans="1:26" x14ac:dyDescent="0.25">
      <c r="A581" s="16">
        <v>51</v>
      </c>
      <c r="B581" s="17" t="s">
        <v>21</v>
      </c>
      <c r="C581" s="16">
        <v>113</v>
      </c>
      <c r="D581" s="18" t="s">
        <v>692</v>
      </c>
      <c r="E581" s="16" t="s">
        <v>65</v>
      </c>
      <c r="F581" s="19">
        <v>10.57</v>
      </c>
      <c r="G581" s="32">
        <f>IF(B581="高三",IF($E581="男",LOOKUP(F581,[1]对照表!$G$3:$G$24,[1]对照表!$H$3:$H$24),LOOKUP(F581,[1]对照表!$G$27:$G$48,[1]对照表!$H$27:$H$48)),IF(B581="高二",IF($E581="男",LOOKUP(F581,[1]对照表!$F$3:$F$24,[1]对照表!$H$3:$H$24),LOOKUP(F581,[1]对照表!$F$27:$F$48,[1]对照表!$H$27:$H$48)),IF(B581="高一",IF($E581="男",LOOKUP(F581,[1]对照表!$E$3:$E$24,[1]对照表!$H$3:$H$24),LOOKUP(F581,[1]对照表!$E$27:$E$48,[1]对照表!$H$27:$H$48)))))</f>
        <v>60</v>
      </c>
      <c r="H581" s="21">
        <v>21</v>
      </c>
      <c r="I581" s="32">
        <f>IF(B581="高三",IF($E581="男",LOOKUP(H581,[1]对照表!$K$3:$K$24,[1]对照表!$L$3:$L$24),LOOKUP(H581,[1]对照表!$K$27:$K$48,[1]对照表!$L$27:$L$48)),IF(B581="高二",IF($E581="男",LOOKUP(H581,[1]对照表!$J$3:$J$24,[1]对照表!$L$3:$L$24),LOOKUP(H581,[1]对照表!$J$27:$J$48,[1]对照表!$L$27:$L$48)),IF(B581="高一",IF($E581="男",LOOKUP(H581,[1]对照表!$I$3:$I$24,[1]对照表!$L$3:$L$24),LOOKUP(H581,[1]对照表!$I$27:$I$48,[1]对照表!$L$27:$L$48)))))</f>
        <v>90</v>
      </c>
      <c r="J581" s="21">
        <v>147</v>
      </c>
      <c r="K581" s="32">
        <f>IF(B581="高三",IF($E581="男",LOOKUP(J581,[1]对照表!$O$3:$O$24,[1]对照表!$P$3:$P$24),LOOKUP(J581,[1]对照表!$O$27:$O$48,[1]对照表!$P$27:$P$48)),IF(B581="高二",IF($E581="男",LOOKUP(J581,[1]对照表!$N$3:$N$24,[1]对照表!$P$3:$P$24),LOOKUP(J581,[1]对照表!$N$27:$N$48,[1]对照表!$P$27:$P$48)),IF(B581="高一",IF($E581="男",LOOKUP(J581,[1]对照表!$M$3:$M$24,[1]对照表!$P$3:$P$24),LOOKUP(J581,[1]对照表!$M$27:$M$48,[1]对照表!$P$27:$P$48)))))</f>
        <v>50</v>
      </c>
      <c r="L581" s="21">
        <v>51</v>
      </c>
      <c r="M581" s="32">
        <f>IF(B581="高三",IF($E581="男",LOOKUP(L581,[1]对照表!$S$3:$S$24,[1]对照表!$T$3:$T$24),LOOKUP(L581,[1]对照表!$S$27:$S$48,[1]对照表!$T$27:$T$48)),IF(B581="高二",IF($E581="男",LOOKUP(L581,[1]对照表!$R$3:$R$24,[1]对照表!$T$3:$T$24),LOOKUP(L581,[1]对照表!$R$27:$R$48,[1]对照表!$T$27:$T$48)),IF(B581="高一",IF($E581="男",LOOKUP(L581,[1]对照表!$Q$3:$Q$24,[1]对照表!$T$3:$T$24),LOOKUP(L581,[1]对照表!$Q$27:$Q$48,[1]对照表!$T$27:$T$48)))))</f>
        <v>95</v>
      </c>
      <c r="N581" s="33">
        <f>IF(B581="高三",MAX(IF(E581="男",L581-18,L581-55),0),IF(B581="高二",MAX(IF(E581="男",L581-17,L581-54),0),IF(B581="高一",MAX(IF(E581="男",L581-16,L581-53),0))))</f>
        <v>0</v>
      </c>
      <c r="O581" s="23">
        <f>IF(E581="男",LOOKUP($N581,[1]对照表!$Z$3:$Z$13,[1]对照表!$AA$3:$AA$13),LOOKUP($N581,[1]对照表!$Z$15:$Z$25,[1]对照表!$AA$15:$AA$25))</f>
        <v>0</v>
      </c>
      <c r="P581" s="24">
        <f>M581+O581</f>
        <v>95</v>
      </c>
      <c r="Q581" s="25">
        <v>4.04</v>
      </c>
      <c r="R581" s="32">
        <f>IF(B581="高三",IF($E581="男",LOOKUP(Q581,[1]对照表!$W$3:$W$24,[1]对照表!$X$3:$X$24),LOOKUP(Q581,[1]对照表!$W$27:$W$48,[1]对照表!$X$27:$X$48)),IF(B581="高二",IF($E581="男",LOOKUP(Q581,[1]对照表!$V$3:$V$24,[1]对照表!$X$3:$X$24),LOOKUP(Q581,[1]对照表!$V$27:$V$48,[1]对照表!$X$27:$X$48)),IF(B581="高一",IF($E581="男",LOOKUP(Q581,[1]对照表!$U$3:$U$24,[1]对照表!$X$3:$X$24),LOOKUP(Q581,[1]对照表!$U$27:$U$48,[1]对照表!$X$27:$X$48)))))</f>
        <v>74</v>
      </c>
      <c r="S581" s="33">
        <f>ROUND(IF(IF($B581="高三",MIN(IF($E581="男",$Q581-3.2,$Q581-3.2),0),IF($B581="高二",MIN(IF($E581="男",$Q581-3.25,$Q581-3.22),0),IF($B581="高一",MIN(IF($E581="男",$Q581-3.3,$Q581-3.24),0))))&lt;-0.6,IF($B581="高三",MIN(IF($E581="男",$Q581-3.2,$Q581-3.2),0),IF($B581="高二",MIN(IF($E581="男",$Q581-3.25,$Q581-3.22),0),IF($B581="高一",MIN(IF($E581="男",$Q581-3.3,$Q581-3.24),0))))+0.4,IF($B581="高三",MIN(IF($E581="男",$Q581-3.2,$Q581-3.2),0),IF($B581="高二",MIN(IF($E581="男",$Q581-3.25,$Q581-3.22),0),IF($B581="高一",MIN(IF($E581="男",$Q581-3.3,$Q581-3.24),0))))),2)</f>
        <v>0</v>
      </c>
      <c r="T581" s="23">
        <f>IF(E581="男",LOOKUP($S581,[1]对照表!$AB$3:$AB$13,[1]对照表!$AC$3:$AC$13),LOOKUP($S581,[1]对照表!$AB$15:$AB$25,[1]对照表!$AC$15:$AC$25))</f>
        <v>0</v>
      </c>
      <c r="U581" s="26">
        <f>R581+T581</f>
        <v>74</v>
      </c>
      <c r="V581" s="26">
        <f>SUM(I581,K581,M581)/3*0.3+SUM(G581,R581)/2*0.4</f>
        <v>50.3</v>
      </c>
      <c r="W581" s="27">
        <f>O581+T581</f>
        <v>0</v>
      </c>
      <c r="X581" s="28">
        <f>V581/0.7+W581</f>
        <v>71.857142857142861</v>
      </c>
      <c r="Y581" s="28">
        <v>71.857142857142861</v>
      </c>
      <c r="Z581" s="21"/>
    </row>
    <row r="582" spans="1:26" x14ac:dyDescent="0.25">
      <c r="A582" s="16">
        <v>27</v>
      </c>
      <c r="B582" s="17" t="s">
        <v>21</v>
      </c>
      <c r="C582" s="16">
        <v>113</v>
      </c>
      <c r="D582" s="18" t="s">
        <v>698</v>
      </c>
      <c r="E582" s="17" t="s">
        <v>65</v>
      </c>
      <c r="F582" s="19">
        <v>10.3</v>
      </c>
      <c r="G582" s="32">
        <f>IF(B582="高三",IF($E582="男",LOOKUP(F582,[1]对照表!$G$3:$G$24,[1]对照表!$H$3:$H$24),LOOKUP(F582,[1]对照表!$G$27:$G$48,[1]对照表!$H$27:$H$48)),IF(B582="高二",IF($E582="男",LOOKUP(F582,[1]对照表!$F$3:$F$24,[1]对照表!$H$3:$H$24),LOOKUP(F582,[1]对照表!$F$27:$F$48,[1]对照表!$H$27:$H$48)),IF(B582="高一",IF($E582="男",LOOKUP(F582,[1]对照表!$E$3:$E$24,[1]对照表!$H$3:$H$24),LOOKUP(F582,[1]对照表!$E$27:$E$48,[1]对照表!$H$27:$H$48)))))</f>
        <v>62</v>
      </c>
      <c r="H582" s="21">
        <v>26.5</v>
      </c>
      <c r="I582" s="32">
        <f>IF(B582="高三",IF($E582="男",LOOKUP(H582,[1]对照表!$K$3:$K$24,[1]对照表!$L$3:$L$24),LOOKUP(H582,[1]对照表!$K$27:$K$48,[1]对照表!$L$27:$L$48)),IF(B582="高二",IF($E582="男",LOOKUP(H582,[1]对照表!$J$3:$J$24,[1]对照表!$L$3:$L$24),LOOKUP(H582,[1]对照表!$J$27:$J$48,[1]对照表!$L$27:$L$48)),IF(B582="高一",IF($E582="男",LOOKUP(H582,[1]对照表!$I$3:$I$24,[1]对照表!$L$3:$L$24),LOOKUP(H582,[1]对照表!$I$27:$I$48,[1]对照表!$L$27:$L$48)))))</f>
        <v>100</v>
      </c>
      <c r="J582" s="21">
        <v>168</v>
      </c>
      <c r="K582" s="32">
        <f>IF(B582="高三",IF($E582="男",LOOKUP(J582,[1]对照表!$O$3:$O$24,[1]对照表!$P$3:$P$24),LOOKUP(J582,[1]对照表!$O$27:$O$48,[1]对照表!$P$27:$P$48)),IF(B582="高二",IF($E582="男",LOOKUP(J582,[1]对照表!$N$3:$N$24,[1]对照表!$P$3:$P$24),LOOKUP(J582,[1]对照表!$N$27:$N$48,[1]对照表!$P$27:$P$48)),IF(B582="高一",IF($E582="男",LOOKUP(J582,[1]对照表!$M$3:$M$24,[1]对照表!$P$3:$P$24),LOOKUP(J582,[1]对照表!$M$27:$M$48,[1]对照表!$P$27:$P$48)))))</f>
        <v>72</v>
      </c>
      <c r="L582" s="21">
        <v>46</v>
      </c>
      <c r="M582" s="32">
        <f>IF(B582="高三",IF($E582="男",LOOKUP(L582,[1]对照表!$S$3:$S$24,[1]对照表!$T$3:$T$24),LOOKUP(L582,[1]对照表!$S$27:$S$48,[1]对照表!$T$27:$T$48)),IF(B582="高二",IF($E582="男",LOOKUP(L582,[1]对照表!$R$3:$R$24,[1]对照表!$T$3:$T$24),LOOKUP(L582,[1]对照表!$R$27:$R$48,[1]对照表!$T$27:$T$48)),IF(B582="高一",IF($E582="男",LOOKUP(L582,[1]对照表!$Q$3:$Q$24,[1]对照表!$T$3:$T$24),LOOKUP(L582,[1]对照表!$Q$27:$Q$48,[1]对照表!$T$27:$T$48)))))</f>
        <v>85</v>
      </c>
      <c r="N582" s="33">
        <f>IF(B582="高三",MAX(IF(E582="男",L582-18,L582-55),0),IF(B582="高二",MAX(IF(E582="男",L582-17,L582-54),0),IF(B582="高一",MAX(IF(E582="男",L582-16,L582-53),0))))</f>
        <v>0</v>
      </c>
      <c r="O582" s="23">
        <f>IF(E582="男",LOOKUP($N582,[1]对照表!$Z$3:$Z$13,[1]对照表!$AA$3:$AA$13),LOOKUP($N582,[1]对照表!$Z$15:$Z$25,[1]对照表!$AA$15:$AA$25))</f>
        <v>0</v>
      </c>
      <c r="P582" s="24">
        <f>M582+O582</f>
        <v>85</v>
      </c>
      <c r="Q582" s="25">
        <v>4.0599999999999996</v>
      </c>
      <c r="R582" s="32">
        <f>IF(B582="高三",IF($E582="男",LOOKUP(Q582,[1]对照表!$W$3:$W$24,[1]对照表!$X$3:$X$24),LOOKUP(Q582,[1]对照表!$W$27:$W$48,[1]对照表!$X$27:$X$48)),IF(B582="高二",IF($E582="男",LOOKUP(Q582,[1]对照表!$V$3:$V$24,[1]对照表!$X$3:$X$24),LOOKUP(Q582,[1]对照表!$V$27:$V$48,[1]对照表!$X$27:$X$48)),IF(B582="高一",IF($E582="男",LOOKUP(Q582,[1]对照表!$U$3:$U$24,[1]对照表!$X$3:$X$24),LOOKUP(Q582,[1]对照表!$U$27:$U$48,[1]对照表!$X$27:$X$48)))))</f>
        <v>72</v>
      </c>
      <c r="S582" s="33">
        <f>ROUND(IF(IF($B582="高三",MIN(IF($E582="男",$Q582-3.2,$Q582-3.2),0),IF($B582="高二",MIN(IF($E582="男",$Q582-3.25,$Q582-3.22),0),IF($B582="高一",MIN(IF($E582="男",$Q582-3.3,$Q582-3.24),0))))&lt;-0.6,IF($B582="高三",MIN(IF($E582="男",$Q582-3.2,$Q582-3.2),0),IF($B582="高二",MIN(IF($E582="男",$Q582-3.25,$Q582-3.22),0),IF($B582="高一",MIN(IF($E582="男",$Q582-3.3,$Q582-3.24),0))))+0.4,IF($B582="高三",MIN(IF($E582="男",$Q582-3.2,$Q582-3.2),0),IF($B582="高二",MIN(IF($E582="男",$Q582-3.25,$Q582-3.22),0),IF($B582="高一",MIN(IF($E582="男",$Q582-3.3,$Q582-3.24),0))))),2)</f>
        <v>0</v>
      </c>
      <c r="T582" s="23">
        <f>IF(E582="男",LOOKUP($S582,[1]对照表!$AB$3:$AB$13,[1]对照表!$AC$3:$AC$13),LOOKUP($S582,[1]对照表!$AB$15:$AB$25,[1]对照表!$AC$15:$AC$25))</f>
        <v>0</v>
      </c>
      <c r="U582" s="26">
        <f>R582+T582</f>
        <v>72</v>
      </c>
      <c r="V582" s="26">
        <f>SUM(I582,K582,M582)/3*0.3+SUM(G582,R582)/2*0.4</f>
        <v>52.5</v>
      </c>
      <c r="W582" s="27">
        <f>O582+T582</f>
        <v>0</v>
      </c>
      <c r="X582" s="28">
        <f>V582/0.7+W582</f>
        <v>75</v>
      </c>
      <c r="Y582" s="28">
        <v>75</v>
      </c>
      <c r="Z582" s="21"/>
    </row>
    <row r="583" spans="1:26" x14ac:dyDescent="0.25">
      <c r="A583" s="16">
        <v>55</v>
      </c>
      <c r="B583" s="17" t="s">
        <v>21</v>
      </c>
      <c r="C583" s="16">
        <v>113</v>
      </c>
      <c r="D583" s="18" t="s">
        <v>699</v>
      </c>
      <c r="E583" s="16" t="s">
        <v>65</v>
      </c>
      <c r="F583" s="19">
        <v>10.09</v>
      </c>
      <c r="G583" s="32">
        <f>IF(B583="高三",IF($E583="男",LOOKUP(F583,[1]对照表!$G$3:$G$24,[1]对照表!$H$3:$H$24),LOOKUP(F583,[1]对照表!$G$27:$G$48,[1]对照表!$H$27:$H$48)),IF(B583="高二",IF($E583="男",LOOKUP(F583,[1]对照表!$F$3:$F$24,[1]对照表!$H$3:$H$24),LOOKUP(F583,[1]对照表!$F$27:$F$48,[1]对照表!$H$27:$H$48)),IF(B583="高一",IF($E583="男",LOOKUP(F583,[1]对照表!$E$3:$E$24,[1]对照表!$H$3:$H$24),LOOKUP(F583,[1]对照表!$E$27:$E$48,[1]对照表!$H$27:$H$48)))))</f>
        <v>64</v>
      </c>
      <c r="H583" s="21">
        <v>27</v>
      </c>
      <c r="I583" s="32">
        <f>IF(B583="高三",IF($E583="男",LOOKUP(H583,[1]对照表!$K$3:$K$24,[1]对照表!$L$3:$L$24),LOOKUP(H583,[1]对照表!$K$27:$K$48,[1]对照表!$L$27:$L$48)),IF(B583="高二",IF($E583="男",LOOKUP(H583,[1]对照表!$J$3:$J$24,[1]对照表!$L$3:$L$24),LOOKUP(H583,[1]对照表!$J$27:$J$48,[1]对照表!$L$27:$L$48)),IF(B583="高一",IF($E583="男",LOOKUP(H583,[1]对照表!$I$3:$I$24,[1]对照表!$L$3:$L$24),LOOKUP(H583,[1]对照表!$I$27:$I$48,[1]对照表!$L$27:$L$48)))))</f>
        <v>100</v>
      </c>
      <c r="J583" s="21">
        <v>147</v>
      </c>
      <c r="K583" s="32">
        <f>IF(B583="高三",IF($E583="男",LOOKUP(J583,[1]对照表!$O$3:$O$24,[1]对照表!$P$3:$P$24),LOOKUP(J583,[1]对照表!$O$27:$O$48,[1]对照表!$P$27:$P$48)),IF(B583="高二",IF($E583="男",LOOKUP(J583,[1]对照表!$N$3:$N$24,[1]对照表!$P$3:$P$24),LOOKUP(J583,[1]对照表!$N$27:$N$48,[1]对照表!$P$27:$P$48)),IF(B583="高一",IF($E583="男",LOOKUP(J583,[1]对照表!$M$3:$M$24,[1]对照表!$P$3:$P$24),LOOKUP(J583,[1]对照表!$M$27:$M$48,[1]对照表!$P$27:$P$48)))))</f>
        <v>50</v>
      </c>
      <c r="L583" s="21">
        <v>30</v>
      </c>
      <c r="M583" s="32">
        <f>IF(B583="高三",IF($E583="男",LOOKUP(L583,[1]对照表!$S$3:$S$24,[1]对照表!$T$3:$T$24),LOOKUP(L583,[1]对照表!$S$27:$S$48,[1]对照表!$T$27:$T$48)),IF(B583="高二",IF($E583="男",LOOKUP(L583,[1]对照表!$R$3:$R$24,[1]对照表!$T$3:$T$24),LOOKUP(L583,[1]对照表!$R$27:$R$48,[1]对照表!$T$27:$T$48)),IF(B583="高一",IF($E583="男",LOOKUP(L583,[1]对照表!$Q$3:$Q$24,[1]对照表!$T$3:$T$24),LOOKUP(L583,[1]对照表!$Q$27:$Q$48,[1]对照表!$T$27:$T$48)))))</f>
        <v>66</v>
      </c>
      <c r="N583" s="33">
        <f>IF(B583="高三",MAX(IF(E583="男",L583-18,L583-55),0),IF(B583="高二",MAX(IF(E583="男",L583-17,L583-54),0),IF(B583="高一",MAX(IF(E583="男",L583-16,L583-53),0))))</f>
        <v>0</v>
      </c>
      <c r="O583" s="23">
        <f>IF(E583="男",LOOKUP($N583,[1]对照表!$Z$3:$Z$13,[1]对照表!$AA$3:$AA$13),LOOKUP($N583,[1]对照表!$Z$15:$Z$25,[1]对照表!$AA$15:$AA$25))</f>
        <v>0</v>
      </c>
      <c r="P583" s="24">
        <f>M583+O583</f>
        <v>66</v>
      </c>
      <c r="Q583" s="25">
        <v>4.07</v>
      </c>
      <c r="R583" s="32">
        <f>IF(B583="高三",IF($E583="男",LOOKUP(Q583,[1]对照表!$W$3:$W$24,[1]对照表!$X$3:$X$24),LOOKUP(Q583,[1]对照表!$W$27:$W$48,[1]对照表!$X$27:$X$48)),IF(B583="高二",IF($E583="男",LOOKUP(Q583,[1]对照表!$V$3:$V$24,[1]对照表!$X$3:$X$24),LOOKUP(Q583,[1]对照表!$V$27:$V$48,[1]对照表!$X$27:$X$48)),IF(B583="高一",IF($E583="男",LOOKUP(Q583,[1]对照表!$U$3:$U$24,[1]对照表!$X$3:$X$24),LOOKUP(Q583,[1]对照表!$U$27:$U$48,[1]对照表!$X$27:$X$48)))))</f>
        <v>72</v>
      </c>
      <c r="S583" s="33">
        <f>ROUND(IF(IF($B583="高三",MIN(IF($E583="男",$Q583-3.2,$Q583-3.2),0),IF($B583="高二",MIN(IF($E583="男",$Q583-3.25,$Q583-3.22),0),IF($B583="高一",MIN(IF($E583="男",$Q583-3.3,$Q583-3.24),0))))&lt;-0.6,IF($B583="高三",MIN(IF($E583="男",$Q583-3.2,$Q583-3.2),0),IF($B583="高二",MIN(IF($E583="男",$Q583-3.25,$Q583-3.22),0),IF($B583="高一",MIN(IF($E583="男",$Q583-3.3,$Q583-3.24),0))))+0.4,IF($B583="高三",MIN(IF($E583="男",$Q583-3.2,$Q583-3.2),0),IF($B583="高二",MIN(IF($E583="男",$Q583-3.25,$Q583-3.22),0),IF($B583="高一",MIN(IF($E583="男",$Q583-3.3,$Q583-3.24),0))))),2)</f>
        <v>0</v>
      </c>
      <c r="T583" s="23">
        <f>IF(E583="男",LOOKUP($S583,[1]对照表!$AB$3:$AB$13,[1]对照表!$AC$3:$AC$13),LOOKUP($S583,[1]对照表!$AB$15:$AB$25,[1]对照表!$AC$15:$AC$25))</f>
        <v>0</v>
      </c>
      <c r="U583" s="26">
        <f>R583+T583</f>
        <v>72</v>
      </c>
      <c r="V583" s="26">
        <f>SUM(I583,K583,M583)/3*0.3+SUM(G583,R583)/2*0.4</f>
        <v>48.8</v>
      </c>
      <c r="W583" s="27">
        <f>O583+T583</f>
        <v>0</v>
      </c>
      <c r="X583" s="28">
        <f>V583/0.7+W583</f>
        <v>69.714285714285708</v>
      </c>
      <c r="Y583" s="28">
        <v>69.714285714285708</v>
      </c>
      <c r="Z583" s="21"/>
    </row>
    <row r="584" spans="1:26" x14ac:dyDescent="0.25">
      <c r="A584" s="16">
        <v>45</v>
      </c>
      <c r="B584" s="17" t="s">
        <v>21</v>
      </c>
      <c r="C584" s="16">
        <v>113</v>
      </c>
      <c r="D584" s="18" t="s">
        <v>726</v>
      </c>
      <c r="E584" s="17" t="s">
        <v>65</v>
      </c>
      <c r="F584" s="19">
        <v>9.99</v>
      </c>
      <c r="G584" s="32">
        <f>IF(B584="高三",IF($E584="男",LOOKUP(F584,[1]对照表!$G$3:$G$24,[1]对照表!$H$3:$H$24),LOOKUP(F584,[1]对照表!$G$27:$G$48,[1]对照表!$H$27:$H$48)),IF(B584="高二",IF($E584="男",LOOKUP(F584,[1]对照表!$F$3:$F$24,[1]对照表!$H$3:$H$24),LOOKUP(F584,[1]对照表!$F$27:$F$48,[1]对照表!$H$27:$H$48)),IF(B584="高一",IF($E584="男",LOOKUP(F584,[1]对照表!$E$3:$E$24,[1]对照表!$H$3:$H$24),LOOKUP(F584,[1]对照表!$E$27:$E$48,[1]对照表!$H$27:$H$48)))))</f>
        <v>66</v>
      </c>
      <c r="H584" s="21">
        <v>12</v>
      </c>
      <c r="I584" s="32">
        <f>IF(B584="高三",IF($E584="男",LOOKUP(H584,[1]对照表!$K$3:$K$24,[1]对照表!$L$3:$L$24),LOOKUP(H584,[1]对照表!$K$27:$K$48,[1]对照表!$L$27:$L$48)),IF(B584="高二",IF($E584="男",LOOKUP(H584,[1]对照表!$J$3:$J$24,[1]对照表!$L$3:$L$24),LOOKUP(H584,[1]对照表!$J$27:$J$48,[1]对照表!$L$27:$L$48)),IF(B584="高一",IF($E584="男",LOOKUP(H584,[1]对照表!$I$3:$I$24,[1]对照表!$L$3:$L$24),LOOKUP(H584,[1]对照表!$I$27:$I$48,[1]对照表!$L$27:$L$48)))))</f>
        <v>70</v>
      </c>
      <c r="J584" s="21">
        <v>170</v>
      </c>
      <c r="K584" s="32">
        <f>IF(B584="高三",IF($E584="男",LOOKUP(J584,[1]对照表!$O$3:$O$24,[1]对照表!$P$3:$P$24),LOOKUP(J584,[1]对照表!$O$27:$O$48,[1]对照表!$P$27:$P$48)),IF(B584="高二",IF($E584="男",LOOKUP(J584,[1]对照表!$N$3:$N$24,[1]对照表!$P$3:$P$24),LOOKUP(J584,[1]对照表!$N$27:$N$48,[1]对照表!$P$27:$P$48)),IF(B584="高一",IF($E584="男",LOOKUP(J584,[1]对照表!$M$3:$M$24,[1]对照表!$P$3:$P$24),LOOKUP(J584,[1]对照表!$M$27:$M$48,[1]对照表!$P$27:$P$48)))))</f>
        <v>74</v>
      </c>
      <c r="L584" s="21">
        <v>48</v>
      </c>
      <c r="M584" s="32">
        <f>IF(B584="高三",IF($E584="男",LOOKUP(L584,[1]对照表!$S$3:$S$24,[1]对照表!$T$3:$T$24),LOOKUP(L584,[1]对照表!$S$27:$S$48,[1]对照表!$T$27:$T$48)),IF(B584="高二",IF($E584="男",LOOKUP(L584,[1]对照表!$R$3:$R$24,[1]对照表!$T$3:$T$24),LOOKUP(L584,[1]对照表!$R$27:$R$48,[1]对照表!$T$27:$T$48)),IF(B584="高一",IF($E584="男",LOOKUP(L584,[1]对照表!$Q$3:$Q$24,[1]对照表!$T$3:$T$24),LOOKUP(L584,[1]对照表!$Q$27:$Q$48,[1]对照表!$T$27:$T$48)))))</f>
        <v>85</v>
      </c>
      <c r="N584" s="33">
        <f>IF(B584="高三",MAX(IF(E584="男",L584-18,L584-55),0),IF(B584="高二",MAX(IF(E584="男",L584-17,L584-54),0),IF(B584="高一",MAX(IF(E584="男",L584-16,L584-53),0))))</f>
        <v>0</v>
      </c>
      <c r="O584" s="23">
        <f>IF(E584="男",LOOKUP($N584,[1]对照表!$Z$3:$Z$13,[1]对照表!$AA$3:$AA$13),LOOKUP($N584,[1]对照表!$Z$15:$Z$25,[1]对照表!$AA$15:$AA$25))</f>
        <v>0</v>
      </c>
      <c r="P584" s="24">
        <f>M584+O584</f>
        <v>85</v>
      </c>
      <c r="Q584" s="25">
        <v>4.2</v>
      </c>
      <c r="R584" s="32">
        <f>IF(B584="高三",IF($E584="男",LOOKUP(Q584,[1]对照表!$W$3:$W$24,[1]对照表!$X$3:$X$24),LOOKUP(Q584,[1]对照表!$W$27:$W$48,[1]对照表!$X$27:$X$48)),IF(B584="高二",IF($E584="男",LOOKUP(Q584,[1]对照表!$V$3:$V$24,[1]对照表!$X$3:$X$24),LOOKUP(Q584,[1]对照表!$V$27:$V$48,[1]对照表!$X$27:$X$48)),IF(B584="高一",IF($E584="男",LOOKUP(Q584,[1]对照表!$U$3:$U$24,[1]对照表!$X$3:$X$24),LOOKUP(Q584,[1]对照表!$U$27:$U$48,[1]对照表!$X$27:$X$48)))))</f>
        <v>68</v>
      </c>
      <c r="S584" s="33">
        <f>ROUND(IF(IF($B584="高三",MIN(IF($E584="男",$Q584-3.2,$Q584-3.2),0),IF($B584="高二",MIN(IF($E584="男",$Q584-3.25,$Q584-3.22),0),IF($B584="高一",MIN(IF($E584="男",$Q584-3.3,$Q584-3.24),0))))&lt;-0.6,IF($B584="高三",MIN(IF($E584="男",$Q584-3.2,$Q584-3.2),0),IF($B584="高二",MIN(IF($E584="男",$Q584-3.25,$Q584-3.22),0),IF($B584="高一",MIN(IF($E584="男",$Q584-3.3,$Q584-3.24),0))))+0.4,IF($B584="高三",MIN(IF($E584="男",$Q584-3.2,$Q584-3.2),0),IF($B584="高二",MIN(IF($E584="男",$Q584-3.25,$Q584-3.22),0),IF($B584="高一",MIN(IF($E584="男",$Q584-3.3,$Q584-3.24),0))))),2)</f>
        <v>0</v>
      </c>
      <c r="T584" s="23">
        <f>IF(E584="男",LOOKUP($S584,[1]对照表!$AB$3:$AB$13,[1]对照表!$AC$3:$AC$13),LOOKUP($S584,[1]对照表!$AB$15:$AB$25,[1]对照表!$AC$15:$AC$25))</f>
        <v>0</v>
      </c>
      <c r="U584" s="26">
        <f>R584+T584</f>
        <v>68</v>
      </c>
      <c r="V584" s="26">
        <f>SUM(I584,K584,M584)/3*0.3+SUM(G584,R584)/2*0.4</f>
        <v>49.7</v>
      </c>
      <c r="W584" s="27">
        <f>O584+T584</f>
        <v>0</v>
      </c>
      <c r="X584" s="28">
        <f>V584/0.7+W584</f>
        <v>71.000000000000014</v>
      </c>
      <c r="Y584" s="28">
        <v>71.000000000000014</v>
      </c>
      <c r="Z584" s="21"/>
    </row>
    <row r="585" spans="1:26" x14ac:dyDescent="0.25">
      <c r="A585" s="16">
        <v>37</v>
      </c>
      <c r="B585" s="17" t="s">
        <v>21</v>
      </c>
      <c r="C585" s="16">
        <v>113</v>
      </c>
      <c r="D585" s="18" t="s">
        <v>728</v>
      </c>
      <c r="E585" s="17" t="s">
        <v>65</v>
      </c>
      <c r="F585" s="19">
        <v>10.1</v>
      </c>
      <c r="G585" s="32">
        <f>IF(B585="高三",IF($E585="男",LOOKUP(F585,[1]对照表!$G$3:$G$24,[1]对照表!$H$3:$H$24),LOOKUP(F585,[1]对照表!$G$27:$G$48,[1]对照表!$H$27:$H$48)),IF(B585="高二",IF($E585="男",LOOKUP(F585,[1]对照表!$F$3:$F$24,[1]对照表!$H$3:$H$24),LOOKUP(F585,[1]对照表!$F$27:$F$48,[1]对照表!$H$27:$H$48)),IF(B585="高一",IF($E585="男",LOOKUP(F585,[1]对照表!$E$3:$E$24,[1]对照表!$H$3:$H$24),LOOKUP(F585,[1]对照表!$E$27:$E$48,[1]对照表!$H$27:$H$48)))))</f>
        <v>64</v>
      </c>
      <c r="H585" s="21">
        <v>14.5</v>
      </c>
      <c r="I585" s="32">
        <f>IF(B585="高三",IF($E585="男",LOOKUP(H585,[1]对照表!$K$3:$K$24,[1]对照表!$L$3:$L$24),LOOKUP(H585,[1]对照表!$K$27:$K$48,[1]对照表!$L$27:$L$48)),IF(B585="高二",IF($E585="男",LOOKUP(H585,[1]对照表!$J$3:$J$24,[1]对照表!$L$3:$L$24),LOOKUP(H585,[1]对照表!$J$27:$J$48,[1]对照表!$L$27:$L$48)),IF(B585="高一",IF($E585="男",LOOKUP(H585,[1]对照表!$I$3:$I$24,[1]对照表!$L$3:$L$24),LOOKUP(H585,[1]对照表!$I$27:$I$48,[1]对照表!$L$27:$L$48)))))</f>
        <v>74</v>
      </c>
      <c r="J585" s="21">
        <v>150</v>
      </c>
      <c r="K585" s="32">
        <f>IF(B585="高三",IF($E585="男",LOOKUP(J585,[1]对照表!$O$3:$O$24,[1]对照表!$P$3:$P$24),LOOKUP(J585,[1]对照表!$O$27:$O$48,[1]对照表!$P$27:$P$48)),IF(B585="高二",IF($E585="男",LOOKUP(J585,[1]对照表!$N$3:$N$24,[1]对照表!$P$3:$P$24),LOOKUP(J585,[1]对照表!$N$27:$N$48,[1]对照表!$P$27:$P$48)),IF(B585="高一",IF($E585="男",LOOKUP(J585,[1]对照表!$M$3:$M$24,[1]对照表!$P$3:$P$24),LOOKUP(J585,[1]对照表!$M$27:$M$48,[1]对照表!$P$27:$P$48)))))</f>
        <v>60</v>
      </c>
      <c r="L585" s="21">
        <v>50</v>
      </c>
      <c r="M585" s="32">
        <f>IF(B585="高三",IF($E585="男",LOOKUP(L585,[1]对照表!$S$3:$S$24,[1]对照表!$T$3:$T$24),LOOKUP(L585,[1]对照表!$S$27:$S$48,[1]对照表!$T$27:$T$48)),IF(B585="高二",IF($E585="男",LOOKUP(L585,[1]对照表!$R$3:$R$24,[1]对照表!$T$3:$T$24),LOOKUP(L585,[1]对照表!$R$27:$R$48,[1]对照表!$T$27:$T$48)),IF(B585="高一",IF($E585="男",LOOKUP(L585,[1]对照表!$Q$3:$Q$24,[1]对照表!$T$3:$T$24),LOOKUP(L585,[1]对照表!$Q$27:$Q$48,[1]对照表!$T$27:$T$48)))))</f>
        <v>90</v>
      </c>
      <c r="N585" s="33">
        <f>IF(B585="高三",MAX(IF(E585="男",L585-18,L585-55),0),IF(B585="高二",MAX(IF(E585="男",L585-17,L585-54),0),IF(B585="高一",MAX(IF(E585="男",L585-16,L585-53),0))))</f>
        <v>0</v>
      </c>
      <c r="O585" s="23">
        <f>IF(E585="男",LOOKUP($N585,[1]对照表!$Z$3:$Z$13,[1]对照表!$AA$3:$AA$13),LOOKUP($N585,[1]对照表!$Z$15:$Z$25,[1]对照表!$AA$15:$AA$25))</f>
        <v>0</v>
      </c>
      <c r="P585" s="24">
        <f>M585+O585</f>
        <v>90</v>
      </c>
      <c r="Q585" s="25">
        <v>4.2</v>
      </c>
      <c r="R585" s="32">
        <f>IF(B585="高三",IF($E585="男",LOOKUP(Q585,[1]对照表!$W$3:$W$24,[1]对照表!$X$3:$X$24),LOOKUP(Q585,[1]对照表!$W$27:$W$48,[1]对照表!$X$27:$X$48)),IF(B585="高二",IF($E585="男",LOOKUP(Q585,[1]对照表!$V$3:$V$24,[1]对照表!$X$3:$X$24),LOOKUP(Q585,[1]对照表!$V$27:$V$48,[1]对照表!$X$27:$X$48)),IF(B585="高一",IF($E585="男",LOOKUP(Q585,[1]对照表!$U$3:$U$24,[1]对照表!$X$3:$X$24),LOOKUP(Q585,[1]对照表!$U$27:$U$48,[1]对照表!$X$27:$X$48)))))</f>
        <v>68</v>
      </c>
      <c r="S585" s="33">
        <f>ROUND(IF(IF($B585="高三",MIN(IF($E585="男",$Q585-3.2,$Q585-3.2),0),IF($B585="高二",MIN(IF($E585="男",$Q585-3.25,$Q585-3.22),0),IF($B585="高一",MIN(IF($E585="男",$Q585-3.3,$Q585-3.24),0))))&lt;-0.6,IF($B585="高三",MIN(IF($E585="男",$Q585-3.2,$Q585-3.2),0),IF($B585="高二",MIN(IF($E585="男",$Q585-3.25,$Q585-3.22),0),IF($B585="高一",MIN(IF($E585="男",$Q585-3.3,$Q585-3.24),0))))+0.4,IF($B585="高三",MIN(IF($E585="男",$Q585-3.2,$Q585-3.2),0),IF($B585="高二",MIN(IF($E585="男",$Q585-3.25,$Q585-3.22),0),IF($B585="高一",MIN(IF($E585="男",$Q585-3.3,$Q585-3.24),0))))),2)</f>
        <v>0</v>
      </c>
      <c r="T585" s="23">
        <f>IF(E585="男",LOOKUP($S585,[1]对照表!$AB$3:$AB$13,[1]对照表!$AC$3:$AC$13),LOOKUP($S585,[1]对照表!$AB$15:$AB$25,[1]对照表!$AC$15:$AC$25))</f>
        <v>0</v>
      </c>
      <c r="U585" s="26">
        <f>R585+T585</f>
        <v>68</v>
      </c>
      <c r="V585" s="26">
        <f>SUM(I585,K585,M585)/3*0.3+SUM(G585,R585)/2*0.4</f>
        <v>48.800000000000004</v>
      </c>
      <c r="W585" s="27">
        <f>O585+T585</f>
        <v>0</v>
      </c>
      <c r="X585" s="28">
        <f>V585/0.7+W585</f>
        <v>69.714285714285722</v>
      </c>
      <c r="Y585" s="28">
        <v>69.714285714285722</v>
      </c>
      <c r="Z585" s="21"/>
    </row>
    <row r="586" spans="1:26" x14ac:dyDescent="0.25">
      <c r="A586" s="16">
        <v>40</v>
      </c>
      <c r="B586" s="17" t="s">
        <v>21</v>
      </c>
      <c r="C586" s="16">
        <v>113</v>
      </c>
      <c r="D586" s="18" t="s">
        <v>745</v>
      </c>
      <c r="E586" s="17" t="s">
        <v>65</v>
      </c>
      <c r="F586" s="19">
        <v>8.18</v>
      </c>
      <c r="G586" s="32">
        <f>IF(B586="高三",IF($E586="男",LOOKUP(F586,[1]对照表!$G$3:$G$24,[1]对照表!$H$3:$H$24),LOOKUP(F586,[1]对照表!$G$27:$G$48,[1]对照表!$H$27:$H$48)),IF(B586="高二",IF($E586="男",LOOKUP(F586,[1]对照表!$F$3:$F$24,[1]对照表!$H$3:$H$24),LOOKUP(F586,[1]对照表!$F$27:$F$48,[1]对照表!$H$27:$H$48)),IF(B586="高一",IF($E586="男",LOOKUP(F586,[1]对照表!$E$3:$E$24,[1]对照表!$H$3:$H$24),LOOKUP(F586,[1]对照表!$E$27:$E$48,[1]对照表!$H$27:$H$48)))))</f>
        <v>85</v>
      </c>
      <c r="H586" s="21">
        <v>16</v>
      </c>
      <c r="I586" s="32">
        <f>IF(B586="高三",IF($E586="男",LOOKUP(H586,[1]对照表!$K$3:$K$24,[1]对照表!$L$3:$L$24),LOOKUP(H586,[1]对照表!$K$27:$K$48,[1]对照表!$L$27:$L$48)),IF(B586="高二",IF($E586="男",LOOKUP(H586,[1]对照表!$J$3:$J$24,[1]对照表!$L$3:$L$24),LOOKUP(H586,[1]对照表!$J$27:$J$48,[1]对照表!$L$27:$L$48)),IF(B586="高一",IF($E586="男",LOOKUP(H586,[1]对照表!$I$3:$I$24,[1]对照表!$L$3:$L$24),LOOKUP(H586,[1]对照表!$I$27:$I$48,[1]对照表!$L$27:$L$48)))))</f>
        <v>76</v>
      </c>
      <c r="J586" s="21">
        <v>208</v>
      </c>
      <c r="K586" s="32">
        <f>IF(B586="高三",IF($E586="男",LOOKUP(J586,[1]对照表!$O$3:$O$24,[1]对照表!$P$3:$P$24),LOOKUP(J586,[1]对照表!$O$27:$O$48,[1]对照表!$P$27:$P$48)),IF(B586="高二",IF($E586="男",LOOKUP(J586,[1]对照表!$N$3:$N$24,[1]对照表!$P$3:$P$24),LOOKUP(J586,[1]对照表!$N$27:$N$48,[1]对照表!$P$27:$P$48)),IF(B586="高一",IF($E586="男",LOOKUP(J586,[1]对照表!$M$3:$M$24,[1]对照表!$P$3:$P$24),LOOKUP(J586,[1]对照表!$M$27:$M$48,[1]对照表!$P$27:$P$48)))))</f>
        <v>100</v>
      </c>
      <c r="L586" s="21">
        <v>50</v>
      </c>
      <c r="M586" s="32">
        <f>IF(B586="高三",IF($E586="男",LOOKUP(L586,[1]对照表!$S$3:$S$24,[1]对照表!$T$3:$T$24),LOOKUP(L586,[1]对照表!$S$27:$S$48,[1]对照表!$T$27:$T$48)),IF(B586="高二",IF($E586="男",LOOKUP(L586,[1]对照表!$R$3:$R$24,[1]对照表!$T$3:$T$24),LOOKUP(L586,[1]对照表!$R$27:$R$48,[1]对照表!$T$27:$T$48)),IF(B586="高一",IF($E586="男",LOOKUP(L586,[1]对照表!$Q$3:$Q$24,[1]对照表!$T$3:$T$24),LOOKUP(L586,[1]对照表!$Q$27:$Q$48,[1]对照表!$T$27:$T$48)))))</f>
        <v>90</v>
      </c>
      <c r="N586" s="33">
        <f>IF(B586="高三",MAX(IF(E586="男",L586-18,L586-55),0),IF(B586="高二",MAX(IF(E586="男",L586-17,L586-54),0),IF(B586="高一",MAX(IF(E586="男",L586-16,L586-53),0))))</f>
        <v>0</v>
      </c>
      <c r="O586" s="23">
        <f>IF(E586="男",LOOKUP($N586,[1]对照表!$Z$3:$Z$13,[1]对照表!$AA$3:$AA$13),LOOKUP($N586,[1]对照表!$Z$15:$Z$25,[1]对照表!$AA$15:$AA$25))</f>
        <v>0</v>
      </c>
      <c r="P586" s="24">
        <f>M586+O586</f>
        <v>90</v>
      </c>
      <c r="Q586" s="25" t="s">
        <v>578</v>
      </c>
      <c r="R586" s="20">
        <v>0</v>
      </c>
      <c r="S586" s="22">
        <v>0</v>
      </c>
      <c r="T586" s="23">
        <f>IF(E586="男",LOOKUP($S586,[1]对照表!$AB$3:$AB$13,[1]对照表!$AC$3:$AC$13),LOOKUP($S586,[1]对照表!$AB$15:$AB$25,[1]对照表!$AC$15:$AC$25))</f>
        <v>0</v>
      </c>
      <c r="U586" s="26">
        <f>R586+T586</f>
        <v>0</v>
      </c>
      <c r="V586" s="26">
        <f>SUM(I586,K586,M586)/3*0.3+SUM(G586,R586)/2*0.4</f>
        <v>43.6</v>
      </c>
      <c r="W586" s="27">
        <f>O586+T586</f>
        <v>0</v>
      </c>
      <c r="X586" s="28">
        <f>V586/0.7+W586</f>
        <v>62.285714285714292</v>
      </c>
      <c r="Y586" s="28">
        <v>62.285714285714292</v>
      </c>
      <c r="Z586" s="21"/>
    </row>
    <row r="587" spans="1:26" x14ac:dyDescent="0.25">
      <c r="A587" s="16">
        <v>36</v>
      </c>
      <c r="B587" s="17" t="s">
        <v>21</v>
      </c>
      <c r="C587" s="16">
        <v>113</v>
      </c>
      <c r="D587" s="18" t="s">
        <v>764</v>
      </c>
      <c r="E587" s="31" t="s">
        <v>65</v>
      </c>
      <c r="F587" s="19"/>
      <c r="G587" s="20">
        <v>0</v>
      </c>
      <c r="H587" s="21"/>
      <c r="I587" s="20">
        <v>0</v>
      </c>
      <c r="J587" s="21"/>
      <c r="K587" s="20">
        <v>0</v>
      </c>
      <c r="L587" s="21"/>
      <c r="M587" s="20">
        <v>0</v>
      </c>
      <c r="N587" s="22">
        <v>0</v>
      </c>
      <c r="O587" s="23">
        <f>IF(E587="男",LOOKUP($N587,[1]对照表!$Z$3:$Z$13,[1]对照表!$AA$3:$AA$13),LOOKUP($N587,[1]对照表!$Z$15:$Z$25,[1]对照表!$AA$15:$AA$25))</f>
        <v>0</v>
      </c>
      <c r="P587" s="24">
        <f>M587+O587</f>
        <v>0</v>
      </c>
      <c r="Q587" s="25"/>
      <c r="R587" s="20">
        <v>0</v>
      </c>
      <c r="S587" s="22">
        <v>0</v>
      </c>
      <c r="T587" s="23">
        <f>IF(E587="男",LOOKUP($S587,[1]对照表!$AB$3:$AB$13,[1]对照表!$AC$3:$AC$13),LOOKUP($S587,[1]对照表!$AB$15:$AB$25,[1]对照表!$AC$15:$AC$25))</f>
        <v>0</v>
      </c>
      <c r="U587" s="26">
        <f>R587+T587</f>
        <v>0</v>
      </c>
      <c r="V587" s="26">
        <f>SUM(I587,K587,M587)/3*0.3+SUM(G587,R587)/2*0.4</f>
        <v>0</v>
      </c>
      <c r="W587" s="27">
        <f>O587+T587</f>
        <v>0</v>
      </c>
      <c r="X587" s="28">
        <f>V587/0.7+W587</f>
        <v>0</v>
      </c>
      <c r="Y587" s="29">
        <v>50</v>
      </c>
      <c r="Z587" s="21" t="s">
        <v>578</v>
      </c>
    </row>
    <row r="588" spans="1:26" x14ac:dyDescent="0.25">
      <c r="A588" s="16">
        <v>12</v>
      </c>
      <c r="B588" s="17" t="s">
        <v>21</v>
      </c>
      <c r="C588" s="16">
        <v>114</v>
      </c>
      <c r="D588" s="18" t="s">
        <v>45</v>
      </c>
      <c r="E588" s="34" t="s">
        <v>23</v>
      </c>
      <c r="F588" s="19">
        <v>7</v>
      </c>
      <c r="G588" s="32">
        <f>IF(B588="高三",IF($E588="男",LOOKUP(F588,[1]对照表!$G$3:$G$24,[1]对照表!$H$3:$H$24),LOOKUP(F588,[1]对照表!$G$27:$G$48,[1]对照表!$H$27:$H$48)),IF(B588="高二",IF($E588="男",LOOKUP(F588,[1]对照表!$F$3:$F$24,[1]对照表!$H$3:$H$24),LOOKUP(F588,[1]对照表!$F$27:$F$48,[1]对照表!$H$27:$H$48)),IF(B588="高一",IF($E588="男",LOOKUP(F588,[1]对照表!$E$3:$E$24,[1]对照表!$H$3:$H$24),LOOKUP(F588,[1]对照表!$E$27:$E$48,[1]对照表!$H$27:$H$48)))))</f>
        <v>100</v>
      </c>
      <c r="H588" s="21">
        <v>24</v>
      </c>
      <c r="I588" s="32">
        <f>IF(B588="高三",IF($E588="男",LOOKUP(H588,[1]对照表!$K$3:$K$24,[1]对照表!$L$3:$L$24),LOOKUP(H588,[1]对照表!$K$27:$K$48,[1]对照表!$L$27:$L$48)),IF(B588="高二",IF($E588="男",LOOKUP(H588,[1]对照表!$J$3:$J$24,[1]对照表!$L$3:$L$24),LOOKUP(H588,[1]对照表!$J$27:$J$48,[1]对照表!$L$27:$L$48)),IF(B588="高一",IF($E588="男",LOOKUP(H588,[1]对照表!$I$3:$I$24,[1]对照表!$L$3:$L$24),LOOKUP(H588,[1]对照表!$I$27:$I$48,[1]对照表!$L$27:$L$48)))))</f>
        <v>100</v>
      </c>
      <c r="J588" s="21">
        <v>260</v>
      </c>
      <c r="K588" s="32">
        <f>IF(B588="高三",IF($E588="男",LOOKUP(J588,[1]对照表!$O$3:$O$24,[1]对照表!$P$3:$P$24),LOOKUP(J588,[1]对照表!$O$27:$O$48,[1]对照表!$P$27:$P$48)),IF(B588="高二",IF($E588="男",LOOKUP(J588,[1]对照表!$N$3:$N$24,[1]对照表!$P$3:$P$24),LOOKUP(J588,[1]对照表!$N$27:$N$48,[1]对照表!$P$27:$P$48)),IF(B588="高一",IF($E588="男",LOOKUP(J588,[1]对照表!$M$3:$M$24,[1]对照表!$P$3:$P$24),LOOKUP(J588,[1]对照表!$M$27:$M$48,[1]对照表!$P$27:$P$48)))))</f>
        <v>100</v>
      </c>
      <c r="L588" s="21">
        <v>23</v>
      </c>
      <c r="M588" s="32">
        <f>IF(B588="高三",IF($E588="男",LOOKUP(L588,[1]对照表!$S$3:$S$24,[1]对照表!$T$3:$T$24),LOOKUP(L588,[1]对照表!$S$27:$S$48,[1]对照表!$T$27:$T$48)),IF(B588="高二",IF($E588="男",LOOKUP(L588,[1]对照表!$R$3:$R$24,[1]对照表!$T$3:$T$24),LOOKUP(L588,[1]对照表!$R$27:$R$48,[1]对照表!$T$27:$T$48)),IF(B588="高一",IF($E588="男",LOOKUP(L588,[1]对照表!$Q$3:$Q$24,[1]对照表!$T$3:$T$24),LOOKUP(L588,[1]对照表!$Q$27:$Q$48,[1]对照表!$T$27:$T$48)))))</f>
        <v>100</v>
      </c>
      <c r="N588" s="33">
        <f>IF(B588="高三",MAX(IF(E588="男",L588-18,L588-55),0),IF(B588="高二",MAX(IF(E588="男",L588-17,L588-54),0),IF(B588="高一",MAX(IF(E588="男",L588-16,L588-53),0))))</f>
        <v>7</v>
      </c>
      <c r="O588" s="23">
        <f>IF(E588="男",LOOKUP($N588,[1]对照表!$Z$3:$Z$13,[1]对照表!$AA$3:$AA$13),LOOKUP($N588,[1]对照表!$Z$15:$Z$25,[1]对照表!$AA$15:$AA$25))</f>
        <v>7</v>
      </c>
      <c r="P588" s="24">
        <f>M588+O588</f>
        <v>107</v>
      </c>
      <c r="Q588" s="25">
        <v>3.38</v>
      </c>
      <c r="R588" s="32">
        <f>IF(B588="高三",IF($E588="男",LOOKUP(Q588,[1]对照表!$W$3:$W$24,[1]对照表!$X$3:$X$24),LOOKUP(Q588,[1]对照表!$W$27:$W$48,[1]对照表!$X$27:$X$48)),IF(B588="高二",IF($E588="男",LOOKUP(Q588,[1]对照表!$V$3:$V$24,[1]对照表!$X$3:$X$24),LOOKUP(Q588,[1]对照表!$V$27:$V$48,[1]对照表!$X$27:$X$48)),IF(B588="高一",IF($E588="男",LOOKUP(Q588,[1]对照表!$U$3:$U$24,[1]对照表!$X$3:$X$24),LOOKUP(Q588,[1]对照表!$U$27:$U$48,[1]对照表!$X$27:$X$48)))))</f>
        <v>90</v>
      </c>
      <c r="S588" s="33">
        <f>ROUND(IF(IF($B588="高三",MIN(IF($E588="男",$Q588-3.2,$Q588-3.2),0),IF($B588="高二",MIN(IF($E588="男",$Q588-3.25,$Q588-3.22),0),IF($B588="高一",MIN(IF($E588="男",$Q588-3.3,$Q588-3.24),0))))&lt;-0.6,IF($B588="高三",MIN(IF($E588="男",$Q588-3.2,$Q588-3.2),0),IF($B588="高二",MIN(IF($E588="男",$Q588-3.25,$Q588-3.22),0),IF($B588="高一",MIN(IF($E588="男",$Q588-3.3,$Q588-3.24),0))))+0.4,IF($B588="高三",MIN(IF($E588="男",$Q588-3.2,$Q588-3.2),0),IF($B588="高二",MIN(IF($E588="男",$Q588-3.25,$Q588-3.22),0),IF($B588="高一",MIN(IF($E588="男",$Q588-3.3,$Q588-3.24),0))))),2)</f>
        <v>0</v>
      </c>
      <c r="T588" s="23">
        <f>IF(E588="男",LOOKUP($S588,[1]对照表!$AB$3:$AB$13,[1]对照表!$AC$3:$AC$13),LOOKUP($S588,[1]对照表!$AB$15:$AB$25,[1]对照表!$AC$15:$AC$25))</f>
        <v>0</v>
      </c>
      <c r="U588" s="26">
        <f>R588+T588</f>
        <v>90</v>
      </c>
      <c r="V588" s="26">
        <f>SUM(I588,K588,M588)/3*0.3+SUM(G588,R588)/2*0.4</f>
        <v>68</v>
      </c>
      <c r="W588" s="27">
        <f>O588+T588</f>
        <v>7</v>
      </c>
      <c r="X588" s="28">
        <f>V588/0.7+W588</f>
        <v>104.14285714285715</v>
      </c>
      <c r="Y588" s="28">
        <v>104.14285714285715</v>
      </c>
      <c r="Z588" s="21"/>
    </row>
    <row r="589" spans="1:26" x14ac:dyDescent="0.25">
      <c r="A589" s="16">
        <v>27</v>
      </c>
      <c r="B589" s="17" t="s">
        <v>21</v>
      </c>
      <c r="C589" s="16">
        <v>114</v>
      </c>
      <c r="D589" s="18" t="s">
        <v>68</v>
      </c>
      <c r="E589" s="17" t="s">
        <v>65</v>
      </c>
      <c r="F589" s="19">
        <v>7.95</v>
      </c>
      <c r="G589" s="32">
        <f>IF(B589="高三",IF($E589="男",LOOKUP(F589,[1]对照表!$G$3:$G$24,[1]对照表!$H$3:$H$24),LOOKUP(F589,[1]对照表!$G$27:$G$48,[1]对照表!$H$27:$H$48)),IF(B589="高二",IF($E589="男",LOOKUP(F589,[1]对照表!$F$3:$F$24,[1]对照表!$H$3:$H$24),LOOKUP(F589,[1]对照表!$F$27:$F$48,[1]对照表!$H$27:$H$48)),IF(B589="高一",IF($E589="男",LOOKUP(F589,[1]对照表!$E$3:$E$24,[1]对照表!$H$3:$H$24),LOOKUP(F589,[1]对照表!$E$27:$E$48,[1]对照表!$H$27:$H$48)))))</f>
        <v>90</v>
      </c>
      <c r="H589" s="21">
        <v>19</v>
      </c>
      <c r="I589" s="32">
        <f>IF(B589="高三",IF($E589="男",LOOKUP(H589,[1]对照表!$K$3:$K$24,[1]对照表!$L$3:$L$24),LOOKUP(H589,[1]对照表!$K$27:$K$48,[1]对照表!$L$27:$L$48)),IF(B589="高二",IF($E589="男",LOOKUP(H589,[1]对照表!$J$3:$J$24,[1]对照表!$L$3:$L$24),LOOKUP(H589,[1]对照表!$J$27:$J$48,[1]对照表!$L$27:$L$48)),IF(B589="高一",IF($E589="男",LOOKUP(H589,[1]对照表!$I$3:$I$24,[1]对照表!$L$3:$L$24),LOOKUP(H589,[1]对照表!$I$27:$I$48,[1]对照表!$L$27:$L$48)))))</f>
        <v>80</v>
      </c>
      <c r="J589" s="21">
        <v>210</v>
      </c>
      <c r="K589" s="32">
        <f>IF(B589="高三",IF($E589="男",LOOKUP(J589,[1]对照表!$O$3:$O$24,[1]对照表!$P$3:$P$24),LOOKUP(J589,[1]对照表!$O$27:$O$48,[1]对照表!$P$27:$P$48)),IF(B589="高二",IF($E589="男",LOOKUP(J589,[1]对照表!$N$3:$N$24,[1]对照表!$P$3:$P$24),LOOKUP(J589,[1]对照表!$N$27:$N$48,[1]对照表!$P$27:$P$48)),IF(B589="高一",IF($E589="男",LOOKUP(J589,[1]对照表!$M$3:$M$24,[1]对照表!$P$3:$P$24),LOOKUP(J589,[1]对照表!$M$27:$M$48,[1]对照表!$P$27:$P$48)))))</f>
        <v>100</v>
      </c>
      <c r="L589" s="21">
        <v>52</v>
      </c>
      <c r="M589" s="32">
        <f>IF(B589="高三",IF($E589="男",LOOKUP(L589,[1]对照表!$S$3:$S$24,[1]对照表!$T$3:$T$24),LOOKUP(L589,[1]对照表!$S$27:$S$48,[1]对照表!$T$27:$T$48)),IF(B589="高二",IF($E589="男",LOOKUP(L589,[1]对照表!$R$3:$R$24,[1]对照表!$T$3:$T$24),LOOKUP(L589,[1]对照表!$R$27:$R$48,[1]对照表!$T$27:$T$48)),IF(B589="高一",IF($E589="男",LOOKUP(L589,[1]对照表!$Q$3:$Q$24,[1]对照表!$T$3:$T$24),LOOKUP(L589,[1]对照表!$Q$27:$Q$48,[1]对照表!$T$27:$T$48)))))</f>
        <v>95</v>
      </c>
      <c r="N589" s="33">
        <f>IF(B589="高三",MAX(IF(E589="男",L589-18,L589-55),0),IF(B589="高二",MAX(IF(E589="男",L589-17,L589-54),0),IF(B589="高一",MAX(IF(E589="男",L589-16,L589-53),0))))</f>
        <v>0</v>
      </c>
      <c r="O589" s="23">
        <f>IF(E589="男",LOOKUP($N589,[1]对照表!$Z$3:$Z$13,[1]对照表!$AA$3:$AA$13),LOOKUP($N589,[1]对照表!$Z$15:$Z$25,[1]对照表!$AA$15:$AA$25))</f>
        <v>0</v>
      </c>
      <c r="P589" s="24">
        <f>M589+O589</f>
        <v>95</v>
      </c>
      <c r="Q589" s="25">
        <v>3.02</v>
      </c>
      <c r="R589" s="32">
        <f>IF(B589="高三",IF($E589="男",LOOKUP(Q589,[1]对照表!$W$3:$W$24,[1]对照表!$X$3:$X$24),LOOKUP(Q589,[1]对照表!$W$27:$W$48,[1]对照表!$X$27:$X$48)),IF(B589="高二",IF($E589="男",LOOKUP(Q589,[1]对照表!$V$3:$V$24,[1]对照表!$X$3:$X$24),LOOKUP(Q589,[1]对照表!$V$27:$V$48,[1]对照表!$X$27:$X$48)),IF(B589="高一",IF($E589="男",LOOKUP(Q589,[1]对照表!$U$3:$U$24,[1]对照表!$X$3:$X$24),LOOKUP(Q589,[1]对照表!$U$27:$U$48,[1]对照表!$X$27:$X$48)))))</f>
        <v>100</v>
      </c>
      <c r="S589" s="33">
        <f>ROUND(IF(IF($B589="高三",MIN(IF($E589="男",$Q589-3.2,$Q589-3.2),0),IF($B589="高二",MIN(IF($E589="男",$Q589-3.25,$Q589-3.22),0),IF($B589="高一",MIN(IF($E589="男",$Q589-3.3,$Q589-3.24),0))))&lt;-0.6,IF($B589="高三",MIN(IF($E589="男",$Q589-3.2,$Q589-3.2),0),IF($B589="高二",MIN(IF($E589="男",$Q589-3.25,$Q589-3.22),0),IF($B589="高一",MIN(IF($E589="男",$Q589-3.3,$Q589-3.24),0))))+0.4,IF($B589="高三",MIN(IF($E589="男",$Q589-3.2,$Q589-3.2),0),IF($B589="高二",MIN(IF($E589="男",$Q589-3.25,$Q589-3.22),0),IF($B589="高一",MIN(IF($E589="男",$Q589-3.3,$Q589-3.24),0))))),2)</f>
        <v>-0.22</v>
      </c>
      <c r="T589" s="23">
        <f>IF(E589="男",LOOKUP($S589,[1]对照表!$AB$3:$AB$13,[1]对照表!$AC$3:$AC$13),LOOKUP($S589,[1]对照表!$AB$15:$AB$25,[1]对照表!$AC$15:$AC$25))</f>
        <v>4</v>
      </c>
      <c r="U589" s="26">
        <f>R589+T589</f>
        <v>104</v>
      </c>
      <c r="V589" s="26">
        <f>SUM(I589,K589,M589)/3*0.3+SUM(G589,R589)/2*0.4</f>
        <v>65.5</v>
      </c>
      <c r="W589" s="27">
        <f>O589+T589</f>
        <v>4</v>
      </c>
      <c r="X589" s="28">
        <f>V589/0.7+W589</f>
        <v>97.571428571428584</v>
      </c>
      <c r="Y589" s="28">
        <v>97.571428571428584</v>
      </c>
      <c r="Z589" s="21"/>
    </row>
    <row r="590" spans="1:26" x14ac:dyDescent="0.25">
      <c r="A590" s="16">
        <v>24</v>
      </c>
      <c r="B590" s="17" t="s">
        <v>21</v>
      </c>
      <c r="C590" s="16">
        <v>114</v>
      </c>
      <c r="D590" s="18" t="s">
        <v>69</v>
      </c>
      <c r="E590" s="17" t="s">
        <v>65</v>
      </c>
      <c r="F590" s="19">
        <v>8.1999999999999993</v>
      </c>
      <c r="G590" s="32">
        <f>IF(B590="高三",IF($E590="男",LOOKUP(F590,[1]对照表!$G$3:$G$24,[1]对照表!$H$3:$H$24),LOOKUP(F590,[1]对照表!$G$27:$G$48,[1]对照表!$H$27:$H$48)),IF(B590="高二",IF($E590="男",LOOKUP(F590,[1]对照表!$F$3:$F$24,[1]对照表!$H$3:$H$24),LOOKUP(F590,[1]对照表!$F$27:$F$48,[1]对照表!$H$27:$H$48)),IF(B590="高一",IF($E590="男",LOOKUP(F590,[1]对照表!$E$3:$E$24,[1]对照表!$H$3:$H$24),LOOKUP(F590,[1]对照表!$E$27:$E$48,[1]对照表!$H$27:$H$48)))))</f>
        <v>85</v>
      </c>
      <c r="H590" s="21">
        <v>10.8</v>
      </c>
      <c r="I590" s="32">
        <f>IF(B590="高三",IF($E590="男",LOOKUP(H590,[1]对照表!$K$3:$K$24,[1]对照表!$L$3:$L$24),LOOKUP(H590,[1]对照表!$K$27:$K$48,[1]对照表!$L$27:$L$48)),IF(B590="高二",IF($E590="男",LOOKUP(H590,[1]对照表!$J$3:$J$24,[1]对照表!$L$3:$L$24),LOOKUP(H590,[1]对照表!$J$27:$J$48,[1]对照表!$L$27:$L$48)),IF(B590="高一",IF($E590="男",LOOKUP(H590,[1]对照表!$I$3:$I$24,[1]对照表!$L$3:$L$24),LOOKUP(H590,[1]对照表!$I$27:$I$48,[1]对照表!$L$27:$L$48)))))</f>
        <v>68</v>
      </c>
      <c r="J590" s="21">
        <v>192</v>
      </c>
      <c r="K590" s="32">
        <f>IF(B590="高三",IF($E590="男",LOOKUP(J590,[1]对照表!$O$3:$O$24,[1]对照表!$P$3:$P$24),LOOKUP(J590,[1]对照表!$O$27:$O$48,[1]对照表!$P$27:$P$48)),IF(B590="高二",IF($E590="男",LOOKUP(J590,[1]对照表!$N$3:$N$24,[1]对照表!$P$3:$P$24),LOOKUP(J590,[1]对照表!$N$27:$N$48,[1]对照表!$P$27:$P$48)),IF(B590="高一",IF($E590="男",LOOKUP(J590,[1]对照表!$M$3:$M$24,[1]对照表!$P$3:$P$24),LOOKUP(J590,[1]对照表!$M$27:$M$48,[1]对照表!$P$27:$P$48)))))</f>
        <v>90</v>
      </c>
      <c r="L590" s="21">
        <v>46</v>
      </c>
      <c r="M590" s="32">
        <f>IF(B590="高三",IF($E590="男",LOOKUP(L590,[1]对照表!$S$3:$S$24,[1]对照表!$T$3:$T$24),LOOKUP(L590,[1]对照表!$S$27:$S$48,[1]对照表!$T$27:$T$48)),IF(B590="高二",IF($E590="男",LOOKUP(L590,[1]对照表!$R$3:$R$24,[1]对照表!$T$3:$T$24),LOOKUP(L590,[1]对照表!$R$27:$R$48,[1]对照表!$T$27:$T$48)),IF(B590="高一",IF($E590="男",LOOKUP(L590,[1]对照表!$Q$3:$Q$24,[1]对照表!$T$3:$T$24),LOOKUP(L590,[1]对照表!$Q$27:$Q$48,[1]对照表!$T$27:$T$48)))))</f>
        <v>85</v>
      </c>
      <c r="N590" s="33">
        <f>IF(B590="高三",MAX(IF(E590="男",L590-18,L590-55),0),IF(B590="高二",MAX(IF(E590="男",L590-17,L590-54),0),IF(B590="高一",MAX(IF(E590="男",L590-16,L590-53),0))))</f>
        <v>0</v>
      </c>
      <c r="O590" s="23">
        <f>IF(E590="男",LOOKUP($N590,[1]对照表!$Z$3:$Z$13,[1]对照表!$AA$3:$AA$13),LOOKUP($N590,[1]对照表!$Z$15:$Z$25,[1]对照表!$AA$15:$AA$25))</f>
        <v>0</v>
      </c>
      <c r="P590" s="24">
        <f>M590+O590</f>
        <v>85</v>
      </c>
      <c r="Q590" s="25">
        <v>3.03</v>
      </c>
      <c r="R590" s="32">
        <f>IF(B590="高三",IF($E590="男",LOOKUP(Q590,[1]对照表!$W$3:$W$24,[1]对照表!$X$3:$X$24),LOOKUP(Q590,[1]对照表!$W$27:$W$48,[1]对照表!$X$27:$X$48)),IF(B590="高二",IF($E590="男",LOOKUP(Q590,[1]对照表!$V$3:$V$24,[1]对照表!$X$3:$X$24),LOOKUP(Q590,[1]对照表!$V$27:$V$48,[1]对照表!$X$27:$X$48)),IF(B590="高一",IF($E590="男",LOOKUP(Q590,[1]对照表!$U$3:$U$24,[1]对照表!$X$3:$X$24),LOOKUP(Q590,[1]对照表!$U$27:$U$48,[1]对照表!$X$27:$X$48)))))</f>
        <v>100</v>
      </c>
      <c r="S590" s="33">
        <f>ROUND(IF(IF($B590="高三",MIN(IF($E590="男",$Q590-3.2,$Q590-3.2),0),IF($B590="高二",MIN(IF($E590="男",$Q590-3.25,$Q590-3.22),0),IF($B590="高一",MIN(IF($E590="男",$Q590-3.3,$Q590-3.24),0))))&lt;-0.6,IF($B590="高三",MIN(IF($E590="男",$Q590-3.2,$Q590-3.2),0),IF($B590="高二",MIN(IF($E590="男",$Q590-3.25,$Q590-3.22),0),IF($B590="高一",MIN(IF($E590="男",$Q590-3.3,$Q590-3.24),0))))+0.4,IF($B590="高三",MIN(IF($E590="男",$Q590-3.2,$Q590-3.2),0),IF($B590="高二",MIN(IF($E590="男",$Q590-3.25,$Q590-3.22),0),IF($B590="高一",MIN(IF($E590="男",$Q590-3.3,$Q590-3.24),0))))),2)</f>
        <v>-0.21</v>
      </c>
      <c r="T590" s="23">
        <f>IF(E590="男",LOOKUP($S590,[1]对照表!$AB$3:$AB$13,[1]对照表!$AC$3:$AC$13),LOOKUP($S590,[1]对照表!$AB$15:$AB$25,[1]对照表!$AC$15:$AC$25))</f>
        <v>4</v>
      </c>
      <c r="U590" s="26">
        <f>R590+T590</f>
        <v>104</v>
      </c>
      <c r="V590" s="26">
        <f>SUM(I590,K590,M590)/3*0.3+SUM(G590,R590)/2*0.4</f>
        <v>61.3</v>
      </c>
      <c r="W590" s="27">
        <f>O590+T590</f>
        <v>4</v>
      </c>
      <c r="X590" s="28">
        <f>V590/0.7+W590</f>
        <v>91.571428571428569</v>
      </c>
      <c r="Y590" s="28">
        <v>91.571428571428569</v>
      </c>
      <c r="Z590" s="21"/>
    </row>
    <row r="591" spans="1:26" x14ac:dyDescent="0.25">
      <c r="A591" s="16">
        <v>4</v>
      </c>
      <c r="B591" s="17" t="s">
        <v>21</v>
      </c>
      <c r="C591" s="16">
        <v>114</v>
      </c>
      <c r="D591" s="18" t="s">
        <v>153</v>
      </c>
      <c r="E591" s="17" t="s">
        <v>23</v>
      </c>
      <c r="F591" s="19">
        <v>7.1</v>
      </c>
      <c r="G591" s="32">
        <f>IF(B591="高三",IF($E591="男",LOOKUP(F591,[1]对照表!$G$3:$G$24,[1]对照表!$H$3:$H$24),LOOKUP(F591,[1]对照表!$G$27:$G$48,[1]对照表!$H$27:$H$48)),IF(B591="高二",IF($E591="男",LOOKUP(F591,[1]对照表!$F$3:$F$24,[1]对照表!$H$3:$H$24),LOOKUP(F591,[1]对照表!$F$27:$F$48,[1]对照表!$H$27:$H$48)),IF(B591="高一",IF($E591="男",LOOKUP(F591,[1]对照表!$E$3:$E$24,[1]对照表!$H$3:$H$24),LOOKUP(F591,[1]对照表!$E$27:$E$48,[1]对照表!$H$27:$H$48)))))</f>
        <v>100</v>
      </c>
      <c r="H591" s="21">
        <v>18</v>
      </c>
      <c r="I591" s="32">
        <f>IF(B591="高三",IF($E591="男",LOOKUP(H591,[1]对照表!$K$3:$K$24,[1]对照表!$L$3:$L$24),LOOKUP(H591,[1]对照表!$K$27:$K$48,[1]对照表!$L$27:$L$48)),IF(B591="高二",IF($E591="男",LOOKUP(H591,[1]对照表!$J$3:$J$24,[1]对照表!$L$3:$L$24),LOOKUP(H591,[1]对照表!$J$27:$J$48,[1]对照表!$L$27:$L$48)),IF(B591="高一",IF($E591="男",LOOKUP(H591,[1]对照表!$I$3:$I$24,[1]对照表!$L$3:$L$24),LOOKUP(H591,[1]对照表!$I$27:$I$48,[1]对照表!$L$27:$L$48)))))</f>
        <v>85</v>
      </c>
      <c r="J591" s="21">
        <v>250</v>
      </c>
      <c r="K591" s="32">
        <f>IF(B591="高三",IF($E591="男",LOOKUP(J591,[1]对照表!$O$3:$O$24,[1]对照表!$P$3:$P$24),LOOKUP(J591,[1]对照表!$O$27:$O$48,[1]对照表!$P$27:$P$48)),IF(B591="高二",IF($E591="男",LOOKUP(J591,[1]对照表!$N$3:$N$24,[1]对照表!$P$3:$P$24),LOOKUP(J591,[1]对照表!$N$27:$N$48,[1]对照表!$P$27:$P$48)),IF(B591="高一",IF($E591="男",LOOKUP(J591,[1]对照表!$M$3:$M$24,[1]对照表!$P$3:$P$24),LOOKUP(J591,[1]对照表!$M$27:$M$48,[1]对照表!$P$27:$P$48)))))</f>
        <v>90</v>
      </c>
      <c r="L591" s="21">
        <v>20</v>
      </c>
      <c r="M591" s="32">
        <f>IF(B591="高三",IF($E591="男",LOOKUP(L591,[1]对照表!$S$3:$S$24,[1]对照表!$T$3:$T$24),LOOKUP(L591,[1]对照表!$S$27:$S$48,[1]对照表!$T$27:$T$48)),IF(B591="高二",IF($E591="男",LOOKUP(L591,[1]对照表!$R$3:$R$24,[1]对照表!$T$3:$T$24),LOOKUP(L591,[1]对照表!$R$27:$R$48,[1]对照表!$T$27:$T$48)),IF(B591="高一",IF($E591="男",LOOKUP(L591,[1]对照表!$Q$3:$Q$24,[1]对照表!$T$3:$T$24),LOOKUP(L591,[1]对照表!$Q$27:$Q$48,[1]对照表!$T$27:$T$48)))))</f>
        <v>100</v>
      </c>
      <c r="N591" s="33">
        <f>IF(B591="高三",MAX(IF(E591="男",L591-18,L591-55),0),IF(B591="高二",MAX(IF(E591="男",L591-17,L591-54),0),IF(B591="高一",MAX(IF(E591="男",L591-16,L591-53),0))))</f>
        <v>4</v>
      </c>
      <c r="O591" s="23">
        <f>IF(E591="男",LOOKUP($N591,[1]对照表!$Z$3:$Z$13,[1]对照表!$AA$3:$AA$13),LOOKUP($N591,[1]对照表!$Z$15:$Z$25,[1]对照表!$AA$15:$AA$25))</f>
        <v>4</v>
      </c>
      <c r="P591" s="24">
        <f>M591+O591</f>
        <v>104</v>
      </c>
      <c r="Q591" s="25">
        <v>4.1100000000000003</v>
      </c>
      <c r="R591" s="32">
        <f>IF(B591="高三",IF($E591="男",LOOKUP(Q591,[1]对照表!$W$3:$W$24,[1]对照表!$X$3:$X$24),LOOKUP(Q591,[1]对照表!$W$27:$W$48,[1]对照表!$X$27:$X$48)),IF(B591="高二",IF($E591="男",LOOKUP(Q591,[1]对照表!$V$3:$V$24,[1]对照表!$X$3:$X$24),LOOKUP(Q591,[1]对照表!$V$27:$V$48,[1]对照表!$X$27:$X$48)),IF(B591="高一",IF($E591="男",LOOKUP(Q591,[1]对照表!$U$3:$U$24,[1]对照表!$X$3:$X$24),LOOKUP(Q591,[1]对照表!$U$27:$U$48,[1]对照表!$X$27:$X$48)))))</f>
        <v>72</v>
      </c>
      <c r="S591" s="33">
        <f>ROUND(IF(IF($B591="高三",MIN(IF($E591="男",$Q591-3.2,$Q591-3.2),0),IF($B591="高二",MIN(IF($E591="男",$Q591-3.25,$Q591-3.22),0),IF($B591="高一",MIN(IF($E591="男",$Q591-3.3,$Q591-3.24),0))))&lt;-0.6,IF($B591="高三",MIN(IF($E591="男",$Q591-3.2,$Q591-3.2),0),IF($B591="高二",MIN(IF($E591="男",$Q591-3.25,$Q591-3.22),0),IF($B591="高一",MIN(IF($E591="男",$Q591-3.3,$Q591-3.24),0))))+0.4,IF($B591="高三",MIN(IF($E591="男",$Q591-3.2,$Q591-3.2),0),IF($B591="高二",MIN(IF($E591="男",$Q591-3.25,$Q591-3.22),0),IF($B591="高一",MIN(IF($E591="男",$Q591-3.3,$Q591-3.24),0))))),2)</f>
        <v>0</v>
      </c>
      <c r="T591" s="23">
        <f>IF(E591="男",LOOKUP($S591,[1]对照表!$AB$3:$AB$13,[1]对照表!$AC$3:$AC$13),LOOKUP($S591,[1]对照表!$AB$15:$AB$25,[1]对照表!$AC$15:$AC$25))</f>
        <v>0</v>
      </c>
      <c r="U591" s="26">
        <f>R591+T591</f>
        <v>72</v>
      </c>
      <c r="V591" s="26">
        <f>SUM(I591,K591,M591)/3*0.3+SUM(G591,R591)/2*0.4</f>
        <v>61.9</v>
      </c>
      <c r="W591" s="27">
        <f>O591+T591</f>
        <v>4</v>
      </c>
      <c r="X591" s="28">
        <f>V591/0.7+W591</f>
        <v>92.428571428571431</v>
      </c>
      <c r="Y591" s="28">
        <v>92.428571428571431</v>
      </c>
      <c r="Z591" s="21"/>
    </row>
    <row r="592" spans="1:26" x14ac:dyDescent="0.25">
      <c r="A592" s="16">
        <v>6</v>
      </c>
      <c r="B592" s="17" t="s">
        <v>21</v>
      </c>
      <c r="C592" s="16">
        <v>114</v>
      </c>
      <c r="D592" s="18" t="s">
        <v>174</v>
      </c>
      <c r="E592" s="17" t="s">
        <v>23</v>
      </c>
      <c r="F592" s="19">
        <v>6.9</v>
      </c>
      <c r="G592" s="32">
        <f>IF(B592="高三",IF($E592="男",LOOKUP(F592,[1]对照表!$G$3:$G$24,[1]对照表!$H$3:$H$24),LOOKUP(F592,[1]对照表!$G$27:$G$48,[1]对照表!$H$27:$H$48)),IF(B592="高二",IF($E592="男",LOOKUP(F592,[1]对照表!$F$3:$F$24,[1]对照表!$H$3:$H$24),LOOKUP(F592,[1]对照表!$F$27:$F$48,[1]对照表!$H$27:$H$48)),IF(B592="高一",IF($E592="男",LOOKUP(F592,[1]对照表!$E$3:$E$24,[1]对照表!$H$3:$H$24),LOOKUP(F592,[1]对照表!$E$27:$E$48,[1]对照表!$H$27:$H$48)))))</f>
        <v>100</v>
      </c>
      <c r="H592" s="21">
        <v>8</v>
      </c>
      <c r="I592" s="32">
        <f>IF(B592="高三",IF($E592="男",LOOKUP(H592,[1]对照表!$K$3:$K$24,[1]对照表!$L$3:$L$24),LOOKUP(H592,[1]对照表!$K$27:$K$48,[1]对照表!$L$27:$L$48)),IF(B592="高二",IF($E592="男",LOOKUP(H592,[1]对照表!$J$3:$J$24,[1]对照表!$L$3:$L$24),LOOKUP(H592,[1]对照表!$J$27:$J$48,[1]对照表!$L$27:$L$48)),IF(B592="高一",IF($E592="男",LOOKUP(H592,[1]对照表!$I$3:$I$24,[1]对照表!$L$3:$L$24),LOOKUP(H592,[1]对照表!$I$27:$I$48,[1]对照表!$L$27:$L$48)))))</f>
        <v>70</v>
      </c>
      <c r="J592" s="21">
        <v>252</v>
      </c>
      <c r="K592" s="32">
        <f>IF(B592="高三",IF($E592="男",LOOKUP(J592,[1]对照表!$O$3:$O$24,[1]对照表!$P$3:$P$24),LOOKUP(J592,[1]对照表!$O$27:$O$48,[1]对照表!$P$27:$P$48)),IF(B592="高二",IF($E592="男",LOOKUP(J592,[1]对照表!$N$3:$N$24,[1]对照表!$P$3:$P$24),LOOKUP(J592,[1]对照表!$N$27:$N$48,[1]对照表!$P$27:$P$48)),IF(B592="高一",IF($E592="男",LOOKUP(J592,[1]对照表!$M$3:$M$24,[1]对照表!$P$3:$P$24),LOOKUP(J592,[1]对照表!$M$27:$M$48,[1]对照表!$P$27:$P$48)))))</f>
        <v>90</v>
      </c>
      <c r="L592" s="21">
        <v>12</v>
      </c>
      <c r="M592" s="32">
        <f>IF(B592="高三",IF($E592="男",LOOKUP(L592,[1]对照表!$S$3:$S$24,[1]对照表!$T$3:$T$24),LOOKUP(L592,[1]对照表!$S$27:$S$48,[1]对照表!$T$27:$T$48)),IF(B592="高二",IF($E592="男",LOOKUP(L592,[1]对照表!$R$3:$R$24,[1]对照表!$T$3:$T$24),LOOKUP(L592,[1]对照表!$R$27:$R$48,[1]对照表!$T$27:$T$48)),IF(B592="高一",IF($E592="男",LOOKUP(L592,[1]对照表!$Q$3:$Q$24,[1]对照表!$T$3:$T$24),LOOKUP(L592,[1]对照表!$Q$27:$Q$48,[1]对照表!$T$27:$T$48)))))</f>
        <v>80</v>
      </c>
      <c r="N592" s="33">
        <f>IF(B592="高三",MAX(IF(E592="男",L592-18,L592-55),0),IF(B592="高二",MAX(IF(E592="男",L592-17,L592-54),0),IF(B592="高一",MAX(IF(E592="男",L592-16,L592-53),0))))</f>
        <v>0</v>
      </c>
      <c r="O592" s="23">
        <f>IF(E592="男",LOOKUP($N592,[1]对照表!$Z$3:$Z$13,[1]对照表!$AA$3:$AA$13),LOOKUP($N592,[1]对照表!$Z$15:$Z$25,[1]对照表!$AA$15:$AA$25))</f>
        <v>0</v>
      </c>
      <c r="P592" s="24">
        <f>M592+O592</f>
        <v>80</v>
      </c>
      <c r="Q592" s="25">
        <v>3.28</v>
      </c>
      <c r="R592" s="32">
        <f>IF(B592="高三",IF($E592="男",LOOKUP(Q592,[1]对照表!$W$3:$W$24,[1]对照表!$X$3:$X$24),LOOKUP(Q592,[1]对照表!$W$27:$W$48,[1]对照表!$X$27:$X$48)),IF(B592="高二",IF($E592="男",LOOKUP(Q592,[1]对照表!$V$3:$V$24,[1]对照表!$X$3:$X$24),LOOKUP(Q592,[1]对照表!$V$27:$V$48,[1]对照表!$X$27:$X$48)),IF(B592="高一",IF($E592="男",LOOKUP(Q592,[1]对照表!$U$3:$U$24,[1]对照表!$X$3:$X$24),LOOKUP(Q592,[1]对照表!$U$27:$U$48,[1]对照表!$X$27:$X$48)))))</f>
        <v>100</v>
      </c>
      <c r="S592" s="33">
        <f>ROUND(IF(IF($B592="高三",MIN(IF($E592="男",$Q592-3.2,$Q592-3.2),0),IF($B592="高二",MIN(IF($E592="男",$Q592-3.25,$Q592-3.22),0),IF($B592="高一",MIN(IF($E592="男",$Q592-3.3,$Q592-3.24),0))))&lt;-0.6,IF($B592="高三",MIN(IF($E592="男",$Q592-3.2,$Q592-3.2),0),IF($B592="高二",MIN(IF($E592="男",$Q592-3.25,$Q592-3.22),0),IF($B592="高一",MIN(IF($E592="男",$Q592-3.3,$Q592-3.24),0))))+0.4,IF($B592="高三",MIN(IF($E592="男",$Q592-3.2,$Q592-3.2),0),IF($B592="高二",MIN(IF($E592="男",$Q592-3.25,$Q592-3.22),0),IF($B592="高一",MIN(IF($E592="男",$Q592-3.3,$Q592-3.24),0))))),2)</f>
        <v>-0.02</v>
      </c>
      <c r="T592" s="23">
        <f>IF(E592="男",LOOKUP($S592,[1]对照表!$AB$3:$AB$13,[1]对照表!$AC$3:$AC$13),LOOKUP($S592,[1]对照表!$AB$15:$AB$25,[1]对照表!$AC$15:$AC$25))</f>
        <v>0</v>
      </c>
      <c r="U592" s="26">
        <f>R592+T592</f>
        <v>100</v>
      </c>
      <c r="V592" s="26">
        <f>SUM(I592,K592,M592)/3*0.3+SUM(G592,R592)/2*0.4</f>
        <v>64</v>
      </c>
      <c r="W592" s="27">
        <f>O592+T592</f>
        <v>0</v>
      </c>
      <c r="X592" s="28">
        <f>V592/0.7+W592</f>
        <v>91.428571428571431</v>
      </c>
      <c r="Y592" s="28">
        <v>91.428571428571431</v>
      </c>
      <c r="Z592" s="21"/>
    </row>
    <row r="593" spans="1:26" x14ac:dyDescent="0.25">
      <c r="A593" s="16">
        <v>13</v>
      </c>
      <c r="B593" s="17" t="s">
        <v>21</v>
      </c>
      <c r="C593" s="16">
        <v>114</v>
      </c>
      <c r="D593" s="18" t="s">
        <v>177</v>
      </c>
      <c r="E593" s="16" t="s">
        <v>23</v>
      </c>
      <c r="F593" s="19">
        <v>7.3</v>
      </c>
      <c r="G593" s="32">
        <f>IF(B593="高三",IF($E593="男",LOOKUP(F593,[1]对照表!$G$3:$G$24,[1]对照表!$H$3:$H$24),LOOKUP(F593,[1]对照表!$G$27:$G$48,[1]对照表!$H$27:$H$48)),IF(B593="高二",IF($E593="男",LOOKUP(F593,[1]对照表!$F$3:$F$24,[1]对照表!$H$3:$H$24),LOOKUP(F593,[1]对照表!$F$27:$F$48,[1]对照表!$H$27:$H$48)),IF(B593="高一",IF($E593="男",LOOKUP(F593,[1]对照表!$E$3:$E$24,[1]对照表!$H$3:$H$24),LOOKUP(F593,[1]对照表!$E$27:$E$48,[1]对照表!$H$27:$H$48)))))</f>
        <v>90</v>
      </c>
      <c r="H593" s="21">
        <v>4.0999999999999996</v>
      </c>
      <c r="I593" s="32">
        <f>IF(B593="高三",IF($E593="男",LOOKUP(H593,[1]对照表!$K$3:$K$24,[1]对照表!$L$3:$L$24),LOOKUP(H593,[1]对照表!$K$27:$K$48,[1]对照表!$L$27:$L$48)),IF(B593="高二",IF($E593="男",LOOKUP(H593,[1]对照表!$J$3:$J$24,[1]对照表!$L$3:$L$24),LOOKUP(H593,[1]对照表!$J$27:$J$48,[1]对照表!$L$27:$L$48)),IF(B593="高一",IF($E593="男",LOOKUP(H593,[1]对照表!$I$3:$I$24,[1]对照表!$L$3:$L$24),LOOKUP(H593,[1]对照表!$I$27:$I$48,[1]对照表!$L$27:$L$48)))))</f>
        <v>64</v>
      </c>
      <c r="J593" s="21">
        <v>272</v>
      </c>
      <c r="K593" s="32">
        <f>IF(B593="高三",IF($E593="男",LOOKUP(J593,[1]对照表!$O$3:$O$24,[1]对照表!$P$3:$P$24),LOOKUP(J593,[1]对照表!$O$27:$O$48,[1]对照表!$P$27:$P$48)),IF(B593="高二",IF($E593="男",LOOKUP(J593,[1]对照表!$N$3:$N$24,[1]对照表!$P$3:$P$24),LOOKUP(J593,[1]对照表!$N$27:$N$48,[1]对照表!$P$27:$P$48)),IF(B593="高一",IF($E593="男",LOOKUP(J593,[1]对照表!$M$3:$M$24,[1]对照表!$P$3:$P$24),LOOKUP(J593,[1]对照表!$M$27:$M$48,[1]对照表!$P$27:$P$48)))))</f>
        <v>100</v>
      </c>
      <c r="L593" s="21">
        <v>22</v>
      </c>
      <c r="M593" s="32">
        <f>IF(B593="高三",IF($E593="男",LOOKUP(L593,[1]对照表!$S$3:$S$24,[1]对照表!$T$3:$T$24),LOOKUP(L593,[1]对照表!$S$27:$S$48,[1]对照表!$T$27:$T$48)),IF(B593="高二",IF($E593="男",LOOKUP(L593,[1]对照表!$R$3:$R$24,[1]对照表!$T$3:$T$24),LOOKUP(L593,[1]对照表!$R$27:$R$48,[1]对照表!$T$27:$T$48)),IF(B593="高一",IF($E593="男",LOOKUP(L593,[1]对照表!$Q$3:$Q$24,[1]对照表!$T$3:$T$24),LOOKUP(L593,[1]对照表!$Q$27:$Q$48,[1]对照表!$T$27:$T$48)))))</f>
        <v>100</v>
      </c>
      <c r="N593" s="33">
        <f>IF(B593="高三",MAX(IF(E593="男",L593-18,L593-55),0),IF(B593="高二",MAX(IF(E593="男",L593-17,L593-54),0),IF(B593="高一",MAX(IF(E593="男",L593-16,L593-53),0))))</f>
        <v>6</v>
      </c>
      <c r="O593" s="23">
        <f>IF(E593="男",LOOKUP($N593,[1]对照表!$Z$3:$Z$13,[1]对照表!$AA$3:$AA$13),LOOKUP($N593,[1]对照表!$Z$15:$Z$25,[1]对照表!$AA$15:$AA$25))</f>
        <v>6</v>
      </c>
      <c r="P593" s="24">
        <f>M593+O593</f>
        <v>106</v>
      </c>
      <c r="Q593" s="25">
        <v>4.05</v>
      </c>
      <c r="R593" s="32">
        <f>IF(B593="高三",IF($E593="男",LOOKUP(Q593,[1]对照表!$W$3:$W$24,[1]对照表!$X$3:$X$24),LOOKUP(Q593,[1]对照表!$W$27:$W$48,[1]对照表!$X$27:$X$48)),IF(B593="高二",IF($E593="男",LOOKUP(Q593,[1]对照表!$V$3:$V$24,[1]对照表!$X$3:$X$24),LOOKUP(Q593,[1]对照表!$V$27:$V$48,[1]对照表!$X$27:$X$48)),IF(B593="高一",IF($E593="男",LOOKUP(Q593,[1]对照表!$U$3:$U$24,[1]对照表!$X$3:$X$24),LOOKUP(Q593,[1]对照表!$U$27:$U$48,[1]对照表!$X$27:$X$48)))))</f>
        <v>76</v>
      </c>
      <c r="S593" s="33">
        <f>ROUND(IF(IF($B593="高三",MIN(IF($E593="男",$Q593-3.2,$Q593-3.2),0),IF($B593="高二",MIN(IF($E593="男",$Q593-3.25,$Q593-3.22),0),IF($B593="高一",MIN(IF($E593="男",$Q593-3.3,$Q593-3.24),0))))&lt;-0.6,IF($B593="高三",MIN(IF($E593="男",$Q593-3.2,$Q593-3.2),0),IF($B593="高二",MIN(IF($E593="男",$Q593-3.25,$Q593-3.22),0),IF($B593="高一",MIN(IF($E593="男",$Q593-3.3,$Q593-3.24),0))))+0.4,IF($B593="高三",MIN(IF($E593="男",$Q593-3.2,$Q593-3.2),0),IF($B593="高二",MIN(IF($E593="男",$Q593-3.25,$Q593-3.22),0),IF($B593="高一",MIN(IF($E593="男",$Q593-3.3,$Q593-3.24),0))))),2)</f>
        <v>0</v>
      </c>
      <c r="T593" s="23">
        <f>IF(E593="男",LOOKUP($S593,[1]对照表!$AB$3:$AB$13,[1]对照表!$AC$3:$AC$13),LOOKUP($S593,[1]对照表!$AB$15:$AB$25,[1]对照表!$AC$15:$AC$25))</f>
        <v>0</v>
      </c>
      <c r="U593" s="26">
        <f>R593+T593</f>
        <v>76</v>
      </c>
      <c r="V593" s="26">
        <f>SUM(I593,K593,M593)/3*0.3+SUM(G593,R593)/2*0.4</f>
        <v>59.6</v>
      </c>
      <c r="W593" s="27">
        <f>O593+T593</f>
        <v>6</v>
      </c>
      <c r="X593" s="28">
        <f>V593/0.7+W593</f>
        <v>91.142857142857153</v>
      </c>
      <c r="Y593" s="28">
        <v>91.142857142857153</v>
      </c>
      <c r="Z593" s="21"/>
    </row>
    <row r="594" spans="1:26" x14ac:dyDescent="0.25">
      <c r="A594" s="16">
        <v>14</v>
      </c>
      <c r="B594" s="17" t="s">
        <v>21</v>
      </c>
      <c r="C594" s="16">
        <v>114</v>
      </c>
      <c r="D594" s="18" t="s">
        <v>182</v>
      </c>
      <c r="E594" s="16" t="s">
        <v>23</v>
      </c>
      <c r="F594" s="19">
        <v>6.9</v>
      </c>
      <c r="G594" s="32">
        <f>IF(B594="高三",IF($E594="男",LOOKUP(F594,[1]对照表!$G$3:$G$24,[1]对照表!$H$3:$H$24),LOOKUP(F594,[1]对照表!$G$27:$G$48,[1]对照表!$H$27:$H$48)),IF(B594="高二",IF($E594="男",LOOKUP(F594,[1]对照表!$F$3:$F$24,[1]对照表!$H$3:$H$24),LOOKUP(F594,[1]对照表!$F$27:$F$48,[1]对照表!$H$27:$H$48)),IF(B594="高一",IF($E594="男",LOOKUP(F594,[1]对照表!$E$3:$E$24,[1]对照表!$H$3:$H$24),LOOKUP(F594,[1]对照表!$E$27:$E$48,[1]对照表!$H$27:$H$48)))))</f>
        <v>100</v>
      </c>
      <c r="H594" s="21">
        <v>17.5</v>
      </c>
      <c r="I594" s="32">
        <f>IF(B594="高三",IF($E594="男",LOOKUP(H594,[1]对照表!$K$3:$K$24,[1]对照表!$L$3:$L$24),LOOKUP(H594,[1]对照表!$K$27:$K$48,[1]对照表!$L$27:$L$48)),IF(B594="高二",IF($E594="男",LOOKUP(H594,[1]对照表!$J$3:$J$24,[1]对照表!$L$3:$L$24),LOOKUP(H594,[1]对照表!$J$27:$J$48,[1]对照表!$L$27:$L$48)),IF(B594="高一",IF($E594="男",LOOKUP(H594,[1]对照表!$I$3:$I$24,[1]对照表!$L$3:$L$24),LOOKUP(H594,[1]对照表!$I$27:$I$48,[1]对照表!$L$27:$L$48)))))</f>
        <v>85</v>
      </c>
      <c r="J594" s="21">
        <v>243</v>
      </c>
      <c r="K594" s="32">
        <f>IF(B594="高三",IF($E594="男",LOOKUP(J594,[1]对照表!$O$3:$O$24,[1]对照表!$P$3:$P$24),LOOKUP(J594,[1]对照表!$O$27:$O$48,[1]对照表!$P$27:$P$48)),IF(B594="高二",IF($E594="男",LOOKUP(J594,[1]对照表!$N$3:$N$24,[1]对照表!$P$3:$P$24),LOOKUP(J594,[1]对照表!$N$27:$N$48,[1]对照表!$P$27:$P$48)),IF(B594="高一",IF($E594="男",LOOKUP(J594,[1]对照表!$M$3:$M$24,[1]对照表!$P$3:$P$24),LOOKUP(J594,[1]对照表!$M$27:$M$48,[1]对照表!$P$27:$P$48)))))</f>
        <v>85</v>
      </c>
      <c r="L594" s="21">
        <v>6</v>
      </c>
      <c r="M594" s="32">
        <f>IF(B594="高三",IF($E594="男",LOOKUP(L594,[1]对照表!$S$3:$S$24,[1]对照表!$T$3:$T$24),LOOKUP(L594,[1]对照表!$S$27:$S$48,[1]对照表!$T$27:$T$48)),IF(B594="高二",IF($E594="男",LOOKUP(L594,[1]对照表!$R$3:$R$24,[1]对照表!$T$3:$T$24),LOOKUP(L594,[1]对照表!$R$27:$R$48,[1]对照表!$T$27:$T$48)),IF(B594="高一",IF($E594="男",LOOKUP(L594,[1]对照表!$Q$3:$Q$24,[1]对照表!$T$3:$T$24),LOOKUP(L594,[1]对照表!$Q$27:$Q$48,[1]对照表!$T$27:$T$48)))))</f>
        <v>50</v>
      </c>
      <c r="N594" s="33">
        <f>IF(B594="高三",MAX(IF(E594="男",L594-18,L594-55),0),IF(B594="高二",MAX(IF(E594="男",L594-17,L594-54),0),IF(B594="高一",MAX(IF(E594="男",L594-16,L594-53),0))))</f>
        <v>0</v>
      </c>
      <c r="O594" s="23">
        <f>IF(E594="男",LOOKUP($N594,[1]对照表!$Z$3:$Z$13,[1]对照表!$AA$3:$AA$13),LOOKUP($N594,[1]对照表!$Z$15:$Z$25,[1]对照表!$AA$15:$AA$25))</f>
        <v>0</v>
      </c>
      <c r="P594" s="24">
        <f>M594+O594</f>
        <v>50</v>
      </c>
      <c r="Q594" s="25">
        <v>3.19</v>
      </c>
      <c r="R594" s="32">
        <f>IF(B594="高三",IF($E594="男",LOOKUP(Q594,[1]对照表!$W$3:$W$24,[1]对照表!$X$3:$X$24),LOOKUP(Q594,[1]对照表!$W$27:$W$48,[1]对照表!$X$27:$X$48)),IF(B594="高二",IF($E594="男",LOOKUP(Q594,[1]对照表!$V$3:$V$24,[1]对照表!$X$3:$X$24),LOOKUP(Q594,[1]对照表!$V$27:$V$48,[1]对照表!$X$27:$X$48)),IF(B594="高一",IF($E594="男",LOOKUP(Q594,[1]对照表!$U$3:$U$24,[1]对照表!$X$3:$X$24),LOOKUP(Q594,[1]对照表!$U$27:$U$48,[1]对照表!$X$27:$X$48)))))</f>
        <v>100</v>
      </c>
      <c r="S594" s="33">
        <f>ROUND(IF(IF($B594="高三",MIN(IF($E594="男",$Q594-3.2,$Q594-3.2),0),IF($B594="高二",MIN(IF($E594="男",$Q594-3.25,$Q594-3.22),0),IF($B594="高一",MIN(IF($E594="男",$Q594-3.3,$Q594-3.24),0))))&lt;-0.6,IF($B594="高三",MIN(IF($E594="男",$Q594-3.2,$Q594-3.2),0),IF($B594="高二",MIN(IF($E594="男",$Q594-3.25,$Q594-3.22),0),IF($B594="高一",MIN(IF($E594="男",$Q594-3.3,$Q594-3.24),0))))+0.4,IF($B594="高三",MIN(IF($E594="男",$Q594-3.2,$Q594-3.2),0),IF($B594="高二",MIN(IF($E594="男",$Q594-3.25,$Q594-3.22),0),IF($B594="高一",MIN(IF($E594="男",$Q594-3.3,$Q594-3.24),0))))),2)</f>
        <v>-0.11</v>
      </c>
      <c r="T594" s="23">
        <f>IF(E594="男",LOOKUP($S594,[1]对照表!$AB$3:$AB$13,[1]对照表!$AC$3:$AC$13),LOOKUP($S594,[1]对照表!$AB$15:$AB$25,[1]对照表!$AC$15:$AC$25))</f>
        <v>2</v>
      </c>
      <c r="U594" s="26">
        <f>R594+T594</f>
        <v>102</v>
      </c>
      <c r="V594" s="26">
        <f>SUM(I594,K594,M594)/3*0.3+SUM(G594,R594)/2*0.4</f>
        <v>62</v>
      </c>
      <c r="W594" s="27">
        <f>O594+T594</f>
        <v>2</v>
      </c>
      <c r="X594" s="28">
        <f>V594/0.7+W594</f>
        <v>90.571428571428584</v>
      </c>
      <c r="Y594" s="28">
        <v>90.571428571428584</v>
      </c>
      <c r="Z594" s="21"/>
    </row>
    <row r="595" spans="1:26" x14ac:dyDescent="0.25">
      <c r="A595" s="16">
        <v>8</v>
      </c>
      <c r="B595" s="17" t="s">
        <v>21</v>
      </c>
      <c r="C595" s="16">
        <v>114</v>
      </c>
      <c r="D595" s="18" t="s">
        <v>204</v>
      </c>
      <c r="E595" s="17" t="s">
        <v>23</v>
      </c>
      <c r="F595" s="19">
        <v>7</v>
      </c>
      <c r="G595" s="32">
        <f>IF(B595="高三",IF($E595="男",LOOKUP(F595,[1]对照表!$G$3:$G$24,[1]对照表!$H$3:$H$24),LOOKUP(F595,[1]对照表!$G$27:$G$48,[1]对照表!$H$27:$H$48)),IF(B595="高二",IF($E595="男",LOOKUP(F595,[1]对照表!$F$3:$F$24,[1]对照表!$H$3:$H$24),LOOKUP(F595,[1]对照表!$F$27:$F$48,[1]对照表!$H$27:$H$48)),IF(B595="高一",IF($E595="男",LOOKUP(F595,[1]对照表!$E$3:$E$24,[1]对照表!$H$3:$H$24),LOOKUP(F595,[1]对照表!$E$27:$E$48,[1]对照表!$H$27:$H$48)))))</f>
        <v>100</v>
      </c>
      <c r="H595" s="21">
        <v>15</v>
      </c>
      <c r="I595" s="32">
        <f>IF(B595="高三",IF($E595="男",LOOKUP(H595,[1]对照表!$K$3:$K$24,[1]对照表!$L$3:$L$24),LOOKUP(H595,[1]对照表!$K$27:$K$48,[1]对照表!$L$27:$L$48)),IF(B595="高二",IF($E595="男",LOOKUP(H595,[1]对照表!$J$3:$J$24,[1]对照表!$L$3:$L$24),LOOKUP(H595,[1]对照表!$J$27:$J$48,[1]对照表!$L$27:$L$48)),IF(B595="高一",IF($E595="男",LOOKUP(H595,[1]对照表!$I$3:$I$24,[1]对照表!$L$3:$L$24),LOOKUP(H595,[1]对照表!$I$27:$I$48,[1]对照表!$L$27:$L$48)))))</f>
        <v>80</v>
      </c>
      <c r="J595" s="21">
        <v>223</v>
      </c>
      <c r="K595" s="32">
        <f>IF(B595="高三",IF($E595="男",LOOKUP(J595,[1]对照表!$O$3:$O$24,[1]对照表!$P$3:$P$24),LOOKUP(J595,[1]对照表!$O$27:$O$48,[1]对照表!$P$27:$P$48)),IF(B595="高二",IF($E595="男",LOOKUP(J595,[1]对照表!$N$3:$N$24,[1]对照表!$P$3:$P$24),LOOKUP(J595,[1]对照表!$N$27:$N$48,[1]对照表!$P$27:$P$48)),IF(B595="高一",IF($E595="男",LOOKUP(J595,[1]对照表!$M$3:$M$24,[1]对照表!$P$3:$P$24),LOOKUP(J595,[1]对照表!$M$27:$M$48,[1]对照表!$P$27:$P$48)))))</f>
        <v>74</v>
      </c>
      <c r="L595" s="21">
        <v>14</v>
      </c>
      <c r="M595" s="32">
        <f>IF(B595="高三",IF($E595="男",LOOKUP(L595,[1]对照表!$S$3:$S$24,[1]对照表!$T$3:$T$24),LOOKUP(L595,[1]对照表!$S$27:$S$48,[1]对照表!$T$27:$T$48)),IF(B595="高二",IF($E595="男",LOOKUP(L595,[1]对照表!$R$3:$R$24,[1]对照表!$T$3:$T$24),LOOKUP(L595,[1]对照表!$R$27:$R$48,[1]对照表!$T$27:$T$48)),IF(B595="高一",IF($E595="男",LOOKUP(L595,[1]对照表!$Q$3:$Q$24,[1]对照表!$T$3:$T$24),LOOKUP(L595,[1]对照表!$Q$27:$Q$48,[1]对照表!$T$27:$T$48)))))</f>
        <v>90</v>
      </c>
      <c r="N595" s="33">
        <f>IF(B595="高三",MAX(IF(E595="男",L595-18,L595-55),0),IF(B595="高二",MAX(IF(E595="男",L595-17,L595-54),0),IF(B595="高一",MAX(IF(E595="男",L595-16,L595-53),0))))</f>
        <v>0</v>
      </c>
      <c r="O595" s="23">
        <f>IF(E595="男",LOOKUP($N595,[1]对照表!$Z$3:$Z$13,[1]对照表!$AA$3:$AA$13),LOOKUP($N595,[1]对照表!$Z$15:$Z$25,[1]对照表!$AA$15:$AA$25))</f>
        <v>0</v>
      </c>
      <c r="P595" s="24">
        <f>M595+O595</f>
        <v>90</v>
      </c>
      <c r="Q595" s="25">
        <v>3.41</v>
      </c>
      <c r="R595" s="32">
        <f>IF(B595="高三",IF($E595="男",LOOKUP(Q595,[1]对照表!$W$3:$W$24,[1]对照表!$X$3:$X$24),LOOKUP(Q595,[1]对照表!$W$27:$W$48,[1]对照表!$X$27:$X$48)),IF(B595="高二",IF($E595="男",LOOKUP(Q595,[1]对照表!$V$3:$V$24,[1]对照表!$X$3:$X$24),LOOKUP(Q595,[1]对照表!$V$27:$V$48,[1]对照表!$X$27:$X$48)),IF(B595="高一",IF($E595="男",LOOKUP(Q595,[1]对照表!$U$3:$U$24,[1]对照表!$X$3:$X$24),LOOKUP(Q595,[1]对照表!$U$27:$U$48,[1]对照表!$X$27:$X$48)))))</f>
        <v>85</v>
      </c>
      <c r="S595" s="33">
        <f>ROUND(IF(IF($B595="高三",MIN(IF($E595="男",$Q595-3.2,$Q595-3.2),0),IF($B595="高二",MIN(IF($E595="男",$Q595-3.25,$Q595-3.22),0),IF($B595="高一",MIN(IF($E595="男",$Q595-3.3,$Q595-3.24),0))))&lt;-0.6,IF($B595="高三",MIN(IF($E595="男",$Q595-3.2,$Q595-3.2),0),IF($B595="高二",MIN(IF($E595="男",$Q595-3.25,$Q595-3.22),0),IF($B595="高一",MIN(IF($E595="男",$Q595-3.3,$Q595-3.24),0))))+0.4,IF($B595="高三",MIN(IF($E595="男",$Q595-3.2,$Q595-3.2),0),IF($B595="高二",MIN(IF($E595="男",$Q595-3.25,$Q595-3.22),0),IF($B595="高一",MIN(IF($E595="男",$Q595-3.3,$Q595-3.24),0))))),2)</f>
        <v>0</v>
      </c>
      <c r="T595" s="23">
        <f>IF(E595="男",LOOKUP($S595,[1]对照表!$AB$3:$AB$13,[1]对照表!$AC$3:$AC$13),LOOKUP($S595,[1]对照表!$AB$15:$AB$25,[1]对照表!$AC$15:$AC$25))</f>
        <v>0</v>
      </c>
      <c r="U595" s="26">
        <f>R595+T595</f>
        <v>85</v>
      </c>
      <c r="V595" s="26">
        <f>SUM(I595,K595,M595)/3*0.3+SUM(G595,R595)/2*0.4</f>
        <v>61.4</v>
      </c>
      <c r="W595" s="27">
        <f>O595+T595</f>
        <v>0</v>
      </c>
      <c r="X595" s="28">
        <f>V595/0.7+W595</f>
        <v>87.714285714285722</v>
      </c>
      <c r="Y595" s="28">
        <v>87.714285714285722</v>
      </c>
      <c r="Z595" s="21"/>
    </row>
    <row r="596" spans="1:26" x14ac:dyDescent="0.25">
      <c r="A596" s="16">
        <v>39</v>
      </c>
      <c r="B596" s="17" t="s">
        <v>21</v>
      </c>
      <c r="C596" s="16">
        <v>114</v>
      </c>
      <c r="D596" s="18" t="s">
        <v>216</v>
      </c>
      <c r="E596" s="17" t="s">
        <v>65</v>
      </c>
      <c r="F596" s="19">
        <v>8.33</v>
      </c>
      <c r="G596" s="32">
        <f>IF(B596="高三",IF($E596="男",LOOKUP(F596,[1]对照表!$G$3:$G$24,[1]对照表!$H$3:$H$24),LOOKUP(F596,[1]对照表!$G$27:$G$48,[1]对照表!$H$27:$H$48)),IF(B596="高二",IF($E596="男",LOOKUP(F596,[1]对照表!$F$3:$F$24,[1]对照表!$H$3:$H$24),LOOKUP(F596,[1]对照表!$F$27:$F$48,[1]对照表!$H$27:$H$48)),IF(B596="高一",IF($E596="男",LOOKUP(F596,[1]对照表!$E$3:$E$24,[1]对照表!$H$3:$H$24),LOOKUP(F596,[1]对照表!$E$27:$E$48,[1]对照表!$H$27:$H$48)))))</f>
        <v>80</v>
      </c>
      <c r="H596" s="21">
        <v>23</v>
      </c>
      <c r="I596" s="32">
        <f>IF(B596="高三",IF($E596="男",LOOKUP(H596,[1]对照表!$K$3:$K$24,[1]对照表!$L$3:$L$24),LOOKUP(H596,[1]对照表!$K$27:$K$48,[1]对照表!$L$27:$L$48)),IF(B596="高二",IF($E596="男",LOOKUP(H596,[1]对照表!$J$3:$J$24,[1]对照表!$L$3:$L$24),LOOKUP(H596,[1]对照表!$J$27:$J$48,[1]对照表!$L$27:$L$48)),IF(B596="高一",IF($E596="男",LOOKUP(H596,[1]对照表!$I$3:$I$24,[1]对照表!$L$3:$L$24),LOOKUP(H596,[1]对照表!$I$27:$I$48,[1]对照表!$L$27:$L$48)))))</f>
        <v>95</v>
      </c>
      <c r="J596" s="21">
        <v>215</v>
      </c>
      <c r="K596" s="32">
        <f>IF(B596="高三",IF($E596="男",LOOKUP(J596,[1]对照表!$O$3:$O$24,[1]对照表!$P$3:$P$24),LOOKUP(J596,[1]对照表!$O$27:$O$48,[1]对照表!$P$27:$P$48)),IF(B596="高二",IF($E596="男",LOOKUP(J596,[1]对照表!$N$3:$N$24,[1]对照表!$P$3:$P$24),LOOKUP(J596,[1]对照表!$N$27:$N$48,[1]对照表!$P$27:$P$48)),IF(B596="高一",IF($E596="男",LOOKUP(J596,[1]对照表!$M$3:$M$24,[1]对照表!$P$3:$P$24),LOOKUP(J596,[1]对照表!$M$27:$M$48,[1]对照表!$P$27:$P$48)))))</f>
        <v>100</v>
      </c>
      <c r="L596" s="21">
        <v>54</v>
      </c>
      <c r="M596" s="32">
        <f>IF(B596="高三",IF($E596="男",LOOKUP(L596,[1]对照表!$S$3:$S$24,[1]对照表!$T$3:$T$24),LOOKUP(L596,[1]对照表!$S$27:$S$48,[1]对照表!$T$27:$T$48)),IF(B596="高二",IF($E596="男",LOOKUP(L596,[1]对照表!$R$3:$R$24,[1]对照表!$T$3:$T$24),LOOKUP(L596,[1]对照表!$R$27:$R$48,[1]对照表!$T$27:$T$48)),IF(B596="高一",IF($E596="男",LOOKUP(L596,[1]对照表!$Q$3:$Q$24,[1]对照表!$T$3:$T$24),LOOKUP(L596,[1]对照表!$Q$27:$Q$48,[1]对照表!$T$27:$T$48)))))</f>
        <v>100</v>
      </c>
      <c r="N596" s="33">
        <f>IF(B596="高三",MAX(IF(E596="男",L596-18,L596-55),0),IF(B596="高二",MAX(IF(E596="男",L596-17,L596-54),0),IF(B596="高一",MAX(IF(E596="男",L596-16,L596-53),0))))</f>
        <v>1</v>
      </c>
      <c r="O596" s="23">
        <f>IF(E596="男",LOOKUP($N596,[1]对照表!$Z$3:$Z$13,[1]对照表!$AA$3:$AA$13),LOOKUP($N596,[1]对照表!$Z$15:$Z$25,[1]对照表!$AA$15:$AA$25))</f>
        <v>0</v>
      </c>
      <c r="P596" s="24">
        <f>M596+O596</f>
        <v>100</v>
      </c>
      <c r="Q596" s="25">
        <v>3.22</v>
      </c>
      <c r="R596" s="32">
        <f>IF(B596="高三",IF($E596="男",LOOKUP(Q596,[1]对照表!$W$3:$W$24,[1]对照表!$X$3:$X$24),LOOKUP(Q596,[1]对照表!$W$27:$W$48,[1]对照表!$X$27:$X$48)),IF(B596="高二",IF($E596="男",LOOKUP(Q596,[1]对照表!$V$3:$V$24,[1]对照表!$X$3:$X$24),LOOKUP(Q596,[1]对照表!$V$27:$V$48,[1]对照表!$X$27:$X$48)),IF(B596="高一",IF($E596="男",LOOKUP(Q596,[1]对照表!$U$3:$U$24,[1]对照表!$X$3:$X$24),LOOKUP(Q596,[1]对照表!$U$27:$U$48,[1]对照表!$X$27:$X$48)))))</f>
        <v>100</v>
      </c>
      <c r="S596" s="33">
        <f>ROUND(IF(IF($B596="高三",MIN(IF($E596="男",$Q596-3.2,$Q596-3.2),0),IF($B596="高二",MIN(IF($E596="男",$Q596-3.25,$Q596-3.22),0),IF($B596="高一",MIN(IF($E596="男",$Q596-3.3,$Q596-3.24),0))))&lt;-0.6,IF($B596="高三",MIN(IF($E596="男",$Q596-3.2,$Q596-3.2),0),IF($B596="高二",MIN(IF($E596="男",$Q596-3.25,$Q596-3.22),0),IF($B596="高一",MIN(IF($E596="男",$Q596-3.3,$Q596-3.24),0))))+0.4,IF($B596="高三",MIN(IF($E596="男",$Q596-3.2,$Q596-3.2),0),IF($B596="高二",MIN(IF($E596="男",$Q596-3.25,$Q596-3.22),0),IF($B596="高一",MIN(IF($E596="男",$Q596-3.3,$Q596-3.24),0))))),2)</f>
        <v>-0.02</v>
      </c>
      <c r="T596" s="23">
        <f>IF(E596="男",LOOKUP($S596,[1]对照表!$AB$3:$AB$13,[1]对照表!$AC$3:$AC$13),LOOKUP($S596,[1]对照表!$AB$15:$AB$25,[1]对照表!$AC$15:$AC$25))</f>
        <v>0</v>
      </c>
      <c r="U596" s="26">
        <f>R596+T596</f>
        <v>100</v>
      </c>
      <c r="V596" s="26">
        <f>SUM(I596,K596,M596)/3*0.3+SUM(G596,R596)/2*0.4</f>
        <v>65.5</v>
      </c>
      <c r="W596" s="27">
        <f>O596+T596</f>
        <v>0</v>
      </c>
      <c r="X596" s="28">
        <f>V596/0.7+W596</f>
        <v>93.571428571428584</v>
      </c>
      <c r="Y596" s="28">
        <v>93.571428571428584</v>
      </c>
      <c r="Z596" s="21"/>
    </row>
    <row r="597" spans="1:26" x14ac:dyDescent="0.25">
      <c r="A597" s="16">
        <v>33</v>
      </c>
      <c r="B597" s="17" t="s">
        <v>21</v>
      </c>
      <c r="C597" s="16">
        <v>114</v>
      </c>
      <c r="D597" s="18" t="s">
        <v>218</v>
      </c>
      <c r="E597" s="17" t="s">
        <v>65</v>
      </c>
      <c r="F597" s="19">
        <v>8.5500000000000007</v>
      </c>
      <c r="G597" s="32">
        <f>IF(B597="高三",IF($E597="男",LOOKUP(F597,[1]对照表!$G$3:$G$24,[1]对照表!$H$3:$H$24),LOOKUP(F597,[1]对照表!$G$27:$G$48,[1]对照表!$H$27:$H$48)),IF(B597="高二",IF($E597="男",LOOKUP(F597,[1]对照表!$F$3:$F$24,[1]对照表!$H$3:$H$24),LOOKUP(F597,[1]对照表!$F$27:$F$48,[1]对照表!$H$27:$H$48)),IF(B597="高一",IF($E597="男",LOOKUP(F597,[1]对照表!$E$3:$E$24,[1]对照表!$H$3:$H$24),LOOKUP(F597,[1]对照表!$E$27:$E$48,[1]对照表!$H$27:$H$48)))))</f>
        <v>80</v>
      </c>
      <c r="H597" s="21">
        <v>20.6</v>
      </c>
      <c r="I597" s="32">
        <f>IF(B597="高三",IF($E597="男",LOOKUP(H597,[1]对照表!$K$3:$K$24,[1]对照表!$L$3:$L$24),LOOKUP(H597,[1]对照表!$K$27:$K$48,[1]对照表!$L$27:$L$48)),IF(B597="高二",IF($E597="男",LOOKUP(H597,[1]对照表!$J$3:$J$24,[1]对照表!$L$3:$L$24),LOOKUP(H597,[1]对照表!$J$27:$J$48,[1]对照表!$L$27:$L$48)),IF(B597="高一",IF($E597="男",LOOKUP(H597,[1]对照表!$I$3:$I$24,[1]对照表!$L$3:$L$24),LOOKUP(H597,[1]对照表!$I$27:$I$48,[1]对照表!$L$27:$L$48)))))</f>
        <v>85</v>
      </c>
      <c r="J597" s="21">
        <v>202</v>
      </c>
      <c r="K597" s="32">
        <f>IF(B597="高三",IF($E597="男",LOOKUP(J597,[1]对照表!$O$3:$O$24,[1]对照表!$P$3:$P$24),LOOKUP(J597,[1]对照表!$O$27:$O$48,[1]对照表!$P$27:$P$48)),IF(B597="高二",IF($E597="男",LOOKUP(J597,[1]对照表!$N$3:$N$24,[1]对照表!$P$3:$P$24),LOOKUP(J597,[1]对照表!$N$27:$N$48,[1]对照表!$P$27:$P$48)),IF(B597="高一",IF($E597="男",LOOKUP(J597,[1]对照表!$M$3:$M$24,[1]对照表!$P$3:$P$24),LOOKUP(J597,[1]对照表!$M$27:$M$48,[1]对照表!$P$27:$P$48)))))</f>
        <v>95</v>
      </c>
      <c r="L597" s="36">
        <v>47</v>
      </c>
      <c r="M597" s="32">
        <f>IF(B597="高三",IF($E597="男",LOOKUP(L597,[1]对照表!$S$3:$S$24,[1]对照表!$T$3:$T$24),LOOKUP(L597,[1]对照表!$S$27:$S$48,[1]对照表!$T$27:$T$48)),IF(B597="高二",IF($E597="男",LOOKUP(L597,[1]对照表!$R$3:$R$24,[1]对照表!$T$3:$T$24),LOOKUP(L597,[1]对照表!$R$27:$R$48,[1]对照表!$T$27:$T$48)),IF(B597="高一",IF($E597="男",LOOKUP(L597,[1]对照表!$Q$3:$Q$24,[1]对照表!$T$3:$T$24),LOOKUP(L597,[1]对照表!$Q$27:$Q$48,[1]对照表!$T$27:$T$48)))))</f>
        <v>85</v>
      </c>
      <c r="N597" s="33">
        <f>IF(B597="高三",MAX(IF(E597="男",L597-18,L597-55),0),IF(B597="高二",MAX(IF(E597="男",L597-17,L597-54),0),IF(B597="高一",MAX(IF(E597="男",L597-16,L597-53),0))))</f>
        <v>0</v>
      </c>
      <c r="O597" s="23">
        <f>IF(E597="男",LOOKUP($N597,[1]对照表!$Z$3:$Z$13,[1]对照表!$AA$3:$AA$13),LOOKUP($N597,[1]对照表!$Z$15:$Z$25,[1]对照表!$AA$15:$AA$25))</f>
        <v>0</v>
      </c>
      <c r="P597" s="24">
        <f>M597+O597</f>
        <v>85</v>
      </c>
      <c r="Q597" s="25">
        <v>3.23</v>
      </c>
      <c r="R597" s="32">
        <f>IF(B597="高三",IF($E597="男",LOOKUP(Q597,[1]对照表!$W$3:$W$24,[1]对照表!$X$3:$X$24),LOOKUP(Q597,[1]对照表!$W$27:$W$48,[1]对照表!$X$27:$X$48)),IF(B597="高二",IF($E597="男",LOOKUP(Q597,[1]对照表!$V$3:$V$24,[1]对照表!$X$3:$X$24),LOOKUP(Q597,[1]对照表!$V$27:$V$48,[1]对照表!$X$27:$X$48)),IF(B597="高一",IF($E597="男",LOOKUP(Q597,[1]对照表!$U$3:$U$24,[1]对照表!$X$3:$X$24),LOOKUP(Q597,[1]对照表!$U$27:$U$48,[1]对照表!$X$27:$X$48)))))</f>
        <v>100</v>
      </c>
      <c r="S597" s="33">
        <f>ROUND(IF(IF($B597="高三",MIN(IF($E597="男",$Q597-3.2,$Q597-3.2),0),IF($B597="高二",MIN(IF($E597="男",$Q597-3.25,$Q597-3.22),0),IF($B597="高一",MIN(IF($E597="男",$Q597-3.3,$Q597-3.24),0))))&lt;-0.6,IF($B597="高三",MIN(IF($E597="男",$Q597-3.2,$Q597-3.2),0),IF($B597="高二",MIN(IF($E597="男",$Q597-3.25,$Q597-3.22),0),IF($B597="高一",MIN(IF($E597="男",$Q597-3.3,$Q597-3.24),0))))+0.4,IF($B597="高三",MIN(IF($E597="男",$Q597-3.2,$Q597-3.2),0),IF($B597="高二",MIN(IF($E597="男",$Q597-3.25,$Q597-3.22),0),IF($B597="高一",MIN(IF($E597="男",$Q597-3.3,$Q597-3.24),0))))),2)</f>
        <v>-0.01</v>
      </c>
      <c r="T597" s="23">
        <f>IF(E597="男",LOOKUP($S597,[1]对照表!$AB$3:$AB$13,[1]对照表!$AC$3:$AC$13),LOOKUP($S597,[1]对照表!$AB$15:$AB$25,[1]对照表!$AC$15:$AC$25))</f>
        <v>0</v>
      </c>
      <c r="U597" s="26">
        <f>R597+T597</f>
        <v>100</v>
      </c>
      <c r="V597" s="26">
        <f>SUM(I597,K597,M597)/3*0.3+SUM(G597,R597)/2*0.4</f>
        <v>62.5</v>
      </c>
      <c r="W597" s="27">
        <f>O597+T597</f>
        <v>0</v>
      </c>
      <c r="X597" s="28">
        <f>V597/0.7+W597</f>
        <v>89.285714285714292</v>
      </c>
      <c r="Y597" s="28">
        <v>89.285714285714292</v>
      </c>
      <c r="Z597" s="21"/>
    </row>
    <row r="598" spans="1:26" x14ac:dyDescent="0.25">
      <c r="A598" s="16">
        <v>29</v>
      </c>
      <c r="B598" s="17" t="s">
        <v>21</v>
      </c>
      <c r="C598" s="16">
        <v>114</v>
      </c>
      <c r="D598" s="18" t="s">
        <v>221</v>
      </c>
      <c r="E598" s="17" t="s">
        <v>65</v>
      </c>
      <c r="F598" s="19">
        <v>9.16</v>
      </c>
      <c r="G598" s="32">
        <f>IF(B598="高三",IF($E598="男",LOOKUP(F598,[1]对照表!$G$3:$G$24,[1]对照表!$H$3:$H$24),LOOKUP(F598,[1]对照表!$G$27:$G$48,[1]对照表!$H$27:$H$48)),IF(B598="高二",IF($E598="男",LOOKUP(F598,[1]对照表!$F$3:$F$24,[1]对照表!$H$3:$H$24),LOOKUP(F598,[1]对照表!$F$27:$F$48,[1]对照表!$H$27:$H$48)),IF(B598="高一",IF($E598="男",LOOKUP(F598,[1]对照表!$E$3:$E$24,[1]对照表!$H$3:$H$24),LOOKUP(F598,[1]对照表!$E$27:$E$48,[1]对照表!$H$27:$H$48)))))</f>
        <v>74</v>
      </c>
      <c r="H598" s="21">
        <v>27.7</v>
      </c>
      <c r="I598" s="32">
        <f>IF(B598="高三",IF($E598="男",LOOKUP(H598,[1]对照表!$K$3:$K$24,[1]对照表!$L$3:$L$24),LOOKUP(H598,[1]对照表!$K$27:$K$48,[1]对照表!$L$27:$L$48)),IF(B598="高二",IF($E598="男",LOOKUP(H598,[1]对照表!$J$3:$J$24,[1]对照表!$L$3:$L$24),LOOKUP(H598,[1]对照表!$J$27:$J$48,[1]对照表!$L$27:$L$48)),IF(B598="高一",IF($E598="男",LOOKUP(H598,[1]对照表!$I$3:$I$24,[1]对照表!$L$3:$L$24),LOOKUP(H598,[1]对照表!$I$27:$I$48,[1]对照表!$L$27:$L$48)))))</f>
        <v>100</v>
      </c>
      <c r="J598" s="21">
        <v>170</v>
      </c>
      <c r="K598" s="32">
        <f>IF(B598="高三",IF($E598="男",LOOKUP(J598,[1]对照表!$O$3:$O$24,[1]对照表!$P$3:$P$24),LOOKUP(J598,[1]对照表!$O$27:$O$48,[1]对照表!$P$27:$P$48)),IF(B598="高二",IF($E598="男",LOOKUP(J598,[1]对照表!$N$3:$N$24,[1]对照表!$P$3:$P$24),LOOKUP(J598,[1]对照表!$N$27:$N$48,[1]对照表!$P$27:$P$48)),IF(B598="高一",IF($E598="男",LOOKUP(J598,[1]对照表!$M$3:$M$24,[1]对照表!$P$3:$P$24),LOOKUP(J598,[1]对照表!$M$27:$M$48,[1]对照表!$P$27:$P$48)))))</f>
        <v>74</v>
      </c>
      <c r="L598" s="21">
        <v>47</v>
      </c>
      <c r="M598" s="32">
        <f>IF(B598="高三",IF($E598="男",LOOKUP(L598,[1]对照表!$S$3:$S$24,[1]对照表!$T$3:$T$24),LOOKUP(L598,[1]对照表!$S$27:$S$48,[1]对照表!$T$27:$T$48)),IF(B598="高二",IF($E598="男",LOOKUP(L598,[1]对照表!$R$3:$R$24,[1]对照表!$T$3:$T$24),LOOKUP(L598,[1]对照表!$R$27:$R$48,[1]对照表!$T$27:$T$48)),IF(B598="高一",IF($E598="男",LOOKUP(L598,[1]对照表!$Q$3:$Q$24,[1]对照表!$T$3:$T$24),LOOKUP(L598,[1]对照表!$Q$27:$Q$48,[1]对照表!$T$27:$T$48)))))</f>
        <v>85</v>
      </c>
      <c r="N598" s="33">
        <f>IF(B598="高三",MAX(IF(E598="男",L598-18,L598-55),0),IF(B598="高二",MAX(IF(E598="男",L598-17,L598-54),0),IF(B598="高一",MAX(IF(E598="男",L598-16,L598-53),0))))</f>
        <v>0</v>
      </c>
      <c r="O598" s="23">
        <f>IF(E598="男",LOOKUP($N598,[1]对照表!$Z$3:$Z$13,[1]对照表!$AA$3:$AA$13),LOOKUP($N598,[1]对照表!$Z$15:$Z$25,[1]对照表!$AA$15:$AA$25))</f>
        <v>0</v>
      </c>
      <c r="P598" s="24">
        <f>M598+O598</f>
        <v>85</v>
      </c>
      <c r="Q598" s="25">
        <v>3.23</v>
      </c>
      <c r="R598" s="32">
        <f>IF(B598="高三",IF($E598="男",LOOKUP(Q598,[1]对照表!$W$3:$W$24,[1]对照表!$X$3:$X$24),LOOKUP(Q598,[1]对照表!$W$27:$W$48,[1]对照表!$X$27:$X$48)),IF(B598="高二",IF($E598="男",LOOKUP(Q598,[1]对照表!$V$3:$V$24,[1]对照表!$X$3:$X$24),LOOKUP(Q598,[1]对照表!$V$27:$V$48,[1]对照表!$X$27:$X$48)),IF(B598="高一",IF($E598="男",LOOKUP(Q598,[1]对照表!$U$3:$U$24,[1]对照表!$X$3:$X$24),LOOKUP(Q598,[1]对照表!$U$27:$U$48,[1]对照表!$X$27:$X$48)))))</f>
        <v>100</v>
      </c>
      <c r="S598" s="33">
        <f>ROUND(IF(IF($B598="高三",MIN(IF($E598="男",$Q598-3.2,$Q598-3.2),0),IF($B598="高二",MIN(IF($E598="男",$Q598-3.25,$Q598-3.22),0),IF($B598="高一",MIN(IF($E598="男",$Q598-3.3,$Q598-3.24),0))))&lt;-0.6,IF($B598="高三",MIN(IF($E598="男",$Q598-3.2,$Q598-3.2),0),IF($B598="高二",MIN(IF($E598="男",$Q598-3.25,$Q598-3.22),0),IF($B598="高一",MIN(IF($E598="男",$Q598-3.3,$Q598-3.24),0))))+0.4,IF($B598="高三",MIN(IF($E598="男",$Q598-3.2,$Q598-3.2),0),IF($B598="高二",MIN(IF($E598="男",$Q598-3.25,$Q598-3.22),0),IF($B598="高一",MIN(IF($E598="男",$Q598-3.3,$Q598-3.24),0))))),2)</f>
        <v>-0.01</v>
      </c>
      <c r="T598" s="23">
        <f>IF(E598="男",LOOKUP($S598,[1]对照表!$AB$3:$AB$13,[1]对照表!$AC$3:$AC$13),LOOKUP($S598,[1]对照表!$AB$15:$AB$25,[1]对照表!$AC$15:$AC$25))</f>
        <v>0</v>
      </c>
      <c r="U598" s="26">
        <f>R598+T598</f>
        <v>100</v>
      </c>
      <c r="V598" s="26">
        <f>SUM(I598,K598,M598)/3*0.3+SUM(G598,R598)/2*0.4</f>
        <v>60.7</v>
      </c>
      <c r="W598" s="27">
        <f>O598+T598</f>
        <v>0</v>
      </c>
      <c r="X598" s="28">
        <f>V598/0.7+W598</f>
        <v>86.714285714285722</v>
      </c>
      <c r="Y598" s="28">
        <v>86.714285714285722</v>
      </c>
      <c r="Z598" s="21"/>
    </row>
    <row r="599" spans="1:26" x14ac:dyDescent="0.25">
      <c r="A599" s="16">
        <v>35</v>
      </c>
      <c r="B599" s="17" t="s">
        <v>21</v>
      </c>
      <c r="C599" s="16">
        <v>114</v>
      </c>
      <c r="D599" s="18" t="s">
        <v>237</v>
      </c>
      <c r="E599" s="17" t="s">
        <v>65</v>
      </c>
      <c r="F599" s="19">
        <v>8.8000000000000007</v>
      </c>
      <c r="G599" s="32">
        <f>IF(B599="高三",IF($E599="男",LOOKUP(F599,[1]对照表!$G$3:$G$24,[1]对照表!$H$3:$H$24),LOOKUP(F599,[1]对照表!$G$27:$G$48,[1]对照表!$H$27:$H$48)),IF(B599="高二",IF($E599="男",LOOKUP(F599,[1]对照表!$F$3:$F$24,[1]对照表!$H$3:$H$24),LOOKUP(F599,[1]对照表!$F$27:$F$48,[1]对照表!$H$27:$H$48)),IF(B599="高一",IF($E599="男",LOOKUP(F599,[1]对照表!$E$3:$E$24,[1]对照表!$H$3:$H$24),LOOKUP(F599,[1]对照表!$E$27:$E$48,[1]对照表!$H$27:$H$48)))))</f>
        <v>78</v>
      </c>
      <c r="H599" s="21">
        <v>17.2</v>
      </c>
      <c r="I599" s="32">
        <f>IF(B599="高三",IF($E599="男",LOOKUP(H599,[1]对照表!$K$3:$K$24,[1]对照表!$L$3:$L$24),LOOKUP(H599,[1]对照表!$K$27:$K$48,[1]对照表!$L$27:$L$48)),IF(B599="高二",IF($E599="男",LOOKUP(H599,[1]对照表!$J$3:$J$24,[1]对照表!$L$3:$L$24),LOOKUP(H599,[1]对照表!$J$27:$J$48,[1]对照表!$L$27:$L$48)),IF(B599="高一",IF($E599="男",LOOKUP(H599,[1]对照表!$I$3:$I$24,[1]对照表!$L$3:$L$24),LOOKUP(H599,[1]对照表!$I$27:$I$48,[1]对照表!$L$27:$L$48)))))</f>
        <v>78</v>
      </c>
      <c r="J599" s="21">
        <v>170</v>
      </c>
      <c r="K599" s="32">
        <f>IF(B599="高三",IF($E599="男",LOOKUP(J599,[1]对照表!$O$3:$O$24,[1]对照表!$P$3:$P$24),LOOKUP(J599,[1]对照表!$O$27:$O$48,[1]对照表!$P$27:$P$48)),IF(B599="高二",IF($E599="男",LOOKUP(J599,[1]对照表!$N$3:$N$24,[1]对照表!$P$3:$P$24),LOOKUP(J599,[1]对照表!$N$27:$N$48,[1]对照表!$P$27:$P$48)),IF(B599="高一",IF($E599="男",LOOKUP(J599,[1]对照表!$M$3:$M$24,[1]对照表!$P$3:$P$24),LOOKUP(J599,[1]对照表!$M$27:$M$48,[1]对照表!$P$27:$P$48)))))</f>
        <v>74</v>
      </c>
      <c r="L599" s="21">
        <v>49</v>
      </c>
      <c r="M599" s="32">
        <f>IF(B599="高三",IF($E599="男",LOOKUP(L599,[1]对照表!$S$3:$S$24,[1]对照表!$T$3:$T$24),LOOKUP(L599,[1]对照表!$S$27:$S$48,[1]对照表!$T$27:$T$48)),IF(B599="高二",IF($E599="男",LOOKUP(L599,[1]对照表!$R$3:$R$24,[1]对照表!$T$3:$T$24),LOOKUP(L599,[1]对照表!$R$27:$R$48,[1]对照表!$T$27:$T$48)),IF(B599="高一",IF($E599="男",LOOKUP(L599,[1]对照表!$Q$3:$Q$24,[1]对照表!$T$3:$T$24),LOOKUP(L599,[1]对照表!$Q$27:$Q$48,[1]对照表!$T$27:$T$48)))))</f>
        <v>90</v>
      </c>
      <c r="N599" s="33">
        <f>IF(B599="高三",MAX(IF(E599="男",L599-18,L599-55),0),IF(B599="高二",MAX(IF(E599="男",L599-17,L599-54),0),IF(B599="高一",MAX(IF(E599="男",L599-16,L599-53),0))))</f>
        <v>0</v>
      </c>
      <c r="O599" s="23">
        <f>IF(E599="男",LOOKUP($N599,[1]对照表!$Z$3:$Z$13,[1]对照表!$AA$3:$AA$13),LOOKUP($N599,[1]对照表!$Z$15:$Z$25,[1]对照表!$AA$15:$AA$25))</f>
        <v>0</v>
      </c>
      <c r="P599" s="24">
        <f>M599+O599</f>
        <v>90</v>
      </c>
      <c r="Q599" s="25">
        <v>3.24</v>
      </c>
      <c r="R599" s="32">
        <f>IF(B599="高三",IF($E599="男",LOOKUP(Q599,[1]对照表!$W$3:$W$24,[1]对照表!$X$3:$X$24),LOOKUP(Q599,[1]对照表!$W$27:$W$48,[1]对照表!$X$27:$X$48)),IF(B599="高二",IF($E599="男",LOOKUP(Q599,[1]对照表!$V$3:$V$24,[1]对照表!$X$3:$X$24),LOOKUP(Q599,[1]对照表!$V$27:$V$48,[1]对照表!$X$27:$X$48)),IF(B599="高一",IF($E599="男",LOOKUP(Q599,[1]对照表!$U$3:$U$24,[1]对照表!$X$3:$X$24),LOOKUP(Q599,[1]对照表!$U$27:$U$48,[1]对照表!$X$27:$X$48)))))</f>
        <v>100</v>
      </c>
      <c r="S599" s="33">
        <f>ROUND(IF(IF($B599="高三",MIN(IF($E599="男",$Q599-3.2,$Q599-3.2),0),IF($B599="高二",MIN(IF($E599="男",$Q599-3.25,$Q599-3.22),0),IF($B599="高一",MIN(IF($E599="男",$Q599-3.3,$Q599-3.24),0))))&lt;-0.6,IF($B599="高三",MIN(IF($E599="男",$Q599-3.2,$Q599-3.2),0),IF($B599="高二",MIN(IF($E599="男",$Q599-3.25,$Q599-3.22),0),IF($B599="高一",MIN(IF($E599="男",$Q599-3.3,$Q599-3.24),0))))+0.4,IF($B599="高三",MIN(IF($E599="男",$Q599-3.2,$Q599-3.2),0),IF($B599="高二",MIN(IF($E599="男",$Q599-3.25,$Q599-3.22),0),IF($B599="高一",MIN(IF($E599="男",$Q599-3.3,$Q599-3.24),0))))),2)</f>
        <v>0</v>
      </c>
      <c r="T599" s="23">
        <f>IF(E599="男",LOOKUP($S599,[1]对照表!$AB$3:$AB$13,[1]对照表!$AC$3:$AC$13),LOOKUP($S599,[1]对照表!$AB$15:$AB$25,[1]对照表!$AC$15:$AC$25))</f>
        <v>0</v>
      </c>
      <c r="U599" s="26">
        <f>R599+T599</f>
        <v>100</v>
      </c>
      <c r="V599" s="26">
        <f>SUM(I599,K599,M599)/3*0.3+SUM(G599,R599)/2*0.4</f>
        <v>59.8</v>
      </c>
      <c r="W599" s="27">
        <f>O599+T599</f>
        <v>0</v>
      </c>
      <c r="X599" s="28">
        <f>V599/0.7+W599</f>
        <v>85.428571428571431</v>
      </c>
      <c r="Y599" s="28">
        <v>85.428571428571431</v>
      </c>
      <c r="Z599" s="21"/>
    </row>
    <row r="600" spans="1:26" x14ac:dyDescent="0.25">
      <c r="A600" s="16">
        <v>37</v>
      </c>
      <c r="B600" s="17" t="s">
        <v>21</v>
      </c>
      <c r="C600" s="16">
        <v>114</v>
      </c>
      <c r="D600" s="18" t="s">
        <v>247</v>
      </c>
      <c r="E600" s="17" t="s">
        <v>65</v>
      </c>
      <c r="F600" s="19">
        <v>8.5500000000000007</v>
      </c>
      <c r="G600" s="32">
        <f>IF(B600="高三",IF($E600="男",LOOKUP(F600,[1]对照表!$G$3:$G$24,[1]对照表!$H$3:$H$24),LOOKUP(F600,[1]对照表!$G$27:$G$48,[1]对照表!$H$27:$H$48)),IF(B600="高二",IF($E600="男",LOOKUP(F600,[1]对照表!$F$3:$F$24,[1]对照表!$H$3:$H$24),LOOKUP(F600,[1]对照表!$F$27:$F$48,[1]对照表!$H$27:$H$48)),IF(B600="高一",IF($E600="男",LOOKUP(F600,[1]对照表!$E$3:$E$24,[1]对照表!$H$3:$H$24),LOOKUP(F600,[1]对照表!$E$27:$E$48,[1]对照表!$H$27:$H$48)))))</f>
        <v>80</v>
      </c>
      <c r="H600" s="21">
        <v>21.8</v>
      </c>
      <c r="I600" s="32">
        <f>IF(B600="高三",IF($E600="男",LOOKUP(H600,[1]对照表!$K$3:$K$24,[1]对照表!$L$3:$L$24),LOOKUP(H600,[1]对照表!$K$27:$K$48,[1]对照表!$L$27:$L$48)),IF(B600="高二",IF($E600="男",LOOKUP(H600,[1]对照表!$J$3:$J$24,[1]对照表!$L$3:$L$24),LOOKUP(H600,[1]对照表!$J$27:$J$48,[1]对照表!$L$27:$L$48)),IF(B600="高一",IF($E600="男",LOOKUP(H600,[1]对照表!$I$3:$I$24,[1]对照表!$L$3:$L$24),LOOKUP(H600,[1]对照表!$I$27:$I$48,[1]对照表!$L$27:$L$48)))))</f>
        <v>90</v>
      </c>
      <c r="J600" s="21">
        <v>196</v>
      </c>
      <c r="K600" s="32">
        <f>IF(B600="高三",IF($E600="男",LOOKUP(J600,[1]对照表!$O$3:$O$24,[1]对照表!$P$3:$P$24),LOOKUP(J600,[1]对照表!$O$27:$O$48,[1]对照表!$P$27:$P$48)),IF(B600="高二",IF($E600="男",LOOKUP(J600,[1]对照表!$N$3:$N$24,[1]对照表!$P$3:$P$24),LOOKUP(J600,[1]对照表!$N$27:$N$48,[1]对照表!$P$27:$P$48)),IF(B600="高一",IF($E600="男",LOOKUP(J600,[1]对照表!$M$3:$M$24,[1]对照表!$P$3:$P$24),LOOKUP(J600,[1]对照表!$M$27:$M$48,[1]对照表!$P$27:$P$48)))))</f>
        <v>90</v>
      </c>
      <c r="L600" s="21">
        <v>53</v>
      </c>
      <c r="M600" s="32">
        <f>IF(B600="高三",IF($E600="男",LOOKUP(L600,[1]对照表!$S$3:$S$24,[1]对照表!$T$3:$T$24),LOOKUP(L600,[1]对照表!$S$27:$S$48,[1]对照表!$T$27:$T$48)),IF(B600="高二",IF($E600="男",LOOKUP(L600,[1]对照表!$R$3:$R$24,[1]对照表!$T$3:$T$24),LOOKUP(L600,[1]对照表!$R$27:$R$48,[1]对照表!$T$27:$T$48)),IF(B600="高一",IF($E600="男",LOOKUP(L600,[1]对照表!$Q$3:$Q$24,[1]对照表!$T$3:$T$24),LOOKUP(L600,[1]对照表!$Q$27:$Q$48,[1]对照表!$T$27:$T$48)))))</f>
        <v>100</v>
      </c>
      <c r="N600" s="33">
        <f>IF(B600="高三",MAX(IF(E600="男",L600-18,L600-55),0),IF(B600="高二",MAX(IF(E600="男",L600-17,L600-54),0),IF(B600="高一",MAX(IF(E600="男",L600-16,L600-53),0))))</f>
        <v>0</v>
      </c>
      <c r="O600" s="23">
        <f>IF(E600="男",LOOKUP($N600,[1]对照表!$Z$3:$Z$13,[1]对照表!$AA$3:$AA$13),LOOKUP($N600,[1]对照表!$Z$15:$Z$25,[1]对照表!$AA$15:$AA$25))</f>
        <v>0</v>
      </c>
      <c r="P600" s="24">
        <f>M600+O600</f>
        <v>100</v>
      </c>
      <c r="Q600" s="25">
        <v>3.26</v>
      </c>
      <c r="R600" s="32">
        <f>IF(B600="高三",IF($E600="男",LOOKUP(Q600,[1]对照表!$W$3:$W$24,[1]对照表!$X$3:$X$24),LOOKUP(Q600,[1]对照表!$W$27:$W$48,[1]对照表!$X$27:$X$48)),IF(B600="高二",IF($E600="男",LOOKUP(Q600,[1]对照表!$V$3:$V$24,[1]对照表!$X$3:$X$24),LOOKUP(Q600,[1]对照表!$V$27:$V$48,[1]对照表!$X$27:$X$48)),IF(B600="高一",IF($E600="男",LOOKUP(Q600,[1]对照表!$U$3:$U$24,[1]对照表!$X$3:$X$24),LOOKUP(Q600,[1]对照表!$U$27:$U$48,[1]对照表!$X$27:$X$48)))))</f>
        <v>95</v>
      </c>
      <c r="S600" s="33">
        <f>ROUND(IF(IF($B600="高三",MIN(IF($E600="男",$Q600-3.2,$Q600-3.2),0),IF($B600="高二",MIN(IF($E600="男",$Q600-3.25,$Q600-3.22),0),IF($B600="高一",MIN(IF($E600="男",$Q600-3.3,$Q600-3.24),0))))&lt;-0.6,IF($B600="高三",MIN(IF($E600="男",$Q600-3.2,$Q600-3.2),0),IF($B600="高二",MIN(IF($E600="男",$Q600-3.25,$Q600-3.22),0),IF($B600="高一",MIN(IF($E600="男",$Q600-3.3,$Q600-3.24),0))))+0.4,IF($B600="高三",MIN(IF($E600="男",$Q600-3.2,$Q600-3.2),0),IF($B600="高二",MIN(IF($E600="男",$Q600-3.25,$Q600-3.22),0),IF($B600="高一",MIN(IF($E600="男",$Q600-3.3,$Q600-3.24),0))))),2)</f>
        <v>0</v>
      </c>
      <c r="T600" s="23">
        <f>IF(E600="男",LOOKUP($S600,[1]对照表!$AB$3:$AB$13,[1]对照表!$AC$3:$AC$13),LOOKUP($S600,[1]对照表!$AB$15:$AB$25,[1]对照表!$AC$15:$AC$25))</f>
        <v>0</v>
      </c>
      <c r="U600" s="26">
        <f>R600+T600</f>
        <v>95</v>
      </c>
      <c r="V600" s="26">
        <f>SUM(I600,K600,M600)/3*0.3+SUM(G600,R600)/2*0.4</f>
        <v>63</v>
      </c>
      <c r="W600" s="27">
        <f>O600+T600</f>
        <v>0</v>
      </c>
      <c r="X600" s="28">
        <f>V600/0.7+W600</f>
        <v>90</v>
      </c>
      <c r="Y600" s="28">
        <v>90</v>
      </c>
      <c r="Z600" s="21"/>
    </row>
    <row r="601" spans="1:26" x14ac:dyDescent="0.25">
      <c r="A601" s="16">
        <v>43</v>
      </c>
      <c r="B601" s="17" t="s">
        <v>21</v>
      </c>
      <c r="C601" s="16">
        <v>114</v>
      </c>
      <c r="D601" s="18" t="s">
        <v>251</v>
      </c>
      <c r="E601" s="17" t="s">
        <v>65</v>
      </c>
      <c r="F601" s="19">
        <v>8.68</v>
      </c>
      <c r="G601" s="32">
        <f>IF(B601="高三",IF($E601="男",LOOKUP(F601,[1]对照表!$G$3:$G$24,[1]对照表!$H$3:$H$24),LOOKUP(F601,[1]对照表!$G$27:$G$48,[1]对照表!$H$27:$H$48)),IF(B601="高二",IF($E601="男",LOOKUP(F601,[1]对照表!$F$3:$F$24,[1]对照表!$H$3:$H$24),LOOKUP(F601,[1]对照表!$F$27:$F$48,[1]对照表!$H$27:$H$48)),IF(B601="高一",IF($E601="男",LOOKUP(F601,[1]对照表!$E$3:$E$24,[1]对照表!$H$3:$H$24),LOOKUP(F601,[1]对照表!$E$27:$E$48,[1]对照表!$H$27:$H$48)))))</f>
        <v>78</v>
      </c>
      <c r="H601" s="21">
        <v>18</v>
      </c>
      <c r="I601" s="32">
        <f>IF(B601="高三",IF($E601="男",LOOKUP(H601,[1]对照表!$K$3:$K$24,[1]对照表!$L$3:$L$24),LOOKUP(H601,[1]对照表!$K$27:$K$48,[1]对照表!$L$27:$L$48)),IF(B601="高二",IF($E601="男",LOOKUP(H601,[1]对照表!$J$3:$J$24,[1]对照表!$L$3:$L$24),LOOKUP(H601,[1]对照表!$J$27:$J$48,[1]对照表!$L$27:$L$48)),IF(B601="高一",IF($E601="男",LOOKUP(H601,[1]对照表!$I$3:$I$24,[1]对照表!$L$3:$L$24),LOOKUP(H601,[1]对照表!$I$27:$I$48,[1]对照表!$L$27:$L$48)))))</f>
        <v>80</v>
      </c>
      <c r="J601" s="21">
        <v>168</v>
      </c>
      <c r="K601" s="32">
        <f>IF(B601="高三",IF($E601="男",LOOKUP(J601,[1]对照表!$O$3:$O$24,[1]对照表!$P$3:$P$24),LOOKUP(J601,[1]对照表!$O$27:$O$48,[1]对照表!$P$27:$P$48)),IF(B601="高二",IF($E601="男",LOOKUP(J601,[1]对照表!$N$3:$N$24,[1]对照表!$P$3:$P$24),LOOKUP(J601,[1]对照表!$N$27:$N$48,[1]对照表!$P$27:$P$48)),IF(B601="高一",IF($E601="男",LOOKUP(J601,[1]对照表!$M$3:$M$24,[1]对照表!$P$3:$P$24),LOOKUP(J601,[1]对照表!$M$27:$M$48,[1]对照表!$P$27:$P$48)))))</f>
        <v>72</v>
      </c>
      <c r="L601" s="21">
        <v>48</v>
      </c>
      <c r="M601" s="32">
        <f>IF(B601="高三",IF($E601="男",LOOKUP(L601,[1]对照表!$S$3:$S$24,[1]对照表!$T$3:$T$24),LOOKUP(L601,[1]对照表!$S$27:$S$48,[1]对照表!$T$27:$T$48)),IF(B601="高二",IF($E601="男",LOOKUP(L601,[1]对照表!$R$3:$R$24,[1]对照表!$T$3:$T$24),LOOKUP(L601,[1]对照表!$R$27:$R$48,[1]对照表!$T$27:$T$48)),IF(B601="高一",IF($E601="男",LOOKUP(L601,[1]对照表!$Q$3:$Q$24,[1]对照表!$T$3:$T$24),LOOKUP(L601,[1]对照表!$Q$27:$Q$48,[1]对照表!$T$27:$T$48)))))</f>
        <v>85</v>
      </c>
      <c r="N601" s="33">
        <f>IF(B601="高三",MAX(IF(E601="男",L601-18,L601-55),0),IF(B601="高二",MAX(IF(E601="男",L601-17,L601-54),0),IF(B601="高一",MAX(IF(E601="男",L601-16,L601-53),0))))</f>
        <v>0</v>
      </c>
      <c r="O601" s="23">
        <f>IF(E601="男",LOOKUP($N601,[1]对照表!$Z$3:$Z$13,[1]对照表!$AA$3:$AA$13),LOOKUP($N601,[1]对照表!$Z$15:$Z$25,[1]对照表!$AA$15:$AA$25))</f>
        <v>0</v>
      </c>
      <c r="P601" s="24">
        <f>M601+O601</f>
        <v>85</v>
      </c>
      <c r="Q601" s="25">
        <v>3.27</v>
      </c>
      <c r="R601" s="32">
        <f>IF(B601="高三",IF($E601="男",LOOKUP(Q601,[1]对照表!$W$3:$W$24,[1]对照表!$X$3:$X$24),LOOKUP(Q601,[1]对照表!$W$27:$W$48,[1]对照表!$X$27:$X$48)),IF(B601="高二",IF($E601="男",LOOKUP(Q601,[1]对照表!$V$3:$V$24,[1]对照表!$X$3:$X$24),LOOKUP(Q601,[1]对照表!$V$27:$V$48,[1]对照表!$X$27:$X$48)),IF(B601="高一",IF($E601="男",LOOKUP(Q601,[1]对照表!$U$3:$U$24,[1]对照表!$X$3:$X$24),LOOKUP(Q601,[1]对照表!$U$27:$U$48,[1]对照表!$X$27:$X$48)))))</f>
        <v>95</v>
      </c>
      <c r="S601" s="33">
        <f>ROUND(IF(IF($B601="高三",MIN(IF($E601="男",$Q601-3.2,$Q601-3.2),0),IF($B601="高二",MIN(IF($E601="男",$Q601-3.25,$Q601-3.22),0),IF($B601="高一",MIN(IF($E601="男",$Q601-3.3,$Q601-3.24),0))))&lt;-0.6,IF($B601="高三",MIN(IF($E601="男",$Q601-3.2,$Q601-3.2),0),IF($B601="高二",MIN(IF($E601="男",$Q601-3.25,$Q601-3.22),0),IF($B601="高一",MIN(IF($E601="男",$Q601-3.3,$Q601-3.24),0))))+0.4,IF($B601="高三",MIN(IF($E601="男",$Q601-3.2,$Q601-3.2),0),IF($B601="高二",MIN(IF($E601="男",$Q601-3.25,$Q601-3.22),0),IF($B601="高一",MIN(IF($E601="男",$Q601-3.3,$Q601-3.24),0))))),2)</f>
        <v>0</v>
      </c>
      <c r="T601" s="23">
        <f>IF(E601="男",LOOKUP($S601,[1]对照表!$AB$3:$AB$13,[1]对照表!$AC$3:$AC$13),LOOKUP($S601,[1]对照表!$AB$15:$AB$25,[1]对照表!$AC$15:$AC$25))</f>
        <v>0</v>
      </c>
      <c r="U601" s="26">
        <f>R601+T601</f>
        <v>95</v>
      </c>
      <c r="V601" s="26">
        <f>SUM(I601,K601,M601)/3*0.3+SUM(G601,R601)/2*0.4</f>
        <v>58.3</v>
      </c>
      <c r="W601" s="27">
        <f>O601+T601</f>
        <v>0</v>
      </c>
      <c r="X601" s="28">
        <f>V601/0.7+W601</f>
        <v>83.285714285714292</v>
      </c>
      <c r="Y601" s="28">
        <v>83.285714285714292</v>
      </c>
      <c r="Z601" s="21"/>
    </row>
    <row r="602" spans="1:26" x14ac:dyDescent="0.25">
      <c r="A602" s="16">
        <v>17</v>
      </c>
      <c r="B602" s="17" t="s">
        <v>21</v>
      </c>
      <c r="C602" s="16">
        <v>114</v>
      </c>
      <c r="D602" s="18" t="s">
        <v>274</v>
      </c>
      <c r="E602" s="16" t="s">
        <v>23</v>
      </c>
      <c r="F602" s="19">
        <v>7.3</v>
      </c>
      <c r="G602" s="32">
        <f>IF(B602="高三",IF($E602="男",LOOKUP(F602,[1]对照表!$G$3:$G$24,[1]对照表!$H$3:$H$24),LOOKUP(F602,[1]对照表!$G$27:$G$48,[1]对照表!$H$27:$H$48)),IF(B602="高二",IF($E602="男",LOOKUP(F602,[1]对照表!$F$3:$F$24,[1]对照表!$H$3:$H$24),LOOKUP(F602,[1]对照表!$F$27:$F$48,[1]对照表!$H$27:$H$48)),IF(B602="高一",IF($E602="男",LOOKUP(F602,[1]对照表!$E$3:$E$24,[1]对照表!$H$3:$H$24),LOOKUP(F602,[1]对照表!$E$27:$E$48,[1]对照表!$H$27:$H$48)))))</f>
        <v>90</v>
      </c>
      <c r="H602" s="21">
        <v>17.5</v>
      </c>
      <c r="I602" s="32">
        <f>IF(B602="高三",IF($E602="男",LOOKUP(H602,[1]对照表!$K$3:$K$24,[1]对照表!$L$3:$L$24),LOOKUP(H602,[1]对照表!$K$27:$K$48,[1]对照表!$L$27:$L$48)),IF(B602="高二",IF($E602="男",LOOKUP(H602,[1]对照表!$J$3:$J$24,[1]对照表!$L$3:$L$24),LOOKUP(H602,[1]对照表!$J$27:$J$48,[1]对照表!$L$27:$L$48)),IF(B602="高一",IF($E602="男",LOOKUP(H602,[1]对照表!$I$3:$I$24,[1]对照表!$L$3:$L$24),LOOKUP(H602,[1]对照表!$I$27:$I$48,[1]对照表!$L$27:$L$48)))))</f>
        <v>85</v>
      </c>
      <c r="J602" s="21">
        <v>246</v>
      </c>
      <c r="K602" s="32">
        <f>IF(B602="高三",IF($E602="男",LOOKUP(J602,[1]对照表!$O$3:$O$24,[1]对照表!$P$3:$P$24),LOOKUP(J602,[1]对照表!$O$27:$O$48,[1]对照表!$P$27:$P$48)),IF(B602="高二",IF($E602="男",LOOKUP(J602,[1]对照表!$N$3:$N$24,[1]对照表!$P$3:$P$24),LOOKUP(J602,[1]对照表!$N$27:$N$48,[1]对照表!$P$27:$P$48)),IF(B602="高一",IF($E602="男",LOOKUP(J602,[1]对照表!$M$3:$M$24,[1]对照表!$P$3:$P$24),LOOKUP(J602,[1]对照表!$M$27:$M$48,[1]对照表!$P$27:$P$48)))))</f>
        <v>85</v>
      </c>
      <c r="L602" s="21">
        <v>11</v>
      </c>
      <c r="M602" s="32">
        <f>IF(B602="高三",IF($E602="男",LOOKUP(L602,[1]对照表!$S$3:$S$24,[1]对照表!$T$3:$T$24),LOOKUP(L602,[1]对照表!$S$27:$S$48,[1]对照表!$T$27:$T$48)),IF(B602="高二",IF($E602="男",LOOKUP(L602,[1]对照表!$R$3:$R$24,[1]对照表!$T$3:$T$24),LOOKUP(L602,[1]对照表!$R$27:$R$48,[1]对照表!$T$27:$T$48)),IF(B602="高一",IF($E602="男",LOOKUP(L602,[1]对照表!$Q$3:$Q$24,[1]对照表!$T$3:$T$24),LOOKUP(L602,[1]对照表!$Q$27:$Q$48,[1]对照表!$T$27:$T$48)))))</f>
        <v>76</v>
      </c>
      <c r="N602" s="33">
        <f>IF(B602="高三",MAX(IF(E602="男",L602-18,L602-55),0),IF(B602="高二",MAX(IF(E602="男",L602-17,L602-54),0),IF(B602="高一",MAX(IF(E602="男",L602-16,L602-53),0))))</f>
        <v>0</v>
      </c>
      <c r="O602" s="23">
        <f>IF(E602="男",LOOKUP($N602,[1]对照表!$Z$3:$Z$13,[1]对照表!$AA$3:$AA$13),LOOKUP($N602,[1]对照表!$Z$15:$Z$25,[1]对照表!$AA$15:$AA$25))</f>
        <v>0</v>
      </c>
      <c r="P602" s="24">
        <f>M602+O602</f>
        <v>76</v>
      </c>
      <c r="Q602" s="25">
        <v>3.37</v>
      </c>
      <c r="R602" s="32">
        <f>IF(B602="高三",IF($E602="男",LOOKUP(Q602,[1]对照表!$W$3:$W$24,[1]对照表!$X$3:$X$24),LOOKUP(Q602,[1]对照表!$W$27:$W$48,[1]对照表!$X$27:$X$48)),IF(B602="高二",IF($E602="男",LOOKUP(Q602,[1]对照表!$V$3:$V$24,[1]对照表!$X$3:$X$24),LOOKUP(Q602,[1]对照表!$V$27:$V$48,[1]对照表!$X$27:$X$48)),IF(B602="高一",IF($E602="男",LOOKUP(Q602,[1]对照表!$U$3:$U$24,[1]对照表!$X$3:$X$24),LOOKUP(Q602,[1]对照表!$U$27:$U$48,[1]对照表!$X$27:$X$48)))))</f>
        <v>90</v>
      </c>
      <c r="S602" s="33">
        <f>ROUND(IF(IF($B602="高三",MIN(IF($E602="男",$Q602-3.2,$Q602-3.2),0),IF($B602="高二",MIN(IF($E602="男",$Q602-3.25,$Q602-3.22),0),IF($B602="高一",MIN(IF($E602="男",$Q602-3.3,$Q602-3.24),0))))&lt;-0.6,IF($B602="高三",MIN(IF($E602="男",$Q602-3.2,$Q602-3.2),0),IF($B602="高二",MIN(IF($E602="男",$Q602-3.25,$Q602-3.22),0),IF($B602="高一",MIN(IF($E602="男",$Q602-3.3,$Q602-3.24),0))))+0.4,IF($B602="高三",MIN(IF($E602="男",$Q602-3.2,$Q602-3.2),0),IF($B602="高二",MIN(IF($E602="男",$Q602-3.25,$Q602-3.22),0),IF($B602="高一",MIN(IF($E602="男",$Q602-3.3,$Q602-3.24),0))))),2)</f>
        <v>0</v>
      </c>
      <c r="T602" s="23">
        <f>IF(E602="男",LOOKUP($S602,[1]对照表!$AB$3:$AB$13,[1]对照表!$AC$3:$AC$13),LOOKUP($S602,[1]对照表!$AB$15:$AB$25,[1]对照表!$AC$15:$AC$25))</f>
        <v>0</v>
      </c>
      <c r="U602" s="26">
        <f>R602+T602</f>
        <v>90</v>
      </c>
      <c r="V602" s="26">
        <f>SUM(I602,K602,M602)/3*0.3+SUM(G602,R602)/2*0.4</f>
        <v>60.599999999999994</v>
      </c>
      <c r="W602" s="27">
        <f>O602+T602</f>
        <v>0</v>
      </c>
      <c r="X602" s="28">
        <f>V602/0.7+W602</f>
        <v>86.571428571428569</v>
      </c>
      <c r="Y602" s="28">
        <v>86.571428571428569</v>
      </c>
      <c r="Z602" s="21"/>
    </row>
    <row r="603" spans="1:26" x14ac:dyDescent="0.25">
      <c r="A603" s="16">
        <v>7</v>
      </c>
      <c r="B603" s="17" t="s">
        <v>21</v>
      </c>
      <c r="C603" s="16">
        <v>114</v>
      </c>
      <c r="D603" s="18" t="s">
        <v>283</v>
      </c>
      <c r="E603" s="17" t="s">
        <v>23</v>
      </c>
      <c r="F603" s="19">
        <v>7.5</v>
      </c>
      <c r="G603" s="32">
        <f>IF(B603="高三",IF($E603="男",LOOKUP(F603,[1]对照表!$G$3:$G$24,[1]对照表!$H$3:$H$24),LOOKUP(F603,[1]对照表!$G$27:$G$48,[1]对照表!$H$27:$H$48)),IF(B603="高二",IF($E603="男",LOOKUP(F603,[1]对照表!$F$3:$F$24,[1]对照表!$H$3:$H$24),LOOKUP(F603,[1]对照表!$F$27:$F$48,[1]对照表!$H$27:$H$48)),IF(B603="高一",IF($E603="男",LOOKUP(F603,[1]对照表!$E$3:$E$24,[1]对照表!$H$3:$H$24),LOOKUP(F603,[1]对照表!$E$27:$E$48,[1]对照表!$H$27:$H$48)))))</f>
        <v>80</v>
      </c>
      <c r="H603" s="21">
        <v>14.5</v>
      </c>
      <c r="I603" s="32">
        <f>IF(B603="高三",IF($E603="男",LOOKUP(H603,[1]对照表!$K$3:$K$24,[1]对照表!$L$3:$L$24),LOOKUP(H603,[1]对照表!$K$27:$K$48,[1]对照表!$L$27:$L$48)),IF(B603="高二",IF($E603="男",LOOKUP(H603,[1]对照表!$J$3:$J$24,[1]对照表!$L$3:$L$24),LOOKUP(H603,[1]对照表!$J$27:$J$48,[1]对照表!$L$27:$L$48)),IF(B603="高一",IF($E603="男",LOOKUP(H603,[1]对照表!$I$3:$I$24,[1]对照表!$L$3:$L$24),LOOKUP(H603,[1]对照表!$I$27:$I$48,[1]对照表!$L$27:$L$48)))))</f>
        <v>78</v>
      </c>
      <c r="J603" s="21">
        <v>247</v>
      </c>
      <c r="K603" s="32">
        <f>IF(B603="高三",IF($E603="男",LOOKUP(J603,[1]对照表!$O$3:$O$24,[1]对照表!$P$3:$P$24),LOOKUP(J603,[1]对照表!$O$27:$O$48,[1]对照表!$P$27:$P$48)),IF(B603="高二",IF($E603="男",LOOKUP(J603,[1]对照表!$N$3:$N$24,[1]对照表!$P$3:$P$24),LOOKUP(J603,[1]对照表!$N$27:$N$48,[1]对照表!$P$27:$P$48)),IF(B603="高一",IF($E603="男",LOOKUP(J603,[1]对照表!$M$3:$M$24,[1]对照表!$P$3:$P$24),LOOKUP(J603,[1]对照表!$M$27:$M$48,[1]对照表!$P$27:$P$48)))))</f>
        <v>85</v>
      </c>
      <c r="L603" s="21">
        <v>17</v>
      </c>
      <c r="M603" s="32">
        <f>IF(B603="高三",IF($E603="男",LOOKUP(L603,[1]对照表!$S$3:$S$24,[1]对照表!$T$3:$T$24),LOOKUP(L603,[1]对照表!$S$27:$S$48,[1]对照表!$T$27:$T$48)),IF(B603="高二",IF($E603="男",LOOKUP(L603,[1]对照表!$R$3:$R$24,[1]对照表!$T$3:$T$24),LOOKUP(L603,[1]对照表!$R$27:$R$48,[1]对照表!$T$27:$T$48)),IF(B603="高一",IF($E603="男",LOOKUP(L603,[1]对照表!$Q$3:$Q$24,[1]对照表!$T$3:$T$24),LOOKUP(L603,[1]对照表!$Q$27:$Q$48,[1]对照表!$T$27:$T$48)))))</f>
        <v>100</v>
      </c>
      <c r="N603" s="33">
        <f>IF(B603="高三",MAX(IF(E603="男",L603-18,L603-55),0),IF(B603="高二",MAX(IF(E603="男",L603-17,L603-54),0),IF(B603="高一",MAX(IF(E603="男",L603-16,L603-53),0))))</f>
        <v>1</v>
      </c>
      <c r="O603" s="23">
        <f>IF(E603="男",LOOKUP($N603,[1]对照表!$Z$3:$Z$13,[1]对照表!$AA$3:$AA$13),LOOKUP($N603,[1]对照表!$Z$15:$Z$25,[1]对照表!$AA$15:$AA$25))</f>
        <v>1</v>
      </c>
      <c r="P603" s="24">
        <f>M603+O603</f>
        <v>101</v>
      </c>
      <c r="Q603" s="25">
        <v>3.43</v>
      </c>
      <c r="R603" s="32">
        <f>IF(B603="高三",IF($E603="男",LOOKUP(Q603,[1]对照表!$W$3:$W$24,[1]对照表!$X$3:$X$24),LOOKUP(Q603,[1]对照表!$W$27:$W$48,[1]对照表!$X$27:$X$48)),IF(B603="高二",IF($E603="男",LOOKUP(Q603,[1]对照表!$V$3:$V$24,[1]对照表!$X$3:$X$24),LOOKUP(Q603,[1]对照表!$V$27:$V$48,[1]对照表!$X$27:$X$48)),IF(B603="高一",IF($E603="男",LOOKUP(Q603,[1]对照表!$U$3:$U$24,[1]对照表!$X$3:$X$24),LOOKUP(Q603,[1]对照表!$U$27:$U$48,[1]对照表!$X$27:$X$48)))))</f>
        <v>85</v>
      </c>
      <c r="S603" s="33">
        <f>ROUND(IF(IF($B603="高三",MIN(IF($E603="男",$Q603-3.2,$Q603-3.2),0),IF($B603="高二",MIN(IF($E603="男",$Q603-3.25,$Q603-3.22),0),IF($B603="高一",MIN(IF($E603="男",$Q603-3.3,$Q603-3.24),0))))&lt;-0.6,IF($B603="高三",MIN(IF($E603="男",$Q603-3.2,$Q603-3.2),0),IF($B603="高二",MIN(IF($E603="男",$Q603-3.25,$Q603-3.22),0),IF($B603="高一",MIN(IF($E603="男",$Q603-3.3,$Q603-3.24),0))))+0.4,IF($B603="高三",MIN(IF($E603="男",$Q603-3.2,$Q603-3.2),0),IF($B603="高二",MIN(IF($E603="男",$Q603-3.25,$Q603-3.22),0),IF($B603="高一",MIN(IF($E603="男",$Q603-3.3,$Q603-3.24),0))))),2)</f>
        <v>0</v>
      </c>
      <c r="T603" s="23">
        <f>IF(E603="男",LOOKUP($S603,[1]对照表!$AB$3:$AB$13,[1]对照表!$AC$3:$AC$13),LOOKUP($S603,[1]对照表!$AB$15:$AB$25,[1]对照表!$AC$15:$AC$25))</f>
        <v>0</v>
      </c>
      <c r="U603" s="26">
        <f>R603+T603</f>
        <v>85</v>
      </c>
      <c r="V603" s="26">
        <f>SUM(I603,K603,M603)/3*0.3+SUM(G603,R603)/2*0.4</f>
        <v>59.3</v>
      </c>
      <c r="W603" s="27">
        <f>O603+T603</f>
        <v>1</v>
      </c>
      <c r="X603" s="28">
        <f>V603/0.7+W603</f>
        <v>85.714285714285722</v>
      </c>
      <c r="Y603" s="28">
        <v>85.714285714285722</v>
      </c>
      <c r="Z603" s="21"/>
    </row>
    <row r="604" spans="1:26" x14ac:dyDescent="0.25">
      <c r="A604" s="16">
        <v>1</v>
      </c>
      <c r="B604" s="17" t="s">
        <v>21</v>
      </c>
      <c r="C604" s="16">
        <v>114</v>
      </c>
      <c r="D604" s="18" t="s">
        <v>292</v>
      </c>
      <c r="E604" s="31" t="s">
        <v>23</v>
      </c>
      <c r="F604" s="19">
        <v>7.4</v>
      </c>
      <c r="G604" s="32">
        <f>IF(B604="高三",IF($E604="男",LOOKUP(F604,[1]对照表!$G$3:$G$24,[1]对照表!$H$3:$H$24),LOOKUP(F604,[1]对照表!$G$27:$G$48,[1]对照表!$H$27:$H$48)),IF(B604="高二",IF($E604="男",LOOKUP(F604,[1]对照表!$F$3:$F$24,[1]对照表!$H$3:$H$24),LOOKUP(F604,[1]对照表!$F$27:$F$48,[1]对照表!$H$27:$H$48)),IF(B604="高一",IF($E604="男",LOOKUP(F604,[1]对照表!$E$3:$E$24,[1]对照表!$H$3:$H$24),LOOKUP(F604,[1]对照表!$E$27:$E$48,[1]对照表!$H$27:$H$48)))))</f>
        <v>85</v>
      </c>
      <c r="H604" s="21">
        <v>15.3</v>
      </c>
      <c r="I604" s="32">
        <f>IF(B604="高三",IF($E604="男",LOOKUP(H604,[1]对照表!$K$3:$K$24,[1]对照表!$L$3:$L$24),LOOKUP(H604,[1]对照表!$K$27:$K$48,[1]对照表!$L$27:$L$48)),IF(B604="高二",IF($E604="男",LOOKUP(H604,[1]对照表!$J$3:$J$24,[1]对照表!$L$3:$L$24),LOOKUP(H604,[1]对照表!$J$27:$J$48,[1]对照表!$L$27:$L$48)),IF(B604="高一",IF($E604="男",LOOKUP(H604,[1]对照表!$I$3:$I$24,[1]对照表!$L$3:$L$24),LOOKUP(H604,[1]对照表!$I$27:$I$48,[1]对照表!$L$27:$L$48)))))</f>
        <v>80</v>
      </c>
      <c r="J604" s="21">
        <v>255</v>
      </c>
      <c r="K604" s="32">
        <f>IF(B604="高三",IF($E604="男",LOOKUP(J604,[1]对照表!$O$3:$O$24,[1]对照表!$P$3:$P$24),LOOKUP(J604,[1]对照表!$O$27:$O$48,[1]对照表!$P$27:$P$48)),IF(B604="高二",IF($E604="男",LOOKUP(J604,[1]对照表!$N$3:$N$24,[1]对照表!$P$3:$P$24),LOOKUP(J604,[1]对照表!$N$27:$N$48,[1]对照表!$P$27:$P$48)),IF(B604="高一",IF($E604="男",LOOKUP(J604,[1]对照表!$M$3:$M$24,[1]对照表!$P$3:$P$24),LOOKUP(J604,[1]对照表!$M$27:$M$48,[1]对照表!$P$27:$P$48)))))</f>
        <v>95</v>
      </c>
      <c r="L604" s="21">
        <v>15</v>
      </c>
      <c r="M604" s="32">
        <f>IF(B604="高三",IF($E604="男",LOOKUP(L604,[1]对照表!$S$3:$S$24,[1]对照表!$T$3:$T$24),LOOKUP(L604,[1]对照表!$S$27:$S$48,[1]对照表!$T$27:$T$48)),IF(B604="高二",IF($E604="男",LOOKUP(L604,[1]对照表!$R$3:$R$24,[1]对照表!$T$3:$T$24),LOOKUP(L604,[1]对照表!$R$27:$R$48,[1]对照表!$T$27:$T$48)),IF(B604="高一",IF($E604="男",LOOKUP(L604,[1]对照表!$Q$3:$Q$24,[1]对照表!$T$3:$T$24),LOOKUP(L604,[1]对照表!$Q$27:$Q$48,[1]对照表!$T$27:$T$48)))))</f>
        <v>95</v>
      </c>
      <c r="N604" s="33">
        <f>IF(B604="高三",MAX(IF(E604="男",L604-18,L604-55),0),IF(B604="高二",MAX(IF(E604="男",L604-17,L604-54),0),IF(B604="高一",MAX(IF(E604="男",L604-16,L604-53),0))))</f>
        <v>0</v>
      </c>
      <c r="O604" s="23">
        <f>IF(E604="男",LOOKUP($N604,[1]对照表!$Z$3:$Z$13,[1]对照表!$AA$3:$AA$13),LOOKUP($N604,[1]对照表!$Z$15:$Z$25,[1]对照表!$AA$15:$AA$25))</f>
        <v>0</v>
      </c>
      <c r="P604" s="24">
        <f>M604+O604</f>
        <v>95</v>
      </c>
      <c r="Q604" s="25">
        <v>3.59</v>
      </c>
      <c r="R604" s="32">
        <f>IF(B604="高三",IF($E604="男",LOOKUP(Q604,[1]对照表!$W$3:$W$24,[1]对照表!$X$3:$X$24),LOOKUP(Q604,[1]对照表!$W$27:$W$48,[1]对照表!$X$27:$X$48)),IF(B604="高二",IF($E604="男",LOOKUP(Q604,[1]对照表!$V$3:$V$24,[1]对照表!$X$3:$X$24),LOOKUP(Q604,[1]对照表!$V$27:$V$48,[1]对照表!$X$27:$X$48)),IF(B604="高一",IF($E604="男",LOOKUP(Q604,[1]对照表!$U$3:$U$24,[1]对照表!$X$3:$X$24),LOOKUP(Q604,[1]对照表!$U$27:$U$48,[1]对照表!$X$27:$X$48)))))</f>
        <v>78</v>
      </c>
      <c r="S604" s="33">
        <f>ROUND(IF(IF($B604="高三",MIN(IF($E604="男",$Q604-3.2,$Q604-3.2),0),IF($B604="高二",MIN(IF($E604="男",$Q604-3.25,$Q604-3.22),0),IF($B604="高一",MIN(IF($E604="男",$Q604-3.3,$Q604-3.24),0))))&lt;-0.6,IF($B604="高三",MIN(IF($E604="男",$Q604-3.2,$Q604-3.2),0),IF($B604="高二",MIN(IF($E604="男",$Q604-3.25,$Q604-3.22),0),IF($B604="高一",MIN(IF($E604="男",$Q604-3.3,$Q604-3.24),0))))+0.4,IF($B604="高三",MIN(IF($E604="男",$Q604-3.2,$Q604-3.2),0),IF($B604="高二",MIN(IF($E604="男",$Q604-3.25,$Q604-3.22),0),IF($B604="高一",MIN(IF($E604="男",$Q604-3.3,$Q604-3.24),0))))),2)</f>
        <v>0</v>
      </c>
      <c r="T604" s="23">
        <f>IF(E604="男",LOOKUP($S604,[1]对照表!$AB$3:$AB$13,[1]对照表!$AC$3:$AC$13),LOOKUP($S604,[1]对照表!$AB$15:$AB$25,[1]对照表!$AC$15:$AC$25))</f>
        <v>0</v>
      </c>
      <c r="U604" s="26">
        <f>R604+T604</f>
        <v>78</v>
      </c>
      <c r="V604" s="26">
        <f>SUM(I604,K604,M604)/3*0.3+SUM(G604,R604)/2*0.4</f>
        <v>59.6</v>
      </c>
      <c r="W604" s="27">
        <f>O604+T604</f>
        <v>0</v>
      </c>
      <c r="X604" s="28">
        <f>V604/0.7+W604</f>
        <v>85.142857142857153</v>
      </c>
      <c r="Y604" s="28">
        <v>85.142857142857153</v>
      </c>
      <c r="Z604" s="25"/>
    </row>
    <row r="605" spans="1:26" x14ac:dyDescent="0.25">
      <c r="A605" s="16">
        <v>38</v>
      </c>
      <c r="B605" s="17" t="s">
        <v>21</v>
      </c>
      <c r="C605" s="16">
        <v>114</v>
      </c>
      <c r="D605" s="18" t="s">
        <v>304</v>
      </c>
      <c r="E605" s="17" t="s">
        <v>65</v>
      </c>
      <c r="F605" s="19">
        <v>9.01</v>
      </c>
      <c r="G605" s="32">
        <f>IF(B605="高三",IF($E605="男",LOOKUP(F605,[1]对照表!$G$3:$G$24,[1]对照表!$H$3:$H$24),LOOKUP(F605,[1]对照表!$G$27:$G$48,[1]对照表!$H$27:$H$48)),IF(B605="高二",IF($E605="男",LOOKUP(F605,[1]对照表!$F$3:$F$24,[1]对照表!$H$3:$H$24),LOOKUP(F605,[1]对照表!$F$27:$F$48,[1]对照表!$H$27:$H$48)),IF(B605="高一",IF($E605="男",LOOKUP(F605,[1]对照表!$E$3:$E$24,[1]对照表!$H$3:$H$24),LOOKUP(F605,[1]对照表!$E$27:$E$48,[1]对照表!$H$27:$H$48)))))</f>
        <v>74</v>
      </c>
      <c r="H605" s="21">
        <v>20</v>
      </c>
      <c r="I605" s="32">
        <f>IF(B605="高三",IF($E605="男",LOOKUP(H605,[1]对照表!$K$3:$K$24,[1]对照表!$L$3:$L$24),LOOKUP(H605,[1]对照表!$K$27:$K$48,[1]对照表!$L$27:$L$48)),IF(B605="高二",IF($E605="男",LOOKUP(H605,[1]对照表!$J$3:$J$24,[1]对照表!$L$3:$L$24),LOOKUP(H605,[1]对照表!$J$27:$J$48,[1]对照表!$L$27:$L$48)),IF(B605="高一",IF($E605="男",LOOKUP(H605,[1]对照表!$I$3:$I$24,[1]对照表!$L$3:$L$24),LOOKUP(H605,[1]对照表!$I$27:$I$48,[1]对照表!$L$27:$L$48)))))</f>
        <v>85</v>
      </c>
      <c r="J605" s="21">
        <v>195</v>
      </c>
      <c r="K605" s="32">
        <f>IF(B605="高三",IF($E605="男",LOOKUP(J605,[1]对照表!$O$3:$O$24,[1]对照表!$P$3:$P$24),LOOKUP(J605,[1]对照表!$O$27:$O$48,[1]对照表!$P$27:$P$48)),IF(B605="高二",IF($E605="男",LOOKUP(J605,[1]对照表!$N$3:$N$24,[1]对照表!$P$3:$P$24),LOOKUP(J605,[1]对照表!$N$27:$N$48,[1]对照表!$P$27:$P$48)),IF(B605="高一",IF($E605="男",LOOKUP(J605,[1]对照表!$M$3:$M$24,[1]对照表!$P$3:$P$24),LOOKUP(J605,[1]对照表!$M$27:$M$48,[1]对照表!$P$27:$P$48)))))</f>
        <v>90</v>
      </c>
      <c r="L605" s="21">
        <v>53</v>
      </c>
      <c r="M605" s="32">
        <f>IF(B605="高三",IF($E605="男",LOOKUP(L605,[1]对照表!$S$3:$S$24,[1]对照表!$T$3:$T$24),LOOKUP(L605,[1]对照表!$S$27:$S$48,[1]对照表!$T$27:$T$48)),IF(B605="高二",IF($E605="男",LOOKUP(L605,[1]对照表!$R$3:$R$24,[1]对照表!$T$3:$T$24),LOOKUP(L605,[1]对照表!$R$27:$R$48,[1]对照表!$T$27:$T$48)),IF(B605="高一",IF($E605="男",LOOKUP(L605,[1]对照表!$Q$3:$Q$24,[1]对照表!$T$3:$T$24),LOOKUP(L605,[1]对照表!$Q$27:$Q$48,[1]对照表!$T$27:$T$48)))))</f>
        <v>100</v>
      </c>
      <c r="N605" s="33">
        <f>IF(B605="高三",MAX(IF(E605="男",L605-18,L605-55),0),IF(B605="高二",MAX(IF(E605="男",L605-17,L605-54),0),IF(B605="高一",MAX(IF(E605="男",L605-16,L605-53),0))))</f>
        <v>0</v>
      </c>
      <c r="O605" s="23">
        <f>IF(E605="男",LOOKUP($N605,[1]对照表!$Z$3:$Z$13,[1]对照表!$AA$3:$AA$13),LOOKUP($N605,[1]对照表!$Z$15:$Z$25,[1]对照表!$AA$15:$AA$25))</f>
        <v>0</v>
      </c>
      <c r="P605" s="24">
        <f>M605+O605</f>
        <v>100</v>
      </c>
      <c r="Q605" s="25">
        <v>3.3</v>
      </c>
      <c r="R605" s="32">
        <f>IF(B605="高三",IF($E605="男",LOOKUP(Q605,[1]对照表!$W$3:$W$24,[1]对照表!$X$3:$X$24),LOOKUP(Q605,[1]对照表!$W$27:$W$48,[1]对照表!$X$27:$X$48)),IF(B605="高二",IF($E605="男",LOOKUP(Q605,[1]对照表!$V$3:$V$24,[1]对照表!$X$3:$X$24),LOOKUP(Q605,[1]对照表!$V$27:$V$48,[1]对照表!$X$27:$X$48)),IF(B605="高一",IF($E605="男",LOOKUP(Q605,[1]对照表!$U$3:$U$24,[1]对照表!$X$3:$X$24),LOOKUP(Q605,[1]对照表!$U$27:$U$48,[1]对照表!$X$27:$X$48)))))</f>
        <v>95</v>
      </c>
      <c r="S605" s="27">
        <f>ROUND(IF(IF($B605="高三",MIN(IF($E605="男",$Q605-3.2,$Q605-3.2),0),IF($B605="高二",MIN(IF($E605="男",$Q605-3.25,$Q605-3.22),0),IF($B605="高一",MIN(IF($E605="男",$Q605-3.3,$Q605-3.24),0))))&lt;-0.6,IF($B605="高三",MIN(IF($E605="男",$Q605-3.2,$Q605-3.2),0),IF($B605="高二",MIN(IF($E605="男",$Q605-3.25,$Q605-3.22),0),IF($B605="高一",MIN(IF($E605="男",$Q605-3.3,$Q605-3.24),0))))+0.4,IF($B605="高三",MIN(IF($E605="男",$Q605-3.2,$Q605-3.2),0),IF($B605="高二",MIN(IF($E605="男",$Q605-3.25,$Q605-3.22),0),IF($B605="高一",MIN(IF($E605="男",$Q605-3.3,$Q605-3.24),0))))),2)</f>
        <v>0</v>
      </c>
      <c r="T605" s="23">
        <f>IF(E605="男",LOOKUP($S605,[1]对照表!$AB$3:$AB$13,[1]对照表!$AC$3:$AC$13),LOOKUP($S605,[1]对照表!$AB$15:$AB$25,[1]对照表!$AC$15:$AC$25))</f>
        <v>0</v>
      </c>
      <c r="U605" s="26">
        <f>R605+T605</f>
        <v>95</v>
      </c>
      <c r="V605" s="26">
        <f>SUM(I605,K605,M605)/3*0.3+SUM(G605,R605)/2*0.4</f>
        <v>61.300000000000004</v>
      </c>
      <c r="W605" s="27">
        <f>O605+T605</f>
        <v>0</v>
      </c>
      <c r="X605" s="28">
        <f>V605/0.7+W605</f>
        <v>87.571428571428584</v>
      </c>
      <c r="Y605" s="28">
        <v>87.571428571428584</v>
      </c>
      <c r="Z605" s="21"/>
    </row>
    <row r="606" spans="1:26" x14ac:dyDescent="0.25">
      <c r="A606" s="16">
        <v>28</v>
      </c>
      <c r="B606" s="17" t="s">
        <v>21</v>
      </c>
      <c r="C606" s="16">
        <v>114</v>
      </c>
      <c r="D606" s="18" t="s">
        <v>305</v>
      </c>
      <c r="E606" s="17" t="s">
        <v>65</v>
      </c>
      <c r="F606" s="19">
        <v>9.1</v>
      </c>
      <c r="G606" s="32">
        <f>IF(B606="高三",IF($E606="男",LOOKUP(F606,[1]对照表!$G$3:$G$24,[1]对照表!$H$3:$H$24),LOOKUP(F606,[1]对照表!$G$27:$G$48,[1]对照表!$H$27:$H$48)),IF(B606="高二",IF($E606="男",LOOKUP(F606,[1]对照表!$F$3:$F$24,[1]对照表!$H$3:$H$24),LOOKUP(F606,[1]对照表!$F$27:$F$48,[1]对照表!$H$27:$H$48)),IF(B606="高一",IF($E606="男",LOOKUP(F606,[1]对照表!$E$3:$E$24,[1]对照表!$H$3:$H$24),LOOKUP(F606,[1]对照表!$E$27:$E$48,[1]对照表!$H$27:$H$48)))))</f>
        <v>74</v>
      </c>
      <c r="H606" s="21">
        <v>21</v>
      </c>
      <c r="I606" s="32">
        <f>IF(B606="高三",IF($E606="男",LOOKUP(H606,[1]对照表!$K$3:$K$24,[1]对照表!$L$3:$L$24),LOOKUP(H606,[1]对照表!$K$27:$K$48,[1]对照表!$L$27:$L$48)),IF(B606="高二",IF($E606="男",LOOKUP(H606,[1]对照表!$J$3:$J$24,[1]对照表!$L$3:$L$24),LOOKUP(H606,[1]对照表!$J$27:$J$48,[1]对照表!$L$27:$L$48)),IF(B606="高一",IF($E606="男",LOOKUP(H606,[1]对照表!$I$3:$I$24,[1]对照表!$L$3:$L$24),LOOKUP(H606,[1]对照表!$I$27:$I$48,[1]对照表!$L$27:$L$48)))))</f>
        <v>90</v>
      </c>
      <c r="J606" s="21">
        <v>178</v>
      </c>
      <c r="K606" s="32">
        <f>IF(B606="高三",IF($E606="男",LOOKUP(J606,[1]对照表!$O$3:$O$24,[1]对照表!$P$3:$P$24),LOOKUP(J606,[1]对照表!$O$27:$O$48,[1]对照表!$P$27:$P$48)),IF(B606="高二",IF($E606="男",LOOKUP(J606,[1]对照表!$N$3:$N$24,[1]对照表!$P$3:$P$24),LOOKUP(J606,[1]对照表!$N$27:$N$48,[1]对照表!$P$27:$P$48)),IF(B606="高一",IF($E606="男",LOOKUP(J606,[1]对照表!$M$3:$M$24,[1]对照表!$P$3:$P$24),LOOKUP(J606,[1]对照表!$M$27:$M$48,[1]对照表!$P$27:$P$48)))))</f>
        <v>80</v>
      </c>
      <c r="L606" s="21">
        <v>34</v>
      </c>
      <c r="M606" s="32">
        <f>IF(B606="高三",IF($E606="男",LOOKUP(L606,[1]对照表!$S$3:$S$24,[1]对照表!$T$3:$T$24),LOOKUP(L606,[1]对照表!$S$27:$S$48,[1]对照表!$T$27:$T$48)),IF(B606="高二",IF($E606="男",LOOKUP(L606,[1]对照表!$R$3:$R$24,[1]对照表!$T$3:$T$24),LOOKUP(L606,[1]对照表!$R$27:$R$48,[1]对照表!$T$27:$T$48)),IF(B606="高一",IF($E606="男",LOOKUP(L606,[1]对照表!$Q$3:$Q$24,[1]对照表!$T$3:$T$24),LOOKUP(L606,[1]对照表!$Q$27:$Q$48,[1]对照表!$T$27:$T$48)))))</f>
        <v>70</v>
      </c>
      <c r="N606" s="33">
        <f>IF(B606="高三",MAX(IF(E606="男",L606-18,L606-55),0),IF(B606="高二",MAX(IF(E606="男",L606-17,L606-54),0),IF(B606="高一",MAX(IF(E606="男",L606-16,L606-53),0))))</f>
        <v>0</v>
      </c>
      <c r="O606" s="23">
        <f>IF(E606="男",LOOKUP($N606,[1]对照表!$Z$3:$Z$13,[1]对照表!$AA$3:$AA$13),LOOKUP($N606,[1]对照表!$Z$15:$Z$25,[1]对照表!$AA$15:$AA$25))</f>
        <v>0</v>
      </c>
      <c r="P606" s="24">
        <f>M606+O606</f>
        <v>70</v>
      </c>
      <c r="Q606" s="25">
        <v>3.3</v>
      </c>
      <c r="R606" s="32">
        <f>IF(B606="高三",IF($E606="男",LOOKUP(Q606,[1]对照表!$W$3:$W$24,[1]对照表!$X$3:$X$24),LOOKUP(Q606,[1]对照表!$W$27:$W$48,[1]对照表!$X$27:$X$48)),IF(B606="高二",IF($E606="男",LOOKUP(Q606,[1]对照表!$V$3:$V$24,[1]对照表!$X$3:$X$24),LOOKUP(Q606,[1]对照表!$V$27:$V$48,[1]对照表!$X$27:$X$48)),IF(B606="高一",IF($E606="男",LOOKUP(Q606,[1]对照表!$U$3:$U$24,[1]对照表!$X$3:$X$24),LOOKUP(Q606,[1]对照表!$U$27:$U$48,[1]对照表!$X$27:$X$48)))))</f>
        <v>95</v>
      </c>
      <c r="S606" s="33">
        <f>ROUND(IF(IF($B606="高三",MIN(IF($E606="男",$Q606-3.2,$Q606-3.2),0),IF($B606="高二",MIN(IF($E606="男",$Q606-3.25,$Q606-3.22),0),IF($B606="高一",MIN(IF($E606="男",$Q606-3.3,$Q606-3.24),0))))&lt;-0.6,IF($B606="高三",MIN(IF($E606="男",$Q606-3.2,$Q606-3.2),0),IF($B606="高二",MIN(IF($E606="男",$Q606-3.25,$Q606-3.22),0),IF($B606="高一",MIN(IF($E606="男",$Q606-3.3,$Q606-3.24),0))))+0.4,IF($B606="高三",MIN(IF($E606="男",$Q606-3.2,$Q606-3.2),0),IF($B606="高二",MIN(IF($E606="男",$Q606-3.25,$Q606-3.22),0),IF($B606="高一",MIN(IF($E606="男",$Q606-3.3,$Q606-3.24),0))))),2)</f>
        <v>0</v>
      </c>
      <c r="T606" s="23">
        <f>IF(E606="男",LOOKUP($S606,[1]对照表!$AB$3:$AB$13,[1]对照表!$AC$3:$AC$13),LOOKUP($S606,[1]对照表!$AB$15:$AB$25,[1]对照表!$AC$15:$AC$25))</f>
        <v>0</v>
      </c>
      <c r="U606" s="26">
        <f>R606+T606</f>
        <v>95</v>
      </c>
      <c r="V606" s="26">
        <f>SUM(I606,K606,M606)/3*0.3+SUM(G606,R606)/2*0.4</f>
        <v>57.800000000000004</v>
      </c>
      <c r="W606" s="27">
        <f>O606+T606</f>
        <v>0</v>
      </c>
      <c r="X606" s="28">
        <f>V606/0.7+W606</f>
        <v>82.571428571428584</v>
      </c>
      <c r="Y606" s="28">
        <v>82.571428571428584</v>
      </c>
      <c r="Z606" s="21"/>
    </row>
    <row r="607" spans="1:26" x14ac:dyDescent="0.25">
      <c r="A607" s="16">
        <v>34</v>
      </c>
      <c r="B607" s="17" t="s">
        <v>21</v>
      </c>
      <c r="C607" s="16">
        <v>114</v>
      </c>
      <c r="D607" s="18" t="s">
        <v>340</v>
      </c>
      <c r="E607" s="31" t="s">
        <v>65</v>
      </c>
      <c r="F607" s="19">
        <v>9.01</v>
      </c>
      <c r="G607" s="32">
        <f>IF(B607="高三",IF($E607="男",LOOKUP(F607,[1]对照表!$G$3:$G$24,[1]对照表!$H$3:$H$24),LOOKUP(F607,[1]对照表!$G$27:$G$48,[1]对照表!$H$27:$H$48)),IF(B607="高二",IF($E607="男",LOOKUP(F607,[1]对照表!$F$3:$F$24,[1]对照表!$H$3:$H$24),LOOKUP(F607,[1]对照表!$F$27:$F$48,[1]对照表!$H$27:$H$48)),IF(B607="高一",IF($E607="男",LOOKUP(F607,[1]对照表!$E$3:$E$24,[1]对照表!$H$3:$H$24),LOOKUP(F607,[1]对照表!$E$27:$E$48,[1]对照表!$H$27:$H$48)))))</f>
        <v>74</v>
      </c>
      <c r="H607" s="21">
        <v>5</v>
      </c>
      <c r="I607" s="32">
        <f>IF(B607="高三",IF($E607="男",LOOKUP(H607,[1]对照表!$K$3:$K$24,[1]对照表!$L$3:$L$24),LOOKUP(H607,[1]对照表!$K$27:$K$48,[1]对照表!$L$27:$L$48)),IF(B607="高二",IF($E607="男",LOOKUP(H607,[1]对照表!$J$3:$J$24,[1]对照表!$L$3:$L$24),LOOKUP(H607,[1]对照表!$J$27:$J$48,[1]对照表!$L$27:$L$48)),IF(B607="高一",IF($E607="男",LOOKUP(H607,[1]对照表!$I$3:$I$24,[1]对照表!$L$3:$L$24),LOOKUP(H607,[1]对照表!$I$27:$I$48,[1]对照表!$L$27:$L$48)))))</f>
        <v>60</v>
      </c>
      <c r="J607" s="21">
        <v>182</v>
      </c>
      <c r="K607" s="32">
        <f>IF(B607="高三",IF($E607="男",LOOKUP(J607,[1]对照表!$O$3:$O$24,[1]对照表!$P$3:$P$24),LOOKUP(J607,[1]对照表!$O$27:$O$48,[1]对照表!$P$27:$P$48)),IF(B607="高二",IF($E607="男",LOOKUP(J607,[1]对照表!$N$3:$N$24,[1]对照表!$P$3:$P$24),LOOKUP(J607,[1]对照表!$N$27:$N$48,[1]对照表!$P$27:$P$48)),IF(B607="高一",IF($E607="男",LOOKUP(J607,[1]对照表!$M$3:$M$24,[1]对照表!$P$3:$P$24),LOOKUP(J607,[1]对照表!$M$27:$M$48,[1]对照表!$P$27:$P$48)))))</f>
        <v>80</v>
      </c>
      <c r="L607" s="21">
        <v>46</v>
      </c>
      <c r="M607" s="32">
        <f>IF(B607="高三",IF($E607="男",LOOKUP(L607,[1]对照表!$S$3:$S$24,[1]对照表!$T$3:$T$24),LOOKUP(L607,[1]对照表!$S$27:$S$48,[1]对照表!$T$27:$T$48)),IF(B607="高二",IF($E607="男",LOOKUP(L607,[1]对照表!$R$3:$R$24,[1]对照表!$T$3:$T$24),LOOKUP(L607,[1]对照表!$R$27:$R$48,[1]对照表!$T$27:$T$48)),IF(B607="高一",IF($E607="男",LOOKUP(L607,[1]对照表!$Q$3:$Q$24,[1]对照表!$T$3:$T$24),LOOKUP(L607,[1]对照表!$Q$27:$Q$48,[1]对照表!$T$27:$T$48)))))</f>
        <v>85</v>
      </c>
      <c r="N607" s="33">
        <f>IF(B607="高三",MAX(IF(E607="男",L607-18,L607-55),0),IF(B607="高二",MAX(IF(E607="男",L607-17,L607-54),0),IF(B607="高一",MAX(IF(E607="男",L607-16,L607-53),0))))</f>
        <v>0</v>
      </c>
      <c r="O607" s="23">
        <f>IF(E607="男",LOOKUP($N607,[1]对照表!$Z$3:$Z$13,[1]对照表!$AA$3:$AA$13),LOOKUP($N607,[1]对照表!$Z$15:$Z$25,[1]对照表!$AA$15:$AA$25))</f>
        <v>0</v>
      </c>
      <c r="P607" s="24">
        <f>M607+O607</f>
        <v>85</v>
      </c>
      <c r="Q607" s="25">
        <v>3.32</v>
      </c>
      <c r="R607" s="32">
        <f>IF(B607="高三",IF($E607="男",LOOKUP(Q607,[1]对照表!$W$3:$W$24,[1]对照表!$X$3:$X$24),LOOKUP(Q607,[1]对照表!$W$27:$W$48,[1]对照表!$X$27:$X$48)),IF(B607="高二",IF($E607="男",LOOKUP(Q607,[1]对照表!$V$3:$V$24,[1]对照表!$X$3:$X$24),LOOKUP(Q607,[1]对照表!$V$27:$V$48,[1]对照表!$X$27:$X$48)),IF(B607="高一",IF($E607="男",LOOKUP(Q607,[1]对照表!$U$3:$U$24,[1]对照表!$X$3:$X$24),LOOKUP(Q607,[1]对照表!$U$27:$U$48,[1]对照表!$X$27:$X$48)))))</f>
        <v>90</v>
      </c>
      <c r="S607" s="33">
        <f>ROUND(IF(IF($B607="高三",MIN(IF($E607="男",$Q607-3.2,$Q607-3.2),0),IF($B607="高二",MIN(IF($E607="男",$Q607-3.25,$Q607-3.22),0),IF($B607="高一",MIN(IF($E607="男",$Q607-3.3,$Q607-3.24),0))))&lt;-0.6,IF($B607="高三",MIN(IF($E607="男",$Q607-3.2,$Q607-3.2),0),IF($B607="高二",MIN(IF($E607="男",$Q607-3.25,$Q607-3.22),0),IF($B607="高一",MIN(IF($E607="男",$Q607-3.3,$Q607-3.24),0))))+0.4,IF($B607="高三",MIN(IF($E607="男",$Q607-3.2,$Q607-3.2),0),IF($B607="高二",MIN(IF($E607="男",$Q607-3.25,$Q607-3.22),0),IF($B607="高一",MIN(IF($E607="男",$Q607-3.3,$Q607-3.24),0))))),2)</f>
        <v>0</v>
      </c>
      <c r="T607" s="23">
        <f>IF(E607="男",LOOKUP($S607,[1]对照表!$AB$3:$AB$13,[1]对照表!$AC$3:$AC$13),LOOKUP($S607,[1]对照表!$AB$15:$AB$25,[1]对照表!$AC$15:$AC$25))</f>
        <v>0</v>
      </c>
      <c r="U607" s="26">
        <f>R607+T607</f>
        <v>90</v>
      </c>
      <c r="V607" s="26">
        <f>SUM(I607,K607,M607)/3*0.3+SUM(G607,R607)/2*0.4</f>
        <v>55.300000000000004</v>
      </c>
      <c r="W607" s="27">
        <f>O607+T607</f>
        <v>0</v>
      </c>
      <c r="X607" s="28">
        <f>V607/0.7+W607</f>
        <v>79.000000000000014</v>
      </c>
      <c r="Y607" s="28">
        <v>79.000000000000014</v>
      </c>
      <c r="Z607" s="21"/>
    </row>
    <row r="608" spans="1:26" x14ac:dyDescent="0.25">
      <c r="A608" s="16">
        <v>36</v>
      </c>
      <c r="B608" s="17" t="s">
        <v>21</v>
      </c>
      <c r="C608" s="16">
        <v>114</v>
      </c>
      <c r="D608" s="18" t="s">
        <v>341</v>
      </c>
      <c r="E608" s="17" t="s">
        <v>65</v>
      </c>
      <c r="F608" s="19">
        <v>9.01</v>
      </c>
      <c r="G608" s="32">
        <f>IF(B608="高三",IF($E608="男",LOOKUP(F608,[1]对照表!$G$3:$G$24,[1]对照表!$H$3:$H$24),LOOKUP(F608,[1]对照表!$G$27:$G$48,[1]对照表!$H$27:$H$48)),IF(B608="高二",IF($E608="男",LOOKUP(F608,[1]对照表!$F$3:$F$24,[1]对照表!$H$3:$H$24),LOOKUP(F608,[1]对照表!$F$27:$F$48,[1]对照表!$H$27:$H$48)),IF(B608="高一",IF($E608="男",LOOKUP(F608,[1]对照表!$E$3:$E$24,[1]对照表!$H$3:$H$24),LOOKUP(F608,[1]对照表!$E$27:$E$48,[1]对照表!$H$27:$H$48)))))</f>
        <v>74</v>
      </c>
      <c r="H608" s="21">
        <v>22</v>
      </c>
      <c r="I608" s="32">
        <f>IF(B608="高三",IF($E608="男",LOOKUP(H608,[1]对照表!$K$3:$K$24,[1]对照表!$L$3:$L$24),LOOKUP(H608,[1]对照表!$K$27:$K$48,[1]对照表!$L$27:$L$48)),IF(B608="高二",IF($E608="男",LOOKUP(H608,[1]对照表!$J$3:$J$24,[1]对照表!$L$3:$L$24),LOOKUP(H608,[1]对照表!$J$27:$J$48,[1]对照表!$L$27:$L$48)),IF(B608="高一",IF($E608="男",LOOKUP(H608,[1]对照表!$I$3:$I$24,[1]对照表!$L$3:$L$24),LOOKUP(H608,[1]对照表!$I$27:$I$48,[1]对照表!$L$27:$L$48)))))</f>
        <v>90</v>
      </c>
      <c r="J608" s="21">
        <v>165</v>
      </c>
      <c r="K608" s="32">
        <f>IF(B608="高三",IF($E608="男",LOOKUP(J608,[1]对照表!$O$3:$O$24,[1]对照表!$P$3:$P$24),LOOKUP(J608,[1]对照表!$O$27:$O$48,[1]对照表!$P$27:$P$48)),IF(B608="高二",IF($E608="男",LOOKUP(J608,[1]对照表!$N$3:$N$24,[1]对照表!$P$3:$P$24),LOOKUP(J608,[1]对照表!$N$27:$N$48,[1]对照表!$P$27:$P$48)),IF(B608="高一",IF($E608="男",LOOKUP(J608,[1]对照表!$M$3:$M$24,[1]对照表!$P$3:$P$24),LOOKUP(J608,[1]对照表!$M$27:$M$48,[1]对照表!$P$27:$P$48)))))</f>
        <v>70</v>
      </c>
      <c r="L608" s="21">
        <v>45</v>
      </c>
      <c r="M608" s="32">
        <f>IF(B608="高三",IF($E608="男",LOOKUP(L608,[1]对照表!$S$3:$S$24,[1]对照表!$T$3:$T$24),LOOKUP(L608,[1]对照表!$S$27:$S$48,[1]对照表!$T$27:$T$48)),IF(B608="高二",IF($E608="男",LOOKUP(L608,[1]对照表!$R$3:$R$24,[1]对照表!$T$3:$T$24),LOOKUP(L608,[1]对照表!$R$27:$R$48,[1]对照表!$T$27:$T$48)),IF(B608="高一",IF($E608="男",LOOKUP(L608,[1]对照表!$Q$3:$Q$24,[1]对照表!$T$3:$T$24),LOOKUP(L608,[1]对照表!$Q$27:$Q$48,[1]对照表!$T$27:$T$48)))))</f>
        <v>80</v>
      </c>
      <c r="N608" s="33">
        <f>IF(B608="高三",MAX(IF(E608="男",L608-18,L608-55),0),IF(B608="高二",MAX(IF(E608="男",L608-17,L608-54),0),IF(B608="高一",MAX(IF(E608="男",L608-16,L608-53),0))))</f>
        <v>0</v>
      </c>
      <c r="O608" s="23">
        <f>IF(E608="男",LOOKUP($N608,[1]对照表!$Z$3:$Z$13,[1]对照表!$AA$3:$AA$13),LOOKUP($N608,[1]对照表!$Z$15:$Z$25,[1]对照表!$AA$15:$AA$25))</f>
        <v>0</v>
      </c>
      <c r="P608" s="24">
        <f>M608+O608</f>
        <v>80</v>
      </c>
      <c r="Q608" s="25">
        <v>3.32</v>
      </c>
      <c r="R608" s="32">
        <f>IF(B608="高三",IF($E608="男",LOOKUP(Q608,[1]对照表!$W$3:$W$24,[1]对照表!$X$3:$X$24),LOOKUP(Q608,[1]对照表!$W$27:$W$48,[1]对照表!$X$27:$X$48)),IF(B608="高二",IF($E608="男",LOOKUP(Q608,[1]对照表!$V$3:$V$24,[1]对照表!$X$3:$X$24),LOOKUP(Q608,[1]对照表!$V$27:$V$48,[1]对照表!$X$27:$X$48)),IF(B608="高一",IF($E608="男",LOOKUP(Q608,[1]对照表!$U$3:$U$24,[1]对照表!$X$3:$X$24),LOOKUP(Q608,[1]对照表!$U$27:$U$48,[1]对照表!$X$27:$X$48)))))</f>
        <v>90</v>
      </c>
      <c r="S608" s="33">
        <f>ROUND(IF(IF($B608="高三",MIN(IF($E608="男",$Q608-3.2,$Q608-3.2),0),IF($B608="高二",MIN(IF($E608="男",$Q608-3.25,$Q608-3.22),0),IF($B608="高一",MIN(IF($E608="男",$Q608-3.3,$Q608-3.24),0))))&lt;-0.6,IF($B608="高三",MIN(IF($E608="男",$Q608-3.2,$Q608-3.2),0),IF($B608="高二",MIN(IF($E608="男",$Q608-3.25,$Q608-3.22),0),IF($B608="高一",MIN(IF($E608="男",$Q608-3.3,$Q608-3.24),0))))+0.4,IF($B608="高三",MIN(IF($E608="男",$Q608-3.2,$Q608-3.2),0),IF($B608="高二",MIN(IF($E608="男",$Q608-3.25,$Q608-3.22),0),IF($B608="高一",MIN(IF($E608="男",$Q608-3.3,$Q608-3.24),0))))),2)</f>
        <v>0</v>
      </c>
      <c r="T608" s="23">
        <f>IF(E608="男",LOOKUP($S608,[1]对照表!$AB$3:$AB$13,[1]对照表!$AC$3:$AC$13),LOOKUP($S608,[1]对照表!$AB$15:$AB$25,[1]对照表!$AC$15:$AC$25))</f>
        <v>0</v>
      </c>
      <c r="U608" s="26">
        <f>R608+T608</f>
        <v>90</v>
      </c>
      <c r="V608" s="26">
        <f>SUM(I608,K608,M608)/3*0.3+SUM(G608,R608)/2*0.4</f>
        <v>56.800000000000004</v>
      </c>
      <c r="W608" s="27">
        <f>O608+T608</f>
        <v>0</v>
      </c>
      <c r="X608" s="28">
        <f>V608/0.7+W608</f>
        <v>81.142857142857153</v>
      </c>
      <c r="Y608" s="28">
        <v>81.142857142857153</v>
      </c>
      <c r="Z608" s="21"/>
    </row>
    <row r="609" spans="1:26" x14ac:dyDescent="0.25">
      <c r="A609" s="16">
        <v>40</v>
      </c>
      <c r="B609" s="17" t="s">
        <v>21</v>
      </c>
      <c r="C609" s="16">
        <v>114</v>
      </c>
      <c r="D609" s="18" t="s">
        <v>346</v>
      </c>
      <c r="E609" s="17" t="s">
        <v>65</v>
      </c>
      <c r="F609" s="19">
        <v>9.01</v>
      </c>
      <c r="G609" s="32">
        <f>IF(B609="高三",IF($E609="男",LOOKUP(F609,[1]对照表!$G$3:$G$24,[1]对照表!$H$3:$H$24),LOOKUP(F609,[1]对照表!$G$27:$G$48,[1]对照表!$H$27:$H$48)),IF(B609="高二",IF($E609="男",LOOKUP(F609,[1]对照表!$F$3:$F$24,[1]对照表!$H$3:$H$24),LOOKUP(F609,[1]对照表!$F$27:$F$48,[1]对照表!$H$27:$H$48)),IF(B609="高一",IF($E609="男",LOOKUP(F609,[1]对照表!$E$3:$E$24,[1]对照表!$H$3:$H$24),LOOKUP(F609,[1]对照表!$E$27:$E$48,[1]对照表!$H$27:$H$48)))))</f>
        <v>74</v>
      </c>
      <c r="H609" s="21">
        <v>7</v>
      </c>
      <c r="I609" s="32">
        <f>IF(B609="高三",IF($E609="男",LOOKUP(H609,[1]对照表!$K$3:$K$24,[1]对照表!$L$3:$L$24),LOOKUP(H609,[1]对照表!$K$27:$K$48,[1]对照表!$L$27:$L$48)),IF(B609="高二",IF($E609="男",LOOKUP(H609,[1]对照表!$J$3:$J$24,[1]对照表!$L$3:$L$24),LOOKUP(H609,[1]对照表!$J$27:$J$48,[1]对照表!$L$27:$L$48)),IF(B609="高一",IF($E609="男",LOOKUP(H609,[1]对照表!$I$3:$I$24,[1]对照表!$L$3:$L$24),LOOKUP(H609,[1]对照表!$I$27:$I$48,[1]对照表!$L$27:$L$48)))))</f>
        <v>64</v>
      </c>
      <c r="J609" s="21">
        <v>180</v>
      </c>
      <c r="K609" s="32">
        <f>IF(B609="高三",IF($E609="男",LOOKUP(J609,[1]对照表!$O$3:$O$24,[1]对照表!$P$3:$P$24),LOOKUP(J609,[1]对照表!$O$27:$O$48,[1]对照表!$P$27:$P$48)),IF(B609="高二",IF($E609="男",LOOKUP(J609,[1]对照表!$N$3:$N$24,[1]对照表!$P$3:$P$24),LOOKUP(J609,[1]对照表!$N$27:$N$48,[1]对照表!$P$27:$P$48)),IF(B609="高一",IF($E609="男",LOOKUP(J609,[1]对照表!$M$3:$M$24,[1]对照表!$P$3:$P$24),LOOKUP(J609,[1]对照表!$M$27:$M$48,[1]对照表!$P$27:$P$48)))))</f>
        <v>80</v>
      </c>
      <c r="L609" s="21">
        <v>55</v>
      </c>
      <c r="M609" s="32">
        <f>IF(B609="高三",IF($E609="男",LOOKUP(L609,[1]对照表!$S$3:$S$24,[1]对照表!$T$3:$T$24),LOOKUP(L609,[1]对照表!$S$27:$S$48,[1]对照表!$T$27:$T$48)),IF(B609="高二",IF($E609="男",LOOKUP(L609,[1]对照表!$R$3:$R$24,[1]对照表!$T$3:$T$24),LOOKUP(L609,[1]对照表!$R$27:$R$48,[1]对照表!$T$27:$T$48)),IF(B609="高一",IF($E609="男",LOOKUP(L609,[1]对照表!$Q$3:$Q$24,[1]对照表!$T$3:$T$24),LOOKUP(L609,[1]对照表!$Q$27:$Q$48,[1]对照表!$T$27:$T$48)))))</f>
        <v>100</v>
      </c>
      <c r="N609" s="33">
        <f>IF(B609="高三",MAX(IF(E609="男",L609-18,L609-55),0),IF(B609="高二",MAX(IF(E609="男",L609-17,L609-54),0),IF(B609="高一",MAX(IF(E609="男",L609-16,L609-53),0))))</f>
        <v>2</v>
      </c>
      <c r="O609" s="23">
        <f>IF(E609="男",LOOKUP($N609,[1]对照表!$Z$3:$Z$13,[1]对照表!$AA$3:$AA$13),LOOKUP($N609,[1]对照表!$Z$15:$Z$25,[1]对照表!$AA$15:$AA$25))</f>
        <v>1</v>
      </c>
      <c r="P609" s="24">
        <f>M609+O609</f>
        <v>101</v>
      </c>
      <c r="Q609" s="25">
        <v>3.33</v>
      </c>
      <c r="R609" s="32">
        <f>IF(B609="高三",IF($E609="男",LOOKUP(Q609,[1]对照表!$W$3:$W$24,[1]对照表!$X$3:$X$24),LOOKUP(Q609,[1]对照表!$W$27:$W$48,[1]对照表!$X$27:$X$48)),IF(B609="高二",IF($E609="男",LOOKUP(Q609,[1]对照表!$V$3:$V$24,[1]对照表!$X$3:$X$24),LOOKUP(Q609,[1]对照表!$V$27:$V$48,[1]对照表!$X$27:$X$48)),IF(B609="高一",IF($E609="男",LOOKUP(Q609,[1]对照表!$U$3:$U$24,[1]对照表!$X$3:$X$24),LOOKUP(Q609,[1]对照表!$U$27:$U$48,[1]对照表!$X$27:$X$48)))))</f>
        <v>90</v>
      </c>
      <c r="S609" s="33">
        <f>ROUND(IF(IF($B609="高三",MIN(IF($E609="男",$Q609-3.2,$Q609-3.2),0),IF($B609="高二",MIN(IF($E609="男",$Q609-3.25,$Q609-3.22),0),IF($B609="高一",MIN(IF($E609="男",$Q609-3.3,$Q609-3.24),0))))&lt;-0.6,IF($B609="高三",MIN(IF($E609="男",$Q609-3.2,$Q609-3.2),0),IF($B609="高二",MIN(IF($E609="男",$Q609-3.25,$Q609-3.22),0),IF($B609="高一",MIN(IF($E609="男",$Q609-3.3,$Q609-3.24),0))))+0.4,IF($B609="高三",MIN(IF($E609="男",$Q609-3.2,$Q609-3.2),0),IF($B609="高二",MIN(IF($E609="男",$Q609-3.25,$Q609-3.22),0),IF($B609="高一",MIN(IF($E609="男",$Q609-3.3,$Q609-3.24),0))))),2)</f>
        <v>0</v>
      </c>
      <c r="T609" s="23">
        <f>IF(E609="男",LOOKUP($S609,[1]对照表!$AB$3:$AB$13,[1]对照表!$AC$3:$AC$13),LOOKUP($S609,[1]对照表!$AB$15:$AB$25,[1]对照表!$AC$15:$AC$25))</f>
        <v>0</v>
      </c>
      <c r="U609" s="26">
        <f>R609+T609</f>
        <v>90</v>
      </c>
      <c r="V609" s="26">
        <f>SUM(I609,K609,M609)/3*0.3+SUM(G609,R609)/2*0.4</f>
        <v>57.2</v>
      </c>
      <c r="W609" s="27">
        <f>O609+T609</f>
        <v>1</v>
      </c>
      <c r="X609" s="28">
        <f>V609/0.7+W609</f>
        <v>82.714285714285722</v>
      </c>
      <c r="Y609" s="28">
        <v>82.714285714285722</v>
      </c>
      <c r="Z609" s="21"/>
    </row>
    <row r="610" spans="1:26" x14ac:dyDescent="0.25">
      <c r="A610" s="16">
        <v>44</v>
      </c>
      <c r="B610" s="17" t="s">
        <v>21</v>
      </c>
      <c r="C610" s="16">
        <v>114</v>
      </c>
      <c r="D610" s="18" t="s">
        <v>348</v>
      </c>
      <c r="E610" s="17" t="s">
        <v>65</v>
      </c>
      <c r="F610" s="19">
        <v>8.68</v>
      </c>
      <c r="G610" s="32">
        <f>IF(B610="高三",IF($E610="男",LOOKUP(F610,[1]对照表!$G$3:$G$24,[1]对照表!$H$3:$H$24),LOOKUP(F610,[1]对照表!$G$27:$G$48,[1]对照表!$H$27:$H$48)),IF(B610="高二",IF($E610="男",LOOKUP(F610,[1]对照表!$F$3:$F$24,[1]对照表!$H$3:$H$24),LOOKUP(F610,[1]对照表!$F$27:$F$48,[1]对照表!$H$27:$H$48)),IF(B610="高一",IF($E610="男",LOOKUP(F610,[1]对照表!$E$3:$E$24,[1]对照表!$H$3:$H$24),LOOKUP(F610,[1]对照表!$E$27:$E$48,[1]对照表!$H$27:$H$48)))))</f>
        <v>78</v>
      </c>
      <c r="H610" s="21">
        <v>24.5</v>
      </c>
      <c r="I610" s="32">
        <f>IF(B610="高三",IF($E610="男",LOOKUP(H610,[1]对照表!$K$3:$K$24,[1]对照表!$L$3:$L$24),LOOKUP(H610,[1]对照表!$K$27:$K$48,[1]对照表!$L$27:$L$48)),IF(B610="高二",IF($E610="男",LOOKUP(H610,[1]对照表!$J$3:$J$24,[1]对照表!$L$3:$L$24),LOOKUP(H610,[1]对照表!$J$27:$J$48,[1]对照表!$L$27:$L$48)),IF(B610="高一",IF($E610="男",LOOKUP(H610,[1]对照表!$I$3:$I$24,[1]对照表!$L$3:$L$24),LOOKUP(H610,[1]对照表!$I$27:$I$48,[1]对照表!$L$27:$L$48)))))</f>
        <v>100</v>
      </c>
      <c r="J610" s="21">
        <v>185</v>
      </c>
      <c r="K610" s="32">
        <f>IF(B610="高三",IF($E610="男",LOOKUP(J610,[1]对照表!$O$3:$O$24,[1]对照表!$P$3:$P$24),LOOKUP(J610,[1]对照表!$O$27:$O$48,[1]对照表!$P$27:$P$48)),IF(B610="高二",IF($E610="男",LOOKUP(J610,[1]对照表!$N$3:$N$24,[1]对照表!$P$3:$P$24),LOOKUP(J610,[1]对照表!$N$27:$N$48,[1]对照表!$P$27:$P$48)),IF(B610="高一",IF($E610="男",LOOKUP(J610,[1]对照表!$M$3:$M$24,[1]对照表!$P$3:$P$24),LOOKUP(J610,[1]对照表!$M$27:$M$48,[1]对照表!$P$27:$P$48)))))</f>
        <v>85</v>
      </c>
      <c r="L610" s="21">
        <v>50</v>
      </c>
      <c r="M610" s="32">
        <f>IF(B610="高三",IF($E610="男",LOOKUP(L610,[1]对照表!$S$3:$S$24,[1]对照表!$T$3:$T$24),LOOKUP(L610,[1]对照表!$S$27:$S$48,[1]对照表!$T$27:$T$48)),IF(B610="高二",IF($E610="男",LOOKUP(L610,[1]对照表!$R$3:$R$24,[1]对照表!$T$3:$T$24),LOOKUP(L610,[1]对照表!$R$27:$R$48,[1]对照表!$T$27:$T$48)),IF(B610="高一",IF($E610="男",LOOKUP(L610,[1]对照表!$Q$3:$Q$24,[1]对照表!$T$3:$T$24),LOOKUP(L610,[1]对照表!$Q$27:$Q$48,[1]对照表!$T$27:$T$48)))))</f>
        <v>90</v>
      </c>
      <c r="N610" s="33">
        <f>IF(B610="高三",MAX(IF(E610="男",L610-18,L610-55),0),IF(B610="高二",MAX(IF(E610="男",L610-17,L610-54),0),IF(B610="高一",MAX(IF(E610="男",L610-16,L610-53),0))))</f>
        <v>0</v>
      </c>
      <c r="O610" s="23">
        <f>IF(E610="男",LOOKUP($N610,[1]对照表!$Z$3:$Z$13,[1]对照表!$AA$3:$AA$13),LOOKUP($N610,[1]对照表!$Z$15:$Z$25,[1]对照表!$AA$15:$AA$25))</f>
        <v>0</v>
      </c>
      <c r="P610" s="24">
        <f>M610+O610</f>
        <v>90</v>
      </c>
      <c r="Q610" s="25">
        <v>3.34</v>
      </c>
      <c r="R610" s="32">
        <f>IF(B610="高三",IF($E610="男",LOOKUP(Q610,[1]对照表!$W$3:$W$24,[1]对照表!$X$3:$X$24),LOOKUP(Q610,[1]对照表!$W$27:$W$48,[1]对照表!$X$27:$X$48)),IF(B610="高二",IF($E610="男",LOOKUP(Q610,[1]对照表!$V$3:$V$24,[1]对照表!$X$3:$X$24),LOOKUP(Q610,[1]对照表!$V$27:$V$48,[1]对照表!$X$27:$X$48)),IF(B610="高一",IF($E610="男",LOOKUP(Q610,[1]对照表!$U$3:$U$24,[1]对照表!$X$3:$X$24),LOOKUP(Q610,[1]对照表!$U$27:$U$48,[1]对照表!$X$27:$X$48)))))</f>
        <v>90</v>
      </c>
      <c r="S610" s="33">
        <f>ROUND(IF(IF($B610="高三",MIN(IF($E610="男",$Q610-3.2,$Q610-3.2),0),IF($B610="高二",MIN(IF($E610="男",$Q610-3.25,$Q610-3.22),0),IF($B610="高一",MIN(IF($E610="男",$Q610-3.3,$Q610-3.24),0))))&lt;-0.6,IF($B610="高三",MIN(IF($E610="男",$Q610-3.2,$Q610-3.2),0),IF($B610="高二",MIN(IF($E610="男",$Q610-3.25,$Q610-3.22),0),IF($B610="高一",MIN(IF($E610="男",$Q610-3.3,$Q610-3.24),0))))+0.4,IF($B610="高三",MIN(IF($E610="男",$Q610-3.2,$Q610-3.2),0),IF($B610="高二",MIN(IF($E610="男",$Q610-3.25,$Q610-3.22),0),IF($B610="高一",MIN(IF($E610="男",$Q610-3.3,$Q610-3.24),0))))),2)</f>
        <v>0</v>
      </c>
      <c r="T610" s="23">
        <f>IF(E610="男",LOOKUP($S610,[1]对照表!$AB$3:$AB$13,[1]对照表!$AC$3:$AC$13),LOOKUP($S610,[1]对照表!$AB$15:$AB$25,[1]对照表!$AC$15:$AC$25))</f>
        <v>0</v>
      </c>
      <c r="U610" s="26">
        <f>R610+T610</f>
        <v>90</v>
      </c>
      <c r="V610" s="26">
        <f>SUM(I610,K610,M610)/3*0.3+SUM(G610,R610)/2*0.4</f>
        <v>61.1</v>
      </c>
      <c r="W610" s="27">
        <f>O610+T610</f>
        <v>0</v>
      </c>
      <c r="X610" s="28">
        <f>V610/0.7+W610</f>
        <v>87.285714285714292</v>
      </c>
      <c r="Y610" s="28">
        <v>87.285714285714292</v>
      </c>
      <c r="Z610" s="21"/>
    </row>
    <row r="611" spans="1:26" x14ac:dyDescent="0.25">
      <c r="A611" s="16">
        <v>16</v>
      </c>
      <c r="B611" s="17" t="s">
        <v>21</v>
      </c>
      <c r="C611" s="16">
        <v>114</v>
      </c>
      <c r="D611" s="18" t="s">
        <v>381</v>
      </c>
      <c r="E611" s="16" t="s">
        <v>23</v>
      </c>
      <c r="F611" s="19">
        <v>8.1999999999999993</v>
      </c>
      <c r="G611" s="32">
        <f>IF(B611="高三",IF($E611="男",LOOKUP(F611,[1]对照表!$G$3:$G$24,[1]对照表!$H$3:$H$24),LOOKUP(F611,[1]对照表!$G$27:$G$48,[1]对照表!$H$27:$H$48)),IF(B611="高二",IF($E611="男",LOOKUP(F611,[1]对照表!$F$3:$F$24,[1]对照表!$H$3:$H$24),LOOKUP(F611,[1]对照表!$F$27:$F$48,[1]对照表!$H$27:$H$48)),IF(B611="高一",IF($E611="男",LOOKUP(F611,[1]对照表!$E$3:$E$24,[1]对照表!$H$3:$H$24),LOOKUP(F611,[1]对照表!$E$27:$E$48,[1]对照表!$H$27:$H$48)))))</f>
        <v>72</v>
      </c>
      <c r="H611" s="21">
        <v>12.5</v>
      </c>
      <c r="I611" s="32">
        <f>IF(B611="高三",IF($E611="男",LOOKUP(H611,[1]对照表!$K$3:$K$24,[1]对照表!$L$3:$L$24),LOOKUP(H611,[1]对照表!$K$27:$K$48,[1]对照表!$L$27:$L$48)),IF(B611="高二",IF($E611="男",LOOKUP(H611,[1]对照表!$J$3:$J$24,[1]对照表!$L$3:$L$24),LOOKUP(H611,[1]对照表!$J$27:$J$48,[1]对照表!$L$27:$L$48)),IF(B611="高一",IF($E611="男",LOOKUP(H611,[1]对照表!$I$3:$I$24,[1]对照表!$L$3:$L$24),LOOKUP(H611,[1]对照表!$I$27:$I$48,[1]对照表!$L$27:$L$48)))))</f>
        <v>76</v>
      </c>
      <c r="J611" s="21">
        <v>225</v>
      </c>
      <c r="K611" s="32">
        <f>IF(B611="高三",IF($E611="男",LOOKUP(J611,[1]对照表!$O$3:$O$24,[1]对照表!$P$3:$P$24),LOOKUP(J611,[1]对照表!$O$27:$O$48,[1]对照表!$P$27:$P$48)),IF(B611="高二",IF($E611="男",LOOKUP(J611,[1]对照表!$N$3:$N$24,[1]对照表!$P$3:$P$24),LOOKUP(J611,[1]对照表!$N$27:$N$48,[1]对照表!$P$27:$P$48)),IF(B611="高一",IF($E611="男",LOOKUP(J611,[1]对照表!$M$3:$M$24,[1]对照表!$P$3:$P$24),LOOKUP(J611,[1]对照表!$M$27:$M$48,[1]对照表!$P$27:$P$48)))))</f>
        <v>74</v>
      </c>
      <c r="L611" s="21">
        <v>15</v>
      </c>
      <c r="M611" s="32">
        <f>IF(B611="高三",IF($E611="男",LOOKUP(L611,[1]对照表!$S$3:$S$24,[1]对照表!$T$3:$T$24),LOOKUP(L611,[1]对照表!$S$27:$S$48,[1]对照表!$T$27:$T$48)),IF(B611="高二",IF($E611="男",LOOKUP(L611,[1]对照表!$R$3:$R$24,[1]对照表!$T$3:$T$24),LOOKUP(L611,[1]对照表!$R$27:$R$48,[1]对照表!$T$27:$T$48)),IF(B611="高一",IF($E611="男",LOOKUP(L611,[1]对照表!$Q$3:$Q$24,[1]对照表!$T$3:$T$24),LOOKUP(L611,[1]对照表!$Q$27:$Q$48,[1]对照表!$T$27:$T$48)))))</f>
        <v>95</v>
      </c>
      <c r="N611" s="33">
        <f>IF(B611="高三",MAX(IF(E611="男",L611-18,L611-55),0),IF(B611="高二",MAX(IF(E611="男",L611-17,L611-54),0),IF(B611="高一",MAX(IF(E611="男",L611-16,L611-53),0))))</f>
        <v>0</v>
      </c>
      <c r="O611" s="23">
        <f>IF(E611="男",LOOKUP($N611,[1]对照表!$Z$3:$Z$13,[1]对照表!$AA$3:$AA$13),LOOKUP($N611,[1]对照表!$Z$15:$Z$25,[1]对照表!$AA$15:$AA$25))</f>
        <v>0</v>
      </c>
      <c r="P611" s="24">
        <f>M611+O611</f>
        <v>95</v>
      </c>
      <c r="Q611" s="25">
        <v>3.55</v>
      </c>
      <c r="R611" s="32">
        <f>IF(B611="高三",IF($E611="男",LOOKUP(Q611,[1]对照表!$W$3:$W$24,[1]对照表!$X$3:$X$24),LOOKUP(Q611,[1]对照表!$W$27:$W$48,[1]对照表!$X$27:$X$48)),IF(B611="高二",IF($E611="男",LOOKUP(Q611,[1]对照表!$V$3:$V$24,[1]对照表!$X$3:$X$24),LOOKUP(Q611,[1]对照表!$V$27:$V$48,[1]对照表!$X$27:$X$48)),IF(B611="高一",IF($E611="男",LOOKUP(Q611,[1]对照表!$U$3:$U$24,[1]对照表!$X$3:$X$24),LOOKUP(Q611,[1]对照表!$U$27:$U$48,[1]对照表!$X$27:$X$48)))))</f>
        <v>80</v>
      </c>
      <c r="S611" s="33">
        <f>ROUND(IF(IF($B611="高三",MIN(IF($E611="男",$Q611-3.2,$Q611-3.2),0),IF($B611="高二",MIN(IF($E611="男",$Q611-3.25,$Q611-3.22),0),IF($B611="高一",MIN(IF($E611="男",$Q611-3.3,$Q611-3.24),0))))&lt;-0.6,IF($B611="高三",MIN(IF($E611="男",$Q611-3.2,$Q611-3.2),0),IF($B611="高二",MIN(IF($E611="男",$Q611-3.25,$Q611-3.22),0),IF($B611="高一",MIN(IF($E611="男",$Q611-3.3,$Q611-3.24),0))))+0.4,IF($B611="高三",MIN(IF($E611="男",$Q611-3.2,$Q611-3.2),0),IF($B611="高二",MIN(IF($E611="男",$Q611-3.25,$Q611-3.22),0),IF($B611="高一",MIN(IF($E611="男",$Q611-3.3,$Q611-3.24),0))))),2)</f>
        <v>0</v>
      </c>
      <c r="T611" s="23">
        <f>IF(E611="男",LOOKUP($S611,[1]对照表!$AB$3:$AB$13,[1]对照表!$AC$3:$AC$13),LOOKUP($S611,[1]对照表!$AB$15:$AB$25,[1]对照表!$AC$15:$AC$25))</f>
        <v>0</v>
      </c>
      <c r="U611" s="26">
        <f>R611+T611</f>
        <v>80</v>
      </c>
      <c r="V611" s="26">
        <f>SUM(I611,K611,M611)/3*0.3+SUM(G611,R611)/2*0.4</f>
        <v>54.900000000000006</v>
      </c>
      <c r="W611" s="27">
        <f>O611+T611</f>
        <v>0</v>
      </c>
      <c r="X611" s="28">
        <f>V611/0.7+W611</f>
        <v>78.428571428571445</v>
      </c>
      <c r="Y611" s="28">
        <v>78.428571428571445</v>
      </c>
      <c r="Z611" s="21"/>
    </row>
    <row r="612" spans="1:26" x14ac:dyDescent="0.25">
      <c r="A612" s="16">
        <v>30</v>
      </c>
      <c r="B612" s="17" t="s">
        <v>21</v>
      </c>
      <c r="C612" s="16">
        <v>114</v>
      </c>
      <c r="D612" s="18" t="s">
        <v>401</v>
      </c>
      <c r="E612" s="17" t="s">
        <v>65</v>
      </c>
      <c r="F612" s="19">
        <v>9.5</v>
      </c>
      <c r="G612" s="32">
        <f>IF(B612="高三",IF($E612="男",LOOKUP(F612,[1]对照表!$G$3:$G$24,[1]对照表!$H$3:$H$24),LOOKUP(F612,[1]对照表!$G$27:$G$48,[1]对照表!$H$27:$H$48)),IF(B612="高二",IF($E612="男",LOOKUP(F612,[1]对照表!$F$3:$F$24,[1]对照表!$H$3:$H$24),LOOKUP(F612,[1]对照表!$F$27:$F$48,[1]对照表!$H$27:$H$48)),IF(B612="高一",IF($E612="男",LOOKUP(F612,[1]对照表!$E$3:$E$24,[1]对照表!$H$3:$H$24),LOOKUP(F612,[1]对照表!$E$27:$E$48,[1]对照表!$H$27:$H$48)))))</f>
        <v>70</v>
      </c>
      <c r="H612" s="21">
        <v>18.8</v>
      </c>
      <c r="I612" s="32">
        <f>IF(B612="高三",IF($E612="男",LOOKUP(H612,[1]对照表!$K$3:$K$24,[1]对照表!$L$3:$L$24),LOOKUP(H612,[1]对照表!$K$27:$K$48,[1]对照表!$L$27:$L$48)),IF(B612="高二",IF($E612="男",LOOKUP(H612,[1]对照表!$J$3:$J$24,[1]对照表!$L$3:$L$24),LOOKUP(H612,[1]对照表!$J$27:$J$48,[1]对照表!$L$27:$L$48)),IF(B612="高一",IF($E612="男",LOOKUP(H612,[1]对照表!$I$3:$I$24,[1]对照表!$L$3:$L$24),LOOKUP(H612,[1]对照表!$I$27:$I$48,[1]对照表!$L$27:$L$48)))))</f>
        <v>80</v>
      </c>
      <c r="J612" s="21">
        <v>177</v>
      </c>
      <c r="K612" s="32">
        <f>IF(B612="高三",IF($E612="男",LOOKUP(J612,[1]对照表!$O$3:$O$24,[1]对照表!$P$3:$P$24),LOOKUP(J612,[1]对照表!$O$27:$O$48,[1]对照表!$P$27:$P$48)),IF(B612="高二",IF($E612="男",LOOKUP(J612,[1]对照表!$N$3:$N$24,[1]对照表!$P$3:$P$24),LOOKUP(J612,[1]对照表!$N$27:$N$48,[1]对照表!$P$27:$P$48)),IF(B612="高一",IF($E612="男",LOOKUP(J612,[1]对照表!$M$3:$M$24,[1]对照表!$P$3:$P$24),LOOKUP(J612,[1]对照表!$M$27:$M$48,[1]对照表!$P$27:$P$48)))))</f>
        <v>78</v>
      </c>
      <c r="L612" s="21">
        <v>50</v>
      </c>
      <c r="M612" s="32">
        <f>IF(B612="高三",IF($E612="男",LOOKUP(L612,[1]对照表!$S$3:$S$24,[1]对照表!$T$3:$T$24),LOOKUP(L612,[1]对照表!$S$27:$S$48,[1]对照表!$T$27:$T$48)),IF(B612="高二",IF($E612="男",LOOKUP(L612,[1]对照表!$R$3:$R$24,[1]对照表!$T$3:$T$24),LOOKUP(L612,[1]对照表!$R$27:$R$48,[1]对照表!$T$27:$T$48)),IF(B612="高一",IF($E612="男",LOOKUP(L612,[1]对照表!$Q$3:$Q$24,[1]对照表!$T$3:$T$24),LOOKUP(L612,[1]对照表!$Q$27:$Q$48,[1]对照表!$T$27:$T$48)))))</f>
        <v>90</v>
      </c>
      <c r="N612" s="33">
        <f>IF(B612="高三",MAX(IF(E612="男",L612-18,L612-55),0),IF(B612="高二",MAX(IF(E612="男",L612-17,L612-54),0),IF(B612="高一",MAX(IF(E612="男",L612-16,L612-53),0))))</f>
        <v>0</v>
      </c>
      <c r="O612" s="23">
        <f>IF(E612="男",LOOKUP($N612,[1]对照表!$Z$3:$Z$13,[1]对照表!$AA$3:$AA$13),LOOKUP($N612,[1]对照表!$Z$15:$Z$25,[1]对照表!$AA$15:$AA$25))</f>
        <v>0</v>
      </c>
      <c r="P612" s="24">
        <f>M612+O612</f>
        <v>90</v>
      </c>
      <c r="Q612" s="25">
        <v>3.37</v>
      </c>
      <c r="R612" s="32">
        <f>IF(B612="高三",IF($E612="男",LOOKUP(Q612,[1]对照表!$W$3:$W$24,[1]对照表!$X$3:$X$24),LOOKUP(Q612,[1]对照表!$W$27:$W$48,[1]对照表!$X$27:$X$48)),IF(B612="高二",IF($E612="男",LOOKUP(Q612,[1]对照表!$V$3:$V$24,[1]对照表!$X$3:$X$24),LOOKUP(Q612,[1]对照表!$V$27:$V$48,[1]对照表!$X$27:$X$48)),IF(B612="高一",IF($E612="男",LOOKUP(Q612,[1]对照表!$U$3:$U$24,[1]对照表!$X$3:$X$24),LOOKUP(Q612,[1]对照表!$U$27:$U$48,[1]对照表!$X$27:$X$48)))))</f>
        <v>85</v>
      </c>
      <c r="S612" s="33">
        <f>ROUND(IF(IF($B612="高三",MIN(IF($E612="男",$Q612-3.2,$Q612-3.2),0),IF($B612="高二",MIN(IF($E612="男",$Q612-3.25,$Q612-3.22),0),IF($B612="高一",MIN(IF($E612="男",$Q612-3.3,$Q612-3.24),0))))&lt;-0.6,IF($B612="高三",MIN(IF($E612="男",$Q612-3.2,$Q612-3.2),0),IF($B612="高二",MIN(IF($E612="男",$Q612-3.25,$Q612-3.22),0),IF($B612="高一",MIN(IF($E612="男",$Q612-3.3,$Q612-3.24),0))))+0.4,IF($B612="高三",MIN(IF($E612="男",$Q612-3.2,$Q612-3.2),0),IF($B612="高二",MIN(IF($E612="男",$Q612-3.25,$Q612-3.22),0),IF($B612="高一",MIN(IF($E612="男",$Q612-3.3,$Q612-3.24),0))))),2)</f>
        <v>0</v>
      </c>
      <c r="T612" s="23">
        <f>IF(E612="男",LOOKUP($S612,[1]对照表!$AB$3:$AB$13,[1]对照表!$AC$3:$AC$13),LOOKUP($S612,[1]对照表!$AB$15:$AB$25,[1]对照表!$AC$15:$AC$25))</f>
        <v>0</v>
      </c>
      <c r="U612" s="26">
        <f>R612+T612</f>
        <v>85</v>
      </c>
      <c r="V612" s="26">
        <f>SUM(I612,K612,M612)/3*0.3+SUM(G612,R612)/2*0.4</f>
        <v>55.8</v>
      </c>
      <c r="W612" s="27">
        <f>O612+T612</f>
        <v>0</v>
      </c>
      <c r="X612" s="28">
        <f>V612/0.7+W612</f>
        <v>79.714285714285708</v>
      </c>
      <c r="Y612" s="28">
        <v>79.714285714285708</v>
      </c>
      <c r="Z612" s="21"/>
    </row>
    <row r="613" spans="1:26" x14ac:dyDescent="0.25">
      <c r="A613" s="16">
        <v>15</v>
      </c>
      <c r="B613" s="17" t="s">
        <v>21</v>
      </c>
      <c r="C613" s="16">
        <v>114</v>
      </c>
      <c r="D613" s="18" t="s">
        <v>423</v>
      </c>
      <c r="E613" s="16" t="s">
        <v>23</v>
      </c>
      <c r="F613" s="19">
        <v>8</v>
      </c>
      <c r="G613" s="32">
        <f>IF(B613="高三",IF($E613="男",LOOKUP(F613,[1]对照表!$G$3:$G$24,[1]对照表!$H$3:$H$24),LOOKUP(F613,[1]对照表!$G$27:$G$48,[1]对照表!$H$27:$H$48)),IF(B613="高二",IF($E613="男",LOOKUP(F613,[1]对照表!$F$3:$F$24,[1]对照表!$H$3:$H$24),LOOKUP(F613,[1]对照表!$F$27:$F$48,[1]对照表!$H$27:$H$48)),IF(B613="高一",IF($E613="男",LOOKUP(F613,[1]对照表!$E$3:$E$24,[1]对照表!$H$3:$H$24),LOOKUP(F613,[1]对照表!$E$27:$E$48,[1]对照表!$H$27:$H$48)))))</f>
        <v>74</v>
      </c>
      <c r="H613" s="21">
        <v>13</v>
      </c>
      <c r="I613" s="32">
        <f>IF(B613="高三",IF($E613="男",LOOKUP(H613,[1]对照表!$K$3:$K$24,[1]对照表!$L$3:$L$24),LOOKUP(H613,[1]对照表!$K$27:$K$48,[1]对照表!$L$27:$L$48)),IF(B613="高二",IF($E613="男",LOOKUP(H613,[1]对照表!$J$3:$J$24,[1]对照表!$L$3:$L$24),LOOKUP(H613,[1]对照表!$J$27:$J$48,[1]对照表!$L$27:$L$48)),IF(B613="高一",IF($E613="男",LOOKUP(H613,[1]对照表!$I$3:$I$24,[1]对照表!$L$3:$L$24),LOOKUP(H613,[1]对照表!$I$27:$I$48,[1]对照表!$L$27:$L$48)))))</f>
        <v>76</v>
      </c>
      <c r="J613" s="21">
        <v>242</v>
      </c>
      <c r="K613" s="32">
        <f>IF(B613="高三",IF($E613="男",LOOKUP(J613,[1]对照表!$O$3:$O$24,[1]对照表!$P$3:$P$24),LOOKUP(J613,[1]对照表!$O$27:$O$48,[1]对照表!$P$27:$P$48)),IF(B613="高二",IF($E613="男",LOOKUP(J613,[1]对照表!$N$3:$N$24,[1]对照表!$P$3:$P$24),LOOKUP(J613,[1]对照表!$N$27:$N$48,[1]对照表!$P$27:$P$48)),IF(B613="高一",IF($E613="男",LOOKUP(J613,[1]对照表!$M$3:$M$24,[1]对照表!$P$3:$P$24),LOOKUP(J613,[1]对照表!$M$27:$M$48,[1]对照表!$P$27:$P$48)))))</f>
        <v>80</v>
      </c>
      <c r="L613" s="21">
        <v>12</v>
      </c>
      <c r="M613" s="32">
        <f>IF(B613="高三",IF($E613="男",LOOKUP(L613,[1]对照表!$S$3:$S$24,[1]对照表!$T$3:$T$24),LOOKUP(L613,[1]对照表!$S$27:$S$48,[1]对照表!$T$27:$T$48)),IF(B613="高二",IF($E613="男",LOOKUP(L613,[1]对照表!$R$3:$R$24,[1]对照表!$T$3:$T$24),LOOKUP(L613,[1]对照表!$R$27:$R$48,[1]对照表!$T$27:$T$48)),IF(B613="高一",IF($E613="男",LOOKUP(L613,[1]对照表!$Q$3:$Q$24,[1]对照表!$T$3:$T$24),LOOKUP(L613,[1]对照表!$Q$27:$Q$48,[1]对照表!$T$27:$T$48)))))</f>
        <v>80</v>
      </c>
      <c r="N613" s="33">
        <f>IF(B613="高三",MAX(IF(E613="男",L613-18,L613-55),0),IF(B613="高二",MAX(IF(E613="男",L613-17,L613-54),0),IF(B613="高一",MAX(IF(E613="男",L613-16,L613-53),0))))</f>
        <v>0</v>
      </c>
      <c r="O613" s="23">
        <f>IF(E613="男",LOOKUP($N613,[1]对照表!$Z$3:$Z$13,[1]对照表!$AA$3:$AA$13),LOOKUP($N613,[1]对照表!$Z$15:$Z$25,[1]对照表!$AA$15:$AA$25))</f>
        <v>0</v>
      </c>
      <c r="P613" s="24">
        <f>M613+O613</f>
        <v>80</v>
      </c>
      <c r="Q613" s="25">
        <v>4.0599999999999996</v>
      </c>
      <c r="R613" s="32">
        <f>IF(B613="高三",IF($E613="男",LOOKUP(Q613,[1]对照表!$W$3:$W$24,[1]对照表!$X$3:$X$24),LOOKUP(Q613,[1]对照表!$W$27:$W$48,[1]对照表!$X$27:$X$48)),IF(B613="高二",IF($E613="男",LOOKUP(Q613,[1]对照表!$V$3:$V$24,[1]对照表!$X$3:$X$24),LOOKUP(Q613,[1]对照表!$V$27:$V$48,[1]对照表!$X$27:$X$48)),IF(B613="高一",IF($E613="男",LOOKUP(Q613,[1]对照表!$U$3:$U$24,[1]对照表!$X$3:$X$24),LOOKUP(Q613,[1]对照表!$U$27:$U$48,[1]对照表!$X$27:$X$48)))))</f>
        <v>74</v>
      </c>
      <c r="S613" s="33">
        <f>ROUND(IF(IF($B613="高三",MIN(IF($E613="男",$Q613-3.2,$Q613-3.2),0),IF($B613="高二",MIN(IF($E613="男",$Q613-3.25,$Q613-3.22),0),IF($B613="高一",MIN(IF($E613="男",$Q613-3.3,$Q613-3.24),0))))&lt;-0.6,IF($B613="高三",MIN(IF($E613="男",$Q613-3.2,$Q613-3.2),0),IF($B613="高二",MIN(IF($E613="男",$Q613-3.25,$Q613-3.22),0),IF($B613="高一",MIN(IF($E613="男",$Q613-3.3,$Q613-3.24),0))))+0.4,IF($B613="高三",MIN(IF($E613="男",$Q613-3.2,$Q613-3.2),0),IF($B613="高二",MIN(IF($E613="男",$Q613-3.25,$Q613-3.22),0),IF($B613="高一",MIN(IF($E613="男",$Q613-3.3,$Q613-3.24),0))))),2)</f>
        <v>0</v>
      </c>
      <c r="T613" s="23">
        <f>IF(E613="男",LOOKUP($S613,[1]对照表!$AB$3:$AB$13,[1]对照表!$AC$3:$AC$13),LOOKUP($S613,[1]对照表!$AB$15:$AB$25,[1]对照表!$AC$15:$AC$25))</f>
        <v>0</v>
      </c>
      <c r="U613" s="26">
        <f>R613+T613</f>
        <v>74</v>
      </c>
      <c r="V613" s="26">
        <f>SUM(I613,K613,M613)/3*0.3+SUM(G613,R613)/2*0.4</f>
        <v>53.2</v>
      </c>
      <c r="W613" s="27">
        <f>O613+T613</f>
        <v>0</v>
      </c>
      <c r="X613" s="28">
        <f>V613/0.7+W613</f>
        <v>76.000000000000014</v>
      </c>
      <c r="Y613" s="28">
        <v>76.000000000000014</v>
      </c>
      <c r="Z613" s="25"/>
    </row>
    <row r="614" spans="1:26" x14ac:dyDescent="0.25">
      <c r="A614" s="16">
        <v>19</v>
      </c>
      <c r="B614" s="17" t="s">
        <v>21</v>
      </c>
      <c r="C614" s="16">
        <v>114</v>
      </c>
      <c r="D614" s="18" t="s">
        <v>433</v>
      </c>
      <c r="E614" s="16" t="s">
        <v>23</v>
      </c>
      <c r="F614" s="19">
        <v>7.3</v>
      </c>
      <c r="G614" s="32">
        <f>IF(B614="高三",IF($E614="男",LOOKUP(F614,[1]对照表!$G$3:$G$24,[1]对照表!$H$3:$H$24),LOOKUP(F614,[1]对照表!$G$27:$G$48,[1]对照表!$H$27:$H$48)),IF(B614="高二",IF($E614="男",LOOKUP(F614,[1]对照表!$F$3:$F$24,[1]对照表!$H$3:$H$24),LOOKUP(F614,[1]对照表!$F$27:$F$48,[1]对照表!$H$27:$H$48)),IF(B614="高一",IF($E614="男",LOOKUP(F614,[1]对照表!$E$3:$E$24,[1]对照表!$H$3:$H$24),LOOKUP(F614,[1]对照表!$E$27:$E$48,[1]对照表!$H$27:$H$48)))))</f>
        <v>90</v>
      </c>
      <c r="H614" s="21">
        <v>0.5</v>
      </c>
      <c r="I614" s="32">
        <f>IF(B614="高三",IF($E614="男",LOOKUP(H614,[1]对照表!$K$3:$K$24,[1]对照表!$L$3:$L$24),LOOKUP(H614,[1]对照表!$K$27:$K$48,[1]对照表!$L$27:$L$48)),IF(B614="高二",IF($E614="男",LOOKUP(H614,[1]对照表!$J$3:$J$24,[1]对照表!$L$3:$L$24),LOOKUP(H614,[1]对照表!$J$27:$J$48,[1]对照表!$L$27:$L$48)),IF(B614="高一",IF($E614="男",LOOKUP(H614,[1]对照表!$I$3:$I$24,[1]对照表!$L$3:$L$24),LOOKUP(H614,[1]对照表!$I$27:$I$48,[1]对照表!$L$27:$L$48)))))</f>
        <v>50</v>
      </c>
      <c r="J614" s="21">
        <v>226</v>
      </c>
      <c r="K614" s="32">
        <f>IF(B614="高三",IF($E614="男",LOOKUP(J614,[1]对照表!$O$3:$O$24,[1]对照表!$P$3:$P$24),LOOKUP(J614,[1]对照表!$O$27:$O$48,[1]对照表!$P$27:$P$48)),IF(B614="高二",IF($E614="男",LOOKUP(J614,[1]对照表!$N$3:$N$24,[1]对照表!$P$3:$P$24),LOOKUP(J614,[1]对照表!$N$27:$N$48,[1]对照表!$P$27:$P$48)),IF(B614="高一",IF($E614="男",LOOKUP(J614,[1]对照表!$M$3:$M$24,[1]对照表!$P$3:$P$24),LOOKUP(J614,[1]对照表!$M$27:$M$48,[1]对照表!$P$27:$P$48)))))</f>
        <v>74</v>
      </c>
      <c r="L614" s="21">
        <v>6</v>
      </c>
      <c r="M614" s="32">
        <f>IF(B614="高三",IF($E614="男",LOOKUP(L614,[1]对照表!$S$3:$S$24,[1]对照表!$T$3:$T$24),LOOKUP(L614,[1]对照表!$S$27:$S$48,[1]对照表!$T$27:$T$48)),IF(B614="高二",IF($E614="男",LOOKUP(L614,[1]对照表!$R$3:$R$24,[1]对照表!$T$3:$T$24),LOOKUP(L614,[1]对照表!$R$27:$R$48,[1]对照表!$T$27:$T$48)),IF(B614="高一",IF($E614="男",LOOKUP(L614,[1]对照表!$Q$3:$Q$24,[1]对照表!$T$3:$T$24),LOOKUP(L614,[1]对照表!$Q$27:$Q$48,[1]对照表!$T$27:$T$48)))))</f>
        <v>50</v>
      </c>
      <c r="N614" s="33">
        <f>IF(B614="高三",MAX(IF(E614="男",L614-18,L614-55),0),IF(B614="高二",MAX(IF(E614="男",L614-17,L614-54),0),IF(B614="高一",MAX(IF(E614="男",L614-16,L614-53),0))))</f>
        <v>0</v>
      </c>
      <c r="O614" s="23">
        <f>IF(E614="男",LOOKUP($N614,[1]对照表!$Z$3:$Z$13,[1]对照表!$AA$3:$AA$13),LOOKUP($N614,[1]对照表!$Z$15:$Z$25,[1]对照表!$AA$15:$AA$25))</f>
        <v>0</v>
      </c>
      <c r="P614" s="24">
        <f>M614+O614</f>
        <v>50</v>
      </c>
      <c r="Q614" s="25">
        <v>3.42</v>
      </c>
      <c r="R614" s="32">
        <f>IF(B614="高三",IF($E614="男",LOOKUP(Q614,[1]对照表!$W$3:$W$24,[1]对照表!$X$3:$X$24),LOOKUP(Q614,[1]对照表!$W$27:$W$48,[1]对照表!$X$27:$X$48)),IF(B614="高二",IF($E614="男",LOOKUP(Q614,[1]对照表!$V$3:$V$24,[1]对照表!$X$3:$X$24),LOOKUP(Q614,[1]对照表!$V$27:$V$48,[1]对照表!$X$27:$X$48)),IF(B614="高一",IF($E614="男",LOOKUP(Q614,[1]对照表!$U$3:$U$24,[1]对照表!$X$3:$X$24),LOOKUP(Q614,[1]对照表!$U$27:$U$48,[1]对照表!$X$27:$X$48)))))</f>
        <v>85</v>
      </c>
      <c r="S614" s="33">
        <f>ROUND(IF(IF($B614="高三",MIN(IF($E614="男",$Q614-3.2,$Q614-3.2),0),IF($B614="高二",MIN(IF($E614="男",$Q614-3.25,$Q614-3.22),0),IF($B614="高一",MIN(IF($E614="男",$Q614-3.3,$Q614-3.24),0))))&lt;-0.6,IF($B614="高三",MIN(IF($E614="男",$Q614-3.2,$Q614-3.2),0),IF($B614="高二",MIN(IF($E614="男",$Q614-3.25,$Q614-3.22),0),IF($B614="高一",MIN(IF($E614="男",$Q614-3.3,$Q614-3.24),0))))+0.4,IF($B614="高三",MIN(IF($E614="男",$Q614-3.2,$Q614-3.2),0),IF($B614="高二",MIN(IF($E614="男",$Q614-3.25,$Q614-3.22),0),IF($B614="高一",MIN(IF($E614="男",$Q614-3.3,$Q614-3.24),0))))),2)</f>
        <v>0</v>
      </c>
      <c r="T614" s="23">
        <f>IF(E614="男",LOOKUP($S614,[1]对照表!$AB$3:$AB$13,[1]对照表!$AC$3:$AC$13),LOOKUP($S614,[1]对照表!$AB$15:$AB$25,[1]对照表!$AC$15:$AC$25))</f>
        <v>0</v>
      </c>
      <c r="U614" s="26">
        <f>R614+T614</f>
        <v>85</v>
      </c>
      <c r="V614" s="26">
        <f>SUM(I614,K614,M614)/3*0.3+SUM(G614,R614)/2*0.4</f>
        <v>52.4</v>
      </c>
      <c r="W614" s="27">
        <f>O614+T614</f>
        <v>0</v>
      </c>
      <c r="X614" s="28">
        <f>V614/0.7+W614</f>
        <v>74.857142857142861</v>
      </c>
      <c r="Y614" s="28">
        <v>74.857142857142861</v>
      </c>
      <c r="Z614" s="21"/>
    </row>
    <row r="615" spans="1:26" x14ac:dyDescent="0.25">
      <c r="A615" s="16">
        <v>2</v>
      </c>
      <c r="B615" s="17" t="s">
        <v>21</v>
      </c>
      <c r="C615" s="16">
        <v>114</v>
      </c>
      <c r="D615" s="18" t="s">
        <v>436</v>
      </c>
      <c r="E615" s="17" t="s">
        <v>23</v>
      </c>
      <c r="F615" s="19">
        <v>7.7</v>
      </c>
      <c r="G615" s="32">
        <f>IF(B615="高三",IF($E615="男",LOOKUP(F615,[1]对照表!$G$3:$G$24,[1]对照表!$H$3:$H$24),LOOKUP(F615,[1]对照表!$G$27:$G$48,[1]对照表!$H$27:$H$48)),IF(B615="高二",IF($E615="男",LOOKUP(F615,[1]对照表!$F$3:$F$24,[1]对照表!$H$3:$H$24),LOOKUP(F615,[1]对照表!$F$27:$F$48,[1]对照表!$H$27:$H$48)),IF(B615="高一",IF($E615="男",LOOKUP(F615,[1]对照表!$E$3:$E$24,[1]对照表!$H$3:$H$24),LOOKUP(F615,[1]对照表!$E$27:$E$48,[1]对照表!$H$27:$H$48)))))</f>
        <v>78</v>
      </c>
      <c r="H615" s="21">
        <v>11.2</v>
      </c>
      <c r="I615" s="32">
        <f>IF(B615="高三",IF($E615="男",LOOKUP(H615,[1]对照表!$K$3:$K$24,[1]对照表!$L$3:$L$24),LOOKUP(H615,[1]对照表!$K$27:$K$48,[1]对照表!$L$27:$L$48)),IF(B615="高二",IF($E615="男",LOOKUP(H615,[1]对照表!$J$3:$J$24,[1]对照表!$L$3:$L$24),LOOKUP(H615,[1]对照表!$J$27:$J$48,[1]对照表!$L$27:$L$48)),IF(B615="高一",IF($E615="男",LOOKUP(H615,[1]对照表!$I$3:$I$24,[1]对照表!$L$3:$L$24),LOOKUP(H615,[1]对照表!$I$27:$I$48,[1]对照表!$L$27:$L$48)))))</f>
        <v>74</v>
      </c>
      <c r="J615" s="21">
        <v>267</v>
      </c>
      <c r="K615" s="32">
        <f>IF(B615="高三",IF($E615="男",LOOKUP(J615,[1]对照表!$O$3:$O$24,[1]对照表!$P$3:$P$24),LOOKUP(J615,[1]对照表!$O$27:$O$48,[1]对照表!$P$27:$P$48)),IF(B615="高二",IF($E615="男",LOOKUP(J615,[1]对照表!$N$3:$N$24,[1]对照表!$P$3:$P$24),LOOKUP(J615,[1]对照表!$N$27:$N$48,[1]对照表!$P$27:$P$48)),IF(B615="高一",IF($E615="男",LOOKUP(J615,[1]对照表!$M$3:$M$24,[1]对照表!$P$3:$P$24),LOOKUP(J615,[1]对照表!$M$27:$M$48,[1]对照表!$P$27:$P$48)))))</f>
        <v>100</v>
      </c>
      <c r="L615" s="21">
        <v>4</v>
      </c>
      <c r="M615" s="32">
        <f>IF(B615="高三",IF($E615="男",LOOKUP(L615,[1]对照表!$S$3:$S$24,[1]对照表!$T$3:$T$24),LOOKUP(L615,[1]对照表!$S$27:$S$48,[1]对照表!$T$27:$T$48)),IF(B615="高二",IF($E615="男",LOOKUP(L615,[1]对照表!$R$3:$R$24,[1]对照表!$T$3:$T$24),LOOKUP(L615,[1]对照表!$R$27:$R$48,[1]对照表!$T$27:$T$48)),IF(B615="高一",IF($E615="男",LOOKUP(L615,[1]对照表!$Q$3:$Q$24,[1]对照表!$T$3:$T$24),LOOKUP(L615,[1]对照表!$Q$27:$Q$48,[1]对照表!$T$27:$T$48)))))</f>
        <v>30</v>
      </c>
      <c r="N615" s="33">
        <f>IF(B615="高三",MAX(IF(E615="男",L615-18,L615-55),0),IF(B615="高二",MAX(IF(E615="男",L615-17,L615-54),0),IF(B615="高一",MAX(IF(E615="男",L615-16,L615-53),0))))</f>
        <v>0</v>
      </c>
      <c r="O615" s="23">
        <f>IF(E615="男",LOOKUP($N615,[1]对照表!$Z$3:$Z$13,[1]对照表!$AA$3:$AA$13),LOOKUP($N615,[1]对照表!$Z$15:$Z$25,[1]对照表!$AA$15:$AA$25))</f>
        <v>0</v>
      </c>
      <c r="P615" s="24">
        <f>M615+O615</f>
        <v>30</v>
      </c>
      <c r="Q615" s="25">
        <v>3.53</v>
      </c>
      <c r="R615" s="32">
        <f>IF(B615="高三",IF($E615="男",LOOKUP(Q615,[1]对照表!$W$3:$W$24,[1]对照表!$X$3:$X$24),LOOKUP(Q615,[1]对照表!$W$27:$W$48,[1]对照表!$X$27:$X$48)),IF(B615="高二",IF($E615="男",LOOKUP(Q615,[1]对照表!$V$3:$V$24,[1]对照表!$X$3:$X$24),LOOKUP(Q615,[1]对照表!$V$27:$V$48,[1]对照表!$X$27:$X$48)),IF(B615="高一",IF($E615="男",LOOKUP(Q615,[1]对照表!$U$3:$U$24,[1]对照表!$X$3:$X$24),LOOKUP(Q615,[1]对照表!$U$27:$U$48,[1]对照表!$X$27:$X$48)))))</f>
        <v>80</v>
      </c>
      <c r="S615" s="33">
        <f>ROUND(IF(IF($B615="高三",MIN(IF($E615="男",$Q615-3.2,$Q615-3.2),0),IF($B615="高二",MIN(IF($E615="男",$Q615-3.25,$Q615-3.22),0),IF($B615="高一",MIN(IF($E615="男",$Q615-3.3,$Q615-3.24),0))))&lt;-0.6,IF($B615="高三",MIN(IF($E615="男",$Q615-3.2,$Q615-3.2),0),IF($B615="高二",MIN(IF($E615="男",$Q615-3.25,$Q615-3.22),0),IF($B615="高一",MIN(IF($E615="男",$Q615-3.3,$Q615-3.24),0))))+0.4,IF($B615="高三",MIN(IF($E615="男",$Q615-3.2,$Q615-3.2),0),IF($B615="高二",MIN(IF($E615="男",$Q615-3.25,$Q615-3.22),0),IF($B615="高一",MIN(IF($E615="男",$Q615-3.3,$Q615-3.24),0))))),2)</f>
        <v>0</v>
      </c>
      <c r="T615" s="23">
        <f>IF(E615="男",LOOKUP($S615,[1]对照表!$AB$3:$AB$13,[1]对照表!$AC$3:$AC$13),LOOKUP($S615,[1]对照表!$AB$15:$AB$25,[1]对照表!$AC$15:$AC$25))</f>
        <v>0</v>
      </c>
      <c r="U615" s="26">
        <f>R615+T615</f>
        <v>80</v>
      </c>
      <c r="V615" s="26">
        <f>SUM(I615,K615,M615)/3*0.3+SUM(G615,R615)/2*0.4</f>
        <v>52</v>
      </c>
      <c r="W615" s="27">
        <f>O615+T615</f>
        <v>0</v>
      </c>
      <c r="X615" s="28">
        <f>V615/0.7+W615</f>
        <v>74.285714285714292</v>
      </c>
      <c r="Y615" s="28">
        <v>74.285714285714292</v>
      </c>
      <c r="Z615" s="21"/>
    </row>
    <row r="616" spans="1:26" x14ac:dyDescent="0.25">
      <c r="A616" s="16">
        <v>20</v>
      </c>
      <c r="B616" s="17" t="s">
        <v>21</v>
      </c>
      <c r="C616" s="16">
        <v>114</v>
      </c>
      <c r="D616" s="18" t="s">
        <v>467</v>
      </c>
      <c r="E616" s="16" t="s">
        <v>23</v>
      </c>
      <c r="F616" s="19">
        <v>8.1</v>
      </c>
      <c r="G616" s="32">
        <f>IF(B616="高三",IF($E616="男",LOOKUP(F616,[1]对照表!$G$3:$G$24,[1]对照表!$H$3:$H$24),LOOKUP(F616,[1]对照表!$G$27:$G$48,[1]对照表!$H$27:$H$48)),IF(B616="高二",IF($E616="男",LOOKUP(F616,[1]对照表!$F$3:$F$24,[1]对照表!$H$3:$H$24),LOOKUP(F616,[1]对照表!$F$27:$F$48,[1]对照表!$H$27:$H$48)),IF(B616="高一",IF($E616="男",LOOKUP(F616,[1]对照表!$E$3:$E$24,[1]对照表!$H$3:$H$24),LOOKUP(F616,[1]对照表!$E$27:$E$48,[1]对照表!$H$27:$H$48)))))</f>
        <v>74</v>
      </c>
      <c r="H616" s="21">
        <v>18.3</v>
      </c>
      <c r="I616" s="32">
        <f>IF(B616="高三",IF($E616="男",LOOKUP(H616,[1]对照表!$K$3:$K$24,[1]对照表!$L$3:$L$24),LOOKUP(H616,[1]对照表!$K$27:$K$48,[1]对照表!$L$27:$L$48)),IF(B616="高二",IF($E616="男",LOOKUP(H616,[1]对照表!$J$3:$J$24,[1]对照表!$L$3:$L$24),LOOKUP(H616,[1]对照表!$J$27:$J$48,[1]对照表!$L$27:$L$48)),IF(B616="高一",IF($E616="男",LOOKUP(H616,[1]对照表!$I$3:$I$24,[1]对照表!$L$3:$L$24),LOOKUP(H616,[1]对照表!$I$27:$I$48,[1]对照表!$L$27:$L$48)))))</f>
        <v>85</v>
      </c>
      <c r="J616" s="21">
        <v>200</v>
      </c>
      <c r="K616" s="32">
        <f>IF(B616="高三",IF($E616="男",LOOKUP(J616,[1]对照表!$O$3:$O$24,[1]对照表!$P$3:$P$24),LOOKUP(J616,[1]对照表!$O$27:$O$48,[1]对照表!$P$27:$P$48)),IF(B616="高二",IF($E616="男",LOOKUP(J616,[1]对照表!$N$3:$N$24,[1]对照表!$P$3:$P$24),LOOKUP(J616,[1]对照表!$N$27:$N$48,[1]对照表!$P$27:$P$48)),IF(B616="高一",IF($E616="男",LOOKUP(J616,[1]对照表!$M$3:$M$24,[1]对照表!$P$3:$P$24),LOOKUP(J616,[1]对照表!$M$27:$M$48,[1]对照表!$P$27:$P$48)))))</f>
        <v>62</v>
      </c>
      <c r="L616" s="21">
        <v>7</v>
      </c>
      <c r="M616" s="32">
        <f>IF(B616="高三",IF($E616="男",LOOKUP(L616,[1]对照表!$S$3:$S$24,[1]对照表!$T$3:$T$24),LOOKUP(L616,[1]对照表!$S$27:$S$48,[1]对照表!$T$27:$T$48)),IF(B616="高二",IF($E616="男",LOOKUP(L616,[1]对照表!$R$3:$R$24,[1]对照表!$T$3:$T$24),LOOKUP(L616,[1]对照表!$R$27:$R$48,[1]对照表!$T$27:$T$48)),IF(B616="高一",IF($E616="男",LOOKUP(L616,[1]对照表!$Q$3:$Q$24,[1]对照表!$T$3:$T$24),LOOKUP(L616,[1]对照表!$Q$27:$Q$48,[1]对照表!$T$27:$T$48)))))</f>
        <v>60</v>
      </c>
      <c r="N616" s="33">
        <f>IF(B616="高三",MAX(IF(E616="男",L616-18,L616-55),0),IF(B616="高二",MAX(IF(E616="男",L616-17,L616-54),0),IF(B616="高一",MAX(IF(E616="男",L616-16,L616-53),0))))</f>
        <v>0</v>
      </c>
      <c r="O616" s="23">
        <f>IF(E616="男",LOOKUP($N616,[1]对照表!$Z$3:$Z$13,[1]对照表!$AA$3:$AA$13),LOOKUP($N616,[1]对照表!$Z$15:$Z$25,[1]对照表!$AA$15:$AA$25))</f>
        <v>0</v>
      </c>
      <c r="P616" s="24">
        <f>M616+O616</f>
        <v>60</v>
      </c>
      <c r="Q616" s="25">
        <v>3.57</v>
      </c>
      <c r="R616" s="32">
        <f>IF(B616="高三",IF($E616="男",LOOKUP(Q616,[1]对照表!$W$3:$W$24,[1]对照表!$X$3:$X$24),LOOKUP(Q616,[1]对照表!$W$27:$W$48,[1]对照表!$X$27:$X$48)),IF(B616="高二",IF($E616="男",LOOKUP(Q616,[1]对照表!$V$3:$V$24,[1]对照表!$X$3:$X$24),LOOKUP(Q616,[1]对照表!$V$27:$V$48,[1]对照表!$X$27:$X$48)),IF(B616="高一",IF($E616="男",LOOKUP(Q616,[1]对照表!$U$3:$U$24,[1]对照表!$X$3:$X$24),LOOKUP(Q616,[1]对照表!$U$27:$U$48,[1]对照表!$X$27:$X$48)))))</f>
        <v>78</v>
      </c>
      <c r="S616" s="33">
        <f>ROUND(IF(IF($B616="高三",MIN(IF($E616="男",$Q616-3.2,$Q616-3.2),0),IF($B616="高二",MIN(IF($E616="男",$Q616-3.25,$Q616-3.22),0),IF($B616="高一",MIN(IF($E616="男",$Q616-3.3,$Q616-3.24),0))))&lt;-0.6,IF($B616="高三",MIN(IF($E616="男",$Q616-3.2,$Q616-3.2),0),IF($B616="高二",MIN(IF($E616="男",$Q616-3.25,$Q616-3.22),0),IF($B616="高一",MIN(IF($E616="男",$Q616-3.3,$Q616-3.24),0))))+0.4,IF($B616="高三",MIN(IF($E616="男",$Q616-3.2,$Q616-3.2),0),IF($B616="高二",MIN(IF($E616="男",$Q616-3.25,$Q616-3.22),0),IF($B616="高一",MIN(IF($E616="男",$Q616-3.3,$Q616-3.24),0))))),2)</f>
        <v>0</v>
      </c>
      <c r="T616" s="23">
        <f>IF(E616="男",LOOKUP($S616,[1]对照表!$AB$3:$AB$13,[1]对照表!$AC$3:$AC$13),LOOKUP($S616,[1]对照表!$AB$15:$AB$25,[1]对照表!$AC$15:$AC$25))</f>
        <v>0</v>
      </c>
      <c r="U616" s="26">
        <f>R616+T616</f>
        <v>78</v>
      </c>
      <c r="V616" s="26">
        <f>SUM(I616,K616,M616)/3*0.3+SUM(G616,R616)/2*0.4</f>
        <v>51.1</v>
      </c>
      <c r="W616" s="27">
        <f>O616+T616</f>
        <v>0</v>
      </c>
      <c r="X616" s="28">
        <f>V616/0.7+W616</f>
        <v>73</v>
      </c>
      <c r="Y616" s="28">
        <v>73</v>
      </c>
      <c r="Z616" s="21"/>
    </row>
    <row r="617" spans="1:26" x14ac:dyDescent="0.25">
      <c r="A617" s="16">
        <v>10</v>
      </c>
      <c r="B617" s="17" t="s">
        <v>21</v>
      </c>
      <c r="C617" s="16">
        <v>114</v>
      </c>
      <c r="D617" s="18" t="s">
        <v>483</v>
      </c>
      <c r="E617" s="17" t="s">
        <v>23</v>
      </c>
      <c r="F617" s="19">
        <v>8.1999999999999993</v>
      </c>
      <c r="G617" s="32">
        <f>IF(B617="高三",IF($E617="男",LOOKUP(F617,[1]对照表!$G$3:$G$24,[1]对照表!$H$3:$H$24),LOOKUP(F617,[1]对照表!$G$27:$G$48,[1]对照表!$H$27:$H$48)),IF(B617="高二",IF($E617="男",LOOKUP(F617,[1]对照表!$F$3:$F$24,[1]对照表!$H$3:$H$24),LOOKUP(F617,[1]对照表!$F$27:$F$48,[1]对照表!$H$27:$H$48)),IF(B617="高一",IF($E617="男",LOOKUP(F617,[1]对照表!$E$3:$E$24,[1]对照表!$H$3:$H$24),LOOKUP(F617,[1]对照表!$E$27:$E$48,[1]对照表!$H$27:$H$48)))))</f>
        <v>72</v>
      </c>
      <c r="H617" s="21">
        <v>15</v>
      </c>
      <c r="I617" s="32">
        <f>IF(B617="高三",IF($E617="男",LOOKUP(H617,[1]对照表!$K$3:$K$24,[1]对照表!$L$3:$L$24),LOOKUP(H617,[1]对照表!$K$27:$K$48,[1]对照表!$L$27:$L$48)),IF(B617="高二",IF($E617="男",LOOKUP(H617,[1]对照表!$J$3:$J$24,[1]对照表!$L$3:$L$24),LOOKUP(H617,[1]对照表!$J$27:$J$48,[1]对照表!$L$27:$L$48)),IF(B617="高一",IF($E617="男",LOOKUP(H617,[1]对照表!$I$3:$I$24,[1]对照表!$L$3:$L$24),LOOKUP(H617,[1]对照表!$I$27:$I$48,[1]对照表!$L$27:$L$48)))))</f>
        <v>80</v>
      </c>
      <c r="J617" s="21">
        <v>230</v>
      </c>
      <c r="K617" s="32">
        <f>IF(B617="高三",IF($E617="男",LOOKUP(J617,[1]对照表!$O$3:$O$24,[1]对照表!$P$3:$P$24),LOOKUP(J617,[1]对照表!$O$27:$O$48,[1]对照表!$P$27:$P$48)),IF(B617="高二",IF($E617="男",LOOKUP(J617,[1]对照表!$N$3:$N$24,[1]对照表!$P$3:$P$24),LOOKUP(J617,[1]对照表!$N$27:$N$48,[1]对照表!$P$27:$P$48)),IF(B617="高一",IF($E617="男",LOOKUP(J617,[1]对照表!$M$3:$M$24,[1]对照表!$P$3:$P$24),LOOKUP(J617,[1]对照表!$M$27:$M$48,[1]对照表!$P$27:$P$48)))))</f>
        <v>76</v>
      </c>
      <c r="L617" s="21">
        <v>10</v>
      </c>
      <c r="M617" s="32">
        <f>IF(B617="高三",IF($E617="男",LOOKUP(L617,[1]对照表!$S$3:$S$24,[1]对照表!$T$3:$T$24),LOOKUP(L617,[1]对照表!$S$27:$S$48,[1]对照表!$T$27:$T$48)),IF(B617="高二",IF($E617="男",LOOKUP(L617,[1]对照表!$R$3:$R$24,[1]对照表!$T$3:$T$24),LOOKUP(L617,[1]对照表!$R$27:$R$48,[1]对照表!$T$27:$T$48)),IF(B617="高一",IF($E617="男",LOOKUP(L617,[1]对照表!$Q$3:$Q$24,[1]对照表!$T$3:$T$24),LOOKUP(L617,[1]对照表!$Q$27:$Q$48,[1]对照表!$T$27:$T$48)))))</f>
        <v>72</v>
      </c>
      <c r="N617" s="33">
        <f>IF(B617="高三",MAX(IF(E617="男",L617-18,L617-55),0),IF(B617="高二",MAX(IF(E617="男",L617-17,L617-54),0),IF(B617="高一",MAX(IF(E617="男",L617-16,L617-53),0))))</f>
        <v>0</v>
      </c>
      <c r="O617" s="23">
        <f>IF(E617="男",LOOKUP($N617,[1]对照表!$Z$3:$Z$13,[1]对照表!$AA$3:$AA$13),LOOKUP($N617,[1]对照表!$Z$15:$Z$25,[1]对照表!$AA$15:$AA$25))</f>
        <v>0</v>
      </c>
      <c r="P617" s="24">
        <f>M617+O617</f>
        <v>72</v>
      </c>
      <c r="Q617" s="25">
        <v>4.38</v>
      </c>
      <c r="R617" s="32">
        <f>IF(B617="高三",IF($E617="男",LOOKUP(Q617,[1]对照表!$W$3:$W$24,[1]对照表!$X$3:$X$24),LOOKUP(Q617,[1]对照表!$W$27:$W$48,[1]对照表!$X$27:$X$48)),IF(B617="高二",IF($E617="男",LOOKUP(Q617,[1]对照表!$V$3:$V$24,[1]对照表!$X$3:$X$24),LOOKUP(Q617,[1]对照表!$V$27:$V$48,[1]对照表!$X$27:$X$48)),IF(B617="高一",IF($E617="男",LOOKUP(Q617,[1]对照表!$U$3:$U$24,[1]对照表!$X$3:$X$24),LOOKUP(Q617,[1]对照表!$U$27:$U$48,[1]对照表!$X$27:$X$48)))))</f>
        <v>62</v>
      </c>
      <c r="S617" s="33">
        <f>ROUND(IF(IF($B617="高三",MIN(IF($E617="男",$Q617-3.2,$Q617-3.2),0),IF($B617="高二",MIN(IF($E617="男",$Q617-3.25,$Q617-3.22),0),IF($B617="高一",MIN(IF($E617="男",$Q617-3.3,$Q617-3.24),0))))&lt;-0.6,IF($B617="高三",MIN(IF($E617="男",$Q617-3.2,$Q617-3.2),0),IF($B617="高二",MIN(IF($E617="男",$Q617-3.25,$Q617-3.22),0),IF($B617="高一",MIN(IF($E617="男",$Q617-3.3,$Q617-3.24),0))))+0.4,IF($B617="高三",MIN(IF($E617="男",$Q617-3.2,$Q617-3.2),0),IF($B617="高二",MIN(IF($E617="男",$Q617-3.25,$Q617-3.22),0),IF($B617="高一",MIN(IF($E617="男",$Q617-3.3,$Q617-3.24),0))))),2)</f>
        <v>0</v>
      </c>
      <c r="T617" s="23">
        <f>IF(E617="男",LOOKUP($S617,[1]对照表!$AB$3:$AB$13,[1]对照表!$AC$3:$AC$13),LOOKUP($S617,[1]对照表!$AB$15:$AB$25,[1]对照表!$AC$15:$AC$25))</f>
        <v>0</v>
      </c>
      <c r="U617" s="26">
        <f>R617+T617</f>
        <v>62</v>
      </c>
      <c r="V617" s="26">
        <f>SUM(I617,K617,M617)/3*0.3+SUM(G617,R617)/2*0.4</f>
        <v>49.6</v>
      </c>
      <c r="W617" s="27">
        <f>O617+T617</f>
        <v>0</v>
      </c>
      <c r="X617" s="28">
        <f>V617/0.7+W617</f>
        <v>70.857142857142861</v>
      </c>
      <c r="Y617" s="28">
        <v>70.857142857142861</v>
      </c>
      <c r="Z617" s="21"/>
    </row>
    <row r="618" spans="1:26" x14ac:dyDescent="0.25">
      <c r="A618" s="16">
        <v>22</v>
      </c>
      <c r="B618" s="17" t="s">
        <v>21</v>
      </c>
      <c r="C618" s="16">
        <v>114</v>
      </c>
      <c r="D618" s="18" t="s">
        <v>486</v>
      </c>
      <c r="E618" s="16" t="s">
        <v>23</v>
      </c>
      <c r="F618" s="19">
        <v>7.4</v>
      </c>
      <c r="G618" s="32">
        <f>IF(B618="高三",IF($E618="男",LOOKUP(F618,[1]对照表!$G$3:$G$24,[1]对照表!$H$3:$H$24),LOOKUP(F618,[1]对照表!$G$27:$G$48,[1]对照表!$H$27:$H$48)),IF(B618="高二",IF($E618="男",LOOKUP(F618,[1]对照表!$F$3:$F$24,[1]对照表!$H$3:$H$24),LOOKUP(F618,[1]对照表!$F$27:$F$48,[1]对照表!$H$27:$H$48)),IF(B618="高一",IF($E618="男",LOOKUP(F618,[1]对照表!$E$3:$E$24,[1]对照表!$H$3:$H$24),LOOKUP(F618,[1]对照表!$E$27:$E$48,[1]对照表!$H$27:$H$48)))))</f>
        <v>85</v>
      </c>
      <c r="H618" s="21">
        <v>10</v>
      </c>
      <c r="I618" s="32">
        <f>IF(B618="高三",IF($E618="男",LOOKUP(H618,[1]对照表!$K$3:$K$24,[1]对照表!$L$3:$L$24),LOOKUP(H618,[1]对照表!$K$27:$K$48,[1]对照表!$L$27:$L$48)),IF(B618="高二",IF($E618="男",LOOKUP(H618,[1]对照表!$J$3:$J$24,[1]对照表!$L$3:$L$24),LOOKUP(H618,[1]对照表!$J$27:$J$48,[1]对照表!$L$27:$L$48)),IF(B618="高一",IF($E618="男",LOOKUP(H618,[1]对照表!$I$3:$I$24,[1]对照表!$L$3:$L$24),LOOKUP(H618,[1]对照表!$I$27:$I$48,[1]对照表!$L$27:$L$48)))))</f>
        <v>72</v>
      </c>
      <c r="J618" s="21">
        <v>235</v>
      </c>
      <c r="K618" s="32">
        <f>IF(B618="高三",IF($E618="男",LOOKUP(J618,[1]对照表!$O$3:$O$24,[1]对照表!$P$3:$P$24),LOOKUP(J618,[1]对照表!$O$27:$O$48,[1]对照表!$P$27:$P$48)),IF(B618="高二",IF($E618="男",LOOKUP(J618,[1]对照表!$N$3:$N$24,[1]对照表!$P$3:$P$24),LOOKUP(J618,[1]对照表!$N$27:$N$48,[1]对照表!$P$27:$P$48)),IF(B618="高一",IF($E618="男",LOOKUP(J618,[1]对照表!$M$3:$M$24,[1]对照表!$P$3:$P$24),LOOKUP(J618,[1]对照表!$M$27:$M$48,[1]对照表!$P$27:$P$48)))))</f>
        <v>80</v>
      </c>
      <c r="L618" s="21">
        <v>3</v>
      </c>
      <c r="M618" s="32">
        <f>IF(B618="高三",IF($E618="男",LOOKUP(L618,[1]对照表!$S$3:$S$24,[1]对照表!$T$3:$T$24),LOOKUP(L618,[1]对照表!$S$27:$S$48,[1]对照表!$T$27:$T$48)),IF(B618="高二",IF($E618="男",LOOKUP(L618,[1]对照表!$R$3:$R$24,[1]对照表!$T$3:$T$24),LOOKUP(L618,[1]对照表!$R$27:$R$48,[1]对照表!$T$27:$T$48)),IF(B618="高一",IF($E618="男",LOOKUP(L618,[1]对照表!$Q$3:$Q$24,[1]对照表!$T$3:$T$24),LOOKUP(L618,[1]对照表!$Q$27:$Q$48,[1]对照表!$T$27:$T$48)))))</f>
        <v>20</v>
      </c>
      <c r="N618" s="33">
        <f>IF(B618="高三",MAX(IF(E618="男",L618-18,L618-55),0),IF(B618="高二",MAX(IF(E618="男",L618-17,L618-54),0),IF(B618="高一",MAX(IF(E618="男",L618-16,L618-53),0))))</f>
        <v>0</v>
      </c>
      <c r="O618" s="23">
        <f>IF(E618="男",LOOKUP($N618,[1]对照表!$Z$3:$Z$13,[1]对照表!$AA$3:$AA$13),LOOKUP($N618,[1]对照表!$Z$15:$Z$25,[1]对照表!$AA$15:$AA$25))</f>
        <v>0</v>
      </c>
      <c r="P618" s="24">
        <f>M618+O618</f>
        <v>20</v>
      </c>
      <c r="Q618" s="25">
        <v>4.0199999999999996</v>
      </c>
      <c r="R618" s="32">
        <f>IF(B618="高三",IF($E618="男",LOOKUP(Q618,[1]对照表!$W$3:$W$24,[1]对照表!$X$3:$X$24),LOOKUP(Q618,[1]对照表!$W$27:$W$48,[1]对照表!$X$27:$X$48)),IF(B618="高二",IF($E618="男",LOOKUP(Q618,[1]对照表!$V$3:$V$24,[1]对照表!$X$3:$X$24),LOOKUP(Q618,[1]对照表!$V$27:$V$48,[1]对照表!$X$27:$X$48)),IF(B618="高一",IF($E618="男",LOOKUP(Q618,[1]对照表!$U$3:$U$24,[1]对照表!$X$3:$X$24),LOOKUP(Q618,[1]对照表!$U$27:$U$48,[1]对照表!$X$27:$X$48)))))</f>
        <v>76</v>
      </c>
      <c r="S618" s="33">
        <f>ROUND(IF(IF($B618="高三",MIN(IF($E618="男",$Q618-3.2,$Q618-3.2),0),IF($B618="高二",MIN(IF($E618="男",$Q618-3.25,$Q618-3.22),0),IF($B618="高一",MIN(IF($E618="男",$Q618-3.3,$Q618-3.24),0))))&lt;-0.6,IF($B618="高三",MIN(IF($E618="男",$Q618-3.2,$Q618-3.2),0),IF($B618="高二",MIN(IF($E618="男",$Q618-3.25,$Q618-3.22),0),IF($B618="高一",MIN(IF($E618="男",$Q618-3.3,$Q618-3.24),0))))+0.4,IF($B618="高三",MIN(IF($E618="男",$Q618-3.2,$Q618-3.2),0),IF($B618="高二",MIN(IF($E618="男",$Q618-3.25,$Q618-3.22),0),IF($B618="高一",MIN(IF($E618="男",$Q618-3.3,$Q618-3.24),0))))),2)</f>
        <v>0</v>
      </c>
      <c r="T618" s="23">
        <f>IF(E618="男",LOOKUP($S618,[1]对照表!$AB$3:$AB$13,[1]对照表!$AC$3:$AC$13),LOOKUP($S618,[1]对照表!$AB$15:$AB$25,[1]对照表!$AC$15:$AC$25))</f>
        <v>0</v>
      </c>
      <c r="U618" s="26">
        <f>R618+T618</f>
        <v>76</v>
      </c>
      <c r="V618" s="26">
        <f>SUM(I618,K618,M618)/3*0.3+SUM(G618,R618)/2*0.4</f>
        <v>49.400000000000006</v>
      </c>
      <c r="W618" s="27">
        <f>O618+T618</f>
        <v>0</v>
      </c>
      <c r="X618" s="28">
        <f>V618/0.7+W618</f>
        <v>70.571428571428584</v>
      </c>
      <c r="Y618" s="28">
        <v>70.571428571428584</v>
      </c>
      <c r="Z618" s="21"/>
    </row>
    <row r="619" spans="1:26" x14ac:dyDescent="0.25">
      <c r="A619" s="16">
        <v>31</v>
      </c>
      <c r="B619" s="17" t="s">
        <v>21</v>
      </c>
      <c r="C619" s="16">
        <v>114</v>
      </c>
      <c r="D619" s="18" t="s">
        <v>504</v>
      </c>
      <c r="E619" s="17" t="s">
        <v>65</v>
      </c>
      <c r="F619" s="19">
        <v>9.3000000000000007</v>
      </c>
      <c r="G619" s="32">
        <f>IF(B619="高三",IF($E619="男",LOOKUP(F619,[1]对照表!$G$3:$G$24,[1]对照表!$H$3:$H$24),LOOKUP(F619,[1]对照表!$G$27:$G$48,[1]对照表!$H$27:$H$48)),IF(B619="高二",IF($E619="男",LOOKUP(F619,[1]对照表!$F$3:$F$24,[1]对照表!$H$3:$H$24),LOOKUP(F619,[1]对照表!$F$27:$F$48,[1]对照表!$H$27:$H$48)),IF(B619="高一",IF($E619="男",LOOKUP(F619,[1]对照表!$E$3:$E$24,[1]对照表!$H$3:$H$24),LOOKUP(F619,[1]对照表!$E$27:$E$48,[1]对照表!$H$27:$H$48)))))</f>
        <v>72</v>
      </c>
      <c r="H619" s="21">
        <v>21</v>
      </c>
      <c r="I619" s="32">
        <f>IF(B619="高三",IF($E619="男",LOOKUP(H619,[1]对照表!$K$3:$K$24,[1]对照表!$L$3:$L$24),LOOKUP(H619,[1]对照表!$K$27:$K$48,[1]对照表!$L$27:$L$48)),IF(B619="高二",IF($E619="男",LOOKUP(H619,[1]对照表!$J$3:$J$24,[1]对照表!$L$3:$L$24),LOOKUP(H619,[1]对照表!$J$27:$J$48,[1]对照表!$L$27:$L$48)),IF(B619="高一",IF($E619="男",LOOKUP(H619,[1]对照表!$I$3:$I$24,[1]对照表!$L$3:$L$24),LOOKUP(H619,[1]对照表!$I$27:$I$48,[1]对照表!$L$27:$L$48)))))</f>
        <v>90</v>
      </c>
      <c r="J619" s="21">
        <v>174</v>
      </c>
      <c r="K619" s="32">
        <f>IF(B619="高三",IF($E619="男",LOOKUP(J619,[1]对照表!$O$3:$O$24,[1]对照表!$P$3:$P$24),LOOKUP(J619,[1]对照表!$O$27:$O$48,[1]对照表!$P$27:$P$48)),IF(B619="高二",IF($E619="男",LOOKUP(J619,[1]对照表!$N$3:$N$24,[1]对照表!$P$3:$P$24),LOOKUP(J619,[1]对照表!$N$27:$N$48,[1]对照表!$P$27:$P$48)),IF(B619="高一",IF($E619="男",LOOKUP(J619,[1]对照表!$M$3:$M$24,[1]对照表!$P$3:$P$24),LOOKUP(J619,[1]对照表!$M$27:$M$48,[1]对照表!$P$27:$P$48)))))</f>
        <v>76</v>
      </c>
      <c r="L619" s="21">
        <v>63</v>
      </c>
      <c r="M619" s="32">
        <f>IF(B619="高三",IF($E619="男",LOOKUP(L619,[1]对照表!$S$3:$S$24,[1]对照表!$T$3:$T$24),LOOKUP(L619,[1]对照表!$S$27:$S$48,[1]对照表!$T$27:$T$48)),IF(B619="高二",IF($E619="男",LOOKUP(L619,[1]对照表!$R$3:$R$24,[1]对照表!$T$3:$T$24),LOOKUP(L619,[1]对照表!$R$27:$R$48,[1]对照表!$T$27:$T$48)),IF(B619="高一",IF($E619="男",LOOKUP(L619,[1]对照表!$Q$3:$Q$24,[1]对照表!$T$3:$T$24),LOOKUP(L619,[1]对照表!$Q$27:$Q$48,[1]对照表!$T$27:$T$48)))))</f>
        <v>100</v>
      </c>
      <c r="N619" s="33">
        <f>IF(B619="高三",MAX(IF(E619="男",L619-18,L619-55),0),IF(B619="高二",MAX(IF(E619="男",L619-17,L619-54),0),IF(B619="高一",MAX(IF(E619="男",L619-16,L619-53),0))))</f>
        <v>10</v>
      </c>
      <c r="O619" s="23">
        <f>IF(E619="男",LOOKUP($N619,[1]对照表!$Z$3:$Z$13,[1]对照表!$AA$3:$AA$13),LOOKUP($N619,[1]对照表!$Z$15:$Z$25,[1]对照表!$AA$15:$AA$25))</f>
        <v>7</v>
      </c>
      <c r="P619" s="24">
        <f>M619+O619</f>
        <v>107</v>
      </c>
      <c r="Q619" s="25">
        <v>3.45</v>
      </c>
      <c r="R619" s="32">
        <f>IF(B619="高三",IF($E619="男",LOOKUP(Q619,[1]对照表!$W$3:$W$24,[1]对照表!$X$3:$X$24),LOOKUP(Q619,[1]对照表!$W$27:$W$48,[1]对照表!$X$27:$X$48)),IF(B619="高二",IF($E619="男",LOOKUP(Q619,[1]对照表!$V$3:$V$24,[1]对照表!$X$3:$X$24),LOOKUP(Q619,[1]对照表!$V$27:$V$48,[1]对照表!$X$27:$X$48)),IF(B619="高一",IF($E619="男",LOOKUP(Q619,[1]对照表!$U$3:$U$24,[1]对照表!$X$3:$X$24),LOOKUP(Q619,[1]对照表!$U$27:$U$48,[1]对照表!$X$27:$X$48)))))</f>
        <v>80</v>
      </c>
      <c r="S619" s="33">
        <f>ROUND(IF(IF($B619="高三",MIN(IF($E619="男",$Q619-3.2,$Q619-3.2),0),IF($B619="高二",MIN(IF($E619="男",$Q619-3.25,$Q619-3.22),0),IF($B619="高一",MIN(IF($E619="男",$Q619-3.3,$Q619-3.24),0))))&lt;-0.6,IF($B619="高三",MIN(IF($E619="男",$Q619-3.2,$Q619-3.2),0),IF($B619="高二",MIN(IF($E619="男",$Q619-3.25,$Q619-3.22),0),IF($B619="高一",MIN(IF($E619="男",$Q619-3.3,$Q619-3.24),0))))+0.4,IF($B619="高三",MIN(IF($E619="男",$Q619-3.2,$Q619-3.2),0),IF($B619="高二",MIN(IF($E619="男",$Q619-3.25,$Q619-3.22),0),IF($B619="高一",MIN(IF($E619="男",$Q619-3.3,$Q619-3.24),0))))),2)</f>
        <v>0</v>
      </c>
      <c r="T619" s="23">
        <f>IF(E619="男",LOOKUP($S619,[1]对照表!$AB$3:$AB$13,[1]对照表!$AC$3:$AC$13),LOOKUP($S619,[1]对照表!$AB$15:$AB$25,[1]对照表!$AC$15:$AC$25))</f>
        <v>0</v>
      </c>
      <c r="U619" s="26">
        <f>R619+T619</f>
        <v>80</v>
      </c>
      <c r="V619" s="26">
        <f>SUM(I619,K619,M619)/3*0.3+SUM(G619,R619)/2*0.4</f>
        <v>57</v>
      </c>
      <c r="W619" s="27">
        <f>O619+T619</f>
        <v>7</v>
      </c>
      <c r="X619" s="28">
        <f>V619/0.7+W619</f>
        <v>88.428571428571431</v>
      </c>
      <c r="Y619" s="28">
        <v>88.428571428571431</v>
      </c>
      <c r="Z619" s="21"/>
    </row>
    <row r="620" spans="1:26" x14ac:dyDescent="0.25">
      <c r="A620" s="16">
        <v>3</v>
      </c>
      <c r="B620" s="17" t="s">
        <v>21</v>
      </c>
      <c r="C620" s="16">
        <v>114</v>
      </c>
      <c r="D620" s="18" t="s">
        <v>510</v>
      </c>
      <c r="E620" s="17" t="s">
        <v>23</v>
      </c>
      <c r="F620" s="19">
        <v>7.8</v>
      </c>
      <c r="G620" s="32">
        <f>IF(B620="高三",IF($E620="男",LOOKUP(F620,[1]对照表!$G$3:$G$24,[1]对照表!$H$3:$H$24),LOOKUP(F620,[1]对照表!$G$27:$G$48,[1]对照表!$H$27:$H$48)),IF(B620="高二",IF($E620="男",LOOKUP(F620,[1]对照表!$F$3:$F$24,[1]对照表!$H$3:$H$24),LOOKUP(F620,[1]对照表!$F$27:$F$48,[1]对照表!$H$27:$H$48)),IF(B620="高一",IF($E620="男",LOOKUP(F620,[1]对照表!$E$3:$E$24,[1]对照表!$H$3:$H$24),LOOKUP(F620,[1]对照表!$E$27:$E$48,[1]对照表!$H$27:$H$48)))))</f>
        <v>76</v>
      </c>
      <c r="H620" s="21" t="s">
        <v>511</v>
      </c>
      <c r="I620" s="32" t="str">
        <f>IF(B620="高三",IF($E620="男",LOOKUP(H620,[1]对照表!$K$3:$K$24,[1]对照表!$L$3:$L$24),LOOKUP(H620,[1]对照表!$K$27:$K$48,[1]对照表!$L$27:$L$48)),IF(B620="高二",IF($E620="男",LOOKUP(H620,[1]对照表!$J$3:$J$24,[1]对照表!$L$3:$L$24),LOOKUP(H620,[1]对照表!$J$27:$J$48,[1]对照表!$L$27:$L$48)),IF(B620="高一",IF($E620="男",LOOKUP(H620,[1]对照表!$I$3:$I$24,[1]对照表!$L$3:$L$24),LOOKUP(H620,[1]对照表!$I$27:$I$48,[1]对照表!$L$27:$L$48)))))</f>
        <v>/</v>
      </c>
      <c r="J620" s="21">
        <v>245</v>
      </c>
      <c r="K620" s="32">
        <f>IF(B620="高三",IF($E620="男",LOOKUP(J620,[1]对照表!$O$3:$O$24,[1]对照表!$P$3:$P$24),LOOKUP(J620,[1]对照表!$O$27:$O$48,[1]对照表!$P$27:$P$48)),IF(B620="高二",IF($E620="男",LOOKUP(J620,[1]对照表!$N$3:$N$24,[1]对照表!$P$3:$P$24),LOOKUP(J620,[1]对照表!$N$27:$N$48,[1]对照表!$P$27:$P$48)),IF(B620="高一",IF($E620="男",LOOKUP(J620,[1]对照表!$M$3:$M$24,[1]对照表!$P$3:$P$24),LOOKUP(J620,[1]对照表!$M$27:$M$48,[1]对照表!$P$27:$P$48)))))</f>
        <v>85</v>
      </c>
      <c r="L620" s="21">
        <v>16</v>
      </c>
      <c r="M620" s="32">
        <f>IF(B620="高三",IF($E620="男",LOOKUP(L620,[1]对照表!$S$3:$S$24,[1]对照表!$T$3:$T$24),LOOKUP(L620,[1]对照表!$S$27:$S$48,[1]对照表!$T$27:$T$48)),IF(B620="高二",IF($E620="男",LOOKUP(L620,[1]对照表!$R$3:$R$24,[1]对照表!$T$3:$T$24),LOOKUP(L620,[1]对照表!$R$27:$R$48,[1]对照表!$T$27:$T$48)),IF(B620="高一",IF($E620="男",LOOKUP(L620,[1]对照表!$Q$3:$Q$24,[1]对照表!$T$3:$T$24),LOOKUP(L620,[1]对照表!$Q$27:$Q$48,[1]对照表!$T$27:$T$48)))))</f>
        <v>100</v>
      </c>
      <c r="N620" s="33">
        <f>IF(B620="高三",MAX(IF(E620="男",L620-18,L620-55),0),IF(B620="高二",MAX(IF(E620="男",L620-17,L620-54),0),IF(B620="高一",MAX(IF(E620="男",L620-16,L620-53),0))))</f>
        <v>0</v>
      </c>
      <c r="O620" s="23">
        <f>IF(E620="男",LOOKUP($N620,[1]对照表!$Z$3:$Z$13,[1]对照表!$AA$3:$AA$13),LOOKUP($N620,[1]对照表!$Z$15:$Z$25,[1]对照表!$AA$15:$AA$25))</f>
        <v>0</v>
      </c>
      <c r="P620" s="24">
        <f>M620+O620</f>
        <v>100</v>
      </c>
      <c r="Q620" s="25">
        <v>3.59</v>
      </c>
      <c r="R620" s="32">
        <f>IF(B620="高三",IF($E620="男",LOOKUP(Q620,[1]对照表!$W$3:$W$24,[1]对照表!$X$3:$X$24),LOOKUP(Q620,[1]对照表!$W$27:$W$48,[1]对照表!$X$27:$X$48)),IF(B620="高二",IF($E620="男",LOOKUP(Q620,[1]对照表!$V$3:$V$24,[1]对照表!$X$3:$X$24),LOOKUP(Q620,[1]对照表!$V$27:$V$48,[1]对照表!$X$27:$X$48)),IF(B620="高一",IF($E620="男",LOOKUP(Q620,[1]对照表!$U$3:$U$24,[1]对照表!$X$3:$X$24),LOOKUP(Q620,[1]对照表!$U$27:$U$48,[1]对照表!$X$27:$X$48)))))</f>
        <v>78</v>
      </c>
      <c r="S620" s="33">
        <f>ROUND(IF(IF($B620="高三",MIN(IF($E620="男",$Q620-3.2,$Q620-3.2),0),IF($B620="高二",MIN(IF($E620="男",$Q620-3.25,$Q620-3.22),0),IF($B620="高一",MIN(IF($E620="男",$Q620-3.3,$Q620-3.24),0))))&lt;-0.6,IF($B620="高三",MIN(IF($E620="男",$Q620-3.2,$Q620-3.2),0),IF($B620="高二",MIN(IF($E620="男",$Q620-3.25,$Q620-3.22),0),IF($B620="高一",MIN(IF($E620="男",$Q620-3.3,$Q620-3.24),0))))+0.4,IF($B620="高三",MIN(IF($E620="男",$Q620-3.2,$Q620-3.2),0),IF($B620="高二",MIN(IF($E620="男",$Q620-3.25,$Q620-3.22),0),IF($B620="高一",MIN(IF($E620="男",$Q620-3.3,$Q620-3.24),0))))),2)</f>
        <v>0</v>
      </c>
      <c r="T620" s="23">
        <f>IF(E620="男",LOOKUP($S620,[1]对照表!$AB$3:$AB$13,[1]对照表!$AC$3:$AC$13),LOOKUP($S620,[1]对照表!$AB$15:$AB$25,[1]对照表!$AC$15:$AC$25))</f>
        <v>0</v>
      </c>
      <c r="U620" s="26">
        <f>R620+T620</f>
        <v>78</v>
      </c>
      <c r="V620" s="26">
        <f>SUM(I620,K620,M620)/3*0.3+SUM(G620,R620)/2*0.4</f>
        <v>49.3</v>
      </c>
      <c r="W620" s="27">
        <f>O620+T620</f>
        <v>0</v>
      </c>
      <c r="X620" s="28">
        <f>V620/0.7+W620</f>
        <v>70.428571428571431</v>
      </c>
      <c r="Y620" s="28">
        <v>70.428571428571431</v>
      </c>
      <c r="Z620" s="21"/>
    </row>
    <row r="621" spans="1:26" x14ac:dyDescent="0.25">
      <c r="A621" s="16">
        <v>11</v>
      </c>
      <c r="B621" s="17" t="s">
        <v>21</v>
      </c>
      <c r="C621" s="16">
        <v>114</v>
      </c>
      <c r="D621" s="18" t="s">
        <v>516</v>
      </c>
      <c r="E621" s="17" t="s">
        <v>23</v>
      </c>
      <c r="F621" s="19">
        <v>7.6</v>
      </c>
      <c r="G621" s="32">
        <f>IF(B621="高三",IF($E621="男",LOOKUP(F621,[1]对照表!$G$3:$G$24,[1]对照表!$H$3:$H$24),LOOKUP(F621,[1]对照表!$G$27:$G$48,[1]对照表!$H$27:$H$48)),IF(B621="高二",IF($E621="男",LOOKUP(F621,[1]对照表!$F$3:$F$24,[1]对照表!$H$3:$H$24),LOOKUP(F621,[1]对照表!$F$27:$F$48,[1]对照表!$H$27:$H$48)),IF(B621="高一",IF($E621="男",LOOKUP(F621,[1]对照表!$E$3:$E$24,[1]对照表!$H$3:$H$24),LOOKUP(F621,[1]对照表!$E$27:$E$48,[1]对照表!$H$27:$H$48)))))</f>
        <v>78</v>
      </c>
      <c r="H621" s="21">
        <v>14</v>
      </c>
      <c r="I621" s="32">
        <f>IF(B621="高三",IF($E621="男",LOOKUP(H621,[1]对照表!$K$3:$K$24,[1]对照表!$L$3:$L$24),LOOKUP(H621,[1]对照表!$K$27:$K$48,[1]对照表!$L$27:$L$48)),IF(B621="高二",IF($E621="男",LOOKUP(H621,[1]对照表!$J$3:$J$24,[1]对照表!$L$3:$L$24),LOOKUP(H621,[1]对照表!$J$27:$J$48,[1]对照表!$L$27:$L$48)),IF(B621="高一",IF($E621="男",LOOKUP(H621,[1]对照表!$I$3:$I$24,[1]对照表!$L$3:$L$24),LOOKUP(H621,[1]对照表!$I$27:$I$48,[1]对照表!$L$27:$L$48)))))</f>
        <v>78</v>
      </c>
      <c r="J621" s="21">
        <v>215</v>
      </c>
      <c r="K621" s="32">
        <f>IF(B621="高三",IF($E621="男",LOOKUP(J621,[1]对照表!$O$3:$O$24,[1]对照表!$P$3:$P$24),LOOKUP(J621,[1]对照表!$O$27:$O$48,[1]对照表!$P$27:$P$48)),IF(B621="高二",IF($E621="男",LOOKUP(J621,[1]对照表!$N$3:$N$24,[1]对照表!$P$3:$P$24),LOOKUP(J621,[1]对照表!$N$27:$N$48,[1]对照表!$P$27:$P$48)),IF(B621="高一",IF($E621="男",LOOKUP(J621,[1]对照表!$M$3:$M$24,[1]对照表!$P$3:$P$24),LOOKUP(J621,[1]对照表!$M$27:$M$48,[1]对照表!$P$27:$P$48)))))</f>
        <v>70</v>
      </c>
      <c r="L621" s="21">
        <v>4</v>
      </c>
      <c r="M621" s="32">
        <f>IF(B621="高三",IF($E621="男",LOOKUP(L621,[1]对照表!$S$3:$S$24,[1]对照表!$T$3:$T$24),LOOKUP(L621,[1]对照表!$S$27:$S$48,[1]对照表!$T$27:$T$48)),IF(B621="高二",IF($E621="男",LOOKUP(L621,[1]对照表!$R$3:$R$24,[1]对照表!$T$3:$T$24),LOOKUP(L621,[1]对照表!$R$27:$R$48,[1]对照表!$T$27:$T$48)),IF(B621="高一",IF($E621="男",LOOKUP(L621,[1]对照表!$Q$3:$Q$24,[1]对照表!$T$3:$T$24),LOOKUP(L621,[1]对照表!$Q$27:$Q$48,[1]对照表!$T$27:$T$48)))))</f>
        <v>30</v>
      </c>
      <c r="N621" s="33">
        <f>IF(B621="高三",MAX(IF(E621="男",L621-18,L621-55),0),IF(B621="高二",MAX(IF(E621="男",L621-17,L621-54),0),IF(B621="高一",MAX(IF(E621="男",L621-16,L621-53),0))))</f>
        <v>0</v>
      </c>
      <c r="O621" s="23">
        <f>IF(E621="男",LOOKUP($N621,[1]对照表!$Z$3:$Z$13,[1]对照表!$AA$3:$AA$13),LOOKUP($N621,[1]对照表!$Z$15:$Z$25,[1]对照表!$AA$15:$AA$25))</f>
        <v>0</v>
      </c>
      <c r="P621" s="24">
        <f>M621+O621</f>
        <v>30</v>
      </c>
      <c r="Q621" s="25">
        <v>4.05</v>
      </c>
      <c r="R621" s="32">
        <f>IF(B621="高三",IF($E621="男",LOOKUP(Q621,[1]对照表!$W$3:$W$24,[1]对照表!$X$3:$X$24),LOOKUP(Q621,[1]对照表!$W$27:$W$48,[1]对照表!$X$27:$X$48)),IF(B621="高二",IF($E621="男",LOOKUP(Q621,[1]对照表!$V$3:$V$24,[1]对照表!$X$3:$X$24),LOOKUP(Q621,[1]对照表!$V$27:$V$48,[1]对照表!$X$27:$X$48)),IF(B621="高一",IF($E621="男",LOOKUP(Q621,[1]对照表!$U$3:$U$24,[1]对照表!$X$3:$X$24),LOOKUP(Q621,[1]对照表!$U$27:$U$48,[1]对照表!$X$27:$X$48)))))</f>
        <v>76</v>
      </c>
      <c r="S621" s="33">
        <f>ROUND(IF(IF($B621="高三",MIN(IF($E621="男",$Q621-3.2,$Q621-3.2),0),IF($B621="高二",MIN(IF($E621="男",$Q621-3.25,$Q621-3.22),0),IF($B621="高一",MIN(IF($E621="男",$Q621-3.3,$Q621-3.24),0))))&lt;-0.6,IF($B621="高三",MIN(IF($E621="男",$Q621-3.2,$Q621-3.2),0),IF($B621="高二",MIN(IF($E621="男",$Q621-3.25,$Q621-3.22),0),IF($B621="高一",MIN(IF($E621="男",$Q621-3.3,$Q621-3.24),0))))+0.4,IF($B621="高三",MIN(IF($E621="男",$Q621-3.2,$Q621-3.2),0),IF($B621="高二",MIN(IF($E621="男",$Q621-3.25,$Q621-3.22),0),IF($B621="高一",MIN(IF($E621="男",$Q621-3.3,$Q621-3.24),0))))),2)</f>
        <v>0</v>
      </c>
      <c r="T621" s="23">
        <f>IF(E621="男",LOOKUP($S621,[1]对照表!$AB$3:$AB$13,[1]对照表!$AC$3:$AC$13),LOOKUP($S621,[1]对照表!$AB$15:$AB$25,[1]对照表!$AC$15:$AC$25))</f>
        <v>0</v>
      </c>
      <c r="U621" s="26">
        <f>R621+T621</f>
        <v>76</v>
      </c>
      <c r="V621" s="26">
        <f>SUM(I621,K621,M621)/3*0.3+SUM(G621,R621)/2*0.4</f>
        <v>48.6</v>
      </c>
      <c r="W621" s="27">
        <f>O621+T621</f>
        <v>0</v>
      </c>
      <c r="X621" s="28">
        <f>V621/0.7+W621</f>
        <v>69.428571428571431</v>
      </c>
      <c r="Y621" s="28">
        <v>69.428571428571431</v>
      </c>
      <c r="Z621" s="21"/>
    </row>
    <row r="622" spans="1:26" x14ac:dyDescent="0.25">
      <c r="A622" s="16">
        <v>21</v>
      </c>
      <c r="B622" s="17" t="s">
        <v>21</v>
      </c>
      <c r="C622" s="16">
        <v>114</v>
      </c>
      <c r="D622" s="18" t="s">
        <v>537</v>
      </c>
      <c r="E622" s="16" t="s">
        <v>23</v>
      </c>
      <c r="F622" s="19">
        <v>7.5</v>
      </c>
      <c r="G622" s="32">
        <f>IF(B622="高三",IF($E622="男",LOOKUP(F622,[1]对照表!$G$3:$G$24,[1]对照表!$H$3:$H$24),LOOKUP(F622,[1]对照表!$G$27:$G$48,[1]对照表!$H$27:$H$48)),IF(B622="高二",IF($E622="男",LOOKUP(F622,[1]对照表!$F$3:$F$24,[1]对照表!$H$3:$H$24),LOOKUP(F622,[1]对照表!$F$27:$F$48,[1]对照表!$H$27:$H$48)),IF(B622="高一",IF($E622="男",LOOKUP(F622,[1]对照表!$E$3:$E$24,[1]对照表!$H$3:$H$24),LOOKUP(F622,[1]对照表!$E$27:$E$48,[1]对照表!$H$27:$H$48)))))</f>
        <v>80</v>
      </c>
      <c r="H622" s="21">
        <v>8.3000000000000007</v>
      </c>
      <c r="I622" s="32">
        <f>IF(B622="高三",IF($E622="男",LOOKUP(H622,[1]对照表!$K$3:$K$24,[1]对照表!$L$3:$L$24),LOOKUP(H622,[1]对照表!$K$27:$K$48,[1]对照表!$L$27:$L$48)),IF(B622="高二",IF($E622="男",LOOKUP(H622,[1]对照表!$J$3:$J$24,[1]对照表!$L$3:$L$24),LOOKUP(H622,[1]对照表!$J$27:$J$48,[1]对照表!$L$27:$L$48)),IF(B622="高一",IF($E622="男",LOOKUP(H622,[1]对照表!$I$3:$I$24,[1]对照表!$L$3:$L$24),LOOKUP(H622,[1]对照表!$I$27:$I$48,[1]对照表!$L$27:$L$48)))))</f>
        <v>70</v>
      </c>
      <c r="J622" s="21">
        <v>230</v>
      </c>
      <c r="K622" s="32">
        <f>IF(B622="高三",IF($E622="男",LOOKUP(J622,[1]对照表!$O$3:$O$24,[1]对照表!$P$3:$P$24),LOOKUP(J622,[1]对照表!$O$27:$O$48,[1]对照表!$P$27:$P$48)),IF(B622="高二",IF($E622="男",LOOKUP(J622,[1]对照表!$N$3:$N$24,[1]对照表!$P$3:$P$24),LOOKUP(J622,[1]对照表!$N$27:$N$48,[1]对照表!$P$27:$P$48)),IF(B622="高一",IF($E622="男",LOOKUP(J622,[1]对照表!$M$3:$M$24,[1]对照表!$P$3:$P$24),LOOKUP(J622,[1]对照表!$M$27:$M$48,[1]对照表!$P$27:$P$48)))))</f>
        <v>76</v>
      </c>
      <c r="L622" s="21">
        <v>0</v>
      </c>
      <c r="M622" s="32">
        <f>IF(B622="高三",IF($E622="男",LOOKUP(L622,[1]对照表!$S$3:$S$24,[1]对照表!$T$3:$T$24),LOOKUP(L622,[1]对照表!$S$27:$S$48,[1]对照表!$T$27:$T$48)),IF(B622="高二",IF($E622="男",LOOKUP(L622,[1]对照表!$R$3:$R$24,[1]对照表!$T$3:$T$24),LOOKUP(L622,[1]对照表!$R$27:$R$48,[1]对照表!$T$27:$T$48)),IF(B622="高一",IF($E622="男",LOOKUP(L622,[1]对照表!$Q$3:$Q$24,[1]对照表!$T$3:$T$24),LOOKUP(L622,[1]对照表!$Q$27:$Q$48,[1]对照表!$T$27:$T$48)))))</f>
        <v>0</v>
      </c>
      <c r="N622" s="33">
        <f>IF(B622="高三",MAX(IF(E622="男",L622-18,L622-55),0),IF(B622="高二",MAX(IF(E622="男",L622-17,L622-54),0),IF(B622="高一",MAX(IF(E622="男",L622-16,L622-53),0))))</f>
        <v>0</v>
      </c>
      <c r="O622" s="23">
        <f>IF(E622="男",LOOKUP($N622,[1]对照表!$Z$3:$Z$13,[1]对照表!$AA$3:$AA$13),LOOKUP($N622,[1]对照表!$Z$15:$Z$25,[1]对照表!$AA$15:$AA$25))</f>
        <v>0</v>
      </c>
      <c r="P622" s="24">
        <f>M622+O622</f>
        <v>0</v>
      </c>
      <c r="Q622" s="25">
        <v>3.56</v>
      </c>
      <c r="R622" s="32">
        <f>IF(B622="高三",IF($E622="男",LOOKUP(Q622,[1]对照表!$W$3:$W$24,[1]对照表!$X$3:$X$24),LOOKUP(Q622,[1]对照表!$W$27:$W$48,[1]对照表!$X$27:$X$48)),IF(B622="高二",IF($E622="男",LOOKUP(Q622,[1]对照表!$V$3:$V$24,[1]对照表!$X$3:$X$24),LOOKUP(Q622,[1]对照表!$V$27:$V$48,[1]对照表!$X$27:$X$48)),IF(B622="高一",IF($E622="男",LOOKUP(Q622,[1]对照表!$U$3:$U$24,[1]对照表!$X$3:$X$24),LOOKUP(Q622,[1]对照表!$U$27:$U$48,[1]对照表!$X$27:$X$48)))))</f>
        <v>78</v>
      </c>
      <c r="S622" s="33">
        <f>ROUND(IF(IF($B622="高三",MIN(IF($E622="男",$Q622-3.2,$Q622-3.2),0),IF($B622="高二",MIN(IF($E622="男",$Q622-3.25,$Q622-3.22),0),IF($B622="高一",MIN(IF($E622="男",$Q622-3.3,$Q622-3.24),0))))&lt;-0.6,IF($B622="高三",MIN(IF($E622="男",$Q622-3.2,$Q622-3.2),0),IF($B622="高二",MIN(IF($E622="男",$Q622-3.25,$Q622-3.22),0),IF($B622="高一",MIN(IF($E622="男",$Q622-3.3,$Q622-3.24),0))))+0.4,IF($B622="高三",MIN(IF($E622="男",$Q622-3.2,$Q622-3.2),0),IF($B622="高二",MIN(IF($E622="男",$Q622-3.25,$Q622-3.22),0),IF($B622="高一",MIN(IF($E622="男",$Q622-3.3,$Q622-3.24),0))))),2)</f>
        <v>0</v>
      </c>
      <c r="T622" s="23">
        <f>IF(E622="男",LOOKUP($S622,[1]对照表!$AB$3:$AB$13,[1]对照表!$AC$3:$AC$13),LOOKUP($S622,[1]对照表!$AB$15:$AB$25,[1]对照表!$AC$15:$AC$25))</f>
        <v>0</v>
      </c>
      <c r="U622" s="26">
        <f>R622+T622</f>
        <v>78</v>
      </c>
      <c r="V622" s="26">
        <f>SUM(I622,K622,M622)/3*0.3+SUM(G622,R622)/2*0.4</f>
        <v>46.2</v>
      </c>
      <c r="W622" s="27">
        <f>O622+T622</f>
        <v>0</v>
      </c>
      <c r="X622" s="28">
        <f>V622/0.7+W622</f>
        <v>66.000000000000014</v>
      </c>
      <c r="Y622" s="28">
        <v>66.000000000000014</v>
      </c>
      <c r="Z622" s="21"/>
    </row>
    <row r="623" spans="1:26" x14ac:dyDescent="0.25">
      <c r="A623" s="16">
        <v>9</v>
      </c>
      <c r="B623" s="17" t="s">
        <v>21</v>
      </c>
      <c r="C623" s="16">
        <v>114</v>
      </c>
      <c r="D623" s="18" t="s">
        <v>542</v>
      </c>
      <c r="E623" s="17" t="s">
        <v>23</v>
      </c>
      <c r="F623" s="19">
        <v>8</v>
      </c>
      <c r="G623" s="32">
        <f>IF(B623="高三",IF($E623="男",LOOKUP(F623,[1]对照表!$G$3:$G$24,[1]对照表!$H$3:$H$24),LOOKUP(F623,[1]对照表!$G$27:$G$48,[1]对照表!$H$27:$H$48)),IF(B623="高二",IF($E623="男",LOOKUP(F623,[1]对照表!$F$3:$F$24,[1]对照表!$H$3:$H$24),LOOKUP(F623,[1]对照表!$F$27:$F$48,[1]对照表!$H$27:$H$48)),IF(B623="高一",IF($E623="男",LOOKUP(F623,[1]对照表!$E$3:$E$24,[1]对照表!$H$3:$H$24),LOOKUP(F623,[1]对照表!$E$27:$E$48,[1]对照表!$H$27:$H$48)))))</f>
        <v>74</v>
      </c>
      <c r="H623" s="41">
        <v>16.2</v>
      </c>
      <c r="I623" s="32">
        <f>IF(B623="高三",IF($E623="男",LOOKUP(H623,[1]对照表!$K$3:$K$24,[1]对照表!$L$3:$L$24),LOOKUP(H623,[1]对照表!$K$27:$K$48,[1]对照表!$L$27:$L$48)),IF(B623="高二",IF($E623="男",LOOKUP(H623,[1]对照表!$J$3:$J$24,[1]对照表!$L$3:$L$24),LOOKUP(H623,[1]对照表!$J$27:$J$48,[1]对照表!$L$27:$L$48)),IF(B623="高一",IF($E623="男",LOOKUP(H623,[1]对照表!$I$3:$I$24,[1]对照表!$L$3:$L$24),LOOKUP(H623,[1]对照表!$I$27:$I$48,[1]对照表!$L$27:$L$48)))))</f>
        <v>80</v>
      </c>
      <c r="J623" s="21">
        <v>205</v>
      </c>
      <c r="K623" s="32">
        <f>IF(B623="高三",IF($E623="男",LOOKUP(J623,[1]对照表!$O$3:$O$24,[1]对照表!$P$3:$P$24),LOOKUP(J623,[1]对照表!$O$27:$O$48,[1]对照表!$P$27:$P$48)),IF(B623="高二",IF($E623="男",LOOKUP(J623,[1]对照表!$N$3:$N$24,[1]对照表!$P$3:$P$24),LOOKUP(J623,[1]对照表!$N$27:$N$48,[1]对照表!$P$27:$P$48)),IF(B623="高一",IF($E623="男",LOOKUP(J623,[1]对照表!$M$3:$M$24,[1]对照表!$P$3:$P$24),LOOKUP(J623,[1]对照表!$M$27:$M$48,[1]对照表!$P$27:$P$48)))))</f>
        <v>64</v>
      </c>
      <c r="L623" s="21">
        <v>1</v>
      </c>
      <c r="M623" s="32">
        <f>IF(B623="高三",IF($E623="男",LOOKUP(L623,[1]对照表!$S$3:$S$24,[1]对照表!$T$3:$T$24),LOOKUP(L623,[1]对照表!$S$27:$S$48,[1]对照表!$T$27:$T$48)),IF(B623="高二",IF($E623="男",LOOKUP(L623,[1]对照表!$R$3:$R$24,[1]对照表!$T$3:$T$24),LOOKUP(L623,[1]对照表!$R$27:$R$48,[1]对照表!$T$27:$T$48)),IF(B623="高一",IF($E623="男",LOOKUP(L623,[1]对照表!$Q$3:$Q$24,[1]对照表!$T$3:$T$24),LOOKUP(L623,[1]对照表!$Q$27:$Q$48,[1]对照表!$T$27:$T$48)))))</f>
        <v>0</v>
      </c>
      <c r="N623" s="33">
        <f>IF(B623="高三",MAX(IF(E623="男",L623-18,L623-55),0),IF(B623="高二",MAX(IF(E623="男",L623-17,L623-54),0),IF(B623="高一",MAX(IF(E623="男",L623-16,L623-53),0))))</f>
        <v>0</v>
      </c>
      <c r="O623" s="23">
        <f>IF(E623="男",LOOKUP($N623,[1]对照表!$Z$3:$Z$13,[1]对照表!$AA$3:$AA$13),LOOKUP($N623,[1]对照表!$Z$15:$Z$25,[1]对照表!$AA$15:$AA$25))</f>
        <v>0</v>
      </c>
      <c r="P623" s="24">
        <f>M623+O623</f>
        <v>0</v>
      </c>
      <c r="Q623" s="25">
        <v>3.48</v>
      </c>
      <c r="R623" s="32">
        <f>IF(B623="高三",IF($E623="男",LOOKUP(Q623,[1]对照表!$W$3:$W$24,[1]对照表!$X$3:$X$24),LOOKUP(Q623,[1]对照表!$W$27:$W$48,[1]对照表!$X$27:$X$48)),IF(B623="高二",IF($E623="男",LOOKUP(Q623,[1]对照表!$V$3:$V$24,[1]对照表!$X$3:$X$24),LOOKUP(Q623,[1]对照表!$V$27:$V$48,[1]对照表!$X$27:$X$48)),IF(B623="高一",IF($E623="男",LOOKUP(Q623,[1]对照表!$U$3:$U$24,[1]对照表!$X$3:$X$24),LOOKUP(Q623,[1]对照表!$U$27:$U$48,[1]对照表!$X$27:$X$48)))))</f>
        <v>80</v>
      </c>
      <c r="S623" s="33">
        <f>ROUND(IF(IF($B623="高三",MIN(IF($E623="男",$Q623-3.2,$Q623-3.2),0),IF($B623="高二",MIN(IF($E623="男",$Q623-3.25,$Q623-3.22),0),IF($B623="高一",MIN(IF($E623="男",$Q623-3.3,$Q623-3.24),0))))&lt;-0.6,IF($B623="高三",MIN(IF($E623="男",$Q623-3.2,$Q623-3.2),0),IF($B623="高二",MIN(IF($E623="男",$Q623-3.25,$Q623-3.22),0),IF($B623="高一",MIN(IF($E623="男",$Q623-3.3,$Q623-3.24),0))))+0.4,IF($B623="高三",MIN(IF($E623="男",$Q623-3.2,$Q623-3.2),0),IF($B623="高二",MIN(IF($E623="男",$Q623-3.25,$Q623-3.22),0),IF($B623="高一",MIN(IF($E623="男",$Q623-3.3,$Q623-3.24),0))))),2)</f>
        <v>0</v>
      </c>
      <c r="T623" s="23">
        <f>IF(E623="男",LOOKUP($S623,[1]对照表!$AB$3:$AB$13,[1]对照表!$AC$3:$AC$13),LOOKUP($S623,[1]对照表!$AB$15:$AB$25,[1]对照表!$AC$15:$AC$25))</f>
        <v>0</v>
      </c>
      <c r="U623" s="26">
        <f>R623+T623</f>
        <v>80</v>
      </c>
      <c r="V623" s="26">
        <f>SUM(I623,K623,M623)/3*0.3+SUM(G623,R623)/2*0.4</f>
        <v>45.2</v>
      </c>
      <c r="W623" s="27">
        <f>O623+T623</f>
        <v>0</v>
      </c>
      <c r="X623" s="28">
        <f>V623/0.7+W623</f>
        <v>64.571428571428584</v>
      </c>
      <c r="Y623" s="28">
        <v>64.571428571428584</v>
      </c>
      <c r="Z623" s="21"/>
    </row>
    <row r="624" spans="1:26" x14ac:dyDescent="0.25">
      <c r="A624" s="16">
        <v>26</v>
      </c>
      <c r="B624" s="17" t="s">
        <v>21</v>
      </c>
      <c r="C624" s="16">
        <v>114</v>
      </c>
      <c r="D624" s="18" t="s">
        <v>554</v>
      </c>
      <c r="E624" s="17" t="s">
        <v>65</v>
      </c>
      <c r="F624" s="19">
        <v>9.1</v>
      </c>
      <c r="G624" s="32">
        <f>IF(B624="高三",IF($E624="男",LOOKUP(F624,[1]对照表!$G$3:$G$24,[1]对照表!$H$3:$H$24),LOOKUP(F624,[1]对照表!$G$27:$G$48,[1]对照表!$H$27:$H$48)),IF(B624="高二",IF($E624="男",LOOKUP(F624,[1]对照表!$F$3:$F$24,[1]对照表!$H$3:$H$24),LOOKUP(F624,[1]对照表!$F$27:$F$48,[1]对照表!$H$27:$H$48)),IF(B624="高一",IF($E624="男",LOOKUP(F624,[1]对照表!$E$3:$E$24,[1]对照表!$H$3:$H$24),LOOKUP(F624,[1]对照表!$E$27:$E$48,[1]对照表!$H$27:$H$48)))))</f>
        <v>74</v>
      </c>
      <c r="H624" s="21">
        <v>11</v>
      </c>
      <c r="I624" s="32">
        <f>IF(B624="高三",IF($E624="男",LOOKUP(H624,[1]对照表!$K$3:$K$24,[1]对照表!$L$3:$L$24),LOOKUP(H624,[1]对照表!$K$27:$K$48,[1]对照表!$L$27:$L$48)),IF(B624="高二",IF($E624="男",LOOKUP(H624,[1]对照表!$J$3:$J$24,[1]对照表!$L$3:$L$24),LOOKUP(H624,[1]对照表!$J$27:$J$48,[1]对照表!$L$27:$L$48)),IF(B624="高一",IF($E624="男",LOOKUP(H624,[1]对照表!$I$3:$I$24,[1]对照表!$L$3:$L$24),LOOKUP(H624,[1]对照表!$I$27:$I$48,[1]对照表!$L$27:$L$48)))))</f>
        <v>70</v>
      </c>
      <c r="J624" s="21">
        <v>160</v>
      </c>
      <c r="K624" s="32">
        <f>IF(B624="高三",IF($E624="男",LOOKUP(J624,[1]对照表!$O$3:$O$24,[1]对照表!$P$3:$P$24),LOOKUP(J624,[1]对照表!$O$27:$O$48,[1]对照表!$P$27:$P$48)),IF(B624="高二",IF($E624="男",LOOKUP(J624,[1]对照表!$N$3:$N$24,[1]对照表!$P$3:$P$24),LOOKUP(J624,[1]对照表!$N$27:$N$48,[1]对照表!$P$27:$P$48)),IF(B624="高一",IF($E624="男",LOOKUP(J624,[1]对照表!$M$3:$M$24,[1]对照表!$P$3:$P$24),LOOKUP(J624,[1]对照表!$M$27:$M$48,[1]对照表!$P$27:$P$48)))))</f>
        <v>68</v>
      </c>
      <c r="L624" s="21">
        <v>44</v>
      </c>
      <c r="M624" s="32">
        <f>IF(B624="高三",IF($E624="男",LOOKUP(L624,[1]对照表!$S$3:$S$24,[1]对照表!$T$3:$T$24),LOOKUP(L624,[1]对照表!$S$27:$S$48,[1]对照表!$T$27:$T$48)),IF(B624="高二",IF($E624="男",LOOKUP(L624,[1]对照表!$R$3:$R$24,[1]对照表!$T$3:$T$24),LOOKUP(L624,[1]对照表!$R$27:$R$48,[1]对照表!$T$27:$T$48)),IF(B624="高一",IF($E624="男",LOOKUP(L624,[1]对照表!$Q$3:$Q$24,[1]对照表!$T$3:$T$24),LOOKUP(L624,[1]对照表!$Q$27:$Q$48,[1]对照表!$T$27:$T$48)))))</f>
        <v>80</v>
      </c>
      <c r="N624" s="33">
        <f>IF(B624="高三",MAX(IF(E624="男",L624-18,L624-55),0),IF(B624="高二",MAX(IF(E624="男",L624-17,L624-54),0),IF(B624="高一",MAX(IF(E624="男",L624-16,L624-53),0))))</f>
        <v>0</v>
      </c>
      <c r="O624" s="23">
        <f>IF(E624="男",LOOKUP($N624,[1]对照表!$Z$3:$Z$13,[1]对照表!$AA$3:$AA$13),LOOKUP($N624,[1]对照表!$Z$15:$Z$25,[1]对照表!$AA$15:$AA$25))</f>
        <v>0</v>
      </c>
      <c r="P624" s="24">
        <f>M624+O624</f>
        <v>80</v>
      </c>
      <c r="Q624" s="25">
        <v>3.47</v>
      </c>
      <c r="R624" s="32">
        <f>IF(B624="高三",IF($E624="男",LOOKUP(Q624,[1]对照表!$W$3:$W$24,[1]对照表!$X$3:$X$24),LOOKUP(Q624,[1]对照表!$W$27:$W$48,[1]对照表!$X$27:$X$48)),IF(B624="高二",IF($E624="男",LOOKUP(Q624,[1]对照表!$V$3:$V$24,[1]对照表!$X$3:$X$24),LOOKUP(Q624,[1]对照表!$V$27:$V$48,[1]对照表!$X$27:$X$48)),IF(B624="高一",IF($E624="男",LOOKUP(Q624,[1]对照表!$U$3:$U$24,[1]对照表!$X$3:$X$24),LOOKUP(Q624,[1]对照表!$U$27:$U$48,[1]对照表!$X$27:$X$48)))))</f>
        <v>80</v>
      </c>
      <c r="S624" s="33">
        <f>ROUND(IF(IF($B624="高三",MIN(IF($E624="男",$Q624-3.2,$Q624-3.2),0),IF($B624="高二",MIN(IF($E624="男",$Q624-3.25,$Q624-3.22),0),IF($B624="高一",MIN(IF($E624="男",$Q624-3.3,$Q624-3.24),0))))&lt;-0.6,IF($B624="高三",MIN(IF($E624="男",$Q624-3.2,$Q624-3.2),0),IF($B624="高二",MIN(IF($E624="男",$Q624-3.25,$Q624-3.22),0),IF($B624="高一",MIN(IF($E624="男",$Q624-3.3,$Q624-3.24),0))))+0.4,IF($B624="高三",MIN(IF($E624="男",$Q624-3.2,$Q624-3.2),0),IF($B624="高二",MIN(IF($E624="男",$Q624-3.25,$Q624-3.22),0),IF($B624="高一",MIN(IF($E624="男",$Q624-3.3,$Q624-3.24),0))))),2)</f>
        <v>0</v>
      </c>
      <c r="T624" s="23">
        <f>IF(E624="男",LOOKUP($S624,[1]对照表!$AB$3:$AB$13,[1]对照表!$AC$3:$AC$13),LOOKUP($S624,[1]对照表!$AB$15:$AB$25,[1]对照表!$AC$15:$AC$25))</f>
        <v>0</v>
      </c>
      <c r="U624" s="26">
        <f>R624+T624</f>
        <v>80</v>
      </c>
      <c r="V624" s="26">
        <f>SUM(I624,K624,M624)/3*0.3+SUM(G624,R624)/2*0.4</f>
        <v>52.6</v>
      </c>
      <c r="W624" s="27">
        <f>O624+T624</f>
        <v>0</v>
      </c>
      <c r="X624" s="28">
        <f>V624/0.7+W624</f>
        <v>75.142857142857153</v>
      </c>
      <c r="Y624" s="28">
        <v>75.142857142857153</v>
      </c>
      <c r="Z624" s="21"/>
    </row>
    <row r="625" spans="1:26" x14ac:dyDescent="0.25">
      <c r="A625" s="16">
        <v>18</v>
      </c>
      <c r="B625" s="17" t="s">
        <v>21</v>
      </c>
      <c r="C625" s="16">
        <v>114</v>
      </c>
      <c r="D625" s="18" t="s">
        <v>577</v>
      </c>
      <c r="E625" s="16" t="s">
        <v>23</v>
      </c>
      <c r="F625" s="19">
        <v>7.3</v>
      </c>
      <c r="G625" s="32">
        <f>IF(B625="高三",IF($E625="男",LOOKUP(F625,[1]对照表!$G$3:$G$24,[1]对照表!$H$3:$H$24),LOOKUP(F625,[1]对照表!$G$27:$G$48,[1]对照表!$H$27:$H$48)),IF(B625="高二",IF($E625="男",LOOKUP(F625,[1]对照表!$F$3:$F$24,[1]对照表!$H$3:$H$24),LOOKUP(F625,[1]对照表!$F$27:$F$48,[1]对照表!$H$27:$H$48)),IF(B625="高一",IF($E625="男",LOOKUP(F625,[1]对照表!$E$3:$E$24,[1]对照表!$H$3:$H$24),LOOKUP(F625,[1]对照表!$E$27:$E$48,[1]对照表!$H$27:$H$48)))))</f>
        <v>90</v>
      </c>
      <c r="H625" s="21">
        <v>8</v>
      </c>
      <c r="I625" s="32">
        <f>IF(B625="高三",IF($E625="男",LOOKUP(H625,[1]对照表!$K$3:$K$24,[1]对照表!$L$3:$L$24),LOOKUP(H625,[1]对照表!$K$27:$K$48,[1]对照表!$L$27:$L$48)),IF(B625="高二",IF($E625="男",LOOKUP(H625,[1]对照表!$J$3:$J$24,[1]对照表!$L$3:$L$24),LOOKUP(H625,[1]对照表!$J$27:$J$48,[1]对照表!$L$27:$L$48)),IF(B625="高一",IF($E625="男",LOOKUP(H625,[1]对照表!$I$3:$I$24,[1]对照表!$L$3:$L$24),LOOKUP(H625,[1]对照表!$I$27:$I$48,[1]对照表!$L$27:$L$48)))))</f>
        <v>70</v>
      </c>
      <c r="J625" s="21">
        <v>227</v>
      </c>
      <c r="K625" s="32">
        <f>IF(B625="高三",IF($E625="男",LOOKUP(J625,[1]对照表!$O$3:$O$24,[1]对照表!$P$3:$P$24),LOOKUP(J625,[1]对照表!$O$27:$O$48,[1]对照表!$P$27:$P$48)),IF(B625="高二",IF($E625="男",LOOKUP(J625,[1]对照表!$N$3:$N$24,[1]对照表!$P$3:$P$24),LOOKUP(J625,[1]对照表!$N$27:$N$48,[1]对照表!$P$27:$P$48)),IF(B625="高一",IF($E625="男",LOOKUP(J625,[1]对照表!$M$3:$M$24,[1]对照表!$P$3:$P$24),LOOKUP(J625,[1]对照表!$M$27:$M$48,[1]对照表!$P$27:$P$48)))))</f>
        <v>76</v>
      </c>
      <c r="L625" s="21">
        <v>13</v>
      </c>
      <c r="M625" s="32">
        <f>IF(B625="高三",IF($E625="男",LOOKUP(L625,[1]对照表!$S$3:$S$24,[1]对照表!$T$3:$T$24),LOOKUP(L625,[1]对照表!$S$27:$S$48,[1]对照表!$T$27:$T$48)),IF(B625="高二",IF($E625="男",LOOKUP(L625,[1]对照表!$R$3:$R$24,[1]对照表!$T$3:$T$24),LOOKUP(L625,[1]对照表!$R$27:$R$48,[1]对照表!$T$27:$T$48)),IF(B625="高一",IF($E625="男",LOOKUP(L625,[1]对照表!$Q$3:$Q$24,[1]对照表!$T$3:$T$24),LOOKUP(L625,[1]对照表!$Q$27:$Q$48,[1]对照表!$T$27:$T$48)))))</f>
        <v>85</v>
      </c>
      <c r="N625" s="33">
        <f>IF(B625="高三",MAX(IF(E625="男",L625-18,L625-55),0),IF(B625="高二",MAX(IF(E625="男",L625-17,L625-54),0),IF(B625="高一",MAX(IF(E625="男",L625-16,L625-53),0))))</f>
        <v>0</v>
      </c>
      <c r="O625" s="23">
        <f>IF(E625="男",LOOKUP($N625,[1]对照表!$Z$3:$Z$13,[1]对照表!$AA$3:$AA$13),LOOKUP($N625,[1]对照表!$Z$15:$Z$25,[1]对照表!$AA$15:$AA$25))</f>
        <v>0</v>
      </c>
      <c r="P625" s="24">
        <f>M625+O625</f>
        <v>85</v>
      </c>
      <c r="Q625" s="25" t="s">
        <v>578</v>
      </c>
      <c r="R625" s="20">
        <v>0</v>
      </c>
      <c r="S625" s="22">
        <v>0</v>
      </c>
      <c r="T625" s="23">
        <f>IF(E625="男",LOOKUP($S625,[1]对照表!$AB$3:$AB$13,[1]对照表!$AC$3:$AC$13),LOOKUP($S625,[1]对照表!$AB$15:$AB$25,[1]对照表!$AC$15:$AC$25))</f>
        <v>0</v>
      </c>
      <c r="U625" s="26">
        <f>R625+T625</f>
        <v>0</v>
      </c>
      <c r="V625" s="26">
        <f>SUM(I625,K625,M625)/3*0.3+SUM(G625,R625)/2*0.4</f>
        <v>41.099999999999994</v>
      </c>
      <c r="W625" s="27">
        <f>O625+T625</f>
        <v>0</v>
      </c>
      <c r="X625" s="28">
        <f>V625/0.7+W625</f>
        <v>58.714285714285708</v>
      </c>
      <c r="Y625" s="28">
        <v>58.714285714285708</v>
      </c>
      <c r="Z625" s="21"/>
    </row>
    <row r="626" spans="1:26" x14ac:dyDescent="0.25">
      <c r="A626" s="16">
        <v>32</v>
      </c>
      <c r="B626" s="17" t="s">
        <v>21</v>
      </c>
      <c r="C626" s="16">
        <v>114</v>
      </c>
      <c r="D626" s="18" t="s">
        <v>602</v>
      </c>
      <c r="E626" s="17" t="s">
        <v>65</v>
      </c>
      <c r="F626" s="19">
        <v>9.9</v>
      </c>
      <c r="G626" s="32">
        <f>IF(B626="高三",IF($E626="男",LOOKUP(F626,[1]对照表!$G$3:$G$24,[1]对照表!$H$3:$H$24),LOOKUP(F626,[1]对照表!$G$27:$G$48,[1]对照表!$H$27:$H$48)),IF(B626="高二",IF($E626="男",LOOKUP(F626,[1]对照表!$F$3:$F$24,[1]对照表!$H$3:$H$24),LOOKUP(F626,[1]对照表!$F$27:$F$48,[1]对照表!$H$27:$H$48)),IF(B626="高一",IF($E626="男",LOOKUP(F626,[1]对照表!$E$3:$E$24,[1]对照表!$H$3:$H$24),LOOKUP(F626,[1]对照表!$E$27:$E$48,[1]对照表!$H$27:$H$48)))))</f>
        <v>66</v>
      </c>
      <c r="H626" s="21">
        <v>20.6</v>
      </c>
      <c r="I626" s="32">
        <f>IF(B626="高三",IF($E626="男",LOOKUP(H626,[1]对照表!$K$3:$K$24,[1]对照表!$L$3:$L$24),LOOKUP(H626,[1]对照表!$K$27:$K$48,[1]对照表!$L$27:$L$48)),IF(B626="高二",IF($E626="男",LOOKUP(H626,[1]对照表!$J$3:$J$24,[1]对照表!$L$3:$L$24),LOOKUP(H626,[1]对照表!$J$27:$J$48,[1]对照表!$L$27:$L$48)),IF(B626="高一",IF($E626="男",LOOKUP(H626,[1]对照表!$I$3:$I$24,[1]对照表!$L$3:$L$24),LOOKUP(H626,[1]对照表!$I$27:$I$48,[1]对照表!$L$27:$L$48)))))</f>
        <v>85</v>
      </c>
      <c r="J626" s="21">
        <v>155</v>
      </c>
      <c r="K626" s="32">
        <f>IF(B626="高三",IF($E626="男",LOOKUP(J626,[1]对照表!$O$3:$O$24,[1]对照表!$P$3:$P$24),LOOKUP(J626,[1]对照表!$O$27:$O$48,[1]对照表!$P$27:$P$48)),IF(B626="高二",IF($E626="男",LOOKUP(J626,[1]对照表!$N$3:$N$24,[1]对照表!$P$3:$P$24),LOOKUP(J626,[1]对照表!$N$27:$N$48,[1]对照表!$P$27:$P$48)),IF(B626="高一",IF($E626="男",LOOKUP(J626,[1]对照表!$M$3:$M$24,[1]对照表!$P$3:$P$24),LOOKUP(J626,[1]对照表!$M$27:$M$48,[1]对照表!$P$27:$P$48)))))</f>
        <v>64</v>
      </c>
      <c r="L626" s="21">
        <v>38</v>
      </c>
      <c r="M626" s="32">
        <f>IF(B626="高三",IF($E626="男",LOOKUP(L626,[1]对照表!$S$3:$S$24,[1]对照表!$T$3:$T$24),LOOKUP(L626,[1]对照表!$S$27:$S$48,[1]对照表!$T$27:$T$48)),IF(B626="高二",IF($E626="男",LOOKUP(L626,[1]对照表!$R$3:$R$24,[1]对照表!$T$3:$T$24),LOOKUP(L626,[1]对照表!$R$27:$R$48,[1]对照表!$T$27:$T$48)),IF(B626="高一",IF($E626="男",LOOKUP(L626,[1]对照表!$Q$3:$Q$24,[1]对照表!$T$3:$T$24),LOOKUP(L626,[1]对照表!$Q$27:$Q$48,[1]对照表!$T$27:$T$48)))))</f>
        <v>74</v>
      </c>
      <c r="N626" s="33">
        <f>IF(B626="高三",MAX(IF(E626="男",L626-18,L626-55),0),IF(B626="高二",MAX(IF(E626="男",L626-17,L626-54),0),IF(B626="高一",MAX(IF(E626="男",L626-16,L626-53),0))))</f>
        <v>0</v>
      </c>
      <c r="O626" s="23">
        <f>IF(E626="男",LOOKUP($N626,[1]对照表!$Z$3:$Z$13,[1]对照表!$AA$3:$AA$13),LOOKUP($N626,[1]对照表!$Z$15:$Z$25,[1]对照表!$AA$15:$AA$25))</f>
        <v>0</v>
      </c>
      <c r="P626" s="24">
        <f>M626+O626</f>
        <v>74</v>
      </c>
      <c r="Q626" s="25">
        <v>3.5</v>
      </c>
      <c r="R626" s="32">
        <f>IF(B626="高三",IF($E626="男",LOOKUP(Q626,[1]对照表!$W$3:$W$24,[1]对照表!$X$3:$X$24),LOOKUP(Q626,[1]对照表!$W$27:$W$48,[1]对照表!$X$27:$X$48)),IF(B626="高二",IF($E626="男",LOOKUP(Q626,[1]对照表!$V$3:$V$24,[1]对照表!$X$3:$X$24),LOOKUP(Q626,[1]对照表!$V$27:$V$48,[1]对照表!$X$27:$X$48)),IF(B626="高一",IF($E626="男",LOOKUP(Q626,[1]对照表!$U$3:$U$24,[1]对照表!$X$3:$X$24),LOOKUP(Q626,[1]对照表!$U$27:$U$48,[1]对照表!$X$27:$X$48)))))</f>
        <v>80</v>
      </c>
      <c r="S626" s="33">
        <f>ROUND(IF(IF($B626="高三",MIN(IF($E626="男",$Q626-3.2,$Q626-3.2),0),IF($B626="高二",MIN(IF($E626="男",$Q626-3.25,$Q626-3.22),0),IF($B626="高一",MIN(IF($E626="男",$Q626-3.3,$Q626-3.24),0))))&lt;-0.6,IF($B626="高三",MIN(IF($E626="男",$Q626-3.2,$Q626-3.2),0),IF($B626="高二",MIN(IF($E626="男",$Q626-3.25,$Q626-3.22),0),IF($B626="高一",MIN(IF($E626="男",$Q626-3.3,$Q626-3.24),0))))+0.4,IF($B626="高三",MIN(IF($E626="男",$Q626-3.2,$Q626-3.2),0),IF($B626="高二",MIN(IF($E626="男",$Q626-3.25,$Q626-3.22),0),IF($B626="高一",MIN(IF($E626="男",$Q626-3.3,$Q626-3.24),0))))),2)</f>
        <v>0</v>
      </c>
      <c r="T626" s="23">
        <f>IF(E626="男",LOOKUP($S626,[1]对照表!$AB$3:$AB$13,[1]对照表!$AC$3:$AC$13),LOOKUP($S626,[1]对照表!$AB$15:$AB$25,[1]对照表!$AC$15:$AC$25))</f>
        <v>0</v>
      </c>
      <c r="U626" s="26">
        <f>R626+T626</f>
        <v>80</v>
      </c>
      <c r="V626" s="26">
        <f>SUM(I626,K626,M626)/3*0.3+SUM(G626,R626)/2*0.4</f>
        <v>51.5</v>
      </c>
      <c r="W626" s="27">
        <f>O626+T626</f>
        <v>0</v>
      </c>
      <c r="X626" s="28">
        <f>V626/0.7+W626</f>
        <v>73.571428571428569</v>
      </c>
      <c r="Y626" s="28">
        <v>73.571428571428569</v>
      </c>
      <c r="Z626" s="21"/>
    </row>
    <row r="627" spans="1:26" x14ac:dyDescent="0.25">
      <c r="A627" s="16">
        <v>23</v>
      </c>
      <c r="B627" s="17" t="s">
        <v>21</v>
      </c>
      <c r="C627" s="16">
        <v>114</v>
      </c>
      <c r="D627" s="18" t="s">
        <v>611</v>
      </c>
      <c r="E627" s="31" t="s">
        <v>65</v>
      </c>
      <c r="F627" s="19">
        <v>9.1</v>
      </c>
      <c r="G627" s="32">
        <f>IF(B627="高三",IF($E627="男",LOOKUP(F627,[1]对照表!$G$3:$G$24,[1]对照表!$H$3:$H$24),LOOKUP(F627,[1]对照表!$G$27:$G$48,[1]对照表!$H$27:$H$48)),IF(B627="高二",IF($E627="男",LOOKUP(F627,[1]对照表!$F$3:$F$24,[1]对照表!$H$3:$H$24),LOOKUP(F627,[1]对照表!$F$27:$F$48,[1]对照表!$H$27:$H$48)),IF(B627="高一",IF($E627="男",LOOKUP(F627,[1]对照表!$E$3:$E$24,[1]对照表!$H$3:$H$24),LOOKUP(F627,[1]对照表!$E$27:$E$48,[1]对照表!$H$27:$H$48)))))</f>
        <v>74</v>
      </c>
      <c r="H627" s="21">
        <v>4.2</v>
      </c>
      <c r="I627" s="32">
        <f>IF(B627="高三",IF($E627="男",LOOKUP(H627,[1]对照表!$K$3:$K$24,[1]对照表!$L$3:$L$24),LOOKUP(H627,[1]对照表!$K$27:$K$48,[1]对照表!$L$27:$L$48)),IF(B627="高二",IF($E627="男",LOOKUP(H627,[1]对照表!$J$3:$J$24,[1]对照表!$L$3:$L$24),LOOKUP(H627,[1]对照表!$J$27:$J$48,[1]对照表!$L$27:$L$48)),IF(B627="高一",IF($E627="男",LOOKUP(H627,[1]对照表!$I$3:$I$24,[1]对照表!$L$3:$L$24),LOOKUP(H627,[1]对照表!$I$27:$I$48,[1]对照表!$L$27:$L$48)))))</f>
        <v>50</v>
      </c>
      <c r="J627" s="21">
        <v>170</v>
      </c>
      <c r="K627" s="32">
        <f>IF(B627="高三",IF($E627="男",LOOKUP(J627,[1]对照表!$O$3:$O$24,[1]对照表!$P$3:$P$24),LOOKUP(J627,[1]对照表!$O$27:$O$48,[1]对照表!$P$27:$P$48)),IF(B627="高二",IF($E627="男",LOOKUP(J627,[1]对照表!$N$3:$N$24,[1]对照表!$P$3:$P$24),LOOKUP(J627,[1]对照表!$N$27:$N$48,[1]对照表!$P$27:$P$48)),IF(B627="高一",IF($E627="男",LOOKUP(J627,[1]对照表!$M$3:$M$24,[1]对照表!$P$3:$P$24),LOOKUP(J627,[1]对照表!$M$27:$M$48,[1]对照表!$P$27:$P$48)))))</f>
        <v>74</v>
      </c>
      <c r="L627" s="21">
        <v>42</v>
      </c>
      <c r="M627" s="32">
        <f>IF(B627="高三",IF($E627="男",LOOKUP(L627,[1]对照表!$S$3:$S$24,[1]对照表!$T$3:$T$24),LOOKUP(L627,[1]对照表!$S$27:$S$48,[1]对照表!$T$27:$T$48)),IF(B627="高二",IF($E627="男",LOOKUP(L627,[1]对照表!$R$3:$R$24,[1]对照表!$T$3:$T$24),LOOKUP(L627,[1]对照表!$R$27:$R$48,[1]对照表!$T$27:$T$48)),IF(B627="高一",IF($E627="男",LOOKUP(L627,[1]对照表!$Q$3:$Q$24,[1]对照表!$T$3:$T$24),LOOKUP(L627,[1]对照表!$Q$27:$Q$48,[1]对照表!$T$27:$T$48)))))</f>
        <v>78</v>
      </c>
      <c r="N627" s="33">
        <f>IF(B627="高三",MAX(IF(E627="男",L627-18,L627-55),0),IF(B627="高二",MAX(IF(E627="男",L627-17,L627-54),0),IF(B627="高一",MAX(IF(E627="男",L627-16,L627-53),0))))</f>
        <v>0</v>
      </c>
      <c r="O627" s="23">
        <f>IF(E627="男",LOOKUP($N627,[1]对照表!$Z$3:$Z$13,[1]对照表!$AA$3:$AA$13),LOOKUP($N627,[1]对照表!$Z$15:$Z$25,[1]对照表!$AA$15:$AA$25))</f>
        <v>0</v>
      </c>
      <c r="P627" s="24">
        <f>M627+O627</f>
        <v>78</v>
      </c>
      <c r="Q627" s="25">
        <v>3.52</v>
      </c>
      <c r="R627" s="32">
        <f>IF(B627="高三",IF($E627="男",LOOKUP(Q627,[1]对照表!$W$3:$W$24,[1]对照表!$X$3:$X$24),LOOKUP(Q627,[1]对照表!$W$27:$W$48,[1]对照表!$X$27:$X$48)),IF(B627="高二",IF($E627="男",LOOKUP(Q627,[1]对照表!$V$3:$V$24,[1]对照表!$X$3:$X$24),LOOKUP(Q627,[1]对照表!$V$27:$V$48,[1]对照表!$X$27:$X$48)),IF(B627="高一",IF($E627="男",LOOKUP(Q627,[1]对照表!$U$3:$U$24,[1]对照表!$X$3:$X$24),LOOKUP(Q627,[1]对照表!$U$27:$U$48,[1]对照表!$X$27:$X$48)))))</f>
        <v>78</v>
      </c>
      <c r="S627" s="33">
        <f>ROUND(IF(IF($B627="高三",MIN(IF($E627="男",$Q627-3.2,$Q627-3.2),0),IF($B627="高二",MIN(IF($E627="男",$Q627-3.25,$Q627-3.22),0),IF($B627="高一",MIN(IF($E627="男",$Q627-3.3,$Q627-3.24),0))))&lt;-0.6,IF($B627="高三",MIN(IF($E627="男",$Q627-3.2,$Q627-3.2),0),IF($B627="高二",MIN(IF($E627="男",$Q627-3.25,$Q627-3.22),0),IF($B627="高一",MIN(IF($E627="男",$Q627-3.3,$Q627-3.24),0))))+0.4,IF($B627="高三",MIN(IF($E627="男",$Q627-3.2,$Q627-3.2),0),IF($B627="高二",MIN(IF($E627="男",$Q627-3.25,$Q627-3.22),0),IF($B627="高一",MIN(IF($E627="男",$Q627-3.3,$Q627-3.24),0))))),2)</f>
        <v>0</v>
      </c>
      <c r="T627" s="23">
        <f>IF(E627="男",LOOKUP($S627,[1]对照表!$AB$3:$AB$13,[1]对照表!$AC$3:$AC$13),LOOKUP($S627,[1]对照表!$AB$15:$AB$25,[1]对照表!$AC$15:$AC$25))</f>
        <v>0</v>
      </c>
      <c r="U627" s="26">
        <f>R627+T627</f>
        <v>78</v>
      </c>
      <c r="V627" s="26">
        <f>SUM(I627,K627,M627)/3*0.3+SUM(G627,R627)/2*0.4</f>
        <v>50.6</v>
      </c>
      <c r="W627" s="27">
        <f>O627+T627</f>
        <v>0</v>
      </c>
      <c r="X627" s="28">
        <f>V627/0.7+W627</f>
        <v>72.285714285714292</v>
      </c>
      <c r="Y627" s="28">
        <v>72.285714285714292</v>
      </c>
      <c r="Z627" s="21"/>
    </row>
    <row r="628" spans="1:26" x14ac:dyDescent="0.25">
      <c r="A628" s="16">
        <v>5</v>
      </c>
      <c r="B628" s="17" t="s">
        <v>21</v>
      </c>
      <c r="C628" s="16">
        <v>114</v>
      </c>
      <c r="D628" s="18" t="s">
        <v>624</v>
      </c>
      <c r="E628" s="17" t="s">
        <v>23</v>
      </c>
      <c r="F628" s="19">
        <v>8.6</v>
      </c>
      <c r="G628" s="32">
        <f>IF(B628="高三",IF($E628="男",LOOKUP(F628,[1]对照表!$G$3:$G$24,[1]对照表!$H$3:$H$24),LOOKUP(F628,[1]对照表!$G$27:$G$48,[1]对照表!$H$27:$H$48)),IF(B628="高二",IF($E628="男",LOOKUP(F628,[1]对照表!$F$3:$F$24,[1]对照表!$H$3:$H$24),LOOKUP(F628,[1]对照表!$F$27:$F$48,[1]对照表!$H$27:$H$48)),IF(B628="高一",IF($E628="男",LOOKUP(F628,[1]对照表!$E$3:$E$24,[1]对照表!$H$3:$H$24),LOOKUP(F628,[1]对照表!$E$27:$E$48,[1]对照表!$H$27:$H$48)))))</f>
        <v>68</v>
      </c>
      <c r="H628" s="21">
        <v>5.8</v>
      </c>
      <c r="I628" s="32">
        <f>IF(B628="高三",IF($E628="男",LOOKUP(H628,[1]对照表!$K$3:$K$24,[1]对照表!$L$3:$L$24),LOOKUP(H628,[1]对照表!$K$27:$K$48,[1]对照表!$L$27:$L$48)),IF(B628="高二",IF($E628="男",LOOKUP(H628,[1]对照表!$J$3:$J$24,[1]对照表!$L$3:$L$24),LOOKUP(H628,[1]对照表!$J$27:$J$48,[1]对照表!$L$27:$L$48)),IF(B628="高一",IF($E628="男",LOOKUP(H628,[1]对照表!$I$3:$I$24,[1]对照表!$L$3:$L$24),LOOKUP(H628,[1]对照表!$I$27:$I$48,[1]对照表!$L$27:$L$48)))))</f>
        <v>66</v>
      </c>
      <c r="J628" s="21">
        <v>177</v>
      </c>
      <c r="K628" s="32">
        <f>IF(B628="高三",IF($E628="男",LOOKUP(J628,[1]对照表!$O$3:$O$24,[1]对照表!$P$3:$P$24),LOOKUP(J628,[1]对照表!$O$27:$O$48,[1]对照表!$P$27:$P$48)),IF(B628="高二",IF($E628="男",LOOKUP(J628,[1]对照表!$N$3:$N$24,[1]对照表!$P$3:$P$24),LOOKUP(J628,[1]对照表!$N$27:$N$48,[1]对照表!$P$27:$P$48)),IF(B628="高一",IF($E628="男",LOOKUP(J628,[1]对照表!$M$3:$M$24,[1]对照表!$P$3:$P$24),LOOKUP(J628,[1]对照表!$M$27:$M$48,[1]对照表!$P$27:$P$48)))))</f>
        <v>20</v>
      </c>
      <c r="L628" s="21">
        <v>0</v>
      </c>
      <c r="M628" s="32">
        <f>IF(B628="高三",IF($E628="男",LOOKUP(L628,[1]对照表!$S$3:$S$24,[1]对照表!$T$3:$T$24),LOOKUP(L628,[1]对照表!$S$27:$S$48,[1]对照表!$T$27:$T$48)),IF(B628="高二",IF($E628="男",LOOKUP(L628,[1]对照表!$R$3:$R$24,[1]对照表!$T$3:$T$24),LOOKUP(L628,[1]对照表!$R$27:$R$48,[1]对照表!$T$27:$T$48)),IF(B628="高一",IF($E628="男",LOOKUP(L628,[1]对照表!$Q$3:$Q$24,[1]对照表!$T$3:$T$24),LOOKUP(L628,[1]对照表!$Q$27:$Q$48,[1]对照表!$T$27:$T$48)))))</f>
        <v>0</v>
      </c>
      <c r="N628" s="33">
        <f>IF(B628="高三",MAX(IF(E628="男",L628-18,L628-55),0),IF(B628="高二",MAX(IF(E628="男",L628-17,L628-54),0),IF(B628="高一",MAX(IF(E628="男",L628-16,L628-53),0))))</f>
        <v>0</v>
      </c>
      <c r="O628" s="23">
        <f>IF(E628="男",LOOKUP($N628,[1]对照表!$Z$3:$Z$13,[1]对照表!$AA$3:$AA$13),LOOKUP($N628,[1]对照表!$Z$15:$Z$25,[1]对照表!$AA$15:$AA$25))</f>
        <v>0</v>
      </c>
      <c r="P628" s="24">
        <f>M628+O628</f>
        <v>0</v>
      </c>
      <c r="Q628" s="25">
        <v>4.5599999999999996</v>
      </c>
      <c r="R628" s="32">
        <f>IF(B628="高三",IF($E628="男",LOOKUP(Q628,[1]对照表!$W$3:$W$24,[1]对照表!$X$3:$X$24),LOOKUP(Q628,[1]对照表!$W$27:$W$48,[1]对照表!$X$27:$X$48)),IF(B628="高二",IF($E628="男",LOOKUP(Q628,[1]对照表!$V$3:$V$24,[1]对照表!$X$3:$X$24),LOOKUP(Q628,[1]对照表!$V$27:$V$48,[1]对照表!$X$27:$X$48)),IF(B628="高一",IF($E628="男",LOOKUP(Q628,[1]对照表!$U$3:$U$24,[1]对照表!$X$3:$X$24),LOOKUP(Q628,[1]对照表!$U$27:$U$48,[1]对照表!$X$27:$X$48)))))</f>
        <v>50</v>
      </c>
      <c r="S628" s="27">
        <f>ROUND(IF(IF($B628="高三",MIN(IF($E628="男",$Q628-3.2,$Q628-3.2),0),IF($B628="高二",MIN(IF($E628="男",$Q628-3.25,$Q628-3.22),0),IF($B628="高一",MIN(IF($E628="男",$Q628-3.3,$Q628-3.24),0))))&lt;-0.6,IF($B628="高三",MIN(IF($E628="男",$Q628-3.2,$Q628-3.2),0),IF($B628="高二",MIN(IF($E628="男",$Q628-3.25,$Q628-3.22),0),IF($B628="高一",MIN(IF($E628="男",$Q628-3.3,$Q628-3.24),0))))+0.4,IF($B628="高三",MIN(IF($E628="男",$Q628-3.2,$Q628-3.2),0),IF($B628="高二",MIN(IF($E628="男",$Q628-3.25,$Q628-3.22),0),IF($B628="高一",MIN(IF($E628="男",$Q628-3.3,$Q628-3.24),0))))),2)</f>
        <v>0</v>
      </c>
      <c r="T628" s="23">
        <f>IF(E628="男",LOOKUP($S628,[1]对照表!$AB$3:$AB$13,[1]对照表!$AC$3:$AC$13),LOOKUP($S628,[1]对照表!$AB$15:$AB$25,[1]对照表!$AC$15:$AC$25))</f>
        <v>0</v>
      </c>
      <c r="U628" s="26">
        <f>R628+T628</f>
        <v>50</v>
      </c>
      <c r="V628" s="26">
        <f>SUM(I628,K628,M628)/3*0.3+SUM(G628,R628)/2*0.4</f>
        <v>32.200000000000003</v>
      </c>
      <c r="W628" s="27">
        <f>O628+T628</f>
        <v>0</v>
      </c>
      <c r="X628" s="28">
        <f>V628/0.7+W628</f>
        <v>46.000000000000007</v>
      </c>
      <c r="Y628" s="29">
        <v>50</v>
      </c>
      <c r="Z628" s="21"/>
    </row>
    <row r="629" spans="1:26" x14ac:dyDescent="0.25">
      <c r="A629" s="16">
        <v>25</v>
      </c>
      <c r="B629" s="17" t="s">
        <v>21</v>
      </c>
      <c r="C629" s="16">
        <v>114</v>
      </c>
      <c r="D629" s="18" t="s">
        <v>723</v>
      </c>
      <c r="E629" s="17" t="s">
        <v>65</v>
      </c>
      <c r="F629" s="19">
        <v>9.4</v>
      </c>
      <c r="G629" s="32">
        <f>IF(B629="高三",IF($E629="男",LOOKUP(F629,[1]对照表!$G$3:$G$24,[1]对照表!$H$3:$H$24),LOOKUP(F629,[1]对照表!$G$27:$G$48,[1]对照表!$H$27:$H$48)),IF(B629="高二",IF($E629="男",LOOKUP(F629,[1]对照表!$F$3:$F$24,[1]对照表!$H$3:$H$24),LOOKUP(F629,[1]对照表!$F$27:$F$48,[1]对照表!$H$27:$H$48)),IF(B629="高一",IF($E629="男",LOOKUP(F629,[1]对照表!$E$3:$E$24,[1]对照表!$H$3:$H$24),LOOKUP(F629,[1]对照表!$E$27:$E$48,[1]对照表!$H$27:$H$48)))))</f>
        <v>72</v>
      </c>
      <c r="H629" s="21">
        <v>16.2</v>
      </c>
      <c r="I629" s="32">
        <f>IF(B629="高三",IF($E629="男",LOOKUP(H629,[1]对照表!$K$3:$K$24,[1]对照表!$L$3:$L$24),LOOKUP(H629,[1]对照表!$K$27:$K$48,[1]对照表!$L$27:$L$48)),IF(B629="高二",IF($E629="男",LOOKUP(H629,[1]对照表!$J$3:$J$24,[1]对照表!$L$3:$L$24),LOOKUP(H629,[1]对照表!$J$27:$J$48,[1]对照表!$L$27:$L$48)),IF(B629="高一",IF($E629="男",LOOKUP(H629,[1]对照表!$I$3:$I$24,[1]对照表!$L$3:$L$24),LOOKUP(H629,[1]对照表!$I$27:$I$48,[1]对照表!$L$27:$L$48)))))</f>
        <v>78</v>
      </c>
      <c r="J629" s="21">
        <v>140</v>
      </c>
      <c r="K629" s="32">
        <f>IF(B629="高三",IF($E629="男",LOOKUP(J629,[1]对照表!$O$3:$O$24,[1]对照表!$P$3:$P$24),LOOKUP(J629,[1]对照表!$O$27:$O$48,[1]对照表!$P$27:$P$48)),IF(B629="高二",IF($E629="男",LOOKUP(J629,[1]对照表!$N$3:$N$24,[1]对照表!$P$3:$P$24),LOOKUP(J629,[1]对照表!$N$27:$N$48,[1]对照表!$P$27:$P$48)),IF(B629="高一",IF($E629="男",LOOKUP(J629,[1]对照表!$M$3:$M$24,[1]对照表!$P$3:$P$24),LOOKUP(J629,[1]对照表!$M$27:$M$48,[1]对照表!$P$27:$P$48)))))</f>
        <v>40</v>
      </c>
      <c r="L629" s="21">
        <v>40</v>
      </c>
      <c r="M629" s="32">
        <f>IF(B629="高三",IF($E629="男",LOOKUP(L629,[1]对照表!$S$3:$S$24,[1]对照表!$T$3:$T$24),LOOKUP(L629,[1]对照表!$S$27:$S$48,[1]对照表!$T$27:$T$48)),IF(B629="高二",IF($E629="男",LOOKUP(L629,[1]对照表!$R$3:$R$24,[1]对照表!$T$3:$T$24),LOOKUP(L629,[1]对照表!$R$27:$R$48,[1]对照表!$T$27:$T$48)),IF(B629="高一",IF($E629="男",LOOKUP(L629,[1]对照表!$Q$3:$Q$24,[1]对照表!$T$3:$T$24),LOOKUP(L629,[1]对照表!$Q$27:$Q$48,[1]对照表!$T$27:$T$48)))))</f>
        <v>76</v>
      </c>
      <c r="N629" s="33">
        <f>IF(B629="高三",MAX(IF(E629="男",L629-18,L629-55),0),IF(B629="高二",MAX(IF(E629="男",L629-17,L629-54),0),IF(B629="高一",MAX(IF(E629="男",L629-16,L629-53),0))))</f>
        <v>0</v>
      </c>
      <c r="O629" s="23">
        <f>IF(E629="男",LOOKUP($N629,[1]对照表!$Z$3:$Z$13,[1]对照表!$AA$3:$AA$13),LOOKUP($N629,[1]对照表!$Z$15:$Z$25,[1]对照表!$AA$15:$AA$25))</f>
        <v>0</v>
      </c>
      <c r="P629" s="24">
        <f>M629+O629</f>
        <v>76</v>
      </c>
      <c r="Q629" s="25">
        <v>4.17</v>
      </c>
      <c r="R629" s="32">
        <f>IF(B629="高三",IF($E629="男",LOOKUP(Q629,[1]对照表!$W$3:$W$24,[1]对照表!$X$3:$X$24),LOOKUP(Q629,[1]对照表!$W$27:$W$48,[1]对照表!$X$27:$X$48)),IF(B629="高二",IF($E629="男",LOOKUP(Q629,[1]对照表!$V$3:$V$24,[1]对照表!$X$3:$X$24),LOOKUP(Q629,[1]对照表!$V$27:$V$48,[1]对照表!$X$27:$X$48)),IF(B629="高一",IF($E629="男",LOOKUP(Q629,[1]对照表!$U$3:$U$24,[1]对照表!$X$3:$X$24),LOOKUP(Q629,[1]对照表!$U$27:$U$48,[1]对照表!$X$27:$X$48)))))</f>
        <v>68</v>
      </c>
      <c r="S629" s="33">
        <f>ROUND(IF(IF($B629="高三",MIN(IF($E629="男",$Q629-3.2,$Q629-3.2),0),IF($B629="高二",MIN(IF($E629="男",$Q629-3.25,$Q629-3.22),0),IF($B629="高一",MIN(IF($E629="男",$Q629-3.3,$Q629-3.24),0))))&lt;-0.6,IF($B629="高三",MIN(IF($E629="男",$Q629-3.2,$Q629-3.2),0),IF($B629="高二",MIN(IF($E629="男",$Q629-3.25,$Q629-3.22),0),IF($B629="高一",MIN(IF($E629="男",$Q629-3.3,$Q629-3.24),0))))+0.4,IF($B629="高三",MIN(IF($E629="男",$Q629-3.2,$Q629-3.2),0),IF($B629="高二",MIN(IF($E629="男",$Q629-3.25,$Q629-3.22),0),IF($B629="高一",MIN(IF($E629="男",$Q629-3.3,$Q629-3.24),0))))),2)</f>
        <v>0</v>
      </c>
      <c r="T629" s="23">
        <f>IF(E629="男",LOOKUP($S629,[1]对照表!$AB$3:$AB$13,[1]对照表!$AC$3:$AC$13),LOOKUP($S629,[1]对照表!$AB$15:$AB$25,[1]对照表!$AC$15:$AC$25))</f>
        <v>0</v>
      </c>
      <c r="U629" s="26">
        <f>R629+T629</f>
        <v>68</v>
      </c>
      <c r="V629" s="26">
        <f>SUM(I629,K629,M629)/3*0.3+SUM(G629,R629)/2*0.4</f>
        <v>47.400000000000006</v>
      </c>
      <c r="W629" s="27">
        <f>O629+T629</f>
        <v>0</v>
      </c>
      <c r="X629" s="28">
        <f>V629/0.7+W629</f>
        <v>67.714285714285722</v>
      </c>
      <c r="Y629" s="28">
        <v>67.714285714285722</v>
      </c>
      <c r="Z629" s="21"/>
    </row>
    <row r="630" spans="1:26" x14ac:dyDescent="0.25">
      <c r="A630" s="16">
        <v>42</v>
      </c>
      <c r="B630" s="17" t="s">
        <v>21</v>
      </c>
      <c r="C630" s="16">
        <v>114</v>
      </c>
      <c r="D630" s="18" t="s">
        <v>742</v>
      </c>
      <c r="E630" s="17" t="s">
        <v>65</v>
      </c>
      <c r="F630" s="19">
        <v>10.35</v>
      </c>
      <c r="G630" s="32">
        <f>IF(B630="高三",IF($E630="男",LOOKUP(F630,[1]对照表!$G$3:$G$24,[1]对照表!$H$3:$H$24),LOOKUP(F630,[1]对照表!$G$27:$G$48,[1]对照表!$H$27:$H$48)),IF(B630="高二",IF($E630="男",LOOKUP(F630,[1]对照表!$F$3:$F$24,[1]对照表!$H$3:$H$24),LOOKUP(F630,[1]对照表!$F$27:$F$48,[1]对照表!$H$27:$H$48)),IF(B630="高一",IF($E630="男",LOOKUP(F630,[1]对照表!$E$3:$E$24,[1]对照表!$H$3:$H$24),LOOKUP(F630,[1]对照表!$E$27:$E$48,[1]对照表!$H$27:$H$48)))))</f>
        <v>62</v>
      </c>
      <c r="H630" s="21">
        <v>5.5</v>
      </c>
      <c r="I630" s="32">
        <f>IF(B630="高三",IF($E630="男",LOOKUP(H630,[1]对照表!$K$3:$K$24,[1]对照表!$L$3:$L$24),LOOKUP(H630,[1]对照表!$K$27:$K$48,[1]对照表!$L$27:$L$48)),IF(B630="高二",IF($E630="男",LOOKUP(H630,[1]对照表!$J$3:$J$24,[1]对照表!$L$3:$L$24),LOOKUP(H630,[1]对照表!$J$27:$J$48,[1]对照表!$L$27:$L$48)),IF(B630="高一",IF($E630="男",LOOKUP(H630,[1]对照表!$I$3:$I$24,[1]对照表!$L$3:$L$24),LOOKUP(H630,[1]对照表!$I$27:$I$48,[1]对照表!$L$27:$L$48)))))</f>
        <v>60</v>
      </c>
      <c r="J630" s="21">
        <v>163</v>
      </c>
      <c r="K630" s="32">
        <f>IF(B630="高三",IF($E630="男",LOOKUP(J630,[1]对照表!$O$3:$O$24,[1]对照表!$P$3:$P$24),LOOKUP(J630,[1]对照表!$O$27:$O$48,[1]对照表!$P$27:$P$48)),IF(B630="高二",IF($E630="男",LOOKUP(J630,[1]对照表!$N$3:$N$24,[1]对照表!$P$3:$P$24),LOOKUP(J630,[1]对照表!$N$27:$N$48,[1]对照表!$P$27:$P$48)),IF(B630="高一",IF($E630="男",LOOKUP(J630,[1]对照表!$M$3:$M$24,[1]对照表!$P$3:$P$24),LOOKUP(J630,[1]对照表!$M$27:$M$48,[1]对照表!$P$27:$P$48)))))</f>
        <v>70</v>
      </c>
      <c r="L630" s="21">
        <v>47</v>
      </c>
      <c r="M630" s="32">
        <f>IF(B630="高三",IF($E630="男",LOOKUP(L630,[1]对照表!$S$3:$S$24,[1]对照表!$T$3:$T$24),LOOKUP(L630,[1]对照表!$S$27:$S$48,[1]对照表!$T$27:$T$48)),IF(B630="高二",IF($E630="男",LOOKUP(L630,[1]对照表!$R$3:$R$24,[1]对照表!$T$3:$T$24),LOOKUP(L630,[1]对照表!$R$27:$R$48,[1]对照表!$T$27:$T$48)),IF(B630="高一",IF($E630="男",LOOKUP(L630,[1]对照表!$Q$3:$Q$24,[1]对照表!$T$3:$T$24),LOOKUP(L630,[1]对照表!$Q$27:$Q$48,[1]对照表!$T$27:$T$48)))))</f>
        <v>85</v>
      </c>
      <c r="N630" s="33">
        <f>IF(B630="高三",MAX(IF(E630="男",L630-18,L630-55),0),IF(B630="高二",MAX(IF(E630="男",L630-17,L630-54),0),IF(B630="高一",MAX(IF(E630="男",L630-16,L630-53),0))))</f>
        <v>0</v>
      </c>
      <c r="O630" s="23">
        <f>IF(E630="男",LOOKUP($N630,[1]对照表!$Z$3:$Z$13,[1]对照表!$AA$3:$AA$13),LOOKUP($N630,[1]对照表!$Z$15:$Z$25,[1]对照表!$AA$15:$AA$25))</f>
        <v>0</v>
      </c>
      <c r="P630" s="24">
        <f>M630+O630</f>
        <v>85</v>
      </c>
      <c r="Q630" s="25">
        <v>5.09</v>
      </c>
      <c r="R630" s="32">
        <f>IF(B630="高三",IF($E630="男",LOOKUP(Q630,[1]对照表!$W$3:$W$24,[1]对照表!$X$3:$X$24),LOOKUP(Q630,[1]对照表!$W$27:$W$48,[1]对照表!$X$27:$X$48)),IF(B630="高二",IF($E630="男",LOOKUP(Q630,[1]对照表!$V$3:$V$24,[1]对照表!$X$3:$X$24),LOOKUP(Q630,[1]对照表!$V$27:$V$48,[1]对照表!$X$27:$X$48)),IF(B630="高一",IF($E630="男",LOOKUP(Q630,[1]对照表!$U$3:$U$24,[1]对照表!$X$3:$X$24),LOOKUP(Q630,[1]对照表!$U$27:$U$48,[1]对照表!$X$27:$X$48)))))</f>
        <v>30</v>
      </c>
      <c r="S630" s="33">
        <f>ROUND(IF(IF($B630="高三",MIN(IF($E630="男",$Q630-3.2,$Q630-3.2),0),IF($B630="高二",MIN(IF($E630="男",$Q630-3.25,$Q630-3.22),0),IF($B630="高一",MIN(IF($E630="男",$Q630-3.3,$Q630-3.24),0))))&lt;-0.6,IF($B630="高三",MIN(IF($E630="男",$Q630-3.2,$Q630-3.2),0),IF($B630="高二",MIN(IF($E630="男",$Q630-3.25,$Q630-3.22),0),IF($B630="高一",MIN(IF($E630="男",$Q630-3.3,$Q630-3.24),0))))+0.4,IF($B630="高三",MIN(IF($E630="男",$Q630-3.2,$Q630-3.2),0),IF($B630="高二",MIN(IF($E630="男",$Q630-3.25,$Q630-3.22),0),IF($B630="高一",MIN(IF($E630="男",$Q630-3.3,$Q630-3.24),0))))),2)</f>
        <v>0</v>
      </c>
      <c r="T630" s="23">
        <f>IF(E630="男",LOOKUP($S630,[1]对照表!$AB$3:$AB$13,[1]对照表!$AC$3:$AC$13),LOOKUP($S630,[1]对照表!$AB$15:$AB$25,[1]对照表!$AC$15:$AC$25))</f>
        <v>0</v>
      </c>
      <c r="U630" s="26">
        <f>R630+T630</f>
        <v>30</v>
      </c>
      <c r="V630" s="26">
        <f>SUM(I630,K630,M630)/3*0.3+SUM(G630,R630)/2*0.4</f>
        <v>39.900000000000006</v>
      </c>
      <c r="W630" s="27">
        <f>O630+T630</f>
        <v>0</v>
      </c>
      <c r="X630" s="28">
        <f>V630/0.7+W630</f>
        <v>57.000000000000014</v>
      </c>
      <c r="Y630" s="28">
        <v>57.000000000000014</v>
      </c>
      <c r="Z630" s="21"/>
    </row>
    <row r="631" spans="1:26" x14ac:dyDescent="0.25">
      <c r="A631" s="16">
        <v>41</v>
      </c>
      <c r="B631" s="17" t="s">
        <v>21</v>
      </c>
      <c r="C631" s="16">
        <v>114</v>
      </c>
      <c r="D631" s="18" t="s">
        <v>753</v>
      </c>
      <c r="E631" s="17" t="s">
        <v>65</v>
      </c>
      <c r="F631" s="19" t="s">
        <v>578</v>
      </c>
      <c r="G631" s="32" t="str">
        <f>IF(B631="高三",IF($E631="男",LOOKUP(F631,[1]对照表!$G$3:$G$24,[1]对照表!$H$3:$H$24),LOOKUP(F631,[1]对照表!$G$27:$G$48,[1]对照表!$H$27:$H$48)),IF(B631="高二",IF($E631="男",LOOKUP(F631,[1]对照表!$F$3:$F$24,[1]对照表!$H$3:$H$24),LOOKUP(F631,[1]对照表!$F$27:$F$48,[1]对照表!$H$27:$H$48)),IF(B631="高一",IF($E631="男",LOOKUP(F631,[1]对照表!$E$3:$E$24,[1]对照表!$H$3:$H$24),LOOKUP(F631,[1]对照表!$E$27:$E$48,[1]对照表!$H$27:$H$48)))))</f>
        <v>/</v>
      </c>
      <c r="H631" s="21">
        <v>23.5</v>
      </c>
      <c r="I631" s="32">
        <f>IF(B631="高三",IF($E631="男",LOOKUP(H631,[1]对照表!$K$3:$K$24,[1]对照表!$L$3:$L$24),LOOKUP(H631,[1]对照表!$K$27:$K$48,[1]对照表!$L$27:$L$48)),IF(B631="高二",IF($E631="男",LOOKUP(H631,[1]对照表!$J$3:$J$24,[1]对照表!$L$3:$L$24),LOOKUP(H631,[1]对照表!$J$27:$J$48,[1]对照表!$L$27:$L$48)),IF(B631="高一",IF($E631="男",LOOKUP(H631,[1]对照表!$I$3:$I$24,[1]对照表!$L$3:$L$24),LOOKUP(H631,[1]对照表!$I$27:$I$48,[1]对照表!$L$27:$L$48)))))</f>
        <v>95</v>
      </c>
      <c r="J631" s="21" t="s">
        <v>578</v>
      </c>
      <c r="K631" s="32" t="str">
        <f>IF(B631="高三",IF($E631="男",LOOKUP(J631,[1]对照表!$O$3:$O$24,[1]对照表!$P$3:$P$24),LOOKUP(J631,[1]对照表!$O$27:$O$48,[1]对照表!$P$27:$P$48)),IF(B631="高二",IF($E631="男",LOOKUP(J631,[1]对照表!$N$3:$N$24,[1]对照表!$P$3:$P$24),LOOKUP(J631,[1]对照表!$N$27:$N$48,[1]对照表!$P$27:$P$48)),IF(B631="高一",IF($E631="男",LOOKUP(J631,[1]对照表!$M$3:$M$24,[1]对照表!$P$3:$P$24),LOOKUP(J631,[1]对照表!$M$27:$M$48,[1]对照表!$P$27:$P$48)))))</f>
        <v>/</v>
      </c>
      <c r="L631" s="21">
        <v>52</v>
      </c>
      <c r="M631" s="32">
        <f>IF(B631="高三",IF($E631="男",LOOKUP(L631,[1]对照表!$S$3:$S$24,[1]对照表!$T$3:$T$24),LOOKUP(L631,[1]对照表!$S$27:$S$48,[1]对照表!$T$27:$T$48)),IF(B631="高二",IF($E631="男",LOOKUP(L631,[1]对照表!$R$3:$R$24,[1]对照表!$T$3:$T$24),LOOKUP(L631,[1]对照表!$R$27:$R$48,[1]对照表!$T$27:$T$48)),IF(B631="高一",IF($E631="男",LOOKUP(L631,[1]对照表!$Q$3:$Q$24,[1]对照表!$T$3:$T$24),LOOKUP(L631,[1]对照表!$Q$27:$Q$48,[1]对照表!$T$27:$T$48)))))</f>
        <v>95</v>
      </c>
      <c r="N631" s="33">
        <f>IF(B631="高三",MAX(IF(E631="男",L631-18,L631-55),0),IF(B631="高二",MAX(IF(E631="男",L631-17,L631-54),0),IF(B631="高一",MAX(IF(E631="男",L631-16,L631-53),0))))</f>
        <v>0</v>
      </c>
      <c r="O631" s="23">
        <f>IF(E631="男",LOOKUP($N631,[1]对照表!$Z$3:$Z$13,[1]对照表!$AA$3:$AA$13),LOOKUP($N631,[1]对照表!$Z$15:$Z$25,[1]对照表!$AA$15:$AA$25))</f>
        <v>0</v>
      </c>
      <c r="P631" s="24">
        <f>M631+O631</f>
        <v>95</v>
      </c>
      <c r="Q631" s="25"/>
      <c r="R631" s="20">
        <v>0</v>
      </c>
      <c r="S631" s="22">
        <v>0</v>
      </c>
      <c r="T631" s="23">
        <f>IF(E631="男",LOOKUP($S631,[1]对照表!$AB$3:$AB$13,[1]对照表!$AC$3:$AC$13),LOOKUP($S631,[1]对照表!$AB$15:$AB$25,[1]对照表!$AC$15:$AC$25))</f>
        <v>0</v>
      </c>
      <c r="U631" s="26">
        <f>R631+T631</f>
        <v>0</v>
      </c>
      <c r="V631" s="26">
        <f>SUM(I631,K631,M631)/3*0.3+SUM(G631,R631)/2*0.4</f>
        <v>19</v>
      </c>
      <c r="W631" s="27">
        <f>O631+T631</f>
        <v>0</v>
      </c>
      <c r="X631" s="28">
        <f>V631/0.7+W631</f>
        <v>27.142857142857146</v>
      </c>
      <c r="Y631" s="29">
        <v>50</v>
      </c>
      <c r="Z631" s="21"/>
    </row>
    <row r="632" spans="1:26" x14ac:dyDescent="0.25">
      <c r="A632" s="16">
        <v>5</v>
      </c>
      <c r="B632" s="17" t="s">
        <v>21</v>
      </c>
      <c r="C632" s="16">
        <v>115</v>
      </c>
      <c r="D632" s="18" t="s">
        <v>29</v>
      </c>
      <c r="E632" s="16" t="s">
        <v>23</v>
      </c>
      <c r="F632" s="19">
        <v>6.9</v>
      </c>
      <c r="G632" s="32">
        <f>IF(B632="高三",IF($E632="男",LOOKUP(F632,[1]对照表!$G$3:$G$24,[1]对照表!$H$3:$H$24),LOOKUP(F632,[1]对照表!$G$27:$G$48,[1]对照表!$H$27:$H$48)),IF(B632="高二",IF($E632="男",LOOKUP(F632,[1]对照表!$F$3:$F$24,[1]对照表!$H$3:$H$24),LOOKUP(F632,[1]对照表!$F$27:$F$48,[1]对照表!$H$27:$H$48)),IF(B632="高一",IF($E632="男",LOOKUP(F632,[1]对照表!$E$3:$E$24,[1]对照表!$H$3:$H$24),LOOKUP(F632,[1]对照表!$E$27:$E$48,[1]对照表!$H$27:$H$48)))))</f>
        <v>100</v>
      </c>
      <c r="H632" s="21">
        <v>23</v>
      </c>
      <c r="I632" s="32">
        <f>IF(B632="高三",IF($E632="男",LOOKUP(H632,[1]对照表!$K$3:$K$24,[1]对照表!$L$3:$L$24),LOOKUP(H632,[1]对照表!$K$27:$K$48,[1]对照表!$L$27:$L$48)),IF(B632="高二",IF($E632="男",LOOKUP(H632,[1]对照表!$J$3:$J$24,[1]对照表!$L$3:$L$24),LOOKUP(H632,[1]对照表!$J$27:$J$48,[1]对照表!$L$27:$L$48)),IF(B632="高一",IF($E632="男",LOOKUP(H632,[1]对照表!$I$3:$I$24,[1]对照表!$L$3:$L$24),LOOKUP(H632,[1]对照表!$I$27:$I$48,[1]对照表!$L$27:$L$48)))))</f>
        <v>95</v>
      </c>
      <c r="J632" s="21">
        <v>262</v>
      </c>
      <c r="K632" s="32">
        <f>IF(B632="高三",IF($E632="男",LOOKUP(J632,[1]对照表!$O$3:$O$24,[1]对照表!$P$3:$P$24),LOOKUP(J632,[1]对照表!$O$27:$O$48,[1]对照表!$P$27:$P$48)),IF(B632="高二",IF($E632="男",LOOKUP(J632,[1]对照表!$N$3:$N$24,[1]对照表!$P$3:$P$24),LOOKUP(J632,[1]对照表!$N$27:$N$48,[1]对照表!$P$27:$P$48)),IF(B632="高一",IF($E632="男",LOOKUP(J632,[1]对照表!$M$3:$M$24,[1]对照表!$P$3:$P$24),LOOKUP(J632,[1]对照表!$M$27:$M$48,[1]对照表!$P$27:$P$48)))))</f>
        <v>100</v>
      </c>
      <c r="L632" s="21">
        <v>26</v>
      </c>
      <c r="M632" s="32">
        <f>IF(B632="高三",IF($E632="男",LOOKUP(L632,[1]对照表!$S$3:$S$24,[1]对照表!$T$3:$T$24),LOOKUP(L632,[1]对照表!$S$27:$S$48,[1]对照表!$T$27:$T$48)),IF(B632="高二",IF($E632="男",LOOKUP(L632,[1]对照表!$R$3:$R$24,[1]对照表!$T$3:$T$24),LOOKUP(L632,[1]对照表!$R$27:$R$48,[1]对照表!$T$27:$T$48)),IF(B632="高一",IF($E632="男",LOOKUP(L632,[1]对照表!$Q$3:$Q$24,[1]对照表!$T$3:$T$24),LOOKUP(L632,[1]对照表!$Q$27:$Q$48,[1]对照表!$T$27:$T$48)))))</f>
        <v>100</v>
      </c>
      <c r="N632" s="33">
        <f>IF(B632="高三",MAX(IF(E632="男",L632-18,L632-55),0),IF(B632="高二",MAX(IF(E632="男",L632-17,L632-54),0),IF(B632="高一",MAX(IF(E632="男",L632-16,L632-53),0))))</f>
        <v>10</v>
      </c>
      <c r="O632" s="23">
        <f>IF(E632="男",LOOKUP($N632,[1]对照表!$Z$3:$Z$13,[1]对照表!$AA$3:$AA$13),LOOKUP($N632,[1]对照表!$Z$15:$Z$25,[1]对照表!$AA$15:$AA$25))</f>
        <v>10</v>
      </c>
      <c r="P632" s="24">
        <f>M632+O632</f>
        <v>110</v>
      </c>
      <c r="Q632" s="25">
        <v>3.12</v>
      </c>
      <c r="R632" s="32">
        <f>IF(B632="高三",IF($E632="男",LOOKUP(Q632,[1]对照表!$W$3:$W$24,[1]对照表!$X$3:$X$24),LOOKUP(Q632,[1]对照表!$W$27:$W$48,[1]对照表!$X$27:$X$48)),IF(B632="高二",IF($E632="男",LOOKUP(Q632,[1]对照表!$V$3:$V$24,[1]对照表!$X$3:$X$24),LOOKUP(Q632,[1]对照表!$V$27:$V$48,[1]对照表!$X$27:$X$48)),IF(B632="高一",IF($E632="男",LOOKUP(Q632,[1]对照表!$U$3:$U$24,[1]对照表!$X$3:$X$24),LOOKUP(Q632,[1]对照表!$U$27:$U$48,[1]对照表!$X$27:$X$48)))))</f>
        <v>100</v>
      </c>
      <c r="S632" s="33">
        <f>ROUND(IF(IF($B632="高三",MIN(IF($E632="男",$Q632-3.2,$Q632-3.2),0),IF($B632="高二",MIN(IF($E632="男",$Q632-3.25,$Q632-3.22),0),IF($B632="高一",MIN(IF($E632="男",$Q632-3.3,$Q632-3.24),0))))&lt;-0.6,IF($B632="高三",MIN(IF($E632="男",$Q632-3.2,$Q632-3.2),0),IF($B632="高二",MIN(IF($E632="男",$Q632-3.25,$Q632-3.22),0),IF($B632="高一",MIN(IF($E632="男",$Q632-3.3,$Q632-3.24),0))))+0.4,IF($B632="高三",MIN(IF($E632="男",$Q632-3.2,$Q632-3.2),0),IF($B632="高二",MIN(IF($E632="男",$Q632-3.25,$Q632-3.22),0),IF($B632="高一",MIN(IF($E632="男",$Q632-3.3,$Q632-3.24),0))))),2)</f>
        <v>-0.18</v>
      </c>
      <c r="T632" s="23">
        <f>IF(E632="男",LOOKUP($S632,[1]对照表!$AB$3:$AB$13,[1]对照表!$AC$3:$AC$13),LOOKUP($S632,[1]对照表!$AB$15:$AB$25,[1]对照表!$AC$15:$AC$25))</f>
        <v>4</v>
      </c>
      <c r="U632" s="26">
        <f>R632+T632</f>
        <v>104</v>
      </c>
      <c r="V632" s="26">
        <f>SUM(I632,K632,M632)/3*0.3+SUM(G632,R632)/2*0.4</f>
        <v>69.5</v>
      </c>
      <c r="W632" s="27">
        <f>O632+T632</f>
        <v>14</v>
      </c>
      <c r="X632" s="28">
        <f>V632/0.7+W632</f>
        <v>113.28571428571429</v>
      </c>
      <c r="Y632" s="28">
        <v>113.28571428571429</v>
      </c>
      <c r="Z632" s="21"/>
    </row>
    <row r="633" spans="1:26" x14ac:dyDescent="0.25">
      <c r="A633" s="16">
        <v>2</v>
      </c>
      <c r="B633" s="17" t="s">
        <v>21</v>
      </c>
      <c r="C633" s="16">
        <v>115</v>
      </c>
      <c r="D633" s="18" t="s">
        <v>103</v>
      </c>
      <c r="E633" s="16" t="s">
        <v>23</v>
      </c>
      <c r="F633" s="19">
        <v>7.1</v>
      </c>
      <c r="G633" s="32">
        <f>IF(B633="高三",IF($E633="男",LOOKUP(F633,[1]对照表!$G$3:$G$24,[1]对照表!$H$3:$H$24),LOOKUP(F633,[1]对照表!$G$27:$G$48,[1]对照表!$H$27:$H$48)),IF(B633="高二",IF($E633="男",LOOKUP(F633,[1]对照表!$F$3:$F$24,[1]对照表!$H$3:$H$24),LOOKUP(F633,[1]对照表!$F$27:$F$48,[1]对照表!$H$27:$H$48)),IF(B633="高一",IF($E633="男",LOOKUP(F633,[1]对照表!$E$3:$E$24,[1]对照表!$H$3:$H$24),LOOKUP(F633,[1]对照表!$E$27:$E$48,[1]对照表!$H$27:$H$48)))))</f>
        <v>100</v>
      </c>
      <c r="H633" s="21">
        <v>24.6</v>
      </c>
      <c r="I633" s="32">
        <f>IF(B633="高三",IF($E633="男",LOOKUP(H633,[1]对照表!$K$3:$K$24,[1]对照表!$L$3:$L$24),LOOKUP(H633,[1]对照表!$K$27:$K$48,[1]对照表!$L$27:$L$48)),IF(B633="高二",IF($E633="男",LOOKUP(H633,[1]对照表!$J$3:$J$24,[1]对照表!$L$3:$L$24),LOOKUP(H633,[1]对照表!$J$27:$J$48,[1]对照表!$L$27:$L$48)),IF(B633="高一",IF($E633="男",LOOKUP(H633,[1]对照表!$I$3:$I$24,[1]对照表!$L$3:$L$24),LOOKUP(H633,[1]对照表!$I$27:$I$48,[1]对照表!$L$27:$L$48)))))</f>
        <v>100</v>
      </c>
      <c r="J633" s="21">
        <v>260</v>
      </c>
      <c r="K633" s="32">
        <f>IF(B633="高三",IF($E633="男",LOOKUP(J633,[1]对照表!$O$3:$O$24,[1]对照表!$P$3:$P$24),LOOKUP(J633,[1]对照表!$O$27:$O$48,[1]对照表!$P$27:$P$48)),IF(B633="高二",IF($E633="男",LOOKUP(J633,[1]对照表!$N$3:$N$24,[1]对照表!$P$3:$P$24),LOOKUP(J633,[1]对照表!$N$27:$N$48,[1]对照表!$P$27:$P$48)),IF(B633="高一",IF($E633="男",LOOKUP(J633,[1]对照表!$M$3:$M$24,[1]对照表!$P$3:$P$24),LOOKUP(J633,[1]对照表!$M$27:$M$48,[1]对照表!$P$27:$P$48)))))</f>
        <v>100</v>
      </c>
      <c r="L633" s="21">
        <v>15</v>
      </c>
      <c r="M633" s="32">
        <f>IF(B633="高三",IF($E633="男",LOOKUP(L633,[1]对照表!$S$3:$S$24,[1]对照表!$T$3:$T$24),LOOKUP(L633,[1]对照表!$S$27:$S$48,[1]对照表!$T$27:$T$48)),IF(B633="高二",IF($E633="男",LOOKUP(L633,[1]对照表!$R$3:$R$24,[1]对照表!$T$3:$T$24),LOOKUP(L633,[1]对照表!$R$27:$R$48,[1]对照表!$T$27:$T$48)),IF(B633="高一",IF($E633="男",LOOKUP(L633,[1]对照表!$Q$3:$Q$24,[1]对照表!$T$3:$T$24),LOOKUP(L633,[1]对照表!$Q$27:$Q$48,[1]对照表!$T$27:$T$48)))))</f>
        <v>95</v>
      </c>
      <c r="N633" s="33">
        <f>IF(B633="高三",MAX(IF(E633="男",L633-18,L633-55),0),IF(B633="高二",MAX(IF(E633="男",L633-17,L633-54),0),IF(B633="高一",MAX(IF(E633="男",L633-16,L633-53),0))))</f>
        <v>0</v>
      </c>
      <c r="O633" s="23">
        <f>IF(E633="男",LOOKUP($N633,[1]对照表!$Z$3:$Z$13,[1]对照表!$AA$3:$AA$13),LOOKUP($N633,[1]对照表!$Z$15:$Z$25,[1]对照表!$AA$15:$AA$25))</f>
        <v>0</v>
      </c>
      <c r="P633" s="24">
        <f>M633+O633</f>
        <v>95</v>
      </c>
      <c r="Q633" s="25">
        <v>3.38</v>
      </c>
      <c r="R633" s="32">
        <f>IF(B633="高三",IF($E633="男",LOOKUP(Q633,[1]对照表!$W$3:$W$24,[1]对照表!$X$3:$X$24),LOOKUP(Q633,[1]对照表!$W$27:$W$48,[1]对照表!$X$27:$X$48)),IF(B633="高二",IF($E633="男",LOOKUP(Q633,[1]对照表!$V$3:$V$24,[1]对照表!$X$3:$X$24),LOOKUP(Q633,[1]对照表!$V$27:$V$48,[1]对照表!$X$27:$X$48)),IF(B633="高一",IF($E633="男",LOOKUP(Q633,[1]对照表!$U$3:$U$24,[1]对照表!$X$3:$X$24),LOOKUP(Q633,[1]对照表!$U$27:$U$48,[1]对照表!$X$27:$X$48)))))</f>
        <v>90</v>
      </c>
      <c r="S633" s="33">
        <f>ROUND(IF(IF($B633="高三",MIN(IF($E633="男",$Q633-3.2,$Q633-3.2),0),IF($B633="高二",MIN(IF($E633="男",$Q633-3.25,$Q633-3.22),0),IF($B633="高一",MIN(IF($E633="男",$Q633-3.3,$Q633-3.24),0))))&lt;-0.6,IF($B633="高三",MIN(IF($E633="男",$Q633-3.2,$Q633-3.2),0),IF($B633="高二",MIN(IF($E633="男",$Q633-3.25,$Q633-3.22),0),IF($B633="高一",MIN(IF($E633="男",$Q633-3.3,$Q633-3.24),0))))+0.4,IF($B633="高三",MIN(IF($E633="男",$Q633-3.2,$Q633-3.2),0),IF($B633="高二",MIN(IF($E633="男",$Q633-3.25,$Q633-3.22),0),IF($B633="高一",MIN(IF($E633="男",$Q633-3.3,$Q633-3.24),0))))),2)</f>
        <v>0</v>
      </c>
      <c r="T633" s="23">
        <f>IF(E633="男",LOOKUP($S633,[1]对照表!$AB$3:$AB$13,[1]对照表!$AC$3:$AC$13),LOOKUP($S633,[1]对照表!$AB$15:$AB$25,[1]对照表!$AC$15:$AC$25))</f>
        <v>0</v>
      </c>
      <c r="U633" s="26">
        <f>R633+T633</f>
        <v>90</v>
      </c>
      <c r="V633" s="26">
        <f>SUM(I633,K633,M633)/3*0.3+SUM(G633,R633)/2*0.4</f>
        <v>67.5</v>
      </c>
      <c r="W633" s="27">
        <f>O633+T633</f>
        <v>0</v>
      </c>
      <c r="X633" s="28">
        <f>V633/0.7+W633</f>
        <v>96.428571428571431</v>
      </c>
      <c r="Y633" s="28">
        <v>96.428571428571431</v>
      </c>
      <c r="Z633" s="21"/>
    </row>
    <row r="634" spans="1:26" x14ac:dyDescent="0.25">
      <c r="A634" s="16">
        <v>21</v>
      </c>
      <c r="B634" s="17" t="s">
        <v>21</v>
      </c>
      <c r="C634" s="16">
        <v>115</v>
      </c>
      <c r="D634" s="18" t="s">
        <v>120</v>
      </c>
      <c r="E634" s="16" t="s">
        <v>65</v>
      </c>
      <c r="F634" s="19">
        <v>8.0399999999999991</v>
      </c>
      <c r="G634" s="32">
        <f>IF(B634="高三",IF($E634="男",LOOKUP(F634,[1]对照表!$G$3:$G$24,[1]对照表!$H$3:$H$24),LOOKUP(F634,[1]对照表!$G$27:$G$48,[1]对照表!$H$27:$H$48)),IF(B634="高二",IF($E634="男",LOOKUP(F634,[1]对照表!$F$3:$F$24,[1]对照表!$H$3:$H$24),LOOKUP(F634,[1]对照表!$F$27:$F$48,[1]对照表!$H$27:$H$48)),IF(B634="高一",IF($E634="男",LOOKUP(F634,[1]对照表!$E$3:$E$24,[1]对照表!$H$3:$H$24),LOOKUP(F634,[1]对照表!$E$27:$E$48,[1]对照表!$H$27:$H$48)))))</f>
        <v>85</v>
      </c>
      <c r="H634" s="21">
        <v>22.5</v>
      </c>
      <c r="I634" s="32">
        <f>IF(B634="高三",IF($E634="男",LOOKUP(H634,[1]对照表!$K$3:$K$24,[1]对照表!$L$3:$L$24),LOOKUP(H634,[1]对照表!$K$27:$K$48,[1]对照表!$L$27:$L$48)),IF(B634="高二",IF($E634="男",LOOKUP(H634,[1]对照表!$J$3:$J$24,[1]对照表!$L$3:$L$24),LOOKUP(H634,[1]对照表!$J$27:$J$48,[1]对照表!$L$27:$L$48)),IF(B634="高一",IF($E634="男",LOOKUP(H634,[1]对照表!$I$3:$I$24,[1]对照表!$L$3:$L$24),LOOKUP(H634,[1]对照表!$I$27:$I$48,[1]对照表!$L$27:$L$48)))))</f>
        <v>95</v>
      </c>
      <c r="J634" s="21">
        <v>206</v>
      </c>
      <c r="K634" s="32">
        <f>IF(B634="高三",IF($E634="男",LOOKUP(J634,[1]对照表!$O$3:$O$24,[1]对照表!$P$3:$P$24),LOOKUP(J634,[1]对照表!$O$27:$O$48,[1]对照表!$P$27:$P$48)),IF(B634="高二",IF($E634="男",LOOKUP(J634,[1]对照表!$N$3:$N$24,[1]对照表!$P$3:$P$24),LOOKUP(J634,[1]对照表!$N$27:$N$48,[1]对照表!$P$27:$P$48)),IF(B634="高一",IF($E634="男",LOOKUP(J634,[1]对照表!$M$3:$M$24,[1]对照表!$P$3:$P$24),LOOKUP(J634,[1]对照表!$M$27:$M$48,[1]对照表!$P$27:$P$48)))))</f>
        <v>100</v>
      </c>
      <c r="L634" s="21">
        <v>49</v>
      </c>
      <c r="M634" s="32">
        <f>IF(B634="高三",IF($E634="男",LOOKUP(L634,[1]对照表!$S$3:$S$24,[1]对照表!$T$3:$T$24),LOOKUP(L634,[1]对照表!$S$27:$S$48,[1]对照表!$T$27:$T$48)),IF(B634="高二",IF($E634="男",LOOKUP(L634,[1]对照表!$R$3:$R$24,[1]对照表!$T$3:$T$24),LOOKUP(L634,[1]对照表!$R$27:$R$48,[1]对照表!$T$27:$T$48)),IF(B634="高一",IF($E634="男",LOOKUP(L634,[1]对照表!$Q$3:$Q$24,[1]对照表!$T$3:$T$24),LOOKUP(L634,[1]对照表!$Q$27:$Q$48,[1]对照表!$T$27:$T$48)))))</f>
        <v>90</v>
      </c>
      <c r="N634" s="33">
        <f>IF(B634="高三",MAX(IF(E634="男",L634-18,L634-55),0),IF(B634="高二",MAX(IF(E634="男",L634-17,L634-54),0),IF(B634="高一",MAX(IF(E634="男",L634-16,L634-53),0))))</f>
        <v>0</v>
      </c>
      <c r="O634" s="23">
        <f>IF(E634="男",LOOKUP($N634,[1]对照表!$Z$3:$Z$13,[1]对照表!$AA$3:$AA$13),LOOKUP($N634,[1]对照表!$Z$15:$Z$25,[1]对照表!$AA$15:$AA$25))</f>
        <v>0</v>
      </c>
      <c r="P634" s="24">
        <f>M634+O634</f>
        <v>90</v>
      </c>
      <c r="Q634" s="25">
        <v>3.14</v>
      </c>
      <c r="R634" s="32">
        <f>IF(B634="高三",IF($E634="男",LOOKUP(Q634,[1]对照表!$W$3:$W$24,[1]对照表!$X$3:$X$24),LOOKUP(Q634,[1]对照表!$W$27:$W$48,[1]对照表!$X$27:$X$48)),IF(B634="高二",IF($E634="男",LOOKUP(Q634,[1]对照表!$V$3:$V$24,[1]对照表!$X$3:$X$24),LOOKUP(Q634,[1]对照表!$V$27:$V$48,[1]对照表!$X$27:$X$48)),IF(B634="高一",IF($E634="男",LOOKUP(Q634,[1]对照表!$U$3:$U$24,[1]对照表!$X$3:$X$24),LOOKUP(Q634,[1]对照表!$U$27:$U$48,[1]对照表!$X$27:$X$48)))))</f>
        <v>100</v>
      </c>
      <c r="S634" s="33">
        <f>ROUND(IF(IF($B634="高三",MIN(IF($E634="男",$Q634-3.2,$Q634-3.2),0),IF($B634="高二",MIN(IF($E634="男",$Q634-3.25,$Q634-3.22),0),IF($B634="高一",MIN(IF($E634="男",$Q634-3.3,$Q634-3.24),0))))&lt;-0.6,IF($B634="高三",MIN(IF($E634="男",$Q634-3.2,$Q634-3.2),0),IF($B634="高二",MIN(IF($E634="男",$Q634-3.25,$Q634-3.22),0),IF($B634="高一",MIN(IF($E634="男",$Q634-3.3,$Q634-3.24),0))))+0.4,IF($B634="高三",MIN(IF($E634="男",$Q634-3.2,$Q634-3.2),0),IF($B634="高二",MIN(IF($E634="男",$Q634-3.25,$Q634-3.22),0),IF($B634="高一",MIN(IF($E634="男",$Q634-3.3,$Q634-3.24),0))))),2)</f>
        <v>-0.1</v>
      </c>
      <c r="T634" s="23">
        <f>IF(E634="男",LOOKUP($S634,[1]对照表!$AB$3:$AB$13,[1]对照表!$AC$3:$AC$13),LOOKUP($S634,[1]对照表!$AB$15:$AB$25,[1]对照表!$AC$15:$AC$25))</f>
        <v>2</v>
      </c>
      <c r="U634" s="26">
        <f>R634+T634</f>
        <v>102</v>
      </c>
      <c r="V634" s="26">
        <f>SUM(I634,K634,M634)/3*0.3+SUM(G634,R634)/2*0.4</f>
        <v>65.5</v>
      </c>
      <c r="W634" s="27">
        <f>O634+T634</f>
        <v>2</v>
      </c>
      <c r="X634" s="28">
        <f>V634/0.7+W634</f>
        <v>95.571428571428584</v>
      </c>
      <c r="Y634" s="28">
        <v>95.571428571428584</v>
      </c>
      <c r="Z634" s="21"/>
    </row>
    <row r="635" spans="1:26" x14ac:dyDescent="0.25">
      <c r="A635" s="16">
        <v>4</v>
      </c>
      <c r="B635" s="17" t="s">
        <v>21</v>
      </c>
      <c r="C635" s="16">
        <v>115</v>
      </c>
      <c r="D635" s="18" t="s">
        <v>171</v>
      </c>
      <c r="E635" s="16" t="s">
        <v>23</v>
      </c>
      <c r="F635" s="19">
        <v>7.5</v>
      </c>
      <c r="G635" s="32">
        <f>IF(B635="高三",IF($E635="男",LOOKUP(F635,[1]对照表!$G$3:$G$24,[1]对照表!$H$3:$H$24),LOOKUP(F635,[1]对照表!$G$27:$G$48,[1]对照表!$H$27:$H$48)),IF(B635="高二",IF($E635="男",LOOKUP(F635,[1]对照表!$F$3:$F$24,[1]对照表!$H$3:$H$24),LOOKUP(F635,[1]对照表!$F$27:$F$48,[1]对照表!$H$27:$H$48)),IF(B635="高一",IF($E635="男",LOOKUP(F635,[1]对照表!$E$3:$E$24,[1]对照表!$H$3:$H$24),LOOKUP(F635,[1]对照表!$E$27:$E$48,[1]对照表!$H$27:$H$48)))))</f>
        <v>80</v>
      </c>
      <c r="H635" s="21">
        <v>25</v>
      </c>
      <c r="I635" s="32">
        <f>IF(B635="高三",IF($E635="男",LOOKUP(H635,[1]对照表!$K$3:$K$24,[1]对照表!$L$3:$L$24),LOOKUP(H635,[1]对照表!$K$27:$K$48,[1]对照表!$L$27:$L$48)),IF(B635="高二",IF($E635="男",LOOKUP(H635,[1]对照表!$J$3:$J$24,[1]对照表!$L$3:$L$24),LOOKUP(H635,[1]对照表!$J$27:$J$48,[1]对照表!$L$27:$L$48)),IF(B635="高一",IF($E635="男",LOOKUP(H635,[1]对照表!$I$3:$I$24,[1]对照表!$L$3:$L$24),LOOKUP(H635,[1]对照表!$I$27:$I$48,[1]对照表!$L$27:$L$48)))))</f>
        <v>100</v>
      </c>
      <c r="J635" s="21">
        <v>249</v>
      </c>
      <c r="K635" s="32">
        <f>IF(B635="高三",IF($E635="男",LOOKUP(J635,[1]对照表!$O$3:$O$24,[1]对照表!$P$3:$P$24),LOOKUP(J635,[1]对照表!$O$27:$O$48,[1]对照表!$P$27:$P$48)),IF(B635="高二",IF($E635="男",LOOKUP(J635,[1]对照表!$N$3:$N$24,[1]对照表!$P$3:$P$24),LOOKUP(J635,[1]对照表!$N$27:$N$48,[1]对照表!$P$27:$P$48)),IF(B635="高一",IF($E635="男",LOOKUP(J635,[1]对照表!$M$3:$M$24,[1]对照表!$P$3:$P$24),LOOKUP(J635,[1]对照表!$M$27:$M$48,[1]对照表!$P$27:$P$48)))))</f>
        <v>85</v>
      </c>
      <c r="L635" s="21">
        <v>17</v>
      </c>
      <c r="M635" s="32">
        <f>IF(B635="高三",IF($E635="男",LOOKUP(L635,[1]对照表!$S$3:$S$24,[1]对照表!$T$3:$T$24),LOOKUP(L635,[1]对照表!$S$27:$S$48,[1]对照表!$T$27:$T$48)),IF(B635="高二",IF($E635="男",LOOKUP(L635,[1]对照表!$R$3:$R$24,[1]对照表!$T$3:$T$24),LOOKUP(L635,[1]对照表!$R$27:$R$48,[1]对照表!$T$27:$T$48)),IF(B635="高一",IF($E635="男",LOOKUP(L635,[1]对照表!$Q$3:$Q$24,[1]对照表!$T$3:$T$24),LOOKUP(L635,[1]对照表!$Q$27:$Q$48,[1]对照表!$T$27:$T$48)))))</f>
        <v>100</v>
      </c>
      <c r="N635" s="33">
        <f>IF(B635="高三",MAX(IF(E635="男",L635-18,L635-55),0),IF(B635="高二",MAX(IF(E635="男",L635-17,L635-54),0),IF(B635="高一",MAX(IF(E635="男",L635-16,L635-53),0))))</f>
        <v>1</v>
      </c>
      <c r="O635" s="23">
        <f>IF(E635="男",LOOKUP($N635,[1]对照表!$Z$3:$Z$13,[1]对照表!$AA$3:$AA$13),LOOKUP($N635,[1]对照表!$Z$15:$Z$25,[1]对照表!$AA$15:$AA$25))</f>
        <v>1</v>
      </c>
      <c r="P635" s="24">
        <f>M635+O635</f>
        <v>101</v>
      </c>
      <c r="Q635" s="25">
        <v>3.31</v>
      </c>
      <c r="R635" s="32">
        <f>IF(B635="高三",IF($E635="男",LOOKUP(Q635,[1]对照表!$W$3:$W$24,[1]对照表!$X$3:$X$24),LOOKUP(Q635,[1]对照表!$W$27:$W$48,[1]对照表!$X$27:$X$48)),IF(B635="高二",IF($E635="男",LOOKUP(Q635,[1]对照表!$V$3:$V$24,[1]对照表!$X$3:$X$24),LOOKUP(Q635,[1]对照表!$V$27:$V$48,[1]对照表!$X$27:$X$48)),IF(B635="高一",IF($E635="男",LOOKUP(Q635,[1]对照表!$U$3:$U$24,[1]对照表!$X$3:$X$24),LOOKUP(Q635,[1]对照表!$U$27:$U$48,[1]对照表!$X$27:$X$48)))))</f>
        <v>95</v>
      </c>
      <c r="S635" s="33">
        <f>ROUND(IF(IF($B635="高三",MIN(IF($E635="男",$Q635-3.2,$Q635-3.2),0),IF($B635="高二",MIN(IF($E635="男",$Q635-3.25,$Q635-3.22),0),IF($B635="高一",MIN(IF($E635="男",$Q635-3.3,$Q635-3.24),0))))&lt;-0.6,IF($B635="高三",MIN(IF($E635="男",$Q635-3.2,$Q635-3.2),0),IF($B635="高二",MIN(IF($E635="男",$Q635-3.25,$Q635-3.22),0),IF($B635="高一",MIN(IF($E635="男",$Q635-3.3,$Q635-3.24),0))))+0.4,IF($B635="高三",MIN(IF($E635="男",$Q635-3.2,$Q635-3.2),0),IF($B635="高二",MIN(IF($E635="男",$Q635-3.25,$Q635-3.22),0),IF($B635="高一",MIN(IF($E635="男",$Q635-3.3,$Q635-3.24),0))))),2)</f>
        <v>0</v>
      </c>
      <c r="T635" s="23">
        <f>IF(E635="男",LOOKUP($S635,[1]对照表!$AB$3:$AB$13,[1]对照表!$AC$3:$AC$13),LOOKUP($S635,[1]对照表!$AB$15:$AB$25,[1]对照表!$AC$15:$AC$25))</f>
        <v>0</v>
      </c>
      <c r="U635" s="26">
        <f>R635+T635</f>
        <v>95</v>
      </c>
      <c r="V635" s="26">
        <f>SUM(I635,K635,M635)/3*0.3+SUM(G635,R635)/2*0.4</f>
        <v>63.5</v>
      </c>
      <c r="W635" s="27">
        <f>O635+T635</f>
        <v>1</v>
      </c>
      <c r="X635" s="28">
        <f>V635/0.7+W635</f>
        <v>91.714285714285722</v>
      </c>
      <c r="Y635" s="28">
        <v>91.714285714285722</v>
      </c>
      <c r="Z635" s="21"/>
    </row>
    <row r="636" spans="1:26" x14ac:dyDescent="0.25">
      <c r="A636" s="16">
        <v>6</v>
      </c>
      <c r="B636" s="17" t="s">
        <v>21</v>
      </c>
      <c r="C636" s="16">
        <v>115</v>
      </c>
      <c r="D636" s="18" t="s">
        <v>188</v>
      </c>
      <c r="E636" s="16" t="s">
        <v>23</v>
      </c>
      <c r="F636" s="19">
        <v>7.2</v>
      </c>
      <c r="G636" s="32">
        <f>IF(B636="高三",IF($E636="男",LOOKUP(F636,[1]对照表!$G$3:$G$24,[1]对照表!$H$3:$H$24),LOOKUP(F636,[1]对照表!$G$27:$G$48,[1]对照表!$H$27:$H$48)),IF(B636="高二",IF($E636="男",LOOKUP(F636,[1]对照表!$F$3:$F$24,[1]对照表!$H$3:$H$24),LOOKUP(F636,[1]对照表!$F$27:$F$48,[1]对照表!$H$27:$H$48)),IF(B636="高一",IF($E636="男",LOOKUP(F636,[1]对照表!$E$3:$E$24,[1]对照表!$H$3:$H$24),LOOKUP(F636,[1]对照表!$E$27:$E$48,[1]对照表!$H$27:$H$48)))))</f>
        <v>95</v>
      </c>
      <c r="H636" s="21">
        <v>14.2</v>
      </c>
      <c r="I636" s="32">
        <f>IF(B636="高三",IF($E636="男",LOOKUP(H636,[1]对照表!$K$3:$K$24,[1]对照表!$L$3:$L$24),LOOKUP(H636,[1]对照表!$K$27:$K$48,[1]对照表!$L$27:$L$48)),IF(B636="高二",IF($E636="男",LOOKUP(H636,[1]对照表!$J$3:$J$24,[1]对照表!$L$3:$L$24),LOOKUP(H636,[1]对照表!$J$27:$J$48,[1]对照表!$L$27:$L$48)),IF(B636="高一",IF($E636="男",LOOKUP(H636,[1]对照表!$I$3:$I$24,[1]对照表!$L$3:$L$24),LOOKUP(H636,[1]对照表!$I$27:$I$48,[1]对照表!$L$27:$L$48)))))</f>
        <v>78</v>
      </c>
      <c r="J636" s="21">
        <v>245</v>
      </c>
      <c r="K636" s="32">
        <f>IF(B636="高三",IF($E636="男",LOOKUP(J636,[1]对照表!$O$3:$O$24,[1]对照表!$P$3:$P$24),LOOKUP(J636,[1]对照表!$O$27:$O$48,[1]对照表!$P$27:$P$48)),IF(B636="高二",IF($E636="男",LOOKUP(J636,[1]对照表!$N$3:$N$24,[1]对照表!$P$3:$P$24),LOOKUP(J636,[1]对照表!$N$27:$N$48,[1]对照表!$P$27:$P$48)),IF(B636="高一",IF($E636="男",LOOKUP(J636,[1]对照表!$M$3:$M$24,[1]对照表!$P$3:$P$24),LOOKUP(J636,[1]对照表!$M$27:$M$48,[1]对照表!$P$27:$P$48)))))</f>
        <v>85</v>
      </c>
      <c r="L636" s="21">
        <v>10</v>
      </c>
      <c r="M636" s="32">
        <f>IF(B636="高三",IF($E636="男",LOOKUP(L636,[1]对照表!$S$3:$S$24,[1]对照表!$T$3:$T$24),LOOKUP(L636,[1]对照表!$S$27:$S$48,[1]对照表!$T$27:$T$48)),IF(B636="高二",IF($E636="男",LOOKUP(L636,[1]对照表!$R$3:$R$24,[1]对照表!$T$3:$T$24),LOOKUP(L636,[1]对照表!$R$27:$R$48,[1]对照表!$T$27:$T$48)),IF(B636="高一",IF($E636="男",LOOKUP(L636,[1]对照表!$Q$3:$Q$24,[1]对照表!$T$3:$T$24),LOOKUP(L636,[1]对照表!$Q$27:$Q$48,[1]对照表!$T$27:$T$48)))))</f>
        <v>72</v>
      </c>
      <c r="N636" s="33">
        <f>IF(B636="高三",MAX(IF(E636="男",L636-18,L636-55),0),IF(B636="高二",MAX(IF(E636="男",L636-17,L636-54),0),IF(B636="高一",MAX(IF(E636="男",L636-16,L636-53),0))))</f>
        <v>0</v>
      </c>
      <c r="O636" s="23">
        <f>IF(E636="男",LOOKUP($N636,[1]对照表!$Z$3:$Z$13,[1]对照表!$AA$3:$AA$13),LOOKUP($N636,[1]对照表!$Z$15:$Z$25,[1]对照表!$AA$15:$AA$25))</f>
        <v>0</v>
      </c>
      <c r="P636" s="24">
        <f>M636+O636</f>
        <v>72</v>
      </c>
      <c r="Q636" s="25">
        <v>3.24</v>
      </c>
      <c r="R636" s="32">
        <f>IF(B636="高三",IF($E636="男",LOOKUP(Q636,[1]对照表!$W$3:$W$24,[1]对照表!$X$3:$X$24),LOOKUP(Q636,[1]对照表!$W$27:$W$48,[1]对照表!$X$27:$X$48)),IF(B636="高二",IF($E636="男",LOOKUP(Q636,[1]对照表!$V$3:$V$24,[1]对照表!$X$3:$X$24),LOOKUP(Q636,[1]对照表!$V$27:$V$48,[1]对照表!$X$27:$X$48)),IF(B636="高一",IF($E636="男",LOOKUP(Q636,[1]对照表!$U$3:$U$24,[1]对照表!$X$3:$X$24),LOOKUP(Q636,[1]对照表!$U$27:$U$48,[1]对照表!$X$27:$X$48)))))</f>
        <v>100</v>
      </c>
      <c r="S636" s="33">
        <f>ROUND(IF(IF($B636="高三",MIN(IF($E636="男",$Q636-3.2,$Q636-3.2),0),IF($B636="高二",MIN(IF($E636="男",$Q636-3.25,$Q636-3.22),0),IF($B636="高一",MIN(IF($E636="男",$Q636-3.3,$Q636-3.24),0))))&lt;-0.6,IF($B636="高三",MIN(IF($E636="男",$Q636-3.2,$Q636-3.2),0),IF($B636="高二",MIN(IF($E636="男",$Q636-3.25,$Q636-3.22),0),IF($B636="高一",MIN(IF($E636="男",$Q636-3.3,$Q636-3.24),0))))+0.4,IF($B636="高三",MIN(IF($E636="男",$Q636-3.2,$Q636-3.2),0),IF($B636="高二",MIN(IF($E636="男",$Q636-3.25,$Q636-3.22),0),IF($B636="高一",MIN(IF($E636="男",$Q636-3.3,$Q636-3.24),0))))),2)</f>
        <v>-0.06</v>
      </c>
      <c r="T636" s="23">
        <f>IF(E636="男",LOOKUP($S636,[1]对照表!$AB$3:$AB$13,[1]对照表!$AC$3:$AC$13),LOOKUP($S636,[1]对照表!$AB$15:$AB$25,[1]对照表!$AC$15:$AC$25))</f>
        <v>1</v>
      </c>
      <c r="U636" s="26">
        <f>R636+T636</f>
        <v>101</v>
      </c>
      <c r="V636" s="26">
        <f>SUM(I636,K636,M636)/3*0.3+SUM(G636,R636)/2*0.4</f>
        <v>62.5</v>
      </c>
      <c r="W636" s="27">
        <f>O636+T636</f>
        <v>1</v>
      </c>
      <c r="X636" s="28">
        <f>V636/0.7+W636</f>
        <v>90.285714285714292</v>
      </c>
      <c r="Y636" s="28">
        <v>90.285714285714292</v>
      </c>
      <c r="Z636" s="21"/>
    </row>
    <row r="637" spans="1:26" x14ac:dyDescent="0.25">
      <c r="A637" s="16">
        <v>43</v>
      </c>
      <c r="B637" s="17" t="s">
        <v>21</v>
      </c>
      <c r="C637" s="16">
        <v>115</v>
      </c>
      <c r="D637" s="18" t="s">
        <v>209</v>
      </c>
      <c r="E637" s="17" t="s">
        <v>65</v>
      </c>
      <c r="F637" s="19">
        <v>9.41</v>
      </c>
      <c r="G637" s="32">
        <f>IF(B637="高三",IF($E637="男",LOOKUP(F637,[1]对照表!$G$3:$G$24,[1]对照表!$H$3:$H$24),LOOKUP(F637,[1]对照表!$G$27:$G$48,[1]对照表!$H$27:$H$48)),IF(B637="高二",IF($E637="男",LOOKUP(F637,[1]对照表!$F$3:$F$24,[1]对照表!$H$3:$H$24),LOOKUP(F637,[1]对照表!$F$27:$F$48,[1]对照表!$H$27:$H$48)),IF(B637="高一",IF($E637="男",LOOKUP(F637,[1]对照表!$E$3:$E$24,[1]对照表!$H$3:$H$24),LOOKUP(F637,[1]对照表!$E$27:$E$48,[1]对照表!$H$27:$H$48)))))</f>
        <v>70</v>
      </c>
      <c r="H637" s="21">
        <v>18</v>
      </c>
      <c r="I637" s="32">
        <f>IF(B637="高三",IF($E637="男",LOOKUP(H637,[1]对照表!$K$3:$K$24,[1]对照表!$L$3:$L$24),LOOKUP(H637,[1]对照表!$K$27:$K$48,[1]对照表!$L$27:$L$48)),IF(B637="高二",IF($E637="男",LOOKUP(H637,[1]对照表!$J$3:$J$24,[1]对照表!$L$3:$L$24),LOOKUP(H637,[1]对照表!$J$27:$J$48,[1]对照表!$L$27:$L$48)),IF(B637="高一",IF($E637="男",LOOKUP(H637,[1]对照表!$I$3:$I$24,[1]对照表!$L$3:$L$24),LOOKUP(H637,[1]对照表!$I$27:$I$48,[1]对照表!$L$27:$L$48)))))</f>
        <v>80</v>
      </c>
      <c r="J637" s="21">
        <v>182</v>
      </c>
      <c r="K637" s="32">
        <f>IF(B637="高三",IF($E637="男",LOOKUP(J637,[1]对照表!$O$3:$O$24,[1]对照表!$P$3:$P$24),LOOKUP(J637,[1]对照表!$O$27:$O$48,[1]对照表!$P$27:$P$48)),IF(B637="高二",IF($E637="男",LOOKUP(J637,[1]对照表!$N$3:$N$24,[1]对照表!$P$3:$P$24),LOOKUP(J637,[1]对照表!$N$27:$N$48,[1]对照表!$P$27:$P$48)),IF(B637="高一",IF($E637="男",LOOKUP(J637,[1]对照表!$M$3:$M$24,[1]对照表!$P$3:$P$24),LOOKUP(J637,[1]对照表!$M$27:$M$48,[1]对照表!$P$27:$P$48)))))</f>
        <v>80</v>
      </c>
      <c r="L637" s="21">
        <v>56</v>
      </c>
      <c r="M637" s="32">
        <f>IF(B637="高三",IF($E637="男",LOOKUP(L637,[1]对照表!$S$3:$S$24,[1]对照表!$T$3:$T$24),LOOKUP(L637,[1]对照表!$S$27:$S$48,[1]对照表!$T$27:$T$48)),IF(B637="高二",IF($E637="男",LOOKUP(L637,[1]对照表!$R$3:$R$24,[1]对照表!$T$3:$T$24),LOOKUP(L637,[1]对照表!$R$27:$R$48,[1]对照表!$T$27:$T$48)),IF(B637="高一",IF($E637="男",LOOKUP(L637,[1]对照表!$Q$3:$Q$24,[1]对照表!$T$3:$T$24),LOOKUP(L637,[1]对照表!$Q$27:$Q$48,[1]对照表!$T$27:$T$48)))))</f>
        <v>100</v>
      </c>
      <c r="N637" s="33">
        <f>IF(B637="高三",MAX(IF(E637="男",L637-18,L637-55),0),IF(B637="高二",MAX(IF(E637="男",L637-17,L637-54),0),IF(B637="高一",MAX(IF(E637="男",L637-16,L637-53),0))))</f>
        <v>3</v>
      </c>
      <c r="O637" s="23">
        <f>IF(E637="男",LOOKUP($N637,[1]对照表!$Z$3:$Z$13,[1]对照表!$AA$3:$AA$13),LOOKUP($N637,[1]对照表!$Z$15:$Z$25,[1]对照表!$AA$15:$AA$25))</f>
        <v>1</v>
      </c>
      <c r="P637" s="24">
        <f>M637+O637</f>
        <v>101</v>
      </c>
      <c r="Q637" s="25">
        <v>3.2</v>
      </c>
      <c r="R637" s="32">
        <f>IF(B637="高三",IF($E637="男",LOOKUP(Q637,[1]对照表!$W$3:$W$24,[1]对照表!$X$3:$X$24),LOOKUP(Q637,[1]对照表!$W$27:$W$48,[1]对照表!$X$27:$X$48)),IF(B637="高二",IF($E637="男",LOOKUP(Q637,[1]对照表!$V$3:$V$24,[1]对照表!$X$3:$X$24),LOOKUP(Q637,[1]对照表!$V$27:$V$48,[1]对照表!$X$27:$X$48)),IF(B637="高一",IF($E637="男",LOOKUP(Q637,[1]对照表!$U$3:$U$24,[1]对照表!$X$3:$X$24),LOOKUP(Q637,[1]对照表!$U$27:$U$48,[1]对照表!$X$27:$X$48)))))</f>
        <v>100</v>
      </c>
      <c r="S637" s="33">
        <f>ROUND(IF(IF($B637="高三",MIN(IF($E637="男",$Q637-3.2,$Q637-3.2),0),IF($B637="高二",MIN(IF($E637="男",$Q637-3.25,$Q637-3.22),0),IF($B637="高一",MIN(IF($E637="男",$Q637-3.3,$Q637-3.24),0))))&lt;-0.6,IF($B637="高三",MIN(IF($E637="男",$Q637-3.2,$Q637-3.2),0),IF($B637="高二",MIN(IF($E637="男",$Q637-3.25,$Q637-3.22),0),IF($B637="高一",MIN(IF($E637="男",$Q637-3.3,$Q637-3.24),0))))+0.4,IF($B637="高三",MIN(IF($E637="男",$Q637-3.2,$Q637-3.2),0),IF($B637="高二",MIN(IF($E637="男",$Q637-3.25,$Q637-3.22),0),IF($B637="高一",MIN(IF($E637="男",$Q637-3.3,$Q637-3.24),0))))),2)</f>
        <v>-0.04</v>
      </c>
      <c r="T637" s="23">
        <f>IF(E637="男",LOOKUP($S637,[1]对照表!$AB$3:$AB$13,[1]对照表!$AC$3:$AC$13),LOOKUP($S637,[1]对照表!$AB$15:$AB$25,[1]对照表!$AC$15:$AC$25))</f>
        <v>0</v>
      </c>
      <c r="U637" s="26">
        <f>R637+T637</f>
        <v>100</v>
      </c>
      <c r="V637" s="26">
        <f>SUM(I637,K637,M637)/3*0.3+SUM(G637,R637)/2*0.4</f>
        <v>60</v>
      </c>
      <c r="W637" s="27">
        <f>O637+T637</f>
        <v>1</v>
      </c>
      <c r="X637" s="28">
        <f>V637/0.7+W637</f>
        <v>86.714285714285722</v>
      </c>
      <c r="Y637" s="28">
        <v>86.714285714285722</v>
      </c>
      <c r="Z637" s="21"/>
    </row>
    <row r="638" spans="1:26" x14ac:dyDescent="0.25">
      <c r="A638" s="16">
        <v>41</v>
      </c>
      <c r="B638" s="17" t="s">
        <v>21</v>
      </c>
      <c r="C638" s="16">
        <v>115</v>
      </c>
      <c r="D638" s="18" t="s">
        <v>224</v>
      </c>
      <c r="E638" s="17" t="s">
        <v>65</v>
      </c>
      <c r="F638" s="19">
        <v>8.43</v>
      </c>
      <c r="G638" s="32">
        <f>IF(B638="高三",IF($E638="男",LOOKUP(F638,[1]对照表!$G$3:$G$24,[1]对照表!$H$3:$H$24),LOOKUP(F638,[1]对照表!$G$27:$G$48,[1]对照表!$H$27:$H$48)),IF(B638="高二",IF($E638="男",LOOKUP(F638,[1]对照表!$F$3:$F$24,[1]对照表!$H$3:$H$24),LOOKUP(F638,[1]对照表!$F$27:$F$48,[1]对照表!$H$27:$H$48)),IF(B638="高一",IF($E638="男",LOOKUP(F638,[1]对照表!$E$3:$E$24,[1]对照表!$H$3:$H$24),LOOKUP(F638,[1]对照表!$E$27:$E$48,[1]对照表!$H$27:$H$48)))))</f>
        <v>80</v>
      </c>
      <c r="H638" s="21">
        <v>18.600000000000001</v>
      </c>
      <c r="I638" s="32">
        <f>IF(B638="高三",IF($E638="男",LOOKUP(H638,[1]对照表!$K$3:$K$24,[1]对照表!$L$3:$L$24),LOOKUP(H638,[1]对照表!$K$27:$K$48,[1]对照表!$L$27:$L$48)),IF(B638="高二",IF($E638="男",LOOKUP(H638,[1]对照表!$J$3:$J$24,[1]对照表!$L$3:$L$24),LOOKUP(H638,[1]对照表!$J$27:$J$48,[1]对照表!$L$27:$L$48)),IF(B638="高一",IF($E638="男",LOOKUP(H638,[1]对照表!$I$3:$I$24,[1]对照表!$L$3:$L$24),LOOKUP(H638,[1]对照表!$I$27:$I$48,[1]对照表!$L$27:$L$48)))))</f>
        <v>80</v>
      </c>
      <c r="J638" s="21">
        <v>193</v>
      </c>
      <c r="K638" s="32">
        <f>IF(B638="高三",IF($E638="男",LOOKUP(J638,[1]对照表!$O$3:$O$24,[1]对照表!$P$3:$P$24),LOOKUP(J638,[1]对照表!$O$27:$O$48,[1]对照表!$P$27:$P$48)),IF(B638="高二",IF($E638="男",LOOKUP(J638,[1]对照表!$N$3:$N$24,[1]对照表!$P$3:$P$24),LOOKUP(J638,[1]对照表!$N$27:$N$48,[1]对照表!$P$27:$P$48)),IF(B638="高一",IF($E638="男",LOOKUP(J638,[1]对照表!$M$3:$M$24,[1]对照表!$P$3:$P$24),LOOKUP(J638,[1]对照表!$M$27:$M$48,[1]对照表!$P$27:$P$48)))))</f>
        <v>90</v>
      </c>
      <c r="L638" s="21">
        <v>37</v>
      </c>
      <c r="M638" s="32">
        <f>IF(B638="高三",IF($E638="男",LOOKUP(L638,[1]对照表!$S$3:$S$24,[1]对照表!$T$3:$T$24),LOOKUP(L638,[1]对照表!$S$27:$S$48,[1]对照表!$T$27:$T$48)),IF(B638="高二",IF($E638="男",LOOKUP(L638,[1]对照表!$R$3:$R$24,[1]对照表!$T$3:$T$24),LOOKUP(L638,[1]对照表!$R$27:$R$48,[1]对照表!$T$27:$T$48)),IF(B638="高一",IF($E638="男",LOOKUP(L638,[1]对照表!$Q$3:$Q$24,[1]对照表!$T$3:$T$24),LOOKUP(L638,[1]对照表!$Q$27:$Q$48,[1]对照表!$T$27:$T$48)))))</f>
        <v>74</v>
      </c>
      <c r="N638" s="33">
        <f>IF(B638="高三",MAX(IF(E638="男",L638-18,L638-55),0),IF(B638="高二",MAX(IF(E638="男",L638-17,L638-54),0),IF(B638="高一",MAX(IF(E638="男",L638-16,L638-53),0))))</f>
        <v>0</v>
      </c>
      <c r="O638" s="23">
        <f>IF(E638="男",LOOKUP($N638,[1]对照表!$Z$3:$Z$13,[1]对照表!$AA$3:$AA$13),LOOKUP($N638,[1]对照表!$Z$15:$Z$25,[1]对照表!$AA$15:$AA$25))</f>
        <v>0</v>
      </c>
      <c r="P638" s="24">
        <f>M638+O638</f>
        <v>74</v>
      </c>
      <c r="Q638" s="25">
        <v>3.24</v>
      </c>
      <c r="R638" s="32">
        <f>IF(B638="高三",IF($E638="男",LOOKUP(Q638,[1]对照表!$W$3:$W$24,[1]对照表!$X$3:$X$24),LOOKUP(Q638,[1]对照表!$W$27:$W$48,[1]对照表!$X$27:$X$48)),IF(B638="高二",IF($E638="男",LOOKUP(Q638,[1]对照表!$V$3:$V$24,[1]对照表!$X$3:$X$24),LOOKUP(Q638,[1]对照表!$V$27:$V$48,[1]对照表!$X$27:$X$48)),IF(B638="高一",IF($E638="男",LOOKUP(Q638,[1]对照表!$U$3:$U$24,[1]对照表!$X$3:$X$24),LOOKUP(Q638,[1]对照表!$U$27:$U$48,[1]对照表!$X$27:$X$48)))))</f>
        <v>100</v>
      </c>
      <c r="S638" s="33">
        <f>ROUND(IF(IF($B638="高三",MIN(IF($E638="男",$Q638-3.2,$Q638-3.2),0),IF($B638="高二",MIN(IF($E638="男",$Q638-3.25,$Q638-3.22),0),IF($B638="高一",MIN(IF($E638="男",$Q638-3.3,$Q638-3.24),0))))&lt;-0.6,IF($B638="高三",MIN(IF($E638="男",$Q638-3.2,$Q638-3.2),0),IF($B638="高二",MIN(IF($E638="男",$Q638-3.25,$Q638-3.22),0),IF($B638="高一",MIN(IF($E638="男",$Q638-3.3,$Q638-3.24),0))))+0.4,IF($B638="高三",MIN(IF($E638="男",$Q638-3.2,$Q638-3.2),0),IF($B638="高二",MIN(IF($E638="男",$Q638-3.25,$Q638-3.22),0),IF($B638="高一",MIN(IF($E638="男",$Q638-3.3,$Q638-3.24),0))))),2)</f>
        <v>0</v>
      </c>
      <c r="T638" s="23">
        <f>IF(E638="男",LOOKUP($S638,[1]对照表!$AB$3:$AB$13,[1]对照表!$AC$3:$AC$13),LOOKUP($S638,[1]对照表!$AB$15:$AB$25,[1]对照表!$AC$15:$AC$25))</f>
        <v>0</v>
      </c>
      <c r="U638" s="26">
        <f>R638+T638</f>
        <v>100</v>
      </c>
      <c r="V638" s="26">
        <f>SUM(I638,K638,M638)/3*0.3+SUM(G638,R638)/2*0.4</f>
        <v>60.4</v>
      </c>
      <c r="W638" s="27">
        <f>O638+T638</f>
        <v>0</v>
      </c>
      <c r="X638" s="28">
        <f>V638/0.7+W638</f>
        <v>86.285714285714292</v>
      </c>
      <c r="Y638" s="28">
        <v>86.285714285714292</v>
      </c>
      <c r="Z638" s="21"/>
    </row>
    <row r="639" spans="1:26" x14ac:dyDescent="0.25">
      <c r="A639" s="16">
        <v>36</v>
      </c>
      <c r="B639" s="17" t="s">
        <v>21</v>
      </c>
      <c r="C639" s="16">
        <v>115</v>
      </c>
      <c r="D639" s="18" t="s">
        <v>234</v>
      </c>
      <c r="E639" s="17" t="s">
        <v>65</v>
      </c>
      <c r="F639" s="19">
        <v>8.4700000000000006</v>
      </c>
      <c r="G639" s="32">
        <f>IF(B639="高三",IF($E639="男",LOOKUP(F639,[1]对照表!$G$3:$G$24,[1]对照表!$H$3:$H$24),LOOKUP(F639,[1]对照表!$G$27:$G$48,[1]对照表!$H$27:$H$48)),IF(B639="高二",IF($E639="男",LOOKUP(F639,[1]对照表!$F$3:$F$24,[1]对照表!$H$3:$H$24),LOOKUP(F639,[1]对照表!$F$27:$F$48,[1]对照表!$H$27:$H$48)),IF(B639="高一",IF($E639="男",LOOKUP(F639,[1]对照表!$E$3:$E$24,[1]对照表!$H$3:$H$24),LOOKUP(F639,[1]对照表!$E$27:$E$48,[1]对照表!$H$27:$H$48)))))</f>
        <v>80</v>
      </c>
      <c r="H639" s="21">
        <v>11.1</v>
      </c>
      <c r="I639" s="32">
        <f>IF(B639="高三",IF($E639="男",LOOKUP(H639,[1]对照表!$K$3:$K$24,[1]对照表!$L$3:$L$24),LOOKUP(H639,[1]对照表!$K$27:$K$48,[1]对照表!$L$27:$L$48)),IF(B639="高二",IF($E639="男",LOOKUP(H639,[1]对照表!$J$3:$J$24,[1]对照表!$L$3:$L$24),LOOKUP(H639,[1]对照表!$J$27:$J$48,[1]对照表!$L$27:$L$48)),IF(B639="高一",IF($E639="男",LOOKUP(H639,[1]对照表!$I$3:$I$24,[1]对照表!$L$3:$L$24),LOOKUP(H639,[1]对照表!$I$27:$I$48,[1]对照表!$L$27:$L$48)))))</f>
        <v>70</v>
      </c>
      <c r="J639" s="21">
        <v>180</v>
      </c>
      <c r="K639" s="32">
        <f>IF(B639="高三",IF($E639="男",LOOKUP(J639,[1]对照表!$O$3:$O$24,[1]对照表!$P$3:$P$24),LOOKUP(J639,[1]对照表!$O$27:$O$48,[1]对照表!$P$27:$P$48)),IF(B639="高二",IF($E639="男",LOOKUP(J639,[1]对照表!$N$3:$N$24,[1]对照表!$P$3:$P$24),LOOKUP(J639,[1]对照表!$N$27:$N$48,[1]对照表!$P$27:$P$48)),IF(B639="高一",IF($E639="男",LOOKUP(J639,[1]对照表!$M$3:$M$24,[1]对照表!$P$3:$P$24),LOOKUP(J639,[1]对照表!$M$27:$M$48,[1]对照表!$P$27:$P$48)))))</f>
        <v>80</v>
      </c>
      <c r="L639" s="21">
        <v>52</v>
      </c>
      <c r="M639" s="32">
        <f>IF(B639="高三",IF($E639="男",LOOKUP(L639,[1]对照表!$S$3:$S$24,[1]对照表!$T$3:$T$24),LOOKUP(L639,[1]对照表!$S$27:$S$48,[1]对照表!$T$27:$T$48)),IF(B639="高二",IF($E639="男",LOOKUP(L639,[1]对照表!$R$3:$R$24,[1]对照表!$T$3:$T$24),LOOKUP(L639,[1]对照表!$R$27:$R$48,[1]对照表!$T$27:$T$48)),IF(B639="高一",IF($E639="男",LOOKUP(L639,[1]对照表!$Q$3:$Q$24,[1]对照表!$T$3:$T$24),LOOKUP(L639,[1]对照表!$Q$27:$Q$48,[1]对照表!$T$27:$T$48)))))</f>
        <v>95</v>
      </c>
      <c r="N639" s="33">
        <f>IF(B639="高三",MAX(IF(E639="男",L639-18,L639-55),0),IF(B639="高二",MAX(IF(E639="男",L639-17,L639-54),0),IF(B639="高一",MAX(IF(E639="男",L639-16,L639-53),0))))</f>
        <v>0</v>
      </c>
      <c r="O639" s="23">
        <f>IF(E639="男",LOOKUP($N639,[1]对照表!$Z$3:$Z$13,[1]对照表!$AA$3:$AA$13),LOOKUP($N639,[1]对照表!$Z$15:$Z$25,[1]对照表!$AA$15:$AA$25))</f>
        <v>0</v>
      </c>
      <c r="P639" s="24">
        <f>M639+O639</f>
        <v>95</v>
      </c>
      <c r="Q639" s="25">
        <v>3.24</v>
      </c>
      <c r="R639" s="32">
        <f>IF(B639="高三",IF($E639="男",LOOKUP(Q639,[1]对照表!$W$3:$W$24,[1]对照表!$X$3:$X$24),LOOKUP(Q639,[1]对照表!$W$27:$W$48,[1]对照表!$X$27:$X$48)),IF(B639="高二",IF($E639="男",LOOKUP(Q639,[1]对照表!$V$3:$V$24,[1]对照表!$X$3:$X$24),LOOKUP(Q639,[1]对照表!$V$27:$V$48,[1]对照表!$X$27:$X$48)),IF(B639="高一",IF($E639="男",LOOKUP(Q639,[1]对照表!$U$3:$U$24,[1]对照表!$X$3:$X$24),LOOKUP(Q639,[1]对照表!$U$27:$U$48,[1]对照表!$X$27:$X$48)))))</f>
        <v>100</v>
      </c>
      <c r="S639" s="33">
        <f>ROUND(IF(IF($B639="高三",MIN(IF($E639="男",$Q639-3.2,$Q639-3.2),0),IF($B639="高二",MIN(IF($E639="男",$Q639-3.25,$Q639-3.22),0),IF($B639="高一",MIN(IF($E639="男",$Q639-3.3,$Q639-3.24),0))))&lt;-0.6,IF($B639="高三",MIN(IF($E639="男",$Q639-3.2,$Q639-3.2),0),IF($B639="高二",MIN(IF($E639="男",$Q639-3.25,$Q639-3.22),0),IF($B639="高一",MIN(IF($E639="男",$Q639-3.3,$Q639-3.24),0))))+0.4,IF($B639="高三",MIN(IF($E639="男",$Q639-3.2,$Q639-3.2),0),IF($B639="高二",MIN(IF($E639="男",$Q639-3.25,$Q639-3.22),0),IF($B639="高一",MIN(IF($E639="男",$Q639-3.3,$Q639-3.24),0))))),2)</f>
        <v>0</v>
      </c>
      <c r="T639" s="23">
        <f>IF(E639="男",LOOKUP($S639,[1]对照表!$AB$3:$AB$13,[1]对照表!$AC$3:$AC$13),LOOKUP($S639,[1]对照表!$AB$15:$AB$25,[1]对照表!$AC$15:$AC$25))</f>
        <v>0</v>
      </c>
      <c r="U639" s="26">
        <f>R639+T639</f>
        <v>100</v>
      </c>
      <c r="V639" s="26">
        <f>SUM(I639,K639,M639)/3*0.3+SUM(G639,R639)/2*0.4</f>
        <v>60.5</v>
      </c>
      <c r="W639" s="27">
        <f>O639+T639</f>
        <v>0</v>
      </c>
      <c r="X639" s="28">
        <f>V639/0.7+W639</f>
        <v>86.428571428571431</v>
      </c>
      <c r="Y639" s="28">
        <v>86.428571428571431</v>
      </c>
      <c r="Z639" s="21"/>
    </row>
    <row r="640" spans="1:26" x14ac:dyDescent="0.25">
      <c r="A640" s="16">
        <v>33</v>
      </c>
      <c r="B640" s="17" t="s">
        <v>21</v>
      </c>
      <c r="C640" s="16">
        <v>115</v>
      </c>
      <c r="D640" s="18" t="s">
        <v>241</v>
      </c>
      <c r="E640" s="31" t="s">
        <v>65</v>
      </c>
      <c r="F640" s="47">
        <v>8.89</v>
      </c>
      <c r="G640" s="32">
        <f>IF(B640="高三",IF($E640="男",LOOKUP(F640,[1]对照表!$G$3:$G$24,[1]对照表!$H$3:$H$24),LOOKUP(F640,[1]对照表!$G$27:$G$48,[1]对照表!$H$27:$H$48)),IF(B640="高二",IF($E640="男",LOOKUP(F640,[1]对照表!$F$3:$F$24,[1]对照表!$H$3:$H$24),LOOKUP(F640,[1]对照表!$F$27:$F$48,[1]对照表!$H$27:$H$48)),IF(B640="高一",IF($E640="男",LOOKUP(F640,[1]对照表!$E$3:$E$24,[1]对照表!$H$3:$H$24),LOOKUP(F640,[1]对照表!$E$27:$E$48,[1]对照表!$H$27:$H$48)))))</f>
        <v>76</v>
      </c>
      <c r="H640" s="21">
        <v>20.100000000000001</v>
      </c>
      <c r="I640" s="32">
        <f>IF(B640="高三",IF($E640="男",LOOKUP(H640,[1]对照表!$K$3:$K$24,[1]对照表!$L$3:$L$24),LOOKUP(H640,[1]对照表!$K$27:$K$48,[1]对照表!$L$27:$L$48)),IF(B640="高二",IF($E640="男",LOOKUP(H640,[1]对照表!$J$3:$J$24,[1]对照表!$L$3:$L$24),LOOKUP(H640,[1]对照表!$J$27:$J$48,[1]对照表!$L$27:$L$48)),IF(B640="高一",IF($E640="男",LOOKUP(H640,[1]对照表!$I$3:$I$24,[1]对照表!$L$3:$L$24),LOOKUP(H640,[1]对照表!$I$27:$I$48,[1]对照表!$L$27:$L$48)))))</f>
        <v>85</v>
      </c>
      <c r="J640" s="21">
        <v>204</v>
      </c>
      <c r="K640" s="32">
        <f>IF(B640="高三",IF($E640="男",LOOKUP(J640,[1]对照表!$O$3:$O$24,[1]对照表!$P$3:$P$24),LOOKUP(J640,[1]对照表!$O$27:$O$48,[1]对照表!$P$27:$P$48)),IF(B640="高二",IF($E640="男",LOOKUP(J640,[1]对照表!$N$3:$N$24,[1]对照表!$P$3:$P$24),LOOKUP(J640,[1]对照表!$N$27:$N$48,[1]对照表!$P$27:$P$48)),IF(B640="高一",IF($E640="男",LOOKUP(J640,[1]对照表!$M$3:$M$24,[1]对照表!$P$3:$P$24),LOOKUP(J640,[1]对照表!$M$27:$M$48,[1]对照表!$P$27:$P$48)))))</f>
        <v>100</v>
      </c>
      <c r="L640" s="21">
        <v>58</v>
      </c>
      <c r="M640" s="32">
        <f>IF(B640="高三",IF($E640="男",LOOKUP(L640,[1]对照表!$S$3:$S$24,[1]对照表!$T$3:$T$24),LOOKUP(L640,[1]对照表!$S$27:$S$48,[1]对照表!$T$27:$T$48)),IF(B640="高二",IF($E640="男",LOOKUP(L640,[1]对照表!$R$3:$R$24,[1]对照表!$T$3:$T$24),LOOKUP(L640,[1]对照表!$R$27:$R$48,[1]对照表!$T$27:$T$48)),IF(B640="高一",IF($E640="男",LOOKUP(L640,[1]对照表!$Q$3:$Q$24,[1]对照表!$T$3:$T$24),LOOKUP(L640,[1]对照表!$Q$27:$Q$48,[1]对照表!$T$27:$T$48)))))</f>
        <v>100</v>
      </c>
      <c r="N640" s="33">
        <f>IF(B640="高三",MAX(IF(E640="男",L640-18,L640-55),0),IF(B640="高二",MAX(IF(E640="男",L640-17,L640-54),0),IF(B640="高一",MAX(IF(E640="男",L640-16,L640-53),0))))</f>
        <v>5</v>
      </c>
      <c r="O640" s="23">
        <f>IF(E640="男",LOOKUP($N640,[1]对照表!$Z$3:$Z$13,[1]对照表!$AA$3:$AA$13),LOOKUP($N640,[1]对照表!$Z$15:$Z$25,[1]对照表!$AA$15:$AA$25))</f>
        <v>2</v>
      </c>
      <c r="P640" s="24">
        <f>M640+O640</f>
        <v>102</v>
      </c>
      <c r="Q640" s="25">
        <v>3.25</v>
      </c>
      <c r="R640" s="32">
        <f>IF(B640="高三",IF($E640="男",LOOKUP(Q640,[1]对照表!$W$3:$W$24,[1]对照表!$X$3:$X$24),LOOKUP(Q640,[1]对照表!$W$27:$W$48,[1]对照表!$X$27:$X$48)),IF(B640="高二",IF($E640="男",LOOKUP(Q640,[1]对照表!$V$3:$V$24,[1]对照表!$X$3:$X$24),LOOKUP(Q640,[1]对照表!$V$27:$V$48,[1]对照表!$X$27:$X$48)),IF(B640="高一",IF($E640="男",LOOKUP(Q640,[1]对照表!$U$3:$U$24,[1]对照表!$X$3:$X$24),LOOKUP(Q640,[1]对照表!$U$27:$U$48,[1]对照表!$X$27:$X$48)))))</f>
        <v>95</v>
      </c>
      <c r="S640" s="33">
        <f>ROUND(IF(IF($B640="高三",MIN(IF($E640="男",$Q640-3.2,$Q640-3.2),0),IF($B640="高二",MIN(IF($E640="男",$Q640-3.25,$Q640-3.22),0),IF($B640="高一",MIN(IF($E640="男",$Q640-3.3,$Q640-3.24),0))))&lt;-0.6,IF($B640="高三",MIN(IF($E640="男",$Q640-3.2,$Q640-3.2),0),IF($B640="高二",MIN(IF($E640="男",$Q640-3.25,$Q640-3.22),0),IF($B640="高一",MIN(IF($E640="男",$Q640-3.3,$Q640-3.24),0))))+0.4,IF($B640="高三",MIN(IF($E640="男",$Q640-3.2,$Q640-3.2),0),IF($B640="高二",MIN(IF($E640="男",$Q640-3.25,$Q640-3.22),0),IF($B640="高一",MIN(IF($E640="男",$Q640-3.3,$Q640-3.24),0))))),2)</f>
        <v>0</v>
      </c>
      <c r="T640" s="23">
        <f>IF(E640="男",LOOKUP($S640,[1]对照表!$AB$3:$AB$13,[1]对照表!$AC$3:$AC$13),LOOKUP($S640,[1]对照表!$AB$15:$AB$25,[1]对照表!$AC$15:$AC$25))</f>
        <v>0</v>
      </c>
      <c r="U640" s="26">
        <f>R640+T640</f>
        <v>95</v>
      </c>
      <c r="V640" s="26">
        <f>SUM(I640,K640,M640)/3*0.3+SUM(G640,R640)/2*0.4</f>
        <v>62.7</v>
      </c>
      <c r="W640" s="27">
        <f>O640+T640</f>
        <v>2</v>
      </c>
      <c r="X640" s="28">
        <f>V640/0.7+W640</f>
        <v>91.571428571428584</v>
      </c>
      <c r="Y640" s="28">
        <v>91.571428571428584</v>
      </c>
      <c r="Z640" s="21"/>
    </row>
    <row r="641" spans="1:26" x14ac:dyDescent="0.25">
      <c r="A641" s="16">
        <v>16</v>
      </c>
      <c r="B641" s="17" t="s">
        <v>21</v>
      </c>
      <c r="C641" s="16">
        <v>115</v>
      </c>
      <c r="D641" s="18" t="s">
        <v>266</v>
      </c>
      <c r="E641" s="16" t="s">
        <v>65</v>
      </c>
      <c r="F641" s="19">
        <v>9.5399999999999991</v>
      </c>
      <c r="G641" s="32">
        <f>IF(B641="高三",IF($E641="男",LOOKUP(F641,[1]对照表!$G$3:$G$24,[1]对照表!$H$3:$H$24),LOOKUP(F641,[1]对照表!$G$27:$G$48,[1]对照表!$H$27:$H$48)),IF(B641="高二",IF($E641="男",LOOKUP(F641,[1]对照表!$F$3:$F$24,[1]对照表!$H$3:$H$24),LOOKUP(F641,[1]对照表!$F$27:$F$48,[1]对照表!$H$27:$H$48)),IF(B641="高一",IF($E641="男",LOOKUP(F641,[1]对照表!$E$3:$E$24,[1]对照表!$H$3:$H$24),LOOKUP(F641,[1]对照表!$E$27:$E$48,[1]对照表!$H$27:$H$48)))))</f>
        <v>70</v>
      </c>
      <c r="H641" s="21">
        <v>18</v>
      </c>
      <c r="I641" s="32">
        <f>IF(B641="高三",IF($E641="男",LOOKUP(H641,[1]对照表!$K$3:$K$24,[1]对照表!$L$3:$L$24),LOOKUP(H641,[1]对照表!$K$27:$K$48,[1]对照表!$L$27:$L$48)),IF(B641="高二",IF($E641="男",LOOKUP(H641,[1]对照表!$J$3:$J$24,[1]对照表!$L$3:$L$24),LOOKUP(H641,[1]对照表!$J$27:$J$48,[1]对照表!$L$27:$L$48)),IF(B641="高一",IF($E641="男",LOOKUP(H641,[1]对照表!$I$3:$I$24,[1]对照表!$L$3:$L$24),LOOKUP(H641,[1]对照表!$I$27:$I$48,[1]对照表!$L$27:$L$48)))))</f>
        <v>80</v>
      </c>
      <c r="J641" s="21">
        <v>156</v>
      </c>
      <c r="K641" s="32">
        <f>IF(B641="高三",IF($E641="男",LOOKUP(J641,[1]对照表!$O$3:$O$24,[1]对照表!$P$3:$P$24),LOOKUP(J641,[1]对照表!$O$27:$O$48,[1]对照表!$P$27:$P$48)),IF(B641="高二",IF($E641="男",LOOKUP(J641,[1]对照表!$N$3:$N$24,[1]对照表!$P$3:$P$24),LOOKUP(J641,[1]对照表!$N$27:$N$48,[1]对照表!$P$27:$P$48)),IF(B641="高一",IF($E641="男",LOOKUP(J641,[1]对照表!$M$3:$M$24,[1]对照表!$P$3:$P$24),LOOKUP(J641,[1]对照表!$M$27:$M$48,[1]对照表!$P$27:$P$48)))))</f>
        <v>64</v>
      </c>
      <c r="L641" s="21">
        <v>59</v>
      </c>
      <c r="M641" s="32">
        <f>IF(B641="高三",IF($E641="男",LOOKUP(L641,[1]对照表!$S$3:$S$24,[1]对照表!$T$3:$T$24),LOOKUP(L641,[1]对照表!$S$27:$S$48,[1]对照表!$T$27:$T$48)),IF(B641="高二",IF($E641="男",LOOKUP(L641,[1]对照表!$R$3:$R$24,[1]对照表!$T$3:$T$24),LOOKUP(L641,[1]对照表!$R$27:$R$48,[1]对照表!$T$27:$T$48)),IF(B641="高一",IF($E641="男",LOOKUP(L641,[1]对照表!$Q$3:$Q$24,[1]对照表!$T$3:$T$24),LOOKUP(L641,[1]对照表!$Q$27:$Q$48,[1]对照表!$T$27:$T$48)))))</f>
        <v>100</v>
      </c>
      <c r="N641" s="33">
        <f>IF(B641="高三",MAX(IF(E641="男",L641-18,L641-55),0),IF(B641="高二",MAX(IF(E641="男",L641-17,L641-54),0),IF(B641="高一",MAX(IF(E641="男",L641-16,L641-53),0))))</f>
        <v>6</v>
      </c>
      <c r="O641" s="23">
        <f>IF(E641="男",LOOKUP($N641,[1]对照表!$Z$3:$Z$13,[1]对照表!$AA$3:$AA$13),LOOKUP($N641,[1]对照表!$Z$15:$Z$25,[1]对照表!$AA$15:$AA$25))</f>
        <v>3</v>
      </c>
      <c r="P641" s="24">
        <f>M641+O641</f>
        <v>103</v>
      </c>
      <c r="Q641" s="25">
        <v>3.29</v>
      </c>
      <c r="R641" s="32">
        <f>IF(B641="高三",IF($E641="男",LOOKUP(Q641,[1]对照表!$W$3:$W$24,[1]对照表!$X$3:$X$24),LOOKUP(Q641,[1]对照表!$W$27:$W$48,[1]对照表!$X$27:$X$48)),IF(B641="高二",IF($E641="男",LOOKUP(Q641,[1]对照表!$V$3:$V$24,[1]对照表!$X$3:$X$24),LOOKUP(Q641,[1]对照表!$V$27:$V$48,[1]对照表!$X$27:$X$48)),IF(B641="高一",IF($E641="男",LOOKUP(Q641,[1]对照表!$U$3:$U$24,[1]对照表!$X$3:$X$24),LOOKUP(Q641,[1]对照表!$U$27:$U$48,[1]对照表!$X$27:$X$48)))))</f>
        <v>95</v>
      </c>
      <c r="S641" s="33">
        <f>ROUND(IF(IF($B641="高三",MIN(IF($E641="男",$Q641-3.2,$Q641-3.2),0),IF($B641="高二",MIN(IF($E641="男",$Q641-3.25,$Q641-3.22),0),IF($B641="高一",MIN(IF($E641="男",$Q641-3.3,$Q641-3.24),0))))&lt;-0.6,IF($B641="高三",MIN(IF($E641="男",$Q641-3.2,$Q641-3.2),0),IF($B641="高二",MIN(IF($E641="男",$Q641-3.25,$Q641-3.22),0),IF($B641="高一",MIN(IF($E641="男",$Q641-3.3,$Q641-3.24),0))))+0.4,IF($B641="高三",MIN(IF($E641="男",$Q641-3.2,$Q641-3.2),0),IF($B641="高二",MIN(IF($E641="男",$Q641-3.25,$Q641-3.22),0),IF($B641="高一",MIN(IF($E641="男",$Q641-3.3,$Q641-3.24),0))))),2)</f>
        <v>0</v>
      </c>
      <c r="T641" s="23">
        <f>IF(E641="男",LOOKUP($S641,[1]对照表!$AB$3:$AB$13,[1]对照表!$AC$3:$AC$13),LOOKUP($S641,[1]对照表!$AB$15:$AB$25,[1]对照表!$AC$15:$AC$25))</f>
        <v>0</v>
      </c>
      <c r="U641" s="26">
        <f>R641+T641</f>
        <v>95</v>
      </c>
      <c r="V641" s="26">
        <f>SUM(I641,K641,M641)/3*0.3+SUM(G641,R641)/2*0.4</f>
        <v>57.4</v>
      </c>
      <c r="W641" s="27">
        <f>O641+T641</f>
        <v>3</v>
      </c>
      <c r="X641" s="28">
        <f>V641/0.7+W641</f>
        <v>85</v>
      </c>
      <c r="Y641" s="28">
        <v>85</v>
      </c>
      <c r="Z641" s="21"/>
    </row>
    <row r="642" spans="1:26" x14ac:dyDescent="0.25">
      <c r="A642" s="16">
        <v>7</v>
      </c>
      <c r="B642" s="17" t="s">
        <v>21</v>
      </c>
      <c r="C642" s="16">
        <v>115</v>
      </c>
      <c r="D642" s="18" t="s">
        <v>296</v>
      </c>
      <c r="E642" s="16" t="s">
        <v>23</v>
      </c>
      <c r="F642" s="19">
        <v>7.1</v>
      </c>
      <c r="G642" s="32">
        <f>IF(B642="高三",IF($E642="男",LOOKUP(F642,[1]对照表!$G$3:$G$24,[1]对照表!$H$3:$H$24),LOOKUP(F642,[1]对照表!$G$27:$G$48,[1]对照表!$H$27:$H$48)),IF(B642="高二",IF($E642="男",LOOKUP(F642,[1]对照表!$F$3:$F$24,[1]对照表!$H$3:$H$24),LOOKUP(F642,[1]对照表!$F$27:$F$48,[1]对照表!$H$27:$H$48)),IF(B642="高一",IF($E642="男",LOOKUP(F642,[1]对照表!$E$3:$E$24,[1]对照表!$H$3:$H$24),LOOKUP(F642,[1]对照表!$E$27:$E$48,[1]对照表!$H$27:$H$48)))))</f>
        <v>100</v>
      </c>
      <c r="H642" s="21">
        <v>7.7</v>
      </c>
      <c r="I642" s="32">
        <f>IF(B642="高三",IF($E642="男",LOOKUP(H642,[1]对照表!$K$3:$K$24,[1]对照表!$L$3:$L$24),LOOKUP(H642,[1]对照表!$K$27:$K$48,[1]对照表!$L$27:$L$48)),IF(B642="高二",IF($E642="男",LOOKUP(H642,[1]对照表!$J$3:$J$24,[1]对照表!$L$3:$L$24),LOOKUP(H642,[1]对照表!$J$27:$J$48,[1]对照表!$L$27:$L$48)),IF(B642="高一",IF($E642="男",LOOKUP(H642,[1]对照表!$I$3:$I$24,[1]对照表!$L$3:$L$24),LOOKUP(H642,[1]对照表!$I$27:$I$48,[1]对照表!$L$27:$L$48)))))</f>
        <v>68</v>
      </c>
      <c r="J642" s="21">
        <v>230</v>
      </c>
      <c r="K642" s="32">
        <f>IF(B642="高三",IF($E642="男",LOOKUP(J642,[1]对照表!$O$3:$O$24,[1]对照表!$P$3:$P$24),LOOKUP(J642,[1]对照表!$O$27:$O$48,[1]对照表!$P$27:$P$48)),IF(B642="高二",IF($E642="男",LOOKUP(J642,[1]对照表!$N$3:$N$24,[1]对照表!$P$3:$P$24),LOOKUP(J642,[1]对照表!$N$27:$N$48,[1]对照表!$P$27:$P$48)),IF(B642="高一",IF($E642="男",LOOKUP(J642,[1]对照表!$M$3:$M$24,[1]对照表!$P$3:$P$24),LOOKUP(J642,[1]对照表!$M$27:$M$48,[1]对照表!$P$27:$P$48)))))</f>
        <v>76</v>
      </c>
      <c r="L642" s="21">
        <v>14</v>
      </c>
      <c r="M642" s="32">
        <f>IF(B642="高三",IF($E642="男",LOOKUP(L642,[1]对照表!$S$3:$S$24,[1]对照表!$T$3:$T$24),LOOKUP(L642,[1]对照表!$S$27:$S$48,[1]对照表!$T$27:$T$48)),IF(B642="高二",IF($E642="男",LOOKUP(L642,[1]对照表!$R$3:$R$24,[1]对照表!$T$3:$T$24),LOOKUP(L642,[1]对照表!$R$27:$R$48,[1]对照表!$T$27:$T$48)),IF(B642="高一",IF($E642="男",LOOKUP(L642,[1]对照表!$Q$3:$Q$24,[1]对照表!$T$3:$T$24),LOOKUP(L642,[1]对照表!$Q$27:$Q$48,[1]对照表!$T$27:$T$48)))))</f>
        <v>90</v>
      </c>
      <c r="N642" s="33">
        <f>IF(B642="高三",MAX(IF(E642="男",L642-18,L642-55),0),IF(B642="高二",MAX(IF(E642="男",L642-17,L642-54),0),IF(B642="高一",MAX(IF(E642="男",L642-16,L642-53),0))))</f>
        <v>0</v>
      </c>
      <c r="O642" s="23">
        <f>IF(E642="男",LOOKUP($N642,[1]对照表!$Z$3:$Z$13,[1]对照表!$AA$3:$AA$13),LOOKUP($N642,[1]对照表!$Z$15:$Z$25,[1]对照表!$AA$15:$AA$25))</f>
        <v>0</v>
      </c>
      <c r="P642" s="24">
        <f>M642+O642</f>
        <v>90</v>
      </c>
      <c r="Q642" s="25">
        <v>3.54</v>
      </c>
      <c r="R642" s="32">
        <f>IF(B642="高三",IF($E642="男",LOOKUP(Q642,[1]对照表!$W$3:$W$24,[1]对照表!$X$3:$X$24),LOOKUP(Q642,[1]对照表!$W$27:$W$48,[1]对照表!$X$27:$X$48)),IF(B642="高二",IF($E642="男",LOOKUP(Q642,[1]对照表!$V$3:$V$24,[1]对照表!$X$3:$X$24),LOOKUP(Q642,[1]对照表!$V$27:$V$48,[1]对照表!$X$27:$X$48)),IF(B642="高一",IF($E642="男",LOOKUP(Q642,[1]对照表!$U$3:$U$24,[1]对照表!$X$3:$X$24),LOOKUP(Q642,[1]对照表!$U$27:$U$48,[1]对照表!$X$27:$X$48)))))</f>
        <v>80</v>
      </c>
      <c r="S642" s="33">
        <f>ROUND(IF(IF($B642="高三",MIN(IF($E642="男",$Q642-3.2,$Q642-3.2),0),IF($B642="高二",MIN(IF($E642="男",$Q642-3.25,$Q642-3.22),0),IF($B642="高一",MIN(IF($E642="男",$Q642-3.3,$Q642-3.24),0))))&lt;-0.6,IF($B642="高三",MIN(IF($E642="男",$Q642-3.2,$Q642-3.2),0),IF($B642="高二",MIN(IF($E642="男",$Q642-3.25,$Q642-3.22),0),IF($B642="高一",MIN(IF($E642="男",$Q642-3.3,$Q642-3.24),0))))+0.4,IF($B642="高三",MIN(IF($E642="男",$Q642-3.2,$Q642-3.2),0),IF($B642="高二",MIN(IF($E642="男",$Q642-3.25,$Q642-3.22),0),IF($B642="高一",MIN(IF($E642="男",$Q642-3.3,$Q642-3.24),0))))),2)</f>
        <v>0</v>
      </c>
      <c r="T642" s="23">
        <f>IF(E642="男",LOOKUP($S642,[1]对照表!$AB$3:$AB$13,[1]对照表!$AC$3:$AC$13),LOOKUP($S642,[1]对照表!$AB$15:$AB$25,[1]对照表!$AC$15:$AC$25))</f>
        <v>0</v>
      </c>
      <c r="U642" s="26">
        <f>R642+T642</f>
        <v>80</v>
      </c>
      <c r="V642" s="26">
        <f>SUM(I642,K642,M642)/3*0.3+SUM(G642,R642)/2*0.4</f>
        <v>59.4</v>
      </c>
      <c r="W642" s="27">
        <f>O642+T642</f>
        <v>0</v>
      </c>
      <c r="X642" s="28">
        <f>V642/0.7+W642</f>
        <v>84.857142857142861</v>
      </c>
      <c r="Y642" s="28">
        <v>84.857142857142861</v>
      </c>
      <c r="Z642" s="21"/>
    </row>
    <row r="643" spans="1:26" x14ac:dyDescent="0.25">
      <c r="A643" s="16">
        <v>23</v>
      </c>
      <c r="B643" s="17" t="s">
        <v>21</v>
      </c>
      <c r="C643" s="16">
        <v>115</v>
      </c>
      <c r="D643" s="18" t="s">
        <v>307</v>
      </c>
      <c r="E643" s="16" t="s">
        <v>65</v>
      </c>
      <c r="F643" s="19">
        <v>9.19</v>
      </c>
      <c r="G643" s="32">
        <f>IF(B643="高三",IF($E643="男",LOOKUP(F643,[1]对照表!$G$3:$G$24,[1]对照表!$H$3:$H$24),LOOKUP(F643,[1]对照表!$G$27:$G$48,[1]对照表!$H$27:$H$48)),IF(B643="高二",IF($E643="男",LOOKUP(F643,[1]对照表!$F$3:$F$24,[1]对照表!$H$3:$H$24),LOOKUP(F643,[1]对照表!$F$27:$F$48,[1]对照表!$H$27:$H$48)),IF(B643="高一",IF($E643="男",LOOKUP(F643,[1]对照表!$E$3:$E$24,[1]对照表!$H$3:$H$24),LOOKUP(F643,[1]对照表!$E$27:$E$48,[1]对照表!$H$27:$H$48)))))</f>
        <v>74</v>
      </c>
      <c r="H643" s="21">
        <v>23</v>
      </c>
      <c r="I643" s="32">
        <f>IF(B643="高三",IF($E643="男",LOOKUP(H643,[1]对照表!$K$3:$K$24,[1]对照表!$L$3:$L$24),LOOKUP(H643,[1]对照表!$K$27:$K$48,[1]对照表!$L$27:$L$48)),IF(B643="高二",IF($E643="男",LOOKUP(H643,[1]对照表!$J$3:$J$24,[1]对照表!$L$3:$L$24),LOOKUP(H643,[1]对照表!$J$27:$J$48,[1]对照表!$L$27:$L$48)),IF(B643="高一",IF($E643="男",LOOKUP(H643,[1]对照表!$I$3:$I$24,[1]对照表!$L$3:$L$24),LOOKUP(H643,[1]对照表!$I$27:$I$48,[1]对照表!$L$27:$L$48)))))</f>
        <v>95</v>
      </c>
      <c r="J643" s="21">
        <v>175</v>
      </c>
      <c r="K643" s="32">
        <f>IF(B643="高三",IF($E643="男",LOOKUP(J643,[1]对照表!$O$3:$O$24,[1]对照表!$P$3:$P$24),LOOKUP(J643,[1]对照表!$O$27:$O$48,[1]对照表!$P$27:$P$48)),IF(B643="高二",IF($E643="男",LOOKUP(J643,[1]对照表!$N$3:$N$24,[1]对照表!$P$3:$P$24),LOOKUP(J643,[1]对照表!$N$27:$N$48,[1]对照表!$P$27:$P$48)),IF(B643="高一",IF($E643="男",LOOKUP(J643,[1]对照表!$M$3:$M$24,[1]对照表!$P$3:$P$24),LOOKUP(J643,[1]对照表!$M$27:$M$48,[1]对照表!$P$27:$P$48)))))</f>
        <v>78</v>
      </c>
      <c r="L643" s="21">
        <v>40</v>
      </c>
      <c r="M643" s="32">
        <f>IF(B643="高三",IF($E643="男",LOOKUP(L643,[1]对照表!$S$3:$S$24,[1]对照表!$T$3:$T$24),LOOKUP(L643,[1]对照表!$S$27:$S$48,[1]对照表!$T$27:$T$48)),IF(B643="高二",IF($E643="男",LOOKUP(L643,[1]对照表!$R$3:$R$24,[1]对照表!$T$3:$T$24),LOOKUP(L643,[1]对照表!$R$27:$R$48,[1]对照表!$T$27:$T$48)),IF(B643="高一",IF($E643="男",LOOKUP(L643,[1]对照表!$Q$3:$Q$24,[1]对照表!$T$3:$T$24),LOOKUP(L643,[1]对照表!$Q$27:$Q$48,[1]对照表!$T$27:$T$48)))))</f>
        <v>76</v>
      </c>
      <c r="N643" s="33">
        <f>IF(B643="高三",MAX(IF(E643="男",L643-18,L643-55),0),IF(B643="高二",MAX(IF(E643="男",L643-17,L643-54),0),IF(B643="高一",MAX(IF(E643="男",L643-16,L643-53),0))))</f>
        <v>0</v>
      </c>
      <c r="O643" s="23">
        <f>IF(E643="男",LOOKUP($N643,[1]对照表!$Z$3:$Z$13,[1]对照表!$AA$3:$AA$13),LOOKUP($N643,[1]对照表!$Z$15:$Z$25,[1]对照表!$AA$15:$AA$25))</f>
        <v>0</v>
      </c>
      <c r="P643" s="24">
        <f>M643+O643</f>
        <v>76</v>
      </c>
      <c r="Q643" s="25">
        <v>3.3</v>
      </c>
      <c r="R643" s="32">
        <f>IF(B643="高三",IF($E643="男",LOOKUP(Q643,[1]对照表!$W$3:$W$24,[1]对照表!$X$3:$X$24),LOOKUP(Q643,[1]对照表!$W$27:$W$48,[1]对照表!$X$27:$X$48)),IF(B643="高二",IF($E643="男",LOOKUP(Q643,[1]对照表!$V$3:$V$24,[1]对照表!$X$3:$X$24),LOOKUP(Q643,[1]对照表!$V$27:$V$48,[1]对照表!$X$27:$X$48)),IF(B643="高一",IF($E643="男",LOOKUP(Q643,[1]对照表!$U$3:$U$24,[1]对照表!$X$3:$X$24),LOOKUP(Q643,[1]对照表!$U$27:$U$48,[1]对照表!$X$27:$X$48)))))</f>
        <v>95</v>
      </c>
      <c r="S643" s="33">
        <f>ROUND(IF(IF($B643="高三",MIN(IF($E643="男",$Q643-3.2,$Q643-3.2),0),IF($B643="高二",MIN(IF($E643="男",$Q643-3.25,$Q643-3.22),0),IF($B643="高一",MIN(IF($E643="男",$Q643-3.3,$Q643-3.24),0))))&lt;-0.6,IF($B643="高三",MIN(IF($E643="男",$Q643-3.2,$Q643-3.2),0),IF($B643="高二",MIN(IF($E643="男",$Q643-3.25,$Q643-3.22),0),IF($B643="高一",MIN(IF($E643="男",$Q643-3.3,$Q643-3.24),0))))+0.4,IF($B643="高三",MIN(IF($E643="男",$Q643-3.2,$Q643-3.2),0),IF($B643="高二",MIN(IF($E643="男",$Q643-3.25,$Q643-3.22),0),IF($B643="高一",MIN(IF($E643="男",$Q643-3.3,$Q643-3.24),0))))),2)</f>
        <v>0</v>
      </c>
      <c r="T643" s="23">
        <f>IF(E643="男",LOOKUP($S643,[1]对照表!$AB$3:$AB$13,[1]对照表!$AC$3:$AC$13),LOOKUP($S643,[1]对照表!$AB$15:$AB$25,[1]对照表!$AC$15:$AC$25))</f>
        <v>0</v>
      </c>
      <c r="U643" s="26">
        <f>R643+T643</f>
        <v>95</v>
      </c>
      <c r="V643" s="26">
        <f>SUM(I643,K643,M643)/3*0.3+SUM(G643,R643)/2*0.4</f>
        <v>58.7</v>
      </c>
      <c r="W643" s="27">
        <f>O643+T643</f>
        <v>0</v>
      </c>
      <c r="X643" s="28">
        <f>V643/0.7+W643</f>
        <v>83.857142857142861</v>
      </c>
      <c r="Y643" s="28">
        <v>83.857142857142861</v>
      </c>
      <c r="Z643" s="21"/>
    </row>
    <row r="644" spans="1:26" x14ac:dyDescent="0.25">
      <c r="A644" s="16">
        <v>27</v>
      </c>
      <c r="B644" s="17" t="s">
        <v>21</v>
      </c>
      <c r="C644" s="16">
        <v>115</v>
      </c>
      <c r="D644" s="18" t="s">
        <v>310</v>
      </c>
      <c r="E644" s="16" t="s">
        <v>65</v>
      </c>
      <c r="F644" s="19">
        <v>9.4</v>
      </c>
      <c r="G644" s="32">
        <f>IF(B644="高三",IF($E644="男",LOOKUP(F644,[1]对照表!$G$3:$G$24,[1]对照表!$H$3:$H$24),LOOKUP(F644,[1]对照表!$G$27:$G$48,[1]对照表!$H$27:$H$48)),IF(B644="高二",IF($E644="男",LOOKUP(F644,[1]对照表!$F$3:$F$24,[1]对照表!$H$3:$H$24),LOOKUP(F644,[1]对照表!$F$27:$F$48,[1]对照表!$H$27:$H$48)),IF(B644="高一",IF($E644="男",LOOKUP(F644,[1]对照表!$E$3:$E$24,[1]对照表!$H$3:$H$24),LOOKUP(F644,[1]对照表!$E$27:$E$48,[1]对照表!$H$27:$H$48)))))</f>
        <v>72</v>
      </c>
      <c r="H644" s="21">
        <v>11.5</v>
      </c>
      <c r="I644" s="32">
        <f>IF(B644="高三",IF($E644="男",LOOKUP(H644,[1]对照表!$K$3:$K$24,[1]对照表!$L$3:$L$24),LOOKUP(H644,[1]对照表!$K$27:$K$48,[1]对照表!$L$27:$L$48)),IF(B644="高二",IF($E644="男",LOOKUP(H644,[1]对照表!$J$3:$J$24,[1]对照表!$L$3:$L$24),LOOKUP(H644,[1]对照表!$J$27:$J$48,[1]对照表!$L$27:$L$48)),IF(B644="高一",IF($E644="男",LOOKUP(H644,[1]对照表!$I$3:$I$24,[1]对照表!$L$3:$L$24),LOOKUP(H644,[1]对照表!$I$27:$I$48,[1]对照表!$L$27:$L$48)))))</f>
        <v>70</v>
      </c>
      <c r="J644" s="21">
        <v>168</v>
      </c>
      <c r="K644" s="32">
        <f>IF(B644="高三",IF($E644="男",LOOKUP(J644,[1]对照表!$O$3:$O$24,[1]对照表!$P$3:$P$24),LOOKUP(J644,[1]对照表!$O$27:$O$48,[1]对照表!$P$27:$P$48)),IF(B644="高二",IF($E644="男",LOOKUP(J644,[1]对照表!$N$3:$N$24,[1]对照表!$P$3:$P$24),LOOKUP(J644,[1]对照表!$N$27:$N$48,[1]对照表!$P$27:$P$48)),IF(B644="高一",IF($E644="男",LOOKUP(J644,[1]对照表!$M$3:$M$24,[1]对照表!$P$3:$P$24),LOOKUP(J644,[1]对照表!$M$27:$M$48,[1]对照表!$P$27:$P$48)))))</f>
        <v>72</v>
      </c>
      <c r="L644" s="21">
        <v>57</v>
      </c>
      <c r="M644" s="32">
        <f>IF(B644="高三",IF($E644="男",LOOKUP(L644,[1]对照表!$S$3:$S$24,[1]对照表!$T$3:$T$24),LOOKUP(L644,[1]对照表!$S$27:$S$48,[1]对照表!$T$27:$T$48)),IF(B644="高二",IF($E644="男",LOOKUP(L644,[1]对照表!$R$3:$R$24,[1]对照表!$T$3:$T$24),LOOKUP(L644,[1]对照表!$R$27:$R$48,[1]对照表!$T$27:$T$48)),IF(B644="高一",IF($E644="男",LOOKUP(L644,[1]对照表!$Q$3:$Q$24,[1]对照表!$T$3:$T$24),LOOKUP(L644,[1]对照表!$Q$27:$Q$48,[1]对照表!$T$27:$T$48)))))</f>
        <v>100</v>
      </c>
      <c r="N644" s="33">
        <f>IF(B644="高三",MAX(IF(E644="男",L644-18,L644-55),0),IF(B644="高二",MAX(IF(E644="男",L644-17,L644-54),0),IF(B644="高一",MAX(IF(E644="男",L644-16,L644-53),0))))</f>
        <v>4</v>
      </c>
      <c r="O644" s="23">
        <f>IF(E644="男",LOOKUP($N644,[1]对照表!$Z$3:$Z$13,[1]对照表!$AA$3:$AA$13),LOOKUP($N644,[1]对照表!$Z$15:$Z$25,[1]对照表!$AA$15:$AA$25))</f>
        <v>2</v>
      </c>
      <c r="P644" s="24">
        <f>M644+O644</f>
        <v>102</v>
      </c>
      <c r="Q644" s="25">
        <v>3.3</v>
      </c>
      <c r="R644" s="32">
        <f>IF(B644="高三",IF($E644="男",LOOKUP(Q644,[1]对照表!$W$3:$W$24,[1]对照表!$X$3:$X$24),LOOKUP(Q644,[1]对照表!$W$27:$W$48,[1]对照表!$X$27:$X$48)),IF(B644="高二",IF($E644="男",LOOKUP(Q644,[1]对照表!$V$3:$V$24,[1]对照表!$X$3:$X$24),LOOKUP(Q644,[1]对照表!$V$27:$V$48,[1]对照表!$X$27:$X$48)),IF(B644="高一",IF($E644="男",LOOKUP(Q644,[1]对照表!$U$3:$U$24,[1]对照表!$X$3:$X$24),LOOKUP(Q644,[1]对照表!$U$27:$U$48,[1]对照表!$X$27:$X$48)))))</f>
        <v>95</v>
      </c>
      <c r="S644" s="33">
        <f>ROUND(IF(IF($B644="高三",MIN(IF($E644="男",$Q644-3.2,$Q644-3.2),0),IF($B644="高二",MIN(IF($E644="男",$Q644-3.25,$Q644-3.22),0),IF($B644="高一",MIN(IF($E644="男",$Q644-3.3,$Q644-3.24),0))))&lt;-0.6,IF($B644="高三",MIN(IF($E644="男",$Q644-3.2,$Q644-3.2),0),IF($B644="高二",MIN(IF($E644="男",$Q644-3.25,$Q644-3.22),0),IF($B644="高一",MIN(IF($E644="男",$Q644-3.3,$Q644-3.24),0))))+0.4,IF($B644="高三",MIN(IF($E644="男",$Q644-3.2,$Q644-3.2),0),IF($B644="高二",MIN(IF($E644="男",$Q644-3.25,$Q644-3.22),0),IF($B644="高一",MIN(IF($E644="男",$Q644-3.3,$Q644-3.24),0))))),2)</f>
        <v>0</v>
      </c>
      <c r="T644" s="23">
        <f>IF(E644="男",LOOKUP($S644,[1]对照表!$AB$3:$AB$13,[1]对照表!$AC$3:$AC$13),LOOKUP($S644,[1]对照表!$AB$15:$AB$25,[1]对照表!$AC$15:$AC$25))</f>
        <v>0</v>
      </c>
      <c r="U644" s="26">
        <f>R644+T644</f>
        <v>95</v>
      </c>
      <c r="V644" s="26">
        <f>SUM(I644,K644,M644)/3*0.3+SUM(G644,R644)/2*0.4</f>
        <v>57.599999999999994</v>
      </c>
      <c r="W644" s="27">
        <f>O644+T644</f>
        <v>2</v>
      </c>
      <c r="X644" s="28">
        <f>V644/0.7+W644</f>
        <v>84.285714285714278</v>
      </c>
      <c r="Y644" s="28">
        <v>84.285714285714278</v>
      </c>
      <c r="Z644" s="21"/>
    </row>
    <row r="645" spans="1:26" x14ac:dyDescent="0.25">
      <c r="A645" s="16">
        <v>29</v>
      </c>
      <c r="B645" s="17" t="s">
        <v>21</v>
      </c>
      <c r="C645" s="16">
        <v>115</v>
      </c>
      <c r="D645" s="18" t="s">
        <v>312</v>
      </c>
      <c r="E645" s="16" t="s">
        <v>65</v>
      </c>
      <c r="F645" s="19">
        <v>8.4499999999999993</v>
      </c>
      <c r="G645" s="32">
        <f>IF(B645="高三",IF($E645="男",LOOKUP(F645,[1]对照表!$G$3:$G$24,[1]对照表!$H$3:$H$24),LOOKUP(F645,[1]对照表!$G$27:$G$48,[1]对照表!$H$27:$H$48)),IF(B645="高二",IF($E645="男",LOOKUP(F645,[1]对照表!$F$3:$F$24,[1]对照表!$H$3:$H$24),LOOKUP(F645,[1]对照表!$F$27:$F$48,[1]对照表!$H$27:$H$48)),IF(B645="高一",IF($E645="男",LOOKUP(F645,[1]对照表!$E$3:$E$24,[1]对照表!$H$3:$H$24),LOOKUP(F645,[1]对照表!$E$27:$E$48,[1]对照表!$H$27:$H$48)))))</f>
        <v>80</v>
      </c>
      <c r="H645" s="21">
        <v>20</v>
      </c>
      <c r="I645" s="32">
        <f>IF(B645="高三",IF($E645="男",LOOKUP(H645,[1]对照表!$K$3:$K$24,[1]对照表!$L$3:$L$24),LOOKUP(H645,[1]对照表!$K$27:$K$48,[1]对照表!$L$27:$L$48)),IF(B645="高二",IF($E645="男",LOOKUP(H645,[1]对照表!$J$3:$J$24,[1]对照表!$L$3:$L$24),LOOKUP(H645,[1]对照表!$J$27:$J$48,[1]对照表!$L$27:$L$48)),IF(B645="高一",IF($E645="男",LOOKUP(H645,[1]对照表!$I$3:$I$24,[1]对照表!$L$3:$L$24),LOOKUP(H645,[1]对照表!$I$27:$I$48,[1]对照表!$L$27:$L$48)))))</f>
        <v>85</v>
      </c>
      <c r="J645" s="21">
        <v>204</v>
      </c>
      <c r="K645" s="32">
        <f>IF(B645="高三",IF($E645="男",LOOKUP(J645,[1]对照表!$O$3:$O$24,[1]对照表!$P$3:$P$24),LOOKUP(J645,[1]对照表!$O$27:$O$48,[1]对照表!$P$27:$P$48)),IF(B645="高二",IF($E645="男",LOOKUP(J645,[1]对照表!$N$3:$N$24,[1]对照表!$P$3:$P$24),LOOKUP(J645,[1]对照表!$N$27:$N$48,[1]对照表!$P$27:$P$48)),IF(B645="高一",IF($E645="男",LOOKUP(J645,[1]对照表!$M$3:$M$24,[1]对照表!$P$3:$P$24),LOOKUP(J645,[1]对照表!$M$27:$M$48,[1]对照表!$P$27:$P$48)))))</f>
        <v>100</v>
      </c>
      <c r="L645" s="21">
        <v>44</v>
      </c>
      <c r="M645" s="32">
        <f>IF(B645="高三",IF($E645="男",LOOKUP(L645,[1]对照表!$S$3:$S$24,[1]对照表!$T$3:$T$24),LOOKUP(L645,[1]对照表!$S$27:$S$48,[1]对照表!$T$27:$T$48)),IF(B645="高二",IF($E645="男",LOOKUP(L645,[1]对照表!$R$3:$R$24,[1]对照表!$T$3:$T$24),LOOKUP(L645,[1]对照表!$R$27:$R$48,[1]对照表!$T$27:$T$48)),IF(B645="高一",IF($E645="男",LOOKUP(L645,[1]对照表!$Q$3:$Q$24,[1]对照表!$T$3:$T$24),LOOKUP(L645,[1]对照表!$Q$27:$Q$48,[1]对照表!$T$27:$T$48)))))</f>
        <v>80</v>
      </c>
      <c r="N645" s="33">
        <f>IF(B645="高三",MAX(IF(E645="男",L645-18,L645-55),0),IF(B645="高二",MAX(IF(E645="男",L645-17,L645-54),0),IF(B645="高一",MAX(IF(E645="男",L645-16,L645-53),0))))</f>
        <v>0</v>
      </c>
      <c r="O645" s="23">
        <f>IF(E645="男",LOOKUP($N645,[1]对照表!$Z$3:$Z$13,[1]对照表!$AA$3:$AA$13),LOOKUP($N645,[1]对照表!$Z$15:$Z$25,[1]对照表!$AA$15:$AA$25))</f>
        <v>0</v>
      </c>
      <c r="P645" s="24">
        <f>M645+O645</f>
        <v>80</v>
      </c>
      <c r="Q645" s="25">
        <v>3.31</v>
      </c>
      <c r="R645" s="32">
        <f>IF(B645="高三",IF($E645="男",LOOKUP(Q645,[1]对照表!$W$3:$W$24,[1]对照表!$X$3:$X$24),LOOKUP(Q645,[1]对照表!$W$27:$W$48,[1]对照表!$X$27:$X$48)),IF(B645="高二",IF($E645="男",LOOKUP(Q645,[1]对照表!$V$3:$V$24,[1]对照表!$X$3:$X$24),LOOKUP(Q645,[1]对照表!$V$27:$V$48,[1]对照表!$X$27:$X$48)),IF(B645="高一",IF($E645="男",LOOKUP(Q645,[1]对照表!$U$3:$U$24,[1]对照表!$X$3:$X$24),LOOKUP(Q645,[1]对照表!$U$27:$U$48,[1]对照表!$X$27:$X$48)))))</f>
        <v>90</v>
      </c>
      <c r="S645" s="27">
        <f>ROUND(IF(IF($B645="高三",MIN(IF($E645="男",$Q645-3.2,$Q645-3.2),0),IF($B645="高二",MIN(IF($E645="男",$Q645-3.25,$Q645-3.22),0),IF($B645="高一",MIN(IF($E645="男",$Q645-3.3,$Q645-3.24),0))))&lt;-0.6,IF($B645="高三",MIN(IF($E645="男",$Q645-3.2,$Q645-3.2),0),IF($B645="高二",MIN(IF($E645="男",$Q645-3.25,$Q645-3.22),0),IF($B645="高一",MIN(IF($E645="男",$Q645-3.3,$Q645-3.24),0))))+0.4,IF($B645="高三",MIN(IF($E645="男",$Q645-3.2,$Q645-3.2),0),IF($B645="高二",MIN(IF($E645="男",$Q645-3.25,$Q645-3.22),0),IF($B645="高一",MIN(IF($E645="男",$Q645-3.3,$Q645-3.24),0))))),2)</f>
        <v>0</v>
      </c>
      <c r="T645" s="23">
        <f>IF(E645="男",LOOKUP($S645,[1]对照表!$AB$3:$AB$13,[1]对照表!$AC$3:$AC$13),LOOKUP($S645,[1]对照表!$AB$15:$AB$25,[1]对照表!$AC$15:$AC$25))</f>
        <v>0</v>
      </c>
      <c r="U645" s="26">
        <f>R645+T645</f>
        <v>90</v>
      </c>
      <c r="V645" s="26">
        <f>SUM(I645,K645,M645)/3*0.3+SUM(G645,R645)/2*0.4</f>
        <v>60.5</v>
      </c>
      <c r="W645" s="27">
        <f>O645+T645</f>
        <v>0</v>
      </c>
      <c r="X645" s="28">
        <f>V645/0.7+W645</f>
        <v>86.428571428571431</v>
      </c>
      <c r="Y645" s="28">
        <v>86.428571428571431</v>
      </c>
      <c r="Z645" s="21"/>
    </row>
    <row r="646" spans="1:26" x14ac:dyDescent="0.25">
      <c r="A646" s="16">
        <v>13</v>
      </c>
      <c r="B646" s="17" t="s">
        <v>21</v>
      </c>
      <c r="C646" s="16">
        <v>115</v>
      </c>
      <c r="D646" s="18" t="s">
        <v>339</v>
      </c>
      <c r="E646" s="16" t="s">
        <v>65</v>
      </c>
      <c r="F646" s="19">
        <v>9</v>
      </c>
      <c r="G646" s="32">
        <f>IF(B646="高三",IF($E646="男",LOOKUP(F646,[1]对照表!$G$3:$G$24,[1]对照表!$H$3:$H$24),LOOKUP(F646,[1]对照表!$G$27:$G$48,[1]对照表!$H$27:$H$48)),IF(B646="高二",IF($E646="男",LOOKUP(F646,[1]对照表!$F$3:$F$24,[1]对照表!$H$3:$H$24),LOOKUP(F646,[1]对照表!$F$27:$F$48,[1]对照表!$H$27:$H$48)),IF(B646="高一",IF($E646="男",LOOKUP(F646,[1]对照表!$E$3:$E$24,[1]对照表!$H$3:$H$24),LOOKUP(F646,[1]对照表!$E$27:$E$48,[1]对照表!$H$27:$H$48)))))</f>
        <v>76</v>
      </c>
      <c r="H646" s="21">
        <v>9</v>
      </c>
      <c r="I646" s="32">
        <f>IF(B646="高三",IF($E646="男",LOOKUP(H646,[1]对照表!$K$3:$K$24,[1]对照表!$L$3:$L$24),LOOKUP(H646,[1]对照表!$K$27:$K$48,[1]对照表!$L$27:$L$48)),IF(B646="高二",IF($E646="男",LOOKUP(H646,[1]对照表!$J$3:$J$24,[1]对照表!$L$3:$L$24),LOOKUP(H646,[1]对照表!$J$27:$J$48,[1]对照表!$L$27:$L$48)),IF(B646="高一",IF($E646="男",LOOKUP(H646,[1]对照表!$I$3:$I$24,[1]对照表!$L$3:$L$24),LOOKUP(H646,[1]对照表!$I$27:$I$48,[1]对照表!$L$27:$L$48)))))</f>
        <v>66</v>
      </c>
      <c r="J646" s="21">
        <v>181</v>
      </c>
      <c r="K646" s="32">
        <f>IF(B646="高三",IF($E646="男",LOOKUP(J646,[1]对照表!$O$3:$O$24,[1]对照表!$P$3:$P$24),LOOKUP(J646,[1]对照表!$O$27:$O$48,[1]对照表!$P$27:$P$48)),IF(B646="高二",IF($E646="男",LOOKUP(J646,[1]对照表!$N$3:$N$24,[1]对照表!$P$3:$P$24),LOOKUP(J646,[1]对照表!$N$27:$N$48,[1]对照表!$P$27:$P$48)),IF(B646="高一",IF($E646="男",LOOKUP(J646,[1]对照表!$M$3:$M$24,[1]对照表!$P$3:$P$24),LOOKUP(J646,[1]对照表!$M$27:$M$48,[1]对照表!$P$27:$P$48)))))</f>
        <v>80</v>
      </c>
      <c r="L646" s="21">
        <v>51</v>
      </c>
      <c r="M646" s="32">
        <f>IF(B646="高三",IF($E646="男",LOOKUP(L646,[1]对照表!$S$3:$S$24,[1]对照表!$T$3:$T$24),LOOKUP(L646,[1]对照表!$S$27:$S$48,[1]对照表!$T$27:$T$48)),IF(B646="高二",IF($E646="男",LOOKUP(L646,[1]对照表!$R$3:$R$24,[1]对照表!$T$3:$T$24),LOOKUP(L646,[1]对照表!$R$27:$R$48,[1]对照表!$T$27:$T$48)),IF(B646="高一",IF($E646="男",LOOKUP(L646,[1]对照表!$Q$3:$Q$24,[1]对照表!$T$3:$T$24),LOOKUP(L646,[1]对照表!$Q$27:$Q$48,[1]对照表!$T$27:$T$48)))))</f>
        <v>95</v>
      </c>
      <c r="N646" s="33">
        <f>IF(B646="高三",MAX(IF(E646="男",L646-18,L646-55),0),IF(B646="高二",MAX(IF(E646="男",L646-17,L646-54),0),IF(B646="高一",MAX(IF(E646="男",L646-16,L646-53),0))))</f>
        <v>0</v>
      </c>
      <c r="O646" s="23">
        <f>IF(E646="男",LOOKUP($N646,[1]对照表!$Z$3:$Z$13,[1]对照表!$AA$3:$AA$13),LOOKUP($N646,[1]对照表!$Z$15:$Z$25,[1]对照表!$AA$15:$AA$25))</f>
        <v>0</v>
      </c>
      <c r="P646" s="24">
        <f>M646+O646</f>
        <v>95</v>
      </c>
      <c r="Q646" s="25">
        <v>3.32</v>
      </c>
      <c r="R646" s="32">
        <f>IF(B646="高三",IF($E646="男",LOOKUP(Q646,[1]对照表!$W$3:$W$24,[1]对照表!$X$3:$X$24),LOOKUP(Q646,[1]对照表!$W$27:$W$48,[1]对照表!$X$27:$X$48)),IF(B646="高二",IF($E646="男",LOOKUP(Q646,[1]对照表!$V$3:$V$24,[1]对照表!$X$3:$X$24),LOOKUP(Q646,[1]对照表!$V$27:$V$48,[1]对照表!$X$27:$X$48)),IF(B646="高一",IF($E646="男",LOOKUP(Q646,[1]对照表!$U$3:$U$24,[1]对照表!$X$3:$X$24),LOOKUP(Q646,[1]对照表!$U$27:$U$48,[1]对照表!$X$27:$X$48)))))</f>
        <v>90</v>
      </c>
      <c r="S646" s="33">
        <f>ROUND(IF(IF($B646="高三",MIN(IF($E646="男",$Q646-3.2,$Q646-3.2),0),IF($B646="高二",MIN(IF($E646="男",$Q646-3.25,$Q646-3.22),0),IF($B646="高一",MIN(IF($E646="男",$Q646-3.3,$Q646-3.24),0))))&lt;-0.6,IF($B646="高三",MIN(IF($E646="男",$Q646-3.2,$Q646-3.2),0),IF($B646="高二",MIN(IF($E646="男",$Q646-3.25,$Q646-3.22),0),IF($B646="高一",MIN(IF($E646="男",$Q646-3.3,$Q646-3.24),0))))+0.4,IF($B646="高三",MIN(IF($E646="男",$Q646-3.2,$Q646-3.2),0),IF($B646="高二",MIN(IF($E646="男",$Q646-3.25,$Q646-3.22),0),IF($B646="高一",MIN(IF($E646="男",$Q646-3.3,$Q646-3.24),0))))),2)</f>
        <v>0</v>
      </c>
      <c r="T646" s="23">
        <f>IF(E646="男",LOOKUP($S646,[1]对照表!$AB$3:$AB$13,[1]对照表!$AC$3:$AC$13),LOOKUP($S646,[1]对照表!$AB$15:$AB$25,[1]对照表!$AC$15:$AC$25))</f>
        <v>0</v>
      </c>
      <c r="U646" s="26">
        <f>R646+T646</f>
        <v>90</v>
      </c>
      <c r="V646" s="26">
        <f>SUM(I646,K646,M646)/3*0.3+SUM(G646,R646)/2*0.4</f>
        <v>57.3</v>
      </c>
      <c r="W646" s="27">
        <f>O646+T646</f>
        <v>0</v>
      </c>
      <c r="X646" s="28">
        <f>V646/0.7+W646</f>
        <v>81.857142857142861</v>
      </c>
      <c r="Y646" s="28">
        <v>81.857142857142861</v>
      </c>
      <c r="Z646" s="21"/>
    </row>
    <row r="647" spans="1:26" x14ac:dyDescent="0.25">
      <c r="A647" s="16">
        <v>15</v>
      </c>
      <c r="B647" s="17" t="s">
        <v>21</v>
      </c>
      <c r="C647" s="16">
        <v>115</v>
      </c>
      <c r="D647" s="18" t="s">
        <v>345</v>
      </c>
      <c r="E647" s="16" t="s">
        <v>65</v>
      </c>
      <c r="F647" s="19">
        <v>8.8800000000000008</v>
      </c>
      <c r="G647" s="32">
        <f>IF(B647="高三",IF($E647="男",LOOKUP(F647,[1]对照表!$G$3:$G$24,[1]对照表!$H$3:$H$24),LOOKUP(F647,[1]对照表!$G$27:$G$48,[1]对照表!$H$27:$H$48)),IF(B647="高二",IF($E647="男",LOOKUP(F647,[1]对照表!$F$3:$F$24,[1]对照表!$H$3:$H$24),LOOKUP(F647,[1]对照表!$F$27:$F$48,[1]对照表!$H$27:$H$48)),IF(B647="高一",IF($E647="男",LOOKUP(F647,[1]对照表!$E$3:$E$24,[1]对照表!$H$3:$H$24),LOOKUP(F647,[1]对照表!$E$27:$E$48,[1]对照表!$H$27:$H$48)))))</f>
        <v>76</v>
      </c>
      <c r="H647" s="21">
        <v>9.5</v>
      </c>
      <c r="I647" s="32">
        <f>IF(B647="高三",IF($E647="男",LOOKUP(H647,[1]对照表!$K$3:$K$24,[1]对照表!$L$3:$L$24),LOOKUP(H647,[1]对照表!$K$27:$K$48,[1]对照表!$L$27:$L$48)),IF(B647="高二",IF($E647="男",LOOKUP(H647,[1]对照表!$J$3:$J$24,[1]对照表!$L$3:$L$24),LOOKUP(H647,[1]对照表!$J$27:$J$48,[1]对照表!$L$27:$L$48)),IF(B647="高一",IF($E647="男",LOOKUP(H647,[1]对照表!$I$3:$I$24,[1]对照表!$L$3:$L$24),LOOKUP(H647,[1]对照表!$I$27:$I$48,[1]对照表!$L$27:$L$48)))))</f>
        <v>66</v>
      </c>
      <c r="J647" s="21">
        <v>175</v>
      </c>
      <c r="K647" s="32">
        <f>IF(B647="高三",IF($E647="男",LOOKUP(J647,[1]对照表!$O$3:$O$24,[1]对照表!$P$3:$P$24),LOOKUP(J647,[1]对照表!$O$27:$O$48,[1]对照表!$P$27:$P$48)),IF(B647="高二",IF($E647="男",LOOKUP(J647,[1]对照表!$N$3:$N$24,[1]对照表!$P$3:$P$24),LOOKUP(J647,[1]对照表!$N$27:$N$48,[1]对照表!$P$27:$P$48)),IF(B647="高一",IF($E647="男",LOOKUP(J647,[1]对照表!$M$3:$M$24,[1]对照表!$P$3:$P$24),LOOKUP(J647,[1]对照表!$M$27:$M$48,[1]对照表!$P$27:$P$48)))))</f>
        <v>78</v>
      </c>
      <c r="L647" s="21">
        <v>55</v>
      </c>
      <c r="M647" s="32">
        <f>IF(B647="高三",IF($E647="男",LOOKUP(L647,[1]对照表!$S$3:$S$24,[1]对照表!$T$3:$T$24),LOOKUP(L647,[1]对照表!$S$27:$S$48,[1]对照表!$T$27:$T$48)),IF(B647="高二",IF($E647="男",LOOKUP(L647,[1]对照表!$R$3:$R$24,[1]对照表!$T$3:$T$24),LOOKUP(L647,[1]对照表!$R$27:$R$48,[1]对照表!$T$27:$T$48)),IF(B647="高一",IF($E647="男",LOOKUP(L647,[1]对照表!$Q$3:$Q$24,[1]对照表!$T$3:$T$24),LOOKUP(L647,[1]对照表!$Q$27:$Q$48,[1]对照表!$T$27:$T$48)))))</f>
        <v>100</v>
      </c>
      <c r="N647" s="33">
        <f>IF(B647="高三",MAX(IF(E647="男",L647-18,L647-55),0),IF(B647="高二",MAX(IF(E647="男",L647-17,L647-54),0),IF(B647="高一",MAX(IF(E647="男",L647-16,L647-53),0))))</f>
        <v>2</v>
      </c>
      <c r="O647" s="23">
        <f>IF(E647="男",LOOKUP($N647,[1]对照表!$Z$3:$Z$13,[1]对照表!$AA$3:$AA$13),LOOKUP($N647,[1]对照表!$Z$15:$Z$25,[1]对照表!$AA$15:$AA$25))</f>
        <v>1</v>
      </c>
      <c r="P647" s="24">
        <f>M647+O647</f>
        <v>101</v>
      </c>
      <c r="Q647" s="25">
        <v>3.33</v>
      </c>
      <c r="R647" s="32">
        <f>IF(B647="高三",IF($E647="男",LOOKUP(Q647,[1]对照表!$W$3:$W$24,[1]对照表!$X$3:$X$24),LOOKUP(Q647,[1]对照表!$W$27:$W$48,[1]对照表!$X$27:$X$48)),IF(B647="高二",IF($E647="男",LOOKUP(Q647,[1]对照表!$V$3:$V$24,[1]对照表!$X$3:$X$24),LOOKUP(Q647,[1]对照表!$V$27:$V$48,[1]对照表!$X$27:$X$48)),IF(B647="高一",IF($E647="男",LOOKUP(Q647,[1]对照表!$U$3:$U$24,[1]对照表!$X$3:$X$24),LOOKUP(Q647,[1]对照表!$U$27:$U$48,[1]对照表!$X$27:$X$48)))))</f>
        <v>90</v>
      </c>
      <c r="S647" s="33">
        <f>ROUND(IF(IF($B647="高三",MIN(IF($E647="男",$Q647-3.2,$Q647-3.2),0),IF($B647="高二",MIN(IF($E647="男",$Q647-3.25,$Q647-3.22),0),IF($B647="高一",MIN(IF($E647="男",$Q647-3.3,$Q647-3.24),0))))&lt;-0.6,IF($B647="高三",MIN(IF($E647="男",$Q647-3.2,$Q647-3.2),0),IF($B647="高二",MIN(IF($E647="男",$Q647-3.25,$Q647-3.22),0),IF($B647="高一",MIN(IF($E647="男",$Q647-3.3,$Q647-3.24),0))))+0.4,IF($B647="高三",MIN(IF($E647="男",$Q647-3.2,$Q647-3.2),0),IF($B647="高二",MIN(IF($E647="男",$Q647-3.25,$Q647-3.22),0),IF($B647="高一",MIN(IF($E647="男",$Q647-3.3,$Q647-3.24),0))))),2)</f>
        <v>0</v>
      </c>
      <c r="T647" s="23">
        <f>IF(E647="男",LOOKUP($S647,[1]对照表!$AB$3:$AB$13,[1]对照表!$AC$3:$AC$13),LOOKUP($S647,[1]对照表!$AB$15:$AB$25,[1]对照表!$AC$15:$AC$25))</f>
        <v>0</v>
      </c>
      <c r="U647" s="26">
        <f>R647+T647</f>
        <v>90</v>
      </c>
      <c r="V647" s="26">
        <f>SUM(I647,K647,M647)/3*0.3+SUM(G647,R647)/2*0.4</f>
        <v>57.6</v>
      </c>
      <c r="W647" s="27">
        <f>O647+T647</f>
        <v>1</v>
      </c>
      <c r="X647" s="28">
        <f>V647/0.7+W647</f>
        <v>83.285714285714292</v>
      </c>
      <c r="Y647" s="28">
        <v>83.285714285714292</v>
      </c>
      <c r="Z647" s="21"/>
    </row>
    <row r="648" spans="1:26" x14ac:dyDescent="0.25">
      <c r="A648" s="16">
        <v>11</v>
      </c>
      <c r="B648" s="17" t="s">
        <v>21</v>
      </c>
      <c r="C648" s="16">
        <v>115</v>
      </c>
      <c r="D648" s="18" t="s">
        <v>347</v>
      </c>
      <c r="E648" s="34" t="s">
        <v>65</v>
      </c>
      <c r="F648" s="19">
        <v>8.5500000000000007</v>
      </c>
      <c r="G648" s="32">
        <f>IF(B648="高三",IF($E648="男",LOOKUP(F648,[1]对照表!$G$3:$G$24,[1]对照表!$H$3:$H$24),LOOKUP(F648,[1]对照表!$G$27:$G$48,[1]对照表!$H$27:$H$48)),IF(B648="高二",IF($E648="男",LOOKUP(F648,[1]对照表!$F$3:$F$24,[1]对照表!$H$3:$H$24),LOOKUP(F648,[1]对照表!$F$27:$F$48,[1]对照表!$H$27:$H$48)),IF(B648="高一",IF($E648="男",LOOKUP(F648,[1]对照表!$E$3:$E$24,[1]对照表!$H$3:$H$24),LOOKUP(F648,[1]对照表!$E$27:$E$48,[1]对照表!$H$27:$H$48)))))</f>
        <v>80</v>
      </c>
      <c r="H648" s="21">
        <v>16</v>
      </c>
      <c r="I648" s="32">
        <f>IF(B648="高三",IF($E648="男",LOOKUP(H648,[1]对照表!$K$3:$K$24,[1]对照表!$L$3:$L$24),LOOKUP(H648,[1]对照表!$K$27:$K$48,[1]对照表!$L$27:$L$48)),IF(B648="高二",IF($E648="男",LOOKUP(H648,[1]对照表!$J$3:$J$24,[1]对照表!$L$3:$L$24),LOOKUP(H648,[1]对照表!$J$27:$J$48,[1]对照表!$L$27:$L$48)),IF(B648="高一",IF($E648="男",LOOKUP(H648,[1]对照表!$I$3:$I$24,[1]对照表!$L$3:$L$24),LOOKUP(H648,[1]对照表!$I$27:$I$48,[1]对照表!$L$27:$L$48)))))</f>
        <v>76</v>
      </c>
      <c r="J648" s="21">
        <v>178</v>
      </c>
      <c r="K648" s="32">
        <f>IF(B648="高三",IF($E648="男",LOOKUP(J648,[1]对照表!$O$3:$O$24,[1]对照表!$P$3:$P$24),LOOKUP(J648,[1]对照表!$O$27:$O$48,[1]对照表!$P$27:$P$48)),IF(B648="高二",IF($E648="男",LOOKUP(J648,[1]对照表!$N$3:$N$24,[1]对照表!$P$3:$P$24),LOOKUP(J648,[1]对照表!$N$27:$N$48,[1]对照表!$P$27:$P$48)),IF(B648="高一",IF($E648="男",LOOKUP(J648,[1]对照表!$M$3:$M$24,[1]对照表!$P$3:$P$24),LOOKUP(J648,[1]对照表!$M$27:$M$48,[1]对照表!$P$27:$P$48)))))</f>
        <v>80</v>
      </c>
      <c r="L648" s="21">
        <v>58</v>
      </c>
      <c r="M648" s="32">
        <f>IF(B648="高三",IF($E648="男",LOOKUP(L648,[1]对照表!$S$3:$S$24,[1]对照表!$T$3:$T$24),LOOKUP(L648,[1]对照表!$S$27:$S$48,[1]对照表!$T$27:$T$48)),IF(B648="高二",IF($E648="男",LOOKUP(L648,[1]对照表!$R$3:$R$24,[1]对照表!$T$3:$T$24),LOOKUP(L648,[1]对照表!$R$27:$R$48,[1]对照表!$T$27:$T$48)),IF(B648="高一",IF($E648="男",LOOKUP(L648,[1]对照表!$Q$3:$Q$24,[1]对照表!$T$3:$T$24),LOOKUP(L648,[1]对照表!$Q$27:$Q$48,[1]对照表!$T$27:$T$48)))))</f>
        <v>100</v>
      </c>
      <c r="N648" s="33">
        <f>IF(B648="高三",MAX(IF(E648="男",L648-18,L648-55),0),IF(B648="高二",MAX(IF(E648="男",L648-17,L648-54),0),IF(B648="高一",MAX(IF(E648="男",L648-16,L648-53),0))))</f>
        <v>5</v>
      </c>
      <c r="O648" s="23">
        <f>IF(E648="男",LOOKUP($N648,[1]对照表!$Z$3:$Z$13,[1]对照表!$AA$3:$AA$13),LOOKUP($N648,[1]对照表!$Z$15:$Z$25,[1]对照表!$AA$15:$AA$25))</f>
        <v>2</v>
      </c>
      <c r="P648" s="24">
        <f>M648+O648</f>
        <v>102</v>
      </c>
      <c r="Q648" s="25">
        <v>3.34</v>
      </c>
      <c r="R648" s="32">
        <f>IF(B648="高三",IF($E648="男",LOOKUP(Q648,[1]对照表!$W$3:$W$24,[1]对照表!$X$3:$X$24),LOOKUP(Q648,[1]对照表!$W$27:$W$48,[1]对照表!$X$27:$X$48)),IF(B648="高二",IF($E648="男",LOOKUP(Q648,[1]对照表!$V$3:$V$24,[1]对照表!$X$3:$X$24),LOOKUP(Q648,[1]对照表!$V$27:$V$48,[1]对照表!$X$27:$X$48)),IF(B648="高一",IF($E648="男",LOOKUP(Q648,[1]对照表!$U$3:$U$24,[1]对照表!$X$3:$X$24),LOOKUP(Q648,[1]对照表!$U$27:$U$48,[1]对照表!$X$27:$X$48)))))</f>
        <v>90</v>
      </c>
      <c r="S648" s="33">
        <f>ROUND(IF(IF($B648="高三",MIN(IF($E648="男",$Q648-3.2,$Q648-3.2),0),IF($B648="高二",MIN(IF($E648="男",$Q648-3.25,$Q648-3.22),0),IF($B648="高一",MIN(IF($E648="男",$Q648-3.3,$Q648-3.24),0))))&lt;-0.6,IF($B648="高三",MIN(IF($E648="男",$Q648-3.2,$Q648-3.2),0),IF($B648="高二",MIN(IF($E648="男",$Q648-3.25,$Q648-3.22),0),IF($B648="高一",MIN(IF($E648="男",$Q648-3.3,$Q648-3.24),0))))+0.4,IF($B648="高三",MIN(IF($E648="男",$Q648-3.2,$Q648-3.2),0),IF($B648="高二",MIN(IF($E648="男",$Q648-3.25,$Q648-3.22),0),IF($B648="高一",MIN(IF($E648="男",$Q648-3.3,$Q648-3.24),0))))),2)</f>
        <v>0</v>
      </c>
      <c r="T648" s="23">
        <f>IF(E648="男",LOOKUP($S648,[1]对照表!$AB$3:$AB$13,[1]对照表!$AC$3:$AC$13),LOOKUP($S648,[1]对照表!$AB$15:$AB$25,[1]对照表!$AC$15:$AC$25))</f>
        <v>0</v>
      </c>
      <c r="U648" s="26">
        <f>R648+T648</f>
        <v>90</v>
      </c>
      <c r="V648" s="26">
        <f>SUM(I648,K648,M648)/3*0.3+SUM(G648,R648)/2*0.4</f>
        <v>59.599999999999994</v>
      </c>
      <c r="W648" s="27">
        <f>O648+T648</f>
        <v>2</v>
      </c>
      <c r="X648" s="28">
        <f>V648/0.7+W648</f>
        <v>87.142857142857139</v>
      </c>
      <c r="Y648" s="28">
        <v>87.142857142857139</v>
      </c>
      <c r="Z648" s="21"/>
    </row>
    <row r="649" spans="1:26" x14ac:dyDescent="0.25">
      <c r="A649" s="16">
        <v>17</v>
      </c>
      <c r="B649" s="17" t="s">
        <v>21</v>
      </c>
      <c r="C649" s="16">
        <v>115</v>
      </c>
      <c r="D649" s="18" t="s">
        <v>354</v>
      </c>
      <c r="E649" s="16" t="s">
        <v>65</v>
      </c>
      <c r="F649" s="19">
        <v>9.33</v>
      </c>
      <c r="G649" s="32">
        <f>IF(B649="高三",IF($E649="男",LOOKUP(F649,[1]对照表!$G$3:$G$24,[1]对照表!$H$3:$H$24),LOOKUP(F649,[1]对照表!$G$27:$G$48,[1]对照表!$H$27:$H$48)),IF(B649="高二",IF($E649="男",LOOKUP(F649,[1]对照表!$F$3:$F$24,[1]对照表!$H$3:$H$24),LOOKUP(F649,[1]对照表!$F$27:$F$48,[1]对照表!$H$27:$H$48)),IF(B649="高一",IF($E649="男",LOOKUP(F649,[1]对照表!$E$3:$E$24,[1]对照表!$H$3:$H$24),LOOKUP(F649,[1]对照表!$E$27:$E$48,[1]对照表!$H$27:$H$48)))))</f>
        <v>72</v>
      </c>
      <c r="H649" s="21">
        <v>10</v>
      </c>
      <c r="I649" s="32">
        <f>IF(B649="高三",IF($E649="男",LOOKUP(H649,[1]对照表!$K$3:$K$24,[1]对照表!$L$3:$L$24),LOOKUP(H649,[1]对照表!$K$27:$K$48,[1]对照表!$L$27:$L$48)),IF(B649="高二",IF($E649="男",LOOKUP(H649,[1]对照表!$J$3:$J$24,[1]对照表!$L$3:$L$24),LOOKUP(H649,[1]对照表!$J$27:$J$48,[1]对照表!$L$27:$L$48)),IF(B649="高一",IF($E649="男",LOOKUP(H649,[1]对照表!$I$3:$I$24,[1]对照表!$L$3:$L$24),LOOKUP(H649,[1]对照表!$I$27:$I$48,[1]对照表!$L$27:$L$48)))))</f>
        <v>68</v>
      </c>
      <c r="J649" s="21">
        <v>168</v>
      </c>
      <c r="K649" s="32">
        <f>IF(B649="高三",IF($E649="男",LOOKUP(J649,[1]对照表!$O$3:$O$24,[1]对照表!$P$3:$P$24),LOOKUP(J649,[1]对照表!$O$27:$O$48,[1]对照表!$P$27:$P$48)),IF(B649="高二",IF($E649="男",LOOKUP(J649,[1]对照表!$N$3:$N$24,[1]对照表!$P$3:$P$24),LOOKUP(J649,[1]对照表!$N$27:$N$48,[1]对照表!$P$27:$P$48)),IF(B649="高一",IF($E649="男",LOOKUP(J649,[1]对照表!$M$3:$M$24,[1]对照表!$P$3:$P$24),LOOKUP(J649,[1]对照表!$M$27:$M$48,[1]对照表!$P$27:$P$48)))))</f>
        <v>72</v>
      </c>
      <c r="L649" s="21">
        <v>50</v>
      </c>
      <c r="M649" s="32">
        <f>IF(B649="高三",IF($E649="男",LOOKUP(L649,[1]对照表!$S$3:$S$24,[1]对照表!$T$3:$T$24),LOOKUP(L649,[1]对照表!$S$27:$S$48,[1]对照表!$T$27:$T$48)),IF(B649="高二",IF($E649="男",LOOKUP(L649,[1]对照表!$R$3:$R$24,[1]对照表!$T$3:$T$24),LOOKUP(L649,[1]对照表!$R$27:$R$48,[1]对照表!$T$27:$T$48)),IF(B649="高一",IF($E649="男",LOOKUP(L649,[1]对照表!$Q$3:$Q$24,[1]对照表!$T$3:$T$24),LOOKUP(L649,[1]对照表!$Q$27:$Q$48,[1]对照表!$T$27:$T$48)))))</f>
        <v>90</v>
      </c>
      <c r="N649" s="33">
        <f>IF(B649="高三",MAX(IF(E649="男",L649-18,L649-55),0),IF(B649="高二",MAX(IF(E649="男",L649-17,L649-54),0),IF(B649="高一",MAX(IF(E649="男",L649-16,L649-53),0))))</f>
        <v>0</v>
      </c>
      <c r="O649" s="23">
        <f>IF(E649="男",LOOKUP($N649,[1]对照表!$Z$3:$Z$13,[1]对照表!$AA$3:$AA$13),LOOKUP($N649,[1]对照表!$Z$15:$Z$25,[1]对照表!$AA$15:$AA$25))</f>
        <v>0</v>
      </c>
      <c r="P649" s="24">
        <f>M649+O649</f>
        <v>90</v>
      </c>
      <c r="Q649" s="25">
        <v>3.35</v>
      </c>
      <c r="R649" s="32">
        <f>IF(B649="高三",IF($E649="男",LOOKUP(Q649,[1]对照表!$W$3:$W$24,[1]对照表!$X$3:$X$24),LOOKUP(Q649,[1]对照表!$W$27:$W$48,[1]对照表!$X$27:$X$48)),IF(B649="高二",IF($E649="男",LOOKUP(Q649,[1]对照表!$V$3:$V$24,[1]对照表!$X$3:$X$24),LOOKUP(Q649,[1]对照表!$V$27:$V$48,[1]对照表!$X$27:$X$48)),IF(B649="高一",IF($E649="男",LOOKUP(Q649,[1]对照表!$U$3:$U$24,[1]对照表!$X$3:$X$24),LOOKUP(Q649,[1]对照表!$U$27:$U$48,[1]对照表!$X$27:$X$48)))))</f>
        <v>90</v>
      </c>
      <c r="S649" s="33">
        <f>ROUND(IF(IF($B649="高三",MIN(IF($E649="男",$Q649-3.2,$Q649-3.2),0),IF($B649="高二",MIN(IF($E649="男",$Q649-3.25,$Q649-3.22),0),IF($B649="高一",MIN(IF($E649="男",$Q649-3.3,$Q649-3.24),0))))&lt;-0.6,IF($B649="高三",MIN(IF($E649="男",$Q649-3.2,$Q649-3.2),0),IF($B649="高二",MIN(IF($E649="男",$Q649-3.25,$Q649-3.22),0),IF($B649="高一",MIN(IF($E649="男",$Q649-3.3,$Q649-3.24),0))))+0.4,IF($B649="高三",MIN(IF($E649="男",$Q649-3.2,$Q649-3.2),0),IF($B649="高二",MIN(IF($E649="男",$Q649-3.25,$Q649-3.22),0),IF($B649="高一",MIN(IF($E649="男",$Q649-3.3,$Q649-3.24),0))))),2)</f>
        <v>0</v>
      </c>
      <c r="T649" s="23">
        <f>IF(E649="男",LOOKUP($S649,[1]对照表!$AB$3:$AB$13,[1]对照表!$AC$3:$AC$13),LOOKUP($S649,[1]对照表!$AB$15:$AB$25,[1]对照表!$AC$15:$AC$25))</f>
        <v>0</v>
      </c>
      <c r="U649" s="26">
        <f>R649+T649</f>
        <v>90</v>
      </c>
      <c r="V649" s="26">
        <f>SUM(I649,K649,M649)/3*0.3+SUM(G649,R649)/2*0.4</f>
        <v>55.4</v>
      </c>
      <c r="W649" s="27">
        <f>O649+T649</f>
        <v>0</v>
      </c>
      <c r="X649" s="28">
        <f>V649/0.7+W649</f>
        <v>79.142857142857139</v>
      </c>
      <c r="Y649" s="28">
        <v>79.142857142857139</v>
      </c>
      <c r="Z649" s="21"/>
    </row>
    <row r="650" spans="1:26" x14ac:dyDescent="0.25">
      <c r="A650" s="16">
        <v>37</v>
      </c>
      <c r="B650" s="17" t="s">
        <v>21</v>
      </c>
      <c r="C650" s="16">
        <v>115</v>
      </c>
      <c r="D650" s="18" t="s">
        <v>355</v>
      </c>
      <c r="E650" s="17" t="s">
        <v>65</v>
      </c>
      <c r="F650" s="19">
        <v>8.39</v>
      </c>
      <c r="G650" s="32">
        <f>IF(B650="高三",IF($E650="男",LOOKUP(F650,[1]对照表!$G$3:$G$24,[1]对照表!$H$3:$H$24),LOOKUP(F650,[1]对照表!$G$27:$G$48,[1]对照表!$H$27:$H$48)),IF(B650="高二",IF($E650="男",LOOKUP(F650,[1]对照表!$F$3:$F$24,[1]对照表!$H$3:$H$24),LOOKUP(F650,[1]对照表!$F$27:$F$48,[1]对照表!$H$27:$H$48)),IF(B650="高一",IF($E650="男",LOOKUP(F650,[1]对照表!$E$3:$E$24,[1]对照表!$H$3:$H$24),LOOKUP(F650,[1]对照表!$E$27:$E$48,[1]对照表!$H$27:$H$48)))))</f>
        <v>80</v>
      </c>
      <c r="H650" s="21">
        <v>9.6999999999999993</v>
      </c>
      <c r="I650" s="32">
        <f>IF(B650="高三",IF($E650="男",LOOKUP(H650,[1]对照表!$K$3:$K$24,[1]对照表!$L$3:$L$24),LOOKUP(H650,[1]对照表!$K$27:$K$48,[1]对照表!$L$27:$L$48)),IF(B650="高二",IF($E650="男",LOOKUP(H650,[1]对照表!$J$3:$J$24,[1]对照表!$L$3:$L$24),LOOKUP(H650,[1]对照表!$J$27:$J$48,[1]对照表!$L$27:$L$48)),IF(B650="高一",IF($E650="男",LOOKUP(H650,[1]对照表!$I$3:$I$24,[1]对照表!$L$3:$L$24),LOOKUP(H650,[1]对照表!$I$27:$I$48,[1]对照表!$L$27:$L$48)))))</f>
        <v>68</v>
      </c>
      <c r="J650" s="21">
        <v>185</v>
      </c>
      <c r="K650" s="32">
        <f>IF(B650="高三",IF($E650="男",LOOKUP(J650,[1]对照表!$O$3:$O$24,[1]对照表!$P$3:$P$24),LOOKUP(J650,[1]对照表!$O$27:$O$48,[1]对照表!$P$27:$P$48)),IF(B650="高二",IF($E650="男",LOOKUP(J650,[1]对照表!$N$3:$N$24,[1]对照表!$P$3:$P$24),LOOKUP(J650,[1]对照表!$N$27:$N$48,[1]对照表!$P$27:$P$48)),IF(B650="高一",IF($E650="男",LOOKUP(J650,[1]对照表!$M$3:$M$24,[1]对照表!$P$3:$P$24),LOOKUP(J650,[1]对照表!$M$27:$M$48,[1]对照表!$P$27:$P$48)))))</f>
        <v>85</v>
      </c>
      <c r="L650" s="21">
        <v>50</v>
      </c>
      <c r="M650" s="32">
        <f>IF(B650="高三",IF($E650="男",LOOKUP(L650,[1]对照表!$S$3:$S$24,[1]对照表!$T$3:$T$24),LOOKUP(L650,[1]对照表!$S$27:$S$48,[1]对照表!$T$27:$T$48)),IF(B650="高二",IF($E650="男",LOOKUP(L650,[1]对照表!$R$3:$R$24,[1]对照表!$T$3:$T$24),LOOKUP(L650,[1]对照表!$R$27:$R$48,[1]对照表!$T$27:$T$48)),IF(B650="高一",IF($E650="男",LOOKUP(L650,[1]对照表!$Q$3:$Q$24,[1]对照表!$T$3:$T$24),LOOKUP(L650,[1]对照表!$Q$27:$Q$48,[1]对照表!$T$27:$T$48)))))</f>
        <v>90</v>
      </c>
      <c r="N650" s="33">
        <f>IF(B650="高三",MAX(IF(E650="男",L650-18,L650-55),0),IF(B650="高二",MAX(IF(E650="男",L650-17,L650-54),0),IF(B650="高一",MAX(IF(E650="男",L650-16,L650-53),0))))</f>
        <v>0</v>
      </c>
      <c r="O650" s="23">
        <f>IF(E650="男",LOOKUP($N650,[1]对照表!$Z$3:$Z$13,[1]对照表!$AA$3:$AA$13),LOOKUP($N650,[1]对照表!$Z$15:$Z$25,[1]对照表!$AA$15:$AA$25))</f>
        <v>0</v>
      </c>
      <c r="P650" s="24">
        <f>M650+O650</f>
        <v>90</v>
      </c>
      <c r="Q650" s="25">
        <v>3.36</v>
      </c>
      <c r="R650" s="32">
        <f>IF(B650="高三",IF($E650="男",LOOKUP(Q650,[1]对照表!$W$3:$W$24,[1]对照表!$X$3:$X$24),LOOKUP(Q650,[1]对照表!$W$27:$W$48,[1]对照表!$X$27:$X$48)),IF(B650="高二",IF($E650="男",LOOKUP(Q650,[1]对照表!$V$3:$V$24,[1]对照表!$X$3:$X$24),LOOKUP(Q650,[1]对照表!$V$27:$V$48,[1]对照表!$X$27:$X$48)),IF(B650="高一",IF($E650="男",LOOKUP(Q650,[1]对照表!$U$3:$U$24,[1]对照表!$X$3:$X$24),LOOKUP(Q650,[1]对照表!$U$27:$U$48,[1]对照表!$X$27:$X$48)))))</f>
        <v>90</v>
      </c>
      <c r="S650" s="33">
        <f>ROUND(IF(IF($B650="高三",MIN(IF($E650="男",$Q650-3.2,$Q650-3.2),0),IF($B650="高二",MIN(IF($E650="男",$Q650-3.25,$Q650-3.22),0),IF($B650="高一",MIN(IF($E650="男",$Q650-3.3,$Q650-3.24),0))))&lt;-0.6,IF($B650="高三",MIN(IF($E650="男",$Q650-3.2,$Q650-3.2),0),IF($B650="高二",MIN(IF($E650="男",$Q650-3.25,$Q650-3.22),0),IF($B650="高一",MIN(IF($E650="男",$Q650-3.3,$Q650-3.24),0))))+0.4,IF($B650="高三",MIN(IF($E650="男",$Q650-3.2,$Q650-3.2),0),IF($B650="高二",MIN(IF($E650="男",$Q650-3.25,$Q650-3.22),0),IF($B650="高一",MIN(IF($E650="男",$Q650-3.3,$Q650-3.24),0))))),2)</f>
        <v>0</v>
      </c>
      <c r="T650" s="23">
        <f>IF(E650="男",LOOKUP($S650,[1]对照表!$AB$3:$AB$13,[1]对照表!$AC$3:$AC$13),LOOKUP($S650,[1]对照表!$AB$15:$AB$25,[1]对照表!$AC$15:$AC$25))</f>
        <v>0</v>
      </c>
      <c r="U650" s="26">
        <f>R650+T650</f>
        <v>90</v>
      </c>
      <c r="V650" s="26">
        <f>SUM(I650,K650,M650)/3*0.3+SUM(G650,R650)/2*0.4</f>
        <v>58.3</v>
      </c>
      <c r="W650" s="27">
        <f>O650+T650</f>
        <v>0</v>
      </c>
      <c r="X650" s="28">
        <f>V650/0.7+W650</f>
        <v>83.285714285714292</v>
      </c>
      <c r="Y650" s="28">
        <v>83.285714285714292</v>
      </c>
      <c r="Z650" s="21"/>
    </row>
    <row r="651" spans="1:26" x14ac:dyDescent="0.25">
      <c r="A651" s="16">
        <v>10</v>
      </c>
      <c r="B651" s="17" t="s">
        <v>21</v>
      </c>
      <c r="C651" s="16">
        <v>115</v>
      </c>
      <c r="D651" s="18" t="s">
        <v>365</v>
      </c>
      <c r="E651" s="16" t="s">
        <v>23</v>
      </c>
      <c r="F651" s="19">
        <v>8.1</v>
      </c>
      <c r="G651" s="32">
        <f>IF(B651="高三",IF($E651="男",LOOKUP(F651,[1]对照表!$G$3:$G$24,[1]对照表!$H$3:$H$24),LOOKUP(F651,[1]对照表!$G$27:$G$48,[1]对照表!$H$27:$H$48)),IF(B651="高二",IF($E651="男",LOOKUP(F651,[1]对照表!$F$3:$F$24,[1]对照表!$H$3:$H$24),LOOKUP(F651,[1]对照表!$F$27:$F$48,[1]对照表!$H$27:$H$48)),IF(B651="高一",IF($E651="男",LOOKUP(F651,[1]对照表!$E$3:$E$24,[1]对照表!$H$3:$H$24),LOOKUP(F651,[1]对照表!$E$27:$E$48,[1]对照表!$H$27:$H$48)))))</f>
        <v>74</v>
      </c>
      <c r="H651" s="21">
        <v>21.1</v>
      </c>
      <c r="I651" s="32">
        <f>IF(B651="高三",IF($E651="男",LOOKUP(H651,[1]对照表!$K$3:$K$24,[1]对照表!$L$3:$L$24),LOOKUP(H651,[1]对照表!$K$27:$K$48,[1]对照表!$L$27:$L$48)),IF(B651="高二",IF($E651="男",LOOKUP(H651,[1]对照表!$J$3:$J$24,[1]对照表!$L$3:$L$24),LOOKUP(H651,[1]对照表!$J$27:$J$48,[1]对照表!$L$27:$L$48)),IF(B651="高一",IF($E651="男",LOOKUP(H651,[1]对照表!$I$3:$I$24,[1]对照表!$L$3:$L$24),LOOKUP(H651,[1]对照表!$I$27:$I$48,[1]对照表!$L$27:$L$48)))))</f>
        <v>90</v>
      </c>
      <c r="J651" s="21">
        <v>224</v>
      </c>
      <c r="K651" s="32">
        <f>IF(B651="高三",IF($E651="男",LOOKUP(J651,[1]对照表!$O$3:$O$24,[1]对照表!$P$3:$P$24),LOOKUP(J651,[1]对照表!$O$27:$O$48,[1]对照表!$P$27:$P$48)),IF(B651="高二",IF($E651="男",LOOKUP(J651,[1]对照表!$N$3:$N$24,[1]对照表!$P$3:$P$24),LOOKUP(J651,[1]对照表!$N$27:$N$48,[1]对照表!$P$27:$P$48)),IF(B651="高一",IF($E651="男",LOOKUP(J651,[1]对照表!$M$3:$M$24,[1]对照表!$P$3:$P$24),LOOKUP(J651,[1]对照表!$M$27:$M$48,[1]对照表!$P$27:$P$48)))))</f>
        <v>74</v>
      </c>
      <c r="L651" s="21">
        <v>16</v>
      </c>
      <c r="M651" s="32">
        <f>IF(B651="高三",IF($E651="男",LOOKUP(L651,[1]对照表!$S$3:$S$24,[1]对照表!$T$3:$T$24),LOOKUP(L651,[1]对照表!$S$27:$S$48,[1]对照表!$T$27:$T$48)),IF(B651="高二",IF($E651="男",LOOKUP(L651,[1]对照表!$R$3:$R$24,[1]对照表!$T$3:$T$24),LOOKUP(L651,[1]对照表!$R$27:$R$48,[1]对照表!$T$27:$T$48)),IF(B651="高一",IF($E651="男",LOOKUP(L651,[1]对照表!$Q$3:$Q$24,[1]对照表!$T$3:$T$24),LOOKUP(L651,[1]对照表!$Q$27:$Q$48,[1]对照表!$T$27:$T$48)))))</f>
        <v>100</v>
      </c>
      <c r="N651" s="33">
        <f>IF(B651="高三",MAX(IF(E651="男",L651-18,L651-55),0),IF(B651="高二",MAX(IF(E651="男",L651-17,L651-54),0),IF(B651="高一",MAX(IF(E651="男",L651-16,L651-53),0))))</f>
        <v>0</v>
      </c>
      <c r="O651" s="23">
        <f>IF(E651="男",LOOKUP($N651,[1]对照表!$Z$3:$Z$13,[1]对照表!$AA$3:$AA$13),LOOKUP($N651,[1]对照表!$Z$15:$Z$25,[1]对照表!$AA$15:$AA$25))</f>
        <v>0</v>
      </c>
      <c r="P651" s="24">
        <f>M651+O651</f>
        <v>100</v>
      </c>
      <c r="Q651" s="25">
        <v>4.01</v>
      </c>
      <c r="R651" s="32">
        <f>IF(B651="高三",IF($E651="男",LOOKUP(Q651,[1]对照表!$W$3:$W$24,[1]对照表!$X$3:$X$24),LOOKUP(Q651,[1]对照表!$W$27:$W$48,[1]对照表!$X$27:$X$48)),IF(B651="高二",IF($E651="男",LOOKUP(Q651,[1]对照表!$V$3:$V$24,[1]对照表!$X$3:$X$24),LOOKUP(Q651,[1]对照表!$V$27:$V$48,[1]对照表!$X$27:$X$48)),IF(B651="高一",IF($E651="男",LOOKUP(Q651,[1]对照表!$U$3:$U$24,[1]对照表!$X$3:$X$24),LOOKUP(Q651,[1]对照表!$U$27:$U$48,[1]对照表!$X$27:$X$48)))))</f>
        <v>76</v>
      </c>
      <c r="S651" s="33">
        <f>ROUND(IF(IF($B651="高三",MIN(IF($E651="男",$Q651-3.2,$Q651-3.2),0),IF($B651="高二",MIN(IF($E651="男",$Q651-3.25,$Q651-3.22),0),IF($B651="高一",MIN(IF($E651="男",$Q651-3.3,$Q651-3.24),0))))&lt;-0.6,IF($B651="高三",MIN(IF($E651="男",$Q651-3.2,$Q651-3.2),0),IF($B651="高二",MIN(IF($E651="男",$Q651-3.25,$Q651-3.22),0),IF($B651="高一",MIN(IF($E651="男",$Q651-3.3,$Q651-3.24),0))))+0.4,IF($B651="高三",MIN(IF($E651="男",$Q651-3.2,$Q651-3.2),0),IF($B651="高二",MIN(IF($E651="男",$Q651-3.25,$Q651-3.22),0),IF($B651="高一",MIN(IF($E651="男",$Q651-3.3,$Q651-3.24),0))))),2)</f>
        <v>0</v>
      </c>
      <c r="T651" s="23">
        <f>IF(E651="男",LOOKUP($S651,[1]对照表!$AB$3:$AB$13,[1]对照表!$AC$3:$AC$13),LOOKUP($S651,[1]对照表!$AB$15:$AB$25,[1]对照表!$AC$15:$AC$25))</f>
        <v>0</v>
      </c>
      <c r="U651" s="26">
        <f>R651+T651</f>
        <v>76</v>
      </c>
      <c r="V651" s="26">
        <f>SUM(I651,K651,M651)/3*0.3+SUM(G651,R651)/2*0.4</f>
        <v>56.4</v>
      </c>
      <c r="W651" s="27">
        <f>O651+T651</f>
        <v>0</v>
      </c>
      <c r="X651" s="28">
        <f>V651/0.7+W651</f>
        <v>80.571428571428569</v>
      </c>
      <c r="Y651" s="28">
        <v>80.571428571428569</v>
      </c>
      <c r="Z651" s="21"/>
    </row>
    <row r="652" spans="1:26" x14ac:dyDescent="0.25">
      <c r="A652" s="16">
        <v>24</v>
      </c>
      <c r="B652" s="17" t="s">
        <v>21</v>
      </c>
      <c r="C652" s="16">
        <v>115</v>
      </c>
      <c r="D652" s="18" t="s">
        <v>400</v>
      </c>
      <c r="E652" s="16" t="s">
        <v>65</v>
      </c>
      <c r="F652" s="19">
        <v>9.4499999999999993</v>
      </c>
      <c r="G652" s="32">
        <f>IF(B652="高三",IF($E652="男",LOOKUP(F652,[1]对照表!$G$3:$G$24,[1]对照表!$H$3:$H$24),LOOKUP(F652,[1]对照表!$G$27:$G$48,[1]对照表!$H$27:$H$48)),IF(B652="高二",IF($E652="男",LOOKUP(F652,[1]对照表!$F$3:$F$24,[1]对照表!$H$3:$H$24),LOOKUP(F652,[1]对照表!$F$27:$F$48,[1]对照表!$H$27:$H$48)),IF(B652="高一",IF($E652="男",LOOKUP(F652,[1]对照表!$E$3:$E$24,[1]对照表!$H$3:$H$24),LOOKUP(F652,[1]对照表!$E$27:$E$48,[1]对照表!$H$27:$H$48)))))</f>
        <v>70</v>
      </c>
      <c r="H652" s="21">
        <v>18</v>
      </c>
      <c r="I652" s="32">
        <f>IF(B652="高三",IF($E652="男",LOOKUP(H652,[1]对照表!$K$3:$K$24,[1]对照表!$L$3:$L$24),LOOKUP(H652,[1]对照表!$K$27:$K$48,[1]对照表!$L$27:$L$48)),IF(B652="高二",IF($E652="男",LOOKUP(H652,[1]对照表!$J$3:$J$24,[1]对照表!$L$3:$L$24),LOOKUP(H652,[1]对照表!$J$27:$J$48,[1]对照表!$L$27:$L$48)),IF(B652="高一",IF($E652="男",LOOKUP(H652,[1]对照表!$I$3:$I$24,[1]对照表!$L$3:$L$24),LOOKUP(H652,[1]对照表!$I$27:$I$48,[1]对照表!$L$27:$L$48)))))</f>
        <v>80</v>
      </c>
      <c r="J652" s="21">
        <v>168</v>
      </c>
      <c r="K652" s="32">
        <f>IF(B652="高三",IF($E652="男",LOOKUP(J652,[1]对照表!$O$3:$O$24,[1]对照表!$P$3:$P$24),LOOKUP(J652,[1]对照表!$O$27:$O$48,[1]对照表!$P$27:$P$48)),IF(B652="高二",IF($E652="男",LOOKUP(J652,[1]对照表!$N$3:$N$24,[1]对照表!$P$3:$P$24),LOOKUP(J652,[1]对照表!$N$27:$N$48,[1]对照表!$P$27:$P$48)),IF(B652="高一",IF($E652="男",LOOKUP(J652,[1]对照表!$M$3:$M$24,[1]对照表!$P$3:$P$24),LOOKUP(J652,[1]对照表!$M$27:$M$48,[1]对照表!$P$27:$P$48)))))</f>
        <v>72</v>
      </c>
      <c r="L652" s="21">
        <v>47</v>
      </c>
      <c r="M652" s="32">
        <f>IF(B652="高三",IF($E652="男",LOOKUP(L652,[1]对照表!$S$3:$S$24,[1]对照表!$T$3:$T$24),LOOKUP(L652,[1]对照表!$S$27:$S$48,[1]对照表!$T$27:$T$48)),IF(B652="高二",IF($E652="男",LOOKUP(L652,[1]对照表!$R$3:$R$24,[1]对照表!$T$3:$T$24),LOOKUP(L652,[1]对照表!$R$27:$R$48,[1]对照表!$T$27:$T$48)),IF(B652="高一",IF($E652="男",LOOKUP(L652,[1]对照表!$Q$3:$Q$24,[1]对照表!$T$3:$T$24),LOOKUP(L652,[1]对照表!$Q$27:$Q$48,[1]对照表!$T$27:$T$48)))))</f>
        <v>85</v>
      </c>
      <c r="N652" s="33">
        <f>IF(B652="高三",MAX(IF(E652="男",L652-18,L652-55),0),IF(B652="高二",MAX(IF(E652="男",L652-17,L652-54),0),IF(B652="高一",MAX(IF(E652="男",L652-16,L652-53),0))))</f>
        <v>0</v>
      </c>
      <c r="O652" s="23">
        <f>IF(E652="男",LOOKUP($N652,[1]对照表!$Z$3:$Z$13,[1]对照表!$AA$3:$AA$13),LOOKUP($N652,[1]对照表!$Z$15:$Z$25,[1]对照表!$AA$15:$AA$25))</f>
        <v>0</v>
      </c>
      <c r="P652" s="24">
        <f>M652+O652</f>
        <v>85</v>
      </c>
      <c r="Q652" s="25">
        <v>3.37</v>
      </c>
      <c r="R652" s="32">
        <f>IF(B652="高三",IF($E652="男",LOOKUP(Q652,[1]对照表!$W$3:$W$24,[1]对照表!$X$3:$X$24),LOOKUP(Q652,[1]对照表!$W$27:$W$48,[1]对照表!$X$27:$X$48)),IF(B652="高二",IF($E652="男",LOOKUP(Q652,[1]对照表!$V$3:$V$24,[1]对照表!$X$3:$X$24),LOOKUP(Q652,[1]对照表!$V$27:$V$48,[1]对照表!$X$27:$X$48)),IF(B652="高一",IF($E652="男",LOOKUP(Q652,[1]对照表!$U$3:$U$24,[1]对照表!$X$3:$X$24),LOOKUP(Q652,[1]对照表!$U$27:$U$48,[1]对照表!$X$27:$X$48)))))</f>
        <v>85</v>
      </c>
      <c r="S652" s="33">
        <f>ROUND(IF(IF($B652="高三",MIN(IF($E652="男",$Q652-3.2,$Q652-3.2),0),IF($B652="高二",MIN(IF($E652="男",$Q652-3.25,$Q652-3.22),0),IF($B652="高一",MIN(IF($E652="男",$Q652-3.3,$Q652-3.24),0))))&lt;-0.6,IF($B652="高三",MIN(IF($E652="男",$Q652-3.2,$Q652-3.2),0),IF($B652="高二",MIN(IF($E652="男",$Q652-3.25,$Q652-3.22),0),IF($B652="高一",MIN(IF($E652="男",$Q652-3.3,$Q652-3.24),0))))+0.4,IF($B652="高三",MIN(IF($E652="男",$Q652-3.2,$Q652-3.2),0),IF($B652="高二",MIN(IF($E652="男",$Q652-3.25,$Q652-3.22),0),IF($B652="高一",MIN(IF($E652="男",$Q652-3.3,$Q652-3.24),0))))),2)</f>
        <v>0</v>
      </c>
      <c r="T652" s="23">
        <f>IF(E652="男",LOOKUP($S652,[1]对照表!$AB$3:$AB$13,[1]对照表!$AC$3:$AC$13),LOOKUP($S652,[1]对照表!$AB$15:$AB$25,[1]对照表!$AC$15:$AC$25))</f>
        <v>0</v>
      </c>
      <c r="U652" s="26">
        <f>R652+T652</f>
        <v>85</v>
      </c>
      <c r="V652" s="26">
        <f>SUM(I652,K652,M652)/3*0.3+SUM(G652,R652)/2*0.4</f>
        <v>54.7</v>
      </c>
      <c r="W652" s="27">
        <f>O652+T652</f>
        <v>0</v>
      </c>
      <c r="X652" s="28">
        <f>V652/0.7+W652</f>
        <v>78.142857142857153</v>
      </c>
      <c r="Y652" s="28">
        <v>78.142857142857153</v>
      </c>
      <c r="Z652" s="21"/>
    </row>
    <row r="653" spans="1:26" x14ac:dyDescent="0.25">
      <c r="A653" s="16">
        <v>30</v>
      </c>
      <c r="B653" s="17" t="s">
        <v>21</v>
      </c>
      <c r="C653" s="16">
        <v>115</v>
      </c>
      <c r="D653" s="18" t="s">
        <v>405</v>
      </c>
      <c r="E653" s="16" t="s">
        <v>65</v>
      </c>
      <c r="F653" s="19">
        <v>8.1199999999999992</v>
      </c>
      <c r="G653" s="32">
        <f>IF(B653="高三",IF($E653="男",LOOKUP(F653,[1]对照表!$G$3:$G$24,[1]对照表!$H$3:$H$24),LOOKUP(F653,[1]对照表!$G$27:$G$48,[1]对照表!$H$27:$H$48)),IF(B653="高二",IF($E653="男",LOOKUP(F653,[1]对照表!$F$3:$F$24,[1]对照表!$H$3:$H$24),LOOKUP(F653,[1]对照表!$F$27:$F$48,[1]对照表!$H$27:$H$48)),IF(B653="高一",IF($E653="男",LOOKUP(F653,[1]对照表!$E$3:$E$24,[1]对照表!$H$3:$H$24),LOOKUP(F653,[1]对照表!$E$27:$E$48,[1]对照表!$H$27:$H$48)))))</f>
        <v>85</v>
      </c>
      <c r="H653" s="21">
        <v>19</v>
      </c>
      <c r="I653" s="32">
        <f>IF(B653="高三",IF($E653="男",LOOKUP(H653,[1]对照表!$K$3:$K$24,[1]对照表!$L$3:$L$24),LOOKUP(H653,[1]对照表!$K$27:$K$48,[1]对照表!$L$27:$L$48)),IF(B653="高二",IF($E653="男",LOOKUP(H653,[1]对照表!$J$3:$J$24,[1]对照表!$L$3:$L$24),LOOKUP(H653,[1]对照表!$J$27:$J$48,[1]对照表!$L$27:$L$48)),IF(B653="高一",IF($E653="男",LOOKUP(H653,[1]对照表!$I$3:$I$24,[1]对照表!$L$3:$L$24),LOOKUP(H653,[1]对照表!$I$27:$I$48,[1]对照表!$L$27:$L$48)))))</f>
        <v>80</v>
      </c>
      <c r="J653" s="21">
        <v>204</v>
      </c>
      <c r="K653" s="32">
        <f>IF(B653="高三",IF($E653="男",LOOKUP(J653,[1]对照表!$O$3:$O$24,[1]对照表!$P$3:$P$24),LOOKUP(J653,[1]对照表!$O$27:$O$48,[1]对照表!$P$27:$P$48)),IF(B653="高二",IF($E653="男",LOOKUP(J653,[1]对照表!$N$3:$N$24,[1]对照表!$P$3:$P$24),LOOKUP(J653,[1]对照表!$N$27:$N$48,[1]对照表!$P$27:$P$48)),IF(B653="高一",IF($E653="男",LOOKUP(J653,[1]对照表!$M$3:$M$24,[1]对照表!$P$3:$P$24),LOOKUP(J653,[1]对照表!$M$27:$M$48,[1]对照表!$P$27:$P$48)))))</f>
        <v>100</v>
      </c>
      <c r="L653" s="21">
        <v>51</v>
      </c>
      <c r="M653" s="32">
        <f>IF(B653="高三",IF($E653="男",LOOKUP(L653,[1]对照表!$S$3:$S$24,[1]对照表!$T$3:$T$24),LOOKUP(L653,[1]对照表!$S$27:$S$48,[1]对照表!$T$27:$T$48)),IF(B653="高二",IF($E653="男",LOOKUP(L653,[1]对照表!$R$3:$R$24,[1]对照表!$T$3:$T$24),LOOKUP(L653,[1]对照表!$R$27:$R$48,[1]对照表!$T$27:$T$48)),IF(B653="高一",IF($E653="男",LOOKUP(L653,[1]对照表!$Q$3:$Q$24,[1]对照表!$T$3:$T$24),LOOKUP(L653,[1]对照表!$Q$27:$Q$48,[1]对照表!$T$27:$T$48)))))</f>
        <v>95</v>
      </c>
      <c r="N653" s="33">
        <f>IF(B653="高三",MAX(IF(E653="男",L653-18,L653-55),0),IF(B653="高二",MAX(IF(E653="男",L653-17,L653-54),0),IF(B653="高一",MAX(IF(E653="男",L653-16,L653-53),0))))</f>
        <v>0</v>
      </c>
      <c r="O653" s="23">
        <f>IF(E653="男",LOOKUP($N653,[1]对照表!$Z$3:$Z$13,[1]对照表!$AA$3:$AA$13),LOOKUP($N653,[1]对照表!$Z$15:$Z$25,[1]对照表!$AA$15:$AA$25))</f>
        <v>0</v>
      </c>
      <c r="P653" s="24">
        <f>M653+O653</f>
        <v>95</v>
      </c>
      <c r="Q653" s="25">
        <v>3.38</v>
      </c>
      <c r="R653" s="32">
        <f>IF(B653="高三",IF($E653="男",LOOKUP(Q653,[1]对照表!$W$3:$W$24,[1]对照表!$X$3:$X$24),LOOKUP(Q653,[1]对照表!$W$27:$W$48,[1]对照表!$X$27:$X$48)),IF(B653="高二",IF($E653="男",LOOKUP(Q653,[1]对照表!$V$3:$V$24,[1]对照表!$X$3:$X$24),LOOKUP(Q653,[1]对照表!$V$27:$V$48,[1]对照表!$X$27:$X$48)),IF(B653="高一",IF($E653="男",LOOKUP(Q653,[1]对照表!$U$3:$U$24,[1]对照表!$X$3:$X$24),LOOKUP(Q653,[1]对照表!$U$27:$U$48,[1]对照表!$X$27:$X$48)))))</f>
        <v>85</v>
      </c>
      <c r="S653" s="33">
        <f>ROUND(IF(IF($B653="高三",MIN(IF($E653="男",$Q653-3.2,$Q653-3.2),0),IF($B653="高二",MIN(IF($E653="男",$Q653-3.25,$Q653-3.22),0),IF($B653="高一",MIN(IF($E653="男",$Q653-3.3,$Q653-3.24),0))))&lt;-0.6,IF($B653="高三",MIN(IF($E653="男",$Q653-3.2,$Q653-3.2),0),IF($B653="高二",MIN(IF($E653="男",$Q653-3.25,$Q653-3.22),0),IF($B653="高一",MIN(IF($E653="男",$Q653-3.3,$Q653-3.24),0))))+0.4,IF($B653="高三",MIN(IF($E653="男",$Q653-3.2,$Q653-3.2),0),IF($B653="高二",MIN(IF($E653="男",$Q653-3.25,$Q653-3.22),0),IF($B653="高一",MIN(IF($E653="男",$Q653-3.3,$Q653-3.24),0))))),2)</f>
        <v>0</v>
      </c>
      <c r="T653" s="23">
        <f>IF(E653="男",LOOKUP($S653,[1]对照表!$AB$3:$AB$13,[1]对照表!$AC$3:$AC$13),LOOKUP($S653,[1]对照表!$AB$15:$AB$25,[1]对照表!$AC$15:$AC$25))</f>
        <v>0</v>
      </c>
      <c r="U653" s="26">
        <f>R653+T653</f>
        <v>85</v>
      </c>
      <c r="V653" s="26">
        <f>SUM(I653,K653,M653)/3*0.3+SUM(G653,R653)/2*0.4</f>
        <v>61.5</v>
      </c>
      <c r="W653" s="27">
        <f>O653+T653</f>
        <v>0</v>
      </c>
      <c r="X653" s="28">
        <f>V653/0.7+W653</f>
        <v>87.857142857142861</v>
      </c>
      <c r="Y653" s="28">
        <v>87.857142857142861</v>
      </c>
      <c r="Z653" s="21"/>
    </row>
    <row r="654" spans="1:26" x14ac:dyDescent="0.25">
      <c r="A654" s="16">
        <v>26</v>
      </c>
      <c r="B654" s="17" t="s">
        <v>21</v>
      </c>
      <c r="C654" s="16">
        <v>115</v>
      </c>
      <c r="D654" s="18" t="s">
        <v>454</v>
      </c>
      <c r="E654" s="16" t="s">
        <v>65</v>
      </c>
      <c r="F654" s="19">
        <v>9.76</v>
      </c>
      <c r="G654" s="32">
        <f>IF(B654="高三",IF($E654="男",LOOKUP(F654,[1]对照表!$G$3:$G$24,[1]对照表!$H$3:$H$24),LOOKUP(F654,[1]对照表!$G$27:$G$48,[1]对照表!$H$27:$H$48)),IF(B654="高二",IF($E654="男",LOOKUP(F654,[1]对照表!$F$3:$F$24,[1]对照表!$H$3:$H$24),LOOKUP(F654,[1]对照表!$F$27:$F$48,[1]对照表!$H$27:$H$48)),IF(B654="高一",IF($E654="男",LOOKUP(F654,[1]对照表!$E$3:$E$24,[1]对照表!$H$3:$H$24),LOOKUP(F654,[1]对照表!$E$27:$E$48,[1]对照表!$H$27:$H$48)))))</f>
        <v>68</v>
      </c>
      <c r="H654" s="21">
        <v>17</v>
      </c>
      <c r="I654" s="32">
        <f>IF(B654="高三",IF($E654="男",LOOKUP(H654,[1]对照表!$K$3:$K$24,[1]对照表!$L$3:$L$24),LOOKUP(H654,[1]对照表!$K$27:$K$48,[1]对照表!$L$27:$L$48)),IF(B654="高二",IF($E654="男",LOOKUP(H654,[1]对照表!$J$3:$J$24,[1]对照表!$L$3:$L$24),LOOKUP(H654,[1]对照表!$J$27:$J$48,[1]对照表!$L$27:$L$48)),IF(B654="高一",IF($E654="男",LOOKUP(H654,[1]对照表!$I$3:$I$24,[1]对照表!$L$3:$L$24),LOOKUP(H654,[1]对照表!$I$27:$I$48,[1]对照表!$L$27:$L$48)))))</f>
        <v>78</v>
      </c>
      <c r="J654" s="21">
        <v>173</v>
      </c>
      <c r="K654" s="32">
        <f>IF(B654="高三",IF($E654="男",LOOKUP(J654,[1]对照表!$O$3:$O$24,[1]对照表!$P$3:$P$24),LOOKUP(J654,[1]对照表!$O$27:$O$48,[1]对照表!$P$27:$P$48)),IF(B654="高二",IF($E654="男",LOOKUP(J654,[1]对照表!$N$3:$N$24,[1]对照表!$P$3:$P$24),LOOKUP(J654,[1]对照表!$N$27:$N$48,[1]对照表!$P$27:$P$48)),IF(B654="高一",IF($E654="男",LOOKUP(J654,[1]对照表!$M$3:$M$24,[1]对照表!$P$3:$P$24),LOOKUP(J654,[1]对照表!$M$27:$M$48,[1]对照表!$P$27:$P$48)))))</f>
        <v>76</v>
      </c>
      <c r="L654" s="21">
        <v>46</v>
      </c>
      <c r="M654" s="32">
        <f>IF(B654="高三",IF($E654="男",LOOKUP(L654,[1]对照表!$S$3:$S$24,[1]对照表!$T$3:$T$24),LOOKUP(L654,[1]对照表!$S$27:$S$48,[1]对照表!$T$27:$T$48)),IF(B654="高二",IF($E654="男",LOOKUP(L654,[1]对照表!$R$3:$R$24,[1]对照表!$T$3:$T$24),LOOKUP(L654,[1]对照表!$R$27:$R$48,[1]对照表!$T$27:$T$48)),IF(B654="高一",IF($E654="男",LOOKUP(L654,[1]对照表!$Q$3:$Q$24,[1]对照表!$T$3:$T$24),LOOKUP(L654,[1]对照表!$Q$27:$Q$48,[1]对照表!$T$27:$T$48)))))</f>
        <v>85</v>
      </c>
      <c r="N654" s="33">
        <f>IF(B654="高三",MAX(IF(E654="男",L654-18,L654-55),0),IF(B654="高二",MAX(IF(E654="男",L654-17,L654-54),0),IF(B654="高一",MAX(IF(E654="男",L654-16,L654-53),0))))</f>
        <v>0</v>
      </c>
      <c r="O654" s="23">
        <f>IF(E654="男",LOOKUP($N654,[1]对照表!$Z$3:$Z$13,[1]对照表!$AA$3:$AA$13),LOOKUP($N654,[1]对照表!$Z$15:$Z$25,[1]对照表!$AA$15:$AA$25))</f>
        <v>0</v>
      </c>
      <c r="P654" s="24">
        <f>M654+O654</f>
        <v>85</v>
      </c>
      <c r="Q654" s="25">
        <v>3.39</v>
      </c>
      <c r="R654" s="32">
        <f>IF(B654="高三",IF($E654="男",LOOKUP(Q654,[1]对照表!$W$3:$W$24,[1]对照表!$X$3:$X$24),LOOKUP(Q654,[1]对照表!$W$27:$W$48,[1]对照表!$X$27:$X$48)),IF(B654="高二",IF($E654="男",LOOKUP(Q654,[1]对照表!$V$3:$V$24,[1]对照表!$X$3:$X$24),LOOKUP(Q654,[1]对照表!$V$27:$V$48,[1]对照表!$X$27:$X$48)),IF(B654="高一",IF($E654="男",LOOKUP(Q654,[1]对照表!$U$3:$U$24,[1]对照表!$X$3:$X$24),LOOKUP(Q654,[1]对照表!$U$27:$U$48,[1]对照表!$X$27:$X$48)))))</f>
        <v>85</v>
      </c>
      <c r="S654" s="33">
        <f>ROUND(IF(IF($B654="高三",MIN(IF($E654="男",$Q654-3.2,$Q654-3.2),0),IF($B654="高二",MIN(IF($E654="男",$Q654-3.25,$Q654-3.22),0),IF($B654="高一",MIN(IF($E654="男",$Q654-3.3,$Q654-3.24),0))))&lt;-0.6,IF($B654="高三",MIN(IF($E654="男",$Q654-3.2,$Q654-3.2),0),IF($B654="高二",MIN(IF($E654="男",$Q654-3.25,$Q654-3.22),0),IF($B654="高一",MIN(IF($E654="男",$Q654-3.3,$Q654-3.24),0))))+0.4,IF($B654="高三",MIN(IF($E654="男",$Q654-3.2,$Q654-3.2),0),IF($B654="高二",MIN(IF($E654="男",$Q654-3.25,$Q654-3.22),0),IF($B654="高一",MIN(IF($E654="男",$Q654-3.3,$Q654-3.24),0))))),2)</f>
        <v>0</v>
      </c>
      <c r="T654" s="23">
        <f>IF(E654="男",LOOKUP($S654,[1]对照表!$AB$3:$AB$13,[1]对照表!$AC$3:$AC$13),LOOKUP($S654,[1]对照表!$AB$15:$AB$25,[1]对照表!$AC$15:$AC$25))</f>
        <v>0</v>
      </c>
      <c r="U654" s="26">
        <f>R654+T654</f>
        <v>85</v>
      </c>
      <c r="V654" s="26">
        <f>SUM(I654,K654,M654)/3*0.3+SUM(G654,R654)/2*0.4</f>
        <v>54.5</v>
      </c>
      <c r="W654" s="27">
        <f>O654+T654</f>
        <v>0</v>
      </c>
      <c r="X654" s="28">
        <f>V654/0.7+W654</f>
        <v>77.857142857142861</v>
      </c>
      <c r="Y654" s="28">
        <v>77.857142857142861</v>
      </c>
      <c r="Z654" s="21"/>
    </row>
    <row r="655" spans="1:26" x14ac:dyDescent="0.25">
      <c r="A655" s="16">
        <v>8</v>
      </c>
      <c r="B655" s="17" t="s">
        <v>21</v>
      </c>
      <c r="C655" s="16">
        <v>115</v>
      </c>
      <c r="D655" s="18" t="s">
        <v>475</v>
      </c>
      <c r="E655" s="16" t="s">
        <v>23</v>
      </c>
      <c r="F655" s="19">
        <v>7.4</v>
      </c>
      <c r="G655" s="32">
        <f>IF(B655="高三",IF($E655="男",LOOKUP(F655,[1]对照表!$G$3:$G$24,[1]对照表!$H$3:$H$24),LOOKUP(F655,[1]对照表!$G$27:$G$48,[1]对照表!$H$27:$H$48)),IF(B655="高二",IF($E655="男",LOOKUP(F655,[1]对照表!$F$3:$F$24,[1]对照表!$H$3:$H$24),LOOKUP(F655,[1]对照表!$F$27:$F$48,[1]对照表!$H$27:$H$48)),IF(B655="高一",IF($E655="男",LOOKUP(F655,[1]对照表!$E$3:$E$24,[1]对照表!$H$3:$H$24),LOOKUP(F655,[1]对照表!$E$27:$E$48,[1]对照表!$H$27:$H$48)))))</f>
        <v>85</v>
      </c>
      <c r="H655" s="21">
        <v>14.5</v>
      </c>
      <c r="I655" s="32">
        <f>IF(B655="高三",IF($E655="男",LOOKUP(H655,[1]对照表!$K$3:$K$24,[1]对照表!$L$3:$L$24),LOOKUP(H655,[1]对照表!$K$27:$K$48,[1]对照表!$L$27:$L$48)),IF(B655="高二",IF($E655="男",LOOKUP(H655,[1]对照表!$J$3:$J$24,[1]对照表!$L$3:$L$24),LOOKUP(H655,[1]对照表!$J$27:$J$48,[1]对照表!$L$27:$L$48)),IF(B655="高一",IF($E655="男",LOOKUP(H655,[1]对照表!$I$3:$I$24,[1]对照表!$L$3:$L$24),LOOKUP(H655,[1]对照表!$I$27:$I$48,[1]对照表!$L$27:$L$48)))))</f>
        <v>78</v>
      </c>
      <c r="J655" s="21">
        <v>230</v>
      </c>
      <c r="K655" s="32">
        <f>IF(B655="高三",IF($E655="男",LOOKUP(J655,[1]对照表!$O$3:$O$24,[1]对照表!$P$3:$P$24),LOOKUP(J655,[1]对照表!$O$27:$O$48,[1]对照表!$P$27:$P$48)),IF(B655="高二",IF($E655="男",LOOKUP(J655,[1]对照表!$N$3:$N$24,[1]对照表!$P$3:$P$24),LOOKUP(J655,[1]对照表!$N$27:$N$48,[1]对照表!$P$27:$P$48)),IF(B655="高一",IF($E655="男",LOOKUP(J655,[1]对照表!$M$3:$M$24,[1]对照表!$P$3:$P$24),LOOKUP(J655,[1]对照表!$M$27:$M$48,[1]对照表!$P$27:$P$48)))))</f>
        <v>76</v>
      </c>
      <c r="L655" s="21">
        <v>5</v>
      </c>
      <c r="M655" s="32">
        <f>IF(B655="高三",IF($E655="男",LOOKUP(L655,[1]对照表!$S$3:$S$24,[1]对照表!$T$3:$T$24),LOOKUP(L655,[1]对照表!$S$27:$S$48,[1]对照表!$T$27:$T$48)),IF(B655="高二",IF($E655="男",LOOKUP(L655,[1]对照表!$R$3:$R$24,[1]对照表!$T$3:$T$24),LOOKUP(L655,[1]对照表!$R$27:$R$48,[1]对照表!$T$27:$T$48)),IF(B655="高一",IF($E655="男",LOOKUP(L655,[1]对照表!$Q$3:$Q$24,[1]对照表!$T$3:$T$24),LOOKUP(L655,[1]对照表!$Q$27:$Q$48,[1]对照表!$T$27:$T$48)))))</f>
        <v>40</v>
      </c>
      <c r="N655" s="33">
        <f>IF(B655="高三",MAX(IF(E655="男",L655-18,L655-55),0),IF(B655="高二",MAX(IF(E655="男",L655-17,L655-54),0),IF(B655="高一",MAX(IF(E655="男",L655-16,L655-53),0))))</f>
        <v>0</v>
      </c>
      <c r="O655" s="23">
        <f>IF(E655="男",LOOKUP($N655,[1]对照表!$Z$3:$Z$13,[1]对照表!$AA$3:$AA$13),LOOKUP($N655,[1]对照表!$Z$15:$Z$25,[1]对照表!$AA$15:$AA$25))</f>
        <v>0</v>
      </c>
      <c r="P655" s="24">
        <f>M655+O655</f>
        <v>40</v>
      </c>
      <c r="Q655" s="25">
        <v>4.18</v>
      </c>
      <c r="R655" s="32">
        <f>IF(B655="高三",IF($E655="男",LOOKUP(Q655,[1]对照表!$W$3:$W$24,[1]对照表!$X$3:$X$24),LOOKUP(Q655,[1]对照表!$W$27:$W$48,[1]对照表!$X$27:$X$48)),IF(B655="高二",IF($E655="男",LOOKUP(Q655,[1]对照表!$V$3:$V$24,[1]对照表!$X$3:$X$24),LOOKUP(Q655,[1]对照表!$V$27:$V$48,[1]对照表!$X$27:$X$48)),IF(B655="高一",IF($E655="男",LOOKUP(Q655,[1]对照表!$U$3:$U$24,[1]对照表!$X$3:$X$24),LOOKUP(Q655,[1]对照表!$U$27:$U$48,[1]对照表!$X$27:$X$48)))))</f>
        <v>70</v>
      </c>
      <c r="S655" s="33">
        <f>ROUND(IF(IF($B655="高三",MIN(IF($E655="男",$Q655-3.2,$Q655-3.2),0),IF($B655="高二",MIN(IF($E655="男",$Q655-3.25,$Q655-3.22),0),IF($B655="高一",MIN(IF($E655="男",$Q655-3.3,$Q655-3.24),0))))&lt;-0.6,IF($B655="高三",MIN(IF($E655="男",$Q655-3.2,$Q655-3.2),0),IF($B655="高二",MIN(IF($E655="男",$Q655-3.25,$Q655-3.22),0),IF($B655="高一",MIN(IF($E655="男",$Q655-3.3,$Q655-3.24),0))))+0.4,IF($B655="高三",MIN(IF($E655="男",$Q655-3.2,$Q655-3.2),0),IF($B655="高二",MIN(IF($E655="男",$Q655-3.25,$Q655-3.22),0),IF($B655="高一",MIN(IF($E655="男",$Q655-3.3,$Q655-3.24),0))))),2)</f>
        <v>0</v>
      </c>
      <c r="T655" s="23">
        <f>IF(E655="男",LOOKUP($S655,[1]对照表!$AB$3:$AB$13,[1]对照表!$AC$3:$AC$13),LOOKUP($S655,[1]对照表!$AB$15:$AB$25,[1]对照表!$AC$15:$AC$25))</f>
        <v>0</v>
      </c>
      <c r="U655" s="26">
        <f>R655+T655</f>
        <v>70</v>
      </c>
      <c r="V655" s="26">
        <f>SUM(I655,K655,M655)/3*0.3+SUM(G655,R655)/2*0.4</f>
        <v>50.400000000000006</v>
      </c>
      <c r="W655" s="27">
        <f>O655+T655</f>
        <v>0</v>
      </c>
      <c r="X655" s="28">
        <f>V655/0.7+W655</f>
        <v>72.000000000000014</v>
      </c>
      <c r="Y655" s="28">
        <v>72.000000000000014</v>
      </c>
      <c r="Z655" s="21"/>
    </row>
    <row r="656" spans="1:26" x14ac:dyDescent="0.25">
      <c r="A656" s="16">
        <v>19</v>
      </c>
      <c r="B656" s="17" t="s">
        <v>21</v>
      </c>
      <c r="C656" s="16">
        <v>115</v>
      </c>
      <c r="D656" s="18" t="s">
        <v>490</v>
      </c>
      <c r="E656" s="16" t="s">
        <v>65</v>
      </c>
      <c r="F656" s="19">
        <v>8.84</v>
      </c>
      <c r="G656" s="32">
        <f>IF(B656="高三",IF($E656="男",LOOKUP(F656,[1]对照表!$G$3:$G$24,[1]对照表!$H$3:$H$24),LOOKUP(F656,[1]对照表!$G$27:$G$48,[1]对照表!$H$27:$H$48)),IF(B656="高二",IF($E656="男",LOOKUP(F656,[1]对照表!$F$3:$F$24,[1]对照表!$H$3:$H$24),LOOKUP(F656,[1]对照表!$F$27:$F$48,[1]对照表!$H$27:$H$48)),IF(B656="高一",IF($E656="男",LOOKUP(F656,[1]对照表!$E$3:$E$24,[1]对照表!$H$3:$H$24),LOOKUP(F656,[1]对照表!$E$27:$E$48,[1]对照表!$H$27:$H$48)))))</f>
        <v>76</v>
      </c>
      <c r="H656" s="21">
        <v>15</v>
      </c>
      <c r="I656" s="32">
        <f>IF(B656="高三",IF($E656="男",LOOKUP(H656,[1]对照表!$K$3:$K$24,[1]对照表!$L$3:$L$24),LOOKUP(H656,[1]对照表!$K$27:$K$48,[1]对照表!$L$27:$L$48)),IF(B656="高二",IF($E656="男",LOOKUP(H656,[1]对照表!$J$3:$J$24,[1]对照表!$L$3:$L$24),LOOKUP(H656,[1]对照表!$J$27:$J$48,[1]对照表!$L$27:$L$48)),IF(B656="高一",IF($E656="男",LOOKUP(H656,[1]对照表!$I$3:$I$24,[1]对照表!$L$3:$L$24),LOOKUP(H656,[1]对照表!$I$27:$I$48,[1]对照表!$L$27:$L$48)))))</f>
        <v>76</v>
      </c>
      <c r="J656" s="21">
        <v>180</v>
      </c>
      <c r="K656" s="32">
        <f>IF(B656="高三",IF($E656="男",LOOKUP(J656,[1]对照表!$O$3:$O$24,[1]对照表!$P$3:$P$24),LOOKUP(J656,[1]对照表!$O$27:$O$48,[1]对照表!$P$27:$P$48)),IF(B656="高二",IF($E656="男",LOOKUP(J656,[1]对照表!$N$3:$N$24,[1]对照表!$P$3:$P$24),LOOKUP(J656,[1]对照表!$N$27:$N$48,[1]对照表!$P$27:$P$48)),IF(B656="高一",IF($E656="男",LOOKUP(J656,[1]对照表!$M$3:$M$24,[1]对照表!$P$3:$P$24),LOOKUP(J656,[1]对照表!$M$27:$M$48,[1]对照表!$P$27:$P$48)))))</f>
        <v>80</v>
      </c>
      <c r="L656" s="21">
        <v>41</v>
      </c>
      <c r="M656" s="32">
        <f>IF(B656="高三",IF($E656="男",LOOKUP(L656,[1]对照表!$S$3:$S$24,[1]对照表!$T$3:$T$24),LOOKUP(L656,[1]对照表!$S$27:$S$48,[1]对照表!$T$27:$T$48)),IF(B656="高二",IF($E656="男",LOOKUP(L656,[1]对照表!$R$3:$R$24,[1]对照表!$T$3:$T$24),LOOKUP(L656,[1]对照表!$R$27:$R$48,[1]对照表!$T$27:$T$48)),IF(B656="高一",IF($E656="男",LOOKUP(L656,[1]对照表!$Q$3:$Q$24,[1]对照表!$T$3:$T$24),LOOKUP(L656,[1]对照表!$Q$27:$Q$48,[1]对照表!$T$27:$T$48)))))</f>
        <v>78</v>
      </c>
      <c r="N656" s="33">
        <f>IF(B656="高三",MAX(IF(E656="男",L656-18,L656-55),0),IF(B656="高二",MAX(IF(E656="男",L656-17,L656-54),0),IF(B656="高一",MAX(IF(E656="男",L656-16,L656-53),0))))</f>
        <v>0</v>
      </c>
      <c r="O656" s="23">
        <f>IF(E656="男",LOOKUP($N656,[1]对照表!$Z$3:$Z$13,[1]对照表!$AA$3:$AA$13),LOOKUP($N656,[1]对照表!$Z$15:$Z$25,[1]对照表!$AA$15:$AA$25))</f>
        <v>0</v>
      </c>
      <c r="P656" s="24">
        <f>M656+O656</f>
        <v>78</v>
      </c>
      <c r="Q656" s="25">
        <v>3.42</v>
      </c>
      <c r="R656" s="32">
        <f>IF(B656="高三",IF($E656="男",LOOKUP(Q656,[1]对照表!$W$3:$W$24,[1]对照表!$X$3:$X$24),LOOKUP(Q656,[1]对照表!$W$27:$W$48,[1]对照表!$X$27:$X$48)),IF(B656="高二",IF($E656="男",LOOKUP(Q656,[1]对照表!$V$3:$V$24,[1]对照表!$X$3:$X$24),LOOKUP(Q656,[1]对照表!$V$27:$V$48,[1]对照表!$X$27:$X$48)),IF(B656="高一",IF($E656="男",LOOKUP(Q656,[1]对照表!$U$3:$U$24,[1]对照表!$X$3:$X$24),LOOKUP(Q656,[1]对照表!$U$27:$U$48,[1]对照表!$X$27:$X$48)))))</f>
        <v>85</v>
      </c>
      <c r="S656" s="33">
        <f>ROUND(IF(IF($B656="高三",MIN(IF($E656="男",$Q656-3.2,$Q656-3.2),0),IF($B656="高二",MIN(IF($E656="男",$Q656-3.25,$Q656-3.22),0),IF($B656="高一",MIN(IF($E656="男",$Q656-3.3,$Q656-3.24),0))))&lt;-0.6,IF($B656="高三",MIN(IF($E656="男",$Q656-3.2,$Q656-3.2),0),IF($B656="高二",MIN(IF($E656="男",$Q656-3.25,$Q656-3.22),0),IF($B656="高一",MIN(IF($E656="男",$Q656-3.3,$Q656-3.24),0))))+0.4,IF($B656="高三",MIN(IF($E656="男",$Q656-3.2,$Q656-3.2),0),IF($B656="高二",MIN(IF($E656="男",$Q656-3.25,$Q656-3.22),0),IF($B656="高一",MIN(IF($E656="男",$Q656-3.3,$Q656-3.24),0))))),2)</f>
        <v>0</v>
      </c>
      <c r="T656" s="23">
        <f>IF(E656="男",LOOKUP($S656,[1]对照表!$AB$3:$AB$13,[1]对照表!$AC$3:$AC$13),LOOKUP($S656,[1]对照表!$AB$15:$AB$25,[1]对照表!$AC$15:$AC$25))</f>
        <v>0</v>
      </c>
      <c r="U656" s="26">
        <f>R656+T656</f>
        <v>85</v>
      </c>
      <c r="V656" s="26">
        <f>SUM(I656,K656,M656)/3*0.3+SUM(G656,R656)/2*0.4</f>
        <v>55.6</v>
      </c>
      <c r="W656" s="27">
        <f>O656+T656</f>
        <v>0</v>
      </c>
      <c r="X656" s="28">
        <f>V656/0.7+W656</f>
        <v>79.428571428571431</v>
      </c>
      <c r="Y656" s="28">
        <v>79.428571428571431</v>
      </c>
      <c r="Z656" s="21"/>
    </row>
    <row r="657" spans="1:26" x14ac:dyDescent="0.25">
      <c r="A657" s="16">
        <v>42</v>
      </c>
      <c r="B657" s="17" t="s">
        <v>21</v>
      </c>
      <c r="C657" s="16">
        <v>115</v>
      </c>
      <c r="D657" s="18" t="s">
        <v>492</v>
      </c>
      <c r="E657" s="17" t="s">
        <v>65</v>
      </c>
      <c r="F657" s="19">
        <v>9.08</v>
      </c>
      <c r="G657" s="32">
        <f>IF(B657="高三",IF($E657="男",LOOKUP(F657,[1]对照表!$G$3:$G$24,[1]对照表!$H$3:$H$24),LOOKUP(F657,[1]对照表!$G$27:$G$48,[1]对照表!$H$27:$H$48)),IF(B657="高二",IF($E657="男",LOOKUP(F657,[1]对照表!$F$3:$F$24,[1]对照表!$H$3:$H$24),LOOKUP(F657,[1]对照表!$F$27:$F$48,[1]对照表!$H$27:$H$48)),IF(B657="高一",IF($E657="男",LOOKUP(F657,[1]对照表!$E$3:$E$24,[1]对照表!$H$3:$H$24),LOOKUP(F657,[1]对照表!$E$27:$E$48,[1]对照表!$H$27:$H$48)))))</f>
        <v>74</v>
      </c>
      <c r="H657" s="21">
        <v>16.3</v>
      </c>
      <c r="I657" s="32">
        <f>IF(B657="高三",IF($E657="男",LOOKUP(H657,[1]对照表!$K$3:$K$24,[1]对照表!$L$3:$L$24),LOOKUP(H657,[1]对照表!$K$27:$K$48,[1]对照表!$L$27:$L$48)),IF(B657="高二",IF($E657="男",LOOKUP(H657,[1]对照表!$J$3:$J$24,[1]对照表!$L$3:$L$24),LOOKUP(H657,[1]对照表!$J$27:$J$48,[1]对照表!$L$27:$L$48)),IF(B657="高一",IF($E657="男",LOOKUP(H657,[1]对照表!$I$3:$I$24,[1]对照表!$L$3:$L$24),LOOKUP(H657,[1]对照表!$I$27:$I$48,[1]对照表!$L$27:$L$48)))))</f>
        <v>78</v>
      </c>
      <c r="J657" s="21">
        <v>172</v>
      </c>
      <c r="K657" s="32">
        <f>IF(B657="高三",IF($E657="男",LOOKUP(J657,[1]对照表!$O$3:$O$24,[1]对照表!$P$3:$P$24),LOOKUP(J657,[1]对照表!$O$27:$O$48,[1]对照表!$P$27:$P$48)),IF(B657="高二",IF($E657="男",LOOKUP(J657,[1]对照表!$N$3:$N$24,[1]对照表!$P$3:$P$24),LOOKUP(J657,[1]对照表!$N$27:$N$48,[1]对照表!$P$27:$P$48)),IF(B657="高一",IF($E657="男",LOOKUP(J657,[1]对照表!$M$3:$M$24,[1]对照表!$P$3:$P$24),LOOKUP(J657,[1]对照表!$M$27:$M$48,[1]对照表!$P$27:$P$48)))))</f>
        <v>76</v>
      </c>
      <c r="L657" s="21">
        <v>49</v>
      </c>
      <c r="M657" s="32">
        <f>IF(B657="高三",IF($E657="男",LOOKUP(L657,[1]对照表!$S$3:$S$24,[1]对照表!$T$3:$T$24),LOOKUP(L657,[1]对照表!$S$27:$S$48,[1]对照表!$T$27:$T$48)),IF(B657="高二",IF($E657="男",LOOKUP(L657,[1]对照表!$R$3:$R$24,[1]对照表!$T$3:$T$24),LOOKUP(L657,[1]对照表!$R$27:$R$48,[1]对照表!$T$27:$T$48)),IF(B657="高一",IF($E657="男",LOOKUP(L657,[1]对照表!$Q$3:$Q$24,[1]对照表!$T$3:$T$24),LOOKUP(L657,[1]对照表!$Q$27:$Q$48,[1]对照表!$T$27:$T$48)))))</f>
        <v>90</v>
      </c>
      <c r="N657" s="33">
        <f>IF(B657="高三",MAX(IF(E657="男",L657-18,L657-55),0),IF(B657="高二",MAX(IF(E657="男",L657-17,L657-54),0),IF(B657="高一",MAX(IF(E657="男",L657-16,L657-53),0))))</f>
        <v>0</v>
      </c>
      <c r="O657" s="23">
        <f>IF(E657="男",LOOKUP($N657,[1]对照表!$Z$3:$Z$13,[1]对照表!$AA$3:$AA$13),LOOKUP($N657,[1]对照表!$Z$15:$Z$25,[1]对照表!$AA$15:$AA$25))</f>
        <v>0</v>
      </c>
      <c r="P657" s="24">
        <f>M657+O657</f>
        <v>90</v>
      </c>
      <c r="Q657" s="25">
        <v>3.42</v>
      </c>
      <c r="R657" s="32">
        <f>IF(B657="高三",IF($E657="男",LOOKUP(Q657,[1]对照表!$W$3:$W$24,[1]对照表!$X$3:$X$24),LOOKUP(Q657,[1]对照表!$W$27:$W$48,[1]对照表!$X$27:$X$48)),IF(B657="高二",IF($E657="男",LOOKUP(Q657,[1]对照表!$V$3:$V$24,[1]对照表!$X$3:$X$24),LOOKUP(Q657,[1]对照表!$V$27:$V$48,[1]对照表!$X$27:$X$48)),IF(B657="高一",IF($E657="男",LOOKUP(Q657,[1]对照表!$U$3:$U$24,[1]对照表!$X$3:$X$24),LOOKUP(Q657,[1]对照表!$U$27:$U$48,[1]对照表!$X$27:$X$48)))))</f>
        <v>85</v>
      </c>
      <c r="S657" s="33">
        <f>ROUND(IF(IF($B657="高三",MIN(IF($E657="男",$Q657-3.2,$Q657-3.2),0),IF($B657="高二",MIN(IF($E657="男",$Q657-3.25,$Q657-3.22),0),IF($B657="高一",MIN(IF($E657="男",$Q657-3.3,$Q657-3.24),0))))&lt;-0.6,IF($B657="高三",MIN(IF($E657="男",$Q657-3.2,$Q657-3.2),0),IF($B657="高二",MIN(IF($E657="男",$Q657-3.25,$Q657-3.22),0),IF($B657="高一",MIN(IF($E657="男",$Q657-3.3,$Q657-3.24),0))))+0.4,IF($B657="高三",MIN(IF($E657="男",$Q657-3.2,$Q657-3.2),0),IF($B657="高二",MIN(IF($E657="男",$Q657-3.25,$Q657-3.22),0),IF($B657="高一",MIN(IF($E657="男",$Q657-3.3,$Q657-3.24),0))))),2)</f>
        <v>0</v>
      </c>
      <c r="T657" s="23">
        <f>IF(E657="男",LOOKUP($S657,[1]对照表!$AB$3:$AB$13,[1]对照表!$AC$3:$AC$13),LOOKUP($S657,[1]对照表!$AB$15:$AB$25,[1]对照表!$AC$15:$AC$25))</f>
        <v>0</v>
      </c>
      <c r="U657" s="26">
        <f>R657+T657</f>
        <v>85</v>
      </c>
      <c r="V657" s="26">
        <f>SUM(I657,K657,M657)/3*0.3+SUM(G657,R657)/2*0.4</f>
        <v>56.2</v>
      </c>
      <c r="W657" s="27">
        <f>O657+T657</f>
        <v>0</v>
      </c>
      <c r="X657" s="28">
        <f>V657/0.7+W657</f>
        <v>80.285714285714292</v>
      </c>
      <c r="Y657" s="28">
        <v>80.285714285714292</v>
      </c>
      <c r="Z657" s="21"/>
    </row>
    <row r="658" spans="1:26" x14ac:dyDescent="0.25">
      <c r="A658" s="16">
        <v>35</v>
      </c>
      <c r="B658" s="17" t="s">
        <v>21</v>
      </c>
      <c r="C658" s="16">
        <v>115</v>
      </c>
      <c r="D658" s="18" t="s">
        <v>497</v>
      </c>
      <c r="E658" s="17" t="s">
        <v>65</v>
      </c>
      <c r="F658" s="19">
        <v>9.51</v>
      </c>
      <c r="G658" s="32">
        <f>IF(B658="高三",IF($E658="男",LOOKUP(F658,[1]对照表!$G$3:$G$24,[1]对照表!$H$3:$H$24),LOOKUP(F658,[1]对照表!$G$27:$G$48,[1]对照表!$H$27:$H$48)),IF(B658="高二",IF($E658="男",LOOKUP(F658,[1]对照表!$F$3:$F$24,[1]对照表!$H$3:$H$24),LOOKUP(F658,[1]对照表!$F$27:$F$48,[1]对照表!$H$27:$H$48)),IF(B658="高一",IF($E658="男",LOOKUP(F658,[1]对照表!$E$3:$E$24,[1]对照表!$H$3:$H$24),LOOKUP(F658,[1]对照表!$E$27:$E$48,[1]对照表!$H$27:$H$48)))))</f>
        <v>70</v>
      </c>
      <c r="H658" s="21">
        <v>27.5</v>
      </c>
      <c r="I658" s="32">
        <f>IF(B658="高三",IF($E658="男",LOOKUP(H658,[1]对照表!$K$3:$K$24,[1]对照表!$L$3:$L$24),LOOKUP(H658,[1]对照表!$K$27:$K$48,[1]对照表!$L$27:$L$48)),IF(B658="高二",IF($E658="男",LOOKUP(H658,[1]对照表!$J$3:$J$24,[1]对照表!$L$3:$L$24),LOOKUP(H658,[1]对照表!$J$27:$J$48,[1]对照表!$L$27:$L$48)),IF(B658="高一",IF($E658="男",LOOKUP(H658,[1]对照表!$I$3:$I$24,[1]对照表!$L$3:$L$24),LOOKUP(H658,[1]对照表!$I$27:$I$48,[1]对照表!$L$27:$L$48)))))</f>
        <v>100</v>
      </c>
      <c r="J658" s="21">
        <v>171</v>
      </c>
      <c r="K658" s="32">
        <f>IF(B658="高三",IF($E658="男",LOOKUP(J658,[1]对照表!$O$3:$O$24,[1]对照表!$P$3:$P$24),LOOKUP(J658,[1]对照表!$O$27:$O$48,[1]对照表!$P$27:$P$48)),IF(B658="高二",IF($E658="男",LOOKUP(J658,[1]对照表!$N$3:$N$24,[1]对照表!$P$3:$P$24),LOOKUP(J658,[1]对照表!$N$27:$N$48,[1]对照表!$P$27:$P$48)),IF(B658="高一",IF($E658="男",LOOKUP(J658,[1]对照表!$M$3:$M$24,[1]对照表!$P$3:$P$24),LOOKUP(J658,[1]对照表!$M$27:$M$48,[1]对照表!$P$27:$P$48)))))</f>
        <v>74</v>
      </c>
      <c r="L658" s="21">
        <v>55</v>
      </c>
      <c r="M658" s="32">
        <f>IF(B658="高三",IF($E658="男",LOOKUP(L658,[1]对照表!$S$3:$S$24,[1]对照表!$T$3:$T$24),LOOKUP(L658,[1]对照表!$S$27:$S$48,[1]对照表!$T$27:$T$48)),IF(B658="高二",IF($E658="男",LOOKUP(L658,[1]对照表!$R$3:$R$24,[1]对照表!$T$3:$T$24),LOOKUP(L658,[1]对照表!$R$27:$R$48,[1]对照表!$T$27:$T$48)),IF(B658="高一",IF($E658="男",LOOKUP(L658,[1]对照表!$Q$3:$Q$24,[1]对照表!$T$3:$T$24),LOOKUP(L658,[1]对照表!$Q$27:$Q$48,[1]对照表!$T$27:$T$48)))))</f>
        <v>100</v>
      </c>
      <c r="N658" s="33">
        <f>IF(B658="高三",MAX(IF(E658="男",L658-18,L658-55),0),IF(B658="高二",MAX(IF(E658="男",L658-17,L658-54),0),IF(B658="高一",MAX(IF(E658="男",L658-16,L658-53),0))))</f>
        <v>2</v>
      </c>
      <c r="O658" s="23">
        <f>IF(E658="男",LOOKUP($N658,[1]对照表!$Z$3:$Z$13,[1]对照表!$AA$3:$AA$13),LOOKUP($N658,[1]对照表!$Z$15:$Z$25,[1]对照表!$AA$15:$AA$25))</f>
        <v>1</v>
      </c>
      <c r="P658" s="24">
        <f>M658+O658</f>
        <v>101</v>
      </c>
      <c r="Q658" s="25">
        <v>3.43</v>
      </c>
      <c r="R658" s="32">
        <f>IF(B658="高三",IF($E658="男",LOOKUP(Q658,[1]对照表!$W$3:$W$24,[1]对照表!$X$3:$X$24),LOOKUP(Q658,[1]对照表!$W$27:$W$48,[1]对照表!$X$27:$X$48)),IF(B658="高二",IF($E658="男",LOOKUP(Q658,[1]对照表!$V$3:$V$24,[1]对照表!$X$3:$X$24),LOOKUP(Q658,[1]对照表!$V$27:$V$48,[1]对照表!$X$27:$X$48)),IF(B658="高一",IF($E658="男",LOOKUP(Q658,[1]对照表!$U$3:$U$24,[1]对照表!$X$3:$X$24),LOOKUP(Q658,[1]对照表!$U$27:$U$48,[1]对照表!$X$27:$X$48)))))</f>
        <v>85</v>
      </c>
      <c r="S658" s="33">
        <f>ROUND(IF(IF($B658="高三",MIN(IF($E658="男",$Q658-3.2,$Q658-3.2),0),IF($B658="高二",MIN(IF($E658="男",$Q658-3.25,$Q658-3.22),0),IF($B658="高一",MIN(IF($E658="男",$Q658-3.3,$Q658-3.24),0))))&lt;-0.6,IF($B658="高三",MIN(IF($E658="男",$Q658-3.2,$Q658-3.2),0),IF($B658="高二",MIN(IF($E658="男",$Q658-3.25,$Q658-3.22),0),IF($B658="高一",MIN(IF($E658="男",$Q658-3.3,$Q658-3.24),0))))+0.4,IF($B658="高三",MIN(IF($E658="男",$Q658-3.2,$Q658-3.2),0),IF($B658="高二",MIN(IF($E658="男",$Q658-3.25,$Q658-3.22),0),IF($B658="高一",MIN(IF($E658="男",$Q658-3.3,$Q658-3.24),0))))),2)</f>
        <v>0</v>
      </c>
      <c r="T658" s="23">
        <f>IF(E658="男",LOOKUP($S658,[1]对照表!$AB$3:$AB$13,[1]对照表!$AC$3:$AC$13),LOOKUP($S658,[1]对照表!$AB$15:$AB$25,[1]对照表!$AC$15:$AC$25))</f>
        <v>0</v>
      </c>
      <c r="U658" s="26">
        <f>R658+T658</f>
        <v>85</v>
      </c>
      <c r="V658" s="26">
        <f>SUM(I658,K658,M658)/3*0.3+SUM(G658,R658)/2*0.4</f>
        <v>58.4</v>
      </c>
      <c r="W658" s="27">
        <f>O658+T658</f>
        <v>1</v>
      </c>
      <c r="X658" s="28">
        <f>V658/0.7+W658</f>
        <v>84.428571428571431</v>
      </c>
      <c r="Y658" s="28">
        <v>84.428571428571431</v>
      </c>
      <c r="Z658" s="21"/>
    </row>
    <row r="659" spans="1:26" x14ac:dyDescent="0.25">
      <c r="A659" s="16">
        <v>1</v>
      </c>
      <c r="B659" s="17" t="s">
        <v>21</v>
      </c>
      <c r="C659" s="16">
        <v>115</v>
      </c>
      <c r="D659" s="18" t="s">
        <v>545</v>
      </c>
      <c r="E659" s="34" t="s">
        <v>23</v>
      </c>
      <c r="F659" s="19">
        <v>8.1</v>
      </c>
      <c r="G659" s="32">
        <f>IF(B659="高三",IF($E659="男",LOOKUP(F659,[1]对照表!$G$3:$G$24,[1]对照表!$H$3:$H$24),LOOKUP(F659,[1]对照表!$G$27:$G$48,[1]对照表!$H$27:$H$48)),IF(B659="高二",IF($E659="男",LOOKUP(F659,[1]对照表!$F$3:$F$24,[1]对照表!$H$3:$H$24),LOOKUP(F659,[1]对照表!$F$27:$F$48,[1]对照表!$H$27:$H$48)),IF(B659="高一",IF($E659="男",LOOKUP(F659,[1]对照表!$E$3:$E$24,[1]对照表!$H$3:$H$24),LOOKUP(F659,[1]对照表!$E$27:$E$48,[1]对照表!$H$27:$H$48)))))</f>
        <v>74</v>
      </c>
      <c r="H659" s="21">
        <v>13.7</v>
      </c>
      <c r="I659" s="32">
        <f>IF(B659="高三",IF($E659="男",LOOKUP(H659,[1]对照表!$K$3:$K$24,[1]对照表!$L$3:$L$24),LOOKUP(H659,[1]对照表!$K$27:$K$48,[1]对照表!$L$27:$L$48)),IF(B659="高二",IF($E659="男",LOOKUP(H659,[1]对照表!$J$3:$J$24,[1]对照表!$L$3:$L$24),LOOKUP(H659,[1]对照表!$J$27:$J$48,[1]对照表!$L$27:$L$48)),IF(B659="高一",IF($E659="男",LOOKUP(H659,[1]对照表!$I$3:$I$24,[1]对照表!$L$3:$L$24),LOOKUP(H659,[1]对照表!$I$27:$I$48,[1]对照表!$L$27:$L$48)))))</f>
        <v>78</v>
      </c>
      <c r="J659" s="21">
        <v>215</v>
      </c>
      <c r="K659" s="32">
        <f>IF(B659="高三",IF($E659="男",LOOKUP(J659,[1]对照表!$O$3:$O$24,[1]对照表!$P$3:$P$24),LOOKUP(J659,[1]对照表!$O$27:$O$48,[1]对照表!$P$27:$P$48)),IF(B659="高二",IF($E659="男",LOOKUP(J659,[1]对照表!$N$3:$N$24,[1]对照表!$P$3:$P$24),LOOKUP(J659,[1]对照表!$N$27:$N$48,[1]对照表!$P$27:$P$48)),IF(B659="高一",IF($E659="男",LOOKUP(J659,[1]对照表!$M$3:$M$24,[1]对照表!$P$3:$P$24),LOOKUP(J659,[1]对照表!$M$27:$M$48,[1]对照表!$P$27:$P$48)))))</f>
        <v>70</v>
      </c>
      <c r="L659" s="21">
        <v>2</v>
      </c>
      <c r="M659" s="32">
        <f>IF(B659="高三",IF($E659="男",LOOKUP(L659,[1]对照表!$S$3:$S$24,[1]对照表!$T$3:$T$24),LOOKUP(L659,[1]对照表!$S$27:$S$48,[1]对照表!$T$27:$T$48)),IF(B659="高二",IF($E659="男",LOOKUP(L659,[1]对照表!$R$3:$R$24,[1]对照表!$T$3:$T$24),LOOKUP(L659,[1]对照表!$R$27:$R$48,[1]对照表!$T$27:$T$48)),IF(B659="高一",IF($E659="男",LOOKUP(L659,[1]对照表!$Q$3:$Q$24,[1]对照表!$T$3:$T$24),LOOKUP(L659,[1]对照表!$Q$27:$Q$48,[1]对照表!$T$27:$T$48)))))</f>
        <v>10</v>
      </c>
      <c r="N659" s="33">
        <f>IF(B659="高三",MAX(IF(E659="男",L659-18,L659-55),0),IF(B659="高二",MAX(IF(E659="男",L659-17,L659-54),0),IF(B659="高一",MAX(IF(E659="男",L659-16,L659-53),0))))</f>
        <v>0</v>
      </c>
      <c r="O659" s="23">
        <f>IF(E659="男",LOOKUP($N659,[1]对照表!$Z$3:$Z$13,[1]对照表!$AA$3:$AA$13),LOOKUP($N659,[1]对照表!$Z$15:$Z$25,[1]对照表!$AA$15:$AA$25))</f>
        <v>0</v>
      </c>
      <c r="P659" s="24">
        <f>M659+O659</f>
        <v>10</v>
      </c>
      <c r="Q659" s="25">
        <v>4.12</v>
      </c>
      <c r="R659" s="32">
        <f>IF(B659="高三",IF($E659="男",LOOKUP(Q659,[1]对照表!$W$3:$W$24,[1]对照表!$X$3:$X$24),LOOKUP(Q659,[1]对照表!$W$27:$W$48,[1]对照表!$X$27:$X$48)),IF(B659="高二",IF($E659="男",LOOKUP(Q659,[1]对照表!$V$3:$V$24,[1]对照表!$X$3:$X$24),LOOKUP(Q659,[1]对照表!$V$27:$V$48,[1]对照表!$X$27:$X$48)),IF(B659="高一",IF($E659="男",LOOKUP(Q659,[1]对照表!$U$3:$U$24,[1]对照表!$X$3:$X$24),LOOKUP(Q659,[1]对照表!$U$27:$U$48,[1]对照表!$X$27:$X$48)))))</f>
        <v>72</v>
      </c>
      <c r="S659" s="33">
        <f>ROUND(IF(IF($B659="高三",MIN(IF($E659="男",$Q659-3.2,$Q659-3.2),0),IF($B659="高二",MIN(IF($E659="男",$Q659-3.25,$Q659-3.22),0),IF($B659="高一",MIN(IF($E659="男",$Q659-3.3,$Q659-3.24),0))))&lt;-0.6,IF($B659="高三",MIN(IF($E659="男",$Q659-3.2,$Q659-3.2),0),IF($B659="高二",MIN(IF($E659="男",$Q659-3.25,$Q659-3.22),0),IF($B659="高一",MIN(IF($E659="男",$Q659-3.3,$Q659-3.24),0))))+0.4,IF($B659="高三",MIN(IF($E659="男",$Q659-3.2,$Q659-3.2),0),IF($B659="高二",MIN(IF($E659="男",$Q659-3.25,$Q659-3.22),0),IF($B659="高一",MIN(IF($E659="男",$Q659-3.3,$Q659-3.24),0))))),2)</f>
        <v>0</v>
      </c>
      <c r="T659" s="23">
        <f>IF(E659="男",LOOKUP($S659,[1]对照表!$AB$3:$AB$13,[1]对照表!$AC$3:$AC$13),LOOKUP($S659,[1]对照表!$AB$15:$AB$25,[1]对照表!$AC$15:$AC$25))</f>
        <v>0</v>
      </c>
      <c r="U659" s="26">
        <f>R659+T659</f>
        <v>72</v>
      </c>
      <c r="V659" s="26">
        <f>SUM(I659,K659,M659)/3*0.3+SUM(G659,R659)/2*0.4</f>
        <v>45</v>
      </c>
      <c r="W659" s="27">
        <f>O659+T659</f>
        <v>0</v>
      </c>
      <c r="X659" s="28">
        <f>V659/0.7+W659</f>
        <v>64.285714285714292</v>
      </c>
      <c r="Y659" s="28">
        <v>64.285714285714292</v>
      </c>
      <c r="Z659" s="21"/>
    </row>
    <row r="660" spans="1:26" x14ac:dyDescent="0.25">
      <c r="A660" s="16">
        <v>44</v>
      </c>
      <c r="B660" s="17" t="s">
        <v>21</v>
      </c>
      <c r="C660" s="16">
        <v>115</v>
      </c>
      <c r="D660" s="18" t="s">
        <v>548</v>
      </c>
      <c r="E660" s="17" t="s">
        <v>65</v>
      </c>
      <c r="F660" s="19">
        <v>9.9700000000000006</v>
      </c>
      <c r="G660" s="32">
        <f>IF(B660="高三",IF($E660="男",LOOKUP(F660,[1]对照表!$G$3:$G$24,[1]对照表!$H$3:$H$24),LOOKUP(F660,[1]对照表!$G$27:$G$48,[1]对照表!$H$27:$H$48)),IF(B660="高二",IF($E660="男",LOOKUP(F660,[1]对照表!$F$3:$F$24,[1]对照表!$H$3:$H$24),LOOKUP(F660,[1]对照表!$F$27:$F$48,[1]对照表!$H$27:$H$48)),IF(B660="高一",IF($E660="男",LOOKUP(F660,[1]对照表!$E$3:$E$24,[1]对照表!$H$3:$H$24),LOOKUP(F660,[1]对照表!$E$27:$E$48,[1]对照表!$H$27:$H$48)))))</f>
        <v>66</v>
      </c>
      <c r="H660" s="21">
        <v>8.5</v>
      </c>
      <c r="I660" s="32">
        <f>IF(B660="高三",IF($E660="男",LOOKUP(H660,[1]对照表!$K$3:$K$24,[1]对照表!$L$3:$L$24),LOOKUP(H660,[1]对照表!$K$27:$K$48,[1]对照表!$L$27:$L$48)),IF(B660="高二",IF($E660="男",LOOKUP(H660,[1]对照表!$J$3:$J$24,[1]对照表!$L$3:$L$24),LOOKUP(H660,[1]对照表!$J$27:$J$48,[1]对照表!$L$27:$L$48)),IF(B660="高一",IF($E660="男",LOOKUP(H660,[1]对照表!$I$3:$I$24,[1]对照表!$L$3:$L$24),LOOKUP(H660,[1]对照表!$I$27:$I$48,[1]对照表!$L$27:$L$48)))))</f>
        <v>66</v>
      </c>
      <c r="J660" s="21">
        <v>163</v>
      </c>
      <c r="K660" s="32">
        <f>IF(B660="高三",IF($E660="男",LOOKUP(J660,[1]对照表!$O$3:$O$24,[1]对照表!$P$3:$P$24),LOOKUP(J660,[1]对照表!$O$27:$O$48,[1]对照表!$P$27:$P$48)),IF(B660="高二",IF($E660="男",LOOKUP(J660,[1]对照表!$N$3:$N$24,[1]对照表!$P$3:$P$24),LOOKUP(J660,[1]对照表!$N$27:$N$48,[1]对照表!$P$27:$P$48)),IF(B660="高一",IF($E660="男",LOOKUP(J660,[1]对照表!$M$3:$M$24,[1]对照表!$P$3:$P$24),LOOKUP(J660,[1]对照表!$M$27:$M$48,[1]对照表!$P$27:$P$48)))))</f>
        <v>70</v>
      </c>
      <c r="L660" s="21">
        <v>49</v>
      </c>
      <c r="M660" s="32">
        <f>IF(B660="高三",IF($E660="男",LOOKUP(L660,[1]对照表!$S$3:$S$24,[1]对照表!$T$3:$T$24),LOOKUP(L660,[1]对照表!$S$27:$S$48,[1]对照表!$T$27:$T$48)),IF(B660="高二",IF($E660="男",LOOKUP(L660,[1]对照表!$R$3:$R$24,[1]对照表!$T$3:$T$24),LOOKUP(L660,[1]对照表!$R$27:$R$48,[1]对照表!$T$27:$T$48)),IF(B660="高一",IF($E660="男",LOOKUP(L660,[1]对照表!$Q$3:$Q$24,[1]对照表!$T$3:$T$24),LOOKUP(L660,[1]对照表!$Q$27:$Q$48,[1]对照表!$T$27:$T$48)))))</f>
        <v>90</v>
      </c>
      <c r="N660" s="33">
        <f>IF(B660="高三",MAX(IF(E660="男",L660-18,L660-55),0),IF(B660="高二",MAX(IF(E660="男",L660-17,L660-54),0),IF(B660="高一",MAX(IF(E660="男",L660-16,L660-53),0))))</f>
        <v>0</v>
      </c>
      <c r="O660" s="23">
        <f>IF(E660="男",LOOKUP($N660,[1]对照表!$Z$3:$Z$13,[1]对照表!$AA$3:$AA$13),LOOKUP($N660,[1]对照表!$Z$15:$Z$25,[1]对照表!$AA$15:$AA$25))</f>
        <v>0</v>
      </c>
      <c r="P660" s="24">
        <f>M660+O660</f>
        <v>90</v>
      </c>
      <c r="Q660" s="25">
        <v>3.45</v>
      </c>
      <c r="R660" s="32">
        <f>IF(B660="高三",IF($E660="男",LOOKUP(Q660,[1]对照表!$W$3:$W$24,[1]对照表!$X$3:$X$24),LOOKUP(Q660,[1]对照表!$W$27:$W$48,[1]对照表!$X$27:$X$48)),IF(B660="高二",IF($E660="男",LOOKUP(Q660,[1]对照表!$V$3:$V$24,[1]对照表!$X$3:$X$24),LOOKUP(Q660,[1]对照表!$V$27:$V$48,[1]对照表!$X$27:$X$48)),IF(B660="高一",IF($E660="男",LOOKUP(Q660,[1]对照表!$U$3:$U$24,[1]对照表!$X$3:$X$24),LOOKUP(Q660,[1]对照表!$U$27:$U$48,[1]对照表!$X$27:$X$48)))))</f>
        <v>80</v>
      </c>
      <c r="S660" s="33">
        <f>ROUND(IF(IF($B660="高三",MIN(IF($E660="男",$Q660-3.2,$Q660-3.2),0),IF($B660="高二",MIN(IF($E660="男",$Q660-3.25,$Q660-3.22),0),IF($B660="高一",MIN(IF($E660="男",$Q660-3.3,$Q660-3.24),0))))&lt;-0.6,IF($B660="高三",MIN(IF($E660="男",$Q660-3.2,$Q660-3.2),0),IF($B660="高二",MIN(IF($E660="男",$Q660-3.25,$Q660-3.22),0),IF($B660="高一",MIN(IF($E660="男",$Q660-3.3,$Q660-3.24),0))))+0.4,IF($B660="高三",MIN(IF($E660="男",$Q660-3.2,$Q660-3.2),0),IF($B660="高二",MIN(IF($E660="男",$Q660-3.25,$Q660-3.22),0),IF($B660="高一",MIN(IF($E660="男",$Q660-3.3,$Q660-3.24),0))))),2)</f>
        <v>0</v>
      </c>
      <c r="T660" s="23">
        <f>IF(E660="男",LOOKUP($S660,[1]对照表!$AB$3:$AB$13,[1]对照表!$AC$3:$AC$13),LOOKUP($S660,[1]对照表!$AB$15:$AB$25,[1]对照表!$AC$15:$AC$25))</f>
        <v>0</v>
      </c>
      <c r="U660" s="26">
        <f>R660+T660</f>
        <v>80</v>
      </c>
      <c r="V660" s="26">
        <f>SUM(I660,K660,M660)/3*0.3+SUM(G660,R660)/2*0.4</f>
        <v>51.8</v>
      </c>
      <c r="W660" s="27">
        <f>O660+T660</f>
        <v>0</v>
      </c>
      <c r="X660" s="28">
        <f>V660/0.7+W660</f>
        <v>74</v>
      </c>
      <c r="Y660" s="28">
        <v>74</v>
      </c>
      <c r="Z660" s="21"/>
    </row>
    <row r="661" spans="1:26" x14ac:dyDescent="0.25">
      <c r="A661" s="16">
        <v>31</v>
      </c>
      <c r="B661" s="17" t="s">
        <v>21</v>
      </c>
      <c r="C661" s="16">
        <v>115</v>
      </c>
      <c r="D661" s="18" t="s">
        <v>552</v>
      </c>
      <c r="E661" s="16" t="s">
        <v>65</v>
      </c>
      <c r="F661" s="19">
        <v>8.74</v>
      </c>
      <c r="G661" s="32">
        <f>IF(B661="高三",IF($E661="男",LOOKUP(F661,[1]对照表!$G$3:$G$24,[1]对照表!$H$3:$H$24),LOOKUP(F661,[1]对照表!$G$27:$G$48,[1]对照表!$H$27:$H$48)),IF(B661="高二",IF($E661="男",LOOKUP(F661,[1]对照表!$F$3:$F$24,[1]对照表!$H$3:$H$24),LOOKUP(F661,[1]对照表!$F$27:$F$48,[1]对照表!$H$27:$H$48)),IF(B661="高一",IF($E661="男",LOOKUP(F661,[1]对照表!$E$3:$E$24,[1]对照表!$H$3:$H$24),LOOKUP(F661,[1]对照表!$E$27:$E$48,[1]对照表!$H$27:$H$48)))))</f>
        <v>78</v>
      </c>
      <c r="H661" s="21">
        <v>21</v>
      </c>
      <c r="I661" s="32">
        <f>IF(B661="高三",IF($E661="男",LOOKUP(H661,[1]对照表!$K$3:$K$24,[1]对照表!$L$3:$L$24),LOOKUP(H661,[1]对照表!$K$27:$K$48,[1]对照表!$L$27:$L$48)),IF(B661="高二",IF($E661="男",LOOKUP(H661,[1]对照表!$J$3:$J$24,[1]对照表!$L$3:$L$24),LOOKUP(H661,[1]对照表!$J$27:$J$48,[1]对照表!$L$27:$L$48)),IF(B661="高一",IF($E661="男",LOOKUP(H661,[1]对照表!$I$3:$I$24,[1]对照表!$L$3:$L$24),LOOKUP(H661,[1]对照表!$I$27:$I$48,[1]对照表!$L$27:$L$48)))))</f>
        <v>90</v>
      </c>
      <c r="J661" s="21">
        <v>200</v>
      </c>
      <c r="K661" s="32">
        <f>IF(B661="高三",IF($E661="男",LOOKUP(J661,[1]对照表!$O$3:$O$24,[1]对照表!$P$3:$P$24),LOOKUP(J661,[1]对照表!$O$27:$O$48,[1]对照表!$P$27:$P$48)),IF(B661="高二",IF($E661="男",LOOKUP(J661,[1]对照表!$N$3:$N$24,[1]对照表!$P$3:$P$24),LOOKUP(J661,[1]对照表!$N$27:$N$48,[1]对照表!$P$27:$P$48)),IF(B661="高一",IF($E661="男",LOOKUP(J661,[1]对照表!$M$3:$M$24,[1]对照表!$P$3:$P$24),LOOKUP(J661,[1]对照表!$M$27:$M$48,[1]对照表!$P$27:$P$48)))))</f>
        <v>95</v>
      </c>
      <c r="L661" s="21">
        <v>50</v>
      </c>
      <c r="M661" s="32">
        <f>IF(B661="高三",IF($E661="男",LOOKUP(L661,[1]对照表!$S$3:$S$24,[1]对照表!$T$3:$T$24),LOOKUP(L661,[1]对照表!$S$27:$S$48,[1]对照表!$T$27:$T$48)),IF(B661="高二",IF($E661="男",LOOKUP(L661,[1]对照表!$R$3:$R$24,[1]对照表!$T$3:$T$24),LOOKUP(L661,[1]对照表!$R$27:$R$48,[1]对照表!$T$27:$T$48)),IF(B661="高一",IF($E661="男",LOOKUP(L661,[1]对照表!$Q$3:$Q$24,[1]对照表!$T$3:$T$24),LOOKUP(L661,[1]对照表!$Q$27:$Q$48,[1]对照表!$T$27:$T$48)))))</f>
        <v>90</v>
      </c>
      <c r="N661" s="33">
        <f>IF(B661="高三",MAX(IF(E661="男",L661-18,L661-55),0),IF(B661="高二",MAX(IF(E661="男",L661-17,L661-54),0),IF(B661="高一",MAX(IF(E661="男",L661-16,L661-53),0))))</f>
        <v>0</v>
      </c>
      <c r="O661" s="23">
        <f>IF(E661="男",LOOKUP($N661,[1]对照表!$Z$3:$Z$13,[1]对照表!$AA$3:$AA$13),LOOKUP($N661,[1]对照表!$Z$15:$Z$25,[1]对照表!$AA$15:$AA$25))</f>
        <v>0</v>
      </c>
      <c r="P661" s="24">
        <f>M661+O661</f>
        <v>90</v>
      </c>
      <c r="Q661" s="25">
        <v>3.47</v>
      </c>
      <c r="R661" s="32">
        <f>IF(B661="高三",IF($E661="男",LOOKUP(Q661,[1]对照表!$W$3:$W$24,[1]对照表!$X$3:$X$24),LOOKUP(Q661,[1]对照表!$W$27:$W$48,[1]对照表!$X$27:$X$48)),IF(B661="高二",IF($E661="男",LOOKUP(Q661,[1]对照表!$V$3:$V$24,[1]对照表!$X$3:$X$24),LOOKUP(Q661,[1]对照表!$V$27:$V$48,[1]对照表!$X$27:$X$48)),IF(B661="高一",IF($E661="男",LOOKUP(Q661,[1]对照表!$U$3:$U$24,[1]对照表!$X$3:$X$24),LOOKUP(Q661,[1]对照表!$U$27:$U$48,[1]对照表!$X$27:$X$48)))))</f>
        <v>80</v>
      </c>
      <c r="S661" s="33">
        <f>ROUND(IF(IF($B661="高三",MIN(IF($E661="男",$Q661-3.2,$Q661-3.2),0),IF($B661="高二",MIN(IF($E661="男",$Q661-3.25,$Q661-3.22),0),IF($B661="高一",MIN(IF($E661="男",$Q661-3.3,$Q661-3.24),0))))&lt;-0.6,IF($B661="高三",MIN(IF($E661="男",$Q661-3.2,$Q661-3.2),0),IF($B661="高二",MIN(IF($E661="男",$Q661-3.25,$Q661-3.22),0),IF($B661="高一",MIN(IF($E661="男",$Q661-3.3,$Q661-3.24),0))))+0.4,IF($B661="高三",MIN(IF($E661="男",$Q661-3.2,$Q661-3.2),0),IF($B661="高二",MIN(IF($E661="男",$Q661-3.25,$Q661-3.22),0),IF($B661="高一",MIN(IF($E661="男",$Q661-3.3,$Q661-3.24),0))))),2)</f>
        <v>0</v>
      </c>
      <c r="T661" s="23">
        <f>IF(E661="男",LOOKUP($S661,[1]对照表!$AB$3:$AB$13,[1]对照表!$AC$3:$AC$13),LOOKUP($S661,[1]对照表!$AB$15:$AB$25,[1]对照表!$AC$15:$AC$25))</f>
        <v>0</v>
      </c>
      <c r="U661" s="26">
        <f>R661+T661</f>
        <v>80</v>
      </c>
      <c r="V661" s="26">
        <f>SUM(I661,K661,M661)/3*0.3+SUM(G661,R661)/2*0.4</f>
        <v>59.1</v>
      </c>
      <c r="W661" s="27">
        <f>O661+T661</f>
        <v>0</v>
      </c>
      <c r="X661" s="28">
        <f>V661/0.7+W661</f>
        <v>84.428571428571431</v>
      </c>
      <c r="Y661" s="28">
        <v>84.428571428571431</v>
      </c>
      <c r="Z661" s="21"/>
    </row>
    <row r="662" spans="1:26" x14ac:dyDescent="0.25">
      <c r="A662" s="16">
        <v>3</v>
      </c>
      <c r="B662" s="17" t="s">
        <v>21</v>
      </c>
      <c r="C662" s="16">
        <v>115</v>
      </c>
      <c r="D662" s="18" t="s">
        <v>569</v>
      </c>
      <c r="E662" s="16" t="s">
        <v>23</v>
      </c>
      <c r="F662" s="19">
        <v>8.5</v>
      </c>
      <c r="G662" s="32">
        <f>IF(B662="高三",IF($E662="男",LOOKUP(F662,[1]对照表!$G$3:$G$24,[1]对照表!$H$3:$H$24),LOOKUP(F662,[1]对照表!$G$27:$G$48,[1]对照表!$H$27:$H$48)),IF(B662="高二",IF($E662="男",LOOKUP(F662,[1]对照表!$F$3:$F$24,[1]对照表!$H$3:$H$24),LOOKUP(F662,[1]对照表!$F$27:$F$48,[1]对照表!$H$27:$H$48)),IF(B662="高一",IF($E662="男",LOOKUP(F662,[1]对照表!$E$3:$E$24,[1]对照表!$H$3:$H$24),LOOKUP(F662,[1]对照表!$E$27:$E$48,[1]对照表!$H$27:$H$48)))))</f>
        <v>70</v>
      </c>
      <c r="H662" s="21">
        <v>0</v>
      </c>
      <c r="I662" s="32">
        <f>IF(B662="高三",IF($E662="男",LOOKUP(H662,[1]对照表!$K$3:$K$24,[1]对照表!$L$3:$L$24),LOOKUP(H662,[1]对照表!$K$27:$K$48,[1]对照表!$L$27:$L$48)),IF(B662="高二",IF($E662="男",LOOKUP(H662,[1]对照表!$J$3:$J$24,[1]对照表!$L$3:$L$24),LOOKUP(H662,[1]对照表!$J$27:$J$48,[1]对照表!$L$27:$L$48)),IF(B662="高一",IF($E662="男",LOOKUP(H662,[1]对照表!$I$3:$I$24,[1]对照表!$L$3:$L$24),LOOKUP(H662,[1]对照表!$I$27:$I$48,[1]对照表!$L$27:$L$48)))))</f>
        <v>50</v>
      </c>
      <c r="J662" s="21">
        <v>201</v>
      </c>
      <c r="K662" s="32">
        <f>IF(B662="高三",IF($E662="男",LOOKUP(J662,[1]对照表!$O$3:$O$24,[1]对照表!$P$3:$P$24),LOOKUP(J662,[1]对照表!$O$27:$O$48,[1]对照表!$P$27:$P$48)),IF(B662="高二",IF($E662="男",LOOKUP(J662,[1]对照表!$N$3:$N$24,[1]对照表!$P$3:$P$24),LOOKUP(J662,[1]对照表!$N$27:$N$48,[1]对照表!$P$27:$P$48)),IF(B662="高一",IF($E662="男",LOOKUP(J662,[1]对照表!$M$3:$M$24,[1]对照表!$P$3:$P$24),LOOKUP(J662,[1]对照表!$M$27:$M$48,[1]对照表!$P$27:$P$48)))))</f>
        <v>62</v>
      </c>
      <c r="L662" s="21">
        <v>5</v>
      </c>
      <c r="M662" s="32">
        <f>IF(B662="高三",IF($E662="男",LOOKUP(L662,[1]对照表!$S$3:$S$24,[1]对照表!$T$3:$T$24),LOOKUP(L662,[1]对照表!$S$27:$S$48,[1]对照表!$T$27:$T$48)),IF(B662="高二",IF($E662="男",LOOKUP(L662,[1]对照表!$R$3:$R$24,[1]对照表!$T$3:$T$24),LOOKUP(L662,[1]对照表!$R$27:$R$48,[1]对照表!$T$27:$T$48)),IF(B662="高一",IF($E662="男",LOOKUP(L662,[1]对照表!$Q$3:$Q$24,[1]对照表!$T$3:$T$24),LOOKUP(L662,[1]对照表!$Q$27:$Q$48,[1]对照表!$T$27:$T$48)))))</f>
        <v>40</v>
      </c>
      <c r="N662" s="33">
        <f>IF(B662="高三",MAX(IF(E662="男",L662-18,L662-55),0),IF(B662="高二",MAX(IF(E662="男",L662-17,L662-54),0),IF(B662="高一",MAX(IF(E662="男",L662-16,L662-53),0))))</f>
        <v>0</v>
      </c>
      <c r="O662" s="23">
        <f>IF(E662="男",LOOKUP($N662,[1]对照表!$Z$3:$Z$13,[1]对照表!$AA$3:$AA$13),LOOKUP($N662,[1]对照表!$Z$15:$Z$25,[1]对照表!$AA$15:$AA$25))</f>
        <v>0</v>
      </c>
      <c r="P662" s="24">
        <f>M662+O662</f>
        <v>40</v>
      </c>
      <c r="Q662" s="25">
        <v>4.21</v>
      </c>
      <c r="R662" s="32">
        <f>IF(B662="高三",IF($E662="男",LOOKUP(Q662,[1]对照表!$W$3:$W$24,[1]对照表!$X$3:$X$24),LOOKUP(Q662,[1]对照表!$W$27:$W$48,[1]对照表!$X$27:$X$48)),IF(B662="高二",IF($E662="男",LOOKUP(Q662,[1]对照表!$V$3:$V$24,[1]对照表!$X$3:$X$24),LOOKUP(Q662,[1]对照表!$V$27:$V$48,[1]对照表!$X$27:$X$48)),IF(B662="高一",IF($E662="男",LOOKUP(Q662,[1]对照表!$U$3:$U$24,[1]对照表!$X$3:$X$24),LOOKUP(Q662,[1]对照表!$U$27:$U$48,[1]对照表!$X$27:$X$48)))))</f>
        <v>68</v>
      </c>
      <c r="S662" s="33">
        <f>ROUND(IF(IF($B662="高三",MIN(IF($E662="男",$Q662-3.2,$Q662-3.2),0),IF($B662="高二",MIN(IF($E662="男",$Q662-3.25,$Q662-3.22),0),IF($B662="高一",MIN(IF($E662="男",$Q662-3.3,$Q662-3.24),0))))&lt;-0.6,IF($B662="高三",MIN(IF($E662="男",$Q662-3.2,$Q662-3.2),0),IF($B662="高二",MIN(IF($E662="男",$Q662-3.25,$Q662-3.22),0),IF($B662="高一",MIN(IF($E662="男",$Q662-3.3,$Q662-3.24),0))))+0.4,IF($B662="高三",MIN(IF($E662="男",$Q662-3.2,$Q662-3.2),0),IF($B662="高二",MIN(IF($E662="男",$Q662-3.25,$Q662-3.22),0),IF($B662="高一",MIN(IF($E662="男",$Q662-3.3,$Q662-3.24),0))))),2)</f>
        <v>0</v>
      </c>
      <c r="T662" s="23">
        <f>IF(E662="男",LOOKUP($S662,[1]对照表!$AB$3:$AB$13,[1]对照表!$AC$3:$AC$13),LOOKUP($S662,[1]对照表!$AB$15:$AB$25,[1]对照表!$AC$15:$AC$25))</f>
        <v>0</v>
      </c>
      <c r="U662" s="26">
        <f>R662+T662</f>
        <v>68</v>
      </c>
      <c r="V662" s="26">
        <f>SUM(I662,K662,M662)/3*0.3+SUM(G662,R662)/2*0.4</f>
        <v>42.8</v>
      </c>
      <c r="W662" s="27">
        <f>O662+T662</f>
        <v>0</v>
      </c>
      <c r="X662" s="28">
        <f>V662/0.7+W662</f>
        <v>61.142857142857146</v>
      </c>
      <c r="Y662" s="28">
        <v>61.142857142857146</v>
      </c>
      <c r="Z662" s="21"/>
    </row>
    <row r="663" spans="1:26" x14ac:dyDescent="0.25">
      <c r="A663" s="16">
        <v>34</v>
      </c>
      <c r="B663" s="17" t="s">
        <v>21</v>
      </c>
      <c r="C663" s="16">
        <v>115</v>
      </c>
      <c r="D663" s="18" t="s">
        <v>588</v>
      </c>
      <c r="E663" s="17" t="s">
        <v>65</v>
      </c>
      <c r="F663" s="19">
        <v>9.51</v>
      </c>
      <c r="G663" s="32">
        <f>IF(B663="高三",IF($E663="男",LOOKUP(F663,[1]对照表!$G$3:$G$24,[1]对照表!$H$3:$H$24),LOOKUP(F663,[1]对照表!$G$27:$G$48,[1]对照表!$H$27:$H$48)),IF(B663="高二",IF($E663="男",LOOKUP(F663,[1]对照表!$F$3:$F$24,[1]对照表!$H$3:$H$24),LOOKUP(F663,[1]对照表!$F$27:$F$48,[1]对照表!$H$27:$H$48)),IF(B663="高一",IF($E663="男",LOOKUP(F663,[1]对照表!$E$3:$E$24,[1]对照表!$H$3:$H$24),LOOKUP(F663,[1]对照表!$E$27:$E$48,[1]对照表!$H$27:$H$48)))))</f>
        <v>70</v>
      </c>
      <c r="H663" s="21">
        <v>19</v>
      </c>
      <c r="I663" s="32">
        <f>IF(B663="高三",IF($E663="男",LOOKUP(H663,[1]对照表!$K$3:$K$24,[1]对照表!$L$3:$L$24),LOOKUP(H663,[1]对照表!$K$27:$K$48,[1]对照表!$L$27:$L$48)),IF(B663="高二",IF($E663="男",LOOKUP(H663,[1]对照表!$J$3:$J$24,[1]对照表!$L$3:$L$24),LOOKUP(H663,[1]对照表!$J$27:$J$48,[1]对照表!$L$27:$L$48)),IF(B663="高一",IF($E663="男",LOOKUP(H663,[1]对照表!$I$3:$I$24,[1]对照表!$L$3:$L$24),LOOKUP(H663,[1]对照表!$I$27:$I$48,[1]对照表!$L$27:$L$48)))))</f>
        <v>80</v>
      </c>
      <c r="J663" s="21">
        <v>163</v>
      </c>
      <c r="K663" s="32">
        <f>IF(B663="高三",IF($E663="男",LOOKUP(J663,[1]对照表!$O$3:$O$24,[1]对照表!$P$3:$P$24),LOOKUP(J663,[1]对照表!$O$27:$O$48,[1]对照表!$P$27:$P$48)),IF(B663="高二",IF($E663="男",LOOKUP(J663,[1]对照表!$N$3:$N$24,[1]对照表!$P$3:$P$24),LOOKUP(J663,[1]对照表!$N$27:$N$48,[1]对照表!$P$27:$P$48)),IF(B663="高一",IF($E663="男",LOOKUP(J663,[1]对照表!$M$3:$M$24,[1]对照表!$P$3:$P$24),LOOKUP(J663,[1]对照表!$M$27:$M$48,[1]对照表!$P$27:$P$48)))))</f>
        <v>70</v>
      </c>
      <c r="L663" s="21">
        <v>47</v>
      </c>
      <c r="M663" s="32">
        <f>IF(B663="高三",IF($E663="男",LOOKUP(L663,[1]对照表!$S$3:$S$24,[1]对照表!$T$3:$T$24),LOOKUP(L663,[1]对照表!$S$27:$S$48,[1]对照表!$T$27:$T$48)),IF(B663="高二",IF($E663="男",LOOKUP(L663,[1]对照表!$R$3:$R$24,[1]对照表!$T$3:$T$24),LOOKUP(L663,[1]对照表!$R$27:$R$48,[1]对照表!$T$27:$T$48)),IF(B663="高一",IF($E663="男",LOOKUP(L663,[1]对照表!$Q$3:$Q$24,[1]对照表!$T$3:$T$24),LOOKUP(L663,[1]对照表!$Q$27:$Q$48,[1]对照表!$T$27:$T$48)))))</f>
        <v>85</v>
      </c>
      <c r="N663" s="33">
        <f>IF(B663="高三",MAX(IF(E663="男",L663-18,L663-55),0),IF(B663="高二",MAX(IF(E663="男",L663-17,L663-54),0),IF(B663="高一",MAX(IF(E663="男",L663-16,L663-53),0))))</f>
        <v>0</v>
      </c>
      <c r="O663" s="23">
        <f>IF(E663="男",LOOKUP($N663,[1]对照表!$Z$3:$Z$13,[1]对照表!$AA$3:$AA$13),LOOKUP($N663,[1]对照表!$Z$15:$Z$25,[1]对照表!$AA$15:$AA$25))</f>
        <v>0</v>
      </c>
      <c r="P663" s="24">
        <f>M663+O663</f>
        <v>85</v>
      </c>
      <c r="Q663" s="25">
        <v>3.48</v>
      </c>
      <c r="R663" s="32">
        <f>IF(B663="高三",IF($E663="男",LOOKUP(Q663,[1]对照表!$W$3:$W$24,[1]对照表!$X$3:$X$24),LOOKUP(Q663,[1]对照表!$W$27:$W$48,[1]对照表!$X$27:$X$48)),IF(B663="高二",IF($E663="男",LOOKUP(Q663,[1]对照表!$V$3:$V$24,[1]对照表!$X$3:$X$24),LOOKUP(Q663,[1]对照表!$V$27:$V$48,[1]对照表!$X$27:$X$48)),IF(B663="高一",IF($E663="男",LOOKUP(Q663,[1]对照表!$U$3:$U$24,[1]对照表!$X$3:$X$24),LOOKUP(Q663,[1]对照表!$U$27:$U$48,[1]对照表!$X$27:$X$48)))))</f>
        <v>80</v>
      </c>
      <c r="S663" s="33">
        <f>ROUND(IF(IF($B663="高三",MIN(IF($E663="男",$Q663-3.2,$Q663-3.2),0),IF($B663="高二",MIN(IF($E663="男",$Q663-3.25,$Q663-3.22),0),IF($B663="高一",MIN(IF($E663="男",$Q663-3.3,$Q663-3.24),0))))&lt;-0.6,IF($B663="高三",MIN(IF($E663="男",$Q663-3.2,$Q663-3.2),0),IF($B663="高二",MIN(IF($E663="男",$Q663-3.25,$Q663-3.22),0),IF($B663="高一",MIN(IF($E663="男",$Q663-3.3,$Q663-3.24),0))))+0.4,IF($B663="高三",MIN(IF($E663="男",$Q663-3.2,$Q663-3.2),0),IF($B663="高二",MIN(IF($E663="男",$Q663-3.25,$Q663-3.22),0),IF($B663="高一",MIN(IF($E663="男",$Q663-3.3,$Q663-3.24),0))))),2)</f>
        <v>0</v>
      </c>
      <c r="T663" s="23">
        <f>IF(E663="男",LOOKUP($S663,[1]对照表!$AB$3:$AB$13,[1]对照表!$AC$3:$AC$13),LOOKUP($S663,[1]对照表!$AB$15:$AB$25,[1]对照表!$AC$15:$AC$25))</f>
        <v>0</v>
      </c>
      <c r="U663" s="26">
        <f>R663+T663</f>
        <v>80</v>
      </c>
      <c r="V663" s="26">
        <f>SUM(I663,K663,M663)/3*0.3+SUM(G663,R663)/2*0.4</f>
        <v>53.5</v>
      </c>
      <c r="W663" s="27">
        <f>O663+T663</f>
        <v>0</v>
      </c>
      <c r="X663" s="28">
        <f>V663/0.7+W663</f>
        <v>76.428571428571431</v>
      </c>
      <c r="Y663" s="28">
        <v>76.428571428571431</v>
      </c>
      <c r="Z663" s="21"/>
    </row>
    <row r="664" spans="1:26" x14ac:dyDescent="0.25">
      <c r="A664" s="16">
        <v>18</v>
      </c>
      <c r="B664" s="17" t="s">
        <v>21</v>
      </c>
      <c r="C664" s="16">
        <v>115</v>
      </c>
      <c r="D664" s="18" t="s">
        <v>591</v>
      </c>
      <c r="E664" s="16" t="s">
        <v>65</v>
      </c>
      <c r="F664" s="19">
        <v>8.6999999999999993</v>
      </c>
      <c r="G664" s="32">
        <f>IF(B664="高三",IF($E664="男",LOOKUP(F664,[1]对照表!$G$3:$G$24,[1]对照表!$H$3:$H$24),LOOKUP(F664,[1]对照表!$G$27:$G$48,[1]对照表!$H$27:$H$48)),IF(B664="高二",IF($E664="男",LOOKUP(F664,[1]对照表!$F$3:$F$24,[1]对照表!$H$3:$H$24),LOOKUP(F664,[1]对照表!$F$27:$F$48,[1]对照表!$H$27:$H$48)),IF(B664="高一",IF($E664="男",LOOKUP(F664,[1]对照表!$E$3:$E$24,[1]对照表!$H$3:$H$24),LOOKUP(F664,[1]对照表!$E$27:$E$48,[1]对照表!$H$27:$H$48)))))</f>
        <v>78</v>
      </c>
      <c r="H664" s="21">
        <v>6</v>
      </c>
      <c r="I664" s="32">
        <f>IF(B664="高三",IF($E664="男",LOOKUP(H664,[1]对照表!$K$3:$K$24,[1]对照表!$L$3:$L$24),LOOKUP(H664,[1]对照表!$K$27:$K$48,[1]对照表!$L$27:$L$48)),IF(B664="高二",IF($E664="男",LOOKUP(H664,[1]对照表!$J$3:$J$24,[1]对照表!$L$3:$L$24),LOOKUP(H664,[1]对照表!$J$27:$J$48,[1]对照表!$L$27:$L$48)),IF(B664="高一",IF($E664="男",LOOKUP(H664,[1]对照表!$I$3:$I$24,[1]对照表!$L$3:$L$24),LOOKUP(H664,[1]对照表!$I$27:$I$48,[1]对照表!$L$27:$L$48)))))</f>
        <v>62</v>
      </c>
      <c r="J664" s="21">
        <v>180</v>
      </c>
      <c r="K664" s="32">
        <f>IF(B664="高三",IF($E664="男",LOOKUP(J664,[1]对照表!$O$3:$O$24,[1]对照表!$P$3:$P$24),LOOKUP(J664,[1]对照表!$O$27:$O$48,[1]对照表!$P$27:$P$48)),IF(B664="高二",IF($E664="男",LOOKUP(J664,[1]对照表!$N$3:$N$24,[1]对照表!$P$3:$P$24),LOOKUP(J664,[1]对照表!$N$27:$N$48,[1]对照表!$P$27:$P$48)),IF(B664="高一",IF($E664="男",LOOKUP(J664,[1]对照表!$M$3:$M$24,[1]对照表!$P$3:$P$24),LOOKUP(J664,[1]对照表!$M$27:$M$48,[1]对照表!$P$27:$P$48)))))</f>
        <v>80</v>
      </c>
      <c r="L664" s="21">
        <v>52</v>
      </c>
      <c r="M664" s="32">
        <f>IF(B664="高三",IF($E664="男",LOOKUP(L664,[1]对照表!$S$3:$S$24,[1]对照表!$T$3:$T$24),LOOKUP(L664,[1]对照表!$S$27:$S$48,[1]对照表!$T$27:$T$48)),IF(B664="高二",IF($E664="男",LOOKUP(L664,[1]对照表!$R$3:$R$24,[1]对照表!$T$3:$T$24),LOOKUP(L664,[1]对照表!$R$27:$R$48,[1]对照表!$T$27:$T$48)),IF(B664="高一",IF($E664="男",LOOKUP(L664,[1]对照表!$Q$3:$Q$24,[1]对照表!$T$3:$T$24),LOOKUP(L664,[1]对照表!$Q$27:$Q$48,[1]对照表!$T$27:$T$48)))))</f>
        <v>95</v>
      </c>
      <c r="N664" s="33">
        <f>IF(B664="高三",MAX(IF(E664="男",L664-18,L664-55),0),IF(B664="高二",MAX(IF(E664="男",L664-17,L664-54),0),IF(B664="高一",MAX(IF(E664="男",L664-16,L664-53),0))))</f>
        <v>0</v>
      </c>
      <c r="O664" s="23">
        <f>IF(E664="男",LOOKUP($N664,[1]对照表!$Z$3:$Z$13,[1]对照表!$AA$3:$AA$13),LOOKUP($N664,[1]对照表!$Z$15:$Z$25,[1]对照表!$AA$15:$AA$25))</f>
        <v>0</v>
      </c>
      <c r="P664" s="24">
        <f>M664+O664</f>
        <v>95</v>
      </c>
      <c r="Q664" s="25">
        <v>3.49</v>
      </c>
      <c r="R664" s="32">
        <f>IF(B664="高三",IF($E664="男",LOOKUP(Q664,[1]对照表!$W$3:$W$24,[1]对照表!$X$3:$X$24),LOOKUP(Q664,[1]对照表!$W$27:$W$48,[1]对照表!$X$27:$X$48)),IF(B664="高二",IF($E664="男",LOOKUP(Q664,[1]对照表!$V$3:$V$24,[1]对照表!$X$3:$X$24),LOOKUP(Q664,[1]对照表!$V$27:$V$48,[1]对照表!$X$27:$X$48)),IF(B664="高一",IF($E664="男",LOOKUP(Q664,[1]对照表!$U$3:$U$24,[1]对照表!$X$3:$X$24),LOOKUP(Q664,[1]对照表!$U$27:$U$48,[1]对照表!$X$27:$X$48)))))</f>
        <v>80</v>
      </c>
      <c r="S664" s="33">
        <f>ROUND(IF(IF($B664="高三",MIN(IF($E664="男",$Q664-3.2,$Q664-3.2),0),IF($B664="高二",MIN(IF($E664="男",$Q664-3.25,$Q664-3.22),0),IF($B664="高一",MIN(IF($E664="男",$Q664-3.3,$Q664-3.24),0))))&lt;-0.6,IF($B664="高三",MIN(IF($E664="男",$Q664-3.2,$Q664-3.2),0),IF($B664="高二",MIN(IF($E664="男",$Q664-3.25,$Q664-3.22),0),IF($B664="高一",MIN(IF($E664="男",$Q664-3.3,$Q664-3.24),0))))+0.4,IF($B664="高三",MIN(IF($E664="男",$Q664-3.2,$Q664-3.2),0),IF($B664="高二",MIN(IF($E664="男",$Q664-3.25,$Q664-3.22),0),IF($B664="高一",MIN(IF($E664="男",$Q664-3.3,$Q664-3.24),0))))),2)</f>
        <v>0</v>
      </c>
      <c r="T664" s="23">
        <f>IF(E664="男",LOOKUP($S664,[1]对照表!$AB$3:$AB$13,[1]对照表!$AC$3:$AC$13),LOOKUP($S664,[1]对照表!$AB$15:$AB$25,[1]对照表!$AC$15:$AC$25))</f>
        <v>0</v>
      </c>
      <c r="U664" s="26">
        <f>R664+T664</f>
        <v>80</v>
      </c>
      <c r="V664" s="26">
        <f>SUM(I664,K664,M664)/3*0.3+SUM(G664,R664)/2*0.4</f>
        <v>55.3</v>
      </c>
      <c r="W664" s="27">
        <f>O664+T664</f>
        <v>0</v>
      </c>
      <c r="X664" s="28">
        <f>V664/0.7+W664</f>
        <v>79</v>
      </c>
      <c r="Y664" s="28">
        <v>79</v>
      </c>
      <c r="Z664" s="21"/>
    </row>
    <row r="665" spans="1:26" x14ac:dyDescent="0.25">
      <c r="A665" s="16">
        <v>39</v>
      </c>
      <c r="B665" s="17" t="s">
        <v>21</v>
      </c>
      <c r="C665" s="16">
        <v>115</v>
      </c>
      <c r="D665" s="18" t="s">
        <v>592</v>
      </c>
      <c r="E665" s="17" t="s">
        <v>65</v>
      </c>
      <c r="F665" s="19">
        <v>8.8800000000000008</v>
      </c>
      <c r="G665" s="32">
        <f>IF(B665="高三",IF($E665="男",LOOKUP(F665,[1]对照表!$G$3:$G$24,[1]对照表!$H$3:$H$24),LOOKUP(F665,[1]对照表!$G$27:$G$48,[1]对照表!$H$27:$H$48)),IF(B665="高二",IF($E665="男",LOOKUP(F665,[1]对照表!$F$3:$F$24,[1]对照表!$H$3:$H$24),LOOKUP(F665,[1]对照表!$F$27:$F$48,[1]对照表!$H$27:$H$48)),IF(B665="高一",IF($E665="男",LOOKUP(F665,[1]对照表!$E$3:$E$24,[1]对照表!$H$3:$H$24),LOOKUP(F665,[1]对照表!$E$27:$E$48,[1]对照表!$H$27:$H$48)))))</f>
        <v>76</v>
      </c>
      <c r="H665" s="21">
        <v>22.5</v>
      </c>
      <c r="I665" s="32">
        <f>IF(B665="高三",IF($E665="男",LOOKUP(H665,[1]对照表!$K$3:$K$24,[1]对照表!$L$3:$L$24),LOOKUP(H665,[1]对照表!$K$27:$K$48,[1]对照表!$L$27:$L$48)),IF(B665="高二",IF($E665="男",LOOKUP(H665,[1]对照表!$J$3:$J$24,[1]对照表!$L$3:$L$24),LOOKUP(H665,[1]对照表!$J$27:$J$48,[1]对照表!$L$27:$L$48)),IF(B665="高一",IF($E665="男",LOOKUP(H665,[1]对照表!$I$3:$I$24,[1]对照表!$L$3:$L$24),LOOKUP(H665,[1]对照表!$I$27:$I$48,[1]对照表!$L$27:$L$48)))))</f>
        <v>95</v>
      </c>
      <c r="J665" s="21">
        <v>192</v>
      </c>
      <c r="K665" s="32">
        <f>IF(B665="高三",IF($E665="男",LOOKUP(J665,[1]对照表!$O$3:$O$24,[1]对照表!$P$3:$P$24),LOOKUP(J665,[1]对照表!$O$27:$O$48,[1]对照表!$P$27:$P$48)),IF(B665="高二",IF($E665="男",LOOKUP(J665,[1]对照表!$N$3:$N$24,[1]对照表!$P$3:$P$24),LOOKUP(J665,[1]对照表!$N$27:$N$48,[1]对照表!$P$27:$P$48)),IF(B665="高一",IF($E665="男",LOOKUP(J665,[1]对照表!$M$3:$M$24,[1]对照表!$P$3:$P$24),LOOKUP(J665,[1]对照表!$M$27:$M$48,[1]对照表!$P$27:$P$48)))))</f>
        <v>90</v>
      </c>
      <c r="L665" s="21">
        <v>50</v>
      </c>
      <c r="M665" s="32">
        <f>IF(B665="高三",IF($E665="男",LOOKUP(L665,[1]对照表!$S$3:$S$24,[1]对照表!$T$3:$T$24),LOOKUP(L665,[1]对照表!$S$27:$S$48,[1]对照表!$T$27:$T$48)),IF(B665="高二",IF($E665="男",LOOKUP(L665,[1]对照表!$R$3:$R$24,[1]对照表!$T$3:$T$24),LOOKUP(L665,[1]对照表!$R$27:$R$48,[1]对照表!$T$27:$T$48)),IF(B665="高一",IF($E665="男",LOOKUP(L665,[1]对照表!$Q$3:$Q$24,[1]对照表!$T$3:$T$24),LOOKUP(L665,[1]对照表!$Q$27:$Q$48,[1]对照表!$T$27:$T$48)))))</f>
        <v>90</v>
      </c>
      <c r="N665" s="33">
        <f>IF(B665="高三",MAX(IF(E665="男",L665-18,L665-55),0),IF(B665="高二",MAX(IF(E665="男",L665-17,L665-54),0),IF(B665="高一",MAX(IF(E665="男",L665-16,L665-53),0))))</f>
        <v>0</v>
      </c>
      <c r="O665" s="23">
        <f>IF(E665="男",LOOKUP($N665,[1]对照表!$Z$3:$Z$13,[1]对照表!$AA$3:$AA$13),LOOKUP($N665,[1]对照表!$Z$15:$Z$25,[1]对照表!$AA$15:$AA$25))</f>
        <v>0</v>
      </c>
      <c r="P665" s="24">
        <f>M665+O665</f>
        <v>90</v>
      </c>
      <c r="Q665" s="25">
        <v>3.49</v>
      </c>
      <c r="R665" s="32">
        <f>IF(B665="高三",IF($E665="男",LOOKUP(Q665,[1]对照表!$W$3:$W$24,[1]对照表!$X$3:$X$24),LOOKUP(Q665,[1]对照表!$W$27:$W$48,[1]对照表!$X$27:$X$48)),IF(B665="高二",IF($E665="男",LOOKUP(Q665,[1]对照表!$V$3:$V$24,[1]对照表!$X$3:$X$24),LOOKUP(Q665,[1]对照表!$V$27:$V$48,[1]对照表!$X$27:$X$48)),IF(B665="高一",IF($E665="男",LOOKUP(Q665,[1]对照表!$U$3:$U$24,[1]对照表!$X$3:$X$24),LOOKUP(Q665,[1]对照表!$U$27:$U$48,[1]对照表!$X$27:$X$48)))))</f>
        <v>80</v>
      </c>
      <c r="S665" s="33">
        <f>ROUND(IF(IF($B665="高三",MIN(IF($E665="男",$Q665-3.2,$Q665-3.2),0),IF($B665="高二",MIN(IF($E665="男",$Q665-3.25,$Q665-3.22),0),IF($B665="高一",MIN(IF($E665="男",$Q665-3.3,$Q665-3.24),0))))&lt;-0.6,IF($B665="高三",MIN(IF($E665="男",$Q665-3.2,$Q665-3.2),0),IF($B665="高二",MIN(IF($E665="男",$Q665-3.25,$Q665-3.22),0),IF($B665="高一",MIN(IF($E665="男",$Q665-3.3,$Q665-3.24),0))))+0.4,IF($B665="高三",MIN(IF($E665="男",$Q665-3.2,$Q665-3.2),0),IF($B665="高二",MIN(IF($E665="男",$Q665-3.25,$Q665-3.22),0),IF($B665="高一",MIN(IF($E665="男",$Q665-3.3,$Q665-3.24),0))))),2)</f>
        <v>0</v>
      </c>
      <c r="T665" s="23">
        <f>IF(E665="男",LOOKUP($S665,[1]对照表!$AB$3:$AB$13,[1]对照表!$AC$3:$AC$13),LOOKUP($S665,[1]对照表!$AB$15:$AB$25,[1]对照表!$AC$15:$AC$25))</f>
        <v>0</v>
      </c>
      <c r="U665" s="26">
        <f>R665+T665</f>
        <v>80</v>
      </c>
      <c r="V665" s="26">
        <f>SUM(I665,K665,M665)/3*0.3+SUM(G665,R665)/2*0.4</f>
        <v>58.7</v>
      </c>
      <c r="W665" s="27">
        <f>O665+T665</f>
        <v>0</v>
      </c>
      <c r="X665" s="28">
        <f>V665/0.7+W665</f>
        <v>83.857142857142861</v>
      </c>
      <c r="Y665" s="28">
        <v>83.857142857142861</v>
      </c>
      <c r="Z665" s="21"/>
    </row>
    <row r="666" spans="1:26" x14ac:dyDescent="0.25">
      <c r="A666" s="16">
        <v>32</v>
      </c>
      <c r="B666" s="17" t="s">
        <v>21</v>
      </c>
      <c r="C666" s="16">
        <v>115</v>
      </c>
      <c r="D666" s="18" t="s">
        <v>601</v>
      </c>
      <c r="E666" s="16" t="s">
        <v>65</v>
      </c>
      <c r="F666" s="19">
        <v>9.3000000000000007</v>
      </c>
      <c r="G666" s="32">
        <f>IF(B666="高三",IF($E666="男",LOOKUP(F666,[1]对照表!$G$3:$G$24,[1]对照表!$H$3:$H$24),LOOKUP(F666,[1]对照表!$G$27:$G$48,[1]对照表!$H$27:$H$48)),IF(B666="高二",IF($E666="男",LOOKUP(F666,[1]对照表!$F$3:$F$24,[1]对照表!$H$3:$H$24),LOOKUP(F666,[1]对照表!$F$27:$F$48,[1]对照表!$H$27:$H$48)),IF(B666="高一",IF($E666="男",LOOKUP(F666,[1]对照表!$E$3:$E$24,[1]对照表!$H$3:$H$24),LOOKUP(F666,[1]对照表!$E$27:$E$48,[1]对照表!$H$27:$H$48)))))</f>
        <v>72</v>
      </c>
      <c r="H666" s="21">
        <v>26.5</v>
      </c>
      <c r="I666" s="32">
        <f>IF(B666="高三",IF($E666="男",LOOKUP(H666,[1]对照表!$K$3:$K$24,[1]对照表!$L$3:$L$24),LOOKUP(H666,[1]对照表!$K$27:$K$48,[1]对照表!$L$27:$L$48)),IF(B666="高二",IF($E666="男",LOOKUP(H666,[1]对照表!$J$3:$J$24,[1]对照表!$L$3:$L$24),LOOKUP(H666,[1]对照表!$J$27:$J$48,[1]对照表!$L$27:$L$48)),IF(B666="高一",IF($E666="男",LOOKUP(H666,[1]对照表!$I$3:$I$24,[1]对照表!$L$3:$L$24),LOOKUP(H666,[1]对照表!$I$27:$I$48,[1]对照表!$L$27:$L$48)))))</f>
        <v>100</v>
      </c>
      <c r="J666" s="21">
        <v>160</v>
      </c>
      <c r="K666" s="32">
        <f>IF(B666="高三",IF($E666="男",LOOKUP(J666,[1]对照表!$O$3:$O$24,[1]对照表!$P$3:$P$24),LOOKUP(J666,[1]对照表!$O$27:$O$48,[1]对照表!$P$27:$P$48)),IF(B666="高二",IF($E666="男",LOOKUP(J666,[1]对照表!$N$3:$N$24,[1]对照表!$P$3:$P$24),LOOKUP(J666,[1]对照表!$N$27:$N$48,[1]对照表!$P$27:$P$48)),IF(B666="高一",IF($E666="男",LOOKUP(J666,[1]对照表!$M$3:$M$24,[1]对照表!$P$3:$P$24),LOOKUP(J666,[1]对照表!$M$27:$M$48,[1]对照表!$P$27:$P$48)))))</f>
        <v>68</v>
      </c>
      <c r="L666" s="21">
        <v>48</v>
      </c>
      <c r="M666" s="32">
        <f>IF(B666="高三",IF($E666="男",LOOKUP(L666,[1]对照表!$S$3:$S$24,[1]对照表!$T$3:$T$24),LOOKUP(L666,[1]对照表!$S$27:$S$48,[1]对照表!$T$27:$T$48)),IF(B666="高二",IF($E666="男",LOOKUP(L666,[1]对照表!$R$3:$R$24,[1]对照表!$T$3:$T$24),LOOKUP(L666,[1]对照表!$R$27:$R$48,[1]对照表!$T$27:$T$48)),IF(B666="高一",IF($E666="男",LOOKUP(L666,[1]对照表!$Q$3:$Q$24,[1]对照表!$T$3:$T$24),LOOKUP(L666,[1]对照表!$Q$27:$Q$48,[1]对照表!$T$27:$T$48)))))</f>
        <v>85</v>
      </c>
      <c r="N666" s="33">
        <f>IF(B666="高三",MAX(IF(E666="男",L666-18,L666-55),0),IF(B666="高二",MAX(IF(E666="男",L666-17,L666-54),0),IF(B666="高一",MAX(IF(E666="男",L666-16,L666-53),0))))</f>
        <v>0</v>
      </c>
      <c r="O666" s="23">
        <f>IF(E666="男",LOOKUP($N666,[1]对照表!$Z$3:$Z$13,[1]对照表!$AA$3:$AA$13),LOOKUP($N666,[1]对照表!$Z$15:$Z$25,[1]对照表!$AA$15:$AA$25))</f>
        <v>0</v>
      </c>
      <c r="P666" s="24">
        <f>M666+O666</f>
        <v>85</v>
      </c>
      <c r="Q666" s="25">
        <v>3.5</v>
      </c>
      <c r="R666" s="32">
        <f>IF(B666="高三",IF($E666="男",LOOKUP(Q666,[1]对照表!$W$3:$W$24,[1]对照表!$X$3:$X$24),LOOKUP(Q666,[1]对照表!$W$27:$W$48,[1]对照表!$X$27:$X$48)),IF(B666="高二",IF($E666="男",LOOKUP(Q666,[1]对照表!$V$3:$V$24,[1]对照表!$X$3:$X$24),LOOKUP(Q666,[1]对照表!$V$27:$V$48,[1]对照表!$X$27:$X$48)),IF(B666="高一",IF($E666="男",LOOKUP(Q666,[1]对照表!$U$3:$U$24,[1]对照表!$X$3:$X$24),LOOKUP(Q666,[1]对照表!$U$27:$U$48,[1]对照表!$X$27:$X$48)))))</f>
        <v>80</v>
      </c>
      <c r="S666" s="33">
        <f>ROUND(IF(IF($B666="高三",MIN(IF($E666="男",$Q666-3.2,$Q666-3.2),0),IF($B666="高二",MIN(IF($E666="男",$Q666-3.25,$Q666-3.22),0),IF($B666="高一",MIN(IF($E666="男",$Q666-3.3,$Q666-3.24),0))))&lt;-0.6,IF($B666="高三",MIN(IF($E666="男",$Q666-3.2,$Q666-3.2),0),IF($B666="高二",MIN(IF($E666="男",$Q666-3.25,$Q666-3.22),0),IF($B666="高一",MIN(IF($E666="男",$Q666-3.3,$Q666-3.24),0))))+0.4,IF($B666="高三",MIN(IF($E666="男",$Q666-3.2,$Q666-3.2),0),IF($B666="高二",MIN(IF($E666="男",$Q666-3.25,$Q666-3.22),0),IF($B666="高一",MIN(IF($E666="男",$Q666-3.3,$Q666-3.24),0))))),2)</f>
        <v>0</v>
      </c>
      <c r="T666" s="23">
        <f>IF(E666="男",LOOKUP($S666,[1]对照表!$AB$3:$AB$13,[1]对照表!$AC$3:$AC$13),LOOKUP($S666,[1]对照表!$AB$15:$AB$25,[1]对照表!$AC$15:$AC$25))</f>
        <v>0</v>
      </c>
      <c r="U666" s="26">
        <f>R666+T666</f>
        <v>80</v>
      </c>
      <c r="V666" s="26">
        <f>SUM(I666,K666,M666)/3*0.3+SUM(G666,R666)/2*0.4</f>
        <v>55.7</v>
      </c>
      <c r="W666" s="27">
        <f>O666+T666</f>
        <v>0</v>
      </c>
      <c r="X666" s="28">
        <f>V666/0.7+W666</f>
        <v>79.571428571428584</v>
      </c>
      <c r="Y666" s="28">
        <v>79.571428571428584</v>
      </c>
      <c r="Z666" s="21"/>
    </row>
    <row r="667" spans="1:26" x14ac:dyDescent="0.25">
      <c r="A667" s="16">
        <v>28</v>
      </c>
      <c r="B667" s="17" t="s">
        <v>21</v>
      </c>
      <c r="C667" s="16">
        <v>115</v>
      </c>
      <c r="D667" s="18" t="s">
        <v>605</v>
      </c>
      <c r="E667" s="16" t="s">
        <v>65</v>
      </c>
      <c r="F667" s="19">
        <v>9.4</v>
      </c>
      <c r="G667" s="32">
        <f>IF(B667="高三",IF($E667="男",LOOKUP(F667,[1]对照表!$G$3:$G$24,[1]对照表!$H$3:$H$24),LOOKUP(F667,[1]对照表!$G$27:$G$48,[1]对照表!$H$27:$H$48)),IF(B667="高二",IF($E667="男",LOOKUP(F667,[1]对照表!$F$3:$F$24,[1]对照表!$H$3:$H$24),LOOKUP(F667,[1]对照表!$F$27:$F$48,[1]对照表!$H$27:$H$48)),IF(B667="高一",IF($E667="男",LOOKUP(F667,[1]对照表!$E$3:$E$24,[1]对照表!$H$3:$H$24),LOOKUP(F667,[1]对照表!$E$27:$E$48,[1]对照表!$H$27:$H$48)))))</f>
        <v>72</v>
      </c>
      <c r="H667" s="21">
        <v>14.5</v>
      </c>
      <c r="I667" s="32">
        <f>IF(B667="高三",IF($E667="男",LOOKUP(H667,[1]对照表!$K$3:$K$24,[1]对照表!$L$3:$L$24),LOOKUP(H667,[1]对照表!$K$27:$K$48,[1]对照表!$L$27:$L$48)),IF(B667="高二",IF($E667="男",LOOKUP(H667,[1]对照表!$J$3:$J$24,[1]对照表!$L$3:$L$24),LOOKUP(H667,[1]对照表!$J$27:$J$48,[1]对照表!$L$27:$L$48)),IF(B667="高一",IF($E667="男",LOOKUP(H667,[1]对照表!$I$3:$I$24,[1]对照表!$L$3:$L$24),LOOKUP(H667,[1]对照表!$I$27:$I$48,[1]对照表!$L$27:$L$48)))))</f>
        <v>74</v>
      </c>
      <c r="J667" s="21">
        <v>165</v>
      </c>
      <c r="K667" s="32">
        <f>IF(B667="高三",IF($E667="男",LOOKUP(J667,[1]对照表!$O$3:$O$24,[1]对照表!$P$3:$P$24),LOOKUP(J667,[1]对照表!$O$27:$O$48,[1]对照表!$P$27:$P$48)),IF(B667="高二",IF($E667="男",LOOKUP(J667,[1]对照表!$N$3:$N$24,[1]对照表!$P$3:$P$24),LOOKUP(J667,[1]对照表!$N$27:$N$48,[1]对照表!$P$27:$P$48)),IF(B667="高一",IF($E667="男",LOOKUP(J667,[1]对照表!$M$3:$M$24,[1]对照表!$P$3:$P$24),LOOKUP(J667,[1]对照表!$M$27:$M$48,[1]对照表!$P$27:$P$48)))))</f>
        <v>70</v>
      </c>
      <c r="L667" s="21">
        <v>50</v>
      </c>
      <c r="M667" s="32">
        <f>IF(B667="高三",IF($E667="男",LOOKUP(L667,[1]对照表!$S$3:$S$24,[1]对照表!$T$3:$T$24),LOOKUP(L667,[1]对照表!$S$27:$S$48,[1]对照表!$T$27:$T$48)),IF(B667="高二",IF($E667="男",LOOKUP(L667,[1]对照表!$R$3:$R$24,[1]对照表!$T$3:$T$24),LOOKUP(L667,[1]对照表!$R$27:$R$48,[1]对照表!$T$27:$T$48)),IF(B667="高一",IF($E667="男",LOOKUP(L667,[1]对照表!$Q$3:$Q$24,[1]对照表!$T$3:$T$24),LOOKUP(L667,[1]对照表!$Q$27:$Q$48,[1]对照表!$T$27:$T$48)))))</f>
        <v>90</v>
      </c>
      <c r="N667" s="33">
        <f>IF(B667="高三",MAX(IF(E667="男",L667-18,L667-55),0),IF(B667="高二",MAX(IF(E667="男",L667-17,L667-54),0),IF(B667="高一",MAX(IF(E667="男",L667-16,L667-53),0))))</f>
        <v>0</v>
      </c>
      <c r="O667" s="23">
        <f>IF(E667="男",LOOKUP($N667,[1]对照表!$Z$3:$Z$13,[1]对照表!$AA$3:$AA$13),LOOKUP($N667,[1]对照表!$Z$15:$Z$25,[1]对照表!$AA$15:$AA$25))</f>
        <v>0</v>
      </c>
      <c r="P667" s="24">
        <f>M667+O667</f>
        <v>90</v>
      </c>
      <c r="Q667" s="25">
        <v>3.51</v>
      </c>
      <c r="R667" s="32">
        <f>IF(B667="高三",IF($E667="男",LOOKUP(Q667,[1]对照表!$W$3:$W$24,[1]对照表!$X$3:$X$24),LOOKUP(Q667,[1]对照表!$W$27:$W$48,[1]对照表!$X$27:$X$48)),IF(B667="高二",IF($E667="男",LOOKUP(Q667,[1]对照表!$V$3:$V$24,[1]对照表!$X$3:$X$24),LOOKUP(Q667,[1]对照表!$V$27:$V$48,[1]对照表!$X$27:$X$48)),IF(B667="高一",IF($E667="男",LOOKUP(Q667,[1]对照表!$U$3:$U$24,[1]对照表!$X$3:$X$24),LOOKUP(Q667,[1]对照表!$U$27:$U$48,[1]对照表!$X$27:$X$48)))))</f>
        <v>78</v>
      </c>
      <c r="S667" s="33">
        <f>ROUND(IF(IF($B667="高三",MIN(IF($E667="男",$Q667-3.2,$Q667-3.2),0),IF($B667="高二",MIN(IF($E667="男",$Q667-3.25,$Q667-3.22),0),IF($B667="高一",MIN(IF($E667="男",$Q667-3.3,$Q667-3.24),0))))&lt;-0.6,IF($B667="高三",MIN(IF($E667="男",$Q667-3.2,$Q667-3.2),0),IF($B667="高二",MIN(IF($E667="男",$Q667-3.25,$Q667-3.22),0),IF($B667="高一",MIN(IF($E667="男",$Q667-3.3,$Q667-3.24),0))))+0.4,IF($B667="高三",MIN(IF($E667="男",$Q667-3.2,$Q667-3.2),0),IF($B667="高二",MIN(IF($E667="男",$Q667-3.25,$Q667-3.22),0),IF($B667="高一",MIN(IF($E667="男",$Q667-3.3,$Q667-3.24),0))))),2)</f>
        <v>0</v>
      </c>
      <c r="T667" s="23">
        <f>IF(E667="男",LOOKUP($S667,[1]对照表!$AB$3:$AB$13,[1]对照表!$AC$3:$AC$13),LOOKUP($S667,[1]对照表!$AB$15:$AB$25,[1]对照表!$AC$15:$AC$25))</f>
        <v>0</v>
      </c>
      <c r="U667" s="26">
        <f>R667+T667</f>
        <v>78</v>
      </c>
      <c r="V667" s="26">
        <f>SUM(I667,K667,M667)/3*0.3+SUM(G667,R667)/2*0.4</f>
        <v>53.4</v>
      </c>
      <c r="W667" s="27">
        <f>O667+T667</f>
        <v>0</v>
      </c>
      <c r="X667" s="28">
        <f>V667/0.7+W667</f>
        <v>76.285714285714292</v>
      </c>
      <c r="Y667" s="28">
        <v>76.285714285714292</v>
      </c>
      <c r="Z667" s="21"/>
    </row>
    <row r="668" spans="1:26" x14ac:dyDescent="0.25">
      <c r="A668" s="16">
        <v>38</v>
      </c>
      <c r="B668" s="17" t="s">
        <v>21</v>
      </c>
      <c r="C668" s="16">
        <v>115</v>
      </c>
      <c r="D668" s="18" t="s">
        <v>612</v>
      </c>
      <c r="E668" s="17" t="s">
        <v>65</v>
      </c>
      <c r="F668" s="19">
        <v>9.91</v>
      </c>
      <c r="G668" s="32">
        <f>IF(B668="高三",IF($E668="男",LOOKUP(F668,[1]对照表!$G$3:$G$24,[1]对照表!$H$3:$H$24),LOOKUP(F668,[1]对照表!$G$27:$G$48,[1]对照表!$H$27:$H$48)),IF(B668="高二",IF($E668="男",LOOKUP(F668,[1]对照表!$F$3:$F$24,[1]对照表!$H$3:$H$24),LOOKUP(F668,[1]对照表!$F$27:$F$48,[1]对照表!$H$27:$H$48)),IF(B668="高一",IF($E668="男",LOOKUP(F668,[1]对照表!$E$3:$E$24,[1]对照表!$H$3:$H$24),LOOKUP(F668,[1]对照表!$E$27:$E$48,[1]对照表!$H$27:$H$48)))))</f>
        <v>66</v>
      </c>
      <c r="H668" s="21">
        <v>2.5</v>
      </c>
      <c r="I668" s="32">
        <f>IF(B668="高三",IF($E668="男",LOOKUP(H668,[1]对照表!$K$3:$K$24,[1]对照表!$L$3:$L$24),LOOKUP(H668,[1]对照表!$K$27:$K$48,[1]对照表!$L$27:$L$48)),IF(B668="高二",IF($E668="男",LOOKUP(H668,[1]对照表!$J$3:$J$24,[1]对照表!$L$3:$L$24),LOOKUP(H668,[1]对照表!$J$27:$J$48,[1]对照表!$L$27:$L$48)),IF(B668="高一",IF($E668="男",LOOKUP(H668,[1]对照表!$I$3:$I$24,[1]对照表!$L$3:$L$24),LOOKUP(H668,[1]对照表!$I$27:$I$48,[1]对照表!$L$27:$L$48)))))</f>
        <v>30</v>
      </c>
      <c r="J668" s="21">
        <v>162</v>
      </c>
      <c r="K668" s="32">
        <f>IF(B668="高三",IF($E668="男",LOOKUP(J668,[1]对照表!$O$3:$O$24,[1]对照表!$P$3:$P$24),LOOKUP(J668,[1]对照表!$O$27:$O$48,[1]对照表!$P$27:$P$48)),IF(B668="高二",IF($E668="男",LOOKUP(J668,[1]对照表!$N$3:$N$24,[1]对照表!$P$3:$P$24),LOOKUP(J668,[1]对照表!$N$27:$N$48,[1]对照表!$P$27:$P$48)),IF(B668="高一",IF($E668="男",LOOKUP(J668,[1]对照表!$M$3:$M$24,[1]对照表!$P$3:$P$24),LOOKUP(J668,[1]对照表!$M$27:$M$48,[1]对照表!$P$27:$P$48)))))</f>
        <v>68</v>
      </c>
      <c r="L668" s="21">
        <v>47</v>
      </c>
      <c r="M668" s="32">
        <f>IF(B668="高三",IF($E668="男",LOOKUP(L668,[1]对照表!$S$3:$S$24,[1]对照表!$T$3:$T$24),LOOKUP(L668,[1]对照表!$S$27:$S$48,[1]对照表!$T$27:$T$48)),IF(B668="高二",IF($E668="男",LOOKUP(L668,[1]对照表!$R$3:$R$24,[1]对照表!$T$3:$T$24),LOOKUP(L668,[1]对照表!$R$27:$R$48,[1]对照表!$T$27:$T$48)),IF(B668="高一",IF($E668="男",LOOKUP(L668,[1]对照表!$Q$3:$Q$24,[1]对照表!$T$3:$T$24),LOOKUP(L668,[1]对照表!$Q$27:$Q$48,[1]对照表!$T$27:$T$48)))))</f>
        <v>85</v>
      </c>
      <c r="N668" s="33">
        <f>IF(B668="高三",MAX(IF(E668="男",L668-18,L668-55),0),IF(B668="高二",MAX(IF(E668="男",L668-17,L668-54),0),IF(B668="高一",MAX(IF(E668="男",L668-16,L668-53),0))))</f>
        <v>0</v>
      </c>
      <c r="O668" s="23">
        <f>IF(E668="男",LOOKUP($N668,[1]对照表!$Z$3:$Z$13,[1]对照表!$AA$3:$AA$13),LOOKUP($N668,[1]对照表!$Z$15:$Z$25,[1]对照表!$AA$15:$AA$25))</f>
        <v>0</v>
      </c>
      <c r="P668" s="24">
        <f>M668+O668</f>
        <v>85</v>
      </c>
      <c r="Q668" s="25">
        <v>3.52</v>
      </c>
      <c r="R668" s="32">
        <f>IF(B668="高三",IF($E668="男",LOOKUP(Q668,[1]对照表!$W$3:$W$24,[1]对照表!$X$3:$X$24),LOOKUP(Q668,[1]对照表!$W$27:$W$48,[1]对照表!$X$27:$X$48)),IF(B668="高二",IF($E668="男",LOOKUP(Q668,[1]对照表!$V$3:$V$24,[1]对照表!$X$3:$X$24),LOOKUP(Q668,[1]对照表!$V$27:$V$48,[1]对照表!$X$27:$X$48)),IF(B668="高一",IF($E668="男",LOOKUP(Q668,[1]对照表!$U$3:$U$24,[1]对照表!$X$3:$X$24),LOOKUP(Q668,[1]对照表!$U$27:$U$48,[1]对照表!$X$27:$X$48)))))</f>
        <v>78</v>
      </c>
      <c r="S668" s="33">
        <f>ROUND(IF(IF($B668="高三",MIN(IF($E668="男",$Q668-3.2,$Q668-3.2),0),IF($B668="高二",MIN(IF($E668="男",$Q668-3.25,$Q668-3.22),0),IF($B668="高一",MIN(IF($E668="男",$Q668-3.3,$Q668-3.24),0))))&lt;-0.6,IF($B668="高三",MIN(IF($E668="男",$Q668-3.2,$Q668-3.2),0),IF($B668="高二",MIN(IF($E668="男",$Q668-3.25,$Q668-3.22),0),IF($B668="高一",MIN(IF($E668="男",$Q668-3.3,$Q668-3.24),0))))+0.4,IF($B668="高三",MIN(IF($E668="男",$Q668-3.2,$Q668-3.2),0),IF($B668="高二",MIN(IF($E668="男",$Q668-3.25,$Q668-3.22),0),IF($B668="高一",MIN(IF($E668="男",$Q668-3.3,$Q668-3.24),0))))),2)</f>
        <v>0</v>
      </c>
      <c r="T668" s="23">
        <f>IF(E668="男",LOOKUP($S668,[1]对照表!$AB$3:$AB$13,[1]对照表!$AC$3:$AC$13),LOOKUP($S668,[1]对照表!$AB$15:$AB$25,[1]对照表!$AC$15:$AC$25))</f>
        <v>0</v>
      </c>
      <c r="U668" s="26">
        <f>R668+T668</f>
        <v>78</v>
      </c>
      <c r="V668" s="26">
        <f>SUM(I668,K668,M668)/3*0.3+SUM(G668,R668)/2*0.4</f>
        <v>47.1</v>
      </c>
      <c r="W668" s="27">
        <f>O668+T668</f>
        <v>0</v>
      </c>
      <c r="X668" s="28">
        <f>V668/0.7+W668</f>
        <v>67.285714285714292</v>
      </c>
      <c r="Y668" s="28">
        <v>67.285714285714292</v>
      </c>
      <c r="Z668" s="21"/>
    </row>
    <row r="669" spans="1:26" x14ac:dyDescent="0.25">
      <c r="A669" s="16">
        <v>9</v>
      </c>
      <c r="B669" s="17" t="s">
        <v>21</v>
      </c>
      <c r="C669" s="16">
        <v>115</v>
      </c>
      <c r="D669" s="18" t="s">
        <v>623</v>
      </c>
      <c r="E669" s="16" t="s">
        <v>23</v>
      </c>
      <c r="F669" s="19">
        <v>9.1</v>
      </c>
      <c r="G669" s="32">
        <f>IF(B669="高三",IF($E669="男",LOOKUP(F669,[1]对照表!$G$3:$G$24,[1]对照表!$H$3:$H$24),LOOKUP(F669,[1]对照表!$G$27:$G$48,[1]对照表!$H$27:$H$48)),IF(B669="高二",IF($E669="男",LOOKUP(F669,[1]对照表!$F$3:$F$24,[1]对照表!$H$3:$H$24),LOOKUP(F669,[1]对照表!$F$27:$F$48,[1]对照表!$H$27:$H$48)),IF(B669="高一",IF($E669="男",LOOKUP(F669,[1]对照表!$E$3:$E$24,[1]对照表!$H$3:$H$24),LOOKUP(F669,[1]对照表!$E$27:$E$48,[1]对照表!$H$27:$H$48)))))</f>
        <v>64</v>
      </c>
      <c r="H669" s="21">
        <v>9</v>
      </c>
      <c r="I669" s="32">
        <f>IF(B669="高三",IF($E669="男",LOOKUP(H669,[1]对照表!$K$3:$K$24,[1]对照表!$L$3:$L$24),LOOKUP(H669,[1]对照表!$K$27:$K$48,[1]对照表!$L$27:$L$48)),IF(B669="高二",IF($E669="男",LOOKUP(H669,[1]对照表!$J$3:$J$24,[1]对照表!$L$3:$L$24),LOOKUP(H669,[1]对照表!$J$27:$J$48,[1]对照表!$L$27:$L$48)),IF(B669="高一",IF($E669="男",LOOKUP(H669,[1]对照表!$I$3:$I$24,[1]对照表!$L$3:$L$24),LOOKUP(H669,[1]对照表!$I$27:$I$48,[1]对照表!$L$27:$L$48)))))</f>
        <v>70</v>
      </c>
      <c r="J669" s="21">
        <v>172</v>
      </c>
      <c r="K669" s="32">
        <f>IF(B669="高三",IF($E669="男",LOOKUP(J669,[1]对照表!$O$3:$O$24,[1]对照表!$P$3:$P$24),LOOKUP(J669,[1]对照表!$O$27:$O$48,[1]对照表!$P$27:$P$48)),IF(B669="高二",IF($E669="男",LOOKUP(J669,[1]对照表!$N$3:$N$24,[1]对照表!$P$3:$P$24),LOOKUP(J669,[1]对照表!$N$27:$N$48,[1]对照表!$P$27:$P$48)),IF(B669="高一",IF($E669="男",LOOKUP(J669,[1]对照表!$M$3:$M$24,[1]对照表!$P$3:$P$24),LOOKUP(J669,[1]对照表!$M$27:$M$48,[1]对照表!$P$27:$P$48)))))</f>
        <v>10</v>
      </c>
      <c r="L669" s="21">
        <v>0</v>
      </c>
      <c r="M669" s="32">
        <f>IF(B669="高三",IF($E669="男",LOOKUP(L669,[1]对照表!$S$3:$S$24,[1]对照表!$T$3:$T$24),LOOKUP(L669,[1]对照表!$S$27:$S$48,[1]对照表!$T$27:$T$48)),IF(B669="高二",IF($E669="男",LOOKUP(L669,[1]对照表!$R$3:$R$24,[1]对照表!$T$3:$T$24),LOOKUP(L669,[1]对照表!$R$27:$R$48,[1]对照表!$T$27:$T$48)),IF(B669="高一",IF($E669="男",LOOKUP(L669,[1]对照表!$Q$3:$Q$24,[1]对照表!$T$3:$T$24),LOOKUP(L669,[1]对照表!$Q$27:$Q$48,[1]对照表!$T$27:$T$48)))))</f>
        <v>0</v>
      </c>
      <c r="N669" s="33">
        <f>IF(B669="高三",MAX(IF(E669="男",L669-18,L669-55),0),IF(B669="高二",MAX(IF(E669="男",L669-17,L669-54),0),IF(B669="高一",MAX(IF(E669="男",L669-16,L669-53),0))))</f>
        <v>0</v>
      </c>
      <c r="O669" s="23">
        <f>IF(E669="男",LOOKUP($N669,[1]对照表!$Z$3:$Z$13,[1]对照表!$AA$3:$AA$13),LOOKUP($N669,[1]对照表!$Z$15:$Z$25,[1]对照表!$AA$15:$AA$25))</f>
        <v>0</v>
      </c>
      <c r="P669" s="24">
        <f>M669+O669</f>
        <v>0</v>
      </c>
      <c r="Q669" s="25">
        <v>4.37</v>
      </c>
      <c r="R669" s="32">
        <f>IF(B669="高三",IF($E669="男",LOOKUP(Q669,[1]对照表!$W$3:$W$24,[1]对照表!$X$3:$X$24),LOOKUP(Q669,[1]对照表!$W$27:$W$48,[1]对照表!$X$27:$X$48)),IF(B669="高二",IF($E669="男",LOOKUP(Q669,[1]对照表!$V$3:$V$24,[1]对照表!$X$3:$X$24),LOOKUP(Q669,[1]对照表!$V$27:$V$48,[1]对照表!$X$27:$X$48)),IF(B669="高一",IF($E669="男",LOOKUP(Q669,[1]对照表!$U$3:$U$24,[1]对照表!$X$3:$X$24),LOOKUP(Q669,[1]对照表!$U$27:$U$48,[1]对照表!$X$27:$X$48)))))</f>
        <v>62</v>
      </c>
      <c r="S669" s="33">
        <f>ROUND(IF(IF($B669="高三",MIN(IF($E669="男",$Q669-3.2,$Q669-3.2),0),IF($B669="高二",MIN(IF($E669="男",$Q669-3.25,$Q669-3.22),0),IF($B669="高一",MIN(IF($E669="男",$Q669-3.3,$Q669-3.24),0))))&lt;-0.6,IF($B669="高三",MIN(IF($E669="男",$Q669-3.2,$Q669-3.2),0),IF($B669="高二",MIN(IF($E669="男",$Q669-3.25,$Q669-3.22),0),IF($B669="高一",MIN(IF($E669="男",$Q669-3.3,$Q669-3.24),0))))+0.4,IF($B669="高三",MIN(IF($E669="男",$Q669-3.2,$Q669-3.2),0),IF($B669="高二",MIN(IF($E669="男",$Q669-3.25,$Q669-3.22),0),IF($B669="高一",MIN(IF($E669="男",$Q669-3.3,$Q669-3.24),0))))),2)</f>
        <v>0</v>
      </c>
      <c r="T669" s="23">
        <f>IF(E669="男",LOOKUP($S669,[1]对照表!$AB$3:$AB$13,[1]对照表!$AC$3:$AC$13),LOOKUP($S669,[1]对照表!$AB$15:$AB$25,[1]对照表!$AC$15:$AC$25))</f>
        <v>0</v>
      </c>
      <c r="U669" s="26">
        <f>R669+T669</f>
        <v>62</v>
      </c>
      <c r="V669" s="26">
        <f>SUM(I669,K669,M669)/3*0.3+SUM(G669,R669)/2*0.4</f>
        <v>33.200000000000003</v>
      </c>
      <c r="W669" s="27">
        <f>O669+T669</f>
        <v>0</v>
      </c>
      <c r="X669" s="28">
        <f>V669/0.7+W669</f>
        <v>47.428571428571438</v>
      </c>
      <c r="Y669" s="29">
        <v>50</v>
      </c>
      <c r="Z669" s="21"/>
    </row>
    <row r="670" spans="1:26" x14ac:dyDescent="0.25">
      <c r="A670" s="16">
        <v>40</v>
      </c>
      <c r="B670" s="17" t="s">
        <v>21</v>
      </c>
      <c r="C670" s="16">
        <v>115</v>
      </c>
      <c r="D670" s="18" t="s">
        <v>663</v>
      </c>
      <c r="E670" s="17" t="s">
        <v>65</v>
      </c>
      <c r="F670" s="19">
        <v>9.06</v>
      </c>
      <c r="G670" s="32">
        <f>IF(B670="高三",IF($E670="男",LOOKUP(F670,[1]对照表!$G$3:$G$24,[1]对照表!$H$3:$H$24),LOOKUP(F670,[1]对照表!$G$27:$G$48,[1]对照表!$H$27:$H$48)),IF(B670="高二",IF($E670="男",LOOKUP(F670,[1]对照表!$F$3:$F$24,[1]对照表!$H$3:$H$24),LOOKUP(F670,[1]对照表!$F$27:$F$48,[1]对照表!$H$27:$H$48)),IF(B670="高一",IF($E670="男",LOOKUP(F670,[1]对照表!$E$3:$E$24,[1]对照表!$H$3:$H$24),LOOKUP(F670,[1]对照表!$E$27:$E$48,[1]对照表!$H$27:$H$48)))))</f>
        <v>74</v>
      </c>
      <c r="H670" s="21">
        <v>6</v>
      </c>
      <c r="I670" s="32">
        <f>IF(B670="高三",IF($E670="男",LOOKUP(H670,[1]对照表!$K$3:$K$24,[1]对照表!$L$3:$L$24),LOOKUP(H670,[1]对照表!$K$27:$K$48,[1]对照表!$L$27:$L$48)),IF(B670="高二",IF($E670="男",LOOKUP(H670,[1]对照表!$J$3:$J$24,[1]对照表!$L$3:$L$24),LOOKUP(H670,[1]对照表!$J$27:$J$48,[1]对照表!$L$27:$L$48)),IF(B670="高一",IF($E670="男",LOOKUP(H670,[1]对照表!$I$3:$I$24,[1]对照表!$L$3:$L$24),LOOKUP(H670,[1]对照表!$I$27:$I$48,[1]对照表!$L$27:$L$48)))))</f>
        <v>62</v>
      </c>
      <c r="J670" s="21">
        <v>184</v>
      </c>
      <c r="K670" s="32">
        <f>IF(B670="高三",IF($E670="男",LOOKUP(J670,[1]对照表!$O$3:$O$24,[1]对照表!$P$3:$P$24),LOOKUP(J670,[1]对照表!$O$27:$O$48,[1]对照表!$P$27:$P$48)),IF(B670="高二",IF($E670="男",LOOKUP(J670,[1]对照表!$N$3:$N$24,[1]对照表!$P$3:$P$24),LOOKUP(J670,[1]对照表!$N$27:$N$48,[1]对照表!$P$27:$P$48)),IF(B670="高一",IF($E670="男",LOOKUP(J670,[1]对照表!$M$3:$M$24,[1]对照表!$P$3:$P$24),LOOKUP(J670,[1]对照表!$M$27:$M$48,[1]对照表!$P$27:$P$48)))))</f>
        <v>80</v>
      </c>
      <c r="L670" s="21">
        <v>43</v>
      </c>
      <c r="M670" s="32">
        <f>IF(B670="高三",IF($E670="男",LOOKUP(L670,[1]对照表!$S$3:$S$24,[1]对照表!$T$3:$T$24),LOOKUP(L670,[1]对照表!$S$27:$S$48,[1]对照表!$T$27:$T$48)),IF(B670="高二",IF($E670="男",LOOKUP(L670,[1]对照表!$R$3:$R$24,[1]对照表!$T$3:$T$24),LOOKUP(L670,[1]对照表!$R$27:$R$48,[1]对照表!$T$27:$T$48)),IF(B670="高一",IF($E670="男",LOOKUP(L670,[1]对照表!$Q$3:$Q$24,[1]对照表!$T$3:$T$24),LOOKUP(L670,[1]对照表!$Q$27:$Q$48,[1]对照表!$T$27:$T$48)))))</f>
        <v>80</v>
      </c>
      <c r="N670" s="33">
        <f>IF(B670="高三",MAX(IF(E670="男",L670-18,L670-55),0),IF(B670="高二",MAX(IF(E670="男",L670-17,L670-54),0),IF(B670="高一",MAX(IF(E670="男",L670-16,L670-53),0))))</f>
        <v>0</v>
      </c>
      <c r="O670" s="23">
        <f>IF(E670="男",LOOKUP($N670,[1]对照表!$Z$3:$Z$13,[1]对照表!$AA$3:$AA$13),LOOKUP($N670,[1]对照表!$Z$15:$Z$25,[1]对照表!$AA$15:$AA$25))</f>
        <v>0</v>
      </c>
      <c r="P670" s="24">
        <f>M670+O670</f>
        <v>80</v>
      </c>
      <c r="Q670" s="25">
        <v>3.59</v>
      </c>
      <c r="R670" s="32">
        <f>IF(B670="高三",IF($E670="男",LOOKUP(Q670,[1]对照表!$W$3:$W$24,[1]对照表!$X$3:$X$24),LOOKUP(Q670,[1]对照表!$W$27:$W$48,[1]对照表!$X$27:$X$48)),IF(B670="高二",IF($E670="男",LOOKUP(Q670,[1]对照表!$V$3:$V$24,[1]对照表!$X$3:$X$24),LOOKUP(Q670,[1]对照表!$V$27:$V$48,[1]对照表!$X$27:$X$48)),IF(B670="高一",IF($E670="男",LOOKUP(Q670,[1]对照表!$U$3:$U$24,[1]对照表!$X$3:$X$24),LOOKUP(Q670,[1]对照表!$U$27:$U$48,[1]对照表!$X$27:$X$48)))))</f>
        <v>76</v>
      </c>
      <c r="S670" s="33">
        <f>ROUND(IF(IF($B670="高三",MIN(IF($E670="男",$Q670-3.2,$Q670-3.2),0),IF($B670="高二",MIN(IF($E670="男",$Q670-3.25,$Q670-3.22),0),IF($B670="高一",MIN(IF($E670="男",$Q670-3.3,$Q670-3.24),0))))&lt;-0.6,IF($B670="高三",MIN(IF($E670="男",$Q670-3.2,$Q670-3.2),0),IF($B670="高二",MIN(IF($E670="男",$Q670-3.25,$Q670-3.22),0),IF($B670="高一",MIN(IF($E670="男",$Q670-3.3,$Q670-3.24),0))))+0.4,IF($B670="高三",MIN(IF($E670="男",$Q670-3.2,$Q670-3.2),0),IF($B670="高二",MIN(IF($E670="男",$Q670-3.25,$Q670-3.22),0),IF($B670="高一",MIN(IF($E670="男",$Q670-3.3,$Q670-3.24),0))))),2)</f>
        <v>0</v>
      </c>
      <c r="T670" s="23">
        <f>IF(E670="男",LOOKUP($S670,[1]对照表!$AB$3:$AB$13,[1]对照表!$AC$3:$AC$13),LOOKUP($S670,[1]对照表!$AB$15:$AB$25,[1]对照表!$AC$15:$AC$25))</f>
        <v>0</v>
      </c>
      <c r="U670" s="26">
        <f>R670+T670</f>
        <v>76</v>
      </c>
      <c r="V670" s="26">
        <f>SUM(I670,K670,M670)/3*0.3+SUM(G670,R670)/2*0.4</f>
        <v>52.2</v>
      </c>
      <c r="W670" s="27">
        <f>O670+T670</f>
        <v>0</v>
      </c>
      <c r="X670" s="28">
        <f>V670/0.7+W670</f>
        <v>74.571428571428584</v>
      </c>
      <c r="Y670" s="28">
        <v>74.571428571428584</v>
      </c>
      <c r="Z670" s="21"/>
    </row>
    <row r="671" spans="1:26" x14ac:dyDescent="0.25">
      <c r="A671" s="16">
        <v>25</v>
      </c>
      <c r="B671" s="17" t="s">
        <v>21</v>
      </c>
      <c r="C671" s="16">
        <v>115</v>
      </c>
      <c r="D671" s="18" t="s">
        <v>665</v>
      </c>
      <c r="E671" s="16" t="s">
        <v>65</v>
      </c>
      <c r="F671" s="19">
        <v>9.69</v>
      </c>
      <c r="G671" s="32">
        <f>IF(B671="高三",IF($E671="男",LOOKUP(F671,[1]对照表!$G$3:$G$24,[1]对照表!$H$3:$H$24),LOOKUP(F671,[1]对照表!$G$27:$G$48,[1]对照表!$H$27:$H$48)),IF(B671="高二",IF($E671="男",LOOKUP(F671,[1]对照表!$F$3:$F$24,[1]对照表!$H$3:$H$24),LOOKUP(F671,[1]对照表!$F$27:$F$48,[1]对照表!$H$27:$H$48)),IF(B671="高一",IF($E671="男",LOOKUP(F671,[1]对照表!$E$3:$E$24,[1]对照表!$H$3:$H$24),LOOKUP(F671,[1]对照表!$E$27:$E$48,[1]对照表!$H$27:$H$48)))))</f>
        <v>68</v>
      </c>
      <c r="H671" s="21">
        <v>24.2</v>
      </c>
      <c r="I671" s="32">
        <f>IF(B671="高三",IF($E671="男",LOOKUP(H671,[1]对照表!$K$3:$K$24,[1]对照表!$L$3:$L$24),LOOKUP(H671,[1]对照表!$K$27:$K$48,[1]对照表!$L$27:$L$48)),IF(B671="高二",IF($E671="男",LOOKUP(H671,[1]对照表!$J$3:$J$24,[1]对照表!$L$3:$L$24),LOOKUP(H671,[1]对照表!$J$27:$J$48,[1]对照表!$L$27:$L$48)),IF(B671="高一",IF($E671="男",LOOKUP(H671,[1]对照表!$I$3:$I$24,[1]对照表!$L$3:$L$24),LOOKUP(H671,[1]对照表!$I$27:$I$48,[1]对照表!$L$27:$L$48)))))</f>
        <v>100</v>
      </c>
      <c r="J671" s="21">
        <v>193</v>
      </c>
      <c r="K671" s="32">
        <f>IF(B671="高三",IF($E671="男",LOOKUP(J671,[1]对照表!$O$3:$O$24,[1]对照表!$P$3:$P$24),LOOKUP(J671,[1]对照表!$O$27:$O$48,[1]对照表!$P$27:$P$48)),IF(B671="高二",IF($E671="男",LOOKUP(J671,[1]对照表!$N$3:$N$24,[1]对照表!$P$3:$P$24),LOOKUP(J671,[1]对照表!$N$27:$N$48,[1]对照表!$P$27:$P$48)),IF(B671="高一",IF($E671="男",LOOKUP(J671,[1]对照表!$M$3:$M$24,[1]对照表!$P$3:$P$24),LOOKUP(J671,[1]对照表!$M$27:$M$48,[1]对照表!$P$27:$P$48)))))</f>
        <v>90</v>
      </c>
      <c r="L671" s="21">
        <v>30</v>
      </c>
      <c r="M671" s="32">
        <f>IF(B671="高三",IF($E671="男",LOOKUP(L671,[1]对照表!$S$3:$S$24,[1]对照表!$T$3:$T$24),LOOKUP(L671,[1]对照表!$S$27:$S$48,[1]对照表!$T$27:$T$48)),IF(B671="高二",IF($E671="男",LOOKUP(L671,[1]对照表!$R$3:$R$24,[1]对照表!$T$3:$T$24),LOOKUP(L671,[1]对照表!$R$27:$R$48,[1]对照表!$T$27:$T$48)),IF(B671="高一",IF($E671="男",LOOKUP(L671,[1]对照表!$Q$3:$Q$24,[1]对照表!$T$3:$T$24),LOOKUP(L671,[1]对照表!$Q$27:$Q$48,[1]对照表!$T$27:$T$48)))))</f>
        <v>66</v>
      </c>
      <c r="N671" s="33">
        <f>IF(B671="高三",MAX(IF(E671="男",L671-18,L671-55),0),IF(B671="高二",MAX(IF(E671="男",L671-17,L671-54),0),IF(B671="高一",MAX(IF(E671="男",L671-16,L671-53),0))))</f>
        <v>0</v>
      </c>
      <c r="O671" s="23">
        <f>IF(E671="男",LOOKUP($N671,[1]对照表!$Z$3:$Z$13,[1]对照表!$AA$3:$AA$13),LOOKUP($N671,[1]对照表!$Z$15:$Z$25,[1]对照表!$AA$15:$AA$25))</f>
        <v>0</v>
      </c>
      <c r="P671" s="24">
        <f>M671+O671</f>
        <v>66</v>
      </c>
      <c r="Q671" s="25">
        <v>3.59</v>
      </c>
      <c r="R671" s="32">
        <f>IF(B671="高三",IF($E671="男",LOOKUP(Q671,[1]对照表!$W$3:$W$24,[1]对照表!$X$3:$X$24),LOOKUP(Q671,[1]对照表!$W$27:$W$48,[1]对照表!$X$27:$X$48)),IF(B671="高二",IF($E671="男",LOOKUP(Q671,[1]对照表!$V$3:$V$24,[1]对照表!$X$3:$X$24),LOOKUP(Q671,[1]对照表!$V$27:$V$48,[1]对照表!$X$27:$X$48)),IF(B671="高一",IF($E671="男",LOOKUP(Q671,[1]对照表!$U$3:$U$24,[1]对照表!$X$3:$X$24),LOOKUP(Q671,[1]对照表!$U$27:$U$48,[1]对照表!$X$27:$X$48)))))</f>
        <v>76</v>
      </c>
      <c r="S671" s="33">
        <f>ROUND(IF(IF($B671="高三",MIN(IF($E671="男",$Q671-3.2,$Q671-3.2),0),IF($B671="高二",MIN(IF($E671="男",$Q671-3.25,$Q671-3.22),0),IF($B671="高一",MIN(IF($E671="男",$Q671-3.3,$Q671-3.24),0))))&lt;-0.6,IF($B671="高三",MIN(IF($E671="男",$Q671-3.2,$Q671-3.2),0),IF($B671="高二",MIN(IF($E671="男",$Q671-3.25,$Q671-3.22),0),IF($B671="高一",MIN(IF($E671="男",$Q671-3.3,$Q671-3.24),0))))+0.4,IF($B671="高三",MIN(IF($E671="男",$Q671-3.2,$Q671-3.2),0),IF($B671="高二",MIN(IF($E671="男",$Q671-3.25,$Q671-3.22),0),IF($B671="高一",MIN(IF($E671="男",$Q671-3.3,$Q671-3.24),0))))),2)</f>
        <v>0</v>
      </c>
      <c r="T671" s="23">
        <f>IF(E671="男",LOOKUP($S671,[1]对照表!$AB$3:$AB$13,[1]对照表!$AC$3:$AC$13),LOOKUP($S671,[1]对照表!$AB$15:$AB$25,[1]对照表!$AC$15:$AC$25))</f>
        <v>0</v>
      </c>
      <c r="U671" s="26">
        <f>R671+T671</f>
        <v>76</v>
      </c>
      <c r="V671" s="26">
        <f>SUM(I671,K671,M671)/3*0.3+SUM(G671,R671)/2*0.4</f>
        <v>54.4</v>
      </c>
      <c r="W671" s="27">
        <f>O671+T671</f>
        <v>0</v>
      </c>
      <c r="X671" s="28">
        <f>V671/0.7+W671</f>
        <v>77.714285714285722</v>
      </c>
      <c r="Y671" s="28">
        <v>77.714285714285722</v>
      </c>
      <c r="Z671" s="21"/>
    </row>
    <row r="672" spans="1:26" x14ac:dyDescent="0.25">
      <c r="A672" s="16">
        <v>22</v>
      </c>
      <c r="B672" s="17" t="s">
        <v>21</v>
      </c>
      <c r="C672" s="16">
        <v>115</v>
      </c>
      <c r="D672" s="18" t="s">
        <v>709</v>
      </c>
      <c r="E672" s="34" t="s">
        <v>65</v>
      </c>
      <c r="F672" s="19">
        <v>9.6300000000000008</v>
      </c>
      <c r="G672" s="32">
        <f>IF(B672="高三",IF($E672="男",LOOKUP(F672,[1]对照表!$G$3:$G$24,[1]对照表!$H$3:$H$24),LOOKUP(F672,[1]对照表!$G$27:$G$48,[1]对照表!$H$27:$H$48)),IF(B672="高二",IF($E672="男",LOOKUP(F672,[1]对照表!$F$3:$F$24,[1]对照表!$H$3:$H$24),LOOKUP(F672,[1]对照表!$F$27:$F$48,[1]对照表!$H$27:$H$48)),IF(B672="高一",IF($E672="男",LOOKUP(F672,[1]对照表!$E$3:$E$24,[1]对照表!$H$3:$H$24),LOOKUP(F672,[1]对照表!$E$27:$E$48,[1]对照表!$H$27:$H$48)))))</f>
        <v>68</v>
      </c>
      <c r="H672" s="21">
        <v>18</v>
      </c>
      <c r="I672" s="32">
        <f>IF(B672="高三",IF($E672="男",LOOKUP(H672,[1]对照表!$K$3:$K$24,[1]对照表!$L$3:$L$24),LOOKUP(H672,[1]对照表!$K$27:$K$48,[1]对照表!$L$27:$L$48)),IF(B672="高二",IF($E672="男",LOOKUP(H672,[1]对照表!$J$3:$J$24,[1]对照表!$L$3:$L$24),LOOKUP(H672,[1]对照表!$J$27:$J$48,[1]对照表!$L$27:$L$48)),IF(B672="高一",IF($E672="男",LOOKUP(H672,[1]对照表!$I$3:$I$24,[1]对照表!$L$3:$L$24),LOOKUP(H672,[1]对照表!$I$27:$I$48,[1]对照表!$L$27:$L$48)))))</f>
        <v>80</v>
      </c>
      <c r="J672" s="21">
        <v>168</v>
      </c>
      <c r="K672" s="32">
        <f>IF(B672="高三",IF($E672="男",LOOKUP(J672,[1]对照表!$O$3:$O$24,[1]对照表!$P$3:$P$24),LOOKUP(J672,[1]对照表!$O$27:$O$48,[1]对照表!$P$27:$P$48)),IF(B672="高二",IF($E672="男",LOOKUP(J672,[1]对照表!$N$3:$N$24,[1]对照表!$P$3:$P$24),LOOKUP(J672,[1]对照表!$N$27:$N$48,[1]对照表!$P$27:$P$48)),IF(B672="高一",IF($E672="男",LOOKUP(J672,[1]对照表!$M$3:$M$24,[1]对照表!$P$3:$P$24),LOOKUP(J672,[1]对照表!$M$27:$M$48,[1]对照表!$P$27:$P$48)))))</f>
        <v>72</v>
      </c>
      <c r="L672" s="21">
        <v>42</v>
      </c>
      <c r="M672" s="32">
        <f>IF(B672="高三",IF($E672="男",LOOKUP(L672,[1]对照表!$S$3:$S$24,[1]对照表!$T$3:$T$24),LOOKUP(L672,[1]对照表!$S$27:$S$48,[1]对照表!$T$27:$T$48)),IF(B672="高二",IF($E672="男",LOOKUP(L672,[1]对照表!$R$3:$R$24,[1]对照表!$T$3:$T$24),LOOKUP(L672,[1]对照表!$R$27:$R$48,[1]对照表!$T$27:$T$48)),IF(B672="高一",IF($E672="男",LOOKUP(L672,[1]对照表!$Q$3:$Q$24,[1]对照表!$T$3:$T$24),LOOKUP(L672,[1]对照表!$Q$27:$Q$48,[1]对照表!$T$27:$T$48)))))</f>
        <v>78</v>
      </c>
      <c r="N672" s="33">
        <f>IF(B672="高三",MAX(IF(E672="男",L672-18,L672-55),0),IF(B672="高二",MAX(IF(E672="男",L672-17,L672-54),0),IF(B672="高一",MAX(IF(E672="男",L672-16,L672-53),0))))</f>
        <v>0</v>
      </c>
      <c r="O672" s="23">
        <f>IF(E672="男",LOOKUP($N672,[1]对照表!$Z$3:$Z$13,[1]对照表!$AA$3:$AA$13),LOOKUP($N672,[1]对照表!$Z$15:$Z$25,[1]对照表!$AA$15:$AA$25))</f>
        <v>0</v>
      </c>
      <c r="P672" s="24">
        <f>M672+O672</f>
        <v>78</v>
      </c>
      <c r="Q672" s="25">
        <v>4.1399999999999997</v>
      </c>
      <c r="R672" s="32">
        <f>IF(B672="高三",IF($E672="男",LOOKUP(Q672,[1]对照表!$W$3:$W$24,[1]对照表!$X$3:$X$24),LOOKUP(Q672,[1]对照表!$W$27:$W$48,[1]对照表!$X$27:$X$48)),IF(B672="高二",IF($E672="男",LOOKUP(Q672,[1]对照表!$V$3:$V$24,[1]对照表!$X$3:$X$24),LOOKUP(Q672,[1]对照表!$V$27:$V$48,[1]对照表!$X$27:$X$48)),IF(B672="高一",IF($E672="男",LOOKUP(Q672,[1]对照表!$U$3:$U$24,[1]对照表!$X$3:$X$24),LOOKUP(Q672,[1]对照表!$U$27:$U$48,[1]对照表!$X$27:$X$48)))))</f>
        <v>70</v>
      </c>
      <c r="S672" s="33">
        <f>ROUND(IF(IF($B672="高三",MIN(IF($E672="男",$Q672-3.2,$Q672-3.2),0),IF($B672="高二",MIN(IF($E672="男",$Q672-3.25,$Q672-3.22),0),IF($B672="高一",MIN(IF($E672="男",$Q672-3.3,$Q672-3.24),0))))&lt;-0.6,IF($B672="高三",MIN(IF($E672="男",$Q672-3.2,$Q672-3.2),0),IF($B672="高二",MIN(IF($E672="男",$Q672-3.25,$Q672-3.22),0),IF($B672="高一",MIN(IF($E672="男",$Q672-3.3,$Q672-3.24),0))))+0.4,IF($B672="高三",MIN(IF($E672="男",$Q672-3.2,$Q672-3.2),0),IF($B672="高二",MIN(IF($E672="男",$Q672-3.25,$Q672-3.22),0),IF($B672="高一",MIN(IF($E672="男",$Q672-3.3,$Q672-3.24),0))))),2)</f>
        <v>0</v>
      </c>
      <c r="T672" s="23">
        <f>IF(E672="男",LOOKUP($S672,[1]对照表!$AB$3:$AB$13,[1]对照表!$AC$3:$AC$13),LOOKUP($S672,[1]对照表!$AB$15:$AB$25,[1]对照表!$AC$15:$AC$25))</f>
        <v>0</v>
      </c>
      <c r="U672" s="26">
        <f>R672+T672</f>
        <v>70</v>
      </c>
      <c r="V672" s="26">
        <f>SUM(I672,K672,M672)/3*0.3+SUM(G672,R672)/2*0.4</f>
        <v>50.6</v>
      </c>
      <c r="W672" s="27">
        <f>O672+T672</f>
        <v>0</v>
      </c>
      <c r="X672" s="28">
        <f>V672/0.7+W672</f>
        <v>72.285714285714292</v>
      </c>
      <c r="Y672" s="28">
        <v>72.285714285714292</v>
      </c>
      <c r="Z672" s="21"/>
    </row>
    <row r="673" spans="1:26" x14ac:dyDescent="0.25">
      <c r="A673" s="16">
        <v>20</v>
      </c>
      <c r="B673" s="17" t="s">
        <v>21</v>
      </c>
      <c r="C673" s="16">
        <v>115</v>
      </c>
      <c r="D673" s="18" t="s">
        <v>729</v>
      </c>
      <c r="E673" s="16" t="s">
        <v>65</v>
      </c>
      <c r="F673" s="19">
        <v>9.1999999999999993</v>
      </c>
      <c r="G673" s="32">
        <f>IF(B673="高三",IF($E673="男",LOOKUP(F673,[1]对照表!$G$3:$G$24,[1]对照表!$H$3:$H$24),LOOKUP(F673,[1]对照表!$G$27:$G$48,[1]对照表!$H$27:$H$48)),IF(B673="高二",IF($E673="男",LOOKUP(F673,[1]对照表!$F$3:$F$24,[1]对照表!$H$3:$H$24),LOOKUP(F673,[1]对照表!$F$27:$F$48,[1]对照表!$H$27:$H$48)),IF(B673="高一",IF($E673="男",LOOKUP(F673,[1]对照表!$E$3:$E$24,[1]对照表!$H$3:$H$24),LOOKUP(F673,[1]对照表!$E$27:$E$48,[1]对照表!$H$27:$H$48)))))</f>
        <v>74</v>
      </c>
      <c r="H673" s="41">
        <v>22.8</v>
      </c>
      <c r="I673" s="32">
        <f>IF(B673="高三",IF($E673="男",LOOKUP(H673,[1]对照表!$K$3:$K$24,[1]对照表!$L$3:$L$24),LOOKUP(H673,[1]对照表!$K$27:$K$48,[1]对照表!$L$27:$L$48)),IF(B673="高二",IF($E673="男",LOOKUP(H673,[1]对照表!$J$3:$J$24,[1]对照表!$L$3:$L$24),LOOKUP(H673,[1]对照表!$J$27:$J$48,[1]对照表!$L$27:$L$48)),IF(B673="高一",IF($E673="男",LOOKUP(H673,[1]对照表!$I$3:$I$24,[1]对照表!$L$3:$L$24),LOOKUP(H673,[1]对照表!$I$27:$I$48,[1]对照表!$L$27:$L$48)))))</f>
        <v>95</v>
      </c>
      <c r="J673" s="21">
        <v>182</v>
      </c>
      <c r="K673" s="32">
        <f>IF(B673="高三",IF($E673="男",LOOKUP(J673,[1]对照表!$O$3:$O$24,[1]对照表!$P$3:$P$24),LOOKUP(J673,[1]对照表!$O$27:$O$48,[1]对照表!$P$27:$P$48)),IF(B673="高二",IF($E673="男",LOOKUP(J673,[1]对照表!$N$3:$N$24,[1]对照表!$P$3:$P$24),LOOKUP(J673,[1]对照表!$N$27:$N$48,[1]对照表!$P$27:$P$48)),IF(B673="高一",IF($E673="男",LOOKUP(J673,[1]对照表!$M$3:$M$24,[1]对照表!$P$3:$P$24),LOOKUP(J673,[1]对照表!$M$27:$M$48,[1]对照表!$P$27:$P$48)))))</f>
        <v>80</v>
      </c>
      <c r="L673" s="21">
        <v>47</v>
      </c>
      <c r="M673" s="32">
        <f>IF(B673="高三",IF($E673="男",LOOKUP(L673,[1]对照表!$S$3:$S$24,[1]对照表!$T$3:$T$24),LOOKUP(L673,[1]对照表!$S$27:$S$48,[1]对照表!$T$27:$T$48)),IF(B673="高二",IF($E673="男",LOOKUP(L673,[1]对照表!$R$3:$R$24,[1]对照表!$T$3:$T$24),LOOKUP(L673,[1]对照表!$R$27:$R$48,[1]对照表!$T$27:$T$48)),IF(B673="高一",IF($E673="男",LOOKUP(L673,[1]对照表!$Q$3:$Q$24,[1]对照表!$T$3:$T$24),LOOKUP(L673,[1]对照表!$Q$27:$Q$48,[1]对照表!$T$27:$T$48)))))</f>
        <v>85</v>
      </c>
      <c r="N673" s="33">
        <f>IF(B673="高三",MAX(IF(E673="男",L673-18,L673-55),0),IF(B673="高二",MAX(IF(E673="男",L673-17,L673-54),0),IF(B673="高一",MAX(IF(E673="男",L673-16,L673-53),0))))</f>
        <v>0</v>
      </c>
      <c r="O673" s="23">
        <f>IF(E673="男",LOOKUP($N673,[1]对照表!$Z$3:$Z$13,[1]对照表!$AA$3:$AA$13),LOOKUP($N673,[1]对照表!$Z$15:$Z$25,[1]对照表!$AA$15:$AA$25))</f>
        <v>0</v>
      </c>
      <c r="P673" s="24">
        <f>M673+O673</f>
        <v>85</v>
      </c>
      <c r="Q673" s="25">
        <v>4.22</v>
      </c>
      <c r="R673" s="32">
        <f>IF(B673="高三",IF($E673="男",LOOKUP(Q673,[1]对照表!$W$3:$W$24,[1]对照表!$X$3:$X$24),LOOKUP(Q673,[1]对照表!$W$27:$W$48,[1]对照表!$X$27:$X$48)),IF(B673="高二",IF($E673="男",LOOKUP(Q673,[1]对照表!$V$3:$V$24,[1]对照表!$X$3:$X$24),LOOKUP(Q673,[1]对照表!$V$27:$V$48,[1]对照表!$X$27:$X$48)),IF(B673="高一",IF($E673="男",LOOKUP(Q673,[1]对照表!$U$3:$U$24,[1]对照表!$X$3:$X$24),LOOKUP(Q673,[1]对照表!$U$27:$U$48,[1]对照表!$X$27:$X$48)))))</f>
        <v>66</v>
      </c>
      <c r="S673" s="33">
        <f>ROUND(IF(IF($B673="高三",MIN(IF($E673="男",$Q673-3.2,$Q673-3.2),0),IF($B673="高二",MIN(IF($E673="男",$Q673-3.25,$Q673-3.22),0),IF($B673="高一",MIN(IF($E673="男",$Q673-3.3,$Q673-3.24),0))))&lt;-0.6,IF($B673="高三",MIN(IF($E673="男",$Q673-3.2,$Q673-3.2),0),IF($B673="高二",MIN(IF($E673="男",$Q673-3.25,$Q673-3.22),0),IF($B673="高一",MIN(IF($E673="男",$Q673-3.3,$Q673-3.24),0))))+0.4,IF($B673="高三",MIN(IF($E673="男",$Q673-3.2,$Q673-3.2),0),IF($B673="高二",MIN(IF($E673="男",$Q673-3.25,$Q673-3.22),0),IF($B673="高一",MIN(IF($E673="男",$Q673-3.3,$Q673-3.24),0))))),2)</f>
        <v>0</v>
      </c>
      <c r="T673" s="23">
        <f>IF(E673="男",LOOKUP($S673,[1]对照表!$AB$3:$AB$13,[1]对照表!$AC$3:$AC$13),LOOKUP($S673,[1]对照表!$AB$15:$AB$25,[1]对照表!$AC$15:$AC$25))</f>
        <v>0</v>
      </c>
      <c r="U673" s="26">
        <f>R673+T673</f>
        <v>66</v>
      </c>
      <c r="V673" s="26">
        <f>SUM(I673,K673,M673)/3*0.3+SUM(G673,R673)/2*0.4</f>
        <v>54</v>
      </c>
      <c r="W673" s="27">
        <f>O673+T673</f>
        <v>0</v>
      </c>
      <c r="X673" s="28">
        <f>V673/0.7+W673</f>
        <v>77.142857142857153</v>
      </c>
      <c r="Y673" s="28">
        <v>77.142857142857153</v>
      </c>
      <c r="Z673" s="21"/>
    </row>
    <row r="674" spans="1:26" x14ac:dyDescent="0.25">
      <c r="A674" s="16">
        <v>12</v>
      </c>
      <c r="B674" s="17" t="s">
        <v>21</v>
      </c>
      <c r="C674" s="16">
        <v>115</v>
      </c>
      <c r="D674" s="18" t="s">
        <v>738</v>
      </c>
      <c r="E674" s="16" t="s">
        <v>65</v>
      </c>
      <c r="F674" s="19">
        <v>11.1</v>
      </c>
      <c r="G674" s="32">
        <f>IF(B674="高三",IF($E674="男",LOOKUP(F674,[1]对照表!$G$3:$G$24,[1]对照表!$H$3:$H$24),LOOKUP(F674,[1]对照表!$G$27:$G$48,[1]对照表!$H$27:$H$48)),IF(B674="高二",IF($E674="男",LOOKUP(F674,[1]对照表!$F$3:$F$24,[1]对照表!$H$3:$H$24),LOOKUP(F674,[1]对照表!$F$27:$F$48,[1]对照表!$H$27:$H$48)),IF(B674="高一",IF($E674="男",LOOKUP(F674,[1]对照表!$E$3:$E$24,[1]对照表!$H$3:$H$24),LOOKUP(F674,[1]对照表!$E$27:$E$48,[1]对照表!$H$27:$H$48)))))</f>
        <v>30</v>
      </c>
      <c r="H674" s="21">
        <v>14</v>
      </c>
      <c r="I674" s="32">
        <f>IF(B674="高三",IF($E674="男",LOOKUP(H674,[1]对照表!$K$3:$K$24,[1]对照表!$L$3:$L$24),LOOKUP(H674,[1]对照表!$K$27:$K$48,[1]对照表!$L$27:$L$48)),IF(B674="高二",IF($E674="男",LOOKUP(H674,[1]对照表!$J$3:$J$24,[1]对照表!$L$3:$L$24),LOOKUP(H674,[1]对照表!$J$27:$J$48,[1]对照表!$L$27:$L$48)),IF(B674="高一",IF($E674="男",LOOKUP(H674,[1]对照表!$I$3:$I$24,[1]对照表!$L$3:$L$24),LOOKUP(H674,[1]对照表!$I$27:$I$48,[1]对照表!$L$27:$L$48)))))</f>
        <v>74</v>
      </c>
      <c r="J674" s="21">
        <v>130</v>
      </c>
      <c r="K674" s="32">
        <f>IF(B674="高三",IF($E674="男",LOOKUP(J674,[1]对照表!$O$3:$O$24,[1]对照表!$P$3:$P$24),LOOKUP(J674,[1]对照表!$O$27:$O$48,[1]对照表!$P$27:$P$48)),IF(B674="高二",IF($E674="男",LOOKUP(J674,[1]对照表!$N$3:$N$24,[1]对照表!$P$3:$P$24),LOOKUP(J674,[1]对照表!$N$27:$N$48,[1]对照表!$P$27:$P$48)),IF(B674="高一",IF($E674="男",LOOKUP(J674,[1]对照表!$M$3:$M$24,[1]对照表!$P$3:$P$24),LOOKUP(J674,[1]对照表!$M$27:$M$48,[1]对照表!$P$27:$P$48)))))</f>
        <v>20</v>
      </c>
      <c r="L674" s="21">
        <v>37</v>
      </c>
      <c r="M674" s="32">
        <f>IF(B674="高三",IF($E674="男",LOOKUP(L674,[1]对照表!$S$3:$S$24,[1]对照表!$T$3:$T$24),LOOKUP(L674,[1]对照表!$S$27:$S$48,[1]对照表!$T$27:$T$48)),IF(B674="高二",IF($E674="男",LOOKUP(L674,[1]对照表!$R$3:$R$24,[1]对照表!$T$3:$T$24),LOOKUP(L674,[1]对照表!$R$27:$R$48,[1]对照表!$T$27:$T$48)),IF(B674="高一",IF($E674="男",LOOKUP(L674,[1]对照表!$Q$3:$Q$24,[1]对照表!$T$3:$T$24),LOOKUP(L674,[1]对照表!$Q$27:$Q$48,[1]对照表!$T$27:$T$48)))))</f>
        <v>74</v>
      </c>
      <c r="N674" s="33">
        <f>IF(B674="高三",MAX(IF(E674="男",L674-18,L674-55),0),IF(B674="高二",MAX(IF(E674="男",L674-17,L674-54),0),IF(B674="高一",MAX(IF(E674="男",L674-16,L674-53),0))))</f>
        <v>0</v>
      </c>
      <c r="O674" s="23">
        <f>IF(E674="男",LOOKUP($N674,[1]对照表!$Z$3:$Z$13,[1]对照表!$AA$3:$AA$13),LOOKUP($N674,[1]对照表!$Z$15:$Z$25,[1]对照表!$AA$15:$AA$25))</f>
        <v>0</v>
      </c>
      <c r="P674" s="24">
        <f>M674+O674</f>
        <v>74</v>
      </c>
      <c r="Q674" s="25">
        <v>4.5199999999999996</v>
      </c>
      <c r="R674" s="32">
        <f>IF(B674="高三",IF($E674="男",LOOKUP(Q674,[1]对照表!$W$3:$W$24,[1]对照表!$X$3:$X$24),LOOKUP(Q674,[1]对照表!$W$27:$W$48,[1]对照表!$X$27:$X$48)),IF(B674="高二",IF($E674="男",LOOKUP(Q674,[1]对照表!$V$3:$V$24,[1]对照表!$X$3:$X$24),LOOKUP(Q674,[1]对照表!$V$27:$V$48,[1]对照表!$X$27:$X$48)),IF(B674="高一",IF($E674="男",LOOKUP(Q674,[1]对照表!$U$3:$U$24,[1]对照表!$X$3:$X$24),LOOKUP(Q674,[1]对照表!$U$27:$U$48,[1]对照表!$X$27:$X$48)))))</f>
        <v>40</v>
      </c>
      <c r="S674" s="33">
        <f>ROUND(IF(IF($B674="高三",MIN(IF($E674="男",$Q674-3.2,$Q674-3.2),0),IF($B674="高二",MIN(IF($E674="男",$Q674-3.25,$Q674-3.22),0),IF($B674="高一",MIN(IF($E674="男",$Q674-3.3,$Q674-3.24),0))))&lt;-0.6,IF($B674="高三",MIN(IF($E674="男",$Q674-3.2,$Q674-3.2),0),IF($B674="高二",MIN(IF($E674="男",$Q674-3.25,$Q674-3.22),0),IF($B674="高一",MIN(IF($E674="男",$Q674-3.3,$Q674-3.24),0))))+0.4,IF($B674="高三",MIN(IF($E674="男",$Q674-3.2,$Q674-3.2),0),IF($B674="高二",MIN(IF($E674="男",$Q674-3.25,$Q674-3.22),0),IF($B674="高一",MIN(IF($E674="男",$Q674-3.3,$Q674-3.24),0))))),2)</f>
        <v>0</v>
      </c>
      <c r="T674" s="23">
        <f>IF(E674="男",LOOKUP($S674,[1]对照表!$AB$3:$AB$13,[1]对照表!$AC$3:$AC$13),LOOKUP($S674,[1]对照表!$AB$15:$AB$25,[1]对照表!$AC$15:$AC$25))</f>
        <v>0</v>
      </c>
      <c r="U674" s="26">
        <f>R674+T674</f>
        <v>40</v>
      </c>
      <c r="V674" s="26">
        <f>SUM(I674,K674,M674)/3*0.3+SUM(G674,R674)/2*0.4</f>
        <v>30.8</v>
      </c>
      <c r="W674" s="27">
        <f>O674+T674</f>
        <v>0</v>
      </c>
      <c r="X674" s="28">
        <f>V674/0.7+W674</f>
        <v>44.000000000000007</v>
      </c>
      <c r="Y674" s="29">
        <v>50</v>
      </c>
      <c r="Z674" s="21"/>
    </row>
    <row r="675" spans="1:26" x14ac:dyDescent="0.25">
      <c r="A675" s="16">
        <v>14</v>
      </c>
      <c r="B675" s="17" t="s">
        <v>21</v>
      </c>
      <c r="C675" s="16">
        <v>115</v>
      </c>
      <c r="D675" s="18" t="s">
        <v>746</v>
      </c>
      <c r="E675" s="16" t="s">
        <v>65</v>
      </c>
      <c r="F675" s="19">
        <v>8.3800000000000008</v>
      </c>
      <c r="G675" s="32">
        <f>IF(B675="高三",IF($E675="男",LOOKUP(F675,[1]对照表!$G$3:$G$24,[1]对照表!$H$3:$H$24),LOOKUP(F675,[1]对照表!$G$27:$G$48,[1]对照表!$H$27:$H$48)),IF(B675="高二",IF($E675="男",LOOKUP(F675,[1]对照表!$F$3:$F$24,[1]对照表!$H$3:$H$24),LOOKUP(F675,[1]对照表!$F$27:$F$48,[1]对照表!$H$27:$H$48)),IF(B675="高一",IF($E675="男",LOOKUP(F675,[1]对照表!$E$3:$E$24,[1]对照表!$H$3:$H$24),LOOKUP(F675,[1]对照表!$E$27:$E$48,[1]对照表!$H$27:$H$48)))))</f>
        <v>80</v>
      </c>
      <c r="H675" s="21">
        <v>12.5</v>
      </c>
      <c r="I675" s="32">
        <f>IF(B675="高三",IF($E675="男",LOOKUP(H675,[1]对照表!$K$3:$K$24,[1]对照表!$L$3:$L$24),LOOKUP(H675,[1]对照表!$K$27:$K$48,[1]对照表!$L$27:$L$48)),IF(B675="高二",IF($E675="男",LOOKUP(H675,[1]对照表!$J$3:$J$24,[1]对照表!$L$3:$L$24),LOOKUP(H675,[1]对照表!$J$27:$J$48,[1]对照表!$L$27:$L$48)),IF(B675="高一",IF($E675="男",LOOKUP(H675,[1]对照表!$I$3:$I$24,[1]对照表!$L$3:$L$24),LOOKUP(H675,[1]对照表!$I$27:$I$48,[1]对照表!$L$27:$L$48)))))</f>
        <v>72</v>
      </c>
      <c r="J675" s="21">
        <v>197</v>
      </c>
      <c r="K675" s="32">
        <f>IF(B675="高三",IF($E675="男",LOOKUP(J675,[1]对照表!$O$3:$O$24,[1]对照表!$P$3:$P$24),LOOKUP(J675,[1]对照表!$O$27:$O$48,[1]对照表!$P$27:$P$48)),IF(B675="高二",IF($E675="男",LOOKUP(J675,[1]对照表!$N$3:$N$24,[1]对照表!$P$3:$P$24),LOOKUP(J675,[1]对照表!$N$27:$N$48,[1]对照表!$P$27:$P$48)),IF(B675="高一",IF($E675="男",LOOKUP(J675,[1]对照表!$M$3:$M$24,[1]对照表!$P$3:$P$24),LOOKUP(J675,[1]对照表!$M$27:$M$48,[1]对照表!$P$27:$P$48)))))</f>
        <v>90</v>
      </c>
      <c r="L675" s="21">
        <v>53</v>
      </c>
      <c r="M675" s="32">
        <f>IF(B675="高三",IF($E675="男",LOOKUP(L675,[1]对照表!$S$3:$S$24,[1]对照表!$T$3:$T$24),LOOKUP(L675,[1]对照表!$S$27:$S$48,[1]对照表!$T$27:$T$48)),IF(B675="高二",IF($E675="男",LOOKUP(L675,[1]对照表!$R$3:$R$24,[1]对照表!$T$3:$T$24),LOOKUP(L675,[1]对照表!$R$27:$R$48,[1]对照表!$T$27:$T$48)),IF(B675="高一",IF($E675="男",LOOKUP(L675,[1]对照表!$Q$3:$Q$24,[1]对照表!$T$3:$T$24),LOOKUP(L675,[1]对照表!$Q$27:$Q$48,[1]对照表!$T$27:$T$48)))))</f>
        <v>100</v>
      </c>
      <c r="N675" s="33">
        <f>IF(B675="高三",MAX(IF(E675="男",L675-18,L675-55),0),IF(B675="高二",MAX(IF(E675="男",L675-17,L675-54),0),IF(B675="高一",MAX(IF(E675="男",L675-16,L675-53),0))))</f>
        <v>0</v>
      </c>
      <c r="O675" s="23">
        <f>IF(E675="男",LOOKUP($N675,[1]对照表!$Z$3:$Z$13,[1]对照表!$AA$3:$AA$13),LOOKUP($N675,[1]对照表!$Z$15:$Z$25,[1]对照表!$AA$15:$AA$25))</f>
        <v>0</v>
      </c>
      <c r="P675" s="24">
        <f>M675+O675</f>
        <v>100</v>
      </c>
      <c r="Q675" s="25" t="s">
        <v>578</v>
      </c>
      <c r="R675" s="20">
        <v>0</v>
      </c>
      <c r="S675" s="22">
        <v>0</v>
      </c>
      <c r="T675" s="23">
        <f>IF(E675="男",LOOKUP($S675,[1]对照表!$AB$3:$AB$13,[1]对照表!$AC$3:$AC$13),LOOKUP($S675,[1]对照表!$AB$15:$AB$25,[1]对照表!$AC$15:$AC$25))</f>
        <v>0</v>
      </c>
      <c r="U675" s="26">
        <f>R675+T675</f>
        <v>0</v>
      </c>
      <c r="V675" s="26">
        <f>SUM(I675,K675,M675)/3*0.3+SUM(G675,R675)/2*0.4</f>
        <v>42.2</v>
      </c>
      <c r="W675" s="27">
        <f>O675+T675</f>
        <v>0</v>
      </c>
      <c r="X675" s="28">
        <f>V675/0.7+W675</f>
        <v>60.285714285714292</v>
      </c>
      <c r="Y675" s="28">
        <v>60.285714285714292</v>
      </c>
      <c r="Z675" s="21"/>
    </row>
    <row r="676" spans="1:26" x14ac:dyDescent="0.25">
      <c r="A676" s="16">
        <v>44</v>
      </c>
      <c r="B676" s="17" t="s">
        <v>21</v>
      </c>
      <c r="C676" s="16">
        <v>116</v>
      </c>
      <c r="D676" s="18" t="s">
        <v>64</v>
      </c>
      <c r="E676" s="16" t="s">
        <v>65</v>
      </c>
      <c r="F676" s="19">
        <v>7.89</v>
      </c>
      <c r="G676" s="32">
        <f>IF(B676="高三",IF($E676="男",LOOKUP(F676,[1]对照表!$G$3:$G$24,[1]对照表!$H$3:$H$24),LOOKUP(F676,[1]对照表!$G$27:$G$48,[1]对照表!$H$27:$H$48)),IF(B676="高二",IF($E676="男",LOOKUP(F676,[1]对照表!$F$3:$F$24,[1]对照表!$H$3:$H$24),LOOKUP(F676,[1]对照表!$F$27:$F$48,[1]对照表!$H$27:$H$48)),IF(B676="高一",IF($E676="男",LOOKUP(F676,[1]对照表!$E$3:$E$24,[1]对照表!$H$3:$H$24),LOOKUP(F676,[1]对照表!$E$27:$E$48,[1]对照表!$H$27:$H$48)))))</f>
        <v>95</v>
      </c>
      <c r="H676" s="21">
        <v>25</v>
      </c>
      <c r="I676" s="32">
        <f>IF(B676="高三",IF($E676="男",LOOKUP(H676,[1]对照表!$K$3:$K$24,[1]对照表!$L$3:$L$24),LOOKUP(H676,[1]对照表!$K$27:$K$48,[1]对照表!$L$27:$L$48)),IF(B676="高二",IF($E676="男",LOOKUP(H676,[1]对照表!$J$3:$J$24,[1]对照表!$L$3:$L$24),LOOKUP(H676,[1]对照表!$J$27:$J$48,[1]对照表!$L$27:$L$48)),IF(B676="高一",IF($E676="男",LOOKUP(H676,[1]对照表!$I$3:$I$24,[1]对照表!$L$3:$L$24),LOOKUP(H676,[1]对照表!$I$27:$I$48,[1]对照表!$L$27:$L$48)))))</f>
        <v>100</v>
      </c>
      <c r="J676" s="21">
        <v>192</v>
      </c>
      <c r="K676" s="32">
        <f>IF(B676="高三",IF($E676="男",LOOKUP(J676,[1]对照表!$O$3:$O$24,[1]对照表!$P$3:$P$24),LOOKUP(J676,[1]对照表!$O$27:$O$48,[1]对照表!$P$27:$P$48)),IF(B676="高二",IF($E676="男",LOOKUP(J676,[1]对照表!$N$3:$N$24,[1]对照表!$P$3:$P$24),LOOKUP(J676,[1]对照表!$N$27:$N$48,[1]对照表!$P$27:$P$48)),IF(B676="高一",IF($E676="男",LOOKUP(J676,[1]对照表!$M$3:$M$24,[1]对照表!$P$3:$P$24),LOOKUP(J676,[1]对照表!$M$27:$M$48,[1]对照表!$P$27:$P$48)))))</f>
        <v>90</v>
      </c>
      <c r="L676" s="21">
        <v>57</v>
      </c>
      <c r="M676" s="32">
        <f>IF(B676="高三",IF($E676="男",LOOKUP(L676,[1]对照表!$S$3:$S$24,[1]对照表!$T$3:$T$24),LOOKUP(L676,[1]对照表!$S$27:$S$48,[1]对照表!$T$27:$T$48)),IF(B676="高二",IF($E676="男",LOOKUP(L676,[1]对照表!$R$3:$R$24,[1]对照表!$T$3:$T$24),LOOKUP(L676,[1]对照表!$R$27:$R$48,[1]对照表!$T$27:$T$48)),IF(B676="高一",IF($E676="男",LOOKUP(L676,[1]对照表!$Q$3:$Q$24,[1]对照表!$T$3:$T$24),LOOKUP(L676,[1]对照表!$Q$27:$Q$48,[1]对照表!$T$27:$T$48)))))</f>
        <v>100</v>
      </c>
      <c r="N676" s="33">
        <f>IF(B676="高三",MAX(IF(E676="男",L676-18,L676-55),0),IF(B676="高二",MAX(IF(E676="男",L676-17,L676-54),0),IF(B676="高一",MAX(IF(E676="男",L676-16,L676-53),0))))</f>
        <v>4</v>
      </c>
      <c r="O676" s="23">
        <f>IF(E676="男",LOOKUP($N676,[1]对照表!$Z$3:$Z$13,[1]对照表!$AA$3:$AA$13),LOOKUP($N676,[1]对照表!$Z$15:$Z$25,[1]对照表!$AA$15:$AA$25))</f>
        <v>2</v>
      </c>
      <c r="P676" s="24">
        <f>M676+O676</f>
        <v>102</v>
      </c>
      <c r="Q676" s="25">
        <v>2.56</v>
      </c>
      <c r="R676" s="32">
        <f>IF(B676="高三",IF($E676="男",LOOKUP(Q676,[1]对照表!$W$3:$W$24,[1]对照表!$X$3:$X$24),LOOKUP(Q676,[1]对照表!$W$27:$W$48,[1]对照表!$X$27:$X$48)),IF(B676="高二",IF($E676="男",LOOKUP(Q676,[1]对照表!$V$3:$V$24,[1]对照表!$X$3:$X$24),LOOKUP(Q676,[1]对照表!$V$27:$V$48,[1]对照表!$X$27:$X$48)),IF(B676="高一",IF($E676="男",LOOKUP(Q676,[1]对照表!$U$3:$U$24,[1]对照表!$X$3:$X$24),LOOKUP(Q676,[1]对照表!$U$27:$U$48,[1]对照表!$X$27:$X$48)))))</f>
        <v>100</v>
      </c>
      <c r="S676" s="33">
        <f>ROUND(IF(IF($B676="高三",MIN(IF($E676="男",$Q676-3.2,$Q676-3.2),0),IF($B676="高二",MIN(IF($E676="男",$Q676-3.25,$Q676-3.22),0),IF($B676="高一",MIN(IF($E676="男",$Q676-3.3,$Q676-3.24),0))))&lt;-0.6,IF($B676="高三",MIN(IF($E676="男",$Q676-3.2,$Q676-3.2),0),IF($B676="高二",MIN(IF($E676="男",$Q676-3.25,$Q676-3.22),0),IF($B676="高一",MIN(IF($E676="男",$Q676-3.3,$Q676-3.24),0))))+0.4,IF($B676="高三",MIN(IF($E676="男",$Q676-3.2,$Q676-3.2),0),IF($B676="高二",MIN(IF($E676="男",$Q676-3.25,$Q676-3.22),0),IF($B676="高一",MIN(IF($E676="男",$Q676-3.3,$Q676-3.24),0))))),2)</f>
        <v>-0.28000000000000003</v>
      </c>
      <c r="T676" s="23">
        <f>IF(E676="男",LOOKUP($S676,[1]对照表!$AB$3:$AB$13,[1]对照表!$AC$3:$AC$13),LOOKUP($S676,[1]对照表!$AB$15:$AB$25,[1]对照表!$AC$15:$AC$25))</f>
        <v>5</v>
      </c>
      <c r="U676" s="26">
        <f>R676+T676</f>
        <v>105</v>
      </c>
      <c r="V676" s="26">
        <f>SUM(I676,K676,M676)/3*0.3+SUM(G676,R676)/2*0.4</f>
        <v>68</v>
      </c>
      <c r="W676" s="27">
        <f>O676+T676</f>
        <v>7</v>
      </c>
      <c r="X676" s="28">
        <f>V676/0.7+W676</f>
        <v>104.14285714285715</v>
      </c>
      <c r="Y676" s="28">
        <v>104.14285714285715</v>
      </c>
      <c r="Z676" s="21"/>
    </row>
    <row r="677" spans="1:26" x14ac:dyDescent="0.25">
      <c r="A677" s="16">
        <v>2</v>
      </c>
      <c r="B677" s="17" t="s">
        <v>21</v>
      </c>
      <c r="C677" s="16">
        <v>116</v>
      </c>
      <c r="D677" s="18" t="s">
        <v>80</v>
      </c>
      <c r="E677" s="16" t="s">
        <v>23</v>
      </c>
      <c r="F677" s="19">
        <v>7.3</v>
      </c>
      <c r="G677" s="32">
        <f>IF(B677="高三",IF($E677="男",LOOKUP(F677,[1]对照表!$G$3:$G$24,[1]对照表!$H$3:$H$24),LOOKUP(F677,[1]对照表!$G$27:$G$48,[1]对照表!$H$27:$H$48)),IF(B677="高二",IF($E677="男",LOOKUP(F677,[1]对照表!$F$3:$F$24,[1]对照表!$H$3:$H$24),LOOKUP(F677,[1]对照表!$F$27:$F$48,[1]对照表!$H$27:$H$48)),IF(B677="高一",IF($E677="男",LOOKUP(F677,[1]对照表!$E$3:$E$24,[1]对照表!$H$3:$H$24),LOOKUP(F677,[1]对照表!$E$27:$E$48,[1]对照表!$H$27:$H$48)))))</f>
        <v>90</v>
      </c>
      <c r="H677" s="21">
        <v>21.2</v>
      </c>
      <c r="I677" s="32">
        <f>IF(B677="高三",IF($E677="男",LOOKUP(H677,[1]对照表!$K$3:$K$24,[1]对照表!$L$3:$L$24),LOOKUP(H677,[1]对照表!$K$27:$K$48,[1]对照表!$L$27:$L$48)),IF(B677="高二",IF($E677="男",LOOKUP(H677,[1]对照表!$J$3:$J$24,[1]对照表!$L$3:$L$24),LOOKUP(H677,[1]对照表!$J$27:$J$48,[1]对照表!$L$27:$L$48)),IF(B677="高一",IF($E677="男",LOOKUP(H677,[1]对照表!$I$3:$I$24,[1]对照表!$L$3:$L$24),LOOKUP(H677,[1]对照表!$I$27:$I$48,[1]对照表!$L$27:$L$48)))))</f>
        <v>90</v>
      </c>
      <c r="J677" s="21">
        <v>243</v>
      </c>
      <c r="K677" s="32">
        <f>IF(B677="高三",IF($E677="男",LOOKUP(J677,[1]对照表!$O$3:$O$24,[1]对照表!$P$3:$P$24),LOOKUP(J677,[1]对照表!$O$27:$O$48,[1]对照表!$P$27:$P$48)),IF(B677="高二",IF($E677="男",LOOKUP(J677,[1]对照表!$N$3:$N$24,[1]对照表!$P$3:$P$24),LOOKUP(J677,[1]对照表!$N$27:$N$48,[1]对照表!$P$27:$P$48)),IF(B677="高一",IF($E677="男",LOOKUP(J677,[1]对照表!$M$3:$M$24,[1]对照表!$P$3:$P$24),LOOKUP(J677,[1]对照表!$M$27:$M$48,[1]对照表!$P$27:$P$48)))))</f>
        <v>85</v>
      </c>
      <c r="L677" s="21">
        <v>26</v>
      </c>
      <c r="M677" s="32">
        <f>IF(B677="高三",IF($E677="男",LOOKUP(L677,[1]对照表!$S$3:$S$24,[1]对照表!$T$3:$T$24),LOOKUP(L677,[1]对照表!$S$27:$S$48,[1]对照表!$T$27:$T$48)),IF(B677="高二",IF($E677="男",LOOKUP(L677,[1]对照表!$R$3:$R$24,[1]对照表!$T$3:$T$24),LOOKUP(L677,[1]对照表!$R$27:$R$48,[1]对照表!$T$27:$T$48)),IF(B677="高一",IF($E677="男",LOOKUP(L677,[1]对照表!$Q$3:$Q$24,[1]对照表!$T$3:$T$24),LOOKUP(L677,[1]对照表!$Q$27:$Q$48,[1]对照表!$T$27:$T$48)))))</f>
        <v>100</v>
      </c>
      <c r="N677" s="33">
        <f>IF(B677="高三",MAX(IF(E677="男",L677-18,L677-55),0),IF(B677="高二",MAX(IF(E677="男",L677-17,L677-54),0),IF(B677="高一",MAX(IF(E677="男",L677-16,L677-53),0))))</f>
        <v>10</v>
      </c>
      <c r="O677" s="23">
        <f>IF(E677="男",LOOKUP($N677,[1]对照表!$Z$3:$Z$13,[1]对照表!$AA$3:$AA$13),LOOKUP($N677,[1]对照表!$Z$15:$Z$25,[1]对照表!$AA$15:$AA$25))</f>
        <v>10</v>
      </c>
      <c r="P677" s="24">
        <f>M677+O677</f>
        <v>110</v>
      </c>
      <c r="Q677" s="25">
        <v>3.44</v>
      </c>
      <c r="R677" s="32">
        <f>IF(B677="高三",IF($E677="男",LOOKUP(Q677,[1]对照表!$W$3:$W$24,[1]对照表!$X$3:$X$24),LOOKUP(Q677,[1]对照表!$W$27:$W$48,[1]对照表!$X$27:$X$48)),IF(B677="高二",IF($E677="男",LOOKUP(Q677,[1]对照表!$V$3:$V$24,[1]对照表!$X$3:$X$24),LOOKUP(Q677,[1]对照表!$V$27:$V$48,[1]对照表!$X$27:$X$48)),IF(B677="高一",IF($E677="男",LOOKUP(Q677,[1]对照表!$U$3:$U$24,[1]对照表!$X$3:$X$24),LOOKUP(Q677,[1]对照表!$U$27:$U$48,[1]对照表!$X$27:$X$48)))))</f>
        <v>85</v>
      </c>
      <c r="S677" s="33">
        <f>ROUND(IF(IF($B677="高三",MIN(IF($E677="男",$Q677-3.2,$Q677-3.2),0),IF($B677="高二",MIN(IF($E677="男",$Q677-3.25,$Q677-3.22),0),IF($B677="高一",MIN(IF($E677="男",$Q677-3.3,$Q677-3.24),0))))&lt;-0.6,IF($B677="高三",MIN(IF($E677="男",$Q677-3.2,$Q677-3.2),0),IF($B677="高二",MIN(IF($E677="男",$Q677-3.25,$Q677-3.22),0),IF($B677="高一",MIN(IF($E677="男",$Q677-3.3,$Q677-3.24),0))))+0.4,IF($B677="高三",MIN(IF($E677="男",$Q677-3.2,$Q677-3.2),0),IF($B677="高二",MIN(IF($E677="男",$Q677-3.25,$Q677-3.22),0),IF($B677="高一",MIN(IF($E677="男",$Q677-3.3,$Q677-3.24),0))))),2)</f>
        <v>0</v>
      </c>
      <c r="T677" s="23">
        <f>IF(E677="男",LOOKUP($S677,[1]对照表!$AB$3:$AB$13,[1]对照表!$AC$3:$AC$13),LOOKUP($S677,[1]对照表!$AB$15:$AB$25,[1]对照表!$AC$15:$AC$25))</f>
        <v>0</v>
      </c>
      <c r="U677" s="26">
        <f>R677+T677</f>
        <v>85</v>
      </c>
      <c r="V677" s="26">
        <f>SUM(I677,K677,M677)/3*0.3+SUM(G677,R677)/2*0.4</f>
        <v>62.5</v>
      </c>
      <c r="W677" s="27">
        <f>O677+T677</f>
        <v>10</v>
      </c>
      <c r="X677" s="28">
        <f>V677/0.7+W677</f>
        <v>99.285714285714292</v>
      </c>
      <c r="Y677" s="28">
        <v>99.285714285714292</v>
      </c>
      <c r="Z677" s="21"/>
    </row>
    <row r="678" spans="1:26" x14ac:dyDescent="0.25">
      <c r="A678" s="16">
        <v>7</v>
      </c>
      <c r="B678" s="17" t="s">
        <v>21</v>
      </c>
      <c r="C678" s="16">
        <v>116</v>
      </c>
      <c r="D678" s="18" t="s">
        <v>95</v>
      </c>
      <c r="E678" s="16" t="s">
        <v>23</v>
      </c>
      <c r="F678" s="19">
        <v>7.3</v>
      </c>
      <c r="G678" s="32">
        <f>IF(B678="高三",IF($E678="男",LOOKUP(F678,[1]对照表!$G$3:$G$24,[1]对照表!$H$3:$H$24),LOOKUP(F678,[1]对照表!$G$27:$G$48,[1]对照表!$H$27:$H$48)),IF(B678="高二",IF($E678="男",LOOKUP(F678,[1]对照表!$F$3:$F$24,[1]对照表!$H$3:$H$24),LOOKUP(F678,[1]对照表!$F$27:$F$48,[1]对照表!$H$27:$H$48)),IF(B678="高一",IF($E678="男",LOOKUP(F678,[1]对照表!$E$3:$E$24,[1]对照表!$H$3:$H$24),LOOKUP(F678,[1]对照表!$E$27:$E$48,[1]对照表!$H$27:$H$48)))))</f>
        <v>90</v>
      </c>
      <c r="H678" s="21">
        <v>12</v>
      </c>
      <c r="I678" s="32">
        <f>IF(B678="高三",IF($E678="男",LOOKUP(H678,[1]对照表!$K$3:$K$24,[1]对照表!$L$3:$L$24),LOOKUP(H678,[1]对照表!$K$27:$K$48,[1]对照表!$L$27:$L$48)),IF(B678="高二",IF($E678="男",LOOKUP(H678,[1]对照表!$J$3:$J$24,[1]对照表!$L$3:$L$24),LOOKUP(H678,[1]对照表!$J$27:$J$48,[1]对照表!$L$27:$L$48)),IF(B678="高一",IF($E678="男",LOOKUP(H678,[1]对照表!$I$3:$I$24,[1]对照表!$L$3:$L$24),LOOKUP(H678,[1]对照表!$I$27:$I$48,[1]对照表!$L$27:$L$48)))))</f>
        <v>74</v>
      </c>
      <c r="J678" s="21">
        <v>260</v>
      </c>
      <c r="K678" s="32">
        <f>IF(B678="高三",IF($E678="男",LOOKUP(J678,[1]对照表!$O$3:$O$24,[1]对照表!$P$3:$P$24),LOOKUP(J678,[1]对照表!$O$27:$O$48,[1]对照表!$P$27:$P$48)),IF(B678="高二",IF($E678="男",LOOKUP(J678,[1]对照表!$N$3:$N$24,[1]对照表!$P$3:$P$24),LOOKUP(J678,[1]对照表!$N$27:$N$48,[1]对照表!$P$27:$P$48)),IF(B678="高一",IF($E678="男",LOOKUP(J678,[1]对照表!$M$3:$M$24,[1]对照表!$P$3:$P$24),LOOKUP(J678,[1]对照表!$M$27:$M$48,[1]对照表!$P$27:$P$48)))))</f>
        <v>100</v>
      </c>
      <c r="L678" s="21">
        <v>20</v>
      </c>
      <c r="M678" s="32">
        <f>IF(B678="高三",IF($E678="男",LOOKUP(L678,[1]对照表!$S$3:$S$24,[1]对照表!$T$3:$T$24),LOOKUP(L678,[1]对照表!$S$27:$S$48,[1]对照表!$T$27:$T$48)),IF(B678="高二",IF($E678="男",LOOKUP(L678,[1]对照表!$R$3:$R$24,[1]对照表!$T$3:$T$24),LOOKUP(L678,[1]对照表!$R$27:$R$48,[1]对照表!$T$27:$T$48)),IF(B678="高一",IF($E678="男",LOOKUP(L678,[1]对照表!$Q$3:$Q$24,[1]对照表!$T$3:$T$24),LOOKUP(L678,[1]对照表!$Q$27:$Q$48,[1]对照表!$T$27:$T$48)))))</f>
        <v>100</v>
      </c>
      <c r="N678" s="33">
        <f>IF(B678="高三",MAX(IF(E678="男",L678-18,L678-55),0),IF(B678="高二",MAX(IF(E678="男",L678-17,L678-54),0),IF(B678="高一",MAX(IF(E678="男",L678-16,L678-53),0))))</f>
        <v>4</v>
      </c>
      <c r="O678" s="23">
        <f>IF(E678="男",LOOKUP($N678,[1]对照表!$Z$3:$Z$13,[1]对照表!$AA$3:$AA$13),LOOKUP($N678,[1]对照表!$Z$15:$Z$25,[1]对照表!$AA$15:$AA$25))</f>
        <v>4</v>
      </c>
      <c r="P678" s="24">
        <f>M678+O678</f>
        <v>104</v>
      </c>
      <c r="Q678" s="25">
        <v>3.27</v>
      </c>
      <c r="R678" s="32">
        <f>IF(B678="高三",IF($E678="男",LOOKUP(Q678,[1]对照表!$W$3:$W$24,[1]对照表!$X$3:$X$24),LOOKUP(Q678,[1]对照表!$W$27:$W$48,[1]对照表!$X$27:$X$48)),IF(B678="高二",IF($E678="男",LOOKUP(Q678,[1]对照表!$V$3:$V$24,[1]对照表!$X$3:$X$24),LOOKUP(Q678,[1]对照表!$V$27:$V$48,[1]对照表!$X$27:$X$48)),IF(B678="高一",IF($E678="男",LOOKUP(Q678,[1]对照表!$U$3:$U$24,[1]对照表!$X$3:$X$24),LOOKUP(Q678,[1]对照表!$U$27:$U$48,[1]对照表!$X$27:$X$48)))))</f>
        <v>100</v>
      </c>
      <c r="S678" s="33">
        <f>ROUND(IF(IF($B678="高三",MIN(IF($E678="男",$Q678-3.2,$Q678-3.2),0),IF($B678="高二",MIN(IF($E678="男",$Q678-3.25,$Q678-3.22),0),IF($B678="高一",MIN(IF($E678="男",$Q678-3.3,$Q678-3.24),0))))&lt;-0.6,IF($B678="高三",MIN(IF($E678="男",$Q678-3.2,$Q678-3.2),0),IF($B678="高二",MIN(IF($E678="男",$Q678-3.25,$Q678-3.22),0),IF($B678="高一",MIN(IF($E678="男",$Q678-3.3,$Q678-3.24),0))))+0.4,IF($B678="高三",MIN(IF($E678="男",$Q678-3.2,$Q678-3.2),0),IF($B678="高二",MIN(IF($E678="男",$Q678-3.25,$Q678-3.22),0),IF($B678="高一",MIN(IF($E678="男",$Q678-3.3,$Q678-3.24),0))))),2)</f>
        <v>-0.03</v>
      </c>
      <c r="T678" s="23">
        <f>IF(E678="男",LOOKUP($S678,[1]对照表!$AB$3:$AB$13,[1]对照表!$AC$3:$AC$13),LOOKUP($S678,[1]对照表!$AB$15:$AB$25,[1]对照表!$AC$15:$AC$25))</f>
        <v>0</v>
      </c>
      <c r="U678" s="26">
        <f>R678+T678</f>
        <v>100</v>
      </c>
      <c r="V678" s="26">
        <f>SUM(I678,K678,M678)/3*0.3+SUM(G678,R678)/2*0.4</f>
        <v>65.400000000000006</v>
      </c>
      <c r="W678" s="27">
        <f>O678+T678</f>
        <v>4</v>
      </c>
      <c r="X678" s="28">
        <f>V678/0.7+W678</f>
        <v>97.428571428571445</v>
      </c>
      <c r="Y678" s="28">
        <v>97.428571428571445</v>
      </c>
      <c r="Z678" s="21"/>
    </row>
    <row r="679" spans="1:26" x14ac:dyDescent="0.25">
      <c r="A679" s="16">
        <v>31</v>
      </c>
      <c r="B679" s="17" t="s">
        <v>21</v>
      </c>
      <c r="C679" s="16">
        <v>116</v>
      </c>
      <c r="D679" s="18" t="s">
        <v>121</v>
      </c>
      <c r="E679" s="16" t="s">
        <v>65</v>
      </c>
      <c r="F679" s="19">
        <v>8.3000000000000007</v>
      </c>
      <c r="G679" s="32">
        <f>IF(B679="高三",IF($E679="男",LOOKUP(F679,[1]对照表!$G$3:$G$24,[1]对照表!$H$3:$H$24),LOOKUP(F679,[1]对照表!$G$27:$G$48,[1]对照表!$H$27:$H$48)),IF(B679="高二",IF($E679="男",LOOKUP(F679,[1]对照表!$F$3:$F$24,[1]对照表!$H$3:$H$24),LOOKUP(F679,[1]对照表!$F$27:$F$48,[1]对照表!$H$27:$H$48)),IF(B679="高一",IF($E679="男",LOOKUP(F679,[1]对照表!$E$3:$E$24,[1]对照表!$H$3:$H$24),LOOKUP(F679,[1]对照表!$E$27:$E$48,[1]对照表!$H$27:$H$48)))))</f>
        <v>85</v>
      </c>
      <c r="H679" s="21">
        <v>18</v>
      </c>
      <c r="I679" s="32">
        <f>IF(B679="高三",IF($E679="男",LOOKUP(H679,[1]对照表!$K$3:$K$24,[1]对照表!$L$3:$L$24),LOOKUP(H679,[1]对照表!$K$27:$K$48,[1]对照表!$L$27:$L$48)),IF(B679="高二",IF($E679="男",LOOKUP(H679,[1]对照表!$J$3:$J$24,[1]对照表!$L$3:$L$24),LOOKUP(H679,[1]对照表!$J$27:$J$48,[1]对照表!$L$27:$L$48)),IF(B679="高一",IF($E679="男",LOOKUP(H679,[1]对照表!$I$3:$I$24,[1]对照表!$L$3:$L$24),LOOKUP(H679,[1]对照表!$I$27:$I$48,[1]对照表!$L$27:$L$48)))))</f>
        <v>80</v>
      </c>
      <c r="J679" s="21">
        <v>205</v>
      </c>
      <c r="K679" s="32">
        <f>IF(B679="高三",IF($E679="男",LOOKUP(J679,[1]对照表!$O$3:$O$24,[1]对照表!$P$3:$P$24),LOOKUP(J679,[1]对照表!$O$27:$O$48,[1]对照表!$P$27:$P$48)),IF(B679="高二",IF($E679="男",LOOKUP(J679,[1]对照表!$N$3:$N$24,[1]对照表!$P$3:$P$24),LOOKUP(J679,[1]对照表!$N$27:$N$48,[1]对照表!$P$27:$P$48)),IF(B679="高一",IF($E679="男",LOOKUP(J679,[1]对照表!$M$3:$M$24,[1]对照表!$P$3:$P$24),LOOKUP(J679,[1]对照表!$M$27:$M$48,[1]对照表!$P$27:$P$48)))))</f>
        <v>100</v>
      </c>
      <c r="L679" s="21">
        <v>52</v>
      </c>
      <c r="M679" s="32">
        <f>IF(B679="高三",IF($E679="男",LOOKUP(L679,[1]对照表!$S$3:$S$24,[1]对照表!$T$3:$T$24),LOOKUP(L679,[1]对照表!$S$27:$S$48,[1]对照表!$T$27:$T$48)),IF(B679="高二",IF($E679="男",LOOKUP(L679,[1]对照表!$R$3:$R$24,[1]对照表!$T$3:$T$24),LOOKUP(L679,[1]对照表!$R$27:$R$48,[1]对照表!$T$27:$T$48)),IF(B679="高一",IF($E679="男",LOOKUP(L679,[1]对照表!$Q$3:$Q$24,[1]对照表!$T$3:$T$24),LOOKUP(L679,[1]对照表!$Q$27:$Q$48,[1]对照表!$T$27:$T$48)))))</f>
        <v>95</v>
      </c>
      <c r="N679" s="33">
        <f>IF(B679="高三",MAX(IF(E679="男",L679-18,L679-55),0),IF(B679="高二",MAX(IF(E679="男",L679-17,L679-54),0),IF(B679="高一",MAX(IF(E679="男",L679-16,L679-53),0))))</f>
        <v>0</v>
      </c>
      <c r="O679" s="23">
        <f>IF(E679="男",LOOKUP($N679,[1]对照表!$Z$3:$Z$13,[1]对照表!$AA$3:$AA$13),LOOKUP($N679,[1]对照表!$Z$15:$Z$25,[1]对照表!$AA$15:$AA$25))</f>
        <v>0</v>
      </c>
      <c r="P679" s="24">
        <f>M679+O679</f>
        <v>95</v>
      </c>
      <c r="Q679" s="25">
        <v>3.14</v>
      </c>
      <c r="R679" s="32">
        <f>IF(B679="高三",IF($E679="男",LOOKUP(Q679,[1]对照表!$W$3:$W$24,[1]对照表!$X$3:$X$24),LOOKUP(Q679,[1]对照表!$W$27:$W$48,[1]对照表!$X$27:$X$48)),IF(B679="高二",IF($E679="男",LOOKUP(Q679,[1]对照表!$V$3:$V$24,[1]对照表!$X$3:$X$24),LOOKUP(Q679,[1]对照表!$V$27:$V$48,[1]对照表!$X$27:$X$48)),IF(B679="高一",IF($E679="男",LOOKUP(Q679,[1]对照表!$U$3:$U$24,[1]对照表!$X$3:$X$24),LOOKUP(Q679,[1]对照表!$U$27:$U$48,[1]对照表!$X$27:$X$48)))))</f>
        <v>100</v>
      </c>
      <c r="S679" s="33">
        <f>ROUND(IF(IF($B679="高三",MIN(IF($E679="男",$Q679-3.2,$Q679-3.2),0),IF($B679="高二",MIN(IF($E679="男",$Q679-3.25,$Q679-3.22),0),IF($B679="高一",MIN(IF($E679="男",$Q679-3.3,$Q679-3.24),0))))&lt;-0.6,IF($B679="高三",MIN(IF($E679="男",$Q679-3.2,$Q679-3.2),0),IF($B679="高二",MIN(IF($E679="男",$Q679-3.25,$Q679-3.22),0),IF($B679="高一",MIN(IF($E679="男",$Q679-3.3,$Q679-3.24),0))))+0.4,IF($B679="高三",MIN(IF($E679="男",$Q679-3.2,$Q679-3.2),0),IF($B679="高二",MIN(IF($E679="男",$Q679-3.25,$Q679-3.22),0),IF($B679="高一",MIN(IF($E679="男",$Q679-3.3,$Q679-3.24),0))))),2)</f>
        <v>-0.1</v>
      </c>
      <c r="T679" s="23">
        <f>IF(E679="男",LOOKUP($S679,[1]对照表!$AB$3:$AB$13,[1]对照表!$AC$3:$AC$13),LOOKUP($S679,[1]对照表!$AB$15:$AB$25,[1]对照表!$AC$15:$AC$25))</f>
        <v>2</v>
      </c>
      <c r="U679" s="26">
        <f>R679+T679</f>
        <v>102</v>
      </c>
      <c r="V679" s="26">
        <f>SUM(I679,K679,M679)/3*0.3+SUM(G679,R679)/2*0.4</f>
        <v>64.5</v>
      </c>
      <c r="W679" s="27">
        <f>O679+T679</f>
        <v>2</v>
      </c>
      <c r="X679" s="28">
        <f>V679/0.7+W679</f>
        <v>94.142857142857153</v>
      </c>
      <c r="Y679" s="28">
        <v>94.142857142857153</v>
      </c>
      <c r="Z679" s="21"/>
    </row>
    <row r="680" spans="1:26" x14ac:dyDescent="0.25">
      <c r="A680" s="16">
        <v>1</v>
      </c>
      <c r="B680" s="17" t="s">
        <v>21</v>
      </c>
      <c r="C680" s="16">
        <v>116</v>
      </c>
      <c r="D680" s="18" t="s">
        <v>143</v>
      </c>
      <c r="E680" s="34" t="s">
        <v>23</v>
      </c>
      <c r="F680" s="19">
        <v>7.2</v>
      </c>
      <c r="G680" s="32">
        <f>IF(B680="高三",IF($E680="男",LOOKUP(F680,[1]对照表!$G$3:$G$24,[1]对照表!$H$3:$H$24),LOOKUP(F680,[1]对照表!$G$27:$G$48,[1]对照表!$H$27:$H$48)),IF(B680="高二",IF($E680="男",LOOKUP(F680,[1]对照表!$F$3:$F$24,[1]对照表!$H$3:$H$24),LOOKUP(F680,[1]对照表!$F$27:$F$48,[1]对照表!$H$27:$H$48)),IF(B680="高一",IF($E680="男",LOOKUP(F680,[1]对照表!$E$3:$E$24,[1]对照表!$H$3:$H$24),LOOKUP(F680,[1]对照表!$E$27:$E$48,[1]对照表!$H$27:$H$48)))))</f>
        <v>95</v>
      </c>
      <c r="H680" s="21">
        <v>17</v>
      </c>
      <c r="I680" s="32">
        <f>IF(B680="高三",IF($E680="男",LOOKUP(H680,[1]对照表!$K$3:$K$24,[1]对照表!$L$3:$L$24),LOOKUP(H680,[1]对照表!$K$27:$K$48,[1]对照表!$L$27:$L$48)),IF(B680="高二",IF($E680="男",LOOKUP(H680,[1]对照表!$J$3:$J$24,[1]对照表!$L$3:$L$24),LOOKUP(H680,[1]对照表!$J$27:$J$48,[1]对照表!$L$27:$L$48)),IF(B680="高一",IF($E680="男",LOOKUP(H680,[1]对照表!$I$3:$I$24,[1]对照表!$L$3:$L$24),LOOKUP(H680,[1]对照表!$I$27:$I$48,[1]对照表!$L$27:$L$48)))))</f>
        <v>80</v>
      </c>
      <c r="J680" s="21">
        <v>255</v>
      </c>
      <c r="K680" s="32">
        <f>IF(B680="高三",IF($E680="男",LOOKUP(J680,[1]对照表!$O$3:$O$24,[1]对照表!$P$3:$P$24),LOOKUP(J680,[1]对照表!$O$27:$O$48,[1]对照表!$P$27:$P$48)),IF(B680="高二",IF($E680="男",LOOKUP(J680,[1]对照表!$N$3:$N$24,[1]对照表!$P$3:$P$24),LOOKUP(J680,[1]对照表!$N$27:$N$48,[1]对照表!$P$27:$P$48)),IF(B680="高一",IF($E680="男",LOOKUP(J680,[1]对照表!$M$3:$M$24,[1]对照表!$P$3:$P$24),LOOKUP(J680,[1]对照表!$M$27:$M$48,[1]对照表!$P$27:$P$48)))))</f>
        <v>95</v>
      </c>
      <c r="L680" s="21">
        <v>19</v>
      </c>
      <c r="M680" s="32">
        <f>IF(B680="高三",IF($E680="男",LOOKUP(L680,[1]对照表!$S$3:$S$24,[1]对照表!$T$3:$T$24),LOOKUP(L680,[1]对照表!$S$27:$S$48,[1]对照表!$T$27:$T$48)),IF(B680="高二",IF($E680="男",LOOKUP(L680,[1]对照表!$R$3:$R$24,[1]对照表!$T$3:$T$24),LOOKUP(L680,[1]对照表!$R$27:$R$48,[1]对照表!$T$27:$T$48)),IF(B680="高一",IF($E680="男",LOOKUP(L680,[1]对照表!$Q$3:$Q$24,[1]对照表!$T$3:$T$24),LOOKUP(L680,[1]对照表!$Q$27:$Q$48,[1]对照表!$T$27:$T$48)))))</f>
        <v>100</v>
      </c>
      <c r="N680" s="33">
        <f>IF(B680="高三",MAX(IF(E680="男",L680-18,L680-55),0),IF(B680="高二",MAX(IF(E680="男",L680-17,L680-54),0),IF(B680="高一",MAX(IF(E680="男",L680-16,L680-53),0))))</f>
        <v>3</v>
      </c>
      <c r="O680" s="23">
        <f>IF(E680="男",LOOKUP($N680,[1]对照表!$Z$3:$Z$13,[1]对照表!$AA$3:$AA$13),LOOKUP($N680,[1]对照表!$Z$15:$Z$25,[1]对照表!$AA$15:$AA$25))</f>
        <v>3</v>
      </c>
      <c r="P680" s="24">
        <f>M680+O680</f>
        <v>103</v>
      </c>
      <c r="Q680" s="25">
        <v>3.42</v>
      </c>
      <c r="R680" s="32">
        <f>IF(B680="高三",IF($E680="男",LOOKUP(Q680,[1]对照表!$W$3:$W$24,[1]对照表!$X$3:$X$24),LOOKUP(Q680,[1]对照表!$W$27:$W$48,[1]对照表!$X$27:$X$48)),IF(B680="高二",IF($E680="男",LOOKUP(Q680,[1]对照表!$V$3:$V$24,[1]对照表!$X$3:$X$24),LOOKUP(Q680,[1]对照表!$V$27:$V$48,[1]对照表!$X$27:$X$48)),IF(B680="高一",IF($E680="男",LOOKUP(Q680,[1]对照表!$U$3:$U$24,[1]对照表!$X$3:$X$24),LOOKUP(Q680,[1]对照表!$U$27:$U$48,[1]对照表!$X$27:$X$48)))))</f>
        <v>85</v>
      </c>
      <c r="S680" s="33">
        <f>ROUND(IF(IF($B680="高三",MIN(IF($E680="男",$Q680-3.2,$Q680-3.2),0),IF($B680="高二",MIN(IF($E680="男",$Q680-3.25,$Q680-3.22),0),IF($B680="高一",MIN(IF($E680="男",$Q680-3.3,$Q680-3.24),0))))&lt;-0.6,IF($B680="高三",MIN(IF($E680="男",$Q680-3.2,$Q680-3.2),0),IF($B680="高二",MIN(IF($E680="男",$Q680-3.25,$Q680-3.22),0),IF($B680="高一",MIN(IF($E680="男",$Q680-3.3,$Q680-3.24),0))))+0.4,IF($B680="高三",MIN(IF($E680="男",$Q680-3.2,$Q680-3.2),0),IF($B680="高二",MIN(IF($E680="男",$Q680-3.25,$Q680-3.22),0),IF($B680="高一",MIN(IF($E680="男",$Q680-3.3,$Q680-3.24),0))))),2)</f>
        <v>0</v>
      </c>
      <c r="T680" s="23">
        <f>IF(E680="男",LOOKUP($S680,[1]对照表!$AB$3:$AB$13,[1]对照表!$AC$3:$AC$13),LOOKUP($S680,[1]对照表!$AB$15:$AB$25,[1]对照表!$AC$15:$AC$25))</f>
        <v>0</v>
      </c>
      <c r="U680" s="26">
        <f>R680+T680</f>
        <v>85</v>
      </c>
      <c r="V680" s="26">
        <f>SUM(I680,K680,M680)/3*0.3+SUM(G680,R680)/2*0.4</f>
        <v>63.5</v>
      </c>
      <c r="W680" s="27">
        <f>O680+T680</f>
        <v>3</v>
      </c>
      <c r="X680" s="28">
        <f>V680/0.7+W680</f>
        <v>93.714285714285722</v>
      </c>
      <c r="Y680" s="28">
        <v>93.714285714285722</v>
      </c>
      <c r="Z680" s="21"/>
    </row>
    <row r="681" spans="1:26" x14ac:dyDescent="0.25">
      <c r="A681" s="16">
        <v>28</v>
      </c>
      <c r="B681" s="17" t="s">
        <v>21</v>
      </c>
      <c r="C681" s="16">
        <v>116</v>
      </c>
      <c r="D681" s="18" t="s">
        <v>166</v>
      </c>
      <c r="E681" s="17" t="s">
        <v>65</v>
      </c>
      <c r="F681" s="19">
        <v>9.18</v>
      </c>
      <c r="G681" s="32">
        <f>IF(B681="高三",IF($E681="男",LOOKUP(F681,[1]对照表!$G$3:$G$24,[1]对照表!$H$3:$H$24),LOOKUP(F681,[1]对照表!$G$27:$G$48,[1]对照表!$H$27:$H$48)),IF(B681="高二",IF($E681="男",LOOKUP(F681,[1]对照表!$F$3:$F$24,[1]对照表!$H$3:$H$24),LOOKUP(F681,[1]对照表!$F$27:$F$48,[1]对照表!$H$27:$H$48)),IF(B681="高一",IF($E681="男",LOOKUP(F681,[1]对照表!$E$3:$E$24,[1]对照表!$H$3:$H$24),LOOKUP(F681,[1]对照表!$E$27:$E$48,[1]对照表!$H$27:$H$48)))))</f>
        <v>74</v>
      </c>
      <c r="H681" s="21">
        <v>1</v>
      </c>
      <c r="I681" s="32">
        <f>IF(B681="高三",IF($E681="男",LOOKUP(H681,[1]对照表!$K$3:$K$24,[1]对照表!$L$3:$L$24),LOOKUP(H681,[1]对照表!$K$27:$K$48,[1]对照表!$L$27:$L$48)),IF(B681="高二",IF($E681="男",LOOKUP(H681,[1]对照表!$J$3:$J$24,[1]对照表!$L$3:$L$24),LOOKUP(H681,[1]对照表!$J$27:$J$48,[1]对照表!$L$27:$L$48)),IF(B681="高一",IF($E681="男",LOOKUP(H681,[1]对照表!$I$3:$I$24,[1]对照表!$L$3:$L$24),LOOKUP(H681,[1]对照表!$I$27:$I$48,[1]对照表!$L$27:$L$48)))))</f>
        <v>10</v>
      </c>
      <c r="J681" s="21">
        <v>160</v>
      </c>
      <c r="K681" s="32">
        <f>IF(B681="高三",IF($E681="男",LOOKUP(J681,[1]对照表!$O$3:$O$24,[1]对照表!$P$3:$P$24),LOOKUP(J681,[1]对照表!$O$27:$O$48,[1]对照表!$P$27:$P$48)),IF(B681="高二",IF($E681="男",LOOKUP(J681,[1]对照表!$N$3:$N$24,[1]对照表!$P$3:$P$24),LOOKUP(J681,[1]对照表!$N$27:$N$48,[1]对照表!$P$27:$P$48)),IF(B681="高一",IF($E681="男",LOOKUP(J681,[1]对照表!$M$3:$M$24,[1]对照表!$P$3:$P$24),LOOKUP(J681,[1]对照表!$M$27:$M$48,[1]对照表!$P$27:$P$48)))))</f>
        <v>68</v>
      </c>
      <c r="L681" s="21">
        <v>51</v>
      </c>
      <c r="M681" s="32">
        <f>IF(B681="高三",IF($E681="男",LOOKUP(L681,[1]对照表!$S$3:$S$24,[1]对照表!$T$3:$T$24),LOOKUP(L681,[1]对照表!$S$27:$S$48,[1]对照表!$T$27:$T$48)),IF(B681="高二",IF($E681="男",LOOKUP(L681,[1]对照表!$R$3:$R$24,[1]对照表!$T$3:$T$24),LOOKUP(L681,[1]对照表!$R$27:$R$48,[1]对照表!$T$27:$T$48)),IF(B681="高一",IF($E681="男",LOOKUP(L681,[1]对照表!$Q$3:$Q$24,[1]对照表!$T$3:$T$24),LOOKUP(L681,[1]对照表!$Q$27:$Q$48,[1]对照表!$T$27:$T$48)))))</f>
        <v>95</v>
      </c>
      <c r="N681" s="33">
        <f>IF(B681="高三",MAX(IF(E681="男",L681-18,L681-55),0),IF(B681="高二",MAX(IF(E681="男",L681-17,L681-54),0),IF(B681="高一",MAX(IF(E681="男",L681-16,L681-53),0))))</f>
        <v>0</v>
      </c>
      <c r="O681" s="23">
        <f>IF(E681="男",LOOKUP($N681,[1]对照表!$Z$3:$Z$13,[1]对照表!$AA$3:$AA$13),LOOKUP($N681,[1]对照表!$Z$15:$Z$25,[1]对照表!$AA$15:$AA$25))</f>
        <v>0</v>
      </c>
      <c r="P681" s="24">
        <f>M681+O681</f>
        <v>95</v>
      </c>
      <c r="Q681" s="25">
        <v>3.15</v>
      </c>
      <c r="R681" s="32">
        <f>IF(B681="高三",IF($E681="男",LOOKUP(Q681,[1]对照表!$W$3:$W$24,[1]对照表!$X$3:$X$24),LOOKUP(Q681,[1]对照表!$W$27:$W$48,[1]对照表!$X$27:$X$48)),IF(B681="高二",IF($E681="男",LOOKUP(Q681,[1]对照表!$V$3:$V$24,[1]对照表!$X$3:$X$24),LOOKUP(Q681,[1]对照表!$V$27:$V$48,[1]对照表!$X$27:$X$48)),IF(B681="高一",IF($E681="男",LOOKUP(Q681,[1]对照表!$U$3:$U$24,[1]对照表!$X$3:$X$24),LOOKUP(Q681,[1]对照表!$U$27:$U$48,[1]对照表!$X$27:$X$48)))))</f>
        <v>100</v>
      </c>
      <c r="S681" s="33">
        <f>ROUND(IF(IF($B681="高三",MIN(IF($E681="男",$Q681-3.2,$Q681-3.2),0),IF($B681="高二",MIN(IF($E681="男",$Q681-3.25,$Q681-3.22),0),IF($B681="高一",MIN(IF($E681="男",$Q681-3.3,$Q681-3.24),0))))&lt;-0.6,IF($B681="高三",MIN(IF($E681="男",$Q681-3.2,$Q681-3.2),0),IF($B681="高二",MIN(IF($E681="男",$Q681-3.25,$Q681-3.22),0),IF($B681="高一",MIN(IF($E681="男",$Q681-3.3,$Q681-3.24),0))))+0.4,IF($B681="高三",MIN(IF($E681="男",$Q681-3.2,$Q681-3.2),0),IF($B681="高二",MIN(IF($E681="男",$Q681-3.25,$Q681-3.22),0),IF($B681="高一",MIN(IF($E681="男",$Q681-3.3,$Q681-3.24),0))))),2)</f>
        <v>-0.09</v>
      </c>
      <c r="T681" s="23">
        <f>IF(E681="男",LOOKUP($S681,[1]对照表!$AB$3:$AB$13,[1]对照表!$AC$3:$AC$13),LOOKUP($S681,[1]对照表!$AB$15:$AB$25,[1]对照表!$AC$15:$AC$25))</f>
        <v>1</v>
      </c>
      <c r="U681" s="26">
        <f>R681+T681</f>
        <v>101</v>
      </c>
      <c r="V681" s="26">
        <f>SUM(I681,K681,M681)/3*0.3+SUM(G681,R681)/2*0.4</f>
        <v>52.1</v>
      </c>
      <c r="W681" s="27">
        <f>O681+T681</f>
        <v>1</v>
      </c>
      <c r="X681" s="28">
        <f>V681/0.7+W681</f>
        <v>75.428571428571431</v>
      </c>
      <c r="Y681" s="28">
        <v>75.428571428571431</v>
      </c>
      <c r="Z681" s="21"/>
    </row>
    <row r="682" spans="1:26" x14ac:dyDescent="0.25">
      <c r="A682" s="16">
        <v>13</v>
      </c>
      <c r="B682" s="17" t="s">
        <v>21</v>
      </c>
      <c r="C682" s="16">
        <v>116</v>
      </c>
      <c r="D682" s="18" t="s">
        <v>212</v>
      </c>
      <c r="E682" s="17" t="s">
        <v>65</v>
      </c>
      <c r="F682" s="19">
        <v>9.01</v>
      </c>
      <c r="G682" s="32">
        <f>IF(B682="高三",IF($E682="男",LOOKUP(F682,[1]对照表!$G$3:$G$24,[1]对照表!$H$3:$H$24),LOOKUP(F682,[1]对照表!$G$27:$G$48,[1]对照表!$H$27:$H$48)),IF(B682="高二",IF($E682="男",LOOKUP(F682,[1]对照表!$F$3:$F$24,[1]对照表!$H$3:$H$24),LOOKUP(F682,[1]对照表!$F$27:$F$48,[1]对照表!$H$27:$H$48)),IF(B682="高一",IF($E682="男",LOOKUP(F682,[1]对照表!$E$3:$E$24,[1]对照表!$H$3:$H$24),LOOKUP(F682,[1]对照表!$E$27:$E$48,[1]对照表!$H$27:$H$48)))))</f>
        <v>74</v>
      </c>
      <c r="H682" s="21">
        <v>13.5</v>
      </c>
      <c r="I682" s="32">
        <f>IF(B682="高三",IF($E682="男",LOOKUP(H682,[1]对照表!$K$3:$K$24,[1]对照表!$L$3:$L$24),LOOKUP(H682,[1]对照表!$K$27:$K$48,[1]对照表!$L$27:$L$48)),IF(B682="高二",IF($E682="男",LOOKUP(H682,[1]对照表!$J$3:$J$24,[1]对照表!$L$3:$L$24),LOOKUP(H682,[1]对照表!$J$27:$J$48,[1]对照表!$L$27:$L$48)),IF(B682="高一",IF($E682="男",LOOKUP(H682,[1]对照表!$I$3:$I$24,[1]对照表!$L$3:$L$24),LOOKUP(H682,[1]对照表!$I$27:$I$48,[1]对照表!$L$27:$L$48)))))</f>
        <v>74</v>
      </c>
      <c r="J682" s="21">
        <v>181</v>
      </c>
      <c r="K682" s="32">
        <f>IF(B682="高三",IF($E682="男",LOOKUP(J682,[1]对照表!$O$3:$O$24,[1]对照表!$P$3:$P$24),LOOKUP(J682,[1]对照表!$O$27:$O$48,[1]对照表!$P$27:$P$48)),IF(B682="高二",IF($E682="男",LOOKUP(J682,[1]对照表!$N$3:$N$24,[1]对照表!$P$3:$P$24),LOOKUP(J682,[1]对照表!$N$27:$N$48,[1]对照表!$P$27:$P$48)),IF(B682="高一",IF($E682="男",LOOKUP(J682,[1]对照表!$M$3:$M$24,[1]对照表!$P$3:$P$24),LOOKUP(J682,[1]对照表!$M$27:$M$48,[1]对照表!$P$27:$P$48)))))</f>
        <v>80</v>
      </c>
      <c r="L682" s="21">
        <v>50</v>
      </c>
      <c r="M682" s="32">
        <f>IF(B682="高三",IF($E682="男",LOOKUP(L682,[1]对照表!$S$3:$S$24,[1]对照表!$T$3:$T$24),LOOKUP(L682,[1]对照表!$S$27:$S$48,[1]对照表!$T$27:$T$48)),IF(B682="高二",IF($E682="男",LOOKUP(L682,[1]对照表!$R$3:$R$24,[1]对照表!$T$3:$T$24),LOOKUP(L682,[1]对照表!$R$27:$R$48,[1]对照表!$T$27:$T$48)),IF(B682="高一",IF($E682="男",LOOKUP(L682,[1]对照表!$Q$3:$Q$24,[1]对照表!$T$3:$T$24),LOOKUP(L682,[1]对照表!$Q$27:$Q$48,[1]对照表!$T$27:$T$48)))))</f>
        <v>90</v>
      </c>
      <c r="N682" s="33">
        <f>IF(B682="高三",MAX(IF(E682="男",L682-18,L682-55),0),IF(B682="高二",MAX(IF(E682="男",L682-17,L682-54),0),IF(B682="高一",MAX(IF(E682="男",L682-16,L682-53),0))))</f>
        <v>0</v>
      </c>
      <c r="O682" s="23">
        <f>IF(E682="男",LOOKUP($N682,[1]对照表!$Z$3:$Z$13,[1]对照表!$AA$3:$AA$13),LOOKUP($N682,[1]对照表!$Z$15:$Z$25,[1]对照表!$AA$15:$AA$25))</f>
        <v>0</v>
      </c>
      <c r="P682" s="24">
        <f>M682+O682</f>
        <v>90</v>
      </c>
      <c r="Q682" s="25">
        <v>3.21</v>
      </c>
      <c r="R682" s="32">
        <f>IF(B682="高三",IF($E682="男",LOOKUP(Q682,[1]对照表!$W$3:$W$24,[1]对照表!$X$3:$X$24),LOOKUP(Q682,[1]对照表!$W$27:$W$48,[1]对照表!$X$27:$X$48)),IF(B682="高二",IF($E682="男",LOOKUP(Q682,[1]对照表!$V$3:$V$24,[1]对照表!$X$3:$X$24),LOOKUP(Q682,[1]对照表!$V$27:$V$48,[1]对照表!$X$27:$X$48)),IF(B682="高一",IF($E682="男",LOOKUP(Q682,[1]对照表!$U$3:$U$24,[1]对照表!$X$3:$X$24),LOOKUP(Q682,[1]对照表!$U$27:$U$48,[1]对照表!$X$27:$X$48)))))</f>
        <v>100</v>
      </c>
      <c r="S682" s="33">
        <f>ROUND(IF(IF($B682="高三",MIN(IF($E682="男",$Q682-3.2,$Q682-3.2),0),IF($B682="高二",MIN(IF($E682="男",$Q682-3.25,$Q682-3.22),0),IF($B682="高一",MIN(IF($E682="男",$Q682-3.3,$Q682-3.24),0))))&lt;-0.6,IF($B682="高三",MIN(IF($E682="男",$Q682-3.2,$Q682-3.2),0),IF($B682="高二",MIN(IF($E682="男",$Q682-3.25,$Q682-3.22),0),IF($B682="高一",MIN(IF($E682="男",$Q682-3.3,$Q682-3.24),0))))+0.4,IF($B682="高三",MIN(IF($E682="男",$Q682-3.2,$Q682-3.2),0),IF($B682="高二",MIN(IF($E682="男",$Q682-3.25,$Q682-3.22),0),IF($B682="高一",MIN(IF($E682="男",$Q682-3.3,$Q682-3.24),0))))),2)</f>
        <v>-0.03</v>
      </c>
      <c r="T682" s="23">
        <f>IF(E682="男",LOOKUP($S682,[1]对照表!$AB$3:$AB$13,[1]对照表!$AC$3:$AC$13),LOOKUP($S682,[1]对照表!$AB$15:$AB$25,[1]对照表!$AC$15:$AC$25))</f>
        <v>0</v>
      </c>
      <c r="U682" s="26">
        <f>R682+T682</f>
        <v>100</v>
      </c>
      <c r="V682" s="26">
        <f>SUM(I682,K682,M682)/3*0.3+SUM(G682,R682)/2*0.4</f>
        <v>59.2</v>
      </c>
      <c r="W682" s="27">
        <f>O682+T682</f>
        <v>0</v>
      </c>
      <c r="X682" s="28">
        <f>V682/0.7+W682</f>
        <v>84.571428571428584</v>
      </c>
      <c r="Y682" s="28">
        <v>84.571428571428584</v>
      </c>
      <c r="Z682" s="21"/>
    </row>
    <row r="683" spans="1:26" x14ac:dyDescent="0.25">
      <c r="A683" s="16">
        <v>46</v>
      </c>
      <c r="B683" s="17" t="s">
        <v>21</v>
      </c>
      <c r="C683" s="16">
        <v>116</v>
      </c>
      <c r="D683" s="18" t="s">
        <v>214</v>
      </c>
      <c r="E683" s="16" t="s">
        <v>65</v>
      </c>
      <c r="F683" s="19">
        <v>7.1</v>
      </c>
      <c r="G683" s="32">
        <f>IF(B683="高三",IF($E683="男",LOOKUP(F683,[1]对照表!$G$3:$G$24,[1]对照表!$H$3:$H$24),LOOKUP(F683,[1]对照表!$G$27:$G$48,[1]对照表!$H$27:$H$48)),IF(B683="高二",IF($E683="男",LOOKUP(F683,[1]对照表!$F$3:$F$24,[1]对照表!$H$3:$H$24),LOOKUP(F683,[1]对照表!$F$27:$F$48,[1]对照表!$H$27:$H$48)),IF(B683="高一",IF($E683="男",LOOKUP(F683,[1]对照表!$E$3:$E$24,[1]对照表!$H$3:$H$24),LOOKUP(F683,[1]对照表!$E$27:$E$48,[1]对照表!$H$27:$H$48)))))</f>
        <v>100</v>
      </c>
      <c r="H683" s="21">
        <v>5.6</v>
      </c>
      <c r="I683" s="32">
        <f>IF(B683="高三",IF($E683="男",LOOKUP(H683,[1]对照表!$K$3:$K$24,[1]对照表!$L$3:$L$24),LOOKUP(H683,[1]对照表!$K$27:$K$48,[1]对照表!$L$27:$L$48)),IF(B683="高二",IF($E683="男",LOOKUP(H683,[1]对照表!$J$3:$J$24,[1]对照表!$L$3:$L$24),LOOKUP(H683,[1]对照表!$J$27:$J$48,[1]对照表!$L$27:$L$48)),IF(B683="高一",IF($E683="男",LOOKUP(H683,[1]对照表!$I$3:$I$24,[1]对照表!$L$3:$L$24),LOOKUP(H683,[1]对照表!$I$27:$I$48,[1]对照表!$L$27:$L$48)))))</f>
        <v>60</v>
      </c>
      <c r="J683" s="21">
        <v>205</v>
      </c>
      <c r="K683" s="32">
        <f>IF(B683="高三",IF($E683="男",LOOKUP(J683,[1]对照表!$O$3:$O$24,[1]对照表!$P$3:$P$24),LOOKUP(J683,[1]对照表!$O$27:$O$48,[1]对照表!$P$27:$P$48)),IF(B683="高二",IF($E683="男",LOOKUP(J683,[1]对照表!$N$3:$N$24,[1]对照表!$P$3:$P$24),LOOKUP(J683,[1]对照表!$N$27:$N$48,[1]对照表!$P$27:$P$48)),IF(B683="高一",IF($E683="男",LOOKUP(J683,[1]对照表!$M$3:$M$24,[1]对照表!$P$3:$P$24),LOOKUP(J683,[1]对照表!$M$27:$M$48,[1]对照表!$P$27:$P$48)))))</f>
        <v>100</v>
      </c>
      <c r="L683" s="21">
        <v>57</v>
      </c>
      <c r="M683" s="32">
        <f>IF(B683="高三",IF($E683="男",LOOKUP(L683,[1]对照表!$S$3:$S$24,[1]对照表!$T$3:$T$24),LOOKUP(L683,[1]对照表!$S$27:$S$48,[1]对照表!$T$27:$T$48)),IF(B683="高二",IF($E683="男",LOOKUP(L683,[1]对照表!$R$3:$R$24,[1]对照表!$T$3:$T$24),LOOKUP(L683,[1]对照表!$R$27:$R$48,[1]对照表!$T$27:$T$48)),IF(B683="高一",IF($E683="男",LOOKUP(L683,[1]对照表!$Q$3:$Q$24,[1]对照表!$T$3:$T$24),LOOKUP(L683,[1]对照表!$Q$27:$Q$48,[1]对照表!$T$27:$T$48)))))</f>
        <v>100</v>
      </c>
      <c r="N683" s="33">
        <f>IF(B683="高三",MAX(IF(E683="男",L683-18,L683-55),0),IF(B683="高二",MAX(IF(E683="男",L683-17,L683-54),0),IF(B683="高一",MAX(IF(E683="男",L683-16,L683-53),0))))</f>
        <v>4</v>
      </c>
      <c r="O683" s="23">
        <f>IF(E683="男",LOOKUP($N683,[1]对照表!$Z$3:$Z$13,[1]对照表!$AA$3:$AA$13),LOOKUP($N683,[1]对照表!$Z$15:$Z$25,[1]对照表!$AA$15:$AA$25))</f>
        <v>2</v>
      </c>
      <c r="P683" s="24">
        <f>M683+O683</f>
        <v>102</v>
      </c>
      <c r="Q683" s="25">
        <v>3.22</v>
      </c>
      <c r="R683" s="32">
        <f>IF(B683="高三",IF($E683="男",LOOKUP(Q683,[1]对照表!$W$3:$W$24,[1]对照表!$X$3:$X$24),LOOKUP(Q683,[1]对照表!$W$27:$W$48,[1]对照表!$X$27:$X$48)),IF(B683="高二",IF($E683="男",LOOKUP(Q683,[1]对照表!$V$3:$V$24,[1]对照表!$X$3:$X$24),LOOKUP(Q683,[1]对照表!$V$27:$V$48,[1]对照表!$X$27:$X$48)),IF(B683="高一",IF($E683="男",LOOKUP(Q683,[1]对照表!$U$3:$U$24,[1]对照表!$X$3:$X$24),LOOKUP(Q683,[1]对照表!$U$27:$U$48,[1]对照表!$X$27:$X$48)))))</f>
        <v>100</v>
      </c>
      <c r="S683" s="33">
        <f>ROUND(IF(IF($B683="高三",MIN(IF($E683="男",$Q683-3.2,$Q683-3.2),0),IF($B683="高二",MIN(IF($E683="男",$Q683-3.25,$Q683-3.22),0),IF($B683="高一",MIN(IF($E683="男",$Q683-3.3,$Q683-3.24),0))))&lt;-0.6,IF($B683="高三",MIN(IF($E683="男",$Q683-3.2,$Q683-3.2),0),IF($B683="高二",MIN(IF($E683="男",$Q683-3.25,$Q683-3.22),0),IF($B683="高一",MIN(IF($E683="男",$Q683-3.3,$Q683-3.24),0))))+0.4,IF($B683="高三",MIN(IF($E683="男",$Q683-3.2,$Q683-3.2),0),IF($B683="高二",MIN(IF($E683="男",$Q683-3.25,$Q683-3.22),0),IF($B683="高一",MIN(IF($E683="男",$Q683-3.3,$Q683-3.24),0))))),2)</f>
        <v>-0.02</v>
      </c>
      <c r="T683" s="23">
        <f>IF(E683="男",LOOKUP($S683,[1]对照表!$AB$3:$AB$13,[1]对照表!$AC$3:$AC$13),LOOKUP($S683,[1]对照表!$AB$15:$AB$25,[1]对照表!$AC$15:$AC$25))</f>
        <v>0</v>
      </c>
      <c r="U683" s="26">
        <f>R683+T683</f>
        <v>100</v>
      </c>
      <c r="V683" s="26">
        <f>SUM(I683,K683,M683)/3*0.3+SUM(G683,R683)/2*0.4</f>
        <v>66</v>
      </c>
      <c r="W683" s="27">
        <f>O683+T683</f>
        <v>2</v>
      </c>
      <c r="X683" s="28">
        <f>V683/0.7+W683</f>
        <v>96.285714285714292</v>
      </c>
      <c r="Y683" s="28">
        <v>96.285714285714292</v>
      </c>
      <c r="Z683" s="21"/>
    </row>
    <row r="684" spans="1:26" x14ac:dyDescent="0.25">
      <c r="A684" s="16">
        <v>36</v>
      </c>
      <c r="B684" s="17" t="s">
        <v>21</v>
      </c>
      <c r="C684" s="16">
        <v>116</v>
      </c>
      <c r="D684" s="18" t="s">
        <v>220</v>
      </c>
      <c r="E684" s="16" t="s">
        <v>65</v>
      </c>
      <c r="F684" s="19">
        <v>8.85</v>
      </c>
      <c r="G684" s="32">
        <f>IF(B684="高三",IF($E684="男",LOOKUP(F684,[1]对照表!$G$3:$G$24,[1]对照表!$H$3:$H$24),LOOKUP(F684,[1]对照表!$G$27:$G$48,[1]对照表!$H$27:$H$48)),IF(B684="高二",IF($E684="男",LOOKUP(F684,[1]对照表!$F$3:$F$24,[1]对照表!$H$3:$H$24),LOOKUP(F684,[1]对照表!$F$27:$F$48,[1]对照表!$H$27:$H$48)),IF(B684="高一",IF($E684="男",LOOKUP(F684,[1]对照表!$E$3:$E$24,[1]对照表!$H$3:$H$24),LOOKUP(F684,[1]对照表!$E$27:$E$48,[1]对照表!$H$27:$H$48)))))</f>
        <v>76</v>
      </c>
      <c r="H684" s="21">
        <v>27</v>
      </c>
      <c r="I684" s="32">
        <f>IF(B684="高三",IF($E684="男",LOOKUP(H684,[1]对照表!$K$3:$K$24,[1]对照表!$L$3:$L$24),LOOKUP(H684,[1]对照表!$K$27:$K$48,[1]对照表!$L$27:$L$48)),IF(B684="高二",IF($E684="男",LOOKUP(H684,[1]对照表!$J$3:$J$24,[1]对照表!$L$3:$L$24),LOOKUP(H684,[1]对照表!$J$27:$J$48,[1]对照表!$L$27:$L$48)),IF(B684="高一",IF($E684="男",LOOKUP(H684,[1]对照表!$I$3:$I$24,[1]对照表!$L$3:$L$24),LOOKUP(H684,[1]对照表!$I$27:$I$48,[1]对照表!$L$27:$L$48)))))</f>
        <v>100</v>
      </c>
      <c r="J684" s="21">
        <v>198</v>
      </c>
      <c r="K684" s="32">
        <f>IF(B684="高三",IF($E684="男",LOOKUP(J684,[1]对照表!$O$3:$O$24,[1]对照表!$P$3:$P$24),LOOKUP(J684,[1]对照表!$O$27:$O$48,[1]对照表!$P$27:$P$48)),IF(B684="高二",IF($E684="男",LOOKUP(J684,[1]对照表!$N$3:$N$24,[1]对照表!$P$3:$P$24),LOOKUP(J684,[1]对照表!$N$27:$N$48,[1]对照表!$P$27:$P$48)),IF(B684="高一",IF($E684="男",LOOKUP(J684,[1]对照表!$M$3:$M$24,[1]对照表!$P$3:$P$24),LOOKUP(J684,[1]对照表!$M$27:$M$48,[1]对照表!$P$27:$P$48)))))</f>
        <v>95</v>
      </c>
      <c r="L684" s="21">
        <v>55</v>
      </c>
      <c r="M684" s="32">
        <f>IF(B684="高三",IF($E684="男",LOOKUP(L684,[1]对照表!$S$3:$S$24,[1]对照表!$T$3:$T$24),LOOKUP(L684,[1]对照表!$S$27:$S$48,[1]对照表!$T$27:$T$48)),IF(B684="高二",IF($E684="男",LOOKUP(L684,[1]对照表!$R$3:$R$24,[1]对照表!$T$3:$T$24),LOOKUP(L684,[1]对照表!$R$27:$R$48,[1]对照表!$T$27:$T$48)),IF(B684="高一",IF($E684="男",LOOKUP(L684,[1]对照表!$Q$3:$Q$24,[1]对照表!$T$3:$T$24),LOOKUP(L684,[1]对照表!$Q$27:$Q$48,[1]对照表!$T$27:$T$48)))))</f>
        <v>100</v>
      </c>
      <c r="N684" s="33">
        <f>IF(B684="高三",MAX(IF(E684="男",L684-18,L684-55),0),IF(B684="高二",MAX(IF(E684="男",L684-17,L684-54),0),IF(B684="高一",MAX(IF(E684="男",L684-16,L684-53),0))))</f>
        <v>2</v>
      </c>
      <c r="O684" s="23">
        <f>IF(E684="男",LOOKUP($N684,[1]对照表!$Z$3:$Z$13,[1]对照表!$AA$3:$AA$13),LOOKUP($N684,[1]对照表!$Z$15:$Z$25,[1]对照表!$AA$15:$AA$25))</f>
        <v>1</v>
      </c>
      <c r="P684" s="24">
        <f>M684+O684</f>
        <v>101</v>
      </c>
      <c r="Q684" s="25">
        <v>3.23</v>
      </c>
      <c r="R684" s="32">
        <f>IF(B684="高三",IF($E684="男",LOOKUP(Q684,[1]对照表!$W$3:$W$24,[1]对照表!$X$3:$X$24),LOOKUP(Q684,[1]对照表!$W$27:$W$48,[1]对照表!$X$27:$X$48)),IF(B684="高二",IF($E684="男",LOOKUP(Q684,[1]对照表!$V$3:$V$24,[1]对照表!$X$3:$X$24),LOOKUP(Q684,[1]对照表!$V$27:$V$48,[1]对照表!$X$27:$X$48)),IF(B684="高一",IF($E684="男",LOOKUP(Q684,[1]对照表!$U$3:$U$24,[1]对照表!$X$3:$X$24),LOOKUP(Q684,[1]对照表!$U$27:$U$48,[1]对照表!$X$27:$X$48)))))</f>
        <v>100</v>
      </c>
      <c r="S684" s="33">
        <f>ROUND(IF(IF($B684="高三",MIN(IF($E684="男",$Q684-3.2,$Q684-3.2),0),IF($B684="高二",MIN(IF($E684="男",$Q684-3.25,$Q684-3.22),0),IF($B684="高一",MIN(IF($E684="男",$Q684-3.3,$Q684-3.24),0))))&lt;-0.6,IF($B684="高三",MIN(IF($E684="男",$Q684-3.2,$Q684-3.2),0),IF($B684="高二",MIN(IF($E684="男",$Q684-3.25,$Q684-3.22),0),IF($B684="高一",MIN(IF($E684="男",$Q684-3.3,$Q684-3.24),0))))+0.4,IF($B684="高三",MIN(IF($E684="男",$Q684-3.2,$Q684-3.2),0),IF($B684="高二",MIN(IF($E684="男",$Q684-3.25,$Q684-3.22),0),IF($B684="高一",MIN(IF($E684="男",$Q684-3.3,$Q684-3.24),0))))),2)</f>
        <v>-0.01</v>
      </c>
      <c r="T684" s="23">
        <f>IF(E684="男",LOOKUP($S684,[1]对照表!$AB$3:$AB$13,[1]对照表!$AC$3:$AC$13),LOOKUP($S684,[1]对照表!$AB$15:$AB$25,[1]对照表!$AC$15:$AC$25))</f>
        <v>0</v>
      </c>
      <c r="U684" s="26">
        <f>R684+T684</f>
        <v>100</v>
      </c>
      <c r="V684" s="26">
        <f>SUM(I684,K684,M684)/3*0.3+SUM(G684,R684)/2*0.4</f>
        <v>64.7</v>
      </c>
      <c r="W684" s="27">
        <f>O684+T684</f>
        <v>1</v>
      </c>
      <c r="X684" s="28">
        <f>V684/0.7+W684</f>
        <v>93.428571428571445</v>
      </c>
      <c r="Y684" s="28">
        <v>93.428571428571445</v>
      </c>
      <c r="Z684" s="21"/>
    </row>
    <row r="685" spans="1:26" x14ac:dyDescent="0.25">
      <c r="A685" s="16">
        <v>9</v>
      </c>
      <c r="B685" s="17" t="s">
        <v>21</v>
      </c>
      <c r="C685" s="16">
        <v>116</v>
      </c>
      <c r="D685" s="18" t="s">
        <v>238</v>
      </c>
      <c r="E685" s="17" t="s">
        <v>65</v>
      </c>
      <c r="F685" s="19">
        <v>7.8</v>
      </c>
      <c r="G685" s="32">
        <f>IF(B685="高三",IF($E685="男",LOOKUP(F685,[1]对照表!$G$3:$G$24,[1]对照表!$H$3:$H$24),LOOKUP(F685,[1]对照表!$G$27:$G$48,[1]对照表!$H$27:$H$48)),IF(B685="高二",IF($E685="男",LOOKUP(F685,[1]对照表!$F$3:$F$24,[1]对照表!$H$3:$H$24),LOOKUP(F685,[1]对照表!$F$27:$F$48,[1]对照表!$H$27:$H$48)),IF(B685="高一",IF($E685="男",LOOKUP(F685,[1]对照表!$E$3:$E$24,[1]对照表!$H$3:$H$24),LOOKUP(F685,[1]对照表!$E$27:$E$48,[1]对照表!$H$27:$H$48)))))</f>
        <v>100</v>
      </c>
      <c r="H685" s="21">
        <v>12.1</v>
      </c>
      <c r="I685" s="32">
        <f>IF(B685="高三",IF($E685="男",LOOKUP(H685,[1]对照表!$K$3:$K$24,[1]对照表!$L$3:$L$24),LOOKUP(H685,[1]对照表!$K$27:$K$48,[1]对照表!$L$27:$L$48)),IF(B685="高二",IF($E685="男",LOOKUP(H685,[1]对照表!$J$3:$J$24,[1]对照表!$L$3:$L$24),LOOKUP(H685,[1]对照表!$J$27:$J$48,[1]对照表!$L$27:$L$48)),IF(B685="高一",IF($E685="男",LOOKUP(H685,[1]对照表!$I$3:$I$24,[1]对照表!$L$3:$L$24),LOOKUP(H685,[1]对照表!$I$27:$I$48,[1]对照表!$L$27:$L$48)))))</f>
        <v>70</v>
      </c>
      <c r="J685" s="21">
        <v>208</v>
      </c>
      <c r="K685" s="32">
        <f>IF(B685="高三",IF($E685="男",LOOKUP(J685,[1]对照表!$O$3:$O$24,[1]对照表!$P$3:$P$24),LOOKUP(J685,[1]对照表!$O$27:$O$48,[1]对照表!$P$27:$P$48)),IF(B685="高二",IF($E685="男",LOOKUP(J685,[1]对照表!$N$3:$N$24,[1]对照表!$P$3:$P$24),LOOKUP(J685,[1]对照表!$N$27:$N$48,[1]对照表!$P$27:$P$48)),IF(B685="高一",IF($E685="男",LOOKUP(J685,[1]对照表!$M$3:$M$24,[1]对照表!$P$3:$P$24),LOOKUP(J685,[1]对照表!$M$27:$M$48,[1]对照表!$P$27:$P$48)))))</f>
        <v>100</v>
      </c>
      <c r="L685" s="21">
        <v>55</v>
      </c>
      <c r="M685" s="32">
        <f>IF(B685="高三",IF($E685="男",LOOKUP(L685,[1]对照表!$S$3:$S$24,[1]对照表!$T$3:$T$24),LOOKUP(L685,[1]对照表!$S$27:$S$48,[1]对照表!$T$27:$T$48)),IF(B685="高二",IF($E685="男",LOOKUP(L685,[1]对照表!$R$3:$R$24,[1]对照表!$T$3:$T$24),LOOKUP(L685,[1]对照表!$R$27:$R$48,[1]对照表!$T$27:$T$48)),IF(B685="高一",IF($E685="男",LOOKUP(L685,[1]对照表!$Q$3:$Q$24,[1]对照表!$T$3:$T$24),LOOKUP(L685,[1]对照表!$Q$27:$Q$48,[1]对照表!$T$27:$T$48)))))</f>
        <v>100</v>
      </c>
      <c r="N685" s="33">
        <f>IF(B685="高三",MAX(IF(E685="男",L685-18,L685-55),0),IF(B685="高二",MAX(IF(E685="男",L685-17,L685-54),0),IF(B685="高一",MAX(IF(E685="男",L685-16,L685-53),0))))</f>
        <v>2</v>
      </c>
      <c r="O685" s="23">
        <f>IF(E685="男",LOOKUP($N685,[1]对照表!$Z$3:$Z$13,[1]对照表!$AA$3:$AA$13),LOOKUP($N685,[1]对照表!$Z$15:$Z$25,[1]对照表!$AA$15:$AA$25))</f>
        <v>1</v>
      </c>
      <c r="P685" s="24">
        <f>M685+O685</f>
        <v>101</v>
      </c>
      <c r="Q685" s="25">
        <v>3.25</v>
      </c>
      <c r="R685" s="32">
        <f>IF(B685="高三",IF($E685="男",LOOKUP(Q685,[1]对照表!$W$3:$W$24,[1]对照表!$X$3:$X$24),LOOKUP(Q685,[1]对照表!$W$27:$W$48,[1]对照表!$X$27:$X$48)),IF(B685="高二",IF($E685="男",LOOKUP(Q685,[1]对照表!$V$3:$V$24,[1]对照表!$X$3:$X$24),LOOKUP(Q685,[1]对照表!$V$27:$V$48,[1]对照表!$X$27:$X$48)),IF(B685="高一",IF($E685="男",LOOKUP(Q685,[1]对照表!$U$3:$U$24,[1]对照表!$X$3:$X$24),LOOKUP(Q685,[1]对照表!$U$27:$U$48,[1]对照表!$X$27:$X$48)))))</f>
        <v>95</v>
      </c>
      <c r="S685" s="33">
        <f>ROUND(IF(IF($B685="高三",MIN(IF($E685="男",$Q685-3.2,$Q685-3.2),0),IF($B685="高二",MIN(IF($E685="男",$Q685-3.25,$Q685-3.22),0),IF($B685="高一",MIN(IF($E685="男",$Q685-3.3,$Q685-3.24),0))))&lt;-0.6,IF($B685="高三",MIN(IF($E685="男",$Q685-3.2,$Q685-3.2),0),IF($B685="高二",MIN(IF($E685="男",$Q685-3.25,$Q685-3.22),0),IF($B685="高一",MIN(IF($E685="男",$Q685-3.3,$Q685-3.24),0))))+0.4,IF($B685="高三",MIN(IF($E685="男",$Q685-3.2,$Q685-3.2),0),IF($B685="高二",MIN(IF($E685="男",$Q685-3.25,$Q685-3.22),0),IF($B685="高一",MIN(IF($E685="男",$Q685-3.3,$Q685-3.24),0))))),2)</f>
        <v>0</v>
      </c>
      <c r="T685" s="23">
        <f>IF(E685="男",LOOKUP($S685,[1]对照表!$AB$3:$AB$13,[1]对照表!$AC$3:$AC$13),LOOKUP($S685,[1]对照表!$AB$15:$AB$25,[1]对照表!$AC$15:$AC$25))</f>
        <v>0</v>
      </c>
      <c r="U685" s="26">
        <f>R685+T685</f>
        <v>95</v>
      </c>
      <c r="V685" s="26">
        <f>SUM(I685,K685,M685)/3*0.3+SUM(G685,R685)/2*0.4</f>
        <v>66</v>
      </c>
      <c r="W685" s="27">
        <f>O685+T685</f>
        <v>1</v>
      </c>
      <c r="X685" s="28">
        <f>V685/0.7+W685</f>
        <v>95.285714285714292</v>
      </c>
      <c r="Y685" s="28">
        <v>95.285714285714292</v>
      </c>
      <c r="Z685" s="21"/>
    </row>
    <row r="686" spans="1:26" x14ac:dyDescent="0.25">
      <c r="A686" s="16">
        <v>43</v>
      </c>
      <c r="B686" s="17" t="s">
        <v>21</v>
      </c>
      <c r="C686" s="16">
        <v>116</v>
      </c>
      <c r="D686" s="18" t="s">
        <v>240</v>
      </c>
      <c r="E686" s="16" t="s">
        <v>65</v>
      </c>
      <c r="F686" s="19">
        <v>8.33</v>
      </c>
      <c r="G686" s="32">
        <f>IF(B686="高三",IF($E686="男",LOOKUP(F686,[1]对照表!$G$3:$G$24,[1]对照表!$H$3:$H$24),LOOKUP(F686,[1]对照表!$G$27:$G$48,[1]对照表!$H$27:$H$48)),IF(B686="高二",IF($E686="男",LOOKUP(F686,[1]对照表!$F$3:$F$24,[1]对照表!$H$3:$H$24),LOOKUP(F686,[1]对照表!$F$27:$F$48,[1]对照表!$H$27:$H$48)),IF(B686="高一",IF($E686="男",LOOKUP(F686,[1]对照表!$E$3:$E$24,[1]对照表!$H$3:$H$24),LOOKUP(F686,[1]对照表!$E$27:$E$48,[1]对照表!$H$27:$H$48)))))</f>
        <v>80</v>
      </c>
      <c r="H686" s="21">
        <v>15</v>
      </c>
      <c r="I686" s="32">
        <f>IF(B686="高三",IF($E686="男",LOOKUP(H686,[1]对照表!$K$3:$K$24,[1]对照表!$L$3:$L$24),LOOKUP(H686,[1]对照表!$K$27:$K$48,[1]对照表!$L$27:$L$48)),IF(B686="高二",IF($E686="男",LOOKUP(H686,[1]对照表!$J$3:$J$24,[1]对照表!$L$3:$L$24),LOOKUP(H686,[1]对照表!$J$27:$J$48,[1]对照表!$L$27:$L$48)),IF(B686="高一",IF($E686="男",LOOKUP(H686,[1]对照表!$I$3:$I$24,[1]对照表!$L$3:$L$24),LOOKUP(H686,[1]对照表!$I$27:$I$48,[1]对照表!$L$27:$L$48)))))</f>
        <v>76</v>
      </c>
      <c r="J686" s="21">
        <v>188</v>
      </c>
      <c r="K686" s="32">
        <f>IF(B686="高三",IF($E686="男",LOOKUP(J686,[1]对照表!$O$3:$O$24,[1]对照表!$P$3:$P$24),LOOKUP(J686,[1]对照表!$O$27:$O$48,[1]对照表!$P$27:$P$48)),IF(B686="高二",IF($E686="男",LOOKUP(J686,[1]对照表!$N$3:$N$24,[1]对照表!$P$3:$P$24),LOOKUP(J686,[1]对照表!$N$27:$N$48,[1]对照表!$P$27:$P$48)),IF(B686="高一",IF($E686="男",LOOKUP(J686,[1]对照表!$M$3:$M$24,[1]对照表!$P$3:$P$24),LOOKUP(J686,[1]对照表!$M$27:$M$48,[1]对照表!$P$27:$P$48)))))</f>
        <v>85</v>
      </c>
      <c r="L686" s="21">
        <v>55</v>
      </c>
      <c r="M686" s="32">
        <f>IF(B686="高三",IF($E686="男",LOOKUP(L686,[1]对照表!$S$3:$S$24,[1]对照表!$T$3:$T$24),LOOKUP(L686,[1]对照表!$S$27:$S$48,[1]对照表!$T$27:$T$48)),IF(B686="高二",IF($E686="男",LOOKUP(L686,[1]对照表!$R$3:$R$24,[1]对照表!$T$3:$T$24),LOOKUP(L686,[1]对照表!$R$27:$R$48,[1]对照表!$T$27:$T$48)),IF(B686="高一",IF($E686="男",LOOKUP(L686,[1]对照表!$Q$3:$Q$24,[1]对照表!$T$3:$T$24),LOOKUP(L686,[1]对照表!$Q$27:$Q$48,[1]对照表!$T$27:$T$48)))))</f>
        <v>100</v>
      </c>
      <c r="N686" s="33">
        <f>IF(B686="高三",MAX(IF(E686="男",L686-18,L686-55),0),IF(B686="高二",MAX(IF(E686="男",L686-17,L686-54),0),IF(B686="高一",MAX(IF(E686="男",L686-16,L686-53),0))))</f>
        <v>2</v>
      </c>
      <c r="O686" s="23">
        <f>IF(E686="男",LOOKUP($N686,[1]对照表!$Z$3:$Z$13,[1]对照表!$AA$3:$AA$13),LOOKUP($N686,[1]对照表!$Z$15:$Z$25,[1]对照表!$AA$15:$AA$25))</f>
        <v>1</v>
      </c>
      <c r="P686" s="24">
        <f>M686+O686</f>
        <v>101</v>
      </c>
      <c r="Q686" s="25">
        <v>3.25</v>
      </c>
      <c r="R686" s="32">
        <f>IF(B686="高三",IF($E686="男",LOOKUP(Q686,[1]对照表!$W$3:$W$24,[1]对照表!$X$3:$X$24),LOOKUP(Q686,[1]对照表!$W$27:$W$48,[1]对照表!$X$27:$X$48)),IF(B686="高二",IF($E686="男",LOOKUP(Q686,[1]对照表!$V$3:$V$24,[1]对照表!$X$3:$X$24),LOOKUP(Q686,[1]对照表!$V$27:$V$48,[1]对照表!$X$27:$X$48)),IF(B686="高一",IF($E686="男",LOOKUP(Q686,[1]对照表!$U$3:$U$24,[1]对照表!$X$3:$X$24),LOOKUP(Q686,[1]对照表!$U$27:$U$48,[1]对照表!$X$27:$X$48)))))</f>
        <v>95</v>
      </c>
      <c r="S686" s="33">
        <f>ROUND(IF(IF($B686="高三",MIN(IF($E686="男",$Q686-3.2,$Q686-3.2),0),IF($B686="高二",MIN(IF($E686="男",$Q686-3.25,$Q686-3.22),0),IF($B686="高一",MIN(IF($E686="男",$Q686-3.3,$Q686-3.24),0))))&lt;-0.6,IF($B686="高三",MIN(IF($E686="男",$Q686-3.2,$Q686-3.2),0),IF($B686="高二",MIN(IF($E686="男",$Q686-3.25,$Q686-3.22),0),IF($B686="高一",MIN(IF($E686="男",$Q686-3.3,$Q686-3.24),0))))+0.4,IF($B686="高三",MIN(IF($E686="男",$Q686-3.2,$Q686-3.2),0),IF($B686="高二",MIN(IF($E686="男",$Q686-3.25,$Q686-3.22),0),IF($B686="高一",MIN(IF($E686="男",$Q686-3.3,$Q686-3.24),0))))),2)</f>
        <v>0</v>
      </c>
      <c r="T686" s="23">
        <f>IF(E686="男",LOOKUP($S686,[1]对照表!$AB$3:$AB$13,[1]对照表!$AC$3:$AC$13),LOOKUP($S686,[1]对照表!$AB$15:$AB$25,[1]对照表!$AC$15:$AC$25))</f>
        <v>0</v>
      </c>
      <c r="U686" s="26">
        <f>R686+T686</f>
        <v>95</v>
      </c>
      <c r="V686" s="26">
        <f>SUM(I686,K686,M686)/3*0.3+SUM(G686,R686)/2*0.4</f>
        <v>61.099999999999994</v>
      </c>
      <c r="W686" s="27">
        <f>O686+T686</f>
        <v>1</v>
      </c>
      <c r="X686" s="28">
        <f>V686/0.7+W686</f>
        <v>88.285714285714278</v>
      </c>
      <c r="Y686" s="28">
        <v>88.285714285714278</v>
      </c>
      <c r="Z686" s="21"/>
    </row>
    <row r="687" spans="1:26" x14ac:dyDescent="0.25">
      <c r="A687" s="16">
        <v>22</v>
      </c>
      <c r="B687" s="17" t="s">
        <v>21</v>
      </c>
      <c r="C687" s="16">
        <v>116</v>
      </c>
      <c r="D687" s="18" t="s">
        <v>246</v>
      </c>
      <c r="E687" s="17" t="s">
        <v>65</v>
      </c>
      <c r="F687" s="19">
        <v>8.4600000000000009</v>
      </c>
      <c r="G687" s="32">
        <f>IF(B687="高三",IF($E687="男",LOOKUP(F687,[1]对照表!$G$3:$G$24,[1]对照表!$H$3:$H$24),LOOKUP(F687,[1]对照表!$G$27:$G$48,[1]对照表!$H$27:$H$48)),IF(B687="高二",IF($E687="男",LOOKUP(F687,[1]对照表!$F$3:$F$24,[1]对照表!$H$3:$H$24),LOOKUP(F687,[1]对照表!$F$27:$F$48,[1]对照表!$H$27:$H$48)),IF(B687="高一",IF($E687="男",LOOKUP(F687,[1]对照表!$E$3:$E$24,[1]对照表!$H$3:$H$24),LOOKUP(F687,[1]对照表!$E$27:$E$48,[1]对照表!$H$27:$H$48)))))</f>
        <v>80</v>
      </c>
      <c r="H687" s="21">
        <v>19.5</v>
      </c>
      <c r="I687" s="32">
        <f>IF(B687="高三",IF($E687="男",LOOKUP(H687,[1]对照表!$K$3:$K$24,[1]对照表!$L$3:$L$24),LOOKUP(H687,[1]对照表!$K$27:$K$48,[1]对照表!$L$27:$L$48)),IF(B687="高二",IF($E687="男",LOOKUP(H687,[1]对照表!$J$3:$J$24,[1]对照表!$L$3:$L$24),LOOKUP(H687,[1]对照表!$J$27:$J$48,[1]对照表!$L$27:$L$48)),IF(B687="高一",IF($E687="男",LOOKUP(H687,[1]对照表!$I$3:$I$24,[1]对照表!$L$3:$L$24),LOOKUP(H687,[1]对照表!$I$27:$I$48,[1]对照表!$L$27:$L$48)))))</f>
        <v>85</v>
      </c>
      <c r="J687" s="21">
        <v>188</v>
      </c>
      <c r="K687" s="32">
        <f>IF(B687="高三",IF($E687="男",LOOKUP(J687,[1]对照表!$O$3:$O$24,[1]对照表!$P$3:$P$24),LOOKUP(J687,[1]对照表!$O$27:$O$48,[1]对照表!$P$27:$P$48)),IF(B687="高二",IF($E687="男",LOOKUP(J687,[1]对照表!$N$3:$N$24,[1]对照表!$P$3:$P$24),LOOKUP(J687,[1]对照表!$N$27:$N$48,[1]对照表!$P$27:$P$48)),IF(B687="高一",IF($E687="男",LOOKUP(J687,[1]对照表!$M$3:$M$24,[1]对照表!$P$3:$P$24),LOOKUP(J687,[1]对照表!$M$27:$M$48,[1]对照表!$P$27:$P$48)))))</f>
        <v>85</v>
      </c>
      <c r="L687" s="21">
        <v>47</v>
      </c>
      <c r="M687" s="32">
        <f>IF(B687="高三",IF($E687="男",LOOKUP(L687,[1]对照表!$S$3:$S$24,[1]对照表!$T$3:$T$24),LOOKUP(L687,[1]对照表!$S$27:$S$48,[1]对照表!$T$27:$T$48)),IF(B687="高二",IF($E687="男",LOOKUP(L687,[1]对照表!$R$3:$R$24,[1]对照表!$T$3:$T$24),LOOKUP(L687,[1]对照表!$R$27:$R$48,[1]对照表!$T$27:$T$48)),IF(B687="高一",IF($E687="男",LOOKUP(L687,[1]对照表!$Q$3:$Q$24,[1]对照表!$T$3:$T$24),LOOKUP(L687,[1]对照表!$Q$27:$Q$48,[1]对照表!$T$27:$T$48)))))</f>
        <v>85</v>
      </c>
      <c r="N687" s="33">
        <f>IF(B687="高三",MAX(IF(E687="男",L687-18,L687-55),0),IF(B687="高二",MAX(IF(E687="男",L687-17,L687-54),0),IF(B687="高一",MAX(IF(E687="男",L687-16,L687-53),0))))</f>
        <v>0</v>
      </c>
      <c r="O687" s="23">
        <f>IF(E687="男",LOOKUP($N687,[1]对照表!$Z$3:$Z$13,[1]对照表!$AA$3:$AA$13),LOOKUP($N687,[1]对照表!$Z$15:$Z$25,[1]对照表!$AA$15:$AA$25))</f>
        <v>0</v>
      </c>
      <c r="P687" s="24">
        <f>M687+O687</f>
        <v>85</v>
      </c>
      <c r="Q687" s="25">
        <v>3.26</v>
      </c>
      <c r="R687" s="32">
        <f>IF(B687="高三",IF($E687="男",LOOKUP(Q687,[1]对照表!$W$3:$W$24,[1]对照表!$X$3:$X$24),LOOKUP(Q687,[1]对照表!$W$27:$W$48,[1]对照表!$X$27:$X$48)),IF(B687="高二",IF($E687="男",LOOKUP(Q687,[1]对照表!$V$3:$V$24,[1]对照表!$X$3:$X$24),LOOKUP(Q687,[1]对照表!$V$27:$V$48,[1]对照表!$X$27:$X$48)),IF(B687="高一",IF($E687="男",LOOKUP(Q687,[1]对照表!$U$3:$U$24,[1]对照表!$X$3:$X$24),LOOKUP(Q687,[1]对照表!$U$27:$U$48,[1]对照表!$X$27:$X$48)))))</f>
        <v>95</v>
      </c>
      <c r="S687" s="33">
        <f>ROUND(IF(IF($B687="高三",MIN(IF($E687="男",$Q687-3.2,$Q687-3.2),0),IF($B687="高二",MIN(IF($E687="男",$Q687-3.25,$Q687-3.22),0),IF($B687="高一",MIN(IF($E687="男",$Q687-3.3,$Q687-3.24),0))))&lt;-0.6,IF($B687="高三",MIN(IF($E687="男",$Q687-3.2,$Q687-3.2),0),IF($B687="高二",MIN(IF($E687="男",$Q687-3.25,$Q687-3.22),0),IF($B687="高一",MIN(IF($E687="男",$Q687-3.3,$Q687-3.24),0))))+0.4,IF($B687="高三",MIN(IF($E687="男",$Q687-3.2,$Q687-3.2),0),IF($B687="高二",MIN(IF($E687="男",$Q687-3.25,$Q687-3.22),0),IF($B687="高一",MIN(IF($E687="男",$Q687-3.3,$Q687-3.24),0))))),2)</f>
        <v>0</v>
      </c>
      <c r="T687" s="23">
        <f>IF(E687="男",LOOKUP($S687,[1]对照表!$AB$3:$AB$13,[1]对照表!$AC$3:$AC$13),LOOKUP($S687,[1]对照表!$AB$15:$AB$25,[1]对照表!$AC$15:$AC$25))</f>
        <v>0</v>
      </c>
      <c r="U687" s="26">
        <f>R687+T687</f>
        <v>95</v>
      </c>
      <c r="V687" s="26">
        <f>SUM(I687,K687,M687)/3*0.3+SUM(G687,R687)/2*0.4</f>
        <v>60.5</v>
      </c>
      <c r="W687" s="27">
        <f>O687+T687</f>
        <v>0</v>
      </c>
      <c r="X687" s="28">
        <f>V687/0.7+W687</f>
        <v>86.428571428571431</v>
      </c>
      <c r="Y687" s="28">
        <v>86.428571428571431</v>
      </c>
      <c r="Z687" s="21"/>
    </row>
    <row r="688" spans="1:26" x14ac:dyDescent="0.25">
      <c r="A688" s="16">
        <v>11</v>
      </c>
      <c r="B688" s="17" t="s">
        <v>21</v>
      </c>
      <c r="C688" s="16">
        <v>116</v>
      </c>
      <c r="D688" s="18" t="s">
        <v>252</v>
      </c>
      <c r="E688" s="17" t="s">
        <v>65</v>
      </c>
      <c r="F688" s="19">
        <v>8.8000000000000007</v>
      </c>
      <c r="G688" s="32">
        <f>IF(B688="高三",IF($E688="男",LOOKUP(F688,[1]对照表!$G$3:$G$24,[1]对照表!$H$3:$H$24),LOOKUP(F688,[1]对照表!$G$27:$G$48,[1]对照表!$H$27:$H$48)),IF(B688="高二",IF($E688="男",LOOKUP(F688,[1]对照表!$F$3:$F$24,[1]对照表!$H$3:$H$24),LOOKUP(F688,[1]对照表!$F$27:$F$48,[1]对照表!$H$27:$H$48)),IF(B688="高一",IF($E688="男",LOOKUP(F688,[1]对照表!$E$3:$E$24,[1]对照表!$H$3:$H$24),LOOKUP(F688,[1]对照表!$E$27:$E$48,[1]对照表!$H$27:$H$48)))))</f>
        <v>78</v>
      </c>
      <c r="H688" s="21">
        <v>25.9</v>
      </c>
      <c r="I688" s="32">
        <f>IF(B688="高三",IF($E688="男",LOOKUP(H688,[1]对照表!$K$3:$K$24,[1]对照表!$L$3:$L$24),LOOKUP(H688,[1]对照表!$K$27:$K$48,[1]对照表!$L$27:$L$48)),IF(B688="高二",IF($E688="男",LOOKUP(H688,[1]对照表!$J$3:$J$24,[1]对照表!$L$3:$L$24),LOOKUP(H688,[1]对照表!$J$27:$J$48,[1]对照表!$L$27:$L$48)),IF(B688="高一",IF($E688="男",LOOKUP(H688,[1]对照表!$I$3:$I$24,[1]对照表!$L$3:$L$24),LOOKUP(H688,[1]对照表!$I$27:$I$48,[1]对照表!$L$27:$L$48)))))</f>
        <v>100</v>
      </c>
      <c r="J688" s="21">
        <v>173</v>
      </c>
      <c r="K688" s="32">
        <f>IF(B688="高三",IF($E688="男",LOOKUP(J688,[1]对照表!$O$3:$O$24,[1]对照表!$P$3:$P$24),LOOKUP(J688,[1]对照表!$O$27:$O$48,[1]对照表!$P$27:$P$48)),IF(B688="高二",IF($E688="男",LOOKUP(J688,[1]对照表!$N$3:$N$24,[1]对照表!$P$3:$P$24),LOOKUP(J688,[1]对照表!$N$27:$N$48,[1]对照表!$P$27:$P$48)),IF(B688="高一",IF($E688="男",LOOKUP(J688,[1]对照表!$M$3:$M$24,[1]对照表!$P$3:$P$24),LOOKUP(J688,[1]对照表!$M$27:$M$48,[1]对照表!$P$27:$P$48)))))</f>
        <v>76</v>
      </c>
      <c r="L688" s="21">
        <v>52</v>
      </c>
      <c r="M688" s="32">
        <f>IF(B688="高三",IF($E688="男",LOOKUP(L688,[1]对照表!$S$3:$S$24,[1]对照表!$T$3:$T$24),LOOKUP(L688,[1]对照表!$S$27:$S$48,[1]对照表!$T$27:$T$48)),IF(B688="高二",IF($E688="男",LOOKUP(L688,[1]对照表!$R$3:$R$24,[1]对照表!$T$3:$T$24),LOOKUP(L688,[1]对照表!$R$27:$R$48,[1]对照表!$T$27:$T$48)),IF(B688="高一",IF($E688="男",LOOKUP(L688,[1]对照表!$Q$3:$Q$24,[1]对照表!$T$3:$T$24),LOOKUP(L688,[1]对照表!$Q$27:$Q$48,[1]对照表!$T$27:$T$48)))))</f>
        <v>95</v>
      </c>
      <c r="N688" s="33">
        <f>IF(B688="高三",MAX(IF(E688="男",L688-18,L688-55),0),IF(B688="高二",MAX(IF(E688="男",L688-17,L688-54),0),IF(B688="高一",MAX(IF(E688="男",L688-16,L688-53),0))))</f>
        <v>0</v>
      </c>
      <c r="O688" s="23">
        <f>IF(E688="男",LOOKUP($N688,[1]对照表!$Z$3:$Z$13,[1]对照表!$AA$3:$AA$13),LOOKUP($N688,[1]对照表!$Z$15:$Z$25,[1]对照表!$AA$15:$AA$25))</f>
        <v>0</v>
      </c>
      <c r="P688" s="24">
        <f>M688+O688</f>
        <v>95</v>
      </c>
      <c r="Q688" s="25">
        <v>3.27</v>
      </c>
      <c r="R688" s="32">
        <f>IF(B688="高三",IF($E688="男",LOOKUP(Q688,[1]对照表!$W$3:$W$24,[1]对照表!$X$3:$X$24),LOOKUP(Q688,[1]对照表!$W$27:$W$48,[1]对照表!$X$27:$X$48)),IF(B688="高二",IF($E688="男",LOOKUP(Q688,[1]对照表!$V$3:$V$24,[1]对照表!$X$3:$X$24),LOOKUP(Q688,[1]对照表!$V$27:$V$48,[1]对照表!$X$27:$X$48)),IF(B688="高一",IF($E688="男",LOOKUP(Q688,[1]对照表!$U$3:$U$24,[1]对照表!$X$3:$X$24),LOOKUP(Q688,[1]对照表!$U$27:$U$48,[1]对照表!$X$27:$X$48)))))</f>
        <v>95</v>
      </c>
      <c r="S688" s="33">
        <f>ROUND(IF(IF($B688="高三",MIN(IF($E688="男",$Q688-3.2,$Q688-3.2),0),IF($B688="高二",MIN(IF($E688="男",$Q688-3.25,$Q688-3.22),0),IF($B688="高一",MIN(IF($E688="男",$Q688-3.3,$Q688-3.24),0))))&lt;-0.6,IF($B688="高三",MIN(IF($E688="男",$Q688-3.2,$Q688-3.2),0),IF($B688="高二",MIN(IF($E688="男",$Q688-3.25,$Q688-3.22),0),IF($B688="高一",MIN(IF($E688="男",$Q688-3.3,$Q688-3.24),0))))+0.4,IF($B688="高三",MIN(IF($E688="男",$Q688-3.2,$Q688-3.2),0),IF($B688="高二",MIN(IF($E688="男",$Q688-3.25,$Q688-3.22),0),IF($B688="高一",MIN(IF($E688="男",$Q688-3.3,$Q688-3.24),0))))),2)</f>
        <v>0</v>
      </c>
      <c r="T688" s="23">
        <f>IF(E688="男",LOOKUP($S688,[1]对照表!$AB$3:$AB$13,[1]对照表!$AC$3:$AC$13),LOOKUP($S688,[1]对照表!$AB$15:$AB$25,[1]对照表!$AC$15:$AC$25))</f>
        <v>0</v>
      </c>
      <c r="U688" s="26">
        <f>R688+T688</f>
        <v>95</v>
      </c>
      <c r="V688" s="26">
        <f>SUM(I688,K688,M688)/3*0.3+SUM(G688,R688)/2*0.4</f>
        <v>61.7</v>
      </c>
      <c r="W688" s="27">
        <f>O688+T688</f>
        <v>0</v>
      </c>
      <c r="X688" s="28">
        <f>V688/0.7+W688</f>
        <v>88.142857142857153</v>
      </c>
      <c r="Y688" s="28">
        <v>88.142857142857153</v>
      </c>
      <c r="Z688" s="21"/>
    </row>
    <row r="689" spans="1:26" x14ac:dyDescent="0.25">
      <c r="A689" s="16">
        <v>19</v>
      </c>
      <c r="B689" s="17" t="s">
        <v>21</v>
      </c>
      <c r="C689" s="16">
        <v>116</v>
      </c>
      <c r="D689" s="18" t="s">
        <v>253</v>
      </c>
      <c r="E689" s="31" t="s">
        <v>65</v>
      </c>
      <c r="F689" s="19">
        <v>9.02</v>
      </c>
      <c r="G689" s="32">
        <f>IF(B689="高三",IF($E689="男",LOOKUP(F689,[1]对照表!$G$3:$G$24,[1]对照表!$H$3:$H$24),LOOKUP(F689,[1]对照表!$G$27:$G$48,[1]对照表!$H$27:$H$48)),IF(B689="高二",IF($E689="男",LOOKUP(F689,[1]对照表!$F$3:$F$24,[1]对照表!$H$3:$H$24),LOOKUP(F689,[1]对照表!$F$27:$F$48,[1]对照表!$H$27:$H$48)),IF(B689="高一",IF($E689="男",LOOKUP(F689,[1]对照表!$E$3:$E$24,[1]对照表!$H$3:$H$24),LOOKUP(F689,[1]对照表!$E$27:$E$48,[1]对照表!$H$27:$H$48)))))</f>
        <v>74</v>
      </c>
      <c r="H689" s="21">
        <v>4.2</v>
      </c>
      <c r="I689" s="32">
        <f>IF(B689="高三",IF($E689="男",LOOKUP(H689,[1]对照表!$K$3:$K$24,[1]对照表!$L$3:$L$24),LOOKUP(H689,[1]对照表!$K$27:$K$48,[1]对照表!$L$27:$L$48)),IF(B689="高二",IF($E689="男",LOOKUP(H689,[1]对照表!$J$3:$J$24,[1]对照表!$L$3:$L$24),LOOKUP(H689,[1]对照表!$J$27:$J$48,[1]对照表!$L$27:$L$48)),IF(B689="高一",IF($E689="男",LOOKUP(H689,[1]对照表!$I$3:$I$24,[1]对照表!$L$3:$L$24),LOOKUP(H689,[1]对照表!$I$27:$I$48,[1]对照表!$L$27:$L$48)))))</f>
        <v>50</v>
      </c>
      <c r="J689" s="21">
        <v>165</v>
      </c>
      <c r="K689" s="32">
        <f>IF(B689="高三",IF($E689="男",LOOKUP(J689,[1]对照表!$O$3:$O$24,[1]对照表!$P$3:$P$24),LOOKUP(J689,[1]对照表!$O$27:$O$48,[1]对照表!$P$27:$P$48)),IF(B689="高二",IF($E689="男",LOOKUP(J689,[1]对照表!$N$3:$N$24,[1]对照表!$P$3:$P$24),LOOKUP(J689,[1]对照表!$N$27:$N$48,[1]对照表!$P$27:$P$48)),IF(B689="高一",IF($E689="男",LOOKUP(J689,[1]对照表!$M$3:$M$24,[1]对照表!$P$3:$P$24),LOOKUP(J689,[1]对照表!$M$27:$M$48,[1]对照表!$P$27:$P$48)))))</f>
        <v>70</v>
      </c>
      <c r="L689" s="21">
        <v>38</v>
      </c>
      <c r="M689" s="32">
        <f>IF(B689="高三",IF($E689="男",LOOKUP(L689,[1]对照表!$S$3:$S$24,[1]对照表!$T$3:$T$24),LOOKUP(L689,[1]对照表!$S$27:$S$48,[1]对照表!$T$27:$T$48)),IF(B689="高二",IF($E689="男",LOOKUP(L689,[1]对照表!$R$3:$R$24,[1]对照表!$T$3:$T$24),LOOKUP(L689,[1]对照表!$R$27:$R$48,[1]对照表!$T$27:$T$48)),IF(B689="高一",IF($E689="男",LOOKUP(L689,[1]对照表!$Q$3:$Q$24,[1]对照表!$T$3:$T$24),LOOKUP(L689,[1]对照表!$Q$27:$Q$48,[1]对照表!$T$27:$T$48)))))</f>
        <v>74</v>
      </c>
      <c r="N689" s="33">
        <f>IF(B689="高三",MAX(IF(E689="男",L689-18,L689-55),0),IF(B689="高二",MAX(IF(E689="男",L689-17,L689-54),0),IF(B689="高一",MAX(IF(E689="男",L689-16,L689-53),0))))</f>
        <v>0</v>
      </c>
      <c r="O689" s="23">
        <f>IF(E689="男",LOOKUP($N689,[1]对照表!$Z$3:$Z$13,[1]对照表!$AA$3:$AA$13),LOOKUP($N689,[1]对照表!$Z$15:$Z$25,[1]对照表!$AA$15:$AA$25))</f>
        <v>0</v>
      </c>
      <c r="P689" s="24">
        <f>M689+O689</f>
        <v>74</v>
      </c>
      <c r="Q689" s="25">
        <v>3.27</v>
      </c>
      <c r="R689" s="32">
        <f>IF(B689="高三",IF($E689="男",LOOKUP(Q689,[1]对照表!$W$3:$W$24,[1]对照表!$X$3:$X$24),LOOKUP(Q689,[1]对照表!$W$27:$W$48,[1]对照表!$X$27:$X$48)),IF(B689="高二",IF($E689="男",LOOKUP(Q689,[1]对照表!$V$3:$V$24,[1]对照表!$X$3:$X$24),LOOKUP(Q689,[1]对照表!$V$27:$V$48,[1]对照表!$X$27:$X$48)),IF(B689="高一",IF($E689="男",LOOKUP(Q689,[1]对照表!$U$3:$U$24,[1]对照表!$X$3:$X$24),LOOKUP(Q689,[1]对照表!$U$27:$U$48,[1]对照表!$X$27:$X$48)))))</f>
        <v>95</v>
      </c>
      <c r="S689" s="33">
        <f>ROUND(IF(IF($B689="高三",MIN(IF($E689="男",$Q689-3.2,$Q689-3.2),0),IF($B689="高二",MIN(IF($E689="男",$Q689-3.25,$Q689-3.22),0),IF($B689="高一",MIN(IF($E689="男",$Q689-3.3,$Q689-3.24),0))))&lt;-0.6,IF($B689="高三",MIN(IF($E689="男",$Q689-3.2,$Q689-3.2),0),IF($B689="高二",MIN(IF($E689="男",$Q689-3.25,$Q689-3.22),0),IF($B689="高一",MIN(IF($E689="男",$Q689-3.3,$Q689-3.24),0))))+0.4,IF($B689="高三",MIN(IF($E689="男",$Q689-3.2,$Q689-3.2),0),IF($B689="高二",MIN(IF($E689="男",$Q689-3.25,$Q689-3.22),0),IF($B689="高一",MIN(IF($E689="男",$Q689-3.3,$Q689-3.24),0))))),2)</f>
        <v>0</v>
      </c>
      <c r="T689" s="23">
        <f>IF(E689="男",LOOKUP($S689,[1]对照表!$AB$3:$AB$13,[1]对照表!$AC$3:$AC$13),LOOKUP($S689,[1]对照表!$AB$15:$AB$25,[1]对照表!$AC$15:$AC$25))</f>
        <v>0</v>
      </c>
      <c r="U689" s="26">
        <f>R689+T689</f>
        <v>95</v>
      </c>
      <c r="V689" s="26">
        <f>SUM(I689,K689,M689)/3*0.3+SUM(G689,R689)/2*0.4</f>
        <v>53.2</v>
      </c>
      <c r="W689" s="27">
        <f>O689+T689</f>
        <v>0</v>
      </c>
      <c r="X689" s="28">
        <f>V689/0.7+W689</f>
        <v>76.000000000000014</v>
      </c>
      <c r="Y689" s="28">
        <v>76.000000000000014</v>
      </c>
      <c r="Z689" s="21"/>
    </row>
    <row r="690" spans="1:26" x14ac:dyDescent="0.25">
      <c r="A690" s="16">
        <v>37</v>
      </c>
      <c r="B690" s="17" t="s">
        <v>21</v>
      </c>
      <c r="C690" s="16">
        <v>116</v>
      </c>
      <c r="D690" s="18" t="s">
        <v>261</v>
      </c>
      <c r="E690" s="16" t="s">
        <v>65</v>
      </c>
      <c r="F690" s="19">
        <v>8.9</v>
      </c>
      <c r="G690" s="32">
        <f>IF(B690="高三",IF($E690="男",LOOKUP(F690,[1]对照表!$G$3:$G$24,[1]对照表!$H$3:$H$24),LOOKUP(F690,[1]对照表!$G$27:$G$48,[1]对照表!$H$27:$H$48)),IF(B690="高二",IF($E690="男",LOOKUP(F690,[1]对照表!$F$3:$F$24,[1]对照表!$H$3:$H$24),LOOKUP(F690,[1]对照表!$F$27:$F$48,[1]对照表!$H$27:$H$48)),IF(B690="高一",IF($E690="男",LOOKUP(F690,[1]对照表!$E$3:$E$24,[1]对照表!$H$3:$H$24),LOOKUP(F690,[1]对照表!$E$27:$E$48,[1]对照表!$H$27:$H$48)))))</f>
        <v>76</v>
      </c>
      <c r="H690" s="21">
        <v>21</v>
      </c>
      <c r="I690" s="32">
        <f>IF(B690="高三",IF($E690="男",LOOKUP(H690,[1]对照表!$K$3:$K$24,[1]对照表!$L$3:$L$24),LOOKUP(H690,[1]对照表!$K$27:$K$48,[1]对照表!$L$27:$L$48)),IF(B690="高二",IF($E690="男",LOOKUP(H690,[1]对照表!$J$3:$J$24,[1]对照表!$L$3:$L$24),LOOKUP(H690,[1]对照表!$J$27:$J$48,[1]对照表!$L$27:$L$48)),IF(B690="高一",IF($E690="男",LOOKUP(H690,[1]对照表!$I$3:$I$24,[1]对照表!$L$3:$L$24),LOOKUP(H690,[1]对照表!$I$27:$I$48,[1]对照表!$L$27:$L$48)))))</f>
        <v>90</v>
      </c>
      <c r="J690" s="21">
        <v>182</v>
      </c>
      <c r="K690" s="32">
        <f>IF(B690="高三",IF($E690="男",LOOKUP(J690,[1]对照表!$O$3:$O$24,[1]对照表!$P$3:$P$24),LOOKUP(J690,[1]对照表!$O$27:$O$48,[1]对照表!$P$27:$P$48)),IF(B690="高二",IF($E690="男",LOOKUP(J690,[1]对照表!$N$3:$N$24,[1]对照表!$P$3:$P$24),LOOKUP(J690,[1]对照表!$N$27:$N$48,[1]对照表!$P$27:$P$48)),IF(B690="高一",IF($E690="男",LOOKUP(J690,[1]对照表!$M$3:$M$24,[1]对照表!$P$3:$P$24),LOOKUP(J690,[1]对照表!$M$27:$M$48,[1]对照表!$P$27:$P$48)))))</f>
        <v>80</v>
      </c>
      <c r="L690" s="21">
        <v>55</v>
      </c>
      <c r="M690" s="32">
        <f>IF(B690="高三",IF($E690="男",LOOKUP(L690,[1]对照表!$S$3:$S$24,[1]对照表!$T$3:$T$24),LOOKUP(L690,[1]对照表!$S$27:$S$48,[1]对照表!$T$27:$T$48)),IF(B690="高二",IF($E690="男",LOOKUP(L690,[1]对照表!$R$3:$R$24,[1]对照表!$T$3:$T$24),LOOKUP(L690,[1]对照表!$R$27:$R$48,[1]对照表!$T$27:$T$48)),IF(B690="高一",IF($E690="男",LOOKUP(L690,[1]对照表!$Q$3:$Q$24,[1]对照表!$T$3:$T$24),LOOKUP(L690,[1]对照表!$Q$27:$Q$48,[1]对照表!$T$27:$T$48)))))</f>
        <v>100</v>
      </c>
      <c r="N690" s="33">
        <f>IF(B690="高三",MAX(IF(E690="男",L690-18,L690-55),0),IF(B690="高二",MAX(IF(E690="男",L690-17,L690-54),0),IF(B690="高一",MAX(IF(E690="男",L690-16,L690-53),0))))</f>
        <v>2</v>
      </c>
      <c r="O690" s="23">
        <f>IF(E690="男",LOOKUP($N690,[1]对照表!$Z$3:$Z$13,[1]对照表!$AA$3:$AA$13),LOOKUP($N690,[1]对照表!$Z$15:$Z$25,[1]对照表!$AA$15:$AA$25))</f>
        <v>1</v>
      </c>
      <c r="P690" s="24">
        <f>M690+O690</f>
        <v>101</v>
      </c>
      <c r="Q690" s="25">
        <v>3.29</v>
      </c>
      <c r="R690" s="32">
        <f>IF(B690="高三",IF($E690="男",LOOKUP(Q690,[1]对照表!$W$3:$W$24,[1]对照表!$X$3:$X$24),LOOKUP(Q690,[1]对照表!$W$27:$W$48,[1]对照表!$X$27:$X$48)),IF(B690="高二",IF($E690="男",LOOKUP(Q690,[1]对照表!$V$3:$V$24,[1]对照表!$X$3:$X$24),LOOKUP(Q690,[1]对照表!$V$27:$V$48,[1]对照表!$X$27:$X$48)),IF(B690="高一",IF($E690="男",LOOKUP(Q690,[1]对照表!$U$3:$U$24,[1]对照表!$X$3:$X$24),LOOKUP(Q690,[1]对照表!$U$27:$U$48,[1]对照表!$X$27:$X$48)))))</f>
        <v>95</v>
      </c>
      <c r="S690" s="33">
        <f>ROUND(IF(IF($B690="高三",MIN(IF($E690="男",$Q690-3.2,$Q690-3.2),0),IF($B690="高二",MIN(IF($E690="男",$Q690-3.25,$Q690-3.22),0),IF($B690="高一",MIN(IF($E690="男",$Q690-3.3,$Q690-3.24),0))))&lt;-0.6,IF($B690="高三",MIN(IF($E690="男",$Q690-3.2,$Q690-3.2),0),IF($B690="高二",MIN(IF($E690="男",$Q690-3.25,$Q690-3.22),0),IF($B690="高一",MIN(IF($E690="男",$Q690-3.3,$Q690-3.24),0))))+0.4,IF($B690="高三",MIN(IF($E690="男",$Q690-3.2,$Q690-3.2),0),IF($B690="高二",MIN(IF($E690="男",$Q690-3.25,$Q690-3.22),0),IF($B690="高一",MIN(IF($E690="男",$Q690-3.3,$Q690-3.24),0))))),2)</f>
        <v>0</v>
      </c>
      <c r="T690" s="23">
        <f>IF(E690="男",LOOKUP($S690,[1]对照表!$AB$3:$AB$13,[1]对照表!$AC$3:$AC$13),LOOKUP($S690,[1]对照表!$AB$15:$AB$25,[1]对照表!$AC$15:$AC$25))</f>
        <v>0</v>
      </c>
      <c r="U690" s="26">
        <f>R690+T690</f>
        <v>95</v>
      </c>
      <c r="V690" s="26">
        <f>SUM(I690,K690,M690)/3*0.3+SUM(G690,R690)/2*0.4</f>
        <v>61.2</v>
      </c>
      <c r="W690" s="27">
        <f>O690+T690</f>
        <v>1</v>
      </c>
      <c r="X690" s="28">
        <f>V690/0.7+W690</f>
        <v>88.428571428571445</v>
      </c>
      <c r="Y690" s="28">
        <v>88.428571428571445</v>
      </c>
      <c r="Z690" s="21"/>
    </row>
    <row r="691" spans="1:26" x14ac:dyDescent="0.25">
      <c r="A691" s="16">
        <v>17</v>
      </c>
      <c r="B691" s="17" t="s">
        <v>21</v>
      </c>
      <c r="C691" s="16">
        <v>116</v>
      </c>
      <c r="D691" s="18" t="s">
        <v>263</v>
      </c>
      <c r="E691" s="17" t="s">
        <v>65</v>
      </c>
      <c r="F691" s="19">
        <v>9.18</v>
      </c>
      <c r="G691" s="32">
        <f>IF(B691="高三",IF($E691="男",LOOKUP(F691,[1]对照表!$G$3:$G$24,[1]对照表!$H$3:$H$24),LOOKUP(F691,[1]对照表!$G$27:$G$48,[1]对照表!$H$27:$H$48)),IF(B691="高二",IF($E691="男",LOOKUP(F691,[1]对照表!$F$3:$F$24,[1]对照表!$H$3:$H$24),LOOKUP(F691,[1]对照表!$F$27:$F$48,[1]对照表!$H$27:$H$48)),IF(B691="高一",IF($E691="男",LOOKUP(F691,[1]对照表!$E$3:$E$24,[1]对照表!$H$3:$H$24),LOOKUP(F691,[1]对照表!$E$27:$E$48,[1]对照表!$H$27:$H$48)))))</f>
        <v>74</v>
      </c>
      <c r="H691" s="21">
        <v>14.2</v>
      </c>
      <c r="I691" s="32">
        <f>IF(B691="高三",IF($E691="男",LOOKUP(H691,[1]对照表!$K$3:$K$24,[1]对照表!$L$3:$L$24),LOOKUP(H691,[1]对照表!$K$27:$K$48,[1]对照表!$L$27:$L$48)),IF(B691="高二",IF($E691="男",LOOKUP(H691,[1]对照表!$J$3:$J$24,[1]对照表!$L$3:$L$24),LOOKUP(H691,[1]对照表!$J$27:$J$48,[1]对照表!$L$27:$L$48)),IF(B691="高一",IF($E691="男",LOOKUP(H691,[1]对照表!$I$3:$I$24,[1]对照表!$L$3:$L$24),LOOKUP(H691,[1]对照表!$I$27:$I$48,[1]对照表!$L$27:$L$48)))))</f>
        <v>74</v>
      </c>
      <c r="J691" s="21">
        <v>173</v>
      </c>
      <c r="K691" s="32">
        <f>IF(B691="高三",IF($E691="男",LOOKUP(J691,[1]对照表!$O$3:$O$24,[1]对照表!$P$3:$P$24),LOOKUP(J691,[1]对照表!$O$27:$O$48,[1]对照表!$P$27:$P$48)),IF(B691="高二",IF($E691="男",LOOKUP(J691,[1]对照表!$N$3:$N$24,[1]对照表!$P$3:$P$24),LOOKUP(J691,[1]对照表!$N$27:$N$48,[1]对照表!$P$27:$P$48)),IF(B691="高一",IF($E691="男",LOOKUP(J691,[1]对照表!$M$3:$M$24,[1]对照表!$P$3:$P$24),LOOKUP(J691,[1]对照表!$M$27:$M$48,[1]对照表!$P$27:$P$48)))))</f>
        <v>76</v>
      </c>
      <c r="L691" s="21">
        <v>43</v>
      </c>
      <c r="M691" s="32">
        <f>IF(B691="高三",IF($E691="男",LOOKUP(L691,[1]对照表!$S$3:$S$24,[1]对照表!$T$3:$T$24),LOOKUP(L691,[1]对照表!$S$27:$S$48,[1]对照表!$T$27:$T$48)),IF(B691="高二",IF($E691="男",LOOKUP(L691,[1]对照表!$R$3:$R$24,[1]对照表!$T$3:$T$24),LOOKUP(L691,[1]对照表!$R$27:$R$48,[1]对照表!$T$27:$T$48)),IF(B691="高一",IF($E691="男",LOOKUP(L691,[1]对照表!$Q$3:$Q$24,[1]对照表!$T$3:$T$24),LOOKUP(L691,[1]对照表!$Q$27:$Q$48,[1]对照表!$T$27:$T$48)))))</f>
        <v>80</v>
      </c>
      <c r="N691" s="27">
        <f>IF(B691="高三",MAX(IF(E691="男",L691-18,L691-55),0),IF(B691="高二",MAX(IF(E691="男",L691-17,L691-54),0),IF(B691="高一",MAX(IF(E691="男",L691-16,L691-53),0))))</f>
        <v>0</v>
      </c>
      <c r="O691" s="23">
        <f>IF(E691="男",LOOKUP($N691,[1]对照表!$Z$3:$Z$13,[1]对照表!$AA$3:$AA$13),LOOKUP($N691,[1]对照表!$Z$15:$Z$25,[1]对照表!$AA$15:$AA$25))</f>
        <v>0</v>
      </c>
      <c r="P691" s="24">
        <f>M691+O691</f>
        <v>80</v>
      </c>
      <c r="Q691" s="25">
        <v>3.29</v>
      </c>
      <c r="R691" s="32">
        <f>IF(B691="高三",IF($E691="男",LOOKUP(Q691,[1]对照表!$W$3:$W$24,[1]对照表!$X$3:$X$24),LOOKUP(Q691,[1]对照表!$W$27:$W$48,[1]对照表!$X$27:$X$48)),IF(B691="高二",IF($E691="男",LOOKUP(Q691,[1]对照表!$V$3:$V$24,[1]对照表!$X$3:$X$24),LOOKUP(Q691,[1]对照表!$V$27:$V$48,[1]对照表!$X$27:$X$48)),IF(B691="高一",IF($E691="男",LOOKUP(Q691,[1]对照表!$U$3:$U$24,[1]对照表!$X$3:$X$24),LOOKUP(Q691,[1]对照表!$U$27:$U$48,[1]对照表!$X$27:$X$48)))))</f>
        <v>95</v>
      </c>
      <c r="S691" s="27">
        <f>ROUND(IF(IF($B691="高三",MIN(IF($E691="男",$Q691-3.2,$Q691-3.2),0),IF($B691="高二",MIN(IF($E691="男",$Q691-3.25,$Q691-3.22),0),IF($B691="高一",MIN(IF($E691="男",$Q691-3.3,$Q691-3.24),0))))&lt;-0.6,IF($B691="高三",MIN(IF($E691="男",$Q691-3.2,$Q691-3.2),0),IF($B691="高二",MIN(IF($E691="男",$Q691-3.25,$Q691-3.22),0),IF($B691="高一",MIN(IF($E691="男",$Q691-3.3,$Q691-3.24),0))))+0.4,IF($B691="高三",MIN(IF($E691="男",$Q691-3.2,$Q691-3.2),0),IF($B691="高二",MIN(IF($E691="男",$Q691-3.25,$Q691-3.22),0),IF($B691="高一",MIN(IF($E691="男",$Q691-3.3,$Q691-3.24),0))))),2)</f>
        <v>0</v>
      </c>
      <c r="T691" s="23">
        <f>IF(E691="男",LOOKUP($S691,[1]对照表!$AB$3:$AB$13,[1]对照表!$AC$3:$AC$13),LOOKUP($S691,[1]对照表!$AB$15:$AB$25,[1]对照表!$AC$15:$AC$25))</f>
        <v>0</v>
      </c>
      <c r="U691" s="26">
        <f>R691+T691</f>
        <v>95</v>
      </c>
      <c r="V691" s="26">
        <f>SUM(I691,K691,M691)/3*0.3+SUM(G691,R691)/2*0.4</f>
        <v>56.800000000000004</v>
      </c>
      <c r="W691" s="27">
        <f>O691+T691</f>
        <v>0</v>
      </c>
      <c r="X691" s="28">
        <f>V691/0.7+W691</f>
        <v>81.142857142857153</v>
      </c>
      <c r="Y691" s="28">
        <v>81.142857142857153</v>
      </c>
      <c r="Z691" s="21"/>
    </row>
    <row r="692" spans="1:26" x14ac:dyDescent="0.25">
      <c r="A692" s="16">
        <v>4</v>
      </c>
      <c r="B692" s="17" t="s">
        <v>21</v>
      </c>
      <c r="C692" s="16">
        <v>116</v>
      </c>
      <c r="D692" s="18" t="s">
        <v>289</v>
      </c>
      <c r="E692" s="16" t="s">
        <v>23</v>
      </c>
      <c r="F692" s="19">
        <v>7.2</v>
      </c>
      <c r="G692" s="32">
        <f>IF(B692="高三",IF($E692="男",LOOKUP(F692,[1]对照表!$G$3:$G$24,[1]对照表!$H$3:$H$24),LOOKUP(F692,[1]对照表!$G$27:$G$48,[1]对照表!$H$27:$H$48)),IF(B692="高二",IF($E692="男",LOOKUP(F692,[1]对照表!$F$3:$F$24,[1]对照表!$H$3:$H$24),LOOKUP(F692,[1]对照表!$F$27:$F$48,[1]对照表!$H$27:$H$48)),IF(B692="高一",IF($E692="男",LOOKUP(F692,[1]对照表!$E$3:$E$24,[1]对照表!$H$3:$H$24),LOOKUP(F692,[1]对照表!$E$27:$E$48,[1]对照表!$H$27:$H$48)))))</f>
        <v>95</v>
      </c>
      <c r="H692" s="21">
        <v>16.3</v>
      </c>
      <c r="I692" s="32">
        <f>IF(B692="高三",IF($E692="男",LOOKUP(H692,[1]对照表!$K$3:$K$24,[1]对照表!$L$3:$L$24),LOOKUP(H692,[1]对照表!$K$27:$K$48,[1]对照表!$L$27:$L$48)),IF(B692="高二",IF($E692="男",LOOKUP(H692,[1]对照表!$J$3:$J$24,[1]对照表!$L$3:$L$24),LOOKUP(H692,[1]对照表!$J$27:$J$48,[1]对照表!$L$27:$L$48)),IF(B692="高一",IF($E692="男",LOOKUP(H692,[1]对照表!$I$3:$I$24,[1]对照表!$L$3:$L$24),LOOKUP(H692,[1]对照表!$I$27:$I$48,[1]对照表!$L$27:$L$48)))))</f>
        <v>80</v>
      </c>
      <c r="J692" s="21">
        <v>243</v>
      </c>
      <c r="K692" s="32">
        <f>IF(B692="高三",IF($E692="男",LOOKUP(J692,[1]对照表!$O$3:$O$24,[1]对照表!$P$3:$P$24),LOOKUP(J692,[1]对照表!$O$27:$O$48,[1]对照表!$P$27:$P$48)),IF(B692="高二",IF($E692="男",LOOKUP(J692,[1]对照表!$N$3:$N$24,[1]对照表!$P$3:$P$24),LOOKUP(J692,[1]对照表!$N$27:$N$48,[1]对照表!$P$27:$P$48)),IF(B692="高一",IF($E692="男",LOOKUP(J692,[1]对照表!$M$3:$M$24,[1]对照表!$P$3:$P$24),LOOKUP(J692,[1]对照表!$M$27:$M$48,[1]对照表!$P$27:$P$48)))))</f>
        <v>85</v>
      </c>
      <c r="L692" s="21">
        <v>10</v>
      </c>
      <c r="M692" s="32">
        <f>IF(B692="高三",IF($E692="男",LOOKUP(L692,[1]对照表!$S$3:$S$24,[1]对照表!$T$3:$T$24),LOOKUP(L692,[1]对照表!$S$27:$S$48,[1]对照表!$T$27:$T$48)),IF(B692="高二",IF($E692="男",LOOKUP(L692,[1]对照表!$R$3:$R$24,[1]对照表!$T$3:$T$24),LOOKUP(L692,[1]对照表!$R$27:$R$48,[1]对照表!$T$27:$T$48)),IF(B692="高一",IF($E692="男",LOOKUP(L692,[1]对照表!$Q$3:$Q$24,[1]对照表!$T$3:$T$24),LOOKUP(L692,[1]对照表!$Q$27:$Q$48,[1]对照表!$T$27:$T$48)))))</f>
        <v>72</v>
      </c>
      <c r="N692" s="33">
        <f>IF(B692="高三",MAX(IF(E692="男",L692-18,L692-55),0),IF(B692="高二",MAX(IF(E692="男",L692-17,L692-54),0),IF(B692="高一",MAX(IF(E692="男",L692-16,L692-53),0))))</f>
        <v>0</v>
      </c>
      <c r="O692" s="23">
        <f>IF(E692="男",LOOKUP($N692,[1]对照表!$Z$3:$Z$13,[1]对照表!$AA$3:$AA$13),LOOKUP($N692,[1]对照表!$Z$15:$Z$25,[1]对照表!$AA$15:$AA$25))</f>
        <v>0</v>
      </c>
      <c r="P692" s="24">
        <f>M692+O692</f>
        <v>72</v>
      </c>
      <c r="Q692" s="25">
        <v>3.47</v>
      </c>
      <c r="R692" s="32">
        <f>IF(B692="高三",IF($E692="男",LOOKUP(Q692,[1]对照表!$W$3:$W$24,[1]对照表!$X$3:$X$24),LOOKUP(Q692,[1]对照表!$W$27:$W$48,[1]对照表!$X$27:$X$48)),IF(B692="高二",IF($E692="男",LOOKUP(Q692,[1]对照表!$V$3:$V$24,[1]对照表!$X$3:$X$24),LOOKUP(Q692,[1]对照表!$V$27:$V$48,[1]对照表!$X$27:$X$48)),IF(B692="高一",IF($E692="男",LOOKUP(Q692,[1]对照表!$U$3:$U$24,[1]对照表!$X$3:$X$24),LOOKUP(Q692,[1]对照表!$U$27:$U$48,[1]对照表!$X$27:$X$48)))))</f>
        <v>85</v>
      </c>
      <c r="S692" s="33">
        <f>ROUND(IF(IF($B692="高三",MIN(IF($E692="男",$Q692-3.2,$Q692-3.2),0),IF($B692="高二",MIN(IF($E692="男",$Q692-3.25,$Q692-3.22),0),IF($B692="高一",MIN(IF($E692="男",$Q692-3.3,$Q692-3.24),0))))&lt;-0.6,IF($B692="高三",MIN(IF($E692="男",$Q692-3.2,$Q692-3.2),0),IF($B692="高二",MIN(IF($E692="男",$Q692-3.25,$Q692-3.22),0),IF($B692="高一",MIN(IF($E692="男",$Q692-3.3,$Q692-3.24),0))))+0.4,IF($B692="高三",MIN(IF($E692="男",$Q692-3.2,$Q692-3.2),0),IF($B692="高二",MIN(IF($E692="男",$Q692-3.25,$Q692-3.22),0),IF($B692="高一",MIN(IF($E692="男",$Q692-3.3,$Q692-3.24),0))))),2)</f>
        <v>0</v>
      </c>
      <c r="T692" s="23">
        <f>IF(E692="男",LOOKUP($S692,[1]对照表!$AB$3:$AB$13,[1]对照表!$AC$3:$AC$13),LOOKUP($S692,[1]对照表!$AB$15:$AB$25,[1]对照表!$AC$15:$AC$25))</f>
        <v>0</v>
      </c>
      <c r="U692" s="26">
        <f>R692+T692</f>
        <v>85</v>
      </c>
      <c r="V692" s="26">
        <f>SUM(I692,K692,M692)/3*0.3+SUM(G692,R692)/2*0.4</f>
        <v>59.7</v>
      </c>
      <c r="W692" s="27">
        <f>O692+T692</f>
        <v>0</v>
      </c>
      <c r="X692" s="28">
        <f>V692/0.7+W692</f>
        <v>85.285714285714292</v>
      </c>
      <c r="Y692" s="28">
        <v>85.285714285714292</v>
      </c>
      <c r="Z692" s="21"/>
    </row>
    <row r="693" spans="1:26" x14ac:dyDescent="0.25">
      <c r="A693" s="16">
        <v>45</v>
      </c>
      <c r="B693" s="17" t="s">
        <v>21</v>
      </c>
      <c r="C693" s="16">
        <v>116</v>
      </c>
      <c r="D693" s="18" t="s">
        <v>311</v>
      </c>
      <c r="E693" s="16" t="s">
        <v>65</v>
      </c>
      <c r="F693" s="19">
        <v>8.39</v>
      </c>
      <c r="G693" s="32">
        <f>IF(B693="高三",IF($E693="男",LOOKUP(F693,[1]对照表!$G$3:$G$24,[1]对照表!$H$3:$H$24),LOOKUP(F693,[1]对照表!$G$27:$G$48,[1]对照表!$H$27:$H$48)),IF(B693="高二",IF($E693="男",LOOKUP(F693,[1]对照表!$F$3:$F$24,[1]对照表!$H$3:$H$24),LOOKUP(F693,[1]对照表!$F$27:$F$48,[1]对照表!$H$27:$H$48)),IF(B693="高一",IF($E693="男",LOOKUP(F693,[1]对照表!$E$3:$E$24,[1]对照表!$H$3:$H$24),LOOKUP(F693,[1]对照表!$E$27:$E$48,[1]对照表!$H$27:$H$48)))))</f>
        <v>80</v>
      </c>
      <c r="H693" s="21">
        <v>21.5</v>
      </c>
      <c r="I693" s="32">
        <f>IF(B693="高三",IF($E693="男",LOOKUP(H693,[1]对照表!$K$3:$K$24,[1]对照表!$L$3:$L$24),LOOKUP(H693,[1]对照表!$K$27:$K$48,[1]对照表!$L$27:$L$48)),IF(B693="高二",IF($E693="男",LOOKUP(H693,[1]对照表!$J$3:$J$24,[1]对照表!$L$3:$L$24),LOOKUP(H693,[1]对照表!$J$27:$J$48,[1]对照表!$L$27:$L$48)),IF(B693="高一",IF($E693="男",LOOKUP(H693,[1]对照表!$I$3:$I$24,[1]对照表!$L$3:$L$24),LOOKUP(H693,[1]对照表!$I$27:$I$48,[1]对照表!$L$27:$L$48)))))</f>
        <v>90</v>
      </c>
      <c r="J693" s="21">
        <v>175</v>
      </c>
      <c r="K693" s="32">
        <f>IF(B693="高三",IF($E693="男",LOOKUP(J693,[1]对照表!$O$3:$O$24,[1]对照表!$P$3:$P$24),LOOKUP(J693,[1]对照表!$O$27:$O$48,[1]对照表!$P$27:$P$48)),IF(B693="高二",IF($E693="男",LOOKUP(J693,[1]对照表!$N$3:$N$24,[1]对照表!$P$3:$P$24),LOOKUP(J693,[1]对照表!$N$27:$N$48,[1]对照表!$P$27:$P$48)),IF(B693="高一",IF($E693="男",LOOKUP(J693,[1]对照表!$M$3:$M$24,[1]对照表!$P$3:$P$24),LOOKUP(J693,[1]对照表!$M$27:$M$48,[1]对照表!$P$27:$P$48)))))</f>
        <v>78</v>
      </c>
      <c r="L693" s="21">
        <v>51</v>
      </c>
      <c r="M693" s="32">
        <f>IF(B693="高三",IF($E693="男",LOOKUP(L693,[1]对照表!$S$3:$S$24,[1]对照表!$T$3:$T$24),LOOKUP(L693,[1]对照表!$S$27:$S$48,[1]对照表!$T$27:$T$48)),IF(B693="高二",IF($E693="男",LOOKUP(L693,[1]对照表!$R$3:$R$24,[1]对照表!$T$3:$T$24),LOOKUP(L693,[1]对照表!$R$27:$R$48,[1]对照表!$T$27:$T$48)),IF(B693="高一",IF($E693="男",LOOKUP(L693,[1]对照表!$Q$3:$Q$24,[1]对照表!$T$3:$T$24),LOOKUP(L693,[1]对照表!$Q$27:$Q$48,[1]对照表!$T$27:$T$48)))))</f>
        <v>95</v>
      </c>
      <c r="N693" s="33">
        <f>IF(B693="高三",MAX(IF(E693="男",L693-18,L693-55),0),IF(B693="高二",MAX(IF(E693="男",L693-17,L693-54),0),IF(B693="高一",MAX(IF(E693="男",L693-16,L693-53),0))))</f>
        <v>0</v>
      </c>
      <c r="O693" s="23">
        <f>IF(E693="男",LOOKUP($N693,[1]对照表!$Z$3:$Z$13,[1]对照表!$AA$3:$AA$13),LOOKUP($N693,[1]对照表!$Z$15:$Z$25,[1]对照表!$AA$15:$AA$25))</f>
        <v>0</v>
      </c>
      <c r="P693" s="24">
        <f>M693+O693</f>
        <v>95</v>
      </c>
      <c r="Q693" s="25">
        <v>3.31</v>
      </c>
      <c r="R693" s="32">
        <f>IF(B693="高三",IF($E693="男",LOOKUP(Q693,[1]对照表!$W$3:$W$24,[1]对照表!$X$3:$X$24),LOOKUP(Q693,[1]对照表!$W$27:$W$48,[1]对照表!$X$27:$X$48)),IF(B693="高二",IF($E693="男",LOOKUP(Q693,[1]对照表!$V$3:$V$24,[1]对照表!$X$3:$X$24),LOOKUP(Q693,[1]对照表!$V$27:$V$48,[1]对照表!$X$27:$X$48)),IF(B693="高一",IF($E693="男",LOOKUP(Q693,[1]对照表!$U$3:$U$24,[1]对照表!$X$3:$X$24),LOOKUP(Q693,[1]对照表!$U$27:$U$48,[1]对照表!$X$27:$X$48)))))</f>
        <v>90</v>
      </c>
      <c r="S693" s="27">
        <f>ROUND(IF(IF($B693="高三",MIN(IF($E693="男",$Q693-3.2,$Q693-3.2),0),IF($B693="高二",MIN(IF($E693="男",$Q693-3.25,$Q693-3.22),0),IF($B693="高一",MIN(IF($E693="男",$Q693-3.3,$Q693-3.24),0))))&lt;-0.6,IF($B693="高三",MIN(IF($E693="男",$Q693-3.2,$Q693-3.2),0),IF($B693="高二",MIN(IF($E693="男",$Q693-3.25,$Q693-3.22),0),IF($B693="高一",MIN(IF($E693="男",$Q693-3.3,$Q693-3.24),0))))+0.4,IF($B693="高三",MIN(IF($E693="男",$Q693-3.2,$Q693-3.2),0),IF($B693="高二",MIN(IF($E693="男",$Q693-3.25,$Q693-3.22),0),IF($B693="高一",MIN(IF($E693="男",$Q693-3.3,$Q693-3.24),0))))),2)</f>
        <v>0</v>
      </c>
      <c r="T693" s="23">
        <f>IF(E693="男",LOOKUP($S693,[1]对照表!$AB$3:$AB$13,[1]对照表!$AC$3:$AC$13),LOOKUP($S693,[1]对照表!$AB$15:$AB$25,[1]对照表!$AC$15:$AC$25))</f>
        <v>0</v>
      </c>
      <c r="U693" s="26">
        <f>R693+T693</f>
        <v>90</v>
      </c>
      <c r="V693" s="26">
        <f>SUM(I693,K693,M693)/3*0.3+SUM(G693,R693)/2*0.4</f>
        <v>60.3</v>
      </c>
      <c r="W693" s="27">
        <f>O693+T693</f>
        <v>0</v>
      </c>
      <c r="X693" s="28">
        <f>V693/0.7+W693</f>
        <v>86.142857142857139</v>
      </c>
      <c r="Y693" s="28">
        <v>86.142857142857139</v>
      </c>
      <c r="Z693" s="21"/>
    </row>
    <row r="694" spans="1:26" x14ac:dyDescent="0.25">
      <c r="A694" s="16">
        <v>48</v>
      </c>
      <c r="B694" s="17" t="s">
        <v>21</v>
      </c>
      <c r="C694" s="16">
        <v>116</v>
      </c>
      <c r="D694" s="18" t="s">
        <v>313</v>
      </c>
      <c r="E694" s="16" t="s">
        <v>65</v>
      </c>
      <c r="F694" s="19">
        <v>8.9600000000000009</v>
      </c>
      <c r="G694" s="32">
        <f>IF(B694="高三",IF($E694="男",LOOKUP(F694,[1]对照表!$G$3:$G$24,[1]对照表!$H$3:$H$24),LOOKUP(F694,[1]对照表!$G$27:$G$48,[1]对照表!$H$27:$H$48)),IF(B694="高二",IF($E694="男",LOOKUP(F694,[1]对照表!$F$3:$F$24,[1]对照表!$H$3:$H$24),LOOKUP(F694,[1]对照表!$F$27:$F$48,[1]对照表!$H$27:$H$48)),IF(B694="高一",IF($E694="男",LOOKUP(F694,[1]对照表!$E$3:$E$24,[1]对照表!$H$3:$H$24),LOOKUP(F694,[1]对照表!$E$27:$E$48,[1]对照表!$H$27:$H$48)))))</f>
        <v>76</v>
      </c>
      <c r="H694" s="21">
        <v>20</v>
      </c>
      <c r="I694" s="32">
        <f>IF(B694="高三",IF($E694="男",LOOKUP(H694,[1]对照表!$K$3:$K$24,[1]对照表!$L$3:$L$24),LOOKUP(H694,[1]对照表!$K$27:$K$48,[1]对照表!$L$27:$L$48)),IF(B694="高二",IF($E694="男",LOOKUP(H694,[1]对照表!$J$3:$J$24,[1]对照表!$L$3:$L$24),LOOKUP(H694,[1]对照表!$J$27:$J$48,[1]对照表!$L$27:$L$48)),IF(B694="高一",IF($E694="男",LOOKUP(H694,[1]对照表!$I$3:$I$24,[1]对照表!$L$3:$L$24),LOOKUP(H694,[1]对照表!$I$27:$I$48,[1]对照表!$L$27:$L$48)))))</f>
        <v>85</v>
      </c>
      <c r="J694" s="21">
        <v>157</v>
      </c>
      <c r="K694" s="32">
        <f>IF(B694="高三",IF($E694="男",LOOKUP(J694,[1]对照表!$O$3:$O$24,[1]对照表!$P$3:$P$24),LOOKUP(J694,[1]对照表!$O$27:$O$48,[1]对照表!$P$27:$P$48)),IF(B694="高二",IF($E694="男",LOOKUP(J694,[1]对照表!$N$3:$N$24,[1]对照表!$P$3:$P$24),LOOKUP(J694,[1]对照表!$N$27:$N$48,[1]对照表!$P$27:$P$48)),IF(B694="高一",IF($E694="男",LOOKUP(J694,[1]对照表!$M$3:$M$24,[1]对照表!$P$3:$P$24),LOOKUP(J694,[1]对照表!$M$27:$M$48,[1]对照表!$P$27:$P$48)))))</f>
        <v>66</v>
      </c>
      <c r="L694" s="21">
        <v>48</v>
      </c>
      <c r="M694" s="32">
        <f>IF(B694="高三",IF($E694="男",LOOKUP(L694,[1]对照表!$S$3:$S$24,[1]对照表!$T$3:$T$24),LOOKUP(L694,[1]对照表!$S$27:$S$48,[1]对照表!$T$27:$T$48)),IF(B694="高二",IF($E694="男",LOOKUP(L694,[1]对照表!$R$3:$R$24,[1]对照表!$T$3:$T$24),LOOKUP(L694,[1]对照表!$R$27:$R$48,[1]对照表!$T$27:$T$48)),IF(B694="高一",IF($E694="男",LOOKUP(L694,[1]对照表!$Q$3:$Q$24,[1]对照表!$T$3:$T$24),LOOKUP(L694,[1]对照表!$Q$27:$Q$48,[1]对照表!$T$27:$T$48)))))</f>
        <v>85</v>
      </c>
      <c r="N694" s="33">
        <f>IF(B694="高三",MAX(IF(E694="男",L694-18,L694-55),0),IF(B694="高二",MAX(IF(E694="男",L694-17,L694-54),0),IF(B694="高一",MAX(IF(E694="男",L694-16,L694-53),0))))</f>
        <v>0</v>
      </c>
      <c r="O694" s="23">
        <f>IF(E694="男",LOOKUP($N694,[1]对照表!$Z$3:$Z$13,[1]对照表!$AA$3:$AA$13),LOOKUP($N694,[1]对照表!$Z$15:$Z$25,[1]对照表!$AA$15:$AA$25))</f>
        <v>0</v>
      </c>
      <c r="P694" s="24">
        <f>M694+O694</f>
        <v>85</v>
      </c>
      <c r="Q694" s="25">
        <v>3.31</v>
      </c>
      <c r="R694" s="32">
        <f>IF(B694="高三",IF($E694="男",LOOKUP(Q694,[1]对照表!$W$3:$W$24,[1]对照表!$X$3:$X$24),LOOKUP(Q694,[1]对照表!$W$27:$W$48,[1]对照表!$X$27:$X$48)),IF(B694="高二",IF($E694="男",LOOKUP(Q694,[1]对照表!$V$3:$V$24,[1]对照表!$X$3:$X$24),LOOKUP(Q694,[1]对照表!$V$27:$V$48,[1]对照表!$X$27:$X$48)),IF(B694="高一",IF($E694="男",LOOKUP(Q694,[1]对照表!$U$3:$U$24,[1]对照表!$X$3:$X$24),LOOKUP(Q694,[1]对照表!$U$27:$U$48,[1]对照表!$X$27:$X$48)))))</f>
        <v>90</v>
      </c>
      <c r="S694" s="33">
        <f>ROUND(IF(IF($B694="高三",MIN(IF($E694="男",$Q694-3.2,$Q694-3.2),0),IF($B694="高二",MIN(IF($E694="男",$Q694-3.25,$Q694-3.22),0),IF($B694="高一",MIN(IF($E694="男",$Q694-3.3,$Q694-3.24),0))))&lt;-0.6,IF($B694="高三",MIN(IF($E694="男",$Q694-3.2,$Q694-3.2),0),IF($B694="高二",MIN(IF($E694="男",$Q694-3.25,$Q694-3.22),0),IF($B694="高一",MIN(IF($E694="男",$Q694-3.3,$Q694-3.24),0))))+0.4,IF($B694="高三",MIN(IF($E694="男",$Q694-3.2,$Q694-3.2),0),IF($B694="高二",MIN(IF($E694="男",$Q694-3.25,$Q694-3.22),0),IF($B694="高一",MIN(IF($E694="男",$Q694-3.3,$Q694-3.24),0))))),2)</f>
        <v>0</v>
      </c>
      <c r="T694" s="23">
        <f>IF(E694="男",LOOKUP($S694,[1]对照表!$AB$3:$AB$13,[1]对照表!$AC$3:$AC$13),LOOKUP($S694,[1]对照表!$AB$15:$AB$25,[1]对照表!$AC$15:$AC$25))</f>
        <v>0</v>
      </c>
      <c r="U694" s="26">
        <f>R694+T694</f>
        <v>90</v>
      </c>
      <c r="V694" s="26">
        <f>SUM(I694,K694,M694)/3*0.3+SUM(G694,R694)/2*0.4</f>
        <v>56.800000000000004</v>
      </c>
      <c r="W694" s="27">
        <f>O694+T694</f>
        <v>0</v>
      </c>
      <c r="X694" s="28">
        <f>V694/0.7+W694</f>
        <v>81.142857142857153</v>
      </c>
      <c r="Y694" s="28">
        <v>81.142857142857153</v>
      </c>
      <c r="Z694" s="21"/>
    </row>
    <row r="695" spans="1:26" x14ac:dyDescent="0.25">
      <c r="A695" s="16">
        <v>30</v>
      </c>
      <c r="B695" s="17" t="s">
        <v>21</v>
      </c>
      <c r="C695" s="16">
        <v>116</v>
      </c>
      <c r="D695" s="18" t="s">
        <v>344</v>
      </c>
      <c r="E695" s="34" t="s">
        <v>65</v>
      </c>
      <c r="F695" s="19">
        <v>8.76</v>
      </c>
      <c r="G695" s="32">
        <f>IF(B695="高三",IF($E695="男",LOOKUP(F695,[1]对照表!$G$3:$G$24,[1]对照表!$H$3:$H$24),LOOKUP(F695,[1]对照表!$G$27:$G$48,[1]对照表!$H$27:$H$48)),IF(B695="高二",IF($E695="男",LOOKUP(F695,[1]对照表!$F$3:$F$24,[1]对照表!$H$3:$H$24),LOOKUP(F695,[1]对照表!$F$27:$F$48,[1]对照表!$H$27:$H$48)),IF(B695="高一",IF($E695="男",LOOKUP(F695,[1]对照表!$E$3:$E$24,[1]对照表!$H$3:$H$24),LOOKUP(F695,[1]对照表!$E$27:$E$48,[1]对照表!$H$27:$H$48)))))</f>
        <v>78</v>
      </c>
      <c r="H695" s="21">
        <v>15</v>
      </c>
      <c r="I695" s="32">
        <f>IF(B695="高三",IF($E695="男",LOOKUP(H695,[1]对照表!$K$3:$K$24,[1]对照表!$L$3:$L$24),LOOKUP(H695,[1]对照表!$K$27:$K$48,[1]对照表!$L$27:$L$48)),IF(B695="高二",IF($E695="男",LOOKUP(H695,[1]对照表!$J$3:$J$24,[1]对照表!$L$3:$L$24),LOOKUP(H695,[1]对照表!$J$27:$J$48,[1]对照表!$L$27:$L$48)),IF(B695="高一",IF($E695="男",LOOKUP(H695,[1]对照表!$I$3:$I$24,[1]对照表!$L$3:$L$24),LOOKUP(H695,[1]对照表!$I$27:$I$48,[1]对照表!$L$27:$L$48)))))</f>
        <v>76</v>
      </c>
      <c r="J695" s="21">
        <v>208</v>
      </c>
      <c r="K695" s="32">
        <f>IF(B695="高三",IF($E695="男",LOOKUP(J695,[1]对照表!$O$3:$O$24,[1]对照表!$P$3:$P$24),LOOKUP(J695,[1]对照表!$O$27:$O$48,[1]对照表!$P$27:$P$48)),IF(B695="高二",IF($E695="男",LOOKUP(J695,[1]对照表!$N$3:$N$24,[1]对照表!$P$3:$P$24),LOOKUP(J695,[1]对照表!$N$27:$N$48,[1]对照表!$P$27:$P$48)),IF(B695="高一",IF($E695="男",LOOKUP(J695,[1]对照表!$M$3:$M$24,[1]对照表!$P$3:$P$24),LOOKUP(J695,[1]对照表!$M$27:$M$48,[1]对照表!$P$27:$P$48)))))</f>
        <v>100</v>
      </c>
      <c r="L695" s="21">
        <v>55</v>
      </c>
      <c r="M695" s="32">
        <f>IF(B695="高三",IF($E695="男",LOOKUP(L695,[1]对照表!$S$3:$S$24,[1]对照表!$T$3:$T$24),LOOKUP(L695,[1]对照表!$S$27:$S$48,[1]对照表!$T$27:$T$48)),IF(B695="高二",IF($E695="男",LOOKUP(L695,[1]对照表!$R$3:$R$24,[1]对照表!$T$3:$T$24),LOOKUP(L695,[1]对照表!$R$27:$R$48,[1]对照表!$T$27:$T$48)),IF(B695="高一",IF($E695="男",LOOKUP(L695,[1]对照表!$Q$3:$Q$24,[1]对照表!$T$3:$T$24),LOOKUP(L695,[1]对照表!$Q$27:$Q$48,[1]对照表!$T$27:$T$48)))))</f>
        <v>100</v>
      </c>
      <c r="N695" s="33">
        <f>IF(B695="高三",MAX(IF(E695="男",L695-18,L695-55),0),IF(B695="高二",MAX(IF(E695="男",L695-17,L695-54),0),IF(B695="高一",MAX(IF(E695="男",L695-16,L695-53),0))))</f>
        <v>2</v>
      </c>
      <c r="O695" s="23">
        <f>IF(E695="男",LOOKUP($N695,[1]对照表!$Z$3:$Z$13,[1]对照表!$AA$3:$AA$13),LOOKUP($N695,[1]对照表!$Z$15:$Z$25,[1]对照表!$AA$15:$AA$25))</f>
        <v>1</v>
      </c>
      <c r="P695" s="24">
        <f>M695+O695</f>
        <v>101</v>
      </c>
      <c r="Q695" s="25">
        <v>3.33</v>
      </c>
      <c r="R695" s="32">
        <f>IF(B695="高三",IF($E695="男",LOOKUP(Q695,[1]对照表!$W$3:$W$24,[1]对照表!$X$3:$X$24),LOOKUP(Q695,[1]对照表!$W$27:$W$48,[1]对照表!$X$27:$X$48)),IF(B695="高二",IF($E695="男",LOOKUP(Q695,[1]对照表!$V$3:$V$24,[1]对照表!$X$3:$X$24),LOOKUP(Q695,[1]对照表!$V$27:$V$48,[1]对照表!$X$27:$X$48)),IF(B695="高一",IF($E695="男",LOOKUP(Q695,[1]对照表!$U$3:$U$24,[1]对照表!$X$3:$X$24),LOOKUP(Q695,[1]对照表!$U$27:$U$48,[1]对照表!$X$27:$X$48)))))</f>
        <v>90</v>
      </c>
      <c r="S695" s="27">
        <f>ROUND(IF(IF($B695="高三",MIN(IF($E695="男",$Q695-3.2,$Q695-3.2),0),IF($B695="高二",MIN(IF($E695="男",$Q695-3.25,$Q695-3.22),0),IF($B695="高一",MIN(IF($E695="男",$Q695-3.3,$Q695-3.24),0))))&lt;-0.6,IF($B695="高三",MIN(IF($E695="男",$Q695-3.2,$Q695-3.2),0),IF($B695="高二",MIN(IF($E695="男",$Q695-3.25,$Q695-3.22),0),IF($B695="高一",MIN(IF($E695="男",$Q695-3.3,$Q695-3.24),0))))+0.4,IF($B695="高三",MIN(IF($E695="男",$Q695-3.2,$Q695-3.2),0),IF($B695="高二",MIN(IF($E695="男",$Q695-3.25,$Q695-3.22),0),IF($B695="高一",MIN(IF($E695="男",$Q695-3.3,$Q695-3.24),0))))),2)</f>
        <v>0</v>
      </c>
      <c r="T695" s="23">
        <f>IF(E695="男",LOOKUP($S695,[1]对照表!$AB$3:$AB$13,[1]对照表!$AC$3:$AC$13),LOOKUP($S695,[1]对照表!$AB$15:$AB$25,[1]对照表!$AC$15:$AC$25))</f>
        <v>0</v>
      </c>
      <c r="U695" s="26">
        <f>R695+T695</f>
        <v>90</v>
      </c>
      <c r="V695" s="26">
        <f>SUM(I695,K695,M695)/3*0.3+SUM(G695,R695)/2*0.4</f>
        <v>61.2</v>
      </c>
      <c r="W695" s="27">
        <f>O695+T695</f>
        <v>1</v>
      </c>
      <c r="X695" s="28">
        <f>V695/0.7+W695</f>
        <v>88.428571428571445</v>
      </c>
      <c r="Y695" s="28">
        <v>88.428571428571445</v>
      </c>
      <c r="Z695" s="21"/>
    </row>
    <row r="696" spans="1:26" x14ac:dyDescent="0.25">
      <c r="A696" s="16">
        <v>33</v>
      </c>
      <c r="B696" s="17" t="s">
        <v>21</v>
      </c>
      <c r="C696" s="16">
        <v>116</v>
      </c>
      <c r="D696" s="18" t="s">
        <v>349</v>
      </c>
      <c r="E696" s="16" t="s">
        <v>65</v>
      </c>
      <c r="F696" s="19">
        <v>8.8000000000000007</v>
      </c>
      <c r="G696" s="32">
        <f>IF(B696="高三",IF($E696="男",LOOKUP(F696,[1]对照表!$G$3:$G$24,[1]对照表!$H$3:$H$24),LOOKUP(F696,[1]对照表!$G$27:$G$48,[1]对照表!$H$27:$H$48)),IF(B696="高二",IF($E696="男",LOOKUP(F696,[1]对照表!$F$3:$F$24,[1]对照表!$H$3:$H$24),LOOKUP(F696,[1]对照表!$F$27:$F$48,[1]对照表!$H$27:$H$48)),IF(B696="高一",IF($E696="男",LOOKUP(F696,[1]对照表!$E$3:$E$24,[1]对照表!$H$3:$H$24),LOOKUP(F696,[1]对照表!$E$27:$E$48,[1]对照表!$H$27:$H$48)))))</f>
        <v>78</v>
      </c>
      <c r="H696" s="21">
        <v>15</v>
      </c>
      <c r="I696" s="32">
        <f>IF(B696="高三",IF($E696="男",LOOKUP(H696,[1]对照表!$K$3:$K$24,[1]对照表!$L$3:$L$24),LOOKUP(H696,[1]对照表!$K$27:$K$48,[1]对照表!$L$27:$L$48)),IF(B696="高二",IF($E696="男",LOOKUP(H696,[1]对照表!$J$3:$J$24,[1]对照表!$L$3:$L$24),LOOKUP(H696,[1]对照表!$J$27:$J$48,[1]对照表!$L$27:$L$48)),IF(B696="高一",IF($E696="男",LOOKUP(H696,[1]对照表!$I$3:$I$24,[1]对照表!$L$3:$L$24),LOOKUP(H696,[1]对照表!$I$27:$I$48,[1]对照表!$L$27:$L$48)))))</f>
        <v>76</v>
      </c>
      <c r="J696" s="21">
        <v>175</v>
      </c>
      <c r="K696" s="32">
        <f>IF(B696="高三",IF($E696="男",LOOKUP(J696,[1]对照表!$O$3:$O$24,[1]对照表!$P$3:$P$24),LOOKUP(J696,[1]对照表!$O$27:$O$48,[1]对照表!$P$27:$P$48)),IF(B696="高二",IF($E696="男",LOOKUP(J696,[1]对照表!$N$3:$N$24,[1]对照表!$P$3:$P$24),LOOKUP(J696,[1]对照表!$N$27:$N$48,[1]对照表!$P$27:$P$48)),IF(B696="高一",IF($E696="男",LOOKUP(J696,[1]对照表!$M$3:$M$24,[1]对照表!$P$3:$P$24),LOOKUP(J696,[1]对照表!$M$27:$M$48,[1]对照表!$P$27:$P$48)))))</f>
        <v>78</v>
      </c>
      <c r="L696" s="21">
        <v>53</v>
      </c>
      <c r="M696" s="32">
        <f>IF(B696="高三",IF($E696="男",LOOKUP(L696,[1]对照表!$S$3:$S$24,[1]对照表!$T$3:$T$24),LOOKUP(L696,[1]对照表!$S$27:$S$48,[1]对照表!$T$27:$T$48)),IF(B696="高二",IF($E696="男",LOOKUP(L696,[1]对照表!$R$3:$R$24,[1]对照表!$T$3:$T$24),LOOKUP(L696,[1]对照表!$R$27:$R$48,[1]对照表!$T$27:$T$48)),IF(B696="高一",IF($E696="男",LOOKUP(L696,[1]对照表!$Q$3:$Q$24,[1]对照表!$T$3:$T$24),LOOKUP(L696,[1]对照表!$Q$27:$Q$48,[1]对照表!$T$27:$T$48)))))</f>
        <v>100</v>
      </c>
      <c r="N696" s="33">
        <f>IF(B696="高三",MAX(IF(E696="男",L696-18,L696-55),0),IF(B696="高二",MAX(IF(E696="男",L696-17,L696-54),0),IF(B696="高一",MAX(IF(E696="男",L696-16,L696-53),0))))</f>
        <v>0</v>
      </c>
      <c r="O696" s="23">
        <f>IF(E696="男",LOOKUP($N696,[1]对照表!$Z$3:$Z$13,[1]对照表!$AA$3:$AA$13),LOOKUP($N696,[1]对照表!$Z$15:$Z$25,[1]对照表!$AA$15:$AA$25))</f>
        <v>0</v>
      </c>
      <c r="P696" s="24">
        <f>M696+O696</f>
        <v>100</v>
      </c>
      <c r="Q696" s="25">
        <v>3.34</v>
      </c>
      <c r="R696" s="32">
        <f>IF(B696="高三",IF($E696="男",LOOKUP(Q696,[1]对照表!$W$3:$W$24,[1]对照表!$X$3:$X$24),LOOKUP(Q696,[1]对照表!$W$27:$W$48,[1]对照表!$X$27:$X$48)),IF(B696="高二",IF($E696="男",LOOKUP(Q696,[1]对照表!$V$3:$V$24,[1]对照表!$X$3:$X$24),LOOKUP(Q696,[1]对照表!$V$27:$V$48,[1]对照表!$X$27:$X$48)),IF(B696="高一",IF($E696="男",LOOKUP(Q696,[1]对照表!$U$3:$U$24,[1]对照表!$X$3:$X$24),LOOKUP(Q696,[1]对照表!$U$27:$U$48,[1]对照表!$X$27:$X$48)))))</f>
        <v>90</v>
      </c>
      <c r="S696" s="33">
        <f>ROUND(IF(IF($B696="高三",MIN(IF($E696="男",$Q696-3.2,$Q696-3.2),0),IF($B696="高二",MIN(IF($E696="男",$Q696-3.25,$Q696-3.22),0),IF($B696="高一",MIN(IF($E696="男",$Q696-3.3,$Q696-3.24),0))))&lt;-0.6,IF($B696="高三",MIN(IF($E696="男",$Q696-3.2,$Q696-3.2),0),IF($B696="高二",MIN(IF($E696="男",$Q696-3.25,$Q696-3.22),0),IF($B696="高一",MIN(IF($E696="男",$Q696-3.3,$Q696-3.24),0))))+0.4,IF($B696="高三",MIN(IF($E696="男",$Q696-3.2,$Q696-3.2),0),IF($B696="高二",MIN(IF($E696="男",$Q696-3.25,$Q696-3.22),0),IF($B696="高一",MIN(IF($E696="男",$Q696-3.3,$Q696-3.24),0))))),2)</f>
        <v>0</v>
      </c>
      <c r="T696" s="23">
        <f>IF(E696="男",LOOKUP($S696,[1]对照表!$AB$3:$AB$13,[1]对照表!$AC$3:$AC$13),LOOKUP($S696,[1]对照表!$AB$15:$AB$25,[1]对照表!$AC$15:$AC$25))</f>
        <v>0</v>
      </c>
      <c r="U696" s="26">
        <f>R696+T696</f>
        <v>90</v>
      </c>
      <c r="V696" s="26">
        <f>SUM(I696,K696,M696)/3*0.3+SUM(G696,R696)/2*0.4</f>
        <v>59</v>
      </c>
      <c r="W696" s="27">
        <f>O696+T696</f>
        <v>0</v>
      </c>
      <c r="X696" s="28">
        <f>V696/0.7+W696</f>
        <v>84.285714285714292</v>
      </c>
      <c r="Y696" s="28">
        <v>84.285714285714292</v>
      </c>
      <c r="Z696" s="21"/>
    </row>
    <row r="697" spans="1:26" x14ac:dyDescent="0.25">
      <c r="A697" s="16">
        <v>23</v>
      </c>
      <c r="B697" s="17" t="s">
        <v>21</v>
      </c>
      <c r="C697" s="16">
        <v>116</v>
      </c>
      <c r="D697" s="18" t="s">
        <v>351</v>
      </c>
      <c r="E697" s="17" t="s">
        <v>65</v>
      </c>
      <c r="F697" s="19">
        <v>9.11</v>
      </c>
      <c r="G697" s="32">
        <f>IF(B697="高三",IF($E697="男",LOOKUP(F697,[1]对照表!$G$3:$G$24,[1]对照表!$H$3:$H$24),LOOKUP(F697,[1]对照表!$G$27:$G$48,[1]对照表!$H$27:$H$48)),IF(B697="高二",IF($E697="男",LOOKUP(F697,[1]对照表!$F$3:$F$24,[1]对照表!$H$3:$H$24),LOOKUP(F697,[1]对照表!$F$27:$F$48,[1]对照表!$H$27:$H$48)),IF(B697="高一",IF($E697="男",LOOKUP(F697,[1]对照表!$E$3:$E$24,[1]对照表!$H$3:$H$24),LOOKUP(F697,[1]对照表!$E$27:$E$48,[1]对照表!$H$27:$H$48)))))</f>
        <v>74</v>
      </c>
      <c r="H697" s="21">
        <v>20.8</v>
      </c>
      <c r="I697" s="32">
        <f>IF(B697="高三",IF($E697="男",LOOKUP(H697,[1]对照表!$K$3:$K$24,[1]对照表!$L$3:$L$24),LOOKUP(H697,[1]对照表!$K$27:$K$48,[1]对照表!$L$27:$L$48)),IF(B697="高二",IF($E697="男",LOOKUP(H697,[1]对照表!$J$3:$J$24,[1]对照表!$L$3:$L$24),LOOKUP(H697,[1]对照表!$J$27:$J$48,[1]对照表!$L$27:$L$48)),IF(B697="高一",IF($E697="男",LOOKUP(H697,[1]对照表!$I$3:$I$24,[1]对照表!$L$3:$L$24),LOOKUP(H697,[1]对照表!$I$27:$I$48,[1]对照表!$L$27:$L$48)))))</f>
        <v>90</v>
      </c>
      <c r="J697" s="21">
        <v>183</v>
      </c>
      <c r="K697" s="32">
        <f>IF(B697="高三",IF($E697="男",LOOKUP(J697,[1]对照表!$O$3:$O$24,[1]对照表!$P$3:$P$24),LOOKUP(J697,[1]对照表!$O$27:$O$48,[1]对照表!$P$27:$P$48)),IF(B697="高二",IF($E697="男",LOOKUP(J697,[1]对照表!$N$3:$N$24,[1]对照表!$P$3:$P$24),LOOKUP(J697,[1]对照表!$N$27:$N$48,[1]对照表!$P$27:$P$48)),IF(B697="高一",IF($E697="男",LOOKUP(J697,[1]对照表!$M$3:$M$24,[1]对照表!$P$3:$P$24),LOOKUP(J697,[1]对照表!$M$27:$M$48,[1]对照表!$P$27:$P$48)))))</f>
        <v>80</v>
      </c>
      <c r="L697" s="21">
        <v>48</v>
      </c>
      <c r="M697" s="32">
        <f>IF(B697="高三",IF($E697="男",LOOKUP(L697,[1]对照表!$S$3:$S$24,[1]对照表!$T$3:$T$24),LOOKUP(L697,[1]对照表!$S$27:$S$48,[1]对照表!$T$27:$T$48)),IF(B697="高二",IF($E697="男",LOOKUP(L697,[1]对照表!$R$3:$R$24,[1]对照表!$T$3:$T$24),LOOKUP(L697,[1]对照表!$R$27:$R$48,[1]对照表!$T$27:$T$48)),IF(B697="高一",IF($E697="男",LOOKUP(L697,[1]对照表!$Q$3:$Q$24,[1]对照表!$T$3:$T$24),LOOKUP(L697,[1]对照表!$Q$27:$Q$48,[1]对照表!$T$27:$T$48)))))</f>
        <v>85</v>
      </c>
      <c r="N697" s="33">
        <f>IF(B697="高三",MAX(IF(E697="男",L697-18,L697-55),0),IF(B697="高二",MAX(IF(E697="男",L697-17,L697-54),0),IF(B697="高一",MAX(IF(E697="男",L697-16,L697-53),0))))</f>
        <v>0</v>
      </c>
      <c r="O697" s="23">
        <f>IF(E697="男",LOOKUP($N697,[1]对照表!$Z$3:$Z$13,[1]对照表!$AA$3:$AA$13),LOOKUP($N697,[1]对照表!$Z$15:$Z$25,[1]对照表!$AA$15:$AA$25))</f>
        <v>0</v>
      </c>
      <c r="P697" s="24">
        <f>M697+O697</f>
        <v>85</v>
      </c>
      <c r="Q697" s="25">
        <v>3.34</v>
      </c>
      <c r="R697" s="32">
        <f>IF(B697="高三",IF($E697="男",LOOKUP(Q697,[1]对照表!$W$3:$W$24,[1]对照表!$X$3:$X$24),LOOKUP(Q697,[1]对照表!$W$27:$W$48,[1]对照表!$X$27:$X$48)),IF(B697="高二",IF($E697="男",LOOKUP(Q697,[1]对照表!$V$3:$V$24,[1]对照表!$X$3:$X$24),LOOKUP(Q697,[1]对照表!$V$27:$V$48,[1]对照表!$X$27:$X$48)),IF(B697="高一",IF($E697="男",LOOKUP(Q697,[1]对照表!$U$3:$U$24,[1]对照表!$X$3:$X$24),LOOKUP(Q697,[1]对照表!$U$27:$U$48,[1]对照表!$X$27:$X$48)))))</f>
        <v>90</v>
      </c>
      <c r="S697" s="33">
        <f>ROUND(IF(IF($B697="高三",MIN(IF($E697="男",$Q697-3.2,$Q697-3.2),0),IF($B697="高二",MIN(IF($E697="男",$Q697-3.25,$Q697-3.22),0),IF($B697="高一",MIN(IF($E697="男",$Q697-3.3,$Q697-3.24),0))))&lt;-0.6,IF($B697="高三",MIN(IF($E697="男",$Q697-3.2,$Q697-3.2),0),IF($B697="高二",MIN(IF($E697="男",$Q697-3.25,$Q697-3.22),0),IF($B697="高一",MIN(IF($E697="男",$Q697-3.3,$Q697-3.24),0))))+0.4,IF($B697="高三",MIN(IF($E697="男",$Q697-3.2,$Q697-3.2),0),IF($B697="高二",MIN(IF($E697="男",$Q697-3.25,$Q697-3.22),0),IF($B697="高一",MIN(IF($E697="男",$Q697-3.3,$Q697-3.24),0))))),2)</f>
        <v>0</v>
      </c>
      <c r="T697" s="23">
        <f>IF(E697="男",LOOKUP($S697,[1]对照表!$AB$3:$AB$13,[1]对照表!$AC$3:$AC$13),LOOKUP($S697,[1]对照表!$AB$15:$AB$25,[1]对照表!$AC$15:$AC$25))</f>
        <v>0</v>
      </c>
      <c r="U697" s="26">
        <f>R697+T697</f>
        <v>90</v>
      </c>
      <c r="V697" s="26">
        <f>SUM(I697,K697,M697)/3*0.3+SUM(G697,R697)/2*0.4</f>
        <v>58.300000000000004</v>
      </c>
      <c r="W697" s="27">
        <f>O697+T697</f>
        <v>0</v>
      </c>
      <c r="X697" s="28">
        <f>V697/0.7+W697</f>
        <v>83.285714285714292</v>
      </c>
      <c r="Y697" s="28">
        <v>83.285714285714292</v>
      </c>
      <c r="Z697" s="21"/>
    </row>
    <row r="698" spans="1:26" x14ac:dyDescent="0.25">
      <c r="A698" s="16">
        <v>8</v>
      </c>
      <c r="B698" s="17" t="s">
        <v>21</v>
      </c>
      <c r="C698" s="16">
        <v>116</v>
      </c>
      <c r="D698" s="18" t="s">
        <v>356</v>
      </c>
      <c r="E698" s="31" t="s">
        <v>65</v>
      </c>
      <c r="F698" s="40">
        <v>8.6</v>
      </c>
      <c r="G698" s="32">
        <f>IF(B698="高三",IF($E698="男",LOOKUP(F698,[1]对照表!$G$3:$G$24,[1]对照表!$H$3:$H$24),LOOKUP(F698,[1]对照表!$G$27:$G$48,[1]对照表!$H$27:$H$48)),IF(B698="高二",IF($E698="男",LOOKUP(F698,[1]对照表!$F$3:$F$24,[1]对照表!$H$3:$H$24),LOOKUP(F698,[1]对照表!$F$27:$F$48,[1]对照表!$H$27:$H$48)),IF(B698="高一",IF($E698="男",LOOKUP(F698,[1]对照表!$E$3:$E$24,[1]对照表!$H$3:$H$24),LOOKUP(F698,[1]对照表!$E$27:$E$48,[1]对照表!$H$27:$H$48)))))</f>
        <v>80</v>
      </c>
      <c r="H698" s="36">
        <v>15.3</v>
      </c>
      <c r="I698" s="32">
        <f>IF(B698="高三",IF($E698="男",LOOKUP(H698,[1]对照表!$K$3:$K$24,[1]对照表!$L$3:$L$24),LOOKUP(H698,[1]对照表!$K$27:$K$48,[1]对照表!$L$27:$L$48)),IF(B698="高二",IF($E698="男",LOOKUP(H698,[1]对照表!$J$3:$J$24,[1]对照表!$L$3:$L$24),LOOKUP(H698,[1]对照表!$J$27:$J$48,[1]对照表!$L$27:$L$48)),IF(B698="高一",IF($E698="男",LOOKUP(H698,[1]对照表!$I$3:$I$24,[1]对照表!$L$3:$L$24),LOOKUP(H698,[1]对照表!$I$27:$I$48,[1]对照表!$L$27:$L$48)))))</f>
        <v>76</v>
      </c>
      <c r="J698" s="36">
        <v>153</v>
      </c>
      <c r="K698" s="32">
        <f>IF(B698="高三",IF($E698="男",LOOKUP(J698,[1]对照表!$O$3:$O$24,[1]对照表!$P$3:$P$24),LOOKUP(J698,[1]对照表!$O$27:$O$48,[1]对照表!$P$27:$P$48)),IF(B698="高二",IF($E698="男",LOOKUP(J698,[1]对照表!$N$3:$N$24,[1]对照表!$P$3:$P$24),LOOKUP(J698,[1]对照表!$N$27:$N$48,[1]对照表!$P$27:$P$48)),IF(B698="高一",IF($E698="男",LOOKUP(J698,[1]对照表!$M$3:$M$24,[1]对照表!$P$3:$P$24),LOOKUP(J698,[1]对照表!$M$27:$M$48,[1]对照表!$P$27:$P$48)))))</f>
        <v>62</v>
      </c>
      <c r="L698" s="36">
        <v>45</v>
      </c>
      <c r="M698" s="32">
        <f>IF(B698="高三",IF($E698="男",LOOKUP(L698,[1]对照表!$S$3:$S$24,[1]对照表!$T$3:$T$24),LOOKUP(L698,[1]对照表!$S$27:$S$48,[1]对照表!$T$27:$T$48)),IF(B698="高二",IF($E698="男",LOOKUP(L698,[1]对照表!$R$3:$R$24,[1]对照表!$T$3:$T$24),LOOKUP(L698,[1]对照表!$R$27:$R$48,[1]对照表!$T$27:$T$48)),IF(B698="高一",IF($E698="男",LOOKUP(L698,[1]对照表!$Q$3:$Q$24,[1]对照表!$T$3:$T$24),LOOKUP(L698,[1]对照表!$Q$27:$Q$48,[1]对照表!$T$27:$T$48)))))</f>
        <v>80</v>
      </c>
      <c r="N698" s="33">
        <f>IF(B698="高三",MAX(IF(E698="男",L698-18,L698-55),0),IF(B698="高二",MAX(IF(E698="男",L698-17,L698-54),0),IF(B698="高一",MAX(IF(E698="男",L698-16,L698-53),0))))</f>
        <v>0</v>
      </c>
      <c r="O698" s="23">
        <f>IF(E698="男",LOOKUP($N698,[1]对照表!$Z$3:$Z$13,[1]对照表!$AA$3:$AA$13),LOOKUP($N698,[1]对照表!$Z$15:$Z$25,[1]对照表!$AA$15:$AA$25))</f>
        <v>0</v>
      </c>
      <c r="P698" s="24">
        <f>M698+O698</f>
        <v>80</v>
      </c>
      <c r="Q698" s="25">
        <v>3.36</v>
      </c>
      <c r="R698" s="32">
        <f>IF(B698="高三",IF($E698="男",LOOKUP(Q698,[1]对照表!$W$3:$W$24,[1]对照表!$X$3:$X$24),LOOKUP(Q698,[1]对照表!$W$27:$W$48,[1]对照表!$X$27:$X$48)),IF(B698="高二",IF($E698="男",LOOKUP(Q698,[1]对照表!$V$3:$V$24,[1]对照表!$X$3:$X$24),LOOKUP(Q698,[1]对照表!$V$27:$V$48,[1]对照表!$X$27:$X$48)),IF(B698="高一",IF($E698="男",LOOKUP(Q698,[1]对照表!$U$3:$U$24,[1]对照表!$X$3:$X$24),LOOKUP(Q698,[1]对照表!$U$27:$U$48,[1]对照表!$X$27:$X$48)))))</f>
        <v>90</v>
      </c>
      <c r="S698" s="33">
        <f>ROUND(IF(IF($B698="高三",MIN(IF($E698="男",$Q698-3.2,$Q698-3.2),0),IF($B698="高二",MIN(IF($E698="男",$Q698-3.25,$Q698-3.22),0),IF($B698="高一",MIN(IF($E698="男",$Q698-3.3,$Q698-3.24),0))))&lt;-0.6,IF($B698="高三",MIN(IF($E698="男",$Q698-3.2,$Q698-3.2),0),IF($B698="高二",MIN(IF($E698="男",$Q698-3.25,$Q698-3.22),0),IF($B698="高一",MIN(IF($E698="男",$Q698-3.3,$Q698-3.24),0))))+0.4,IF($B698="高三",MIN(IF($E698="男",$Q698-3.2,$Q698-3.2),0),IF($B698="高二",MIN(IF($E698="男",$Q698-3.25,$Q698-3.22),0),IF($B698="高一",MIN(IF($E698="男",$Q698-3.3,$Q698-3.24),0))))),2)</f>
        <v>0</v>
      </c>
      <c r="T698" s="23">
        <f>IF(E698="男",LOOKUP($S698,[1]对照表!$AB$3:$AB$13,[1]对照表!$AC$3:$AC$13),LOOKUP($S698,[1]对照表!$AB$15:$AB$25,[1]对照表!$AC$15:$AC$25))</f>
        <v>0</v>
      </c>
      <c r="U698" s="26">
        <f>R698+T698</f>
        <v>90</v>
      </c>
      <c r="V698" s="26">
        <f>SUM(I698,K698,M698)/3*0.3+SUM(G698,R698)/2*0.4</f>
        <v>55.8</v>
      </c>
      <c r="W698" s="27">
        <f>O698+T698</f>
        <v>0</v>
      </c>
      <c r="X698" s="28">
        <f>V698/0.7+W698</f>
        <v>79.714285714285708</v>
      </c>
      <c r="Y698" s="28">
        <v>79.714285714285708</v>
      </c>
      <c r="Z698" s="21"/>
    </row>
    <row r="699" spans="1:26" x14ac:dyDescent="0.25">
      <c r="A699" s="16">
        <v>3</v>
      </c>
      <c r="B699" s="17" t="s">
        <v>21</v>
      </c>
      <c r="C699" s="16">
        <v>116</v>
      </c>
      <c r="D699" s="18" t="s">
        <v>360</v>
      </c>
      <c r="E699" s="16" t="s">
        <v>23</v>
      </c>
      <c r="F699" s="19">
        <v>7.6</v>
      </c>
      <c r="G699" s="32">
        <f>IF(B699="高三",IF($E699="男",LOOKUP(F699,[1]对照表!$G$3:$G$24,[1]对照表!$H$3:$H$24),LOOKUP(F699,[1]对照表!$G$27:$G$48,[1]对照表!$H$27:$H$48)),IF(B699="高二",IF($E699="男",LOOKUP(F699,[1]对照表!$F$3:$F$24,[1]对照表!$H$3:$H$24),LOOKUP(F699,[1]对照表!$F$27:$F$48,[1]对照表!$H$27:$H$48)),IF(B699="高一",IF($E699="男",LOOKUP(F699,[1]对照表!$E$3:$E$24,[1]对照表!$H$3:$H$24),LOOKUP(F699,[1]对照表!$E$27:$E$48,[1]对照表!$H$27:$H$48)))))</f>
        <v>78</v>
      </c>
      <c r="H699" s="21">
        <v>18.100000000000001</v>
      </c>
      <c r="I699" s="32">
        <f>IF(B699="高三",IF($E699="男",LOOKUP(H699,[1]对照表!$K$3:$K$24,[1]对照表!$L$3:$L$24),LOOKUP(H699,[1]对照表!$K$27:$K$48,[1]对照表!$L$27:$L$48)),IF(B699="高二",IF($E699="男",LOOKUP(H699,[1]对照表!$J$3:$J$24,[1]对照表!$L$3:$L$24),LOOKUP(H699,[1]对照表!$J$27:$J$48,[1]对照表!$L$27:$L$48)),IF(B699="高一",IF($E699="男",LOOKUP(H699,[1]对照表!$I$3:$I$24,[1]对照表!$L$3:$L$24),LOOKUP(H699,[1]对照表!$I$27:$I$48,[1]对照表!$L$27:$L$48)))))</f>
        <v>85</v>
      </c>
      <c r="J699" s="21">
        <v>227</v>
      </c>
      <c r="K699" s="32">
        <f>IF(B699="高三",IF($E699="男",LOOKUP(J699,[1]对照表!$O$3:$O$24,[1]对照表!$P$3:$P$24),LOOKUP(J699,[1]对照表!$O$27:$O$48,[1]对照表!$P$27:$P$48)),IF(B699="高二",IF($E699="男",LOOKUP(J699,[1]对照表!$N$3:$N$24,[1]对照表!$P$3:$P$24),LOOKUP(J699,[1]对照表!$N$27:$N$48,[1]对照表!$P$27:$P$48)),IF(B699="高一",IF($E699="男",LOOKUP(J699,[1]对照表!$M$3:$M$24,[1]对照表!$P$3:$P$24),LOOKUP(J699,[1]对照表!$M$27:$M$48,[1]对照表!$P$27:$P$48)))))</f>
        <v>76</v>
      </c>
      <c r="L699" s="21">
        <v>16</v>
      </c>
      <c r="M699" s="32">
        <f>IF(B699="高三",IF($E699="男",LOOKUP(L699,[1]对照表!$S$3:$S$24,[1]对照表!$T$3:$T$24),LOOKUP(L699,[1]对照表!$S$27:$S$48,[1]对照表!$T$27:$T$48)),IF(B699="高二",IF($E699="男",LOOKUP(L699,[1]对照表!$R$3:$R$24,[1]对照表!$T$3:$T$24),LOOKUP(L699,[1]对照表!$R$27:$R$48,[1]对照表!$T$27:$T$48)),IF(B699="高一",IF($E699="男",LOOKUP(L699,[1]对照表!$Q$3:$Q$24,[1]对照表!$T$3:$T$24),LOOKUP(L699,[1]对照表!$Q$27:$Q$48,[1]对照表!$T$27:$T$48)))))</f>
        <v>100</v>
      </c>
      <c r="N699" s="33">
        <f>IF(B699="高三",MAX(IF(E699="男",L699-18,L699-55),0),IF(B699="高二",MAX(IF(E699="男",L699-17,L699-54),0),IF(B699="高一",MAX(IF(E699="男",L699-16,L699-53),0))))</f>
        <v>0</v>
      </c>
      <c r="O699" s="23">
        <f>IF(E699="男",LOOKUP($N699,[1]对照表!$Z$3:$Z$13,[1]对照表!$AA$3:$AA$13),LOOKUP($N699,[1]对照表!$Z$15:$Z$25,[1]对照表!$AA$15:$AA$25))</f>
        <v>0</v>
      </c>
      <c r="P699" s="24">
        <f>M699+O699</f>
        <v>100</v>
      </c>
      <c r="Q699" s="25">
        <v>4.0199999999999996</v>
      </c>
      <c r="R699" s="32">
        <f>IF(B699="高三",IF($E699="男",LOOKUP(Q699,[1]对照表!$W$3:$W$24,[1]对照表!$X$3:$X$24),LOOKUP(Q699,[1]对照表!$W$27:$W$48,[1]对照表!$X$27:$X$48)),IF(B699="高二",IF($E699="男",LOOKUP(Q699,[1]对照表!$V$3:$V$24,[1]对照表!$X$3:$X$24),LOOKUP(Q699,[1]对照表!$V$27:$V$48,[1]对照表!$X$27:$X$48)),IF(B699="高一",IF($E699="男",LOOKUP(Q699,[1]对照表!$U$3:$U$24,[1]对照表!$X$3:$X$24),LOOKUP(Q699,[1]对照表!$U$27:$U$48,[1]对照表!$X$27:$X$48)))))</f>
        <v>76</v>
      </c>
      <c r="S699" s="33">
        <f>ROUND(IF(IF($B699="高三",MIN(IF($E699="男",$Q699-3.2,$Q699-3.2),0),IF($B699="高二",MIN(IF($E699="男",$Q699-3.25,$Q699-3.22),0),IF($B699="高一",MIN(IF($E699="男",$Q699-3.3,$Q699-3.24),0))))&lt;-0.6,IF($B699="高三",MIN(IF($E699="男",$Q699-3.2,$Q699-3.2),0),IF($B699="高二",MIN(IF($E699="男",$Q699-3.25,$Q699-3.22),0),IF($B699="高一",MIN(IF($E699="男",$Q699-3.3,$Q699-3.24),0))))+0.4,IF($B699="高三",MIN(IF($E699="男",$Q699-3.2,$Q699-3.2),0),IF($B699="高二",MIN(IF($E699="男",$Q699-3.25,$Q699-3.22),0),IF($B699="高一",MIN(IF($E699="男",$Q699-3.3,$Q699-3.24),0))))),2)</f>
        <v>0</v>
      </c>
      <c r="T699" s="23">
        <f>IF(E699="男",LOOKUP($S699,[1]对照表!$AB$3:$AB$13,[1]对照表!$AC$3:$AC$13),LOOKUP($S699,[1]对照表!$AB$15:$AB$25,[1]对照表!$AC$15:$AC$25))</f>
        <v>0</v>
      </c>
      <c r="U699" s="26">
        <f>R699+T699</f>
        <v>76</v>
      </c>
      <c r="V699" s="26">
        <f>SUM(I699,K699,M699)/3*0.3+SUM(G699,R699)/2*0.4</f>
        <v>56.9</v>
      </c>
      <c r="W699" s="27">
        <f>O699+T699</f>
        <v>0</v>
      </c>
      <c r="X699" s="28">
        <f>V699/0.7+W699</f>
        <v>81.285714285714292</v>
      </c>
      <c r="Y699" s="28">
        <v>81.285714285714292</v>
      </c>
      <c r="Z699" s="21"/>
    </row>
    <row r="700" spans="1:26" x14ac:dyDescent="0.25">
      <c r="A700" s="16">
        <v>35</v>
      </c>
      <c r="B700" s="17" t="s">
        <v>21</v>
      </c>
      <c r="C700" s="16">
        <v>116</v>
      </c>
      <c r="D700" s="18" t="s">
        <v>390</v>
      </c>
      <c r="E700" s="16" t="s">
        <v>65</v>
      </c>
      <c r="F700" s="19">
        <v>8.9</v>
      </c>
      <c r="G700" s="32">
        <f>IF(B700="高三",IF($E700="男",LOOKUP(F700,[1]对照表!$G$3:$G$24,[1]对照表!$H$3:$H$24),LOOKUP(F700,[1]对照表!$G$27:$G$48,[1]对照表!$H$27:$H$48)),IF(B700="高二",IF($E700="男",LOOKUP(F700,[1]对照表!$F$3:$F$24,[1]对照表!$H$3:$H$24),LOOKUP(F700,[1]对照表!$F$27:$F$48,[1]对照表!$H$27:$H$48)),IF(B700="高一",IF($E700="男",LOOKUP(F700,[1]对照表!$E$3:$E$24,[1]对照表!$H$3:$H$24),LOOKUP(F700,[1]对照表!$E$27:$E$48,[1]对照表!$H$27:$H$48)))))</f>
        <v>76</v>
      </c>
      <c r="H700" s="21">
        <v>20</v>
      </c>
      <c r="I700" s="32">
        <f>IF(B700="高三",IF($E700="男",LOOKUP(H700,[1]对照表!$K$3:$K$24,[1]对照表!$L$3:$L$24),LOOKUP(H700,[1]对照表!$K$27:$K$48,[1]对照表!$L$27:$L$48)),IF(B700="高二",IF($E700="男",LOOKUP(H700,[1]对照表!$J$3:$J$24,[1]对照表!$L$3:$L$24),LOOKUP(H700,[1]对照表!$J$27:$J$48,[1]对照表!$L$27:$L$48)),IF(B700="高一",IF($E700="男",LOOKUP(H700,[1]对照表!$I$3:$I$24,[1]对照表!$L$3:$L$24),LOOKUP(H700,[1]对照表!$I$27:$I$48,[1]对照表!$L$27:$L$48)))))</f>
        <v>85</v>
      </c>
      <c r="J700" s="21">
        <v>175</v>
      </c>
      <c r="K700" s="32">
        <f>IF(B700="高三",IF($E700="男",LOOKUP(J700,[1]对照表!$O$3:$O$24,[1]对照表!$P$3:$P$24),LOOKUP(J700,[1]对照表!$O$27:$O$48,[1]对照表!$P$27:$P$48)),IF(B700="高二",IF($E700="男",LOOKUP(J700,[1]对照表!$N$3:$N$24,[1]对照表!$P$3:$P$24),LOOKUP(J700,[1]对照表!$N$27:$N$48,[1]对照表!$P$27:$P$48)),IF(B700="高一",IF($E700="男",LOOKUP(J700,[1]对照表!$M$3:$M$24,[1]对照表!$P$3:$P$24),LOOKUP(J700,[1]对照表!$M$27:$M$48,[1]对照表!$P$27:$P$48)))))</f>
        <v>78</v>
      </c>
      <c r="L700" s="21">
        <v>53</v>
      </c>
      <c r="M700" s="32">
        <f>IF(B700="高三",IF($E700="男",LOOKUP(L700,[1]对照表!$S$3:$S$24,[1]对照表!$T$3:$T$24),LOOKUP(L700,[1]对照表!$S$27:$S$48,[1]对照表!$T$27:$T$48)),IF(B700="高二",IF($E700="男",LOOKUP(L700,[1]对照表!$R$3:$R$24,[1]对照表!$T$3:$T$24),LOOKUP(L700,[1]对照表!$R$27:$R$48,[1]对照表!$T$27:$T$48)),IF(B700="高一",IF($E700="男",LOOKUP(L700,[1]对照表!$Q$3:$Q$24,[1]对照表!$T$3:$T$24),LOOKUP(L700,[1]对照表!$Q$27:$Q$48,[1]对照表!$T$27:$T$48)))))</f>
        <v>100</v>
      </c>
      <c r="N700" s="33">
        <f>IF(B700="高三",MAX(IF(E700="男",L700-18,L700-55),0),IF(B700="高二",MAX(IF(E700="男",L700-17,L700-54),0),IF(B700="高一",MAX(IF(E700="男",L700-16,L700-53),0))))</f>
        <v>0</v>
      </c>
      <c r="O700" s="23">
        <f>IF(E700="男",LOOKUP($N700,[1]对照表!$Z$3:$Z$13,[1]对照表!$AA$3:$AA$13),LOOKUP($N700,[1]对照表!$Z$15:$Z$25,[1]对照表!$AA$15:$AA$25))</f>
        <v>0</v>
      </c>
      <c r="P700" s="24">
        <f>M700+O700</f>
        <v>100</v>
      </c>
      <c r="Q700" s="25">
        <v>3.36</v>
      </c>
      <c r="R700" s="32">
        <f>IF(B700="高三",IF($E700="男",LOOKUP(Q700,[1]对照表!$W$3:$W$24,[1]对照表!$X$3:$X$24),LOOKUP(Q700,[1]对照表!$W$27:$W$48,[1]对照表!$X$27:$X$48)),IF(B700="高二",IF($E700="男",LOOKUP(Q700,[1]对照表!$V$3:$V$24,[1]对照表!$X$3:$X$24),LOOKUP(Q700,[1]对照表!$V$27:$V$48,[1]对照表!$X$27:$X$48)),IF(B700="高一",IF($E700="男",LOOKUP(Q700,[1]对照表!$U$3:$U$24,[1]对照表!$X$3:$X$24),LOOKUP(Q700,[1]对照表!$U$27:$U$48,[1]对照表!$X$27:$X$48)))))</f>
        <v>90</v>
      </c>
      <c r="S700" s="33">
        <f>ROUND(IF(IF($B700="高三",MIN(IF($E700="男",$Q700-3.2,$Q700-3.2),0),IF($B700="高二",MIN(IF($E700="男",$Q700-3.25,$Q700-3.22),0),IF($B700="高一",MIN(IF($E700="男",$Q700-3.3,$Q700-3.24),0))))&lt;-0.6,IF($B700="高三",MIN(IF($E700="男",$Q700-3.2,$Q700-3.2),0),IF($B700="高二",MIN(IF($E700="男",$Q700-3.25,$Q700-3.22),0),IF($B700="高一",MIN(IF($E700="男",$Q700-3.3,$Q700-3.24),0))))+0.4,IF($B700="高三",MIN(IF($E700="男",$Q700-3.2,$Q700-3.2),0),IF($B700="高二",MIN(IF($E700="男",$Q700-3.25,$Q700-3.22),0),IF($B700="高一",MIN(IF($E700="男",$Q700-3.3,$Q700-3.24),0))))),2)</f>
        <v>0</v>
      </c>
      <c r="T700" s="23">
        <f>IF(E700="男",LOOKUP($S700,[1]对照表!$AB$3:$AB$13,[1]对照表!$AC$3:$AC$13),LOOKUP($S700,[1]对照表!$AB$15:$AB$25,[1]对照表!$AC$15:$AC$25))</f>
        <v>0</v>
      </c>
      <c r="U700" s="26">
        <f>R700+T700</f>
        <v>90</v>
      </c>
      <c r="V700" s="26">
        <f>SUM(I700,K700,M700)/3*0.3+SUM(G700,R700)/2*0.4</f>
        <v>59.5</v>
      </c>
      <c r="W700" s="27">
        <f>O700+T700</f>
        <v>0</v>
      </c>
      <c r="X700" s="28">
        <f>V700/0.7+W700</f>
        <v>85</v>
      </c>
      <c r="Y700" s="28">
        <v>85</v>
      </c>
      <c r="Z700" s="21"/>
    </row>
    <row r="701" spans="1:26" x14ac:dyDescent="0.25">
      <c r="A701" s="16">
        <v>32</v>
      </c>
      <c r="B701" s="17" t="s">
        <v>21</v>
      </c>
      <c r="C701" s="16">
        <v>116</v>
      </c>
      <c r="D701" s="18" t="s">
        <v>393</v>
      </c>
      <c r="E701" s="16" t="s">
        <v>65</v>
      </c>
      <c r="F701" s="19">
        <v>9.5</v>
      </c>
      <c r="G701" s="32">
        <f>IF(B701="高三",IF($E701="男",LOOKUP(F701,[1]对照表!$G$3:$G$24,[1]对照表!$H$3:$H$24),LOOKUP(F701,[1]对照表!$G$27:$G$48,[1]对照表!$H$27:$H$48)),IF(B701="高二",IF($E701="男",LOOKUP(F701,[1]对照表!$F$3:$F$24,[1]对照表!$H$3:$H$24),LOOKUP(F701,[1]对照表!$F$27:$F$48,[1]对照表!$H$27:$H$48)),IF(B701="高一",IF($E701="男",LOOKUP(F701,[1]对照表!$E$3:$E$24,[1]对照表!$H$3:$H$24),LOOKUP(F701,[1]对照表!$E$27:$E$48,[1]对照表!$H$27:$H$48)))))</f>
        <v>70</v>
      </c>
      <c r="H701" s="21">
        <v>19</v>
      </c>
      <c r="I701" s="32">
        <f>IF(B701="高三",IF($E701="男",LOOKUP(H701,[1]对照表!$K$3:$K$24,[1]对照表!$L$3:$L$24),LOOKUP(H701,[1]对照表!$K$27:$K$48,[1]对照表!$L$27:$L$48)),IF(B701="高二",IF($E701="男",LOOKUP(H701,[1]对照表!$J$3:$J$24,[1]对照表!$L$3:$L$24),LOOKUP(H701,[1]对照表!$J$27:$J$48,[1]对照表!$L$27:$L$48)),IF(B701="高一",IF($E701="男",LOOKUP(H701,[1]对照表!$I$3:$I$24,[1]对照表!$L$3:$L$24),LOOKUP(H701,[1]对照表!$I$27:$I$48,[1]对照表!$L$27:$L$48)))))</f>
        <v>80</v>
      </c>
      <c r="J701" s="21">
        <v>183</v>
      </c>
      <c r="K701" s="32">
        <f>IF(B701="高三",IF($E701="男",LOOKUP(J701,[1]对照表!$O$3:$O$24,[1]对照表!$P$3:$P$24),LOOKUP(J701,[1]对照表!$O$27:$O$48,[1]对照表!$P$27:$P$48)),IF(B701="高二",IF($E701="男",LOOKUP(J701,[1]对照表!$N$3:$N$24,[1]对照表!$P$3:$P$24),LOOKUP(J701,[1]对照表!$N$27:$N$48,[1]对照表!$P$27:$P$48)),IF(B701="高一",IF($E701="男",LOOKUP(J701,[1]对照表!$M$3:$M$24,[1]对照表!$P$3:$P$24),LOOKUP(J701,[1]对照表!$M$27:$M$48,[1]对照表!$P$27:$P$48)))))</f>
        <v>80</v>
      </c>
      <c r="L701" s="21">
        <v>57</v>
      </c>
      <c r="M701" s="32">
        <f>IF(B701="高三",IF($E701="男",LOOKUP(L701,[1]对照表!$S$3:$S$24,[1]对照表!$T$3:$T$24),LOOKUP(L701,[1]对照表!$S$27:$S$48,[1]对照表!$T$27:$T$48)),IF(B701="高二",IF($E701="男",LOOKUP(L701,[1]对照表!$R$3:$R$24,[1]对照表!$T$3:$T$24),LOOKUP(L701,[1]对照表!$R$27:$R$48,[1]对照表!$T$27:$T$48)),IF(B701="高一",IF($E701="男",LOOKUP(L701,[1]对照表!$Q$3:$Q$24,[1]对照表!$T$3:$T$24),LOOKUP(L701,[1]对照表!$Q$27:$Q$48,[1]对照表!$T$27:$T$48)))))</f>
        <v>100</v>
      </c>
      <c r="N701" s="33">
        <f>IF(B701="高三",MAX(IF(E701="男",L701-18,L701-55),0),IF(B701="高二",MAX(IF(E701="男",L701-17,L701-54),0),IF(B701="高一",MAX(IF(E701="男",L701-16,L701-53),0))))</f>
        <v>4</v>
      </c>
      <c r="O701" s="23">
        <f>IF(E701="男",LOOKUP($N701,[1]对照表!$Z$3:$Z$13,[1]对照表!$AA$3:$AA$13),LOOKUP($N701,[1]对照表!$Z$15:$Z$25,[1]对照表!$AA$15:$AA$25))</f>
        <v>2</v>
      </c>
      <c r="P701" s="24">
        <f>M701+O701</f>
        <v>102</v>
      </c>
      <c r="Q701" s="25">
        <v>3.36</v>
      </c>
      <c r="R701" s="32">
        <f>IF(B701="高三",IF($E701="男",LOOKUP(Q701,[1]对照表!$W$3:$W$24,[1]对照表!$X$3:$X$24),LOOKUP(Q701,[1]对照表!$W$27:$W$48,[1]对照表!$X$27:$X$48)),IF(B701="高二",IF($E701="男",LOOKUP(Q701,[1]对照表!$V$3:$V$24,[1]对照表!$X$3:$X$24),LOOKUP(Q701,[1]对照表!$V$27:$V$48,[1]对照表!$X$27:$X$48)),IF(B701="高一",IF($E701="男",LOOKUP(Q701,[1]对照表!$U$3:$U$24,[1]对照表!$X$3:$X$24),LOOKUP(Q701,[1]对照表!$U$27:$U$48,[1]对照表!$X$27:$X$48)))))</f>
        <v>90</v>
      </c>
      <c r="S701" s="33">
        <f>ROUND(IF(IF($B701="高三",MIN(IF($E701="男",$Q701-3.2,$Q701-3.2),0),IF($B701="高二",MIN(IF($E701="男",$Q701-3.25,$Q701-3.22),0),IF($B701="高一",MIN(IF($E701="男",$Q701-3.3,$Q701-3.24),0))))&lt;-0.6,IF($B701="高三",MIN(IF($E701="男",$Q701-3.2,$Q701-3.2),0),IF($B701="高二",MIN(IF($E701="男",$Q701-3.25,$Q701-3.22),0),IF($B701="高一",MIN(IF($E701="男",$Q701-3.3,$Q701-3.24),0))))+0.4,IF($B701="高三",MIN(IF($E701="男",$Q701-3.2,$Q701-3.2),0),IF($B701="高二",MIN(IF($E701="男",$Q701-3.25,$Q701-3.22),0),IF($B701="高一",MIN(IF($E701="男",$Q701-3.3,$Q701-3.24),0))))),2)</f>
        <v>0</v>
      </c>
      <c r="T701" s="23">
        <f>IF(E701="男",LOOKUP($S701,[1]对照表!$AB$3:$AB$13,[1]对照表!$AC$3:$AC$13),LOOKUP($S701,[1]对照表!$AB$15:$AB$25,[1]对照表!$AC$15:$AC$25))</f>
        <v>0</v>
      </c>
      <c r="U701" s="26">
        <f>R701+T701</f>
        <v>90</v>
      </c>
      <c r="V701" s="26">
        <f>SUM(I701,K701,M701)/3*0.3+SUM(G701,R701)/2*0.4</f>
        <v>58</v>
      </c>
      <c r="W701" s="27">
        <f>O701+T701</f>
        <v>2</v>
      </c>
      <c r="X701" s="28">
        <f>V701/0.7+W701</f>
        <v>84.857142857142861</v>
      </c>
      <c r="Y701" s="28">
        <v>84.857142857142861</v>
      </c>
      <c r="Z701" s="21"/>
    </row>
    <row r="702" spans="1:26" x14ac:dyDescent="0.25">
      <c r="A702" s="16">
        <v>51</v>
      </c>
      <c r="B702" s="17" t="s">
        <v>21</v>
      </c>
      <c r="C702" s="16">
        <v>116</v>
      </c>
      <c r="D702" s="18" t="s">
        <v>394</v>
      </c>
      <c r="E702" s="16" t="s">
        <v>65</v>
      </c>
      <c r="F702" s="19">
        <v>9.56</v>
      </c>
      <c r="G702" s="32">
        <f>IF(B702="高三",IF($E702="男",LOOKUP(F702,[1]对照表!$G$3:$G$24,[1]对照表!$H$3:$H$24),LOOKUP(F702,[1]对照表!$G$27:$G$48,[1]对照表!$H$27:$H$48)),IF(B702="高二",IF($E702="男",LOOKUP(F702,[1]对照表!$F$3:$F$24,[1]对照表!$H$3:$H$24),LOOKUP(F702,[1]对照表!$F$27:$F$48,[1]对照表!$H$27:$H$48)),IF(B702="高一",IF($E702="男",LOOKUP(F702,[1]对照表!$E$3:$E$24,[1]对照表!$H$3:$H$24),LOOKUP(F702,[1]对照表!$E$27:$E$48,[1]对照表!$H$27:$H$48)))))</f>
        <v>70</v>
      </c>
      <c r="H702" s="21">
        <v>17.5</v>
      </c>
      <c r="I702" s="32">
        <f>IF(B702="高三",IF($E702="男",LOOKUP(H702,[1]对照表!$K$3:$K$24,[1]对照表!$L$3:$L$24),LOOKUP(H702,[1]对照表!$K$27:$K$48,[1]对照表!$L$27:$L$48)),IF(B702="高二",IF($E702="男",LOOKUP(H702,[1]对照表!$J$3:$J$24,[1]对照表!$L$3:$L$24),LOOKUP(H702,[1]对照表!$J$27:$J$48,[1]对照表!$L$27:$L$48)),IF(B702="高一",IF($E702="男",LOOKUP(H702,[1]对照表!$I$3:$I$24,[1]对照表!$L$3:$L$24),LOOKUP(H702,[1]对照表!$I$27:$I$48,[1]对照表!$L$27:$L$48)))))</f>
        <v>80</v>
      </c>
      <c r="J702" s="21">
        <v>165</v>
      </c>
      <c r="K702" s="32">
        <f>IF(B702="高三",IF($E702="男",LOOKUP(J702,[1]对照表!$O$3:$O$24,[1]对照表!$P$3:$P$24),LOOKUP(J702,[1]对照表!$O$27:$O$48,[1]对照表!$P$27:$P$48)),IF(B702="高二",IF($E702="男",LOOKUP(J702,[1]对照表!$N$3:$N$24,[1]对照表!$P$3:$P$24),LOOKUP(J702,[1]对照表!$N$27:$N$48,[1]对照表!$P$27:$P$48)),IF(B702="高一",IF($E702="男",LOOKUP(J702,[1]对照表!$M$3:$M$24,[1]对照表!$P$3:$P$24),LOOKUP(J702,[1]对照表!$M$27:$M$48,[1]对照表!$P$27:$P$48)))))</f>
        <v>70</v>
      </c>
      <c r="L702" s="21">
        <v>53</v>
      </c>
      <c r="M702" s="32">
        <f>IF(B702="高三",IF($E702="男",LOOKUP(L702,[1]对照表!$S$3:$S$24,[1]对照表!$T$3:$T$24),LOOKUP(L702,[1]对照表!$S$27:$S$48,[1]对照表!$T$27:$T$48)),IF(B702="高二",IF($E702="男",LOOKUP(L702,[1]对照表!$R$3:$R$24,[1]对照表!$T$3:$T$24),LOOKUP(L702,[1]对照表!$R$27:$R$48,[1]对照表!$T$27:$T$48)),IF(B702="高一",IF($E702="男",LOOKUP(L702,[1]对照表!$Q$3:$Q$24,[1]对照表!$T$3:$T$24),LOOKUP(L702,[1]对照表!$Q$27:$Q$48,[1]对照表!$T$27:$T$48)))))</f>
        <v>100</v>
      </c>
      <c r="N702" s="33">
        <f>IF(B702="高三",MAX(IF(E702="男",L702-18,L702-55),0),IF(B702="高二",MAX(IF(E702="男",L702-17,L702-54),0),IF(B702="高一",MAX(IF(E702="男",L702-16,L702-53),0))))</f>
        <v>0</v>
      </c>
      <c r="O702" s="23">
        <f>IF(E702="男",LOOKUP($N702,[1]对照表!$Z$3:$Z$13,[1]对照表!$AA$3:$AA$13),LOOKUP($N702,[1]对照表!$Z$15:$Z$25,[1]对照表!$AA$15:$AA$25))</f>
        <v>0</v>
      </c>
      <c r="P702" s="24">
        <f>M702+O702</f>
        <v>100</v>
      </c>
      <c r="Q702" s="25">
        <v>3.36</v>
      </c>
      <c r="R702" s="32">
        <f>IF(B702="高三",IF($E702="男",LOOKUP(Q702,[1]对照表!$W$3:$W$24,[1]对照表!$X$3:$X$24),LOOKUP(Q702,[1]对照表!$W$27:$W$48,[1]对照表!$X$27:$X$48)),IF(B702="高二",IF($E702="男",LOOKUP(Q702,[1]对照表!$V$3:$V$24,[1]对照表!$X$3:$X$24),LOOKUP(Q702,[1]对照表!$V$27:$V$48,[1]对照表!$X$27:$X$48)),IF(B702="高一",IF($E702="男",LOOKUP(Q702,[1]对照表!$U$3:$U$24,[1]对照表!$X$3:$X$24),LOOKUP(Q702,[1]对照表!$U$27:$U$48,[1]对照表!$X$27:$X$48)))))</f>
        <v>90</v>
      </c>
      <c r="S702" s="33">
        <f>ROUND(IF(IF($B702="高三",MIN(IF($E702="男",$Q702-3.2,$Q702-3.2),0),IF($B702="高二",MIN(IF($E702="男",$Q702-3.25,$Q702-3.22),0),IF($B702="高一",MIN(IF($E702="男",$Q702-3.3,$Q702-3.24),0))))&lt;-0.6,IF($B702="高三",MIN(IF($E702="男",$Q702-3.2,$Q702-3.2),0),IF($B702="高二",MIN(IF($E702="男",$Q702-3.25,$Q702-3.22),0),IF($B702="高一",MIN(IF($E702="男",$Q702-3.3,$Q702-3.24),0))))+0.4,IF($B702="高三",MIN(IF($E702="男",$Q702-3.2,$Q702-3.2),0),IF($B702="高二",MIN(IF($E702="男",$Q702-3.25,$Q702-3.22),0),IF($B702="高一",MIN(IF($E702="男",$Q702-3.3,$Q702-3.24),0))))),2)</f>
        <v>0</v>
      </c>
      <c r="T702" s="23">
        <f>IF(E702="男",LOOKUP($S702,[1]对照表!$AB$3:$AB$13,[1]对照表!$AC$3:$AC$13),LOOKUP($S702,[1]对照表!$AB$15:$AB$25,[1]对照表!$AC$15:$AC$25))</f>
        <v>0</v>
      </c>
      <c r="U702" s="26">
        <f>R702+T702</f>
        <v>90</v>
      </c>
      <c r="V702" s="26">
        <f>SUM(I702,K702,M702)/3*0.3+SUM(G702,R702)/2*0.4</f>
        <v>57</v>
      </c>
      <c r="W702" s="27">
        <f>O702+T702</f>
        <v>0</v>
      </c>
      <c r="X702" s="28">
        <f>V702/0.7+W702</f>
        <v>81.428571428571431</v>
      </c>
      <c r="Y702" s="28">
        <v>81.428571428571431</v>
      </c>
      <c r="Z702" s="21"/>
    </row>
    <row r="703" spans="1:26" x14ac:dyDescent="0.25">
      <c r="A703" s="16">
        <v>26</v>
      </c>
      <c r="B703" s="17" t="s">
        <v>21</v>
      </c>
      <c r="C703" s="16">
        <v>116</v>
      </c>
      <c r="D703" s="18" t="s">
        <v>398</v>
      </c>
      <c r="E703" s="17" t="s">
        <v>65</v>
      </c>
      <c r="F703" s="19">
        <v>9.11</v>
      </c>
      <c r="G703" s="32">
        <f>IF(B703="高三",IF($E703="男",LOOKUP(F703,[1]对照表!$G$3:$G$24,[1]对照表!$H$3:$H$24),LOOKUP(F703,[1]对照表!$G$27:$G$48,[1]对照表!$H$27:$H$48)),IF(B703="高二",IF($E703="男",LOOKUP(F703,[1]对照表!$F$3:$F$24,[1]对照表!$H$3:$H$24),LOOKUP(F703,[1]对照表!$F$27:$F$48,[1]对照表!$H$27:$H$48)),IF(B703="高一",IF($E703="男",LOOKUP(F703,[1]对照表!$E$3:$E$24,[1]对照表!$H$3:$H$24),LOOKUP(F703,[1]对照表!$E$27:$E$48,[1]对照表!$H$27:$H$48)))))</f>
        <v>74</v>
      </c>
      <c r="H703" s="21">
        <v>18.5</v>
      </c>
      <c r="I703" s="32">
        <f>IF(B703="高三",IF($E703="男",LOOKUP(H703,[1]对照表!$K$3:$K$24,[1]对照表!$L$3:$L$24),LOOKUP(H703,[1]对照表!$K$27:$K$48,[1]对照表!$L$27:$L$48)),IF(B703="高二",IF($E703="男",LOOKUP(H703,[1]对照表!$J$3:$J$24,[1]对照表!$L$3:$L$24),LOOKUP(H703,[1]对照表!$J$27:$J$48,[1]对照表!$L$27:$L$48)),IF(B703="高一",IF($E703="男",LOOKUP(H703,[1]对照表!$I$3:$I$24,[1]对照表!$L$3:$L$24),LOOKUP(H703,[1]对照表!$I$27:$I$48,[1]对照表!$L$27:$L$48)))))</f>
        <v>80</v>
      </c>
      <c r="J703" s="21">
        <v>172</v>
      </c>
      <c r="K703" s="32">
        <f>IF(B703="高三",IF($E703="男",LOOKUP(J703,[1]对照表!$O$3:$O$24,[1]对照表!$P$3:$P$24),LOOKUP(J703,[1]对照表!$O$27:$O$48,[1]对照表!$P$27:$P$48)),IF(B703="高二",IF($E703="男",LOOKUP(J703,[1]对照表!$N$3:$N$24,[1]对照表!$P$3:$P$24),LOOKUP(J703,[1]对照表!$N$27:$N$48,[1]对照表!$P$27:$P$48)),IF(B703="高一",IF($E703="男",LOOKUP(J703,[1]对照表!$M$3:$M$24,[1]对照表!$P$3:$P$24),LOOKUP(J703,[1]对照表!$M$27:$M$48,[1]对照表!$P$27:$P$48)))))</f>
        <v>76</v>
      </c>
      <c r="L703" s="21">
        <v>53</v>
      </c>
      <c r="M703" s="32">
        <f>IF(B703="高三",IF($E703="男",LOOKUP(L703,[1]对照表!$S$3:$S$24,[1]对照表!$T$3:$T$24),LOOKUP(L703,[1]对照表!$S$27:$S$48,[1]对照表!$T$27:$T$48)),IF(B703="高二",IF($E703="男",LOOKUP(L703,[1]对照表!$R$3:$R$24,[1]对照表!$T$3:$T$24),LOOKUP(L703,[1]对照表!$R$27:$R$48,[1]对照表!$T$27:$T$48)),IF(B703="高一",IF($E703="男",LOOKUP(L703,[1]对照表!$Q$3:$Q$24,[1]对照表!$T$3:$T$24),LOOKUP(L703,[1]对照表!$Q$27:$Q$48,[1]对照表!$T$27:$T$48)))))</f>
        <v>100</v>
      </c>
      <c r="N703" s="33">
        <f>IF(B703="高三",MAX(IF(E703="男",L703-18,L703-55),0),IF(B703="高二",MAX(IF(E703="男",L703-17,L703-54),0),IF(B703="高一",MAX(IF(E703="男",L703-16,L703-53),0))))</f>
        <v>0</v>
      </c>
      <c r="O703" s="23">
        <f>IF(E703="男",LOOKUP($N703,[1]对照表!$Z$3:$Z$13,[1]对照表!$AA$3:$AA$13),LOOKUP($N703,[1]对照表!$Z$15:$Z$25,[1]对照表!$AA$15:$AA$25))</f>
        <v>0</v>
      </c>
      <c r="P703" s="24">
        <f>M703+O703</f>
        <v>100</v>
      </c>
      <c r="Q703" s="25">
        <v>3.37</v>
      </c>
      <c r="R703" s="32">
        <f>IF(B703="高三",IF($E703="男",LOOKUP(Q703,[1]对照表!$W$3:$W$24,[1]对照表!$X$3:$X$24),LOOKUP(Q703,[1]对照表!$W$27:$W$48,[1]对照表!$X$27:$X$48)),IF(B703="高二",IF($E703="男",LOOKUP(Q703,[1]对照表!$V$3:$V$24,[1]对照表!$X$3:$X$24),LOOKUP(Q703,[1]对照表!$V$27:$V$48,[1]对照表!$X$27:$X$48)),IF(B703="高一",IF($E703="男",LOOKUP(Q703,[1]对照表!$U$3:$U$24,[1]对照表!$X$3:$X$24),LOOKUP(Q703,[1]对照表!$U$27:$U$48,[1]对照表!$X$27:$X$48)))))</f>
        <v>85</v>
      </c>
      <c r="S703" s="33">
        <f>ROUND(IF(IF($B703="高三",MIN(IF($E703="男",$Q703-3.2,$Q703-3.2),0),IF($B703="高二",MIN(IF($E703="男",$Q703-3.25,$Q703-3.22),0),IF($B703="高一",MIN(IF($E703="男",$Q703-3.3,$Q703-3.24),0))))&lt;-0.6,IF($B703="高三",MIN(IF($E703="男",$Q703-3.2,$Q703-3.2),0),IF($B703="高二",MIN(IF($E703="男",$Q703-3.25,$Q703-3.22),0),IF($B703="高一",MIN(IF($E703="男",$Q703-3.3,$Q703-3.24),0))))+0.4,IF($B703="高三",MIN(IF($E703="男",$Q703-3.2,$Q703-3.2),0),IF($B703="高二",MIN(IF($E703="男",$Q703-3.25,$Q703-3.22),0),IF($B703="高一",MIN(IF($E703="男",$Q703-3.3,$Q703-3.24),0))))),2)</f>
        <v>0</v>
      </c>
      <c r="T703" s="23">
        <f>IF(E703="男",LOOKUP($S703,[1]对照表!$AB$3:$AB$13,[1]对照表!$AC$3:$AC$13),LOOKUP($S703,[1]对照表!$AB$15:$AB$25,[1]对照表!$AC$15:$AC$25))</f>
        <v>0</v>
      </c>
      <c r="U703" s="26">
        <f>R703+T703</f>
        <v>85</v>
      </c>
      <c r="V703" s="26">
        <f>SUM(I703,K703,M703)/3*0.3+SUM(G703,R703)/2*0.4</f>
        <v>57.4</v>
      </c>
      <c r="W703" s="27">
        <f>O703+T703</f>
        <v>0</v>
      </c>
      <c r="X703" s="28">
        <f>V703/0.7+W703</f>
        <v>82</v>
      </c>
      <c r="Y703" s="28">
        <v>82</v>
      </c>
      <c r="Z703" s="21"/>
    </row>
    <row r="704" spans="1:26" x14ac:dyDescent="0.25">
      <c r="A704" s="16">
        <v>42</v>
      </c>
      <c r="B704" s="17" t="s">
        <v>21</v>
      </c>
      <c r="C704" s="16">
        <v>116</v>
      </c>
      <c r="D704" s="18" t="s">
        <v>403</v>
      </c>
      <c r="E704" s="16" t="s">
        <v>65</v>
      </c>
      <c r="F704" s="19">
        <v>9.85</v>
      </c>
      <c r="G704" s="32">
        <f>IF(B704="高三",IF($E704="男",LOOKUP(F704,[1]对照表!$G$3:$G$24,[1]对照表!$H$3:$H$24),LOOKUP(F704,[1]对照表!$G$27:$G$48,[1]对照表!$H$27:$H$48)),IF(B704="高二",IF($E704="男",LOOKUP(F704,[1]对照表!$F$3:$F$24,[1]对照表!$H$3:$H$24),LOOKUP(F704,[1]对照表!$F$27:$F$48,[1]对照表!$H$27:$H$48)),IF(B704="高一",IF($E704="男",LOOKUP(F704,[1]对照表!$E$3:$E$24,[1]对照表!$H$3:$H$24),LOOKUP(F704,[1]对照表!$E$27:$E$48,[1]对照表!$H$27:$H$48)))))</f>
        <v>66</v>
      </c>
      <c r="H704" s="21">
        <v>19.2</v>
      </c>
      <c r="I704" s="32">
        <f>IF(B704="高三",IF($E704="男",LOOKUP(H704,[1]对照表!$K$3:$K$24,[1]对照表!$L$3:$L$24),LOOKUP(H704,[1]对照表!$K$27:$K$48,[1]对照表!$L$27:$L$48)),IF(B704="高二",IF($E704="男",LOOKUP(H704,[1]对照表!$J$3:$J$24,[1]对照表!$L$3:$L$24),LOOKUP(H704,[1]对照表!$J$27:$J$48,[1]对照表!$L$27:$L$48)),IF(B704="高一",IF($E704="男",LOOKUP(H704,[1]对照表!$I$3:$I$24,[1]对照表!$L$3:$L$24),LOOKUP(H704,[1]对照表!$I$27:$I$48,[1]对照表!$L$27:$L$48)))))</f>
        <v>85</v>
      </c>
      <c r="J704" s="21">
        <v>162</v>
      </c>
      <c r="K704" s="32">
        <f>IF(B704="高三",IF($E704="男",LOOKUP(J704,[1]对照表!$O$3:$O$24,[1]对照表!$P$3:$P$24),LOOKUP(J704,[1]对照表!$O$27:$O$48,[1]对照表!$P$27:$P$48)),IF(B704="高二",IF($E704="男",LOOKUP(J704,[1]对照表!$N$3:$N$24,[1]对照表!$P$3:$P$24),LOOKUP(J704,[1]对照表!$N$27:$N$48,[1]对照表!$P$27:$P$48)),IF(B704="高一",IF($E704="男",LOOKUP(J704,[1]对照表!$M$3:$M$24,[1]对照表!$P$3:$P$24),LOOKUP(J704,[1]对照表!$M$27:$M$48,[1]对照表!$P$27:$P$48)))))</f>
        <v>68</v>
      </c>
      <c r="L704" s="21">
        <v>50</v>
      </c>
      <c r="M704" s="32">
        <f>IF(B704="高三",IF($E704="男",LOOKUP(L704,[1]对照表!$S$3:$S$24,[1]对照表!$T$3:$T$24),LOOKUP(L704,[1]对照表!$S$27:$S$48,[1]对照表!$T$27:$T$48)),IF(B704="高二",IF($E704="男",LOOKUP(L704,[1]对照表!$R$3:$R$24,[1]对照表!$T$3:$T$24),LOOKUP(L704,[1]对照表!$R$27:$R$48,[1]对照表!$T$27:$T$48)),IF(B704="高一",IF($E704="男",LOOKUP(L704,[1]对照表!$Q$3:$Q$24,[1]对照表!$T$3:$T$24),LOOKUP(L704,[1]对照表!$Q$27:$Q$48,[1]对照表!$T$27:$T$48)))))</f>
        <v>90</v>
      </c>
      <c r="N704" s="33">
        <f>IF(B704="高三",MAX(IF(E704="男",L704-18,L704-55),0),IF(B704="高二",MAX(IF(E704="男",L704-17,L704-54),0),IF(B704="高一",MAX(IF(E704="男",L704-16,L704-53),0))))</f>
        <v>0</v>
      </c>
      <c r="O704" s="23">
        <f>IF(E704="男",LOOKUP($N704,[1]对照表!$Z$3:$Z$13,[1]对照表!$AA$3:$AA$13),LOOKUP($N704,[1]对照表!$Z$15:$Z$25,[1]对照表!$AA$15:$AA$25))</f>
        <v>0</v>
      </c>
      <c r="P704" s="24">
        <f>M704+O704</f>
        <v>90</v>
      </c>
      <c r="Q704" s="25">
        <v>3.37</v>
      </c>
      <c r="R704" s="32">
        <f>IF(B704="高三",IF($E704="男",LOOKUP(Q704,[1]对照表!$W$3:$W$24,[1]对照表!$X$3:$X$24),LOOKUP(Q704,[1]对照表!$W$27:$W$48,[1]对照表!$X$27:$X$48)),IF(B704="高二",IF($E704="男",LOOKUP(Q704,[1]对照表!$V$3:$V$24,[1]对照表!$X$3:$X$24),LOOKUP(Q704,[1]对照表!$V$27:$V$48,[1]对照表!$X$27:$X$48)),IF(B704="高一",IF($E704="男",LOOKUP(Q704,[1]对照表!$U$3:$U$24,[1]对照表!$X$3:$X$24),LOOKUP(Q704,[1]对照表!$U$27:$U$48,[1]对照表!$X$27:$X$48)))))</f>
        <v>85</v>
      </c>
      <c r="S704" s="33">
        <f>ROUND(IF(IF($B704="高三",MIN(IF($E704="男",$Q704-3.2,$Q704-3.2),0),IF($B704="高二",MIN(IF($E704="男",$Q704-3.25,$Q704-3.22),0),IF($B704="高一",MIN(IF($E704="男",$Q704-3.3,$Q704-3.24),0))))&lt;-0.6,IF($B704="高三",MIN(IF($E704="男",$Q704-3.2,$Q704-3.2),0),IF($B704="高二",MIN(IF($E704="男",$Q704-3.25,$Q704-3.22),0),IF($B704="高一",MIN(IF($E704="男",$Q704-3.3,$Q704-3.24),0))))+0.4,IF($B704="高三",MIN(IF($E704="男",$Q704-3.2,$Q704-3.2),0),IF($B704="高二",MIN(IF($E704="男",$Q704-3.25,$Q704-3.22),0),IF($B704="高一",MIN(IF($E704="男",$Q704-3.3,$Q704-3.24),0))))),2)</f>
        <v>0</v>
      </c>
      <c r="T704" s="23">
        <f>IF(E704="男",LOOKUP($S704,[1]对照表!$AB$3:$AB$13,[1]对照表!$AC$3:$AC$13),LOOKUP($S704,[1]对照表!$AB$15:$AB$25,[1]对照表!$AC$15:$AC$25))</f>
        <v>0</v>
      </c>
      <c r="U704" s="26">
        <f>R704+T704</f>
        <v>85</v>
      </c>
      <c r="V704" s="26">
        <f>SUM(I704,K704,M704)/3*0.3+SUM(G704,R704)/2*0.4</f>
        <v>54.5</v>
      </c>
      <c r="W704" s="27">
        <f>O704+T704</f>
        <v>0</v>
      </c>
      <c r="X704" s="28">
        <f>V704/0.7+W704</f>
        <v>77.857142857142861</v>
      </c>
      <c r="Y704" s="28">
        <v>77.857142857142861</v>
      </c>
      <c r="Z704" s="21"/>
    </row>
    <row r="705" spans="1:26" x14ac:dyDescent="0.25">
      <c r="A705" s="16">
        <v>21</v>
      </c>
      <c r="B705" s="17" t="s">
        <v>21</v>
      </c>
      <c r="C705" s="16">
        <v>116</v>
      </c>
      <c r="D705" s="18" t="s">
        <v>408</v>
      </c>
      <c r="E705" s="17" t="s">
        <v>65</v>
      </c>
      <c r="F705" s="19">
        <v>8.6199999999999992</v>
      </c>
      <c r="G705" s="32">
        <f>IF(B705="高三",IF($E705="男",LOOKUP(F705,[1]对照表!$G$3:$G$24,[1]对照表!$H$3:$H$24),LOOKUP(F705,[1]对照表!$G$27:$G$48,[1]对照表!$H$27:$H$48)),IF(B705="高二",IF($E705="男",LOOKUP(F705,[1]对照表!$F$3:$F$24,[1]对照表!$H$3:$H$24),LOOKUP(F705,[1]对照表!$F$27:$F$48,[1]对照表!$H$27:$H$48)),IF(B705="高一",IF($E705="男",LOOKUP(F705,[1]对照表!$E$3:$E$24,[1]对照表!$H$3:$H$24),LOOKUP(F705,[1]对照表!$E$27:$E$48,[1]对照表!$H$27:$H$48)))))</f>
        <v>78</v>
      </c>
      <c r="H705" s="21">
        <v>20.5</v>
      </c>
      <c r="I705" s="32">
        <f>IF(B705="高三",IF($E705="男",LOOKUP(H705,[1]对照表!$K$3:$K$24,[1]对照表!$L$3:$L$24),LOOKUP(H705,[1]对照表!$K$27:$K$48,[1]对照表!$L$27:$L$48)),IF(B705="高二",IF($E705="男",LOOKUP(H705,[1]对照表!$J$3:$J$24,[1]对照表!$L$3:$L$24),LOOKUP(H705,[1]对照表!$J$27:$J$48,[1]对照表!$L$27:$L$48)),IF(B705="高一",IF($E705="男",LOOKUP(H705,[1]对照表!$I$3:$I$24,[1]对照表!$L$3:$L$24),LOOKUP(H705,[1]对照表!$I$27:$I$48,[1]对照表!$L$27:$L$48)))))</f>
        <v>85</v>
      </c>
      <c r="J705" s="21">
        <v>182</v>
      </c>
      <c r="K705" s="32">
        <f>IF(B705="高三",IF($E705="男",LOOKUP(J705,[1]对照表!$O$3:$O$24,[1]对照表!$P$3:$P$24),LOOKUP(J705,[1]对照表!$O$27:$O$48,[1]对照表!$P$27:$P$48)),IF(B705="高二",IF($E705="男",LOOKUP(J705,[1]对照表!$N$3:$N$24,[1]对照表!$P$3:$P$24),LOOKUP(J705,[1]对照表!$N$27:$N$48,[1]对照表!$P$27:$P$48)),IF(B705="高一",IF($E705="男",LOOKUP(J705,[1]对照表!$M$3:$M$24,[1]对照表!$P$3:$P$24),LOOKUP(J705,[1]对照表!$M$27:$M$48,[1]对照表!$P$27:$P$48)))))</f>
        <v>80</v>
      </c>
      <c r="L705" s="21">
        <v>55</v>
      </c>
      <c r="M705" s="32">
        <f>IF(B705="高三",IF($E705="男",LOOKUP(L705,[1]对照表!$S$3:$S$24,[1]对照表!$T$3:$T$24),LOOKUP(L705,[1]对照表!$S$27:$S$48,[1]对照表!$T$27:$T$48)),IF(B705="高二",IF($E705="男",LOOKUP(L705,[1]对照表!$R$3:$R$24,[1]对照表!$T$3:$T$24),LOOKUP(L705,[1]对照表!$R$27:$R$48,[1]对照表!$T$27:$T$48)),IF(B705="高一",IF($E705="男",LOOKUP(L705,[1]对照表!$Q$3:$Q$24,[1]对照表!$T$3:$T$24),LOOKUP(L705,[1]对照表!$Q$27:$Q$48,[1]对照表!$T$27:$T$48)))))</f>
        <v>100</v>
      </c>
      <c r="N705" s="33">
        <f>IF(B705="高三",MAX(IF(E705="男",L705-18,L705-55),0),IF(B705="高二",MAX(IF(E705="男",L705-17,L705-54),0),IF(B705="高一",MAX(IF(E705="男",L705-16,L705-53),0))))</f>
        <v>2</v>
      </c>
      <c r="O705" s="23">
        <f>IF(E705="男",LOOKUP($N705,[1]对照表!$Z$3:$Z$13,[1]对照表!$AA$3:$AA$13),LOOKUP($N705,[1]对照表!$Z$15:$Z$25,[1]对照表!$AA$15:$AA$25))</f>
        <v>1</v>
      </c>
      <c r="P705" s="24">
        <f>M705+O705</f>
        <v>101</v>
      </c>
      <c r="Q705" s="25">
        <v>3.38</v>
      </c>
      <c r="R705" s="32">
        <f>IF(B705="高三",IF($E705="男",LOOKUP(Q705,[1]对照表!$W$3:$W$24,[1]对照表!$X$3:$X$24),LOOKUP(Q705,[1]对照表!$W$27:$W$48,[1]对照表!$X$27:$X$48)),IF(B705="高二",IF($E705="男",LOOKUP(Q705,[1]对照表!$V$3:$V$24,[1]对照表!$X$3:$X$24),LOOKUP(Q705,[1]对照表!$V$27:$V$48,[1]对照表!$X$27:$X$48)),IF(B705="高一",IF($E705="男",LOOKUP(Q705,[1]对照表!$U$3:$U$24,[1]对照表!$X$3:$X$24),LOOKUP(Q705,[1]对照表!$U$27:$U$48,[1]对照表!$X$27:$X$48)))))</f>
        <v>85</v>
      </c>
      <c r="S705" s="33">
        <f>ROUND(IF(IF($B705="高三",MIN(IF($E705="男",$Q705-3.2,$Q705-3.2),0),IF($B705="高二",MIN(IF($E705="男",$Q705-3.25,$Q705-3.22),0),IF($B705="高一",MIN(IF($E705="男",$Q705-3.3,$Q705-3.24),0))))&lt;-0.6,IF($B705="高三",MIN(IF($E705="男",$Q705-3.2,$Q705-3.2),0),IF($B705="高二",MIN(IF($E705="男",$Q705-3.25,$Q705-3.22),0),IF($B705="高一",MIN(IF($E705="男",$Q705-3.3,$Q705-3.24),0))))+0.4,IF($B705="高三",MIN(IF($E705="男",$Q705-3.2,$Q705-3.2),0),IF($B705="高二",MIN(IF($E705="男",$Q705-3.25,$Q705-3.22),0),IF($B705="高一",MIN(IF($E705="男",$Q705-3.3,$Q705-3.24),0))))),2)</f>
        <v>0</v>
      </c>
      <c r="T705" s="23">
        <f>IF(E705="男",LOOKUP($S705,[1]对照表!$AB$3:$AB$13,[1]对照表!$AC$3:$AC$13),LOOKUP($S705,[1]对照表!$AB$15:$AB$25,[1]对照表!$AC$15:$AC$25))</f>
        <v>0</v>
      </c>
      <c r="U705" s="26">
        <f>R705+T705</f>
        <v>85</v>
      </c>
      <c r="V705" s="26">
        <f>SUM(I705,K705,M705)/3*0.3+SUM(G705,R705)/2*0.4</f>
        <v>59.099999999999994</v>
      </c>
      <c r="W705" s="27">
        <f>O705+T705</f>
        <v>1</v>
      </c>
      <c r="X705" s="28">
        <f>V705/0.7+W705</f>
        <v>85.428571428571431</v>
      </c>
      <c r="Y705" s="28">
        <v>85.428571428571431</v>
      </c>
      <c r="Z705" s="21"/>
    </row>
    <row r="706" spans="1:26" x14ac:dyDescent="0.25">
      <c r="A706" s="16">
        <v>52</v>
      </c>
      <c r="B706" s="17" t="s">
        <v>21</v>
      </c>
      <c r="C706" s="16">
        <v>116</v>
      </c>
      <c r="D706" s="18" t="s">
        <v>447</v>
      </c>
      <c r="E706" s="16" t="s">
        <v>65</v>
      </c>
      <c r="F706" s="19">
        <v>8.9</v>
      </c>
      <c r="G706" s="32">
        <f>IF(B706="高三",IF($E706="男",LOOKUP(F706,[1]对照表!$G$3:$G$24,[1]对照表!$H$3:$H$24),LOOKUP(F706,[1]对照表!$G$27:$G$48,[1]对照表!$H$27:$H$48)),IF(B706="高二",IF($E706="男",LOOKUP(F706,[1]对照表!$F$3:$F$24,[1]对照表!$H$3:$H$24),LOOKUP(F706,[1]对照表!$F$27:$F$48,[1]对照表!$H$27:$H$48)),IF(B706="高一",IF($E706="男",LOOKUP(F706,[1]对照表!$E$3:$E$24,[1]对照表!$H$3:$H$24),LOOKUP(F706,[1]对照表!$E$27:$E$48,[1]对照表!$H$27:$H$48)))))</f>
        <v>76</v>
      </c>
      <c r="H706" s="21">
        <v>18</v>
      </c>
      <c r="I706" s="32">
        <f>IF(B706="高三",IF($E706="男",LOOKUP(H706,[1]对照表!$K$3:$K$24,[1]对照表!$L$3:$L$24),LOOKUP(H706,[1]对照表!$K$27:$K$48,[1]对照表!$L$27:$L$48)),IF(B706="高二",IF($E706="男",LOOKUP(H706,[1]对照表!$J$3:$J$24,[1]对照表!$L$3:$L$24),LOOKUP(H706,[1]对照表!$J$27:$J$48,[1]对照表!$L$27:$L$48)),IF(B706="高一",IF($E706="男",LOOKUP(H706,[1]对照表!$I$3:$I$24,[1]对照表!$L$3:$L$24),LOOKUP(H706,[1]对照表!$I$27:$I$48,[1]对照表!$L$27:$L$48)))))</f>
        <v>80</v>
      </c>
      <c r="J706" s="21">
        <v>180</v>
      </c>
      <c r="K706" s="32">
        <f>IF(B706="高三",IF($E706="男",LOOKUP(J706,[1]对照表!$O$3:$O$24,[1]对照表!$P$3:$P$24),LOOKUP(J706,[1]对照表!$O$27:$O$48,[1]对照表!$P$27:$P$48)),IF(B706="高二",IF($E706="男",LOOKUP(J706,[1]对照表!$N$3:$N$24,[1]对照表!$P$3:$P$24),LOOKUP(J706,[1]对照表!$N$27:$N$48,[1]对照表!$P$27:$P$48)),IF(B706="高一",IF($E706="男",LOOKUP(J706,[1]对照表!$M$3:$M$24,[1]对照表!$P$3:$P$24),LOOKUP(J706,[1]对照表!$M$27:$M$48,[1]对照表!$P$27:$P$48)))))</f>
        <v>80</v>
      </c>
      <c r="L706" s="21">
        <v>55</v>
      </c>
      <c r="M706" s="32">
        <f>IF(B706="高三",IF($E706="男",LOOKUP(L706,[1]对照表!$S$3:$S$24,[1]对照表!$T$3:$T$24),LOOKUP(L706,[1]对照表!$S$27:$S$48,[1]对照表!$T$27:$T$48)),IF(B706="高二",IF($E706="男",LOOKUP(L706,[1]对照表!$R$3:$R$24,[1]对照表!$T$3:$T$24),LOOKUP(L706,[1]对照表!$R$27:$R$48,[1]对照表!$T$27:$T$48)),IF(B706="高一",IF($E706="男",LOOKUP(L706,[1]对照表!$Q$3:$Q$24,[1]对照表!$T$3:$T$24),LOOKUP(L706,[1]对照表!$Q$27:$Q$48,[1]对照表!$T$27:$T$48)))))</f>
        <v>100</v>
      </c>
      <c r="N706" s="33">
        <f>IF(B706="高三",MAX(IF(E706="男",L706-18,L706-55),0),IF(B706="高二",MAX(IF(E706="男",L706-17,L706-54),0),IF(B706="高一",MAX(IF(E706="男",L706-16,L706-53),0))))</f>
        <v>2</v>
      </c>
      <c r="O706" s="23">
        <f>IF(E706="男",LOOKUP($N706,[1]对照表!$Z$3:$Z$13,[1]对照表!$AA$3:$AA$13),LOOKUP($N706,[1]对照表!$Z$15:$Z$25,[1]对照表!$AA$15:$AA$25))</f>
        <v>1</v>
      </c>
      <c r="P706" s="24">
        <f>M706+O706</f>
        <v>101</v>
      </c>
      <c r="Q706" s="25">
        <v>3.39</v>
      </c>
      <c r="R706" s="32">
        <f>IF(B706="高三",IF($E706="男",LOOKUP(Q706,[1]对照表!$W$3:$W$24,[1]对照表!$X$3:$X$24),LOOKUP(Q706,[1]对照表!$W$27:$W$48,[1]对照表!$X$27:$X$48)),IF(B706="高二",IF($E706="男",LOOKUP(Q706,[1]对照表!$V$3:$V$24,[1]对照表!$X$3:$X$24),LOOKUP(Q706,[1]对照表!$V$27:$V$48,[1]对照表!$X$27:$X$48)),IF(B706="高一",IF($E706="男",LOOKUP(Q706,[1]对照表!$U$3:$U$24,[1]对照表!$X$3:$X$24),LOOKUP(Q706,[1]对照表!$U$27:$U$48,[1]对照表!$X$27:$X$48)))))</f>
        <v>85</v>
      </c>
      <c r="S706" s="33">
        <f>ROUND(IF(IF($B706="高三",MIN(IF($E706="男",$Q706-3.2,$Q706-3.2),0),IF($B706="高二",MIN(IF($E706="男",$Q706-3.25,$Q706-3.22),0),IF($B706="高一",MIN(IF($E706="男",$Q706-3.3,$Q706-3.24),0))))&lt;-0.6,IF($B706="高三",MIN(IF($E706="男",$Q706-3.2,$Q706-3.2),0),IF($B706="高二",MIN(IF($E706="男",$Q706-3.25,$Q706-3.22),0),IF($B706="高一",MIN(IF($E706="男",$Q706-3.3,$Q706-3.24),0))))+0.4,IF($B706="高三",MIN(IF($E706="男",$Q706-3.2,$Q706-3.2),0),IF($B706="高二",MIN(IF($E706="男",$Q706-3.25,$Q706-3.22),0),IF($B706="高一",MIN(IF($E706="男",$Q706-3.3,$Q706-3.24),0))))),2)</f>
        <v>0</v>
      </c>
      <c r="T706" s="23">
        <f>IF(E706="男",LOOKUP($S706,[1]对照表!$AB$3:$AB$13,[1]对照表!$AC$3:$AC$13),LOOKUP($S706,[1]对照表!$AB$15:$AB$25,[1]对照表!$AC$15:$AC$25))</f>
        <v>0</v>
      </c>
      <c r="U706" s="26">
        <f>R706+T706</f>
        <v>85</v>
      </c>
      <c r="V706" s="26">
        <f>SUM(I706,K706,M706)/3*0.3+SUM(G706,R706)/2*0.4</f>
        <v>58.2</v>
      </c>
      <c r="W706" s="27">
        <f>O706+T706</f>
        <v>1</v>
      </c>
      <c r="X706" s="28">
        <f>V706/0.7+W706</f>
        <v>84.142857142857153</v>
      </c>
      <c r="Y706" s="28">
        <v>84.142857142857153</v>
      </c>
      <c r="Z706" s="21"/>
    </row>
    <row r="707" spans="1:26" x14ac:dyDescent="0.25">
      <c r="A707" s="16">
        <v>39</v>
      </c>
      <c r="B707" s="17" t="s">
        <v>21</v>
      </c>
      <c r="C707" s="16">
        <v>116</v>
      </c>
      <c r="D707" s="18" t="s">
        <v>455</v>
      </c>
      <c r="E707" s="16" t="s">
        <v>65</v>
      </c>
      <c r="F707" s="19">
        <v>8.31</v>
      </c>
      <c r="G707" s="32">
        <f>IF(B707="高三",IF($E707="男",LOOKUP(F707,[1]对照表!$G$3:$G$24,[1]对照表!$H$3:$H$24),LOOKUP(F707,[1]对照表!$G$27:$G$48,[1]对照表!$H$27:$H$48)),IF(B707="高二",IF($E707="男",LOOKUP(F707,[1]对照表!$F$3:$F$24,[1]对照表!$H$3:$H$24),LOOKUP(F707,[1]对照表!$F$27:$F$48,[1]对照表!$H$27:$H$48)),IF(B707="高一",IF($E707="男",LOOKUP(F707,[1]对照表!$E$3:$E$24,[1]对照表!$H$3:$H$24),LOOKUP(F707,[1]对照表!$E$27:$E$48,[1]对照表!$H$27:$H$48)))))</f>
        <v>80</v>
      </c>
      <c r="H707" s="21">
        <v>18.5</v>
      </c>
      <c r="I707" s="32">
        <f>IF(B707="高三",IF($E707="男",LOOKUP(H707,[1]对照表!$K$3:$K$24,[1]对照表!$L$3:$L$24),LOOKUP(H707,[1]对照表!$K$27:$K$48,[1]对照表!$L$27:$L$48)),IF(B707="高二",IF($E707="男",LOOKUP(H707,[1]对照表!$J$3:$J$24,[1]对照表!$L$3:$L$24),LOOKUP(H707,[1]对照表!$J$27:$J$48,[1]对照表!$L$27:$L$48)),IF(B707="高一",IF($E707="男",LOOKUP(H707,[1]对照表!$I$3:$I$24,[1]对照表!$L$3:$L$24),LOOKUP(H707,[1]对照表!$I$27:$I$48,[1]对照表!$L$27:$L$48)))))</f>
        <v>80</v>
      </c>
      <c r="J707" s="21">
        <v>200</v>
      </c>
      <c r="K707" s="32">
        <f>IF(B707="高三",IF($E707="男",LOOKUP(J707,[1]对照表!$O$3:$O$24,[1]对照表!$P$3:$P$24),LOOKUP(J707,[1]对照表!$O$27:$O$48,[1]对照表!$P$27:$P$48)),IF(B707="高二",IF($E707="男",LOOKUP(J707,[1]对照表!$N$3:$N$24,[1]对照表!$P$3:$P$24),LOOKUP(J707,[1]对照表!$N$27:$N$48,[1]对照表!$P$27:$P$48)),IF(B707="高一",IF($E707="男",LOOKUP(J707,[1]对照表!$M$3:$M$24,[1]对照表!$P$3:$P$24),LOOKUP(J707,[1]对照表!$M$27:$M$48,[1]对照表!$P$27:$P$48)))))</f>
        <v>95</v>
      </c>
      <c r="L707" s="21">
        <v>53</v>
      </c>
      <c r="M707" s="32">
        <f>IF(B707="高三",IF($E707="男",LOOKUP(L707,[1]对照表!$S$3:$S$24,[1]对照表!$T$3:$T$24),LOOKUP(L707,[1]对照表!$S$27:$S$48,[1]对照表!$T$27:$T$48)),IF(B707="高二",IF($E707="男",LOOKUP(L707,[1]对照表!$R$3:$R$24,[1]对照表!$T$3:$T$24),LOOKUP(L707,[1]对照表!$R$27:$R$48,[1]对照表!$T$27:$T$48)),IF(B707="高一",IF($E707="男",LOOKUP(L707,[1]对照表!$Q$3:$Q$24,[1]对照表!$T$3:$T$24),LOOKUP(L707,[1]对照表!$Q$27:$Q$48,[1]对照表!$T$27:$T$48)))))</f>
        <v>100</v>
      </c>
      <c r="N707" s="33">
        <f>IF(B707="高三",MAX(IF(E707="男",L707-18,L707-55),0),IF(B707="高二",MAX(IF(E707="男",L707-17,L707-54),0),IF(B707="高一",MAX(IF(E707="男",L707-16,L707-53),0))))</f>
        <v>0</v>
      </c>
      <c r="O707" s="23">
        <f>IF(E707="男",LOOKUP($N707,[1]对照表!$Z$3:$Z$13,[1]对照表!$AA$3:$AA$13),LOOKUP($N707,[1]对照表!$Z$15:$Z$25,[1]对照表!$AA$15:$AA$25))</f>
        <v>0</v>
      </c>
      <c r="P707" s="24">
        <f>M707+O707</f>
        <v>100</v>
      </c>
      <c r="Q707" s="25">
        <v>3.4</v>
      </c>
      <c r="R707" s="32">
        <f>IF(B707="高三",IF($E707="男",LOOKUP(Q707,[1]对照表!$W$3:$W$24,[1]对照表!$X$3:$X$24),LOOKUP(Q707,[1]对照表!$W$27:$W$48,[1]对照表!$X$27:$X$48)),IF(B707="高二",IF($E707="男",LOOKUP(Q707,[1]对照表!$V$3:$V$24,[1]对照表!$X$3:$X$24),LOOKUP(Q707,[1]对照表!$V$27:$V$48,[1]对照表!$X$27:$X$48)),IF(B707="高一",IF($E707="男",LOOKUP(Q707,[1]对照表!$U$3:$U$24,[1]对照表!$X$3:$X$24),LOOKUP(Q707,[1]对照表!$U$27:$U$48,[1]对照表!$X$27:$X$48)))))</f>
        <v>85</v>
      </c>
      <c r="S707" s="33">
        <f>ROUND(IF(IF($B707="高三",MIN(IF($E707="男",$Q707-3.2,$Q707-3.2),0),IF($B707="高二",MIN(IF($E707="男",$Q707-3.25,$Q707-3.22),0),IF($B707="高一",MIN(IF($E707="男",$Q707-3.3,$Q707-3.24),0))))&lt;-0.6,IF($B707="高三",MIN(IF($E707="男",$Q707-3.2,$Q707-3.2),0),IF($B707="高二",MIN(IF($E707="男",$Q707-3.25,$Q707-3.22),0),IF($B707="高一",MIN(IF($E707="男",$Q707-3.3,$Q707-3.24),0))))+0.4,IF($B707="高三",MIN(IF($E707="男",$Q707-3.2,$Q707-3.2),0),IF($B707="高二",MIN(IF($E707="男",$Q707-3.25,$Q707-3.22),0),IF($B707="高一",MIN(IF($E707="男",$Q707-3.3,$Q707-3.24),0))))),2)</f>
        <v>0</v>
      </c>
      <c r="T707" s="23">
        <f>IF(E707="男",LOOKUP($S707,[1]对照表!$AB$3:$AB$13,[1]对照表!$AC$3:$AC$13),LOOKUP($S707,[1]对照表!$AB$15:$AB$25,[1]对照表!$AC$15:$AC$25))</f>
        <v>0</v>
      </c>
      <c r="U707" s="26">
        <f>R707+T707</f>
        <v>85</v>
      </c>
      <c r="V707" s="26">
        <f>SUM(I707,K707,M707)/3*0.3+SUM(G707,R707)/2*0.4</f>
        <v>60.5</v>
      </c>
      <c r="W707" s="27">
        <f>O707+T707</f>
        <v>0</v>
      </c>
      <c r="X707" s="28">
        <f>V707/0.7+W707</f>
        <v>86.428571428571431</v>
      </c>
      <c r="Y707" s="28">
        <v>86.428571428571431</v>
      </c>
      <c r="Z707" s="21"/>
    </row>
    <row r="708" spans="1:26" x14ac:dyDescent="0.25">
      <c r="A708" s="16">
        <v>41</v>
      </c>
      <c r="B708" s="17" t="s">
        <v>21</v>
      </c>
      <c r="C708" s="16">
        <v>116</v>
      </c>
      <c r="D708" s="18" t="s">
        <v>487</v>
      </c>
      <c r="E708" s="34" t="s">
        <v>65</v>
      </c>
      <c r="F708" s="19">
        <v>9.17</v>
      </c>
      <c r="G708" s="32">
        <f>IF(B708="高三",IF($E708="男",LOOKUP(F708,[1]对照表!$G$3:$G$24,[1]对照表!$H$3:$H$24),LOOKUP(F708,[1]对照表!$G$27:$G$48,[1]对照表!$H$27:$H$48)),IF(B708="高二",IF($E708="男",LOOKUP(F708,[1]对照表!$F$3:$F$24,[1]对照表!$H$3:$H$24),LOOKUP(F708,[1]对照表!$F$27:$F$48,[1]对照表!$H$27:$H$48)),IF(B708="高一",IF($E708="男",LOOKUP(F708,[1]对照表!$E$3:$E$24,[1]对照表!$H$3:$H$24),LOOKUP(F708,[1]对照表!$E$27:$E$48,[1]对照表!$H$27:$H$48)))))</f>
        <v>74</v>
      </c>
      <c r="H708" s="21">
        <v>17.600000000000001</v>
      </c>
      <c r="I708" s="32">
        <f>IF(B708="高三",IF($E708="男",LOOKUP(H708,[1]对照表!$K$3:$K$24,[1]对照表!$L$3:$L$24),LOOKUP(H708,[1]对照表!$K$27:$K$48,[1]对照表!$L$27:$L$48)),IF(B708="高二",IF($E708="男",LOOKUP(H708,[1]对照表!$J$3:$J$24,[1]对照表!$L$3:$L$24),LOOKUP(H708,[1]对照表!$J$27:$J$48,[1]对照表!$L$27:$L$48)),IF(B708="高一",IF($E708="男",LOOKUP(H708,[1]对照表!$I$3:$I$24,[1]对照表!$L$3:$L$24),LOOKUP(H708,[1]对照表!$I$27:$I$48,[1]对照表!$L$27:$L$48)))))</f>
        <v>80</v>
      </c>
      <c r="J708" s="21">
        <v>195</v>
      </c>
      <c r="K708" s="32">
        <f>IF(B708="高三",IF($E708="男",LOOKUP(J708,[1]对照表!$O$3:$O$24,[1]对照表!$P$3:$P$24),LOOKUP(J708,[1]对照表!$O$27:$O$48,[1]对照表!$P$27:$P$48)),IF(B708="高二",IF($E708="男",LOOKUP(J708,[1]对照表!$N$3:$N$24,[1]对照表!$P$3:$P$24),LOOKUP(J708,[1]对照表!$N$27:$N$48,[1]对照表!$P$27:$P$48)),IF(B708="高一",IF($E708="男",LOOKUP(J708,[1]对照表!$M$3:$M$24,[1]对照表!$P$3:$P$24),LOOKUP(J708,[1]对照表!$M$27:$M$48,[1]对照表!$P$27:$P$48)))))</f>
        <v>90</v>
      </c>
      <c r="L708" s="21">
        <v>46</v>
      </c>
      <c r="M708" s="32">
        <f>IF(B708="高三",IF($E708="男",LOOKUP(L708,[1]对照表!$S$3:$S$24,[1]对照表!$T$3:$T$24),LOOKUP(L708,[1]对照表!$S$27:$S$48,[1]对照表!$T$27:$T$48)),IF(B708="高二",IF($E708="男",LOOKUP(L708,[1]对照表!$R$3:$R$24,[1]对照表!$T$3:$T$24),LOOKUP(L708,[1]对照表!$R$27:$R$48,[1]对照表!$T$27:$T$48)),IF(B708="高一",IF($E708="男",LOOKUP(L708,[1]对照表!$Q$3:$Q$24,[1]对照表!$T$3:$T$24),LOOKUP(L708,[1]对照表!$Q$27:$Q$48,[1]对照表!$T$27:$T$48)))))</f>
        <v>85</v>
      </c>
      <c r="N708" s="33">
        <f>IF(B708="高三",MAX(IF(E708="男",L708-18,L708-55),0),IF(B708="高二",MAX(IF(E708="男",L708-17,L708-54),0),IF(B708="高一",MAX(IF(E708="男",L708-16,L708-53),0))))</f>
        <v>0</v>
      </c>
      <c r="O708" s="23">
        <f>IF(E708="男",LOOKUP($N708,[1]对照表!$Z$3:$Z$13,[1]对照表!$AA$3:$AA$13),LOOKUP($N708,[1]对照表!$Z$15:$Z$25,[1]对照表!$AA$15:$AA$25))</f>
        <v>0</v>
      </c>
      <c r="P708" s="24">
        <f>M708+O708</f>
        <v>85</v>
      </c>
      <c r="Q708" s="25">
        <v>3.41</v>
      </c>
      <c r="R708" s="32">
        <f>IF(B708="高三",IF($E708="男",LOOKUP(Q708,[1]对照表!$W$3:$W$24,[1]对照表!$X$3:$X$24),LOOKUP(Q708,[1]对照表!$W$27:$W$48,[1]对照表!$X$27:$X$48)),IF(B708="高二",IF($E708="男",LOOKUP(Q708,[1]对照表!$V$3:$V$24,[1]对照表!$X$3:$X$24),LOOKUP(Q708,[1]对照表!$V$27:$V$48,[1]对照表!$X$27:$X$48)),IF(B708="高一",IF($E708="男",LOOKUP(Q708,[1]对照表!$U$3:$U$24,[1]对照表!$X$3:$X$24),LOOKUP(Q708,[1]对照表!$U$27:$U$48,[1]对照表!$X$27:$X$48)))))</f>
        <v>85</v>
      </c>
      <c r="S708" s="33">
        <f>ROUND(IF(IF($B708="高三",MIN(IF($E708="男",$Q708-3.2,$Q708-3.2),0),IF($B708="高二",MIN(IF($E708="男",$Q708-3.25,$Q708-3.22),0),IF($B708="高一",MIN(IF($E708="男",$Q708-3.3,$Q708-3.24),0))))&lt;-0.6,IF($B708="高三",MIN(IF($E708="男",$Q708-3.2,$Q708-3.2),0),IF($B708="高二",MIN(IF($E708="男",$Q708-3.25,$Q708-3.22),0),IF($B708="高一",MIN(IF($E708="男",$Q708-3.3,$Q708-3.24),0))))+0.4,IF($B708="高三",MIN(IF($E708="男",$Q708-3.2,$Q708-3.2),0),IF($B708="高二",MIN(IF($E708="男",$Q708-3.25,$Q708-3.22),0),IF($B708="高一",MIN(IF($E708="男",$Q708-3.3,$Q708-3.24),0))))),2)</f>
        <v>0</v>
      </c>
      <c r="T708" s="23">
        <f>IF(E708="男",LOOKUP($S708,[1]对照表!$AB$3:$AB$13,[1]对照表!$AC$3:$AC$13),LOOKUP($S708,[1]对照表!$AB$15:$AB$25,[1]对照表!$AC$15:$AC$25))</f>
        <v>0</v>
      </c>
      <c r="U708" s="26">
        <f>R708+T708</f>
        <v>85</v>
      </c>
      <c r="V708" s="26">
        <f>SUM(I708,K708,M708)/3*0.3+SUM(G708,R708)/2*0.4</f>
        <v>57.3</v>
      </c>
      <c r="W708" s="27">
        <f>O708+T708</f>
        <v>0</v>
      </c>
      <c r="X708" s="28">
        <f>V708/0.7+W708</f>
        <v>81.857142857142861</v>
      </c>
      <c r="Y708" s="28">
        <v>81.857142857142861</v>
      </c>
      <c r="Z708" s="21"/>
    </row>
    <row r="709" spans="1:26" x14ac:dyDescent="0.25">
      <c r="A709" s="16">
        <v>49</v>
      </c>
      <c r="B709" s="17" t="s">
        <v>21</v>
      </c>
      <c r="C709" s="16">
        <v>116</v>
      </c>
      <c r="D709" s="18" t="s">
        <v>491</v>
      </c>
      <c r="E709" s="16" t="s">
        <v>65</v>
      </c>
      <c r="F709" s="19">
        <v>8.9</v>
      </c>
      <c r="G709" s="32">
        <f>IF(B709="高三",IF($E709="男",LOOKUP(F709,[1]对照表!$G$3:$G$24,[1]对照表!$H$3:$H$24),LOOKUP(F709,[1]对照表!$G$27:$G$48,[1]对照表!$H$27:$H$48)),IF(B709="高二",IF($E709="男",LOOKUP(F709,[1]对照表!$F$3:$F$24,[1]对照表!$H$3:$H$24),LOOKUP(F709,[1]对照表!$F$27:$F$48,[1]对照表!$H$27:$H$48)),IF(B709="高一",IF($E709="男",LOOKUP(F709,[1]对照表!$E$3:$E$24,[1]对照表!$H$3:$H$24),LOOKUP(F709,[1]对照表!$E$27:$E$48,[1]对照表!$H$27:$H$48)))))</f>
        <v>76</v>
      </c>
      <c r="H709" s="21">
        <v>2.5</v>
      </c>
      <c r="I709" s="32">
        <f>IF(B709="高三",IF($E709="男",LOOKUP(H709,[1]对照表!$K$3:$K$24,[1]对照表!$L$3:$L$24),LOOKUP(H709,[1]对照表!$K$27:$K$48,[1]对照表!$L$27:$L$48)),IF(B709="高二",IF($E709="男",LOOKUP(H709,[1]对照表!$J$3:$J$24,[1]对照表!$L$3:$L$24),LOOKUP(H709,[1]对照表!$J$27:$J$48,[1]对照表!$L$27:$L$48)),IF(B709="高一",IF($E709="男",LOOKUP(H709,[1]对照表!$I$3:$I$24,[1]对照表!$L$3:$L$24),LOOKUP(H709,[1]对照表!$I$27:$I$48,[1]对照表!$L$27:$L$48)))))</f>
        <v>30</v>
      </c>
      <c r="J709" s="21">
        <v>155</v>
      </c>
      <c r="K709" s="32">
        <f>IF(B709="高三",IF($E709="男",LOOKUP(J709,[1]对照表!$O$3:$O$24,[1]对照表!$P$3:$P$24),LOOKUP(J709,[1]对照表!$O$27:$O$48,[1]对照表!$P$27:$P$48)),IF(B709="高二",IF($E709="男",LOOKUP(J709,[1]对照表!$N$3:$N$24,[1]对照表!$P$3:$P$24),LOOKUP(J709,[1]对照表!$N$27:$N$48,[1]对照表!$P$27:$P$48)),IF(B709="高一",IF($E709="男",LOOKUP(J709,[1]对照表!$M$3:$M$24,[1]对照表!$P$3:$P$24),LOOKUP(J709,[1]对照表!$M$27:$M$48,[1]对照表!$P$27:$P$48)))))</f>
        <v>64</v>
      </c>
      <c r="L709" s="21">
        <v>45</v>
      </c>
      <c r="M709" s="32">
        <f>IF(B709="高三",IF($E709="男",LOOKUP(L709,[1]对照表!$S$3:$S$24,[1]对照表!$T$3:$T$24),LOOKUP(L709,[1]对照表!$S$27:$S$48,[1]对照表!$T$27:$T$48)),IF(B709="高二",IF($E709="男",LOOKUP(L709,[1]对照表!$R$3:$R$24,[1]对照表!$T$3:$T$24),LOOKUP(L709,[1]对照表!$R$27:$R$48,[1]对照表!$T$27:$T$48)),IF(B709="高一",IF($E709="男",LOOKUP(L709,[1]对照表!$Q$3:$Q$24,[1]对照表!$T$3:$T$24),LOOKUP(L709,[1]对照表!$Q$27:$Q$48,[1]对照表!$T$27:$T$48)))))</f>
        <v>80</v>
      </c>
      <c r="N709" s="27">
        <f>IF(B709="高三",MAX(IF(E709="男",L709-18,L709-55),0),IF(B709="高二",MAX(IF(E709="男",L709-17,L709-54),0),IF(B709="高一",MAX(IF(E709="男",L709-16,L709-53),0))))</f>
        <v>0</v>
      </c>
      <c r="O709" s="23">
        <f>IF(E709="男",LOOKUP($N709,[1]对照表!$Z$3:$Z$13,[1]对照表!$AA$3:$AA$13),LOOKUP($N709,[1]对照表!$Z$15:$Z$25,[1]对照表!$AA$15:$AA$25))</f>
        <v>0</v>
      </c>
      <c r="P709" s="24">
        <f>M709+O709</f>
        <v>80</v>
      </c>
      <c r="Q709" s="25">
        <v>3.42</v>
      </c>
      <c r="R709" s="32">
        <f>IF(B709="高三",IF($E709="男",LOOKUP(Q709,[1]对照表!$W$3:$W$24,[1]对照表!$X$3:$X$24),LOOKUP(Q709,[1]对照表!$W$27:$W$48,[1]对照表!$X$27:$X$48)),IF(B709="高二",IF($E709="男",LOOKUP(Q709,[1]对照表!$V$3:$V$24,[1]对照表!$X$3:$X$24),LOOKUP(Q709,[1]对照表!$V$27:$V$48,[1]对照表!$X$27:$X$48)),IF(B709="高一",IF($E709="男",LOOKUP(Q709,[1]对照表!$U$3:$U$24,[1]对照表!$X$3:$X$24),LOOKUP(Q709,[1]对照表!$U$27:$U$48,[1]对照表!$X$27:$X$48)))))</f>
        <v>85</v>
      </c>
      <c r="S709" s="27">
        <f>ROUND(IF(IF($B709="高三",MIN(IF($E709="男",$Q709-3.2,$Q709-3.2),0),IF($B709="高二",MIN(IF($E709="男",$Q709-3.25,$Q709-3.22),0),IF($B709="高一",MIN(IF($E709="男",$Q709-3.3,$Q709-3.24),0))))&lt;-0.6,IF($B709="高三",MIN(IF($E709="男",$Q709-3.2,$Q709-3.2),0),IF($B709="高二",MIN(IF($E709="男",$Q709-3.25,$Q709-3.22),0),IF($B709="高一",MIN(IF($E709="男",$Q709-3.3,$Q709-3.24),0))))+0.4,IF($B709="高三",MIN(IF($E709="男",$Q709-3.2,$Q709-3.2),0),IF($B709="高二",MIN(IF($E709="男",$Q709-3.25,$Q709-3.22),0),IF($B709="高一",MIN(IF($E709="男",$Q709-3.3,$Q709-3.24),0))))),2)</f>
        <v>0</v>
      </c>
      <c r="T709" s="23">
        <f>IF(E709="男",LOOKUP($S709,[1]对照表!$AB$3:$AB$13,[1]对照表!$AC$3:$AC$13),LOOKUP($S709,[1]对照表!$AB$15:$AB$25,[1]对照表!$AC$15:$AC$25))</f>
        <v>0</v>
      </c>
      <c r="U709" s="26">
        <f>R709+T709</f>
        <v>85</v>
      </c>
      <c r="V709" s="26">
        <f>SUM(I709,K709,M709)/3*0.3+SUM(G709,R709)/2*0.4</f>
        <v>49.6</v>
      </c>
      <c r="W709" s="27">
        <f>O709+T709</f>
        <v>0</v>
      </c>
      <c r="X709" s="28">
        <f>V709/0.7+W709</f>
        <v>70.857142857142861</v>
      </c>
      <c r="Y709" s="28">
        <v>70.857142857142861</v>
      </c>
      <c r="Z709" s="21"/>
    </row>
    <row r="710" spans="1:26" x14ac:dyDescent="0.25">
      <c r="A710" s="16">
        <v>15</v>
      </c>
      <c r="B710" s="17" t="s">
        <v>21</v>
      </c>
      <c r="C710" s="16">
        <v>116</v>
      </c>
      <c r="D710" s="18" t="s">
        <v>493</v>
      </c>
      <c r="E710" s="17" t="s">
        <v>65</v>
      </c>
      <c r="F710" s="19">
        <v>9.4</v>
      </c>
      <c r="G710" s="32">
        <f>IF(B710="高三",IF($E710="男",LOOKUP(F710,[1]对照表!$G$3:$G$24,[1]对照表!$H$3:$H$24),LOOKUP(F710,[1]对照表!$G$27:$G$48,[1]对照表!$H$27:$H$48)),IF(B710="高二",IF($E710="男",LOOKUP(F710,[1]对照表!$F$3:$F$24,[1]对照表!$H$3:$H$24),LOOKUP(F710,[1]对照表!$F$27:$F$48,[1]对照表!$H$27:$H$48)),IF(B710="高一",IF($E710="男",LOOKUP(F710,[1]对照表!$E$3:$E$24,[1]对照表!$H$3:$H$24),LOOKUP(F710,[1]对照表!$E$27:$E$48,[1]对照表!$H$27:$H$48)))))</f>
        <v>72</v>
      </c>
      <c r="H710" s="21">
        <v>17</v>
      </c>
      <c r="I710" s="32">
        <f>IF(B710="高三",IF($E710="男",LOOKUP(H710,[1]对照表!$K$3:$K$24,[1]对照表!$L$3:$L$24),LOOKUP(H710,[1]对照表!$K$27:$K$48,[1]对照表!$L$27:$L$48)),IF(B710="高二",IF($E710="男",LOOKUP(H710,[1]对照表!$J$3:$J$24,[1]对照表!$L$3:$L$24),LOOKUP(H710,[1]对照表!$J$27:$J$48,[1]对照表!$L$27:$L$48)),IF(B710="高一",IF($E710="男",LOOKUP(H710,[1]对照表!$I$3:$I$24,[1]对照表!$L$3:$L$24),LOOKUP(H710,[1]对照表!$I$27:$I$48,[1]对照表!$L$27:$L$48)))))</f>
        <v>78</v>
      </c>
      <c r="J710" s="21">
        <v>172</v>
      </c>
      <c r="K710" s="32">
        <f>IF(B710="高三",IF($E710="男",LOOKUP(J710,[1]对照表!$O$3:$O$24,[1]对照表!$P$3:$P$24),LOOKUP(J710,[1]对照表!$O$27:$O$48,[1]对照表!$P$27:$P$48)),IF(B710="高二",IF($E710="男",LOOKUP(J710,[1]对照表!$N$3:$N$24,[1]对照表!$P$3:$P$24),LOOKUP(J710,[1]对照表!$N$27:$N$48,[1]对照表!$P$27:$P$48)),IF(B710="高一",IF($E710="男",LOOKUP(J710,[1]对照表!$M$3:$M$24,[1]对照表!$P$3:$P$24),LOOKUP(J710,[1]对照表!$M$27:$M$48,[1]对照表!$P$27:$P$48)))))</f>
        <v>76</v>
      </c>
      <c r="L710" s="21">
        <v>56</v>
      </c>
      <c r="M710" s="32">
        <f>IF(B710="高三",IF($E710="男",LOOKUP(L710,[1]对照表!$S$3:$S$24,[1]对照表!$T$3:$T$24),LOOKUP(L710,[1]对照表!$S$27:$S$48,[1]对照表!$T$27:$T$48)),IF(B710="高二",IF($E710="男",LOOKUP(L710,[1]对照表!$R$3:$R$24,[1]对照表!$T$3:$T$24),LOOKUP(L710,[1]对照表!$R$27:$R$48,[1]对照表!$T$27:$T$48)),IF(B710="高一",IF($E710="男",LOOKUP(L710,[1]对照表!$Q$3:$Q$24,[1]对照表!$T$3:$T$24),LOOKUP(L710,[1]对照表!$Q$27:$Q$48,[1]对照表!$T$27:$T$48)))))</f>
        <v>100</v>
      </c>
      <c r="N710" s="33">
        <f>IF(B710="高三",MAX(IF(E710="男",L710-18,L710-55),0),IF(B710="高二",MAX(IF(E710="男",L710-17,L710-54),0),IF(B710="高一",MAX(IF(E710="男",L710-16,L710-53),0))))</f>
        <v>3</v>
      </c>
      <c r="O710" s="23">
        <f>IF(E710="男",LOOKUP($N710,[1]对照表!$Z$3:$Z$13,[1]对照表!$AA$3:$AA$13),LOOKUP($N710,[1]对照表!$Z$15:$Z$25,[1]对照表!$AA$15:$AA$25))</f>
        <v>1</v>
      </c>
      <c r="P710" s="24">
        <f>M710+O710</f>
        <v>101</v>
      </c>
      <c r="Q710" s="25">
        <v>3.42</v>
      </c>
      <c r="R710" s="32">
        <f>IF(B710="高三",IF($E710="男",LOOKUP(Q710,[1]对照表!$W$3:$W$24,[1]对照表!$X$3:$X$24),LOOKUP(Q710,[1]对照表!$W$27:$W$48,[1]对照表!$X$27:$X$48)),IF(B710="高二",IF($E710="男",LOOKUP(Q710,[1]对照表!$V$3:$V$24,[1]对照表!$X$3:$X$24),LOOKUP(Q710,[1]对照表!$V$27:$V$48,[1]对照表!$X$27:$X$48)),IF(B710="高一",IF($E710="男",LOOKUP(Q710,[1]对照表!$U$3:$U$24,[1]对照表!$X$3:$X$24),LOOKUP(Q710,[1]对照表!$U$27:$U$48,[1]对照表!$X$27:$X$48)))))</f>
        <v>85</v>
      </c>
      <c r="S710" s="33">
        <f>ROUND(IF(IF($B710="高三",MIN(IF($E710="男",$Q710-3.2,$Q710-3.2),0),IF($B710="高二",MIN(IF($E710="男",$Q710-3.25,$Q710-3.22),0),IF($B710="高一",MIN(IF($E710="男",$Q710-3.3,$Q710-3.24),0))))&lt;-0.6,IF($B710="高三",MIN(IF($E710="男",$Q710-3.2,$Q710-3.2),0),IF($B710="高二",MIN(IF($E710="男",$Q710-3.25,$Q710-3.22),0),IF($B710="高一",MIN(IF($E710="男",$Q710-3.3,$Q710-3.24),0))))+0.4,IF($B710="高三",MIN(IF($E710="男",$Q710-3.2,$Q710-3.2),0),IF($B710="高二",MIN(IF($E710="男",$Q710-3.25,$Q710-3.22),0),IF($B710="高一",MIN(IF($E710="男",$Q710-3.3,$Q710-3.24),0))))),2)</f>
        <v>0</v>
      </c>
      <c r="T710" s="23">
        <f>IF(E710="男",LOOKUP($S710,[1]对照表!$AB$3:$AB$13,[1]对照表!$AC$3:$AC$13),LOOKUP($S710,[1]对照表!$AB$15:$AB$25,[1]对照表!$AC$15:$AC$25))</f>
        <v>0</v>
      </c>
      <c r="U710" s="26">
        <f>R710+T710</f>
        <v>85</v>
      </c>
      <c r="V710" s="26">
        <f>SUM(I710,K710,M710)/3*0.3+SUM(G710,R710)/2*0.4</f>
        <v>56.800000000000004</v>
      </c>
      <c r="W710" s="27">
        <f>O710+T710</f>
        <v>1</v>
      </c>
      <c r="X710" s="28">
        <f>V710/0.7+W710</f>
        <v>82.142857142857153</v>
      </c>
      <c r="Y710" s="28">
        <v>82.142857142857153</v>
      </c>
      <c r="Z710" s="21"/>
    </row>
    <row r="711" spans="1:26" x14ac:dyDescent="0.25">
      <c r="A711" s="16">
        <v>50</v>
      </c>
      <c r="B711" s="17" t="s">
        <v>21</v>
      </c>
      <c r="C711" s="16">
        <v>116</v>
      </c>
      <c r="D711" s="18" t="s">
        <v>495</v>
      </c>
      <c r="E711" s="16" t="s">
        <v>65</v>
      </c>
      <c r="F711" s="19">
        <v>9.23</v>
      </c>
      <c r="G711" s="32">
        <f>IF(B711="高三",IF($E711="男",LOOKUP(F711,[1]对照表!$G$3:$G$24,[1]对照表!$H$3:$H$24),LOOKUP(F711,[1]对照表!$G$27:$G$48,[1]对照表!$H$27:$H$48)),IF(B711="高二",IF($E711="男",LOOKUP(F711,[1]对照表!$F$3:$F$24,[1]对照表!$H$3:$H$24),LOOKUP(F711,[1]对照表!$F$27:$F$48,[1]对照表!$H$27:$H$48)),IF(B711="高一",IF($E711="男",LOOKUP(F711,[1]对照表!$E$3:$E$24,[1]对照表!$H$3:$H$24),LOOKUP(F711,[1]对照表!$E$27:$E$48,[1]对照表!$H$27:$H$48)))))</f>
        <v>72</v>
      </c>
      <c r="H711" s="21">
        <v>15</v>
      </c>
      <c r="I711" s="32">
        <f>IF(B711="高三",IF($E711="男",LOOKUP(H711,[1]对照表!$K$3:$K$24,[1]对照表!$L$3:$L$24),LOOKUP(H711,[1]对照表!$K$27:$K$48,[1]对照表!$L$27:$L$48)),IF(B711="高二",IF($E711="男",LOOKUP(H711,[1]对照表!$J$3:$J$24,[1]对照表!$L$3:$L$24),LOOKUP(H711,[1]对照表!$J$27:$J$48,[1]对照表!$L$27:$L$48)),IF(B711="高一",IF($E711="男",LOOKUP(H711,[1]对照表!$I$3:$I$24,[1]对照表!$L$3:$L$24),LOOKUP(H711,[1]对照表!$I$27:$I$48,[1]对照表!$L$27:$L$48)))))</f>
        <v>76</v>
      </c>
      <c r="J711" s="21">
        <v>173</v>
      </c>
      <c r="K711" s="32">
        <f>IF(B711="高三",IF($E711="男",LOOKUP(J711,[1]对照表!$O$3:$O$24,[1]对照表!$P$3:$P$24),LOOKUP(J711,[1]对照表!$O$27:$O$48,[1]对照表!$P$27:$P$48)),IF(B711="高二",IF($E711="男",LOOKUP(J711,[1]对照表!$N$3:$N$24,[1]对照表!$P$3:$P$24),LOOKUP(J711,[1]对照表!$N$27:$N$48,[1]对照表!$P$27:$P$48)),IF(B711="高一",IF($E711="男",LOOKUP(J711,[1]对照表!$M$3:$M$24,[1]对照表!$P$3:$P$24),LOOKUP(J711,[1]对照表!$M$27:$M$48,[1]对照表!$P$27:$P$48)))))</f>
        <v>76</v>
      </c>
      <c r="L711" s="21">
        <v>58</v>
      </c>
      <c r="M711" s="32">
        <f>IF(B711="高三",IF($E711="男",LOOKUP(L711,[1]对照表!$S$3:$S$24,[1]对照表!$T$3:$T$24),LOOKUP(L711,[1]对照表!$S$27:$S$48,[1]对照表!$T$27:$T$48)),IF(B711="高二",IF($E711="男",LOOKUP(L711,[1]对照表!$R$3:$R$24,[1]对照表!$T$3:$T$24),LOOKUP(L711,[1]对照表!$R$27:$R$48,[1]对照表!$T$27:$T$48)),IF(B711="高一",IF($E711="男",LOOKUP(L711,[1]对照表!$Q$3:$Q$24,[1]对照表!$T$3:$T$24),LOOKUP(L711,[1]对照表!$Q$27:$Q$48,[1]对照表!$T$27:$T$48)))))</f>
        <v>100</v>
      </c>
      <c r="N711" s="33">
        <f>IF(B711="高三",MAX(IF(E711="男",L711-18,L711-55),0),IF(B711="高二",MAX(IF(E711="男",L711-17,L711-54),0),IF(B711="高一",MAX(IF(E711="男",L711-16,L711-53),0))))</f>
        <v>5</v>
      </c>
      <c r="O711" s="23">
        <f>IF(E711="男",LOOKUP($N711,[1]对照表!$Z$3:$Z$13,[1]对照表!$AA$3:$AA$13),LOOKUP($N711,[1]对照表!$Z$15:$Z$25,[1]对照表!$AA$15:$AA$25))</f>
        <v>2</v>
      </c>
      <c r="P711" s="24">
        <f>M711+O711</f>
        <v>102</v>
      </c>
      <c r="Q711" s="25">
        <v>3.43</v>
      </c>
      <c r="R711" s="32">
        <f>IF(B711="高三",IF($E711="男",LOOKUP(Q711,[1]对照表!$W$3:$W$24,[1]对照表!$X$3:$X$24),LOOKUP(Q711,[1]对照表!$W$27:$W$48,[1]对照表!$X$27:$X$48)),IF(B711="高二",IF($E711="男",LOOKUP(Q711,[1]对照表!$V$3:$V$24,[1]对照表!$X$3:$X$24),LOOKUP(Q711,[1]对照表!$V$27:$V$48,[1]对照表!$X$27:$X$48)),IF(B711="高一",IF($E711="男",LOOKUP(Q711,[1]对照表!$U$3:$U$24,[1]对照表!$X$3:$X$24),LOOKUP(Q711,[1]对照表!$U$27:$U$48,[1]对照表!$X$27:$X$48)))))</f>
        <v>85</v>
      </c>
      <c r="S711" s="33">
        <f>ROUND(IF(IF($B711="高三",MIN(IF($E711="男",$Q711-3.2,$Q711-3.2),0),IF($B711="高二",MIN(IF($E711="男",$Q711-3.25,$Q711-3.22),0),IF($B711="高一",MIN(IF($E711="男",$Q711-3.3,$Q711-3.24),0))))&lt;-0.6,IF($B711="高三",MIN(IF($E711="男",$Q711-3.2,$Q711-3.2),0),IF($B711="高二",MIN(IF($E711="男",$Q711-3.25,$Q711-3.22),0),IF($B711="高一",MIN(IF($E711="男",$Q711-3.3,$Q711-3.24),0))))+0.4,IF($B711="高三",MIN(IF($E711="男",$Q711-3.2,$Q711-3.2),0),IF($B711="高二",MIN(IF($E711="男",$Q711-3.25,$Q711-3.22),0),IF($B711="高一",MIN(IF($E711="男",$Q711-3.3,$Q711-3.24),0))))),2)</f>
        <v>0</v>
      </c>
      <c r="T711" s="23">
        <f>IF(E711="男",LOOKUP($S711,[1]对照表!$AB$3:$AB$13,[1]对照表!$AC$3:$AC$13),LOOKUP($S711,[1]对照表!$AB$15:$AB$25,[1]对照表!$AC$15:$AC$25))</f>
        <v>0</v>
      </c>
      <c r="U711" s="26">
        <f>R711+T711</f>
        <v>85</v>
      </c>
      <c r="V711" s="26">
        <f>SUM(I711,K711,M711)/3*0.3+SUM(G711,R711)/2*0.4</f>
        <v>56.6</v>
      </c>
      <c r="W711" s="27">
        <f>O711+T711</f>
        <v>2</v>
      </c>
      <c r="X711" s="28">
        <f>V711/0.7+W711</f>
        <v>82.857142857142861</v>
      </c>
      <c r="Y711" s="28">
        <v>82.857142857142861</v>
      </c>
      <c r="Z711" s="21"/>
    </row>
    <row r="712" spans="1:26" x14ac:dyDescent="0.25">
      <c r="A712" s="16">
        <v>10</v>
      </c>
      <c r="B712" s="17" t="s">
        <v>21</v>
      </c>
      <c r="C712" s="16">
        <v>116</v>
      </c>
      <c r="D712" s="18" t="s">
        <v>502</v>
      </c>
      <c r="E712" s="17" t="s">
        <v>65</v>
      </c>
      <c r="F712" s="19">
        <v>8.8000000000000007</v>
      </c>
      <c r="G712" s="32">
        <f>IF(B712="高三",IF($E712="男",LOOKUP(F712,[1]对照表!$G$3:$G$24,[1]对照表!$H$3:$H$24),LOOKUP(F712,[1]对照表!$G$27:$G$48,[1]对照表!$H$27:$H$48)),IF(B712="高二",IF($E712="男",LOOKUP(F712,[1]对照表!$F$3:$F$24,[1]对照表!$H$3:$H$24),LOOKUP(F712,[1]对照表!$F$27:$F$48,[1]对照表!$H$27:$H$48)),IF(B712="高一",IF($E712="男",LOOKUP(F712,[1]对照表!$E$3:$E$24,[1]对照表!$H$3:$H$24),LOOKUP(F712,[1]对照表!$E$27:$E$48,[1]对照表!$H$27:$H$48)))))</f>
        <v>78</v>
      </c>
      <c r="H712" s="21">
        <v>18</v>
      </c>
      <c r="I712" s="32">
        <f>IF(B712="高三",IF($E712="男",LOOKUP(H712,[1]对照表!$K$3:$K$24,[1]对照表!$L$3:$L$24),LOOKUP(H712,[1]对照表!$K$27:$K$48,[1]对照表!$L$27:$L$48)),IF(B712="高二",IF($E712="男",LOOKUP(H712,[1]对照表!$J$3:$J$24,[1]对照表!$L$3:$L$24),LOOKUP(H712,[1]对照表!$J$27:$J$48,[1]对照表!$L$27:$L$48)),IF(B712="高一",IF($E712="男",LOOKUP(H712,[1]对照表!$I$3:$I$24,[1]对照表!$L$3:$L$24),LOOKUP(H712,[1]对照表!$I$27:$I$48,[1]对照表!$L$27:$L$48)))))</f>
        <v>80</v>
      </c>
      <c r="J712" s="21">
        <v>182</v>
      </c>
      <c r="K712" s="32">
        <f>IF(B712="高三",IF($E712="男",LOOKUP(J712,[1]对照表!$O$3:$O$24,[1]对照表!$P$3:$P$24),LOOKUP(J712,[1]对照表!$O$27:$O$48,[1]对照表!$P$27:$P$48)),IF(B712="高二",IF($E712="男",LOOKUP(J712,[1]对照表!$N$3:$N$24,[1]对照表!$P$3:$P$24),LOOKUP(J712,[1]对照表!$N$27:$N$48,[1]对照表!$P$27:$P$48)),IF(B712="高一",IF($E712="男",LOOKUP(J712,[1]对照表!$M$3:$M$24,[1]对照表!$P$3:$P$24),LOOKUP(J712,[1]对照表!$M$27:$M$48,[1]对照表!$P$27:$P$48)))))</f>
        <v>80</v>
      </c>
      <c r="L712" s="21">
        <v>47</v>
      </c>
      <c r="M712" s="32">
        <f>IF(B712="高三",IF($E712="男",LOOKUP(L712,[1]对照表!$S$3:$S$24,[1]对照表!$T$3:$T$24),LOOKUP(L712,[1]对照表!$S$27:$S$48,[1]对照表!$T$27:$T$48)),IF(B712="高二",IF($E712="男",LOOKUP(L712,[1]对照表!$R$3:$R$24,[1]对照表!$T$3:$T$24),LOOKUP(L712,[1]对照表!$R$27:$R$48,[1]对照表!$T$27:$T$48)),IF(B712="高一",IF($E712="男",LOOKUP(L712,[1]对照表!$Q$3:$Q$24,[1]对照表!$T$3:$T$24),LOOKUP(L712,[1]对照表!$Q$27:$Q$48,[1]对照表!$T$27:$T$48)))))</f>
        <v>85</v>
      </c>
      <c r="N712" s="33">
        <f>IF(B712="高三",MAX(IF(E712="男",L712-18,L712-55),0),IF(B712="高二",MAX(IF(E712="男",L712-17,L712-54),0),IF(B712="高一",MAX(IF(E712="男",L712-16,L712-53),0))))</f>
        <v>0</v>
      </c>
      <c r="O712" s="23">
        <f>IF(E712="男",LOOKUP($N712,[1]对照表!$Z$3:$Z$13,[1]对照表!$AA$3:$AA$13),LOOKUP($N712,[1]对照表!$Z$15:$Z$25,[1]对照表!$AA$15:$AA$25))</f>
        <v>0</v>
      </c>
      <c r="P712" s="24">
        <f>M712+O712</f>
        <v>85</v>
      </c>
      <c r="Q712" s="25">
        <v>3.45</v>
      </c>
      <c r="R712" s="32">
        <f>IF(B712="高三",IF($E712="男",LOOKUP(Q712,[1]对照表!$W$3:$W$24,[1]对照表!$X$3:$X$24),LOOKUP(Q712,[1]对照表!$W$27:$W$48,[1]对照表!$X$27:$X$48)),IF(B712="高二",IF($E712="男",LOOKUP(Q712,[1]对照表!$V$3:$V$24,[1]对照表!$X$3:$X$24),LOOKUP(Q712,[1]对照表!$V$27:$V$48,[1]对照表!$X$27:$X$48)),IF(B712="高一",IF($E712="男",LOOKUP(Q712,[1]对照表!$U$3:$U$24,[1]对照表!$X$3:$X$24),LOOKUP(Q712,[1]对照表!$U$27:$U$48,[1]对照表!$X$27:$X$48)))))</f>
        <v>80</v>
      </c>
      <c r="S712" s="33">
        <f>ROUND(IF(IF($B712="高三",MIN(IF($E712="男",$Q712-3.2,$Q712-3.2),0),IF($B712="高二",MIN(IF($E712="男",$Q712-3.25,$Q712-3.22),0),IF($B712="高一",MIN(IF($E712="男",$Q712-3.3,$Q712-3.24),0))))&lt;-0.6,IF($B712="高三",MIN(IF($E712="男",$Q712-3.2,$Q712-3.2),0),IF($B712="高二",MIN(IF($E712="男",$Q712-3.25,$Q712-3.22),0),IF($B712="高一",MIN(IF($E712="男",$Q712-3.3,$Q712-3.24),0))))+0.4,IF($B712="高三",MIN(IF($E712="男",$Q712-3.2,$Q712-3.2),0),IF($B712="高二",MIN(IF($E712="男",$Q712-3.25,$Q712-3.22),0),IF($B712="高一",MIN(IF($E712="男",$Q712-3.3,$Q712-3.24),0))))),2)</f>
        <v>0</v>
      </c>
      <c r="T712" s="23">
        <f>IF(E712="男",LOOKUP($S712,[1]对照表!$AB$3:$AB$13,[1]对照表!$AC$3:$AC$13),LOOKUP($S712,[1]对照表!$AB$15:$AB$25,[1]对照表!$AC$15:$AC$25))</f>
        <v>0</v>
      </c>
      <c r="U712" s="26">
        <f>R712+T712</f>
        <v>80</v>
      </c>
      <c r="V712" s="26">
        <f>SUM(I712,K712,M712)/3*0.3+SUM(G712,R712)/2*0.4</f>
        <v>56.1</v>
      </c>
      <c r="W712" s="27">
        <f>O712+T712</f>
        <v>0</v>
      </c>
      <c r="X712" s="28">
        <f>V712/0.7+W712</f>
        <v>80.142857142857153</v>
      </c>
      <c r="Y712" s="28">
        <v>80.142857142857153</v>
      </c>
      <c r="Z712" s="21"/>
    </row>
    <row r="713" spans="1:26" x14ac:dyDescent="0.25">
      <c r="A713" s="16">
        <v>24</v>
      </c>
      <c r="B713" s="17" t="s">
        <v>21</v>
      </c>
      <c r="C713" s="16">
        <v>116</v>
      </c>
      <c r="D713" s="18" t="s">
        <v>506</v>
      </c>
      <c r="E713" s="17" t="s">
        <v>65</v>
      </c>
      <c r="F713" s="19">
        <v>9.5500000000000007</v>
      </c>
      <c r="G713" s="32">
        <f>IF(B713="高三",IF($E713="男",LOOKUP(F713,[1]对照表!$G$3:$G$24,[1]对照表!$H$3:$H$24),LOOKUP(F713,[1]对照表!$G$27:$G$48,[1]对照表!$H$27:$H$48)),IF(B713="高二",IF($E713="男",LOOKUP(F713,[1]对照表!$F$3:$F$24,[1]对照表!$H$3:$H$24),LOOKUP(F713,[1]对照表!$F$27:$F$48,[1]对照表!$H$27:$H$48)),IF(B713="高一",IF($E713="男",LOOKUP(F713,[1]对照表!$E$3:$E$24,[1]对照表!$H$3:$H$24),LOOKUP(F713,[1]对照表!$E$27:$E$48,[1]对照表!$H$27:$H$48)))))</f>
        <v>70</v>
      </c>
      <c r="H713" s="21">
        <v>17.7</v>
      </c>
      <c r="I713" s="32">
        <f>IF(B713="高三",IF($E713="男",LOOKUP(H713,[1]对照表!$K$3:$K$24,[1]对照表!$L$3:$L$24),LOOKUP(H713,[1]对照表!$K$27:$K$48,[1]对照表!$L$27:$L$48)),IF(B713="高二",IF($E713="男",LOOKUP(H713,[1]对照表!$J$3:$J$24,[1]对照表!$L$3:$L$24),LOOKUP(H713,[1]对照表!$J$27:$J$48,[1]对照表!$L$27:$L$48)),IF(B713="高一",IF($E713="男",LOOKUP(H713,[1]对照表!$I$3:$I$24,[1]对照表!$L$3:$L$24),LOOKUP(H713,[1]对照表!$I$27:$I$48,[1]对照表!$L$27:$L$48)))))</f>
        <v>80</v>
      </c>
      <c r="J713" s="21">
        <v>175</v>
      </c>
      <c r="K713" s="32">
        <f>IF(B713="高三",IF($E713="男",LOOKUP(J713,[1]对照表!$O$3:$O$24,[1]对照表!$P$3:$P$24),LOOKUP(J713,[1]对照表!$O$27:$O$48,[1]对照表!$P$27:$P$48)),IF(B713="高二",IF($E713="男",LOOKUP(J713,[1]对照表!$N$3:$N$24,[1]对照表!$P$3:$P$24),LOOKUP(J713,[1]对照表!$N$27:$N$48,[1]对照表!$P$27:$P$48)),IF(B713="高一",IF($E713="男",LOOKUP(J713,[1]对照表!$M$3:$M$24,[1]对照表!$P$3:$P$24),LOOKUP(J713,[1]对照表!$M$27:$M$48,[1]对照表!$P$27:$P$48)))))</f>
        <v>78</v>
      </c>
      <c r="L713" s="21">
        <v>52</v>
      </c>
      <c r="M713" s="32">
        <f>IF(B713="高三",IF($E713="男",LOOKUP(L713,[1]对照表!$S$3:$S$24,[1]对照表!$T$3:$T$24),LOOKUP(L713,[1]对照表!$S$27:$S$48,[1]对照表!$T$27:$T$48)),IF(B713="高二",IF($E713="男",LOOKUP(L713,[1]对照表!$R$3:$R$24,[1]对照表!$T$3:$T$24),LOOKUP(L713,[1]对照表!$R$27:$R$48,[1]对照表!$T$27:$T$48)),IF(B713="高一",IF($E713="男",LOOKUP(L713,[1]对照表!$Q$3:$Q$24,[1]对照表!$T$3:$T$24),LOOKUP(L713,[1]对照表!$Q$27:$Q$48,[1]对照表!$T$27:$T$48)))))</f>
        <v>95</v>
      </c>
      <c r="N713" s="33">
        <f>IF(B713="高三",MAX(IF(E713="男",L713-18,L713-55),0),IF(B713="高二",MAX(IF(E713="男",L713-17,L713-54),0),IF(B713="高一",MAX(IF(E713="男",L713-16,L713-53),0))))</f>
        <v>0</v>
      </c>
      <c r="O713" s="23">
        <f>IF(E713="男",LOOKUP($N713,[1]对照表!$Z$3:$Z$13,[1]对照表!$AA$3:$AA$13),LOOKUP($N713,[1]对照表!$Z$15:$Z$25,[1]对照表!$AA$15:$AA$25))</f>
        <v>0</v>
      </c>
      <c r="P713" s="24">
        <f>M713+O713</f>
        <v>95</v>
      </c>
      <c r="Q713" s="25">
        <v>3.45</v>
      </c>
      <c r="R713" s="32">
        <f>IF(B713="高三",IF($E713="男",LOOKUP(Q713,[1]对照表!$W$3:$W$24,[1]对照表!$X$3:$X$24),LOOKUP(Q713,[1]对照表!$W$27:$W$48,[1]对照表!$X$27:$X$48)),IF(B713="高二",IF($E713="男",LOOKUP(Q713,[1]对照表!$V$3:$V$24,[1]对照表!$X$3:$X$24),LOOKUP(Q713,[1]对照表!$V$27:$V$48,[1]对照表!$X$27:$X$48)),IF(B713="高一",IF($E713="男",LOOKUP(Q713,[1]对照表!$U$3:$U$24,[1]对照表!$X$3:$X$24),LOOKUP(Q713,[1]对照表!$U$27:$U$48,[1]对照表!$X$27:$X$48)))))</f>
        <v>80</v>
      </c>
      <c r="S713" s="27">
        <f>ROUND(IF(IF($B713="高三",MIN(IF($E713="男",$Q713-3.2,$Q713-3.2),0),IF($B713="高二",MIN(IF($E713="男",$Q713-3.25,$Q713-3.22),0),IF($B713="高一",MIN(IF($E713="男",$Q713-3.3,$Q713-3.24),0))))&lt;-0.6,IF($B713="高三",MIN(IF($E713="男",$Q713-3.2,$Q713-3.2),0),IF($B713="高二",MIN(IF($E713="男",$Q713-3.25,$Q713-3.22),0),IF($B713="高一",MIN(IF($E713="男",$Q713-3.3,$Q713-3.24),0))))+0.4,IF($B713="高三",MIN(IF($E713="男",$Q713-3.2,$Q713-3.2),0),IF($B713="高二",MIN(IF($E713="男",$Q713-3.25,$Q713-3.22),0),IF($B713="高一",MIN(IF($E713="男",$Q713-3.3,$Q713-3.24),0))))),2)</f>
        <v>0</v>
      </c>
      <c r="T713" s="23">
        <f>IF(E713="男",LOOKUP($S713,[1]对照表!$AB$3:$AB$13,[1]对照表!$AC$3:$AC$13),LOOKUP($S713,[1]对照表!$AB$15:$AB$25,[1]对照表!$AC$15:$AC$25))</f>
        <v>0</v>
      </c>
      <c r="U713" s="26">
        <f>R713+T713</f>
        <v>80</v>
      </c>
      <c r="V713" s="26">
        <f>SUM(I713,K713,M713)/3*0.3+SUM(G713,R713)/2*0.4</f>
        <v>55.3</v>
      </c>
      <c r="W713" s="27">
        <f>O713+T713</f>
        <v>0</v>
      </c>
      <c r="X713" s="28">
        <f>V713/0.7+W713</f>
        <v>79</v>
      </c>
      <c r="Y713" s="28">
        <v>79</v>
      </c>
      <c r="Z713" s="21"/>
    </row>
    <row r="714" spans="1:26" x14ac:dyDescent="0.25">
      <c r="A714" s="16">
        <v>5</v>
      </c>
      <c r="B714" s="17" t="s">
        <v>21</v>
      </c>
      <c r="C714" s="16">
        <v>116</v>
      </c>
      <c r="D714" s="18" t="s">
        <v>509</v>
      </c>
      <c r="E714" s="16" t="s">
        <v>23</v>
      </c>
      <c r="F714" s="19">
        <v>7.5</v>
      </c>
      <c r="G714" s="32">
        <f>IF(B714="高三",IF($E714="男",LOOKUP(F714,[1]对照表!$G$3:$G$24,[1]对照表!$H$3:$H$24),LOOKUP(F714,[1]对照表!$G$27:$G$48,[1]对照表!$H$27:$H$48)),IF(B714="高二",IF($E714="男",LOOKUP(F714,[1]对照表!$F$3:$F$24,[1]对照表!$H$3:$H$24),LOOKUP(F714,[1]对照表!$F$27:$F$48,[1]对照表!$H$27:$H$48)),IF(B714="高一",IF($E714="男",LOOKUP(F714,[1]对照表!$E$3:$E$24,[1]对照表!$H$3:$H$24),LOOKUP(F714,[1]对照表!$E$27:$E$48,[1]对照表!$H$27:$H$48)))))</f>
        <v>80</v>
      </c>
      <c r="H714" s="21">
        <v>14</v>
      </c>
      <c r="I714" s="32">
        <f>IF(B714="高三",IF($E714="男",LOOKUP(H714,[1]对照表!$K$3:$K$24,[1]对照表!$L$3:$L$24),LOOKUP(H714,[1]对照表!$K$27:$K$48,[1]对照表!$L$27:$L$48)),IF(B714="高二",IF($E714="男",LOOKUP(H714,[1]对照表!$J$3:$J$24,[1]对照表!$L$3:$L$24),LOOKUP(H714,[1]对照表!$J$27:$J$48,[1]对照表!$L$27:$L$48)),IF(B714="高一",IF($E714="男",LOOKUP(H714,[1]对照表!$I$3:$I$24,[1]对照表!$L$3:$L$24),LOOKUP(H714,[1]对照表!$I$27:$I$48,[1]对照表!$L$27:$L$48)))))</f>
        <v>78</v>
      </c>
      <c r="J714" s="21">
        <v>230</v>
      </c>
      <c r="K714" s="32">
        <f>IF(B714="高三",IF($E714="男",LOOKUP(J714,[1]对照表!$O$3:$O$24,[1]对照表!$P$3:$P$24),LOOKUP(J714,[1]对照表!$O$27:$O$48,[1]对照表!$P$27:$P$48)),IF(B714="高二",IF($E714="男",LOOKUP(J714,[1]对照表!$N$3:$N$24,[1]对照表!$P$3:$P$24),LOOKUP(J714,[1]对照表!$N$27:$N$48,[1]对照表!$P$27:$P$48)),IF(B714="高一",IF($E714="男",LOOKUP(J714,[1]对照表!$M$3:$M$24,[1]对照表!$P$3:$P$24),LOOKUP(J714,[1]对照表!$M$27:$M$48,[1]对照表!$P$27:$P$48)))))</f>
        <v>76</v>
      </c>
      <c r="L714" s="21">
        <v>0</v>
      </c>
      <c r="M714" s="32">
        <f>IF(B714="高三",IF($E714="男",LOOKUP(L714,[1]对照表!$S$3:$S$24,[1]对照表!$T$3:$T$24),LOOKUP(L714,[1]对照表!$S$27:$S$48,[1]对照表!$T$27:$T$48)),IF(B714="高二",IF($E714="男",LOOKUP(L714,[1]对照表!$R$3:$R$24,[1]对照表!$T$3:$T$24),LOOKUP(L714,[1]对照表!$R$27:$R$48,[1]对照表!$T$27:$T$48)),IF(B714="高一",IF($E714="男",LOOKUP(L714,[1]对照表!$Q$3:$Q$24,[1]对照表!$T$3:$T$24),LOOKUP(L714,[1]对照表!$Q$27:$Q$48,[1]对照表!$T$27:$T$48)))))</f>
        <v>0</v>
      </c>
      <c r="N714" s="33">
        <f>IF(B714="高三",MAX(IF(E714="男",L714-18,L714-55),0),IF(B714="高二",MAX(IF(E714="男",L714-17,L714-54),0),IF(B714="高一",MAX(IF(E714="男",L714-16,L714-53),0))))</f>
        <v>0</v>
      </c>
      <c r="O714" s="23">
        <f>IF(E714="男",LOOKUP($N714,[1]对照表!$Z$3:$Z$13,[1]对照表!$AA$3:$AA$13),LOOKUP($N714,[1]对照表!$Z$15:$Z$25,[1]对照表!$AA$15:$AA$25))</f>
        <v>0</v>
      </c>
      <c r="P714" s="24">
        <f>M714+O714</f>
        <v>0</v>
      </c>
      <c r="Q714" s="25">
        <v>3.37</v>
      </c>
      <c r="R714" s="32">
        <f>IF(B714="高三",IF($E714="男",LOOKUP(Q714,[1]对照表!$W$3:$W$24,[1]对照表!$X$3:$X$24),LOOKUP(Q714,[1]对照表!$W$27:$W$48,[1]对照表!$X$27:$X$48)),IF(B714="高二",IF($E714="男",LOOKUP(Q714,[1]对照表!$V$3:$V$24,[1]对照表!$X$3:$X$24),LOOKUP(Q714,[1]对照表!$V$27:$V$48,[1]对照表!$X$27:$X$48)),IF(B714="高一",IF($E714="男",LOOKUP(Q714,[1]对照表!$U$3:$U$24,[1]对照表!$X$3:$X$24),LOOKUP(Q714,[1]对照表!$U$27:$U$48,[1]对照表!$X$27:$X$48)))))</f>
        <v>90</v>
      </c>
      <c r="S714" s="33">
        <f>ROUND(IF(IF($B714="高三",MIN(IF($E714="男",$Q714-3.2,$Q714-3.2),0),IF($B714="高二",MIN(IF($E714="男",$Q714-3.25,$Q714-3.22),0),IF($B714="高一",MIN(IF($E714="男",$Q714-3.3,$Q714-3.24),0))))&lt;-0.6,IF($B714="高三",MIN(IF($E714="男",$Q714-3.2,$Q714-3.2),0),IF($B714="高二",MIN(IF($E714="男",$Q714-3.25,$Q714-3.22),0),IF($B714="高一",MIN(IF($E714="男",$Q714-3.3,$Q714-3.24),0))))+0.4,IF($B714="高三",MIN(IF($E714="男",$Q714-3.2,$Q714-3.2),0),IF($B714="高二",MIN(IF($E714="男",$Q714-3.25,$Q714-3.22),0),IF($B714="高一",MIN(IF($E714="男",$Q714-3.3,$Q714-3.24),0))))),2)</f>
        <v>0</v>
      </c>
      <c r="T714" s="23">
        <f>IF(E714="男",LOOKUP($S714,[1]对照表!$AB$3:$AB$13,[1]对照表!$AC$3:$AC$13),LOOKUP($S714,[1]对照表!$AB$15:$AB$25,[1]对照表!$AC$15:$AC$25))</f>
        <v>0</v>
      </c>
      <c r="U714" s="26">
        <f>R714+T714</f>
        <v>90</v>
      </c>
      <c r="V714" s="26">
        <f>SUM(I714,K714,M714)/3*0.3+SUM(G714,R714)/2*0.4</f>
        <v>49.4</v>
      </c>
      <c r="W714" s="27">
        <f>O714+T714</f>
        <v>0</v>
      </c>
      <c r="X714" s="28">
        <f>V714/0.7+W714</f>
        <v>70.571428571428569</v>
      </c>
      <c r="Y714" s="28">
        <v>70.571428571428569</v>
      </c>
      <c r="Z714" s="21"/>
    </row>
    <row r="715" spans="1:26" x14ac:dyDescent="0.25">
      <c r="A715" s="16">
        <v>14</v>
      </c>
      <c r="B715" s="17" t="s">
        <v>21</v>
      </c>
      <c r="C715" s="16">
        <v>116</v>
      </c>
      <c r="D715" s="18" t="s">
        <v>557</v>
      </c>
      <c r="E715" s="17" t="s">
        <v>65</v>
      </c>
      <c r="F715" s="19">
        <v>9.4</v>
      </c>
      <c r="G715" s="32">
        <f>IF(B715="高三",IF($E715="男",LOOKUP(F715,[1]对照表!$G$3:$G$24,[1]对照表!$H$3:$H$24),LOOKUP(F715,[1]对照表!$G$27:$G$48,[1]对照表!$H$27:$H$48)),IF(B715="高二",IF($E715="男",LOOKUP(F715,[1]对照表!$F$3:$F$24,[1]对照表!$H$3:$H$24),LOOKUP(F715,[1]对照表!$F$27:$F$48,[1]对照表!$H$27:$H$48)),IF(B715="高一",IF($E715="男",LOOKUP(F715,[1]对照表!$E$3:$E$24,[1]对照表!$H$3:$H$24),LOOKUP(F715,[1]对照表!$E$27:$E$48,[1]对照表!$H$27:$H$48)))))</f>
        <v>72</v>
      </c>
      <c r="H715" s="21">
        <v>20.6</v>
      </c>
      <c r="I715" s="32">
        <f>IF(B715="高三",IF($E715="男",LOOKUP(H715,[1]对照表!$K$3:$K$24,[1]对照表!$L$3:$L$24),LOOKUP(H715,[1]对照表!$K$27:$K$48,[1]对照表!$L$27:$L$48)),IF(B715="高二",IF($E715="男",LOOKUP(H715,[1]对照表!$J$3:$J$24,[1]对照表!$L$3:$L$24),LOOKUP(H715,[1]对照表!$J$27:$J$48,[1]对照表!$L$27:$L$48)),IF(B715="高一",IF($E715="男",LOOKUP(H715,[1]对照表!$I$3:$I$24,[1]对照表!$L$3:$L$24),LOOKUP(H715,[1]对照表!$I$27:$I$48,[1]对照表!$L$27:$L$48)))))</f>
        <v>85</v>
      </c>
      <c r="J715" s="21">
        <v>178</v>
      </c>
      <c r="K715" s="32">
        <f>IF(B715="高三",IF($E715="男",LOOKUP(J715,[1]对照表!$O$3:$O$24,[1]对照表!$P$3:$P$24),LOOKUP(J715,[1]对照表!$O$27:$O$48,[1]对照表!$P$27:$P$48)),IF(B715="高二",IF($E715="男",LOOKUP(J715,[1]对照表!$N$3:$N$24,[1]对照表!$P$3:$P$24),LOOKUP(J715,[1]对照表!$N$27:$N$48,[1]对照表!$P$27:$P$48)),IF(B715="高一",IF($E715="男",LOOKUP(J715,[1]对照表!$M$3:$M$24,[1]对照表!$P$3:$P$24),LOOKUP(J715,[1]对照表!$M$27:$M$48,[1]对照表!$P$27:$P$48)))))</f>
        <v>80</v>
      </c>
      <c r="L715" s="21">
        <v>51</v>
      </c>
      <c r="M715" s="32">
        <f>IF(B715="高三",IF($E715="男",LOOKUP(L715,[1]对照表!$S$3:$S$24,[1]对照表!$T$3:$T$24),LOOKUP(L715,[1]对照表!$S$27:$S$48,[1]对照表!$T$27:$T$48)),IF(B715="高二",IF($E715="男",LOOKUP(L715,[1]对照表!$R$3:$R$24,[1]对照表!$T$3:$T$24),LOOKUP(L715,[1]对照表!$R$27:$R$48,[1]对照表!$T$27:$T$48)),IF(B715="高一",IF($E715="男",LOOKUP(L715,[1]对照表!$Q$3:$Q$24,[1]对照表!$T$3:$T$24),LOOKUP(L715,[1]对照表!$Q$27:$Q$48,[1]对照表!$T$27:$T$48)))))</f>
        <v>95</v>
      </c>
      <c r="N715" s="33">
        <f>IF(B715="高三",MAX(IF(E715="男",L715-18,L715-55),0),IF(B715="高二",MAX(IF(E715="男",L715-17,L715-54),0),IF(B715="高一",MAX(IF(E715="男",L715-16,L715-53),0))))</f>
        <v>0</v>
      </c>
      <c r="O715" s="23">
        <f>IF(E715="男",LOOKUP($N715,[1]对照表!$Z$3:$Z$13,[1]对照表!$AA$3:$AA$13),LOOKUP($N715,[1]对照表!$Z$15:$Z$25,[1]对照表!$AA$15:$AA$25))</f>
        <v>0</v>
      </c>
      <c r="P715" s="24">
        <f>M715+O715</f>
        <v>95</v>
      </c>
      <c r="Q715" s="25">
        <v>3.47</v>
      </c>
      <c r="R715" s="32">
        <f>IF(B715="高三",IF($E715="男",LOOKUP(Q715,[1]对照表!$W$3:$W$24,[1]对照表!$X$3:$X$24),LOOKUP(Q715,[1]对照表!$W$27:$W$48,[1]对照表!$X$27:$X$48)),IF(B715="高二",IF($E715="男",LOOKUP(Q715,[1]对照表!$V$3:$V$24,[1]对照表!$X$3:$X$24),LOOKUP(Q715,[1]对照表!$V$27:$V$48,[1]对照表!$X$27:$X$48)),IF(B715="高一",IF($E715="男",LOOKUP(Q715,[1]对照表!$U$3:$U$24,[1]对照表!$X$3:$X$24),LOOKUP(Q715,[1]对照表!$U$27:$U$48,[1]对照表!$X$27:$X$48)))))</f>
        <v>80</v>
      </c>
      <c r="S715" s="33">
        <f>ROUND(IF(IF($B715="高三",MIN(IF($E715="男",$Q715-3.2,$Q715-3.2),0),IF($B715="高二",MIN(IF($E715="男",$Q715-3.25,$Q715-3.22),0),IF($B715="高一",MIN(IF($E715="男",$Q715-3.3,$Q715-3.24),0))))&lt;-0.6,IF($B715="高三",MIN(IF($E715="男",$Q715-3.2,$Q715-3.2),0),IF($B715="高二",MIN(IF($E715="男",$Q715-3.25,$Q715-3.22),0),IF($B715="高一",MIN(IF($E715="男",$Q715-3.3,$Q715-3.24),0))))+0.4,IF($B715="高三",MIN(IF($E715="男",$Q715-3.2,$Q715-3.2),0),IF($B715="高二",MIN(IF($E715="男",$Q715-3.25,$Q715-3.22),0),IF($B715="高一",MIN(IF($E715="男",$Q715-3.3,$Q715-3.24),0))))),2)</f>
        <v>0</v>
      </c>
      <c r="T715" s="23">
        <f>IF(E715="男",LOOKUP($S715,[1]对照表!$AB$3:$AB$13,[1]对照表!$AC$3:$AC$13),LOOKUP($S715,[1]对照表!$AB$15:$AB$25,[1]对照表!$AC$15:$AC$25))</f>
        <v>0</v>
      </c>
      <c r="U715" s="26">
        <f>R715+T715</f>
        <v>80</v>
      </c>
      <c r="V715" s="26">
        <f>SUM(I715,K715,M715)/3*0.3+SUM(G715,R715)/2*0.4</f>
        <v>56.400000000000006</v>
      </c>
      <c r="W715" s="27">
        <f>O715+T715</f>
        <v>0</v>
      </c>
      <c r="X715" s="28">
        <f>V715/0.7+W715</f>
        <v>80.571428571428584</v>
      </c>
      <c r="Y715" s="28">
        <v>80.571428571428584</v>
      </c>
      <c r="Z715" s="21"/>
    </row>
    <row r="716" spans="1:26" x14ac:dyDescent="0.25">
      <c r="A716" s="16">
        <v>6</v>
      </c>
      <c r="B716" s="17" t="s">
        <v>21</v>
      </c>
      <c r="C716" s="16">
        <v>116</v>
      </c>
      <c r="D716" s="18" t="s">
        <v>561</v>
      </c>
      <c r="E716" s="16" t="s">
        <v>23</v>
      </c>
      <c r="F716" s="19">
        <v>8.1</v>
      </c>
      <c r="G716" s="32">
        <f>IF(B716="高三",IF($E716="男",LOOKUP(F716,[1]对照表!$G$3:$G$24,[1]对照表!$H$3:$H$24),LOOKUP(F716,[1]对照表!$G$27:$G$48,[1]对照表!$H$27:$H$48)),IF(B716="高二",IF($E716="男",LOOKUP(F716,[1]对照表!$F$3:$F$24,[1]对照表!$H$3:$H$24),LOOKUP(F716,[1]对照表!$F$27:$F$48,[1]对照表!$H$27:$H$48)),IF(B716="高一",IF($E716="男",LOOKUP(F716,[1]对照表!$E$3:$E$24,[1]对照表!$H$3:$H$24),LOOKUP(F716,[1]对照表!$E$27:$E$48,[1]对照表!$H$27:$H$48)))))</f>
        <v>74</v>
      </c>
      <c r="H716" s="21">
        <v>6</v>
      </c>
      <c r="I716" s="32">
        <f>IF(B716="高三",IF($E716="男",LOOKUP(H716,[1]对照表!$K$3:$K$24,[1]对照表!$L$3:$L$24),LOOKUP(H716,[1]对照表!$K$27:$K$48,[1]对照表!$L$27:$L$48)),IF(B716="高二",IF($E716="男",LOOKUP(H716,[1]对照表!$J$3:$J$24,[1]对照表!$L$3:$L$24),LOOKUP(H716,[1]对照表!$J$27:$J$48,[1]对照表!$L$27:$L$48)),IF(B716="高一",IF($E716="男",LOOKUP(H716,[1]对照表!$I$3:$I$24,[1]对照表!$L$3:$L$24),LOOKUP(H716,[1]对照表!$I$27:$I$48,[1]对照表!$L$27:$L$48)))))</f>
        <v>66</v>
      </c>
      <c r="J716" s="21">
        <v>210</v>
      </c>
      <c r="K716" s="32">
        <f>IF(B716="高三",IF($E716="男",LOOKUP(J716,[1]对照表!$O$3:$O$24,[1]对照表!$P$3:$P$24),LOOKUP(J716,[1]对照表!$O$27:$O$48,[1]对照表!$P$27:$P$48)),IF(B716="高二",IF($E716="男",LOOKUP(J716,[1]对照表!$N$3:$N$24,[1]对照表!$P$3:$P$24),LOOKUP(J716,[1]对照表!$N$27:$N$48,[1]对照表!$P$27:$P$48)),IF(B716="高一",IF($E716="男",LOOKUP(J716,[1]对照表!$M$3:$M$24,[1]对照表!$P$3:$P$24),LOOKUP(J716,[1]对照表!$M$27:$M$48,[1]对照表!$P$27:$P$48)))))</f>
        <v>66</v>
      </c>
      <c r="L716" s="21">
        <v>5</v>
      </c>
      <c r="M716" s="32">
        <f>IF(B716="高三",IF($E716="男",LOOKUP(L716,[1]对照表!$S$3:$S$24,[1]对照表!$T$3:$T$24),LOOKUP(L716,[1]对照表!$S$27:$S$48,[1]对照表!$T$27:$T$48)),IF(B716="高二",IF($E716="男",LOOKUP(L716,[1]对照表!$R$3:$R$24,[1]对照表!$T$3:$T$24),LOOKUP(L716,[1]对照表!$R$27:$R$48,[1]对照表!$T$27:$T$48)),IF(B716="高一",IF($E716="男",LOOKUP(L716,[1]对照表!$Q$3:$Q$24,[1]对照表!$T$3:$T$24),LOOKUP(L716,[1]对照表!$Q$27:$Q$48,[1]对照表!$T$27:$T$48)))))</f>
        <v>40</v>
      </c>
      <c r="N716" s="33">
        <f>IF(B716="高三",MAX(IF(E716="男",L716-18,L716-55),0),IF(B716="高二",MAX(IF(E716="男",L716-17,L716-54),0),IF(B716="高一",MAX(IF(E716="男",L716-16,L716-53),0))))</f>
        <v>0</v>
      </c>
      <c r="O716" s="23">
        <f>IF(E716="男",LOOKUP($N716,[1]对照表!$Z$3:$Z$13,[1]对照表!$AA$3:$AA$13),LOOKUP($N716,[1]对照表!$Z$15:$Z$25,[1]对照表!$AA$15:$AA$25))</f>
        <v>0</v>
      </c>
      <c r="P716" s="24">
        <f>M716+O716</f>
        <v>40</v>
      </c>
      <c r="Q716" s="25">
        <v>4.38</v>
      </c>
      <c r="R716" s="32">
        <f>IF(B716="高三",IF($E716="男",LOOKUP(Q716,[1]对照表!$W$3:$W$24,[1]对照表!$X$3:$X$24),LOOKUP(Q716,[1]对照表!$W$27:$W$48,[1]对照表!$X$27:$X$48)),IF(B716="高二",IF($E716="男",LOOKUP(Q716,[1]对照表!$V$3:$V$24,[1]对照表!$X$3:$X$24),LOOKUP(Q716,[1]对照表!$V$27:$V$48,[1]对照表!$X$27:$X$48)),IF(B716="高一",IF($E716="男",LOOKUP(Q716,[1]对照表!$U$3:$U$24,[1]对照表!$X$3:$X$24),LOOKUP(Q716,[1]对照表!$U$27:$U$48,[1]对照表!$X$27:$X$48)))))</f>
        <v>62</v>
      </c>
      <c r="S716" s="33">
        <f>ROUND(IF(IF($B716="高三",MIN(IF($E716="男",$Q716-3.2,$Q716-3.2),0),IF($B716="高二",MIN(IF($E716="男",$Q716-3.25,$Q716-3.22),0),IF($B716="高一",MIN(IF($E716="男",$Q716-3.3,$Q716-3.24),0))))&lt;-0.6,IF($B716="高三",MIN(IF($E716="男",$Q716-3.2,$Q716-3.2),0),IF($B716="高二",MIN(IF($E716="男",$Q716-3.25,$Q716-3.22),0),IF($B716="高一",MIN(IF($E716="男",$Q716-3.3,$Q716-3.24),0))))+0.4,IF($B716="高三",MIN(IF($E716="男",$Q716-3.2,$Q716-3.2),0),IF($B716="高二",MIN(IF($E716="男",$Q716-3.25,$Q716-3.22),0),IF($B716="高一",MIN(IF($E716="男",$Q716-3.3,$Q716-3.24),0))))),2)</f>
        <v>0</v>
      </c>
      <c r="T716" s="23">
        <f>IF(E716="男",LOOKUP($S716,[1]对照表!$AB$3:$AB$13,[1]对照表!$AC$3:$AC$13),LOOKUP($S716,[1]对照表!$AB$15:$AB$25,[1]对照表!$AC$15:$AC$25))</f>
        <v>0</v>
      </c>
      <c r="U716" s="26">
        <f>R716+T716</f>
        <v>62</v>
      </c>
      <c r="V716" s="26">
        <f>SUM(I716,K716,M716)/3*0.3+SUM(G716,R716)/2*0.4</f>
        <v>44.400000000000006</v>
      </c>
      <c r="W716" s="27">
        <f>O716+T716</f>
        <v>0</v>
      </c>
      <c r="X716" s="28">
        <f>V716/0.7+W716</f>
        <v>63.428571428571438</v>
      </c>
      <c r="Y716" s="28">
        <v>63.428571428571438</v>
      </c>
      <c r="Z716" s="21"/>
    </row>
    <row r="717" spans="1:26" x14ac:dyDescent="0.25">
      <c r="A717" s="16">
        <v>12</v>
      </c>
      <c r="B717" s="17" t="s">
        <v>21</v>
      </c>
      <c r="C717" s="16">
        <v>116</v>
      </c>
      <c r="D717" s="18" t="s">
        <v>600</v>
      </c>
      <c r="E717" s="17" t="s">
        <v>65</v>
      </c>
      <c r="F717" s="19">
        <v>9.3000000000000007</v>
      </c>
      <c r="G717" s="32">
        <f>IF(B717="高三",IF($E717="男",LOOKUP(F717,[1]对照表!$G$3:$G$24,[1]对照表!$H$3:$H$24),LOOKUP(F717,[1]对照表!$G$27:$G$48,[1]对照表!$H$27:$H$48)),IF(B717="高二",IF($E717="男",LOOKUP(F717,[1]对照表!$F$3:$F$24,[1]对照表!$H$3:$H$24),LOOKUP(F717,[1]对照表!$F$27:$F$48,[1]对照表!$H$27:$H$48)),IF(B717="高一",IF($E717="男",LOOKUP(F717,[1]对照表!$E$3:$E$24,[1]对照表!$H$3:$H$24),LOOKUP(F717,[1]对照表!$E$27:$E$48,[1]对照表!$H$27:$H$48)))))</f>
        <v>72</v>
      </c>
      <c r="H717" s="21">
        <v>26</v>
      </c>
      <c r="I717" s="32">
        <f>IF(B717="高三",IF($E717="男",LOOKUP(H717,[1]对照表!$K$3:$K$24,[1]对照表!$L$3:$L$24),LOOKUP(H717,[1]对照表!$K$27:$K$48,[1]对照表!$L$27:$L$48)),IF(B717="高二",IF($E717="男",LOOKUP(H717,[1]对照表!$J$3:$J$24,[1]对照表!$L$3:$L$24),LOOKUP(H717,[1]对照表!$J$27:$J$48,[1]对照表!$L$27:$L$48)),IF(B717="高一",IF($E717="男",LOOKUP(H717,[1]对照表!$I$3:$I$24,[1]对照表!$L$3:$L$24),LOOKUP(H717,[1]对照表!$I$27:$I$48,[1]对照表!$L$27:$L$48)))))</f>
        <v>100</v>
      </c>
      <c r="J717" s="21">
        <v>185</v>
      </c>
      <c r="K717" s="32">
        <f>IF(B717="高三",IF($E717="男",LOOKUP(J717,[1]对照表!$O$3:$O$24,[1]对照表!$P$3:$P$24),LOOKUP(J717,[1]对照表!$O$27:$O$48,[1]对照表!$P$27:$P$48)),IF(B717="高二",IF($E717="男",LOOKUP(J717,[1]对照表!$N$3:$N$24,[1]对照表!$P$3:$P$24),LOOKUP(J717,[1]对照表!$N$27:$N$48,[1]对照表!$P$27:$P$48)),IF(B717="高一",IF($E717="男",LOOKUP(J717,[1]对照表!$M$3:$M$24,[1]对照表!$P$3:$P$24),LOOKUP(J717,[1]对照表!$M$27:$M$48,[1]对照表!$P$27:$P$48)))))</f>
        <v>85</v>
      </c>
      <c r="L717" s="21">
        <v>60</v>
      </c>
      <c r="M717" s="32">
        <f>IF(B717="高三",IF($E717="男",LOOKUP(L717,[1]对照表!$S$3:$S$24,[1]对照表!$T$3:$T$24),LOOKUP(L717,[1]对照表!$S$27:$S$48,[1]对照表!$T$27:$T$48)),IF(B717="高二",IF($E717="男",LOOKUP(L717,[1]对照表!$R$3:$R$24,[1]对照表!$T$3:$T$24),LOOKUP(L717,[1]对照表!$R$27:$R$48,[1]对照表!$T$27:$T$48)),IF(B717="高一",IF($E717="男",LOOKUP(L717,[1]对照表!$Q$3:$Q$24,[1]对照表!$T$3:$T$24),LOOKUP(L717,[1]对照表!$Q$27:$Q$48,[1]对照表!$T$27:$T$48)))))</f>
        <v>100</v>
      </c>
      <c r="N717" s="33">
        <f>IF(B717="高三",MAX(IF(E717="男",L717-18,L717-55),0),IF(B717="高二",MAX(IF(E717="男",L717-17,L717-54),0),IF(B717="高一",MAX(IF(E717="男",L717-16,L717-53),0))))</f>
        <v>7</v>
      </c>
      <c r="O717" s="23">
        <f>IF(E717="男",LOOKUP($N717,[1]对照表!$Z$3:$Z$13,[1]对照表!$AA$3:$AA$13),LOOKUP($N717,[1]对照表!$Z$15:$Z$25,[1]对照表!$AA$15:$AA$25))</f>
        <v>4</v>
      </c>
      <c r="P717" s="24">
        <f>M717+O717</f>
        <v>104</v>
      </c>
      <c r="Q717" s="25">
        <v>3.5</v>
      </c>
      <c r="R717" s="32">
        <f>IF(B717="高三",IF($E717="男",LOOKUP(Q717,[1]对照表!$W$3:$W$24,[1]对照表!$X$3:$X$24),LOOKUP(Q717,[1]对照表!$W$27:$W$48,[1]对照表!$X$27:$X$48)),IF(B717="高二",IF($E717="男",LOOKUP(Q717,[1]对照表!$V$3:$V$24,[1]对照表!$X$3:$X$24),LOOKUP(Q717,[1]对照表!$V$27:$V$48,[1]对照表!$X$27:$X$48)),IF(B717="高一",IF($E717="男",LOOKUP(Q717,[1]对照表!$U$3:$U$24,[1]对照表!$X$3:$X$24),LOOKUP(Q717,[1]对照表!$U$27:$U$48,[1]对照表!$X$27:$X$48)))))</f>
        <v>80</v>
      </c>
      <c r="S717" s="33">
        <f>ROUND(IF(IF($B717="高三",MIN(IF($E717="男",$Q717-3.2,$Q717-3.2),0),IF($B717="高二",MIN(IF($E717="男",$Q717-3.25,$Q717-3.22),0),IF($B717="高一",MIN(IF($E717="男",$Q717-3.3,$Q717-3.24),0))))&lt;-0.6,IF($B717="高三",MIN(IF($E717="男",$Q717-3.2,$Q717-3.2),0),IF($B717="高二",MIN(IF($E717="男",$Q717-3.25,$Q717-3.22),0),IF($B717="高一",MIN(IF($E717="男",$Q717-3.3,$Q717-3.24),0))))+0.4,IF($B717="高三",MIN(IF($E717="男",$Q717-3.2,$Q717-3.2),0),IF($B717="高二",MIN(IF($E717="男",$Q717-3.25,$Q717-3.22),0),IF($B717="高一",MIN(IF($E717="男",$Q717-3.3,$Q717-3.24),0))))),2)</f>
        <v>0</v>
      </c>
      <c r="T717" s="23">
        <f>IF(E717="男",LOOKUP($S717,[1]对照表!$AB$3:$AB$13,[1]对照表!$AC$3:$AC$13),LOOKUP($S717,[1]对照表!$AB$15:$AB$25,[1]对照表!$AC$15:$AC$25))</f>
        <v>0</v>
      </c>
      <c r="U717" s="26">
        <f>R717+T717</f>
        <v>80</v>
      </c>
      <c r="V717" s="26">
        <f>SUM(I717,K717,M717)/3*0.3+SUM(G717,R717)/2*0.4</f>
        <v>58.900000000000006</v>
      </c>
      <c r="W717" s="27">
        <f>O717+T717</f>
        <v>4</v>
      </c>
      <c r="X717" s="28">
        <f>V717/0.7+W717</f>
        <v>88.142857142857153</v>
      </c>
      <c r="Y717" s="28">
        <v>88.142857142857153</v>
      </c>
      <c r="Z717" s="21"/>
    </row>
    <row r="718" spans="1:26" x14ac:dyDescent="0.25">
      <c r="A718" s="16">
        <v>27</v>
      </c>
      <c r="B718" s="17" t="s">
        <v>21</v>
      </c>
      <c r="C718" s="16">
        <v>116</v>
      </c>
      <c r="D718" s="18" t="s">
        <v>690</v>
      </c>
      <c r="E718" s="17" t="s">
        <v>65</v>
      </c>
      <c r="F718" s="19">
        <v>9.99</v>
      </c>
      <c r="G718" s="32">
        <f>IF(B718="高三",IF($E718="男",LOOKUP(F718,[1]对照表!$G$3:$G$24,[1]对照表!$H$3:$H$24),LOOKUP(F718,[1]对照表!$G$27:$G$48,[1]对照表!$H$27:$H$48)),IF(B718="高二",IF($E718="男",LOOKUP(F718,[1]对照表!$F$3:$F$24,[1]对照表!$H$3:$H$24),LOOKUP(F718,[1]对照表!$F$27:$F$48,[1]对照表!$H$27:$H$48)),IF(B718="高一",IF($E718="男",LOOKUP(F718,[1]对照表!$E$3:$E$24,[1]对照表!$H$3:$H$24),LOOKUP(F718,[1]对照表!$E$27:$E$48,[1]对照表!$H$27:$H$48)))))</f>
        <v>66</v>
      </c>
      <c r="H718" s="21">
        <v>18</v>
      </c>
      <c r="I718" s="32">
        <f>IF(B718="高三",IF($E718="男",LOOKUP(H718,[1]对照表!$K$3:$K$24,[1]对照表!$L$3:$L$24),LOOKUP(H718,[1]对照表!$K$27:$K$48,[1]对照表!$L$27:$L$48)),IF(B718="高二",IF($E718="男",LOOKUP(H718,[1]对照表!$J$3:$J$24,[1]对照表!$L$3:$L$24),LOOKUP(H718,[1]对照表!$J$27:$J$48,[1]对照表!$L$27:$L$48)),IF(B718="高一",IF($E718="男",LOOKUP(H718,[1]对照表!$I$3:$I$24,[1]对照表!$L$3:$L$24),LOOKUP(H718,[1]对照表!$I$27:$I$48,[1]对照表!$L$27:$L$48)))))</f>
        <v>80</v>
      </c>
      <c r="J718" s="21">
        <v>155</v>
      </c>
      <c r="K718" s="32">
        <f>IF(B718="高三",IF($E718="男",LOOKUP(J718,[1]对照表!$O$3:$O$24,[1]对照表!$P$3:$P$24),LOOKUP(J718,[1]对照表!$O$27:$O$48,[1]对照表!$P$27:$P$48)),IF(B718="高二",IF($E718="男",LOOKUP(J718,[1]对照表!$N$3:$N$24,[1]对照表!$P$3:$P$24),LOOKUP(J718,[1]对照表!$N$27:$N$48,[1]对照表!$P$27:$P$48)),IF(B718="高一",IF($E718="男",LOOKUP(J718,[1]对照表!$M$3:$M$24,[1]对照表!$P$3:$P$24),LOOKUP(J718,[1]对照表!$M$27:$M$48,[1]对照表!$P$27:$P$48)))))</f>
        <v>64</v>
      </c>
      <c r="L718" s="21">
        <v>50</v>
      </c>
      <c r="M718" s="32">
        <f>IF(B718="高三",IF($E718="男",LOOKUP(L718,[1]对照表!$S$3:$S$24,[1]对照表!$T$3:$T$24),LOOKUP(L718,[1]对照表!$S$27:$S$48,[1]对照表!$T$27:$T$48)),IF(B718="高二",IF($E718="男",LOOKUP(L718,[1]对照表!$R$3:$R$24,[1]对照表!$T$3:$T$24),LOOKUP(L718,[1]对照表!$R$27:$R$48,[1]对照表!$T$27:$T$48)),IF(B718="高一",IF($E718="男",LOOKUP(L718,[1]对照表!$Q$3:$Q$24,[1]对照表!$T$3:$T$24),LOOKUP(L718,[1]对照表!$Q$27:$Q$48,[1]对照表!$T$27:$T$48)))))</f>
        <v>90</v>
      </c>
      <c r="N718" s="33">
        <f>IF(B718="高三",MAX(IF(E718="男",L718-18,L718-55),0),IF(B718="高二",MAX(IF(E718="男",L718-17,L718-54),0),IF(B718="高一",MAX(IF(E718="男",L718-16,L718-53),0))))</f>
        <v>0</v>
      </c>
      <c r="O718" s="23">
        <f>IF(E718="男",LOOKUP($N718,[1]对照表!$Z$3:$Z$13,[1]对照表!$AA$3:$AA$13),LOOKUP($N718,[1]对照表!$Z$15:$Z$25,[1]对照表!$AA$15:$AA$25))</f>
        <v>0</v>
      </c>
      <c r="P718" s="24">
        <f>M718+O718</f>
        <v>90</v>
      </c>
      <c r="Q718" s="25">
        <v>4.04</v>
      </c>
      <c r="R718" s="32">
        <f>IF(B718="高三",IF($E718="男",LOOKUP(Q718,[1]对照表!$W$3:$W$24,[1]对照表!$X$3:$X$24),LOOKUP(Q718,[1]对照表!$W$27:$W$48,[1]对照表!$X$27:$X$48)),IF(B718="高二",IF($E718="男",LOOKUP(Q718,[1]对照表!$V$3:$V$24,[1]对照表!$X$3:$X$24),LOOKUP(Q718,[1]对照表!$V$27:$V$48,[1]对照表!$X$27:$X$48)),IF(B718="高一",IF($E718="男",LOOKUP(Q718,[1]对照表!$U$3:$U$24,[1]对照表!$X$3:$X$24),LOOKUP(Q718,[1]对照表!$U$27:$U$48,[1]对照表!$X$27:$X$48)))))</f>
        <v>74</v>
      </c>
      <c r="S718" s="33">
        <f>ROUND(IF(IF($B718="高三",MIN(IF($E718="男",$Q718-3.2,$Q718-3.2),0),IF($B718="高二",MIN(IF($E718="男",$Q718-3.25,$Q718-3.22),0),IF($B718="高一",MIN(IF($E718="男",$Q718-3.3,$Q718-3.24),0))))&lt;-0.6,IF($B718="高三",MIN(IF($E718="男",$Q718-3.2,$Q718-3.2),0),IF($B718="高二",MIN(IF($E718="男",$Q718-3.25,$Q718-3.22),0),IF($B718="高一",MIN(IF($E718="男",$Q718-3.3,$Q718-3.24),0))))+0.4,IF($B718="高三",MIN(IF($E718="男",$Q718-3.2,$Q718-3.2),0),IF($B718="高二",MIN(IF($E718="男",$Q718-3.25,$Q718-3.22),0),IF($B718="高一",MIN(IF($E718="男",$Q718-3.3,$Q718-3.24),0))))),2)</f>
        <v>0</v>
      </c>
      <c r="T718" s="23">
        <f>IF(E718="男",LOOKUP($S718,[1]对照表!$AB$3:$AB$13,[1]对照表!$AC$3:$AC$13),LOOKUP($S718,[1]对照表!$AB$15:$AB$25,[1]对照表!$AC$15:$AC$25))</f>
        <v>0</v>
      </c>
      <c r="U718" s="26">
        <f>R718+T718</f>
        <v>74</v>
      </c>
      <c r="V718" s="26">
        <f>SUM(I718,K718,M718)/3*0.3+SUM(G718,R718)/2*0.4</f>
        <v>51.4</v>
      </c>
      <c r="W718" s="27">
        <f>O718+T718</f>
        <v>0</v>
      </c>
      <c r="X718" s="28">
        <f>V718/0.7+W718</f>
        <v>73.428571428571431</v>
      </c>
      <c r="Y718" s="28">
        <v>73.428571428571431</v>
      </c>
      <c r="Z718" s="21"/>
    </row>
    <row r="719" spans="1:26" x14ac:dyDescent="0.25">
      <c r="A719" s="16">
        <v>40</v>
      </c>
      <c r="B719" s="17" t="s">
        <v>21</v>
      </c>
      <c r="C719" s="16">
        <v>116</v>
      </c>
      <c r="D719" s="18" t="s">
        <v>693</v>
      </c>
      <c r="E719" s="16" t="s">
        <v>65</v>
      </c>
      <c r="F719" s="19">
        <v>10.35</v>
      </c>
      <c r="G719" s="32">
        <f>IF(B719="高三",IF($E719="男",LOOKUP(F719,[1]对照表!$G$3:$G$24,[1]对照表!$H$3:$H$24),LOOKUP(F719,[1]对照表!$G$27:$G$48,[1]对照表!$H$27:$H$48)),IF(B719="高二",IF($E719="男",LOOKUP(F719,[1]对照表!$F$3:$F$24,[1]对照表!$H$3:$H$24),LOOKUP(F719,[1]对照表!$F$27:$F$48,[1]对照表!$H$27:$H$48)),IF(B719="高一",IF($E719="男",LOOKUP(F719,[1]对照表!$E$3:$E$24,[1]对照表!$H$3:$H$24),LOOKUP(F719,[1]对照表!$E$27:$E$48,[1]对照表!$H$27:$H$48)))))</f>
        <v>62</v>
      </c>
      <c r="H719" s="21">
        <v>11</v>
      </c>
      <c r="I719" s="32">
        <f>IF(B719="高三",IF($E719="男",LOOKUP(H719,[1]对照表!$K$3:$K$24,[1]对照表!$L$3:$L$24),LOOKUP(H719,[1]对照表!$K$27:$K$48,[1]对照表!$L$27:$L$48)),IF(B719="高二",IF($E719="男",LOOKUP(H719,[1]对照表!$J$3:$J$24,[1]对照表!$L$3:$L$24),LOOKUP(H719,[1]对照表!$J$27:$J$48,[1]对照表!$L$27:$L$48)),IF(B719="高一",IF($E719="男",LOOKUP(H719,[1]对照表!$I$3:$I$24,[1]对照表!$L$3:$L$24),LOOKUP(H719,[1]对照表!$I$27:$I$48,[1]对照表!$L$27:$L$48)))))</f>
        <v>70</v>
      </c>
      <c r="J719" s="21">
        <v>155</v>
      </c>
      <c r="K719" s="32">
        <f>IF(B719="高三",IF($E719="男",LOOKUP(J719,[1]对照表!$O$3:$O$24,[1]对照表!$P$3:$P$24),LOOKUP(J719,[1]对照表!$O$27:$O$48,[1]对照表!$P$27:$P$48)),IF(B719="高二",IF($E719="男",LOOKUP(J719,[1]对照表!$N$3:$N$24,[1]对照表!$P$3:$P$24),LOOKUP(J719,[1]对照表!$N$27:$N$48,[1]对照表!$P$27:$P$48)),IF(B719="高一",IF($E719="男",LOOKUP(J719,[1]对照表!$M$3:$M$24,[1]对照表!$P$3:$P$24),LOOKUP(J719,[1]对照表!$M$27:$M$48,[1]对照表!$P$27:$P$48)))))</f>
        <v>64</v>
      </c>
      <c r="L719" s="21">
        <v>41</v>
      </c>
      <c r="M719" s="32">
        <f>IF(B719="高三",IF($E719="男",LOOKUP(L719,[1]对照表!$S$3:$S$24,[1]对照表!$T$3:$T$24),LOOKUP(L719,[1]对照表!$S$27:$S$48,[1]对照表!$T$27:$T$48)),IF(B719="高二",IF($E719="男",LOOKUP(L719,[1]对照表!$R$3:$R$24,[1]对照表!$T$3:$T$24),LOOKUP(L719,[1]对照表!$R$27:$R$48,[1]对照表!$T$27:$T$48)),IF(B719="高一",IF($E719="男",LOOKUP(L719,[1]对照表!$Q$3:$Q$24,[1]对照表!$T$3:$T$24),LOOKUP(L719,[1]对照表!$Q$27:$Q$48,[1]对照表!$T$27:$T$48)))))</f>
        <v>78</v>
      </c>
      <c r="N719" s="33">
        <f>IF(B719="高三",MAX(IF(E719="男",L719-18,L719-55),0),IF(B719="高二",MAX(IF(E719="男",L719-17,L719-54),0),IF(B719="高一",MAX(IF(E719="男",L719-16,L719-53),0))))</f>
        <v>0</v>
      </c>
      <c r="O719" s="23">
        <f>IF(E719="男",LOOKUP($N719,[1]对照表!$Z$3:$Z$13,[1]对照表!$AA$3:$AA$13),LOOKUP($N719,[1]对照表!$Z$15:$Z$25,[1]对照表!$AA$15:$AA$25))</f>
        <v>0</v>
      </c>
      <c r="P719" s="24">
        <f>M719+O719</f>
        <v>78</v>
      </c>
      <c r="Q719" s="25">
        <v>4.05</v>
      </c>
      <c r="R719" s="32">
        <f>IF(B719="高三",IF($E719="男",LOOKUP(Q719,[1]对照表!$W$3:$W$24,[1]对照表!$X$3:$X$24),LOOKUP(Q719,[1]对照表!$W$27:$W$48,[1]对照表!$X$27:$X$48)),IF(B719="高二",IF($E719="男",LOOKUP(Q719,[1]对照表!$V$3:$V$24,[1]对照表!$X$3:$X$24),LOOKUP(Q719,[1]对照表!$V$27:$V$48,[1]对照表!$X$27:$X$48)),IF(B719="高一",IF($E719="男",LOOKUP(Q719,[1]对照表!$U$3:$U$24,[1]对照表!$X$3:$X$24),LOOKUP(Q719,[1]对照表!$U$27:$U$48,[1]对照表!$X$27:$X$48)))))</f>
        <v>74</v>
      </c>
      <c r="S719" s="33">
        <f>ROUND(IF(IF($B719="高三",MIN(IF($E719="男",$Q719-3.2,$Q719-3.2),0),IF($B719="高二",MIN(IF($E719="男",$Q719-3.25,$Q719-3.22),0),IF($B719="高一",MIN(IF($E719="男",$Q719-3.3,$Q719-3.24),0))))&lt;-0.6,IF($B719="高三",MIN(IF($E719="男",$Q719-3.2,$Q719-3.2),0),IF($B719="高二",MIN(IF($E719="男",$Q719-3.25,$Q719-3.22),0),IF($B719="高一",MIN(IF($E719="男",$Q719-3.3,$Q719-3.24),0))))+0.4,IF($B719="高三",MIN(IF($E719="男",$Q719-3.2,$Q719-3.2),0),IF($B719="高二",MIN(IF($E719="男",$Q719-3.25,$Q719-3.22),0),IF($B719="高一",MIN(IF($E719="男",$Q719-3.3,$Q719-3.24),0))))),2)</f>
        <v>0</v>
      </c>
      <c r="T719" s="23">
        <f>IF(E719="男",LOOKUP($S719,[1]对照表!$AB$3:$AB$13,[1]对照表!$AC$3:$AC$13),LOOKUP($S719,[1]对照表!$AB$15:$AB$25,[1]对照表!$AC$15:$AC$25))</f>
        <v>0</v>
      </c>
      <c r="U719" s="26">
        <f>R719+T719</f>
        <v>74</v>
      </c>
      <c r="V719" s="26">
        <f>SUM(I719,K719,M719)/3*0.3+SUM(G719,R719)/2*0.4</f>
        <v>48.400000000000006</v>
      </c>
      <c r="W719" s="27">
        <f>O719+T719</f>
        <v>0</v>
      </c>
      <c r="X719" s="28">
        <f>V719/0.7+W719</f>
        <v>69.142857142857153</v>
      </c>
      <c r="Y719" s="28">
        <v>69.142857142857153</v>
      </c>
      <c r="Z719" s="21"/>
    </row>
    <row r="720" spans="1:26" x14ac:dyDescent="0.25">
      <c r="A720" s="16">
        <v>47</v>
      </c>
      <c r="B720" s="17" t="s">
        <v>21</v>
      </c>
      <c r="C720" s="16">
        <v>116</v>
      </c>
      <c r="D720" s="18" t="s">
        <v>704</v>
      </c>
      <c r="E720" s="16" t="s">
        <v>65</v>
      </c>
      <c r="F720" s="19">
        <v>9.5</v>
      </c>
      <c r="G720" s="32">
        <f>IF(B720="高三",IF($E720="男",LOOKUP(F720,[1]对照表!$G$3:$G$24,[1]对照表!$H$3:$H$24),LOOKUP(F720,[1]对照表!$G$27:$G$48,[1]对照表!$H$27:$H$48)),IF(B720="高二",IF($E720="男",LOOKUP(F720,[1]对照表!$F$3:$F$24,[1]对照表!$H$3:$H$24),LOOKUP(F720,[1]对照表!$F$27:$F$48,[1]对照表!$H$27:$H$48)),IF(B720="高一",IF($E720="男",LOOKUP(F720,[1]对照表!$E$3:$E$24,[1]对照表!$H$3:$H$24),LOOKUP(F720,[1]对照表!$E$27:$E$48,[1]对照表!$H$27:$H$48)))))</f>
        <v>70</v>
      </c>
      <c r="H720" s="21">
        <v>27.6</v>
      </c>
      <c r="I720" s="32">
        <f>IF(B720="高三",IF($E720="男",LOOKUP(H720,[1]对照表!$K$3:$K$24,[1]对照表!$L$3:$L$24),LOOKUP(H720,[1]对照表!$K$27:$K$48,[1]对照表!$L$27:$L$48)),IF(B720="高二",IF($E720="男",LOOKUP(H720,[1]对照表!$J$3:$J$24,[1]对照表!$L$3:$L$24),LOOKUP(H720,[1]对照表!$J$27:$J$48,[1]对照表!$L$27:$L$48)),IF(B720="高一",IF($E720="男",LOOKUP(H720,[1]对照表!$I$3:$I$24,[1]对照表!$L$3:$L$24),LOOKUP(H720,[1]对照表!$I$27:$I$48,[1]对照表!$L$27:$L$48)))))</f>
        <v>100</v>
      </c>
      <c r="J720" s="21">
        <v>174</v>
      </c>
      <c r="K720" s="32">
        <f>IF(B720="高三",IF($E720="男",LOOKUP(J720,[1]对照表!$O$3:$O$24,[1]对照表!$P$3:$P$24),LOOKUP(J720,[1]对照表!$O$27:$O$48,[1]对照表!$P$27:$P$48)),IF(B720="高二",IF($E720="男",LOOKUP(J720,[1]对照表!$N$3:$N$24,[1]对照表!$P$3:$P$24),LOOKUP(J720,[1]对照表!$N$27:$N$48,[1]对照表!$P$27:$P$48)),IF(B720="高一",IF($E720="男",LOOKUP(J720,[1]对照表!$M$3:$M$24,[1]对照表!$P$3:$P$24),LOOKUP(J720,[1]对照表!$M$27:$M$48,[1]对照表!$P$27:$P$48)))))</f>
        <v>76</v>
      </c>
      <c r="L720" s="21">
        <v>40</v>
      </c>
      <c r="M720" s="32">
        <f>IF(B720="高三",IF($E720="男",LOOKUP(L720,[1]对照表!$S$3:$S$24,[1]对照表!$T$3:$T$24),LOOKUP(L720,[1]对照表!$S$27:$S$48,[1]对照表!$T$27:$T$48)),IF(B720="高二",IF($E720="男",LOOKUP(L720,[1]对照表!$R$3:$R$24,[1]对照表!$T$3:$T$24),LOOKUP(L720,[1]对照表!$R$27:$R$48,[1]对照表!$T$27:$T$48)),IF(B720="高一",IF($E720="男",LOOKUP(L720,[1]对照表!$Q$3:$Q$24,[1]对照表!$T$3:$T$24),LOOKUP(L720,[1]对照表!$Q$27:$Q$48,[1]对照表!$T$27:$T$48)))))</f>
        <v>76</v>
      </c>
      <c r="N720" s="33">
        <f>IF(B720="高三",MAX(IF(E720="男",L720-18,L720-55),0),IF(B720="高二",MAX(IF(E720="男",L720-17,L720-54),0),IF(B720="高一",MAX(IF(E720="男",L720-16,L720-53),0))))</f>
        <v>0</v>
      </c>
      <c r="O720" s="23">
        <f>IF(E720="男",LOOKUP($N720,[1]对照表!$Z$3:$Z$13,[1]对照表!$AA$3:$AA$13),LOOKUP($N720,[1]对照表!$Z$15:$Z$25,[1]对照表!$AA$15:$AA$25))</f>
        <v>0</v>
      </c>
      <c r="P720" s="24">
        <f>M720+O720</f>
        <v>76</v>
      </c>
      <c r="Q720" s="25">
        <v>4.09</v>
      </c>
      <c r="R720" s="32">
        <f>IF(B720="高三",IF($E720="男",LOOKUP(Q720,[1]对照表!$W$3:$W$24,[1]对照表!$X$3:$X$24),LOOKUP(Q720,[1]对照表!$W$27:$W$48,[1]对照表!$X$27:$X$48)),IF(B720="高二",IF($E720="男",LOOKUP(Q720,[1]对照表!$V$3:$V$24,[1]对照表!$X$3:$X$24),LOOKUP(Q720,[1]对照表!$V$27:$V$48,[1]对照表!$X$27:$X$48)),IF(B720="高一",IF($E720="男",LOOKUP(Q720,[1]对照表!$U$3:$U$24,[1]对照表!$X$3:$X$24),LOOKUP(Q720,[1]对照表!$U$27:$U$48,[1]对照表!$X$27:$X$48)))))</f>
        <v>72</v>
      </c>
      <c r="S720" s="33">
        <f>ROUND(IF(IF($B720="高三",MIN(IF($E720="男",$Q720-3.2,$Q720-3.2),0),IF($B720="高二",MIN(IF($E720="男",$Q720-3.25,$Q720-3.22),0),IF($B720="高一",MIN(IF($E720="男",$Q720-3.3,$Q720-3.24),0))))&lt;-0.6,IF($B720="高三",MIN(IF($E720="男",$Q720-3.2,$Q720-3.2),0),IF($B720="高二",MIN(IF($E720="男",$Q720-3.25,$Q720-3.22),0),IF($B720="高一",MIN(IF($E720="男",$Q720-3.3,$Q720-3.24),0))))+0.4,IF($B720="高三",MIN(IF($E720="男",$Q720-3.2,$Q720-3.2),0),IF($B720="高二",MIN(IF($E720="男",$Q720-3.25,$Q720-3.22),0),IF($B720="高一",MIN(IF($E720="男",$Q720-3.3,$Q720-3.24),0))))),2)</f>
        <v>0</v>
      </c>
      <c r="T720" s="23">
        <f>IF(E720="男",LOOKUP($S720,[1]对照表!$AB$3:$AB$13,[1]对照表!$AC$3:$AC$13),LOOKUP($S720,[1]对照表!$AB$15:$AB$25,[1]对照表!$AC$15:$AC$25))</f>
        <v>0</v>
      </c>
      <c r="U720" s="26">
        <f>R720+T720</f>
        <v>72</v>
      </c>
      <c r="V720" s="26">
        <f>SUM(I720,K720,M720)/3*0.3+SUM(G720,R720)/2*0.4</f>
        <v>53.6</v>
      </c>
      <c r="W720" s="27">
        <f>O720+T720</f>
        <v>0</v>
      </c>
      <c r="X720" s="28">
        <f>V720/0.7+W720</f>
        <v>76.571428571428584</v>
      </c>
      <c r="Y720" s="28">
        <v>76.571428571428584</v>
      </c>
      <c r="Z720" s="21"/>
    </row>
    <row r="721" spans="1:26" x14ac:dyDescent="0.25">
      <c r="A721" s="16">
        <v>29</v>
      </c>
      <c r="B721" s="17" t="s">
        <v>21</v>
      </c>
      <c r="C721" s="16">
        <v>116</v>
      </c>
      <c r="D721" s="18" t="s">
        <v>740</v>
      </c>
      <c r="E721" s="17" t="s">
        <v>65</v>
      </c>
      <c r="F721" s="19">
        <v>9.93</v>
      </c>
      <c r="G721" s="32">
        <f>IF(B721="高三",IF($E721="男",LOOKUP(F721,[1]对照表!$G$3:$G$24,[1]对照表!$H$3:$H$24),LOOKUP(F721,[1]对照表!$G$27:$G$48,[1]对照表!$H$27:$H$48)),IF(B721="高二",IF($E721="男",LOOKUP(F721,[1]对照表!$F$3:$F$24,[1]对照表!$H$3:$H$24),LOOKUP(F721,[1]对照表!$F$27:$F$48,[1]对照表!$H$27:$H$48)),IF(B721="高一",IF($E721="男",LOOKUP(F721,[1]对照表!$E$3:$E$24,[1]对照表!$H$3:$H$24),LOOKUP(F721,[1]对照表!$E$27:$E$48,[1]对照表!$H$27:$H$48)))))</f>
        <v>66</v>
      </c>
      <c r="H721" s="21">
        <v>16.100000000000001</v>
      </c>
      <c r="I721" s="32">
        <f>IF(B721="高三",IF($E721="男",LOOKUP(H721,[1]对照表!$K$3:$K$24,[1]对照表!$L$3:$L$24),LOOKUP(H721,[1]对照表!$K$27:$K$48,[1]对照表!$L$27:$L$48)),IF(B721="高二",IF($E721="男",LOOKUP(H721,[1]对照表!$J$3:$J$24,[1]对照表!$L$3:$L$24),LOOKUP(H721,[1]对照表!$J$27:$J$48,[1]对照表!$L$27:$L$48)),IF(B721="高一",IF($E721="男",LOOKUP(H721,[1]对照表!$I$3:$I$24,[1]对照表!$L$3:$L$24),LOOKUP(H721,[1]对照表!$I$27:$I$48,[1]对照表!$L$27:$L$48)))))</f>
        <v>78</v>
      </c>
      <c r="J721" s="21">
        <v>158</v>
      </c>
      <c r="K721" s="32">
        <f>IF(B721="高三",IF($E721="男",LOOKUP(J721,[1]对照表!$O$3:$O$24,[1]对照表!$P$3:$P$24),LOOKUP(J721,[1]对照表!$O$27:$O$48,[1]对照表!$P$27:$P$48)),IF(B721="高二",IF($E721="男",LOOKUP(J721,[1]对照表!$N$3:$N$24,[1]对照表!$P$3:$P$24),LOOKUP(J721,[1]对照表!$N$27:$N$48,[1]对照表!$P$27:$P$48)),IF(B721="高一",IF($E721="男",LOOKUP(J721,[1]对照表!$M$3:$M$24,[1]对照表!$P$3:$P$24),LOOKUP(J721,[1]对照表!$M$27:$M$48,[1]对照表!$P$27:$P$48)))))</f>
        <v>66</v>
      </c>
      <c r="L721" s="21">
        <v>44</v>
      </c>
      <c r="M721" s="32">
        <f>IF(B721="高三",IF($E721="男",LOOKUP(L721,[1]对照表!$S$3:$S$24,[1]对照表!$T$3:$T$24),LOOKUP(L721,[1]对照表!$S$27:$S$48,[1]对照表!$T$27:$T$48)),IF(B721="高二",IF($E721="男",LOOKUP(L721,[1]对照表!$R$3:$R$24,[1]对照表!$T$3:$T$24),LOOKUP(L721,[1]对照表!$R$27:$R$48,[1]对照表!$T$27:$T$48)),IF(B721="高一",IF($E721="男",LOOKUP(L721,[1]对照表!$Q$3:$Q$24,[1]对照表!$T$3:$T$24),LOOKUP(L721,[1]对照表!$Q$27:$Q$48,[1]对照表!$T$27:$T$48)))))</f>
        <v>80</v>
      </c>
      <c r="N721" s="33">
        <f>IF(B721="高三",MAX(IF(E721="男",L721-18,L721-55),0),IF(B721="高二",MAX(IF(E721="男",L721-17,L721-54),0),IF(B721="高一",MAX(IF(E721="男",L721-16,L721-53),0))))</f>
        <v>0</v>
      </c>
      <c r="O721" s="23">
        <f>IF(E721="男",LOOKUP($N721,[1]对照表!$Z$3:$Z$13,[1]对照表!$AA$3:$AA$13),LOOKUP($N721,[1]对照表!$Z$15:$Z$25,[1]对照表!$AA$15:$AA$25))</f>
        <v>0</v>
      </c>
      <c r="P721" s="24">
        <f>M721+O721</f>
        <v>80</v>
      </c>
      <c r="Q721" s="25">
        <v>5</v>
      </c>
      <c r="R721" s="32">
        <f>IF(B721="高三",IF($E721="男",LOOKUP(Q721,[1]对照表!$W$3:$W$24,[1]对照表!$X$3:$X$24),LOOKUP(Q721,[1]对照表!$W$27:$W$48,[1]对照表!$X$27:$X$48)),IF(B721="高二",IF($E721="男",LOOKUP(Q721,[1]对照表!$V$3:$V$24,[1]对照表!$X$3:$X$24),LOOKUP(Q721,[1]对照表!$V$27:$V$48,[1]对照表!$X$27:$X$48)),IF(B721="高一",IF($E721="男",LOOKUP(Q721,[1]对照表!$U$3:$U$24,[1]对照表!$X$3:$X$24),LOOKUP(Q721,[1]对照表!$U$27:$U$48,[1]对照表!$X$27:$X$48)))))</f>
        <v>40</v>
      </c>
      <c r="S721" s="33">
        <f>ROUND(IF(IF($B721="高三",MIN(IF($E721="男",$Q721-3.2,$Q721-3.2),0),IF($B721="高二",MIN(IF($E721="男",$Q721-3.25,$Q721-3.22),0),IF($B721="高一",MIN(IF($E721="男",$Q721-3.3,$Q721-3.24),0))))&lt;-0.6,IF($B721="高三",MIN(IF($E721="男",$Q721-3.2,$Q721-3.2),0),IF($B721="高二",MIN(IF($E721="男",$Q721-3.25,$Q721-3.22),0),IF($B721="高一",MIN(IF($E721="男",$Q721-3.3,$Q721-3.24),0))))+0.4,IF($B721="高三",MIN(IF($E721="男",$Q721-3.2,$Q721-3.2),0),IF($B721="高二",MIN(IF($E721="男",$Q721-3.25,$Q721-3.22),0),IF($B721="高一",MIN(IF($E721="男",$Q721-3.3,$Q721-3.24),0))))),2)</f>
        <v>0</v>
      </c>
      <c r="T721" s="23">
        <f>IF(E721="男",LOOKUP($S721,[1]对照表!$AB$3:$AB$13,[1]对照表!$AC$3:$AC$13),LOOKUP($S721,[1]对照表!$AB$15:$AB$25,[1]对照表!$AC$15:$AC$25))</f>
        <v>0</v>
      </c>
      <c r="U721" s="26">
        <f>R721+T721</f>
        <v>40</v>
      </c>
      <c r="V721" s="26">
        <f>SUM(I721,K721,M721)/3*0.3+SUM(G721,R721)/2*0.4</f>
        <v>43.600000000000009</v>
      </c>
      <c r="W721" s="27">
        <f>O721+T721</f>
        <v>0</v>
      </c>
      <c r="X721" s="28">
        <f>V721/0.7+W721</f>
        <v>62.285714285714299</v>
      </c>
      <c r="Y721" s="28">
        <v>62.285714285714299</v>
      </c>
      <c r="Z721" s="21"/>
    </row>
    <row r="722" spans="1:26" x14ac:dyDescent="0.25">
      <c r="A722" s="16">
        <v>25</v>
      </c>
      <c r="B722" s="17" t="s">
        <v>21</v>
      </c>
      <c r="C722" s="16">
        <v>116</v>
      </c>
      <c r="D722" s="18" t="s">
        <v>741</v>
      </c>
      <c r="E722" s="17" t="s">
        <v>65</v>
      </c>
      <c r="F722" s="19">
        <v>10.23</v>
      </c>
      <c r="G722" s="32">
        <f>IF(B722="高三",IF($E722="男",LOOKUP(F722,[1]对照表!$G$3:$G$24,[1]对照表!$H$3:$H$24),LOOKUP(F722,[1]对照表!$G$27:$G$48,[1]对照表!$H$27:$H$48)),IF(B722="高二",IF($E722="男",LOOKUP(F722,[1]对照表!$F$3:$F$24,[1]对照表!$H$3:$H$24),LOOKUP(F722,[1]对照表!$F$27:$F$48,[1]对照表!$H$27:$H$48)),IF(B722="高一",IF($E722="男",LOOKUP(F722,[1]对照表!$E$3:$E$24,[1]对照表!$H$3:$H$24),LOOKUP(F722,[1]对照表!$E$27:$E$48,[1]对照表!$H$27:$H$48)))))</f>
        <v>62</v>
      </c>
      <c r="H722" s="21">
        <v>14.4</v>
      </c>
      <c r="I722" s="32">
        <f>IF(B722="高三",IF($E722="男",LOOKUP(H722,[1]对照表!$K$3:$K$24,[1]对照表!$L$3:$L$24),LOOKUP(H722,[1]对照表!$K$27:$K$48,[1]对照表!$L$27:$L$48)),IF(B722="高二",IF($E722="男",LOOKUP(H722,[1]对照表!$J$3:$J$24,[1]对照表!$L$3:$L$24),LOOKUP(H722,[1]对照表!$J$27:$J$48,[1]对照表!$L$27:$L$48)),IF(B722="高一",IF($E722="男",LOOKUP(H722,[1]对照表!$I$3:$I$24,[1]对照表!$L$3:$L$24),LOOKUP(H722,[1]对照表!$I$27:$I$48,[1]对照表!$L$27:$L$48)))))</f>
        <v>74</v>
      </c>
      <c r="J722" s="21">
        <v>153</v>
      </c>
      <c r="K722" s="32">
        <f>IF(B722="高三",IF($E722="男",LOOKUP(J722,[1]对照表!$O$3:$O$24,[1]对照表!$P$3:$P$24),LOOKUP(J722,[1]对照表!$O$27:$O$48,[1]对照表!$P$27:$P$48)),IF(B722="高二",IF($E722="男",LOOKUP(J722,[1]对照表!$N$3:$N$24,[1]对照表!$P$3:$P$24),LOOKUP(J722,[1]对照表!$N$27:$N$48,[1]对照表!$P$27:$P$48)),IF(B722="高一",IF($E722="男",LOOKUP(J722,[1]对照表!$M$3:$M$24,[1]对照表!$P$3:$P$24),LOOKUP(J722,[1]对照表!$M$27:$M$48,[1]对照表!$P$27:$P$48)))))</f>
        <v>62</v>
      </c>
      <c r="L722" s="21">
        <v>42</v>
      </c>
      <c r="M722" s="32">
        <f>IF(B722="高三",IF($E722="男",LOOKUP(L722,[1]对照表!$S$3:$S$24,[1]对照表!$T$3:$T$24),LOOKUP(L722,[1]对照表!$S$27:$S$48,[1]对照表!$T$27:$T$48)),IF(B722="高二",IF($E722="男",LOOKUP(L722,[1]对照表!$R$3:$R$24,[1]对照表!$T$3:$T$24),LOOKUP(L722,[1]对照表!$R$27:$R$48,[1]对照表!$T$27:$T$48)),IF(B722="高一",IF($E722="男",LOOKUP(L722,[1]对照表!$Q$3:$Q$24,[1]对照表!$T$3:$T$24),LOOKUP(L722,[1]对照表!$Q$27:$Q$48,[1]对照表!$T$27:$T$48)))))</f>
        <v>78</v>
      </c>
      <c r="N722" s="33">
        <f>IF(B722="高三",MAX(IF(E722="男",L722-18,L722-55),0),IF(B722="高二",MAX(IF(E722="男",L722-17,L722-54),0),IF(B722="高一",MAX(IF(E722="男",L722-16,L722-53),0))))</f>
        <v>0</v>
      </c>
      <c r="O722" s="23">
        <f>IF(E722="男",LOOKUP($N722,[1]对照表!$Z$3:$Z$13,[1]对照表!$AA$3:$AA$13),LOOKUP($N722,[1]对照表!$Z$15:$Z$25,[1]对照表!$AA$15:$AA$25))</f>
        <v>0</v>
      </c>
      <c r="P722" s="24">
        <f>M722+O722</f>
        <v>78</v>
      </c>
      <c r="Q722" s="25">
        <v>5</v>
      </c>
      <c r="R722" s="32">
        <f>IF(B722="高三",IF($E722="男",LOOKUP(Q722,[1]对照表!$W$3:$W$24,[1]对照表!$X$3:$X$24),LOOKUP(Q722,[1]对照表!$W$27:$W$48,[1]对照表!$X$27:$X$48)),IF(B722="高二",IF($E722="男",LOOKUP(Q722,[1]对照表!$V$3:$V$24,[1]对照表!$X$3:$X$24),LOOKUP(Q722,[1]对照表!$V$27:$V$48,[1]对照表!$X$27:$X$48)),IF(B722="高一",IF($E722="男",LOOKUP(Q722,[1]对照表!$U$3:$U$24,[1]对照表!$X$3:$X$24),LOOKUP(Q722,[1]对照表!$U$27:$U$48,[1]对照表!$X$27:$X$48)))))</f>
        <v>40</v>
      </c>
      <c r="S722" s="33">
        <f>ROUND(IF(IF($B722="高三",MIN(IF($E722="男",$Q722-3.2,$Q722-3.2),0),IF($B722="高二",MIN(IF($E722="男",$Q722-3.25,$Q722-3.22),0),IF($B722="高一",MIN(IF($E722="男",$Q722-3.3,$Q722-3.24),0))))&lt;-0.6,IF($B722="高三",MIN(IF($E722="男",$Q722-3.2,$Q722-3.2),0),IF($B722="高二",MIN(IF($E722="男",$Q722-3.25,$Q722-3.22),0),IF($B722="高一",MIN(IF($E722="男",$Q722-3.3,$Q722-3.24),0))))+0.4,IF($B722="高三",MIN(IF($E722="男",$Q722-3.2,$Q722-3.2),0),IF($B722="高二",MIN(IF($E722="男",$Q722-3.25,$Q722-3.22),0),IF($B722="高一",MIN(IF($E722="男",$Q722-3.3,$Q722-3.24),0))))),2)</f>
        <v>0</v>
      </c>
      <c r="T722" s="23">
        <f>IF(E722="男",LOOKUP($S722,[1]对照表!$AB$3:$AB$13,[1]对照表!$AC$3:$AC$13),LOOKUP($S722,[1]对照表!$AB$15:$AB$25,[1]对照表!$AC$15:$AC$25))</f>
        <v>0</v>
      </c>
      <c r="U722" s="26">
        <f>R722+T722</f>
        <v>40</v>
      </c>
      <c r="V722" s="26">
        <f>SUM(I722,K722,M722)/3*0.3+SUM(G722,R722)/2*0.4</f>
        <v>41.8</v>
      </c>
      <c r="W722" s="27">
        <f>O722+T722</f>
        <v>0</v>
      </c>
      <c r="X722" s="28">
        <f>V722/0.7+W722</f>
        <v>59.714285714285715</v>
      </c>
      <c r="Y722" s="28">
        <v>59.714285714285715</v>
      </c>
      <c r="Z722" s="21"/>
    </row>
    <row r="723" spans="1:26" x14ac:dyDescent="0.25">
      <c r="A723" s="16">
        <v>20</v>
      </c>
      <c r="B723" s="17" t="s">
        <v>21</v>
      </c>
      <c r="C723" s="16">
        <v>116</v>
      </c>
      <c r="D723" s="18" t="s">
        <v>749</v>
      </c>
      <c r="E723" s="17" t="s">
        <v>65</v>
      </c>
      <c r="F723" s="19">
        <v>8.8000000000000007</v>
      </c>
      <c r="G723" s="32">
        <f>IF(B723="高三",IF($E723="男",LOOKUP(F723,[1]对照表!$G$3:$G$24,[1]对照表!$H$3:$H$24),LOOKUP(F723,[1]对照表!$G$27:$G$48,[1]对照表!$H$27:$H$48)),IF(B723="高二",IF($E723="男",LOOKUP(F723,[1]对照表!$F$3:$F$24,[1]对照表!$H$3:$H$24),LOOKUP(F723,[1]对照表!$F$27:$F$48,[1]对照表!$H$27:$H$48)),IF(B723="高一",IF($E723="男",LOOKUP(F723,[1]对照表!$E$3:$E$24,[1]对照表!$H$3:$H$24),LOOKUP(F723,[1]对照表!$E$27:$E$48,[1]对照表!$H$27:$H$48)))))</f>
        <v>78</v>
      </c>
      <c r="H723" s="21">
        <v>21.7</v>
      </c>
      <c r="I723" s="32">
        <f>IF(B723="高三",IF($E723="男",LOOKUP(H723,[1]对照表!$K$3:$K$24,[1]对照表!$L$3:$L$24),LOOKUP(H723,[1]对照表!$K$27:$K$48,[1]对照表!$L$27:$L$48)),IF(B723="高二",IF($E723="男",LOOKUP(H723,[1]对照表!$J$3:$J$24,[1]对照表!$L$3:$L$24),LOOKUP(H723,[1]对照表!$J$27:$J$48,[1]对照表!$L$27:$L$48)),IF(B723="高一",IF($E723="男",LOOKUP(H723,[1]对照表!$I$3:$I$24,[1]对照表!$L$3:$L$24),LOOKUP(H723,[1]对照表!$I$27:$I$48,[1]对照表!$L$27:$L$48)))))</f>
        <v>90</v>
      </c>
      <c r="J723" s="21">
        <v>185</v>
      </c>
      <c r="K723" s="32">
        <f>IF(B723="高三",IF($E723="男",LOOKUP(J723,[1]对照表!$O$3:$O$24,[1]对照表!$P$3:$P$24),LOOKUP(J723,[1]对照表!$O$27:$O$48,[1]对照表!$P$27:$P$48)),IF(B723="高二",IF($E723="男",LOOKUP(J723,[1]对照表!$N$3:$N$24,[1]对照表!$P$3:$P$24),LOOKUP(J723,[1]对照表!$N$27:$N$48,[1]对照表!$P$27:$P$48)),IF(B723="高一",IF($E723="男",LOOKUP(J723,[1]对照表!$M$3:$M$24,[1]对照表!$P$3:$P$24),LOOKUP(J723,[1]对照表!$M$27:$M$48,[1]对照表!$P$27:$P$48)))))</f>
        <v>85</v>
      </c>
      <c r="L723" s="21">
        <v>48</v>
      </c>
      <c r="M723" s="32">
        <f>IF(B723="高三",IF($E723="男",LOOKUP(L723,[1]对照表!$S$3:$S$24,[1]对照表!$T$3:$T$24),LOOKUP(L723,[1]对照表!$S$27:$S$48,[1]对照表!$T$27:$T$48)),IF(B723="高二",IF($E723="男",LOOKUP(L723,[1]对照表!$R$3:$R$24,[1]对照表!$T$3:$T$24),LOOKUP(L723,[1]对照表!$R$27:$R$48,[1]对照表!$T$27:$T$48)),IF(B723="高一",IF($E723="男",LOOKUP(L723,[1]对照表!$Q$3:$Q$24,[1]对照表!$T$3:$T$24),LOOKUP(L723,[1]对照表!$Q$27:$Q$48,[1]对照表!$T$27:$T$48)))))</f>
        <v>85</v>
      </c>
      <c r="N723" s="33">
        <f>IF(B723="高三",MAX(IF(E723="男",L723-18,L723-55),0),IF(B723="高二",MAX(IF(E723="男",L723-17,L723-54),0),IF(B723="高一",MAX(IF(E723="男",L723-16,L723-53),0))))</f>
        <v>0</v>
      </c>
      <c r="O723" s="23">
        <f>IF(E723="男",LOOKUP($N723,[1]对照表!$Z$3:$Z$13,[1]对照表!$AA$3:$AA$13),LOOKUP($N723,[1]对照表!$Z$15:$Z$25,[1]对照表!$AA$15:$AA$25))</f>
        <v>0</v>
      </c>
      <c r="P723" s="24">
        <f>M723+O723</f>
        <v>85</v>
      </c>
      <c r="Q723" s="25" t="s">
        <v>578</v>
      </c>
      <c r="R723" s="20">
        <v>0</v>
      </c>
      <c r="S723" s="22">
        <v>0</v>
      </c>
      <c r="T723" s="23">
        <f>IF(E723="男",LOOKUP($S723,[1]对照表!$AB$3:$AB$13,[1]对照表!$AC$3:$AC$13),LOOKUP($S723,[1]对照表!$AB$15:$AB$25,[1]对照表!$AC$15:$AC$25))</f>
        <v>0</v>
      </c>
      <c r="U723" s="26">
        <f>R723+T723</f>
        <v>0</v>
      </c>
      <c r="V723" s="26">
        <f>SUM(I723,K723,M723)/3*0.3+SUM(G723,R723)/2*0.4</f>
        <v>41.6</v>
      </c>
      <c r="W723" s="27">
        <f>O723+T723</f>
        <v>0</v>
      </c>
      <c r="X723" s="28">
        <f>V723/0.7+W723</f>
        <v>59.428571428571438</v>
      </c>
      <c r="Y723" s="28">
        <v>59.428571428571438</v>
      </c>
      <c r="Z723" s="21"/>
    </row>
    <row r="724" spans="1:26" x14ac:dyDescent="0.25">
      <c r="A724" s="16">
        <v>38</v>
      </c>
      <c r="B724" s="17" t="s">
        <v>21</v>
      </c>
      <c r="C724" s="16">
        <v>116</v>
      </c>
      <c r="D724" s="18" t="s">
        <v>754</v>
      </c>
      <c r="E724" s="16" t="s">
        <v>65</v>
      </c>
      <c r="F724" s="19"/>
      <c r="G724" s="20">
        <v>0</v>
      </c>
      <c r="H724" s="21">
        <v>25.5</v>
      </c>
      <c r="I724" s="32">
        <f>IF(B724="高三",IF($E724="男",LOOKUP(H724,[1]对照表!$K$3:$K$24,[1]对照表!$L$3:$L$24),LOOKUP(H724,[1]对照表!$K$27:$K$48,[1]对照表!$L$27:$L$48)),IF(B724="高二",IF($E724="男",LOOKUP(H724,[1]对照表!$J$3:$J$24,[1]对照表!$L$3:$L$24),LOOKUP(H724,[1]对照表!$J$27:$J$48,[1]对照表!$L$27:$L$48)),IF(B724="高一",IF($E724="男",LOOKUP(H724,[1]对照表!$I$3:$I$24,[1]对照表!$L$3:$L$24),LOOKUP(H724,[1]对照表!$I$27:$I$48,[1]对照表!$L$27:$L$48)))))</f>
        <v>100</v>
      </c>
      <c r="J724" s="21" t="s">
        <v>578</v>
      </c>
      <c r="K724" s="32" t="str">
        <f>IF(B724="高三",IF($E724="男",LOOKUP(J724,[1]对照表!$O$3:$O$24,[1]对照表!$P$3:$P$24),LOOKUP(J724,[1]对照表!$O$27:$O$48,[1]对照表!$P$27:$P$48)),IF(B724="高二",IF($E724="男",LOOKUP(J724,[1]对照表!$N$3:$N$24,[1]对照表!$P$3:$P$24),LOOKUP(J724,[1]对照表!$N$27:$N$48,[1]对照表!$P$27:$P$48)),IF(B724="高一",IF($E724="男",LOOKUP(J724,[1]对照表!$M$3:$M$24,[1]对照表!$P$3:$P$24),LOOKUP(J724,[1]对照表!$M$27:$M$48,[1]对照表!$P$27:$P$48)))))</f>
        <v>/</v>
      </c>
      <c r="L724" s="21">
        <v>55</v>
      </c>
      <c r="M724" s="32">
        <f>IF(B724="高三",IF($E724="男",LOOKUP(L724,[1]对照表!$S$3:$S$24,[1]对照表!$T$3:$T$24),LOOKUP(L724,[1]对照表!$S$27:$S$48,[1]对照表!$T$27:$T$48)),IF(B724="高二",IF($E724="男",LOOKUP(L724,[1]对照表!$R$3:$R$24,[1]对照表!$T$3:$T$24),LOOKUP(L724,[1]对照表!$R$27:$R$48,[1]对照表!$T$27:$T$48)),IF(B724="高一",IF($E724="男",LOOKUP(L724,[1]对照表!$Q$3:$Q$24,[1]对照表!$T$3:$T$24),LOOKUP(L724,[1]对照表!$Q$27:$Q$48,[1]对照表!$T$27:$T$48)))))</f>
        <v>100</v>
      </c>
      <c r="N724" s="33">
        <f>IF(B724="高三",MAX(IF(E724="男",L724-18,L724-55),0),IF(B724="高二",MAX(IF(E724="男",L724-17,L724-54),0),IF(B724="高一",MAX(IF(E724="男",L724-16,L724-53),0))))</f>
        <v>2</v>
      </c>
      <c r="O724" s="23">
        <f>IF(E724="男",LOOKUP($N724,[1]对照表!$Z$3:$Z$13,[1]对照表!$AA$3:$AA$13),LOOKUP($N724,[1]对照表!$Z$15:$Z$25,[1]对照表!$AA$15:$AA$25))</f>
        <v>1</v>
      </c>
      <c r="P724" s="24">
        <f>M724+O724</f>
        <v>101</v>
      </c>
      <c r="Q724" s="25"/>
      <c r="R724" s="20">
        <v>0</v>
      </c>
      <c r="S724" s="22">
        <v>0</v>
      </c>
      <c r="T724" s="23">
        <f>IF(E724="男",LOOKUP($S724,[1]对照表!$AB$3:$AB$13,[1]对照表!$AC$3:$AC$13),LOOKUP($S724,[1]对照表!$AB$15:$AB$25,[1]对照表!$AC$15:$AC$25))</f>
        <v>0</v>
      </c>
      <c r="U724" s="26">
        <f>R724+T724</f>
        <v>0</v>
      </c>
      <c r="V724" s="26">
        <f>SUM(I724,K724,M724)/3*0.3+SUM(G724,R724)/2*0.4</f>
        <v>20</v>
      </c>
      <c r="W724" s="27">
        <f>O724+T724</f>
        <v>1</v>
      </c>
      <c r="X724" s="28">
        <f>V724/0.7+W724</f>
        <v>29.571428571428573</v>
      </c>
      <c r="Y724" s="29">
        <v>50</v>
      </c>
      <c r="Z724" s="21"/>
    </row>
    <row r="725" spans="1:26" x14ac:dyDescent="0.25">
      <c r="A725" s="16">
        <v>18</v>
      </c>
      <c r="B725" s="17" t="s">
        <v>21</v>
      </c>
      <c r="C725" s="16">
        <v>116</v>
      </c>
      <c r="D725" s="18" t="s">
        <v>760</v>
      </c>
      <c r="E725" s="17" t="s">
        <v>65</v>
      </c>
      <c r="F725" s="19"/>
      <c r="G725" s="20">
        <v>0</v>
      </c>
      <c r="H725" s="21">
        <v>19.899999999999999</v>
      </c>
      <c r="I725" s="32">
        <f>IF(B725="高三",IF($E725="男",LOOKUP(H725,[1]对照表!$K$3:$K$24,[1]对照表!$L$3:$L$24),LOOKUP(H725,[1]对照表!$K$27:$K$48,[1]对照表!$L$27:$L$48)),IF(B725="高二",IF($E725="男",LOOKUP(H725,[1]对照表!$J$3:$J$24,[1]对照表!$L$3:$L$24),LOOKUP(H725,[1]对照表!$J$27:$J$48,[1]对照表!$L$27:$L$48)),IF(B725="高一",IF($E725="男",LOOKUP(H725,[1]对照表!$I$3:$I$24,[1]对照表!$L$3:$L$24),LOOKUP(H725,[1]对照表!$I$27:$I$48,[1]对照表!$L$27:$L$48)))))</f>
        <v>85</v>
      </c>
      <c r="J725" s="21"/>
      <c r="K725" s="20">
        <v>0</v>
      </c>
      <c r="L725" s="21"/>
      <c r="M725" s="20">
        <v>0</v>
      </c>
      <c r="N725" s="33">
        <f>IF(B725="高三",MAX(IF(E725="男",L725-18,L725-55),0),IF(B725="高二",MAX(IF(E725="男",L725-17,L725-54),0),IF(B725="高一",MAX(IF(E725="男",L725-16,L725-53),0))))</f>
        <v>0</v>
      </c>
      <c r="O725" s="23">
        <f>IF(E725="男",LOOKUP($N725,[1]对照表!$Z$3:$Z$13,[1]对照表!$AA$3:$AA$13),LOOKUP($N725,[1]对照表!$Z$15:$Z$25,[1]对照表!$AA$15:$AA$25))</f>
        <v>0</v>
      </c>
      <c r="P725" s="24">
        <f>M725+O725</f>
        <v>0</v>
      </c>
      <c r="Q725" s="25"/>
      <c r="R725" s="20">
        <v>0</v>
      </c>
      <c r="S725" s="22">
        <v>0</v>
      </c>
      <c r="T725" s="23">
        <f>IF(E725="男",LOOKUP($S725,[1]对照表!$AB$3:$AB$13,[1]对照表!$AC$3:$AC$13),LOOKUP($S725,[1]对照表!$AB$15:$AB$25,[1]对照表!$AC$15:$AC$25))</f>
        <v>0</v>
      </c>
      <c r="U725" s="26">
        <f>R725+T725</f>
        <v>0</v>
      </c>
      <c r="V725" s="26">
        <f>SUM(I725,K725,M725)/3*0.3+SUM(G725,R725)/2*0.4</f>
        <v>8.5</v>
      </c>
      <c r="W725" s="27">
        <f>O725+T725</f>
        <v>0</v>
      </c>
      <c r="X725" s="28">
        <f>V725/0.7+W725</f>
        <v>12.142857142857144</v>
      </c>
      <c r="Y725" s="29">
        <v>50</v>
      </c>
      <c r="Z725" s="21" t="s">
        <v>578</v>
      </c>
    </row>
    <row r="726" spans="1:26" x14ac:dyDescent="0.25">
      <c r="A726" s="16">
        <v>16</v>
      </c>
      <c r="B726" s="17" t="s">
        <v>21</v>
      </c>
      <c r="C726" s="16">
        <v>116</v>
      </c>
      <c r="D726" s="18" t="s">
        <v>765</v>
      </c>
      <c r="E726" s="17" t="s">
        <v>65</v>
      </c>
      <c r="F726" s="19"/>
      <c r="G726" s="20">
        <v>0</v>
      </c>
      <c r="H726" s="21"/>
      <c r="I726" s="20">
        <v>0</v>
      </c>
      <c r="J726" s="21"/>
      <c r="K726" s="20">
        <v>0</v>
      </c>
      <c r="L726" s="21"/>
      <c r="M726" s="20">
        <v>0</v>
      </c>
      <c r="N726" s="22">
        <v>0</v>
      </c>
      <c r="O726" s="23">
        <f>IF(E726="男",LOOKUP($N726,[1]对照表!$Z$3:$Z$13,[1]对照表!$AA$3:$AA$13),LOOKUP($N726,[1]对照表!$Z$15:$Z$25,[1]对照表!$AA$15:$AA$25))</f>
        <v>0</v>
      </c>
      <c r="P726" s="24">
        <f>M726+O726</f>
        <v>0</v>
      </c>
      <c r="Q726" s="25"/>
      <c r="R726" s="20">
        <v>0</v>
      </c>
      <c r="S726" s="22">
        <v>0</v>
      </c>
      <c r="T726" s="23">
        <f>IF(E726="男",LOOKUP($S726,[1]对照表!$AB$3:$AB$13,[1]对照表!$AC$3:$AC$13),LOOKUP($S726,[1]对照表!$AB$15:$AB$25,[1]对照表!$AC$15:$AC$25))</f>
        <v>0</v>
      </c>
      <c r="U726" s="26">
        <f>R726+T726</f>
        <v>0</v>
      </c>
      <c r="V726" s="26">
        <f>SUM(I726,K726,M726)/3*0.3+SUM(G726,R726)/2*0.4</f>
        <v>0</v>
      </c>
      <c r="W726" s="27">
        <f>O726+T726</f>
        <v>0</v>
      </c>
      <c r="X726" s="28">
        <f>V726/0.7+W726</f>
        <v>0</v>
      </c>
      <c r="Y726" s="29">
        <v>50</v>
      </c>
      <c r="Z726" s="21" t="s">
        <v>578</v>
      </c>
    </row>
    <row r="727" spans="1:26" x14ac:dyDescent="0.25">
      <c r="A727" s="16">
        <v>34</v>
      </c>
      <c r="B727" s="17" t="s">
        <v>21</v>
      </c>
      <c r="C727" s="16">
        <v>116</v>
      </c>
      <c r="D727" s="18" t="s">
        <v>766</v>
      </c>
      <c r="E727" s="16" t="s">
        <v>65</v>
      </c>
      <c r="F727" s="19"/>
      <c r="G727" s="20">
        <v>0</v>
      </c>
      <c r="H727" s="21"/>
      <c r="I727" s="20">
        <v>0</v>
      </c>
      <c r="J727" s="21"/>
      <c r="K727" s="20">
        <v>0</v>
      </c>
      <c r="L727" s="21"/>
      <c r="M727" s="20">
        <v>0</v>
      </c>
      <c r="N727" s="22">
        <v>0</v>
      </c>
      <c r="O727" s="23">
        <f>IF(E727="男",LOOKUP($N727,[1]对照表!$Z$3:$Z$13,[1]对照表!$AA$3:$AA$13),LOOKUP($N727,[1]对照表!$Z$15:$Z$25,[1]对照表!$AA$15:$AA$25))</f>
        <v>0</v>
      </c>
      <c r="P727" s="24">
        <f>M727+O727</f>
        <v>0</v>
      </c>
      <c r="Q727" s="25"/>
      <c r="R727" s="20">
        <v>0</v>
      </c>
      <c r="S727" s="22">
        <v>0</v>
      </c>
      <c r="T727" s="23">
        <f>IF(E727="男",LOOKUP($S727,[1]对照表!$AB$3:$AB$13,[1]对照表!$AC$3:$AC$13),LOOKUP($S727,[1]对照表!$AB$15:$AB$25,[1]对照表!$AC$15:$AC$25))</f>
        <v>0</v>
      </c>
      <c r="U727" s="26">
        <f>R727+T727</f>
        <v>0</v>
      </c>
      <c r="V727" s="26">
        <f>SUM(I727,K727,M727)/3*0.3+SUM(G727,R727)/2*0.4</f>
        <v>0</v>
      </c>
      <c r="W727" s="27">
        <f>O727+T727</f>
        <v>0</v>
      </c>
      <c r="X727" s="28">
        <f>V727/0.7+W727</f>
        <v>0</v>
      </c>
      <c r="Y727" s="29">
        <v>50</v>
      </c>
      <c r="Z727" s="21"/>
    </row>
  </sheetData>
  <autoFilter ref="A1:Z1" xr:uid="{C97F8952-2FE9-4B2A-94DD-BBF7E95803D6}">
    <sortState ref="A2:Z727">
      <sortCondition ref="C1"/>
    </sortState>
  </autoFilter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853-DDB4-47C5-B281-737D452BBE44}">
  <dimension ref="A1:Z737"/>
  <sheetViews>
    <sheetView topLeftCell="A10" workbookViewId="0">
      <selection activeCell="Y2" sqref="Y2"/>
    </sheetView>
  </sheetViews>
  <sheetFormatPr defaultColWidth="10" defaultRowHeight="13.8" x14ac:dyDescent="0.25"/>
  <cols>
    <col min="1" max="3" width="6.21875" style="45" customWidth="1"/>
    <col min="4" max="4" width="10.44140625" style="45" customWidth="1"/>
    <col min="5" max="5" width="6.21875" style="45" customWidth="1"/>
    <col min="6" max="6" width="7.109375" style="45" customWidth="1"/>
    <col min="7" max="7" width="5.44140625" style="45" customWidth="1"/>
    <col min="8" max="8" width="8.5546875" style="45" customWidth="1"/>
    <col min="9" max="9" width="5.44140625" style="45" customWidth="1"/>
    <col min="10" max="10" width="6.21875" style="45" customWidth="1"/>
    <col min="11" max="11" width="5.44140625" style="45" customWidth="1"/>
    <col min="12" max="12" width="7.44140625" style="45" customWidth="1"/>
    <col min="13" max="13" width="5.44140625" style="45" customWidth="1"/>
    <col min="14" max="14" width="8.5546875" style="45" customWidth="1"/>
    <col min="15" max="15" width="7.44140625" style="45" customWidth="1"/>
    <col min="16" max="17" width="8.5546875" style="45" customWidth="1"/>
    <col min="18" max="18" width="5.44140625" style="45" customWidth="1"/>
    <col min="19" max="19" width="8.5546875" style="45" customWidth="1"/>
    <col min="20" max="20" width="7.44140625" style="45" customWidth="1"/>
    <col min="21" max="22" width="7.77734375" style="45" customWidth="1"/>
    <col min="23" max="23" width="8.5546875" style="45" customWidth="1"/>
    <col min="24" max="24" width="11" style="45" customWidth="1"/>
    <col min="25" max="25" width="11.21875" style="45" customWidth="1"/>
    <col min="26" max="26" width="6.21875" style="45" customWidth="1"/>
    <col min="27" max="256" width="10" style="45"/>
    <col min="257" max="259" width="6.21875" style="45" customWidth="1"/>
    <col min="260" max="260" width="10.44140625" style="45" customWidth="1"/>
    <col min="261" max="261" width="6.21875" style="45" customWidth="1"/>
    <col min="262" max="262" width="7.109375" style="45" customWidth="1"/>
    <col min="263" max="263" width="5.44140625" style="45" customWidth="1"/>
    <col min="264" max="264" width="8.5546875" style="45" customWidth="1"/>
    <col min="265" max="265" width="5.44140625" style="45" customWidth="1"/>
    <col min="266" max="266" width="6.21875" style="45" customWidth="1"/>
    <col min="267" max="267" width="5.44140625" style="45" customWidth="1"/>
    <col min="268" max="268" width="7.44140625" style="45" customWidth="1"/>
    <col min="269" max="269" width="5.44140625" style="45" customWidth="1"/>
    <col min="270" max="270" width="8.5546875" style="45" customWidth="1"/>
    <col min="271" max="271" width="7.44140625" style="45" customWidth="1"/>
    <col min="272" max="273" width="8.5546875" style="45" customWidth="1"/>
    <col min="274" max="274" width="5.44140625" style="45" customWidth="1"/>
    <col min="275" max="275" width="8.5546875" style="45" customWidth="1"/>
    <col min="276" max="276" width="7.44140625" style="45" customWidth="1"/>
    <col min="277" max="278" width="7.77734375" style="45" customWidth="1"/>
    <col min="279" max="279" width="8.5546875" style="45" customWidth="1"/>
    <col min="280" max="280" width="11" style="45" customWidth="1"/>
    <col min="281" max="281" width="11.21875" style="45" customWidth="1"/>
    <col min="282" max="282" width="6.21875" style="45" customWidth="1"/>
    <col min="283" max="512" width="10" style="45"/>
    <col min="513" max="515" width="6.21875" style="45" customWidth="1"/>
    <col min="516" max="516" width="10.44140625" style="45" customWidth="1"/>
    <col min="517" max="517" width="6.21875" style="45" customWidth="1"/>
    <col min="518" max="518" width="7.109375" style="45" customWidth="1"/>
    <col min="519" max="519" width="5.44140625" style="45" customWidth="1"/>
    <col min="520" max="520" width="8.5546875" style="45" customWidth="1"/>
    <col min="521" max="521" width="5.44140625" style="45" customWidth="1"/>
    <col min="522" max="522" width="6.21875" style="45" customWidth="1"/>
    <col min="523" max="523" width="5.44140625" style="45" customWidth="1"/>
    <col min="524" max="524" width="7.44140625" style="45" customWidth="1"/>
    <col min="525" max="525" width="5.44140625" style="45" customWidth="1"/>
    <col min="526" max="526" width="8.5546875" style="45" customWidth="1"/>
    <col min="527" max="527" width="7.44140625" style="45" customWidth="1"/>
    <col min="528" max="529" width="8.5546875" style="45" customWidth="1"/>
    <col min="530" max="530" width="5.44140625" style="45" customWidth="1"/>
    <col min="531" max="531" width="8.5546875" style="45" customWidth="1"/>
    <col min="532" max="532" width="7.44140625" style="45" customWidth="1"/>
    <col min="533" max="534" width="7.77734375" style="45" customWidth="1"/>
    <col min="535" max="535" width="8.5546875" style="45" customWidth="1"/>
    <col min="536" max="536" width="11" style="45" customWidth="1"/>
    <col min="537" max="537" width="11.21875" style="45" customWidth="1"/>
    <col min="538" max="538" width="6.21875" style="45" customWidth="1"/>
    <col min="539" max="768" width="10" style="45"/>
    <col min="769" max="771" width="6.21875" style="45" customWidth="1"/>
    <col min="772" max="772" width="10.44140625" style="45" customWidth="1"/>
    <col min="773" max="773" width="6.21875" style="45" customWidth="1"/>
    <col min="774" max="774" width="7.109375" style="45" customWidth="1"/>
    <col min="775" max="775" width="5.44140625" style="45" customWidth="1"/>
    <col min="776" max="776" width="8.5546875" style="45" customWidth="1"/>
    <col min="777" max="777" width="5.44140625" style="45" customWidth="1"/>
    <col min="778" max="778" width="6.21875" style="45" customWidth="1"/>
    <col min="779" max="779" width="5.44140625" style="45" customWidth="1"/>
    <col min="780" max="780" width="7.44140625" style="45" customWidth="1"/>
    <col min="781" max="781" width="5.44140625" style="45" customWidth="1"/>
    <col min="782" max="782" width="8.5546875" style="45" customWidth="1"/>
    <col min="783" max="783" width="7.44140625" style="45" customWidth="1"/>
    <col min="784" max="785" width="8.5546875" style="45" customWidth="1"/>
    <col min="786" max="786" width="5.44140625" style="45" customWidth="1"/>
    <col min="787" max="787" width="8.5546875" style="45" customWidth="1"/>
    <col min="788" max="788" width="7.44140625" style="45" customWidth="1"/>
    <col min="789" max="790" width="7.77734375" style="45" customWidth="1"/>
    <col min="791" max="791" width="8.5546875" style="45" customWidth="1"/>
    <col min="792" max="792" width="11" style="45" customWidth="1"/>
    <col min="793" max="793" width="11.21875" style="45" customWidth="1"/>
    <col min="794" max="794" width="6.21875" style="45" customWidth="1"/>
    <col min="795" max="1024" width="10" style="45"/>
    <col min="1025" max="1027" width="6.21875" style="45" customWidth="1"/>
    <col min="1028" max="1028" width="10.44140625" style="45" customWidth="1"/>
    <col min="1029" max="1029" width="6.21875" style="45" customWidth="1"/>
    <col min="1030" max="1030" width="7.109375" style="45" customWidth="1"/>
    <col min="1031" max="1031" width="5.44140625" style="45" customWidth="1"/>
    <col min="1032" max="1032" width="8.5546875" style="45" customWidth="1"/>
    <col min="1033" max="1033" width="5.44140625" style="45" customWidth="1"/>
    <col min="1034" max="1034" width="6.21875" style="45" customWidth="1"/>
    <col min="1035" max="1035" width="5.44140625" style="45" customWidth="1"/>
    <col min="1036" max="1036" width="7.44140625" style="45" customWidth="1"/>
    <col min="1037" max="1037" width="5.44140625" style="45" customWidth="1"/>
    <col min="1038" max="1038" width="8.5546875" style="45" customWidth="1"/>
    <col min="1039" max="1039" width="7.44140625" style="45" customWidth="1"/>
    <col min="1040" max="1041" width="8.5546875" style="45" customWidth="1"/>
    <col min="1042" max="1042" width="5.44140625" style="45" customWidth="1"/>
    <col min="1043" max="1043" width="8.5546875" style="45" customWidth="1"/>
    <col min="1044" max="1044" width="7.44140625" style="45" customWidth="1"/>
    <col min="1045" max="1046" width="7.77734375" style="45" customWidth="1"/>
    <col min="1047" max="1047" width="8.5546875" style="45" customWidth="1"/>
    <col min="1048" max="1048" width="11" style="45" customWidth="1"/>
    <col min="1049" max="1049" width="11.21875" style="45" customWidth="1"/>
    <col min="1050" max="1050" width="6.21875" style="45" customWidth="1"/>
    <col min="1051" max="1280" width="10" style="45"/>
    <col min="1281" max="1283" width="6.21875" style="45" customWidth="1"/>
    <col min="1284" max="1284" width="10.44140625" style="45" customWidth="1"/>
    <col min="1285" max="1285" width="6.21875" style="45" customWidth="1"/>
    <col min="1286" max="1286" width="7.109375" style="45" customWidth="1"/>
    <col min="1287" max="1287" width="5.44140625" style="45" customWidth="1"/>
    <col min="1288" max="1288" width="8.5546875" style="45" customWidth="1"/>
    <col min="1289" max="1289" width="5.44140625" style="45" customWidth="1"/>
    <col min="1290" max="1290" width="6.21875" style="45" customWidth="1"/>
    <col min="1291" max="1291" width="5.44140625" style="45" customWidth="1"/>
    <col min="1292" max="1292" width="7.44140625" style="45" customWidth="1"/>
    <col min="1293" max="1293" width="5.44140625" style="45" customWidth="1"/>
    <col min="1294" max="1294" width="8.5546875" style="45" customWidth="1"/>
    <col min="1295" max="1295" width="7.44140625" style="45" customWidth="1"/>
    <col min="1296" max="1297" width="8.5546875" style="45" customWidth="1"/>
    <col min="1298" max="1298" width="5.44140625" style="45" customWidth="1"/>
    <col min="1299" max="1299" width="8.5546875" style="45" customWidth="1"/>
    <col min="1300" max="1300" width="7.44140625" style="45" customWidth="1"/>
    <col min="1301" max="1302" width="7.77734375" style="45" customWidth="1"/>
    <col min="1303" max="1303" width="8.5546875" style="45" customWidth="1"/>
    <col min="1304" max="1304" width="11" style="45" customWidth="1"/>
    <col min="1305" max="1305" width="11.21875" style="45" customWidth="1"/>
    <col min="1306" max="1306" width="6.21875" style="45" customWidth="1"/>
    <col min="1307" max="1536" width="10" style="45"/>
    <col min="1537" max="1539" width="6.21875" style="45" customWidth="1"/>
    <col min="1540" max="1540" width="10.44140625" style="45" customWidth="1"/>
    <col min="1541" max="1541" width="6.21875" style="45" customWidth="1"/>
    <col min="1542" max="1542" width="7.109375" style="45" customWidth="1"/>
    <col min="1543" max="1543" width="5.44140625" style="45" customWidth="1"/>
    <col min="1544" max="1544" width="8.5546875" style="45" customWidth="1"/>
    <col min="1545" max="1545" width="5.44140625" style="45" customWidth="1"/>
    <col min="1546" max="1546" width="6.21875" style="45" customWidth="1"/>
    <col min="1547" max="1547" width="5.44140625" style="45" customWidth="1"/>
    <col min="1548" max="1548" width="7.44140625" style="45" customWidth="1"/>
    <col min="1549" max="1549" width="5.44140625" style="45" customWidth="1"/>
    <col min="1550" max="1550" width="8.5546875" style="45" customWidth="1"/>
    <col min="1551" max="1551" width="7.44140625" style="45" customWidth="1"/>
    <col min="1552" max="1553" width="8.5546875" style="45" customWidth="1"/>
    <col min="1554" max="1554" width="5.44140625" style="45" customWidth="1"/>
    <col min="1555" max="1555" width="8.5546875" style="45" customWidth="1"/>
    <col min="1556" max="1556" width="7.44140625" style="45" customWidth="1"/>
    <col min="1557" max="1558" width="7.77734375" style="45" customWidth="1"/>
    <col min="1559" max="1559" width="8.5546875" style="45" customWidth="1"/>
    <col min="1560" max="1560" width="11" style="45" customWidth="1"/>
    <col min="1561" max="1561" width="11.21875" style="45" customWidth="1"/>
    <col min="1562" max="1562" width="6.21875" style="45" customWidth="1"/>
    <col min="1563" max="1792" width="10" style="45"/>
    <col min="1793" max="1795" width="6.21875" style="45" customWidth="1"/>
    <col min="1796" max="1796" width="10.44140625" style="45" customWidth="1"/>
    <col min="1797" max="1797" width="6.21875" style="45" customWidth="1"/>
    <col min="1798" max="1798" width="7.109375" style="45" customWidth="1"/>
    <col min="1799" max="1799" width="5.44140625" style="45" customWidth="1"/>
    <col min="1800" max="1800" width="8.5546875" style="45" customWidth="1"/>
    <col min="1801" max="1801" width="5.44140625" style="45" customWidth="1"/>
    <col min="1802" max="1802" width="6.21875" style="45" customWidth="1"/>
    <col min="1803" max="1803" width="5.44140625" style="45" customWidth="1"/>
    <col min="1804" max="1804" width="7.44140625" style="45" customWidth="1"/>
    <col min="1805" max="1805" width="5.44140625" style="45" customWidth="1"/>
    <col min="1806" max="1806" width="8.5546875" style="45" customWidth="1"/>
    <col min="1807" max="1807" width="7.44140625" style="45" customWidth="1"/>
    <col min="1808" max="1809" width="8.5546875" style="45" customWidth="1"/>
    <col min="1810" max="1810" width="5.44140625" style="45" customWidth="1"/>
    <col min="1811" max="1811" width="8.5546875" style="45" customWidth="1"/>
    <col min="1812" max="1812" width="7.44140625" style="45" customWidth="1"/>
    <col min="1813" max="1814" width="7.77734375" style="45" customWidth="1"/>
    <col min="1815" max="1815" width="8.5546875" style="45" customWidth="1"/>
    <col min="1816" max="1816" width="11" style="45" customWidth="1"/>
    <col min="1817" max="1817" width="11.21875" style="45" customWidth="1"/>
    <col min="1818" max="1818" width="6.21875" style="45" customWidth="1"/>
    <col min="1819" max="2048" width="10" style="45"/>
    <col min="2049" max="2051" width="6.21875" style="45" customWidth="1"/>
    <col min="2052" max="2052" width="10.44140625" style="45" customWidth="1"/>
    <col min="2053" max="2053" width="6.21875" style="45" customWidth="1"/>
    <col min="2054" max="2054" width="7.109375" style="45" customWidth="1"/>
    <col min="2055" max="2055" width="5.44140625" style="45" customWidth="1"/>
    <col min="2056" max="2056" width="8.5546875" style="45" customWidth="1"/>
    <col min="2057" max="2057" width="5.44140625" style="45" customWidth="1"/>
    <col min="2058" max="2058" width="6.21875" style="45" customWidth="1"/>
    <col min="2059" max="2059" width="5.44140625" style="45" customWidth="1"/>
    <col min="2060" max="2060" width="7.44140625" style="45" customWidth="1"/>
    <col min="2061" max="2061" width="5.44140625" style="45" customWidth="1"/>
    <col min="2062" max="2062" width="8.5546875" style="45" customWidth="1"/>
    <col min="2063" max="2063" width="7.44140625" style="45" customWidth="1"/>
    <col min="2064" max="2065" width="8.5546875" style="45" customWidth="1"/>
    <col min="2066" max="2066" width="5.44140625" style="45" customWidth="1"/>
    <col min="2067" max="2067" width="8.5546875" style="45" customWidth="1"/>
    <col min="2068" max="2068" width="7.44140625" style="45" customWidth="1"/>
    <col min="2069" max="2070" width="7.77734375" style="45" customWidth="1"/>
    <col min="2071" max="2071" width="8.5546875" style="45" customWidth="1"/>
    <col min="2072" max="2072" width="11" style="45" customWidth="1"/>
    <col min="2073" max="2073" width="11.21875" style="45" customWidth="1"/>
    <col min="2074" max="2074" width="6.21875" style="45" customWidth="1"/>
    <col min="2075" max="2304" width="10" style="45"/>
    <col min="2305" max="2307" width="6.21875" style="45" customWidth="1"/>
    <col min="2308" max="2308" width="10.44140625" style="45" customWidth="1"/>
    <col min="2309" max="2309" width="6.21875" style="45" customWidth="1"/>
    <col min="2310" max="2310" width="7.109375" style="45" customWidth="1"/>
    <col min="2311" max="2311" width="5.44140625" style="45" customWidth="1"/>
    <col min="2312" max="2312" width="8.5546875" style="45" customWidth="1"/>
    <col min="2313" max="2313" width="5.44140625" style="45" customWidth="1"/>
    <col min="2314" max="2314" width="6.21875" style="45" customWidth="1"/>
    <col min="2315" max="2315" width="5.44140625" style="45" customWidth="1"/>
    <col min="2316" max="2316" width="7.44140625" style="45" customWidth="1"/>
    <col min="2317" max="2317" width="5.44140625" style="45" customWidth="1"/>
    <col min="2318" max="2318" width="8.5546875" style="45" customWidth="1"/>
    <col min="2319" max="2319" width="7.44140625" style="45" customWidth="1"/>
    <col min="2320" max="2321" width="8.5546875" style="45" customWidth="1"/>
    <col min="2322" max="2322" width="5.44140625" style="45" customWidth="1"/>
    <col min="2323" max="2323" width="8.5546875" style="45" customWidth="1"/>
    <col min="2324" max="2324" width="7.44140625" style="45" customWidth="1"/>
    <col min="2325" max="2326" width="7.77734375" style="45" customWidth="1"/>
    <col min="2327" max="2327" width="8.5546875" style="45" customWidth="1"/>
    <col min="2328" max="2328" width="11" style="45" customWidth="1"/>
    <col min="2329" max="2329" width="11.21875" style="45" customWidth="1"/>
    <col min="2330" max="2330" width="6.21875" style="45" customWidth="1"/>
    <col min="2331" max="2560" width="10" style="45"/>
    <col min="2561" max="2563" width="6.21875" style="45" customWidth="1"/>
    <col min="2564" max="2564" width="10.44140625" style="45" customWidth="1"/>
    <col min="2565" max="2565" width="6.21875" style="45" customWidth="1"/>
    <col min="2566" max="2566" width="7.109375" style="45" customWidth="1"/>
    <col min="2567" max="2567" width="5.44140625" style="45" customWidth="1"/>
    <col min="2568" max="2568" width="8.5546875" style="45" customWidth="1"/>
    <col min="2569" max="2569" width="5.44140625" style="45" customWidth="1"/>
    <col min="2570" max="2570" width="6.21875" style="45" customWidth="1"/>
    <col min="2571" max="2571" width="5.44140625" style="45" customWidth="1"/>
    <col min="2572" max="2572" width="7.44140625" style="45" customWidth="1"/>
    <col min="2573" max="2573" width="5.44140625" style="45" customWidth="1"/>
    <col min="2574" max="2574" width="8.5546875" style="45" customWidth="1"/>
    <col min="2575" max="2575" width="7.44140625" style="45" customWidth="1"/>
    <col min="2576" max="2577" width="8.5546875" style="45" customWidth="1"/>
    <col min="2578" max="2578" width="5.44140625" style="45" customWidth="1"/>
    <col min="2579" max="2579" width="8.5546875" style="45" customWidth="1"/>
    <col min="2580" max="2580" width="7.44140625" style="45" customWidth="1"/>
    <col min="2581" max="2582" width="7.77734375" style="45" customWidth="1"/>
    <col min="2583" max="2583" width="8.5546875" style="45" customWidth="1"/>
    <col min="2584" max="2584" width="11" style="45" customWidth="1"/>
    <col min="2585" max="2585" width="11.21875" style="45" customWidth="1"/>
    <col min="2586" max="2586" width="6.21875" style="45" customWidth="1"/>
    <col min="2587" max="2816" width="10" style="45"/>
    <col min="2817" max="2819" width="6.21875" style="45" customWidth="1"/>
    <col min="2820" max="2820" width="10.44140625" style="45" customWidth="1"/>
    <col min="2821" max="2821" width="6.21875" style="45" customWidth="1"/>
    <col min="2822" max="2822" width="7.109375" style="45" customWidth="1"/>
    <col min="2823" max="2823" width="5.44140625" style="45" customWidth="1"/>
    <col min="2824" max="2824" width="8.5546875" style="45" customWidth="1"/>
    <col min="2825" max="2825" width="5.44140625" style="45" customWidth="1"/>
    <col min="2826" max="2826" width="6.21875" style="45" customWidth="1"/>
    <col min="2827" max="2827" width="5.44140625" style="45" customWidth="1"/>
    <col min="2828" max="2828" width="7.44140625" style="45" customWidth="1"/>
    <col min="2829" max="2829" width="5.44140625" style="45" customWidth="1"/>
    <col min="2830" max="2830" width="8.5546875" style="45" customWidth="1"/>
    <col min="2831" max="2831" width="7.44140625" style="45" customWidth="1"/>
    <col min="2832" max="2833" width="8.5546875" style="45" customWidth="1"/>
    <col min="2834" max="2834" width="5.44140625" style="45" customWidth="1"/>
    <col min="2835" max="2835" width="8.5546875" style="45" customWidth="1"/>
    <col min="2836" max="2836" width="7.44140625" style="45" customWidth="1"/>
    <col min="2837" max="2838" width="7.77734375" style="45" customWidth="1"/>
    <col min="2839" max="2839" width="8.5546875" style="45" customWidth="1"/>
    <col min="2840" max="2840" width="11" style="45" customWidth="1"/>
    <col min="2841" max="2841" width="11.21875" style="45" customWidth="1"/>
    <col min="2842" max="2842" width="6.21875" style="45" customWidth="1"/>
    <col min="2843" max="3072" width="10" style="45"/>
    <col min="3073" max="3075" width="6.21875" style="45" customWidth="1"/>
    <col min="3076" max="3076" width="10.44140625" style="45" customWidth="1"/>
    <col min="3077" max="3077" width="6.21875" style="45" customWidth="1"/>
    <col min="3078" max="3078" width="7.109375" style="45" customWidth="1"/>
    <col min="3079" max="3079" width="5.44140625" style="45" customWidth="1"/>
    <col min="3080" max="3080" width="8.5546875" style="45" customWidth="1"/>
    <col min="3081" max="3081" width="5.44140625" style="45" customWidth="1"/>
    <col min="3082" max="3082" width="6.21875" style="45" customWidth="1"/>
    <col min="3083" max="3083" width="5.44140625" style="45" customWidth="1"/>
    <col min="3084" max="3084" width="7.44140625" style="45" customWidth="1"/>
    <col min="3085" max="3085" width="5.44140625" style="45" customWidth="1"/>
    <col min="3086" max="3086" width="8.5546875" style="45" customWidth="1"/>
    <col min="3087" max="3087" width="7.44140625" style="45" customWidth="1"/>
    <col min="3088" max="3089" width="8.5546875" style="45" customWidth="1"/>
    <col min="3090" max="3090" width="5.44140625" style="45" customWidth="1"/>
    <col min="3091" max="3091" width="8.5546875" style="45" customWidth="1"/>
    <col min="3092" max="3092" width="7.44140625" style="45" customWidth="1"/>
    <col min="3093" max="3094" width="7.77734375" style="45" customWidth="1"/>
    <col min="3095" max="3095" width="8.5546875" style="45" customWidth="1"/>
    <col min="3096" max="3096" width="11" style="45" customWidth="1"/>
    <col min="3097" max="3097" width="11.21875" style="45" customWidth="1"/>
    <col min="3098" max="3098" width="6.21875" style="45" customWidth="1"/>
    <col min="3099" max="3328" width="10" style="45"/>
    <col min="3329" max="3331" width="6.21875" style="45" customWidth="1"/>
    <col min="3332" max="3332" width="10.44140625" style="45" customWidth="1"/>
    <col min="3333" max="3333" width="6.21875" style="45" customWidth="1"/>
    <col min="3334" max="3334" width="7.109375" style="45" customWidth="1"/>
    <col min="3335" max="3335" width="5.44140625" style="45" customWidth="1"/>
    <col min="3336" max="3336" width="8.5546875" style="45" customWidth="1"/>
    <col min="3337" max="3337" width="5.44140625" style="45" customWidth="1"/>
    <col min="3338" max="3338" width="6.21875" style="45" customWidth="1"/>
    <col min="3339" max="3339" width="5.44140625" style="45" customWidth="1"/>
    <col min="3340" max="3340" width="7.44140625" style="45" customWidth="1"/>
    <col min="3341" max="3341" width="5.44140625" style="45" customWidth="1"/>
    <col min="3342" max="3342" width="8.5546875" style="45" customWidth="1"/>
    <col min="3343" max="3343" width="7.44140625" style="45" customWidth="1"/>
    <col min="3344" max="3345" width="8.5546875" style="45" customWidth="1"/>
    <col min="3346" max="3346" width="5.44140625" style="45" customWidth="1"/>
    <col min="3347" max="3347" width="8.5546875" style="45" customWidth="1"/>
    <col min="3348" max="3348" width="7.44140625" style="45" customWidth="1"/>
    <col min="3349" max="3350" width="7.77734375" style="45" customWidth="1"/>
    <col min="3351" max="3351" width="8.5546875" style="45" customWidth="1"/>
    <col min="3352" max="3352" width="11" style="45" customWidth="1"/>
    <col min="3353" max="3353" width="11.21875" style="45" customWidth="1"/>
    <col min="3354" max="3354" width="6.21875" style="45" customWidth="1"/>
    <col min="3355" max="3584" width="10" style="45"/>
    <col min="3585" max="3587" width="6.21875" style="45" customWidth="1"/>
    <col min="3588" max="3588" width="10.44140625" style="45" customWidth="1"/>
    <col min="3589" max="3589" width="6.21875" style="45" customWidth="1"/>
    <col min="3590" max="3590" width="7.109375" style="45" customWidth="1"/>
    <col min="3591" max="3591" width="5.44140625" style="45" customWidth="1"/>
    <col min="3592" max="3592" width="8.5546875" style="45" customWidth="1"/>
    <col min="3593" max="3593" width="5.44140625" style="45" customWidth="1"/>
    <col min="3594" max="3594" width="6.21875" style="45" customWidth="1"/>
    <col min="3595" max="3595" width="5.44140625" style="45" customWidth="1"/>
    <col min="3596" max="3596" width="7.44140625" style="45" customWidth="1"/>
    <col min="3597" max="3597" width="5.44140625" style="45" customWidth="1"/>
    <col min="3598" max="3598" width="8.5546875" style="45" customWidth="1"/>
    <col min="3599" max="3599" width="7.44140625" style="45" customWidth="1"/>
    <col min="3600" max="3601" width="8.5546875" style="45" customWidth="1"/>
    <col min="3602" max="3602" width="5.44140625" style="45" customWidth="1"/>
    <col min="3603" max="3603" width="8.5546875" style="45" customWidth="1"/>
    <col min="3604" max="3604" width="7.44140625" style="45" customWidth="1"/>
    <col min="3605" max="3606" width="7.77734375" style="45" customWidth="1"/>
    <col min="3607" max="3607" width="8.5546875" style="45" customWidth="1"/>
    <col min="3608" max="3608" width="11" style="45" customWidth="1"/>
    <col min="3609" max="3609" width="11.21875" style="45" customWidth="1"/>
    <col min="3610" max="3610" width="6.21875" style="45" customWidth="1"/>
    <col min="3611" max="3840" width="10" style="45"/>
    <col min="3841" max="3843" width="6.21875" style="45" customWidth="1"/>
    <col min="3844" max="3844" width="10.44140625" style="45" customWidth="1"/>
    <col min="3845" max="3845" width="6.21875" style="45" customWidth="1"/>
    <col min="3846" max="3846" width="7.109375" style="45" customWidth="1"/>
    <col min="3847" max="3847" width="5.44140625" style="45" customWidth="1"/>
    <col min="3848" max="3848" width="8.5546875" style="45" customWidth="1"/>
    <col min="3849" max="3849" width="5.44140625" style="45" customWidth="1"/>
    <col min="3850" max="3850" width="6.21875" style="45" customWidth="1"/>
    <col min="3851" max="3851" width="5.44140625" style="45" customWidth="1"/>
    <col min="3852" max="3852" width="7.44140625" style="45" customWidth="1"/>
    <col min="3853" max="3853" width="5.44140625" style="45" customWidth="1"/>
    <col min="3854" max="3854" width="8.5546875" style="45" customWidth="1"/>
    <col min="3855" max="3855" width="7.44140625" style="45" customWidth="1"/>
    <col min="3856" max="3857" width="8.5546875" style="45" customWidth="1"/>
    <col min="3858" max="3858" width="5.44140625" style="45" customWidth="1"/>
    <col min="3859" max="3859" width="8.5546875" style="45" customWidth="1"/>
    <col min="3860" max="3860" width="7.44140625" style="45" customWidth="1"/>
    <col min="3861" max="3862" width="7.77734375" style="45" customWidth="1"/>
    <col min="3863" max="3863" width="8.5546875" style="45" customWidth="1"/>
    <col min="3864" max="3864" width="11" style="45" customWidth="1"/>
    <col min="3865" max="3865" width="11.21875" style="45" customWidth="1"/>
    <col min="3866" max="3866" width="6.21875" style="45" customWidth="1"/>
    <col min="3867" max="4096" width="10" style="45"/>
    <col min="4097" max="4099" width="6.21875" style="45" customWidth="1"/>
    <col min="4100" max="4100" width="10.44140625" style="45" customWidth="1"/>
    <col min="4101" max="4101" width="6.21875" style="45" customWidth="1"/>
    <col min="4102" max="4102" width="7.109375" style="45" customWidth="1"/>
    <col min="4103" max="4103" width="5.44140625" style="45" customWidth="1"/>
    <col min="4104" max="4104" width="8.5546875" style="45" customWidth="1"/>
    <col min="4105" max="4105" width="5.44140625" style="45" customWidth="1"/>
    <col min="4106" max="4106" width="6.21875" style="45" customWidth="1"/>
    <col min="4107" max="4107" width="5.44140625" style="45" customWidth="1"/>
    <col min="4108" max="4108" width="7.44140625" style="45" customWidth="1"/>
    <col min="4109" max="4109" width="5.44140625" style="45" customWidth="1"/>
    <col min="4110" max="4110" width="8.5546875" style="45" customWidth="1"/>
    <col min="4111" max="4111" width="7.44140625" style="45" customWidth="1"/>
    <col min="4112" max="4113" width="8.5546875" style="45" customWidth="1"/>
    <col min="4114" max="4114" width="5.44140625" style="45" customWidth="1"/>
    <col min="4115" max="4115" width="8.5546875" style="45" customWidth="1"/>
    <col min="4116" max="4116" width="7.44140625" style="45" customWidth="1"/>
    <col min="4117" max="4118" width="7.77734375" style="45" customWidth="1"/>
    <col min="4119" max="4119" width="8.5546875" style="45" customWidth="1"/>
    <col min="4120" max="4120" width="11" style="45" customWidth="1"/>
    <col min="4121" max="4121" width="11.21875" style="45" customWidth="1"/>
    <col min="4122" max="4122" width="6.21875" style="45" customWidth="1"/>
    <col min="4123" max="4352" width="10" style="45"/>
    <col min="4353" max="4355" width="6.21875" style="45" customWidth="1"/>
    <col min="4356" max="4356" width="10.44140625" style="45" customWidth="1"/>
    <col min="4357" max="4357" width="6.21875" style="45" customWidth="1"/>
    <col min="4358" max="4358" width="7.109375" style="45" customWidth="1"/>
    <col min="4359" max="4359" width="5.44140625" style="45" customWidth="1"/>
    <col min="4360" max="4360" width="8.5546875" style="45" customWidth="1"/>
    <col min="4361" max="4361" width="5.44140625" style="45" customWidth="1"/>
    <col min="4362" max="4362" width="6.21875" style="45" customWidth="1"/>
    <col min="4363" max="4363" width="5.44140625" style="45" customWidth="1"/>
    <col min="4364" max="4364" width="7.44140625" style="45" customWidth="1"/>
    <col min="4365" max="4365" width="5.44140625" style="45" customWidth="1"/>
    <col min="4366" max="4366" width="8.5546875" style="45" customWidth="1"/>
    <col min="4367" max="4367" width="7.44140625" style="45" customWidth="1"/>
    <col min="4368" max="4369" width="8.5546875" style="45" customWidth="1"/>
    <col min="4370" max="4370" width="5.44140625" style="45" customWidth="1"/>
    <col min="4371" max="4371" width="8.5546875" style="45" customWidth="1"/>
    <col min="4372" max="4372" width="7.44140625" style="45" customWidth="1"/>
    <col min="4373" max="4374" width="7.77734375" style="45" customWidth="1"/>
    <col min="4375" max="4375" width="8.5546875" style="45" customWidth="1"/>
    <col min="4376" max="4376" width="11" style="45" customWidth="1"/>
    <col min="4377" max="4377" width="11.21875" style="45" customWidth="1"/>
    <col min="4378" max="4378" width="6.21875" style="45" customWidth="1"/>
    <col min="4379" max="4608" width="10" style="45"/>
    <col min="4609" max="4611" width="6.21875" style="45" customWidth="1"/>
    <col min="4612" max="4612" width="10.44140625" style="45" customWidth="1"/>
    <col min="4613" max="4613" width="6.21875" style="45" customWidth="1"/>
    <col min="4614" max="4614" width="7.109375" style="45" customWidth="1"/>
    <col min="4615" max="4615" width="5.44140625" style="45" customWidth="1"/>
    <col min="4616" max="4616" width="8.5546875" style="45" customWidth="1"/>
    <col min="4617" max="4617" width="5.44140625" style="45" customWidth="1"/>
    <col min="4618" max="4618" width="6.21875" style="45" customWidth="1"/>
    <col min="4619" max="4619" width="5.44140625" style="45" customWidth="1"/>
    <col min="4620" max="4620" width="7.44140625" style="45" customWidth="1"/>
    <col min="4621" max="4621" width="5.44140625" style="45" customWidth="1"/>
    <col min="4622" max="4622" width="8.5546875" style="45" customWidth="1"/>
    <col min="4623" max="4623" width="7.44140625" style="45" customWidth="1"/>
    <col min="4624" max="4625" width="8.5546875" style="45" customWidth="1"/>
    <col min="4626" max="4626" width="5.44140625" style="45" customWidth="1"/>
    <col min="4627" max="4627" width="8.5546875" style="45" customWidth="1"/>
    <col min="4628" max="4628" width="7.44140625" style="45" customWidth="1"/>
    <col min="4629" max="4630" width="7.77734375" style="45" customWidth="1"/>
    <col min="4631" max="4631" width="8.5546875" style="45" customWidth="1"/>
    <col min="4632" max="4632" width="11" style="45" customWidth="1"/>
    <col min="4633" max="4633" width="11.21875" style="45" customWidth="1"/>
    <col min="4634" max="4634" width="6.21875" style="45" customWidth="1"/>
    <col min="4635" max="4864" width="10" style="45"/>
    <col min="4865" max="4867" width="6.21875" style="45" customWidth="1"/>
    <col min="4868" max="4868" width="10.44140625" style="45" customWidth="1"/>
    <col min="4869" max="4869" width="6.21875" style="45" customWidth="1"/>
    <col min="4870" max="4870" width="7.109375" style="45" customWidth="1"/>
    <col min="4871" max="4871" width="5.44140625" style="45" customWidth="1"/>
    <col min="4872" max="4872" width="8.5546875" style="45" customWidth="1"/>
    <col min="4873" max="4873" width="5.44140625" style="45" customWidth="1"/>
    <col min="4874" max="4874" width="6.21875" style="45" customWidth="1"/>
    <col min="4875" max="4875" width="5.44140625" style="45" customWidth="1"/>
    <col min="4876" max="4876" width="7.44140625" style="45" customWidth="1"/>
    <col min="4877" max="4877" width="5.44140625" style="45" customWidth="1"/>
    <col min="4878" max="4878" width="8.5546875" style="45" customWidth="1"/>
    <col min="4879" max="4879" width="7.44140625" style="45" customWidth="1"/>
    <col min="4880" max="4881" width="8.5546875" style="45" customWidth="1"/>
    <col min="4882" max="4882" width="5.44140625" style="45" customWidth="1"/>
    <col min="4883" max="4883" width="8.5546875" style="45" customWidth="1"/>
    <col min="4884" max="4884" width="7.44140625" style="45" customWidth="1"/>
    <col min="4885" max="4886" width="7.77734375" style="45" customWidth="1"/>
    <col min="4887" max="4887" width="8.5546875" style="45" customWidth="1"/>
    <col min="4888" max="4888" width="11" style="45" customWidth="1"/>
    <col min="4889" max="4889" width="11.21875" style="45" customWidth="1"/>
    <col min="4890" max="4890" width="6.21875" style="45" customWidth="1"/>
    <col min="4891" max="5120" width="10" style="45"/>
    <col min="5121" max="5123" width="6.21875" style="45" customWidth="1"/>
    <col min="5124" max="5124" width="10.44140625" style="45" customWidth="1"/>
    <col min="5125" max="5125" width="6.21875" style="45" customWidth="1"/>
    <col min="5126" max="5126" width="7.109375" style="45" customWidth="1"/>
    <col min="5127" max="5127" width="5.44140625" style="45" customWidth="1"/>
    <col min="5128" max="5128" width="8.5546875" style="45" customWidth="1"/>
    <col min="5129" max="5129" width="5.44140625" style="45" customWidth="1"/>
    <col min="5130" max="5130" width="6.21875" style="45" customWidth="1"/>
    <col min="5131" max="5131" width="5.44140625" style="45" customWidth="1"/>
    <col min="5132" max="5132" width="7.44140625" style="45" customWidth="1"/>
    <col min="5133" max="5133" width="5.44140625" style="45" customWidth="1"/>
    <col min="5134" max="5134" width="8.5546875" style="45" customWidth="1"/>
    <col min="5135" max="5135" width="7.44140625" style="45" customWidth="1"/>
    <col min="5136" max="5137" width="8.5546875" style="45" customWidth="1"/>
    <col min="5138" max="5138" width="5.44140625" style="45" customWidth="1"/>
    <col min="5139" max="5139" width="8.5546875" style="45" customWidth="1"/>
    <col min="5140" max="5140" width="7.44140625" style="45" customWidth="1"/>
    <col min="5141" max="5142" width="7.77734375" style="45" customWidth="1"/>
    <col min="5143" max="5143" width="8.5546875" style="45" customWidth="1"/>
    <col min="5144" max="5144" width="11" style="45" customWidth="1"/>
    <col min="5145" max="5145" width="11.21875" style="45" customWidth="1"/>
    <col min="5146" max="5146" width="6.21875" style="45" customWidth="1"/>
    <col min="5147" max="5376" width="10" style="45"/>
    <col min="5377" max="5379" width="6.21875" style="45" customWidth="1"/>
    <col min="5380" max="5380" width="10.44140625" style="45" customWidth="1"/>
    <col min="5381" max="5381" width="6.21875" style="45" customWidth="1"/>
    <col min="5382" max="5382" width="7.109375" style="45" customWidth="1"/>
    <col min="5383" max="5383" width="5.44140625" style="45" customWidth="1"/>
    <col min="5384" max="5384" width="8.5546875" style="45" customWidth="1"/>
    <col min="5385" max="5385" width="5.44140625" style="45" customWidth="1"/>
    <col min="5386" max="5386" width="6.21875" style="45" customWidth="1"/>
    <col min="5387" max="5387" width="5.44140625" style="45" customWidth="1"/>
    <col min="5388" max="5388" width="7.44140625" style="45" customWidth="1"/>
    <col min="5389" max="5389" width="5.44140625" style="45" customWidth="1"/>
    <col min="5390" max="5390" width="8.5546875" style="45" customWidth="1"/>
    <col min="5391" max="5391" width="7.44140625" style="45" customWidth="1"/>
    <col min="5392" max="5393" width="8.5546875" style="45" customWidth="1"/>
    <col min="5394" max="5394" width="5.44140625" style="45" customWidth="1"/>
    <col min="5395" max="5395" width="8.5546875" style="45" customWidth="1"/>
    <col min="5396" max="5396" width="7.44140625" style="45" customWidth="1"/>
    <col min="5397" max="5398" width="7.77734375" style="45" customWidth="1"/>
    <col min="5399" max="5399" width="8.5546875" style="45" customWidth="1"/>
    <col min="5400" max="5400" width="11" style="45" customWidth="1"/>
    <col min="5401" max="5401" width="11.21875" style="45" customWidth="1"/>
    <col min="5402" max="5402" width="6.21875" style="45" customWidth="1"/>
    <col min="5403" max="5632" width="10" style="45"/>
    <col min="5633" max="5635" width="6.21875" style="45" customWidth="1"/>
    <col min="5636" max="5636" width="10.44140625" style="45" customWidth="1"/>
    <col min="5637" max="5637" width="6.21875" style="45" customWidth="1"/>
    <col min="5638" max="5638" width="7.109375" style="45" customWidth="1"/>
    <col min="5639" max="5639" width="5.44140625" style="45" customWidth="1"/>
    <col min="5640" max="5640" width="8.5546875" style="45" customWidth="1"/>
    <col min="5641" max="5641" width="5.44140625" style="45" customWidth="1"/>
    <col min="5642" max="5642" width="6.21875" style="45" customWidth="1"/>
    <col min="5643" max="5643" width="5.44140625" style="45" customWidth="1"/>
    <col min="5644" max="5644" width="7.44140625" style="45" customWidth="1"/>
    <col min="5645" max="5645" width="5.44140625" style="45" customWidth="1"/>
    <col min="5646" max="5646" width="8.5546875" style="45" customWidth="1"/>
    <col min="5647" max="5647" width="7.44140625" style="45" customWidth="1"/>
    <col min="5648" max="5649" width="8.5546875" style="45" customWidth="1"/>
    <col min="5650" max="5650" width="5.44140625" style="45" customWidth="1"/>
    <col min="5651" max="5651" width="8.5546875" style="45" customWidth="1"/>
    <col min="5652" max="5652" width="7.44140625" style="45" customWidth="1"/>
    <col min="5653" max="5654" width="7.77734375" style="45" customWidth="1"/>
    <col min="5655" max="5655" width="8.5546875" style="45" customWidth="1"/>
    <col min="5656" max="5656" width="11" style="45" customWidth="1"/>
    <col min="5657" max="5657" width="11.21875" style="45" customWidth="1"/>
    <col min="5658" max="5658" width="6.21875" style="45" customWidth="1"/>
    <col min="5659" max="5888" width="10" style="45"/>
    <col min="5889" max="5891" width="6.21875" style="45" customWidth="1"/>
    <col min="5892" max="5892" width="10.44140625" style="45" customWidth="1"/>
    <col min="5893" max="5893" width="6.21875" style="45" customWidth="1"/>
    <col min="5894" max="5894" width="7.109375" style="45" customWidth="1"/>
    <col min="5895" max="5895" width="5.44140625" style="45" customWidth="1"/>
    <col min="5896" max="5896" width="8.5546875" style="45" customWidth="1"/>
    <col min="5897" max="5897" width="5.44140625" style="45" customWidth="1"/>
    <col min="5898" max="5898" width="6.21875" style="45" customWidth="1"/>
    <col min="5899" max="5899" width="5.44140625" style="45" customWidth="1"/>
    <col min="5900" max="5900" width="7.44140625" style="45" customWidth="1"/>
    <col min="5901" max="5901" width="5.44140625" style="45" customWidth="1"/>
    <col min="5902" max="5902" width="8.5546875" style="45" customWidth="1"/>
    <col min="5903" max="5903" width="7.44140625" style="45" customWidth="1"/>
    <col min="5904" max="5905" width="8.5546875" style="45" customWidth="1"/>
    <col min="5906" max="5906" width="5.44140625" style="45" customWidth="1"/>
    <col min="5907" max="5907" width="8.5546875" style="45" customWidth="1"/>
    <col min="5908" max="5908" width="7.44140625" style="45" customWidth="1"/>
    <col min="5909" max="5910" width="7.77734375" style="45" customWidth="1"/>
    <col min="5911" max="5911" width="8.5546875" style="45" customWidth="1"/>
    <col min="5912" max="5912" width="11" style="45" customWidth="1"/>
    <col min="5913" max="5913" width="11.21875" style="45" customWidth="1"/>
    <col min="5914" max="5914" width="6.21875" style="45" customWidth="1"/>
    <col min="5915" max="6144" width="10" style="45"/>
    <col min="6145" max="6147" width="6.21875" style="45" customWidth="1"/>
    <col min="6148" max="6148" width="10.44140625" style="45" customWidth="1"/>
    <col min="6149" max="6149" width="6.21875" style="45" customWidth="1"/>
    <col min="6150" max="6150" width="7.109375" style="45" customWidth="1"/>
    <col min="6151" max="6151" width="5.44140625" style="45" customWidth="1"/>
    <col min="6152" max="6152" width="8.5546875" style="45" customWidth="1"/>
    <col min="6153" max="6153" width="5.44140625" style="45" customWidth="1"/>
    <col min="6154" max="6154" width="6.21875" style="45" customWidth="1"/>
    <col min="6155" max="6155" width="5.44140625" style="45" customWidth="1"/>
    <col min="6156" max="6156" width="7.44140625" style="45" customWidth="1"/>
    <col min="6157" max="6157" width="5.44140625" style="45" customWidth="1"/>
    <col min="6158" max="6158" width="8.5546875" style="45" customWidth="1"/>
    <col min="6159" max="6159" width="7.44140625" style="45" customWidth="1"/>
    <col min="6160" max="6161" width="8.5546875" style="45" customWidth="1"/>
    <col min="6162" max="6162" width="5.44140625" style="45" customWidth="1"/>
    <col min="6163" max="6163" width="8.5546875" style="45" customWidth="1"/>
    <col min="6164" max="6164" width="7.44140625" style="45" customWidth="1"/>
    <col min="6165" max="6166" width="7.77734375" style="45" customWidth="1"/>
    <col min="6167" max="6167" width="8.5546875" style="45" customWidth="1"/>
    <col min="6168" max="6168" width="11" style="45" customWidth="1"/>
    <col min="6169" max="6169" width="11.21875" style="45" customWidth="1"/>
    <col min="6170" max="6170" width="6.21875" style="45" customWidth="1"/>
    <col min="6171" max="6400" width="10" style="45"/>
    <col min="6401" max="6403" width="6.21875" style="45" customWidth="1"/>
    <col min="6404" max="6404" width="10.44140625" style="45" customWidth="1"/>
    <col min="6405" max="6405" width="6.21875" style="45" customWidth="1"/>
    <col min="6406" max="6406" width="7.109375" style="45" customWidth="1"/>
    <col min="6407" max="6407" width="5.44140625" style="45" customWidth="1"/>
    <col min="6408" max="6408" width="8.5546875" style="45" customWidth="1"/>
    <col min="6409" max="6409" width="5.44140625" style="45" customWidth="1"/>
    <col min="6410" max="6410" width="6.21875" style="45" customWidth="1"/>
    <col min="6411" max="6411" width="5.44140625" style="45" customWidth="1"/>
    <col min="6412" max="6412" width="7.44140625" style="45" customWidth="1"/>
    <col min="6413" max="6413" width="5.44140625" style="45" customWidth="1"/>
    <col min="6414" max="6414" width="8.5546875" style="45" customWidth="1"/>
    <col min="6415" max="6415" width="7.44140625" style="45" customWidth="1"/>
    <col min="6416" max="6417" width="8.5546875" style="45" customWidth="1"/>
    <col min="6418" max="6418" width="5.44140625" style="45" customWidth="1"/>
    <col min="6419" max="6419" width="8.5546875" style="45" customWidth="1"/>
    <col min="6420" max="6420" width="7.44140625" style="45" customWidth="1"/>
    <col min="6421" max="6422" width="7.77734375" style="45" customWidth="1"/>
    <col min="6423" max="6423" width="8.5546875" style="45" customWidth="1"/>
    <col min="6424" max="6424" width="11" style="45" customWidth="1"/>
    <col min="6425" max="6425" width="11.21875" style="45" customWidth="1"/>
    <col min="6426" max="6426" width="6.21875" style="45" customWidth="1"/>
    <col min="6427" max="6656" width="10" style="45"/>
    <col min="6657" max="6659" width="6.21875" style="45" customWidth="1"/>
    <col min="6660" max="6660" width="10.44140625" style="45" customWidth="1"/>
    <col min="6661" max="6661" width="6.21875" style="45" customWidth="1"/>
    <col min="6662" max="6662" width="7.109375" style="45" customWidth="1"/>
    <col min="6663" max="6663" width="5.44140625" style="45" customWidth="1"/>
    <col min="6664" max="6664" width="8.5546875" style="45" customWidth="1"/>
    <col min="6665" max="6665" width="5.44140625" style="45" customWidth="1"/>
    <col min="6666" max="6666" width="6.21875" style="45" customWidth="1"/>
    <col min="6667" max="6667" width="5.44140625" style="45" customWidth="1"/>
    <col min="6668" max="6668" width="7.44140625" style="45" customWidth="1"/>
    <col min="6669" max="6669" width="5.44140625" style="45" customWidth="1"/>
    <col min="6670" max="6670" width="8.5546875" style="45" customWidth="1"/>
    <col min="6671" max="6671" width="7.44140625" style="45" customWidth="1"/>
    <col min="6672" max="6673" width="8.5546875" style="45" customWidth="1"/>
    <col min="6674" max="6674" width="5.44140625" style="45" customWidth="1"/>
    <col min="6675" max="6675" width="8.5546875" style="45" customWidth="1"/>
    <col min="6676" max="6676" width="7.44140625" style="45" customWidth="1"/>
    <col min="6677" max="6678" width="7.77734375" style="45" customWidth="1"/>
    <col min="6679" max="6679" width="8.5546875" style="45" customWidth="1"/>
    <col min="6680" max="6680" width="11" style="45" customWidth="1"/>
    <col min="6681" max="6681" width="11.21875" style="45" customWidth="1"/>
    <col min="6682" max="6682" width="6.21875" style="45" customWidth="1"/>
    <col min="6683" max="6912" width="10" style="45"/>
    <col min="6913" max="6915" width="6.21875" style="45" customWidth="1"/>
    <col min="6916" max="6916" width="10.44140625" style="45" customWidth="1"/>
    <col min="6917" max="6917" width="6.21875" style="45" customWidth="1"/>
    <col min="6918" max="6918" width="7.109375" style="45" customWidth="1"/>
    <col min="6919" max="6919" width="5.44140625" style="45" customWidth="1"/>
    <col min="6920" max="6920" width="8.5546875" style="45" customWidth="1"/>
    <col min="6921" max="6921" width="5.44140625" style="45" customWidth="1"/>
    <col min="6922" max="6922" width="6.21875" style="45" customWidth="1"/>
    <col min="6923" max="6923" width="5.44140625" style="45" customWidth="1"/>
    <col min="6924" max="6924" width="7.44140625" style="45" customWidth="1"/>
    <col min="6925" max="6925" width="5.44140625" style="45" customWidth="1"/>
    <col min="6926" max="6926" width="8.5546875" style="45" customWidth="1"/>
    <col min="6927" max="6927" width="7.44140625" style="45" customWidth="1"/>
    <col min="6928" max="6929" width="8.5546875" style="45" customWidth="1"/>
    <col min="6930" max="6930" width="5.44140625" style="45" customWidth="1"/>
    <col min="6931" max="6931" width="8.5546875" style="45" customWidth="1"/>
    <col min="6932" max="6932" width="7.44140625" style="45" customWidth="1"/>
    <col min="6933" max="6934" width="7.77734375" style="45" customWidth="1"/>
    <col min="6935" max="6935" width="8.5546875" style="45" customWidth="1"/>
    <col min="6936" max="6936" width="11" style="45" customWidth="1"/>
    <col min="6937" max="6937" width="11.21875" style="45" customWidth="1"/>
    <col min="6938" max="6938" width="6.21875" style="45" customWidth="1"/>
    <col min="6939" max="7168" width="10" style="45"/>
    <col min="7169" max="7171" width="6.21875" style="45" customWidth="1"/>
    <col min="7172" max="7172" width="10.44140625" style="45" customWidth="1"/>
    <col min="7173" max="7173" width="6.21875" style="45" customWidth="1"/>
    <col min="7174" max="7174" width="7.109375" style="45" customWidth="1"/>
    <col min="7175" max="7175" width="5.44140625" style="45" customWidth="1"/>
    <col min="7176" max="7176" width="8.5546875" style="45" customWidth="1"/>
    <col min="7177" max="7177" width="5.44140625" style="45" customWidth="1"/>
    <col min="7178" max="7178" width="6.21875" style="45" customWidth="1"/>
    <col min="7179" max="7179" width="5.44140625" style="45" customWidth="1"/>
    <col min="7180" max="7180" width="7.44140625" style="45" customWidth="1"/>
    <col min="7181" max="7181" width="5.44140625" style="45" customWidth="1"/>
    <col min="7182" max="7182" width="8.5546875" style="45" customWidth="1"/>
    <col min="7183" max="7183" width="7.44140625" style="45" customWidth="1"/>
    <col min="7184" max="7185" width="8.5546875" style="45" customWidth="1"/>
    <col min="7186" max="7186" width="5.44140625" style="45" customWidth="1"/>
    <col min="7187" max="7187" width="8.5546875" style="45" customWidth="1"/>
    <col min="7188" max="7188" width="7.44140625" style="45" customWidth="1"/>
    <col min="7189" max="7190" width="7.77734375" style="45" customWidth="1"/>
    <col min="7191" max="7191" width="8.5546875" style="45" customWidth="1"/>
    <col min="7192" max="7192" width="11" style="45" customWidth="1"/>
    <col min="7193" max="7193" width="11.21875" style="45" customWidth="1"/>
    <col min="7194" max="7194" width="6.21875" style="45" customWidth="1"/>
    <col min="7195" max="7424" width="10" style="45"/>
    <col min="7425" max="7427" width="6.21875" style="45" customWidth="1"/>
    <col min="7428" max="7428" width="10.44140625" style="45" customWidth="1"/>
    <col min="7429" max="7429" width="6.21875" style="45" customWidth="1"/>
    <col min="7430" max="7430" width="7.109375" style="45" customWidth="1"/>
    <col min="7431" max="7431" width="5.44140625" style="45" customWidth="1"/>
    <col min="7432" max="7432" width="8.5546875" style="45" customWidth="1"/>
    <col min="7433" max="7433" width="5.44140625" style="45" customWidth="1"/>
    <col min="7434" max="7434" width="6.21875" style="45" customWidth="1"/>
    <col min="7435" max="7435" width="5.44140625" style="45" customWidth="1"/>
    <col min="7436" max="7436" width="7.44140625" style="45" customWidth="1"/>
    <col min="7437" max="7437" width="5.44140625" style="45" customWidth="1"/>
    <col min="7438" max="7438" width="8.5546875" style="45" customWidth="1"/>
    <col min="7439" max="7439" width="7.44140625" style="45" customWidth="1"/>
    <col min="7440" max="7441" width="8.5546875" style="45" customWidth="1"/>
    <col min="7442" max="7442" width="5.44140625" style="45" customWidth="1"/>
    <col min="7443" max="7443" width="8.5546875" style="45" customWidth="1"/>
    <col min="7444" max="7444" width="7.44140625" style="45" customWidth="1"/>
    <col min="7445" max="7446" width="7.77734375" style="45" customWidth="1"/>
    <col min="7447" max="7447" width="8.5546875" style="45" customWidth="1"/>
    <col min="7448" max="7448" width="11" style="45" customWidth="1"/>
    <col min="7449" max="7449" width="11.21875" style="45" customWidth="1"/>
    <col min="7450" max="7450" width="6.21875" style="45" customWidth="1"/>
    <col min="7451" max="7680" width="10" style="45"/>
    <col min="7681" max="7683" width="6.21875" style="45" customWidth="1"/>
    <col min="7684" max="7684" width="10.44140625" style="45" customWidth="1"/>
    <col min="7685" max="7685" width="6.21875" style="45" customWidth="1"/>
    <col min="7686" max="7686" width="7.109375" style="45" customWidth="1"/>
    <col min="7687" max="7687" width="5.44140625" style="45" customWidth="1"/>
    <col min="7688" max="7688" width="8.5546875" style="45" customWidth="1"/>
    <col min="7689" max="7689" width="5.44140625" style="45" customWidth="1"/>
    <col min="7690" max="7690" width="6.21875" style="45" customWidth="1"/>
    <col min="7691" max="7691" width="5.44140625" style="45" customWidth="1"/>
    <col min="7692" max="7692" width="7.44140625" style="45" customWidth="1"/>
    <col min="7693" max="7693" width="5.44140625" style="45" customWidth="1"/>
    <col min="7694" max="7694" width="8.5546875" style="45" customWidth="1"/>
    <col min="7695" max="7695" width="7.44140625" style="45" customWidth="1"/>
    <col min="7696" max="7697" width="8.5546875" style="45" customWidth="1"/>
    <col min="7698" max="7698" width="5.44140625" style="45" customWidth="1"/>
    <col min="7699" max="7699" width="8.5546875" style="45" customWidth="1"/>
    <col min="7700" max="7700" width="7.44140625" style="45" customWidth="1"/>
    <col min="7701" max="7702" width="7.77734375" style="45" customWidth="1"/>
    <col min="7703" max="7703" width="8.5546875" style="45" customWidth="1"/>
    <col min="7704" max="7704" width="11" style="45" customWidth="1"/>
    <col min="7705" max="7705" width="11.21875" style="45" customWidth="1"/>
    <col min="7706" max="7706" width="6.21875" style="45" customWidth="1"/>
    <col min="7707" max="7936" width="10" style="45"/>
    <col min="7937" max="7939" width="6.21875" style="45" customWidth="1"/>
    <col min="7940" max="7940" width="10.44140625" style="45" customWidth="1"/>
    <col min="7941" max="7941" width="6.21875" style="45" customWidth="1"/>
    <col min="7942" max="7942" width="7.109375" style="45" customWidth="1"/>
    <col min="7943" max="7943" width="5.44140625" style="45" customWidth="1"/>
    <col min="7944" max="7944" width="8.5546875" style="45" customWidth="1"/>
    <col min="7945" max="7945" width="5.44140625" style="45" customWidth="1"/>
    <col min="7946" max="7946" width="6.21875" style="45" customWidth="1"/>
    <col min="7947" max="7947" width="5.44140625" style="45" customWidth="1"/>
    <col min="7948" max="7948" width="7.44140625" style="45" customWidth="1"/>
    <col min="7949" max="7949" width="5.44140625" style="45" customWidth="1"/>
    <col min="7950" max="7950" width="8.5546875" style="45" customWidth="1"/>
    <col min="7951" max="7951" width="7.44140625" style="45" customWidth="1"/>
    <col min="7952" max="7953" width="8.5546875" style="45" customWidth="1"/>
    <col min="7954" max="7954" width="5.44140625" style="45" customWidth="1"/>
    <col min="7955" max="7955" width="8.5546875" style="45" customWidth="1"/>
    <col min="7956" max="7956" width="7.44140625" style="45" customWidth="1"/>
    <col min="7957" max="7958" width="7.77734375" style="45" customWidth="1"/>
    <col min="7959" max="7959" width="8.5546875" style="45" customWidth="1"/>
    <col min="7960" max="7960" width="11" style="45" customWidth="1"/>
    <col min="7961" max="7961" width="11.21875" style="45" customWidth="1"/>
    <col min="7962" max="7962" width="6.21875" style="45" customWidth="1"/>
    <col min="7963" max="8192" width="10" style="45"/>
    <col min="8193" max="8195" width="6.21875" style="45" customWidth="1"/>
    <col min="8196" max="8196" width="10.44140625" style="45" customWidth="1"/>
    <col min="8197" max="8197" width="6.21875" style="45" customWidth="1"/>
    <col min="8198" max="8198" width="7.109375" style="45" customWidth="1"/>
    <col min="8199" max="8199" width="5.44140625" style="45" customWidth="1"/>
    <col min="8200" max="8200" width="8.5546875" style="45" customWidth="1"/>
    <col min="8201" max="8201" width="5.44140625" style="45" customWidth="1"/>
    <col min="8202" max="8202" width="6.21875" style="45" customWidth="1"/>
    <col min="8203" max="8203" width="5.44140625" style="45" customWidth="1"/>
    <col min="8204" max="8204" width="7.44140625" style="45" customWidth="1"/>
    <col min="8205" max="8205" width="5.44140625" style="45" customWidth="1"/>
    <col min="8206" max="8206" width="8.5546875" style="45" customWidth="1"/>
    <col min="8207" max="8207" width="7.44140625" style="45" customWidth="1"/>
    <col min="8208" max="8209" width="8.5546875" style="45" customWidth="1"/>
    <col min="8210" max="8210" width="5.44140625" style="45" customWidth="1"/>
    <col min="8211" max="8211" width="8.5546875" style="45" customWidth="1"/>
    <col min="8212" max="8212" width="7.44140625" style="45" customWidth="1"/>
    <col min="8213" max="8214" width="7.77734375" style="45" customWidth="1"/>
    <col min="8215" max="8215" width="8.5546875" style="45" customWidth="1"/>
    <col min="8216" max="8216" width="11" style="45" customWidth="1"/>
    <col min="8217" max="8217" width="11.21875" style="45" customWidth="1"/>
    <col min="8218" max="8218" width="6.21875" style="45" customWidth="1"/>
    <col min="8219" max="8448" width="10" style="45"/>
    <col min="8449" max="8451" width="6.21875" style="45" customWidth="1"/>
    <col min="8452" max="8452" width="10.44140625" style="45" customWidth="1"/>
    <col min="8453" max="8453" width="6.21875" style="45" customWidth="1"/>
    <col min="8454" max="8454" width="7.109375" style="45" customWidth="1"/>
    <col min="8455" max="8455" width="5.44140625" style="45" customWidth="1"/>
    <col min="8456" max="8456" width="8.5546875" style="45" customWidth="1"/>
    <col min="8457" max="8457" width="5.44140625" style="45" customWidth="1"/>
    <col min="8458" max="8458" width="6.21875" style="45" customWidth="1"/>
    <col min="8459" max="8459" width="5.44140625" style="45" customWidth="1"/>
    <col min="8460" max="8460" width="7.44140625" style="45" customWidth="1"/>
    <col min="8461" max="8461" width="5.44140625" style="45" customWidth="1"/>
    <col min="8462" max="8462" width="8.5546875" style="45" customWidth="1"/>
    <col min="8463" max="8463" width="7.44140625" style="45" customWidth="1"/>
    <col min="8464" max="8465" width="8.5546875" style="45" customWidth="1"/>
    <col min="8466" max="8466" width="5.44140625" style="45" customWidth="1"/>
    <col min="8467" max="8467" width="8.5546875" style="45" customWidth="1"/>
    <col min="8468" max="8468" width="7.44140625" style="45" customWidth="1"/>
    <col min="8469" max="8470" width="7.77734375" style="45" customWidth="1"/>
    <col min="8471" max="8471" width="8.5546875" style="45" customWidth="1"/>
    <col min="8472" max="8472" width="11" style="45" customWidth="1"/>
    <col min="8473" max="8473" width="11.21875" style="45" customWidth="1"/>
    <col min="8474" max="8474" width="6.21875" style="45" customWidth="1"/>
    <col min="8475" max="8704" width="10" style="45"/>
    <col min="8705" max="8707" width="6.21875" style="45" customWidth="1"/>
    <col min="8708" max="8708" width="10.44140625" style="45" customWidth="1"/>
    <col min="8709" max="8709" width="6.21875" style="45" customWidth="1"/>
    <col min="8710" max="8710" width="7.109375" style="45" customWidth="1"/>
    <col min="8711" max="8711" width="5.44140625" style="45" customWidth="1"/>
    <col min="8712" max="8712" width="8.5546875" style="45" customWidth="1"/>
    <col min="8713" max="8713" width="5.44140625" style="45" customWidth="1"/>
    <col min="8714" max="8714" width="6.21875" style="45" customWidth="1"/>
    <col min="8715" max="8715" width="5.44140625" style="45" customWidth="1"/>
    <col min="8716" max="8716" width="7.44140625" style="45" customWidth="1"/>
    <col min="8717" max="8717" width="5.44140625" style="45" customWidth="1"/>
    <col min="8718" max="8718" width="8.5546875" style="45" customWidth="1"/>
    <col min="8719" max="8719" width="7.44140625" style="45" customWidth="1"/>
    <col min="8720" max="8721" width="8.5546875" style="45" customWidth="1"/>
    <col min="8722" max="8722" width="5.44140625" style="45" customWidth="1"/>
    <col min="8723" max="8723" width="8.5546875" style="45" customWidth="1"/>
    <col min="8724" max="8724" width="7.44140625" style="45" customWidth="1"/>
    <col min="8725" max="8726" width="7.77734375" style="45" customWidth="1"/>
    <col min="8727" max="8727" width="8.5546875" style="45" customWidth="1"/>
    <col min="8728" max="8728" width="11" style="45" customWidth="1"/>
    <col min="8729" max="8729" width="11.21875" style="45" customWidth="1"/>
    <col min="8730" max="8730" width="6.21875" style="45" customWidth="1"/>
    <col min="8731" max="8960" width="10" style="45"/>
    <col min="8961" max="8963" width="6.21875" style="45" customWidth="1"/>
    <col min="8964" max="8964" width="10.44140625" style="45" customWidth="1"/>
    <col min="8965" max="8965" width="6.21875" style="45" customWidth="1"/>
    <col min="8966" max="8966" width="7.109375" style="45" customWidth="1"/>
    <col min="8967" max="8967" width="5.44140625" style="45" customWidth="1"/>
    <col min="8968" max="8968" width="8.5546875" style="45" customWidth="1"/>
    <col min="8969" max="8969" width="5.44140625" style="45" customWidth="1"/>
    <col min="8970" max="8970" width="6.21875" style="45" customWidth="1"/>
    <col min="8971" max="8971" width="5.44140625" style="45" customWidth="1"/>
    <col min="8972" max="8972" width="7.44140625" style="45" customWidth="1"/>
    <col min="8973" max="8973" width="5.44140625" style="45" customWidth="1"/>
    <col min="8974" max="8974" width="8.5546875" style="45" customWidth="1"/>
    <col min="8975" max="8975" width="7.44140625" style="45" customWidth="1"/>
    <col min="8976" max="8977" width="8.5546875" style="45" customWidth="1"/>
    <col min="8978" max="8978" width="5.44140625" style="45" customWidth="1"/>
    <col min="8979" max="8979" width="8.5546875" style="45" customWidth="1"/>
    <col min="8980" max="8980" width="7.44140625" style="45" customWidth="1"/>
    <col min="8981" max="8982" width="7.77734375" style="45" customWidth="1"/>
    <col min="8983" max="8983" width="8.5546875" style="45" customWidth="1"/>
    <col min="8984" max="8984" width="11" style="45" customWidth="1"/>
    <col min="8985" max="8985" width="11.21875" style="45" customWidth="1"/>
    <col min="8986" max="8986" width="6.21875" style="45" customWidth="1"/>
    <col min="8987" max="9216" width="10" style="45"/>
    <col min="9217" max="9219" width="6.21875" style="45" customWidth="1"/>
    <col min="9220" max="9220" width="10.44140625" style="45" customWidth="1"/>
    <col min="9221" max="9221" width="6.21875" style="45" customWidth="1"/>
    <col min="9222" max="9222" width="7.109375" style="45" customWidth="1"/>
    <col min="9223" max="9223" width="5.44140625" style="45" customWidth="1"/>
    <col min="9224" max="9224" width="8.5546875" style="45" customWidth="1"/>
    <col min="9225" max="9225" width="5.44140625" style="45" customWidth="1"/>
    <col min="9226" max="9226" width="6.21875" style="45" customWidth="1"/>
    <col min="9227" max="9227" width="5.44140625" style="45" customWidth="1"/>
    <col min="9228" max="9228" width="7.44140625" style="45" customWidth="1"/>
    <col min="9229" max="9229" width="5.44140625" style="45" customWidth="1"/>
    <col min="9230" max="9230" width="8.5546875" style="45" customWidth="1"/>
    <col min="9231" max="9231" width="7.44140625" style="45" customWidth="1"/>
    <col min="9232" max="9233" width="8.5546875" style="45" customWidth="1"/>
    <col min="9234" max="9234" width="5.44140625" style="45" customWidth="1"/>
    <col min="9235" max="9235" width="8.5546875" style="45" customWidth="1"/>
    <col min="9236" max="9236" width="7.44140625" style="45" customWidth="1"/>
    <col min="9237" max="9238" width="7.77734375" style="45" customWidth="1"/>
    <col min="9239" max="9239" width="8.5546875" style="45" customWidth="1"/>
    <col min="9240" max="9240" width="11" style="45" customWidth="1"/>
    <col min="9241" max="9241" width="11.21875" style="45" customWidth="1"/>
    <col min="9242" max="9242" width="6.21875" style="45" customWidth="1"/>
    <col min="9243" max="9472" width="10" style="45"/>
    <col min="9473" max="9475" width="6.21875" style="45" customWidth="1"/>
    <col min="9476" max="9476" width="10.44140625" style="45" customWidth="1"/>
    <col min="9477" max="9477" width="6.21875" style="45" customWidth="1"/>
    <col min="9478" max="9478" width="7.109375" style="45" customWidth="1"/>
    <col min="9479" max="9479" width="5.44140625" style="45" customWidth="1"/>
    <col min="9480" max="9480" width="8.5546875" style="45" customWidth="1"/>
    <col min="9481" max="9481" width="5.44140625" style="45" customWidth="1"/>
    <col min="9482" max="9482" width="6.21875" style="45" customWidth="1"/>
    <col min="9483" max="9483" width="5.44140625" style="45" customWidth="1"/>
    <col min="9484" max="9484" width="7.44140625" style="45" customWidth="1"/>
    <col min="9485" max="9485" width="5.44140625" style="45" customWidth="1"/>
    <col min="9486" max="9486" width="8.5546875" style="45" customWidth="1"/>
    <col min="9487" max="9487" width="7.44140625" style="45" customWidth="1"/>
    <col min="9488" max="9489" width="8.5546875" style="45" customWidth="1"/>
    <col min="9490" max="9490" width="5.44140625" style="45" customWidth="1"/>
    <col min="9491" max="9491" width="8.5546875" style="45" customWidth="1"/>
    <col min="9492" max="9492" width="7.44140625" style="45" customWidth="1"/>
    <col min="9493" max="9494" width="7.77734375" style="45" customWidth="1"/>
    <col min="9495" max="9495" width="8.5546875" style="45" customWidth="1"/>
    <col min="9496" max="9496" width="11" style="45" customWidth="1"/>
    <col min="9497" max="9497" width="11.21875" style="45" customWidth="1"/>
    <col min="9498" max="9498" width="6.21875" style="45" customWidth="1"/>
    <col min="9499" max="9728" width="10" style="45"/>
    <col min="9729" max="9731" width="6.21875" style="45" customWidth="1"/>
    <col min="9732" max="9732" width="10.44140625" style="45" customWidth="1"/>
    <col min="9733" max="9733" width="6.21875" style="45" customWidth="1"/>
    <col min="9734" max="9734" width="7.109375" style="45" customWidth="1"/>
    <col min="9735" max="9735" width="5.44140625" style="45" customWidth="1"/>
    <col min="9736" max="9736" width="8.5546875" style="45" customWidth="1"/>
    <col min="9737" max="9737" width="5.44140625" style="45" customWidth="1"/>
    <col min="9738" max="9738" width="6.21875" style="45" customWidth="1"/>
    <col min="9739" max="9739" width="5.44140625" style="45" customWidth="1"/>
    <col min="9740" max="9740" width="7.44140625" style="45" customWidth="1"/>
    <col min="9741" max="9741" width="5.44140625" style="45" customWidth="1"/>
    <col min="9742" max="9742" width="8.5546875" style="45" customWidth="1"/>
    <col min="9743" max="9743" width="7.44140625" style="45" customWidth="1"/>
    <col min="9744" max="9745" width="8.5546875" style="45" customWidth="1"/>
    <col min="9746" max="9746" width="5.44140625" style="45" customWidth="1"/>
    <col min="9747" max="9747" width="8.5546875" style="45" customWidth="1"/>
    <col min="9748" max="9748" width="7.44140625" style="45" customWidth="1"/>
    <col min="9749" max="9750" width="7.77734375" style="45" customWidth="1"/>
    <col min="9751" max="9751" width="8.5546875" style="45" customWidth="1"/>
    <col min="9752" max="9752" width="11" style="45" customWidth="1"/>
    <col min="9753" max="9753" width="11.21875" style="45" customWidth="1"/>
    <col min="9754" max="9754" width="6.21875" style="45" customWidth="1"/>
    <col min="9755" max="9984" width="10" style="45"/>
    <col min="9985" max="9987" width="6.21875" style="45" customWidth="1"/>
    <col min="9988" max="9988" width="10.44140625" style="45" customWidth="1"/>
    <col min="9989" max="9989" width="6.21875" style="45" customWidth="1"/>
    <col min="9990" max="9990" width="7.109375" style="45" customWidth="1"/>
    <col min="9991" max="9991" width="5.44140625" style="45" customWidth="1"/>
    <col min="9992" max="9992" width="8.5546875" style="45" customWidth="1"/>
    <col min="9993" max="9993" width="5.44140625" style="45" customWidth="1"/>
    <col min="9994" max="9994" width="6.21875" style="45" customWidth="1"/>
    <col min="9995" max="9995" width="5.44140625" style="45" customWidth="1"/>
    <col min="9996" max="9996" width="7.44140625" style="45" customWidth="1"/>
    <col min="9997" max="9997" width="5.44140625" style="45" customWidth="1"/>
    <col min="9998" max="9998" width="8.5546875" style="45" customWidth="1"/>
    <col min="9999" max="9999" width="7.44140625" style="45" customWidth="1"/>
    <col min="10000" max="10001" width="8.5546875" style="45" customWidth="1"/>
    <col min="10002" max="10002" width="5.44140625" style="45" customWidth="1"/>
    <col min="10003" max="10003" width="8.5546875" style="45" customWidth="1"/>
    <col min="10004" max="10004" width="7.44140625" style="45" customWidth="1"/>
    <col min="10005" max="10006" width="7.77734375" style="45" customWidth="1"/>
    <col min="10007" max="10007" width="8.5546875" style="45" customWidth="1"/>
    <col min="10008" max="10008" width="11" style="45" customWidth="1"/>
    <col min="10009" max="10009" width="11.21875" style="45" customWidth="1"/>
    <col min="10010" max="10010" width="6.21875" style="45" customWidth="1"/>
    <col min="10011" max="10240" width="10" style="45"/>
    <col min="10241" max="10243" width="6.21875" style="45" customWidth="1"/>
    <col min="10244" max="10244" width="10.44140625" style="45" customWidth="1"/>
    <col min="10245" max="10245" width="6.21875" style="45" customWidth="1"/>
    <col min="10246" max="10246" width="7.109375" style="45" customWidth="1"/>
    <col min="10247" max="10247" width="5.44140625" style="45" customWidth="1"/>
    <col min="10248" max="10248" width="8.5546875" style="45" customWidth="1"/>
    <col min="10249" max="10249" width="5.44140625" style="45" customWidth="1"/>
    <col min="10250" max="10250" width="6.21875" style="45" customWidth="1"/>
    <col min="10251" max="10251" width="5.44140625" style="45" customWidth="1"/>
    <col min="10252" max="10252" width="7.44140625" style="45" customWidth="1"/>
    <col min="10253" max="10253" width="5.44140625" style="45" customWidth="1"/>
    <col min="10254" max="10254" width="8.5546875" style="45" customWidth="1"/>
    <col min="10255" max="10255" width="7.44140625" style="45" customWidth="1"/>
    <col min="10256" max="10257" width="8.5546875" style="45" customWidth="1"/>
    <col min="10258" max="10258" width="5.44140625" style="45" customWidth="1"/>
    <col min="10259" max="10259" width="8.5546875" style="45" customWidth="1"/>
    <col min="10260" max="10260" width="7.44140625" style="45" customWidth="1"/>
    <col min="10261" max="10262" width="7.77734375" style="45" customWidth="1"/>
    <col min="10263" max="10263" width="8.5546875" style="45" customWidth="1"/>
    <col min="10264" max="10264" width="11" style="45" customWidth="1"/>
    <col min="10265" max="10265" width="11.21875" style="45" customWidth="1"/>
    <col min="10266" max="10266" width="6.21875" style="45" customWidth="1"/>
    <col min="10267" max="10496" width="10" style="45"/>
    <col min="10497" max="10499" width="6.21875" style="45" customWidth="1"/>
    <col min="10500" max="10500" width="10.44140625" style="45" customWidth="1"/>
    <col min="10501" max="10501" width="6.21875" style="45" customWidth="1"/>
    <col min="10502" max="10502" width="7.109375" style="45" customWidth="1"/>
    <col min="10503" max="10503" width="5.44140625" style="45" customWidth="1"/>
    <col min="10504" max="10504" width="8.5546875" style="45" customWidth="1"/>
    <col min="10505" max="10505" width="5.44140625" style="45" customWidth="1"/>
    <col min="10506" max="10506" width="6.21875" style="45" customWidth="1"/>
    <col min="10507" max="10507" width="5.44140625" style="45" customWidth="1"/>
    <col min="10508" max="10508" width="7.44140625" style="45" customWidth="1"/>
    <col min="10509" max="10509" width="5.44140625" style="45" customWidth="1"/>
    <col min="10510" max="10510" width="8.5546875" style="45" customWidth="1"/>
    <col min="10511" max="10511" width="7.44140625" style="45" customWidth="1"/>
    <col min="10512" max="10513" width="8.5546875" style="45" customWidth="1"/>
    <col min="10514" max="10514" width="5.44140625" style="45" customWidth="1"/>
    <col min="10515" max="10515" width="8.5546875" style="45" customWidth="1"/>
    <col min="10516" max="10516" width="7.44140625" style="45" customWidth="1"/>
    <col min="10517" max="10518" width="7.77734375" style="45" customWidth="1"/>
    <col min="10519" max="10519" width="8.5546875" style="45" customWidth="1"/>
    <col min="10520" max="10520" width="11" style="45" customWidth="1"/>
    <col min="10521" max="10521" width="11.21875" style="45" customWidth="1"/>
    <col min="10522" max="10522" width="6.21875" style="45" customWidth="1"/>
    <col min="10523" max="10752" width="10" style="45"/>
    <col min="10753" max="10755" width="6.21875" style="45" customWidth="1"/>
    <col min="10756" max="10756" width="10.44140625" style="45" customWidth="1"/>
    <col min="10757" max="10757" width="6.21875" style="45" customWidth="1"/>
    <col min="10758" max="10758" width="7.109375" style="45" customWidth="1"/>
    <col min="10759" max="10759" width="5.44140625" style="45" customWidth="1"/>
    <col min="10760" max="10760" width="8.5546875" style="45" customWidth="1"/>
    <col min="10761" max="10761" width="5.44140625" style="45" customWidth="1"/>
    <col min="10762" max="10762" width="6.21875" style="45" customWidth="1"/>
    <col min="10763" max="10763" width="5.44140625" style="45" customWidth="1"/>
    <col min="10764" max="10764" width="7.44140625" style="45" customWidth="1"/>
    <col min="10765" max="10765" width="5.44140625" style="45" customWidth="1"/>
    <col min="10766" max="10766" width="8.5546875" style="45" customWidth="1"/>
    <col min="10767" max="10767" width="7.44140625" style="45" customWidth="1"/>
    <col min="10768" max="10769" width="8.5546875" style="45" customWidth="1"/>
    <col min="10770" max="10770" width="5.44140625" style="45" customWidth="1"/>
    <col min="10771" max="10771" width="8.5546875" style="45" customWidth="1"/>
    <col min="10772" max="10772" width="7.44140625" style="45" customWidth="1"/>
    <col min="10773" max="10774" width="7.77734375" style="45" customWidth="1"/>
    <col min="10775" max="10775" width="8.5546875" style="45" customWidth="1"/>
    <col min="10776" max="10776" width="11" style="45" customWidth="1"/>
    <col min="10777" max="10777" width="11.21875" style="45" customWidth="1"/>
    <col min="10778" max="10778" width="6.21875" style="45" customWidth="1"/>
    <col min="10779" max="11008" width="10" style="45"/>
    <col min="11009" max="11011" width="6.21875" style="45" customWidth="1"/>
    <col min="11012" max="11012" width="10.44140625" style="45" customWidth="1"/>
    <col min="11013" max="11013" width="6.21875" style="45" customWidth="1"/>
    <col min="11014" max="11014" width="7.109375" style="45" customWidth="1"/>
    <col min="11015" max="11015" width="5.44140625" style="45" customWidth="1"/>
    <col min="11016" max="11016" width="8.5546875" style="45" customWidth="1"/>
    <col min="11017" max="11017" width="5.44140625" style="45" customWidth="1"/>
    <col min="11018" max="11018" width="6.21875" style="45" customWidth="1"/>
    <col min="11019" max="11019" width="5.44140625" style="45" customWidth="1"/>
    <col min="11020" max="11020" width="7.44140625" style="45" customWidth="1"/>
    <col min="11021" max="11021" width="5.44140625" style="45" customWidth="1"/>
    <col min="11022" max="11022" width="8.5546875" style="45" customWidth="1"/>
    <col min="11023" max="11023" width="7.44140625" style="45" customWidth="1"/>
    <col min="11024" max="11025" width="8.5546875" style="45" customWidth="1"/>
    <col min="11026" max="11026" width="5.44140625" style="45" customWidth="1"/>
    <col min="11027" max="11027" width="8.5546875" style="45" customWidth="1"/>
    <col min="11028" max="11028" width="7.44140625" style="45" customWidth="1"/>
    <col min="11029" max="11030" width="7.77734375" style="45" customWidth="1"/>
    <col min="11031" max="11031" width="8.5546875" style="45" customWidth="1"/>
    <col min="11032" max="11032" width="11" style="45" customWidth="1"/>
    <col min="11033" max="11033" width="11.21875" style="45" customWidth="1"/>
    <col min="11034" max="11034" width="6.21875" style="45" customWidth="1"/>
    <col min="11035" max="11264" width="10" style="45"/>
    <col min="11265" max="11267" width="6.21875" style="45" customWidth="1"/>
    <col min="11268" max="11268" width="10.44140625" style="45" customWidth="1"/>
    <col min="11269" max="11269" width="6.21875" style="45" customWidth="1"/>
    <col min="11270" max="11270" width="7.109375" style="45" customWidth="1"/>
    <col min="11271" max="11271" width="5.44140625" style="45" customWidth="1"/>
    <col min="11272" max="11272" width="8.5546875" style="45" customWidth="1"/>
    <col min="11273" max="11273" width="5.44140625" style="45" customWidth="1"/>
    <col min="11274" max="11274" width="6.21875" style="45" customWidth="1"/>
    <col min="11275" max="11275" width="5.44140625" style="45" customWidth="1"/>
    <col min="11276" max="11276" width="7.44140625" style="45" customWidth="1"/>
    <col min="11277" max="11277" width="5.44140625" style="45" customWidth="1"/>
    <col min="11278" max="11278" width="8.5546875" style="45" customWidth="1"/>
    <col min="11279" max="11279" width="7.44140625" style="45" customWidth="1"/>
    <col min="11280" max="11281" width="8.5546875" style="45" customWidth="1"/>
    <col min="11282" max="11282" width="5.44140625" style="45" customWidth="1"/>
    <col min="11283" max="11283" width="8.5546875" style="45" customWidth="1"/>
    <col min="11284" max="11284" width="7.44140625" style="45" customWidth="1"/>
    <col min="11285" max="11286" width="7.77734375" style="45" customWidth="1"/>
    <col min="11287" max="11287" width="8.5546875" style="45" customWidth="1"/>
    <col min="11288" max="11288" width="11" style="45" customWidth="1"/>
    <col min="11289" max="11289" width="11.21875" style="45" customWidth="1"/>
    <col min="11290" max="11290" width="6.21875" style="45" customWidth="1"/>
    <col min="11291" max="11520" width="10" style="45"/>
    <col min="11521" max="11523" width="6.21875" style="45" customWidth="1"/>
    <col min="11524" max="11524" width="10.44140625" style="45" customWidth="1"/>
    <col min="11525" max="11525" width="6.21875" style="45" customWidth="1"/>
    <col min="11526" max="11526" width="7.109375" style="45" customWidth="1"/>
    <col min="11527" max="11527" width="5.44140625" style="45" customWidth="1"/>
    <col min="11528" max="11528" width="8.5546875" style="45" customWidth="1"/>
    <col min="11529" max="11529" width="5.44140625" style="45" customWidth="1"/>
    <col min="11530" max="11530" width="6.21875" style="45" customWidth="1"/>
    <col min="11531" max="11531" width="5.44140625" style="45" customWidth="1"/>
    <col min="11532" max="11532" width="7.44140625" style="45" customWidth="1"/>
    <col min="11533" max="11533" width="5.44140625" style="45" customWidth="1"/>
    <col min="11534" max="11534" width="8.5546875" style="45" customWidth="1"/>
    <col min="11535" max="11535" width="7.44140625" style="45" customWidth="1"/>
    <col min="11536" max="11537" width="8.5546875" style="45" customWidth="1"/>
    <col min="11538" max="11538" width="5.44140625" style="45" customWidth="1"/>
    <col min="11539" max="11539" width="8.5546875" style="45" customWidth="1"/>
    <col min="11540" max="11540" width="7.44140625" style="45" customWidth="1"/>
    <col min="11541" max="11542" width="7.77734375" style="45" customWidth="1"/>
    <col min="11543" max="11543" width="8.5546875" style="45" customWidth="1"/>
    <col min="11544" max="11544" width="11" style="45" customWidth="1"/>
    <col min="11545" max="11545" width="11.21875" style="45" customWidth="1"/>
    <col min="11546" max="11546" width="6.21875" style="45" customWidth="1"/>
    <col min="11547" max="11776" width="10" style="45"/>
    <col min="11777" max="11779" width="6.21875" style="45" customWidth="1"/>
    <col min="11780" max="11780" width="10.44140625" style="45" customWidth="1"/>
    <col min="11781" max="11781" width="6.21875" style="45" customWidth="1"/>
    <col min="11782" max="11782" width="7.109375" style="45" customWidth="1"/>
    <col min="11783" max="11783" width="5.44140625" style="45" customWidth="1"/>
    <col min="11784" max="11784" width="8.5546875" style="45" customWidth="1"/>
    <col min="11785" max="11785" width="5.44140625" style="45" customWidth="1"/>
    <col min="11786" max="11786" width="6.21875" style="45" customWidth="1"/>
    <col min="11787" max="11787" width="5.44140625" style="45" customWidth="1"/>
    <col min="11788" max="11788" width="7.44140625" style="45" customWidth="1"/>
    <col min="11789" max="11789" width="5.44140625" style="45" customWidth="1"/>
    <col min="11790" max="11790" width="8.5546875" style="45" customWidth="1"/>
    <col min="11791" max="11791" width="7.44140625" style="45" customWidth="1"/>
    <col min="11792" max="11793" width="8.5546875" style="45" customWidth="1"/>
    <col min="11794" max="11794" width="5.44140625" style="45" customWidth="1"/>
    <col min="11795" max="11795" width="8.5546875" style="45" customWidth="1"/>
    <col min="11796" max="11796" width="7.44140625" style="45" customWidth="1"/>
    <col min="11797" max="11798" width="7.77734375" style="45" customWidth="1"/>
    <col min="11799" max="11799" width="8.5546875" style="45" customWidth="1"/>
    <col min="11800" max="11800" width="11" style="45" customWidth="1"/>
    <col min="11801" max="11801" width="11.21875" style="45" customWidth="1"/>
    <col min="11802" max="11802" width="6.21875" style="45" customWidth="1"/>
    <col min="11803" max="12032" width="10" style="45"/>
    <col min="12033" max="12035" width="6.21875" style="45" customWidth="1"/>
    <col min="12036" max="12036" width="10.44140625" style="45" customWidth="1"/>
    <col min="12037" max="12037" width="6.21875" style="45" customWidth="1"/>
    <col min="12038" max="12038" width="7.109375" style="45" customWidth="1"/>
    <col min="12039" max="12039" width="5.44140625" style="45" customWidth="1"/>
    <col min="12040" max="12040" width="8.5546875" style="45" customWidth="1"/>
    <col min="12041" max="12041" width="5.44140625" style="45" customWidth="1"/>
    <col min="12042" max="12042" width="6.21875" style="45" customWidth="1"/>
    <col min="12043" max="12043" width="5.44140625" style="45" customWidth="1"/>
    <col min="12044" max="12044" width="7.44140625" style="45" customWidth="1"/>
    <col min="12045" max="12045" width="5.44140625" style="45" customWidth="1"/>
    <col min="12046" max="12046" width="8.5546875" style="45" customWidth="1"/>
    <col min="12047" max="12047" width="7.44140625" style="45" customWidth="1"/>
    <col min="12048" max="12049" width="8.5546875" style="45" customWidth="1"/>
    <col min="12050" max="12050" width="5.44140625" style="45" customWidth="1"/>
    <col min="12051" max="12051" width="8.5546875" style="45" customWidth="1"/>
    <col min="12052" max="12052" width="7.44140625" style="45" customWidth="1"/>
    <col min="12053" max="12054" width="7.77734375" style="45" customWidth="1"/>
    <col min="12055" max="12055" width="8.5546875" style="45" customWidth="1"/>
    <col min="12056" max="12056" width="11" style="45" customWidth="1"/>
    <col min="12057" max="12057" width="11.21875" style="45" customWidth="1"/>
    <col min="12058" max="12058" width="6.21875" style="45" customWidth="1"/>
    <col min="12059" max="12288" width="10" style="45"/>
    <col min="12289" max="12291" width="6.21875" style="45" customWidth="1"/>
    <col min="12292" max="12292" width="10.44140625" style="45" customWidth="1"/>
    <col min="12293" max="12293" width="6.21875" style="45" customWidth="1"/>
    <col min="12294" max="12294" width="7.109375" style="45" customWidth="1"/>
    <col min="12295" max="12295" width="5.44140625" style="45" customWidth="1"/>
    <col min="12296" max="12296" width="8.5546875" style="45" customWidth="1"/>
    <col min="12297" max="12297" width="5.44140625" style="45" customWidth="1"/>
    <col min="12298" max="12298" width="6.21875" style="45" customWidth="1"/>
    <col min="12299" max="12299" width="5.44140625" style="45" customWidth="1"/>
    <col min="12300" max="12300" width="7.44140625" style="45" customWidth="1"/>
    <col min="12301" max="12301" width="5.44140625" style="45" customWidth="1"/>
    <col min="12302" max="12302" width="8.5546875" style="45" customWidth="1"/>
    <col min="12303" max="12303" width="7.44140625" style="45" customWidth="1"/>
    <col min="12304" max="12305" width="8.5546875" style="45" customWidth="1"/>
    <col min="12306" max="12306" width="5.44140625" style="45" customWidth="1"/>
    <col min="12307" max="12307" width="8.5546875" style="45" customWidth="1"/>
    <col min="12308" max="12308" width="7.44140625" style="45" customWidth="1"/>
    <col min="12309" max="12310" width="7.77734375" style="45" customWidth="1"/>
    <col min="12311" max="12311" width="8.5546875" style="45" customWidth="1"/>
    <col min="12312" max="12312" width="11" style="45" customWidth="1"/>
    <col min="12313" max="12313" width="11.21875" style="45" customWidth="1"/>
    <col min="12314" max="12314" width="6.21875" style="45" customWidth="1"/>
    <col min="12315" max="12544" width="10" style="45"/>
    <col min="12545" max="12547" width="6.21875" style="45" customWidth="1"/>
    <col min="12548" max="12548" width="10.44140625" style="45" customWidth="1"/>
    <col min="12549" max="12549" width="6.21875" style="45" customWidth="1"/>
    <col min="12550" max="12550" width="7.109375" style="45" customWidth="1"/>
    <col min="12551" max="12551" width="5.44140625" style="45" customWidth="1"/>
    <col min="12552" max="12552" width="8.5546875" style="45" customWidth="1"/>
    <col min="12553" max="12553" width="5.44140625" style="45" customWidth="1"/>
    <col min="12554" max="12554" width="6.21875" style="45" customWidth="1"/>
    <col min="12555" max="12555" width="5.44140625" style="45" customWidth="1"/>
    <col min="12556" max="12556" width="7.44140625" style="45" customWidth="1"/>
    <col min="12557" max="12557" width="5.44140625" style="45" customWidth="1"/>
    <col min="12558" max="12558" width="8.5546875" style="45" customWidth="1"/>
    <col min="12559" max="12559" width="7.44140625" style="45" customWidth="1"/>
    <col min="12560" max="12561" width="8.5546875" style="45" customWidth="1"/>
    <col min="12562" max="12562" width="5.44140625" style="45" customWidth="1"/>
    <col min="12563" max="12563" width="8.5546875" style="45" customWidth="1"/>
    <col min="12564" max="12564" width="7.44140625" style="45" customWidth="1"/>
    <col min="12565" max="12566" width="7.77734375" style="45" customWidth="1"/>
    <col min="12567" max="12567" width="8.5546875" style="45" customWidth="1"/>
    <col min="12568" max="12568" width="11" style="45" customWidth="1"/>
    <col min="12569" max="12569" width="11.21875" style="45" customWidth="1"/>
    <col min="12570" max="12570" width="6.21875" style="45" customWidth="1"/>
    <col min="12571" max="12800" width="10" style="45"/>
    <col min="12801" max="12803" width="6.21875" style="45" customWidth="1"/>
    <col min="12804" max="12804" width="10.44140625" style="45" customWidth="1"/>
    <col min="12805" max="12805" width="6.21875" style="45" customWidth="1"/>
    <col min="12806" max="12806" width="7.109375" style="45" customWidth="1"/>
    <col min="12807" max="12807" width="5.44140625" style="45" customWidth="1"/>
    <col min="12808" max="12808" width="8.5546875" style="45" customWidth="1"/>
    <col min="12809" max="12809" width="5.44140625" style="45" customWidth="1"/>
    <col min="12810" max="12810" width="6.21875" style="45" customWidth="1"/>
    <col min="12811" max="12811" width="5.44140625" style="45" customWidth="1"/>
    <col min="12812" max="12812" width="7.44140625" style="45" customWidth="1"/>
    <col min="12813" max="12813" width="5.44140625" style="45" customWidth="1"/>
    <col min="12814" max="12814" width="8.5546875" style="45" customWidth="1"/>
    <col min="12815" max="12815" width="7.44140625" style="45" customWidth="1"/>
    <col min="12816" max="12817" width="8.5546875" style="45" customWidth="1"/>
    <col min="12818" max="12818" width="5.44140625" style="45" customWidth="1"/>
    <col min="12819" max="12819" width="8.5546875" style="45" customWidth="1"/>
    <col min="12820" max="12820" width="7.44140625" style="45" customWidth="1"/>
    <col min="12821" max="12822" width="7.77734375" style="45" customWidth="1"/>
    <col min="12823" max="12823" width="8.5546875" style="45" customWidth="1"/>
    <col min="12824" max="12824" width="11" style="45" customWidth="1"/>
    <col min="12825" max="12825" width="11.21875" style="45" customWidth="1"/>
    <col min="12826" max="12826" width="6.21875" style="45" customWidth="1"/>
    <col min="12827" max="13056" width="10" style="45"/>
    <col min="13057" max="13059" width="6.21875" style="45" customWidth="1"/>
    <col min="13060" max="13060" width="10.44140625" style="45" customWidth="1"/>
    <col min="13061" max="13061" width="6.21875" style="45" customWidth="1"/>
    <col min="13062" max="13062" width="7.109375" style="45" customWidth="1"/>
    <col min="13063" max="13063" width="5.44140625" style="45" customWidth="1"/>
    <col min="13064" max="13064" width="8.5546875" style="45" customWidth="1"/>
    <col min="13065" max="13065" width="5.44140625" style="45" customWidth="1"/>
    <col min="13066" max="13066" width="6.21875" style="45" customWidth="1"/>
    <col min="13067" max="13067" width="5.44140625" style="45" customWidth="1"/>
    <col min="13068" max="13068" width="7.44140625" style="45" customWidth="1"/>
    <col min="13069" max="13069" width="5.44140625" style="45" customWidth="1"/>
    <col min="13070" max="13070" width="8.5546875" style="45" customWidth="1"/>
    <col min="13071" max="13071" width="7.44140625" style="45" customWidth="1"/>
    <col min="13072" max="13073" width="8.5546875" style="45" customWidth="1"/>
    <col min="13074" max="13074" width="5.44140625" style="45" customWidth="1"/>
    <col min="13075" max="13075" width="8.5546875" style="45" customWidth="1"/>
    <col min="13076" max="13076" width="7.44140625" style="45" customWidth="1"/>
    <col min="13077" max="13078" width="7.77734375" style="45" customWidth="1"/>
    <col min="13079" max="13079" width="8.5546875" style="45" customWidth="1"/>
    <col min="13080" max="13080" width="11" style="45" customWidth="1"/>
    <col min="13081" max="13081" width="11.21875" style="45" customWidth="1"/>
    <col min="13082" max="13082" width="6.21875" style="45" customWidth="1"/>
    <col min="13083" max="13312" width="10" style="45"/>
    <col min="13313" max="13315" width="6.21875" style="45" customWidth="1"/>
    <col min="13316" max="13316" width="10.44140625" style="45" customWidth="1"/>
    <col min="13317" max="13317" width="6.21875" style="45" customWidth="1"/>
    <col min="13318" max="13318" width="7.109375" style="45" customWidth="1"/>
    <col min="13319" max="13319" width="5.44140625" style="45" customWidth="1"/>
    <col min="13320" max="13320" width="8.5546875" style="45" customWidth="1"/>
    <col min="13321" max="13321" width="5.44140625" style="45" customWidth="1"/>
    <col min="13322" max="13322" width="6.21875" style="45" customWidth="1"/>
    <col min="13323" max="13323" width="5.44140625" style="45" customWidth="1"/>
    <col min="13324" max="13324" width="7.44140625" style="45" customWidth="1"/>
    <col min="13325" max="13325" width="5.44140625" style="45" customWidth="1"/>
    <col min="13326" max="13326" width="8.5546875" style="45" customWidth="1"/>
    <col min="13327" max="13327" width="7.44140625" style="45" customWidth="1"/>
    <col min="13328" max="13329" width="8.5546875" style="45" customWidth="1"/>
    <col min="13330" max="13330" width="5.44140625" style="45" customWidth="1"/>
    <col min="13331" max="13331" width="8.5546875" style="45" customWidth="1"/>
    <col min="13332" max="13332" width="7.44140625" style="45" customWidth="1"/>
    <col min="13333" max="13334" width="7.77734375" style="45" customWidth="1"/>
    <col min="13335" max="13335" width="8.5546875" style="45" customWidth="1"/>
    <col min="13336" max="13336" width="11" style="45" customWidth="1"/>
    <col min="13337" max="13337" width="11.21875" style="45" customWidth="1"/>
    <col min="13338" max="13338" width="6.21875" style="45" customWidth="1"/>
    <col min="13339" max="13568" width="10" style="45"/>
    <col min="13569" max="13571" width="6.21875" style="45" customWidth="1"/>
    <col min="13572" max="13572" width="10.44140625" style="45" customWidth="1"/>
    <col min="13573" max="13573" width="6.21875" style="45" customWidth="1"/>
    <col min="13574" max="13574" width="7.109375" style="45" customWidth="1"/>
    <col min="13575" max="13575" width="5.44140625" style="45" customWidth="1"/>
    <col min="13576" max="13576" width="8.5546875" style="45" customWidth="1"/>
    <col min="13577" max="13577" width="5.44140625" style="45" customWidth="1"/>
    <col min="13578" max="13578" width="6.21875" style="45" customWidth="1"/>
    <col min="13579" max="13579" width="5.44140625" style="45" customWidth="1"/>
    <col min="13580" max="13580" width="7.44140625" style="45" customWidth="1"/>
    <col min="13581" max="13581" width="5.44140625" style="45" customWidth="1"/>
    <col min="13582" max="13582" width="8.5546875" style="45" customWidth="1"/>
    <col min="13583" max="13583" width="7.44140625" style="45" customWidth="1"/>
    <col min="13584" max="13585" width="8.5546875" style="45" customWidth="1"/>
    <col min="13586" max="13586" width="5.44140625" style="45" customWidth="1"/>
    <col min="13587" max="13587" width="8.5546875" style="45" customWidth="1"/>
    <col min="13588" max="13588" width="7.44140625" style="45" customWidth="1"/>
    <col min="13589" max="13590" width="7.77734375" style="45" customWidth="1"/>
    <col min="13591" max="13591" width="8.5546875" style="45" customWidth="1"/>
    <col min="13592" max="13592" width="11" style="45" customWidth="1"/>
    <col min="13593" max="13593" width="11.21875" style="45" customWidth="1"/>
    <col min="13594" max="13594" width="6.21875" style="45" customWidth="1"/>
    <col min="13595" max="13824" width="10" style="45"/>
    <col min="13825" max="13827" width="6.21875" style="45" customWidth="1"/>
    <col min="13828" max="13828" width="10.44140625" style="45" customWidth="1"/>
    <col min="13829" max="13829" width="6.21875" style="45" customWidth="1"/>
    <col min="13830" max="13830" width="7.109375" style="45" customWidth="1"/>
    <col min="13831" max="13831" width="5.44140625" style="45" customWidth="1"/>
    <col min="13832" max="13832" width="8.5546875" style="45" customWidth="1"/>
    <col min="13833" max="13833" width="5.44140625" style="45" customWidth="1"/>
    <col min="13834" max="13834" width="6.21875" style="45" customWidth="1"/>
    <col min="13835" max="13835" width="5.44140625" style="45" customWidth="1"/>
    <col min="13836" max="13836" width="7.44140625" style="45" customWidth="1"/>
    <col min="13837" max="13837" width="5.44140625" style="45" customWidth="1"/>
    <col min="13838" max="13838" width="8.5546875" style="45" customWidth="1"/>
    <col min="13839" max="13839" width="7.44140625" style="45" customWidth="1"/>
    <col min="13840" max="13841" width="8.5546875" style="45" customWidth="1"/>
    <col min="13842" max="13842" width="5.44140625" style="45" customWidth="1"/>
    <col min="13843" max="13843" width="8.5546875" style="45" customWidth="1"/>
    <col min="13844" max="13844" width="7.44140625" style="45" customWidth="1"/>
    <col min="13845" max="13846" width="7.77734375" style="45" customWidth="1"/>
    <col min="13847" max="13847" width="8.5546875" style="45" customWidth="1"/>
    <col min="13848" max="13848" width="11" style="45" customWidth="1"/>
    <col min="13849" max="13849" width="11.21875" style="45" customWidth="1"/>
    <col min="13850" max="13850" width="6.21875" style="45" customWidth="1"/>
    <col min="13851" max="14080" width="10" style="45"/>
    <col min="14081" max="14083" width="6.21875" style="45" customWidth="1"/>
    <col min="14084" max="14084" width="10.44140625" style="45" customWidth="1"/>
    <col min="14085" max="14085" width="6.21875" style="45" customWidth="1"/>
    <col min="14086" max="14086" width="7.109375" style="45" customWidth="1"/>
    <col min="14087" max="14087" width="5.44140625" style="45" customWidth="1"/>
    <col min="14088" max="14088" width="8.5546875" style="45" customWidth="1"/>
    <col min="14089" max="14089" width="5.44140625" style="45" customWidth="1"/>
    <col min="14090" max="14090" width="6.21875" style="45" customWidth="1"/>
    <col min="14091" max="14091" width="5.44140625" style="45" customWidth="1"/>
    <col min="14092" max="14092" width="7.44140625" style="45" customWidth="1"/>
    <col min="14093" max="14093" width="5.44140625" style="45" customWidth="1"/>
    <col min="14094" max="14094" width="8.5546875" style="45" customWidth="1"/>
    <col min="14095" max="14095" width="7.44140625" style="45" customWidth="1"/>
    <col min="14096" max="14097" width="8.5546875" style="45" customWidth="1"/>
    <col min="14098" max="14098" width="5.44140625" style="45" customWidth="1"/>
    <col min="14099" max="14099" width="8.5546875" style="45" customWidth="1"/>
    <col min="14100" max="14100" width="7.44140625" style="45" customWidth="1"/>
    <col min="14101" max="14102" width="7.77734375" style="45" customWidth="1"/>
    <col min="14103" max="14103" width="8.5546875" style="45" customWidth="1"/>
    <col min="14104" max="14104" width="11" style="45" customWidth="1"/>
    <col min="14105" max="14105" width="11.21875" style="45" customWidth="1"/>
    <col min="14106" max="14106" width="6.21875" style="45" customWidth="1"/>
    <col min="14107" max="14336" width="10" style="45"/>
    <col min="14337" max="14339" width="6.21875" style="45" customWidth="1"/>
    <col min="14340" max="14340" width="10.44140625" style="45" customWidth="1"/>
    <col min="14341" max="14341" width="6.21875" style="45" customWidth="1"/>
    <col min="14342" max="14342" width="7.109375" style="45" customWidth="1"/>
    <col min="14343" max="14343" width="5.44140625" style="45" customWidth="1"/>
    <col min="14344" max="14344" width="8.5546875" style="45" customWidth="1"/>
    <col min="14345" max="14345" width="5.44140625" style="45" customWidth="1"/>
    <col min="14346" max="14346" width="6.21875" style="45" customWidth="1"/>
    <col min="14347" max="14347" width="5.44140625" style="45" customWidth="1"/>
    <col min="14348" max="14348" width="7.44140625" style="45" customWidth="1"/>
    <col min="14349" max="14349" width="5.44140625" style="45" customWidth="1"/>
    <col min="14350" max="14350" width="8.5546875" style="45" customWidth="1"/>
    <col min="14351" max="14351" width="7.44140625" style="45" customWidth="1"/>
    <col min="14352" max="14353" width="8.5546875" style="45" customWidth="1"/>
    <col min="14354" max="14354" width="5.44140625" style="45" customWidth="1"/>
    <col min="14355" max="14355" width="8.5546875" style="45" customWidth="1"/>
    <col min="14356" max="14356" width="7.44140625" style="45" customWidth="1"/>
    <col min="14357" max="14358" width="7.77734375" style="45" customWidth="1"/>
    <col min="14359" max="14359" width="8.5546875" style="45" customWidth="1"/>
    <col min="14360" max="14360" width="11" style="45" customWidth="1"/>
    <col min="14361" max="14361" width="11.21875" style="45" customWidth="1"/>
    <col min="14362" max="14362" width="6.21875" style="45" customWidth="1"/>
    <col min="14363" max="14592" width="10" style="45"/>
    <col min="14593" max="14595" width="6.21875" style="45" customWidth="1"/>
    <col min="14596" max="14596" width="10.44140625" style="45" customWidth="1"/>
    <col min="14597" max="14597" width="6.21875" style="45" customWidth="1"/>
    <col min="14598" max="14598" width="7.109375" style="45" customWidth="1"/>
    <col min="14599" max="14599" width="5.44140625" style="45" customWidth="1"/>
    <col min="14600" max="14600" width="8.5546875" style="45" customWidth="1"/>
    <col min="14601" max="14601" width="5.44140625" style="45" customWidth="1"/>
    <col min="14602" max="14602" width="6.21875" style="45" customWidth="1"/>
    <col min="14603" max="14603" width="5.44140625" style="45" customWidth="1"/>
    <col min="14604" max="14604" width="7.44140625" style="45" customWidth="1"/>
    <col min="14605" max="14605" width="5.44140625" style="45" customWidth="1"/>
    <col min="14606" max="14606" width="8.5546875" style="45" customWidth="1"/>
    <col min="14607" max="14607" width="7.44140625" style="45" customWidth="1"/>
    <col min="14608" max="14609" width="8.5546875" style="45" customWidth="1"/>
    <col min="14610" max="14610" width="5.44140625" style="45" customWidth="1"/>
    <col min="14611" max="14611" width="8.5546875" style="45" customWidth="1"/>
    <col min="14612" max="14612" width="7.44140625" style="45" customWidth="1"/>
    <col min="14613" max="14614" width="7.77734375" style="45" customWidth="1"/>
    <col min="14615" max="14615" width="8.5546875" style="45" customWidth="1"/>
    <col min="14616" max="14616" width="11" style="45" customWidth="1"/>
    <col min="14617" max="14617" width="11.21875" style="45" customWidth="1"/>
    <col min="14618" max="14618" width="6.21875" style="45" customWidth="1"/>
    <col min="14619" max="14848" width="10" style="45"/>
    <col min="14849" max="14851" width="6.21875" style="45" customWidth="1"/>
    <col min="14852" max="14852" width="10.44140625" style="45" customWidth="1"/>
    <col min="14853" max="14853" width="6.21875" style="45" customWidth="1"/>
    <col min="14854" max="14854" width="7.109375" style="45" customWidth="1"/>
    <col min="14855" max="14855" width="5.44140625" style="45" customWidth="1"/>
    <col min="14856" max="14856" width="8.5546875" style="45" customWidth="1"/>
    <col min="14857" max="14857" width="5.44140625" style="45" customWidth="1"/>
    <col min="14858" max="14858" width="6.21875" style="45" customWidth="1"/>
    <col min="14859" max="14859" width="5.44140625" style="45" customWidth="1"/>
    <col min="14860" max="14860" width="7.44140625" style="45" customWidth="1"/>
    <col min="14861" max="14861" width="5.44140625" style="45" customWidth="1"/>
    <col min="14862" max="14862" width="8.5546875" style="45" customWidth="1"/>
    <col min="14863" max="14863" width="7.44140625" style="45" customWidth="1"/>
    <col min="14864" max="14865" width="8.5546875" style="45" customWidth="1"/>
    <col min="14866" max="14866" width="5.44140625" style="45" customWidth="1"/>
    <col min="14867" max="14867" width="8.5546875" style="45" customWidth="1"/>
    <col min="14868" max="14868" width="7.44140625" style="45" customWidth="1"/>
    <col min="14869" max="14870" width="7.77734375" style="45" customWidth="1"/>
    <col min="14871" max="14871" width="8.5546875" style="45" customWidth="1"/>
    <col min="14872" max="14872" width="11" style="45" customWidth="1"/>
    <col min="14873" max="14873" width="11.21875" style="45" customWidth="1"/>
    <col min="14874" max="14874" width="6.21875" style="45" customWidth="1"/>
    <col min="14875" max="15104" width="10" style="45"/>
    <col min="15105" max="15107" width="6.21875" style="45" customWidth="1"/>
    <col min="15108" max="15108" width="10.44140625" style="45" customWidth="1"/>
    <col min="15109" max="15109" width="6.21875" style="45" customWidth="1"/>
    <col min="15110" max="15110" width="7.109375" style="45" customWidth="1"/>
    <col min="15111" max="15111" width="5.44140625" style="45" customWidth="1"/>
    <col min="15112" max="15112" width="8.5546875" style="45" customWidth="1"/>
    <col min="15113" max="15113" width="5.44140625" style="45" customWidth="1"/>
    <col min="15114" max="15114" width="6.21875" style="45" customWidth="1"/>
    <col min="15115" max="15115" width="5.44140625" style="45" customWidth="1"/>
    <col min="15116" max="15116" width="7.44140625" style="45" customWidth="1"/>
    <col min="15117" max="15117" width="5.44140625" style="45" customWidth="1"/>
    <col min="15118" max="15118" width="8.5546875" style="45" customWidth="1"/>
    <col min="15119" max="15119" width="7.44140625" style="45" customWidth="1"/>
    <col min="15120" max="15121" width="8.5546875" style="45" customWidth="1"/>
    <col min="15122" max="15122" width="5.44140625" style="45" customWidth="1"/>
    <col min="15123" max="15123" width="8.5546875" style="45" customWidth="1"/>
    <col min="15124" max="15124" width="7.44140625" style="45" customWidth="1"/>
    <col min="15125" max="15126" width="7.77734375" style="45" customWidth="1"/>
    <col min="15127" max="15127" width="8.5546875" style="45" customWidth="1"/>
    <col min="15128" max="15128" width="11" style="45" customWidth="1"/>
    <col min="15129" max="15129" width="11.21875" style="45" customWidth="1"/>
    <col min="15130" max="15130" width="6.21875" style="45" customWidth="1"/>
    <col min="15131" max="15360" width="10" style="45"/>
    <col min="15361" max="15363" width="6.21875" style="45" customWidth="1"/>
    <col min="15364" max="15364" width="10.44140625" style="45" customWidth="1"/>
    <col min="15365" max="15365" width="6.21875" style="45" customWidth="1"/>
    <col min="15366" max="15366" width="7.109375" style="45" customWidth="1"/>
    <col min="15367" max="15367" width="5.44140625" style="45" customWidth="1"/>
    <col min="15368" max="15368" width="8.5546875" style="45" customWidth="1"/>
    <col min="15369" max="15369" width="5.44140625" style="45" customWidth="1"/>
    <col min="15370" max="15370" width="6.21875" style="45" customWidth="1"/>
    <col min="15371" max="15371" width="5.44140625" style="45" customWidth="1"/>
    <col min="15372" max="15372" width="7.44140625" style="45" customWidth="1"/>
    <col min="15373" max="15373" width="5.44140625" style="45" customWidth="1"/>
    <col min="15374" max="15374" width="8.5546875" style="45" customWidth="1"/>
    <col min="15375" max="15375" width="7.44140625" style="45" customWidth="1"/>
    <col min="15376" max="15377" width="8.5546875" style="45" customWidth="1"/>
    <col min="15378" max="15378" width="5.44140625" style="45" customWidth="1"/>
    <col min="15379" max="15379" width="8.5546875" style="45" customWidth="1"/>
    <col min="15380" max="15380" width="7.44140625" style="45" customWidth="1"/>
    <col min="15381" max="15382" width="7.77734375" style="45" customWidth="1"/>
    <col min="15383" max="15383" width="8.5546875" style="45" customWidth="1"/>
    <col min="15384" max="15384" width="11" style="45" customWidth="1"/>
    <col min="15385" max="15385" width="11.21875" style="45" customWidth="1"/>
    <col min="15386" max="15386" width="6.21875" style="45" customWidth="1"/>
    <col min="15387" max="15616" width="10" style="45"/>
    <col min="15617" max="15619" width="6.21875" style="45" customWidth="1"/>
    <col min="15620" max="15620" width="10.44140625" style="45" customWidth="1"/>
    <col min="15621" max="15621" width="6.21875" style="45" customWidth="1"/>
    <col min="15622" max="15622" width="7.109375" style="45" customWidth="1"/>
    <col min="15623" max="15623" width="5.44140625" style="45" customWidth="1"/>
    <col min="15624" max="15624" width="8.5546875" style="45" customWidth="1"/>
    <col min="15625" max="15625" width="5.44140625" style="45" customWidth="1"/>
    <col min="15626" max="15626" width="6.21875" style="45" customWidth="1"/>
    <col min="15627" max="15627" width="5.44140625" style="45" customWidth="1"/>
    <col min="15628" max="15628" width="7.44140625" style="45" customWidth="1"/>
    <col min="15629" max="15629" width="5.44140625" style="45" customWidth="1"/>
    <col min="15630" max="15630" width="8.5546875" style="45" customWidth="1"/>
    <col min="15631" max="15631" width="7.44140625" style="45" customWidth="1"/>
    <col min="15632" max="15633" width="8.5546875" style="45" customWidth="1"/>
    <col min="15634" max="15634" width="5.44140625" style="45" customWidth="1"/>
    <col min="15635" max="15635" width="8.5546875" style="45" customWidth="1"/>
    <col min="15636" max="15636" width="7.44140625" style="45" customWidth="1"/>
    <col min="15637" max="15638" width="7.77734375" style="45" customWidth="1"/>
    <col min="15639" max="15639" width="8.5546875" style="45" customWidth="1"/>
    <col min="15640" max="15640" width="11" style="45" customWidth="1"/>
    <col min="15641" max="15641" width="11.21875" style="45" customWidth="1"/>
    <col min="15642" max="15642" width="6.21875" style="45" customWidth="1"/>
    <col min="15643" max="15872" width="10" style="45"/>
    <col min="15873" max="15875" width="6.21875" style="45" customWidth="1"/>
    <col min="15876" max="15876" width="10.44140625" style="45" customWidth="1"/>
    <col min="15877" max="15877" width="6.21875" style="45" customWidth="1"/>
    <col min="15878" max="15878" width="7.109375" style="45" customWidth="1"/>
    <col min="15879" max="15879" width="5.44140625" style="45" customWidth="1"/>
    <col min="15880" max="15880" width="8.5546875" style="45" customWidth="1"/>
    <col min="15881" max="15881" width="5.44140625" style="45" customWidth="1"/>
    <col min="15882" max="15882" width="6.21875" style="45" customWidth="1"/>
    <col min="15883" max="15883" width="5.44140625" style="45" customWidth="1"/>
    <col min="15884" max="15884" width="7.44140625" style="45" customWidth="1"/>
    <col min="15885" max="15885" width="5.44140625" style="45" customWidth="1"/>
    <col min="15886" max="15886" width="8.5546875" style="45" customWidth="1"/>
    <col min="15887" max="15887" width="7.44140625" style="45" customWidth="1"/>
    <col min="15888" max="15889" width="8.5546875" style="45" customWidth="1"/>
    <col min="15890" max="15890" width="5.44140625" style="45" customWidth="1"/>
    <col min="15891" max="15891" width="8.5546875" style="45" customWidth="1"/>
    <col min="15892" max="15892" width="7.44140625" style="45" customWidth="1"/>
    <col min="15893" max="15894" width="7.77734375" style="45" customWidth="1"/>
    <col min="15895" max="15895" width="8.5546875" style="45" customWidth="1"/>
    <col min="15896" max="15896" width="11" style="45" customWidth="1"/>
    <col min="15897" max="15897" width="11.21875" style="45" customWidth="1"/>
    <col min="15898" max="15898" width="6.21875" style="45" customWidth="1"/>
    <col min="15899" max="16128" width="10" style="45"/>
    <col min="16129" max="16131" width="6.21875" style="45" customWidth="1"/>
    <col min="16132" max="16132" width="10.44140625" style="45" customWidth="1"/>
    <col min="16133" max="16133" width="6.21875" style="45" customWidth="1"/>
    <col min="16134" max="16134" width="7.109375" style="45" customWidth="1"/>
    <col min="16135" max="16135" width="5.44140625" style="45" customWidth="1"/>
    <col min="16136" max="16136" width="8.5546875" style="45" customWidth="1"/>
    <col min="16137" max="16137" width="5.44140625" style="45" customWidth="1"/>
    <col min="16138" max="16138" width="6.21875" style="45" customWidth="1"/>
    <col min="16139" max="16139" width="5.44140625" style="45" customWidth="1"/>
    <col min="16140" max="16140" width="7.44140625" style="45" customWidth="1"/>
    <col min="16141" max="16141" width="5.44140625" style="45" customWidth="1"/>
    <col min="16142" max="16142" width="8.5546875" style="45" customWidth="1"/>
    <col min="16143" max="16143" width="7.44140625" style="45" customWidth="1"/>
    <col min="16144" max="16145" width="8.5546875" style="45" customWidth="1"/>
    <col min="16146" max="16146" width="5.44140625" style="45" customWidth="1"/>
    <col min="16147" max="16147" width="8.5546875" style="45" customWidth="1"/>
    <col min="16148" max="16148" width="7.44140625" style="45" customWidth="1"/>
    <col min="16149" max="16150" width="7.77734375" style="45" customWidth="1"/>
    <col min="16151" max="16151" width="8.5546875" style="45" customWidth="1"/>
    <col min="16152" max="16152" width="11" style="45" customWidth="1"/>
    <col min="16153" max="16153" width="11.21875" style="45" customWidth="1"/>
    <col min="16154" max="16154" width="6.21875" style="45" customWidth="1"/>
    <col min="16155" max="16384" width="10" style="45"/>
  </cols>
  <sheetData>
    <row r="1" spans="1:26" s="15" customFormat="1" ht="31.2" x14ac:dyDescent="0.25">
      <c r="A1" s="5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 t="s">
        <v>6</v>
      </c>
      <c r="H1" s="5" t="s">
        <v>7</v>
      </c>
      <c r="I1" s="6" t="s">
        <v>6</v>
      </c>
      <c r="J1" s="5" t="s">
        <v>8</v>
      </c>
      <c r="K1" s="6" t="s">
        <v>6</v>
      </c>
      <c r="L1" s="7" t="s">
        <v>9</v>
      </c>
      <c r="M1" s="8" t="s">
        <v>6</v>
      </c>
      <c r="N1" s="9" t="s">
        <v>10</v>
      </c>
      <c r="O1" s="10" t="s">
        <v>11</v>
      </c>
      <c r="P1" s="7" t="s">
        <v>12</v>
      </c>
      <c r="Q1" s="7" t="s">
        <v>13</v>
      </c>
      <c r="R1" s="8" t="s">
        <v>6</v>
      </c>
      <c r="S1" s="9" t="s">
        <v>10</v>
      </c>
      <c r="T1" s="10" t="s">
        <v>14</v>
      </c>
      <c r="U1" s="11" t="s">
        <v>15</v>
      </c>
      <c r="V1" s="11" t="s">
        <v>16</v>
      </c>
      <c r="W1" s="12" t="s">
        <v>17</v>
      </c>
      <c r="X1" s="13" t="s">
        <v>18</v>
      </c>
      <c r="Y1" s="14" t="s">
        <v>19</v>
      </c>
      <c r="Z1" s="15" t="s">
        <v>20</v>
      </c>
    </row>
    <row r="2" spans="1:26" ht="15.6" x14ac:dyDescent="0.25">
      <c r="A2" s="38">
        <v>38</v>
      </c>
      <c r="B2" s="17" t="s">
        <v>767</v>
      </c>
      <c r="C2" s="48">
        <v>201</v>
      </c>
      <c r="D2" s="49" t="s">
        <v>794</v>
      </c>
      <c r="E2" s="48" t="s">
        <v>65</v>
      </c>
      <c r="F2" s="50">
        <v>7.78</v>
      </c>
      <c r="G2" s="32">
        <f>IF(B2="高三",IF($E2="男",LOOKUP(F2,[1]对照表!$G$3:$G$24,[1]对照表!$H$3:$H$24),LOOKUP(F2,[1]对照表!$G$27:$G$48,[1]对照表!$H$27:$H$48)),IF(B2="高二",IF($E2="男",LOOKUP(F2,[1]对照表!$F$3:$F$24,[1]对照表!$H$3:$H$24),LOOKUP(F2,[1]对照表!$F$27:$F$48,[1]对照表!$H$27:$H$48)),IF(B2="高一",IF($E2="男",LOOKUP(F2,[1]对照表!$E$3:$E$24,[1]对照表!$H$3:$H$24),LOOKUP(F2,[1]对照表!$E$27:$E$48,[1]对照表!$H$27:$H$48)))))</f>
        <v>95</v>
      </c>
      <c r="H2" s="38">
        <v>23</v>
      </c>
      <c r="I2" s="32">
        <f>IF(B2="高三",IF($E2="男",LOOKUP(H2,[1]对照表!$K$3:$K$24,[1]对照表!$L$3:$L$24),LOOKUP(H2,[1]对照表!$K$27:$K$48,[1]对照表!$L$27:$L$48)),IF(B2="高二",IF($E2="男",LOOKUP(H2,[1]对照表!$J$3:$J$24,[1]对照表!$L$3:$L$24),LOOKUP(H2,[1]对照表!$J$27:$J$48,[1]对照表!$L$27:$L$48)),IF(B2="高一",IF($E2="男",LOOKUP(H2,[1]对照表!$I$3:$I$24,[1]对照表!$L$3:$L$24),LOOKUP(H2,[1]对照表!$I$27:$I$48,[1]对照表!$L$27:$L$48)))))</f>
        <v>90</v>
      </c>
      <c r="J2" s="38">
        <v>220</v>
      </c>
      <c r="K2" s="32">
        <f>IF(B2="高三",IF($E2="男",LOOKUP(J2,[1]对照表!$O$3:$O$24,[1]对照表!$P$3:$P$24),LOOKUP(J2,[1]对照表!$O$27:$O$48,[1]对照表!$P$27:$P$48)),IF(B2="高二",IF($E2="男",LOOKUP(J2,[1]对照表!$N$3:$N$24,[1]对照表!$P$3:$P$24),LOOKUP(J2,[1]对照表!$N$27:$N$48,[1]对照表!$P$27:$P$48)),IF(B2="高一",IF($E2="男",LOOKUP(J2,[1]对照表!$M$3:$M$24,[1]对照表!$P$3:$P$24),LOOKUP(J2,[1]对照表!$M$27:$M$48,[1]对照表!$P$27:$P$48)))))</f>
        <v>100</v>
      </c>
      <c r="L2" s="38">
        <v>59</v>
      </c>
      <c r="M2" s="32">
        <f>IF(B2="高三",IF($E2="男",LOOKUP(L2,[1]对照表!$S$3:$S$24,[1]对照表!$T$3:$T$24),LOOKUP(L2,[1]对照表!$S$27:$S$48,[1]对照表!$T$27:$T$48)),IF(B2="高二",IF($E2="男",LOOKUP(L2,[1]对照表!$R$3:$R$24,[1]对照表!$T$3:$T$24),LOOKUP(L2,[1]对照表!$R$27:$R$48,[1]对照表!$T$27:$T$48)),IF(B2="高一",IF($E2="男",LOOKUP(L2,[1]对照表!$Q$3:$Q$24,[1]对照表!$T$3:$T$24),LOOKUP(L2,[1]对照表!$Q$27:$Q$48,[1]对照表!$T$27:$T$48)))))</f>
        <v>100</v>
      </c>
      <c r="N2" s="33">
        <f>IF(B2="高三",MAX(IF(E2="男",L2-18,L2-55),0),IF(B2="高二",MAX(IF(E2="男",L2-17,L2-54),0),IF(B2="高一",MAX(IF(E2="男",L2-16,L2-53),0))))</f>
        <v>5</v>
      </c>
      <c r="O2" s="23">
        <f>IF(E2="男",LOOKUP($N2,[1]对照表!$Z$3:$Z$13,[1]对照表!$AA$3:$AA$13),LOOKUP($N2,[1]对照表!$Z$15:$Z$25,[1]对照表!$AA$15:$AA$25))</f>
        <v>2</v>
      </c>
      <c r="P2" s="25">
        <f>M2+O2</f>
        <v>102</v>
      </c>
      <c r="Q2" s="50">
        <v>3.24</v>
      </c>
      <c r="R2" s="32">
        <f>IF(B2="高三",IF($E2="男",LOOKUP(Q2,[1]对照表!$W$3:$W$24,[1]对照表!$X$3:$X$24),LOOKUP(Q2,[1]对照表!$W$27:$W$48,[1]对照表!$X$27:$X$48)),IF(B2="高二",IF($E2="男",LOOKUP(Q2,[1]对照表!$V$3:$V$24,[1]对照表!$X$3:$X$24),LOOKUP(Q2,[1]对照表!$V$27:$V$48,[1]对照表!$X$27:$X$48)),IF(B2="高一",IF($E2="男",LOOKUP(Q2,[1]对照表!$U$3:$U$24,[1]对照表!$X$3:$X$24),LOOKUP(Q2,[1]对照表!$U$27:$U$48,[1]对照表!$X$27:$X$48)))))</f>
        <v>95</v>
      </c>
      <c r="S2" s="33">
        <f>ROUND(IF(IF($B2="高三",MIN(IF($E2="男",$Q2-3.2,$Q2-3.2),0),IF($B2="高二",MIN(IF($E2="男",$Q2-3.25,$Q2-3.22),0),IF($B2="高一",MIN(IF($E2="男",$Q2-3.3,$Q2-3.24),0))))&lt;-0.6,IF($B2="高三",MIN(IF($E2="男",$Q2-3.2,$Q2-3.2),0),IF($B2="高二",MIN(IF($E2="男",$Q2-3.25,$Q2-3.22),0),IF($B2="高一",MIN(IF($E2="男",$Q2-3.3,$Q2-3.24),0))))+0.4,IF($B2="高三",MIN(IF($E2="男",$Q2-3.2,$Q2-3.2),0),IF($B2="高二",MIN(IF($E2="男",$Q2-3.25,$Q2-3.22),0),IF($B2="高一",MIN(IF($E2="男",$Q2-3.3,$Q2-3.24),0))))),2)</f>
        <v>0</v>
      </c>
      <c r="T2" s="23">
        <f>IF(E2="男",LOOKUP($S2,[1]对照表!$AB$3:$AB$13,[1]对照表!$AC$3:$AC$13),LOOKUP($S2,[1]对照表!$AB$15:$AB$25,[1]对照表!$AC$15:$AC$25))</f>
        <v>0</v>
      </c>
      <c r="U2" s="26">
        <f>R2+T2</f>
        <v>95</v>
      </c>
      <c r="V2" s="26">
        <f>SUM(I2,K2,M2)/3*0.3+SUM(G2,R2)/2*0.4</f>
        <v>67</v>
      </c>
      <c r="W2" s="27">
        <f>O2+T2</f>
        <v>2</v>
      </c>
      <c r="X2" s="28">
        <f>V2/0.7+W2</f>
        <v>97.714285714285722</v>
      </c>
      <c r="Y2" s="28">
        <f>X2</f>
        <v>97.714285714285722</v>
      </c>
      <c r="Z2" s="38"/>
    </row>
    <row r="3" spans="1:26" ht="15.6" x14ac:dyDescent="0.25">
      <c r="A3" s="48">
        <v>17</v>
      </c>
      <c r="B3" s="17" t="s">
        <v>767</v>
      </c>
      <c r="C3" s="38">
        <v>201</v>
      </c>
      <c r="D3" s="49" t="s">
        <v>803</v>
      </c>
      <c r="E3" s="49" t="s">
        <v>65</v>
      </c>
      <c r="F3" s="50">
        <v>8.6199999999999992</v>
      </c>
      <c r="G3" s="32">
        <f>IF(B3="高三",IF($E3="男",LOOKUP(F3,[1]对照表!$G$3:$G$24,[1]对照表!$H$3:$H$24),LOOKUP(F3,[1]对照表!$G$27:$G$48,[1]对照表!$H$27:$H$48)),IF(B3="高二",IF($E3="男",LOOKUP(F3,[1]对照表!$F$3:$F$24,[1]对照表!$H$3:$H$24),LOOKUP(F3,[1]对照表!$F$27:$F$48,[1]对照表!$H$27:$H$48)),IF(B3="高一",IF($E3="男",LOOKUP(F3,[1]对照表!$E$3:$E$24,[1]对照表!$H$3:$H$24),LOOKUP(F3,[1]对照表!$E$27:$E$48,[1]对照表!$H$27:$H$48)))))</f>
        <v>78</v>
      </c>
      <c r="H3" s="38">
        <v>23.5</v>
      </c>
      <c r="I3" s="32">
        <f>IF(B3="高三",IF($E3="男",LOOKUP(H3,[1]对照表!$K$3:$K$24,[1]对照表!$L$3:$L$24),LOOKUP(H3,[1]对照表!$K$27:$K$48,[1]对照表!$L$27:$L$48)),IF(B3="高二",IF($E3="男",LOOKUP(H3,[1]对照表!$J$3:$J$24,[1]对照表!$L$3:$L$24),LOOKUP(H3,[1]对照表!$J$27:$J$48,[1]对照表!$L$27:$L$48)),IF(B3="高一",IF($E3="男",LOOKUP(H3,[1]对照表!$I$3:$I$24,[1]对照表!$L$3:$L$24),LOOKUP(H3,[1]对照表!$I$27:$I$48,[1]对照表!$L$27:$L$48)))))</f>
        <v>95</v>
      </c>
      <c r="J3" s="38">
        <v>195</v>
      </c>
      <c r="K3" s="32">
        <f>IF(B3="高三",IF($E3="男",LOOKUP(J3,[1]对照表!$O$3:$O$24,[1]对照表!$P$3:$P$24),LOOKUP(J3,[1]对照表!$O$27:$O$48,[1]对照表!$P$27:$P$48)),IF(B3="高二",IF($E3="男",LOOKUP(J3,[1]对照表!$N$3:$N$24,[1]对照表!$P$3:$P$24),LOOKUP(J3,[1]对照表!$N$27:$N$48,[1]对照表!$P$27:$P$48)),IF(B3="高一",IF($E3="男",LOOKUP(J3,[1]对照表!$M$3:$M$24,[1]对照表!$P$3:$P$24),LOOKUP(J3,[1]对照表!$M$27:$M$48,[1]对照表!$P$27:$P$48)))))</f>
        <v>90</v>
      </c>
      <c r="L3" s="38">
        <v>58</v>
      </c>
      <c r="M3" s="32">
        <f>IF(B3="高三",IF($E3="男",LOOKUP(L3,[1]对照表!$S$3:$S$24,[1]对照表!$T$3:$T$24),LOOKUP(L3,[1]对照表!$S$27:$S$48,[1]对照表!$T$27:$T$48)),IF(B3="高二",IF($E3="男",LOOKUP(L3,[1]对照表!$R$3:$R$24,[1]对照表!$T$3:$T$24),LOOKUP(L3,[1]对照表!$R$27:$R$48,[1]对照表!$T$27:$T$48)),IF(B3="高一",IF($E3="男",LOOKUP(L3,[1]对照表!$Q$3:$Q$24,[1]对照表!$T$3:$T$24),LOOKUP(L3,[1]对照表!$Q$27:$Q$48,[1]对照表!$T$27:$T$48)))))</f>
        <v>100</v>
      </c>
      <c r="N3" s="33">
        <f>IF(B3="高三",MAX(IF(E3="男",L3-18,L3-55),0),IF(B3="高二",MAX(IF(E3="男",L3-17,L3-54),0),IF(B3="高一",MAX(IF(E3="男",L3-16,L3-53),0))))</f>
        <v>4</v>
      </c>
      <c r="O3" s="23">
        <f>IF(E3="男",LOOKUP($N3,[1]对照表!$Z$3:$Z$13,[1]对照表!$AA$3:$AA$13),LOOKUP($N3,[1]对照表!$Z$15:$Z$25,[1]对照表!$AA$15:$AA$25))</f>
        <v>2</v>
      </c>
      <c r="P3" s="25">
        <f>M3+O3</f>
        <v>102</v>
      </c>
      <c r="Q3" s="50">
        <v>3.09</v>
      </c>
      <c r="R3" s="32">
        <f>IF(B3="高三",IF($E3="男",LOOKUP(Q3,[1]对照表!$W$3:$W$24,[1]对照表!$X$3:$X$24),LOOKUP(Q3,[1]对照表!$W$27:$W$48,[1]对照表!$X$27:$X$48)),IF(B3="高二",IF($E3="男",LOOKUP(Q3,[1]对照表!$V$3:$V$24,[1]对照表!$X$3:$X$24),LOOKUP(Q3,[1]对照表!$V$27:$V$48,[1]对照表!$X$27:$X$48)),IF(B3="高一",IF($E3="男",LOOKUP(Q3,[1]对照表!$U$3:$U$24,[1]对照表!$X$3:$X$24),LOOKUP(Q3,[1]对照表!$U$27:$U$48,[1]对照表!$X$27:$X$48)))))</f>
        <v>100</v>
      </c>
      <c r="S3" s="33">
        <f>ROUND(IF(IF($B3="高三",MIN(IF($E3="男",$Q3-3.2,$Q3-3.2),0),IF($B3="高二",MIN(IF($E3="男",$Q3-3.25,$Q3-3.22),0),IF($B3="高一",MIN(IF($E3="男",$Q3-3.3,$Q3-3.24),0))))&lt;-0.6,IF($B3="高三",MIN(IF($E3="男",$Q3-3.2,$Q3-3.2),0),IF($B3="高二",MIN(IF($E3="男",$Q3-3.25,$Q3-3.22),0),IF($B3="高一",MIN(IF($E3="男",$Q3-3.3,$Q3-3.24),0))))+0.4,IF($B3="高三",MIN(IF($E3="男",$Q3-3.2,$Q3-3.2),0),IF($B3="高二",MIN(IF($E3="男",$Q3-3.25,$Q3-3.22),0),IF($B3="高一",MIN(IF($E3="男",$Q3-3.3,$Q3-3.24),0))))),2)</f>
        <v>-0.13</v>
      </c>
      <c r="T3" s="23">
        <f>IF(E3="男",LOOKUP($S3,[1]对照表!$AB$3:$AB$13,[1]对照表!$AC$3:$AC$13),LOOKUP($S3,[1]对照表!$AB$15:$AB$25,[1]对照表!$AC$15:$AC$25))</f>
        <v>2</v>
      </c>
      <c r="U3" s="26">
        <f>R3+T3</f>
        <v>102</v>
      </c>
      <c r="V3" s="26">
        <f>SUM(I3,K3,M3)/3*0.3+SUM(G3,R3)/2*0.4</f>
        <v>64.099999999999994</v>
      </c>
      <c r="W3" s="27">
        <f>O3+T3</f>
        <v>4</v>
      </c>
      <c r="X3" s="28">
        <f>V3/0.7+W3</f>
        <v>95.571428571428569</v>
      </c>
      <c r="Y3" s="28">
        <f>X3</f>
        <v>95.571428571428569</v>
      </c>
      <c r="Z3" s="38"/>
    </row>
    <row r="4" spans="1:26" ht="15.6" x14ac:dyDescent="0.25">
      <c r="A4" s="48">
        <v>8</v>
      </c>
      <c r="B4" s="17" t="s">
        <v>767</v>
      </c>
      <c r="C4" s="48">
        <v>201</v>
      </c>
      <c r="D4" s="49" t="s">
        <v>808</v>
      </c>
      <c r="E4" s="48" t="s">
        <v>23</v>
      </c>
      <c r="F4" s="50">
        <v>6.8</v>
      </c>
      <c r="G4" s="32">
        <f>IF(B4="高三",IF($E4="男",LOOKUP(F4,[1]对照表!$G$3:$G$24,[1]对照表!$H$3:$H$24),LOOKUP(F4,[1]对照表!$G$27:$G$48,[1]对照表!$H$27:$H$48)),IF(B4="高二",IF($E4="男",LOOKUP(F4,[1]对照表!$F$3:$F$24,[1]对照表!$H$3:$H$24),LOOKUP(F4,[1]对照表!$F$27:$F$48,[1]对照表!$H$27:$H$48)),IF(B4="高一",IF($E4="男",LOOKUP(F4,[1]对照表!$E$3:$E$24,[1]对照表!$H$3:$H$24),LOOKUP(F4,[1]对照表!$E$27:$E$48,[1]对照表!$H$27:$H$48)))))</f>
        <v>100</v>
      </c>
      <c r="H4" s="38">
        <v>18</v>
      </c>
      <c r="I4" s="32">
        <f>IF(B4="高三",IF($E4="男",LOOKUP(H4,[1]对照表!$K$3:$K$24,[1]对照表!$L$3:$L$24),LOOKUP(H4,[1]对照表!$K$27:$K$48,[1]对照表!$L$27:$L$48)),IF(B4="高二",IF($E4="男",LOOKUP(H4,[1]对照表!$J$3:$J$24,[1]对照表!$L$3:$L$24),LOOKUP(H4,[1]对照表!$J$27:$J$48,[1]对照表!$L$27:$L$48)),IF(B4="高一",IF($E4="男",LOOKUP(H4,[1]对照表!$I$3:$I$24,[1]对照表!$L$3:$L$24),LOOKUP(H4,[1]对照表!$I$27:$I$48,[1]对照表!$L$27:$L$48)))))</f>
        <v>80</v>
      </c>
      <c r="J4" s="38">
        <v>250</v>
      </c>
      <c r="K4" s="32">
        <f>IF(B4="高三",IF($E4="男",LOOKUP(J4,[1]对照表!$O$3:$O$24,[1]对照表!$P$3:$P$24),LOOKUP(J4,[1]对照表!$O$27:$O$48,[1]对照表!$P$27:$P$48)),IF(B4="高二",IF($E4="男",LOOKUP(J4,[1]对照表!$N$3:$N$24,[1]对照表!$P$3:$P$24),LOOKUP(J4,[1]对照表!$N$27:$N$48,[1]对照表!$P$27:$P$48)),IF(B4="高一",IF($E4="男",LOOKUP(J4,[1]对照表!$M$3:$M$24,[1]对照表!$P$3:$P$24),LOOKUP(J4,[1]对照表!$M$27:$M$48,[1]对照表!$P$27:$P$48)))))</f>
        <v>85</v>
      </c>
      <c r="L4" s="38">
        <v>27</v>
      </c>
      <c r="M4" s="32">
        <f>IF(B4="高三",IF($E4="男",LOOKUP(L4,[1]对照表!$S$3:$S$24,[1]对照表!$T$3:$T$24),LOOKUP(L4,[1]对照表!$S$27:$S$48,[1]对照表!$T$27:$T$48)),IF(B4="高二",IF($E4="男",LOOKUP(L4,[1]对照表!$R$3:$R$24,[1]对照表!$T$3:$T$24),LOOKUP(L4,[1]对照表!$R$27:$R$48,[1]对照表!$T$27:$T$48)),IF(B4="高一",IF($E4="男",LOOKUP(L4,[1]对照表!$Q$3:$Q$24,[1]对照表!$T$3:$T$24),LOOKUP(L4,[1]对照表!$Q$27:$Q$48,[1]对照表!$T$27:$T$48)))))</f>
        <v>100</v>
      </c>
      <c r="N4" s="33">
        <f>IF(B4="高三",MAX(IF(E4="男",L4-18,L4-55),0),IF(B4="高二",MAX(IF(E4="男",L4-17,L4-54),0),IF(B4="高一",MAX(IF(E4="男",L4-16,L4-53),0))))</f>
        <v>10</v>
      </c>
      <c r="O4" s="23">
        <f>IF(E4="男",LOOKUP($N4,[1]对照表!$Z$3:$Z$13,[1]对照表!$AA$3:$AA$13),LOOKUP($N4,[1]对照表!$Z$15:$Z$25,[1]对照表!$AA$15:$AA$25))</f>
        <v>10</v>
      </c>
      <c r="P4" s="25">
        <f>M4+O4</f>
        <v>110</v>
      </c>
      <c r="Q4" s="50">
        <v>3.27</v>
      </c>
      <c r="R4" s="32">
        <f>IF(B4="高三",IF($E4="男",LOOKUP(Q4,[1]对照表!$W$3:$W$24,[1]对照表!$X$3:$X$24),LOOKUP(Q4,[1]对照表!$W$27:$W$48,[1]对照表!$X$27:$X$48)),IF(B4="高二",IF($E4="男",LOOKUP(Q4,[1]对照表!$V$3:$V$24,[1]对照表!$X$3:$X$24),LOOKUP(Q4,[1]对照表!$V$27:$V$48,[1]对照表!$X$27:$X$48)),IF(B4="高一",IF($E4="男",LOOKUP(Q4,[1]对照表!$U$3:$U$24,[1]对照表!$X$3:$X$24),LOOKUP(Q4,[1]对照表!$U$27:$U$48,[1]对照表!$X$27:$X$48)))))</f>
        <v>95</v>
      </c>
      <c r="S4" s="33">
        <f>ROUND(IF(IF($B4="高三",MIN(IF($E4="男",$Q4-3.2,$Q4-3.2),0),IF($B4="高二",MIN(IF($E4="男",$Q4-3.25,$Q4-3.22),0),IF($B4="高一",MIN(IF($E4="男",$Q4-3.3,$Q4-3.24),0))))&lt;-0.6,IF($B4="高三",MIN(IF($E4="男",$Q4-3.2,$Q4-3.2),0),IF($B4="高二",MIN(IF($E4="男",$Q4-3.25,$Q4-3.22),0),IF($B4="高一",MIN(IF($E4="男",$Q4-3.3,$Q4-3.24),0))))+0.4,IF($B4="高三",MIN(IF($E4="男",$Q4-3.2,$Q4-3.2),0),IF($B4="高二",MIN(IF($E4="男",$Q4-3.25,$Q4-3.22),0),IF($B4="高一",MIN(IF($E4="男",$Q4-3.3,$Q4-3.24),0))))),2)</f>
        <v>0</v>
      </c>
      <c r="T4" s="23">
        <f>IF(E4="男",LOOKUP($S4,[1]对照表!$AB$3:$AB$13,[1]对照表!$AC$3:$AC$13),LOOKUP($S4,[1]对照表!$AB$15:$AB$25,[1]对照表!$AC$15:$AC$25))</f>
        <v>0</v>
      </c>
      <c r="U4" s="26">
        <f>R4+T4</f>
        <v>95</v>
      </c>
      <c r="V4" s="26">
        <f>SUM(I4,K4,M4)/3*0.3+SUM(G4,R4)/2*0.4</f>
        <v>65.5</v>
      </c>
      <c r="W4" s="27">
        <f>O4+T4</f>
        <v>10</v>
      </c>
      <c r="X4" s="28">
        <f>V4/0.7+W4</f>
        <v>103.57142857142858</v>
      </c>
      <c r="Y4" s="28">
        <f>X4</f>
        <v>103.57142857142858</v>
      </c>
      <c r="Z4" s="38"/>
    </row>
    <row r="5" spans="1:26" ht="15.6" x14ac:dyDescent="0.25">
      <c r="A5" s="38">
        <v>47</v>
      </c>
      <c r="B5" s="17" t="s">
        <v>767</v>
      </c>
      <c r="C5" s="48">
        <v>201</v>
      </c>
      <c r="D5" s="49" t="s">
        <v>818</v>
      </c>
      <c r="E5" s="48" t="s">
        <v>65</v>
      </c>
      <c r="F5" s="50">
        <v>8.33</v>
      </c>
      <c r="G5" s="32">
        <f>IF(B5="高三",IF($E5="男",LOOKUP(F5,[1]对照表!$G$3:$G$24,[1]对照表!$H$3:$H$24),LOOKUP(F5,[1]对照表!$G$27:$G$48,[1]对照表!$H$27:$H$48)),IF(B5="高二",IF($E5="男",LOOKUP(F5,[1]对照表!$F$3:$F$24,[1]对照表!$H$3:$H$24),LOOKUP(F5,[1]对照表!$F$27:$F$48,[1]对照表!$H$27:$H$48)),IF(B5="高一",IF($E5="男",LOOKUP(F5,[1]对照表!$E$3:$E$24,[1]对照表!$H$3:$H$24),LOOKUP(F5,[1]对照表!$E$27:$E$48,[1]对照表!$H$27:$H$48)))))</f>
        <v>80</v>
      </c>
      <c r="H5" s="38">
        <v>25.5</v>
      </c>
      <c r="I5" s="32">
        <f>IF(B5="高三",IF($E5="男",LOOKUP(H5,[1]对照表!$K$3:$K$24,[1]对照表!$L$3:$L$24),LOOKUP(H5,[1]对照表!$K$27:$K$48,[1]对照表!$L$27:$L$48)),IF(B5="高二",IF($E5="男",LOOKUP(H5,[1]对照表!$J$3:$J$24,[1]对照表!$L$3:$L$24),LOOKUP(H5,[1]对照表!$J$27:$J$48,[1]对照表!$L$27:$L$48)),IF(B5="高一",IF($E5="男",LOOKUP(H5,[1]对照表!$I$3:$I$24,[1]对照表!$L$3:$L$24),LOOKUP(H5,[1]对照表!$I$27:$I$48,[1]对照表!$L$27:$L$48)))))</f>
        <v>100</v>
      </c>
      <c r="J5" s="38">
        <v>209</v>
      </c>
      <c r="K5" s="32">
        <f>IF(B5="高三",IF($E5="男",LOOKUP(J5,[1]对照表!$O$3:$O$24,[1]对照表!$P$3:$P$24),LOOKUP(J5,[1]对照表!$O$27:$O$48,[1]对照表!$P$27:$P$48)),IF(B5="高二",IF($E5="男",LOOKUP(J5,[1]对照表!$N$3:$N$24,[1]对照表!$P$3:$P$24),LOOKUP(J5,[1]对照表!$N$27:$N$48,[1]对照表!$P$27:$P$48)),IF(B5="高一",IF($E5="男",LOOKUP(J5,[1]对照表!$M$3:$M$24,[1]对照表!$P$3:$P$24),LOOKUP(J5,[1]对照表!$M$27:$M$48,[1]对照表!$P$27:$P$48)))))</f>
        <v>100</v>
      </c>
      <c r="L5" s="38">
        <v>61</v>
      </c>
      <c r="M5" s="32">
        <f>IF(B5="高三",IF($E5="男",LOOKUP(L5,[1]对照表!$S$3:$S$24,[1]对照表!$T$3:$T$24),LOOKUP(L5,[1]对照表!$S$27:$S$48,[1]对照表!$T$27:$T$48)),IF(B5="高二",IF($E5="男",LOOKUP(L5,[1]对照表!$R$3:$R$24,[1]对照表!$T$3:$T$24),LOOKUP(L5,[1]对照表!$R$27:$R$48,[1]对照表!$T$27:$T$48)),IF(B5="高一",IF($E5="男",LOOKUP(L5,[1]对照表!$Q$3:$Q$24,[1]对照表!$T$3:$T$24),LOOKUP(L5,[1]对照表!$Q$27:$Q$48,[1]对照表!$T$27:$T$48)))))</f>
        <v>100</v>
      </c>
      <c r="N5" s="33">
        <f>IF(B5="高三",MAX(IF(E5="男",L5-18,L5-55),0),IF(B5="高二",MAX(IF(E5="男",L5-17,L5-54),0),IF(B5="高一",MAX(IF(E5="男",L5-16,L5-53),0))))</f>
        <v>7</v>
      </c>
      <c r="O5" s="23">
        <f>IF(E5="男",LOOKUP($N5,[1]对照表!$Z$3:$Z$13,[1]对照表!$AA$3:$AA$13),LOOKUP($N5,[1]对照表!$Z$15:$Z$25,[1]对照表!$AA$15:$AA$25))</f>
        <v>4</v>
      </c>
      <c r="P5" s="25">
        <f>M5+O5</f>
        <v>104</v>
      </c>
      <c r="Q5" s="50">
        <v>3.41</v>
      </c>
      <c r="R5" s="32">
        <f>IF(B5="高三",IF($E5="男",LOOKUP(Q5,[1]对照表!$W$3:$W$24,[1]对照表!$X$3:$X$24),LOOKUP(Q5,[1]对照表!$W$27:$W$48,[1]对照表!$X$27:$X$48)),IF(B5="高二",IF($E5="男",LOOKUP(Q5,[1]对照表!$V$3:$V$24,[1]对照表!$X$3:$X$24),LOOKUP(Q5,[1]对照表!$V$27:$V$48,[1]对照表!$X$27:$X$48)),IF(B5="高一",IF($E5="男",LOOKUP(Q5,[1]对照表!$U$3:$U$24,[1]对照表!$X$3:$X$24),LOOKUP(Q5,[1]对照表!$U$27:$U$48,[1]对照表!$X$27:$X$48)))))</f>
        <v>85</v>
      </c>
      <c r="S5" s="33">
        <f>ROUND(IF(IF($B5="高三",MIN(IF($E5="男",$Q5-3.2,$Q5-3.2),0),IF($B5="高二",MIN(IF($E5="男",$Q5-3.25,$Q5-3.22),0),IF($B5="高一",MIN(IF($E5="男",$Q5-3.3,$Q5-3.24),0))))&lt;-0.6,IF($B5="高三",MIN(IF($E5="男",$Q5-3.2,$Q5-3.2),0),IF($B5="高二",MIN(IF($E5="男",$Q5-3.25,$Q5-3.22),0),IF($B5="高一",MIN(IF($E5="男",$Q5-3.3,$Q5-3.24),0))))+0.4,IF($B5="高三",MIN(IF($E5="男",$Q5-3.2,$Q5-3.2),0),IF($B5="高二",MIN(IF($E5="男",$Q5-3.25,$Q5-3.22),0),IF($B5="高一",MIN(IF($E5="男",$Q5-3.3,$Q5-3.24),0))))),2)</f>
        <v>0</v>
      </c>
      <c r="T5" s="23">
        <f>IF(E5="男",LOOKUP($S5,[1]对照表!$AB$3:$AB$13,[1]对照表!$AC$3:$AC$13),LOOKUP($S5,[1]对照表!$AB$15:$AB$25,[1]对照表!$AC$15:$AC$25))</f>
        <v>0</v>
      </c>
      <c r="U5" s="26">
        <f>R5+T5</f>
        <v>85</v>
      </c>
      <c r="V5" s="26">
        <f>SUM(I5,K5,M5)/3*0.3+SUM(G5,R5)/2*0.4</f>
        <v>63</v>
      </c>
      <c r="W5" s="27">
        <f>O5+T5</f>
        <v>4</v>
      </c>
      <c r="X5" s="28">
        <f>V5/0.7+W5</f>
        <v>94</v>
      </c>
      <c r="Y5" s="28">
        <f>X5</f>
        <v>94</v>
      </c>
      <c r="Z5" s="38"/>
    </row>
    <row r="6" spans="1:26" ht="15.6" x14ac:dyDescent="0.25">
      <c r="A6" s="48">
        <v>45</v>
      </c>
      <c r="B6" s="17" t="s">
        <v>767</v>
      </c>
      <c r="C6" s="48">
        <v>201</v>
      </c>
      <c r="D6" s="49" t="s">
        <v>820</v>
      </c>
      <c r="E6" s="48" t="s">
        <v>65</v>
      </c>
      <c r="F6" s="50">
        <v>8.6</v>
      </c>
      <c r="G6" s="32">
        <f>IF(B6="高三",IF($E6="男",LOOKUP(F6,[1]对照表!$G$3:$G$24,[1]对照表!$H$3:$H$24),LOOKUP(F6,[1]对照表!$G$27:$G$48,[1]对照表!$H$27:$H$48)),IF(B6="高二",IF($E6="男",LOOKUP(F6,[1]对照表!$F$3:$F$24,[1]对照表!$H$3:$H$24),LOOKUP(F6,[1]对照表!$F$27:$F$48,[1]对照表!$H$27:$H$48)),IF(B6="高一",IF($E6="男",LOOKUP(F6,[1]对照表!$E$3:$E$24,[1]对照表!$H$3:$H$24),LOOKUP(F6,[1]对照表!$E$27:$E$48,[1]对照表!$H$27:$H$48)))))</f>
        <v>78</v>
      </c>
      <c r="H6" s="38">
        <v>17.5</v>
      </c>
      <c r="I6" s="32">
        <f>IF(B6="高三",IF($E6="男",LOOKUP(H6,[1]对照表!$K$3:$K$24,[1]对照表!$L$3:$L$24),LOOKUP(H6,[1]对照表!$K$27:$K$48,[1]对照表!$L$27:$L$48)),IF(B6="高二",IF($E6="男",LOOKUP(H6,[1]对照表!$J$3:$J$24,[1]对照表!$L$3:$L$24),LOOKUP(H6,[1]对照表!$J$27:$J$48,[1]对照表!$L$27:$L$48)),IF(B6="高一",IF($E6="男",LOOKUP(H6,[1]对照表!$I$3:$I$24,[1]对照表!$L$3:$L$24),LOOKUP(H6,[1]对照表!$I$27:$I$48,[1]对照表!$L$27:$L$48)))))</f>
        <v>78</v>
      </c>
      <c r="J6" s="38">
        <v>216</v>
      </c>
      <c r="K6" s="32">
        <f>IF(B6="高三",IF($E6="男",LOOKUP(J6,[1]对照表!$O$3:$O$24,[1]对照表!$P$3:$P$24),LOOKUP(J6,[1]对照表!$O$27:$O$48,[1]对照表!$P$27:$P$48)),IF(B6="高二",IF($E6="男",LOOKUP(J6,[1]对照表!$N$3:$N$24,[1]对照表!$P$3:$P$24),LOOKUP(J6,[1]对照表!$N$27:$N$48,[1]对照表!$P$27:$P$48)),IF(B6="高一",IF($E6="男",LOOKUP(J6,[1]对照表!$M$3:$M$24,[1]对照表!$P$3:$P$24),LOOKUP(J6,[1]对照表!$M$27:$M$48,[1]对照表!$P$27:$P$48)))))</f>
        <v>100</v>
      </c>
      <c r="L6" s="38">
        <v>56</v>
      </c>
      <c r="M6" s="32">
        <f>IF(B6="高三",IF($E6="男",LOOKUP(L6,[1]对照表!$S$3:$S$24,[1]对照表!$T$3:$T$24),LOOKUP(L6,[1]对照表!$S$27:$S$48,[1]对照表!$T$27:$T$48)),IF(B6="高二",IF($E6="男",LOOKUP(L6,[1]对照表!$R$3:$R$24,[1]对照表!$T$3:$T$24),LOOKUP(L6,[1]对照表!$R$27:$R$48,[1]对照表!$T$27:$T$48)),IF(B6="高一",IF($E6="男",LOOKUP(L6,[1]对照表!$Q$3:$Q$24,[1]对照表!$T$3:$T$24),LOOKUP(L6,[1]对照表!$Q$27:$Q$48,[1]对照表!$T$27:$T$48)))))</f>
        <v>100</v>
      </c>
      <c r="N6" s="33">
        <f>IF(B6="高三",MAX(IF(E6="男",L6-18,L6-55),0),IF(B6="高二",MAX(IF(E6="男",L6-17,L6-54),0),IF(B6="高一",MAX(IF(E6="男",L6-16,L6-53),0))))</f>
        <v>2</v>
      </c>
      <c r="O6" s="23">
        <f>IF(E6="男",LOOKUP($N6,[1]对照表!$Z$3:$Z$13,[1]对照表!$AA$3:$AA$13),LOOKUP($N6,[1]对照表!$Z$15:$Z$25,[1]对照表!$AA$15:$AA$25))</f>
        <v>1</v>
      </c>
      <c r="P6" s="25">
        <f>M6+O6</f>
        <v>101</v>
      </c>
      <c r="Q6" s="50">
        <v>3.09</v>
      </c>
      <c r="R6" s="32">
        <f>IF(B6="高三",IF($E6="男",LOOKUP(Q6,[1]对照表!$W$3:$W$24,[1]对照表!$X$3:$X$24),LOOKUP(Q6,[1]对照表!$W$27:$W$48,[1]对照表!$X$27:$X$48)),IF(B6="高二",IF($E6="男",LOOKUP(Q6,[1]对照表!$V$3:$V$24,[1]对照表!$X$3:$X$24),LOOKUP(Q6,[1]对照表!$V$27:$V$48,[1]对照表!$X$27:$X$48)),IF(B6="高一",IF($E6="男",LOOKUP(Q6,[1]对照表!$U$3:$U$24,[1]对照表!$X$3:$X$24),LOOKUP(Q6,[1]对照表!$U$27:$U$48,[1]对照表!$X$27:$X$48)))))</f>
        <v>100</v>
      </c>
      <c r="S6" s="33">
        <f>ROUND(IF(IF($B6="高三",MIN(IF($E6="男",$Q6-3.2,$Q6-3.2),0),IF($B6="高二",MIN(IF($E6="男",$Q6-3.25,$Q6-3.22),0),IF($B6="高一",MIN(IF($E6="男",$Q6-3.3,$Q6-3.24),0))))&lt;-0.6,IF($B6="高三",MIN(IF($E6="男",$Q6-3.2,$Q6-3.2),0),IF($B6="高二",MIN(IF($E6="男",$Q6-3.25,$Q6-3.22),0),IF($B6="高一",MIN(IF($E6="男",$Q6-3.3,$Q6-3.24),0))))+0.4,IF($B6="高三",MIN(IF($E6="男",$Q6-3.2,$Q6-3.2),0),IF($B6="高二",MIN(IF($E6="男",$Q6-3.25,$Q6-3.22),0),IF($B6="高一",MIN(IF($E6="男",$Q6-3.3,$Q6-3.24),0))))),2)</f>
        <v>-0.13</v>
      </c>
      <c r="T6" s="23">
        <f>IF(E6="男",LOOKUP($S6,[1]对照表!$AB$3:$AB$13,[1]对照表!$AC$3:$AC$13),LOOKUP($S6,[1]对照表!$AB$15:$AB$25,[1]对照表!$AC$15:$AC$25))</f>
        <v>2</v>
      </c>
      <c r="U6" s="26">
        <f>R6+T6</f>
        <v>102</v>
      </c>
      <c r="V6" s="26">
        <f>SUM(I6,K6,M6)/3*0.3+SUM(G6,R6)/2*0.4</f>
        <v>63.400000000000006</v>
      </c>
      <c r="W6" s="27">
        <f>O6+T6</f>
        <v>3</v>
      </c>
      <c r="X6" s="28">
        <f>V6/0.7+W6</f>
        <v>93.571428571428584</v>
      </c>
      <c r="Y6" s="28">
        <f>X6</f>
        <v>93.571428571428584</v>
      </c>
      <c r="Z6" s="38"/>
    </row>
    <row r="7" spans="1:26" ht="15.6" x14ac:dyDescent="0.25">
      <c r="A7" s="48">
        <v>3</v>
      </c>
      <c r="B7" s="17" t="s">
        <v>767</v>
      </c>
      <c r="C7" s="48">
        <v>201</v>
      </c>
      <c r="D7" s="49" t="s">
        <v>821</v>
      </c>
      <c r="E7" s="48" t="s">
        <v>23</v>
      </c>
      <c r="F7" s="50">
        <v>6.7</v>
      </c>
      <c r="G7" s="32">
        <f>IF(B7="高三",IF($E7="男",LOOKUP(F7,[1]对照表!$G$3:$G$24,[1]对照表!$H$3:$H$24),LOOKUP(F7,[1]对照表!$G$27:$G$48,[1]对照表!$H$27:$H$48)),IF(B7="高二",IF($E7="男",LOOKUP(F7,[1]对照表!$F$3:$F$24,[1]对照表!$H$3:$H$24),LOOKUP(F7,[1]对照表!$F$27:$F$48,[1]对照表!$H$27:$H$48)),IF(B7="高一",IF($E7="男",LOOKUP(F7,[1]对照表!$E$3:$E$24,[1]对照表!$H$3:$H$24),LOOKUP(F7,[1]对照表!$E$27:$E$48,[1]对照表!$H$27:$H$48)))))</f>
        <v>100</v>
      </c>
      <c r="H7" s="38">
        <v>17</v>
      </c>
      <c r="I7" s="32">
        <f>IF(B7="高三",IF($E7="男",LOOKUP(H7,[1]对照表!$K$3:$K$24,[1]对照表!$L$3:$L$24),LOOKUP(H7,[1]对照表!$K$27:$K$48,[1]对照表!$L$27:$L$48)),IF(B7="高二",IF($E7="男",LOOKUP(H7,[1]对照表!$J$3:$J$24,[1]对照表!$L$3:$L$24),LOOKUP(H7,[1]对照表!$J$27:$J$48,[1]对照表!$L$27:$L$48)),IF(B7="高一",IF($E7="男",LOOKUP(H7,[1]对照表!$I$3:$I$24,[1]对照表!$L$3:$L$24),LOOKUP(H7,[1]对照表!$I$27:$I$48,[1]对照表!$L$27:$L$48)))))</f>
        <v>80</v>
      </c>
      <c r="J7" s="38">
        <v>262</v>
      </c>
      <c r="K7" s="32">
        <f>IF(B7="高三",IF($E7="男",LOOKUP(J7,[1]对照表!$O$3:$O$24,[1]对照表!$P$3:$P$24),LOOKUP(J7,[1]对照表!$O$27:$O$48,[1]对照表!$P$27:$P$48)),IF(B7="高二",IF($E7="男",LOOKUP(J7,[1]对照表!$N$3:$N$24,[1]对照表!$P$3:$P$24),LOOKUP(J7,[1]对照表!$N$27:$N$48,[1]对照表!$P$27:$P$48)),IF(B7="高一",IF($E7="男",LOOKUP(J7,[1]对照表!$M$3:$M$24,[1]对照表!$P$3:$P$24),LOOKUP(J7,[1]对照表!$M$27:$M$48,[1]对照表!$P$27:$P$48)))))</f>
        <v>95</v>
      </c>
      <c r="L7" s="38">
        <v>24</v>
      </c>
      <c r="M7" s="32">
        <f>IF(B7="高三",IF($E7="男",LOOKUP(L7,[1]对照表!$S$3:$S$24,[1]对照表!$T$3:$T$24),LOOKUP(L7,[1]对照表!$S$27:$S$48,[1]对照表!$T$27:$T$48)),IF(B7="高二",IF($E7="男",LOOKUP(L7,[1]对照表!$R$3:$R$24,[1]对照表!$T$3:$T$24),LOOKUP(L7,[1]对照表!$R$27:$R$48,[1]对照表!$T$27:$T$48)),IF(B7="高一",IF($E7="男",LOOKUP(L7,[1]对照表!$Q$3:$Q$24,[1]对照表!$T$3:$T$24),LOOKUP(L7,[1]对照表!$Q$27:$Q$48,[1]对照表!$T$27:$T$48)))))</f>
        <v>100</v>
      </c>
      <c r="N7" s="33">
        <f>IF(B7="高三",MAX(IF(E7="男",L7-18,L7-55),0),IF(B7="高二",MAX(IF(E7="男",L7-17,L7-54),0),IF(B7="高一",MAX(IF(E7="男",L7-16,L7-53),0))))</f>
        <v>7</v>
      </c>
      <c r="O7" s="23">
        <f>IF(E7="男",LOOKUP($N7,[1]对照表!$Z$3:$Z$13,[1]对照表!$AA$3:$AA$13),LOOKUP($N7,[1]对照表!$Z$15:$Z$25,[1]对照表!$AA$15:$AA$25))</f>
        <v>7</v>
      </c>
      <c r="P7" s="25">
        <f>M7+O7</f>
        <v>107</v>
      </c>
      <c r="Q7" s="50">
        <v>3.24</v>
      </c>
      <c r="R7" s="32">
        <f>IF(B7="高三",IF($E7="男",LOOKUP(Q7,[1]对照表!$W$3:$W$24,[1]对照表!$X$3:$X$24),LOOKUP(Q7,[1]对照表!$W$27:$W$48,[1]对照表!$X$27:$X$48)),IF(B7="高二",IF($E7="男",LOOKUP(Q7,[1]对照表!$V$3:$V$24,[1]对照表!$X$3:$X$24),LOOKUP(Q7,[1]对照表!$V$27:$V$48,[1]对照表!$X$27:$X$48)),IF(B7="高一",IF($E7="男",LOOKUP(Q7,[1]对照表!$U$3:$U$24,[1]对照表!$X$3:$X$24),LOOKUP(Q7,[1]对照表!$U$27:$U$48,[1]对照表!$X$27:$X$48)))))</f>
        <v>100</v>
      </c>
      <c r="S7" s="33">
        <f>ROUND(IF(IF($B7="高三",MIN(IF($E7="男",$Q7-3.2,$Q7-3.2),0),IF($B7="高二",MIN(IF($E7="男",$Q7-3.25,$Q7-3.22),0),IF($B7="高一",MIN(IF($E7="男",$Q7-3.3,$Q7-3.24),0))))&lt;-0.6,IF($B7="高三",MIN(IF($E7="男",$Q7-3.2,$Q7-3.2),0),IF($B7="高二",MIN(IF($E7="男",$Q7-3.25,$Q7-3.22),0),IF($B7="高一",MIN(IF($E7="男",$Q7-3.3,$Q7-3.24),0))))+0.4,IF($B7="高三",MIN(IF($E7="男",$Q7-3.2,$Q7-3.2),0),IF($B7="高二",MIN(IF($E7="男",$Q7-3.25,$Q7-3.22),0),IF($B7="高一",MIN(IF($E7="男",$Q7-3.3,$Q7-3.24),0))))),2)</f>
        <v>-0.01</v>
      </c>
      <c r="T7" s="23">
        <f>IF(E7="男",LOOKUP($S7,[1]对照表!$AB$3:$AB$13,[1]对照表!$AC$3:$AC$13),LOOKUP($S7,[1]对照表!$AB$15:$AB$25,[1]对照表!$AC$15:$AC$25))</f>
        <v>0</v>
      </c>
      <c r="U7" s="26">
        <f>R7+T7</f>
        <v>100</v>
      </c>
      <c r="V7" s="26">
        <f>SUM(I7,K7,M7)/3*0.3+SUM(G7,R7)/2*0.4</f>
        <v>67.5</v>
      </c>
      <c r="W7" s="27">
        <f>O7+T7</f>
        <v>7</v>
      </c>
      <c r="X7" s="28">
        <f>V7/0.7+W7</f>
        <v>103.42857142857143</v>
      </c>
      <c r="Y7" s="28">
        <f>X7</f>
        <v>103.42857142857143</v>
      </c>
      <c r="Z7" s="38"/>
    </row>
    <row r="8" spans="1:26" ht="15.6" x14ac:dyDescent="0.25">
      <c r="A8" s="48">
        <v>21</v>
      </c>
      <c r="B8" s="17" t="s">
        <v>767</v>
      </c>
      <c r="C8" s="48">
        <v>201</v>
      </c>
      <c r="D8" s="49" t="s">
        <v>822</v>
      </c>
      <c r="E8" s="48" t="s">
        <v>65</v>
      </c>
      <c r="F8" s="50">
        <v>8.42</v>
      </c>
      <c r="G8" s="32">
        <f>IF(B8="高三",IF($E8="男",LOOKUP(F8,[1]对照表!$G$3:$G$24,[1]对照表!$H$3:$H$24),LOOKUP(F8,[1]对照表!$G$27:$G$48,[1]对照表!$H$27:$H$48)),IF(B8="高二",IF($E8="男",LOOKUP(F8,[1]对照表!$F$3:$F$24,[1]对照表!$H$3:$H$24),LOOKUP(F8,[1]对照表!$F$27:$F$48,[1]对照表!$H$27:$H$48)),IF(B8="高一",IF($E8="男",LOOKUP(F8,[1]对照表!$E$3:$E$24,[1]对照表!$H$3:$H$24),LOOKUP(F8,[1]对照表!$E$27:$E$48,[1]对照表!$H$27:$H$48)))))</f>
        <v>80</v>
      </c>
      <c r="H8" s="38">
        <v>26.2</v>
      </c>
      <c r="I8" s="32">
        <f>IF(B8="高三",IF($E8="男",LOOKUP(H8,[1]对照表!$K$3:$K$24,[1]对照表!$L$3:$L$24),LOOKUP(H8,[1]对照表!$K$27:$K$48,[1]对照表!$L$27:$L$48)),IF(B8="高二",IF($E8="男",LOOKUP(H8,[1]对照表!$J$3:$J$24,[1]对照表!$L$3:$L$24),LOOKUP(H8,[1]对照表!$J$27:$J$48,[1]对照表!$L$27:$L$48)),IF(B8="高一",IF($E8="男",LOOKUP(H8,[1]对照表!$I$3:$I$24,[1]对照表!$L$3:$L$24),LOOKUP(H8,[1]对照表!$I$27:$I$48,[1]对照表!$L$27:$L$48)))))</f>
        <v>100</v>
      </c>
      <c r="J8" s="38">
        <v>206</v>
      </c>
      <c r="K8" s="32">
        <f>IF(B8="高三",IF($E8="男",LOOKUP(J8,[1]对照表!$O$3:$O$24,[1]对照表!$P$3:$P$24),LOOKUP(J8,[1]对照表!$O$27:$O$48,[1]对照表!$P$27:$P$48)),IF(B8="高二",IF($E8="男",LOOKUP(J8,[1]对照表!$N$3:$N$24,[1]对照表!$P$3:$P$24),LOOKUP(J8,[1]对照表!$N$27:$N$48,[1]对照表!$P$27:$P$48)),IF(B8="高一",IF($E8="男",LOOKUP(J8,[1]对照表!$M$3:$M$24,[1]对照表!$P$3:$P$24),LOOKUP(J8,[1]对照表!$M$27:$M$48,[1]对照表!$P$27:$P$48)))))</f>
        <v>100</v>
      </c>
      <c r="L8" s="38">
        <v>58</v>
      </c>
      <c r="M8" s="32">
        <f>IF(B8="高三",IF($E8="男",LOOKUP(L8,[1]对照表!$S$3:$S$24,[1]对照表!$T$3:$T$24),LOOKUP(L8,[1]对照表!$S$27:$S$48,[1]对照表!$T$27:$T$48)),IF(B8="高二",IF($E8="男",LOOKUP(L8,[1]对照表!$R$3:$R$24,[1]对照表!$T$3:$T$24),LOOKUP(L8,[1]对照表!$R$27:$R$48,[1]对照表!$T$27:$T$48)),IF(B8="高一",IF($E8="男",LOOKUP(L8,[1]对照表!$Q$3:$Q$24,[1]对照表!$T$3:$T$24),LOOKUP(L8,[1]对照表!$Q$27:$Q$48,[1]对照表!$T$27:$T$48)))))</f>
        <v>100</v>
      </c>
      <c r="N8" s="33">
        <f>IF(B8="高三",MAX(IF(E8="男",L8-18,L8-55),0),IF(B8="高二",MAX(IF(E8="男",L8-17,L8-54),0),IF(B8="高一",MAX(IF(E8="男",L8-16,L8-53),0))))</f>
        <v>4</v>
      </c>
      <c r="O8" s="23">
        <f>IF(E8="男",LOOKUP($N8,[1]对照表!$Z$3:$Z$13,[1]对照表!$AA$3:$AA$13),LOOKUP($N8,[1]对照表!$Z$15:$Z$25,[1]对照表!$AA$15:$AA$25))</f>
        <v>2</v>
      </c>
      <c r="P8" s="25">
        <f>M8+O8</f>
        <v>102</v>
      </c>
      <c r="Q8" s="50">
        <v>3.3</v>
      </c>
      <c r="R8" s="32">
        <f>IF(B8="高三",IF($E8="男",LOOKUP(Q8,[1]对照表!$W$3:$W$24,[1]对照表!$X$3:$X$24),LOOKUP(Q8,[1]对照表!$W$27:$W$48,[1]对照表!$X$27:$X$48)),IF(B8="高二",IF($E8="男",LOOKUP(Q8,[1]对照表!$V$3:$V$24,[1]对照表!$X$3:$X$24),LOOKUP(Q8,[1]对照表!$V$27:$V$48,[1]对照表!$X$27:$X$48)),IF(B8="高一",IF($E8="男",LOOKUP(Q8,[1]对照表!$U$3:$U$24,[1]对照表!$X$3:$X$24),LOOKUP(Q8,[1]对照表!$U$27:$U$48,[1]对照表!$X$27:$X$48)))))</f>
        <v>90</v>
      </c>
      <c r="S8" s="33">
        <f>ROUND(IF(IF($B8="高三",MIN(IF($E8="男",$Q8-3.2,$Q8-3.2),0),IF($B8="高二",MIN(IF($E8="男",$Q8-3.25,$Q8-3.22),0),IF($B8="高一",MIN(IF($E8="男",$Q8-3.3,$Q8-3.24),0))))&lt;-0.6,IF($B8="高三",MIN(IF($E8="男",$Q8-3.2,$Q8-3.2),0),IF($B8="高二",MIN(IF($E8="男",$Q8-3.25,$Q8-3.22),0),IF($B8="高一",MIN(IF($E8="男",$Q8-3.3,$Q8-3.24),0))))+0.4,IF($B8="高三",MIN(IF($E8="男",$Q8-3.2,$Q8-3.2),0),IF($B8="高二",MIN(IF($E8="男",$Q8-3.25,$Q8-3.22),0),IF($B8="高一",MIN(IF($E8="男",$Q8-3.3,$Q8-3.24),0))))),2)</f>
        <v>0</v>
      </c>
      <c r="T8" s="23">
        <f>IF(E8="男",LOOKUP($S8,[1]对照表!$AB$3:$AB$13,[1]对照表!$AC$3:$AC$13),LOOKUP($S8,[1]对照表!$AB$15:$AB$25,[1]对照表!$AC$15:$AC$25))</f>
        <v>0</v>
      </c>
      <c r="U8" s="26">
        <f>R8+T8</f>
        <v>90</v>
      </c>
      <c r="V8" s="26">
        <f>SUM(I8,K8,M8)/3*0.3+SUM(G8,R8)/2*0.4</f>
        <v>64</v>
      </c>
      <c r="W8" s="27">
        <f>O8+T8</f>
        <v>2</v>
      </c>
      <c r="X8" s="28">
        <f>V8/0.7+W8</f>
        <v>93.428571428571431</v>
      </c>
      <c r="Y8" s="28">
        <f>X8</f>
        <v>93.428571428571431</v>
      </c>
      <c r="Z8" s="38"/>
    </row>
    <row r="9" spans="1:26" ht="15.6" x14ac:dyDescent="0.25">
      <c r="A9" s="48">
        <v>51</v>
      </c>
      <c r="B9" s="17" t="s">
        <v>767</v>
      </c>
      <c r="C9" s="48">
        <v>201</v>
      </c>
      <c r="D9" s="49" t="s">
        <v>830</v>
      </c>
      <c r="E9" s="48" t="s">
        <v>65</v>
      </c>
      <c r="F9" s="50">
        <v>8.06</v>
      </c>
      <c r="G9" s="32">
        <f>IF(B9="高三",IF($E9="男",LOOKUP(F9,[1]对照表!$G$3:$G$24,[1]对照表!$H$3:$H$24),LOOKUP(F9,[1]对照表!$G$27:$G$48,[1]对照表!$H$27:$H$48)),IF(B9="高二",IF($E9="男",LOOKUP(F9,[1]对照表!$F$3:$F$24,[1]对照表!$H$3:$H$24),LOOKUP(F9,[1]对照表!$F$27:$F$48,[1]对照表!$H$27:$H$48)),IF(B9="高一",IF($E9="男",LOOKUP(F9,[1]对照表!$E$3:$E$24,[1]对照表!$H$3:$H$24),LOOKUP(F9,[1]对照表!$E$27:$E$48,[1]对照表!$H$27:$H$48)))))</f>
        <v>85</v>
      </c>
      <c r="H9" s="38">
        <v>20.5</v>
      </c>
      <c r="I9" s="32">
        <f>IF(B9="高三",IF($E9="男",LOOKUP(H9,[1]对照表!$K$3:$K$24,[1]对照表!$L$3:$L$24),LOOKUP(H9,[1]对照表!$K$27:$K$48,[1]对照表!$L$27:$L$48)),IF(B9="高二",IF($E9="男",LOOKUP(H9,[1]对照表!$J$3:$J$24,[1]对照表!$L$3:$L$24),LOOKUP(H9,[1]对照表!$J$27:$J$48,[1]对照表!$L$27:$L$48)),IF(B9="高一",IF($E9="男",LOOKUP(H9,[1]对照表!$I$3:$I$24,[1]对照表!$L$3:$L$24),LOOKUP(H9,[1]对照表!$I$27:$I$48,[1]对照表!$L$27:$L$48)))))</f>
        <v>85</v>
      </c>
      <c r="J9" s="53">
        <v>200</v>
      </c>
      <c r="K9" s="32">
        <f>IF(B9="高三",IF($E9="男",LOOKUP(J9,[1]对照表!$O$3:$O$24,[1]对照表!$P$3:$P$24),LOOKUP(J9,[1]对照表!$O$27:$O$48,[1]对照表!$P$27:$P$48)),IF(B9="高二",IF($E9="男",LOOKUP(J9,[1]对照表!$N$3:$N$24,[1]对照表!$P$3:$P$24),LOOKUP(J9,[1]对照表!$N$27:$N$48,[1]对照表!$P$27:$P$48)),IF(B9="高一",IF($E9="男",LOOKUP(J9,[1]对照表!$M$3:$M$24,[1]对照表!$P$3:$P$24),LOOKUP(J9,[1]对照表!$M$27:$M$48,[1]对照表!$P$27:$P$48)))))</f>
        <v>95</v>
      </c>
      <c r="L9" s="38">
        <v>57</v>
      </c>
      <c r="M9" s="32">
        <f>IF(B9="高三",IF($E9="男",LOOKUP(L9,[1]对照表!$S$3:$S$24,[1]对照表!$T$3:$T$24),LOOKUP(L9,[1]对照表!$S$27:$S$48,[1]对照表!$T$27:$T$48)),IF(B9="高二",IF($E9="男",LOOKUP(L9,[1]对照表!$R$3:$R$24,[1]对照表!$T$3:$T$24),LOOKUP(L9,[1]对照表!$R$27:$R$48,[1]对照表!$T$27:$T$48)),IF(B9="高一",IF($E9="男",LOOKUP(L9,[1]对照表!$Q$3:$Q$24,[1]对照表!$T$3:$T$24),LOOKUP(L9,[1]对照表!$Q$27:$Q$48,[1]对照表!$T$27:$T$48)))))</f>
        <v>100</v>
      </c>
      <c r="N9" s="33">
        <f>IF(B9="高三",MAX(IF(E9="男",L9-18,L9-55),0),IF(B9="高二",MAX(IF(E9="男",L9-17,L9-54),0),IF(B9="高一",MAX(IF(E9="男",L9-16,L9-53),0))))</f>
        <v>3</v>
      </c>
      <c r="O9" s="23">
        <f>IF(E9="男",LOOKUP($N9,[1]对照表!$Z$3:$Z$13,[1]对照表!$AA$3:$AA$13),LOOKUP($N9,[1]对照表!$Z$15:$Z$25,[1]对照表!$AA$15:$AA$25))</f>
        <v>1</v>
      </c>
      <c r="P9" s="25">
        <f>M9+O9</f>
        <v>101</v>
      </c>
      <c r="Q9" s="50">
        <v>3.26</v>
      </c>
      <c r="R9" s="32">
        <f>IF(B9="高三",IF($E9="男",LOOKUP(Q9,[1]对照表!$W$3:$W$24,[1]对照表!$X$3:$X$24),LOOKUP(Q9,[1]对照表!$W$27:$W$48,[1]对照表!$X$27:$X$48)),IF(B9="高二",IF($E9="男",LOOKUP(Q9,[1]对照表!$V$3:$V$24,[1]对照表!$X$3:$X$24),LOOKUP(Q9,[1]对照表!$V$27:$V$48,[1]对照表!$X$27:$X$48)),IF(B9="高一",IF($E9="男",LOOKUP(Q9,[1]对照表!$U$3:$U$24,[1]对照表!$X$3:$X$24),LOOKUP(Q9,[1]对照表!$U$27:$U$48,[1]对照表!$X$27:$X$48)))))</f>
        <v>95</v>
      </c>
      <c r="S9" s="33">
        <f>ROUND(IF(IF($B9="高三",MIN(IF($E9="男",$Q9-3.2,$Q9-3.2),0),IF($B9="高二",MIN(IF($E9="男",$Q9-3.25,$Q9-3.22),0),IF($B9="高一",MIN(IF($E9="男",$Q9-3.3,$Q9-3.24),0))))&lt;-0.6,IF($B9="高三",MIN(IF($E9="男",$Q9-3.2,$Q9-3.2),0),IF($B9="高二",MIN(IF($E9="男",$Q9-3.25,$Q9-3.22),0),IF($B9="高一",MIN(IF($E9="男",$Q9-3.3,$Q9-3.24),0))))+0.4,IF($B9="高三",MIN(IF($E9="男",$Q9-3.2,$Q9-3.2),0),IF($B9="高二",MIN(IF($E9="男",$Q9-3.25,$Q9-3.22),0),IF($B9="高一",MIN(IF($E9="男",$Q9-3.3,$Q9-3.24),0))))),2)</f>
        <v>0</v>
      </c>
      <c r="T9" s="23">
        <f>IF(E9="男",LOOKUP($S9,[1]对照表!$AB$3:$AB$13,[1]对照表!$AC$3:$AC$13),LOOKUP($S9,[1]对照表!$AB$15:$AB$25,[1]对照表!$AC$15:$AC$25))</f>
        <v>0</v>
      </c>
      <c r="U9" s="26">
        <f>R9+T9</f>
        <v>95</v>
      </c>
      <c r="V9" s="26">
        <f>SUM(I9,K9,M9)/3*0.3+SUM(G9,R9)/2*0.4</f>
        <v>64</v>
      </c>
      <c r="W9" s="27">
        <f>O9+T9</f>
        <v>1</v>
      </c>
      <c r="X9" s="28">
        <f>V9/0.7+W9</f>
        <v>92.428571428571431</v>
      </c>
      <c r="Y9" s="28">
        <f>X9</f>
        <v>92.428571428571431</v>
      </c>
      <c r="Z9" s="38"/>
    </row>
    <row r="10" spans="1:26" ht="15.6" x14ac:dyDescent="0.25">
      <c r="A10" s="48">
        <v>20</v>
      </c>
      <c r="B10" s="17" t="s">
        <v>767</v>
      </c>
      <c r="C10" s="48">
        <v>201</v>
      </c>
      <c r="D10" s="49" t="s">
        <v>832</v>
      </c>
      <c r="E10" s="48" t="s">
        <v>65</v>
      </c>
      <c r="F10" s="50">
        <v>8.6999999999999993</v>
      </c>
      <c r="G10" s="32">
        <f>IF(B10="高三",IF($E10="男",LOOKUP(F10,[1]对照表!$G$3:$G$24,[1]对照表!$H$3:$H$24),LOOKUP(F10,[1]对照表!$G$27:$G$48,[1]对照表!$H$27:$H$48)),IF(B10="高二",IF($E10="男",LOOKUP(F10,[1]对照表!$F$3:$F$24,[1]对照表!$H$3:$H$24),LOOKUP(F10,[1]对照表!$F$27:$F$48,[1]对照表!$H$27:$H$48)),IF(B10="高一",IF($E10="男",LOOKUP(F10,[1]对照表!$E$3:$E$24,[1]对照表!$H$3:$H$24),LOOKUP(F10,[1]对照表!$E$27:$E$48,[1]对照表!$H$27:$H$48)))))</f>
        <v>78</v>
      </c>
      <c r="H10" s="38">
        <v>10</v>
      </c>
      <c r="I10" s="32">
        <f>IF(B10="高三",IF($E10="男",LOOKUP(H10,[1]对照表!$K$3:$K$24,[1]对照表!$L$3:$L$24),LOOKUP(H10,[1]对照表!$K$27:$K$48,[1]对照表!$L$27:$L$48)),IF(B10="高二",IF($E10="男",LOOKUP(H10,[1]对照表!$J$3:$J$24,[1]对照表!$L$3:$L$24),LOOKUP(H10,[1]对照表!$J$27:$J$48,[1]对照表!$L$27:$L$48)),IF(B10="高一",IF($E10="男",LOOKUP(H10,[1]对照表!$I$3:$I$24,[1]对照表!$L$3:$L$24),LOOKUP(H10,[1]对照表!$I$27:$I$48,[1]对照表!$L$27:$L$48)))))</f>
        <v>66</v>
      </c>
      <c r="J10" s="38">
        <v>206</v>
      </c>
      <c r="K10" s="32">
        <f>IF(B10="高三",IF($E10="男",LOOKUP(J10,[1]对照表!$O$3:$O$24,[1]对照表!$P$3:$P$24),LOOKUP(J10,[1]对照表!$O$27:$O$48,[1]对照表!$P$27:$P$48)),IF(B10="高二",IF($E10="男",LOOKUP(J10,[1]对照表!$N$3:$N$24,[1]对照表!$P$3:$P$24),LOOKUP(J10,[1]对照表!$N$27:$N$48,[1]对照表!$P$27:$P$48)),IF(B10="高一",IF($E10="男",LOOKUP(J10,[1]对照表!$M$3:$M$24,[1]对照表!$P$3:$P$24),LOOKUP(J10,[1]对照表!$M$27:$M$48,[1]对照表!$P$27:$P$48)))))</f>
        <v>100</v>
      </c>
      <c r="L10" s="38">
        <v>54</v>
      </c>
      <c r="M10" s="32">
        <f>IF(B10="高三",IF($E10="男",LOOKUP(L10,[1]对照表!$S$3:$S$24,[1]对照表!$T$3:$T$24),LOOKUP(L10,[1]对照表!$S$27:$S$48,[1]对照表!$T$27:$T$48)),IF(B10="高二",IF($E10="男",LOOKUP(L10,[1]对照表!$R$3:$R$24,[1]对照表!$T$3:$T$24),LOOKUP(L10,[1]对照表!$R$27:$R$48,[1]对照表!$T$27:$T$48)),IF(B10="高一",IF($E10="男",LOOKUP(L10,[1]对照表!$Q$3:$Q$24,[1]对照表!$T$3:$T$24),LOOKUP(L10,[1]对照表!$Q$27:$Q$48,[1]对照表!$T$27:$T$48)))))</f>
        <v>100</v>
      </c>
      <c r="N10" s="33">
        <f>IF(B10="高三",MAX(IF(E10="男",L10-18,L10-55),0),IF(B10="高二",MAX(IF(E10="男",L10-17,L10-54),0),IF(B10="高一",MAX(IF(E10="男",L10-16,L10-53),0))))</f>
        <v>0</v>
      </c>
      <c r="O10" s="23">
        <f>IF(E10="男",LOOKUP($N10,[1]对照表!$Z$3:$Z$13,[1]对照表!$AA$3:$AA$13),LOOKUP($N10,[1]对照表!$Z$15:$Z$25,[1]对照表!$AA$15:$AA$25))</f>
        <v>0</v>
      </c>
      <c r="P10" s="25">
        <f>M10+O10</f>
        <v>100</v>
      </c>
      <c r="Q10" s="50">
        <v>3.05</v>
      </c>
      <c r="R10" s="32">
        <f>IF(B10="高三",IF($E10="男",LOOKUP(Q10,[1]对照表!$W$3:$W$24,[1]对照表!$X$3:$X$24),LOOKUP(Q10,[1]对照表!$W$27:$W$48,[1]对照表!$X$27:$X$48)),IF(B10="高二",IF($E10="男",LOOKUP(Q10,[1]对照表!$V$3:$V$24,[1]对照表!$X$3:$X$24),LOOKUP(Q10,[1]对照表!$V$27:$V$48,[1]对照表!$X$27:$X$48)),IF(B10="高一",IF($E10="男",LOOKUP(Q10,[1]对照表!$U$3:$U$24,[1]对照表!$X$3:$X$24),LOOKUP(Q10,[1]对照表!$U$27:$U$48,[1]对照表!$X$27:$X$48)))))</f>
        <v>100</v>
      </c>
      <c r="S10" s="33">
        <f>ROUND(IF(IF($B10="高三",MIN(IF($E10="男",$Q10-3.2,$Q10-3.2),0),IF($B10="高二",MIN(IF($E10="男",$Q10-3.25,$Q10-3.22),0),IF($B10="高一",MIN(IF($E10="男",$Q10-3.3,$Q10-3.24),0))))&lt;-0.6,IF($B10="高三",MIN(IF($E10="男",$Q10-3.2,$Q10-3.2),0),IF($B10="高二",MIN(IF($E10="男",$Q10-3.25,$Q10-3.22),0),IF($B10="高一",MIN(IF($E10="男",$Q10-3.3,$Q10-3.24),0))))+0.4,IF($B10="高三",MIN(IF($E10="男",$Q10-3.2,$Q10-3.2),0),IF($B10="高二",MIN(IF($E10="男",$Q10-3.25,$Q10-3.22),0),IF($B10="高一",MIN(IF($E10="男",$Q10-3.3,$Q10-3.24),0))))),2)</f>
        <v>-0.17</v>
      </c>
      <c r="T10" s="23">
        <f>IF(E10="男",LOOKUP($S10,[1]对照表!$AB$3:$AB$13,[1]对照表!$AC$3:$AC$13),LOOKUP($S10,[1]对照表!$AB$15:$AB$25,[1]对照表!$AC$15:$AC$25))</f>
        <v>3</v>
      </c>
      <c r="U10" s="26">
        <f>R10+T10</f>
        <v>103</v>
      </c>
      <c r="V10" s="26">
        <f>SUM(I10,K10,M10)/3*0.3+SUM(G10,R10)/2*0.4</f>
        <v>62.2</v>
      </c>
      <c r="W10" s="27">
        <f>O10+T10</f>
        <v>3</v>
      </c>
      <c r="X10" s="28">
        <f>V10/0.7+W10</f>
        <v>91.857142857142861</v>
      </c>
      <c r="Y10" s="28">
        <f>X10</f>
        <v>91.857142857142861</v>
      </c>
      <c r="Z10" s="38"/>
    </row>
    <row r="11" spans="1:26" ht="15.6" x14ac:dyDescent="0.25">
      <c r="A11" s="48">
        <v>10</v>
      </c>
      <c r="B11" s="17" t="s">
        <v>767</v>
      </c>
      <c r="C11" s="48">
        <v>201</v>
      </c>
      <c r="D11" s="49" t="s">
        <v>833</v>
      </c>
      <c r="E11" s="49" t="s">
        <v>65</v>
      </c>
      <c r="F11" s="50">
        <v>8.49</v>
      </c>
      <c r="G11" s="32">
        <f>IF(B11="高三",IF($E11="男",LOOKUP(F11,[1]对照表!$G$3:$G$24,[1]对照表!$H$3:$H$24),LOOKUP(F11,[1]对照表!$G$27:$G$48,[1]对照表!$H$27:$H$48)),IF(B11="高二",IF($E11="男",LOOKUP(F11,[1]对照表!$F$3:$F$24,[1]对照表!$H$3:$H$24),LOOKUP(F11,[1]对照表!$F$27:$F$48,[1]对照表!$H$27:$H$48)),IF(B11="高一",IF($E11="男",LOOKUP(F11,[1]对照表!$E$3:$E$24,[1]对照表!$H$3:$H$24),LOOKUP(F11,[1]对照表!$E$27:$E$48,[1]对照表!$H$27:$H$48)))))</f>
        <v>80</v>
      </c>
      <c r="H11" s="38">
        <v>20</v>
      </c>
      <c r="I11" s="32">
        <f>IF(B11="高三",IF($E11="男",LOOKUP(H11,[1]对照表!$K$3:$K$24,[1]对照表!$L$3:$L$24),LOOKUP(H11,[1]对照表!$K$27:$K$48,[1]对照表!$L$27:$L$48)),IF(B11="高二",IF($E11="男",LOOKUP(H11,[1]对照表!$J$3:$J$24,[1]对照表!$L$3:$L$24),LOOKUP(H11,[1]对照表!$J$27:$J$48,[1]对照表!$L$27:$L$48)),IF(B11="高一",IF($E11="男",LOOKUP(H11,[1]对照表!$I$3:$I$24,[1]对照表!$L$3:$L$24),LOOKUP(H11,[1]对照表!$I$27:$I$48,[1]对照表!$L$27:$L$48)))))</f>
        <v>85</v>
      </c>
      <c r="J11" s="38">
        <v>195</v>
      </c>
      <c r="K11" s="32">
        <f>IF(B11="高三",IF($E11="男",LOOKUP(J11,[1]对照表!$O$3:$O$24,[1]对照表!$P$3:$P$24),LOOKUP(J11,[1]对照表!$O$27:$O$48,[1]对照表!$P$27:$P$48)),IF(B11="高二",IF($E11="男",LOOKUP(J11,[1]对照表!$N$3:$N$24,[1]对照表!$P$3:$P$24),LOOKUP(J11,[1]对照表!$N$27:$N$48,[1]对照表!$P$27:$P$48)),IF(B11="高一",IF($E11="男",LOOKUP(J11,[1]对照表!$M$3:$M$24,[1]对照表!$P$3:$P$24),LOOKUP(J11,[1]对照表!$M$27:$M$48,[1]对照表!$P$27:$P$48)))))</f>
        <v>90</v>
      </c>
      <c r="L11" s="38">
        <v>55</v>
      </c>
      <c r="M11" s="32">
        <f>IF(B11="高三",IF($E11="男",LOOKUP(L11,[1]对照表!$S$3:$S$24,[1]对照表!$T$3:$T$24),LOOKUP(L11,[1]对照表!$S$27:$S$48,[1]对照表!$T$27:$T$48)),IF(B11="高二",IF($E11="男",LOOKUP(L11,[1]对照表!$R$3:$R$24,[1]对照表!$T$3:$T$24),LOOKUP(L11,[1]对照表!$R$27:$R$48,[1]对照表!$T$27:$T$48)),IF(B11="高一",IF($E11="男",LOOKUP(L11,[1]对照表!$Q$3:$Q$24,[1]对照表!$T$3:$T$24),LOOKUP(L11,[1]对照表!$Q$27:$Q$48,[1]对照表!$T$27:$T$48)))))</f>
        <v>100</v>
      </c>
      <c r="N11" s="33">
        <f>IF(B11="高三",MAX(IF(E11="男",L11-18,L11-55),0),IF(B11="高二",MAX(IF(E11="男",L11-17,L11-54),0),IF(B11="高一",MAX(IF(E11="男",L11-16,L11-53),0))))</f>
        <v>1</v>
      </c>
      <c r="O11" s="23">
        <f>IF(E11="男",LOOKUP($N11,[1]对照表!$Z$3:$Z$13,[1]对照表!$AA$3:$AA$13),LOOKUP($N11,[1]对照表!$Z$15:$Z$25,[1]对照表!$AA$15:$AA$25))</f>
        <v>0</v>
      </c>
      <c r="P11" s="25">
        <f>M11+O11</f>
        <v>100</v>
      </c>
      <c r="Q11" s="50">
        <v>3.15</v>
      </c>
      <c r="R11" s="32">
        <f>IF(B11="高三",IF($E11="男",LOOKUP(Q11,[1]对照表!$W$3:$W$24,[1]对照表!$X$3:$X$24),LOOKUP(Q11,[1]对照表!$W$27:$W$48,[1]对照表!$X$27:$X$48)),IF(B11="高二",IF($E11="男",LOOKUP(Q11,[1]对照表!$V$3:$V$24,[1]对照表!$X$3:$X$24),LOOKUP(Q11,[1]对照表!$V$27:$V$48,[1]对照表!$X$27:$X$48)),IF(B11="高一",IF($E11="男",LOOKUP(Q11,[1]对照表!$U$3:$U$24,[1]对照表!$X$3:$X$24),LOOKUP(Q11,[1]对照表!$U$27:$U$48,[1]对照表!$X$27:$X$48)))))</f>
        <v>100</v>
      </c>
      <c r="S11" s="33">
        <f>ROUND(IF(IF($B11="高三",MIN(IF($E11="男",$Q11-3.2,$Q11-3.2),0),IF($B11="高二",MIN(IF($E11="男",$Q11-3.25,$Q11-3.22),0),IF($B11="高一",MIN(IF($E11="男",$Q11-3.3,$Q11-3.24),0))))&lt;-0.6,IF($B11="高三",MIN(IF($E11="男",$Q11-3.2,$Q11-3.2),0),IF($B11="高二",MIN(IF($E11="男",$Q11-3.25,$Q11-3.22),0),IF($B11="高一",MIN(IF($E11="男",$Q11-3.3,$Q11-3.24),0))))+0.4,IF($B11="高三",MIN(IF($E11="男",$Q11-3.2,$Q11-3.2),0),IF($B11="高二",MIN(IF($E11="男",$Q11-3.25,$Q11-3.22),0),IF($B11="高一",MIN(IF($E11="男",$Q11-3.3,$Q11-3.24),0))))),2)</f>
        <v>-7.0000000000000007E-2</v>
      </c>
      <c r="T11" s="23">
        <f>IF(E11="男",LOOKUP($S11,[1]对照表!$AB$3:$AB$13,[1]对照表!$AC$3:$AC$13),LOOKUP($S11,[1]对照表!$AB$15:$AB$25,[1]对照表!$AC$15:$AC$25))</f>
        <v>1</v>
      </c>
      <c r="U11" s="26">
        <f>R11+T11</f>
        <v>101</v>
      </c>
      <c r="V11" s="26">
        <f>SUM(I11,K11,M11)/3*0.3+SUM(G11,R11)/2*0.4</f>
        <v>63.5</v>
      </c>
      <c r="W11" s="27">
        <f>O11+T11</f>
        <v>1</v>
      </c>
      <c r="X11" s="28">
        <f>V11/0.7+W11</f>
        <v>91.714285714285722</v>
      </c>
      <c r="Y11" s="28">
        <f>X11</f>
        <v>91.714285714285722</v>
      </c>
      <c r="Z11" s="38"/>
    </row>
    <row r="12" spans="1:26" ht="15.6" x14ac:dyDescent="0.25">
      <c r="A12" s="48">
        <v>22</v>
      </c>
      <c r="B12" s="17" t="s">
        <v>767</v>
      </c>
      <c r="C12" s="48">
        <v>201</v>
      </c>
      <c r="D12" s="49" t="s">
        <v>836</v>
      </c>
      <c r="E12" s="48" t="s">
        <v>65</v>
      </c>
      <c r="F12" s="50">
        <v>8.2100000000000009</v>
      </c>
      <c r="G12" s="32">
        <f>IF(B12="高三",IF($E12="男",LOOKUP(F12,[1]对照表!$G$3:$G$24,[1]对照表!$H$3:$H$24),LOOKUP(F12,[1]对照表!$G$27:$G$48,[1]对照表!$H$27:$H$48)),IF(B12="高二",IF($E12="男",LOOKUP(F12,[1]对照表!$F$3:$F$24,[1]对照表!$H$3:$H$24),LOOKUP(F12,[1]对照表!$F$27:$F$48,[1]对照表!$H$27:$H$48)),IF(B12="高一",IF($E12="男",LOOKUP(F12,[1]对照表!$E$3:$E$24,[1]对照表!$H$3:$H$24),LOOKUP(F12,[1]对照表!$E$27:$E$48,[1]对照表!$H$27:$H$48)))))</f>
        <v>80</v>
      </c>
      <c r="H12" s="38">
        <v>17.5</v>
      </c>
      <c r="I12" s="32">
        <f>IF(B12="高三",IF($E12="男",LOOKUP(H12,[1]对照表!$K$3:$K$24,[1]对照表!$L$3:$L$24),LOOKUP(H12,[1]对照表!$K$27:$K$48,[1]对照表!$L$27:$L$48)),IF(B12="高二",IF($E12="男",LOOKUP(H12,[1]对照表!$J$3:$J$24,[1]对照表!$L$3:$L$24),LOOKUP(H12,[1]对照表!$J$27:$J$48,[1]对照表!$L$27:$L$48)),IF(B12="高一",IF($E12="男",LOOKUP(H12,[1]对照表!$I$3:$I$24,[1]对照表!$L$3:$L$24),LOOKUP(H12,[1]对照表!$I$27:$I$48,[1]对照表!$L$27:$L$48)))))</f>
        <v>78</v>
      </c>
      <c r="J12" s="38">
        <v>200</v>
      </c>
      <c r="K12" s="32">
        <f>IF(B12="高三",IF($E12="男",LOOKUP(J12,[1]对照表!$O$3:$O$24,[1]对照表!$P$3:$P$24),LOOKUP(J12,[1]对照表!$O$27:$O$48,[1]对照表!$P$27:$P$48)),IF(B12="高二",IF($E12="男",LOOKUP(J12,[1]对照表!$N$3:$N$24,[1]对照表!$P$3:$P$24),LOOKUP(J12,[1]对照表!$N$27:$N$48,[1]对照表!$P$27:$P$48)),IF(B12="高一",IF($E12="男",LOOKUP(J12,[1]对照表!$M$3:$M$24,[1]对照表!$P$3:$P$24),LOOKUP(J12,[1]对照表!$M$27:$M$48,[1]对照表!$P$27:$P$48)))))</f>
        <v>95</v>
      </c>
      <c r="L12" s="38">
        <v>54</v>
      </c>
      <c r="M12" s="32">
        <f>IF(B12="高三",IF($E12="男",LOOKUP(L12,[1]对照表!$S$3:$S$24,[1]对照表!$T$3:$T$24),LOOKUP(L12,[1]对照表!$S$27:$S$48,[1]对照表!$T$27:$T$48)),IF(B12="高二",IF($E12="男",LOOKUP(L12,[1]对照表!$R$3:$R$24,[1]对照表!$T$3:$T$24),LOOKUP(L12,[1]对照表!$R$27:$R$48,[1]对照表!$T$27:$T$48)),IF(B12="高一",IF($E12="男",LOOKUP(L12,[1]对照表!$Q$3:$Q$24,[1]对照表!$T$3:$T$24),LOOKUP(L12,[1]对照表!$Q$27:$Q$48,[1]对照表!$T$27:$T$48)))))</f>
        <v>100</v>
      </c>
      <c r="N12" s="33">
        <f>IF(B12="高三",MAX(IF(E12="男",L12-18,L12-55),0),IF(B12="高二",MAX(IF(E12="男",L12-17,L12-54),0),IF(B12="高一",MAX(IF(E12="男",L12-16,L12-53),0))))</f>
        <v>0</v>
      </c>
      <c r="O12" s="23">
        <f>IF(E12="男",LOOKUP($N12,[1]对照表!$Z$3:$Z$13,[1]对照表!$AA$3:$AA$13),LOOKUP($N12,[1]对照表!$Z$15:$Z$25,[1]对照表!$AA$15:$AA$25))</f>
        <v>0</v>
      </c>
      <c r="P12" s="25">
        <f>M12+O12</f>
        <v>100</v>
      </c>
      <c r="Q12" s="50">
        <v>3.13</v>
      </c>
      <c r="R12" s="32">
        <f>IF(B12="高三",IF($E12="男",LOOKUP(Q12,[1]对照表!$W$3:$W$24,[1]对照表!$X$3:$X$24),LOOKUP(Q12,[1]对照表!$W$27:$W$48,[1]对照表!$X$27:$X$48)),IF(B12="高二",IF($E12="男",LOOKUP(Q12,[1]对照表!$V$3:$V$24,[1]对照表!$X$3:$X$24),LOOKUP(Q12,[1]对照表!$V$27:$V$48,[1]对照表!$X$27:$X$48)),IF(B12="高一",IF($E12="男",LOOKUP(Q12,[1]对照表!$U$3:$U$24,[1]对照表!$X$3:$X$24),LOOKUP(Q12,[1]对照表!$U$27:$U$48,[1]对照表!$X$27:$X$48)))))</f>
        <v>100</v>
      </c>
      <c r="S12" s="33">
        <f>ROUND(IF(IF($B12="高三",MIN(IF($E12="男",$Q12-3.2,$Q12-3.2),0),IF($B12="高二",MIN(IF($E12="男",$Q12-3.25,$Q12-3.22),0),IF($B12="高一",MIN(IF($E12="男",$Q12-3.3,$Q12-3.24),0))))&lt;-0.6,IF($B12="高三",MIN(IF($E12="男",$Q12-3.2,$Q12-3.2),0),IF($B12="高二",MIN(IF($E12="男",$Q12-3.25,$Q12-3.22),0),IF($B12="高一",MIN(IF($E12="男",$Q12-3.3,$Q12-3.24),0))))+0.4,IF($B12="高三",MIN(IF($E12="男",$Q12-3.2,$Q12-3.2),0),IF($B12="高二",MIN(IF($E12="男",$Q12-3.25,$Q12-3.22),0),IF($B12="高一",MIN(IF($E12="男",$Q12-3.3,$Q12-3.24),0))))),2)</f>
        <v>-0.09</v>
      </c>
      <c r="T12" s="23">
        <f>IF(E12="男",LOOKUP($S12,[1]对照表!$AB$3:$AB$13,[1]对照表!$AC$3:$AC$13),LOOKUP($S12,[1]对照表!$AB$15:$AB$25,[1]对照表!$AC$15:$AC$25))</f>
        <v>1</v>
      </c>
      <c r="U12" s="26">
        <f>R12+T12</f>
        <v>101</v>
      </c>
      <c r="V12" s="26">
        <f>SUM(I12,K12,M12)/3*0.3+SUM(G12,R12)/2*0.4</f>
        <v>63.3</v>
      </c>
      <c r="W12" s="27">
        <f>O12+T12</f>
        <v>1</v>
      </c>
      <c r="X12" s="28">
        <f>V12/0.7+W12</f>
        <v>91.428571428571431</v>
      </c>
      <c r="Y12" s="28">
        <f>X12</f>
        <v>91.428571428571431</v>
      </c>
      <c r="Z12" s="38"/>
    </row>
    <row r="13" spans="1:26" ht="15.6" x14ac:dyDescent="0.25">
      <c r="A13" s="48">
        <v>14</v>
      </c>
      <c r="B13" s="17" t="s">
        <v>767</v>
      </c>
      <c r="C13" s="48">
        <v>201</v>
      </c>
      <c r="D13" s="49" t="s">
        <v>848</v>
      </c>
      <c r="E13" s="49" t="s">
        <v>65</v>
      </c>
      <c r="F13" s="50">
        <v>8.2200000000000006</v>
      </c>
      <c r="G13" s="32">
        <f>IF(B13="高三",IF($E13="男",LOOKUP(F13,[1]对照表!$G$3:$G$24,[1]对照表!$H$3:$H$24),LOOKUP(F13,[1]对照表!$G$27:$G$48,[1]对照表!$H$27:$H$48)),IF(B13="高二",IF($E13="男",LOOKUP(F13,[1]对照表!$F$3:$F$24,[1]对照表!$H$3:$H$24),LOOKUP(F13,[1]对照表!$F$27:$F$48,[1]对照表!$H$27:$H$48)),IF(B13="高一",IF($E13="男",LOOKUP(F13,[1]对照表!$E$3:$E$24,[1]对照表!$H$3:$H$24),LOOKUP(F13,[1]对照表!$E$27:$E$48,[1]对照表!$H$27:$H$48)))))</f>
        <v>80</v>
      </c>
      <c r="H13" s="38">
        <v>25</v>
      </c>
      <c r="I13" s="32">
        <f>IF(B13="高三",IF($E13="男",LOOKUP(H13,[1]对照表!$K$3:$K$24,[1]对照表!$L$3:$L$24),LOOKUP(H13,[1]对照表!$K$27:$K$48,[1]对照表!$L$27:$L$48)),IF(B13="高二",IF($E13="男",LOOKUP(H13,[1]对照表!$J$3:$J$24,[1]对照表!$L$3:$L$24),LOOKUP(H13,[1]对照表!$J$27:$J$48,[1]对照表!$L$27:$L$48)),IF(B13="高一",IF($E13="男",LOOKUP(H13,[1]对照表!$I$3:$I$24,[1]对照表!$L$3:$L$24),LOOKUP(H13,[1]对照表!$I$27:$I$48,[1]对照表!$L$27:$L$48)))))</f>
        <v>100</v>
      </c>
      <c r="J13" s="38">
        <v>195</v>
      </c>
      <c r="K13" s="32">
        <f>IF(B13="高三",IF($E13="男",LOOKUP(J13,[1]对照表!$O$3:$O$24,[1]对照表!$P$3:$P$24),LOOKUP(J13,[1]对照表!$O$27:$O$48,[1]对照表!$P$27:$P$48)),IF(B13="高二",IF($E13="男",LOOKUP(J13,[1]对照表!$N$3:$N$24,[1]对照表!$P$3:$P$24),LOOKUP(J13,[1]对照表!$N$27:$N$48,[1]对照表!$P$27:$P$48)),IF(B13="高一",IF($E13="男",LOOKUP(J13,[1]对照表!$M$3:$M$24,[1]对照表!$P$3:$P$24),LOOKUP(J13,[1]对照表!$M$27:$M$48,[1]对照表!$P$27:$P$48)))))</f>
        <v>90</v>
      </c>
      <c r="L13" s="38">
        <v>50</v>
      </c>
      <c r="M13" s="32">
        <f>IF(B13="高三",IF($E13="男",LOOKUP(L13,[1]对照表!$S$3:$S$24,[1]对照表!$T$3:$T$24),LOOKUP(L13,[1]对照表!$S$27:$S$48,[1]对照表!$T$27:$T$48)),IF(B13="高二",IF($E13="男",LOOKUP(L13,[1]对照表!$R$3:$R$24,[1]对照表!$T$3:$T$24),LOOKUP(L13,[1]对照表!$R$27:$R$48,[1]对照表!$T$27:$T$48)),IF(B13="高一",IF($E13="男",LOOKUP(L13,[1]对照表!$Q$3:$Q$24,[1]对照表!$T$3:$T$24),LOOKUP(L13,[1]对照表!$Q$27:$Q$48,[1]对照表!$T$27:$T$48)))))</f>
        <v>90</v>
      </c>
      <c r="N13" s="33">
        <f>IF(B13="高三",MAX(IF(E13="男",L13-18,L13-55),0),IF(B13="高二",MAX(IF(E13="男",L13-17,L13-54),0),IF(B13="高一",MAX(IF(E13="男",L13-16,L13-53),0))))</f>
        <v>0</v>
      </c>
      <c r="O13" s="23">
        <f>IF(E13="男",LOOKUP($N13,[1]对照表!$Z$3:$Z$13,[1]对照表!$AA$3:$AA$13),LOOKUP($N13,[1]对照表!$Z$15:$Z$25,[1]对照表!$AA$15:$AA$25))</f>
        <v>0</v>
      </c>
      <c r="P13" s="25">
        <f>M13+O13</f>
        <v>90</v>
      </c>
      <c r="Q13" s="50">
        <v>3.28</v>
      </c>
      <c r="R13" s="32">
        <f>IF(B13="高三",IF($E13="男",LOOKUP(Q13,[1]对照表!$W$3:$W$24,[1]对照表!$X$3:$X$24),LOOKUP(Q13,[1]对照表!$W$27:$W$48,[1]对照表!$X$27:$X$48)),IF(B13="高二",IF($E13="男",LOOKUP(Q13,[1]对照表!$V$3:$V$24,[1]对照表!$X$3:$X$24),LOOKUP(Q13,[1]对照表!$V$27:$V$48,[1]对照表!$X$27:$X$48)),IF(B13="高一",IF($E13="男",LOOKUP(Q13,[1]对照表!$U$3:$U$24,[1]对照表!$X$3:$X$24),LOOKUP(Q13,[1]对照表!$U$27:$U$48,[1]对照表!$X$27:$X$48)))))</f>
        <v>95</v>
      </c>
      <c r="S13" s="33">
        <f>ROUND(IF(IF($B13="高三",MIN(IF($E13="男",$Q13-3.2,$Q13-3.2),0),IF($B13="高二",MIN(IF($E13="男",$Q13-3.25,$Q13-3.22),0),IF($B13="高一",MIN(IF($E13="男",$Q13-3.3,$Q13-3.24),0))))&lt;-0.6,IF($B13="高三",MIN(IF($E13="男",$Q13-3.2,$Q13-3.2),0),IF($B13="高二",MIN(IF($E13="男",$Q13-3.25,$Q13-3.22),0),IF($B13="高一",MIN(IF($E13="男",$Q13-3.3,$Q13-3.24),0))))+0.4,IF($B13="高三",MIN(IF($E13="男",$Q13-3.2,$Q13-3.2),0),IF($B13="高二",MIN(IF($E13="男",$Q13-3.25,$Q13-3.22),0),IF($B13="高一",MIN(IF($E13="男",$Q13-3.3,$Q13-3.24),0))))),2)</f>
        <v>0</v>
      </c>
      <c r="T13" s="23">
        <f>IF(E13="男",LOOKUP($S13,[1]对照表!$AB$3:$AB$13,[1]对照表!$AC$3:$AC$13),LOOKUP($S13,[1]对照表!$AB$15:$AB$25,[1]对照表!$AC$15:$AC$25))</f>
        <v>0</v>
      </c>
      <c r="U13" s="26">
        <f>R13+T13</f>
        <v>95</v>
      </c>
      <c r="V13" s="26">
        <f>SUM(I13,K13,M13)/3*0.3+SUM(G13,R13)/2*0.4</f>
        <v>63</v>
      </c>
      <c r="W13" s="27">
        <f>O13+T13</f>
        <v>0</v>
      </c>
      <c r="X13" s="28">
        <f>V13/0.7+W13</f>
        <v>90</v>
      </c>
      <c r="Y13" s="28">
        <f>X13</f>
        <v>90</v>
      </c>
      <c r="Z13" s="38"/>
    </row>
    <row r="14" spans="1:26" ht="15.6" x14ac:dyDescent="0.25">
      <c r="A14" s="48">
        <v>9</v>
      </c>
      <c r="B14" s="17" t="s">
        <v>767</v>
      </c>
      <c r="C14" s="48">
        <v>201</v>
      </c>
      <c r="D14" s="49" t="s">
        <v>850</v>
      </c>
      <c r="E14" s="49" t="s">
        <v>65</v>
      </c>
      <c r="F14" s="50">
        <v>8.8699999999999992</v>
      </c>
      <c r="G14" s="32">
        <f>IF(B14="高三",IF($E14="男",LOOKUP(F14,[1]对照表!$G$3:$G$24,[1]对照表!$H$3:$H$24),LOOKUP(F14,[1]对照表!$G$27:$G$48,[1]对照表!$H$27:$H$48)),IF(B14="高二",IF($E14="男",LOOKUP(F14,[1]对照表!$F$3:$F$24,[1]对照表!$H$3:$H$24),LOOKUP(F14,[1]对照表!$F$27:$F$48,[1]对照表!$H$27:$H$48)),IF(B14="高一",IF($E14="男",LOOKUP(F14,[1]对照表!$E$3:$E$24,[1]对照表!$H$3:$H$24),LOOKUP(F14,[1]对照表!$E$27:$E$48,[1]对照表!$H$27:$H$48)))))</f>
        <v>76</v>
      </c>
      <c r="H14" s="38">
        <v>25</v>
      </c>
      <c r="I14" s="32">
        <f>IF(B14="高三",IF($E14="男",LOOKUP(H14,[1]对照表!$K$3:$K$24,[1]对照表!$L$3:$L$24),LOOKUP(H14,[1]对照表!$K$27:$K$48,[1]对照表!$L$27:$L$48)),IF(B14="高二",IF($E14="男",LOOKUP(H14,[1]对照表!$J$3:$J$24,[1]对照表!$L$3:$L$24),LOOKUP(H14,[1]对照表!$J$27:$J$48,[1]对照表!$L$27:$L$48)),IF(B14="高一",IF($E14="男",LOOKUP(H14,[1]对照表!$I$3:$I$24,[1]对照表!$L$3:$L$24),LOOKUP(H14,[1]对照表!$I$27:$I$48,[1]对照表!$L$27:$L$48)))))</f>
        <v>100</v>
      </c>
      <c r="J14" s="38">
        <v>180</v>
      </c>
      <c r="K14" s="32">
        <f>IF(B14="高三",IF($E14="男",LOOKUP(J14,[1]对照表!$O$3:$O$24,[1]对照表!$P$3:$P$24),LOOKUP(J14,[1]对照表!$O$27:$O$48,[1]对照表!$P$27:$P$48)),IF(B14="高二",IF($E14="男",LOOKUP(J14,[1]对照表!$N$3:$N$24,[1]对照表!$P$3:$P$24),LOOKUP(J14,[1]对照表!$N$27:$N$48,[1]对照表!$P$27:$P$48)),IF(B14="高一",IF($E14="男",LOOKUP(J14,[1]对照表!$M$3:$M$24,[1]对照表!$P$3:$P$24),LOOKUP(J14,[1]对照表!$M$27:$M$48,[1]对照表!$P$27:$P$48)))))</f>
        <v>80</v>
      </c>
      <c r="L14" s="38">
        <v>56</v>
      </c>
      <c r="M14" s="32">
        <f>IF(B14="高三",IF($E14="男",LOOKUP(L14,[1]对照表!$S$3:$S$24,[1]对照表!$T$3:$T$24),LOOKUP(L14,[1]对照表!$S$27:$S$48,[1]对照表!$T$27:$T$48)),IF(B14="高二",IF($E14="男",LOOKUP(L14,[1]对照表!$R$3:$R$24,[1]对照表!$T$3:$T$24),LOOKUP(L14,[1]对照表!$R$27:$R$48,[1]对照表!$T$27:$T$48)),IF(B14="高一",IF($E14="男",LOOKUP(L14,[1]对照表!$Q$3:$Q$24,[1]对照表!$T$3:$T$24),LOOKUP(L14,[1]对照表!$Q$27:$Q$48,[1]对照表!$T$27:$T$48)))))</f>
        <v>100</v>
      </c>
      <c r="N14" s="33">
        <f>IF(B14="高三",MAX(IF(E14="男",L14-18,L14-55),0),IF(B14="高二",MAX(IF(E14="男",L14-17,L14-54),0),IF(B14="高一",MAX(IF(E14="男",L14-16,L14-53),0))))</f>
        <v>2</v>
      </c>
      <c r="O14" s="23">
        <f>IF(E14="男",LOOKUP($N14,[1]对照表!$Z$3:$Z$13,[1]对照表!$AA$3:$AA$13),LOOKUP($N14,[1]对照表!$Z$15:$Z$25,[1]对照表!$AA$15:$AA$25))</f>
        <v>1</v>
      </c>
      <c r="P14" s="25">
        <f>M14+O14</f>
        <v>101</v>
      </c>
      <c r="Q14" s="50">
        <v>3.27</v>
      </c>
      <c r="R14" s="32">
        <f>IF(B14="高三",IF($E14="男",LOOKUP(Q14,[1]对照表!$W$3:$W$24,[1]对照表!$X$3:$X$24),LOOKUP(Q14,[1]对照表!$W$27:$W$48,[1]对照表!$X$27:$X$48)),IF(B14="高二",IF($E14="男",LOOKUP(Q14,[1]对照表!$V$3:$V$24,[1]对照表!$X$3:$X$24),LOOKUP(Q14,[1]对照表!$V$27:$V$48,[1]对照表!$X$27:$X$48)),IF(B14="高一",IF($E14="男",LOOKUP(Q14,[1]对照表!$U$3:$U$24,[1]对照表!$X$3:$X$24),LOOKUP(Q14,[1]对照表!$U$27:$U$48,[1]对照表!$X$27:$X$48)))))</f>
        <v>95</v>
      </c>
      <c r="S14" s="33">
        <f>ROUND(IF(IF($B14="高三",MIN(IF($E14="男",$Q14-3.2,$Q14-3.2),0),IF($B14="高二",MIN(IF($E14="男",$Q14-3.25,$Q14-3.22),0),IF($B14="高一",MIN(IF($E14="男",$Q14-3.3,$Q14-3.24),0))))&lt;-0.6,IF($B14="高三",MIN(IF($E14="男",$Q14-3.2,$Q14-3.2),0),IF($B14="高二",MIN(IF($E14="男",$Q14-3.25,$Q14-3.22),0),IF($B14="高一",MIN(IF($E14="男",$Q14-3.3,$Q14-3.24),0))))+0.4,IF($B14="高三",MIN(IF($E14="男",$Q14-3.2,$Q14-3.2),0),IF($B14="高二",MIN(IF($E14="男",$Q14-3.25,$Q14-3.22),0),IF($B14="高一",MIN(IF($E14="男",$Q14-3.3,$Q14-3.24),0))))),2)</f>
        <v>0</v>
      </c>
      <c r="T14" s="23">
        <f>IF(E14="男",LOOKUP($S14,[1]对照表!$AB$3:$AB$13,[1]对照表!$AC$3:$AC$13),LOOKUP($S14,[1]对照表!$AB$15:$AB$25,[1]对照表!$AC$15:$AC$25))</f>
        <v>0</v>
      </c>
      <c r="U14" s="26">
        <f>R14+T14</f>
        <v>95</v>
      </c>
      <c r="V14" s="26">
        <f>SUM(I14,K14,M14)/3*0.3+SUM(G14,R14)/2*0.4</f>
        <v>62.2</v>
      </c>
      <c r="W14" s="27">
        <f>O14+T14</f>
        <v>1</v>
      </c>
      <c r="X14" s="28">
        <f>V14/0.7+W14</f>
        <v>89.857142857142861</v>
      </c>
      <c r="Y14" s="28">
        <f>X14</f>
        <v>89.857142857142861</v>
      </c>
      <c r="Z14" s="38"/>
    </row>
    <row r="15" spans="1:26" ht="15.6" x14ac:dyDescent="0.25">
      <c r="A15" s="48">
        <v>41</v>
      </c>
      <c r="B15" s="17" t="s">
        <v>767</v>
      </c>
      <c r="C15" s="48">
        <v>201</v>
      </c>
      <c r="D15" s="49" t="s">
        <v>858</v>
      </c>
      <c r="E15" s="48" t="s">
        <v>65</v>
      </c>
      <c r="F15" s="50">
        <v>8.4</v>
      </c>
      <c r="G15" s="32">
        <f>IF(B15="高三",IF($E15="男",LOOKUP(F15,[1]对照表!$G$3:$G$24,[1]对照表!$H$3:$H$24),LOOKUP(F15,[1]对照表!$G$27:$G$48,[1]对照表!$H$27:$H$48)),IF(B15="高二",IF($E15="男",LOOKUP(F15,[1]对照表!$F$3:$F$24,[1]对照表!$H$3:$H$24),LOOKUP(F15,[1]对照表!$F$27:$F$48,[1]对照表!$H$27:$H$48)),IF(B15="高一",IF($E15="男",LOOKUP(F15,[1]对照表!$E$3:$E$24,[1]对照表!$H$3:$H$24),LOOKUP(F15,[1]对照表!$E$27:$E$48,[1]对照表!$H$27:$H$48)))))</f>
        <v>80</v>
      </c>
      <c r="H15" s="38">
        <v>24.5</v>
      </c>
      <c r="I15" s="32">
        <f>IF(B15="高三",IF($E15="男",LOOKUP(H15,[1]对照表!$K$3:$K$24,[1]对照表!$L$3:$L$24),LOOKUP(H15,[1]对照表!$K$27:$K$48,[1]对照表!$L$27:$L$48)),IF(B15="高二",IF($E15="男",LOOKUP(H15,[1]对照表!$J$3:$J$24,[1]对照表!$L$3:$L$24),LOOKUP(H15,[1]对照表!$J$27:$J$48,[1]对照表!$L$27:$L$48)),IF(B15="高一",IF($E15="男",LOOKUP(H15,[1]对照表!$I$3:$I$24,[1]对照表!$L$3:$L$24),LOOKUP(H15,[1]对照表!$I$27:$I$48,[1]对照表!$L$27:$L$48)))))</f>
        <v>95</v>
      </c>
      <c r="J15" s="38">
        <v>208</v>
      </c>
      <c r="K15" s="32">
        <f>IF(B15="高三",IF($E15="男",LOOKUP(J15,[1]对照表!$O$3:$O$24,[1]对照表!$P$3:$P$24),LOOKUP(J15,[1]对照表!$O$27:$O$48,[1]对照表!$P$27:$P$48)),IF(B15="高二",IF($E15="男",LOOKUP(J15,[1]对照表!$N$3:$N$24,[1]对照表!$P$3:$P$24),LOOKUP(J15,[1]对照表!$N$27:$N$48,[1]对照表!$P$27:$P$48)),IF(B15="高一",IF($E15="男",LOOKUP(J15,[1]对照表!$M$3:$M$24,[1]对照表!$P$3:$P$24),LOOKUP(J15,[1]对照表!$M$27:$M$48,[1]对照表!$P$27:$P$48)))))</f>
        <v>100</v>
      </c>
      <c r="L15" s="38">
        <v>50</v>
      </c>
      <c r="M15" s="32">
        <f>IF(B15="高三",IF($E15="男",LOOKUP(L15,[1]对照表!$S$3:$S$24,[1]对照表!$T$3:$T$24),LOOKUP(L15,[1]对照表!$S$27:$S$48,[1]对照表!$T$27:$T$48)),IF(B15="高二",IF($E15="男",LOOKUP(L15,[1]对照表!$R$3:$R$24,[1]对照表!$T$3:$T$24),LOOKUP(L15,[1]对照表!$R$27:$R$48,[1]对照表!$T$27:$T$48)),IF(B15="高一",IF($E15="男",LOOKUP(L15,[1]对照表!$Q$3:$Q$24,[1]对照表!$T$3:$T$24),LOOKUP(L15,[1]对照表!$Q$27:$Q$48,[1]对照表!$T$27:$T$48)))))</f>
        <v>90</v>
      </c>
      <c r="N15" s="33">
        <f>IF(B15="高三",MAX(IF(E15="男",L15-18,L15-55),0),IF(B15="高二",MAX(IF(E15="男",L15-17,L15-54),0),IF(B15="高一",MAX(IF(E15="男",L15-16,L15-53),0))))</f>
        <v>0</v>
      </c>
      <c r="O15" s="23">
        <f>IF(E15="男",LOOKUP($N15,[1]对照表!$Z$3:$Z$13,[1]对照表!$AA$3:$AA$13),LOOKUP($N15,[1]对照表!$Z$15:$Z$25,[1]对照表!$AA$15:$AA$25))</f>
        <v>0</v>
      </c>
      <c r="P15" s="25">
        <f>M15+O15</f>
        <v>90</v>
      </c>
      <c r="Q15" s="50">
        <v>3.34</v>
      </c>
      <c r="R15" s="32">
        <f>IF(B15="高三",IF($E15="男",LOOKUP(Q15,[1]对照表!$W$3:$W$24,[1]对照表!$X$3:$X$24),LOOKUP(Q15,[1]对照表!$W$27:$W$48,[1]对照表!$X$27:$X$48)),IF(B15="高二",IF($E15="男",LOOKUP(Q15,[1]对照表!$V$3:$V$24,[1]对照表!$X$3:$X$24),LOOKUP(Q15,[1]对照表!$V$27:$V$48,[1]对照表!$X$27:$X$48)),IF(B15="高一",IF($E15="男",LOOKUP(Q15,[1]对照表!$U$3:$U$24,[1]对照表!$X$3:$X$24),LOOKUP(Q15,[1]对照表!$U$27:$U$48,[1]对照表!$X$27:$X$48)))))</f>
        <v>90</v>
      </c>
      <c r="S15" s="33">
        <f>ROUND(IF(IF($B15="高三",MIN(IF($E15="男",$Q15-3.2,$Q15-3.2),0),IF($B15="高二",MIN(IF($E15="男",$Q15-3.25,$Q15-3.22),0),IF($B15="高一",MIN(IF($E15="男",$Q15-3.3,$Q15-3.24),0))))&lt;-0.6,IF($B15="高三",MIN(IF($E15="男",$Q15-3.2,$Q15-3.2),0),IF($B15="高二",MIN(IF($E15="男",$Q15-3.25,$Q15-3.22),0),IF($B15="高一",MIN(IF($E15="男",$Q15-3.3,$Q15-3.24),0))))+0.4,IF($B15="高三",MIN(IF($E15="男",$Q15-3.2,$Q15-3.2),0),IF($B15="高二",MIN(IF($E15="男",$Q15-3.25,$Q15-3.22),0),IF($B15="高一",MIN(IF($E15="男",$Q15-3.3,$Q15-3.24),0))))),2)</f>
        <v>0</v>
      </c>
      <c r="T15" s="23">
        <f>IF(E15="男",LOOKUP($S15,[1]对照表!$AB$3:$AB$13,[1]对照表!$AC$3:$AC$13),LOOKUP($S15,[1]对照表!$AB$15:$AB$25,[1]对照表!$AC$15:$AC$25))</f>
        <v>0</v>
      </c>
      <c r="U15" s="26">
        <f>R15+T15</f>
        <v>90</v>
      </c>
      <c r="V15" s="26">
        <f>SUM(I15,K15,M15)/3*0.3+SUM(G15,R15)/2*0.4</f>
        <v>62.5</v>
      </c>
      <c r="W15" s="27">
        <f>O15+T15</f>
        <v>0</v>
      </c>
      <c r="X15" s="28">
        <f>V15/0.7+W15</f>
        <v>89.285714285714292</v>
      </c>
      <c r="Y15" s="28">
        <f>X15</f>
        <v>89.285714285714292</v>
      </c>
      <c r="Z15" s="38"/>
    </row>
    <row r="16" spans="1:26" ht="15.6" x14ac:dyDescent="0.25">
      <c r="A16" s="48">
        <v>35</v>
      </c>
      <c r="B16" s="17" t="s">
        <v>767</v>
      </c>
      <c r="C16" s="48">
        <v>201</v>
      </c>
      <c r="D16" s="49" t="s">
        <v>879</v>
      </c>
      <c r="E16" s="48" t="s">
        <v>65</v>
      </c>
      <c r="F16" s="50">
        <v>8.3699999999999992</v>
      </c>
      <c r="G16" s="32">
        <f>IF(B16="高三",IF($E16="男",LOOKUP(F16,[1]对照表!$G$3:$G$24,[1]对照表!$H$3:$H$24),LOOKUP(F16,[1]对照表!$G$27:$G$48,[1]对照表!$H$27:$H$48)),IF(B16="高二",IF($E16="男",LOOKUP(F16,[1]对照表!$F$3:$F$24,[1]对照表!$H$3:$H$24),LOOKUP(F16,[1]对照表!$F$27:$F$48,[1]对照表!$H$27:$H$48)),IF(B16="高一",IF($E16="男",LOOKUP(F16,[1]对照表!$E$3:$E$24,[1]对照表!$H$3:$H$24),LOOKUP(F16,[1]对照表!$E$27:$E$48,[1]对照表!$H$27:$H$48)))))</f>
        <v>80</v>
      </c>
      <c r="H16" s="38">
        <v>20</v>
      </c>
      <c r="I16" s="32">
        <f>IF(B16="高三",IF($E16="男",LOOKUP(H16,[1]对照表!$K$3:$K$24,[1]对照表!$L$3:$L$24),LOOKUP(H16,[1]对照表!$K$27:$K$48,[1]对照表!$L$27:$L$48)),IF(B16="高二",IF($E16="男",LOOKUP(H16,[1]对照表!$J$3:$J$24,[1]对照表!$L$3:$L$24),LOOKUP(H16,[1]对照表!$J$27:$J$48,[1]对照表!$L$27:$L$48)),IF(B16="高一",IF($E16="男",LOOKUP(H16,[1]对照表!$I$3:$I$24,[1]对照表!$L$3:$L$24),LOOKUP(H16,[1]对照表!$I$27:$I$48,[1]对照表!$L$27:$L$48)))))</f>
        <v>85</v>
      </c>
      <c r="J16" s="38">
        <v>189</v>
      </c>
      <c r="K16" s="32">
        <f>IF(B16="高三",IF($E16="男",LOOKUP(J16,[1]对照表!$O$3:$O$24,[1]对照表!$P$3:$P$24),LOOKUP(J16,[1]对照表!$O$27:$O$48,[1]对照表!$P$27:$P$48)),IF(B16="高二",IF($E16="男",LOOKUP(J16,[1]对照表!$N$3:$N$24,[1]对照表!$P$3:$P$24),LOOKUP(J16,[1]对照表!$N$27:$N$48,[1]对照表!$P$27:$P$48)),IF(B16="高一",IF($E16="男",LOOKUP(J16,[1]对照表!$M$3:$M$24,[1]对照表!$P$3:$P$24),LOOKUP(J16,[1]对照表!$M$27:$M$48,[1]对照表!$P$27:$P$48)))))</f>
        <v>85</v>
      </c>
      <c r="L16" s="38">
        <v>59</v>
      </c>
      <c r="M16" s="32">
        <f>IF(B16="高三",IF($E16="男",LOOKUP(L16,[1]对照表!$S$3:$S$24,[1]对照表!$T$3:$T$24),LOOKUP(L16,[1]对照表!$S$27:$S$48,[1]对照表!$T$27:$T$48)),IF(B16="高二",IF($E16="男",LOOKUP(L16,[1]对照表!$R$3:$R$24,[1]对照表!$T$3:$T$24),LOOKUP(L16,[1]对照表!$R$27:$R$48,[1]对照表!$T$27:$T$48)),IF(B16="高一",IF($E16="男",LOOKUP(L16,[1]对照表!$Q$3:$Q$24,[1]对照表!$T$3:$T$24),LOOKUP(L16,[1]对照表!$Q$27:$Q$48,[1]对照表!$T$27:$T$48)))))</f>
        <v>100</v>
      </c>
      <c r="N16" s="33">
        <f>IF(B16="高三",MAX(IF(E16="男",L16-18,L16-55),0),IF(B16="高二",MAX(IF(E16="男",L16-17,L16-54),0),IF(B16="高一",MAX(IF(E16="男",L16-16,L16-53),0))))</f>
        <v>5</v>
      </c>
      <c r="O16" s="23">
        <f>IF(E16="男",LOOKUP($N16,[1]对照表!$Z$3:$Z$13,[1]对照表!$AA$3:$AA$13),LOOKUP($N16,[1]对照表!$Z$15:$Z$25,[1]对照表!$AA$15:$AA$25))</f>
        <v>2</v>
      </c>
      <c r="P16" s="25">
        <f>M16+O16</f>
        <v>102</v>
      </c>
      <c r="Q16" s="50">
        <v>3.35</v>
      </c>
      <c r="R16" s="32">
        <f>IF(B16="高三",IF($E16="男",LOOKUP(Q16,[1]对照表!$W$3:$W$24,[1]对照表!$X$3:$X$24),LOOKUP(Q16,[1]对照表!$W$27:$W$48,[1]对照表!$X$27:$X$48)),IF(B16="高二",IF($E16="男",LOOKUP(Q16,[1]对照表!$V$3:$V$24,[1]对照表!$X$3:$X$24),LOOKUP(Q16,[1]对照表!$V$27:$V$48,[1]对照表!$X$27:$X$48)),IF(B16="高一",IF($E16="男",LOOKUP(Q16,[1]对照表!$U$3:$U$24,[1]对照表!$X$3:$X$24),LOOKUP(Q16,[1]对照表!$U$27:$U$48,[1]对照表!$X$27:$X$48)))))</f>
        <v>85</v>
      </c>
      <c r="S16" s="33">
        <f>ROUND(IF(IF($B16="高三",MIN(IF($E16="男",$Q16-3.2,$Q16-3.2),0),IF($B16="高二",MIN(IF($E16="男",$Q16-3.25,$Q16-3.22),0),IF($B16="高一",MIN(IF($E16="男",$Q16-3.3,$Q16-3.24),0))))&lt;-0.6,IF($B16="高三",MIN(IF($E16="男",$Q16-3.2,$Q16-3.2),0),IF($B16="高二",MIN(IF($E16="男",$Q16-3.25,$Q16-3.22),0),IF($B16="高一",MIN(IF($E16="男",$Q16-3.3,$Q16-3.24),0))))+0.4,IF($B16="高三",MIN(IF($E16="男",$Q16-3.2,$Q16-3.2),0),IF($B16="高二",MIN(IF($E16="男",$Q16-3.25,$Q16-3.22),0),IF($B16="高一",MIN(IF($E16="男",$Q16-3.3,$Q16-3.24),0))))),2)</f>
        <v>0</v>
      </c>
      <c r="T16" s="23">
        <f>IF(E16="男",LOOKUP($S16,[1]对照表!$AB$3:$AB$13,[1]对照表!$AC$3:$AC$13),LOOKUP($S16,[1]对照表!$AB$15:$AB$25,[1]对照表!$AC$15:$AC$25))</f>
        <v>0</v>
      </c>
      <c r="U16" s="26">
        <f>R16+T16</f>
        <v>85</v>
      </c>
      <c r="V16" s="26">
        <f>SUM(I16,K16,M16)/3*0.3+SUM(G16,R16)/2*0.4</f>
        <v>60</v>
      </c>
      <c r="W16" s="27">
        <f>O16+T16</f>
        <v>2</v>
      </c>
      <c r="X16" s="28">
        <f>V16/0.7+W16</f>
        <v>87.714285714285722</v>
      </c>
      <c r="Y16" s="28">
        <f>X16</f>
        <v>87.714285714285722</v>
      </c>
      <c r="Z16" s="38"/>
    </row>
    <row r="17" spans="1:26" ht="15.6" customHeight="1" x14ac:dyDescent="0.15">
      <c r="A17" s="38">
        <v>18</v>
      </c>
      <c r="B17" s="17" t="s">
        <v>767</v>
      </c>
      <c r="C17" s="38">
        <v>201</v>
      </c>
      <c r="D17" s="49" t="s">
        <v>902</v>
      </c>
      <c r="E17" s="49" t="s">
        <v>65</v>
      </c>
      <c r="F17" s="50">
        <v>8.6199999999999992</v>
      </c>
      <c r="G17" s="32">
        <f>IF(B17="高三",IF($E17="男",LOOKUP(F17,[1]对照表!$G$3:$G$24,[1]对照表!$H$3:$H$24),LOOKUP(F17,[1]对照表!$G$27:$G$48,[1]对照表!$H$27:$H$48)),IF(B17="高二",IF($E17="男",LOOKUP(F17,[1]对照表!$F$3:$F$24,[1]对照表!$H$3:$H$24),LOOKUP(F17,[1]对照表!$F$27:$F$48,[1]对照表!$H$27:$H$48)),IF(B17="高一",IF($E17="男",LOOKUP(F17,[1]对照表!$E$3:$E$24,[1]对照表!$H$3:$H$24),LOOKUP(F17,[1]对照表!$E$27:$E$48,[1]对照表!$H$27:$H$48)))))</f>
        <v>78</v>
      </c>
      <c r="H17" s="38">
        <v>24.5</v>
      </c>
      <c r="I17" s="32">
        <f>IF(B17="高三",IF($E17="男",LOOKUP(H17,[1]对照表!$K$3:$K$24,[1]对照表!$L$3:$L$24),LOOKUP(H17,[1]对照表!$K$27:$K$48,[1]对照表!$L$27:$L$48)),IF(B17="高二",IF($E17="男",LOOKUP(H17,[1]对照表!$J$3:$J$24,[1]对照表!$L$3:$L$24),LOOKUP(H17,[1]对照表!$J$27:$J$48,[1]对照表!$L$27:$L$48)),IF(B17="高一",IF($E17="男",LOOKUP(H17,[1]对照表!$I$3:$I$24,[1]对照表!$L$3:$L$24),LOOKUP(H17,[1]对照表!$I$27:$I$48,[1]对照表!$L$27:$L$48)))))</f>
        <v>95</v>
      </c>
      <c r="J17" s="38">
        <v>205</v>
      </c>
      <c r="K17" s="32">
        <f>IF(B17="高三",IF($E17="男",LOOKUP(J17,[1]对照表!$O$3:$O$24,[1]对照表!$P$3:$P$24),LOOKUP(J17,[1]对照表!$O$27:$O$48,[1]对照表!$P$27:$P$48)),IF(B17="高二",IF($E17="男",LOOKUP(J17,[1]对照表!$N$3:$N$24,[1]对照表!$P$3:$P$24),LOOKUP(J17,[1]对照表!$N$27:$N$48,[1]对照表!$P$27:$P$48)),IF(B17="高一",IF($E17="男",LOOKUP(J17,[1]对照表!$M$3:$M$24,[1]对照表!$P$3:$P$24),LOOKUP(J17,[1]对照表!$M$27:$M$48,[1]对照表!$P$27:$P$48)))))</f>
        <v>100</v>
      </c>
      <c r="L17" s="38">
        <v>49</v>
      </c>
      <c r="M17" s="32">
        <f>IF(B17="高三",IF($E17="男",LOOKUP(L17,[1]对照表!$S$3:$S$24,[1]对照表!$T$3:$T$24),LOOKUP(L17,[1]对照表!$S$27:$S$48,[1]对照表!$T$27:$T$48)),IF(B17="高二",IF($E17="男",LOOKUP(L17,[1]对照表!$R$3:$R$24,[1]对照表!$T$3:$T$24),LOOKUP(L17,[1]对照表!$R$27:$R$48,[1]对照表!$T$27:$T$48)),IF(B17="高一",IF($E17="男",LOOKUP(L17,[1]对照表!$Q$3:$Q$24,[1]对照表!$T$3:$T$24),LOOKUP(L17,[1]对照表!$Q$27:$Q$48,[1]对照表!$T$27:$T$48)))))</f>
        <v>85</v>
      </c>
      <c r="N17" s="33">
        <f>IF(B17="高三",MAX(IF(E17="男",L17-18,L17-55),0),IF(B17="高二",MAX(IF(E17="男",L17-17,L17-54),0),IF(B17="高一",MAX(IF(E17="男",L17-16,L17-53),0))))</f>
        <v>0</v>
      </c>
      <c r="O17" s="23">
        <f>IF(E17="男",LOOKUP($N17,[1]对照表!$Z$3:$Z$13,[1]对照表!$AA$3:$AA$13),LOOKUP($N17,[1]对照表!$Z$15:$Z$25,[1]对照表!$AA$15:$AA$25))</f>
        <v>0</v>
      </c>
      <c r="P17" s="25">
        <f>M17+O17</f>
        <v>85</v>
      </c>
      <c r="Q17" s="50">
        <v>3.38</v>
      </c>
      <c r="R17" s="32">
        <f>IF(B17="高三",IF($E17="男",LOOKUP(Q17,[1]对照表!$W$3:$W$24,[1]对照表!$X$3:$X$24),LOOKUP(Q17,[1]对照表!$W$27:$W$48,[1]对照表!$X$27:$X$48)),IF(B17="高二",IF($E17="男",LOOKUP(Q17,[1]对照表!$V$3:$V$24,[1]对照表!$X$3:$X$24),LOOKUP(Q17,[1]对照表!$V$27:$V$48,[1]对照表!$X$27:$X$48)),IF(B17="高一",IF($E17="男",LOOKUP(Q17,[1]对照表!$U$3:$U$24,[1]对照表!$X$3:$X$24),LOOKUP(Q17,[1]对照表!$U$27:$U$48,[1]对照表!$X$27:$X$48)))))</f>
        <v>85</v>
      </c>
      <c r="S17" s="33">
        <f>ROUND(IF(IF($B17="高三",MIN(IF($E17="男",$Q17-3.2,$Q17-3.2),0),IF($B17="高二",MIN(IF($E17="男",$Q17-3.25,$Q17-3.22),0),IF($B17="高一",MIN(IF($E17="男",$Q17-3.3,$Q17-3.24),0))))&lt;-0.6,IF($B17="高三",MIN(IF($E17="男",$Q17-3.2,$Q17-3.2),0),IF($B17="高二",MIN(IF($E17="男",$Q17-3.25,$Q17-3.22),0),IF($B17="高一",MIN(IF($E17="男",$Q17-3.3,$Q17-3.24),0))))+0.4,IF($B17="高三",MIN(IF($E17="男",$Q17-3.2,$Q17-3.2),0),IF($B17="高二",MIN(IF($E17="男",$Q17-3.25,$Q17-3.22),0),IF($B17="高一",MIN(IF($E17="男",$Q17-3.3,$Q17-3.24),0))))),2)</f>
        <v>0</v>
      </c>
      <c r="T17" s="23">
        <f>IF(E17="男",LOOKUP($S17,[1]对照表!$AB$3:$AB$13,[1]对照表!$AC$3:$AC$13),LOOKUP($S17,[1]对照表!$AB$15:$AB$25,[1]对照表!$AC$15:$AC$25))</f>
        <v>0</v>
      </c>
      <c r="U17" s="26">
        <f>R17+T17</f>
        <v>85</v>
      </c>
      <c r="V17" s="26">
        <f>SUM(I17,K17,M17)/3*0.3+SUM(G17,R17)/2*0.4</f>
        <v>60.599999999999994</v>
      </c>
      <c r="W17" s="27">
        <f>O17+T17</f>
        <v>0</v>
      </c>
      <c r="X17" s="28">
        <f>V17/0.7+W17</f>
        <v>86.571428571428569</v>
      </c>
      <c r="Y17" s="28">
        <f>X17</f>
        <v>86.571428571428569</v>
      </c>
      <c r="Z17" s="38"/>
    </row>
    <row r="18" spans="1:26" ht="15.6" x14ac:dyDescent="0.25">
      <c r="A18" s="38">
        <v>48</v>
      </c>
      <c r="B18" s="17" t="s">
        <v>767</v>
      </c>
      <c r="C18" s="48">
        <v>201</v>
      </c>
      <c r="D18" s="49" t="s">
        <v>912</v>
      </c>
      <c r="E18" s="48" t="s">
        <v>65</v>
      </c>
      <c r="F18" s="50">
        <v>8.76</v>
      </c>
      <c r="G18" s="32">
        <f>IF(B18="高三",IF($E18="男",LOOKUP(F18,[1]对照表!$G$3:$G$24,[1]对照表!$H$3:$H$24),LOOKUP(F18,[1]对照表!$G$27:$G$48,[1]对照表!$H$27:$H$48)),IF(B18="高二",IF($E18="男",LOOKUP(F18,[1]对照表!$F$3:$F$24,[1]对照表!$H$3:$H$24),LOOKUP(F18,[1]对照表!$F$27:$F$48,[1]对照表!$H$27:$H$48)),IF(B18="高一",IF($E18="男",LOOKUP(F18,[1]对照表!$E$3:$E$24,[1]对照表!$H$3:$H$24),LOOKUP(F18,[1]对照表!$E$27:$E$48,[1]对照表!$H$27:$H$48)))))</f>
        <v>76</v>
      </c>
      <c r="H18" s="38">
        <v>24.5</v>
      </c>
      <c r="I18" s="32">
        <f>IF(B18="高三",IF($E18="男",LOOKUP(H18,[1]对照表!$K$3:$K$24,[1]对照表!$L$3:$L$24),LOOKUP(H18,[1]对照表!$K$27:$K$48,[1]对照表!$L$27:$L$48)),IF(B18="高二",IF($E18="男",LOOKUP(H18,[1]对照表!$J$3:$J$24,[1]对照表!$L$3:$L$24),LOOKUP(H18,[1]对照表!$J$27:$J$48,[1]对照表!$L$27:$L$48)),IF(B18="高一",IF($E18="男",LOOKUP(H18,[1]对照表!$I$3:$I$24,[1]对照表!$L$3:$L$24),LOOKUP(H18,[1]对照表!$I$27:$I$48,[1]对照表!$L$27:$L$48)))))</f>
        <v>95</v>
      </c>
      <c r="J18" s="38">
        <v>203</v>
      </c>
      <c r="K18" s="32">
        <f>IF(B18="高三",IF($E18="男",LOOKUP(J18,[1]对照表!$O$3:$O$24,[1]对照表!$P$3:$P$24),LOOKUP(J18,[1]对照表!$O$27:$O$48,[1]对照表!$P$27:$P$48)),IF(B18="高二",IF($E18="男",LOOKUP(J18,[1]对照表!$N$3:$N$24,[1]对照表!$P$3:$P$24),LOOKUP(J18,[1]对照表!$N$27:$N$48,[1]对照表!$P$27:$P$48)),IF(B18="高一",IF($E18="男",LOOKUP(J18,[1]对照表!$M$3:$M$24,[1]对照表!$P$3:$P$24),LOOKUP(J18,[1]对照表!$M$27:$M$48,[1]对照表!$P$27:$P$48)))))</f>
        <v>95</v>
      </c>
      <c r="L18" s="38">
        <v>54</v>
      </c>
      <c r="M18" s="32">
        <f>IF(B18="高三",IF($E18="男",LOOKUP(L18,[1]对照表!$S$3:$S$24,[1]对照表!$T$3:$T$24),LOOKUP(L18,[1]对照表!$S$27:$S$48,[1]对照表!$T$27:$T$48)),IF(B18="高二",IF($E18="男",LOOKUP(L18,[1]对照表!$R$3:$R$24,[1]对照表!$T$3:$T$24),LOOKUP(L18,[1]对照表!$R$27:$R$48,[1]对照表!$T$27:$T$48)),IF(B18="高一",IF($E18="男",LOOKUP(L18,[1]对照表!$Q$3:$Q$24,[1]对照表!$T$3:$T$24),LOOKUP(L18,[1]对照表!$Q$27:$Q$48,[1]对照表!$T$27:$T$48)))))</f>
        <v>100</v>
      </c>
      <c r="N18" s="33">
        <f>IF(B18="高三",MAX(IF(E18="男",L18-18,L18-55),0),IF(B18="高二",MAX(IF(E18="男",L18-17,L18-54),0),IF(B18="高一",MAX(IF(E18="男",L18-16,L18-53),0))))</f>
        <v>0</v>
      </c>
      <c r="O18" s="23">
        <f>IF(E18="男",LOOKUP($N18,[1]对照表!$Z$3:$Z$13,[1]对照表!$AA$3:$AA$13),LOOKUP($N18,[1]对照表!$Z$15:$Z$25,[1]对照表!$AA$15:$AA$25))</f>
        <v>0</v>
      </c>
      <c r="P18" s="25">
        <f>M18+O18</f>
        <v>100</v>
      </c>
      <c r="Q18" s="50">
        <v>3.43</v>
      </c>
      <c r="R18" s="32">
        <f>IF(B18="高三",IF($E18="男",LOOKUP(Q18,[1]对照表!$W$3:$W$24,[1]对照表!$X$3:$X$24),LOOKUP(Q18,[1]对照表!$W$27:$W$48,[1]对照表!$X$27:$X$48)),IF(B18="高二",IF($E18="男",LOOKUP(Q18,[1]对照表!$V$3:$V$24,[1]对照表!$X$3:$X$24),LOOKUP(Q18,[1]对照表!$V$27:$V$48,[1]对照表!$X$27:$X$48)),IF(B18="高一",IF($E18="男",LOOKUP(Q18,[1]对照表!$U$3:$U$24,[1]对照表!$X$3:$X$24),LOOKUP(Q18,[1]对照表!$U$27:$U$48,[1]对照表!$X$27:$X$48)))))</f>
        <v>80</v>
      </c>
      <c r="S18" s="33">
        <f>ROUND(IF(IF($B18="高三",MIN(IF($E18="男",$Q18-3.2,$Q18-3.2),0),IF($B18="高二",MIN(IF($E18="男",$Q18-3.25,$Q18-3.22),0),IF($B18="高一",MIN(IF($E18="男",$Q18-3.3,$Q18-3.24),0))))&lt;-0.6,IF($B18="高三",MIN(IF($E18="男",$Q18-3.2,$Q18-3.2),0),IF($B18="高二",MIN(IF($E18="男",$Q18-3.25,$Q18-3.22),0),IF($B18="高一",MIN(IF($E18="男",$Q18-3.3,$Q18-3.24),0))))+0.4,IF($B18="高三",MIN(IF($E18="男",$Q18-3.2,$Q18-3.2),0),IF($B18="高二",MIN(IF($E18="男",$Q18-3.25,$Q18-3.22),0),IF($B18="高一",MIN(IF($E18="男",$Q18-3.3,$Q18-3.24),0))))),2)</f>
        <v>0</v>
      </c>
      <c r="T18" s="23">
        <f>IF(E18="男",LOOKUP($S18,[1]对照表!$AB$3:$AB$13,[1]对照表!$AC$3:$AC$13),LOOKUP($S18,[1]对照表!$AB$15:$AB$25,[1]对照表!$AC$15:$AC$25))</f>
        <v>0</v>
      </c>
      <c r="U18" s="26">
        <f>R18+T18</f>
        <v>80</v>
      </c>
      <c r="V18" s="26">
        <f>SUM(I18,K18,M18)/3*0.3+SUM(G18,R18)/2*0.4</f>
        <v>60.2</v>
      </c>
      <c r="W18" s="27">
        <f>O18+T18</f>
        <v>0</v>
      </c>
      <c r="X18" s="28">
        <f>V18/0.7+W18</f>
        <v>86.000000000000014</v>
      </c>
      <c r="Y18" s="28">
        <f>X18</f>
        <v>86.000000000000014</v>
      </c>
      <c r="Z18" s="38"/>
    </row>
    <row r="19" spans="1:26" ht="15.6" x14ac:dyDescent="0.25">
      <c r="A19" s="48">
        <v>40</v>
      </c>
      <c r="B19" s="17" t="s">
        <v>767</v>
      </c>
      <c r="C19" s="48">
        <v>201</v>
      </c>
      <c r="D19" s="49" t="s">
        <v>913</v>
      </c>
      <c r="E19" s="48" t="s">
        <v>65</v>
      </c>
      <c r="F19" s="50">
        <v>9.5</v>
      </c>
      <c r="G19" s="32">
        <f>IF(B19="高三",IF($E19="男",LOOKUP(F19,[1]对照表!$G$3:$G$24,[1]对照表!$H$3:$H$24),LOOKUP(F19,[1]对照表!$G$27:$G$48,[1]对照表!$H$27:$H$48)),IF(B19="高二",IF($E19="男",LOOKUP(F19,[1]对照表!$F$3:$F$24,[1]对照表!$H$3:$H$24),LOOKUP(F19,[1]对照表!$F$27:$F$48,[1]对照表!$H$27:$H$48)),IF(B19="高一",IF($E19="男",LOOKUP(F19,[1]对照表!$E$3:$E$24,[1]对照表!$H$3:$H$24),LOOKUP(F19,[1]对照表!$E$27:$E$48,[1]对照表!$H$27:$H$48)))))</f>
        <v>70</v>
      </c>
      <c r="H19" s="38">
        <v>31.5</v>
      </c>
      <c r="I19" s="32">
        <f>IF(B19="高三",IF($E19="男",LOOKUP(H19,[1]对照表!$K$3:$K$24,[1]对照表!$L$3:$L$24),LOOKUP(H19,[1]对照表!$K$27:$K$48,[1]对照表!$L$27:$L$48)),IF(B19="高二",IF($E19="男",LOOKUP(H19,[1]对照表!$J$3:$J$24,[1]对照表!$L$3:$L$24),LOOKUP(H19,[1]对照表!$J$27:$J$48,[1]对照表!$L$27:$L$48)),IF(B19="高一",IF($E19="男",LOOKUP(H19,[1]对照表!$I$3:$I$24,[1]对照表!$L$3:$L$24),LOOKUP(H19,[1]对照表!$I$27:$I$48,[1]对照表!$L$27:$L$48)))))</f>
        <v>100</v>
      </c>
      <c r="J19" s="38">
        <v>177</v>
      </c>
      <c r="K19" s="32">
        <f>IF(B19="高三",IF($E19="男",LOOKUP(J19,[1]对照表!$O$3:$O$24,[1]对照表!$P$3:$P$24),LOOKUP(J19,[1]对照表!$O$27:$O$48,[1]对照表!$P$27:$P$48)),IF(B19="高二",IF($E19="男",LOOKUP(J19,[1]对照表!$N$3:$N$24,[1]对照表!$P$3:$P$24),LOOKUP(J19,[1]对照表!$N$27:$N$48,[1]对照表!$P$27:$P$48)),IF(B19="高一",IF($E19="男",LOOKUP(J19,[1]对照表!$M$3:$M$24,[1]对照表!$P$3:$P$24),LOOKUP(J19,[1]对照表!$M$27:$M$48,[1]对照表!$P$27:$P$48)))))</f>
        <v>78</v>
      </c>
      <c r="L19" s="38">
        <v>59</v>
      </c>
      <c r="M19" s="32">
        <f>IF(B19="高三",IF($E19="男",LOOKUP(L19,[1]对照表!$S$3:$S$24,[1]对照表!$T$3:$T$24),LOOKUP(L19,[1]对照表!$S$27:$S$48,[1]对照表!$T$27:$T$48)),IF(B19="高二",IF($E19="男",LOOKUP(L19,[1]对照表!$R$3:$R$24,[1]对照表!$T$3:$T$24),LOOKUP(L19,[1]对照表!$R$27:$R$48,[1]对照表!$T$27:$T$48)),IF(B19="高一",IF($E19="男",LOOKUP(L19,[1]对照表!$Q$3:$Q$24,[1]对照表!$T$3:$T$24),LOOKUP(L19,[1]对照表!$Q$27:$Q$48,[1]对照表!$T$27:$T$48)))))</f>
        <v>100</v>
      </c>
      <c r="N19" s="33">
        <f>IF(B19="高三",MAX(IF(E19="男",L19-18,L19-55),0),IF(B19="高二",MAX(IF(E19="男",L19-17,L19-54),0),IF(B19="高一",MAX(IF(E19="男",L19-16,L19-53),0))))</f>
        <v>5</v>
      </c>
      <c r="O19" s="23">
        <f>IF(E19="男",LOOKUP($N19,[1]对照表!$Z$3:$Z$13,[1]对照表!$AA$3:$AA$13),LOOKUP($N19,[1]对照表!$Z$15:$Z$25,[1]对照表!$AA$15:$AA$25))</f>
        <v>2</v>
      </c>
      <c r="P19" s="25">
        <f>M19+O19</f>
        <v>102</v>
      </c>
      <c r="Q19" s="50">
        <v>3.36</v>
      </c>
      <c r="R19" s="32">
        <f>IF(B19="高三",IF($E19="男",LOOKUP(Q19,[1]对照表!$W$3:$W$24,[1]对照表!$X$3:$X$24),LOOKUP(Q19,[1]对照表!$W$27:$W$48,[1]对照表!$X$27:$X$48)),IF(B19="高二",IF($E19="男",LOOKUP(Q19,[1]对照表!$V$3:$V$24,[1]对照表!$X$3:$X$24),LOOKUP(Q19,[1]对照表!$V$27:$V$48,[1]对照表!$X$27:$X$48)),IF(B19="高一",IF($E19="男",LOOKUP(Q19,[1]对照表!$U$3:$U$24,[1]对照表!$X$3:$X$24),LOOKUP(Q19,[1]对照表!$U$27:$U$48,[1]对照表!$X$27:$X$48)))))</f>
        <v>85</v>
      </c>
      <c r="S19" s="33">
        <f>ROUND(IF(IF($B19="高三",MIN(IF($E19="男",$Q19-3.2,$Q19-3.2),0),IF($B19="高二",MIN(IF($E19="男",$Q19-3.25,$Q19-3.22),0),IF($B19="高一",MIN(IF($E19="男",$Q19-3.3,$Q19-3.24),0))))&lt;-0.6,IF($B19="高三",MIN(IF($E19="男",$Q19-3.2,$Q19-3.2),0),IF($B19="高二",MIN(IF($E19="男",$Q19-3.25,$Q19-3.22),0),IF($B19="高一",MIN(IF($E19="男",$Q19-3.3,$Q19-3.24),0))))+0.4,IF($B19="高三",MIN(IF($E19="男",$Q19-3.2,$Q19-3.2),0),IF($B19="高二",MIN(IF($E19="男",$Q19-3.25,$Q19-3.22),0),IF($B19="高一",MIN(IF($E19="男",$Q19-3.3,$Q19-3.24),0))))),2)</f>
        <v>0</v>
      </c>
      <c r="T19" s="23">
        <f>IF(E19="男",LOOKUP($S19,[1]对照表!$AB$3:$AB$13,[1]对照表!$AC$3:$AC$13),LOOKUP($S19,[1]对照表!$AB$15:$AB$25,[1]对照表!$AC$15:$AC$25))</f>
        <v>0</v>
      </c>
      <c r="U19" s="26">
        <f>R19+T19</f>
        <v>85</v>
      </c>
      <c r="V19" s="26">
        <f>SUM(I19,K19,M19)/3*0.3+SUM(G19,R19)/2*0.4</f>
        <v>58.8</v>
      </c>
      <c r="W19" s="27">
        <f>O19+T19</f>
        <v>2</v>
      </c>
      <c r="X19" s="28">
        <f>V19/0.7+W19</f>
        <v>86</v>
      </c>
      <c r="Y19" s="28">
        <f>X19</f>
        <v>86</v>
      </c>
      <c r="Z19" s="38"/>
    </row>
    <row r="20" spans="1:26" ht="15.6" x14ac:dyDescent="0.25">
      <c r="A20" s="48">
        <v>24</v>
      </c>
      <c r="B20" s="17" t="s">
        <v>767</v>
      </c>
      <c r="C20" s="48">
        <v>201</v>
      </c>
      <c r="D20" s="49" t="s">
        <v>918</v>
      </c>
      <c r="E20" s="48" t="s">
        <v>65</v>
      </c>
      <c r="F20" s="50">
        <v>8.83</v>
      </c>
      <c r="G20" s="32">
        <f>IF(B20="高三",IF($E20="男",LOOKUP(F20,[1]对照表!$G$3:$G$24,[1]对照表!$H$3:$H$24),LOOKUP(F20,[1]对照表!$G$27:$G$48,[1]对照表!$H$27:$H$48)),IF(B20="高二",IF($E20="男",LOOKUP(F20,[1]对照表!$F$3:$F$24,[1]对照表!$H$3:$H$24),LOOKUP(F20,[1]对照表!$F$27:$F$48,[1]对照表!$H$27:$H$48)),IF(B20="高一",IF($E20="男",LOOKUP(F20,[1]对照表!$E$3:$E$24,[1]对照表!$H$3:$H$24),LOOKUP(F20,[1]对照表!$E$27:$E$48,[1]对照表!$H$27:$H$48)))))</f>
        <v>76</v>
      </c>
      <c r="H20" s="38">
        <v>18.3</v>
      </c>
      <c r="I20" s="32">
        <f>IF(B20="高三",IF($E20="男",LOOKUP(H20,[1]对照表!$K$3:$K$24,[1]对照表!$L$3:$L$24),LOOKUP(H20,[1]对照表!$K$27:$K$48,[1]对照表!$L$27:$L$48)),IF(B20="高二",IF($E20="男",LOOKUP(H20,[1]对照表!$J$3:$J$24,[1]对照表!$L$3:$L$24),LOOKUP(H20,[1]对照表!$J$27:$J$48,[1]对照表!$L$27:$L$48)),IF(B20="高一",IF($E20="男",LOOKUP(H20,[1]对照表!$I$3:$I$24,[1]对照表!$L$3:$L$24),LOOKUP(H20,[1]对照表!$I$27:$I$48,[1]对照表!$L$27:$L$48)))))</f>
        <v>80</v>
      </c>
      <c r="J20" s="38">
        <v>176</v>
      </c>
      <c r="K20" s="32">
        <f>IF(B20="高三",IF($E20="男",LOOKUP(J20,[1]对照表!$O$3:$O$24,[1]对照表!$P$3:$P$24),LOOKUP(J20,[1]对照表!$O$27:$O$48,[1]对照表!$P$27:$P$48)),IF(B20="高二",IF($E20="男",LOOKUP(J20,[1]对照表!$N$3:$N$24,[1]对照表!$P$3:$P$24),LOOKUP(J20,[1]对照表!$N$27:$N$48,[1]对照表!$P$27:$P$48)),IF(B20="高一",IF($E20="男",LOOKUP(J20,[1]对照表!$M$3:$M$24,[1]对照表!$P$3:$P$24),LOOKUP(J20,[1]对照表!$M$27:$M$48,[1]对照表!$P$27:$P$48)))))</f>
        <v>78</v>
      </c>
      <c r="L20" s="38">
        <v>54</v>
      </c>
      <c r="M20" s="32">
        <f>IF(B20="高三",IF($E20="男",LOOKUP(L20,[1]对照表!$S$3:$S$24,[1]对照表!$T$3:$T$24),LOOKUP(L20,[1]对照表!$S$27:$S$48,[1]对照表!$T$27:$T$48)),IF(B20="高二",IF($E20="男",LOOKUP(L20,[1]对照表!$R$3:$R$24,[1]对照表!$T$3:$T$24),LOOKUP(L20,[1]对照表!$R$27:$R$48,[1]对照表!$T$27:$T$48)),IF(B20="高一",IF($E20="男",LOOKUP(L20,[1]对照表!$Q$3:$Q$24,[1]对照表!$T$3:$T$24),LOOKUP(L20,[1]对照表!$Q$27:$Q$48,[1]对照表!$T$27:$T$48)))))</f>
        <v>100</v>
      </c>
      <c r="N20" s="33">
        <f>IF(B20="高三",MAX(IF(E20="男",L20-18,L20-55),0),IF(B20="高二",MAX(IF(E20="男",L20-17,L20-54),0),IF(B20="高一",MAX(IF(E20="男",L20-16,L20-53),0))))</f>
        <v>0</v>
      </c>
      <c r="O20" s="23">
        <f>IF(E20="男",LOOKUP($N20,[1]对照表!$Z$3:$Z$13,[1]对照表!$AA$3:$AA$13),LOOKUP($N20,[1]对照表!$Z$15:$Z$25,[1]对照表!$AA$15:$AA$25))</f>
        <v>0</v>
      </c>
      <c r="P20" s="25">
        <f>M20+O20</f>
        <v>100</v>
      </c>
      <c r="Q20" s="50">
        <v>3.25</v>
      </c>
      <c r="R20" s="32">
        <f>IF(B20="高三",IF($E20="男",LOOKUP(Q20,[1]对照表!$W$3:$W$24,[1]对照表!$X$3:$X$24),LOOKUP(Q20,[1]对照表!$W$27:$W$48,[1]对照表!$X$27:$X$48)),IF(B20="高二",IF($E20="男",LOOKUP(Q20,[1]对照表!$V$3:$V$24,[1]对照表!$X$3:$X$24),LOOKUP(Q20,[1]对照表!$V$27:$V$48,[1]对照表!$X$27:$X$48)),IF(B20="高一",IF($E20="男",LOOKUP(Q20,[1]对照表!$U$3:$U$24,[1]对照表!$X$3:$X$24),LOOKUP(Q20,[1]对照表!$U$27:$U$48,[1]对照表!$X$27:$X$48)))))</f>
        <v>95</v>
      </c>
      <c r="S20" s="27">
        <f>ROUND(IF(IF($B20="高三",MIN(IF($E20="男",$Q20-3.2,$Q20-3.2),0),IF($B20="高二",MIN(IF($E20="男",$Q20-3.25,$Q20-3.22),0),IF($B20="高一",MIN(IF($E20="男",$Q20-3.3,$Q20-3.24),0))))&lt;-0.6,IF($B20="高三",MIN(IF($E20="男",$Q20-3.2,$Q20-3.2),0),IF($B20="高二",MIN(IF($E20="男",$Q20-3.25,$Q20-3.22),0),IF($B20="高一",MIN(IF($E20="男",$Q20-3.3,$Q20-3.24),0))))+0.4,IF($B20="高三",MIN(IF($E20="男",$Q20-3.2,$Q20-3.2),0),IF($B20="高二",MIN(IF($E20="男",$Q20-3.25,$Q20-3.22),0),IF($B20="高一",MIN(IF($E20="男",$Q20-3.3,$Q20-3.24),0))))),2)</f>
        <v>0</v>
      </c>
      <c r="T20" s="23">
        <f>IF(E20="男",LOOKUP($S20,[1]对照表!$AB$3:$AB$13,[1]对照表!$AC$3:$AC$13),LOOKUP($S20,[1]对照表!$AB$15:$AB$25,[1]对照表!$AC$15:$AC$25))</f>
        <v>0</v>
      </c>
      <c r="U20" s="26">
        <f>R20+T20</f>
        <v>95</v>
      </c>
      <c r="V20" s="26">
        <f>SUM(I20,K20,M20)/3*0.3+SUM(G20,R20)/2*0.4</f>
        <v>60</v>
      </c>
      <c r="W20" s="27">
        <f>O20+T20</f>
        <v>0</v>
      </c>
      <c r="X20" s="28">
        <f>V20/0.7+W20</f>
        <v>85.714285714285722</v>
      </c>
      <c r="Y20" s="28">
        <f>X20</f>
        <v>85.714285714285722</v>
      </c>
      <c r="Z20" s="38"/>
    </row>
    <row r="21" spans="1:26" ht="15.6" x14ac:dyDescent="0.25">
      <c r="A21" s="48">
        <v>49</v>
      </c>
      <c r="B21" s="17" t="s">
        <v>767</v>
      </c>
      <c r="C21" s="48">
        <v>201</v>
      </c>
      <c r="D21" s="49" t="s">
        <v>934</v>
      </c>
      <c r="E21" s="48" t="s">
        <v>65</v>
      </c>
      <c r="F21" s="50">
        <v>8.31</v>
      </c>
      <c r="G21" s="32">
        <f>IF(B21="高三",IF($E21="男",LOOKUP(F21,[1]对照表!$G$3:$G$24,[1]对照表!$H$3:$H$24),LOOKUP(F21,[1]对照表!$G$27:$G$48,[1]对照表!$H$27:$H$48)),IF(B21="高二",IF($E21="男",LOOKUP(F21,[1]对照表!$F$3:$F$24,[1]对照表!$H$3:$H$24),LOOKUP(F21,[1]对照表!$F$27:$F$48,[1]对照表!$H$27:$H$48)),IF(B21="高一",IF($E21="男",LOOKUP(F21,[1]对照表!$E$3:$E$24,[1]对照表!$H$3:$H$24),LOOKUP(F21,[1]对照表!$E$27:$E$48,[1]对照表!$H$27:$H$48)))))</f>
        <v>80</v>
      </c>
      <c r="H21" s="38">
        <v>23</v>
      </c>
      <c r="I21" s="32">
        <f>IF(B21="高三",IF($E21="男",LOOKUP(H21,[1]对照表!$K$3:$K$24,[1]对照表!$L$3:$L$24),LOOKUP(H21,[1]对照表!$K$27:$K$48,[1]对照表!$L$27:$L$48)),IF(B21="高二",IF($E21="男",LOOKUP(H21,[1]对照表!$J$3:$J$24,[1]对照表!$L$3:$L$24),LOOKUP(H21,[1]对照表!$J$27:$J$48,[1]对照表!$L$27:$L$48)),IF(B21="高一",IF($E21="男",LOOKUP(H21,[1]对照表!$I$3:$I$24,[1]对照表!$L$3:$L$24),LOOKUP(H21,[1]对照表!$I$27:$I$48,[1]对照表!$L$27:$L$48)))))</f>
        <v>90</v>
      </c>
      <c r="J21" s="38">
        <v>200</v>
      </c>
      <c r="K21" s="32">
        <f>IF(B21="高三",IF($E21="男",LOOKUP(J21,[1]对照表!$O$3:$O$24,[1]对照表!$P$3:$P$24),LOOKUP(J21,[1]对照表!$O$27:$O$48,[1]对照表!$P$27:$P$48)),IF(B21="高二",IF($E21="男",LOOKUP(J21,[1]对照表!$N$3:$N$24,[1]对照表!$P$3:$P$24),LOOKUP(J21,[1]对照表!$N$27:$N$48,[1]对照表!$P$27:$P$48)),IF(B21="高一",IF($E21="男",LOOKUP(J21,[1]对照表!$M$3:$M$24,[1]对照表!$P$3:$P$24),LOOKUP(J21,[1]对照表!$M$27:$M$48,[1]对照表!$P$27:$P$48)))))</f>
        <v>95</v>
      </c>
      <c r="L21" s="38">
        <v>55</v>
      </c>
      <c r="M21" s="32">
        <f>IF(B21="高三",IF($E21="男",LOOKUP(L21,[1]对照表!$S$3:$S$24,[1]对照表!$T$3:$T$24),LOOKUP(L21,[1]对照表!$S$27:$S$48,[1]对照表!$T$27:$T$48)),IF(B21="高二",IF($E21="男",LOOKUP(L21,[1]对照表!$R$3:$R$24,[1]对照表!$T$3:$T$24),LOOKUP(L21,[1]对照表!$R$27:$R$48,[1]对照表!$T$27:$T$48)),IF(B21="高一",IF($E21="男",LOOKUP(L21,[1]对照表!$Q$3:$Q$24,[1]对照表!$T$3:$T$24),LOOKUP(L21,[1]对照表!$Q$27:$Q$48,[1]对照表!$T$27:$T$48)))))</f>
        <v>100</v>
      </c>
      <c r="N21" s="33">
        <f>IF(B21="高三",MAX(IF(E21="男",L21-18,L21-55),0),IF(B21="高二",MAX(IF(E21="男",L21-17,L21-54),0),IF(B21="高一",MAX(IF(E21="男",L21-16,L21-53),0))))</f>
        <v>1</v>
      </c>
      <c r="O21" s="23">
        <f>IF(E21="男",LOOKUP($N21,[1]对照表!$Z$3:$Z$13,[1]对照表!$AA$3:$AA$13),LOOKUP($N21,[1]对照表!$Z$15:$Z$25,[1]对照表!$AA$15:$AA$25))</f>
        <v>0</v>
      </c>
      <c r="P21" s="25">
        <f>M21+O21</f>
        <v>100</v>
      </c>
      <c r="Q21" s="50">
        <v>3.56</v>
      </c>
      <c r="R21" s="32">
        <f>IF(B21="高三",IF($E21="男",LOOKUP(Q21,[1]对照表!$W$3:$W$24,[1]对照表!$X$3:$X$24),LOOKUP(Q21,[1]对照表!$W$27:$W$48,[1]对照表!$X$27:$X$48)),IF(B21="高二",IF($E21="男",LOOKUP(Q21,[1]对照表!$V$3:$V$24,[1]对照表!$X$3:$X$24),LOOKUP(Q21,[1]对照表!$V$27:$V$48,[1]对照表!$X$27:$X$48)),IF(B21="高一",IF($E21="男",LOOKUP(Q21,[1]对照表!$U$3:$U$24,[1]对照表!$X$3:$X$24),LOOKUP(Q21,[1]对照表!$U$27:$U$48,[1]对照表!$X$27:$X$48)))))</f>
        <v>76</v>
      </c>
      <c r="S21" s="33">
        <f>ROUND(IF(IF($B21="高三",MIN(IF($E21="男",$Q21-3.2,$Q21-3.2),0),IF($B21="高二",MIN(IF($E21="男",$Q21-3.25,$Q21-3.22),0),IF($B21="高一",MIN(IF($E21="男",$Q21-3.3,$Q21-3.24),0))))&lt;-0.6,IF($B21="高三",MIN(IF($E21="男",$Q21-3.2,$Q21-3.2),0),IF($B21="高二",MIN(IF($E21="男",$Q21-3.25,$Q21-3.22),0),IF($B21="高一",MIN(IF($E21="男",$Q21-3.3,$Q21-3.24),0))))+0.4,IF($B21="高三",MIN(IF($E21="男",$Q21-3.2,$Q21-3.2),0),IF($B21="高二",MIN(IF($E21="男",$Q21-3.25,$Q21-3.22),0),IF($B21="高一",MIN(IF($E21="男",$Q21-3.3,$Q21-3.24),0))))),2)</f>
        <v>0</v>
      </c>
      <c r="T21" s="23">
        <f>IF(E21="男",LOOKUP($S21,[1]对照表!$AB$3:$AB$13,[1]对照表!$AC$3:$AC$13),LOOKUP($S21,[1]对照表!$AB$15:$AB$25,[1]对照表!$AC$15:$AC$25))</f>
        <v>0</v>
      </c>
      <c r="U21" s="26">
        <f>R21+T21</f>
        <v>76</v>
      </c>
      <c r="V21" s="26">
        <f>SUM(I21,K21,M21)/3*0.3+SUM(G21,R21)/2*0.4</f>
        <v>59.7</v>
      </c>
      <c r="W21" s="27">
        <f>O21+T21</f>
        <v>0</v>
      </c>
      <c r="X21" s="28">
        <f>V21/0.7+W21</f>
        <v>85.285714285714292</v>
      </c>
      <c r="Y21" s="28">
        <f>X21</f>
        <v>85.285714285714292</v>
      </c>
      <c r="Z21" s="38"/>
    </row>
    <row r="22" spans="1:26" ht="15.6" x14ac:dyDescent="0.25">
      <c r="A22" s="48">
        <v>32</v>
      </c>
      <c r="B22" s="17" t="s">
        <v>767</v>
      </c>
      <c r="C22" s="48">
        <v>201</v>
      </c>
      <c r="D22" s="49" t="s">
        <v>940</v>
      </c>
      <c r="E22" s="48" t="s">
        <v>65</v>
      </c>
      <c r="F22" s="50">
        <v>8.6300000000000008</v>
      </c>
      <c r="G22" s="32">
        <f>IF(B22="高三",IF($E22="男",LOOKUP(F22,[1]对照表!$G$3:$G$24,[1]对照表!$H$3:$H$24),LOOKUP(F22,[1]对照表!$G$27:$G$48,[1]对照表!$H$27:$H$48)),IF(B22="高二",IF($E22="男",LOOKUP(F22,[1]对照表!$F$3:$F$24,[1]对照表!$H$3:$H$24),LOOKUP(F22,[1]对照表!$F$27:$F$48,[1]对照表!$H$27:$H$48)),IF(B22="高一",IF($E22="男",LOOKUP(F22,[1]对照表!$E$3:$E$24,[1]对照表!$H$3:$H$24),LOOKUP(F22,[1]对照表!$E$27:$E$48,[1]对照表!$H$27:$H$48)))))</f>
        <v>78</v>
      </c>
      <c r="H22" s="38">
        <v>20</v>
      </c>
      <c r="I22" s="32">
        <f>IF(B22="高三",IF($E22="男",LOOKUP(H22,[1]对照表!$K$3:$K$24,[1]对照表!$L$3:$L$24),LOOKUP(H22,[1]对照表!$K$27:$K$48,[1]对照表!$L$27:$L$48)),IF(B22="高二",IF($E22="男",LOOKUP(H22,[1]对照表!$J$3:$J$24,[1]对照表!$L$3:$L$24),LOOKUP(H22,[1]对照表!$J$27:$J$48,[1]对照表!$L$27:$L$48)),IF(B22="高一",IF($E22="男",LOOKUP(H22,[1]对照表!$I$3:$I$24,[1]对照表!$L$3:$L$24),LOOKUP(H22,[1]对照表!$I$27:$I$48,[1]对照表!$L$27:$L$48)))))</f>
        <v>85</v>
      </c>
      <c r="J22" s="38">
        <v>205</v>
      </c>
      <c r="K22" s="32">
        <f>IF(B22="高三",IF($E22="男",LOOKUP(J22,[1]对照表!$O$3:$O$24,[1]对照表!$P$3:$P$24),LOOKUP(J22,[1]对照表!$O$27:$O$48,[1]对照表!$P$27:$P$48)),IF(B22="高二",IF($E22="男",LOOKUP(J22,[1]对照表!$N$3:$N$24,[1]对照表!$P$3:$P$24),LOOKUP(J22,[1]对照表!$N$27:$N$48,[1]对照表!$P$27:$P$48)),IF(B22="高一",IF($E22="男",LOOKUP(J22,[1]对照表!$M$3:$M$24,[1]对照表!$P$3:$P$24),LOOKUP(J22,[1]对照表!$M$27:$M$48,[1]对照表!$P$27:$P$48)))))</f>
        <v>100</v>
      </c>
      <c r="L22" s="38">
        <v>53</v>
      </c>
      <c r="M22" s="32">
        <f>IF(B22="高三",IF($E22="男",LOOKUP(L22,[1]对照表!$S$3:$S$24,[1]对照表!$T$3:$T$24),LOOKUP(L22,[1]对照表!$S$27:$S$48,[1]对照表!$T$27:$T$48)),IF(B22="高二",IF($E22="男",LOOKUP(L22,[1]对照表!$R$3:$R$24,[1]对照表!$T$3:$T$24),LOOKUP(L22,[1]对照表!$R$27:$R$48,[1]对照表!$T$27:$T$48)),IF(B22="高一",IF($E22="男",LOOKUP(L22,[1]对照表!$Q$3:$Q$24,[1]对照表!$T$3:$T$24),LOOKUP(L22,[1]对照表!$Q$27:$Q$48,[1]对照表!$T$27:$T$48)))))</f>
        <v>95</v>
      </c>
      <c r="N22" s="33">
        <f>IF(B22="高三",MAX(IF(E22="男",L22-18,L22-55),0),IF(B22="高二",MAX(IF(E22="男",L22-17,L22-54),0),IF(B22="高一",MAX(IF(E22="男",L22-16,L22-53),0))))</f>
        <v>0</v>
      </c>
      <c r="O22" s="23">
        <f>IF(E22="男",LOOKUP($N22,[1]对照表!$Z$3:$Z$13,[1]对照表!$AA$3:$AA$13),LOOKUP($N22,[1]对照表!$Z$15:$Z$25,[1]对照表!$AA$15:$AA$25))</f>
        <v>0</v>
      </c>
      <c r="P22" s="25">
        <f>M22+O22</f>
        <v>95</v>
      </c>
      <c r="Q22" s="50">
        <v>3.45</v>
      </c>
      <c r="R22" s="32">
        <f>IF(B22="高三",IF($E22="男",LOOKUP(Q22,[1]对照表!$W$3:$W$24,[1]对照表!$X$3:$X$24),LOOKUP(Q22,[1]对照表!$W$27:$W$48,[1]对照表!$X$27:$X$48)),IF(B22="高二",IF($E22="男",LOOKUP(Q22,[1]对照表!$V$3:$V$24,[1]对照表!$X$3:$X$24),LOOKUP(Q22,[1]对照表!$V$27:$V$48,[1]对照表!$X$27:$X$48)),IF(B22="高一",IF($E22="男",LOOKUP(Q22,[1]对照表!$U$3:$U$24,[1]对照表!$X$3:$X$24),LOOKUP(Q22,[1]对照表!$U$27:$U$48,[1]对照表!$X$27:$X$48)))))</f>
        <v>80</v>
      </c>
      <c r="S22" s="33">
        <f>ROUND(IF(IF($B22="高三",MIN(IF($E22="男",$Q22-3.2,$Q22-3.2),0),IF($B22="高二",MIN(IF($E22="男",$Q22-3.25,$Q22-3.22),0),IF($B22="高一",MIN(IF($E22="男",$Q22-3.3,$Q22-3.24),0))))&lt;-0.6,IF($B22="高三",MIN(IF($E22="男",$Q22-3.2,$Q22-3.2),0),IF($B22="高二",MIN(IF($E22="男",$Q22-3.25,$Q22-3.22),0),IF($B22="高一",MIN(IF($E22="男",$Q22-3.3,$Q22-3.24),0))))+0.4,IF($B22="高三",MIN(IF($E22="男",$Q22-3.2,$Q22-3.2),0),IF($B22="高二",MIN(IF($E22="男",$Q22-3.25,$Q22-3.22),0),IF($B22="高一",MIN(IF($E22="男",$Q22-3.3,$Q22-3.24),0))))),2)</f>
        <v>0</v>
      </c>
      <c r="T22" s="23">
        <f>IF(E22="男",LOOKUP($S22,[1]对照表!$AB$3:$AB$13,[1]对照表!$AC$3:$AC$13),LOOKUP($S22,[1]对照表!$AB$15:$AB$25,[1]对照表!$AC$15:$AC$25))</f>
        <v>0</v>
      </c>
      <c r="U22" s="26">
        <f>R22+T22</f>
        <v>80</v>
      </c>
      <c r="V22" s="26">
        <f>SUM(I22,K22,M22)/3*0.3+SUM(G22,R22)/2*0.4</f>
        <v>59.599999999999994</v>
      </c>
      <c r="W22" s="27">
        <f>O22+T22</f>
        <v>0</v>
      </c>
      <c r="X22" s="28">
        <f>V22/0.7+W22</f>
        <v>85.142857142857139</v>
      </c>
      <c r="Y22" s="28">
        <f>X22</f>
        <v>85.142857142857139</v>
      </c>
      <c r="Z22" s="38"/>
    </row>
    <row r="23" spans="1:26" ht="15.6" x14ac:dyDescent="0.25">
      <c r="A23" s="48">
        <v>1</v>
      </c>
      <c r="B23" s="17" t="s">
        <v>767</v>
      </c>
      <c r="C23" s="48">
        <v>201</v>
      </c>
      <c r="D23" s="49" t="s">
        <v>952</v>
      </c>
      <c r="E23" s="48" t="s">
        <v>23</v>
      </c>
      <c r="F23" s="50">
        <v>7.1</v>
      </c>
      <c r="G23" s="32">
        <f>IF(B23="高三",IF($E23="男",LOOKUP(F23,[1]对照表!$G$3:$G$24,[1]对照表!$H$3:$H$24),LOOKUP(F23,[1]对照表!$G$27:$G$48,[1]对照表!$H$27:$H$48)),IF(B23="高二",IF($E23="男",LOOKUP(F23,[1]对照表!$F$3:$F$24,[1]对照表!$H$3:$H$24),LOOKUP(F23,[1]对照表!$F$27:$F$48,[1]对照表!$H$27:$H$48)),IF(B23="高一",IF($E23="男",LOOKUP(F23,[1]对照表!$E$3:$E$24,[1]对照表!$H$3:$H$24),LOOKUP(F23,[1]对照表!$E$27:$E$48,[1]对照表!$H$27:$H$48)))))</f>
        <v>95</v>
      </c>
      <c r="H23" s="38">
        <v>25</v>
      </c>
      <c r="I23" s="32">
        <f>IF(B23="高三",IF($E23="男",LOOKUP(H23,[1]对照表!$K$3:$K$24,[1]对照表!$L$3:$L$24),LOOKUP(H23,[1]对照表!$K$27:$K$48,[1]对照表!$L$27:$L$48)),IF(B23="高二",IF($E23="男",LOOKUP(H23,[1]对照表!$J$3:$J$24,[1]对照表!$L$3:$L$24),LOOKUP(H23,[1]对照表!$J$27:$J$48,[1]对照表!$L$27:$L$48)),IF(B23="高一",IF($E23="男",LOOKUP(H23,[1]对照表!$I$3:$I$24,[1]对照表!$L$3:$L$24),LOOKUP(H23,[1]对照表!$I$27:$I$48,[1]对照表!$L$27:$L$48)))))</f>
        <v>100</v>
      </c>
      <c r="J23" s="38">
        <v>260</v>
      </c>
      <c r="K23" s="32">
        <f>IF(B23="高三",IF($E23="男",LOOKUP(J23,[1]对照表!$O$3:$O$24,[1]对照表!$P$3:$P$24),LOOKUP(J23,[1]对照表!$O$27:$O$48,[1]对照表!$P$27:$P$48)),IF(B23="高二",IF($E23="男",LOOKUP(J23,[1]对照表!$N$3:$N$24,[1]对照表!$P$3:$P$24),LOOKUP(J23,[1]对照表!$N$27:$N$48,[1]对照表!$P$27:$P$48)),IF(B23="高一",IF($E23="男",LOOKUP(J23,[1]对照表!$M$3:$M$24,[1]对照表!$P$3:$P$24),LOOKUP(J23,[1]对照表!$M$27:$M$48,[1]对照表!$P$27:$P$48)))))</f>
        <v>95</v>
      </c>
      <c r="L23" s="38">
        <v>17</v>
      </c>
      <c r="M23" s="32">
        <f>IF(B23="高三",IF($E23="男",LOOKUP(L23,[1]对照表!$S$3:$S$24,[1]对照表!$T$3:$T$24),LOOKUP(L23,[1]对照表!$S$27:$S$48,[1]对照表!$T$27:$T$48)),IF(B23="高二",IF($E23="男",LOOKUP(L23,[1]对照表!$R$3:$R$24,[1]对照表!$T$3:$T$24),LOOKUP(L23,[1]对照表!$R$27:$R$48,[1]对照表!$T$27:$T$48)),IF(B23="高一",IF($E23="男",LOOKUP(L23,[1]对照表!$Q$3:$Q$24,[1]对照表!$T$3:$T$24),LOOKUP(L23,[1]对照表!$Q$27:$Q$48,[1]对照表!$T$27:$T$48)))))</f>
        <v>100</v>
      </c>
      <c r="N23" s="33">
        <f>IF(B23="高三",MAX(IF(E23="男",L23-18,L23-55),0),IF(B23="高二",MAX(IF(E23="男",L23-17,L23-54),0),IF(B23="高一",MAX(IF(E23="男",L23-16,L23-53),0))))</f>
        <v>0</v>
      </c>
      <c r="O23" s="23">
        <f>IF(E23="男",LOOKUP($N23,[1]对照表!$Z$3:$Z$13,[1]对照表!$AA$3:$AA$13),LOOKUP($N23,[1]对照表!$Z$15:$Z$25,[1]对照表!$AA$15:$AA$25))</f>
        <v>0</v>
      </c>
      <c r="P23" s="25">
        <f>M23+O23</f>
        <v>100</v>
      </c>
      <c r="Q23" s="50">
        <v>3.37</v>
      </c>
      <c r="R23" s="32">
        <f>IF(B23="高三",IF($E23="男",LOOKUP(Q23,[1]对照表!$W$3:$W$24,[1]对照表!$X$3:$X$24),LOOKUP(Q23,[1]对照表!$W$27:$W$48,[1]对照表!$X$27:$X$48)),IF(B23="高二",IF($E23="男",LOOKUP(Q23,[1]对照表!$V$3:$V$24,[1]对照表!$X$3:$X$24),LOOKUP(Q23,[1]对照表!$V$27:$V$48,[1]对照表!$X$27:$X$48)),IF(B23="高一",IF($E23="男",LOOKUP(Q23,[1]对照表!$U$3:$U$24,[1]对照表!$X$3:$X$24),LOOKUP(Q23,[1]对照表!$U$27:$U$48,[1]对照表!$X$27:$X$48)))))</f>
        <v>85</v>
      </c>
      <c r="S23" s="33">
        <f>ROUND(IF(IF($B23="高三",MIN(IF($E23="男",$Q23-3.2,$Q23-3.2),0),IF($B23="高二",MIN(IF($E23="男",$Q23-3.25,$Q23-3.22),0),IF($B23="高一",MIN(IF($E23="男",$Q23-3.3,$Q23-3.24),0))))&lt;-0.6,IF($B23="高三",MIN(IF($E23="男",$Q23-3.2,$Q23-3.2),0),IF($B23="高二",MIN(IF($E23="男",$Q23-3.25,$Q23-3.22),0),IF($B23="高一",MIN(IF($E23="男",$Q23-3.3,$Q23-3.24),0))))+0.4,IF($B23="高三",MIN(IF($E23="男",$Q23-3.2,$Q23-3.2),0),IF($B23="高二",MIN(IF($E23="男",$Q23-3.25,$Q23-3.22),0),IF($B23="高一",MIN(IF($E23="男",$Q23-3.3,$Q23-3.24),0))))),2)</f>
        <v>0</v>
      </c>
      <c r="T23" s="23">
        <f>IF(E23="男",LOOKUP($S23,[1]对照表!$AB$3:$AB$13,[1]对照表!$AC$3:$AC$13),LOOKUP($S23,[1]对照表!$AB$15:$AB$25,[1]对照表!$AC$15:$AC$25))</f>
        <v>0</v>
      </c>
      <c r="U23" s="26">
        <f>R23+T23</f>
        <v>85</v>
      </c>
      <c r="V23" s="26">
        <f>SUM(I23,K23,M23)/3*0.3+SUM(G23,R23)/2*0.4</f>
        <v>65.5</v>
      </c>
      <c r="W23" s="27">
        <f>O23+T23</f>
        <v>0</v>
      </c>
      <c r="X23" s="28">
        <f>V23/0.7+W23</f>
        <v>93.571428571428584</v>
      </c>
      <c r="Y23" s="28">
        <f>X23</f>
        <v>93.571428571428584</v>
      </c>
      <c r="Z23" s="38"/>
    </row>
    <row r="24" spans="1:26" ht="15.6" x14ac:dyDescent="0.25">
      <c r="A24" s="48">
        <v>11</v>
      </c>
      <c r="B24" s="17" t="s">
        <v>767</v>
      </c>
      <c r="C24" s="48">
        <v>201</v>
      </c>
      <c r="D24" s="49" t="s">
        <v>968</v>
      </c>
      <c r="E24" s="49" t="s">
        <v>65</v>
      </c>
      <c r="F24" s="50">
        <v>8.8699999999999992</v>
      </c>
      <c r="G24" s="32">
        <f>IF(B24="高三",IF($E24="男",LOOKUP(F24,[1]对照表!$G$3:$G$24,[1]对照表!$H$3:$H$24),LOOKUP(F24,[1]对照表!$G$27:$G$48,[1]对照表!$H$27:$H$48)),IF(B24="高二",IF($E24="男",LOOKUP(F24,[1]对照表!$F$3:$F$24,[1]对照表!$H$3:$H$24),LOOKUP(F24,[1]对照表!$F$27:$F$48,[1]对照表!$H$27:$H$48)),IF(B24="高一",IF($E24="男",LOOKUP(F24,[1]对照表!$E$3:$E$24,[1]对照表!$H$3:$H$24),LOOKUP(F24,[1]对照表!$E$27:$E$48,[1]对照表!$H$27:$H$48)))))</f>
        <v>76</v>
      </c>
      <c r="H24" s="38">
        <v>15.5</v>
      </c>
      <c r="I24" s="32">
        <f>IF(B24="高三",IF($E24="男",LOOKUP(H24,[1]对照表!$K$3:$K$24,[1]对照表!$L$3:$L$24),LOOKUP(H24,[1]对照表!$K$27:$K$48,[1]对照表!$L$27:$L$48)),IF(B24="高二",IF($E24="男",LOOKUP(H24,[1]对照表!$J$3:$J$24,[1]对照表!$L$3:$L$24),LOOKUP(H24,[1]对照表!$J$27:$J$48,[1]对照表!$L$27:$L$48)),IF(B24="高一",IF($E24="男",LOOKUP(H24,[1]对照表!$I$3:$I$24,[1]对照表!$L$3:$L$24),LOOKUP(H24,[1]对照表!$I$27:$I$48,[1]对照表!$L$27:$L$48)))))</f>
        <v>76</v>
      </c>
      <c r="J24" s="38">
        <v>180</v>
      </c>
      <c r="K24" s="32">
        <f>IF(B24="高三",IF($E24="男",LOOKUP(J24,[1]对照表!$O$3:$O$24,[1]对照表!$P$3:$P$24),LOOKUP(J24,[1]对照表!$O$27:$O$48,[1]对照表!$P$27:$P$48)),IF(B24="高二",IF($E24="男",LOOKUP(J24,[1]对照表!$N$3:$N$24,[1]对照表!$P$3:$P$24),LOOKUP(J24,[1]对照表!$N$27:$N$48,[1]对照表!$P$27:$P$48)),IF(B24="高一",IF($E24="男",LOOKUP(J24,[1]对照表!$M$3:$M$24,[1]对照表!$P$3:$P$24),LOOKUP(J24,[1]对照表!$M$27:$M$48,[1]对照表!$P$27:$P$48)))))</f>
        <v>80</v>
      </c>
      <c r="L24" s="38">
        <v>54</v>
      </c>
      <c r="M24" s="32">
        <f>IF(B24="高三",IF($E24="男",LOOKUP(L24,[1]对照表!$S$3:$S$24,[1]对照表!$T$3:$T$24),LOOKUP(L24,[1]对照表!$S$27:$S$48,[1]对照表!$T$27:$T$48)),IF(B24="高二",IF($E24="男",LOOKUP(L24,[1]对照表!$R$3:$R$24,[1]对照表!$T$3:$T$24),LOOKUP(L24,[1]对照表!$R$27:$R$48,[1]对照表!$T$27:$T$48)),IF(B24="高一",IF($E24="男",LOOKUP(L24,[1]对照表!$Q$3:$Q$24,[1]对照表!$T$3:$T$24),LOOKUP(L24,[1]对照表!$Q$27:$Q$48,[1]对照表!$T$27:$T$48)))))</f>
        <v>100</v>
      </c>
      <c r="N24" s="33">
        <f>IF(B24="高三",MAX(IF(E24="男",L24-18,L24-55),0),IF(B24="高二",MAX(IF(E24="男",L24-17,L24-54),0),IF(B24="高一",MAX(IF(E24="男",L24-16,L24-53),0))))</f>
        <v>0</v>
      </c>
      <c r="O24" s="23">
        <f>IF(E24="男",LOOKUP($N24,[1]对照表!$Z$3:$Z$13,[1]对照表!$AA$3:$AA$13),LOOKUP($N24,[1]对照表!$Z$15:$Z$25,[1]对照表!$AA$15:$AA$25))</f>
        <v>0</v>
      </c>
      <c r="P24" s="25">
        <f>M24+O24</f>
        <v>100</v>
      </c>
      <c r="Q24" s="50">
        <v>3.3</v>
      </c>
      <c r="R24" s="32">
        <f>IF(B24="高三",IF($E24="男",LOOKUP(Q24,[1]对照表!$W$3:$W$24,[1]对照表!$X$3:$X$24),LOOKUP(Q24,[1]对照表!$W$27:$W$48,[1]对照表!$X$27:$X$48)),IF(B24="高二",IF($E24="男",LOOKUP(Q24,[1]对照表!$V$3:$V$24,[1]对照表!$X$3:$X$24),LOOKUP(Q24,[1]对照表!$V$27:$V$48,[1]对照表!$X$27:$X$48)),IF(B24="高一",IF($E24="男",LOOKUP(Q24,[1]对照表!$U$3:$U$24,[1]对照表!$X$3:$X$24),LOOKUP(Q24,[1]对照表!$U$27:$U$48,[1]对照表!$X$27:$X$48)))))</f>
        <v>90</v>
      </c>
      <c r="S24" s="27">
        <f>ROUND(IF(IF($B24="高三",MIN(IF($E24="男",$Q24-3.2,$Q24-3.2),0),IF($B24="高二",MIN(IF($E24="男",$Q24-3.25,$Q24-3.22),0),IF($B24="高一",MIN(IF($E24="男",$Q24-3.3,$Q24-3.24),0))))&lt;-0.6,IF($B24="高三",MIN(IF($E24="男",$Q24-3.2,$Q24-3.2),0),IF($B24="高二",MIN(IF($E24="男",$Q24-3.25,$Q24-3.22),0),IF($B24="高一",MIN(IF($E24="男",$Q24-3.3,$Q24-3.24),0))))+0.4,IF($B24="高三",MIN(IF($E24="男",$Q24-3.2,$Q24-3.2),0),IF($B24="高二",MIN(IF($E24="男",$Q24-3.25,$Q24-3.22),0),IF($B24="高一",MIN(IF($E24="男",$Q24-3.3,$Q24-3.24),0))))),2)</f>
        <v>0</v>
      </c>
      <c r="T24" s="23">
        <f>IF(E24="男",LOOKUP($S24,[1]对照表!$AB$3:$AB$13,[1]对照表!$AC$3:$AC$13),LOOKUP($S24,[1]对照表!$AB$15:$AB$25,[1]对照表!$AC$15:$AC$25))</f>
        <v>0</v>
      </c>
      <c r="U24" s="26">
        <f>R24+T24</f>
        <v>90</v>
      </c>
      <c r="V24" s="26">
        <f>SUM(I24,K24,M24)/3*0.3+SUM(G24,R24)/2*0.4</f>
        <v>58.8</v>
      </c>
      <c r="W24" s="27">
        <f>O24+T24</f>
        <v>0</v>
      </c>
      <c r="X24" s="28">
        <f>V24/0.7+W24</f>
        <v>84</v>
      </c>
      <c r="Y24" s="28">
        <f>X24</f>
        <v>84</v>
      </c>
      <c r="Z24" s="38"/>
    </row>
    <row r="25" spans="1:26" ht="15.6" customHeight="1" x14ac:dyDescent="0.25">
      <c r="A25" s="48">
        <v>36</v>
      </c>
      <c r="B25" s="17" t="s">
        <v>767</v>
      </c>
      <c r="C25" s="48">
        <v>201</v>
      </c>
      <c r="D25" s="49" t="s">
        <v>982</v>
      </c>
      <c r="E25" s="48" t="s">
        <v>65</v>
      </c>
      <c r="F25" s="50">
        <v>8.8699999999999992</v>
      </c>
      <c r="G25" s="32">
        <f>IF(B25="高三",IF($E25="男",LOOKUP(F25,[1]对照表!$G$3:$G$24,[1]对照表!$H$3:$H$24),LOOKUP(F25,[1]对照表!$G$27:$G$48,[1]对照表!$H$27:$H$48)),IF(B25="高二",IF($E25="男",LOOKUP(F25,[1]对照表!$F$3:$F$24,[1]对照表!$H$3:$H$24),LOOKUP(F25,[1]对照表!$F$27:$F$48,[1]对照表!$H$27:$H$48)),IF(B25="高一",IF($E25="男",LOOKUP(F25,[1]对照表!$E$3:$E$24,[1]对照表!$H$3:$H$24),LOOKUP(F25,[1]对照表!$E$27:$E$48,[1]对照表!$H$27:$H$48)))))</f>
        <v>76</v>
      </c>
      <c r="H25" s="38">
        <v>20.5</v>
      </c>
      <c r="I25" s="32">
        <f>IF(B25="高三",IF($E25="男",LOOKUP(H25,[1]对照表!$K$3:$K$24,[1]对照表!$L$3:$L$24),LOOKUP(H25,[1]对照表!$K$27:$K$48,[1]对照表!$L$27:$L$48)),IF(B25="高二",IF($E25="男",LOOKUP(H25,[1]对照表!$J$3:$J$24,[1]对照表!$L$3:$L$24),LOOKUP(H25,[1]对照表!$J$27:$J$48,[1]对照表!$L$27:$L$48)),IF(B25="高一",IF($E25="男",LOOKUP(H25,[1]对照表!$I$3:$I$24,[1]对照表!$L$3:$L$24),LOOKUP(H25,[1]对照表!$I$27:$I$48,[1]对照表!$L$27:$L$48)))))</f>
        <v>85</v>
      </c>
      <c r="J25" s="38">
        <v>178</v>
      </c>
      <c r="K25" s="32">
        <f>IF(B25="高三",IF($E25="男",LOOKUP(J25,[1]对照表!$O$3:$O$24,[1]对照表!$P$3:$P$24),LOOKUP(J25,[1]对照表!$O$27:$O$48,[1]对照表!$P$27:$P$48)),IF(B25="高二",IF($E25="男",LOOKUP(J25,[1]对照表!$N$3:$N$24,[1]对照表!$P$3:$P$24),LOOKUP(J25,[1]对照表!$N$27:$N$48,[1]对照表!$P$27:$P$48)),IF(B25="高一",IF($E25="男",LOOKUP(J25,[1]对照表!$M$3:$M$24,[1]对照表!$P$3:$P$24),LOOKUP(J25,[1]对照表!$M$27:$M$48,[1]对照表!$P$27:$P$48)))))</f>
        <v>78</v>
      </c>
      <c r="L25" s="38">
        <v>54</v>
      </c>
      <c r="M25" s="32">
        <f>IF(B25="高三",IF($E25="男",LOOKUP(L25,[1]对照表!$S$3:$S$24,[1]对照表!$T$3:$T$24),LOOKUP(L25,[1]对照表!$S$27:$S$48,[1]对照表!$T$27:$T$48)),IF(B25="高二",IF($E25="男",LOOKUP(L25,[1]对照表!$R$3:$R$24,[1]对照表!$T$3:$T$24),LOOKUP(L25,[1]对照表!$R$27:$R$48,[1]对照表!$T$27:$T$48)),IF(B25="高一",IF($E25="男",LOOKUP(L25,[1]对照表!$Q$3:$Q$24,[1]对照表!$T$3:$T$24),LOOKUP(L25,[1]对照表!$Q$27:$Q$48,[1]对照表!$T$27:$T$48)))))</f>
        <v>100</v>
      </c>
      <c r="N25" s="33">
        <f>IF(B25="高三",MAX(IF(E25="男",L25-18,L25-55),0),IF(B25="高二",MAX(IF(E25="男",L25-17,L25-54),0),IF(B25="高一",MAX(IF(E25="男",L25-16,L25-53),0))))</f>
        <v>0</v>
      </c>
      <c r="O25" s="23">
        <f>IF(E25="男",LOOKUP($N25,[1]对照表!$Z$3:$Z$13,[1]对照表!$AA$3:$AA$13),LOOKUP($N25,[1]对照表!$Z$15:$Z$25,[1]对照表!$AA$15:$AA$25))</f>
        <v>0</v>
      </c>
      <c r="P25" s="25">
        <f>M25+O25</f>
        <v>100</v>
      </c>
      <c r="Q25" s="50">
        <v>3.36</v>
      </c>
      <c r="R25" s="32">
        <f>IF(B25="高三",IF($E25="男",LOOKUP(Q25,[1]对照表!$W$3:$W$24,[1]对照表!$X$3:$X$24),LOOKUP(Q25,[1]对照表!$W$27:$W$48,[1]对照表!$X$27:$X$48)),IF(B25="高二",IF($E25="男",LOOKUP(Q25,[1]对照表!$V$3:$V$24,[1]对照表!$X$3:$X$24),LOOKUP(Q25,[1]对照表!$V$27:$V$48,[1]对照表!$X$27:$X$48)),IF(B25="高一",IF($E25="男",LOOKUP(Q25,[1]对照表!$U$3:$U$24,[1]对照表!$X$3:$X$24),LOOKUP(Q25,[1]对照表!$U$27:$U$48,[1]对照表!$X$27:$X$48)))))</f>
        <v>85</v>
      </c>
      <c r="S25" s="33">
        <f>ROUND(IF(IF($B25="高三",MIN(IF($E25="男",$Q25-3.2,$Q25-3.2),0),IF($B25="高二",MIN(IF($E25="男",$Q25-3.25,$Q25-3.22),0),IF($B25="高一",MIN(IF($E25="男",$Q25-3.3,$Q25-3.24),0))))&lt;-0.6,IF($B25="高三",MIN(IF($E25="男",$Q25-3.2,$Q25-3.2),0),IF($B25="高二",MIN(IF($E25="男",$Q25-3.25,$Q25-3.22),0),IF($B25="高一",MIN(IF($E25="男",$Q25-3.3,$Q25-3.24),0))))+0.4,IF($B25="高三",MIN(IF($E25="男",$Q25-3.2,$Q25-3.2),0),IF($B25="高二",MIN(IF($E25="男",$Q25-3.25,$Q25-3.22),0),IF($B25="高一",MIN(IF($E25="男",$Q25-3.3,$Q25-3.24),0))))),2)</f>
        <v>0</v>
      </c>
      <c r="T25" s="23">
        <f>IF(E25="男",LOOKUP($S25,[1]对照表!$AB$3:$AB$13,[1]对照表!$AC$3:$AC$13),LOOKUP($S25,[1]对照表!$AB$15:$AB$25,[1]对照表!$AC$15:$AC$25))</f>
        <v>0</v>
      </c>
      <c r="U25" s="26">
        <f>R25+T25</f>
        <v>85</v>
      </c>
      <c r="V25" s="26">
        <f>SUM(I25,K25,M25)/3*0.3+SUM(G25,R25)/2*0.4</f>
        <v>58.5</v>
      </c>
      <c r="W25" s="27">
        <f>O25+T25</f>
        <v>0</v>
      </c>
      <c r="X25" s="28">
        <f>V25/0.7+W25</f>
        <v>83.571428571428584</v>
      </c>
      <c r="Y25" s="28">
        <f>X25</f>
        <v>83.571428571428584</v>
      </c>
      <c r="Z25" s="38"/>
    </row>
    <row r="26" spans="1:26" ht="15.6" x14ac:dyDescent="0.25">
      <c r="A26" s="38">
        <v>46</v>
      </c>
      <c r="B26" s="17" t="s">
        <v>767</v>
      </c>
      <c r="C26" s="48">
        <v>201</v>
      </c>
      <c r="D26" s="49" t="s">
        <v>983</v>
      </c>
      <c r="E26" s="48" t="s">
        <v>65</v>
      </c>
      <c r="F26" s="50">
        <v>8.91</v>
      </c>
      <c r="G26" s="32">
        <f>IF(B26="高三",IF($E26="男",LOOKUP(F26,[1]对照表!$G$3:$G$24,[1]对照表!$H$3:$H$24),LOOKUP(F26,[1]对照表!$G$27:$G$48,[1]对照表!$H$27:$H$48)),IF(B26="高二",IF($E26="男",LOOKUP(F26,[1]对照表!$F$3:$F$24,[1]对照表!$H$3:$H$24),LOOKUP(F26,[1]对照表!$F$27:$F$48,[1]对照表!$H$27:$H$48)),IF(B26="高一",IF($E26="男",LOOKUP(F26,[1]对照表!$E$3:$E$24,[1]对照表!$H$3:$H$24),LOOKUP(F26,[1]对照表!$E$27:$E$48,[1]对照表!$H$27:$H$48)))))</f>
        <v>74</v>
      </c>
      <c r="H26" s="38">
        <v>24</v>
      </c>
      <c r="I26" s="32">
        <f>IF(B26="高三",IF($E26="男",LOOKUP(H26,[1]对照表!$K$3:$K$24,[1]对照表!$L$3:$L$24),LOOKUP(H26,[1]对照表!$K$27:$K$48,[1]对照表!$L$27:$L$48)),IF(B26="高二",IF($E26="男",LOOKUP(H26,[1]对照表!$J$3:$J$24,[1]对照表!$L$3:$L$24),LOOKUP(H26,[1]对照表!$J$27:$J$48,[1]对照表!$L$27:$L$48)),IF(B26="高一",IF($E26="男",LOOKUP(H26,[1]对照表!$I$3:$I$24,[1]对照表!$L$3:$L$24),LOOKUP(H26,[1]对照表!$I$27:$I$48,[1]对照表!$L$27:$L$48)))))</f>
        <v>95</v>
      </c>
      <c r="J26" s="38">
        <v>174</v>
      </c>
      <c r="K26" s="32">
        <f>IF(B26="高三",IF($E26="男",LOOKUP(J26,[1]对照表!$O$3:$O$24,[1]对照表!$P$3:$P$24),LOOKUP(J26,[1]对照表!$O$27:$O$48,[1]对照表!$P$27:$P$48)),IF(B26="高二",IF($E26="男",LOOKUP(J26,[1]对照表!$N$3:$N$24,[1]对照表!$P$3:$P$24),LOOKUP(J26,[1]对照表!$N$27:$N$48,[1]对照表!$P$27:$P$48)),IF(B26="高一",IF($E26="男",LOOKUP(J26,[1]对照表!$M$3:$M$24,[1]对照表!$P$3:$P$24),LOOKUP(J26,[1]对照表!$M$27:$M$48,[1]对照表!$P$27:$P$48)))))</f>
        <v>76</v>
      </c>
      <c r="L26" s="38">
        <v>49</v>
      </c>
      <c r="M26" s="32">
        <f>IF(B26="高三",IF($E26="男",LOOKUP(L26,[1]对照表!$S$3:$S$24,[1]对照表!$T$3:$T$24),LOOKUP(L26,[1]对照表!$S$27:$S$48,[1]对照表!$T$27:$T$48)),IF(B26="高二",IF($E26="男",LOOKUP(L26,[1]对照表!$R$3:$R$24,[1]对照表!$T$3:$T$24),LOOKUP(L26,[1]对照表!$R$27:$R$48,[1]对照表!$T$27:$T$48)),IF(B26="高一",IF($E26="男",LOOKUP(L26,[1]对照表!$Q$3:$Q$24,[1]对照表!$T$3:$T$24),LOOKUP(L26,[1]对照表!$Q$27:$Q$48,[1]对照表!$T$27:$T$48)))))</f>
        <v>85</v>
      </c>
      <c r="N26" s="33">
        <f>IF(B26="高三",MAX(IF(E26="男",L26-18,L26-55),0),IF(B26="高二",MAX(IF(E26="男",L26-17,L26-54),0),IF(B26="高一",MAX(IF(E26="男",L26-16,L26-53),0))))</f>
        <v>0</v>
      </c>
      <c r="O26" s="23">
        <f>IF(E26="男",LOOKUP($N26,[1]对照表!$Z$3:$Z$13,[1]对照表!$AA$3:$AA$13),LOOKUP($N26,[1]对照表!$Z$15:$Z$25,[1]对照表!$AA$15:$AA$25))</f>
        <v>0</v>
      </c>
      <c r="P26" s="25">
        <f>M26+O26</f>
        <v>85</v>
      </c>
      <c r="Q26" s="50">
        <v>3.34</v>
      </c>
      <c r="R26" s="32">
        <f>IF(B26="高三",IF($E26="男",LOOKUP(Q26,[1]对照表!$W$3:$W$24,[1]对照表!$X$3:$X$24),LOOKUP(Q26,[1]对照表!$W$27:$W$48,[1]对照表!$X$27:$X$48)),IF(B26="高二",IF($E26="男",LOOKUP(Q26,[1]对照表!$V$3:$V$24,[1]对照表!$X$3:$X$24),LOOKUP(Q26,[1]对照表!$V$27:$V$48,[1]对照表!$X$27:$X$48)),IF(B26="高一",IF($E26="男",LOOKUP(Q26,[1]对照表!$U$3:$U$24,[1]对照表!$X$3:$X$24),LOOKUP(Q26,[1]对照表!$U$27:$U$48,[1]对照表!$X$27:$X$48)))))</f>
        <v>90</v>
      </c>
      <c r="S26" s="33">
        <f>ROUND(IF(IF($B26="高三",MIN(IF($E26="男",$Q26-3.2,$Q26-3.2),0),IF($B26="高二",MIN(IF($E26="男",$Q26-3.25,$Q26-3.22),0),IF($B26="高一",MIN(IF($E26="男",$Q26-3.3,$Q26-3.24),0))))&lt;-0.6,IF($B26="高三",MIN(IF($E26="男",$Q26-3.2,$Q26-3.2),0),IF($B26="高二",MIN(IF($E26="男",$Q26-3.25,$Q26-3.22),0),IF($B26="高一",MIN(IF($E26="男",$Q26-3.3,$Q26-3.24),0))))+0.4,IF($B26="高三",MIN(IF($E26="男",$Q26-3.2,$Q26-3.2),0),IF($B26="高二",MIN(IF($E26="男",$Q26-3.25,$Q26-3.22),0),IF($B26="高一",MIN(IF($E26="男",$Q26-3.3,$Q26-3.24),0))))),2)</f>
        <v>0</v>
      </c>
      <c r="T26" s="23">
        <f>IF(E26="男",LOOKUP($S26,[1]对照表!$AB$3:$AB$13,[1]对照表!$AC$3:$AC$13),LOOKUP($S26,[1]对照表!$AB$15:$AB$25,[1]对照表!$AC$15:$AC$25))</f>
        <v>0</v>
      </c>
      <c r="U26" s="26">
        <f>R26+T26</f>
        <v>90</v>
      </c>
      <c r="V26" s="26">
        <f>SUM(I26,K26,M26)/3*0.3+SUM(G26,R26)/2*0.4</f>
        <v>58.400000000000006</v>
      </c>
      <c r="W26" s="27">
        <f>O26+T26</f>
        <v>0</v>
      </c>
      <c r="X26" s="28">
        <f>V26/0.7+W26</f>
        <v>83.428571428571445</v>
      </c>
      <c r="Y26" s="28">
        <f>X26</f>
        <v>83.428571428571445</v>
      </c>
      <c r="Z26" s="38"/>
    </row>
    <row r="27" spans="1:26" ht="15.6" customHeight="1" x14ac:dyDescent="0.25">
      <c r="A27" s="48">
        <v>13</v>
      </c>
      <c r="B27" s="17" t="s">
        <v>767</v>
      </c>
      <c r="C27" s="48">
        <v>201</v>
      </c>
      <c r="D27" s="49" t="s">
        <v>989</v>
      </c>
      <c r="E27" s="49" t="s">
        <v>65</v>
      </c>
      <c r="F27" s="50">
        <v>8.89</v>
      </c>
      <c r="G27" s="32">
        <f>IF(B27="高三",IF($E27="男",LOOKUP(F27,[1]对照表!$G$3:$G$24,[1]对照表!$H$3:$H$24),LOOKUP(F27,[1]对照表!$G$27:$G$48,[1]对照表!$H$27:$H$48)),IF(B27="高二",IF($E27="男",LOOKUP(F27,[1]对照表!$F$3:$F$24,[1]对照表!$H$3:$H$24),LOOKUP(F27,[1]对照表!$F$27:$F$48,[1]对照表!$H$27:$H$48)),IF(B27="高一",IF($E27="男",LOOKUP(F27,[1]对照表!$E$3:$E$24,[1]对照表!$H$3:$H$24),LOOKUP(F27,[1]对照表!$E$27:$E$48,[1]对照表!$H$27:$H$48)))))</f>
        <v>76</v>
      </c>
      <c r="H27" s="38">
        <v>22.5</v>
      </c>
      <c r="I27" s="32">
        <f>IF(B27="高三",IF($E27="男",LOOKUP(H27,[1]对照表!$K$3:$K$24,[1]对照表!$L$3:$L$24),LOOKUP(H27,[1]对照表!$K$27:$K$48,[1]对照表!$L$27:$L$48)),IF(B27="高二",IF($E27="男",LOOKUP(H27,[1]对照表!$J$3:$J$24,[1]对照表!$L$3:$L$24),LOOKUP(H27,[1]对照表!$J$27:$J$48,[1]对照表!$L$27:$L$48)),IF(B27="高一",IF($E27="男",LOOKUP(H27,[1]对照表!$I$3:$I$24,[1]对照表!$L$3:$L$24),LOOKUP(H27,[1]对照表!$I$27:$I$48,[1]对照表!$L$27:$L$48)))))</f>
        <v>90</v>
      </c>
      <c r="J27" s="38">
        <v>187</v>
      </c>
      <c r="K27" s="32">
        <f>IF(B27="高三",IF($E27="男",LOOKUP(J27,[1]对照表!$O$3:$O$24,[1]对照表!$P$3:$P$24),LOOKUP(J27,[1]对照表!$O$27:$O$48,[1]对照表!$P$27:$P$48)),IF(B27="高二",IF($E27="男",LOOKUP(J27,[1]对照表!$N$3:$N$24,[1]对照表!$P$3:$P$24),LOOKUP(J27,[1]对照表!$N$27:$N$48,[1]对照表!$P$27:$P$48)),IF(B27="高一",IF($E27="男",LOOKUP(J27,[1]对照表!$M$3:$M$24,[1]对照表!$P$3:$P$24),LOOKUP(J27,[1]对照表!$M$27:$M$48,[1]对照表!$P$27:$P$48)))))</f>
        <v>85</v>
      </c>
      <c r="L27" s="38">
        <v>53</v>
      </c>
      <c r="M27" s="32">
        <f>IF(B27="高三",IF($E27="男",LOOKUP(L27,[1]对照表!$S$3:$S$24,[1]对照表!$T$3:$T$24),LOOKUP(L27,[1]对照表!$S$27:$S$48,[1]对照表!$T$27:$T$48)),IF(B27="高二",IF($E27="男",LOOKUP(L27,[1]对照表!$R$3:$R$24,[1]对照表!$T$3:$T$24),LOOKUP(L27,[1]对照表!$R$27:$R$48,[1]对照表!$T$27:$T$48)),IF(B27="高一",IF($E27="男",LOOKUP(L27,[1]对照表!$Q$3:$Q$24,[1]对照表!$T$3:$T$24),LOOKUP(L27,[1]对照表!$Q$27:$Q$48,[1]对照表!$T$27:$T$48)))))</f>
        <v>95</v>
      </c>
      <c r="N27" s="33">
        <f>IF(B27="高三",MAX(IF(E27="男",L27-18,L27-55),0),IF(B27="高二",MAX(IF(E27="男",L27-17,L27-54),0),IF(B27="高一",MAX(IF(E27="男",L27-16,L27-53),0))))</f>
        <v>0</v>
      </c>
      <c r="O27" s="23">
        <f>IF(E27="男",LOOKUP($N27,[1]对照表!$Z$3:$Z$13,[1]对照表!$AA$3:$AA$13),LOOKUP($N27,[1]对照表!$Z$15:$Z$25,[1]对照表!$AA$15:$AA$25))</f>
        <v>0</v>
      </c>
      <c r="P27" s="25">
        <f>M27+O27</f>
        <v>95</v>
      </c>
      <c r="Q27" s="50">
        <v>3.46</v>
      </c>
      <c r="R27" s="32">
        <f>IF(B27="高三",IF($E27="男",LOOKUP(Q27,[1]对照表!$W$3:$W$24,[1]对照表!$X$3:$X$24),LOOKUP(Q27,[1]对照表!$W$27:$W$48,[1]对照表!$X$27:$X$48)),IF(B27="高二",IF($E27="男",LOOKUP(Q27,[1]对照表!$V$3:$V$24,[1]对照表!$X$3:$X$24),LOOKUP(Q27,[1]对照表!$V$27:$V$48,[1]对照表!$X$27:$X$48)),IF(B27="高一",IF($E27="男",LOOKUP(Q27,[1]对照表!$U$3:$U$24,[1]对照表!$X$3:$X$24),LOOKUP(Q27,[1]对照表!$U$27:$U$48,[1]对照表!$X$27:$X$48)))))</f>
        <v>80</v>
      </c>
      <c r="S27" s="33">
        <f>ROUND(IF(IF($B27="高三",MIN(IF($E27="男",$Q27-3.2,$Q27-3.2),0),IF($B27="高二",MIN(IF($E27="男",$Q27-3.25,$Q27-3.22),0),IF($B27="高一",MIN(IF($E27="男",$Q27-3.3,$Q27-3.24),0))))&lt;-0.6,IF($B27="高三",MIN(IF($E27="男",$Q27-3.2,$Q27-3.2),0),IF($B27="高二",MIN(IF($E27="男",$Q27-3.25,$Q27-3.22),0),IF($B27="高一",MIN(IF($E27="男",$Q27-3.3,$Q27-3.24),0))))+0.4,IF($B27="高三",MIN(IF($E27="男",$Q27-3.2,$Q27-3.2),0),IF($B27="高二",MIN(IF($E27="男",$Q27-3.25,$Q27-3.22),0),IF($B27="高一",MIN(IF($E27="男",$Q27-3.3,$Q27-3.24),0))))),2)</f>
        <v>0</v>
      </c>
      <c r="T27" s="23">
        <f>IF(E27="男",LOOKUP($S27,[1]对照表!$AB$3:$AB$13,[1]对照表!$AC$3:$AC$13),LOOKUP($S27,[1]对照表!$AB$15:$AB$25,[1]对照表!$AC$15:$AC$25))</f>
        <v>0</v>
      </c>
      <c r="U27" s="26">
        <f>R27+T27</f>
        <v>80</v>
      </c>
      <c r="V27" s="26">
        <f>SUM(I27,K27,M27)/3*0.3+SUM(G27,R27)/2*0.4</f>
        <v>58.2</v>
      </c>
      <c r="W27" s="27">
        <f>O27+T27</f>
        <v>0</v>
      </c>
      <c r="X27" s="28">
        <f>V27/0.7+W27</f>
        <v>83.142857142857153</v>
      </c>
      <c r="Y27" s="28">
        <f>X27</f>
        <v>83.142857142857153</v>
      </c>
      <c r="Z27" s="38"/>
    </row>
    <row r="28" spans="1:26" ht="15.6" x14ac:dyDescent="0.25">
      <c r="A28" s="48">
        <v>5</v>
      </c>
      <c r="B28" s="17" t="s">
        <v>767</v>
      </c>
      <c r="C28" s="48">
        <v>201</v>
      </c>
      <c r="D28" s="49" t="s">
        <v>1006</v>
      </c>
      <c r="E28" s="48" t="s">
        <v>23</v>
      </c>
      <c r="F28" s="50">
        <v>7</v>
      </c>
      <c r="G28" s="32">
        <f>IF(B28="高三",IF($E28="男",LOOKUP(F28,[1]对照表!$G$3:$G$24,[1]对照表!$H$3:$H$24),LOOKUP(F28,[1]对照表!$G$27:$G$48,[1]对照表!$H$27:$H$48)),IF(B28="高二",IF($E28="男",LOOKUP(F28,[1]对照表!$F$3:$F$24,[1]对照表!$H$3:$H$24),LOOKUP(F28,[1]对照表!$F$27:$F$48,[1]对照表!$H$27:$H$48)),IF(B28="高一",IF($E28="男",LOOKUP(F28,[1]对照表!$E$3:$E$24,[1]对照表!$H$3:$H$24),LOOKUP(F28,[1]对照表!$E$27:$E$48,[1]对照表!$H$27:$H$48)))))</f>
        <v>100</v>
      </c>
      <c r="H28" s="38">
        <v>21</v>
      </c>
      <c r="I28" s="32">
        <f>IF(B28="高三",IF($E28="男",LOOKUP(H28,[1]对照表!$K$3:$K$24,[1]对照表!$L$3:$L$24),LOOKUP(H28,[1]对照表!$K$27:$K$48,[1]对照表!$L$27:$L$48)),IF(B28="高二",IF($E28="男",LOOKUP(H28,[1]对照表!$J$3:$J$24,[1]对照表!$L$3:$L$24),LOOKUP(H28,[1]对照表!$J$27:$J$48,[1]对照表!$L$27:$L$48)),IF(B28="高一",IF($E28="男",LOOKUP(H28,[1]对照表!$I$3:$I$24,[1]对照表!$L$3:$L$24),LOOKUP(H28,[1]对照表!$I$27:$I$48,[1]对照表!$L$27:$L$48)))))</f>
        <v>90</v>
      </c>
      <c r="J28" s="38">
        <v>250</v>
      </c>
      <c r="K28" s="32">
        <f>IF(B28="高三",IF($E28="男",LOOKUP(J28,[1]对照表!$O$3:$O$24,[1]对照表!$P$3:$P$24),LOOKUP(J28,[1]对照表!$O$27:$O$48,[1]对照表!$P$27:$P$48)),IF(B28="高二",IF($E28="男",LOOKUP(J28,[1]对照表!$N$3:$N$24,[1]对照表!$P$3:$P$24),LOOKUP(J28,[1]对照表!$N$27:$N$48,[1]对照表!$P$27:$P$48)),IF(B28="高一",IF($E28="男",LOOKUP(J28,[1]对照表!$M$3:$M$24,[1]对照表!$P$3:$P$24),LOOKUP(J28,[1]对照表!$M$27:$M$48,[1]对照表!$P$27:$P$48)))))</f>
        <v>85</v>
      </c>
      <c r="L28" s="38">
        <v>16</v>
      </c>
      <c r="M28" s="32">
        <f>IF(B28="高三",IF($E28="男",LOOKUP(L28,[1]对照表!$S$3:$S$24,[1]对照表!$T$3:$T$24),LOOKUP(L28,[1]对照表!$S$27:$S$48,[1]对照表!$T$27:$T$48)),IF(B28="高二",IF($E28="男",LOOKUP(L28,[1]对照表!$R$3:$R$24,[1]对照表!$T$3:$T$24),LOOKUP(L28,[1]对照表!$R$27:$R$48,[1]对照表!$T$27:$T$48)),IF(B28="高一",IF($E28="男",LOOKUP(L28,[1]对照表!$Q$3:$Q$24,[1]对照表!$T$3:$T$24),LOOKUP(L28,[1]对照表!$Q$27:$Q$48,[1]对照表!$T$27:$T$48)))))</f>
        <v>95</v>
      </c>
      <c r="N28" s="33">
        <f>IF(B28="高三",MAX(IF(E28="男",L28-18,L28-55),0),IF(B28="高二",MAX(IF(E28="男",L28-17,L28-54),0),IF(B28="高一",MAX(IF(E28="男",L28-16,L28-53),0))))</f>
        <v>0</v>
      </c>
      <c r="O28" s="23">
        <f>IF(E28="男",LOOKUP($N28,[1]对照表!$Z$3:$Z$13,[1]对照表!$AA$3:$AA$13),LOOKUP($N28,[1]对照表!$Z$15:$Z$25,[1]对照表!$AA$15:$AA$25))</f>
        <v>0</v>
      </c>
      <c r="P28" s="25">
        <f>M28+O28</f>
        <v>95</v>
      </c>
      <c r="Q28" s="59">
        <v>3.47</v>
      </c>
      <c r="R28" s="32">
        <f>IF(B28="高三",IF($E28="男",LOOKUP(Q28,[1]对照表!$W$3:$W$24,[1]对照表!$X$3:$X$24),LOOKUP(Q28,[1]对照表!$W$27:$W$48,[1]对照表!$X$27:$X$48)),IF(B28="高二",IF($E28="男",LOOKUP(Q28,[1]对照表!$V$3:$V$24,[1]对照表!$X$3:$X$24),LOOKUP(Q28,[1]对照表!$V$27:$V$48,[1]对照表!$X$27:$X$48)),IF(B28="高一",IF($E28="男",LOOKUP(Q28,[1]对照表!$U$3:$U$24,[1]对照表!$X$3:$X$24),LOOKUP(Q28,[1]对照表!$U$27:$U$48,[1]对照表!$X$27:$X$48)))))</f>
        <v>80</v>
      </c>
      <c r="S28" s="33">
        <f>ROUND(IF(IF($B28="高三",MIN(IF($E28="男",$Q28-3.2,$Q28-3.2),0),IF($B28="高二",MIN(IF($E28="男",$Q28-3.25,$Q28-3.22),0),IF($B28="高一",MIN(IF($E28="男",$Q28-3.3,$Q28-3.24),0))))&lt;-0.6,IF($B28="高三",MIN(IF($E28="男",$Q28-3.2,$Q28-3.2),0),IF($B28="高二",MIN(IF($E28="男",$Q28-3.25,$Q28-3.22),0),IF($B28="高一",MIN(IF($E28="男",$Q28-3.3,$Q28-3.24),0))))+0.4,IF($B28="高三",MIN(IF($E28="男",$Q28-3.2,$Q28-3.2),0),IF($B28="高二",MIN(IF($E28="男",$Q28-3.25,$Q28-3.22),0),IF($B28="高一",MIN(IF($E28="男",$Q28-3.3,$Q28-3.24),0))))),2)</f>
        <v>0</v>
      </c>
      <c r="T28" s="23">
        <f>IF(E28="男",LOOKUP($S28,[1]对照表!$AB$3:$AB$13,[1]对照表!$AC$3:$AC$13),LOOKUP($S28,[1]对照表!$AB$15:$AB$25,[1]对照表!$AC$15:$AC$25))</f>
        <v>0</v>
      </c>
      <c r="U28" s="26">
        <f>R28+T28</f>
        <v>80</v>
      </c>
      <c r="V28" s="26">
        <f>SUM(I28,K28,M28)/3*0.3+SUM(G28,R28)/2*0.4</f>
        <v>63</v>
      </c>
      <c r="W28" s="27">
        <f>O28+T28</f>
        <v>0</v>
      </c>
      <c r="X28" s="28">
        <f>V28/0.7+W28</f>
        <v>90</v>
      </c>
      <c r="Y28" s="28">
        <f>X28</f>
        <v>90</v>
      </c>
      <c r="Z28" s="38"/>
    </row>
    <row r="29" spans="1:26" ht="15.6" x14ac:dyDescent="0.25">
      <c r="A29" s="48">
        <v>43</v>
      </c>
      <c r="B29" s="17" t="s">
        <v>767</v>
      </c>
      <c r="C29" s="48">
        <v>201</v>
      </c>
      <c r="D29" s="49" t="s">
        <v>1027</v>
      </c>
      <c r="E29" s="48" t="s">
        <v>65</v>
      </c>
      <c r="F29" s="50">
        <v>8.91</v>
      </c>
      <c r="G29" s="32">
        <f>IF(B29="高三",IF($E29="男",LOOKUP(F29,[1]对照表!$G$3:$G$24,[1]对照表!$H$3:$H$24),LOOKUP(F29,[1]对照表!$G$27:$G$48,[1]对照表!$H$27:$H$48)),IF(B29="高二",IF($E29="男",LOOKUP(F29,[1]对照表!$F$3:$F$24,[1]对照表!$H$3:$H$24),LOOKUP(F29,[1]对照表!$F$27:$F$48,[1]对照表!$H$27:$H$48)),IF(B29="高一",IF($E29="男",LOOKUP(F29,[1]对照表!$E$3:$E$24,[1]对照表!$H$3:$H$24),LOOKUP(F29,[1]对照表!$E$27:$E$48,[1]对照表!$H$27:$H$48)))))</f>
        <v>74</v>
      </c>
      <c r="H29" s="38">
        <v>13</v>
      </c>
      <c r="I29" s="32">
        <f>IF(B29="高三",IF($E29="男",LOOKUP(H29,[1]对照表!$K$3:$K$24,[1]对照表!$L$3:$L$24),LOOKUP(H29,[1]对照表!$K$27:$K$48,[1]对照表!$L$27:$L$48)),IF(B29="高二",IF($E29="男",LOOKUP(H29,[1]对照表!$J$3:$J$24,[1]对照表!$L$3:$L$24),LOOKUP(H29,[1]对照表!$J$27:$J$48,[1]对照表!$L$27:$L$48)),IF(B29="高一",IF($E29="男",LOOKUP(H29,[1]对照表!$I$3:$I$24,[1]对照表!$L$3:$L$24),LOOKUP(H29,[1]对照表!$I$27:$I$48,[1]对照表!$L$27:$L$48)))))</f>
        <v>72</v>
      </c>
      <c r="J29" s="38">
        <v>200</v>
      </c>
      <c r="K29" s="32">
        <f>IF(B29="高三",IF($E29="男",LOOKUP(J29,[1]对照表!$O$3:$O$24,[1]对照表!$P$3:$P$24),LOOKUP(J29,[1]对照表!$O$27:$O$48,[1]对照表!$P$27:$P$48)),IF(B29="高二",IF($E29="男",LOOKUP(J29,[1]对照表!$N$3:$N$24,[1]对照表!$P$3:$P$24),LOOKUP(J29,[1]对照表!$N$27:$N$48,[1]对照表!$P$27:$P$48)),IF(B29="高一",IF($E29="男",LOOKUP(J29,[1]对照表!$M$3:$M$24,[1]对照表!$P$3:$P$24),LOOKUP(J29,[1]对照表!$M$27:$M$48,[1]对照表!$P$27:$P$48)))))</f>
        <v>95</v>
      </c>
      <c r="L29" s="38">
        <v>50</v>
      </c>
      <c r="M29" s="32">
        <f>IF(B29="高三",IF($E29="男",LOOKUP(L29,[1]对照表!$S$3:$S$24,[1]对照表!$T$3:$T$24),LOOKUP(L29,[1]对照表!$S$27:$S$48,[1]对照表!$T$27:$T$48)),IF(B29="高二",IF($E29="男",LOOKUP(L29,[1]对照表!$R$3:$R$24,[1]对照表!$T$3:$T$24),LOOKUP(L29,[1]对照表!$R$27:$R$48,[1]对照表!$T$27:$T$48)),IF(B29="高一",IF($E29="男",LOOKUP(L29,[1]对照表!$Q$3:$Q$24,[1]对照表!$T$3:$T$24),LOOKUP(L29,[1]对照表!$Q$27:$Q$48,[1]对照表!$T$27:$T$48)))))</f>
        <v>90</v>
      </c>
      <c r="N29" s="33">
        <f>IF(B29="高三",MAX(IF(E29="男",L29-18,L29-55),0),IF(B29="高二",MAX(IF(E29="男",L29-17,L29-54),0),IF(B29="高一",MAX(IF(E29="男",L29-16,L29-53),0))))</f>
        <v>0</v>
      </c>
      <c r="O29" s="23">
        <f>IF(E29="男",LOOKUP($N29,[1]对照表!$Z$3:$Z$13,[1]对照表!$AA$3:$AA$13),LOOKUP($N29,[1]对照表!$Z$15:$Z$25,[1]对照表!$AA$15:$AA$25))</f>
        <v>0</v>
      </c>
      <c r="P29" s="25">
        <f>M29+O29</f>
        <v>90</v>
      </c>
      <c r="Q29" s="50">
        <v>3.39</v>
      </c>
      <c r="R29" s="32">
        <f>IF(B29="高三",IF($E29="男",LOOKUP(Q29,[1]对照表!$W$3:$W$24,[1]对照表!$X$3:$X$24),LOOKUP(Q29,[1]对照表!$W$27:$W$48,[1]对照表!$X$27:$X$48)),IF(B29="高二",IF($E29="男",LOOKUP(Q29,[1]对照表!$V$3:$V$24,[1]对照表!$X$3:$X$24),LOOKUP(Q29,[1]对照表!$V$27:$V$48,[1]对照表!$X$27:$X$48)),IF(B29="高一",IF($E29="男",LOOKUP(Q29,[1]对照表!$U$3:$U$24,[1]对照表!$X$3:$X$24),LOOKUP(Q29,[1]对照表!$U$27:$U$48,[1]对照表!$X$27:$X$48)))))</f>
        <v>85</v>
      </c>
      <c r="S29" s="33">
        <f>ROUND(IF(IF($B29="高三",MIN(IF($E29="男",$Q29-3.2,$Q29-3.2),0),IF($B29="高二",MIN(IF($E29="男",$Q29-3.25,$Q29-3.22),0),IF($B29="高一",MIN(IF($E29="男",$Q29-3.3,$Q29-3.24),0))))&lt;-0.6,IF($B29="高三",MIN(IF($E29="男",$Q29-3.2,$Q29-3.2),0),IF($B29="高二",MIN(IF($E29="男",$Q29-3.25,$Q29-3.22),0),IF($B29="高一",MIN(IF($E29="男",$Q29-3.3,$Q29-3.24),0))))+0.4,IF($B29="高三",MIN(IF($E29="男",$Q29-3.2,$Q29-3.2),0),IF($B29="高二",MIN(IF($E29="男",$Q29-3.25,$Q29-3.22),0),IF($B29="高一",MIN(IF($E29="男",$Q29-3.3,$Q29-3.24),0))))),2)</f>
        <v>0</v>
      </c>
      <c r="T29" s="23">
        <f>IF(E29="男",LOOKUP($S29,[1]对照表!$AB$3:$AB$13,[1]对照表!$AC$3:$AC$13),LOOKUP($S29,[1]对照表!$AB$15:$AB$25,[1]对照表!$AC$15:$AC$25))</f>
        <v>0</v>
      </c>
      <c r="U29" s="26">
        <f>R29+T29</f>
        <v>85</v>
      </c>
      <c r="V29" s="26">
        <f>SUM(I29,K29,M29)/3*0.3+SUM(G29,R29)/2*0.4</f>
        <v>57.5</v>
      </c>
      <c r="W29" s="27">
        <f>O29+T29</f>
        <v>0</v>
      </c>
      <c r="X29" s="28">
        <f>V29/0.7+W29</f>
        <v>82.142857142857153</v>
      </c>
      <c r="Y29" s="28">
        <f>X29</f>
        <v>82.142857142857153</v>
      </c>
      <c r="Z29" s="38"/>
    </row>
    <row r="30" spans="1:26" ht="15.6" x14ac:dyDescent="0.25">
      <c r="A30" s="48">
        <v>39</v>
      </c>
      <c r="B30" s="17" t="s">
        <v>767</v>
      </c>
      <c r="C30" s="48">
        <v>201</v>
      </c>
      <c r="D30" s="49" t="s">
        <v>1053</v>
      </c>
      <c r="E30" s="48" t="s">
        <v>65</v>
      </c>
      <c r="F30" s="50">
        <v>8.58</v>
      </c>
      <c r="G30" s="32">
        <f>IF(B30="高三",IF($E30="男",LOOKUP(F30,[1]对照表!$G$3:$G$24,[1]对照表!$H$3:$H$24),LOOKUP(F30,[1]对照表!$G$27:$G$48,[1]对照表!$H$27:$H$48)),IF(B30="高二",IF($E30="男",LOOKUP(F30,[1]对照表!$F$3:$F$24,[1]对照表!$H$3:$H$24),LOOKUP(F30,[1]对照表!$F$27:$F$48,[1]对照表!$H$27:$H$48)),IF(B30="高一",IF($E30="男",LOOKUP(F30,[1]对照表!$E$3:$E$24,[1]对照表!$H$3:$H$24),LOOKUP(F30,[1]对照表!$E$27:$E$48,[1]对照表!$H$27:$H$48)))))</f>
        <v>78</v>
      </c>
      <c r="H30" s="38">
        <v>23</v>
      </c>
      <c r="I30" s="32">
        <f>IF(B30="高三",IF($E30="男",LOOKUP(H30,[1]对照表!$K$3:$K$24,[1]对照表!$L$3:$L$24),LOOKUP(H30,[1]对照表!$K$27:$K$48,[1]对照表!$L$27:$L$48)),IF(B30="高二",IF($E30="男",LOOKUP(H30,[1]对照表!$J$3:$J$24,[1]对照表!$L$3:$L$24),LOOKUP(H30,[1]对照表!$J$27:$J$48,[1]对照表!$L$27:$L$48)),IF(B30="高一",IF($E30="男",LOOKUP(H30,[1]对照表!$I$3:$I$24,[1]对照表!$L$3:$L$24),LOOKUP(H30,[1]对照表!$I$27:$I$48,[1]对照表!$L$27:$L$48)))))</f>
        <v>90</v>
      </c>
      <c r="J30" s="38">
        <v>180</v>
      </c>
      <c r="K30" s="32">
        <f>IF(B30="高三",IF($E30="男",LOOKUP(J30,[1]对照表!$O$3:$O$24,[1]对照表!$P$3:$P$24),LOOKUP(J30,[1]对照表!$O$27:$O$48,[1]对照表!$P$27:$P$48)),IF(B30="高二",IF($E30="男",LOOKUP(J30,[1]对照表!$N$3:$N$24,[1]对照表!$P$3:$P$24),LOOKUP(J30,[1]对照表!$N$27:$N$48,[1]对照表!$P$27:$P$48)),IF(B30="高一",IF($E30="男",LOOKUP(J30,[1]对照表!$M$3:$M$24,[1]对照表!$P$3:$P$24),LOOKUP(J30,[1]对照表!$M$27:$M$48,[1]对照表!$P$27:$P$48)))))</f>
        <v>80</v>
      </c>
      <c r="L30" s="38">
        <v>46</v>
      </c>
      <c r="M30" s="32">
        <f>IF(B30="高三",IF($E30="男",LOOKUP(L30,[1]对照表!$S$3:$S$24,[1]对照表!$T$3:$T$24),LOOKUP(L30,[1]对照表!$S$27:$S$48,[1]对照表!$T$27:$T$48)),IF(B30="高二",IF($E30="男",LOOKUP(L30,[1]对照表!$R$3:$R$24,[1]对照表!$T$3:$T$24),LOOKUP(L30,[1]对照表!$R$27:$R$48,[1]对照表!$T$27:$T$48)),IF(B30="高一",IF($E30="男",LOOKUP(L30,[1]对照表!$Q$3:$Q$24,[1]对照表!$T$3:$T$24),LOOKUP(L30,[1]对照表!$Q$27:$Q$48,[1]对照表!$T$27:$T$48)))))</f>
        <v>80</v>
      </c>
      <c r="N30" s="33">
        <f>IF(B30="高三",MAX(IF(E30="男",L30-18,L30-55),0),IF(B30="高二",MAX(IF(E30="男",L30-17,L30-54),0),IF(B30="高一",MAX(IF(E30="男",L30-16,L30-53),0))))</f>
        <v>0</v>
      </c>
      <c r="O30" s="23">
        <f>IF(E30="男",LOOKUP($N30,[1]对照表!$Z$3:$Z$13,[1]对照表!$AA$3:$AA$13),LOOKUP($N30,[1]对照表!$Z$15:$Z$25,[1]对照表!$AA$15:$AA$25))</f>
        <v>0</v>
      </c>
      <c r="P30" s="25">
        <f>M30+O30</f>
        <v>80</v>
      </c>
      <c r="Q30" s="50">
        <v>3.44</v>
      </c>
      <c r="R30" s="32">
        <f>IF(B30="高三",IF($E30="男",LOOKUP(Q30,[1]对照表!$W$3:$W$24,[1]对照表!$X$3:$X$24),LOOKUP(Q30,[1]对照表!$W$27:$W$48,[1]对照表!$X$27:$X$48)),IF(B30="高二",IF($E30="男",LOOKUP(Q30,[1]对照表!$V$3:$V$24,[1]对照表!$X$3:$X$24),LOOKUP(Q30,[1]对照表!$V$27:$V$48,[1]对照表!$X$27:$X$48)),IF(B30="高一",IF($E30="男",LOOKUP(Q30,[1]对照表!$U$3:$U$24,[1]对照表!$X$3:$X$24),LOOKUP(Q30,[1]对照表!$U$27:$U$48,[1]对照表!$X$27:$X$48)))))</f>
        <v>80</v>
      </c>
      <c r="S30" s="33">
        <f>ROUND(IF(IF($B30="高三",MIN(IF($E30="男",$Q30-3.2,$Q30-3.2),0),IF($B30="高二",MIN(IF($E30="男",$Q30-3.25,$Q30-3.22),0),IF($B30="高一",MIN(IF($E30="男",$Q30-3.3,$Q30-3.24),0))))&lt;-0.6,IF($B30="高三",MIN(IF($E30="男",$Q30-3.2,$Q30-3.2),0),IF($B30="高二",MIN(IF($E30="男",$Q30-3.25,$Q30-3.22),0),IF($B30="高一",MIN(IF($E30="男",$Q30-3.3,$Q30-3.24),0))))+0.4,IF($B30="高三",MIN(IF($E30="男",$Q30-3.2,$Q30-3.2),0),IF($B30="高二",MIN(IF($E30="男",$Q30-3.25,$Q30-3.22),0),IF($B30="高一",MIN(IF($E30="男",$Q30-3.3,$Q30-3.24),0))))),2)</f>
        <v>0</v>
      </c>
      <c r="T30" s="23">
        <f>IF(E30="男",LOOKUP($S30,[1]对照表!$AB$3:$AB$13,[1]对照表!$AC$3:$AC$13),LOOKUP($S30,[1]对照表!$AB$15:$AB$25,[1]对照表!$AC$15:$AC$25))</f>
        <v>0</v>
      </c>
      <c r="U30" s="26">
        <f>R30+T30</f>
        <v>80</v>
      </c>
      <c r="V30" s="26">
        <f>SUM(I30,K30,M30)/3*0.3+SUM(G30,R30)/2*0.4</f>
        <v>56.599999999999994</v>
      </c>
      <c r="W30" s="27">
        <f>O30+T30</f>
        <v>0</v>
      </c>
      <c r="X30" s="28">
        <f>V30/0.7+W30</f>
        <v>80.857142857142861</v>
      </c>
      <c r="Y30" s="28">
        <f>X30</f>
        <v>80.857142857142861</v>
      </c>
      <c r="Z30" s="38"/>
    </row>
    <row r="31" spans="1:26" ht="15.6" x14ac:dyDescent="0.25">
      <c r="A31" s="48">
        <v>33</v>
      </c>
      <c r="B31" s="17" t="s">
        <v>767</v>
      </c>
      <c r="C31" s="48">
        <v>201</v>
      </c>
      <c r="D31" s="49" t="s">
        <v>1059</v>
      </c>
      <c r="E31" s="48" t="s">
        <v>65</v>
      </c>
      <c r="F31" s="50">
        <v>9.27</v>
      </c>
      <c r="G31" s="32">
        <f>IF(B31="高三",IF($E31="男",LOOKUP(F31,[1]对照表!$G$3:$G$24,[1]对照表!$H$3:$H$24),LOOKUP(F31,[1]对照表!$G$27:$G$48,[1]对照表!$H$27:$H$48)),IF(B31="高二",IF($E31="男",LOOKUP(F31,[1]对照表!$F$3:$F$24,[1]对照表!$H$3:$H$24),LOOKUP(F31,[1]对照表!$F$27:$F$48,[1]对照表!$H$27:$H$48)),IF(B31="高一",IF($E31="男",LOOKUP(F31,[1]对照表!$E$3:$E$24,[1]对照表!$H$3:$H$24),LOOKUP(F31,[1]对照表!$E$27:$E$48,[1]对照表!$H$27:$H$48)))))</f>
        <v>72</v>
      </c>
      <c r="H31" s="38">
        <v>18</v>
      </c>
      <c r="I31" s="32">
        <f>IF(B31="高三",IF($E31="男",LOOKUP(H31,[1]对照表!$K$3:$K$24,[1]对照表!$L$3:$L$24),LOOKUP(H31,[1]对照表!$K$27:$K$48,[1]对照表!$L$27:$L$48)),IF(B31="高二",IF($E31="男",LOOKUP(H31,[1]对照表!$J$3:$J$24,[1]对照表!$L$3:$L$24),LOOKUP(H31,[1]对照表!$J$27:$J$48,[1]对照表!$L$27:$L$48)),IF(B31="高一",IF($E31="男",LOOKUP(H31,[1]对照表!$I$3:$I$24,[1]对照表!$L$3:$L$24),LOOKUP(H31,[1]对照表!$I$27:$I$48,[1]对照表!$L$27:$L$48)))))</f>
        <v>80</v>
      </c>
      <c r="J31" s="38">
        <v>184</v>
      </c>
      <c r="K31" s="32">
        <f>IF(B31="高三",IF($E31="男",LOOKUP(J31,[1]对照表!$O$3:$O$24,[1]对照表!$P$3:$P$24),LOOKUP(J31,[1]对照表!$O$27:$O$48,[1]对照表!$P$27:$P$48)),IF(B31="高二",IF($E31="男",LOOKUP(J31,[1]对照表!$N$3:$N$24,[1]对照表!$P$3:$P$24),LOOKUP(J31,[1]对照表!$N$27:$N$48,[1]对照表!$P$27:$P$48)),IF(B31="高一",IF($E31="男",LOOKUP(J31,[1]对照表!$M$3:$M$24,[1]对照表!$P$3:$P$24),LOOKUP(J31,[1]对照表!$M$27:$M$48,[1]对照表!$P$27:$P$48)))))</f>
        <v>80</v>
      </c>
      <c r="L31" s="38">
        <v>46</v>
      </c>
      <c r="M31" s="32">
        <f>IF(B31="高三",IF($E31="男",LOOKUP(L31,[1]对照表!$S$3:$S$24,[1]对照表!$T$3:$T$24),LOOKUP(L31,[1]对照表!$S$27:$S$48,[1]对照表!$T$27:$T$48)),IF(B31="高二",IF($E31="男",LOOKUP(L31,[1]对照表!$R$3:$R$24,[1]对照表!$T$3:$T$24),LOOKUP(L31,[1]对照表!$R$27:$R$48,[1]对照表!$T$27:$T$48)),IF(B31="高一",IF($E31="男",LOOKUP(L31,[1]对照表!$Q$3:$Q$24,[1]对照表!$T$3:$T$24),LOOKUP(L31,[1]对照表!$Q$27:$Q$48,[1]对照表!$T$27:$T$48)))))</f>
        <v>80</v>
      </c>
      <c r="N31" s="33">
        <f>IF(B31="高三",MAX(IF(E31="男",L31-18,L31-55),0),IF(B31="高二",MAX(IF(E31="男",L31-17,L31-54),0),IF(B31="高一",MAX(IF(E31="男",L31-16,L31-53),0))))</f>
        <v>0</v>
      </c>
      <c r="O31" s="23">
        <f>IF(E31="男",LOOKUP($N31,[1]对照表!$Z$3:$Z$13,[1]对照表!$AA$3:$AA$13),LOOKUP($N31,[1]对照表!$Z$15:$Z$25,[1]对照表!$AA$15:$AA$25))</f>
        <v>0</v>
      </c>
      <c r="P31" s="25">
        <f>M31+O31</f>
        <v>80</v>
      </c>
      <c r="Q31" s="50">
        <v>3.33</v>
      </c>
      <c r="R31" s="32">
        <f>IF(B31="高三",IF($E31="男",LOOKUP(Q31,[1]对照表!$W$3:$W$24,[1]对照表!$X$3:$X$24),LOOKUP(Q31,[1]对照表!$W$27:$W$48,[1]对照表!$X$27:$X$48)),IF(B31="高二",IF($E31="男",LOOKUP(Q31,[1]对照表!$V$3:$V$24,[1]对照表!$X$3:$X$24),LOOKUP(Q31,[1]对照表!$V$27:$V$48,[1]对照表!$X$27:$X$48)),IF(B31="高一",IF($E31="男",LOOKUP(Q31,[1]对照表!$U$3:$U$24,[1]对照表!$X$3:$X$24),LOOKUP(Q31,[1]对照表!$U$27:$U$48,[1]对照表!$X$27:$X$48)))))</f>
        <v>90</v>
      </c>
      <c r="S31" s="33">
        <f>ROUND(IF(IF($B31="高三",MIN(IF($E31="男",$Q31-3.2,$Q31-3.2),0),IF($B31="高二",MIN(IF($E31="男",$Q31-3.25,$Q31-3.22),0),IF($B31="高一",MIN(IF($E31="男",$Q31-3.3,$Q31-3.24),0))))&lt;-0.6,IF($B31="高三",MIN(IF($E31="男",$Q31-3.2,$Q31-3.2),0),IF($B31="高二",MIN(IF($E31="男",$Q31-3.25,$Q31-3.22),0),IF($B31="高一",MIN(IF($E31="男",$Q31-3.3,$Q31-3.24),0))))+0.4,IF($B31="高三",MIN(IF($E31="男",$Q31-3.2,$Q31-3.2),0),IF($B31="高二",MIN(IF($E31="男",$Q31-3.25,$Q31-3.22),0),IF($B31="高一",MIN(IF($E31="男",$Q31-3.3,$Q31-3.24),0))))),2)</f>
        <v>0</v>
      </c>
      <c r="T31" s="23">
        <f>IF(E31="男",LOOKUP($S31,[1]对照表!$AB$3:$AB$13,[1]对照表!$AC$3:$AC$13),LOOKUP($S31,[1]对照表!$AB$15:$AB$25,[1]对照表!$AC$15:$AC$25))</f>
        <v>0</v>
      </c>
      <c r="U31" s="26">
        <f>R31+T31</f>
        <v>90</v>
      </c>
      <c r="V31" s="26">
        <f>SUM(I31,K31,M31)/3*0.3+SUM(G31,R31)/2*0.4</f>
        <v>56.4</v>
      </c>
      <c r="W31" s="27">
        <f>O31+T31</f>
        <v>0</v>
      </c>
      <c r="X31" s="28">
        <f>V31/0.7+W31</f>
        <v>80.571428571428569</v>
      </c>
      <c r="Y31" s="28">
        <f>X31</f>
        <v>80.571428571428569</v>
      </c>
      <c r="Z31" s="38"/>
    </row>
    <row r="32" spans="1:26" ht="15.6" x14ac:dyDescent="0.25">
      <c r="A32" s="48">
        <v>2</v>
      </c>
      <c r="B32" s="17" t="s">
        <v>767</v>
      </c>
      <c r="C32" s="48">
        <v>201</v>
      </c>
      <c r="D32" s="49" t="s">
        <v>1069</v>
      </c>
      <c r="E32" s="48" t="s">
        <v>23</v>
      </c>
      <c r="F32" s="50">
        <v>6.7</v>
      </c>
      <c r="G32" s="32">
        <f>IF(B32="高三",IF($E32="男",LOOKUP(F32,[1]对照表!$G$3:$G$24,[1]对照表!$H$3:$H$24),LOOKUP(F32,[1]对照表!$G$27:$G$48,[1]对照表!$H$27:$H$48)),IF(B32="高二",IF($E32="男",LOOKUP(F32,[1]对照表!$F$3:$F$24,[1]对照表!$H$3:$H$24),LOOKUP(F32,[1]对照表!$F$27:$F$48,[1]对照表!$H$27:$H$48)),IF(B32="高一",IF($E32="男",LOOKUP(F32,[1]对照表!$E$3:$E$24,[1]对照表!$H$3:$H$24),LOOKUP(F32,[1]对照表!$E$27:$E$48,[1]对照表!$H$27:$H$48)))))</f>
        <v>100</v>
      </c>
      <c r="H32" s="38">
        <v>20</v>
      </c>
      <c r="I32" s="32">
        <f>IF(B32="高三",IF($E32="男",LOOKUP(H32,[1]对照表!$K$3:$K$24,[1]对照表!$L$3:$L$24),LOOKUP(H32,[1]对照表!$K$27:$K$48,[1]对照表!$L$27:$L$48)),IF(B32="高二",IF($E32="男",LOOKUP(H32,[1]对照表!$J$3:$J$24,[1]对照表!$L$3:$L$24),LOOKUP(H32,[1]对照表!$J$27:$J$48,[1]对照表!$L$27:$L$48)),IF(B32="高一",IF($E32="男",LOOKUP(H32,[1]对照表!$I$3:$I$24,[1]对照表!$L$3:$L$24),LOOKUP(H32,[1]对照表!$I$27:$I$48,[1]对照表!$L$27:$L$48)))))</f>
        <v>85</v>
      </c>
      <c r="J32" s="38">
        <v>270</v>
      </c>
      <c r="K32" s="32">
        <f>IF(B32="高三",IF($E32="男",LOOKUP(J32,[1]对照表!$O$3:$O$24,[1]对照表!$P$3:$P$24),LOOKUP(J32,[1]对照表!$O$27:$O$48,[1]对照表!$P$27:$P$48)),IF(B32="高二",IF($E32="男",LOOKUP(J32,[1]对照表!$N$3:$N$24,[1]对照表!$P$3:$P$24),LOOKUP(J32,[1]对照表!$N$27:$N$48,[1]对照表!$P$27:$P$48)),IF(B32="高一",IF($E32="男",LOOKUP(J32,[1]对照表!$M$3:$M$24,[1]对照表!$P$3:$P$24),LOOKUP(J32,[1]对照表!$M$27:$M$48,[1]对照表!$P$27:$P$48)))))</f>
        <v>100</v>
      </c>
      <c r="L32" s="38">
        <v>8</v>
      </c>
      <c r="M32" s="32">
        <f>IF(B32="高三",IF($E32="男",LOOKUP(L32,[1]对照表!$S$3:$S$24,[1]对照表!$T$3:$T$24),LOOKUP(L32,[1]对照表!$S$27:$S$48,[1]对照表!$T$27:$T$48)),IF(B32="高二",IF($E32="男",LOOKUP(L32,[1]对照表!$R$3:$R$24,[1]对照表!$T$3:$T$24),LOOKUP(L32,[1]对照表!$R$27:$R$48,[1]对照表!$T$27:$T$48)),IF(B32="高一",IF($E32="男",LOOKUP(L32,[1]对照表!$Q$3:$Q$24,[1]对照表!$T$3:$T$24),LOOKUP(L32,[1]对照表!$Q$27:$Q$48,[1]对照表!$T$27:$T$48)))))</f>
        <v>60</v>
      </c>
      <c r="N32" s="33">
        <f>IF(B32="高三",MAX(IF(E32="男",L32-18,L32-55),0),IF(B32="高二",MAX(IF(E32="男",L32-17,L32-54),0),IF(B32="高一",MAX(IF(E32="男",L32-16,L32-53),0))))</f>
        <v>0</v>
      </c>
      <c r="O32" s="23">
        <f>IF(E32="男",LOOKUP($N32,[1]对照表!$Z$3:$Z$13,[1]对照表!$AA$3:$AA$13),LOOKUP($N32,[1]对照表!$Z$15:$Z$25,[1]对照表!$AA$15:$AA$25))</f>
        <v>0</v>
      </c>
      <c r="P32" s="25">
        <f>M32+O32</f>
        <v>60</v>
      </c>
      <c r="Q32" s="50">
        <v>3.46</v>
      </c>
      <c r="R32" s="32">
        <f>IF(B32="高三",IF($E32="男",LOOKUP(Q32,[1]对照表!$W$3:$W$24,[1]对照表!$X$3:$X$24),LOOKUP(Q32,[1]对照表!$W$27:$W$48,[1]对照表!$X$27:$X$48)),IF(B32="高二",IF($E32="男",LOOKUP(Q32,[1]对照表!$V$3:$V$24,[1]对照表!$X$3:$X$24),LOOKUP(Q32,[1]对照表!$V$27:$V$48,[1]对照表!$X$27:$X$48)),IF(B32="高一",IF($E32="男",LOOKUP(Q32,[1]对照表!$U$3:$U$24,[1]对照表!$X$3:$X$24),LOOKUP(Q32,[1]对照表!$U$27:$U$48,[1]对照表!$X$27:$X$48)))))</f>
        <v>80</v>
      </c>
      <c r="S32" s="33">
        <f>ROUND(IF(IF($B32="高三",MIN(IF($E32="男",$Q32-3.2,$Q32-3.2),0),IF($B32="高二",MIN(IF($E32="男",$Q32-3.25,$Q32-3.22),0),IF($B32="高一",MIN(IF($E32="男",$Q32-3.3,$Q32-3.24),0))))&lt;-0.6,IF($B32="高三",MIN(IF($E32="男",$Q32-3.2,$Q32-3.2),0),IF($B32="高二",MIN(IF($E32="男",$Q32-3.25,$Q32-3.22),0),IF($B32="高一",MIN(IF($E32="男",$Q32-3.3,$Q32-3.24),0))))+0.4,IF($B32="高三",MIN(IF($E32="男",$Q32-3.2,$Q32-3.2),0),IF($B32="高二",MIN(IF($E32="男",$Q32-3.25,$Q32-3.22),0),IF($B32="高一",MIN(IF($E32="男",$Q32-3.3,$Q32-3.24),0))))),2)</f>
        <v>0</v>
      </c>
      <c r="T32" s="23">
        <f>IF(E32="男",LOOKUP($S32,[1]对照表!$AB$3:$AB$13,[1]对照表!$AC$3:$AC$13),LOOKUP($S32,[1]对照表!$AB$15:$AB$25,[1]对照表!$AC$15:$AC$25))</f>
        <v>0</v>
      </c>
      <c r="U32" s="26">
        <f>R32+T32</f>
        <v>80</v>
      </c>
      <c r="V32" s="26">
        <f>SUM(I32,K32,M32)/3*0.3+SUM(G32,R32)/2*0.4</f>
        <v>60.5</v>
      </c>
      <c r="W32" s="27">
        <f>O32+T32</f>
        <v>0</v>
      </c>
      <c r="X32" s="28">
        <f>V32/0.7+W32</f>
        <v>86.428571428571431</v>
      </c>
      <c r="Y32" s="28">
        <f>X32</f>
        <v>86.428571428571431</v>
      </c>
      <c r="Z32" s="38"/>
    </row>
    <row r="33" spans="1:26" ht="15.6" x14ac:dyDescent="0.25">
      <c r="A33" s="48">
        <v>25</v>
      </c>
      <c r="B33" s="17" t="s">
        <v>767</v>
      </c>
      <c r="C33" s="48">
        <v>201</v>
      </c>
      <c r="D33" s="49" t="s">
        <v>1071</v>
      </c>
      <c r="E33" s="48" t="s">
        <v>65</v>
      </c>
      <c r="F33" s="50">
        <v>9.01</v>
      </c>
      <c r="G33" s="32">
        <f>IF(B33="高三",IF($E33="男",LOOKUP(F33,[1]对照表!$G$3:$G$24,[1]对照表!$H$3:$H$24),LOOKUP(F33,[1]对照表!$G$27:$G$48,[1]对照表!$H$27:$H$48)),IF(B33="高二",IF($E33="男",LOOKUP(F33,[1]对照表!$F$3:$F$24,[1]对照表!$H$3:$H$24),LOOKUP(F33,[1]对照表!$F$27:$F$48,[1]对照表!$H$27:$H$48)),IF(B33="高一",IF($E33="男",LOOKUP(F33,[1]对照表!$E$3:$E$24,[1]对照表!$H$3:$H$24),LOOKUP(F33,[1]对照表!$E$27:$E$48,[1]对照表!$H$27:$H$48)))))</f>
        <v>74</v>
      </c>
      <c r="H33" s="38">
        <v>22.3</v>
      </c>
      <c r="I33" s="32">
        <f>IF(B33="高三",IF($E33="男",LOOKUP(H33,[1]对照表!$K$3:$K$24,[1]对照表!$L$3:$L$24),LOOKUP(H33,[1]对照表!$K$27:$K$48,[1]对照表!$L$27:$L$48)),IF(B33="高二",IF($E33="男",LOOKUP(H33,[1]对照表!$J$3:$J$24,[1]对照表!$L$3:$L$24),LOOKUP(H33,[1]对照表!$J$27:$J$48,[1]对照表!$L$27:$L$48)),IF(B33="高一",IF($E33="男",LOOKUP(H33,[1]对照表!$I$3:$I$24,[1]对照表!$L$3:$L$24),LOOKUP(H33,[1]对照表!$I$27:$I$48,[1]对照表!$L$27:$L$48)))))</f>
        <v>90</v>
      </c>
      <c r="J33" s="38">
        <v>175</v>
      </c>
      <c r="K33" s="32">
        <f>IF(B33="高三",IF($E33="男",LOOKUP(J33,[1]对照表!$O$3:$O$24,[1]对照表!$P$3:$P$24),LOOKUP(J33,[1]对照表!$O$27:$O$48,[1]对照表!$P$27:$P$48)),IF(B33="高二",IF($E33="男",LOOKUP(J33,[1]对照表!$N$3:$N$24,[1]对照表!$P$3:$P$24),LOOKUP(J33,[1]对照表!$N$27:$N$48,[1]对照表!$P$27:$P$48)),IF(B33="高一",IF($E33="男",LOOKUP(J33,[1]对照表!$M$3:$M$24,[1]对照表!$P$3:$P$24),LOOKUP(J33,[1]对照表!$M$27:$M$48,[1]对照表!$P$27:$P$48)))))</f>
        <v>76</v>
      </c>
      <c r="L33" s="38">
        <v>49</v>
      </c>
      <c r="M33" s="32">
        <f>IF(B33="高三",IF($E33="男",LOOKUP(L33,[1]对照表!$S$3:$S$24,[1]对照表!$T$3:$T$24),LOOKUP(L33,[1]对照表!$S$27:$S$48,[1]对照表!$T$27:$T$48)),IF(B33="高二",IF($E33="男",LOOKUP(L33,[1]对照表!$R$3:$R$24,[1]对照表!$T$3:$T$24),LOOKUP(L33,[1]对照表!$R$27:$R$48,[1]对照表!$T$27:$T$48)),IF(B33="高一",IF($E33="男",LOOKUP(L33,[1]对照表!$Q$3:$Q$24,[1]对照表!$T$3:$T$24),LOOKUP(L33,[1]对照表!$Q$27:$Q$48,[1]对照表!$T$27:$T$48)))))</f>
        <v>85</v>
      </c>
      <c r="N33" s="33">
        <f>IF(B33="高三",MAX(IF(E33="男",L33-18,L33-55),0),IF(B33="高二",MAX(IF(E33="男",L33-17,L33-54),0),IF(B33="高一",MAX(IF(E33="男",L33-16,L33-53),0))))</f>
        <v>0</v>
      </c>
      <c r="O33" s="23">
        <f>IF(E33="男",LOOKUP($N33,[1]对照表!$Z$3:$Z$13,[1]对照表!$AA$3:$AA$13),LOOKUP($N33,[1]对照表!$Z$15:$Z$25,[1]对照表!$AA$15:$AA$25))</f>
        <v>0</v>
      </c>
      <c r="P33" s="25">
        <f>M33+O33</f>
        <v>85</v>
      </c>
      <c r="Q33" s="50">
        <v>3.44</v>
      </c>
      <c r="R33" s="32">
        <f>IF(B33="高三",IF($E33="男",LOOKUP(Q33,[1]对照表!$W$3:$W$24,[1]对照表!$X$3:$X$24),LOOKUP(Q33,[1]对照表!$W$27:$W$48,[1]对照表!$X$27:$X$48)),IF(B33="高二",IF($E33="男",LOOKUP(Q33,[1]对照表!$V$3:$V$24,[1]对照表!$X$3:$X$24),LOOKUP(Q33,[1]对照表!$V$27:$V$48,[1]对照表!$X$27:$X$48)),IF(B33="高一",IF($E33="男",LOOKUP(Q33,[1]对照表!$U$3:$U$24,[1]对照表!$X$3:$X$24),LOOKUP(Q33,[1]对照表!$U$27:$U$48,[1]对照表!$X$27:$X$48)))))</f>
        <v>80</v>
      </c>
      <c r="S33" s="33">
        <f>ROUND(IF(IF($B33="高三",MIN(IF($E33="男",$Q33-3.2,$Q33-3.2),0),IF($B33="高二",MIN(IF($E33="男",$Q33-3.25,$Q33-3.22),0),IF($B33="高一",MIN(IF($E33="男",$Q33-3.3,$Q33-3.24),0))))&lt;-0.6,IF($B33="高三",MIN(IF($E33="男",$Q33-3.2,$Q33-3.2),0),IF($B33="高二",MIN(IF($E33="男",$Q33-3.25,$Q33-3.22),0),IF($B33="高一",MIN(IF($E33="男",$Q33-3.3,$Q33-3.24),0))))+0.4,IF($B33="高三",MIN(IF($E33="男",$Q33-3.2,$Q33-3.2),0),IF($B33="高二",MIN(IF($E33="男",$Q33-3.25,$Q33-3.22),0),IF($B33="高一",MIN(IF($E33="男",$Q33-3.3,$Q33-3.24),0))))),2)</f>
        <v>0</v>
      </c>
      <c r="T33" s="23">
        <f>IF(E33="男",LOOKUP($S33,[1]对照表!$AB$3:$AB$13,[1]对照表!$AC$3:$AC$13),LOOKUP($S33,[1]对照表!$AB$15:$AB$25,[1]对照表!$AC$15:$AC$25))</f>
        <v>0</v>
      </c>
      <c r="U33" s="26">
        <f>R33+T33</f>
        <v>80</v>
      </c>
      <c r="V33" s="26">
        <f>SUM(I33,K33,M33)/3*0.3+SUM(G33,R33)/2*0.4</f>
        <v>55.900000000000006</v>
      </c>
      <c r="W33" s="27">
        <f>O33+T33</f>
        <v>0</v>
      </c>
      <c r="X33" s="28">
        <f>V33/0.7+W33</f>
        <v>79.857142857142875</v>
      </c>
      <c r="Y33" s="28">
        <f>X33</f>
        <v>79.857142857142875</v>
      </c>
      <c r="Z33" s="38"/>
    </row>
    <row r="34" spans="1:26" ht="15.6" x14ac:dyDescent="0.25">
      <c r="A34" s="48">
        <v>44</v>
      </c>
      <c r="B34" s="17" t="s">
        <v>767</v>
      </c>
      <c r="C34" s="48">
        <v>201</v>
      </c>
      <c r="D34" s="49" t="s">
        <v>1083</v>
      </c>
      <c r="E34" s="48" t="s">
        <v>65</v>
      </c>
      <c r="F34" s="50">
        <v>9.01</v>
      </c>
      <c r="G34" s="32">
        <f>IF(B34="高三",IF($E34="男",LOOKUP(F34,[1]对照表!$G$3:$G$24,[1]对照表!$H$3:$H$24),LOOKUP(F34,[1]对照表!$G$27:$G$48,[1]对照表!$H$27:$H$48)),IF(B34="高二",IF($E34="男",LOOKUP(F34,[1]对照表!$F$3:$F$24,[1]对照表!$H$3:$H$24),LOOKUP(F34,[1]对照表!$F$27:$F$48,[1]对照表!$H$27:$H$48)),IF(B34="高一",IF($E34="男",LOOKUP(F34,[1]对照表!$E$3:$E$24,[1]对照表!$H$3:$H$24),LOOKUP(F34,[1]对照表!$E$27:$E$48,[1]对照表!$H$27:$H$48)))))</f>
        <v>74</v>
      </c>
      <c r="H34" s="38">
        <v>20</v>
      </c>
      <c r="I34" s="32">
        <f>IF(B34="高三",IF($E34="男",LOOKUP(H34,[1]对照表!$K$3:$K$24,[1]对照表!$L$3:$L$24),LOOKUP(H34,[1]对照表!$K$27:$K$48,[1]对照表!$L$27:$L$48)),IF(B34="高二",IF($E34="男",LOOKUP(H34,[1]对照表!$J$3:$J$24,[1]对照表!$L$3:$L$24),LOOKUP(H34,[1]对照表!$J$27:$J$48,[1]对照表!$L$27:$L$48)),IF(B34="高一",IF($E34="男",LOOKUP(H34,[1]对照表!$I$3:$I$24,[1]对照表!$L$3:$L$24),LOOKUP(H34,[1]对照表!$I$27:$I$48,[1]对照表!$L$27:$L$48)))))</f>
        <v>85</v>
      </c>
      <c r="J34" s="38">
        <v>187</v>
      </c>
      <c r="K34" s="32">
        <f>IF(B34="高三",IF($E34="男",LOOKUP(J34,[1]对照表!$O$3:$O$24,[1]对照表!$P$3:$P$24),LOOKUP(J34,[1]对照表!$O$27:$O$48,[1]对照表!$P$27:$P$48)),IF(B34="高二",IF($E34="男",LOOKUP(J34,[1]对照表!$N$3:$N$24,[1]对照表!$P$3:$P$24),LOOKUP(J34,[1]对照表!$N$27:$N$48,[1]对照表!$P$27:$P$48)),IF(B34="高一",IF($E34="男",LOOKUP(J34,[1]对照表!$M$3:$M$24,[1]对照表!$P$3:$P$24),LOOKUP(J34,[1]对照表!$M$27:$M$48,[1]对照表!$P$27:$P$48)))))</f>
        <v>85</v>
      </c>
      <c r="L34" s="38">
        <v>45</v>
      </c>
      <c r="M34" s="32">
        <f>IF(B34="高三",IF($E34="男",LOOKUP(L34,[1]对照表!$S$3:$S$24,[1]对照表!$T$3:$T$24),LOOKUP(L34,[1]对照表!$S$27:$S$48,[1]对照表!$T$27:$T$48)),IF(B34="高二",IF($E34="男",LOOKUP(L34,[1]对照表!$R$3:$R$24,[1]对照表!$T$3:$T$24),LOOKUP(L34,[1]对照表!$R$27:$R$48,[1]对照表!$T$27:$T$48)),IF(B34="高一",IF($E34="男",LOOKUP(L34,[1]对照表!$Q$3:$Q$24,[1]对照表!$T$3:$T$24),LOOKUP(L34,[1]对照表!$Q$27:$Q$48,[1]对照表!$T$27:$T$48)))))</f>
        <v>80</v>
      </c>
      <c r="N34" s="33">
        <f>IF(B34="高三",MAX(IF(E34="男",L34-18,L34-55),0),IF(B34="高二",MAX(IF(E34="男",L34-17,L34-54),0),IF(B34="高一",MAX(IF(E34="男",L34-16,L34-53),0))))</f>
        <v>0</v>
      </c>
      <c r="O34" s="23">
        <f>IF(E34="男",LOOKUP($N34,[1]对照表!$Z$3:$Z$13,[1]对照表!$AA$3:$AA$13),LOOKUP($N34,[1]对照表!$Z$15:$Z$25,[1]对照表!$AA$15:$AA$25))</f>
        <v>0</v>
      </c>
      <c r="P34" s="25">
        <f>M34+O34</f>
        <v>80</v>
      </c>
      <c r="Q34" s="50">
        <v>3.46</v>
      </c>
      <c r="R34" s="32">
        <f>IF(B34="高三",IF($E34="男",LOOKUP(Q34,[1]对照表!$W$3:$W$24,[1]对照表!$X$3:$X$24),LOOKUP(Q34,[1]对照表!$W$27:$W$48,[1]对照表!$X$27:$X$48)),IF(B34="高二",IF($E34="男",LOOKUP(Q34,[1]对照表!$V$3:$V$24,[1]对照表!$X$3:$X$24),LOOKUP(Q34,[1]对照表!$V$27:$V$48,[1]对照表!$X$27:$X$48)),IF(B34="高一",IF($E34="男",LOOKUP(Q34,[1]对照表!$U$3:$U$24,[1]对照表!$X$3:$X$24),LOOKUP(Q34,[1]对照表!$U$27:$U$48,[1]对照表!$X$27:$X$48)))))</f>
        <v>80</v>
      </c>
      <c r="S34" s="33">
        <f>ROUND(IF(IF($B34="高三",MIN(IF($E34="男",$Q34-3.2,$Q34-3.2),0),IF($B34="高二",MIN(IF($E34="男",$Q34-3.25,$Q34-3.22),0),IF($B34="高一",MIN(IF($E34="男",$Q34-3.3,$Q34-3.24),0))))&lt;-0.6,IF($B34="高三",MIN(IF($E34="男",$Q34-3.2,$Q34-3.2),0),IF($B34="高二",MIN(IF($E34="男",$Q34-3.25,$Q34-3.22),0),IF($B34="高一",MIN(IF($E34="男",$Q34-3.3,$Q34-3.24),0))))+0.4,IF($B34="高三",MIN(IF($E34="男",$Q34-3.2,$Q34-3.2),0),IF($B34="高二",MIN(IF($E34="男",$Q34-3.25,$Q34-3.22),0),IF($B34="高一",MIN(IF($E34="男",$Q34-3.3,$Q34-3.24),0))))),2)</f>
        <v>0</v>
      </c>
      <c r="T34" s="23">
        <f>IF(E34="男",LOOKUP($S34,[1]对照表!$AB$3:$AB$13,[1]对照表!$AC$3:$AC$13),LOOKUP($S34,[1]对照表!$AB$15:$AB$25,[1]对照表!$AC$15:$AC$25))</f>
        <v>0</v>
      </c>
      <c r="U34" s="26">
        <f>R34+T34</f>
        <v>80</v>
      </c>
      <c r="V34" s="26">
        <f>SUM(I34,K34,M34)/3*0.3+SUM(G34,R34)/2*0.4</f>
        <v>55.8</v>
      </c>
      <c r="W34" s="27">
        <f>O34+T34</f>
        <v>0</v>
      </c>
      <c r="X34" s="28">
        <f>V34/0.7+W34</f>
        <v>79.714285714285708</v>
      </c>
      <c r="Y34" s="28">
        <f>X34</f>
        <v>79.714285714285708</v>
      </c>
      <c r="Z34" s="38"/>
    </row>
    <row r="35" spans="1:26" ht="15.6" x14ac:dyDescent="0.25">
      <c r="A35" s="48">
        <v>42</v>
      </c>
      <c r="B35" s="17" t="s">
        <v>767</v>
      </c>
      <c r="C35" s="48">
        <v>201</v>
      </c>
      <c r="D35" s="49" t="s">
        <v>1142</v>
      </c>
      <c r="E35" s="48" t="s">
        <v>65</v>
      </c>
      <c r="F35" s="50">
        <v>9.4</v>
      </c>
      <c r="G35" s="32">
        <f>IF(B35="高三",IF($E35="男",LOOKUP(F35,[1]对照表!$G$3:$G$24,[1]对照表!$H$3:$H$24),LOOKUP(F35,[1]对照表!$G$27:$G$48,[1]对照表!$H$27:$H$48)),IF(B35="高二",IF($E35="男",LOOKUP(F35,[1]对照表!$F$3:$F$24,[1]对照表!$H$3:$H$24),LOOKUP(F35,[1]对照表!$F$27:$F$48,[1]对照表!$H$27:$H$48)),IF(B35="高一",IF($E35="男",LOOKUP(F35,[1]对照表!$E$3:$E$24,[1]对照表!$H$3:$H$24),LOOKUP(F35,[1]对照表!$E$27:$E$48,[1]对照表!$H$27:$H$48)))))</f>
        <v>70</v>
      </c>
      <c r="H35" s="38">
        <v>21</v>
      </c>
      <c r="I35" s="32">
        <f>IF(B35="高三",IF($E35="男",LOOKUP(H35,[1]对照表!$K$3:$K$24,[1]对照表!$L$3:$L$24),LOOKUP(H35,[1]对照表!$K$27:$K$48,[1]对照表!$L$27:$L$48)),IF(B35="高二",IF($E35="男",LOOKUP(H35,[1]对照表!$J$3:$J$24,[1]对照表!$L$3:$L$24),LOOKUP(H35,[1]对照表!$J$27:$J$48,[1]对照表!$L$27:$L$48)),IF(B35="高一",IF($E35="男",LOOKUP(H35,[1]对照表!$I$3:$I$24,[1]对照表!$L$3:$L$24),LOOKUP(H35,[1]对照表!$I$27:$I$48,[1]对照表!$L$27:$L$48)))))</f>
        <v>85</v>
      </c>
      <c r="J35" s="38">
        <v>174</v>
      </c>
      <c r="K35" s="32">
        <f>IF(B35="高三",IF($E35="男",LOOKUP(J35,[1]对照表!$O$3:$O$24,[1]对照表!$P$3:$P$24),LOOKUP(J35,[1]对照表!$O$27:$O$48,[1]对照表!$P$27:$P$48)),IF(B35="高二",IF($E35="男",LOOKUP(J35,[1]对照表!$N$3:$N$24,[1]对照表!$P$3:$P$24),LOOKUP(J35,[1]对照表!$N$27:$N$48,[1]对照表!$P$27:$P$48)),IF(B35="高一",IF($E35="男",LOOKUP(J35,[1]对照表!$M$3:$M$24,[1]对照表!$P$3:$P$24),LOOKUP(J35,[1]对照表!$M$27:$M$48,[1]对照表!$P$27:$P$48)))))</f>
        <v>76</v>
      </c>
      <c r="L35" s="38">
        <v>45</v>
      </c>
      <c r="M35" s="32">
        <f>IF(B35="高三",IF($E35="男",LOOKUP(L35,[1]对照表!$S$3:$S$24,[1]对照表!$T$3:$T$24),LOOKUP(L35,[1]对照表!$S$27:$S$48,[1]对照表!$T$27:$T$48)),IF(B35="高二",IF($E35="男",LOOKUP(L35,[1]对照表!$R$3:$R$24,[1]对照表!$T$3:$T$24),LOOKUP(L35,[1]对照表!$R$27:$R$48,[1]对照表!$T$27:$T$48)),IF(B35="高一",IF($E35="男",LOOKUP(L35,[1]对照表!$Q$3:$Q$24,[1]对照表!$T$3:$T$24),LOOKUP(L35,[1]对照表!$Q$27:$Q$48,[1]对照表!$T$27:$T$48)))))</f>
        <v>80</v>
      </c>
      <c r="N35" s="33">
        <f>IF(B35="高三",MAX(IF(E35="男",L35-18,L35-55),0),IF(B35="高二",MAX(IF(E35="男",L35-17,L35-54),0),IF(B35="高一",MAX(IF(E35="男",L35-16,L35-53),0))))</f>
        <v>0</v>
      </c>
      <c r="O35" s="23">
        <f>IF(E35="男",LOOKUP($N35,[1]对照表!$Z$3:$Z$13,[1]对照表!$AA$3:$AA$13),LOOKUP($N35,[1]对照表!$Z$15:$Z$25,[1]对照表!$AA$15:$AA$25))</f>
        <v>0</v>
      </c>
      <c r="P35" s="25">
        <f>M35+O35</f>
        <v>80</v>
      </c>
      <c r="Q35" s="50">
        <v>3.44</v>
      </c>
      <c r="R35" s="32">
        <f>IF(B35="高三",IF($E35="男",LOOKUP(Q35,[1]对照表!$W$3:$W$24,[1]对照表!$X$3:$X$24),LOOKUP(Q35,[1]对照表!$W$27:$W$48,[1]对照表!$X$27:$X$48)),IF(B35="高二",IF($E35="男",LOOKUP(Q35,[1]对照表!$V$3:$V$24,[1]对照表!$X$3:$X$24),LOOKUP(Q35,[1]对照表!$V$27:$V$48,[1]对照表!$X$27:$X$48)),IF(B35="高一",IF($E35="男",LOOKUP(Q35,[1]对照表!$U$3:$U$24,[1]对照表!$X$3:$X$24),LOOKUP(Q35,[1]对照表!$U$27:$U$48,[1]对照表!$X$27:$X$48)))))</f>
        <v>80</v>
      </c>
      <c r="S35" s="33">
        <f>ROUND(IF(IF($B35="高三",MIN(IF($E35="男",$Q35-3.2,$Q35-3.2),0),IF($B35="高二",MIN(IF($E35="男",$Q35-3.25,$Q35-3.22),0),IF($B35="高一",MIN(IF($E35="男",$Q35-3.3,$Q35-3.24),0))))&lt;-0.6,IF($B35="高三",MIN(IF($E35="男",$Q35-3.2,$Q35-3.2),0),IF($B35="高二",MIN(IF($E35="男",$Q35-3.25,$Q35-3.22),0),IF($B35="高一",MIN(IF($E35="男",$Q35-3.3,$Q35-3.24),0))))+0.4,IF($B35="高三",MIN(IF($E35="男",$Q35-3.2,$Q35-3.2),0),IF($B35="高二",MIN(IF($E35="男",$Q35-3.25,$Q35-3.22),0),IF($B35="高一",MIN(IF($E35="男",$Q35-3.3,$Q35-3.24),0))))),2)</f>
        <v>0</v>
      </c>
      <c r="T35" s="23">
        <f>IF(E35="男",LOOKUP($S35,[1]对照表!$AB$3:$AB$13,[1]对照表!$AC$3:$AC$13),LOOKUP($S35,[1]对照表!$AB$15:$AB$25,[1]对照表!$AC$15:$AC$25))</f>
        <v>0</v>
      </c>
      <c r="U35" s="26">
        <f>R35+T35</f>
        <v>80</v>
      </c>
      <c r="V35" s="26">
        <f>SUM(I35,K35,M35)/3*0.3+SUM(G35,R35)/2*0.4</f>
        <v>54.099999999999994</v>
      </c>
      <c r="W35" s="27">
        <f>O35+T35</f>
        <v>0</v>
      </c>
      <c r="X35" s="28">
        <f>V35/0.7+W35</f>
        <v>77.285714285714278</v>
      </c>
      <c r="Y35" s="28">
        <f>X35</f>
        <v>77.285714285714278</v>
      </c>
      <c r="Z35" s="38"/>
    </row>
    <row r="36" spans="1:26" ht="15.6" x14ac:dyDescent="0.25">
      <c r="A36" s="48">
        <v>31</v>
      </c>
      <c r="B36" s="17" t="s">
        <v>767</v>
      </c>
      <c r="C36" s="48">
        <v>201</v>
      </c>
      <c r="D36" s="49" t="s">
        <v>1144</v>
      </c>
      <c r="E36" s="48" t="s">
        <v>65</v>
      </c>
      <c r="F36" s="50">
        <v>9.0399999999999991</v>
      </c>
      <c r="G36" s="32">
        <f>IF(B36="高三",IF($E36="男",LOOKUP(F36,[1]对照表!$G$3:$G$24,[1]对照表!$H$3:$H$24),LOOKUP(F36,[1]对照表!$G$27:$G$48,[1]对照表!$H$27:$H$48)),IF(B36="高二",IF($E36="男",LOOKUP(F36,[1]对照表!$F$3:$F$24,[1]对照表!$H$3:$H$24),LOOKUP(F36,[1]对照表!$F$27:$F$48,[1]对照表!$H$27:$H$48)),IF(B36="高一",IF($E36="男",LOOKUP(F36,[1]对照表!$E$3:$E$24,[1]对照表!$H$3:$H$24),LOOKUP(F36,[1]对照表!$E$27:$E$48,[1]对照表!$H$27:$H$48)))))</f>
        <v>74</v>
      </c>
      <c r="H36" s="38">
        <v>2.5</v>
      </c>
      <c r="I36" s="32">
        <f>IF(B36="高三",IF($E36="男",LOOKUP(H36,[1]对照表!$K$3:$K$24,[1]对照表!$L$3:$L$24),LOOKUP(H36,[1]对照表!$K$27:$K$48,[1]对照表!$L$27:$L$48)),IF(B36="高二",IF($E36="男",LOOKUP(H36,[1]对照表!$J$3:$J$24,[1]对照表!$L$3:$L$24),LOOKUP(H36,[1]对照表!$J$27:$J$48,[1]对照表!$L$27:$L$48)),IF(B36="高一",IF($E36="男",LOOKUP(H36,[1]对照表!$I$3:$I$24,[1]对照表!$L$3:$L$24),LOOKUP(H36,[1]对照表!$I$27:$I$48,[1]对照表!$L$27:$L$48)))))</f>
        <v>20</v>
      </c>
      <c r="J36" s="38">
        <v>197</v>
      </c>
      <c r="K36" s="32">
        <f>IF(B36="高三",IF($E36="男",LOOKUP(J36,[1]对照表!$O$3:$O$24,[1]对照表!$P$3:$P$24),LOOKUP(J36,[1]对照表!$O$27:$O$48,[1]对照表!$P$27:$P$48)),IF(B36="高二",IF($E36="男",LOOKUP(J36,[1]对照表!$N$3:$N$24,[1]对照表!$P$3:$P$24),LOOKUP(J36,[1]对照表!$N$27:$N$48,[1]对照表!$P$27:$P$48)),IF(B36="高一",IF($E36="男",LOOKUP(J36,[1]对照表!$M$3:$M$24,[1]对照表!$P$3:$P$24),LOOKUP(J36,[1]对照表!$M$27:$M$48,[1]对照表!$P$27:$P$48)))))</f>
        <v>90</v>
      </c>
      <c r="L36" s="38">
        <v>60</v>
      </c>
      <c r="M36" s="32">
        <f>IF(B36="高三",IF($E36="男",LOOKUP(L36,[1]对照表!$S$3:$S$24,[1]对照表!$T$3:$T$24),LOOKUP(L36,[1]对照表!$S$27:$S$48,[1]对照表!$T$27:$T$48)),IF(B36="高二",IF($E36="男",LOOKUP(L36,[1]对照表!$R$3:$R$24,[1]对照表!$T$3:$T$24),LOOKUP(L36,[1]对照表!$R$27:$R$48,[1]对照表!$T$27:$T$48)),IF(B36="高一",IF($E36="男",LOOKUP(L36,[1]对照表!$Q$3:$Q$24,[1]对照表!$T$3:$T$24),LOOKUP(L36,[1]对照表!$Q$27:$Q$48,[1]对照表!$T$27:$T$48)))))</f>
        <v>100</v>
      </c>
      <c r="N36" s="33">
        <f>IF(B36="高三",MAX(IF(E36="男",L36-18,L36-55),0),IF(B36="高二",MAX(IF(E36="男",L36-17,L36-54),0),IF(B36="高一",MAX(IF(E36="男",L36-16,L36-53),0))))</f>
        <v>6</v>
      </c>
      <c r="O36" s="23">
        <f>IF(E36="男",LOOKUP($N36,[1]对照表!$Z$3:$Z$13,[1]对照表!$AA$3:$AA$13),LOOKUP($N36,[1]对照表!$Z$15:$Z$25,[1]对照表!$AA$15:$AA$25))</f>
        <v>3</v>
      </c>
      <c r="P36" s="25">
        <f>M36+O36</f>
        <v>103</v>
      </c>
      <c r="Q36" s="50">
        <v>3.47</v>
      </c>
      <c r="R36" s="32">
        <f>IF(B36="高三",IF($E36="男",LOOKUP(Q36,[1]对照表!$W$3:$W$24,[1]对照表!$X$3:$X$24),LOOKUP(Q36,[1]对照表!$W$27:$W$48,[1]对照表!$X$27:$X$48)),IF(B36="高二",IF($E36="男",LOOKUP(Q36,[1]对照表!$V$3:$V$24,[1]对照表!$X$3:$X$24),LOOKUP(Q36,[1]对照表!$V$27:$V$48,[1]对照表!$X$27:$X$48)),IF(B36="高一",IF($E36="男",LOOKUP(Q36,[1]对照表!$U$3:$U$24,[1]对照表!$X$3:$X$24),LOOKUP(Q36,[1]对照表!$U$27:$U$48,[1]对照表!$X$27:$X$48)))))</f>
        <v>80</v>
      </c>
      <c r="S36" s="33">
        <f>ROUND(IF(IF($B36="高三",MIN(IF($E36="男",$Q36-3.2,$Q36-3.2),0),IF($B36="高二",MIN(IF($E36="男",$Q36-3.25,$Q36-3.22),0),IF($B36="高一",MIN(IF($E36="男",$Q36-3.3,$Q36-3.24),0))))&lt;-0.6,IF($B36="高三",MIN(IF($E36="男",$Q36-3.2,$Q36-3.2),0),IF($B36="高二",MIN(IF($E36="男",$Q36-3.25,$Q36-3.22),0),IF($B36="高一",MIN(IF($E36="男",$Q36-3.3,$Q36-3.24),0))))+0.4,IF($B36="高三",MIN(IF($E36="男",$Q36-3.2,$Q36-3.2),0),IF($B36="高二",MIN(IF($E36="男",$Q36-3.25,$Q36-3.22),0),IF($B36="高一",MIN(IF($E36="男",$Q36-3.3,$Q36-3.24),0))))),2)</f>
        <v>0</v>
      </c>
      <c r="T36" s="23">
        <f>IF(E36="男",LOOKUP($S36,[1]对照表!$AB$3:$AB$13,[1]对照表!$AC$3:$AC$13),LOOKUP($S36,[1]对照表!$AB$15:$AB$25,[1]对照表!$AC$15:$AC$25))</f>
        <v>0</v>
      </c>
      <c r="U36" s="26">
        <f>R36+T36</f>
        <v>80</v>
      </c>
      <c r="V36" s="26">
        <f>SUM(I36,K36,M36)/3*0.3+SUM(G36,R36)/2*0.4</f>
        <v>51.8</v>
      </c>
      <c r="W36" s="27">
        <f>O36+T36</f>
        <v>3</v>
      </c>
      <c r="X36" s="28">
        <f>V36/0.7+W36</f>
        <v>77</v>
      </c>
      <c r="Y36" s="28">
        <f>X36</f>
        <v>77</v>
      </c>
      <c r="Z36" s="38"/>
    </row>
    <row r="37" spans="1:26" ht="15.6" x14ac:dyDescent="0.25">
      <c r="A37" s="48">
        <v>50</v>
      </c>
      <c r="B37" s="17" t="s">
        <v>767</v>
      </c>
      <c r="C37" s="48">
        <v>201</v>
      </c>
      <c r="D37" s="49" t="s">
        <v>1147</v>
      </c>
      <c r="E37" s="48" t="s">
        <v>65</v>
      </c>
      <c r="F37" s="50">
        <v>9.31</v>
      </c>
      <c r="G37" s="32">
        <f>IF(B37="高三",IF($E37="男",LOOKUP(F37,[1]对照表!$G$3:$G$24,[1]对照表!$H$3:$H$24),LOOKUP(F37,[1]对照表!$G$27:$G$48,[1]对照表!$H$27:$H$48)),IF(B37="高二",IF($E37="男",LOOKUP(F37,[1]对照表!$F$3:$F$24,[1]对照表!$H$3:$H$24),LOOKUP(F37,[1]对照表!$F$27:$F$48,[1]对照表!$H$27:$H$48)),IF(B37="高一",IF($E37="男",LOOKUP(F37,[1]对照表!$E$3:$E$24,[1]对照表!$H$3:$H$24),LOOKUP(F37,[1]对照表!$E$27:$E$48,[1]对照表!$H$27:$H$48)))))</f>
        <v>70</v>
      </c>
      <c r="H37" s="38">
        <v>18</v>
      </c>
      <c r="I37" s="32">
        <f>IF(B37="高三",IF($E37="男",LOOKUP(H37,[1]对照表!$K$3:$K$24,[1]对照表!$L$3:$L$24),LOOKUP(H37,[1]对照表!$K$27:$K$48,[1]对照表!$L$27:$L$48)),IF(B37="高二",IF($E37="男",LOOKUP(H37,[1]对照表!$J$3:$J$24,[1]对照表!$L$3:$L$24),LOOKUP(H37,[1]对照表!$J$27:$J$48,[1]对照表!$L$27:$L$48)),IF(B37="高一",IF($E37="男",LOOKUP(H37,[1]对照表!$I$3:$I$24,[1]对照表!$L$3:$L$24),LOOKUP(H37,[1]对照表!$I$27:$I$48,[1]对照表!$L$27:$L$48)))))</f>
        <v>80</v>
      </c>
      <c r="J37" s="38">
        <v>187</v>
      </c>
      <c r="K37" s="32">
        <f>IF(B37="高三",IF($E37="男",LOOKUP(J37,[1]对照表!$O$3:$O$24,[1]对照表!$P$3:$P$24),LOOKUP(J37,[1]对照表!$O$27:$O$48,[1]对照表!$P$27:$P$48)),IF(B37="高二",IF($E37="男",LOOKUP(J37,[1]对照表!$N$3:$N$24,[1]对照表!$P$3:$P$24),LOOKUP(J37,[1]对照表!$N$27:$N$48,[1]对照表!$P$27:$P$48)),IF(B37="高一",IF($E37="男",LOOKUP(J37,[1]对照表!$M$3:$M$24,[1]对照表!$P$3:$P$24),LOOKUP(J37,[1]对照表!$M$27:$M$48,[1]对照表!$P$27:$P$48)))))</f>
        <v>85</v>
      </c>
      <c r="L37" s="38">
        <v>47</v>
      </c>
      <c r="M37" s="32">
        <f>IF(B37="高三",IF($E37="男",LOOKUP(L37,[1]对照表!$S$3:$S$24,[1]对照表!$T$3:$T$24),LOOKUP(L37,[1]对照表!$S$27:$S$48,[1]对照表!$T$27:$T$48)),IF(B37="高二",IF($E37="男",LOOKUP(L37,[1]对照表!$R$3:$R$24,[1]对照表!$T$3:$T$24),LOOKUP(L37,[1]对照表!$R$27:$R$48,[1]对照表!$T$27:$T$48)),IF(B37="高一",IF($E37="男",LOOKUP(L37,[1]对照表!$Q$3:$Q$24,[1]对照表!$T$3:$T$24),LOOKUP(L37,[1]对照表!$Q$27:$Q$48,[1]对照表!$T$27:$T$48)))))</f>
        <v>85</v>
      </c>
      <c r="N37" s="33">
        <f>IF(B37="高三",MAX(IF(E37="男",L37-18,L37-55),0),IF(B37="高二",MAX(IF(E37="男",L37-17,L37-54),0),IF(B37="高一",MAX(IF(E37="男",L37-16,L37-53),0))))</f>
        <v>0</v>
      </c>
      <c r="O37" s="23">
        <f>IF(E37="男",LOOKUP($N37,[1]对照表!$Z$3:$Z$13,[1]对照表!$AA$3:$AA$13),LOOKUP($N37,[1]对照表!$Z$15:$Z$25,[1]对照表!$AA$15:$AA$25))</f>
        <v>0</v>
      </c>
      <c r="P37" s="25">
        <f>M37+O37</f>
        <v>85</v>
      </c>
      <c r="Q37" s="50">
        <v>4.01</v>
      </c>
      <c r="R37" s="32">
        <f>IF(B37="高三",IF($E37="男",LOOKUP(Q37,[1]对照表!$W$3:$W$24,[1]对照表!$X$3:$X$24),LOOKUP(Q37,[1]对照表!$W$27:$W$48,[1]对照表!$X$27:$X$48)),IF(B37="高二",IF($E37="男",LOOKUP(Q37,[1]对照表!$V$3:$V$24,[1]对照表!$X$3:$X$24),LOOKUP(Q37,[1]对照表!$V$27:$V$48,[1]对照表!$X$27:$X$48)),IF(B37="高一",IF($E37="男",LOOKUP(Q37,[1]对照表!$U$3:$U$24,[1]对照表!$X$3:$X$24),LOOKUP(Q37,[1]对照表!$U$27:$U$48,[1]对照表!$X$27:$X$48)))))</f>
        <v>74</v>
      </c>
      <c r="S37" s="33">
        <f>ROUND(IF(IF($B37="高三",MIN(IF($E37="男",$Q37-3.2,$Q37-3.2),0),IF($B37="高二",MIN(IF($E37="男",$Q37-3.25,$Q37-3.22),0),IF($B37="高一",MIN(IF($E37="男",$Q37-3.3,$Q37-3.24),0))))&lt;-0.6,IF($B37="高三",MIN(IF($E37="男",$Q37-3.2,$Q37-3.2),0),IF($B37="高二",MIN(IF($E37="男",$Q37-3.25,$Q37-3.22),0),IF($B37="高一",MIN(IF($E37="男",$Q37-3.3,$Q37-3.24),0))))+0.4,IF($B37="高三",MIN(IF($E37="男",$Q37-3.2,$Q37-3.2),0),IF($B37="高二",MIN(IF($E37="男",$Q37-3.25,$Q37-3.22),0),IF($B37="高一",MIN(IF($E37="男",$Q37-3.3,$Q37-3.24),0))))),2)</f>
        <v>0</v>
      </c>
      <c r="T37" s="23">
        <f>IF(E37="男",LOOKUP($S37,[1]对照表!$AB$3:$AB$13,[1]对照表!$AC$3:$AC$13),LOOKUP($S37,[1]对照表!$AB$15:$AB$25,[1]对照表!$AC$15:$AC$25))</f>
        <v>0</v>
      </c>
      <c r="U37" s="26">
        <f>R37+T37</f>
        <v>74</v>
      </c>
      <c r="V37" s="26">
        <f>SUM(I37,K37,M37)/3*0.3+SUM(G37,R37)/2*0.4</f>
        <v>53.8</v>
      </c>
      <c r="W37" s="27">
        <f>O37+T37</f>
        <v>0</v>
      </c>
      <c r="X37" s="28">
        <f>V37/0.7+W37</f>
        <v>76.857142857142861</v>
      </c>
      <c r="Y37" s="28">
        <f>X37</f>
        <v>76.857142857142861</v>
      </c>
      <c r="Z37" s="38"/>
    </row>
    <row r="38" spans="1:26" ht="15.6" x14ac:dyDescent="0.25">
      <c r="A38" s="48">
        <v>30</v>
      </c>
      <c r="B38" s="17" t="s">
        <v>767</v>
      </c>
      <c r="C38" s="48">
        <v>201</v>
      </c>
      <c r="D38" s="49" t="s">
        <v>1159</v>
      </c>
      <c r="E38" s="48" t="s">
        <v>65</v>
      </c>
      <c r="F38" s="50">
        <v>9.4600000000000009</v>
      </c>
      <c r="G38" s="32">
        <f>IF(B38="高三",IF($E38="男",LOOKUP(F38,[1]对照表!$G$3:$G$24,[1]对照表!$H$3:$H$24),LOOKUP(F38,[1]对照表!$G$27:$G$48,[1]对照表!$H$27:$H$48)),IF(B38="高二",IF($E38="男",LOOKUP(F38,[1]对照表!$F$3:$F$24,[1]对照表!$H$3:$H$24),LOOKUP(F38,[1]对照表!$F$27:$F$48,[1]对照表!$H$27:$H$48)),IF(B38="高一",IF($E38="男",LOOKUP(F38,[1]对照表!$E$3:$E$24,[1]对照表!$H$3:$H$24),LOOKUP(F38,[1]对照表!$E$27:$E$48,[1]对照表!$H$27:$H$48)))))</f>
        <v>70</v>
      </c>
      <c r="H38" s="38">
        <v>17</v>
      </c>
      <c r="I38" s="32">
        <f>IF(B38="高三",IF($E38="男",LOOKUP(H38,[1]对照表!$K$3:$K$24,[1]对照表!$L$3:$L$24),LOOKUP(H38,[1]对照表!$K$27:$K$48,[1]对照表!$L$27:$L$48)),IF(B38="高二",IF($E38="男",LOOKUP(H38,[1]对照表!$J$3:$J$24,[1]对照表!$L$3:$L$24),LOOKUP(H38,[1]对照表!$J$27:$J$48,[1]对照表!$L$27:$L$48)),IF(B38="高一",IF($E38="男",LOOKUP(H38,[1]对照表!$I$3:$I$24,[1]对照表!$L$3:$L$24),LOOKUP(H38,[1]对照表!$I$27:$I$48,[1]对照表!$L$27:$L$48)))))</f>
        <v>78</v>
      </c>
      <c r="J38" s="38">
        <v>168</v>
      </c>
      <c r="K38" s="32">
        <f>IF(B38="高三",IF($E38="男",LOOKUP(J38,[1]对照表!$O$3:$O$24,[1]对照表!$P$3:$P$24),LOOKUP(J38,[1]对照表!$O$27:$O$48,[1]对照表!$P$27:$P$48)),IF(B38="高二",IF($E38="男",LOOKUP(J38,[1]对照表!$N$3:$N$24,[1]对照表!$P$3:$P$24),LOOKUP(J38,[1]对照表!$N$27:$N$48,[1]对照表!$P$27:$P$48)),IF(B38="高一",IF($E38="男",LOOKUP(J38,[1]对照表!$M$3:$M$24,[1]对照表!$P$3:$P$24),LOOKUP(J38,[1]对照表!$M$27:$M$48,[1]对照表!$P$27:$P$48)))))</f>
        <v>72</v>
      </c>
      <c r="L38" s="38">
        <v>51</v>
      </c>
      <c r="M38" s="32">
        <f>IF(B38="高三",IF($E38="男",LOOKUP(L38,[1]对照表!$S$3:$S$24,[1]对照表!$T$3:$T$24),LOOKUP(L38,[1]对照表!$S$27:$S$48,[1]对照表!$T$27:$T$48)),IF(B38="高二",IF($E38="男",LOOKUP(L38,[1]对照表!$R$3:$R$24,[1]对照表!$T$3:$T$24),LOOKUP(L38,[1]对照表!$R$27:$R$48,[1]对照表!$T$27:$T$48)),IF(B38="高一",IF($E38="男",LOOKUP(L38,[1]对照表!$Q$3:$Q$24,[1]对照表!$T$3:$T$24),LOOKUP(L38,[1]对照表!$Q$27:$Q$48,[1]对照表!$T$27:$T$48)))))</f>
        <v>90</v>
      </c>
      <c r="N38" s="33">
        <f>IF(B38="高三",MAX(IF(E38="男",L38-18,L38-55),0),IF(B38="高二",MAX(IF(E38="男",L38-17,L38-54),0),IF(B38="高一",MAX(IF(E38="男",L38-16,L38-53),0))))</f>
        <v>0</v>
      </c>
      <c r="O38" s="23">
        <f>IF(E38="男",LOOKUP($N38,[1]对照表!$Z$3:$Z$13,[1]对照表!$AA$3:$AA$13),LOOKUP($N38,[1]对照表!$Z$15:$Z$25,[1]对照表!$AA$15:$AA$25))</f>
        <v>0</v>
      </c>
      <c r="P38" s="25">
        <f>M38+O38</f>
        <v>90</v>
      </c>
      <c r="Q38" s="50">
        <v>3.58</v>
      </c>
      <c r="R38" s="32">
        <f>IF(B38="高三",IF($E38="男",LOOKUP(Q38,[1]对照表!$W$3:$W$24,[1]对照表!$X$3:$X$24),LOOKUP(Q38,[1]对照表!$W$27:$W$48,[1]对照表!$X$27:$X$48)),IF(B38="高二",IF($E38="男",LOOKUP(Q38,[1]对照表!$V$3:$V$24,[1]对照表!$X$3:$X$24),LOOKUP(Q38,[1]对照表!$V$27:$V$48,[1]对照表!$X$27:$X$48)),IF(B38="高一",IF($E38="男",LOOKUP(Q38,[1]对照表!$U$3:$U$24,[1]对照表!$X$3:$X$24),LOOKUP(Q38,[1]对照表!$U$27:$U$48,[1]对照表!$X$27:$X$48)))))</f>
        <v>76</v>
      </c>
      <c r="S38" s="33">
        <f>ROUND(IF(IF($B38="高三",MIN(IF($E38="男",$Q38-3.2,$Q38-3.2),0),IF($B38="高二",MIN(IF($E38="男",$Q38-3.25,$Q38-3.22),0),IF($B38="高一",MIN(IF($E38="男",$Q38-3.3,$Q38-3.24),0))))&lt;-0.6,IF($B38="高三",MIN(IF($E38="男",$Q38-3.2,$Q38-3.2),0),IF($B38="高二",MIN(IF($E38="男",$Q38-3.25,$Q38-3.22),0),IF($B38="高一",MIN(IF($E38="男",$Q38-3.3,$Q38-3.24),0))))+0.4,IF($B38="高三",MIN(IF($E38="男",$Q38-3.2,$Q38-3.2),0),IF($B38="高二",MIN(IF($E38="男",$Q38-3.25,$Q38-3.22),0),IF($B38="高一",MIN(IF($E38="男",$Q38-3.3,$Q38-3.24),0))))),2)</f>
        <v>0</v>
      </c>
      <c r="T38" s="23">
        <f>IF(E38="男",LOOKUP($S38,[1]对照表!$AB$3:$AB$13,[1]对照表!$AC$3:$AC$13),LOOKUP($S38,[1]对照表!$AB$15:$AB$25,[1]对照表!$AC$15:$AC$25))</f>
        <v>0</v>
      </c>
      <c r="U38" s="26">
        <f>R38+T38</f>
        <v>76</v>
      </c>
      <c r="V38" s="26">
        <f>SUM(I38,K38,M38)/3*0.3+SUM(G38,R38)/2*0.4</f>
        <v>53.2</v>
      </c>
      <c r="W38" s="27">
        <f>O38+T38</f>
        <v>0</v>
      </c>
      <c r="X38" s="28">
        <f>V38/0.7+W38</f>
        <v>76.000000000000014</v>
      </c>
      <c r="Y38" s="28">
        <f>X38</f>
        <v>76.000000000000014</v>
      </c>
      <c r="Z38" s="38"/>
    </row>
    <row r="39" spans="1:26" ht="15.6" x14ac:dyDescent="0.25">
      <c r="A39" s="48">
        <v>29</v>
      </c>
      <c r="B39" s="17" t="s">
        <v>767</v>
      </c>
      <c r="C39" s="48">
        <v>201</v>
      </c>
      <c r="D39" s="49" t="s">
        <v>1175</v>
      </c>
      <c r="E39" s="48" t="s">
        <v>65</v>
      </c>
      <c r="F39" s="50">
        <v>9.4600000000000009</v>
      </c>
      <c r="G39" s="32">
        <f>IF(B39="高三",IF($E39="男",LOOKUP(F39,[1]对照表!$G$3:$G$24,[1]对照表!$H$3:$H$24),LOOKUP(F39,[1]对照表!$G$27:$G$48,[1]对照表!$H$27:$H$48)),IF(B39="高二",IF($E39="男",LOOKUP(F39,[1]对照表!$F$3:$F$24,[1]对照表!$H$3:$H$24),LOOKUP(F39,[1]对照表!$F$27:$F$48,[1]对照表!$H$27:$H$48)),IF(B39="高一",IF($E39="男",LOOKUP(F39,[1]对照表!$E$3:$E$24,[1]对照表!$H$3:$H$24),LOOKUP(F39,[1]对照表!$E$27:$E$48,[1]对照表!$H$27:$H$48)))))</f>
        <v>70</v>
      </c>
      <c r="H39" s="38">
        <v>20</v>
      </c>
      <c r="I39" s="32">
        <f>IF(B39="高三",IF($E39="男",LOOKUP(H39,[1]对照表!$K$3:$K$24,[1]对照表!$L$3:$L$24),LOOKUP(H39,[1]对照表!$K$27:$K$48,[1]对照表!$L$27:$L$48)),IF(B39="高二",IF($E39="男",LOOKUP(H39,[1]对照表!$J$3:$J$24,[1]对照表!$L$3:$L$24),LOOKUP(H39,[1]对照表!$J$27:$J$48,[1]对照表!$L$27:$L$48)),IF(B39="高一",IF($E39="男",LOOKUP(H39,[1]对照表!$I$3:$I$24,[1]对照表!$L$3:$L$24),LOOKUP(H39,[1]对照表!$I$27:$I$48,[1]对照表!$L$27:$L$48)))))</f>
        <v>85</v>
      </c>
      <c r="J39" s="38">
        <v>152</v>
      </c>
      <c r="K39" s="32">
        <f>IF(B39="高三",IF($E39="男",LOOKUP(J39,[1]对照表!$O$3:$O$24,[1]对照表!$P$3:$P$24),LOOKUP(J39,[1]对照表!$O$27:$O$48,[1]对照表!$P$27:$P$48)),IF(B39="高二",IF($E39="男",LOOKUP(J39,[1]对照表!$N$3:$N$24,[1]对照表!$P$3:$P$24),LOOKUP(J39,[1]对照表!$N$27:$N$48,[1]对照表!$P$27:$P$48)),IF(B39="高一",IF($E39="男",LOOKUP(J39,[1]对照表!$M$3:$M$24,[1]对照表!$P$3:$P$24),LOOKUP(J39,[1]对照表!$M$27:$M$48,[1]对照表!$P$27:$P$48)))))</f>
        <v>62</v>
      </c>
      <c r="L39" s="38">
        <v>43</v>
      </c>
      <c r="M39" s="32">
        <f>IF(B39="高三",IF($E39="男",LOOKUP(L39,[1]对照表!$S$3:$S$24,[1]对照表!$T$3:$T$24),LOOKUP(L39,[1]对照表!$S$27:$S$48,[1]对照表!$T$27:$T$48)),IF(B39="高二",IF($E39="男",LOOKUP(L39,[1]对照表!$R$3:$R$24,[1]对照表!$T$3:$T$24),LOOKUP(L39,[1]对照表!$R$27:$R$48,[1]对照表!$T$27:$T$48)),IF(B39="高一",IF($E39="男",LOOKUP(L39,[1]对照表!$Q$3:$Q$24,[1]对照表!$T$3:$T$24),LOOKUP(L39,[1]对照表!$Q$27:$Q$48,[1]对照表!$T$27:$T$48)))))</f>
        <v>78</v>
      </c>
      <c r="N39" s="33">
        <f>IF(B39="高三",MAX(IF(E39="男",L39-18,L39-55),0),IF(B39="高二",MAX(IF(E39="男",L39-17,L39-54),0),IF(B39="高一",MAX(IF(E39="男",L39-16,L39-53),0))))</f>
        <v>0</v>
      </c>
      <c r="O39" s="23">
        <f>IF(E39="男",LOOKUP($N39,[1]对照表!$Z$3:$Z$13,[1]对照表!$AA$3:$AA$13),LOOKUP($N39,[1]对照表!$Z$15:$Z$25,[1]对照表!$AA$15:$AA$25))</f>
        <v>0</v>
      </c>
      <c r="P39" s="25">
        <f>M39+O39</f>
        <v>78</v>
      </c>
      <c r="Q39" s="50">
        <v>3.48</v>
      </c>
      <c r="R39" s="32">
        <f>IF(B39="高三",IF($E39="男",LOOKUP(Q39,[1]对照表!$W$3:$W$24,[1]对照表!$X$3:$X$24),LOOKUP(Q39,[1]对照表!$W$27:$W$48,[1]对照表!$X$27:$X$48)),IF(B39="高二",IF($E39="男",LOOKUP(Q39,[1]对照表!$V$3:$V$24,[1]对照表!$X$3:$X$24),LOOKUP(Q39,[1]对照表!$V$27:$V$48,[1]对照表!$X$27:$X$48)),IF(B39="高一",IF($E39="男",LOOKUP(Q39,[1]对照表!$U$3:$U$24,[1]对照表!$X$3:$X$24),LOOKUP(Q39,[1]对照表!$U$27:$U$48,[1]对照表!$X$27:$X$48)))))</f>
        <v>80</v>
      </c>
      <c r="S39" s="33">
        <f>ROUND(IF(IF($B39="高三",MIN(IF($E39="男",$Q39-3.2,$Q39-3.2),0),IF($B39="高二",MIN(IF($E39="男",$Q39-3.25,$Q39-3.22),0),IF($B39="高一",MIN(IF($E39="男",$Q39-3.3,$Q39-3.24),0))))&lt;-0.6,IF($B39="高三",MIN(IF($E39="男",$Q39-3.2,$Q39-3.2),0),IF($B39="高二",MIN(IF($E39="男",$Q39-3.25,$Q39-3.22),0),IF($B39="高一",MIN(IF($E39="男",$Q39-3.3,$Q39-3.24),0))))+0.4,IF($B39="高三",MIN(IF($E39="男",$Q39-3.2,$Q39-3.2),0),IF($B39="高二",MIN(IF($E39="男",$Q39-3.25,$Q39-3.22),0),IF($B39="高一",MIN(IF($E39="男",$Q39-3.3,$Q39-3.24),0))))),2)</f>
        <v>0</v>
      </c>
      <c r="T39" s="23">
        <f>IF(E39="男",LOOKUP($S39,[1]对照表!$AB$3:$AB$13,[1]对照表!$AC$3:$AC$13),LOOKUP($S39,[1]对照表!$AB$15:$AB$25,[1]对照表!$AC$15:$AC$25))</f>
        <v>0</v>
      </c>
      <c r="U39" s="26">
        <f>R39+T39</f>
        <v>80</v>
      </c>
      <c r="V39" s="26">
        <f>SUM(I39,K39,M39)/3*0.3+SUM(G39,R39)/2*0.4</f>
        <v>52.5</v>
      </c>
      <c r="W39" s="27">
        <f>O39+T39</f>
        <v>0</v>
      </c>
      <c r="X39" s="28">
        <f>V39/0.7+W39</f>
        <v>75</v>
      </c>
      <c r="Y39" s="28">
        <f>X39</f>
        <v>75</v>
      </c>
      <c r="Z39" s="38"/>
    </row>
    <row r="40" spans="1:26" ht="15.6" x14ac:dyDescent="0.25">
      <c r="A40" s="38">
        <v>28</v>
      </c>
      <c r="B40" s="17" t="s">
        <v>767</v>
      </c>
      <c r="C40" s="48">
        <v>201</v>
      </c>
      <c r="D40" s="49" t="s">
        <v>1177</v>
      </c>
      <c r="E40" s="48" t="s">
        <v>65</v>
      </c>
      <c r="F40" s="50">
        <v>9.27</v>
      </c>
      <c r="G40" s="32">
        <f>IF(B40="高三",IF($E40="男",LOOKUP(F40,[1]对照表!$G$3:$G$24,[1]对照表!$H$3:$H$24),LOOKUP(F40,[1]对照表!$G$27:$G$48,[1]对照表!$H$27:$H$48)),IF(B40="高二",IF($E40="男",LOOKUP(F40,[1]对照表!$F$3:$F$24,[1]对照表!$H$3:$H$24),LOOKUP(F40,[1]对照表!$F$27:$F$48,[1]对照表!$H$27:$H$48)),IF(B40="高一",IF($E40="男",LOOKUP(F40,[1]对照表!$E$3:$E$24,[1]对照表!$H$3:$H$24),LOOKUP(F40,[1]对照表!$E$27:$E$48,[1]对照表!$H$27:$H$48)))))</f>
        <v>72</v>
      </c>
      <c r="H40" s="38">
        <v>12.3</v>
      </c>
      <c r="I40" s="32">
        <f>IF(B40="高三",IF($E40="男",LOOKUP(H40,[1]对照表!$K$3:$K$24,[1]对照表!$L$3:$L$24),LOOKUP(H40,[1]对照表!$K$27:$K$48,[1]对照表!$L$27:$L$48)),IF(B40="高二",IF($E40="男",LOOKUP(H40,[1]对照表!$J$3:$J$24,[1]对照表!$L$3:$L$24),LOOKUP(H40,[1]对照表!$J$27:$J$48,[1]对照表!$L$27:$L$48)),IF(B40="高一",IF($E40="男",LOOKUP(H40,[1]对照表!$I$3:$I$24,[1]对照表!$L$3:$L$24),LOOKUP(H40,[1]对照表!$I$27:$I$48,[1]对照表!$L$27:$L$48)))))</f>
        <v>70</v>
      </c>
      <c r="J40" s="38">
        <v>180</v>
      </c>
      <c r="K40" s="32">
        <f>IF(B40="高三",IF($E40="男",LOOKUP(J40,[1]对照表!$O$3:$O$24,[1]对照表!$P$3:$P$24),LOOKUP(J40,[1]对照表!$O$27:$O$48,[1]对照表!$P$27:$P$48)),IF(B40="高二",IF($E40="男",LOOKUP(J40,[1]对照表!$N$3:$N$24,[1]对照表!$P$3:$P$24),LOOKUP(J40,[1]对照表!$N$27:$N$48,[1]对照表!$P$27:$P$48)),IF(B40="高一",IF($E40="男",LOOKUP(J40,[1]对照表!$M$3:$M$24,[1]对照表!$P$3:$P$24),LOOKUP(J40,[1]对照表!$M$27:$M$48,[1]对照表!$P$27:$P$48)))))</f>
        <v>80</v>
      </c>
      <c r="L40" s="38">
        <v>53</v>
      </c>
      <c r="M40" s="32">
        <f>IF(B40="高三",IF($E40="男",LOOKUP(L40,[1]对照表!$S$3:$S$24,[1]对照表!$T$3:$T$24),LOOKUP(L40,[1]对照表!$S$27:$S$48,[1]对照表!$T$27:$T$48)),IF(B40="高二",IF($E40="男",LOOKUP(L40,[1]对照表!$R$3:$R$24,[1]对照表!$T$3:$T$24),LOOKUP(L40,[1]对照表!$R$27:$R$48,[1]对照表!$T$27:$T$48)),IF(B40="高一",IF($E40="男",LOOKUP(L40,[1]对照表!$Q$3:$Q$24,[1]对照表!$T$3:$T$24),LOOKUP(L40,[1]对照表!$Q$27:$Q$48,[1]对照表!$T$27:$T$48)))))</f>
        <v>95</v>
      </c>
      <c r="N40" s="33">
        <f>IF(B40="高三",MAX(IF(E40="男",L40-18,L40-55),0),IF(B40="高二",MAX(IF(E40="男",L40-17,L40-54),0),IF(B40="高一",MAX(IF(E40="男",L40-16,L40-53),0))))</f>
        <v>0</v>
      </c>
      <c r="O40" s="23">
        <f>IF(E40="男",LOOKUP($N40,[1]对照表!$Z$3:$Z$13,[1]对照表!$AA$3:$AA$13),LOOKUP($N40,[1]对照表!$Z$15:$Z$25,[1]对照表!$AA$15:$AA$25))</f>
        <v>0</v>
      </c>
      <c r="P40" s="25">
        <f>M40+O40</f>
        <v>95</v>
      </c>
      <c r="Q40" s="50">
        <v>4.1399999999999997</v>
      </c>
      <c r="R40" s="32">
        <f>IF(B40="高三",IF($E40="男",LOOKUP(Q40,[1]对照表!$W$3:$W$24,[1]对照表!$X$3:$X$24),LOOKUP(Q40,[1]对照表!$W$27:$W$48,[1]对照表!$X$27:$X$48)),IF(B40="高二",IF($E40="男",LOOKUP(Q40,[1]对照表!$V$3:$V$24,[1]对照表!$X$3:$X$24),LOOKUP(Q40,[1]对照表!$V$27:$V$48,[1]对照表!$X$27:$X$48)),IF(B40="高一",IF($E40="男",LOOKUP(Q40,[1]对照表!$U$3:$U$24,[1]对照表!$X$3:$X$24),LOOKUP(Q40,[1]对照表!$U$27:$U$48,[1]对照表!$X$27:$X$48)))))</f>
        <v>68</v>
      </c>
      <c r="S40" s="33">
        <f>ROUND(IF(IF($B40="高三",MIN(IF($E40="男",$Q40-3.2,$Q40-3.2),0),IF($B40="高二",MIN(IF($E40="男",$Q40-3.25,$Q40-3.22),0),IF($B40="高一",MIN(IF($E40="男",$Q40-3.3,$Q40-3.24),0))))&lt;-0.6,IF($B40="高三",MIN(IF($E40="男",$Q40-3.2,$Q40-3.2),0),IF($B40="高二",MIN(IF($E40="男",$Q40-3.25,$Q40-3.22),0),IF($B40="高一",MIN(IF($E40="男",$Q40-3.3,$Q40-3.24),0))))+0.4,IF($B40="高三",MIN(IF($E40="男",$Q40-3.2,$Q40-3.2),0),IF($B40="高二",MIN(IF($E40="男",$Q40-3.25,$Q40-3.22),0),IF($B40="高一",MIN(IF($E40="男",$Q40-3.3,$Q40-3.24),0))))),2)</f>
        <v>0</v>
      </c>
      <c r="T40" s="23">
        <f>IF(E40="男",LOOKUP($S40,[1]对照表!$AB$3:$AB$13,[1]对照表!$AC$3:$AC$13),LOOKUP($S40,[1]对照表!$AB$15:$AB$25,[1]对照表!$AC$15:$AC$25))</f>
        <v>0</v>
      </c>
      <c r="U40" s="26">
        <f>R40+T40</f>
        <v>68</v>
      </c>
      <c r="V40" s="26">
        <f>SUM(I40,K40,M40)/3*0.3+SUM(G40,R40)/2*0.4</f>
        <v>52.5</v>
      </c>
      <c r="W40" s="27">
        <f>O40+T40</f>
        <v>0</v>
      </c>
      <c r="X40" s="28">
        <f>V40/0.7+W40</f>
        <v>75</v>
      </c>
      <c r="Y40" s="28">
        <f>X40</f>
        <v>75</v>
      </c>
      <c r="Z40" s="38"/>
    </row>
    <row r="41" spans="1:26" ht="15.6" x14ac:dyDescent="0.25">
      <c r="A41" s="48">
        <v>12</v>
      </c>
      <c r="B41" s="17" t="s">
        <v>767</v>
      </c>
      <c r="C41" s="48">
        <v>201</v>
      </c>
      <c r="D41" s="49" t="s">
        <v>1182</v>
      </c>
      <c r="E41" s="49" t="s">
        <v>65</v>
      </c>
      <c r="F41" s="50">
        <v>9.41</v>
      </c>
      <c r="G41" s="32">
        <f>IF(B41="高三",IF($E41="男",LOOKUP(F41,[1]对照表!$G$3:$G$24,[1]对照表!$H$3:$H$24),LOOKUP(F41,[1]对照表!$G$27:$G$48,[1]对照表!$H$27:$H$48)),IF(B41="高二",IF($E41="男",LOOKUP(F41,[1]对照表!$F$3:$F$24,[1]对照表!$H$3:$H$24),LOOKUP(F41,[1]对照表!$F$27:$F$48,[1]对照表!$H$27:$H$48)),IF(B41="高一",IF($E41="男",LOOKUP(F41,[1]对照表!$E$3:$E$24,[1]对照表!$H$3:$H$24),LOOKUP(F41,[1]对照表!$E$27:$E$48,[1]对照表!$H$27:$H$48)))))</f>
        <v>70</v>
      </c>
      <c r="H41" s="38">
        <v>19.5</v>
      </c>
      <c r="I41" s="32">
        <f>IF(B41="高三",IF($E41="男",LOOKUP(H41,[1]对照表!$K$3:$K$24,[1]对照表!$L$3:$L$24),LOOKUP(H41,[1]对照表!$K$27:$K$48,[1]对照表!$L$27:$L$48)),IF(B41="高二",IF($E41="男",LOOKUP(H41,[1]对照表!$J$3:$J$24,[1]对照表!$L$3:$L$24),LOOKUP(H41,[1]对照表!$J$27:$J$48,[1]对照表!$L$27:$L$48)),IF(B41="高一",IF($E41="男",LOOKUP(H41,[1]对照表!$I$3:$I$24,[1]对照表!$L$3:$L$24),LOOKUP(H41,[1]对照表!$I$27:$I$48,[1]对照表!$L$27:$L$48)))))</f>
        <v>80</v>
      </c>
      <c r="J41" s="38">
        <v>150</v>
      </c>
      <c r="K41" s="32">
        <f>IF(B41="高三",IF($E41="男",LOOKUP(J41,[1]对照表!$O$3:$O$24,[1]对照表!$P$3:$P$24),LOOKUP(J41,[1]对照表!$O$27:$O$48,[1]对照表!$P$27:$P$48)),IF(B41="高二",IF($E41="男",LOOKUP(J41,[1]对照表!$N$3:$N$24,[1]对照表!$P$3:$P$24),LOOKUP(J41,[1]对照表!$N$27:$N$48,[1]对照表!$P$27:$P$48)),IF(B41="高一",IF($E41="男",LOOKUP(J41,[1]对照表!$M$3:$M$24,[1]对照表!$P$3:$P$24),LOOKUP(J41,[1]对照表!$M$27:$M$48,[1]对照表!$P$27:$P$48)))))</f>
        <v>60</v>
      </c>
      <c r="L41" s="38">
        <v>48</v>
      </c>
      <c r="M41" s="32">
        <f>IF(B41="高三",IF($E41="男",LOOKUP(L41,[1]对照表!$S$3:$S$24,[1]对照表!$T$3:$T$24),LOOKUP(L41,[1]对照表!$S$27:$S$48,[1]对照表!$T$27:$T$48)),IF(B41="高二",IF($E41="男",LOOKUP(L41,[1]对照表!$R$3:$R$24,[1]对照表!$T$3:$T$24),LOOKUP(L41,[1]对照表!$R$27:$R$48,[1]对照表!$T$27:$T$48)),IF(B41="高一",IF($E41="男",LOOKUP(L41,[1]对照表!$Q$3:$Q$24,[1]对照表!$T$3:$T$24),LOOKUP(L41,[1]对照表!$Q$27:$Q$48,[1]对照表!$T$27:$T$48)))))</f>
        <v>85</v>
      </c>
      <c r="N41" s="33">
        <f>IF(B41="高三",MAX(IF(E41="男",L41-18,L41-55),0),IF(B41="高二",MAX(IF(E41="男",L41-17,L41-54),0),IF(B41="高一",MAX(IF(E41="男",L41-16,L41-53),0))))</f>
        <v>0</v>
      </c>
      <c r="O41" s="23">
        <f>IF(E41="男",LOOKUP($N41,[1]对照表!$Z$3:$Z$13,[1]对照表!$AA$3:$AA$13),LOOKUP($N41,[1]对照表!$Z$15:$Z$25,[1]对照表!$AA$15:$AA$25))</f>
        <v>0</v>
      </c>
      <c r="P41" s="25">
        <f>M41+O41</f>
        <v>85</v>
      </c>
      <c r="Q41" s="50">
        <v>3.51</v>
      </c>
      <c r="R41" s="32">
        <f>IF(B41="高三",IF($E41="男",LOOKUP(Q41,[1]对照表!$W$3:$W$24,[1]对照表!$X$3:$X$24),LOOKUP(Q41,[1]对照表!$W$27:$W$48,[1]对照表!$X$27:$X$48)),IF(B41="高二",IF($E41="男",LOOKUP(Q41,[1]对照表!$V$3:$V$24,[1]对照表!$X$3:$X$24),LOOKUP(Q41,[1]对照表!$V$27:$V$48,[1]对照表!$X$27:$X$48)),IF(B41="高一",IF($E41="男",LOOKUP(Q41,[1]对照表!$U$3:$U$24,[1]对照表!$X$3:$X$24),LOOKUP(Q41,[1]对照表!$U$27:$U$48,[1]对照表!$X$27:$X$48)))))</f>
        <v>78</v>
      </c>
      <c r="S41" s="33">
        <f>ROUND(IF(IF($B41="高三",MIN(IF($E41="男",$Q41-3.2,$Q41-3.2),0),IF($B41="高二",MIN(IF($E41="男",$Q41-3.25,$Q41-3.22),0),IF($B41="高一",MIN(IF($E41="男",$Q41-3.3,$Q41-3.24),0))))&lt;-0.6,IF($B41="高三",MIN(IF($E41="男",$Q41-3.2,$Q41-3.2),0),IF($B41="高二",MIN(IF($E41="男",$Q41-3.25,$Q41-3.22),0),IF($B41="高一",MIN(IF($E41="男",$Q41-3.3,$Q41-3.24),0))))+0.4,IF($B41="高三",MIN(IF($E41="男",$Q41-3.2,$Q41-3.2),0),IF($B41="高二",MIN(IF($E41="男",$Q41-3.25,$Q41-3.22),0),IF($B41="高一",MIN(IF($E41="男",$Q41-3.3,$Q41-3.24),0))))),2)</f>
        <v>0</v>
      </c>
      <c r="T41" s="23">
        <f>IF(E41="男",LOOKUP($S41,[1]对照表!$AB$3:$AB$13,[1]对照表!$AC$3:$AC$13),LOOKUP($S41,[1]对照表!$AB$15:$AB$25,[1]对照表!$AC$15:$AC$25))</f>
        <v>0</v>
      </c>
      <c r="U41" s="26">
        <f>R41+T41</f>
        <v>78</v>
      </c>
      <c r="V41" s="26">
        <f>SUM(I41,K41,M41)/3*0.3+SUM(G41,R41)/2*0.4</f>
        <v>52.1</v>
      </c>
      <c r="W41" s="27">
        <f>O41+T41</f>
        <v>0</v>
      </c>
      <c r="X41" s="28">
        <f>V41/0.7+W41</f>
        <v>74.428571428571431</v>
      </c>
      <c r="Y41" s="28">
        <f>X41</f>
        <v>74.428571428571431</v>
      </c>
      <c r="Z41" s="38"/>
    </row>
    <row r="42" spans="1:26" ht="15.6" x14ac:dyDescent="0.25">
      <c r="A42" s="48">
        <v>26</v>
      </c>
      <c r="B42" s="17" t="s">
        <v>767</v>
      </c>
      <c r="C42" s="48">
        <v>201</v>
      </c>
      <c r="D42" s="49" t="s">
        <v>1214</v>
      </c>
      <c r="E42" s="48" t="s">
        <v>65</v>
      </c>
      <c r="F42" s="50">
        <v>10.199999999999999</v>
      </c>
      <c r="G42" s="32">
        <f>IF(B42="高三",IF($E42="男",LOOKUP(F42,[1]对照表!$G$3:$G$24,[1]对照表!$H$3:$H$24),LOOKUP(F42,[1]对照表!$G$27:$G$48,[1]对照表!$H$27:$H$48)),IF(B42="高二",IF($E42="男",LOOKUP(F42,[1]对照表!$F$3:$F$24,[1]对照表!$H$3:$H$24),LOOKUP(F42,[1]对照表!$F$27:$F$48,[1]对照表!$H$27:$H$48)),IF(B42="高一",IF($E42="男",LOOKUP(F42,[1]对照表!$E$3:$E$24,[1]对照表!$H$3:$H$24),LOOKUP(F42,[1]对照表!$E$27:$E$48,[1]对照表!$H$27:$H$48)))))</f>
        <v>62</v>
      </c>
      <c r="H42" s="38">
        <v>12.3</v>
      </c>
      <c r="I42" s="32">
        <f>IF(B42="高三",IF($E42="男",LOOKUP(H42,[1]对照表!$K$3:$K$24,[1]对照表!$L$3:$L$24),LOOKUP(H42,[1]对照表!$K$27:$K$48,[1]对照表!$L$27:$L$48)),IF(B42="高二",IF($E42="男",LOOKUP(H42,[1]对照表!$J$3:$J$24,[1]对照表!$L$3:$L$24),LOOKUP(H42,[1]对照表!$J$27:$J$48,[1]对照表!$L$27:$L$48)),IF(B42="高一",IF($E42="男",LOOKUP(H42,[1]对照表!$I$3:$I$24,[1]对照表!$L$3:$L$24),LOOKUP(H42,[1]对照表!$I$27:$I$48,[1]对照表!$L$27:$L$48)))))</f>
        <v>70</v>
      </c>
      <c r="J42" s="38">
        <v>155</v>
      </c>
      <c r="K42" s="32">
        <f>IF(B42="高三",IF($E42="男",LOOKUP(J42,[1]对照表!$O$3:$O$24,[1]对照表!$P$3:$P$24),LOOKUP(J42,[1]对照表!$O$27:$O$48,[1]对照表!$P$27:$P$48)),IF(B42="高二",IF($E42="男",LOOKUP(J42,[1]对照表!$N$3:$N$24,[1]对照表!$P$3:$P$24),LOOKUP(J42,[1]对照表!$N$27:$N$48,[1]对照表!$P$27:$P$48)),IF(B42="高一",IF($E42="男",LOOKUP(J42,[1]对照表!$M$3:$M$24,[1]对照表!$P$3:$P$24),LOOKUP(J42,[1]对照表!$M$27:$M$48,[1]对照表!$P$27:$P$48)))))</f>
        <v>64</v>
      </c>
      <c r="L42" s="38">
        <v>54</v>
      </c>
      <c r="M42" s="32">
        <f>IF(B42="高三",IF($E42="男",LOOKUP(L42,[1]对照表!$S$3:$S$24,[1]对照表!$T$3:$T$24),LOOKUP(L42,[1]对照表!$S$27:$S$48,[1]对照表!$T$27:$T$48)),IF(B42="高二",IF($E42="男",LOOKUP(L42,[1]对照表!$R$3:$R$24,[1]对照表!$T$3:$T$24),LOOKUP(L42,[1]对照表!$R$27:$R$48,[1]对照表!$T$27:$T$48)),IF(B42="高一",IF($E42="男",LOOKUP(L42,[1]对照表!$Q$3:$Q$24,[1]对照表!$T$3:$T$24),LOOKUP(L42,[1]对照表!$Q$27:$Q$48,[1]对照表!$T$27:$T$48)))))</f>
        <v>100</v>
      </c>
      <c r="N42" s="33">
        <f>IF(B42="高三",MAX(IF(E42="男",L42-18,L42-55),0),IF(B42="高二",MAX(IF(E42="男",L42-17,L42-54),0),IF(B42="高一",MAX(IF(E42="男",L42-16,L42-53),0))))</f>
        <v>0</v>
      </c>
      <c r="O42" s="23">
        <f>IF(E42="男",LOOKUP($N42,[1]对照表!$Z$3:$Z$13,[1]对照表!$AA$3:$AA$13),LOOKUP($N42,[1]对照表!$Z$15:$Z$25,[1]对照表!$AA$15:$AA$25))</f>
        <v>0</v>
      </c>
      <c r="P42" s="25">
        <f>M42+O42</f>
        <v>100</v>
      </c>
      <c r="Q42" s="50">
        <v>3.52</v>
      </c>
      <c r="R42" s="32">
        <f>IF(B42="高三",IF($E42="男",LOOKUP(Q42,[1]对照表!$W$3:$W$24,[1]对照表!$X$3:$X$24),LOOKUP(Q42,[1]对照表!$W$27:$W$48,[1]对照表!$X$27:$X$48)),IF(B42="高二",IF($E42="男",LOOKUP(Q42,[1]对照表!$V$3:$V$24,[1]对照表!$X$3:$X$24),LOOKUP(Q42,[1]对照表!$V$27:$V$48,[1]对照表!$X$27:$X$48)),IF(B42="高一",IF($E42="男",LOOKUP(Q42,[1]对照表!$U$3:$U$24,[1]对照表!$X$3:$X$24),LOOKUP(Q42,[1]对照表!$U$27:$U$48,[1]对照表!$X$27:$X$48)))))</f>
        <v>78</v>
      </c>
      <c r="S42" s="33">
        <f>ROUND(IF(IF($B42="高三",MIN(IF($E42="男",$Q42-3.2,$Q42-3.2),0),IF($B42="高二",MIN(IF($E42="男",$Q42-3.25,$Q42-3.22),0),IF($B42="高一",MIN(IF($E42="男",$Q42-3.3,$Q42-3.24),0))))&lt;-0.6,IF($B42="高三",MIN(IF($E42="男",$Q42-3.2,$Q42-3.2),0),IF($B42="高二",MIN(IF($E42="男",$Q42-3.25,$Q42-3.22),0),IF($B42="高一",MIN(IF($E42="男",$Q42-3.3,$Q42-3.24),0))))+0.4,IF($B42="高三",MIN(IF($E42="男",$Q42-3.2,$Q42-3.2),0),IF($B42="高二",MIN(IF($E42="男",$Q42-3.25,$Q42-3.22),0),IF($B42="高一",MIN(IF($E42="男",$Q42-3.3,$Q42-3.24),0))))),2)</f>
        <v>0</v>
      </c>
      <c r="T42" s="23">
        <f>IF(E42="男",LOOKUP($S42,[1]对照表!$AB$3:$AB$13,[1]对照表!$AC$3:$AC$13),LOOKUP($S42,[1]对照表!$AB$15:$AB$25,[1]对照表!$AC$15:$AC$25))</f>
        <v>0</v>
      </c>
      <c r="U42" s="26">
        <f>R42+T42</f>
        <v>78</v>
      </c>
      <c r="V42" s="26">
        <f>SUM(I42,K42,M42)/3*0.3+SUM(G42,R42)/2*0.4</f>
        <v>51.4</v>
      </c>
      <c r="W42" s="27">
        <f>O42+T42</f>
        <v>0</v>
      </c>
      <c r="X42" s="28">
        <f>V42/0.7+W42</f>
        <v>73.428571428571431</v>
      </c>
      <c r="Y42" s="28">
        <f>X42</f>
        <v>73.428571428571431</v>
      </c>
      <c r="Z42" s="38"/>
    </row>
    <row r="43" spans="1:26" ht="15.6" x14ac:dyDescent="0.25">
      <c r="A43" s="48">
        <v>16</v>
      </c>
      <c r="B43" s="17" t="s">
        <v>767</v>
      </c>
      <c r="C43" s="48">
        <v>201</v>
      </c>
      <c r="D43" s="49" t="s">
        <v>1226</v>
      </c>
      <c r="E43" s="49" t="s">
        <v>65</v>
      </c>
      <c r="F43" s="50">
        <v>9.81</v>
      </c>
      <c r="G43" s="32">
        <f>IF(B43="高三",IF($E43="男",LOOKUP(F43,[1]对照表!$G$3:$G$24,[1]对照表!$H$3:$H$24),LOOKUP(F43,[1]对照表!$G$27:$G$48,[1]对照表!$H$27:$H$48)),IF(B43="高二",IF($E43="男",LOOKUP(F43,[1]对照表!$F$3:$F$24,[1]对照表!$H$3:$H$24),LOOKUP(F43,[1]对照表!$F$27:$F$48,[1]对照表!$H$27:$H$48)),IF(B43="高一",IF($E43="男",LOOKUP(F43,[1]对照表!$E$3:$E$24,[1]对照表!$H$3:$H$24),LOOKUP(F43,[1]对照表!$E$27:$E$48,[1]对照表!$H$27:$H$48)))))</f>
        <v>66</v>
      </c>
      <c r="H43" s="38">
        <v>13.5</v>
      </c>
      <c r="I43" s="32">
        <f>IF(B43="高三",IF($E43="男",LOOKUP(H43,[1]对照表!$K$3:$K$24,[1]对照表!$L$3:$L$24),LOOKUP(H43,[1]对照表!$K$27:$K$48,[1]对照表!$L$27:$L$48)),IF(B43="高二",IF($E43="男",LOOKUP(H43,[1]对照表!$J$3:$J$24,[1]对照表!$L$3:$L$24),LOOKUP(H43,[1]对照表!$J$27:$J$48,[1]对照表!$L$27:$L$48)),IF(B43="高一",IF($E43="男",LOOKUP(H43,[1]对照表!$I$3:$I$24,[1]对照表!$L$3:$L$24),LOOKUP(H43,[1]对照表!$I$27:$I$48,[1]对照表!$L$27:$L$48)))))</f>
        <v>72</v>
      </c>
      <c r="J43" s="38">
        <v>157</v>
      </c>
      <c r="K43" s="32">
        <f>IF(B43="高三",IF($E43="男",LOOKUP(J43,[1]对照表!$O$3:$O$24,[1]对照表!$P$3:$P$24),LOOKUP(J43,[1]对照表!$O$27:$O$48,[1]对照表!$P$27:$P$48)),IF(B43="高二",IF($E43="男",LOOKUP(J43,[1]对照表!$N$3:$N$24,[1]对照表!$P$3:$P$24),LOOKUP(J43,[1]对照表!$N$27:$N$48,[1]对照表!$P$27:$P$48)),IF(B43="高一",IF($E43="男",LOOKUP(J43,[1]对照表!$M$3:$M$24,[1]对照表!$P$3:$P$24),LOOKUP(J43,[1]对照表!$M$27:$M$48,[1]对照表!$P$27:$P$48)))))</f>
        <v>64</v>
      </c>
      <c r="L43" s="38">
        <v>48</v>
      </c>
      <c r="M43" s="32">
        <f>IF(B43="高三",IF($E43="男",LOOKUP(L43,[1]对照表!$S$3:$S$24,[1]对照表!$T$3:$T$24),LOOKUP(L43,[1]对照表!$S$27:$S$48,[1]对照表!$T$27:$T$48)),IF(B43="高二",IF($E43="男",LOOKUP(L43,[1]对照表!$R$3:$R$24,[1]对照表!$T$3:$T$24),LOOKUP(L43,[1]对照表!$R$27:$R$48,[1]对照表!$T$27:$T$48)),IF(B43="高一",IF($E43="男",LOOKUP(L43,[1]对照表!$Q$3:$Q$24,[1]对照表!$T$3:$T$24),LOOKUP(L43,[1]对照表!$Q$27:$Q$48,[1]对照表!$T$27:$T$48)))))</f>
        <v>85</v>
      </c>
      <c r="N43" s="33">
        <f>IF(B43="高三",MAX(IF(E43="男",L43-18,L43-55),0),IF(B43="高二",MAX(IF(E43="男",L43-17,L43-54),0),IF(B43="高一",MAX(IF(E43="男",L43-16,L43-53),0))))</f>
        <v>0</v>
      </c>
      <c r="O43" s="23">
        <f>IF(E43="男",LOOKUP($N43,[1]对照表!$Z$3:$Z$13,[1]对照表!$AA$3:$AA$13),LOOKUP($N43,[1]对照表!$Z$15:$Z$25,[1]对照表!$AA$15:$AA$25))</f>
        <v>0</v>
      </c>
      <c r="P43" s="25">
        <f>M43+O43</f>
        <v>85</v>
      </c>
      <c r="Q43" s="50">
        <v>3.5</v>
      </c>
      <c r="R43" s="32">
        <f>IF(B43="高三",IF($E43="男",LOOKUP(Q43,[1]对照表!$W$3:$W$24,[1]对照表!$X$3:$X$24),LOOKUP(Q43,[1]对照表!$W$27:$W$48,[1]对照表!$X$27:$X$48)),IF(B43="高二",IF($E43="男",LOOKUP(Q43,[1]对照表!$V$3:$V$24,[1]对照表!$X$3:$X$24),LOOKUP(Q43,[1]对照表!$V$27:$V$48,[1]对照表!$X$27:$X$48)),IF(B43="高一",IF($E43="男",LOOKUP(Q43,[1]对照表!$U$3:$U$24,[1]对照表!$X$3:$X$24),LOOKUP(Q43,[1]对照表!$U$27:$U$48,[1]对照表!$X$27:$X$48)))))</f>
        <v>78</v>
      </c>
      <c r="S43" s="33">
        <f>ROUND(IF(IF($B43="高三",MIN(IF($E43="男",$Q43-3.2,$Q43-3.2),0),IF($B43="高二",MIN(IF($E43="男",$Q43-3.25,$Q43-3.22),0),IF($B43="高一",MIN(IF($E43="男",$Q43-3.3,$Q43-3.24),0))))&lt;-0.6,IF($B43="高三",MIN(IF($E43="男",$Q43-3.2,$Q43-3.2),0),IF($B43="高二",MIN(IF($E43="男",$Q43-3.25,$Q43-3.22),0),IF($B43="高一",MIN(IF($E43="男",$Q43-3.3,$Q43-3.24),0))))+0.4,IF($B43="高三",MIN(IF($E43="男",$Q43-3.2,$Q43-3.2),0),IF($B43="高二",MIN(IF($E43="男",$Q43-3.25,$Q43-3.22),0),IF($B43="高一",MIN(IF($E43="男",$Q43-3.3,$Q43-3.24),0))))),2)</f>
        <v>0</v>
      </c>
      <c r="T43" s="23">
        <f>IF(E43="男",LOOKUP($S43,[1]对照表!$AB$3:$AB$13,[1]对照表!$AC$3:$AC$13),LOOKUP($S43,[1]对照表!$AB$15:$AB$25,[1]对照表!$AC$15:$AC$25))</f>
        <v>0</v>
      </c>
      <c r="U43" s="26">
        <f>R43+T43</f>
        <v>78</v>
      </c>
      <c r="V43" s="26">
        <f>SUM(I43,K43,M43)/3*0.3+SUM(G43,R43)/2*0.4</f>
        <v>50.900000000000006</v>
      </c>
      <c r="W43" s="27">
        <f>O43+T43</f>
        <v>0</v>
      </c>
      <c r="X43" s="28">
        <f>V43/0.7+W43</f>
        <v>72.714285714285722</v>
      </c>
      <c r="Y43" s="28">
        <f>X43</f>
        <v>72.714285714285722</v>
      </c>
      <c r="Z43" s="38"/>
    </row>
    <row r="44" spans="1:26" ht="15.6" x14ac:dyDescent="0.25">
      <c r="A44" s="48">
        <v>15</v>
      </c>
      <c r="B44" s="17" t="s">
        <v>767</v>
      </c>
      <c r="C44" s="48">
        <v>201</v>
      </c>
      <c r="D44" s="49" t="s">
        <v>1244</v>
      </c>
      <c r="E44" s="49" t="s">
        <v>65</v>
      </c>
      <c r="F44" s="50">
        <v>9.81</v>
      </c>
      <c r="G44" s="32">
        <f>IF(B44="高三",IF($E44="男",LOOKUP(F44,[1]对照表!$G$3:$G$24,[1]对照表!$H$3:$H$24),LOOKUP(F44,[1]对照表!$G$27:$G$48,[1]对照表!$H$27:$H$48)),IF(B44="高二",IF($E44="男",LOOKUP(F44,[1]对照表!$F$3:$F$24,[1]对照表!$H$3:$H$24),LOOKUP(F44,[1]对照表!$F$27:$F$48,[1]对照表!$H$27:$H$48)),IF(B44="高一",IF($E44="男",LOOKUP(F44,[1]对照表!$E$3:$E$24,[1]对照表!$H$3:$H$24),LOOKUP(F44,[1]对照表!$E$27:$E$48,[1]对照表!$H$27:$H$48)))))</f>
        <v>66</v>
      </c>
      <c r="H44" s="38">
        <v>19.5</v>
      </c>
      <c r="I44" s="32">
        <f>IF(B44="高三",IF($E44="男",LOOKUP(H44,[1]对照表!$K$3:$K$24,[1]对照表!$L$3:$L$24),LOOKUP(H44,[1]对照表!$K$27:$K$48,[1]对照表!$L$27:$L$48)),IF(B44="高二",IF($E44="男",LOOKUP(H44,[1]对照表!$J$3:$J$24,[1]对照表!$L$3:$L$24),LOOKUP(H44,[1]对照表!$J$27:$J$48,[1]对照表!$L$27:$L$48)),IF(B44="高一",IF($E44="男",LOOKUP(H44,[1]对照表!$I$3:$I$24,[1]对照表!$L$3:$L$24),LOOKUP(H44,[1]对照表!$I$27:$I$48,[1]对照表!$L$27:$L$48)))))</f>
        <v>80</v>
      </c>
      <c r="J44" s="38">
        <v>169</v>
      </c>
      <c r="K44" s="32">
        <f>IF(B44="高三",IF($E44="男",LOOKUP(J44,[1]对照表!$O$3:$O$24,[1]对照表!$P$3:$P$24),LOOKUP(J44,[1]对照表!$O$27:$O$48,[1]对照表!$P$27:$P$48)),IF(B44="高二",IF($E44="男",LOOKUP(J44,[1]对照表!$N$3:$N$24,[1]对照表!$P$3:$P$24),LOOKUP(J44,[1]对照表!$N$27:$N$48,[1]对照表!$P$27:$P$48)),IF(B44="高一",IF($E44="男",LOOKUP(J44,[1]对照表!$M$3:$M$24,[1]对照表!$P$3:$P$24),LOOKUP(J44,[1]对照表!$M$27:$M$48,[1]对照表!$P$27:$P$48)))))</f>
        <v>72</v>
      </c>
      <c r="L44" s="38">
        <v>48</v>
      </c>
      <c r="M44" s="32">
        <f>IF(B44="高三",IF($E44="男",LOOKUP(L44,[1]对照表!$S$3:$S$24,[1]对照表!$T$3:$T$24),LOOKUP(L44,[1]对照表!$S$27:$S$48,[1]对照表!$T$27:$T$48)),IF(B44="高二",IF($E44="男",LOOKUP(L44,[1]对照表!$R$3:$R$24,[1]对照表!$T$3:$T$24),LOOKUP(L44,[1]对照表!$R$27:$R$48,[1]对照表!$T$27:$T$48)),IF(B44="高一",IF($E44="男",LOOKUP(L44,[1]对照表!$Q$3:$Q$24,[1]对照表!$T$3:$T$24),LOOKUP(L44,[1]对照表!$Q$27:$Q$48,[1]对照表!$T$27:$T$48)))))</f>
        <v>85</v>
      </c>
      <c r="N44" s="33">
        <f>IF(B44="高三",MAX(IF(E44="男",L44-18,L44-55),0),IF(B44="高二",MAX(IF(E44="男",L44-17,L44-54),0),IF(B44="高一",MAX(IF(E44="男",L44-16,L44-53),0))))</f>
        <v>0</v>
      </c>
      <c r="O44" s="23">
        <f>IF(E44="男",LOOKUP($N44,[1]对照表!$Z$3:$Z$13,[1]对照表!$AA$3:$AA$13),LOOKUP($N44,[1]对照表!$Z$15:$Z$25,[1]对照表!$AA$15:$AA$25))</f>
        <v>0</v>
      </c>
      <c r="P44" s="25">
        <f>M44+O44</f>
        <v>85</v>
      </c>
      <c r="Q44" s="50">
        <v>4.21</v>
      </c>
      <c r="R44" s="32">
        <f>IF(B44="高三",IF($E44="男",LOOKUP(Q44,[1]对照表!$W$3:$W$24,[1]对照表!$X$3:$X$24),LOOKUP(Q44,[1]对照表!$W$27:$W$48,[1]对照表!$X$27:$X$48)),IF(B44="高二",IF($E44="男",LOOKUP(Q44,[1]对照表!$V$3:$V$24,[1]对照表!$X$3:$X$24),LOOKUP(Q44,[1]对照表!$V$27:$V$48,[1]对照表!$X$27:$X$48)),IF(B44="高一",IF($E44="男",LOOKUP(Q44,[1]对照表!$U$3:$U$24,[1]对照表!$X$3:$X$24),LOOKUP(Q44,[1]对照表!$U$27:$U$48,[1]对照表!$X$27:$X$48)))))</f>
        <v>66</v>
      </c>
      <c r="S44" s="33">
        <f>ROUND(IF(IF($B44="高三",MIN(IF($E44="男",$Q44-3.2,$Q44-3.2),0),IF($B44="高二",MIN(IF($E44="男",$Q44-3.25,$Q44-3.22),0),IF($B44="高一",MIN(IF($E44="男",$Q44-3.3,$Q44-3.24),0))))&lt;-0.6,IF($B44="高三",MIN(IF($E44="男",$Q44-3.2,$Q44-3.2),0),IF($B44="高二",MIN(IF($E44="男",$Q44-3.25,$Q44-3.22),0),IF($B44="高一",MIN(IF($E44="男",$Q44-3.3,$Q44-3.24),0))))+0.4,IF($B44="高三",MIN(IF($E44="男",$Q44-3.2,$Q44-3.2),0),IF($B44="高二",MIN(IF($E44="男",$Q44-3.25,$Q44-3.22),0),IF($B44="高一",MIN(IF($E44="男",$Q44-3.3,$Q44-3.24),0))))),2)</f>
        <v>0</v>
      </c>
      <c r="T44" s="23">
        <f>IF(E44="男",LOOKUP($S44,[1]对照表!$AB$3:$AB$13,[1]对照表!$AC$3:$AC$13),LOOKUP($S44,[1]对照表!$AB$15:$AB$25,[1]对照表!$AC$15:$AC$25))</f>
        <v>0</v>
      </c>
      <c r="U44" s="26">
        <f>R44+T44</f>
        <v>66</v>
      </c>
      <c r="V44" s="26">
        <f>SUM(I44,K44,M44)/3*0.3+SUM(G44,R44)/2*0.4</f>
        <v>50.1</v>
      </c>
      <c r="W44" s="27">
        <f>O44+T44</f>
        <v>0</v>
      </c>
      <c r="X44" s="28">
        <f>V44/0.7+W44</f>
        <v>71.571428571428584</v>
      </c>
      <c r="Y44" s="28">
        <f>X44</f>
        <v>71.571428571428584</v>
      </c>
      <c r="Z44" s="38"/>
    </row>
    <row r="45" spans="1:26" ht="15.6" x14ac:dyDescent="0.25">
      <c r="A45" s="38">
        <v>27</v>
      </c>
      <c r="B45" s="17" t="s">
        <v>767</v>
      </c>
      <c r="C45" s="48">
        <v>201</v>
      </c>
      <c r="D45" s="49" t="s">
        <v>1248</v>
      </c>
      <c r="E45" s="48" t="s">
        <v>65</v>
      </c>
      <c r="F45" s="50">
        <v>9.9499999999999993</v>
      </c>
      <c r="G45" s="32">
        <f>IF(B45="高三",IF($E45="男",LOOKUP(F45,[1]对照表!$G$3:$G$24,[1]对照表!$H$3:$H$24),LOOKUP(F45,[1]对照表!$G$27:$G$48,[1]对照表!$H$27:$H$48)),IF(B45="高二",IF($E45="男",LOOKUP(F45,[1]对照表!$F$3:$F$24,[1]对照表!$H$3:$H$24),LOOKUP(F45,[1]对照表!$F$27:$F$48,[1]对照表!$H$27:$H$48)),IF(B45="高一",IF($E45="男",LOOKUP(F45,[1]对照表!$E$3:$E$24,[1]对照表!$H$3:$H$24),LOOKUP(F45,[1]对照表!$E$27:$E$48,[1]对照表!$H$27:$H$48)))))</f>
        <v>64</v>
      </c>
      <c r="H45" s="38">
        <v>14</v>
      </c>
      <c r="I45" s="32">
        <f>IF(B45="高三",IF($E45="男",LOOKUP(H45,[1]对照表!$K$3:$K$24,[1]对照表!$L$3:$L$24),LOOKUP(H45,[1]对照表!$K$27:$K$48,[1]对照表!$L$27:$L$48)),IF(B45="高二",IF($E45="男",LOOKUP(H45,[1]对照表!$J$3:$J$24,[1]对照表!$L$3:$L$24),LOOKUP(H45,[1]对照表!$J$27:$J$48,[1]对照表!$L$27:$L$48)),IF(B45="高一",IF($E45="男",LOOKUP(H45,[1]对照表!$I$3:$I$24,[1]对照表!$L$3:$L$24),LOOKUP(H45,[1]对照表!$I$27:$I$48,[1]对照表!$L$27:$L$48)))))</f>
        <v>72</v>
      </c>
      <c r="J45" s="38">
        <v>175</v>
      </c>
      <c r="K45" s="32">
        <f>IF(B45="高三",IF($E45="男",LOOKUP(J45,[1]对照表!$O$3:$O$24,[1]对照表!$P$3:$P$24),LOOKUP(J45,[1]对照表!$O$27:$O$48,[1]对照表!$P$27:$P$48)),IF(B45="高二",IF($E45="男",LOOKUP(J45,[1]对照表!$N$3:$N$24,[1]对照表!$P$3:$P$24),LOOKUP(J45,[1]对照表!$N$27:$N$48,[1]对照表!$P$27:$P$48)),IF(B45="高一",IF($E45="男",LOOKUP(J45,[1]对照表!$M$3:$M$24,[1]对照表!$P$3:$P$24),LOOKUP(J45,[1]对照表!$M$27:$M$48,[1]对照表!$P$27:$P$48)))))</f>
        <v>76</v>
      </c>
      <c r="L45" s="38">
        <v>45</v>
      </c>
      <c r="M45" s="32">
        <f>IF(B45="高三",IF($E45="男",LOOKUP(L45,[1]对照表!$S$3:$S$24,[1]对照表!$T$3:$T$24),LOOKUP(L45,[1]对照表!$S$27:$S$48,[1]对照表!$T$27:$T$48)),IF(B45="高二",IF($E45="男",LOOKUP(L45,[1]对照表!$R$3:$R$24,[1]对照表!$T$3:$T$24),LOOKUP(L45,[1]对照表!$R$27:$R$48,[1]对照表!$T$27:$T$48)),IF(B45="高一",IF($E45="男",LOOKUP(L45,[1]对照表!$Q$3:$Q$24,[1]对照表!$T$3:$T$24),LOOKUP(L45,[1]对照表!$Q$27:$Q$48,[1]对照表!$T$27:$T$48)))))</f>
        <v>80</v>
      </c>
      <c r="N45" s="33">
        <f>IF(B45="高三",MAX(IF(E45="男",L45-18,L45-55),0),IF(B45="高二",MAX(IF(E45="男",L45-17,L45-54),0),IF(B45="高一",MAX(IF(E45="男",L45-16,L45-53),0))))</f>
        <v>0</v>
      </c>
      <c r="O45" s="23">
        <f>IF(E45="男",LOOKUP($N45,[1]对照表!$Z$3:$Z$13,[1]对照表!$AA$3:$AA$13),LOOKUP($N45,[1]对照表!$Z$15:$Z$25,[1]对照表!$AA$15:$AA$25))</f>
        <v>0</v>
      </c>
      <c r="P45" s="25">
        <f>M45+O45</f>
        <v>80</v>
      </c>
      <c r="Q45" s="50">
        <v>4.05</v>
      </c>
      <c r="R45" s="32">
        <f>IF(B45="高三",IF($E45="男",LOOKUP(Q45,[1]对照表!$W$3:$W$24,[1]对照表!$X$3:$X$24),LOOKUP(Q45,[1]对照表!$W$27:$W$48,[1]对照表!$X$27:$X$48)),IF(B45="高二",IF($E45="男",LOOKUP(Q45,[1]对照表!$V$3:$V$24,[1]对照表!$X$3:$X$24),LOOKUP(Q45,[1]对照表!$V$27:$V$48,[1]对照表!$X$27:$X$48)),IF(B45="高一",IF($E45="男",LOOKUP(Q45,[1]对照表!$U$3:$U$24,[1]对照表!$X$3:$X$24),LOOKUP(Q45,[1]对照表!$U$27:$U$48,[1]对照表!$X$27:$X$48)))))</f>
        <v>72</v>
      </c>
      <c r="S45" s="33">
        <f>ROUND(IF(IF($B45="高三",MIN(IF($E45="男",$Q45-3.2,$Q45-3.2),0),IF($B45="高二",MIN(IF($E45="男",$Q45-3.25,$Q45-3.22),0),IF($B45="高一",MIN(IF($E45="男",$Q45-3.3,$Q45-3.24),0))))&lt;-0.6,IF($B45="高三",MIN(IF($E45="男",$Q45-3.2,$Q45-3.2),0),IF($B45="高二",MIN(IF($E45="男",$Q45-3.25,$Q45-3.22),0),IF($B45="高一",MIN(IF($E45="男",$Q45-3.3,$Q45-3.24),0))))+0.4,IF($B45="高三",MIN(IF($E45="男",$Q45-3.2,$Q45-3.2),0),IF($B45="高二",MIN(IF($E45="男",$Q45-3.25,$Q45-3.22),0),IF($B45="高一",MIN(IF($E45="男",$Q45-3.3,$Q45-3.24),0))))),2)</f>
        <v>0</v>
      </c>
      <c r="T45" s="23">
        <f>IF(E45="男",LOOKUP($S45,[1]对照表!$AB$3:$AB$13,[1]对照表!$AC$3:$AC$13),LOOKUP($S45,[1]对照表!$AB$15:$AB$25,[1]对照表!$AC$15:$AC$25))</f>
        <v>0</v>
      </c>
      <c r="U45" s="26">
        <f>R45+T45</f>
        <v>72</v>
      </c>
      <c r="V45" s="26">
        <f>SUM(I45,K45,M45)/3*0.3+SUM(G45,R45)/2*0.4</f>
        <v>50</v>
      </c>
      <c r="W45" s="27">
        <f>O45+T45</f>
        <v>0</v>
      </c>
      <c r="X45" s="28">
        <f>V45/0.7+W45</f>
        <v>71.428571428571431</v>
      </c>
      <c r="Y45" s="28">
        <f>X45</f>
        <v>71.428571428571431</v>
      </c>
      <c r="Z45" s="38"/>
    </row>
    <row r="46" spans="1:26" ht="15.6" x14ac:dyDescent="0.25">
      <c r="A46" s="38">
        <v>37</v>
      </c>
      <c r="B46" s="17" t="s">
        <v>767</v>
      </c>
      <c r="C46" s="48">
        <v>201</v>
      </c>
      <c r="D46" s="49" t="s">
        <v>1257</v>
      </c>
      <c r="E46" s="48" t="s">
        <v>65</v>
      </c>
      <c r="F46" s="50">
        <v>9.7100000000000009</v>
      </c>
      <c r="G46" s="32">
        <f>IF(B46="高三",IF($E46="男",LOOKUP(F46,[1]对照表!$G$3:$G$24,[1]对照表!$H$3:$H$24),LOOKUP(F46,[1]对照表!$G$27:$G$48,[1]对照表!$H$27:$H$48)),IF(B46="高二",IF($E46="男",LOOKUP(F46,[1]对照表!$F$3:$F$24,[1]对照表!$H$3:$H$24),LOOKUP(F46,[1]对照表!$F$27:$F$48,[1]对照表!$H$27:$H$48)),IF(B46="高一",IF($E46="男",LOOKUP(F46,[1]对照表!$E$3:$E$24,[1]对照表!$H$3:$H$24),LOOKUP(F46,[1]对照表!$E$27:$E$48,[1]对照表!$H$27:$H$48)))))</f>
        <v>66</v>
      </c>
      <c r="H46" s="38">
        <v>24.5</v>
      </c>
      <c r="I46" s="32">
        <f>IF(B46="高三",IF($E46="男",LOOKUP(H46,[1]对照表!$K$3:$K$24,[1]对照表!$L$3:$L$24),LOOKUP(H46,[1]对照表!$K$27:$K$48,[1]对照表!$L$27:$L$48)),IF(B46="高二",IF($E46="男",LOOKUP(H46,[1]对照表!$J$3:$J$24,[1]对照表!$L$3:$L$24),LOOKUP(H46,[1]对照表!$J$27:$J$48,[1]对照表!$L$27:$L$48)),IF(B46="高一",IF($E46="男",LOOKUP(H46,[1]对照表!$I$3:$I$24,[1]对照表!$L$3:$L$24),LOOKUP(H46,[1]对照表!$I$27:$I$48,[1]对照表!$L$27:$L$48)))))</f>
        <v>95</v>
      </c>
      <c r="J46" s="38">
        <v>168</v>
      </c>
      <c r="K46" s="32">
        <f>IF(B46="高三",IF($E46="男",LOOKUP(J46,[1]对照表!$O$3:$O$24,[1]对照表!$P$3:$P$24),LOOKUP(J46,[1]对照表!$O$27:$O$48,[1]对照表!$P$27:$P$48)),IF(B46="高二",IF($E46="男",LOOKUP(J46,[1]对照表!$N$3:$N$24,[1]对照表!$P$3:$P$24),LOOKUP(J46,[1]对照表!$N$27:$N$48,[1]对照表!$P$27:$P$48)),IF(B46="高一",IF($E46="男",LOOKUP(J46,[1]对照表!$M$3:$M$24,[1]对照表!$P$3:$P$24),LOOKUP(J46,[1]对照表!$M$27:$M$48,[1]对照表!$P$27:$P$48)))))</f>
        <v>72</v>
      </c>
      <c r="L46" s="38">
        <v>53</v>
      </c>
      <c r="M46" s="32">
        <f>IF(B46="高三",IF($E46="男",LOOKUP(L46,[1]对照表!$S$3:$S$24,[1]对照表!$T$3:$T$24),LOOKUP(L46,[1]对照表!$S$27:$S$48,[1]对照表!$T$27:$T$48)),IF(B46="高二",IF($E46="男",LOOKUP(L46,[1]对照表!$R$3:$R$24,[1]对照表!$T$3:$T$24),LOOKUP(L46,[1]对照表!$R$27:$R$48,[1]对照表!$T$27:$T$48)),IF(B46="高一",IF($E46="男",LOOKUP(L46,[1]对照表!$Q$3:$Q$24,[1]对照表!$T$3:$T$24),LOOKUP(L46,[1]对照表!$Q$27:$Q$48,[1]对照表!$T$27:$T$48)))))</f>
        <v>95</v>
      </c>
      <c r="N46" s="33">
        <f>IF(B46="高三",MAX(IF(E46="男",L46-18,L46-55),0),IF(B46="高二",MAX(IF(E46="男",L46-17,L46-54),0),IF(B46="高一",MAX(IF(E46="男",L46-16,L46-53),0))))</f>
        <v>0</v>
      </c>
      <c r="O46" s="23">
        <f>IF(E46="男",LOOKUP($N46,[1]对照表!$Z$3:$Z$13,[1]对照表!$AA$3:$AA$13),LOOKUP($N46,[1]对照表!$Z$15:$Z$25,[1]对照表!$AA$15:$AA$25))</f>
        <v>0</v>
      </c>
      <c r="P46" s="25">
        <f>M46+O46</f>
        <v>95</v>
      </c>
      <c r="Q46" s="50">
        <v>4.4000000000000004</v>
      </c>
      <c r="R46" s="32">
        <f>IF(B46="高三",IF($E46="男",LOOKUP(Q46,[1]对照表!$W$3:$W$24,[1]对照表!$X$3:$X$24),LOOKUP(Q46,[1]对照表!$W$27:$W$48,[1]对照表!$X$27:$X$48)),IF(B46="高二",IF($E46="男",LOOKUP(Q46,[1]对照表!$V$3:$V$24,[1]对照表!$X$3:$X$24),LOOKUP(Q46,[1]对照表!$V$27:$V$48,[1]对照表!$X$27:$X$48)),IF(B46="高一",IF($E46="男",LOOKUP(Q46,[1]对照表!$U$3:$U$24,[1]对照表!$X$3:$X$24),LOOKUP(Q46,[1]对照表!$U$27:$U$48,[1]对照表!$X$27:$X$48)))))</f>
        <v>50</v>
      </c>
      <c r="S46" s="33">
        <f>ROUND(IF(IF($B46="高三",MIN(IF($E46="男",$Q46-3.2,$Q46-3.2),0),IF($B46="高二",MIN(IF($E46="男",$Q46-3.25,$Q46-3.22),0),IF($B46="高一",MIN(IF($E46="男",$Q46-3.3,$Q46-3.24),0))))&lt;-0.6,IF($B46="高三",MIN(IF($E46="男",$Q46-3.2,$Q46-3.2),0),IF($B46="高二",MIN(IF($E46="男",$Q46-3.25,$Q46-3.22),0),IF($B46="高一",MIN(IF($E46="男",$Q46-3.3,$Q46-3.24),0))))+0.4,IF($B46="高三",MIN(IF($E46="男",$Q46-3.2,$Q46-3.2),0),IF($B46="高二",MIN(IF($E46="男",$Q46-3.25,$Q46-3.22),0),IF($B46="高一",MIN(IF($E46="男",$Q46-3.3,$Q46-3.24),0))))),2)</f>
        <v>0</v>
      </c>
      <c r="T46" s="23">
        <f>IF(E46="男",LOOKUP($S46,[1]对照表!$AB$3:$AB$13,[1]对照表!$AC$3:$AC$13),LOOKUP($S46,[1]对照表!$AB$15:$AB$25,[1]对照表!$AC$15:$AC$25))</f>
        <v>0</v>
      </c>
      <c r="U46" s="26">
        <f>R46+T46</f>
        <v>50</v>
      </c>
      <c r="V46" s="26">
        <f>SUM(I46,K46,M46)/3*0.3+SUM(G46,R46)/2*0.4</f>
        <v>49.400000000000006</v>
      </c>
      <c r="W46" s="27">
        <f>O46+T46</f>
        <v>0</v>
      </c>
      <c r="X46" s="28">
        <f>V46/0.7+W46</f>
        <v>70.571428571428584</v>
      </c>
      <c r="Y46" s="28">
        <f>X46</f>
        <v>70.571428571428584</v>
      </c>
      <c r="Z46" s="38"/>
    </row>
    <row r="47" spans="1:26" ht="15.6" x14ac:dyDescent="0.25">
      <c r="A47" s="48">
        <v>34</v>
      </c>
      <c r="B47" s="17" t="s">
        <v>767</v>
      </c>
      <c r="C47" s="48">
        <v>201</v>
      </c>
      <c r="D47" s="49" t="s">
        <v>1315</v>
      </c>
      <c r="E47" s="48" t="s">
        <v>65</v>
      </c>
      <c r="F47" s="50">
        <v>8.8699999999999992</v>
      </c>
      <c r="G47" s="32">
        <f>IF(B47="高三",IF($E47="男",LOOKUP(F47,[1]对照表!$G$3:$G$24,[1]对照表!$H$3:$H$24),LOOKUP(F47,[1]对照表!$G$27:$G$48,[1]对照表!$H$27:$H$48)),IF(B47="高二",IF($E47="男",LOOKUP(F47,[1]对照表!$F$3:$F$24,[1]对照表!$H$3:$H$24),LOOKUP(F47,[1]对照表!$F$27:$F$48,[1]对照表!$H$27:$H$48)),IF(B47="高一",IF($E47="男",LOOKUP(F47,[1]对照表!$E$3:$E$24,[1]对照表!$H$3:$H$24),LOOKUP(F47,[1]对照表!$E$27:$E$48,[1]对照表!$H$27:$H$48)))))</f>
        <v>76</v>
      </c>
      <c r="H47" s="38">
        <v>21</v>
      </c>
      <c r="I47" s="32">
        <f>IF(B47="高三",IF($E47="男",LOOKUP(H47,[1]对照表!$K$3:$K$24,[1]对照表!$L$3:$L$24),LOOKUP(H47,[1]对照表!$K$27:$K$48,[1]对照表!$L$27:$L$48)),IF(B47="高二",IF($E47="男",LOOKUP(H47,[1]对照表!$J$3:$J$24,[1]对照表!$L$3:$L$24),LOOKUP(H47,[1]对照表!$J$27:$J$48,[1]对照表!$L$27:$L$48)),IF(B47="高一",IF($E47="男",LOOKUP(H47,[1]对照表!$I$3:$I$24,[1]对照表!$L$3:$L$24),LOOKUP(H47,[1]对照表!$I$27:$I$48,[1]对照表!$L$27:$L$48)))))</f>
        <v>85</v>
      </c>
      <c r="J47" s="38">
        <v>194</v>
      </c>
      <c r="K47" s="32">
        <f>IF(B47="高三",IF($E47="男",LOOKUP(J47,[1]对照表!$O$3:$O$24,[1]对照表!$P$3:$P$24),LOOKUP(J47,[1]对照表!$O$27:$O$48,[1]对照表!$P$27:$P$48)),IF(B47="高二",IF($E47="男",LOOKUP(J47,[1]对照表!$N$3:$N$24,[1]对照表!$P$3:$P$24),LOOKUP(J47,[1]对照表!$N$27:$N$48,[1]对照表!$P$27:$P$48)),IF(B47="高一",IF($E47="男",LOOKUP(J47,[1]对照表!$M$3:$M$24,[1]对照表!$P$3:$P$24),LOOKUP(J47,[1]对照表!$M$27:$M$48,[1]对照表!$P$27:$P$48)))))</f>
        <v>90</v>
      </c>
      <c r="L47" s="38">
        <v>53</v>
      </c>
      <c r="M47" s="32">
        <f>IF(B47="高三",IF($E47="男",LOOKUP(L47,[1]对照表!$S$3:$S$24,[1]对照表!$T$3:$T$24),LOOKUP(L47,[1]对照表!$S$27:$S$48,[1]对照表!$T$27:$T$48)),IF(B47="高二",IF($E47="男",LOOKUP(L47,[1]对照表!$R$3:$R$24,[1]对照表!$T$3:$T$24),LOOKUP(L47,[1]对照表!$R$27:$R$48,[1]对照表!$T$27:$T$48)),IF(B47="高一",IF($E47="男",LOOKUP(L47,[1]对照表!$Q$3:$Q$24,[1]对照表!$T$3:$T$24),LOOKUP(L47,[1]对照表!$Q$27:$Q$48,[1]对照表!$T$27:$T$48)))))</f>
        <v>95</v>
      </c>
      <c r="N47" s="33">
        <f>IF(B47="高三",MAX(IF(E47="男",L47-18,L47-55),0),IF(B47="高二",MAX(IF(E47="男",L47-17,L47-54),0),IF(B47="高一",MAX(IF(E47="男",L47-16,L47-53),0))))</f>
        <v>0</v>
      </c>
      <c r="O47" s="23">
        <f>IF(E47="男",LOOKUP($N47,[1]对照表!$Z$3:$Z$13,[1]对照表!$AA$3:$AA$13),LOOKUP($N47,[1]对照表!$Z$15:$Z$25,[1]对照表!$AA$15:$AA$25))</f>
        <v>0</v>
      </c>
      <c r="P47" s="25">
        <f>M47+O47</f>
        <v>95</v>
      </c>
      <c r="Q47" s="50" t="s">
        <v>578</v>
      </c>
      <c r="R47" s="32" t="str">
        <f>IF(B47="高三",IF($E47="男",LOOKUP(Q47,[1]对照表!$W$3:$W$24,[1]对照表!$X$3:$X$24),LOOKUP(Q47,[1]对照表!$W$27:$W$48,[1]对照表!$X$27:$X$48)),IF(B47="高二",IF($E47="男",LOOKUP(Q47,[1]对照表!$V$3:$V$24,[1]对照表!$X$3:$X$24),LOOKUP(Q47,[1]对照表!$V$27:$V$48,[1]对照表!$X$27:$X$48)),IF(B47="高一",IF($E47="男",LOOKUP(Q47,[1]对照表!$U$3:$U$24,[1]对照表!$X$3:$X$24),LOOKUP(Q47,[1]对照表!$U$27:$U$48,[1]对照表!$X$27:$X$48)))))</f>
        <v>/</v>
      </c>
      <c r="S47" s="33">
        <v>0</v>
      </c>
      <c r="T47" s="23">
        <f>IF(E47="男",LOOKUP($S47,[1]对照表!$AB$3:$AB$13,[1]对照表!$AC$3:$AC$13),LOOKUP($S47,[1]对照表!$AB$15:$AB$25,[1]对照表!$AC$15:$AC$25))</f>
        <v>0</v>
      </c>
      <c r="U47" s="26">
        <v>0</v>
      </c>
      <c r="V47" s="26">
        <f>SUM(I47,K47,M47)/3*0.3+SUM(G47,R47)/2*0.4</f>
        <v>42.2</v>
      </c>
      <c r="W47" s="27">
        <f>O47+T47</f>
        <v>0</v>
      </c>
      <c r="X47" s="28">
        <f>V47/0.7+W47</f>
        <v>60.285714285714292</v>
      </c>
      <c r="Y47" s="28">
        <f>X47</f>
        <v>60.285714285714292</v>
      </c>
      <c r="Z47" s="38"/>
    </row>
    <row r="48" spans="1:26" ht="15.6" x14ac:dyDescent="0.25">
      <c r="A48" s="48">
        <v>7</v>
      </c>
      <c r="B48" s="17" t="s">
        <v>767</v>
      </c>
      <c r="C48" s="48">
        <v>201</v>
      </c>
      <c r="D48" s="49" t="s">
        <v>1359</v>
      </c>
      <c r="E48" s="48" t="s">
        <v>23</v>
      </c>
      <c r="F48" s="50">
        <v>7.5</v>
      </c>
      <c r="G48" s="32">
        <f>IF(B48="高三",IF($E48="男",LOOKUP(F48,[1]对照表!$G$3:$G$24,[1]对照表!$H$3:$H$24),LOOKUP(F48,[1]对照表!$G$27:$G$48,[1]对照表!$H$27:$H$48)),IF(B48="高二",IF($E48="男",LOOKUP(F48,[1]对照表!$F$3:$F$24,[1]对照表!$H$3:$H$24),LOOKUP(F48,[1]对照表!$F$27:$F$48,[1]对照表!$H$27:$H$48)),IF(B48="高一",IF($E48="男",LOOKUP(F48,[1]对照表!$E$3:$E$24,[1]对照表!$H$3:$H$24),LOOKUP(F48,[1]对照表!$E$27:$E$48,[1]对照表!$H$27:$H$48)))))</f>
        <v>78</v>
      </c>
      <c r="H48" s="38">
        <v>9</v>
      </c>
      <c r="I48" s="32">
        <f>IF(B48="高三",IF($E48="男",LOOKUP(H48,[1]对照表!$K$3:$K$24,[1]对照表!$L$3:$L$24),LOOKUP(H48,[1]对照表!$K$27:$K$48,[1]对照表!$L$27:$L$48)),IF(B48="高二",IF($E48="男",LOOKUP(H48,[1]对照表!$J$3:$J$24,[1]对照表!$L$3:$L$24),LOOKUP(H48,[1]对照表!$J$27:$J$48,[1]对照表!$L$27:$L$48)),IF(B48="高一",IF($E48="男",LOOKUP(H48,[1]对照表!$I$3:$I$24,[1]对照表!$L$3:$L$24),LOOKUP(H48,[1]对照表!$I$27:$I$48,[1]对照表!$L$27:$L$48)))))</f>
        <v>68</v>
      </c>
      <c r="J48" s="38">
        <v>225</v>
      </c>
      <c r="K48" s="32">
        <f>IF(B48="高三",IF($E48="男",LOOKUP(J48,[1]对照表!$O$3:$O$24,[1]对照表!$P$3:$P$24),LOOKUP(J48,[1]对照表!$O$27:$O$48,[1]对照表!$P$27:$P$48)),IF(B48="高二",IF($E48="男",LOOKUP(J48,[1]对照表!$N$3:$N$24,[1]对照表!$P$3:$P$24),LOOKUP(J48,[1]对照表!$N$27:$N$48,[1]对照表!$P$27:$P$48)),IF(B48="高一",IF($E48="男",LOOKUP(J48,[1]对照表!$M$3:$M$24,[1]对照表!$P$3:$P$24),LOOKUP(J48,[1]对照表!$M$27:$M$48,[1]对照表!$P$27:$P$48)))))</f>
        <v>72</v>
      </c>
      <c r="L48" s="38">
        <v>3</v>
      </c>
      <c r="M48" s="32">
        <f>IF(B48="高三",IF($E48="男",LOOKUP(L48,[1]对照表!$S$3:$S$24,[1]对照表!$T$3:$T$24),LOOKUP(L48,[1]对照表!$S$27:$S$48,[1]对照表!$T$27:$T$48)),IF(B48="高二",IF($E48="男",LOOKUP(L48,[1]对照表!$R$3:$R$24,[1]对照表!$T$3:$T$24),LOOKUP(L48,[1]对照表!$R$27:$R$48,[1]对照表!$T$27:$T$48)),IF(B48="高一",IF($E48="男",LOOKUP(L48,[1]对照表!$Q$3:$Q$24,[1]对照表!$T$3:$T$24),LOOKUP(L48,[1]对照表!$Q$27:$Q$48,[1]对照表!$T$27:$T$48)))))</f>
        <v>10</v>
      </c>
      <c r="N48" s="33">
        <f>IF(B48="高三",MAX(IF(E48="男",L48-18,L48-55),0),IF(B48="高二",MAX(IF(E48="男",L48-17,L48-54),0),IF(B48="高一",MAX(IF(E48="男",L48-16,L48-53),0))))</f>
        <v>0</v>
      </c>
      <c r="O48" s="23">
        <f>IF(E48="男",LOOKUP($N48,[1]对照表!$Z$3:$Z$13,[1]对照表!$AA$3:$AA$13),LOOKUP($N48,[1]对照表!$Z$15:$Z$25,[1]对照表!$AA$15:$AA$25))</f>
        <v>0</v>
      </c>
      <c r="P48" s="25">
        <f>M48+O48</f>
        <v>10</v>
      </c>
      <c r="Q48" s="50">
        <v>3.3</v>
      </c>
      <c r="R48" s="32">
        <f>IF(B48="高三",IF($E48="男",LOOKUP(Q48,[1]对照表!$W$3:$W$24,[1]对照表!$X$3:$X$24),LOOKUP(Q48,[1]对照表!$W$27:$W$48,[1]对照表!$X$27:$X$48)),IF(B48="高二",IF($E48="男",LOOKUP(Q48,[1]对照表!$V$3:$V$24,[1]对照表!$X$3:$X$24),LOOKUP(Q48,[1]对照表!$V$27:$V$48,[1]对照表!$X$27:$X$48)),IF(B48="高一",IF($E48="男",LOOKUP(Q48,[1]对照表!$U$3:$U$24,[1]对照表!$X$3:$X$24),LOOKUP(Q48,[1]对照表!$U$27:$U$48,[1]对照表!$X$27:$X$48)))))</f>
        <v>95</v>
      </c>
      <c r="S48" s="33">
        <f>ROUND(IF(IF($B48="高三",MIN(IF($E48="男",$Q48-3.2,$Q48-3.2),0),IF($B48="高二",MIN(IF($E48="男",$Q48-3.25,$Q48-3.22),0),IF($B48="高一",MIN(IF($E48="男",$Q48-3.3,$Q48-3.24),0))))&lt;-0.6,IF($B48="高三",MIN(IF($E48="男",$Q48-3.2,$Q48-3.2),0),IF($B48="高二",MIN(IF($E48="男",$Q48-3.25,$Q48-3.22),0),IF($B48="高一",MIN(IF($E48="男",$Q48-3.3,$Q48-3.24),0))))+0.4,IF($B48="高三",MIN(IF($E48="男",$Q48-3.2,$Q48-3.2),0),IF($B48="高二",MIN(IF($E48="男",$Q48-3.25,$Q48-3.22),0),IF($B48="高一",MIN(IF($E48="男",$Q48-3.3,$Q48-3.24),0))))),2)</f>
        <v>0</v>
      </c>
      <c r="T48" s="23">
        <f>IF(E48="男",LOOKUP($S48,[1]对照表!$AB$3:$AB$13,[1]对照表!$AC$3:$AC$13),LOOKUP($S48,[1]对照表!$AB$15:$AB$25,[1]对照表!$AC$15:$AC$25))</f>
        <v>0</v>
      </c>
      <c r="U48" s="26">
        <f>R48+T48</f>
        <v>95</v>
      </c>
      <c r="V48" s="26">
        <f>SUM(I48,K48,M48)/3*0.3+SUM(G48,R48)/2*0.4</f>
        <v>49.6</v>
      </c>
      <c r="W48" s="27">
        <f>O48+T48</f>
        <v>0</v>
      </c>
      <c r="X48" s="28">
        <f>V48/0.7+W48</f>
        <v>70.857142857142861</v>
      </c>
      <c r="Y48" s="28">
        <f>X48</f>
        <v>70.857142857142861</v>
      </c>
      <c r="Z48" s="38"/>
    </row>
    <row r="49" spans="1:26" ht="15.6" x14ac:dyDescent="0.25">
      <c r="A49" s="48">
        <v>23</v>
      </c>
      <c r="B49" s="17" t="s">
        <v>767</v>
      </c>
      <c r="C49" s="48">
        <v>201</v>
      </c>
      <c r="D49" s="49" t="s">
        <v>1401</v>
      </c>
      <c r="E49" s="48" t="s">
        <v>65</v>
      </c>
      <c r="F49" s="50"/>
      <c r="G49" s="20">
        <v>0</v>
      </c>
      <c r="H49" s="38">
        <v>14.7</v>
      </c>
      <c r="I49" s="32">
        <f>IF(B49="高三",IF($E49="男",LOOKUP(H49,[1]对照表!$K$3:$K$24,[1]对照表!$L$3:$L$24),LOOKUP(H49,[1]对照表!$K$27:$K$48,[1]对照表!$L$27:$L$48)),IF(B49="高二",IF($E49="男",LOOKUP(H49,[1]对照表!$J$3:$J$24,[1]对照表!$L$3:$L$24),LOOKUP(H49,[1]对照表!$J$27:$J$48,[1]对照表!$L$27:$L$48)),IF(B49="高一",IF($E49="男",LOOKUP(H49,[1]对照表!$I$3:$I$24,[1]对照表!$L$3:$L$24),LOOKUP(H49,[1]对照表!$I$27:$I$48,[1]对照表!$L$27:$L$48)))))</f>
        <v>74</v>
      </c>
      <c r="J49" s="38">
        <v>155</v>
      </c>
      <c r="K49" s="32">
        <f>IF(B49="高三",IF($E49="男",LOOKUP(J49,[1]对照表!$O$3:$O$24,[1]对照表!$P$3:$P$24),LOOKUP(J49,[1]对照表!$O$27:$O$48,[1]对照表!$P$27:$P$48)),IF(B49="高二",IF($E49="男",LOOKUP(J49,[1]对照表!$N$3:$N$24,[1]对照表!$P$3:$P$24),LOOKUP(J49,[1]对照表!$N$27:$N$48,[1]对照表!$P$27:$P$48)),IF(B49="高一",IF($E49="男",LOOKUP(J49,[1]对照表!$M$3:$M$24,[1]对照表!$P$3:$P$24),LOOKUP(J49,[1]对照表!$M$27:$M$48,[1]对照表!$P$27:$P$48)))))</f>
        <v>64</v>
      </c>
      <c r="L49" s="38">
        <v>47</v>
      </c>
      <c r="M49" s="32">
        <f>IF(B49="高三",IF($E49="男",LOOKUP(L49,[1]对照表!$S$3:$S$24,[1]对照表!$T$3:$T$24),LOOKUP(L49,[1]对照表!$S$27:$S$48,[1]对照表!$T$27:$T$48)),IF(B49="高二",IF($E49="男",LOOKUP(L49,[1]对照表!$R$3:$R$24,[1]对照表!$T$3:$T$24),LOOKUP(L49,[1]对照表!$R$27:$R$48,[1]对照表!$T$27:$T$48)),IF(B49="高一",IF($E49="男",LOOKUP(L49,[1]对照表!$Q$3:$Q$24,[1]对照表!$T$3:$T$24),LOOKUP(L49,[1]对照表!$Q$27:$Q$48,[1]对照表!$T$27:$T$48)))))</f>
        <v>85</v>
      </c>
      <c r="N49" s="33">
        <f>IF(B49="高三",MAX(IF(E49="男",L49-18,L49-55),0),IF(B49="高二",MAX(IF(E49="男",L49-17,L49-54),0),IF(B49="高一",MAX(IF(E49="男",L49-16,L49-53),0))))</f>
        <v>0</v>
      </c>
      <c r="O49" s="23">
        <f>IF(E49="男",LOOKUP($N49,[1]对照表!$Z$3:$Z$13,[1]对照表!$AA$3:$AA$13),LOOKUP($N49,[1]对照表!$Z$15:$Z$25,[1]对照表!$AA$15:$AA$25))</f>
        <v>0</v>
      </c>
      <c r="P49" s="25">
        <f>M49+O49</f>
        <v>85</v>
      </c>
      <c r="Q49" s="50"/>
      <c r="R49" s="20">
        <v>0</v>
      </c>
      <c r="S49" s="22">
        <v>0</v>
      </c>
      <c r="T49" s="23">
        <f>IF(E49="男",LOOKUP($S49,[1]对照表!$AB$3:$AB$13,[1]对照表!$AC$3:$AC$13),LOOKUP($S49,[1]对照表!$AB$15:$AB$25,[1]对照表!$AC$15:$AC$25))</f>
        <v>0</v>
      </c>
      <c r="U49" s="26">
        <f>R49+T49</f>
        <v>0</v>
      </c>
      <c r="V49" s="26">
        <f>SUM(I49,K49,M49)/3*0.3+SUM(G49,R49)/2*0.4</f>
        <v>22.299999999999997</v>
      </c>
      <c r="W49" s="27">
        <f>O49+T49</f>
        <v>0</v>
      </c>
      <c r="X49" s="28">
        <f>V49/0.7+W49</f>
        <v>31.857142857142854</v>
      </c>
      <c r="Y49" s="29">
        <v>50</v>
      </c>
      <c r="Z49" s="38"/>
    </row>
    <row r="50" spans="1:26" ht="15.6" customHeight="1" x14ac:dyDescent="0.25">
      <c r="A50" s="48">
        <v>4</v>
      </c>
      <c r="B50" s="17" t="s">
        <v>767</v>
      </c>
      <c r="C50" s="48">
        <v>201</v>
      </c>
      <c r="D50" s="49" t="s">
        <v>1430</v>
      </c>
      <c r="E50" s="48" t="s">
        <v>23</v>
      </c>
      <c r="F50" s="50">
        <v>8</v>
      </c>
      <c r="G50" s="32">
        <f>IF(B50="高三",IF($E50="男",LOOKUP(F50,[1]对照表!$G$3:$G$24,[1]对照表!$H$3:$H$24),LOOKUP(F50,[1]对照表!$G$27:$G$48,[1]对照表!$H$27:$H$48)),IF(B50="高二",IF($E50="男",LOOKUP(F50,[1]对照表!$F$3:$F$24,[1]对照表!$H$3:$H$24),LOOKUP(F50,[1]对照表!$F$27:$F$48,[1]对照表!$H$27:$H$48)),IF(B50="高一",IF($E50="男",LOOKUP(F50,[1]对照表!$E$3:$E$24,[1]对照表!$H$3:$H$24),LOOKUP(F50,[1]对照表!$E$27:$E$48,[1]对照表!$H$27:$H$48)))))</f>
        <v>74</v>
      </c>
      <c r="H50" s="38">
        <v>10</v>
      </c>
      <c r="I50" s="32">
        <f>IF(B50="高三",IF($E50="男",LOOKUP(H50,[1]对照表!$K$3:$K$24,[1]对照表!$L$3:$L$24),LOOKUP(H50,[1]对照表!$K$27:$K$48,[1]对照表!$L$27:$L$48)),IF(B50="高二",IF($E50="男",LOOKUP(H50,[1]对照表!$J$3:$J$24,[1]对照表!$L$3:$L$24),LOOKUP(H50,[1]对照表!$J$27:$J$48,[1]对照表!$L$27:$L$48)),IF(B50="高一",IF($E50="男",LOOKUP(H50,[1]对照表!$I$3:$I$24,[1]对照表!$L$3:$L$24),LOOKUP(H50,[1]对照表!$I$27:$I$48,[1]对照表!$L$27:$L$48)))))</f>
        <v>70</v>
      </c>
      <c r="J50" s="38">
        <v>192</v>
      </c>
      <c r="K50" s="32">
        <f>IF(B50="高三",IF($E50="男",LOOKUP(J50,[1]对照表!$O$3:$O$24,[1]对照表!$P$3:$P$24),LOOKUP(J50,[1]对照表!$O$27:$O$48,[1]对照表!$P$27:$P$48)),IF(B50="高二",IF($E50="男",LOOKUP(J50,[1]对照表!$N$3:$N$24,[1]对照表!$P$3:$P$24),LOOKUP(J50,[1]对照表!$N$27:$N$48,[1]对照表!$P$27:$P$48)),IF(B50="高一",IF($E50="男",LOOKUP(J50,[1]对照表!$M$3:$M$24,[1]对照表!$P$3:$P$24),LOOKUP(J50,[1]对照表!$M$27:$M$48,[1]对照表!$P$27:$P$48)))))</f>
        <v>40</v>
      </c>
      <c r="L50" s="38">
        <v>9</v>
      </c>
      <c r="M50" s="32">
        <f>IF(B50="高三",IF($E50="男",LOOKUP(L50,[1]对照表!$S$3:$S$24,[1]对照表!$T$3:$T$24),LOOKUP(L50,[1]对照表!$S$27:$S$48,[1]对照表!$T$27:$T$48)),IF(B50="高二",IF($E50="男",LOOKUP(L50,[1]对照表!$R$3:$R$24,[1]对照表!$T$3:$T$24),LOOKUP(L50,[1]对照表!$R$27:$R$48,[1]对照表!$T$27:$T$48)),IF(B50="高一",IF($E50="男",LOOKUP(L50,[1]对照表!$Q$3:$Q$24,[1]对照表!$T$3:$T$24),LOOKUP(L50,[1]对照表!$Q$27:$Q$48,[1]对照表!$T$27:$T$48)))))</f>
        <v>64</v>
      </c>
      <c r="N50" s="33">
        <f>IF(B50="高三",MAX(IF(E50="男",L50-18,L50-55),0),IF(B50="高二",MAX(IF(E50="男",L50-17,L50-54),0),IF(B50="高一",MAX(IF(E50="男",L50-16,L50-53),0))))</f>
        <v>0</v>
      </c>
      <c r="O50" s="23">
        <f>IF(E50="男",LOOKUP($N50,[1]对照表!$Z$3:$Z$13,[1]对照表!$AA$3:$AA$13),LOOKUP($N50,[1]对照表!$Z$15:$Z$25,[1]对照表!$AA$15:$AA$25))</f>
        <v>0</v>
      </c>
      <c r="P50" s="25">
        <f>M50+O50</f>
        <v>64</v>
      </c>
      <c r="Q50" s="50">
        <v>4.45</v>
      </c>
      <c r="R50" s="32">
        <f>IF(B50="高三",IF($E50="男",LOOKUP(Q50,[1]对照表!$W$3:$W$24,[1]对照表!$X$3:$X$24),LOOKUP(Q50,[1]对照表!$W$27:$W$48,[1]对照表!$X$27:$X$48)),IF(B50="高二",IF($E50="男",LOOKUP(Q50,[1]对照表!$V$3:$V$24,[1]对照表!$X$3:$X$24),LOOKUP(Q50,[1]对照表!$V$27:$V$48,[1]对照表!$X$27:$X$48)),IF(B50="高一",IF($E50="男",LOOKUP(Q50,[1]对照表!$U$3:$U$24,[1]对照表!$X$3:$X$24),LOOKUP(Q50,[1]对照表!$U$27:$U$48,[1]对照表!$X$27:$X$48)))))</f>
        <v>50</v>
      </c>
      <c r="S50" s="33">
        <f>ROUND(IF(IF($B50="高三",MIN(IF($E50="男",$Q50-3.2,$Q50-3.2),0),IF($B50="高二",MIN(IF($E50="男",$Q50-3.25,$Q50-3.22),0),IF($B50="高一",MIN(IF($E50="男",$Q50-3.3,$Q50-3.24),0))))&lt;-0.6,IF($B50="高三",MIN(IF($E50="男",$Q50-3.2,$Q50-3.2),0),IF($B50="高二",MIN(IF($E50="男",$Q50-3.25,$Q50-3.22),0),IF($B50="高一",MIN(IF($E50="男",$Q50-3.3,$Q50-3.24),0))))+0.4,IF($B50="高三",MIN(IF($E50="男",$Q50-3.2,$Q50-3.2),0),IF($B50="高二",MIN(IF($E50="男",$Q50-3.25,$Q50-3.22),0),IF($B50="高一",MIN(IF($E50="男",$Q50-3.3,$Q50-3.24),0))))),2)</f>
        <v>0</v>
      </c>
      <c r="T50" s="23">
        <f>IF(E50="男",LOOKUP($S50,[1]对照表!$AB$3:$AB$13,[1]对照表!$AC$3:$AC$13),LOOKUP($S50,[1]对照表!$AB$15:$AB$25,[1]对照表!$AC$15:$AC$25))</f>
        <v>0</v>
      </c>
      <c r="U50" s="26">
        <f>R50+T50</f>
        <v>50</v>
      </c>
      <c r="V50" s="26">
        <f>SUM(I50,K50,M50)/3*0.3+SUM(G50,R50)/2*0.4</f>
        <v>42.2</v>
      </c>
      <c r="W50" s="27">
        <f>O50+T50</f>
        <v>0</v>
      </c>
      <c r="X50" s="28">
        <f>V50/0.7+W50</f>
        <v>60.285714285714292</v>
      </c>
      <c r="Y50" s="28">
        <f>X50</f>
        <v>60.285714285714292</v>
      </c>
      <c r="Z50" s="38"/>
    </row>
    <row r="51" spans="1:26" ht="15.6" x14ac:dyDescent="0.25">
      <c r="A51" s="48">
        <v>6</v>
      </c>
      <c r="B51" s="17" t="s">
        <v>767</v>
      </c>
      <c r="C51" s="48">
        <v>201</v>
      </c>
      <c r="D51" s="49" t="s">
        <v>1453</v>
      </c>
      <c r="E51" s="48" t="s">
        <v>23</v>
      </c>
      <c r="F51" s="50">
        <v>8.6999999999999993</v>
      </c>
      <c r="G51" s="32">
        <f>IF(B51="高三",IF($E51="男",LOOKUP(F51,[1]对照表!$G$3:$G$24,[1]对照表!$H$3:$H$24),LOOKUP(F51,[1]对照表!$G$27:$G$48,[1]对照表!$H$27:$H$48)),IF(B51="高二",IF($E51="男",LOOKUP(F51,[1]对照表!$F$3:$F$24,[1]对照表!$H$3:$H$24),LOOKUP(F51,[1]对照表!$F$27:$F$48,[1]对照表!$H$27:$H$48)),IF(B51="高一",IF($E51="男",LOOKUP(F51,[1]对照表!$E$3:$E$24,[1]对照表!$H$3:$H$24),LOOKUP(F51,[1]对照表!$E$27:$E$48,[1]对照表!$H$27:$H$48)))))</f>
        <v>66</v>
      </c>
      <c r="H51" s="38">
        <v>2</v>
      </c>
      <c r="I51" s="32">
        <f>IF(B51="高三",IF($E51="男",LOOKUP(H51,[1]对照表!$K$3:$K$24,[1]对照表!$L$3:$L$24),LOOKUP(H51,[1]对照表!$K$27:$K$48,[1]对照表!$L$27:$L$48)),IF(B51="高二",IF($E51="男",LOOKUP(H51,[1]对照表!$J$3:$J$24,[1]对照表!$L$3:$L$24),LOOKUP(H51,[1]对照表!$J$27:$J$48,[1]对照表!$L$27:$L$48)),IF(B51="高一",IF($E51="男",LOOKUP(H51,[1]对照表!$I$3:$I$24,[1]对照表!$L$3:$L$24),LOOKUP(H51,[1]对照表!$I$27:$I$48,[1]对照表!$L$27:$L$48)))))</f>
        <v>50</v>
      </c>
      <c r="J51" s="38">
        <v>167</v>
      </c>
      <c r="K51" s="32">
        <f>IF(B51="高三",IF($E51="男",LOOKUP(J51,[1]对照表!$O$3:$O$24,[1]对照表!$P$3:$P$24),LOOKUP(J51,[1]对照表!$O$27:$O$48,[1]对照表!$P$27:$P$48)),IF(B51="高二",IF($E51="男",LOOKUP(J51,[1]对照表!$N$3:$N$24,[1]对照表!$P$3:$P$24),LOOKUP(J51,[1]对照表!$N$27:$N$48,[1]对照表!$P$27:$P$48)),IF(B51="高一",IF($E51="男",LOOKUP(J51,[1]对照表!$M$3:$M$24,[1]对照表!$P$3:$P$24),LOOKUP(J51,[1]对照表!$M$27:$M$48,[1]对照表!$P$27:$P$48)))))</f>
        <v>0</v>
      </c>
      <c r="L51" s="38">
        <v>0</v>
      </c>
      <c r="M51" s="32">
        <f>IF(B51="高三",IF($E51="男",LOOKUP(L51,[1]对照表!$S$3:$S$24,[1]对照表!$T$3:$T$24),LOOKUP(L51,[1]对照表!$S$27:$S$48,[1]对照表!$T$27:$T$48)),IF(B51="高二",IF($E51="男",LOOKUP(L51,[1]对照表!$R$3:$R$24,[1]对照表!$T$3:$T$24),LOOKUP(L51,[1]对照表!$R$27:$R$48,[1]对照表!$T$27:$T$48)),IF(B51="高一",IF($E51="男",LOOKUP(L51,[1]对照表!$Q$3:$Q$24,[1]对照表!$T$3:$T$24),LOOKUP(L51,[1]对照表!$Q$27:$Q$48,[1]对照表!$T$27:$T$48)))))</f>
        <v>0</v>
      </c>
      <c r="N51" s="33">
        <f>IF(B51="高三",MAX(IF(E51="男",L51-18,L51-55),0),IF(B51="高二",MAX(IF(E51="男",L51-17,L51-54),0),IF(B51="高一",MAX(IF(E51="男",L51-16,L51-53),0))))</f>
        <v>0</v>
      </c>
      <c r="O51" s="23">
        <f>IF(E51="男",LOOKUP($N51,[1]对照表!$Z$3:$Z$13,[1]对照表!$AA$3:$AA$13),LOOKUP($N51,[1]对照表!$Z$15:$Z$25,[1]对照表!$AA$15:$AA$25))</f>
        <v>0</v>
      </c>
      <c r="P51" s="25">
        <f>M51+O51</f>
        <v>0</v>
      </c>
      <c r="Q51" s="50">
        <v>4.09</v>
      </c>
      <c r="R51" s="32">
        <f>IF(B51="高三",IF($E51="男",LOOKUP(Q51,[1]对照表!$W$3:$W$24,[1]对照表!$X$3:$X$24),LOOKUP(Q51,[1]对照表!$W$27:$W$48,[1]对照表!$X$27:$X$48)),IF(B51="高二",IF($E51="男",LOOKUP(Q51,[1]对照表!$V$3:$V$24,[1]对照表!$X$3:$X$24),LOOKUP(Q51,[1]对照表!$V$27:$V$48,[1]对照表!$X$27:$X$48)),IF(B51="高一",IF($E51="男",LOOKUP(Q51,[1]对照表!$U$3:$U$24,[1]对照表!$X$3:$X$24),LOOKUP(Q51,[1]对照表!$U$27:$U$48,[1]对照表!$X$27:$X$48)))))</f>
        <v>72</v>
      </c>
      <c r="S51" s="33">
        <f>ROUND(IF(IF($B51="高三",MIN(IF($E51="男",$Q51-3.2,$Q51-3.2),0),IF($B51="高二",MIN(IF($E51="男",$Q51-3.25,$Q51-3.22),0),IF($B51="高一",MIN(IF($E51="男",$Q51-3.3,$Q51-3.24),0))))&lt;-0.6,IF($B51="高三",MIN(IF($E51="男",$Q51-3.2,$Q51-3.2),0),IF($B51="高二",MIN(IF($E51="男",$Q51-3.25,$Q51-3.22),0),IF($B51="高一",MIN(IF($E51="男",$Q51-3.3,$Q51-3.24),0))))+0.4,IF($B51="高三",MIN(IF($E51="男",$Q51-3.2,$Q51-3.2),0),IF($B51="高二",MIN(IF($E51="男",$Q51-3.25,$Q51-3.22),0),IF($B51="高一",MIN(IF($E51="男",$Q51-3.3,$Q51-3.24),0))))),2)</f>
        <v>0</v>
      </c>
      <c r="T51" s="23">
        <f>IF(E51="男",LOOKUP($S51,[1]对照表!$AB$3:$AB$13,[1]对照表!$AC$3:$AC$13),LOOKUP($S51,[1]对照表!$AB$15:$AB$25,[1]对照表!$AC$15:$AC$25))</f>
        <v>0</v>
      </c>
      <c r="U51" s="26">
        <f>R51+T51</f>
        <v>72</v>
      </c>
      <c r="V51" s="26">
        <f>SUM(I51,K51,M51)/3*0.3+SUM(G51,R51)/2*0.4</f>
        <v>32.6</v>
      </c>
      <c r="W51" s="27">
        <f>O51+T51</f>
        <v>0</v>
      </c>
      <c r="X51" s="28">
        <f>V51/0.7+W51</f>
        <v>46.571428571428577</v>
      </c>
      <c r="Y51" s="29">
        <v>50</v>
      </c>
      <c r="Z51" s="38"/>
    </row>
    <row r="52" spans="1:26" ht="15.6" x14ac:dyDescent="0.25">
      <c r="A52" s="48">
        <v>19</v>
      </c>
      <c r="B52" s="17" t="s">
        <v>767</v>
      </c>
      <c r="C52" s="48">
        <v>201</v>
      </c>
      <c r="D52" s="49" t="s">
        <v>1463</v>
      </c>
      <c r="E52" s="48" t="s">
        <v>65</v>
      </c>
      <c r="F52" s="50"/>
      <c r="G52" s="20">
        <v>0</v>
      </c>
      <c r="H52" s="38"/>
      <c r="I52" s="20">
        <v>0</v>
      </c>
      <c r="J52" s="38"/>
      <c r="K52" s="20">
        <v>0</v>
      </c>
      <c r="L52" s="38"/>
      <c r="M52" s="20">
        <v>0</v>
      </c>
      <c r="N52" s="33">
        <f>IF(B52="高三",MAX(IF(E52="男",L52-18,L52-55),0),IF(B52="高二",MAX(IF(E52="男",L52-17,L52-54),0),IF(B52="高一",MAX(IF(E52="男",L52-16,L52-53),0))))</f>
        <v>0</v>
      </c>
      <c r="O52" s="23">
        <f>IF(E52="男",LOOKUP($N52,[1]对照表!$Z$3:$Z$13,[1]对照表!$AA$3:$AA$13),LOOKUP($N52,[1]对照表!$Z$15:$Z$25,[1]对照表!$AA$15:$AA$25))</f>
        <v>0</v>
      </c>
      <c r="P52" s="25">
        <f>M52+O52</f>
        <v>0</v>
      </c>
      <c r="Q52" s="50"/>
      <c r="R52" s="20">
        <v>0</v>
      </c>
      <c r="S52" s="22">
        <v>0</v>
      </c>
      <c r="T52" s="23">
        <f>IF(E52="男",LOOKUP($S52,[1]对照表!$AB$3:$AB$13,[1]对照表!$AC$3:$AC$13),LOOKUP($S52,[1]对照表!$AB$15:$AB$25,[1]对照表!$AC$15:$AC$25))</f>
        <v>0</v>
      </c>
      <c r="U52" s="26">
        <f>R52+T52</f>
        <v>0</v>
      </c>
      <c r="V52" s="26">
        <f>SUM(I52,K52,M52)/3*0.3+SUM(G52,R52)/2*0.4</f>
        <v>0</v>
      </c>
      <c r="W52" s="27">
        <f>O52+T52</f>
        <v>0</v>
      </c>
      <c r="X52" s="28">
        <f>V52/0.7+W52</f>
        <v>0</v>
      </c>
      <c r="Y52" s="29">
        <v>50</v>
      </c>
      <c r="Z52" s="38" t="s">
        <v>578</v>
      </c>
    </row>
    <row r="53" spans="1:26" ht="15.6" x14ac:dyDescent="0.25">
      <c r="A53" s="48">
        <v>52</v>
      </c>
      <c r="B53" s="17" t="s">
        <v>767</v>
      </c>
      <c r="C53" s="48">
        <v>201</v>
      </c>
      <c r="D53" s="58" t="s">
        <v>1464</v>
      </c>
      <c r="E53" s="48" t="s">
        <v>65</v>
      </c>
      <c r="F53" s="50"/>
      <c r="G53" s="20">
        <v>0</v>
      </c>
      <c r="H53" s="38"/>
      <c r="I53" s="20">
        <v>0</v>
      </c>
      <c r="J53" s="38"/>
      <c r="K53" s="20">
        <v>0</v>
      </c>
      <c r="L53" s="38"/>
      <c r="M53" s="20">
        <v>0</v>
      </c>
      <c r="N53" s="33">
        <f>IF(B53="高三",MAX(IF(E53="男",L53-18,L53-55),0),IF(B53="高二",MAX(IF(E53="男",L53-17,L53-54),0),IF(B53="高一",MAX(IF(E53="男",L53-16,L53-53),0))))</f>
        <v>0</v>
      </c>
      <c r="O53" s="23">
        <f>IF(E53="男",LOOKUP($N53,[1]对照表!$Z$3:$Z$13,[1]对照表!$AA$3:$AA$13),LOOKUP($N53,[1]对照表!$Z$15:$Z$25,[1]对照表!$AA$15:$AA$25))</f>
        <v>0</v>
      </c>
      <c r="P53" s="25">
        <f>M53+O53</f>
        <v>0</v>
      </c>
      <c r="Q53" s="50"/>
      <c r="R53" s="20">
        <v>0</v>
      </c>
      <c r="S53" s="20">
        <v>0</v>
      </c>
      <c r="T53" s="23">
        <f>IF(E53="男",LOOKUP($S53,[1]对照表!$AB$3:$AB$13,[1]对照表!$AC$3:$AC$13),LOOKUP($S53,[1]对照表!$AB$15:$AB$25,[1]对照表!$AC$15:$AC$25))</f>
        <v>0</v>
      </c>
      <c r="U53" s="26">
        <f>R53+T53</f>
        <v>0</v>
      </c>
      <c r="V53" s="26">
        <f>SUM(I53,K53,M53)/3*0.3+SUM(G53,R53)/2*0.4</f>
        <v>0</v>
      </c>
      <c r="W53" s="27">
        <f>O53+T53</f>
        <v>0</v>
      </c>
      <c r="X53" s="28">
        <f>V53/0.7+W53</f>
        <v>0</v>
      </c>
      <c r="Y53" s="29">
        <v>50</v>
      </c>
      <c r="Z53" s="38"/>
    </row>
    <row r="54" spans="1:26" ht="15.6" x14ac:dyDescent="0.25">
      <c r="A54" s="48">
        <v>53</v>
      </c>
      <c r="B54" s="17" t="s">
        <v>767</v>
      </c>
      <c r="C54" s="48">
        <v>201</v>
      </c>
      <c r="D54" s="58" t="s">
        <v>1465</v>
      </c>
      <c r="E54" s="48" t="s">
        <v>65</v>
      </c>
      <c r="F54" s="50"/>
      <c r="G54" s="20">
        <v>0</v>
      </c>
      <c r="H54" s="38"/>
      <c r="I54" s="20">
        <v>0</v>
      </c>
      <c r="J54" s="38"/>
      <c r="K54" s="20">
        <v>0</v>
      </c>
      <c r="L54" s="38"/>
      <c r="M54" s="20">
        <v>0</v>
      </c>
      <c r="N54" s="33">
        <f>IF(B54="高三",MAX(IF(E54="男",L54-18,L54-55),0),IF(B54="高二",MAX(IF(E54="男",L54-17,L54-54),0),IF(B54="高一",MAX(IF(E54="男",L54-16,L54-53),0))))</f>
        <v>0</v>
      </c>
      <c r="O54" s="23">
        <f>IF(E54="男",LOOKUP($N54,[1]对照表!$Z$3:$Z$13,[1]对照表!$AA$3:$AA$13),LOOKUP($N54,[1]对照表!$Z$15:$Z$25,[1]对照表!$AA$15:$AA$25))</f>
        <v>0</v>
      </c>
      <c r="P54" s="25">
        <f>M54+O54</f>
        <v>0</v>
      </c>
      <c r="Q54" s="50"/>
      <c r="R54" s="20">
        <v>0</v>
      </c>
      <c r="S54" s="20">
        <v>0</v>
      </c>
      <c r="T54" s="23">
        <f>IF(E54="男",LOOKUP($S54,[1]对照表!$AB$3:$AB$13,[1]对照表!$AC$3:$AC$13),LOOKUP($S54,[1]对照表!$AB$15:$AB$25,[1]对照表!$AC$15:$AC$25))</f>
        <v>0</v>
      </c>
      <c r="U54" s="26">
        <f>R54+T54</f>
        <v>0</v>
      </c>
      <c r="V54" s="26">
        <f>SUM(I54,K54,M54)/3*0.3+SUM(G54,R54)/2*0.4</f>
        <v>0</v>
      </c>
      <c r="W54" s="27">
        <f>O54+T54</f>
        <v>0</v>
      </c>
      <c r="X54" s="28">
        <f>V54/0.7+W54</f>
        <v>0</v>
      </c>
      <c r="Y54" s="29">
        <v>50</v>
      </c>
      <c r="Z54" s="38"/>
    </row>
    <row r="55" spans="1:26" ht="15.6" x14ac:dyDescent="0.25">
      <c r="A55" s="48">
        <v>19</v>
      </c>
      <c r="B55" s="17" t="s">
        <v>767</v>
      </c>
      <c r="C55" s="48">
        <v>202</v>
      </c>
      <c r="D55" s="49" t="s">
        <v>773</v>
      </c>
      <c r="E55" s="48" t="s">
        <v>65</v>
      </c>
      <c r="F55" s="50">
        <v>7.4</v>
      </c>
      <c r="G55" s="32">
        <f>IF(B55="高三",IF($E55="男",LOOKUP(F55,[1]对照表!$G$3:$G$24,[1]对照表!$H$3:$H$24),LOOKUP(F55,[1]对照表!$G$27:$G$48,[1]对照表!$H$27:$H$48)),IF(B55="高二",IF($E55="男",LOOKUP(F55,[1]对照表!$F$3:$F$24,[1]对照表!$H$3:$H$24),LOOKUP(F55,[1]对照表!$F$27:$F$48,[1]对照表!$H$27:$H$48)),IF(B55="高一",IF($E55="男",LOOKUP(F55,[1]对照表!$E$3:$E$24,[1]对照表!$H$3:$H$24),LOOKUP(F55,[1]对照表!$E$27:$E$48,[1]对照表!$H$27:$H$48)))))</f>
        <v>100</v>
      </c>
      <c r="H55" s="38">
        <v>21</v>
      </c>
      <c r="I55" s="32">
        <f>IF(B55="高三",IF($E55="男",LOOKUP(H55,[1]对照表!$K$3:$K$24,[1]对照表!$L$3:$L$24),LOOKUP(H55,[1]对照表!$K$27:$K$48,[1]对照表!$L$27:$L$48)),IF(B55="高二",IF($E55="男",LOOKUP(H55,[1]对照表!$J$3:$J$24,[1]对照表!$L$3:$L$24),LOOKUP(H55,[1]对照表!$J$27:$J$48,[1]对照表!$L$27:$L$48)),IF(B55="高一",IF($E55="男",LOOKUP(H55,[1]对照表!$I$3:$I$24,[1]对照表!$L$3:$L$24),LOOKUP(H55,[1]对照表!$I$27:$I$48,[1]对照表!$L$27:$L$48)))))</f>
        <v>85</v>
      </c>
      <c r="J55" s="38">
        <v>220</v>
      </c>
      <c r="K55" s="32">
        <f>IF(B55="高三",IF($E55="男",LOOKUP(J55,[1]对照表!$O$3:$O$24,[1]对照表!$P$3:$P$24),LOOKUP(J55,[1]对照表!$O$27:$O$48,[1]对照表!$P$27:$P$48)),IF(B55="高二",IF($E55="男",LOOKUP(J55,[1]对照表!$N$3:$N$24,[1]对照表!$P$3:$P$24),LOOKUP(J55,[1]对照表!$N$27:$N$48,[1]对照表!$P$27:$P$48)),IF(B55="高一",IF($E55="男",LOOKUP(J55,[1]对照表!$M$3:$M$24,[1]对照表!$P$3:$P$24),LOOKUP(J55,[1]对照表!$M$27:$M$48,[1]对照表!$P$27:$P$48)))))</f>
        <v>100</v>
      </c>
      <c r="L55" s="38">
        <v>63</v>
      </c>
      <c r="M55" s="32">
        <f>IF(B55="高三",IF($E55="男",LOOKUP(L55,[1]对照表!$S$3:$S$24,[1]对照表!$T$3:$T$24),LOOKUP(L55,[1]对照表!$S$27:$S$48,[1]对照表!$T$27:$T$48)),IF(B55="高二",IF($E55="男",LOOKUP(L55,[1]对照表!$R$3:$R$24,[1]对照表!$T$3:$T$24),LOOKUP(L55,[1]对照表!$R$27:$R$48,[1]对照表!$T$27:$T$48)),IF(B55="高一",IF($E55="男",LOOKUP(L55,[1]对照表!$Q$3:$Q$24,[1]对照表!$T$3:$T$24),LOOKUP(L55,[1]对照表!$Q$27:$Q$48,[1]对照表!$T$27:$T$48)))))</f>
        <v>100</v>
      </c>
      <c r="N55" s="33">
        <f>IF(B55="高三",MAX(IF(E55="男",L55-18,L55-55),0),IF(B55="高二",MAX(IF(E55="男",L55-17,L55-54),0),IF(B55="高一",MAX(IF(E55="男",L55-16,L55-53),0))))</f>
        <v>9</v>
      </c>
      <c r="O55" s="23">
        <f>IF(E55="男",LOOKUP($N55,[1]对照表!$Z$3:$Z$13,[1]对照表!$AA$3:$AA$13),LOOKUP($N55,[1]对照表!$Z$15:$Z$25,[1]对照表!$AA$15:$AA$25))</f>
        <v>6</v>
      </c>
      <c r="P55" s="25">
        <f>M55+O55</f>
        <v>106</v>
      </c>
      <c r="Q55" s="50">
        <v>3.19</v>
      </c>
      <c r="R55" s="32">
        <f>IF(B55="高三",IF($E55="男",LOOKUP(Q55,[1]对照表!$W$3:$W$24,[1]对照表!$X$3:$X$24),LOOKUP(Q55,[1]对照表!$W$27:$W$48,[1]对照表!$X$27:$X$48)),IF(B55="高二",IF($E55="男",LOOKUP(Q55,[1]对照表!$V$3:$V$24,[1]对照表!$X$3:$X$24),LOOKUP(Q55,[1]对照表!$V$27:$V$48,[1]对照表!$X$27:$X$48)),IF(B55="高一",IF($E55="男",LOOKUP(Q55,[1]对照表!$U$3:$U$24,[1]对照表!$X$3:$X$24),LOOKUP(Q55,[1]对照表!$U$27:$U$48,[1]对照表!$X$27:$X$48)))))</f>
        <v>100</v>
      </c>
      <c r="S55" s="33">
        <f>ROUND(IF(IF($B55="高三",MIN(IF($E55="男",$Q55-3.2,$Q55-3.2),0),IF($B55="高二",MIN(IF($E55="男",$Q55-3.25,$Q55-3.22),0),IF($B55="高一",MIN(IF($E55="男",$Q55-3.3,$Q55-3.24),0))))&lt;-0.6,IF($B55="高三",MIN(IF($E55="男",$Q55-3.2,$Q55-3.2),0),IF($B55="高二",MIN(IF($E55="男",$Q55-3.25,$Q55-3.22),0),IF($B55="高一",MIN(IF($E55="男",$Q55-3.3,$Q55-3.24),0))))+0.4,IF($B55="高三",MIN(IF($E55="男",$Q55-3.2,$Q55-3.2),0),IF($B55="高二",MIN(IF($E55="男",$Q55-3.25,$Q55-3.22),0),IF($B55="高一",MIN(IF($E55="男",$Q55-3.3,$Q55-3.24),0))))),2)</f>
        <v>-0.03</v>
      </c>
      <c r="T55" s="23">
        <f>IF(E55="男",LOOKUP($S55,[1]对照表!$AB$3:$AB$13,[1]对照表!$AC$3:$AC$13),LOOKUP($S55,[1]对照表!$AB$15:$AB$25,[1]对照表!$AC$15:$AC$25))</f>
        <v>0</v>
      </c>
      <c r="U55" s="26">
        <f>R55+T55</f>
        <v>100</v>
      </c>
      <c r="V55" s="26">
        <f>SUM(I55,K55,M55)/3*0.3+SUM(G55,R55)/2*0.4</f>
        <v>68.5</v>
      </c>
      <c r="W55" s="27">
        <f>O55+T55</f>
        <v>6</v>
      </c>
      <c r="X55" s="28">
        <f>V55/0.7+W55</f>
        <v>103.85714285714286</v>
      </c>
      <c r="Y55" s="28">
        <f>X55</f>
        <v>103.85714285714286</v>
      </c>
      <c r="Z55" s="38"/>
    </row>
    <row r="56" spans="1:26" ht="15.6" x14ac:dyDescent="0.25">
      <c r="A56" s="48">
        <v>52</v>
      </c>
      <c r="B56" s="17" t="s">
        <v>767</v>
      </c>
      <c r="C56" s="48">
        <v>202</v>
      </c>
      <c r="D56" s="49" t="s">
        <v>800</v>
      </c>
      <c r="E56" s="48" t="s">
        <v>65</v>
      </c>
      <c r="F56" s="50">
        <v>8.25</v>
      </c>
      <c r="G56" s="32">
        <f>IF(B56="高三",IF($E56="男",LOOKUP(F56,[1]对照表!$G$3:$G$24,[1]对照表!$H$3:$H$24),LOOKUP(F56,[1]对照表!$G$27:$G$48,[1]对照表!$H$27:$H$48)),IF(B56="高二",IF($E56="男",LOOKUP(F56,[1]对照表!$F$3:$F$24,[1]对照表!$H$3:$H$24),LOOKUP(F56,[1]对照表!$F$27:$F$48,[1]对照表!$H$27:$H$48)),IF(B56="高一",IF($E56="男",LOOKUP(F56,[1]对照表!$E$3:$E$24,[1]对照表!$H$3:$H$24),LOOKUP(F56,[1]对照表!$E$27:$E$48,[1]对照表!$H$27:$H$48)))))</f>
        <v>80</v>
      </c>
      <c r="H56" s="38">
        <v>28</v>
      </c>
      <c r="I56" s="32">
        <f>IF(B56="高三",IF($E56="男",LOOKUP(H56,[1]对照表!$K$3:$K$24,[1]对照表!$L$3:$L$24),LOOKUP(H56,[1]对照表!$K$27:$K$48,[1]对照表!$L$27:$L$48)),IF(B56="高二",IF($E56="男",LOOKUP(H56,[1]对照表!$J$3:$J$24,[1]对照表!$L$3:$L$24),LOOKUP(H56,[1]对照表!$J$27:$J$48,[1]对照表!$L$27:$L$48)),IF(B56="高一",IF($E56="男",LOOKUP(H56,[1]对照表!$I$3:$I$24,[1]对照表!$L$3:$L$24),LOOKUP(H56,[1]对照表!$I$27:$I$48,[1]对照表!$L$27:$L$48)))))</f>
        <v>100</v>
      </c>
      <c r="J56" s="38">
        <v>205</v>
      </c>
      <c r="K56" s="32">
        <f>IF(B56="高三",IF($E56="男",LOOKUP(J56,[1]对照表!$O$3:$O$24,[1]对照表!$P$3:$P$24),LOOKUP(J56,[1]对照表!$O$27:$O$48,[1]对照表!$P$27:$P$48)),IF(B56="高二",IF($E56="男",LOOKUP(J56,[1]对照表!$N$3:$N$24,[1]对照表!$P$3:$P$24),LOOKUP(J56,[1]对照表!$N$27:$N$48,[1]对照表!$P$27:$P$48)),IF(B56="高一",IF($E56="男",LOOKUP(J56,[1]对照表!$M$3:$M$24,[1]对照表!$P$3:$P$24),LOOKUP(J56,[1]对照表!$M$27:$M$48,[1]对照表!$P$27:$P$48)))))</f>
        <v>100</v>
      </c>
      <c r="L56" s="38">
        <v>57</v>
      </c>
      <c r="M56" s="32">
        <f>IF(B56="高三",IF($E56="男",LOOKUP(L56,[1]对照表!$S$3:$S$24,[1]对照表!$T$3:$T$24),LOOKUP(L56,[1]对照表!$S$27:$S$48,[1]对照表!$T$27:$T$48)),IF(B56="高二",IF($E56="男",LOOKUP(L56,[1]对照表!$R$3:$R$24,[1]对照表!$T$3:$T$24),LOOKUP(L56,[1]对照表!$R$27:$R$48,[1]对照表!$T$27:$T$48)),IF(B56="高一",IF($E56="男",LOOKUP(L56,[1]对照表!$Q$3:$Q$24,[1]对照表!$T$3:$T$24),LOOKUP(L56,[1]对照表!$Q$27:$Q$48,[1]对照表!$T$27:$T$48)))))</f>
        <v>100</v>
      </c>
      <c r="N56" s="33">
        <f>IF(B56="高三",MAX(IF(E56="男",L56-18,L56-55),0),IF(B56="高二",MAX(IF(E56="男",L56-17,L56-54),0),IF(B56="高一",MAX(IF(E56="男",L56-16,L56-53),0))))</f>
        <v>3</v>
      </c>
      <c r="O56" s="23">
        <f>IF(E56="男",LOOKUP($N56,[1]对照表!$Z$3:$Z$13,[1]对照表!$AA$3:$AA$13),LOOKUP($N56,[1]对照表!$Z$15:$Z$25,[1]对照表!$AA$15:$AA$25))</f>
        <v>1</v>
      </c>
      <c r="P56" s="25">
        <f>M56+O56</f>
        <v>101</v>
      </c>
      <c r="Q56" s="50">
        <v>3.16</v>
      </c>
      <c r="R56" s="32">
        <f>IF(B56="高三",IF($E56="男",LOOKUP(Q56,[1]对照表!$W$3:$W$24,[1]对照表!$X$3:$X$24),LOOKUP(Q56,[1]对照表!$W$27:$W$48,[1]对照表!$X$27:$X$48)),IF(B56="高二",IF($E56="男",LOOKUP(Q56,[1]对照表!$V$3:$V$24,[1]对照表!$X$3:$X$24),LOOKUP(Q56,[1]对照表!$V$27:$V$48,[1]对照表!$X$27:$X$48)),IF(B56="高一",IF($E56="男",LOOKUP(Q56,[1]对照表!$U$3:$U$24,[1]对照表!$X$3:$X$24),LOOKUP(Q56,[1]对照表!$U$27:$U$48,[1]对照表!$X$27:$X$48)))))</f>
        <v>100</v>
      </c>
      <c r="S56" s="33">
        <f>ROUND(IF(IF($B56="高三",MIN(IF($E56="男",$Q56-3.2,$Q56-3.2),0),IF($B56="高二",MIN(IF($E56="男",$Q56-3.25,$Q56-3.22),0),IF($B56="高一",MIN(IF($E56="男",$Q56-3.3,$Q56-3.24),0))))&lt;-0.6,IF($B56="高三",MIN(IF($E56="男",$Q56-3.2,$Q56-3.2),0),IF($B56="高二",MIN(IF($E56="男",$Q56-3.25,$Q56-3.22),0),IF($B56="高一",MIN(IF($E56="男",$Q56-3.3,$Q56-3.24),0))))+0.4,IF($B56="高三",MIN(IF($E56="男",$Q56-3.2,$Q56-3.2),0),IF($B56="高二",MIN(IF($E56="男",$Q56-3.25,$Q56-3.22),0),IF($B56="高一",MIN(IF($E56="男",$Q56-3.3,$Q56-3.24),0))))),2)</f>
        <v>-0.06</v>
      </c>
      <c r="T56" s="23">
        <f>IF(E56="男",LOOKUP($S56,[1]对照表!$AB$3:$AB$13,[1]对照表!$AC$3:$AC$13),LOOKUP($S56,[1]对照表!$AB$15:$AB$25,[1]对照表!$AC$15:$AC$25))</f>
        <v>1</v>
      </c>
      <c r="U56" s="26">
        <f>R56+T56</f>
        <v>101</v>
      </c>
      <c r="V56" s="26">
        <f>SUM(I56,K56,M56)/3*0.3+SUM(G56,R56)/2*0.4</f>
        <v>66</v>
      </c>
      <c r="W56" s="27">
        <f>O56+T56</f>
        <v>2</v>
      </c>
      <c r="X56" s="28">
        <f>V56/0.7+W56</f>
        <v>96.285714285714292</v>
      </c>
      <c r="Y56" s="28">
        <f>X56</f>
        <v>96.285714285714292</v>
      </c>
      <c r="Z56" s="38"/>
    </row>
    <row r="57" spans="1:26" ht="15.6" x14ac:dyDescent="0.25">
      <c r="A57" s="48">
        <v>30</v>
      </c>
      <c r="B57" s="17" t="s">
        <v>767</v>
      </c>
      <c r="C57" s="48">
        <v>202</v>
      </c>
      <c r="D57" s="49" t="s">
        <v>805</v>
      </c>
      <c r="E57" s="48" t="s">
        <v>65</v>
      </c>
      <c r="F57" s="50">
        <v>7.93</v>
      </c>
      <c r="G57" s="32">
        <f>IF(B57="高三",IF($E57="男",LOOKUP(F57,[1]对照表!$G$3:$G$24,[1]对照表!$H$3:$H$24),LOOKUP(F57,[1]对照表!$G$27:$G$48,[1]对照表!$H$27:$H$48)),IF(B57="高二",IF($E57="男",LOOKUP(F57,[1]对照表!$F$3:$F$24,[1]对照表!$H$3:$H$24),LOOKUP(F57,[1]对照表!$F$27:$F$48,[1]对照表!$H$27:$H$48)),IF(B57="高一",IF($E57="男",LOOKUP(F57,[1]对照表!$E$3:$E$24,[1]对照表!$H$3:$H$24),LOOKUP(F57,[1]对照表!$E$27:$E$48,[1]对照表!$H$27:$H$48)))))</f>
        <v>85</v>
      </c>
      <c r="H57" s="38">
        <v>23.1</v>
      </c>
      <c r="I57" s="32">
        <f>IF(B57="高三",IF($E57="男",LOOKUP(H57,[1]对照表!$K$3:$K$24,[1]对照表!$L$3:$L$24),LOOKUP(H57,[1]对照表!$K$27:$K$48,[1]对照表!$L$27:$L$48)),IF(B57="高二",IF($E57="男",LOOKUP(H57,[1]对照表!$J$3:$J$24,[1]对照表!$L$3:$L$24),LOOKUP(H57,[1]对照表!$J$27:$J$48,[1]对照表!$L$27:$L$48)),IF(B57="高一",IF($E57="男",LOOKUP(H57,[1]对照表!$I$3:$I$24,[1]对照表!$L$3:$L$24),LOOKUP(H57,[1]对照表!$I$27:$I$48,[1]对照表!$L$27:$L$48)))))</f>
        <v>95</v>
      </c>
      <c r="J57" s="38">
        <v>215</v>
      </c>
      <c r="K57" s="32">
        <f>IF(B57="高三",IF($E57="男",LOOKUP(J57,[1]对照表!$O$3:$O$24,[1]对照表!$P$3:$P$24),LOOKUP(J57,[1]对照表!$O$27:$O$48,[1]对照表!$P$27:$P$48)),IF(B57="高二",IF($E57="男",LOOKUP(J57,[1]对照表!$N$3:$N$24,[1]对照表!$P$3:$P$24),LOOKUP(J57,[1]对照表!$N$27:$N$48,[1]对照表!$P$27:$P$48)),IF(B57="高一",IF($E57="男",LOOKUP(J57,[1]对照表!$M$3:$M$24,[1]对照表!$P$3:$P$24),LOOKUP(J57,[1]对照表!$M$27:$M$48,[1]对照表!$P$27:$P$48)))))</f>
        <v>100</v>
      </c>
      <c r="L57" s="38">
        <v>52</v>
      </c>
      <c r="M57" s="32">
        <f>IF(B57="高三",IF($E57="男",LOOKUP(L57,[1]对照表!$S$3:$S$24,[1]对照表!$T$3:$T$24),LOOKUP(L57,[1]对照表!$S$27:$S$48,[1]对照表!$T$27:$T$48)),IF(B57="高二",IF($E57="男",LOOKUP(L57,[1]对照表!$R$3:$R$24,[1]对照表!$T$3:$T$24),LOOKUP(L57,[1]对照表!$R$27:$R$48,[1]对照表!$T$27:$T$48)),IF(B57="高一",IF($E57="男",LOOKUP(L57,[1]对照表!$Q$3:$Q$24,[1]对照表!$T$3:$T$24),LOOKUP(L57,[1]对照表!$Q$27:$Q$48,[1]对照表!$T$27:$T$48)))))</f>
        <v>95</v>
      </c>
      <c r="N57" s="33">
        <f>IF(B57="高三",MAX(IF(E57="男",L57-18,L57-55),0),IF(B57="高二",MAX(IF(E57="男",L57-17,L57-54),0),IF(B57="高一",MAX(IF(E57="男",L57-16,L57-53),0))))</f>
        <v>0</v>
      </c>
      <c r="O57" s="23">
        <f>IF(E57="男",LOOKUP($N57,[1]对照表!$Z$3:$Z$13,[1]对照表!$AA$3:$AA$13),LOOKUP($N57,[1]对照表!$Z$15:$Z$25,[1]对照表!$AA$15:$AA$25))</f>
        <v>0</v>
      </c>
      <c r="P57" s="25">
        <f>M57+O57</f>
        <v>95</v>
      </c>
      <c r="Q57" s="50">
        <v>3.15</v>
      </c>
      <c r="R57" s="32">
        <f>IF(B57="高三",IF($E57="男",LOOKUP(Q57,[1]对照表!$W$3:$W$24,[1]对照表!$X$3:$X$24),LOOKUP(Q57,[1]对照表!$W$27:$W$48,[1]对照表!$X$27:$X$48)),IF(B57="高二",IF($E57="男",LOOKUP(Q57,[1]对照表!$V$3:$V$24,[1]对照表!$X$3:$X$24),LOOKUP(Q57,[1]对照表!$V$27:$V$48,[1]对照表!$X$27:$X$48)),IF(B57="高一",IF($E57="男",LOOKUP(Q57,[1]对照表!$U$3:$U$24,[1]对照表!$X$3:$X$24),LOOKUP(Q57,[1]对照表!$U$27:$U$48,[1]对照表!$X$27:$X$48)))))</f>
        <v>100</v>
      </c>
      <c r="S57" s="27">
        <f>ROUND(IF(IF($B57="高三",MIN(IF($E57="男",$Q57-3.2,$Q57-3.2),0),IF($B57="高二",MIN(IF($E57="男",$Q57-3.25,$Q57-3.22),0),IF($B57="高一",MIN(IF($E57="男",$Q57-3.3,$Q57-3.24),0))))&lt;-0.6,IF($B57="高三",MIN(IF($E57="男",$Q57-3.2,$Q57-3.2),0),IF($B57="高二",MIN(IF($E57="男",$Q57-3.25,$Q57-3.22),0),IF($B57="高一",MIN(IF($E57="男",$Q57-3.3,$Q57-3.24),0))))+0.4,IF($B57="高三",MIN(IF($E57="男",$Q57-3.2,$Q57-3.2),0),IF($B57="高二",MIN(IF($E57="男",$Q57-3.25,$Q57-3.22),0),IF($B57="高一",MIN(IF($E57="男",$Q57-3.3,$Q57-3.24),0))))),2)</f>
        <v>-7.0000000000000007E-2</v>
      </c>
      <c r="T57" s="23">
        <f>IF(E57="男",LOOKUP($S57,[1]对照表!$AB$3:$AB$13,[1]对照表!$AC$3:$AC$13),LOOKUP($S57,[1]对照表!$AB$15:$AB$25,[1]对照表!$AC$15:$AC$25))</f>
        <v>1</v>
      </c>
      <c r="U57" s="26">
        <f>R57+T57</f>
        <v>101</v>
      </c>
      <c r="V57" s="26">
        <f>SUM(I57,K57,M57)/3*0.3+SUM(G57,R57)/2*0.4</f>
        <v>66</v>
      </c>
      <c r="W57" s="27">
        <f>O57+T57</f>
        <v>1</v>
      </c>
      <c r="X57" s="28">
        <f>V57/0.7+W57</f>
        <v>95.285714285714292</v>
      </c>
      <c r="Y57" s="28">
        <f>X57</f>
        <v>95.285714285714292</v>
      </c>
      <c r="Z57" s="38"/>
    </row>
    <row r="58" spans="1:26" ht="15.6" x14ac:dyDescent="0.25">
      <c r="A58" s="48">
        <v>36</v>
      </c>
      <c r="B58" s="17" t="s">
        <v>767</v>
      </c>
      <c r="C58" s="48">
        <v>202</v>
      </c>
      <c r="D58" s="49" t="s">
        <v>835</v>
      </c>
      <c r="E58" s="48" t="s">
        <v>65</v>
      </c>
      <c r="F58" s="50">
        <v>8.44</v>
      </c>
      <c r="G58" s="32">
        <f>IF(B58="高三",IF($E58="男",LOOKUP(F58,[1]对照表!$G$3:$G$24,[1]对照表!$H$3:$H$24),LOOKUP(F58,[1]对照表!$G$27:$G$48,[1]对照表!$H$27:$H$48)),IF(B58="高二",IF($E58="男",LOOKUP(F58,[1]对照表!$F$3:$F$24,[1]对照表!$H$3:$H$24),LOOKUP(F58,[1]对照表!$F$27:$F$48,[1]对照表!$H$27:$H$48)),IF(B58="高一",IF($E58="男",LOOKUP(F58,[1]对照表!$E$3:$E$24,[1]对照表!$H$3:$H$24),LOOKUP(F58,[1]对照表!$E$27:$E$48,[1]对照表!$H$27:$H$48)))))</f>
        <v>80</v>
      </c>
      <c r="H58" s="38">
        <v>26.5</v>
      </c>
      <c r="I58" s="32">
        <f>IF(B58="高三",IF($E58="男",LOOKUP(H58,[1]对照表!$K$3:$K$24,[1]对照表!$L$3:$L$24),LOOKUP(H58,[1]对照表!$K$27:$K$48,[1]对照表!$L$27:$L$48)),IF(B58="高二",IF($E58="男",LOOKUP(H58,[1]对照表!$J$3:$J$24,[1]对照表!$L$3:$L$24),LOOKUP(H58,[1]对照表!$J$27:$J$48,[1]对照表!$L$27:$L$48)),IF(B58="高一",IF($E58="男",LOOKUP(H58,[1]对照表!$I$3:$I$24,[1]对照表!$L$3:$L$24),LOOKUP(H58,[1]对照表!$I$27:$I$48,[1]对照表!$L$27:$L$48)))))</f>
        <v>100</v>
      </c>
      <c r="J58" s="38">
        <v>200</v>
      </c>
      <c r="K58" s="32">
        <f>IF(B58="高三",IF($E58="男",LOOKUP(J58,[1]对照表!$O$3:$O$24,[1]对照表!$P$3:$P$24),LOOKUP(J58,[1]对照表!$O$27:$O$48,[1]对照表!$P$27:$P$48)),IF(B58="高二",IF($E58="男",LOOKUP(J58,[1]对照表!$N$3:$N$24,[1]对照表!$P$3:$P$24),LOOKUP(J58,[1]对照表!$N$27:$N$48,[1]对照表!$P$27:$P$48)),IF(B58="高一",IF($E58="男",LOOKUP(J58,[1]对照表!$M$3:$M$24,[1]对照表!$P$3:$P$24),LOOKUP(J58,[1]对照表!$M$27:$M$48,[1]对照表!$P$27:$P$48)))))</f>
        <v>95</v>
      </c>
      <c r="L58" s="38">
        <v>57</v>
      </c>
      <c r="M58" s="32">
        <f>IF(B58="高三",IF($E58="男",LOOKUP(L58,[1]对照表!$S$3:$S$24,[1]对照表!$T$3:$T$24),LOOKUP(L58,[1]对照表!$S$27:$S$48,[1]对照表!$T$27:$T$48)),IF(B58="高二",IF($E58="男",LOOKUP(L58,[1]对照表!$R$3:$R$24,[1]对照表!$T$3:$T$24),LOOKUP(L58,[1]对照表!$R$27:$R$48,[1]对照表!$T$27:$T$48)),IF(B58="高一",IF($E58="男",LOOKUP(L58,[1]对照表!$Q$3:$Q$24,[1]对照表!$T$3:$T$24),LOOKUP(L58,[1]对照表!$Q$27:$Q$48,[1]对照表!$T$27:$T$48)))))</f>
        <v>100</v>
      </c>
      <c r="N58" s="33">
        <f>IF(B58="高三",MAX(IF(E58="男",L58-18,L58-55),0),IF(B58="高二",MAX(IF(E58="男",L58-17,L58-54),0),IF(B58="高一",MAX(IF(E58="男",L58-16,L58-53),0))))</f>
        <v>3</v>
      </c>
      <c r="O58" s="23">
        <f>IF(E58="男",LOOKUP($N58,[1]对照表!$Z$3:$Z$13,[1]对照表!$AA$3:$AA$13),LOOKUP($N58,[1]对照表!$Z$15:$Z$25,[1]对照表!$AA$15:$AA$25))</f>
        <v>1</v>
      </c>
      <c r="P58" s="25">
        <f>M58+O58</f>
        <v>101</v>
      </c>
      <c r="Q58" s="50">
        <v>3.34</v>
      </c>
      <c r="R58" s="32">
        <f>IF(B58="高三",IF($E58="男",LOOKUP(Q58,[1]对照表!$W$3:$W$24,[1]对照表!$X$3:$X$24),LOOKUP(Q58,[1]对照表!$W$27:$W$48,[1]对照表!$X$27:$X$48)),IF(B58="高二",IF($E58="男",LOOKUP(Q58,[1]对照表!$V$3:$V$24,[1]对照表!$X$3:$X$24),LOOKUP(Q58,[1]对照表!$V$27:$V$48,[1]对照表!$X$27:$X$48)),IF(B58="高一",IF($E58="男",LOOKUP(Q58,[1]对照表!$U$3:$U$24,[1]对照表!$X$3:$X$24),LOOKUP(Q58,[1]对照表!$U$27:$U$48,[1]对照表!$X$27:$X$48)))))</f>
        <v>90</v>
      </c>
      <c r="S58" s="33">
        <f>ROUND(IF(IF($B58="高三",MIN(IF($E58="男",$Q58-3.2,$Q58-3.2),0),IF($B58="高二",MIN(IF($E58="男",$Q58-3.25,$Q58-3.22),0),IF($B58="高一",MIN(IF($E58="男",$Q58-3.3,$Q58-3.24),0))))&lt;-0.6,IF($B58="高三",MIN(IF($E58="男",$Q58-3.2,$Q58-3.2),0),IF($B58="高二",MIN(IF($E58="男",$Q58-3.25,$Q58-3.22),0),IF($B58="高一",MIN(IF($E58="男",$Q58-3.3,$Q58-3.24),0))))+0.4,IF($B58="高三",MIN(IF($E58="男",$Q58-3.2,$Q58-3.2),0),IF($B58="高二",MIN(IF($E58="男",$Q58-3.25,$Q58-3.22),0),IF($B58="高一",MIN(IF($E58="男",$Q58-3.3,$Q58-3.24),0))))),2)</f>
        <v>0</v>
      </c>
      <c r="T58" s="23">
        <f>IF(E58="男",LOOKUP($S58,[1]对照表!$AB$3:$AB$13,[1]对照表!$AC$3:$AC$13),LOOKUP($S58,[1]对照表!$AB$15:$AB$25,[1]对照表!$AC$15:$AC$25))</f>
        <v>0</v>
      </c>
      <c r="U58" s="26">
        <f>R58+T58</f>
        <v>90</v>
      </c>
      <c r="V58" s="26">
        <f>SUM(I58,K58,M58)/3*0.3+SUM(G58,R58)/2*0.4</f>
        <v>63.5</v>
      </c>
      <c r="W58" s="27">
        <f>O58+T58</f>
        <v>1</v>
      </c>
      <c r="X58" s="28">
        <f>V58/0.7+W58</f>
        <v>91.714285714285722</v>
      </c>
      <c r="Y58" s="28">
        <f>X58</f>
        <v>91.714285714285722</v>
      </c>
      <c r="Z58" s="38"/>
    </row>
    <row r="59" spans="1:26" ht="15.6" x14ac:dyDescent="0.25">
      <c r="A59" s="48">
        <v>23</v>
      </c>
      <c r="B59" s="17" t="s">
        <v>767</v>
      </c>
      <c r="C59" s="48">
        <v>202</v>
      </c>
      <c r="D59" s="49" t="s">
        <v>870</v>
      </c>
      <c r="E59" s="48" t="s">
        <v>65</v>
      </c>
      <c r="F59" s="50">
        <v>8.5</v>
      </c>
      <c r="G59" s="32">
        <f>IF(B59="高三",IF($E59="男",LOOKUP(F59,[1]对照表!$G$3:$G$24,[1]对照表!$H$3:$H$24),LOOKUP(F59,[1]对照表!$G$27:$G$48,[1]对照表!$H$27:$H$48)),IF(B59="高二",IF($E59="男",LOOKUP(F59,[1]对照表!$F$3:$F$24,[1]对照表!$H$3:$H$24),LOOKUP(F59,[1]对照表!$F$27:$F$48,[1]对照表!$H$27:$H$48)),IF(B59="高一",IF($E59="男",LOOKUP(F59,[1]对照表!$E$3:$E$24,[1]对照表!$H$3:$H$24),LOOKUP(F59,[1]对照表!$E$27:$E$48,[1]对照表!$H$27:$H$48)))))</f>
        <v>80</v>
      </c>
      <c r="H59" s="38">
        <v>8.1</v>
      </c>
      <c r="I59" s="32">
        <f>IF(B59="高三",IF($E59="男",LOOKUP(H59,[1]对照表!$K$3:$K$24,[1]对照表!$L$3:$L$24),LOOKUP(H59,[1]对照表!$K$27:$K$48,[1]对照表!$L$27:$L$48)),IF(B59="高二",IF($E59="男",LOOKUP(H59,[1]对照表!$J$3:$J$24,[1]对照表!$L$3:$L$24),LOOKUP(H59,[1]对照表!$J$27:$J$48,[1]对照表!$L$27:$L$48)),IF(B59="高一",IF($E59="男",LOOKUP(H59,[1]对照表!$I$3:$I$24,[1]对照表!$L$3:$L$24),LOOKUP(H59,[1]对照表!$I$27:$I$48,[1]对照表!$L$27:$L$48)))))</f>
        <v>64</v>
      </c>
      <c r="J59" s="38">
        <v>178</v>
      </c>
      <c r="K59" s="32">
        <f>IF(B59="高三",IF($E59="男",LOOKUP(J59,[1]对照表!$O$3:$O$24,[1]对照表!$P$3:$P$24),LOOKUP(J59,[1]对照表!$O$27:$O$48,[1]对照表!$P$27:$P$48)),IF(B59="高二",IF($E59="男",LOOKUP(J59,[1]对照表!$N$3:$N$24,[1]对照表!$P$3:$P$24),LOOKUP(J59,[1]对照表!$N$27:$N$48,[1]对照表!$P$27:$P$48)),IF(B59="高一",IF($E59="男",LOOKUP(J59,[1]对照表!$M$3:$M$24,[1]对照表!$P$3:$P$24),LOOKUP(J59,[1]对照表!$M$27:$M$48,[1]对照表!$P$27:$P$48)))))</f>
        <v>78</v>
      </c>
      <c r="L59" s="38">
        <v>57</v>
      </c>
      <c r="M59" s="32">
        <f>IF(B59="高三",IF($E59="男",LOOKUP(L59,[1]对照表!$S$3:$S$24,[1]对照表!$T$3:$T$24),LOOKUP(L59,[1]对照表!$S$27:$S$48,[1]对照表!$T$27:$T$48)),IF(B59="高二",IF($E59="男",LOOKUP(L59,[1]对照表!$R$3:$R$24,[1]对照表!$T$3:$T$24),LOOKUP(L59,[1]对照表!$R$27:$R$48,[1]对照表!$T$27:$T$48)),IF(B59="高一",IF($E59="男",LOOKUP(L59,[1]对照表!$Q$3:$Q$24,[1]对照表!$T$3:$T$24),LOOKUP(L59,[1]对照表!$Q$27:$Q$48,[1]对照表!$T$27:$T$48)))))</f>
        <v>100</v>
      </c>
      <c r="N59" s="33">
        <f>IF(B59="高三",MAX(IF(E59="男",L59-18,L59-55),0),IF(B59="高二",MAX(IF(E59="男",L59-17,L59-54),0),IF(B59="高一",MAX(IF(E59="男",L59-16,L59-53),0))))</f>
        <v>3</v>
      </c>
      <c r="O59" s="23">
        <f>IF(E59="男",LOOKUP($N59,[1]对照表!$Z$3:$Z$13,[1]对照表!$AA$3:$AA$13),LOOKUP($N59,[1]对照表!$Z$15:$Z$25,[1]对照表!$AA$15:$AA$25))</f>
        <v>1</v>
      </c>
      <c r="P59" s="25">
        <f>M59+O59</f>
        <v>101</v>
      </c>
      <c r="Q59" s="50">
        <v>3.14</v>
      </c>
      <c r="R59" s="32">
        <f>IF(B59="高三",IF($E59="男",LOOKUP(Q59,[1]对照表!$W$3:$W$24,[1]对照表!$X$3:$X$24),LOOKUP(Q59,[1]对照表!$W$27:$W$48,[1]对照表!$X$27:$X$48)),IF(B59="高二",IF($E59="男",LOOKUP(Q59,[1]对照表!$V$3:$V$24,[1]对照表!$X$3:$X$24),LOOKUP(Q59,[1]对照表!$V$27:$V$48,[1]对照表!$X$27:$X$48)),IF(B59="高一",IF($E59="男",LOOKUP(Q59,[1]对照表!$U$3:$U$24,[1]对照表!$X$3:$X$24),LOOKUP(Q59,[1]对照表!$U$27:$U$48,[1]对照表!$X$27:$X$48)))))</f>
        <v>100</v>
      </c>
      <c r="S59" s="33">
        <f>ROUND(IF(IF($B59="高三",MIN(IF($E59="男",$Q59-3.2,$Q59-3.2),0),IF($B59="高二",MIN(IF($E59="男",$Q59-3.25,$Q59-3.22),0),IF($B59="高一",MIN(IF($E59="男",$Q59-3.3,$Q59-3.24),0))))&lt;-0.6,IF($B59="高三",MIN(IF($E59="男",$Q59-3.2,$Q59-3.2),0),IF($B59="高二",MIN(IF($E59="男",$Q59-3.25,$Q59-3.22),0),IF($B59="高一",MIN(IF($E59="男",$Q59-3.3,$Q59-3.24),0))))+0.4,IF($B59="高三",MIN(IF($E59="男",$Q59-3.2,$Q59-3.2),0),IF($B59="高二",MIN(IF($E59="男",$Q59-3.25,$Q59-3.22),0),IF($B59="高一",MIN(IF($E59="男",$Q59-3.3,$Q59-3.24),0))))),2)</f>
        <v>-0.08</v>
      </c>
      <c r="T59" s="23">
        <f>IF(E59="男",LOOKUP($S59,[1]对照表!$AB$3:$AB$13,[1]对照表!$AC$3:$AC$13),LOOKUP($S59,[1]对照表!$AB$15:$AB$25,[1]对照表!$AC$15:$AC$25))</f>
        <v>1</v>
      </c>
      <c r="U59" s="26">
        <f>R59+T59</f>
        <v>101</v>
      </c>
      <c r="V59" s="26">
        <f>SUM(I59,K59,M59)/3*0.3+SUM(G59,R59)/2*0.4</f>
        <v>60.2</v>
      </c>
      <c r="W59" s="27">
        <f>O59+T59</f>
        <v>2</v>
      </c>
      <c r="X59" s="28">
        <f>V59/0.7+W59</f>
        <v>88.000000000000014</v>
      </c>
      <c r="Y59" s="28">
        <f>X59</f>
        <v>88.000000000000014</v>
      </c>
      <c r="Z59" s="38"/>
    </row>
    <row r="60" spans="1:26" ht="15.6" x14ac:dyDescent="0.25">
      <c r="A60" s="48">
        <v>41</v>
      </c>
      <c r="B60" s="17" t="s">
        <v>767</v>
      </c>
      <c r="C60" s="48">
        <v>202</v>
      </c>
      <c r="D60" s="49" t="s">
        <v>876</v>
      </c>
      <c r="E60" s="48" t="s">
        <v>65</v>
      </c>
      <c r="F60" s="50">
        <v>8.5</v>
      </c>
      <c r="G60" s="32">
        <f>IF(B60="高三",IF($E60="男",LOOKUP(F60,[1]对照表!$G$3:$G$24,[1]对照表!$H$3:$H$24),LOOKUP(F60,[1]对照表!$G$27:$G$48,[1]对照表!$H$27:$H$48)),IF(B60="高二",IF($E60="男",LOOKUP(F60,[1]对照表!$F$3:$F$24,[1]对照表!$H$3:$H$24),LOOKUP(F60,[1]对照表!$F$27:$F$48,[1]对照表!$H$27:$H$48)),IF(B60="高一",IF($E60="男",LOOKUP(F60,[1]对照表!$E$3:$E$24,[1]对照表!$H$3:$H$24),LOOKUP(F60,[1]对照表!$E$27:$E$48,[1]对照表!$H$27:$H$48)))))</f>
        <v>80</v>
      </c>
      <c r="H60" s="38">
        <v>24</v>
      </c>
      <c r="I60" s="32">
        <f>IF(B60="高三",IF($E60="男",LOOKUP(H60,[1]对照表!$K$3:$K$24,[1]对照表!$L$3:$L$24),LOOKUP(H60,[1]对照表!$K$27:$K$48,[1]对照表!$L$27:$L$48)),IF(B60="高二",IF($E60="男",LOOKUP(H60,[1]对照表!$J$3:$J$24,[1]对照表!$L$3:$L$24),LOOKUP(H60,[1]对照表!$J$27:$J$48,[1]对照表!$L$27:$L$48)),IF(B60="高一",IF($E60="男",LOOKUP(H60,[1]对照表!$I$3:$I$24,[1]对照表!$L$3:$L$24),LOOKUP(H60,[1]对照表!$I$27:$I$48,[1]对照表!$L$27:$L$48)))))</f>
        <v>95</v>
      </c>
      <c r="J60" s="38">
        <v>180</v>
      </c>
      <c r="K60" s="32">
        <f>IF(B60="高三",IF($E60="男",LOOKUP(J60,[1]对照表!$O$3:$O$24,[1]对照表!$P$3:$P$24),LOOKUP(J60,[1]对照表!$O$27:$O$48,[1]对照表!$P$27:$P$48)),IF(B60="高二",IF($E60="男",LOOKUP(J60,[1]对照表!$N$3:$N$24,[1]对照表!$P$3:$P$24),LOOKUP(J60,[1]对照表!$N$27:$N$48,[1]对照表!$P$27:$P$48)),IF(B60="高一",IF($E60="男",LOOKUP(J60,[1]对照表!$M$3:$M$24,[1]对照表!$P$3:$P$24),LOOKUP(J60,[1]对照表!$M$27:$M$48,[1]对照表!$P$27:$P$48)))))</f>
        <v>80</v>
      </c>
      <c r="L60" s="38">
        <v>55</v>
      </c>
      <c r="M60" s="32">
        <f>IF(B60="高三",IF($E60="男",LOOKUP(L60,[1]对照表!$S$3:$S$24,[1]对照表!$T$3:$T$24),LOOKUP(L60,[1]对照表!$S$27:$S$48,[1]对照表!$T$27:$T$48)),IF(B60="高二",IF($E60="男",LOOKUP(L60,[1]对照表!$R$3:$R$24,[1]对照表!$T$3:$T$24),LOOKUP(L60,[1]对照表!$R$27:$R$48,[1]对照表!$T$27:$T$48)),IF(B60="高一",IF($E60="男",LOOKUP(L60,[1]对照表!$Q$3:$Q$24,[1]对照表!$T$3:$T$24),LOOKUP(L60,[1]对照表!$Q$27:$Q$48,[1]对照表!$T$27:$T$48)))))</f>
        <v>100</v>
      </c>
      <c r="N60" s="33">
        <f>IF(B60="高三",MAX(IF(E60="男",L60-18,L60-55),0),IF(B60="高二",MAX(IF(E60="男",L60-17,L60-54),0),IF(B60="高一",MAX(IF(E60="男",L60-16,L60-53),0))))</f>
        <v>1</v>
      </c>
      <c r="O60" s="23">
        <f>IF(E60="男",LOOKUP($N60,[1]对照表!$Z$3:$Z$13,[1]对照表!$AA$3:$AA$13),LOOKUP($N60,[1]对照表!$Z$15:$Z$25,[1]对照表!$AA$15:$AA$25))</f>
        <v>0</v>
      </c>
      <c r="P60" s="25">
        <f>M60+O60</f>
        <v>100</v>
      </c>
      <c r="Q60" s="50">
        <v>3.29</v>
      </c>
      <c r="R60" s="32">
        <f>IF(B60="高三",IF($E60="男",LOOKUP(Q60,[1]对照表!$W$3:$W$24,[1]对照表!$X$3:$X$24),LOOKUP(Q60,[1]对照表!$W$27:$W$48,[1]对照表!$X$27:$X$48)),IF(B60="高二",IF($E60="男",LOOKUP(Q60,[1]对照表!$V$3:$V$24,[1]对照表!$X$3:$X$24),LOOKUP(Q60,[1]对照表!$V$27:$V$48,[1]对照表!$X$27:$X$48)),IF(B60="高一",IF($E60="男",LOOKUP(Q60,[1]对照表!$U$3:$U$24,[1]对照表!$X$3:$X$24),LOOKUP(Q60,[1]对照表!$U$27:$U$48,[1]对照表!$X$27:$X$48)))))</f>
        <v>90</v>
      </c>
      <c r="S60" s="33">
        <f>ROUND(IF(IF($B60="高三",MIN(IF($E60="男",$Q60-3.2,$Q60-3.2),0),IF($B60="高二",MIN(IF($E60="男",$Q60-3.25,$Q60-3.22),0),IF($B60="高一",MIN(IF($E60="男",$Q60-3.3,$Q60-3.24),0))))&lt;-0.6,IF($B60="高三",MIN(IF($E60="男",$Q60-3.2,$Q60-3.2),0),IF($B60="高二",MIN(IF($E60="男",$Q60-3.25,$Q60-3.22),0),IF($B60="高一",MIN(IF($E60="男",$Q60-3.3,$Q60-3.24),0))))+0.4,IF($B60="高三",MIN(IF($E60="男",$Q60-3.2,$Q60-3.2),0),IF($B60="高二",MIN(IF($E60="男",$Q60-3.25,$Q60-3.22),0),IF($B60="高一",MIN(IF($E60="男",$Q60-3.3,$Q60-3.24),0))))),2)</f>
        <v>0</v>
      </c>
      <c r="T60" s="23">
        <f>IF(E60="男",LOOKUP($S60,[1]对照表!$AB$3:$AB$13,[1]对照表!$AC$3:$AC$13),LOOKUP($S60,[1]对照表!$AB$15:$AB$25,[1]对照表!$AC$15:$AC$25))</f>
        <v>0</v>
      </c>
      <c r="U60" s="26">
        <f>R60+T60</f>
        <v>90</v>
      </c>
      <c r="V60" s="26">
        <f>SUM(I60,K60,M60)/3*0.3+SUM(G60,R60)/2*0.4</f>
        <v>61.5</v>
      </c>
      <c r="W60" s="27">
        <f>O60+T60</f>
        <v>0</v>
      </c>
      <c r="X60" s="28">
        <f>V60/0.7+W60</f>
        <v>87.857142857142861</v>
      </c>
      <c r="Y60" s="28">
        <f>X60</f>
        <v>87.857142857142861</v>
      </c>
      <c r="Z60" s="38"/>
    </row>
    <row r="61" spans="1:26" ht="15.6" x14ac:dyDescent="0.25">
      <c r="A61" s="48">
        <v>43</v>
      </c>
      <c r="B61" s="17" t="s">
        <v>767</v>
      </c>
      <c r="C61" s="48">
        <v>202</v>
      </c>
      <c r="D61" s="49" t="s">
        <v>877</v>
      </c>
      <c r="E61" s="48" t="s">
        <v>65</v>
      </c>
      <c r="F61" s="50">
        <v>8.41</v>
      </c>
      <c r="G61" s="32">
        <f>IF(B61="高三",IF($E61="男",LOOKUP(F61,[1]对照表!$G$3:$G$24,[1]对照表!$H$3:$H$24),LOOKUP(F61,[1]对照表!$G$27:$G$48,[1]对照表!$H$27:$H$48)),IF(B61="高二",IF($E61="男",LOOKUP(F61,[1]对照表!$F$3:$F$24,[1]对照表!$H$3:$H$24),LOOKUP(F61,[1]对照表!$F$27:$F$48,[1]对照表!$H$27:$H$48)),IF(B61="高一",IF($E61="男",LOOKUP(F61,[1]对照表!$E$3:$E$24,[1]对照表!$H$3:$H$24),LOOKUP(F61,[1]对照表!$E$27:$E$48,[1]对照表!$H$27:$H$48)))))</f>
        <v>80</v>
      </c>
      <c r="H61" s="38">
        <v>22.7</v>
      </c>
      <c r="I61" s="32">
        <f>IF(B61="高三",IF($E61="男",LOOKUP(H61,[1]对照表!$K$3:$K$24,[1]对照表!$L$3:$L$24),LOOKUP(H61,[1]对照表!$K$27:$K$48,[1]对照表!$L$27:$L$48)),IF(B61="高二",IF($E61="男",LOOKUP(H61,[1]对照表!$J$3:$J$24,[1]对照表!$L$3:$L$24),LOOKUP(H61,[1]对照表!$J$27:$J$48,[1]对照表!$L$27:$L$48)),IF(B61="高一",IF($E61="男",LOOKUP(H61,[1]对照表!$I$3:$I$24,[1]对照表!$L$3:$L$24),LOOKUP(H61,[1]对照表!$I$27:$I$48,[1]对照表!$L$27:$L$48)))))</f>
        <v>90</v>
      </c>
      <c r="J61" s="38">
        <v>204</v>
      </c>
      <c r="K61" s="32">
        <f>IF(B61="高三",IF($E61="男",LOOKUP(J61,[1]对照表!$O$3:$O$24,[1]对照表!$P$3:$P$24),LOOKUP(J61,[1]对照表!$O$27:$O$48,[1]对照表!$P$27:$P$48)),IF(B61="高二",IF($E61="男",LOOKUP(J61,[1]对照表!$N$3:$N$24,[1]对照表!$P$3:$P$24),LOOKUP(J61,[1]对照表!$N$27:$N$48,[1]对照表!$P$27:$P$48)),IF(B61="高一",IF($E61="男",LOOKUP(J61,[1]对照表!$M$3:$M$24,[1]对照表!$P$3:$P$24),LOOKUP(J61,[1]对照表!$M$27:$M$48,[1]对照表!$P$27:$P$48)))))</f>
        <v>95</v>
      </c>
      <c r="L61" s="38">
        <v>50</v>
      </c>
      <c r="M61" s="32">
        <f>IF(B61="高三",IF($E61="男",LOOKUP(L61,[1]对照表!$S$3:$S$24,[1]对照表!$T$3:$T$24),LOOKUP(L61,[1]对照表!$S$27:$S$48,[1]对照表!$T$27:$T$48)),IF(B61="高二",IF($E61="男",LOOKUP(L61,[1]对照表!$R$3:$R$24,[1]对照表!$T$3:$T$24),LOOKUP(L61,[1]对照表!$R$27:$R$48,[1]对照表!$T$27:$T$48)),IF(B61="高一",IF($E61="男",LOOKUP(L61,[1]对照表!$Q$3:$Q$24,[1]对照表!$T$3:$T$24),LOOKUP(L61,[1]对照表!$Q$27:$Q$48,[1]对照表!$T$27:$T$48)))))</f>
        <v>90</v>
      </c>
      <c r="N61" s="33">
        <f>IF(B61="高三",MAX(IF(E61="男",L61-18,L61-55),0),IF(B61="高二",MAX(IF(E61="男",L61-17,L61-54),0),IF(B61="高一",MAX(IF(E61="男",L61-16,L61-53),0))))</f>
        <v>0</v>
      </c>
      <c r="O61" s="23">
        <f>IF(E61="男",LOOKUP($N61,[1]对照表!$Z$3:$Z$13,[1]对照表!$AA$3:$AA$13),LOOKUP($N61,[1]对照表!$Z$15:$Z$25,[1]对照表!$AA$15:$AA$25))</f>
        <v>0</v>
      </c>
      <c r="P61" s="25">
        <f>M61+O61</f>
        <v>90</v>
      </c>
      <c r="Q61" s="50">
        <v>3.32</v>
      </c>
      <c r="R61" s="32">
        <f>IF(B61="高三",IF($E61="男",LOOKUP(Q61,[1]对照表!$W$3:$W$24,[1]对照表!$X$3:$X$24),LOOKUP(Q61,[1]对照表!$W$27:$W$48,[1]对照表!$X$27:$X$48)),IF(B61="高二",IF($E61="男",LOOKUP(Q61,[1]对照表!$V$3:$V$24,[1]对照表!$X$3:$X$24),LOOKUP(Q61,[1]对照表!$V$27:$V$48,[1]对照表!$X$27:$X$48)),IF(B61="高一",IF($E61="男",LOOKUP(Q61,[1]对照表!$U$3:$U$24,[1]对照表!$X$3:$X$24),LOOKUP(Q61,[1]对照表!$U$27:$U$48,[1]对照表!$X$27:$X$48)))))</f>
        <v>90</v>
      </c>
      <c r="S61" s="33">
        <f>ROUND(IF(IF($B61="高三",MIN(IF($E61="男",$Q61-3.2,$Q61-3.2),0),IF($B61="高二",MIN(IF($E61="男",$Q61-3.25,$Q61-3.22),0),IF($B61="高一",MIN(IF($E61="男",$Q61-3.3,$Q61-3.24),0))))&lt;-0.6,IF($B61="高三",MIN(IF($E61="男",$Q61-3.2,$Q61-3.2),0),IF($B61="高二",MIN(IF($E61="男",$Q61-3.25,$Q61-3.22),0),IF($B61="高一",MIN(IF($E61="男",$Q61-3.3,$Q61-3.24),0))))+0.4,IF($B61="高三",MIN(IF($E61="男",$Q61-3.2,$Q61-3.2),0),IF($B61="高二",MIN(IF($E61="男",$Q61-3.25,$Q61-3.22),0),IF($B61="高一",MIN(IF($E61="男",$Q61-3.3,$Q61-3.24),0))))),2)</f>
        <v>0</v>
      </c>
      <c r="T61" s="23">
        <f>IF(E61="男",LOOKUP($S61,[1]对照表!$AB$3:$AB$13,[1]对照表!$AC$3:$AC$13),LOOKUP($S61,[1]对照表!$AB$15:$AB$25,[1]对照表!$AC$15:$AC$25))</f>
        <v>0</v>
      </c>
      <c r="U61" s="26">
        <f>R61+T61</f>
        <v>90</v>
      </c>
      <c r="V61" s="26">
        <f>SUM(I61,K61,M61)/3*0.3+SUM(G61,R61)/2*0.4</f>
        <v>61.5</v>
      </c>
      <c r="W61" s="27">
        <f>O61+T61</f>
        <v>0</v>
      </c>
      <c r="X61" s="28">
        <f>V61/0.7+W61</f>
        <v>87.857142857142861</v>
      </c>
      <c r="Y61" s="28">
        <f>X61</f>
        <v>87.857142857142861</v>
      </c>
      <c r="Z61" s="38"/>
    </row>
    <row r="62" spans="1:26" ht="15.6" x14ac:dyDescent="0.25">
      <c r="A62" s="48">
        <v>33</v>
      </c>
      <c r="B62" s="17" t="s">
        <v>767</v>
      </c>
      <c r="C62" s="48">
        <v>202</v>
      </c>
      <c r="D62" s="49" t="s">
        <v>882</v>
      </c>
      <c r="E62" s="48" t="s">
        <v>65</v>
      </c>
      <c r="F62" s="50">
        <v>8.4600000000000009</v>
      </c>
      <c r="G62" s="32">
        <f>IF(B62="高三",IF($E62="男",LOOKUP(F62,[1]对照表!$G$3:$G$24,[1]对照表!$H$3:$H$24),LOOKUP(F62,[1]对照表!$G$27:$G$48,[1]对照表!$H$27:$H$48)),IF(B62="高二",IF($E62="男",LOOKUP(F62,[1]对照表!$F$3:$F$24,[1]对照表!$H$3:$H$24),LOOKUP(F62,[1]对照表!$F$27:$F$48,[1]对照表!$H$27:$H$48)),IF(B62="高一",IF($E62="男",LOOKUP(F62,[1]对照表!$E$3:$E$24,[1]对照表!$H$3:$H$24),LOOKUP(F62,[1]对照表!$E$27:$E$48,[1]对照表!$H$27:$H$48)))))</f>
        <v>80</v>
      </c>
      <c r="H62" s="38">
        <v>14.5</v>
      </c>
      <c r="I62" s="32">
        <f>IF(B62="高三",IF($E62="男",LOOKUP(H62,[1]对照表!$K$3:$K$24,[1]对照表!$L$3:$L$24),LOOKUP(H62,[1]对照表!$K$27:$K$48,[1]对照表!$L$27:$L$48)),IF(B62="高二",IF($E62="男",LOOKUP(H62,[1]对照表!$J$3:$J$24,[1]对照表!$L$3:$L$24),LOOKUP(H62,[1]对照表!$J$27:$J$48,[1]对照表!$L$27:$L$48)),IF(B62="高一",IF($E62="男",LOOKUP(H62,[1]对照表!$I$3:$I$24,[1]对照表!$L$3:$L$24),LOOKUP(H62,[1]对照表!$I$27:$I$48,[1]对照表!$L$27:$L$48)))))</f>
        <v>74</v>
      </c>
      <c r="J62" s="38">
        <v>190</v>
      </c>
      <c r="K62" s="32">
        <f>IF(B62="高三",IF($E62="男",LOOKUP(J62,[1]对照表!$O$3:$O$24,[1]对照表!$P$3:$P$24),LOOKUP(J62,[1]对照表!$O$27:$O$48,[1]对照表!$P$27:$P$48)),IF(B62="高二",IF($E62="男",LOOKUP(J62,[1]对照表!$N$3:$N$24,[1]对照表!$P$3:$P$24),LOOKUP(J62,[1]对照表!$N$27:$N$48,[1]对照表!$P$27:$P$48)),IF(B62="高一",IF($E62="男",LOOKUP(J62,[1]对照表!$M$3:$M$24,[1]对照表!$P$3:$P$24),LOOKUP(J62,[1]对照表!$M$27:$M$48,[1]对照表!$P$27:$P$48)))))</f>
        <v>85</v>
      </c>
      <c r="L62" s="38">
        <v>58</v>
      </c>
      <c r="M62" s="32">
        <f>IF(B62="高三",IF($E62="男",LOOKUP(L62,[1]对照表!$S$3:$S$24,[1]对照表!$T$3:$T$24),LOOKUP(L62,[1]对照表!$S$27:$S$48,[1]对照表!$T$27:$T$48)),IF(B62="高二",IF($E62="男",LOOKUP(L62,[1]对照表!$R$3:$R$24,[1]对照表!$T$3:$T$24),LOOKUP(L62,[1]对照表!$R$27:$R$48,[1]对照表!$T$27:$T$48)),IF(B62="高一",IF($E62="男",LOOKUP(L62,[1]对照表!$Q$3:$Q$24,[1]对照表!$T$3:$T$24),LOOKUP(L62,[1]对照表!$Q$27:$Q$48,[1]对照表!$T$27:$T$48)))))</f>
        <v>100</v>
      </c>
      <c r="N62" s="33">
        <f>IF(B62="高三",MAX(IF(E62="男",L62-18,L62-55),0),IF(B62="高二",MAX(IF(E62="男",L62-17,L62-54),0),IF(B62="高一",MAX(IF(E62="男",L62-16,L62-53),0))))</f>
        <v>4</v>
      </c>
      <c r="O62" s="23">
        <f>IF(E62="男",LOOKUP($N62,[1]对照表!$Z$3:$Z$13,[1]对照表!$AA$3:$AA$13),LOOKUP($N62,[1]对照表!$Z$15:$Z$25,[1]对照表!$AA$15:$AA$25))</f>
        <v>2</v>
      </c>
      <c r="P62" s="25">
        <f>M62+O62</f>
        <v>102</v>
      </c>
      <c r="Q62" s="50">
        <v>3.31</v>
      </c>
      <c r="R62" s="32">
        <f>IF(B62="高三",IF($E62="男",LOOKUP(Q62,[1]对照表!$W$3:$W$24,[1]对照表!$X$3:$X$24),LOOKUP(Q62,[1]对照表!$W$27:$W$48,[1]对照表!$X$27:$X$48)),IF(B62="高二",IF($E62="男",LOOKUP(Q62,[1]对照表!$V$3:$V$24,[1]对照表!$X$3:$X$24),LOOKUP(Q62,[1]对照表!$V$27:$V$48,[1]对照表!$X$27:$X$48)),IF(B62="高一",IF($E62="男",LOOKUP(Q62,[1]对照表!$U$3:$U$24,[1]对照表!$X$3:$X$24),LOOKUP(Q62,[1]对照表!$U$27:$U$48,[1]对照表!$X$27:$X$48)))))</f>
        <v>90</v>
      </c>
      <c r="S62" s="33">
        <f>ROUND(IF(IF($B62="高三",MIN(IF($E62="男",$Q62-3.2,$Q62-3.2),0),IF($B62="高二",MIN(IF($E62="男",$Q62-3.25,$Q62-3.22),0),IF($B62="高一",MIN(IF($E62="男",$Q62-3.3,$Q62-3.24),0))))&lt;-0.6,IF($B62="高三",MIN(IF($E62="男",$Q62-3.2,$Q62-3.2),0),IF($B62="高二",MIN(IF($E62="男",$Q62-3.25,$Q62-3.22),0),IF($B62="高一",MIN(IF($E62="男",$Q62-3.3,$Q62-3.24),0))))+0.4,IF($B62="高三",MIN(IF($E62="男",$Q62-3.2,$Q62-3.2),0),IF($B62="高二",MIN(IF($E62="男",$Q62-3.25,$Q62-3.22),0),IF($B62="高一",MIN(IF($E62="男",$Q62-3.3,$Q62-3.24),0))))),2)</f>
        <v>0</v>
      </c>
      <c r="T62" s="23">
        <f>IF(E62="男",LOOKUP($S62,[1]对照表!$AB$3:$AB$13,[1]对照表!$AC$3:$AC$13),LOOKUP($S62,[1]对照表!$AB$15:$AB$25,[1]对照表!$AC$15:$AC$25))</f>
        <v>0</v>
      </c>
      <c r="U62" s="26">
        <f>R62+T62</f>
        <v>90</v>
      </c>
      <c r="V62" s="26">
        <f>SUM(I62,K62,M62)/3*0.3+SUM(G62,R62)/2*0.4</f>
        <v>59.9</v>
      </c>
      <c r="W62" s="27">
        <f>O62+T62</f>
        <v>2</v>
      </c>
      <c r="X62" s="28">
        <f>V62/0.7+W62</f>
        <v>87.571428571428569</v>
      </c>
      <c r="Y62" s="28">
        <f>X62</f>
        <v>87.571428571428569</v>
      </c>
      <c r="Z62" s="38"/>
    </row>
    <row r="63" spans="1:26" ht="15.6" x14ac:dyDescent="0.25">
      <c r="A63" s="48">
        <v>51</v>
      </c>
      <c r="B63" s="17" t="s">
        <v>767</v>
      </c>
      <c r="C63" s="48">
        <v>202</v>
      </c>
      <c r="D63" s="49" t="s">
        <v>890</v>
      </c>
      <c r="E63" s="48" t="s">
        <v>65</v>
      </c>
      <c r="F63" s="50">
        <v>8.35</v>
      </c>
      <c r="G63" s="32">
        <f>IF(B63="高三",IF($E63="男",LOOKUP(F63,[1]对照表!$G$3:$G$24,[1]对照表!$H$3:$H$24),LOOKUP(F63,[1]对照表!$G$27:$G$48,[1]对照表!$H$27:$H$48)),IF(B63="高二",IF($E63="男",LOOKUP(F63,[1]对照表!$F$3:$F$24,[1]对照表!$H$3:$H$24),LOOKUP(F63,[1]对照表!$F$27:$F$48,[1]对照表!$H$27:$H$48)),IF(B63="高一",IF($E63="男",LOOKUP(F63,[1]对照表!$E$3:$E$24,[1]对照表!$H$3:$H$24),LOOKUP(F63,[1]对照表!$E$27:$E$48,[1]对照表!$H$27:$H$48)))))</f>
        <v>80</v>
      </c>
      <c r="H63" s="38">
        <v>27</v>
      </c>
      <c r="I63" s="32">
        <f>IF(B63="高三",IF($E63="男",LOOKUP(H63,[1]对照表!$K$3:$K$24,[1]对照表!$L$3:$L$24),LOOKUP(H63,[1]对照表!$K$27:$K$48,[1]对照表!$L$27:$L$48)),IF(B63="高二",IF($E63="男",LOOKUP(H63,[1]对照表!$J$3:$J$24,[1]对照表!$L$3:$L$24),LOOKUP(H63,[1]对照表!$J$27:$J$48,[1]对照表!$L$27:$L$48)),IF(B63="高一",IF($E63="男",LOOKUP(H63,[1]对照表!$I$3:$I$24,[1]对照表!$L$3:$L$24),LOOKUP(H63,[1]对照表!$I$27:$I$48,[1]对照表!$L$27:$L$48)))))</f>
        <v>100</v>
      </c>
      <c r="J63" s="38">
        <v>178</v>
      </c>
      <c r="K63" s="32">
        <f>IF(B63="高三",IF($E63="男",LOOKUP(J63,[1]对照表!$O$3:$O$24,[1]对照表!$P$3:$P$24),LOOKUP(J63,[1]对照表!$O$27:$O$48,[1]对照表!$P$27:$P$48)),IF(B63="高二",IF($E63="男",LOOKUP(J63,[1]对照表!$N$3:$N$24,[1]对照表!$P$3:$P$24),LOOKUP(J63,[1]对照表!$N$27:$N$48,[1]对照表!$P$27:$P$48)),IF(B63="高一",IF($E63="男",LOOKUP(J63,[1]对照表!$M$3:$M$24,[1]对照表!$P$3:$P$24),LOOKUP(J63,[1]对照表!$M$27:$M$48,[1]对照表!$P$27:$P$48)))))</f>
        <v>78</v>
      </c>
      <c r="L63" s="38">
        <v>59</v>
      </c>
      <c r="M63" s="32">
        <f>IF(B63="高三",IF($E63="男",LOOKUP(L63,[1]对照表!$S$3:$S$24,[1]对照表!$T$3:$T$24),LOOKUP(L63,[1]对照表!$S$27:$S$48,[1]对照表!$T$27:$T$48)),IF(B63="高二",IF($E63="男",LOOKUP(L63,[1]对照表!$R$3:$R$24,[1]对照表!$T$3:$T$24),LOOKUP(L63,[1]对照表!$R$27:$R$48,[1]对照表!$T$27:$T$48)),IF(B63="高一",IF($E63="男",LOOKUP(L63,[1]对照表!$Q$3:$Q$24,[1]对照表!$T$3:$T$24),LOOKUP(L63,[1]对照表!$Q$27:$Q$48,[1]对照表!$T$27:$T$48)))))</f>
        <v>100</v>
      </c>
      <c r="N63" s="33">
        <f>IF(B63="高三",MAX(IF(E63="男",L63-18,L63-55),0),IF(B63="高二",MAX(IF(E63="男",L63-17,L63-54),0),IF(B63="高一",MAX(IF(E63="男",L63-16,L63-53),0))))</f>
        <v>5</v>
      </c>
      <c r="O63" s="23">
        <f>IF(E63="男",LOOKUP($N63,[1]对照表!$Z$3:$Z$13,[1]对照表!$AA$3:$AA$13),LOOKUP($N63,[1]对照表!$Z$15:$Z$25,[1]对照表!$AA$15:$AA$25))</f>
        <v>2</v>
      </c>
      <c r="P63" s="25">
        <f>M63+O63</f>
        <v>102</v>
      </c>
      <c r="Q63" s="50">
        <v>3.52</v>
      </c>
      <c r="R63" s="32">
        <f>IF(B63="高三",IF($E63="男",LOOKUP(Q63,[1]对照表!$W$3:$W$24,[1]对照表!$X$3:$X$24),LOOKUP(Q63,[1]对照表!$W$27:$W$48,[1]对照表!$X$27:$X$48)),IF(B63="高二",IF($E63="男",LOOKUP(Q63,[1]对照表!$V$3:$V$24,[1]对照表!$X$3:$X$24),LOOKUP(Q63,[1]对照表!$V$27:$V$48,[1]对照表!$X$27:$X$48)),IF(B63="高一",IF($E63="男",LOOKUP(Q63,[1]对照表!$U$3:$U$24,[1]对照表!$X$3:$X$24),LOOKUP(Q63,[1]对照表!$U$27:$U$48,[1]对照表!$X$27:$X$48)))))</f>
        <v>78</v>
      </c>
      <c r="S63" s="33">
        <f>ROUND(IF(IF($B63="高三",MIN(IF($E63="男",$Q63-3.2,$Q63-3.2),0),IF($B63="高二",MIN(IF($E63="男",$Q63-3.25,$Q63-3.22),0),IF($B63="高一",MIN(IF($E63="男",$Q63-3.3,$Q63-3.24),0))))&lt;-0.6,IF($B63="高三",MIN(IF($E63="男",$Q63-3.2,$Q63-3.2),0),IF($B63="高二",MIN(IF($E63="男",$Q63-3.25,$Q63-3.22),0),IF($B63="高一",MIN(IF($E63="男",$Q63-3.3,$Q63-3.24),0))))+0.4,IF($B63="高三",MIN(IF($E63="男",$Q63-3.2,$Q63-3.2),0),IF($B63="高二",MIN(IF($E63="男",$Q63-3.25,$Q63-3.22),0),IF($B63="高一",MIN(IF($E63="男",$Q63-3.3,$Q63-3.24),0))))),2)</f>
        <v>0</v>
      </c>
      <c r="T63" s="23">
        <f>IF(E63="男",LOOKUP($S63,[1]对照表!$AB$3:$AB$13,[1]对照表!$AC$3:$AC$13),LOOKUP($S63,[1]对照表!$AB$15:$AB$25,[1]对照表!$AC$15:$AC$25))</f>
        <v>0</v>
      </c>
      <c r="U63" s="26">
        <f>R63+T63</f>
        <v>78</v>
      </c>
      <c r="V63" s="26">
        <f>SUM(I63,K63,M63)/3*0.3+SUM(G63,R63)/2*0.4</f>
        <v>59.400000000000006</v>
      </c>
      <c r="W63" s="27">
        <f>O63+T63</f>
        <v>2</v>
      </c>
      <c r="X63" s="28">
        <f>V63/0.7+W63</f>
        <v>86.857142857142875</v>
      </c>
      <c r="Y63" s="28">
        <f>X63</f>
        <v>86.857142857142875</v>
      </c>
      <c r="Z63" s="38"/>
    </row>
    <row r="64" spans="1:26" ht="15.6" x14ac:dyDescent="0.25">
      <c r="A64" s="48">
        <v>32</v>
      </c>
      <c r="B64" s="17" t="s">
        <v>767</v>
      </c>
      <c r="C64" s="48">
        <v>202</v>
      </c>
      <c r="D64" s="49" t="s">
        <v>910</v>
      </c>
      <c r="E64" s="48" t="s">
        <v>65</v>
      </c>
      <c r="F64" s="50">
        <v>8.9</v>
      </c>
      <c r="G64" s="32">
        <f>IF(B64="高三",IF($E64="男",LOOKUP(F64,[1]对照表!$G$3:$G$24,[1]对照表!$H$3:$H$24),LOOKUP(F64,[1]对照表!$G$27:$G$48,[1]对照表!$H$27:$H$48)),IF(B64="高二",IF($E64="男",LOOKUP(F64,[1]对照表!$F$3:$F$24,[1]对照表!$H$3:$H$24),LOOKUP(F64,[1]对照表!$F$27:$F$48,[1]对照表!$H$27:$H$48)),IF(B64="高一",IF($E64="男",LOOKUP(F64,[1]对照表!$E$3:$E$24,[1]对照表!$H$3:$H$24),LOOKUP(F64,[1]对照表!$E$27:$E$48,[1]对照表!$H$27:$H$48)))))</f>
        <v>76</v>
      </c>
      <c r="H64" s="38">
        <v>21.5</v>
      </c>
      <c r="I64" s="32">
        <f>IF(B64="高三",IF($E64="男",LOOKUP(H64,[1]对照表!$K$3:$K$24,[1]对照表!$L$3:$L$24),LOOKUP(H64,[1]对照表!$K$27:$K$48,[1]对照表!$L$27:$L$48)),IF(B64="高二",IF($E64="男",LOOKUP(H64,[1]对照表!$J$3:$J$24,[1]对照表!$L$3:$L$24),LOOKUP(H64,[1]对照表!$J$27:$J$48,[1]对照表!$L$27:$L$48)),IF(B64="高一",IF($E64="男",LOOKUP(H64,[1]对照表!$I$3:$I$24,[1]对照表!$L$3:$L$24),LOOKUP(H64,[1]对照表!$I$27:$I$48,[1]对照表!$L$27:$L$48)))))</f>
        <v>90</v>
      </c>
      <c r="J64" s="38">
        <v>180</v>
      </c>
      <c r="K64" s="32">
        <f>IF(B64="高三",IF($E64="男",LOOKUP(J64,[1]对照表!$O$3:$O$24,[1]对照表!$P$3:$P$24),LOOKUP(J64,[1]对照表!$O$27:$O$48,[1]对照表!$P$27:$P$48)),IF(B64="高二",IF($E64="男",LOOKUP(J64,[1]对照表!$N$3:$N$24,[1]对照表!$P$3:$P$24),LOOKUP(J64,[1]对照表!$N$27:$N$48,[1]对照表!$P$27:$P$48)),IF(B64="高一",IF($E64="男",LOOKUP(J64,[1]对照表!$M$3:$M$24,[1]对照表!$P$3:$P$24),LOOKUP(J64,[1]对照表!$M$27:$M$48,[1]对照表!$P$27:$P$48)))))</f>
        <v>80</v>
      </c>
      <c r="L64" s="38">
        <v>55</v>
      </c>
      <c r="M64" s="32">
        <f>IF(B64="高三",IF($E64="男",LOOKUP(L64,[1]对照表!$S$3:$S$24,[1]对照表!$T$3:$T$24),LOOKUP(L64,[1]对照表!$S$27:$S$48,[1]对照表!$T$27:$T$48)),IF(B64="高二",IF($E64="男",LOOKUP(L64,[1]对照表!$R$3:$R$24,[1]对照表!$T$3:$T$24),LOOKUP(L64,[1]对照表!$R$27:$R$48,[1]对照表!$T$27:$T$48)),IF(B64="高一",IF($E64="男",LOOKUP(L64,[1]对照表!$Q$3:$Q$24,[1]对照表!$T$3:$T$24),LOOKUP(L64,[1]对照表!$Q$27:$Q$48,[1]对照表!$T$27:$T$48)))))</f>
        <v>100</v>
      </c>
      <c r="N64" s="33">
        <f>IF(B64="高三",MAX(IF(E64="男",L64-18,L64-55),0),IF(B64="高二",MAX(IF(E64="男",L64-17,L64-54),0),IF(B64="高一",MAX(IF(E64="男",L64-16,L64-53),0))))</f>
        <v>1</v>
      </c>
      <c r="O64" s="23">
        <f>IF(E64="男",LOOKUP($N64,[1]对照表!$Z$3:$Z$13,[1]对照表!$AA$3:$AA$13),LOOKUP($N64,[1]对照表!$Z$15:$Z$25,[1]对照表!$AA$15:$AA$25))</f>
        <v>0</v>
      </c>
      <c r="P64" s="25">
        <f>M64+O64</f>
        <v>100</v>
      </c>
      <c r="Q64" s="50">
        <v>3.33</v>
      </c>
      <c r="R64" s="32">
        <f>IF(B64="高三",IF($E64="男",LOOKUP(Q64,[1]对照表!$W$3:$W$24,[1]对照表!$X$3:$X$24),LOOKUP(Q64,[1]对照表!$W$27:$W$48,[1]对照表!$X$27:$X$48)),IF(B64="高二",IF($E64="男",LOOKUP(Q64,[1]对照表!$V$3:$V$24,[1]对照表!$X$3:$X$24),LOOKUP(Q64,[1]对照表!$V$27:$V$48,[1]对照表!$X$27:$X$48)),IF(B64="高一",IF($E64="男",LOOKUP(Q64,[1]对照表!$U$3:$U$24,[1]对照表!$X$3:$X$24),LOOKUP(Q64,[1]对照表!$U$27:$U$48,[1]对照表!$X$27:$X$48)))))</f>
        <v>90</v>
      </c>
      <c r="S64" s="33">
        <f>ROUND(IF(IF($B64="高三",MIN(IF($E64="男",$Q64-3.2,$Q64-3.2),0),IF($B64="高二",MIN(IF($E64="男",$Q64-3.25,$Q64-3.22),0),IF($B64="高一",MIN(IF($E64="男",$Q64-3.3,$Q64-3.24),0))))&lt;-0.6,IF($B64="高三",MIN(IF($E64="男",$Q64-3.2,$Q64-3.2),0),IF($B64="高二",MIN(IF($E64="男",$Q64-3.25,$Q64-3.22),0),IF($B64="高一",MIN(IF($E64="男",$Q64-3.3,$Q64-3.24),0))))+0.4,IF($B64="高三",MIN(IF($E64="男",$Q64-3.2,$Q64-3.2),0),IF($B64="高二",MIN(IF($E64="男",$Q64-3.25,$Q64-3.22),0),IF($B64="高一",MIN(IF($E64="男",$Q64-3.3,$Q64-3.24),0))))),2)</f>
        <v>0</v>
      </c>
      <c r="T64" s="23">
        <f>IF(E64="男",LOOKUP($S64,[1]对照表!$AB$3:$AB$13,[1]对照表!$AC$3:$AC$13),LOOKUP($S64,[1]对照表!$AB$15:$AB$25,[1]对照表!$AC$15:$AC$25))</f>
        <v>0</v>
      </c>
      <c r="U64" s="26">
        <f>R64+T64</f>
        <v>90</v>
      </c>
      <c r="V64" s="26">
        <f>SUM(I64,K64,M64)/3*0.3+SUM(G64,R64)/2*0.4</f>
        <v>60.2</v>
      </c>
      <c r="W64" s="27">
        <f>O64+T64</f>
        <v>0</v>
      </c>
      <c r="X64" s="28">
        <f>V64/0.7+W64</f>
        <v>86.000000000000014</v>
      </c>
      <c r="Y64" s="28">
        <f>X64</f>
        <v>86.000000000000014</v>
      </c>
      <c r="Z64" s="38"/>
    </row>
    <row r="65" spans="1:26" ht="15.6" x14ac:dyDescent="0.25">
      <c r="A65" s="48">
        <v>40</v>
      </c>
      <c r="B65" s="17" t="s">
        <v>767</v>
      </c>
      <c r="C65" s="48">
        <v>202</v>
      </c>
      <c r="D65" s="49" t="s">
        <v>929</v>
      </c>
      <c r="E65" s="48" t="s">
        <v>65</v>
      </c>
      <c r="F65" s="50">
        <v>8.99</v>
      </c>
      <c r="G65" s="32">
        <f>IF(B65="高三",IF($E65="男",LOOKUP(F65,[1]对照表!$G$3:$G$24,[1]对照表!$H$3:$H$24),LOOKUP(F65,[1]对照表!$G$27:$G$48,[1]对照表!$H$27:$H$48)),IF(B65="高二",IF($E65="男",LOOKUP(F65,[1]对照表!$F$3:$F$24,[1]对照表!$H$3:$H$24),LOOKUP(F65,[1]对照表!$F$27:$F$48,[1]对照表!$H$27:$H$48)),IF(B65="高一",IF($E65="男",LOOKUP(F65,[1]对照表!$E$3:$E$24,[1]对照表!$H$3:$H$24),LOOKUP(F65,[1]对照表!$E$27:$E$48,[1]对照表!$H$27:$H$48)))))</f>
        <v>74</v>
      </c>
      <c r="H65" s="38">
        <v>24.5</v>
      </c>
      <c r="I65" s="32">
        <f>IF(B65="高三",IF($E65="男",LOOKUP(H65,[1]对照表!$K$3:$K$24,[1]对照表!$L$3:$L$24),LOOKUP(H65,[1]对照表!$K$27:$K$48,[1]对照表!$L$27:$L$48)),IF(B65="高二",IF($E65="男",LOOKUP(H65,[1]对照表!$J$3:$J$24,[1]对照表!$L$3:$L$24),LOOKUP(H65,[1]对照表!$J$27:$J$48,[1]对照表!$L$27:$L$48)),IF(B65="高一",IF($E65="男",LOOKUP(H65,[1]对照表!$I$3:$I$24,[1]对照表!$L$3:$L$24),LOOKUP(H65,[1]对照表!$I$27:$I$48,[1]对照表!$L$27:$L$48)))))</f>
        <v>95</v>
      </c>
      <c r="J65" s="38">
        <v>170</v>
      </c>
      <c r="K65" s="32">
        <f>IF(B65="高三",IF($E65="男",LOOKUP(J65,[1]对照表!$O$3:$O$24,[1]对照表!$P$3:$P$24),LOOKUP(J65,[1]对照表!$O$27:$O$48,[1]对照表!$P$27:$P$48)),IF(B65="高二",IF($E65="男",LOOKUP(J65,[1]对照表!$N$3:$N$24,[1]对照表!$P$3:$P$24),LOOKUP(J65,[1]对照表!$N$27:$N$48,[1]对照表!$P$27:$P$48)),IF(B65="高一",IF($E65="男",LOOKUP(J65,[1]对照表!$M$3:$M$24,[1]对照表!$P$3:$P$24),LOOKUP(J65,[1]对照表!$M$27:$M$48,[1]对照表!$P$27:$P$48)))))</f>
        <v>74</v>
      </c>
      <c r="L65" s="38">
        <v>55</v>
      </c>
      <c r="M65" s="32">
        <f>IF(B65="高三",IF($E65="男",LOOKUP(L65,[1]对照表!$S$3:$S$24,[1]对照表!$T$3:$T$24),LOOKUP(L65,[1]对照表!$S$27:$S$48,[1]对照表!$T$27:$T$48)),IF(B65="高二",IF($E65="男",LOOKUP(L65,[1]对照表!$R$3:$R$24,[1]对照表!$T$3:$T$24),LOOKUP(L65,[1]对照表!$R$27:$R$48,[1]对照表!$T$27:$T$48)),IF(B65="高一",IF($E65="男",LOOKUP(L65,[1]对照表!$Q$3:$Q$24,[1]对照表!$T$3:$T$24),LOOKUP(L65,[1]对照表!$Q$27:$Q$48,[1]对照表!$T$27:$T$48)))))</f>
        <v>100</v>
      </c>
      <c r="N65" s="33">
        <f>IF(B65="高三",MAX(IF(E65="男",L65-18,L65-55),0),IF(B65="高二",MAX(IF(E65="男",L65-17,L65-54),0),IF(B65="高一",MAX(IF(E65="男",L65-16,L65-53),0))))</f>
        <v>1</v>
      </c>
      <c r="O65" s="23">
        <f>IF(E65="男",LOOKUP($N65,[1]对照表!$Z$3:$Z$13,[1]对照表!$AA$3:$AA$13),LOOKUP($N65,[1]对照表!$Z$15:$Z$25,[1]对照表!$AA$15:$AA$25))</f>
        <v>0</v>
      </c>
      <c r="P65" s="25">
        <f>M65+O65</f>
        <v>100</v>
      </c>
      <c r="Q65" s="50">
        <v>3.34</v>
      </c>
      <c r="R65" s="32">
        <f>IF(B65="高三",IF($E65="男",LOOKUP(Q65,[1]对照表!$W$3:$W$24,[1]对照表!$X$3:$X$24),LOOKUP(Q65,[1]对照表!$W$27:$W$48,[1]对照表!$X$27:$X$48)),IF(B65="高二",IF($E65="男",LOOKUP(Q65,[1]对照表!$V$3:$V$24,[1]对照表!$X$3:$X$24),LOOKUP(Q65,[1]对照表!$V$27:$V$48,[1]对照表!$X$27:$X$48)),IF(B65="高一",IF($E65="男",LOOKUP(Q65,[1]对照表!$U$3:$U$24,[1]对照表!$X$3:$X$24),LOOKUP(Q65,[1]对照表!$U$27:$U$48,[1]对照表!$X$27:$X$48)))))</f>
        <v>90</v>
      </c>
      <c r="S65" s="33">
        <f>ROUND(IF(IF($B65="高三",MIN(IF($E65="男",$Q65-3.2,$Q65-3.2),0),IF($B65="高二",MIN(IF($E65="男",$Q65-3.25,$Q65-3.22),0),IF($B65="高一",MIN(IF($E65="男",$Q65-3.3,$Q65-3.24),0))))&lt;-0.6,IF($B65="高三",MIN(IF($E65="男",$Q65-3.2,$Q65-3.2),0),IF($B65="高二",MIN(IF($E65="男",$Q65-3.25,$Q65-3.22),0),IF($B65="高一",MIN(IF($E65="男",$Q65-3.3,$Q65-3.24),0))))+0.4,IF($B65="高三",MIN(IF($E65="男",$Q65-3.2,$Q65-3.2),0),IF($B65="高二",MIN(IF($E65="男",$Q65-3.25,$Q65-3.22),0),IF($B65="高一",MIN(IF($E65="男",$Q65-3.3,$Q65-3.24),0))))),2)</f>
        <v>0</v>
      </c>
      <c r="T65" s="23">
        <f>IF(E65="男",LOOKUP($S65,[1]对照表!$AB$3:$AB$13,[1]对照表!$AC$3:$AC$13),LOOKUP($S65,[1]对照表!$AB$15:$AB$25,[1]对照表!$AC$15:$AC$25))</f>
        <v>0</v>
      </c>
      <c r="U65" s="26">
        <f>R65+T65</f>
        <v>90</v>
      </c>
      <c r="V65" s="26">
        <f>SUM(I65,K65,M65)/3*0.3+SUM(G65,R65)/2*0.4</f>
        <v>59.7</v>
      </c>
      <c r="W65" s="27">
        <f>O65+T65</f>
        <v>0</v>
      </c>
      <c r="X65" s="28">
        <f>V65/0.7+W65</f>
        <v>85.285714285714292</v>
      </c>
      <c r="Y65" s="28">
        <f>X65</f>
        <v>85.285714285714292</v>
      </c>
      <c r="Z65" s="38"/>
    </row>
    <row r="66" spans="1:26" ht="15.6" x14ac:dyDescent="0.25">
      <c r="A66" s="48">
        <v>45</v>
      </c>
      <c r="B66" s="17" t="s">
        <v>767</v>
      </c>
      <c r="C66" s="48">
        <v>202</v>
      </c>
      <c r="D66" s="49" t="s">
        <v>933</v>
      </c>
      <c r="E66" s="48" t="s">
        <v>65</v>
      </c>
      <c r="F66" s="50">
        <v>8.9</v>
      </c>
      <c r="G66" s="32">
        <f>IF(B66="高三",IF($E66="男",LOOKUP(F66,[1]对照表!$G$3:$G$24,[1]对照表!$H$3:$H$24),LOOKUP(F66,[1]对照表!$G$27:$G$48,[1]对照表!$H$27:$H$48)),IF(B66="高二",IF($E66="男",LOOKUP(F66,[1]对照表!$F$3:$F$24,[1]对照表!$H$3:$H$24),LOOKUP(F66,[1]对照表!$F$27:$F$48,[1]对照表!$H$27:$H$48)),IF(B66="高一",IF($E66="男",LOOKUP(F66,[1]对照表!$E$3:$E$24,[1]对照表!$H$3:$H$24),LOOKUP(F66,[1]对照表!$E$27:$E$48,[1]对照表!$H$27:$H$48)))))</f>
        <v>76</v>
      </c>
      <c r="H66" s="38">
        <v>26.4</v>
      </c>
      <c r="I66" s="32">
        <f>IF(B66="高三",IF($E66="男",LOOKUP(H66,[1]对照表!$K$3:$K$24,[1]对照表!$L$3:$L$24),LOOKUP(H66,[1]对照表!$K$27:$K$48,[1]对照表!$L$27:$L$48)),IF(B66="高二",IF($E66="男",LOOKUP(H66,[1]对照表!$J$3:$J$24,[1]对照表!$L$3:$L$24),LOOKUP(H66,[1]对照表!$J$27:$J$48,[1]对照表!$L$27:$L$48)),IF(B66="高一",IF($E66="男",LOOKUP(H66,[1]对照表!$I$3:$I$24,[1]对照表!$L$3:$L$24),LOOKUP(H66,[1]对照表!$I$27:$I$48,[1]对照表!$L$27:$L$48)))))</f>
        <v>100</v>
      </c>
      <c r="J66" s="38">
        <v>199</v>
      </c>
      <c r="K66" s="32">
        <f>IF(B66="高三",IF($E66="男",LOOKUP(J66,[1]对照表!$O$3:$O$24,[1]对照表!$P$3:$P$24),LOOKUP(J66,[1]对照表!$O$27:$O$48,[1]对照表!$P$27:$P$48)),IF(B66="高二",IF($E66="男",LOOKUP(J66,[1]对照表!$N$3:$N$24,[1]对照表!$P$3:$P$24),LOOKUP(J66,[1]对照表!$N$27:$N$48,[1]对照表!$P$27:$P$48)),IF(B66="高一",IF($E66="男",LOOKUP(J66,[1]对照表!$M$3:$M$24,[1]对照表!$P$3:$P$24),LOOKUP(J66,[1]对照表!$M$27:$M$48,[1]对照表!$P$27:$P$48)))))</f>
        <v>95</v>
      </c>
      <c r="L66" s="38">
        <v>45</v>
      </c>
      <c r="M66" s="32">
        <f>IF(B66="高三",IF($E66="男",LOOKUP(L66,[1]对照表!$S$3:$S$24,[1]对照表!$T$3:$T$24),LOOKUP(L66,[1]对照表!$S$27:$S$48,[1]对照表!$T$27:$T$48)),IF(B66="高二",IF($E66="男",LOOKUP(L66,[1]对照表!$R$3:$R$24,[1]对照表!$T$3:$T$24),LOOKUP(L66,[1]对照表!$R$27:$R$48,[1]对照表!$T$27:$T$48)),IF(B66="高一",IF($E66="男",LOOKUP(L66,[1]对照表!$Q$3:$Q$24,[1]对照表!$T$3:$T$24),LOOKUP(L66,[1]对照表!$Q$27:$Q$48,[1]对照表!$T$27:$T$48)))))</f>
        <v>80</v>
      </c>
      <c r="N66" s="33">
        <f>IF(B66="高三",MAX(IF(E66="男",L66-18,L66-55),0),IF(B66="高二",MAX(IF(E66="男",L66-17,L66-54),0),IF(B66="高一",MAX(IF(E66="男",L66-16,L66-53),0))))</f>
        <v>0</v>
      </c>
      <c r="O66" s="23">
        <f>IF(E66="男",LOOKUP($N66,[1]对照表!$Z$3:$Z$13,[1]对照表!$AA$3:$AA$13),LOOKUP($N66,[1]对照表!$Z$15:$Z$25,[1]对照表!$AA$15:$AA$25))</f>
        <v>0</v>
      </c>
      <c r="P66" s="25">
        <f>M66+O66</f>
        <v>80</v>
      </c>
      <c r="Q66" s="50">
        <v>3.35</v>
      </c>
      <c r="R66" s="32">
        <f>IF(B66="高三",IF($E66="男",LOOKUP(Q66,[1]对照表!$W$3:$W$24,[1]对照表!$X$3:$X$24),LOOKUP(Q66,[1]对照表!$W$27:$W$48,[1]对照表!$X$27:$X$48)),IF(B66="高二",IF($E66="男",LOOKUP(Q66,[1]对照表!$V$3:$V$24,[1]对照表!$X$3:$X$24),LOOKUP(Q66,[1]对照表!$V$27:$V$48,[1]对照表!$X$27:$X$48)),IF(B66="高一",IF($E66="男",LOOKUP(Q66,[1]对照表!$U$3:$U$24,[1]对照表!$X$3:$X$24),LOOKUP(Q66,[1]对照表!$U$27:$U$48,[1]对照表!$X$27:$X$48)))))</f>
        <v>85</v>
      </c>
      <c r="S66" s="33">
        <f>ROUND(IF(IF($B66="高三",MIN(IF($E66="男",$Q66-3.2,$Q66-3.2),0),IF($B66="高二",MIN(IF($E66="男",$Q66-3.25,$Q66-3.22),0),IF($B66="高一",MIN(IF($E66="男",$Q66-3.3,$Q66-3.24),0))))&lt;-0.6,IF($B66="高三",MIN(IF($E66="男",$Q66-3.2,$Q66-3.2),0),IF($B66="高二",MIN(IF($E66="男",$Q66-3.25,$Q66-3.22),0),IF($B66="高一",MIN(IF($E66="男",$Q66-3.3,$Q66-3.24),0))))+0.4,IF($B66="高三",MIN(IF($E66="男",$Q66-3.2,$Q66-3.2),0),IF($B66="高二",MIN(IF($E66="男",$Q66-3.25,$Q66-3.22),0),IF($B66="高一",MIN(IF($E66="男",$Q66-3.3,$Q66-3.24),0))))),2)</f>
        <v>0</v>
      </c>
      <c r="T66" s="23">
        <f>IF(E66="男",LOOKUP($S66,[1]对照表!$AB$3:$AB$13,[1]对照表!$AC$3:$AC$13),LOOKUP($S66,[1]对照表!$AB$15:$AB$25,[1]对照表!$AC$15:$AC$25))</f>
        <v>0</v>
      </c>
      <c r="U66" s="26">
        <f>R66+T66</f>
        <v>85</v>
      </c>
      <c r="V66" s="26">
        <f>SUM(I66,K66,M66)/3*0.3+SUM(G66,R66)/2*0.4</f>
        <v>59.7</v>
      </c>
      <c r="W66" s="27">
        <f>O66+T66</f>
        <v>0</v>
      </c>
      <c r="X66" s="28">
        <f>V66/0.7+W66</f>
        <v>85.285714285714292</v>
      </c>
      <c r="Y66" s="28">
        <f>X66</f>
        <v>85.285714285714292</v>
      </c>
      <c r="Z66" s="54"/>
    </row>
    <row r="67" spans="1:26" ht="15.6" x14ac:dyDescent="0.25">
      <c r="A67" s="48">
        <v>17</v>
      </c>
      <c r="B67" s="17" t="s">
        <v>767</v>
      </c>
      <c r="C67" s="48">
        <v>202</v>
      </c>
      <c r="D67" s="49" t="s">
        <v>936</v>
      </c>
      <c r="E67" s="48" t="s">
        <v>65</v>
      </c>
      <c r="F67" s="50">
        <v>8.51</v>
      </c>
      <c r="G67" s="32">
        <f>IF(B67="高三",IF($E67="男",LOOKUP(F67,[1]对照表!$G$3:$G$24,[1]对照表!$H$3:$H$24),LOOKUP(F67,[1]对照表!$G$27:$G$48,[1]对照表!$H$27:$H$48)),IF(B67="高二",IF($E67="男",LOOKUP(F67,[1]对照表!$F$3:$F$24,[1]对照表!$H$3:$H$24),LOOKUP(F67,[1]对照表!$F$27:$F$48,[1]对照表!$H$27:$H$48)),IF(B67="高一",IF($E67="男",LOOKUP(F67,[1]对照表!$E$3:$E$24,[1]对照表!$H$3:$H$24),LOOKUP(F67,[1]对照表!$E$27:$E$48,[1]对照表!$H$27:$H$48)))))</f>
        <v>78</v>
      </c>
      <c r="H67" s="38">
        <v>24.5</v>
      </c>
      <c r="I67" s="32">
        <f>IF(B67="高三",IF($E67="男",LOOKUP(H67,[1]对照表!$K$3:$K$24,[1]对照表!$L$3:$L$24),LOOKUP(H67,[1]对照表!$K$27:$K$48,[1]对照表!$L$27:$L$48)),IF(B67="高二",IF($E67="男",LOOKUP(H67,[1]对照表!$J$3:$J$24,[1]对照表!$L$3:$L$24),LOOKUP(H67,[1]对照表!$J$27:$J$48,[1]对照表!$L$27:$L$48)),IF(B67="高一",IF($E67="男",LOOKUP(H67,[1]对照表!$I$3:$I$24,[1]对照表!$L$3:$L$24),LOOKUP(H67,[1]对照表!$I$27:$I$48,[1]对照表!$L$27:$L$48)))))</f>
        <v>95</v>
      </c>
      <c r="J67" s="38">
        <v>198</v>
      </c>
      <c r="K67" s="32">
        <f>IF(B67="高三",IF($E67="男",LOOKUP(J67,[1]对照表!$O$3:$O$24,[1]对照表!$P$3:$P$24),LOOKUP(J67,[1]对照表!$O$27:$O$48,[1]对照表!$P$27:$P$48)),IF(B67="高二",IF($E67="男",LOOKUP(J67,[1]对照表!$N$3:$N$24,[1]对照表!$P$3:$P$24),LOOKUP(J67,[1]对照表!$N$27:$N$48,[1]对照表!$P$27:$P$48)),IF(B67="高一",IF($E67="男",LOOKUP(J67,[1]对照表!$M$3:$M$24,[1]对照表!$P$3:$P$24),LOOKUP(J67,[1]对照表!$M$27:$M$48,[1]对照表!$P$27:$P$48)))))</f>
        <v>90</v>
      </c>
      <c r="L67" s="38">
        <v>48</v>
      </c>
      <c r="M67" s="32">
        <f>IF(B67="高三",IF($E67="男",LOOKUP(L67,[1]对照表!$S$3:$S$24,[1]对照表!$T$3:$T$24),LOOKUP(L67,[1]对照表!$S$27:$S$48,[1]对照表!$T$27:$T$48)),IF(B67="高二",IF($E67="男",LOOKUP(L67,[1]对照表!$R$3:$R$24,[1]对照表!$T$3:$T$24),LOOKUP(L67,[1]对照表!$R$27:$R$48,[1]对照表!$T$27:$T$48)),IF(B67="高一",IF($E67="男",LOOKUP(L67,[1]对照表!$Q$3:$Q$24,[1]对照表!$T$3:$T$24),LOOKUP(L67,[1]对照表!$Q$27:$Q$48,[1]对照表!$T$27:$T$48)))))</f>
        <v>85</v>
      </c>
      <c r="N67" s="33">
        <f>IF(B67="高三",MAX(IF(E67="男",L67-18,L67-55),0),IF(B67="高二",MAX(IF(E67="男",L67-17,L67-54),0),IF(B67="高一",MAX(IF(E67="男",L67-16,L67-53),0))))</f>
        <v>0</v>
      </c>
      <c r="O67" s="23">
        <f>IF(E67="男",LOOKUP($N67,[1]对照表!$Z$3:$Z$13,[1]对照表!$AA$3:$AA$13),LOOKUP($N67,[1]对照表!$Z$15:$Z$25,[1]对照表!$AA$15:$AA$25))</f>
        <v>0</v>
      </c>
      <c r="P67" s="25">
        <f>M67+O67</f>
        <v>85</v>
      </c>
      <c r="Q67" s="50">
        <v>3.37</v>
      </c>
      <c r="R67" s="32">
        <f>IF(B67="高三",IF($E67="男",LOOKUP(Q67,[1]对照表!$W$3:$W$24,[1]对照表!$X$3:$X$24),LOOKUP(Q67,[1]对照表!$W$27:$W$48,[1]对照表!$X$27:$X$48)),IF(B67="高二",IF($E67="男",LOOKUP(Q67,[1]对照表!$V$3:$V$24,[1]对照表!$X$3:$X$24),LOOKUP(Q67,[1]对照表!$V$27:$V$48,[1]对照表!$X$27:$X$48)),IF(B67="高一",IF($E67="男",LOOKUP(Q67,[1]对照表!$U$3:$U$24,[1]对照表!$X$3:$X$24),LOOKUP(Q67,[1]对照表!$U$27:$U$48,[1]对照表!$X$27:$X$48)))))</f>
        <v>85</v>
      </c>
      <c r="S67" s="33">
        <f>ROUND(IF(IF($B67="高三",MIN(IF($E67="男",$Q67-3.2,$Q67-3.2),0),IF($B67="高二",MIN(IF($E67="男",$Q67-3.25,$Q67-3.22),0),IF($B67="高一",MIN(IF($E67="男",$Q67-3.3,$Q67-3.24),0))))&lt;-0.6,IF($B67="高三",MIN(IF($E67="男",$Q67-3.2,$Q67-3.2),0),IF($B67="高二",MIN(IF($E67="男",$Q67-3.25,$Q67-3.22),0),IF($B67="高一",MIN(IF($E67="男",$Q67-3.3,$Q67-3.24),0))))+0.4,IF($B67="高三",MIN(IF($E67="男",$Q67-3.2,$Q67-3.2),0),IF($B67="高二",MIN(IF($E67="男",$Q67-3.25,$Q67-3.22),0),IF($B67="高一",MIN(IF($E67="男",$Q67-3.3,$Q67-3.24),0))))),2)</f>
        <v>0</v>
      </c>
      <c r="T67" s="23">
        <f>IF(E67="男",LOOKUP($S67,[1]对照表!$AB$3:$AB$13,[1]对照表!$AC$3:$AC$13),LOOKUP($S67,[1]对照表!$AB$15:$AB$25,[1]对照表!$AC$15:$AC$25))</f>
        <v>0</v>
      </c>
      <c r="U67" s="26">
        <f>R67+T67</f>
        <v>85</v>
      </c>
      <c r="V67" s="26">
        <f>SUM(I67,K67,M67)/3*0.3+SUM(G67,R67)/2*0.4</f>
        <v>59.6</v>
      </c>
      <c r="W67" s="27">
        <f>O67+T67</f>
        <v>0</v>
      </c>
      <c r="X67" s="28">
        <f>V67/0.7+W67</f>
        <v>85.142857142857153</v>
      </c>
      <c r="Y67" s="28">
        <f>X67</f>
        <v>85.142857142857153</v>
      </c>
      <c r="Z67" s="54"/>
    </row>
    <row r="68" spans="1:26" ht="15.6" x14ac:dyDescent="0.25">
      <c r="A68" s="48">
        <v>15</v>
      </c>
      <c r="B68" s="17" t="s">
        <v>767</v>
      </c>
      <c r="C68" s="48">
        <v>202</v>
      </c>
      <c r="D68" s="49" t="s">
        <v>949</v>
      </c>
      <c r="E68" s="48" t="s">
        <v>65</v>
      </c>
      <c r="F68" s="50">
        <v>8.6999999999999993</v>
      </c>
      <c r="G68" s="32">
        <f>IF(B68="高三",IF($E68="男",LOOKUP(F68,[1]对照表!$G$3:$G$24,[1]对照表!$H$3:$H$24),LOOKUP(F68,[1]对照表!$G$27:$G$48,[1]对照表!$H$27:$H$48)),IF(B68="高二",IF($E68="男",LOOKUP(F68,[1]对照表!$F$3:$F$24,[1]对照表!$H$3:$H$24),LOOKUP(F68,[1]对照表!$F$27:$F$48,[1]对照表!$H$27:$H$48)),IF(B68="高一",IF($E68="男",LOOKUP(F68,[1]对照表!$E$3:$E$24,[1]对照表!$H$3:$H$24),LOOKUP(F68,[1]对照表!$E$27:$E$48,[1]对照表!$H$27:$H$48)))))</f>
        <v>78</v>
      </c>
      <c r="H68" s="38">
        <v>19</v>
      </c>
      <c r="I68" s="32">
        <f>IF(B68="高三",IF($E68="男",LOOKUP(H68,[1]对照表!$K$3:$K$24,[1]对照表!$L$3:$L$24),LOOKUP(H68,[1]对照表!$K$27:$K$48,[1]对照表!$L$27:$L$48)),IF(B68="高二",IF($E68="男",LOOKUP(H68,[1]对照表!$J$3:$J$24,[1]对照表!$L$3:$L$24),LOOKUP(H68,[1]对照表!$J$27:$J$48,[1]对照表!$L$27:$L$48)),IF(B68="高一",IF($E68="男",LOOKUP(H68,[1]对照表!$I$3:$I$24,[1]对照表!$L$3:$L$24),LOOKUP(H68,[1]对照表!$I$27:$I$48,[1]对照表!$L$27:$L$48)))))</f>
        <v>80</v>
      </c>
      <c r="J68" s="38">
        <v>175</v>
      </c>
      <c r="K68" s="32">
        <f>IF(B68="高三",IF($E68="男",LOOKUP(J68,[1]对照表!$O$3:$O$24,[1]对照表!$P$3:$P$24),LOOKUP(J68,[1]对照表!$O$27:$O$48,[1]对照表!$P$27:$P$48)),IF(B68="高二",IF($E68="男",LOOKUP(J68,[1]对照表!$N$3:$N$24,[1]对照表!$P$3:$P$24),LOOKUP(J68,[1]对照表!$N$27:$N$48,[1]对照表!$P$27:$P$48)),IF(B68="高一",IF($E68="男",LOOKUP(J68,[1]对照表!$M$3:$M$24,[1]对照表!$P$3:$P$24),LOOKUP(J68,[1]对照表!$M$27:$M$48,[1]对照表!$P$27:$P$48)))))</f>
        <v>76</v>
      </c>
      <c r="L68" s="38">
        <v>51</v>
      </c>
      <c r="M68" s="32">
        <f>IF(B68="高三",IF($E68="男",LOOKUP(L68,[1]对照表!$S$3:$S$24,[1]对照表!$T$3:$T$24),LOOKUP(L68,[1]对照表!$S$27:$S$48,[1]对照表!$T$27:$T$48)),IF(B68="高二",IF($E68="男",LOOKUP(L68,[1]对照表!$R$3:$R$24,[1]对照表!$T$3:$T$24),LOOKUP(L68,[1]对照表!$R$27:$R$48,[1]对照表!$T$27:$T$48)),IF(B68="高一",IF($E68="男",LOOKUP(L68,[1]对照表!$Q$3:$Q$24,[1]对照表!$T$3:$T$24),LOOKUP(L68,[1]对照表!$Q$27:$Q$48,[1]对照表!$T$27:$T$48)))))</f>
        <v>90</v>
      </c>
      <c r="N68" s="33">
        <f>IF(B68="高三",MAX(IF(E68="男",L68-18,L68-55),0),IF(B68="高二",MAX(IF(E68="男",L68-17,L68-54),0),IF(B68="高一",MAX(IF(E68="男",L68-16,L68-53),0))))</f>
        <v>0</v>
      </c>
      <c r="O68" s="23">
        <f>IF(E68="男",LOOKUP($N68,[1]对照表!$Z$3:$Z$13,[1]对照表!$AA$3:$AA$13),LOOKUP($N68,[1]对照表!$Z$15:$Z$25,[1]对照表!$AA$15:$AA$25))</f>
        <v>0</v>
      </c>
      <c r="P68" s="25">
        <f>M68+O68</f>
        <v>90</v>
      </c>
      <c r="Q68" s="50">
        <v>3.28</v>
      </c>
      <c r="R68" s="32">
        <f>IF(B68="高三",IF($E68="男",LOOKUP(Q68,[1]对照表!$W$3:$W$24,[1]对照表!$X$3:$X$24),LOOKUP(Q68,[1]对照表!$W$27:$W$48,[1]对照表!$X$27:$X$48)),IF(B68="高二",IF($E68="男",LOOKUP(Q68,[1]对照表!$V$3:$V$24,[1]对照表!$X$3:$X$24),LOOKUP(Q68,[1]对照表!$V$27:$V$48,[1]对照表!$X$27:$X$48)),IF(B68="高一",IF($E68="男",LOOKUP(Q68,[1]对照表!$U$3:$U$24,[1]对照表!$X$3:$X$24),LOOKUP(Q68,[1]对照表!$U$27:$U$48,[1]对照表!$X$27:$X$48)))))</f>
        <v>95</v>
      </c>
      <c r="S68" s="33">
        <f>ROUND(IF(IF($B68="高三",MIN(IF($E68="男",$Q68-3.2,$Q68-3.2),0),IF($B68="高二",MIN(IF($E68="男",$Q68-3.25,$Q68-3.22),0),IF($B68="高一",MIN(IF($E68="男",$Q68-3.3,$Q68-3.24),0))))&lt;-0.6,IF($B68="高三",MIN(IF($E68="男",$Q68-3.2,$Q68-3.2),0),IF($B68="高二",MIN(IF($E68="男",$Q68-3.25,$Q68-3.22),0),IF($B68="高一",MIN(IF($E68="男",$Q68-3.3,$Q68-3.24),0))))+0.4,IF($B68="高三",MIN(IF($E68="男",$Q68-3.2,$Q68-3.2),0),IF($B68="高二",MIN(IF($E68="男",$Q68-3.25,$Q68-3.22),0),IF($B68="高一",MIN(IF($E68="男",$Q68-3.3,$Q68-3.24),0))))),2)</f>
        <v>0</v>
      </c>
      <c r="T68" s="23">
        <f>IF(E68="男",LOOKUP($S68,[1]对照表!$AB$3:$AB$13,[1]对照表!$AC$3:$AC$13),LOOKUP($S68,[1]对照表!$AB$15:$AB$25,[1]对照表!$AC$15:$AC$25))</f>
        <v>0</v>
      </c>
      <c r="U68" s="26">
        <f>R68+T68</f>
        <v>95</v>
      </c>
      <c r="V68" s="26">
        <f>SUM(I68,K68,M68)/3*0.3+SUM(G68,R68)/2*0.4</f>
        <v>59.2</v>
      </c>
      <c r="W68" s="27">
        <f>O68+T68</f>
        <v>0</v>
      </c>
      <c r="X68" s="28">
        <f>V68/0.7+W68</f>
        <v>84.571428571428584</v>
      </c>
      <c r="Y68" s="28">
        <f>X68</f>
        <v>84.571428571428584</v>
      </c>
      <c r="Z68" s="54"/>
    </row>
    <row r="69" spans="1:26" ht="15.6" x14ac:dyDescent="0.25">
      <c r="A69" s="48">
        <v>27</v>
      </c>
      <c r="B69" s="17" t="s">
        <v>767</v>
      </c>
      <c r="C69" s="48">
        <v>202</v>
      </c>
      <c r="D69" s="49" t="s">
        <v>973</v>
      </c>
      <c r="E69" s="48" t="s">
        <v>65</v>
      </c>
      <c r="F69" s="50">
        <v>8.86</v>
      </c>
      <c r="G69" s="32">
        <f>IF(B69="高三",IF($E69="男",LOOKUP(F69,[1]对照表!$G$3:$G$24,[1]对照表!$H$3:$H$24),LOOKUP(F69,[1]对照表!$G$27:$G$48,[1]对照表!$H$27:$H$48)),IF(B69="高二",IF($E69="男",LOOKUP(F69,[1]对照表!$F$3:$F$24,[1]对照表!$H$3:$H$24),LOOKUP(F69,[1]对照表!$F$27:$F$48,[1]对照表!$H$27:$H$48)),IF(B69="高一",IF($E69="男",LOOKUP(F69,[1]对照表!$E$3:$E$24,[1]对照表!$H$3:$H$24),LOOKUP(F69,[1]对照表!$E$27:$E$48,[1]对照表!$H$27:$H$48)))))</f>
        <v>76</v>
      </c>
      <c r="H69" s="38">
        <v>16.399999999999999</v>
      </c>
      <c r="I69" s="32">
        <f>IF(B69="高三",IF($E69="男",LOOKUP(H69,[1]对照表!$K$3:$K$24,[1]对照表!$L$3:$L$24),LOOKUP(H69,[1]对照表!$K$27:$K$48,[1]对照表!$L$27:$L$48)),IF(B69="高二",IF($E69="男",LOOKUP(H69,[1]对照表!$J$3:$J$24,[1]对照表!$L$3:$L$24),LOOKUP(H69,[1]对照表!$J$27:$J$48,[1]对照表!$L$27:$L$48)),IF(B69="高一",IF($E69="男",LOOKUP(H69,[1]对照表!$I$3:$I$24,[1]对照表!$L$3:$L$24),LOOKUP(H69,[1]对照表!$I$27:$I$48,[1]对照表!$L$27:$L$48)))))</f>
        <v>76</v>
      </c>
      <c r="J69" s="38">
        <v>172</v>
      </c>
      <c r="K69" s="32">
        <f>IF(B69="高三",IF($E69="男",LOOKUP(J69,[1]对照表!$O$3:$O$24,[1]对照表!$P$3:$P$24),LOOKUP(J69,[1]对照表!$O$27:$O$48,[1]对照表!$P$27:$P$48)),IF(B69="高二",IF($E69="男",LOOKUP(J69,[1]对照表!$N$3:$N$24,[1]对照表!$P$3:$P$24),LOOKUP(J69,[1]对照表!$N$27:$N$48,[1]对照表!$P$27:$P$48)),IF(B69="高一",IF($E69="男",LOOKUP(J69,[1]对照表!$M$3:$M$24,[1]对照表!$P$3:$P$24),LOOKUP(J69,[1]对照表!$M$27:$M$48,[1]对照表!$P$27:$P$48)))))</f>
        <v>74</v>
      </c>
      <c r="L69" s="38">
        <v>53</v>
      </c>
      <c r="M69" s="32">
        <f>IF(B69="高三",IF($E69="男",LOOKUP(L69,[1]对照表!$S$3:$S$24,[1]对照表!$T$3:$T$24),LOOKUP(L69,[1]对照表!$S$27:$S$48,[1]对照表!$T$27:$T$48)),IF(B69="高二",IF($E69="男",LOOKUP(L69,[1]对照表!$R$3:$R$24,[1]对照表!$T$3:$T$24),LOOKUP(L69,[1]对照表!$R$27:$R$48,[1]对照表!$T$27:$T$48)),IF(B69="高一",IF($E69="男",LOOKUP(L69,[1]对照表!$Q$3:$Q$24,[1]对照表!$T$3:$T$24),LOOKUP(L69,[1]对照表!$Q$27:$Q$48,[1]对照表!$T$27:$T$48)))))</f>
        <v>95</v>
      </c>
      <c r="N69" s="33">
        <f>IF(B69="高三",MAX(IF(E69="男",L69-18,L69-55),0),IF(B69="高二",MAX(IF(E69="男",L69-17,L69-54),0),IF(B69="高一",MAX(IF(E69="男",L69-16,L69-53),0))))</f>
        <v>0</v>
      </c>
      <c r="O69" s="23">
        <f>IF(E69="男",LOOKUP($N69,[1]对照表!$Z$3:$Z$13,[1]对照表!$AA$3:$AA$13),LOOKUP($N69,[1]对照表!$Z$15:$Z$25,[1]对照表!$AA$15:$AA$25))</f>
        <v>0</v>
      </c>
      <c r="P69" s="25">
        <f>M69+O69</f>
        <v>95</v>
      </c>
      <c r="Q69" s="50">
        <v>3.24</v>
      </c>
      <c r="R69" s="32">
        <f>IF(B69="高三",IF($E69="男",LOOKUP(Q69,[1]对照表!$W$3:$W$24,[1]对照表!$X$3:$X$24),LOOKUP(Q69,[1]对照表!$W$27:$W$48,[1]对照表!$X$27:$X$48)),IF(B69="高二",IF($E69="男",LOOKUP(Q69,[1]对照表!$V$3:$V$24,[1]对照表!$X$3:$X$24),LOOKUP(Q69,[1]对照表!$V$27:$V$48,[1]对照表!$X$27:$X$48)),IF(B69="高一",IF($E69="男",LOOKUP(Q69,[1]对照表!$U$3:$U$24,[1]对照表!$X$3:$X$24),LOOKUP(Q69,[1]对照表!$U$27:$U$48,[1]对照表!$X$27:$X$48)))))</f>
        <v>95</v>
      </c>
      <c r="S69" s="33">
        <f>ROUND(IF(IF($B69="高三",MIN(IF($E69="男",$Q69-3.2,$Q69-3.2),0),IF($B69="高二",MIN(IF($E69="男",$Q69-3.25,$Q69-3.22),0),IF($B69="高一",MIN(IF($E69="男",$Q69-3.3,$Q69-3.24),0))))&lt;-0.6,IF($B69="高三",MIN(IF($E69="男",$Q69-3.2,$Q69-3.2),0),IF($B69="高二",MIN(IF($E69="男",$Q69-3.25,$Q69-3.22),0),IF($B69="高一",MIN(IF($E69="男",$Q69-3.3,$Q69-3.24),0))))+0.4,IF($B69="高三",MIN(IF($E69="男",$Q69-3.2,$Q69-3.2),0),IF($B69="高二",MIN(IF($E69="男",$Q69-3.25,$Q69-3.22),0),IF($B69="高一",MIN(IF($E69="男",$Q69-3.3,$Q69-3.24),0))))),2)</f>
        <v>0</v>
      </c>
      <c r="T69" s="23">
        <f>IF(E69="男",LOOKUP($S69,[1]对照表!$AB$3:$AB$13,[1]对照表!$AC$3:$AC$13),LOOKUP($S69,[1]对照表!$AB$15:$AB$25,[1]对照表!$AC$15:$AC$25))</f>
        <v>0</v>
      </c>
      <c r="U69" s="26">
        <f>R69+T69</f>
        <v>95</v>
      </c>
      <c r="V69" s="26">
        <f>SUM(I69,K69,M69)/3*0.3+SUM(G69,R69)/2*0.4</f>
        <v>58.7</v>
      </c>
      <c r="W69" s="27">
        <f>O69+T69</f>
        <v>0</v>
      </c>
      <c r="X69" s="28">
        <f>V69/0.7+W69</f>
        <v>83.857142857142861</v>
      </c>
      <c r="Y69" s="28">
        <f>X69</f>
        <v>83.857142857142861</v>
      </c>
      <c r="Z69" s="54"/>
    </row>
    <row r="70" spans="1:26" ht="15.6" x14ac:dyDescent="0.25">
      <c r="A70" s="48">
        <v>9</v>
      </c>
      <c r="B70" s="17" t="s">
        <v>767</v>
      </c>
      <c r="C70" s="48">
        <v>202</v>
      </c>
      <c r="D70" s="49" t="s">
        <v>981</v>
      </c>
      <c r="E70" s="48" t="s">
        <v>23</v>
      </c>
      <c r="F70" s="50">
        <v>6.7</v>
      </c>
      <c r="G70" s="32">
        <f>IF(B70="高三",IF($E70="男",LOOKUP(F70,[1]对照表!$G$3:$G$24,[1]对照表!$H$3:$H$24),LOOKUP(F70,[1]对照表!$G$27:$G$48,[1]对照表!$H$27:$H$48)),IF(B70="高二",IF($E70="男",LOOKUP(F70,[1]对照表!$F$3:$F$24,[1]对照表!$H$3:$H$24),LOOKUP(F70,[1]对照表!$F$27:$F$48,[1]对照表!$H$27:$H$48)),IF(B70="高一",IF($E70="男",LOOKUP(F70,[1]对照表!$E$3:$E$24,[1]对照表!$H$3:$H$24),LOOKUP(F70,[1]对照表!$E$27:$E$48,[1]对照表!$H$27:$H$48)))))</f>
        <v>100</v>
      </c>
      <c r="H70" s="38">
        <v>20</v>
      </c>
      <c r="I70" s="32">
        <f>IF(B70="高三",IF($E70="男",LOOKUP(H70,[1]对照表!$K$3:$K$24,[1]对照表!$L$3:$L$24),LOOKUP(H70,[1]对照表!$K$27:$K$48,[1]对照表!$L$27:$L$48)),IF(B70="高二",IF($E70="男",LOOKUP(H70,[1]对照表!$J$3:$J$24,[1]对照表!$L$3:$L$24),LOOKUP(H70,[1]对照表!$J$27:$J$48,[1]对照表!$L$27:$L$48)),IF(B70="高一",IF($E70="男",LOOKUP(H70,[1]对照表!$I$3:$I$24,[1]对照表!$L$3:$L$24),LOOKUP(H70,[1]对照表!$I$27:$I$48,[1]对照表!$L$27:$L$48)))))</f>
        <v>85</v>
      </c>
      <c r="J70" s="38">
        <v>275</v>
      </c>
      <c r="K70" s="32">
        <f>IF(B70="高三",IF($E70="男",LOOKUP(J70,[1]对照表!$O$3:$O$24,[1]对照表!$P$3:$P$24),LOOKUP(J70,[1]对照表!$O$27:$O$48,[1]对照表!$P$27:$P$48)),IF(B70="高二",IF($E70="男",LOOKUP(J70,[1]对照表!$N$3:$N$24,[1]对照表!$P$3:$P$24),LOOKUP(J70,[1]对照表!$N$27:$N$48,[1]对照表!$P$27:$P$48)),IF(B70="高一",IF($E70="男",LOOKUP(J70,[1]对照表!$M$3:$M$24,[1]对照表!$P$3:$P$24),LOOKUP(J70,[1]对照表!$M$27:$M$48,[1]对照表!$P$27:$P$48)))))</f>
        <v>100</v>
      </c>
      <c r="L70" s="38">
        <v>18</v>
      </c>
      <c r="M70" s="32">
        <f>IF(B70="高三",IF($E70="男",LOOKUP(L70,[1]对照表!$S$3:$S$24,[1]对照表!$T$3:$T$24),LOOKUP(L70,[1]对照表!$S$27:$S$48,[1]对照表!$T$27:$T$48)),IF(B70="高二",IF($E70="男",LOOKUP(L70,[1]对照表!$R$3:$R$24,[1]对照表!$T$3:$T$24),LOOKUP(L70,[1]对照表!$R$27:$R$48,[1]对照表!$T$27:$T$48)),IF(B70="高一",IF($E70="男",LOOKUP(L70,[1]对照表!$Q$3:$Q$24,[1]对照表!$T$3:$T$24),LOOKUP(L70,[1]对照表!$Q$27:$Q$48,[1]对照表!$T$27:$T$48)))))</f>
        <v>100</v>
      </c>
      <c r="N70" s="33">
        <f>IF(B70="高三",MAX(IF(E70="男",L70-18,L70-55),0),IF(B70="高二",MAX(IF(E70="男",L70-17,L70-54),0),IF(B70="高一",MAX(IF(E70="男",L70-16,L70-53),0))))</f>
        <v>1</v>
      </c>
      <c r="O70" s="23">
        <f>IF(E70="男",LOOKUP($N70,[1]对照表!$Z$3:$Z$13,[1]对照表!$AA$3:$AA$13),LOOKUP($N70,[1]对照表!$Z$15:$Z$25,[1]对照表!$AA$15:$AA$25))</f>
        <v>1</v>
      </c>
      <c r="P70" s="25">
        <f>M70+O70</f>
        <v>101</v>
      </c>
      <c r="Q70" s="50">
        <v>4.0199999999999996</v>
      </c>
      <c r="R70" s="32">
        <f>IF(B70="高三",IF($E70="男",LOOKUP(Q70,[1]对照表!$W$3:$W$24,[1]对照表!$X$3:$X$24),LOOKUP(Q70,[1]对照表!$W$27:$W$48,[1]对照表!$X$27:$X$48)),IF(B70="高二",IF($E70="男",LOOKUP(Q70,[1]对照表!$V$3:$V$24,[1]对照表!$X$3:$X$24),LOOKUP(Q70,[1]对照表!$V$27:$V$48,[1]对照表!$X$27:$X$48)),IF(B70="高一",IF($E70="男",LOOKUP(Q70,[1]对照表!$U$3:$U$24,[1]对照表!$X$3:$X$24),LOOKUP(Q70,[1]对照表!$U$27:$U$48,[1]对照表!$X$27:$X$48)))))</f>
        <v>74</v>
      </c>
      <c r="S70" s="33">
        <f>ROUND(IF(IF($B70="高三",MIN(IF($E70="男",$Q70-3.2,$Q70-3.2),0),IF($B70="高二",MIN(IF($E70="男",$Q70-3.25,$Q70-3.22),0),IF($B70="高一",MIN(IF($E70="男",$Q70-3.3,$Q70-3.24),0))))&lt;-0.6,IF($B70="高三",MIN(IF($E70="男",$Q70-3.2,$Q70-3.2),0),IF($B70="高二",MIN(IF($E70="男",$Q70-3.25,$Q70-3.22),0),IF($B70="高一",MIN(IF($E70="男",$Q70-3.3,$Q70-3.24),0))))+0.4,IF($B70="高三",MIN(IF($E70="男",$Q70-3.2,$Q70-3.2),0),IF($B70="高二",MIN(IF($E70="男",$Q70-3.25,$Q70-3.22),0),IF($B70="高一",MIN(IF($E70="男",$Q70-3.3,$Q70-3.24),0))))),2)</f>
        <v>0</v>
      </c>
      <c r="T70" s="23">
        <f>IF(E70="男",LOOKUP($S70,[1]对照表!$AB$3:$AB$13,[1]对照表!$AC$3:$AC$13),LOOKUP($S70,[1]对照表!$AB$15:$AB$25,[1]对照表!$AC$15:$AC$25))</f>
        <v>0</v>
      </c>
      <c r="U70" s="26">
        <f>R70+T70</f>
        <v>74</v>
      </c>
      <c r="V70" s="26">
        <f>SUM(I70,K70,M70)/3*0.3+SUM(G70,R70)/2*0.4</f>
        <v>63.300000000000004</v>
      </c>
      <c r="W70" s="27">
        <f>O70+T70</f>
        <v>1</v>
      </c>
      <c r="X70" s="28">
        <f>V70/0.7+W70</f>
        <v>91.428571428571445</v>
      </c>
      <c r="Y70" s="28">
        <f>X70</f>
        <v>91.428571428571445</v>
      </c>
      <c r="Z70" s="54"/>
    </row>
    <row r="71" spans="1:26" ht="15.6" x14ac:dyDescent="0.25">
      <c r="A71" s="48">
        <v>49</v>
      </c>
      <c r="B71" s="17" t="s">
        <v>767</v>
      </c>
      <c r="C71" s="48">
        <v>202</v>
      </c>
      <c r="D71" s="49" t="s">
        <v>995</v>
      </c>
      <c r="E71" s="48" t="s">
        <v>65</v>
      </c>
      <c r="F71" s="50">
        <v>8.23</v>
      </c>
      <c r="G71" s="32">
        <f>IF(B71="高三",IF($E71="男",LOOKUP(F71,[1]对照表!$G$3:$G$24,[1]对照表!$H$3:$H$24),LOOKUP(F71,[1]对照表!$G$27:$G$48,[1]对照表!$H$27:$H$48)),IF(B71="高二",IF($E71="男",LOOKUP(F71,[1]对照表!$F$3:$F$24,[1]对照表!$H$3:$H$24),LOOKUP(F71,[1]对照表!$F$27:$F$48,[1]对照表!$H$27:$H$48)),IF(B71="高一",IF($E71="男",LOOKUP(F71,[1]对照表!$E$3:$E$24,[1]对照表!$H$3:$H$24),LOOKUP(F71,[1]对照表!$E$27:$E$48,[1]对照表!$H$27:$H$48)))))</f>
        <v>80</v>
      </c>
      <c r="H71" s="38">
        <v>15</v>
      </c>
      <c r="I71" s="32">
        <f>IF(B71="高三",IF($E71="男",LOOKUP(H71,[1]对照表!$K$3:$K$24,[1]对照表!$L$3:$L$24),LOOKUP(H71,[1]对照表!$K$27:$K$48,[1]对照表!$L$27:$L$48)),IF(B71="高二",IF($E71="男",LOOKUP(H71,[1]对照表!$J$3:$J$24,[1]对照表!$L$3:$L$24),LOOKUP(H71,[1]对照表!$J$27:$J$48,[1]对照表!$L$27:$L$48)),IF(B71="高一",IF($E71="男",LOOKUP(H71,[1]对照表!$I$3:$I$24,[1]对照表!$L$3:$L$24),LOOKUP(H71,[1]对照表!$I$27:$I$48,[1]对照表!$L$27:$L$48)))))</f>
        <v>74</v>
      </c>
      <c r="J71" s="38">
        <v>205</v>
      </c>
      <c r="K71" s="32">
        <f>IF(B71="高三",IF($E71="男",LOOKUP(J71,[1]对照表!$O$3:$O$24,[1]对照表!$P$3:$P$24),LOOKUP(J71,[1]对照表!$O$27:$O$48,[1]对照表!$P$27:$P$48)),IF(B71="高二",IF($E71="男",LOOKUP(J71,[1]对照表!$N$3:$N$24,[1]对照表!$P$3:$P$24),LOOKUP(J71,[1]对照表!$N$27:$N$48,[1]对照表!$P$27:$P$48)),IF(B71="高一",IF($E71="男",LOOKUP(J71,[1]对照表!$M$3:$M$24,[1]对照表!$P$3:$P$24),LOOKUP(J71,[1]对照表!$M$27:$M$48,[1]对照表!$P$27:$P$48)))))</f>
        <v>100</v>
      </c>
      <c r="L71" s="38">
        <v>40</v>
      </c>
      <c r="M71" s="32">
        <f>IF(B71="高三",IF($E71="男",LOOKUP(L71,[1]对照表!$S$3:$S$24,[1]对照表!$T$3:$T$24),LOOKUP(L71,[1]对照表!$S$27:$S$48,[1]对照表!$T$27:$T$48)),IF(B71="高二",IF($E71="男",LOOKUP(L71,[1]对照表!$R$3:$R$24,[1]对照表!$T$3:$T$24),LOOKUP(L71,[1]对照表!$R$27:$R$48,[1]对照表!$T$27:$T$48)),IF(B71="高一",IF($E71="男",LOOKUP(L71,[1]对照表!$Q$3:$Q$24,[1]对照表!$T$3:$T$24),LOOKUP(L71,[1]对照表!$Q$27:$Q$48,[1]对照表!$T$27:$T$48)))))</f>
        <v>76</v>
      </c>
      <c r="N71" s="33">
        <f>IF(B71="高三",MAX(IF(E71="男",L71-18,L71-55),0),IF(B71="高二",MAX(IF(E71="男",L71-17,L71-54),0),IF(B71="高一",MAX(IF(E71="男",L71-16,L71-53),0))))</f>
        <v>0</v>
      </c>
      <c r="O71" s="23">
        <f>IF(E71="男",LOOKUP($N71,[1]对照表!$Z$3:$Z$13,[1]对照表!$AA$3:$AA$13),LOOKUP($N71,[1]对照表!$Z$15:$Z$25,[1]对照表!$AA$15:$AA$25))</f>
        <v>0</v>
      </c>
      <c r="P71" s="25">
        <f>M71+O71</f>
        <v>76</v>
      </c>
      <c r="Q71" s="50">
        <v>3.36</v>
      </c>
      <c r="R71" s="32">
        <f>IF(B71="高三",IF($E71="男",LOOKUP(Q71,[1]对照表!$W$3:$W$24,[1]对照表!$X$3:$X$24),LOOKUP(Q71,[1]对照表!$W$27:$W$48,[1]对照表!$X$27:$X$48)),IF(B71="高二",IF($E71="男",LOOKUP(Q71,[1]对照表!$V$3:$V$24,[1]对照表!$X$3:$X$24),LOOKUP(Q71,[1]对照表!$V$27:$V$48,[1]对照表!$X$27:$X$48)),IF(B71="高一",IF($E71="男",LOOKUP(Q71,[1]对照表!$U$3:$U$24,[1]对照表!$X$3:$X$24),LOOKUP(Q71,[1]对照表!$U$27:$U$48,[1]对照表!$X$27:$X$48)))))</f>
        <v>85</v>
      </c>
      <c r="S71" s="33">
        <f>ROUND(IF(IF($B71="高三",MIN(IF($E71="男",$Q71-3.2,$Q71-3.2),0),IF($B71="高二",MIN(IF($E71="男",$Q71-3.25,$Q71-3.22),0),IF($B71="高一",MIN(IF($E71="男",$Q71-3.3,$Q71-3.24),0))))&lt;-0.6,IF($B71="高三",MIN(IF($E71="男",$Q71-3.2,$Q71-3.2),0),IF($B71="高二",MIN(IF($E71="男",$Q71-3.25,$Q71-3.22),0),IF($B71="高一",MIN(IF($E71="男",$Q71-3.3,$Q71-3.24),0))))+0.4,IF($B71="高三",MIN(IF($E71="男",$Q71-3.2,$Q71-3.2),0),IF($B71="高二",MIN(IF($E71="男",$Q71-3.25,$Q71-3.22),0),IF($B71="高一",MIN(IF($E71="男",$Q71-3.3,$Q71-3.24),0))))),2)</f>
        <v>0</v>
      </c>
      <c r="T71" s="23">
        <f>IF(E71="男",LOOKUP($S71,[1]对照表!$AB$3:$AB$13,[1]对照表!$AC$3:$AC$13),LOOKUP($S71,[1]对照表!$AB$15:$AB$25,[1]对照表!$AC$15:$AC$25))</f>
        <v>0</v>
      </c>
      <c r="U71" s="26">
        <f>R71+T71</f>
        <v>85</v>
      </c>
      <c r="V71" s="26">
        <f>SUM(I71,K71,M71)/3*0.3+SUM(G71,R71)/2*0.4</f>
        <v>58</v>
      </c>
      <c r="W71" s="27">
        <f>O71+T71</f>
        <v>0</v>
      </c>
      <c r="X71" s="28">
        <f>V71/0.7+W71</f>
        <v>82.857142857142861</v>
      </c>
      <c r="Y71" s="28">
        <f>X71</f>
        <v>82.857142857142861</v>
      </c>
      <c r="Z71" s="54"/>
    </row>
    <row r="72" spans="1:26" ht="15.6" x14ac:dyDescent="0.25">
      <c r="A72" s="48">
        <v>12</v>
      </c>
      <c r="B72" s="17" t="s">
        <v>767</v>
      </c>
      <c r="C72" s="48">
        <v>202</v>
      </c>
      <c r="D72" s="49" t="s">
        <v>1007</v>
      </c>
      <c r="E72" s="48" t="s">
        <v>65</v>
      </c>
      <c r="F72" s="50">
        <v>8.0399999999999991</v>
      </c>
      <c r="G72" s="32">
        <f>IF(B72="高三",IF($E72="男",LOOKUP(F72,[1]对照表!$G$3:$G$24,[1]对照表!$H$3:$H$24),LOOKUP(F72,[1]对照表!$G$27:$G$48,[1]对照表!$H$27:$H$48)),IF(B72="高二",IF($E72="男",LOOKUP(F72,[1]对照表!$F$3:$F$24,[1]对照表!$H$3:$H$24),LOOKUP(F72,[1]对照表!$F$27:$F$48,[1]对照表!$H$27:$H$48)),IF(B72="高一",IF($E72="男",LOOKUP(F72,[1]对照表!$E$3:$E$24,[1]对照表!$H$3:$H$24),LOOKUP(F72,[1]对照表!$E$27:$E$48,[1]对照表!$H$27:$H$48)))))</f>
        <v>85</v>
      </c>
      <c r="H72" s="38">
        <v>17</v>
      </c>
      <c r="I72" s="32">
        <f>IF(B72="高三",IF($E72="男",LOOKUP(H72,[1]对照表!$K$3:$K$24,[1]对照表!$L$3:$L$24),LOOKUP(H72,[1]对照表!$K$27:$K$48,[1]对照表!$L$27:$L$48)),IF(B72="高二",IF($E72="男",LOOKUP(H72,[1]对照表!$J$3:$J$24,[1]对照表!$L$3:$L$24),LOOKUP(H72,[1]对照表!$J$27:$J$48,[1]对照表!$L$27:$L$48)),IF(B72="高一",IF($E72="男",LOOKUP(H72,[1]对照表!$I$3:$I$24,[1]对照表!$L$3:$L$24),LOOKUP(H72,[1]对照表!$I$27:$I$48,[1]对照表!$L$27:$L$48)))))</f>
        <v>78</v>
      </c>
      <c r="J72" s="38">
        <v>192</v>
      </c>
      <c r="K72" s="32">
        <f>IF(B72="高三",IF($E72="男",LOOKUP(J72,[1]对照表!$O$3:$O$24,[1]对照表!$P$3:$P$24),LOOKUP(J72,[1]对照表!$O$27:$O$48,[1]对照表!$P$27:$P$48)),IF(B72="高二",IF($E72="男",LOOKUP(J72,[1]对照表!$N$3:$N$24,[1]对照表!$P$3:$P$24),LOOKUP(J72,[1]对照表!$N$27:$N$48,[1]对照表!$P$27:$P$48)),IF(B72="高一",IF($E72="男",LOOKUP(J72,[1]对照表!$M$3:$M$24,[1]对照表!$P$3:$P$24),LOOKUP(J72,[1]对照表!$M$27:$M$48,[1]对照表!$P$27:$P$48)))))</f>
        <v>85</v>
      </c>
      <c r="L72" s="38">
        <v>50</v>
      </c>
      <c r="M72" s="32">
        <f>IF(B72="高三",IF($E72="男",LOOKUP(L72,[1]对照表!$S$3:$S$24,[1]对照表!$T$3:$T$24),LOOKUP(L72,[1]对照表!$S$27:$S$48,[1]对照表!$T$27:$T$48)),IF(B72="高二",IF($E72="男",LOOKUP(L72,[1]对照表!$R$3:$R$24,[1]对照表!$T$3:$T$24),LOOKUP(L72,[1]对照表!$R$27:$R$48,[1]对照表!$T$27:$T$48)),IF(B72="高一",IF($E72="男",LOOKUP(L72,[1]对照表!$Q$3:$Q$24,[1]对照表!$T$3:$T$24),LOOKUP(L72,[1]对照表!$Q$27:$Q$48,[1]对照表!$T$27:$T$48)))))</f>
        <v>90</v>
      </c>
      <c r="N72" s="33">
        <f>IF(B72="高三",MAX(IF(E72="男",L72-18,L72-55),0),IF(B72="高二",MAX(IF(E72="男",L72-17,L72-54),0),IF(B72="高一",MAX(IF(E72="男",L72-16,L72-53),0))))</f>
        <v>0</v>
      </c>
      <c r="O72" s="23">
        <f>IF(E72="男",LOOKUP($N72,[1]对照表!$Z$3:$Z$13,[1]对照表!$AA$3:$AA$13),LOOKUP($N72,[1]对照表!$Z$15:$Z$25,[1]对照表!$AA$15:$AA$25))</f>
        <v>0</v>
      </c>
      <c r="P72" s="25">
        <f>M72+O72</f>
        <v>90</v>
      </c>
      <c r="Q72" s="50">
        <v>3.51</v>
      </c>
      <c r="R72" s="32">
        <f>IF(B72="高三",IF($E72="男",LOOKUP(Q72,[1]对照表!$W$3:$W$24,[1]对照表!$X$3:$X$24),LOOKUP(Q72,[1]对照表!$W$27:$W$48,[1]对照表!$X$27:$X$48)),IF(B72="高二",IF($E72="男",LOOKUP(Q72,[1]对照表!$V$3:$V$24,[1]对照表!$X$3:$X$24),LOOKUP(Q72,[1]对照表!$V$27:$V$48,[1]对照表!$X$27:$X$48)),IF(B72="高一",IF($E72="男",LOOKUP(Q72,[1]对照表!$U$3:$U$24,[1]对照表!$X$3:$X$24),LOOKUP(Q72,[1]对照表!$U$27:$U$48,[1]对照表!$X$27:$X$48)))))</f>
        <v>78</v>
      </c>
      <c r="S72" s="33">
        <f>ROUND(IF(IF($B72="高三",MIN(IF($E72="男",$Q72-3.2,$Q72-3.2),0),IF($B72="高二",MIN(IF($E72="男",$Q72-3.25,$Q72-3.22),0),IF($B72="高一",MIN(IF($E72="男",$Q72-3.3,$Q72-3.24),0))))&lt;-0.6,IF($B72="高三",MIN(IF($E72="男",$Q72-3.2,$Q72-3.2),0),IF($B72="高二",MIN(IF($E72="男",$Q72-3.25,$Q72-3.22),0),IF($B72="高一",MIN(IF($E72="男",$Q72-3.3,$Q72-3.24),0))))+0.4,IF($B72="高三",MIN(IF($E72="男",$Q72-3.2,$Q72-3.2),0),IF($B72="高二",MIN(IF($E72="男",$Q72-3.25,$Q72-3.22),0),IF($B72="高一",MIN(IF($E72="男",$Q72-3.3,$Q72-3.24),0))))),2)</f>
        <v>0</v>
      </c>
      <c r="T72" s="23">
        <f>IF(E72="男",LOOKUP($S72,[1]对照表!$AB$3:$AB$13,[1]对照表!$AC$3:$AC$13),LOOKUP($S72,[1]对照表!$AB$15:$AB$25,[1]对照表!$AC$15:$AC$25))</f>
        <v>0</v>
      </c>
      <c r="U72" s="26">
        <f>R72+T72</f>
        <v>78</v>
      </c>
      <c r="V72" s="26">
        <f>SUM(I72,K72,M72)/3*0.3+SUM(G72,R72)/2*0.4</f>
        <v>57.9</v>
      </c>
      <c r="W72" s="27">
        <f>O72+T72</f>
        <v>0</v>
      </c>
      <c r="X72" s="28">
        <f>V72/0.7+W72</f>
        <v>82.714285714285722</v>
      </c>
      <c r="Y72" s="28">
        <f>X72</f>
        <v>82.714285714285722</v>
      </c>
      <c r="Z72" s="54"/>
    </row>
    <row r="73" spans="1:26" ht="15.6" x14ac:dyDescent="0.25">
      <c r="A73" s="48">
        <v>37</v>
      </c>
      <c r="B73" s="17" t="s">
        <v>767</v>
      </c>
      <c r="C73" s="48">
        <v>202</v>
      </c>
      <c r="D73" s="49" t="s">
        <v>1010</v>
      </c>
      <c r="E73" s="48" t="s">
        <v>65</v>
      </c>
      <c r="F73" s="50">
        <v>8.8800000000000008</v>
      </c>
      <c r="G73" s="32">
        <f>IF(B73="高三",IF($E73="男",LOOKUP(F73,[1]对照表!$G$3:$G$24,[1]对照表!$H$3:$H$24),LOOKUP(F73,[1]对照表!$G$27:$G$48,[1]对照表!$H$27:$H$48)),IF(B73="高二",IF($E73="男",LOOKUP(F73,[1]对照表!$F$3:$F$24,[1]对照表!$H$3:$H$24),LOOKUP(F73,[1]对照表!$F$27:$F$48,[1]对照表!$H$27:$H$48)),IF(B73="高一",IF($E73="男",LOOKUP(F73,[1]对照表!$E$3:$E$24,[1]对照表!$H$3:$H$24),LOOKUP(F73,[1]对照表!$E$27:$E$48,[1]对照表!$H$27:$H$48)))))</f>
        <v>76</v>
      </c>
      <c r="H73" s="38">
        <v>23</v>
      </c>
      <c r="I73" s="32">
        <f>IF(B73="高三",IF($E73="男",LOOKUP(H73,[1]对照表!$K$3:$K$24,[1]对照表!$L$3:$L$24),LOOKUP(H73,[1]对照表!$K$27:$K$48,[1]对照表!$L$27:$L$48)),IF(B73="高二",IF($E73="男",LOOKUP(H73,[1]对照表!$J$3:$J$24,[1]对照表!$L$3:$L$24),LOOKUP(H73,[1]对照表!$J$27:$J$48,[1]对照表!$L$27:$L$48)),IF(B73="高一",IF($E73="男",LOOKUP(H73,[1]对照表!$I$3:$I$24,[1]对照表!$L$3:$L$24),LOOKUP(H73,[1]对照表!$I$27:$I$48,[1]对照表!$L$27:$L$48)))))</f>
        <v>90</v>
      </c>
      <c r="J73" s="38">
        <v>180</v>
      </c>
      <c r="K73" s="32">
        <f>IF(B73="高三",IF($E73="男",LOOKUP(J73,[1]对照表!$O$3:$O$24,[1]对照表!$P$3:$P$24),LOOKUP(J73,[1]对照表!$O$27:$O$48,[1]对照表!$P$27:$P$48)),IF(B73="高二",IF($E73="男",LOOKUP(J73,[1]对照表!$N$3:$N$24,[1]对照表!$P$3:$P$24),LOOKUP(J73,[1]对照表!$N$27:$N$48,[1]对照表!$P$27:$P$48)),IF(B73="高一",IF($E73="男",LOOKUP(J73,[1]对照表!$M$3:$M$24,[1]对照表!$P$3:$P$24),LOOKUP(J73,[1]对照表!$M$27:$M$48,[1]对照表!$P$27:$P$48)))))</f>
        <v>80</v>
      </c>
      <c r="L73" s="38">
        <v>52</v>
      </c>
      <c r="M73" s="32">
        <f>IF(B73="高三",IF($E73="男",LOOKUP(L73,[1]对照表!$S$3:$S$24,[1]对照表!$T$3:$T$24),LOOKUP(L73,[1]对照表!$S$27:$S$48,[1]对照表!$T$27:$T$48)),IF(B73="高二",IF($E73="男",LOOKUP(L73,[1]对照表!$R$3:$R$24,[1]对照表!$T$3:$T$24),LOOKUP(L73,[1]对照表!$R$27:$R$48,[1]对照表!$T$27:$T$48)),IF(B73="高一",IF($E73="男",LOOKUP(L73,[1]对照表!$Q$3:$Q$24,[1]对照表!$T$3:$T$24),LOOKUP(L73,[1]对照表!$Q$27:$Q$48,[1]对照表!$T$27:$T$48)))))</f>
        <v>95</v>
      </c>
      <c r="N73" s="33">
        <f>IF(B73="高三",MAX(IF(E73="男",L73-18,L73-55),0),IF(B73="高二",MAX(IF(E73="男",L73-17,L73-54),0),IF(B73="高一",MAX(IF(E73="男",L73-16,L73-53),0))))</f>
        <v>0</v>
      </c>
      <c r="O73" s="23">
        <f>IF(E73="男",LOOKUP($N73,[1]对照表!$Z$3:$Z$13,[1]对照表!$AA$3:$AA$13),LOOKUP($N73,[1]对照表!$Z$15:$Z$25,[1]对照表!$AA$15:$AA$25))</f>
        <v>0</v>
      </c>
      <c r="P73" s="25">
        <f>M73+O73</f>
        <v>95</v>
      </c>
      <c r="Q73" s="50">
        <v>3.43</v>
      </c>
      <c r="R73" s="32">
        <f>IF(B73="高三",IF($E73="男",LOOKUP(Q73,[1]对照表!$W$3:$W$24,[1]对照表!$X$3:$X$24),LOOKUP(Q73,[1]对照表!$W$27:$W$48,[1]对照表!$X$27:$X$48)),IF(B73="高二",IF($E73="男",LOOKUP(Q73,[1]对照表!$V$3:$V$24,[1]对照表!$X$3:$X$24),LOOKUP(Q73,[1]对照表!$V$27:$V$48,[1]对照表!$X$27:$X$48)),IF(B73="高一",IF($E73="男",LOOKUP(Q73,[1]对照表!$U$3:$U$24,[1]对照表!$X$3:$X$24),LOOKUP(Q73,[1]对照表!$U$27:$U$48,[1]对照表!$X$27:$X$48)))))</f>
        <v>80</v>
      </c>
      <c r="S73" s="33">
        <f>ROUND(IF(IF($B73="高三",MIN(IF($E73="男",$Q73-3.2,$Q73-3.2),0),IF($B73="高二",MIN(IF($E73="男",$Q73-3.25,$Q73-3.22),0),IF($B73="高一",MIN(IF($E73="男",$Q73-3.3,$Q73-3.24),0))))&lt;-0.6,IF($B73="高三",MIN(IF($E73="男",$Q73-3.2,$Q73-3.2),0),IF($B73="高二",MIN(IF($E73="男",$Q73-3.25,$Q73-3.22),0),IF($B73="高一",MIN(IF($E73="男",$Q73-3.3,$Q73-3.24),0))))+0.4,IF($B73="高三",MIN(IF($E73="男",$Q73-3.2,$Q73-3.2),0),IF($B73="高二",MIN(IF($E73="男",$Q73-3.25,$Q73-3.22),0),IF($B73="高一",MIN(IF($E73="男",$Q73-3.3,$Q73-3.24),0))))),2)</f>
        <v>0</v>
      </c>
      <c r="T73" s="23">
        <f>IF(E73="男",LOOKUP($S73,[1]对照表!$AB$3:$AB$13,[1]对照表!$AC$3:$AC$13),LOOKUP($S73,[1]对照表!$AB$15:$AB$25,[1]对照表!$AC$15:$AC$25))</f>
        <v>0</v>
      </c>
      <c r="U73" s="26">
        <f>R73+T73</f>
        <v>80</v>
      </c>
      <c r="V73" s="26">
        <f>SUM(I73,K73,M73)/3*0.3+SUM(G73,R73)/2*0.4</f>
        <v>57.7</v>
      </c>
      <c r="W73" s="27">
        <f>O73+T73</f>
        <v>0</v>
      </c>
      <c r="X73" s="28">
        <f>V73/0.7+W73</f>
        <v>82.428571428571445</v>
      </c>
      <c r="Y73" s="28">
        <f>X73</f>
        <v>82.428571428571445</v>
      </c>
      <c r="Z73" s="54"/>
    </row>
    <row r="74" spans="1:26" ht="15.6" x14ac:dyDescent="0.25">
      <c r="A74" s="48">
        <v>48</v>
      </c>
      <c r="B74" s="17" t="s">
        <v>767</v>
      </c>
      <c r="C74" s="48">
        <v>202</v>
      </c>
      <c r="D74" s="49" t="s">
        <v>1015</v>
      </c>
      <c r="E74" s="48" t="s">
        <v>65</v>
      </c>
      <c r="F74" s="50">
        <v>9.02</v>
      </c>
      <c r="G74" s="32">
        <f>IF(B74="高三",IF($E74="男",LOOKUP(F74,[1]对照表!$G$3:$G$24,[1]对照表!$H$3:$H$24),LOOKUP(F74,[1]对照表!$G$27:$G$48,[1]对照表!$H$27:$H$48)),IF(B74="高二",IF($E74="男",LOOKUP(F74,[1]对照表!$F$3:$F$24,[1]对照表!$H$3:$H$24),LOOKUP(F74,[1]对照表!$F$27:$F$48,[1]对照表!$H$27:$H$48)),IF(B74="高一",IF($E74="男",LOOKUP(F74,[1]对照表!$E$3:$E$24,[1]对照表!$H$3:$H$24),LOOKUP(F74,[1]对照表!$E$27:$E$48,[1]对照表!$H$27:$H$48)))))</f>
        <v>74</v>
      </c>
      <c r="H74" s="38">
        <v>17.8</v>
      </c>
      <c r="I74" s="32">
        <f>IF(B74="高三",IF($E74="男",LOOKUP(H74,[1]对照表!$K$3:$K$24,[1]对照表!$L$3:$L$24),LOOKUP(H74,[1]对照表!$K$27:$K$48,[1]对照表!$L$27:$L$48)),IF(B74="高二",IF($E74="男",LOOKUP(H74,[1]对照表!$J$3:$J$24,[1]对照表!$L$3:$L$24),LOOKUP(H74,[1]对照表!$J$27:$J$48,[1]对照表!$L$27:$L$48)),IF(B74="高一",IF($E74="男",LOOKUP(H74,[1]对照表!$I$3:$I$24,[1]对照表!$L$3:$L$24),LOOKUP(H74,[1]对照表!$I$27:$I$48,[1]对照表!$L$27:$L$48)))))</f>
        <v>78</v>
      </c>
      <c r="J74" s="38">
        <v>185</v>
      </c>
      <c r="K74" s="32">
        <f>IF(B74="高三",IF($E74="男",LOOKUP(J74,[1]对照表!$O$3:$O$24,[1]对照表!$P$3:$P$24),LOOKUP(J74,[1]对照表!$O$27:$O$48,[1]对照表!$P$27:$P$48)),IF(B74="高二",IF($E74="男",LOOKUP(J74,[1]对照表!$N$3:$N$24,[1]对照表!$P$3:$P$24),LOOKUP(J74,[1]对照表!$N$27:$N$48,[1]对照表!$P$27:$P$48)),IF(B74="高一",IF($E74="男",LOOKUP(J74,[1]对照表!$M$3:$M$24,[1]对照表!$P$3:$P$24),LOOKUP(J74,[1]对照表!$M$27:$M$48,[1]对照表!$P$27:$P$48)))))</f>
        <v>80</v>
      </c>
      <c r="L74" s="38">
        <v>51</v>
      </c>
      <c r="M74" s="32">
        <f>IF(B74="高三",IF($E74="男",LOOKUP(L74,[1]对照表!$S$3:$S$24,[1]对照表!$T$3:$T$24),LOOKUP(L74,[1]对照表!$S$27:$S$48,[1]对照表!$T$27:$T$48)),IF(B74="高二",IF($E74="男",LOOKUP(L74,[1]对照表!$R$3:$R$24,[1]对照表!$T$3:$T$24),LOOKUP(L74,[1]对照表!$R$27:$R$48,[1]对照表!$T$27:$T$48)),IF(B74="高一",IF($E74="男",LOOKUP(L74,[1]对照表!$Q$3:$Q$24,[1]对照表!$T$3:$T$24),LOOKUP(L74,[1]对照表!$Q$27:$Q$48,[1]对照表!$T$27:$T$48)))))</f>
        <v>90</v>
      </c>
      <c r="N74" s="33">
        <f>IF(B74="高三",MAX(IF(E74="男",L74-18,L74-55),0),IF(B74="高二",MAX(IF(E74="男",L74-17,L74-54),0),IF(B74="高一",MAX(IF(E74="男",L74-16,L74-53),0))))</f>
        <v>0</v>
      </c>
      <c r="O74" s="23">
        <f>IF(E74="男",LOOKUP($N74,[1]对照表!$Z$3:$Z$13,[1]对照表!$AA$3:$AA$13),LOOKUP($N74,[1]对照表!$Z$15:$Z$25,[1]对照表!$AA$15:$AA$25))</f>
        <v>0</v>
      </c>
      <c r="P74" s="25">
        <f>M74+O74</f>
        <v>90</v>
      </c>
      <c r="Q74" s="50">
        <v>3.31</v>
      </c>
      <c r="R74" s="32">
        <f>IF(B74="高三",IF($E74="男",LOOKUP(Q74,[1]对照表!$W$3:$W$24,[1]对照表!$X$3:$X$24),LOOKUP(Q74,[1]对照表!$W$27:$W$48,[1]对照表!$X$27:$X$48)),IF(B74="高二",IF($E74="男",LOOKUP(Q74,[1]对照表!$V$3:$V$24,[1]对照表!$X$3:$X$24),LOOKUP(Q74,[1]对照表!$V$27:$V$48,[1]对照表!$X$27:$X$48)),IF(B74="高一",IF($E74="男",LOOKUP(Q74,[1]对照表!$U$3:$U$24,[1]对照表!$X$3:$X$24),LOOKUP(Q74,[1]对照表!$U$27:$U$48,[1]对照表!$X$27:$X$48)))))</f>
        <v>90</v>
      </c>
      <c r="S74" s="33">
        <f>ROUND(IF(IF($B74="高三",MIN(IF($E74="男",$Q74-3.2,$Q74-3.2),0),IF($B74="高二",MIN(IF($E74="男",$Q74-3.25,$Q74-3.22),0),IF($B74="高一",MIN(IF($E74="男",$Q74-3.3,$Q74-3.24),0))))&lt;-0.6,IF($B74="高三",MIN(IF($E74="男",$Q74-3.2,$Q74-3.2),0),IF($B74="高二",MIN(IF($E74="男",$Q74-3.25,$Q74-3.22),0),IF($B74="高一",MIN(IF($E74="男",$Q74-3.3,$Q74-3.24),0))))+0.4,IF($B74="高三",MIN(IF($E74="男",$Q74-3.2,$Q74-3.2),0),IF($B74="高二",MIN(IF($E74="男",$Q74-3.25,$Q74-3.22),0),IF($B74="高一",MIN(IF($E74="男",$Q74-3.3,$Q74-3.24),0))))),2)</f>
        <v>0</v>
      </c>
      <c r="T74" s="23">
        <f>IF(E74="男",LOOKUP($S74,[1]对照表!$AB$3:$AB$13,[1]对照表!$AC$3:$AC$13),LOOKUP($S74,[1]对照表!$AB$15:$AB$25,[1]对照表!$AC$15:$AC$25))</f>
        <v>0</v>
      </c>
      <c r="U74" s="26">
        <f>R74+T74</f>
        <v>90</v>
      </c>
      <c r="V74" s="26">
        <f>SUM(I74,K74,M74)/3*0.3+SUM(G74,R74)/2*0.4</f>
        <v>57.600000000000009</v>
      </c>
      <c r="W74" s="27">
        <f>O74+T74</f>
        <v>0</v>
      </c>
      <c r="X74" s="28">
        <f>V74/0.7+W74</f>
        <v>82.285714285714306</v>
      </c>
      <c r="Y74" s="28">
        <f>X74</f>
        <v>82.285714285714306</v>
      </c>
      <c r="Z74" s="54"/>
    </row>
    <row r="75" spans="1:26" ht="15.6" x14ac:dyDescent="0.25">
      <c r="A75" s="48">
        <v>35</v>
      </c>
      <c r="B75" s="17" t="s">
        <v>767</v>
      </c>
      <c r="C75" s="48">
        <v>202</v>
      </c>
      <c r="D75" s="49" t="s">
        <v>1030</v>
      </c>
      <c r="E75" s="48" t="s">
        <v>65</v>
      </c>
      <c r="F75" s="50">
        <v>8.4600000000000009</v>
      </c>
      <c r="G75" s="32">
        <f>IF(B75="高三",IF($E75="男",LOOKUP(F75,[1]对照表!$G$3:$G$24,[1]对照表!$H$3:$H$24),LOOKUP(F75,[1]对照表!$G$27:$G$48,[1]对照表!$H$27:$H$48)),IF(B75="高二",IF($E75="男",LOOKUP(F75,[1]对照表!$F$3:$F$24,[1]对照表!$H$3:$H$24),LOOKUP(F75,[1]对照表!$F$27:$F$48,[1]对照表!$H$27:$H$48)),IF(B75="高一",IF($E75="男",LOOKUP(F75,[1]对照表!$E$3:$E$24,[1]对照表!$H$3:$H$24),LOOKUP(F75,[1]对照表!$E$27:$E$48,[1]对照表!$H$27:$H$48)))))</f>
        <v>80</v>
      </c>
      <c r="H75" s="38">
        <v>10.5</v>
      </c>
      <c r="I75" s="32">
        <f>IF(B75="高三",IF($E75="男",LOOKUP(H75,[1]对照表!$K$3:$K$24,[1]对照表!$L$3:$L$24),LOOKUP(H75,[1]对照表!$K$27:$K$48,[1]对照表!$L$27:$L$48)),IF(B75="高二",IF($E75="男",LOOKUP(H75,[1]对照表!$J$3:$J$24,[1]对照表!$L$3:$L$24),LOOKUP(H75,[1]对照表!$J$27:$J$48,[1]对照表!$L$27:$L$48)),IF(B75="高一",IF($E75="男",LOOKUP(H75,[1]对照表!$I$3:$I$24,[1]对照表!$L$3:$L$24),LOOKUP(H75,[1]对照表!$I$27:$I$48,[1]对照表!$L$27:$L$48)))))</f>
        <v>68</v>
      </c>
      <c r="J75" s="38">
        <v>185</v>
      </c>
      <c r="K75" s="32">
        <f>IF(B75="高三",IF($E75="男",LOOKUP(J75,[1]对照表!$O$3:$O$24,[1]对照表!$P$3:$P$24),LOOKUP(J75,[1]对照表!$O$27:$O$48,[1]对照表!$P$27:$P$48)),IF(B75="高二",IF($E75="男",LOOKUP(J75,[1]对照表!$N$3:$N$24,[1]对照表!$P$3:$P$24),LOOKUP(J75,[1]对照表!$N$27:$N$48,[1]对照表!$P$27:$P$48)),IF(B75="高一",IF($E75="男",LOOKUP(J75,[1]对照表!$M$3:$M$24,[1]对照表!$P$3:$P$24),LOOKUP(J75,[1]对照表!$M$27:$M$48,[1]对照表!$P$27:$P$48)))))</f>
        <v>80</v>
      </c>
      <c r="L75" s="38">
        <v>52</v>
      </c>
      <c r="M75" s="32">
        <f>IF(B75="高三",IF($E75="男",LOOKUP(L75,[1]对照表!$S$3:$S$24,[1]对照表!$T$3:$T$24),LOOKUP(L75,[1]对照表!$S$27:$S$48,[1]对照表!$T$27:$T$48)),IF(B75="高二",IF($E75="男",LOOKUP(L75,[1]对照表!$R$3:$R$24,[1]对照表!$T$3:$T$24),LOOKUP(L75,[1]对照表!$R$27:$R$48,[1]对照表!$T$27:$T$48)),IF(B75="高一",IF($E75="男",LOOKUP(L75,[1]对照表!$Q$3:$Q$24,[1]对照表!$T$3:$T$24),LOOKUP(L75,[1]对照表!$Q$27:$Q$48,[1]对照表!$T$27:$T$48)))))</f>
        <v>95</v>
      </c>
      <c r="N75" s="33">
        <f>IF(B75="高三",MAX(IF(E75="男",L75-18,L75-55),0),IF(B75="高二",MAX(IF(E75="男",L75-17,L75-54),0),IF(B75="高一",MAX(IF(E75="男",L75-16,L75-53),0))))</f>
        <v>0</v>
      </c>
      <c r="O75" s="23">
        <f>IF(E75="男",LOOKUP($N75,[1]对照表!$Z$3:$Z$13,[1]对照表!$AA$3:$AA$13),LOOKUP($N75,[1]对照表!$Z$15:$Z$25,[1]对照表!$AA$15:$AA$25))</f>
        <v>0</v>
      </c>
      <c r="P75" s="25">
        <f>M75+O75</f>
        <v>95</v>
      </c>
      <c r="Q75" s="50">
        <v>3.38</v>
      </c>
      <c r="R75" s="32">
        <f>IF(B75="高三",IF($E75="男",LOOKUP(Q75,[1]对照表!$W$3:$W$24,[1]对照表!$X$3:$X$24),LOOKUP(Q75,[1]对照表!$W$27:$W$48,[1]对照表!$X$27:$X$48)),IF(B75="高二",IF($E75="男",LOOKUP(Q75,[1]对照表!$V$3:$V$24,[1]对照表!$X$3:$X$24),LOOKUP(Q75,[1]对照表!$V$27:$V$48,[1]对照表!$X$27:$X$48)),IF(B75="高一",IF($E75="男",LOOKUP(Q75,[1]对照表!$U$3:$U$24,[1]对照表!$X$3:$X$24),LOOKUP(Q75,[1]对照表!$U$27:$U$48,[1]对照表!$X$27:$X$48)))))</f>
        <v>85</v>
      </c>
      <c r="S75" s="27">
        <f>ROUND(IF(IF($B75="高三",MIN(IF($E75="男",$Q75-3.2,$Q75-3.2),0),IF($B75="高二",MIN(IF($E75="男",$Q75-3.25,$Q75-3.22),0),IF($B75="高一",MIN(IF($E75="男",$Q75-3.3,$Q75-3.24),0))))&lt;-0.6,IF($B75="高三",MIN(IF($E75="男",$Q75-3.2,$Q75-3.2),0),IF($B75="高二",MIN(IF($E75="男",$Q75-3.25,$Q75-3.22),0),IF($B75="高一",MIN(IF($E75="男",$Q75-3.3,$Q75-3.24),0))))+0.4,IF($B75="高三",MIN(IF($E75="男",$Q75-3.2,$Q75-3.2),0),IF($B75="高二",MIN(IF($E75="男",$Q75-3.25,$Q75-3.22),0),IF($B75="高一",MIN(IF($E75="男",$Q75-3.3,$Q75-3.24),0))))),2)</f>
        <v>0</v>
      </c>
      <c r="T75" s="23">
        <f>IF(E75="男",LOOKUP($S75,[1]对照表!$AB$3:$AB$13,[1]对照表!$AC$3:$AC$13),LOOKUP($S75,[1]对照表!$AB$15:$AB$25,[1]对照表!$AC$15:$AC$25))</f>
        <v>0</v>
      </c>
      <c r="U75" s="26">
        <f>R75+T75</f>
        <v>85</v>
      </c>
      <c r="V75" s="26">
        <f>SUM(I75,K75,M75)/3*0.3+SUM(G75,R75)/2*0.4</f>
        <v>57.3</v>
      </c>
      <c r="W75" s="27">
        <f>O75+T75</f>
        <v>0</v>
      </c>
      <c r="X75" s="28">
        <f>V75/0.7+W75</f>
        <v>81.857142857142861</v>
      </c>
      <c r="Y75" s="28">
        <f>X75</f>
        <v>81.857142857142861</v>
      </c>
      <c r="Z75" s="54"/>
    </row>
    <row r="76" spans="1:26" ht="15.6" x14ac:dyDescent="0.25">
      <c r="A76" s="48">
        <v>58</v>
      </c>
      <c r="B76" s="17" t="s">
        <v>767</v>
      </c>
      <c r="C76" s="48">
        <v>202</v>
      </c>
      <c r="D76" s="49" t="s">
        <v>1047</v>
      </c>
      <c r="E76" s="48" t="s">
        <v>65</v>
      </c>
      <c r="F76" s="50">
        <v>9.0500000000000007</v>
      </c>
      <c r="G76" s="32">
        <f>IF(B76="高三",IF($E76="男",LOOKUP(F76,[1]对照表!$G$3:$G$24,[1]对照表!$H$3:$H$24),LOOKUP(F76,[1]对照表!$G$27:$G$48,[1]对照表!$H$27:$H$48)),IF(B76="高二",IF($E76="男",LOOKUP(F76,[1]对照表!$F$3:$F$24,[1]对照表!$H$3:$H$24),LOOKUP(F76,[1]对照表!$F$27:$F$48,[1]对照表!$H$27:$H$48)),IF(B76="高一",IF($E76="男",LOOKUP(F76,[1]对照表!$E$3:$E$24,[1]对照表!$H$3:$H$24),LOOKUP(F76,[1]对照表!$E$27:$E$48,[1]对照表!$H$27:$H$48)))))</f>
        <v>74</v>
      </c>
      <c r="H76" s="38">
        <v>24</v>
      </c>
      <c r="I76" s="32">
        <f>IF(B76="高三",IF($E76="男",LOOKUP(H76,[1]对照表!$K$3:$K$24,[1]对照表!$L$3:$L$24),LOOKUP(H76,[1]对照表!$K$27:$K$48,[1]对照表!$L$27:$L$48)),IF(B76="高二",IF($E76="男",LOOKUP(H76,[1]对照表!$J$3:$J$24,[1]对照表!$L$3:$L$24),LOOKUP(H76,[1]对照表!$J$27:$J$48,[1]对照表!$L$27:$L$48)),IF(B76="高一",IF($E76="男",LOOKUP(H76,[1]对照表!$I$3:$I$24,[1]对照表!$L$3:$L$24),LOOKUP(H76,[1]对照表!$I$27:$I$48,[1]对照表!$L$27:$L$48)))))</f>
        <v>95</v>
      </c>
      <c r="J76" s="38">
        <v>195</v>
      </c>
      <c r="K76" s="32">
        <f>IF(B76="高三",IF($E76="男",LOOKUP(J76,[1]对照表!$O$3:$O$24,[1]对照表!$P$3:$P$24),LOOKUP(J76,[1]对照表!$O$27:$O$48,[1]对照表!$P$27:$P$48)),IF(B76="高二",IF($E76="男",LOOKUP(J76,[1]对照表!$N$3:$N$24,[1]对照表!$P$3:$P$24),LOOKUP(J76,[1]对照表!$N$27:$N$48,[1]对照表!$P$27:$P$48)),IF(B76="高一",IF($E76="男",LOOKUP(J76,[1]对照表!$M$3:$M$24,[1]对照表!$P$3:$P$24),LOOKUP(J76,[1]对照表!$M$27:$M$48,[1]对照表!$P$27:$P$48)))))</f>
        <v>90</v>
      </c>
      <c r="L76" s="38">
        <v>40</v>
      </c>
      <c r="M76" s="32">
        <f>IF(B76="高三",IF($E76="男",LOOKUP(L76,[1]对照表!$S$3:$S$24,[1]对照表!$T$3:$T$24),LOOKUP(L76,[1]对照表!$S$27:$S$48,[1]对照表!$T$27:$T$48)),IF(B76="高二",IF($E76="男",LOOKUP(L76,[1]对照表!$R$3:$R$24,[1]对照表!$T$3:$T$24),LOOKUP(L76,[1]对照表!$R$27:$R$48,[1]对照表!$T$27:$T$48)),IF(B76="高一",IF($E76="男",LOOKUP(L76,[1]对照表!$Q$3:$Q$24,[1]对照表!$T$3:$T$24),LOOKUP(L76,[1]对照表!$Q$27:$Q$48,[1]对照表!$T$27:$T$48)))))</f>
        <v>76</v>
      </c>
      <c r="N76" s="33">
        <f>IF(B76="高三",MAX(IF(E76="男",L76-18,L76-55),0),IF(B76="高二",MAX(IF(E76="男",L76-17,L76-54),0),IF(B76="高一",MAX(IF(E76="男",L76-16,L76-53),0))))</f>
        <v>0</v>
      </c>
      <c r="O76" s="23">
        <f>IF(E76="男",LOOKUP($N76,[1]对照表!$Z$3:$Z$13,[1]对照表!$AA$3:$AA$13),LOOKUP($N76,[1]对照表!$Z$15:$Z$25,[1]对照表!$AA$15:$AA$25))</f>
        <v>0</v>
      </c>
      <c r="P76" s="25">
        <f>M76+O76</f>
        <v>76</v>
      </c>
      <c r="Q76" s="50">
        <v>3.43</v>
      </c>
      <c r="R76" s="32">
        <f>IF(B76="高三",IF($E76="男",LOOKUP(Q76,[1]对照表!$W$3:$W$24,[1]对照表!$X$3:$X$24),LOOKUP(Q76,[1]对照表!$W$27:$W$48,[1]对照表!$X$27:$X$48)),IF(B76="高二",IF($E76="男",LOOKUP(Q76,[1]对照表!$V$3:$V$24,[1]对照表!$X$3:$X$24),LOOKUP(Q76,[1]对照表!$V$27:$V$48,[1]对照表!$X$27:$X$48)),IF(B76="高一",IF($E76="男",LOOKUP(Q76,[1]对照表!$U$3:$U$24,[1]对照表!$X$3:$X$24),LOOKUP(Q76,[1]对照表!$U$27:$U$48,[1]对照表!$X$27:$X$48)))))</f>
        <v>80</v>
      </c>
      <c r="S76" s="33">
        <f>ROUND(IF(IF($B76="高三",MIN(IF($E76="男",$Q76-3.2,$Q76-3.2),0),IF($B76="高二",MIN(IF($E76="男",$Q76-3.25,$Q76-3.22),0),IF($B76="高一",MIN(IF($E76="男",$Q76-3.3,$Q76-3.24),0))))&lt;-0.6,IF($B76="高三",MIN(IF($E76="男",$Q76-3.2,$Q76-3.2),0),IF($B76="高二",MIN(IF($E76="男",$Q76-3.25,$Q76-3.22),0),IF($B76="高一",MIN(IF($E76="男",$Q76-3.3,$Q76-3.24),0))))+0.4,IF($B76="高三",MIN(IF($E76="男",$Q76-3.2,$Q76-3.2),0),IF($B76="高二",MIN(IF($E76="男",$Q76-3.25,$Q76-3.22),0),IF($B76="高一",MIN(IF($E76="男",$Q76-3.3,$Q76-3.24),0))))),2)</f>
        <v>0</v>
      </c>
      <c r="T76" s="23">
        <f>IF(E76="男",LOOKUP($S76,[1]对照表!$AB$3:$AB$13,[1]对照表!$AC$3:$AC$13),LOOKUP($S76,[1]对照表!$AB$15:$AB$25,[1]对照表!$AC$15:$AC$25))</f>
        <v>0</v>
      </c>
      <c r="U76" s="26">
        <f>R76+T76</f>
        <v>80</v>
      </c>
      <c r="V76" s="26">
        <f>SUM(I76,K76,M76)/3*0.3+SUM(G76,R76)/2*0.4</f>
        <v>56.9</v>
      </c>
      <c r="W76" s="27">
        <f>O76+T76</f>
        <v>0</v>
      </c>
      <c r="X76" s="28">
        <f>V76/0.7+W76</f>
        <v>81.285714285714292</v>
      </c>
      <c r="Y76" s="28">
        <f>X76</f>
        <v>81.285714285714292</v>
      </c>
      <c r="Z76" s="54"/>
    </row>
    <row r="77" spans="1:26" ht="15.6" x14ac:dyDescent="0.25">
      <c r="A77" s="48">
        <v>22</v>
      </c>
      <c r="B77" s="17" t="s">
        <v>767</v>
      </c>
      <c r="C77" s="48">
        <v>202</v>
      </c>
      <c r="D77" s="49" t="s">
        <v>1048</v>
      </c>
      <c r="E77" s="48" t="s">
        <v>65</v>
      </c>
      <c r="F77" s="50">
        <v>8.5</v>
      </c>
      <c r="G77" s="32">
        <f>IF(B77="高三",IF($E77="男",LOOKUP(F77,[1]对照表!$G$3:$G$24,[1]对照表!$H$3:$H$24),LOOKUP(F77,[1]对照表!$G$27:$G$48,[1]对照表!$H$27:$H$48)),IF(B77="高二",IF($E77="男",LOOKUP(F77,[1]对照表!$F$3:$F$24,[1]对照表!$H$3:$H$24),LOOKUP(F77,[1]对照表!$F$27:$F$48,[1]对照表!$H$27:$H$48)),IF(B77="高一",IF($E77="男",LOOKUP(F77,[1]对照表!$E$3:$E$24,[1]对照表!$H$3:$H$24),LOOKUP(F77,[1]对照表!$E$27:$E$48,[1]对照表!$H$27:$H$48)))))</f>
        <v>80</v>
      </c>
      <c r="H77" s="38">
        <v>14.5</v>
      </c>
      <c r="I77" s="32">
        <f>IF(B77="高三",IF($E77="男",LOOKUP(H77,[1]对照表!$K$3:$K$24,[1]对照表!$L$3:$L$24),LOOKUP(H77,[1]对照表!$K$27:$K$48,[1]对照表!$L$27:$L$48)),IF(B77="高二",IF($E77="男",LOOKUP(H77,[1]对照表!$J$3:$J$24,[1]对照表!$L$3:$L$24),LOOKUP(H77,[1]对照表!$J$27:$J$48,[1]对照表!$L$27:$L$48)),IF(B77="高一",IF($E77="男",LOOKUP(H77,[1]对照表!$I$3:$I$24,[1]对照表!$L$3:$L$24),LOOKUP(H77,[1]对照表!$I$27:$I$48,[1]对照表!$L$27:$L$48)))))</f>
        <v>74</v>
      </c>
      <c r="J77" s="38">
        <v>175</v>
      </c>
      <c r="K77" s="32">
        <f>IF(B77="高三",IF($E77="男",LOOKUP(J77,[1]对照表!$O$3:$O$24,[1]对照表!$P$3:$P$24),LOOKUP(J77,[1]对照表!$O$27:$O$48,[1]对照表!$P$27:$P$48)),IF(B77="高二",IF($E77="男",LOOKUP(J77,[1]对照表!$N$3:$N$24,[1]对照表!$P$3:$P$24),LOOKUP(J77,[1]对照表!$N$27:$N$48,[1]对照表!$P$27:$P$48)),IF(B77="高一",IF($E77="男",LOOKUP(J77,[1]对照表!$M$3:$M$24,[1]对照表!$P$3:$P$24),LOOKUP(J77,[1]对照表!$M$27:$M$48,[1]对照表!$P$27:$P$48)))))</f>
        <v>76</v>
      </c>
      <c r="L77" s="38">
        <v>43</v>
      </c>
      <c r="M77" s="32">
        <f>IF(B77="高三",IF($E77="男",LOOKUP(L77,[1]对照表!$S$3:$S$24,[1]对照表!$T$3:$T$24),LOOKUP(L77,[1]对照表!$S$27:$S$48,[1]对照表!$T$27:$T$48)),IF(B77="高二",IF($E77="男",LOOKUP(L77,[1]对照表!$R$3:$R$24,[1]对照表!$T$3:$T$24),LOOKUP(L77,[1]对照表!$R$27:$R$48,[1]对照表!$T$27:$T$48)),IF(B77="高一",IF($E77="男",LOOKUP(L77,[1]对照表!$Q$3:$Q$24,[1]对照表!$T$3:$T$24),LOOKUP(L77,[1]对照表!$Q$27:$Q$48,[1]对照表!$T$27:$T$48)))))</f>
        <v>78</v>
      </c>
      <c r="N77" s="33">
        <f>IF(B77="高三",MAX(IF(E77="男",L77-18,L77-55),0),IF(B77="高二",MAX(IF(E77="男",L77-17,L77-54),0),IF(B77="高一",MAX(IF(E77="男",L77-16,L77-53),0))))</f>
        <v>0</v>
      </c>
      <c r="O77" s="23">
        <f>IF(E77="男",LOOKUP($N77,[1]对照表!$Z$3:$Z$13,[1]对照表!$AA$3:$AA$13),LOOKUP($N77,[1]对照表!$Z$15:$Z$25,[1]对照表!$AA$15:$AA$25))</f>
        <v>0</v>
      </c>
      <c r="P77" s="25">
        <f>M77+O77</f>
        <v>78</v>
      </c>
      <c r="Q77" s="50">
        <v>3.3</v>
      </c>
      <c r="R77" s="32">
        <f>IF(B77="高三",IF($E77="男",LOOKUP(Q77,[1]对照表!$W$3:$W$24,[1]对照表!$X$3:$X$24),LOOKUP(Q77,[1]对照表!$W$27:$W$48,[1]对照表!$X$27:$X$48)),IF(B77="高二",IF($E77="男",LOOKUP(Q77,[1]对照表!$V$3:$V$24,[1]对照表!$X$3:$X$24),LOOKUP(Q77,[1]对照表!$V$27:$V$48,[1]对照表!$X$27:$X$48)),IF(B77="高一",IF($E77="男",LOOKUP(Q77,[1]对照表!$U$3:$U$24,[1]对照表!$X$3:$X$24),LOOKUP(Q77,[1]对照表!$U$27:$U$48,[1]对照表!$X$27:$X$48)))))</f>
        <v>90</v>
      </c>
      <c r="S77" s="33">
        <f>ROUND(IF(IF($B77="高三",MIN(IF($E77="男",$Q77-3.2,$Q77-3.2),0),IF($B77="高二",MIN(IF($E77="男",$Q77-3.25,$Q77-3.22),0),IF($B77="高一",MIN(IF($E77="男",$Q77-3.3,$Q77-3.24),0))))&lt;-0.6,IF($B77="高三",MIN(IF($E77="男",$Q77-3.2,$Q77-3.2),0),IF($B77="高二",MIN(IF($E77="男",$Q77-3.25,$Q77-3.22),0),IF($B77="高一",MIN(IF($E77="男",$Q77-3.3,$Q77-3.24),0))))+0.4,IF($B77="高三",MIN(IF($E77="男",$Q77-3.2,$Q77-3.2),0),IF($B77="高二",MIN(IF($E77="男",$Q77-3.25,$Q77-3.22),0),IF($B77="高一",MIN(IF($E77="男",$Q77-3.3,$Q77-3.24),0))))),2)</f>
        <v>0</v>
      </c>
      <c r="T77" s="23">
        <f>IF(E77="男",LOOKUP($S77,[1]对照表!$AB$3:$AB$13,[1]对照表!$AC$3:$AC$13),LOOKUP($S77,[1]对照表!$AB$15:$AB$25,[1]对照表!$AC$15:$AC$25))</f>
        <v>0</v>
      </c>
      <c r="U77" s="26">
        <f>R77+T77</f>
        <v>90</v>
      </c>
      <c r="V77" s="26">
        <f>SUM(I77,K77,M77)/3*0.3+SUM(G77,R77)/2*0.4</f>
        <v>56.8</v>
      </c>
      <c r="W77" s="27">
        <f>O77+T77</f>
        <v>0</v>
      </c>
      <c r="X77" s="28">
        <f>V77/0.7+W77</f>
        <v>81.142857142857139</v>
      </c>
      <c r="Y77" s="28">
        <f>X77</f>
        <v>81.142857142857139</v>
      </c>
      <c r="Z77" s="54"/>
    </row>
    <row r="78" spans="1:26" ht="15.6" customHeight="1" x14ac:dyDescent="0.25">
      <c r="A78" s="48">
        <v>24</v>
      </c>
      <c r="B78" s="17" t="s">
        <v>767</v>
      </c>
      <c r="C78" s="48">
        <v>202</v>
      </c>
      <c r="D78" s="49" t="s">
        <v>1051</v>
      </c>
      <c r="E78" s="48" t="s">
        <v>65</v>
      </c>
      <c r="F78" s="50">
        <v>9.1300000000000008</v>
      </c>
      <c r="G78" s="32">
        <f>IF(B78="高三",IF($E78="男",LOOKUP(F78,[1]对照表!$G$3:$G$24,[1]对照表!$H$3:$H$24),LOOKUP(F78,[1]对照表!$G$27:$G$48,[1]对照表!$H$27:$H$48)),IF(B78="高二",IF($E78="男",LOOKUP(F78,[1]对照表!$F$3:$F$24,[1]对照表!$H$3:$H$24),LOOKUP(F78,[1]对照表!$F$27:$F$48,[1]对照表!$H$27:$H$48)),IF(B78="高一",IF($E78="男",LOOKUP(F78,[1]对照表!$E$3:$E$24,[1]对照表!$H$3:$H$24),LOOKUP(F78,[1]对照表!$E$27:$E$48,[1]对照表!$H$27:$H$48)))))</f>
        <v>72</v>
      </c>
      <c r="H78" s="38">
        <v>10.7</v>
      </c>
      <c r="I78" s="32">
        <f>IF(B78="高三",IF($E78="男",LOOKUP(H78,[1]对照表!$K$3:$K$24,[1]对照表!$L$3:$L$24),LOOKUP(H78,[1]对照表!$K$27:$K$48,[1]对照表!$L$27:$L$48)),IF(B78="高二",IF($E78="男",LOOKUP(H78,[1]对照表!$J$3:$J$24,[1]对照表!$L$3:$L$24),LOOKUP(H78,[1]对照表!$J$27:$J$48,[1]对照表!$L$27:$L$48)),IF(B78="高一",IF($E78="男",LOOKUP(H78,[1]对照表!$I$3:$I$24,[1]对照表!$L$3:$L$24),LOOKUP(H78,[1]对照表!$I$27:$I$48,[1]对照表!$L$27:$L$48)))))</f>
        <v>68</v>
      </c>
      <c r="J78" s="38">
        <v>172</v>
      </c>
      <c r="K78" s="32">
        <f>IF(B78="高三",IF($E78="男",LOOKUP(J78,[1]对照表!$O$3:$O$24,[1]对照表!$P$3:$P$24),LOOKUP(J78,[1]对照表!$O$27:$O$48,[1]对照表!$P$27:$P$48)),IF(B78="高二",IF($E78="男",LOOKUP(J78,[1]对照表!$N$3:$N$24,[1]对照表!$P$3:$P$24),LOOKUP(J78,[1]对照表!$N$27:$N$48,[1]对照表!$P$27:$P$48)),IF(B78="高一",IF($E78="男",LOOKUP(J78,[1]对照表!$M$3:$M$24,[1]对照表!$P$3:$P$24),LOOKUP(J78,[1]对照表!$M$27:$M$48,[1]对照表!$P$27:$P$48)))))</f>
        <v>74</v>
      </c>
      <c r="L78" s="38">
        <v>54</v>
      </c>
      <c r="M78" s="32">
        <f>IF(B78="高三",IF($E78="男",LOOKUP(L78,[1]对照表!$S$3:$S$24,[1]对照表!$T$3:$T$24),LOOKUP(L78,[1]对照表!$S$27:$S$48,[1]对照表!$T$27:$T$48)),IF(B78="高二",IF($E78="男",LOOKUP(L78,[1]对照表!$R$3:$R$24,[1]对照表!$T$3:$T$24),LOOKUP(L78,[1]对照表!$R$27:$R$48,[1]对照表!$T$27:$T$48)),IF(B78="高一",IF($E78="男",LOOKUP(L78,[1]对照表!$Q$3:$Q$24,[1]对照表!$T$3:$T$24),LOOKUP(L78,[1]对照表!$Q$27:$Q$48,[1]对照表!$T$27:$T$48)))))</f>
        <v>100</v>
      </c>
      <c r="N78" s="33">
        <f>IF(B78="高三",MAX(IF(E78="男",L78-18,L78-55),0),IF(B78="高二",MAX(IF(E78="男",L78-17,L78-54),0),IF(B78="高一",MAX(IF(E78="男",L78-16,L78-53),0))))</f>
        <v>0</v>
      </c>
      <c r="O78" s="23">
        <f>IF(E78="男",LOOKUP($N78,[1]对照表!$Z$3:$Z$13,[1]对照表!$AA$3:$AA$13),LOOKUP($N78,[1]对照表!$Z$15:$Z$25,[1]对照表!$AA$15:$AA$25))</f>
        <v>0</v>
      </c>
      <c r="P78" s="25">
        <f>M78+O78</f>
        <v>100</v>
      </c>
      <c r="Q78" s="50">
        <v>3.32</v>
      </c>
      <c r="R78" s="32">
        <f>IF(B78="高三",IF($E78="男",LOOKUP(Q78,[1]对照表!$W$3:$W$24,[1]对照表!$X$3:$X$24),LOOKUP(Q78,[1]对照表!$W$27:$W$48,[1]对照表!$X$27:$X$48)),IF(B78="高二",IF($E78="男",LOOKUP(Q78,[1]对照表!$V$3:$V$24,[1]对照表!$X$3:$X$24),LOOKUP(Q78,[1]对照表!$V$27:$V$48,[1]对照表!$X$27:$X$48)),IF(B78="高一",IF($E78="男",LOOKUP(Q78,[1]对照表!$U$3:$U$24,[1]对照表!$X$3:$X$24),LOOKUP(Q78,[1]对照表!$U$27:$U$48,[1]对照表!$X$27:$X$48)))))</f>
        <v>90</v>
      </c>
      <c r="S78" s="33">
        <f>ROUND(IF(IF($B78="高三",MIN(IF($E78="男",$Q78-3.2,$Q78-3.2),0),IF($B78="高二",MIN(IF($E78="男",$Q78-3.25,$Q78-3.22),0),IF($B78="高一",MIN(IF($E78="男",$Q78-3.3,$Q78-3.24),0))))&lt;-0.6,IF($B78="高三",MIN(IF($E78="男",$Q78-3.2,$Q78-3.2),0),IF($B78="高二",MIN(IF($E78="男",$Q78-3.25,$Q78-3.22),0),IF($B78="高一",MIN(IF($E78="男",$Q78-3.3,$Q78-3.24),0))))+0.4,IF($B78="高三",MIN(IF($E78="男",$Q78-3.2,$Q78-3.2),0),IF($B78="高二",MIN(IF($E78="男",$Q78-3.25,$Q78-3.22),0),IF($B78="高一",MIN(IF($E78="男",$Q78-3.3,$Q78-3.24),0))))),2)</f>
        <v>0</v>
      </c>
      <c r="T78" s="23">
        <f>IF(E78="男",LOOKUP($S78,[1]对照表!$AB$3:$AB$13,[1]对照表!$AC$3:$AC$13),LOOKUP($S78,[1]对照表!$AB$15:$AB$25,[1]对照表!$AC$15:$AC$25))</f>
        <v>0</v>
      </c>
      <c r="U78" s="26">
        <f>R78+T78</f>
        <v>90</v>
      </c>
      <c r="V78" s="26">
        <f>SUM(I78,K78,M78)/3*0.3+SUM(G78,R78)/2*0.4</f>
        <v>56.599999999999994</v>
      </c>
      <c r="W78" s="27">
        <f>O78+T78</f>
        <v>0</v>
      </c>
      <c r="X78" s="28">
        <f>V78/0.7+W78</f>
        <v>80.857142857142861</v>
      </c>
      <c r="Y78" s="28">
        <f>X78</f>
        <v>80.857142857142861</v>
      </c>
      <c r="Z78" s="38"/>
    </row>
    <row r="79" spans="1:26" ht="15.6" customHeight="1" x14ac:dyDescent="0.25">
      <c r="A79" s="48">
        <v>20</v>
      </c>
      <c r="B79" s="17" t="s">
        <v>767</v>
      </c>
      <c r="C79" s="48">
        <v>202</v>
      </c>
      <c r="D79" s="49" t="s">
        <v>1070</v>
      </c>
      <c r="E79" s="48" t="s">
        <v>65</v>
      </c>
      <c r="F79" s="50">
        <v>9.0500000000000007</v>
      </c>
      <c r="G79" s="32">
        <f>IF(B79="高三",IF($E79="男",LOOKUP(F79,[1]对照表!$G$3:$G$24,[1]对照表!$H$3:$H$24),LOOKUP(F79,[1]对照表!$G$27:$G$48,[1]对照表!$H$27:$H$48)),IF(B79="高二",IF($E79="男",LOOKUP(F79,[1]对照表!$F$3:$F$24,[1]对照表!$H$3:$H$24),LOOKUP(F79,[1]对照表!$F$27:$F$48,[1]对照表!$H$27:$H$48)),IF(B79="高一",IF($E79="男",LOOKUP(F79,[1]对照表!$E$3:$E$24,[1]对照表!$H$3:$H$24),LOOKUP(F79,[1]对照表!$E$27:$E$48,[1]对照表!$H$27:$H$48)))))</f>
        <v>74</v>
      </c>
      <c r="H79" s="38">
        <v>25.5</v>
      </c>
      <c r="I79" s="32">
        <f>IF(B79="高三",IF($E79="男",LOOKUP(H79,[1]对照表!$K$3:$K$24,[1]对照表!$L$3:$L$24),LOOKUP(H79,[1]对照表!$K$27:$K$48,[1]对照表!$L$27:$L$48)),IF(B79="高二",IF($E79="男",LOOKUP(H79,[1]对照表!$J$3:$J$24,[1]对照表!$L$3:$L$24),LOOKUP(H79,[1]对照表!$J$27:$J$48,[1]对照表!$L$27:$L$48)),IF(B79="高一",IF($E79="男",LOOKUP(H79,[1]对照表!$I$3:$I$24,[1]对照表!$L$3:$L$24),LOOKUP(H79,[1]对照表!$I$27:$I$48,[1]对照表!$L$27:$L$48)))))</f>
        <v>100</v>
      </c>
      <c r="J79" s="38">
        <v>191</v>
      </c>
      <c r="K79" s="32">
        <f>IF(B79="高三",IF($E79="男",LOOKUP(J79,[1]对照表!$O$3:$O$24,[1]对照表!$P$3:$P$24),LOOKUP(J79,[1]对照表!$O$27:$O$48,[1]对照表!$P$27:$P$48)),IF(B79="高二",IF($E79="男",LOOKUP(J79,[1]对照表!$N$3:$N$24,[1]对照表!$P$3:$P$24),LOOKUP(J79,[1]对照表!$N$27:$N$48,[1]对照表!$P$27:$P$48)),IF(B79="高一",IF($E79="男",LOOKUP(J79,[1]对照表!$M$3:$M$24,[1]对照表!$P$3:$P$24),LOOKUP(J79,[1]对照表!$M$27:$M$48,[1]对照表!$P$27:$P$48)))))</f>
        <v>85</v>
      </c>
      <c r="L79" s="38">
        <v>46</v>
      </c>
      <c r="M79" s="32">
        <f>IF(B79="高三",IF($E79="男",LOOKUP(L79,[1]对照表!$S$3:$S$24,[1]对照表!$T$3:$T$24),LOOKUP(L79,[1]对照表!$S$27:$S$48,[1]对照表!$T$27:$T$48)),IF(B79="高二",IF($E79="男",LOOKUP(L79,[1]对照表!$R$3:$R$24,[1]对照表!$T$3:$T$24),LOOKUP(L79,[1]对照表!$R$27:$R$48,[1]对照表!$T$27:$T$48)),IF(B79="高一",IF($E79="男",LOOKUP(L79,[1]对照表!$Q$3:$Q$24,[1]对照表!$T$3:$T$24),LOOKUP(L79,[1]对照表!$Q$27:$Q$48,[1]对照表!$T$27:$T$48)))))</f>
        <v>80</v>
      </c>
      <c r="N79" s="33">
        <f>IF(B79="高三",MAX(IF(E79="男",L79-18,L79-55),0),IF(B79="高二",MAX(IF(E79="男",L79-17,L79-54),0),IF(B79="高一",MAX(IF(E79="男",L79-16,L79-53),0))))</f>
        <v>0</v>
      </c>
      <c r="O79" s="23">
        <f>IF(E79="男",LOOKUP($N79,[1]对照表!$Z$3:$Z$13,[1]对照表!$AA$3:$AA$13),LOOKUP($N79,[1]对照表!$Z$15:$Z$25,[1]对照表!$AA$15:$AA$25))</f>
        <v>0</v>
      </c>
      <c r="P79" s="25">
        <f>M79+O79</f>
        <v>80</v>
      </c>
      <c r="Q79" s="50">
        <v>4.03</v>
      </c>
      <c r="R79" s="32">
        <f>IF(B79="高三",IF($E79="男",LOOKUP(Q79,[1]对照表!$W$3:$W$24,[1]对照表!$X$3:$X$24),LOOKUP(Q79,[1]对照表!$W$27:$W$48,[1]对照表!$X$27:$X$48)),IF(B79="高二",IF($E79="男",LOOKUP(Q79,[1]对照表!$V$3:$V$24,[1]对照表!$X$3:$X$24),LOOKUP(Q79,[1]对照表!$V$27:$V$48,[1]对照表!$X$27:$X$48)),IF(B79="高一",IF($E79="男",LOOKUP(Q79,[1]对照表!$U$3:$U$24,[1]对照表!$X$3:$X$24),LOOKUP(Q79,[1]对照表!$U$27:$U$48,[1]对照表!$X$27:$X$48)))))</f>
        <v>74</v>
      </c>
      <c r="S79" s="33">
        <f>ROUND(IF(IF($B79="高三",MIN(IF($E79="男",$Q79-3.2,$Q79-3.2),0),IF($B79="高二",MIN(IF($E79="男",$Q79-3.25,$Q79-3.22),0),IF($B79="高一",MIN(IF($E79="男",$Q79-3.3,$Q79-3.24),0))))&lt;-0.6,IF($B79="高三",MIN(IF($E79="男",$Q79-3.2,$Q79-3.2),0),IF($B79="高二",MIN(IF($E79="男",$Q79-3.25,$Q79-3.22),0),IF($B79="高一",MIN(IF($E79="男",$Q79-3.3,$Q79-3.24),0))))+0.4,IF($B79="高三",MIN(IF($E79="男",$Q79-3.2,$Q79-3.2),0),IF($B79="高二",MIN(IF($E79="男",$Q79-3.25,$Q79-3.22),0),IF($B79="高一",MIN(IF($E79="男",$Q79-3.3,$Q79-3.24),0))))),2)</f>
        <v>0</v>
      </c>
      <c r="T79" s="23">
        <f>IF(E79="男",LOOKUP($S79,[1]对照表!$AB$3:$AB$13,[1]对照表!$AC$3:$AC$13),LOOKUP($S79,[1]对照表!$AB$15:$AB$25,[1]对照表!$AC$15:$AC$25))</f>
        <v>0</v>
      </c>
      <c r="U79" s="26">
        <f>R79+T79</f>
        <v>74</v>
      </c>
      <c r="V79" s="26">
        <f>SUM(I79,K79,M79)/3*0.3+SUM(G79,R79)/2*0.4</f>
        <v>56.099999999999994</v>
      </c>
      <c r="W79" s="27">
        <f>O79+T79</f>
        <v>0</v>
      </c>
      <c r="X79" s="28">
        <f>V79/0.7+W79</f>
        <v>80.142857142857139</v>
      </c>
      <c r="Y79" s="28">
        <f>X79</f>
        <v>80.142857142857139</v>
      </c>
      <c r="Z79" s="38"/>
    </row>
    <row r="80" spans="1:26" ht="15.6" x14ac:dyDescent="0.25">
      <c r="A80" s="48">
        <v>29</v>
      </c>
      <c r="B80" s="17" t="s">
        <v>767</v>
      </c>
      <c r="C80" s="48">
        <v>202</v>
      </c>
      <c r="D80" s="49" t="s">
        <v>1077</v>
      </c>
      <c r="E80" s="48" t="s">
        <v>65</v>
      </c>
      <c r="F80" s="50">
        <v>9.16</v>
      </c>
      <c r="G80" s="32">
        <f>IF(B80="高三",IF($E80="男",LOOKUP(F80,[1]对照表!$G$3:$G$24,[1]对照表!$H$3:$H$24),LOOKUP(F80,[1]对照表!$G$27:$G$48,[1]对照表!$H$27:$H$48)),IF(B80="高二",IF($E80="男",LOOKUP(F80,[1]对照表!$F$3:$F$24,[1]对照表!$H$3:$H$24),LOOKUP(F80,[1]对照表!$F$27:$F$48,[1]对照表!$H$27:$H$48)),IF(B80="高一",IF($E80="男",LOOKUP(F80,[1]对照表!$E$3:$E$24,[1]对照表!$H$3:$H$24),LOOKUP(F80,[1]对照表!$E$27:$E$48,[1]对照表!$H$27:$H$48)))))</f>
        <v>72</v>
      </c>
      <c r="H80" s="38">
        <v>11.4</v>
      </c>
      <c r="I80" s="32">
        <f>IF(B80="高三",IF($E80="男",LOOKUP(H80,[1]对照表!$K$3:$K$24,[1]对照表!$L$3:$L$24),LOOKUP(H80,[1]对照表!$K$27:$K$48,[1]对照表!$L$27:$L$48)),IF(B80="高二",IF($E80="男",LOOKUP(H80,[1]对照表!$J$3:$J$24,[1]对照表!$L$3:$L$24),LOOKUP(H80,[1]对照表!$J$27:$J$48,[1]对照表!$L$27:$L$48)),IF(B80="高一",IF($E80="男",LOOKUP(H80,[1]对照表!$I$3:$I$24,[1]对照表!$L$3:$L$24),LOOKUP(H80,[1]对照表!$I$27:$I$48,[1]对照表!$L$27:$L$48)))))</f>
        <v>68</v>
      </c>
      <c r="J80" s="38">
        <v>177</v>
      </c>
      <c r="K80" s="32">
        <f>IF(B80="高三",IF($E80="男",LOOKUP(J80,[1]对照表!$O$3:$O$24,[1]对照表!$P$3:$P$24),LOOKUP(J80,[1]对照表!$O$27:$O$48,[1]对照表!$P$27:$P$48)),IF(B80="高二",IF($E80="男",LOOKUP(J80,[1]对照表!$N$3:$N$24,[1]对照表!$P$3:$P$24),LOOKUP(J80,[1]对照表!$N$27:$N$48,[1]对照表!$P$27:$P$48)),IF(B80="高一",IF($E80="男",LOOKUP(J80,[1]对照表!$M$3:$M$24,[1]对照表!$P$3:$P$24),LOOKUP(J80,[1]对照表!$M$27:$M$48,[1]对照表!$P$27:$P$48)))))</f>
        <v>78</v>
      </c>
      <c r="L80" s="38">
        <v>42</v>
      </c>
      <c r="M80" s="32">
        <f>IF(B80="高三",IF($E80="男",LOOKUP(L80,[1]对照表!$S$3:$S$24,[1]对照表!$T$3:$T$24),LOOKUP(L80,[1]对照表!$S$27:$S$48,[1]对照表!$T$27:$T$48)),IF(B80="高二",IF($E80="男",LOOKUP(L80,[1]对照表!$R$3:$R$24,[1]对照表!$T$3:$T$24),LOOKUP(L80,[1]对照表!$R$27:$R$48,[1]对照表!$T$27:$T$48)),IF(B80="高一",IF($E80="男",LOOKUP(L80,[1]对照表!$Q$3:$Q$24,[1]对照表!$T$3:$T$24),LOOKUP(L80,[1]对照表!$Q$27:$Q$48,[1]对照表!$T$27:$T$48)))))</f>
        <v>78</v>
      </c>
      <c r="N80" s="33">
        <f>IF(B80="高三",MAX(IF(E80="男",L80-18,L80-55),0),IF(B80="高二",MAX(IF(E80="男",L80-17,L80-54),0),IF(B80="高一",MAX(IF(E80="男",L80-16,L80-53),0))))</f>
        <v>0</v>
      </c>
      <c r="O80" s="23">
        <f>IF(E80="男",LOOKUP($N80,[1]对照表!$Z$3:$Z$13,[1]对照表!$AA$3:$AA$13),LOOKUP($N80,[1]对照表!$Z$15:$Z$25,[1]对照表!$AA$15:$AA$25))</f>
        <v>0</v>
      </c>
      <c r="P80" s="25">
        <f>M80+O80</f>
        <v>78</v>
      </c>
      <c r="Q80" s="50">
        <v>3.26</v>
      </c>
      <c r="R80" s="32">
        <f>IF(B80="高三",IF($E80="男",LOOKUP(Q80,[1]对照表!$W$3:$W$24,[1]对照表!$X$3:$X$24),LOOKUP(Q80,[1]对照表!$W$27:$W$48,[1]对照表!$X$27:$X$48)),IF(B80="高二",IF($E80="男",LOOKUP(Q80,[1]对照表!$V$3:$V$24,[1]对照表!$X$3:$X$24),LOOKUP(Q80,[1]对照表!$V$27:$V$48,[1]对照表!$X$27:$X$48)),IF(B80="高一",IF($E80="男",LOOKUP(Q80,[1]对照表!$U$3:$U$24,[1]对照表!$X$3:$X$24),LOOKUP(Q80,[1]对照表!$U$27:$U$48,[1]对照表!$X$27:$X$48)))))</f>
        <v>95</v>
      </c>
      <c r="S80" s="33">
        <f>ROUND(IF(IF($B80="高三",MIN(IF($E80="男",$Q80-3.2,$Q80-3.2),0),IF($B80="高二",MIN(IF($E80="男",$Q80-3.25,$Q80-3.22),0),IF($B80="高一",MIN(IF($E80="男",$Q80-3.3,$Q80-3.24),0))))&lt;-0.6,IF($B80="高三",MIN(IF($E80="男",$Q80-3.2,$Q80-3.2),0),IF($B80="高二",MIN(IF($E80="男",$Q80-3.25,$Q80-3.22),0),IF($B80="高一",MIN(IF($E80="男",$Q80-3.3,$Q80-3.24),0))))+0.4,IF($B80="高三",MIN(IF($E80="男",$Q80-3.2,$Q80-3.2),0),IF($B80="高二",MIN(IF($E80="男",$Q80-3.25,$Q80-3.22),0),IF($B80="高一",MIN(IF($E80="男",$Q80-3.3,$Q80-3.24),0))))),2)</f>
        <v>0</v>
      </c>
      <c r="T80" s="23">
        <f>IF(E80="男",LOOKUP($S80,[1]对照表!$AB$3:$AB$13,[1]对照表!$AC$3:$AC$13),LOOKUP($S80,[1]对照表!$AB$15:$AB$25,[1]对照表!$AC$15:$AC$25))</f>
        <v>0</v>
      </c>
      <c r="U80" s="26">
        <f>R80+T80</f>
        <v>95</v>
      </c>
      <c r="V80" s="26">
        <f>SUM(I80,K80,M80)/3*0.3+SUM(G80,R80)/2*0.4</f>
        <v>55.8</v>
      </c>
      <c r="W80" s="27">
        <f>O80+T80</f>
        <v>0</v>
      </c>
      <c r="X80" s="28">
        <f>V80/0.7+W80</f>
        <v>79.714285714285708</v>
      </c>
      <c r="Y80" s="28">
        <f>X80</f>
        <v>79.714285714285708</v>
      </c>
      <c r="Z80" s="38"/>
    </row>
    <row r="81" spans="1:26" ht="15.6" x14ac:dyDescent="0.25">
      <c r="A81" s="48">
        <v>28</v>
      </c>
      <c r="B81" s="17" t="s">
        <v>767</v>
      </c>
      <c r="C81" s="48">
        <v>202</v>
      </c>
      <c r="D81" s="49" t="s">
        <v>1078</v>
      </c>
      <c r="E81" s="48" t="s">
        <v>65</v>
      </c>
      <c r="F81" s="50">
        <v>9.16</v>
      </c>
      <c r="G81" s="32">
        <f>IF(B81="高三",IF($E81="男",LOOKUP(F81,[1]对照表!$G$3:$G$24,[1]对照表!$H$3:$H$24),LOOKUP(F81,[1]对照表!$G$27:$G$48,[1]对照表!$H$27:$H$48)),IF(B81="高二",IF($E81="男",LOOKUP(F81,[1]对照表!$F$3:$F$24,[1]对照表!$H$3:$H$24),LOOKUP(F81,[1]对照表!$F$27:$F$48,[1]对照表!$H$27:$H$48)),IF(B81="高一",IF($E81="男",LOOKUP(F81,[1]对照表!$E$3:$E$24,[1]对照表!$H$3:$H$24),LOOKUP(F81,[1]对照表!$E$27:$E$48,[1]对照表!$H$27:$H$48)))))</f>
        <v>72</v>
      </c>
      <c r="H81" s="38">
        <v>15.1</v>
      </c>
      <c r="I81" s="32">
        <f>IF(B81="高三",IF($E81="男",LOOKUP(H81,[1]对照表!$K$3:$K$24,[1]对照表!$L$3:$L$24),LOOKUP(H81,[1]对照表!$K$27:$K$48,[1]对照表!$L$27:$L$48)),IF(B81="高二",IF($E81="男",LOOKUP(H81,[1]对照表!$J$3:$J$24,[1]对照表!$L$3:$L$24),LOOKUP(H81,[1]对照表!$J$27:$J$48,[1]对照表!$L$27:$L$48)),IF(B81="高一",IF($E81="男",LOOKUP(H81,[1]对照表!$I$3:$I$24,[1]对照表!$L$3:$L$24),LOOKUP(H81,[1]对照表!$I$27:$I$48,[1]对照表!$L$27:$L$48)))))</f>
        <v>74</v>
      </c>
      <c r="J81" s="38">
        <v>165</v>
      </c>
      <c r="K81" s="32">
        <f>IF(B81="高三",IF($E81="男",LOOKUP(J81,[1]对照表!$O$3:$O$24,[1]对照表!$P$3:$P$24),LOOKUP(J81,[1]对照表!$O$27:$O$48,[1]对照表!$P$27:$P$48)),IF(B81="高二",IF($E81="男",LOOKUP(J81,[1]对照表!$N$3:$N$24,[1]对照表!$P$3:$P$24),LOOKUP(J81,[1]对照表!$N$27:$N$48,[1]对照表!$P$27:$P$48)),IF(B81="高一",IF($E81="男",LOOKUP(J81,[1]对照表!$M$3:$M$24,[1]对照表!$P$3:$P$24),LOOKUP(J81,[1]对照表!$M$27:$M$48,[1]对照表!$P$27:$P$48)))))</f>
        <v>70</v>
      </c>
      <c r="L81" s="38">
        <v>54</v>
      </c>
      <c r="M81" s="32">
        <f>IF(B81="高三",IF($E81="男",LOOKUP(L81,[1]对照表!$S$3:$S$24,[1]对照表!$T$3:$T$24),LOOKUP(L81,[1]对照表!$S$27:$S$48,[1]对照表!$T$27:$T$48)),IF(B81="高二",IF($E81="男",LOOKUP(L81,[1]对照表!$R$3:$R$24,[1]对照表!$T$3:$T$24),LOOKUP(L81,[1]对照表!$R$27:$R$48,[1]对照表!$T$27:$T$48)),IF(B81="高一",IF($E81="男",LOOKUP(L81,[1]对照表!$Q$3:$Q$24,[1]对照表!$T$3:$T$24),LOOKUP(L81,[1]对照表!$Q$27:$Q$48,[1]对照表!$T$27:$T$48)))))</f>
        <v>100</v>
      </c>
      <c r="N81" s="33">
        <f>IF(B81="高三",MAX(IF(E81="男",L81-18,L81-55),0),IF(B81="高二",MAX(IF(E81="男",L81-17,L81-54),0),IF(B81="高一",MAX(IF(E81="男",L81-16,L81-53),0))))</f>
        <v>0</v>
      </c>
      <c r="O81" s="23">
        <f>IF(E81="男",LOOKUP($N81,[1]对照表!$Z$3:$Z$13,[1]对照表!$AA$3:$AA$13),LOOKUP($N81,[1]对照表!$Z$15:$Z$25,[1]对照表!$AA$15:$AA$25))</f>
        <v>0</v>
      </c>
      <c r="P81" s="25">
        <f>M81+O81</f>
        <v>100</v>
      </c>
      <c r="Q81" s="50">
        <v>3.38</v>
      </c>
      <c r="R81" s="32">
        <f>IF(B81="高三",IF($E81="男",LOOKUP(Q81,[1]对照表!$W$3:$W$24,[1]对照表!$X$3:$X$24),LOOKUP(Q81,[1]对照表!$W$27:$W$48,[1]对照表!$X$27:$X$48)),IF(B81="高二",IF($E81="男",LOOKUP(Q81,[1]对照表!$V$3:$V$24,[1]对照表!$X$3:$X$24),LOOKUP(Q81,[1]对照表!$V$27:$V$48,[1]对照表!$X$27:$X$48)),IF(B81="高一",IF($E81="男",LOOKUP(Q81,[1]对照表!$U$3:$U$24,[1]对照表!$X$3:$X$24),LOOKUP(Q81,[1]对照表!$U$27:$U$48,[1]对照表!$X$27:$X$48)))))</f>
        <v>85</v>
      </c>
      <c r="S81" s="33">
        <f>ROUND(IF(IF($B81="高三",MIN(IF($E81="男",$Q81-3.2,$Q81-3.2),0),IF($B81="高二",MIN(IF($E81="男",$Q81-3.25,$Q81-3.22),0),IF($B81="高一",MIN(IF($E81="男",$Q81-3.3,$Q81-3.24),0))))&lt;-0.6,IF($B81="高三",MIN(IF($E81="男",$Q81-3.2,$Q81-3.2),0),IF($B81="高二",MIN(IF($E81="男",$Q81-3.25,$Q81-3.22),0),IF($B81="高一",MIN(IF($E81="男",$Q81-3.3,$Q81-3.24),0))))+0.4,IF($B81="高三",MIN(IF($E81="男",$Q81-3.2,$Q81-3.2),0),IF($B81="高二",MIN(IF($E81="男",$Q81-3.25,$Q81-3.22),0),IF($B81="高一",MIN(IF($E81="男",$Q81-3.3,$Q81-3.24),0))))),2)</f>
        <v>0</v>
      </c>
      <c r="T81" s="23">
        <f>IF(E81="男",LOOKUP($S81,[1]对照表!$AB$3:$AB$13,[1]对照表!$AC$3:$AC$13),LOOKUP($S81,[1]对照表!$AB$15:$AB$25,[1]对照表!$AC$15:$AC$25))</f>
        <v>0</v>
      </c>
      <c r="U81" s="26">
        <f>R81+T81</f>
        <v>85</v>
      </c>
      <c r="V81" s="26">
        <f>SUM(I81,K81,M81)/3*0.3+SUM(G81,R81)/2*0.4</f>
        <v>55.8</v>
      </c>
      <c r="W81" s="27">
        <f>O81+T81</f>
        <v>0</v>
      </c>
      <c r="X81" s="28">
        <f>V81/0.7+W81</f>
        <v>79.714285714285708</v>
      </c>
      <c r="Y81" s="28">
        <f>X81</f>
        <v>79.714285714285708</v>
      </c>
      <c r="Z81" s="38"/>
    </row>
    <row r="82" spans="1:26" ht="15.6" customHeight="1" x14ac:dyDescent="0.25">
      <c r="A82" s="48">
        <v>5</v>
      </c>
      <c r="B82" s="17" t="s">
        <v>767</v>
      </c>
      <c r="C82" s="48">
        <v>202</v>
      </c>
      <c r="D82" s="49" t="s">
        <v>1079</v>
      </c>
      <c r="E82" s="48" t="s">
        <v>23</v>
      </c>
      <c r="F82" s="50">
        <v>7.4</v>
      </c>
      <c r="G82" s="32">
        <f>IF(B82="高三",IF($E82="男",LOOKUP(F82,[1]对照表!$G$3:$G$24,[1]对照表!$H$3:$H$24),LOOKUP(F82,[1]对照表!$G$27:$G$48,[1]对照表!$H$27:$H$48)),IF(B82="高二",IF($E82="男",LOOKUP(F82,[1]对照表!$F$3:$F$24,[1]对照表!$H$3:$H$24),LOOKUP(F82,[1]对照表!$F$27:$F$48,[1]对照表!$H$27:$H$48)),IF(B82="高一",IF($E82="男",LOOKUP(F82,[1]对照表!$E$3:$E$24,[1]对照表!$H$3:$H$24),LOOKUP(F82,[1]对照表!$E$27:$E$48,[1]对照表!$H$27:$H$48)))))</f>
        <v>80</v>
      </c>
      <c r="H82" s="38">
        <v>19</v>
      </c>
      <c r="I82" s="32">
        <f>IF(B82="高三",IF($E82="男",LOOKUP(H82,[1]对照表!$K$3:$K$24,[1]对照表!$L$3:$L$24),LOOKUP(H82,[1]对照表!$K$27:$K$48,[1]对照表!$L$27:$L$48)),IF(B82="高二",IF($E82="男",LOOKUP(H82,[1]对照表!$J$3:$J$24,[1]对照表!$L$3:$L$24),LOOKUP(H82,[1]对照表!$J$27:$J$48,[1]对照表!$L$27:$L$48)),IF(B82="高一",IF($E82="男",LOOKUP(H82,[1]对照表!$I$3:$I$24,[1]对照表!$L$3:$L$24),LOOKUP(H82,[1]对照表!$I$27:$I$48,[1]对照表!$L$27:$L$48)))))</f>
        <v>85</v>
      </c>
      <c r="J82" s="38">
        <v>250</v>
      </c>
      <c r="K82" s="32">
        <f>IF(B82="高三",IF($E82="男",LOOKUP(J82,[1]对照表!$O$3:$O$24,[1]对照表!$P$3:$P$24),LOOKUP(J82,[1]对照表!$O$27:$O$48,[1]对照表!$P$27:$P$48)),IF(B82="高二",IF($E82="男",LOOKUP(J82,[1]对照表!$N$3:$N$24,[1]对照表!$P$3:$P$24),LOOKUP(J82,[1]对照表!$N$27:$N$48,[1]对照表!$P$27:$P$48)),IF(B82="高一",IF($E82="男",LOOKUP(J82,[1]对照表!$M$3:$M$24,[1]对照表!$P$3:$P$24),LOOKUP(J82,[1]对照表!$M$27:$M$48,[1]对照表!$P$27:$P$48)))))</f>
        <v>85</v>
      </c>
      <c r="L82" s="38">
        <v>20</v>
      </c>
      <c r="M82" s="32">
        <f>IF(B82="高三",IF($E82="男",LOOKUP(L82,[1]对照表!$S$3:$S$24,[1]对照表!$T$3:$T$24),LOOKUP(L82,[1]对照表!$S$27:$S$48,[1]对照表!$T$27:$T$48)),IF(B82="高二",IF($E82="男",LOOKUP(L82,[1]对照表!$R$3:$R$24,[1]对照表!$T$3:$T$24),LOOKUP(L82,[1]对照表!$R$27:$R$48,[1]对照表!$T$27:$T$48)),IF(B82="高一",IF($E82="男",LOOKUP(L82,[1]对照表!$Q$3:$Q$24,[1]对照表!$T$3:$T$24),LOOKUP(L82,[1]对照表!$Q$27:$Q$48,[1]对照表!$T$27:$T$48)))))</f>
        <v>100</v>
      </c>
      <c r="N82" s="33">
        <f>IF(B82="高三",MAX(IF(E82="男",L82-18,L82-55),0),IF(B82="高二",MAX(IF(E82="男",L82-17,L82-54),0),IF(B82="高一",MAX(IF(E82="男",L82-16,L82-53),0))))</f>
        <v>3</v>
      </c>
      <c r="O82" s="23">
        <f>IF(E82="男",LOOKUP($N82,[1]对照表!$Z$3:$Z$13,[1]对照表!$AA$3:$AA$13),LOOKUP($N82,[1]对照表!$Z$15:$Z$25,[1]对照表!$AA$15:$AA$25))</f>
        <v>3</v>
      </c>
      <c r="P82" s="25">
        <f>M82+O82</f>
        <v>103</v>
      </c>
      <c r="Q82" s="50">
        <v>3.57</v>
      </c>
      <c r="R82" s="32">
        <f>IF(B82="高三",IF($E82="男",LOOKUP(Q82,[1]对照表!$W$3:$W$24,[1]对照表!$X$3:$X$24),LOOKUP(Q82,[1]对照表!$W$27:$W$48,[1]对照表!$X$27:$X$48)),IF(B82="高二",IF($E82="男",LOOKUP(Q82,[1]对照表!$V$3:$V$24,[1]对照表!$X$3:$X$24),LOOKUP(Q82,[1]对照表!$V$27:$V$48,[1]对照表!$X$27:$X$48)),IF(B82="高一",IF($E82="男",LOOKUP(Q82,[1]对照表!$U$3:$U$24,[1]对照表!$X$3:$X$24),LOOKUP(Q82,[1]对照表!$U$27:$U$48,[1]对照表!$X$27:$X$48)))))</f>
        <v>76</v>
      </c>
      <c r="S82" s="33">
        <f>ROUND(IF(IF($B82="高三",MIN(IF($E82="男",$Q82-3.2,$Q82-3.2),0),IF($B82="高二",MIN(IF($E82="男",$Q82-3.25,$Q82-3.22),0),IF($B82="高一",MIN(IF($E82="男",$Q82-3.3,$Q82-3.24),0))))&lt;-0.6,IF($B82="高三",MIN(IF($E82="男",$Q82-3.2,$Q82-3.2),0),IF($B82="高二",MIN(IF($E82="男",$Q82-3.25,$Q82-3.22),0),IF($B82="高一",MIN(IF($E82="男",$Q82-3.3,$Q82-3.24),0))))+0.4,IF($B82="高三",MIN(IF($E82="男",$Q82-3.2,$Q82-3.2),0),IF($B82="高二",MIN(IF($E82="男",$Q82-3.25,$Q82-3.22),0),IF($B82="高一",MIN(IF($E82="男",$Q82-3.3,$Q82-3.24),0))))),2)</f>
        <v>0</v>
      </c>
      <c r="T82" s="23">
        <f>IF(E82="男",LOOKUP($S82,[1]对照表!$AB$3:$AB$13,[1]对照表!$AC$3:$AC$13),LOOKUP($S82,[1]对照表!$AB$15:$AB$25,[1]对照表!$AC$15:$AC$25))</f>
        <v>0</v>
      </c>
      <c r="U82" s="26">
        <f>R82+T82</f>
        <v>76</v>
      </c>
      <c r="V82" s="26">
        <f>SUM(I82,K82,M82)/3*0.3+SUM(G82,R82)/2*0.4</f>
        <v>58.2</v>
      </c>
      <c r="W82" s="27">
        <f>O82+T82</f>
        <v>3</v>
      </c>
      <c r="X82" s="28">
        <f>V82/0.7+W82</f>
        <v>86.142857142857153</v>
      </c>
      <c r="Y82" s="28">
        <f>X82</f>
        <v>86.142857142857153</v>
      </c>
      <c r="Z82" s="38"/>
    </row>
    <row r="83" spans="1:26" ht="15.6" x14ac:dyDescent="0.25">
      <c r="A83" s="48">
        <v>34</v>
      </c>
      <c r="B83" s="17" t="s">
        <v>767</v>
      </c>
      <c r="C83" s="48">
        <v>202</v>
      </c>
      <c r="D83" s="49" t="s">
        <v>1094</v>
      </c>
      <c r="E83" s="48" t="s">
        <v>65</v>
      </c>
      <c r="F83" s="50">
        <v>9.34</v>
      </c>
      <c r="G83" s="32">
        <f>IF(B83="高三",IF($E83="男",LOOKUP(F83,[1]对照表!$G$3:$G$24,[1]对照表!$H$3:$H$24),LOOKUP(F83,[1]对照表!$G$27:$G$48,[1]对照表!$H$27:$H$48)),IF(B83="高二",IF($E83="男",LOOKUP(F83,[1]对照表!$F$3:$F$24,[1]对照表!$H$3:$H$24),LOOKUP(F83,[1]对照表!$F$27:$F$48,[1]对照表!$H$27:$H$48)),IF(B83="高一",IF($E83="男",LOOKUP(F83,[1]对照表!$E$3:$E$24,[1]对照表!$H$3:$H$24),LOOKUP(F83,[1]对照表!$E$27:$E$48,[1]对照表!$H$27:$H$48)))))</f>
        <v>70</v>
      </c>
      <c r="H83" s="38">
        <v>24</v>
      </c>
      <c r="I83" s="32">
        <f>IF(B83="高三",IF($E83="男",LOOKUP(H83,[1]对照表!$K$3:$K$24,[1]对照表!$L$3:$L$24),LOOKUP(H83,[1]对照表!$K$27:$K$48,[1]对照表!$L$27:$L$48)),IF(B83="高二",IF($E83="男",LOOKUP(H83,[1]对照表!$J$3:$J$24,[1]对照表!$L$3:$L$24),LOOKUP(H83,[1]对照表!$J$27:$J$48,[1]对照表!$L$27:$L$48)),IF(B83="高一",IF($E83="男",LOOKUP(H83,[1]对照表!$I$3:$I$24,[1]对照表!$L$3:$L$24),LOOKUP(H83,[1]对照表!$I$27:$I$48,[1]对照表!$L$27:$L$48)))))</f>
        <v>95</v>
      </c>
      <c r="J83" s="53">
        <v>155</v>
      </c>
      <c r="K83" s="32">
        <f>IF(B83="高三",IF($E83="男",LOOKUP(J83,[1]对照表!$O$3:$O$24,[1]对照表!$P$3:$P$24),LOOKUP(J83,[1]对照表!$O$27:$O$48,[1]对照表!$P$27:$P$48)),IF(B83="高二",IF($E83="男",LOOKUP(J83,[1]对照表!$N$3:$N$24,[1]对照表!$P$3:$P$24),LOOKUP(J83,[1]对照表!$N$27:$N$48,[1]对照表!$P$27:$P$48)),IF(B83="高一",IF($E83="男",LOOKUP(J83,[1]对照表!$M$3:$M$24,[1]对照表!$P$3:$P$24),LOOKUP(J83,[1]对照表!$M$27:$M$48,[1]对照表!$P$27:$P$48)))))</f>
        <v>64</v>
      </c>
      <c r="L83" s="38">
        <v>48</v>
      </c>
      <c r="M83" s="32">
        <f>IF(B83="高三",IF($E83="男",LOOKUP(L83,[1]对照表!$S$3:$S$24,[1]对照表!$T$3:$T$24),LOOKUP(L83,[1]对照表!$S$27:$S$48,[1]对照表!$T$27:$T$48)),IF(B83="高二",IF($E83="男",LOOKUP(L83,[1]对照表!$R$3:$R$24,[1]对照表!$T$3:$T$24),LOOKUP(L83,[1]对照表!$R$27:$R$48,[1]对照表!$T$27:$T$48)),IF(B83="高一",IF($E83="男",LOOKUP(L83,[1]对照表!$Q$3:$Q$24,[1]对照表!$T$3:$T$24),LOOKUP(L83,[1]对照表!$Q$27:$Q$48,[1]对照表!$T$27:$T$48)))))</f>
        <v>85</v>
      </c>
      <c r="N83" s="33">
        <f>IF(B83="高三",MAX(IF(E83="男",L83-18,L83-55),0),IF(B83="高二",MAX(IF(E83="男",L83-17,L83-54),0),IF(B83="高一",MAX(IF(E83="男",L83-16,L83-53),0))))</f>
        <v>0</v>
      </c>
      <c r="O83" s="23">
        <f>IF(E83="男",LOOKUP($N83,[1]对照表!$Z$3:$Z$13,[1]对照表!$AA$3:$AA$13),LOOKUP($N83,[1]对照表!$Z$15:$Z$25,[1]对照表!$AA$15:$AA$25))</f>
        <v>0</v>
      </c>
      <c r="P83" s="25">
        <f>M83+O83</f>
        <v>85</v>
      </c>
      <c r="Q83" s="50">
        <v>3.41</v>
      </c>
      <c r="R83" s="32">
        <f>IF(B83="高三",IF($E83="男",LOOKUP(Q83,[1]对照表!$W$3:$W$24,[1]对照表!$X$3:$X$24),LOOKUP(Q83,[1]对照表!$W$27:$W$48,[1]对照表!$X$27:$X$48)),IF(B83="高二",IF($E83="男",LOOKUP(Q83,[1]对照表!$V$3:$V$24,[1]对照表!$X$3:$X$24),LOOKUP(Q83,[1]对照表!$V$27:$V$48,[1]对照表!$X$27:$X$48)),IF(B83="高一",IF($E83="男",LOOKUP(Q83,[1]对照表!$U$3:$U$24,[1]对照表!$X$3:$X$24),LOOKUP(Q83,[1]对照表!$U$27:$U$48,[1]对照表!$X$27:$X$48)))))</f>
        <v>85</v>
      </c>
      <c r="S83" s="33">
        <f>ROUND(IF(IF($B83="高三",MIN(IF($E83="男",$Q83-3.2,$Q83-3.2),0),IF($B83="高二",MIN(IF($E83="男",$Q83-3.25,$Q83-3.22),0),IF($B83="高一",MIN(IF($E83="男",$Q83-3.3,$Q83-3.24),0))))&lt;-0.6,IF($B83="高三",MIN(IF($E83="男",$Q83-3.2,$Q83-3.2),0),IF($B83="高二",MIN(IF($E83="男",$Q83-3.25,$Q83-3.22),0),IF($B83="高一",MIN(IF($E83="男",$Q83-3.3,$Q83-3.24),0))))+0.4,IF($B83="高三",MIN(IF($E83="男",$Q83-3.2,$Q83-3.2),0),IF($B83="高二",MIN(IF($E83="男",$Q83-3.25,$Q83-3.22),0),IF($B83="高一",MIN(IF($E83="男",$Q83-3.3,$Q83-3.24),0))))),2)</f>
        <v>0</v>
      </c>
      <c r="T83" s="23">
        <f>IF(E83="男",LOOKUP($S83,[1]对照表!$AB$3:$AB$13,[1]对照表!$AC$3:$AC$13),LOOKUP($S83,[1]对照表!$AB$15:$AB$25,[1]对照表!$AC$15:$AC$25))</f>
        <v>0</v>
      </c>
      <c r="U83" s="26">
        <f>R83+T83</f>
        <v>85</v>
      </c>
      <c r="V83" s="26">
        <f>SUM(I83,K83,M83)/3*0.3+SUM(G83,R83)/2*0.4</f>
        <v>55.4</v>
      </c>
      <c r="W83" s="27">
        <f>O83+T83</f>
        <v>0</v>
      </c>
      <c r="X83" s="28">
        <f>V83/0.7+W83</f>
        <v>79.142857142857139</v>
      </c>
      <c r="Y83" s="28">
        <f>X83</f>
        <v>79.142857142857139</v>
      </c>
      <c r="Z83" s="38"/>
    </row>
    <row r="84" spans="1:26" ht="15.6" x14ac:dyDescent="0.25">
      <c r="A84" s="48">
        <v>18</v>
      </c>
      <c r="B84" s="17" t="s">
        <v>767</v>
      </c>
      <c r="C84" s="48">
        <v>202</v>
      </c>
      <c r="D84" s="49" t="s">
        <v>1102</v>
      </c>
      <c r="E84" s="48" t="s">
        <v>65</v>
      </c>
      <c r="F84" s="50">
        <v>8.83</v>
      </c>
      <c r="G84" s="32">
        <f>IF(B84="高三",IF($E84="男",LOOKUP(F84,[1]对照表!$G$3:$G$24,[1]对照表!$H$3:$H$24),LOOKUP(F84,[1]对照表!$G$27:$G$48,[1]对照表!$H$27:$H$48)),IF(B84="高二",IF($E84="男",LOOKUP(F84,[1]对照表!$F$3:$F$24,[1]对照表!$H$3:$H$24),LOOKUP(F84,[1]对照表!$F$27:$F$48,[1]对照表!$H$27:$H$48)),IF(B84="高一",IF($E84="男",LOOKUP(F84,[1]对照表!$E$3:$E$24,[1]对照表!$H$3:$H$24),LOOKUP(F84,[1]对照表!$E$27:$E$48,[1]对照表!$H$27:$H$48)))))</f>
        <v>76</v>
      </c>
      <c r="H84" s="38">
        <v>23.5</v>
      </c>
      <c r="I84" s="32">
        <f>IF(B84="高三",IF($E84="男",LOOKUP(H84,[1]对照表!$K$3:$K$24,[1]对照表!$L$3:$L$24),LOOKUP(H84,[1]对照表!$K$27:$K$48,[1]对照表!$L$27:$L$48)),IF(B84="高二",IF($E84="男",LOOKUP(H84,[1]对照表!$J$3:$J$24,[1]对照表!$L$3:$L$24),LOOKUP(H84,[1]对照表!$J$27:$J$48,[1]对照表!$L$27:$L$48)),IF(B84="高一",IF($E84="男",LOOKUP(H84,[1]对照表!$I$3:$I$24,[1]对照表!$L$3:$L$24),LOOKUP(H84,[1]对照表!$I$27:$I$48,[1]对照表!$L$27:$L$48)))))</f>
        <v>95</v>
      </c>
      <c r="J84" s="38">
        <v>181</v>
      </c>
      <c r="K84" s="32">
        <f>IF(B84="高三",IF($E84="男",LOOKUP(J84,[1]对照表!$O$3:$O$24,[1]对照表!$P$3:$P$24),LOOKUP(J84,[1]对照表!$O$27:$O$48,[1]对照表!$P$27:$P$48)),IF(B84="高二",IF($E84="男",LOOKUP(J84,[1]对照表!$N$3:$N$24,[1]对照表!$P$3:$P$24),LOOKUP(J84,[1]对照表!$N$27:$N$48,[1]对照表!$P$27:$P$48)),IF(B84="高一",IF($E84="男",LOOKUP(J84,[1]对照表!$M$3:$M$24,[1]对照表!$P$3:$P$24),LOOKUP(J84,[1]对照表!$M$27:$M$48,[1]对照表!$P$27:$P$48)))))</f>
        <v>80</v>
      </c>
      <c r="L84" s="38">
        <v>46</v>
      </c>
      <c r="M84" s="32">
        <f>IF(B84="高三",IF($E84="男",LOOKUP(L84,[1]对照表!$S$3:$S$24,[1]对照表!$T$3:$T$24),LOOKUP(L84,[1]对照表!$S$27:$S$48,[1]对照表!$T$27:$T$48)),IF(B84="高二",IF($E84="男",LOOKUP(L84,[1]对照表!$R$3:$R$24,[1]对照表!$T$3:$T$24),LOOKUP(L84,[1]对照表!$R$27:$R$48,[1]对照表!$T$27:$T$48)),IF(B84="高一",IF($E84="男",LOOKUP(L84,[1]对照表!$Q$3:$Q$24,[1]对照表!$T$3:$T$24),LOOKUP(L84,[1]对照表!$Q$27:$Q$48,[1]对照表!$T$27:$T$48)))))</f>
        <v>80</v>
      </c>
      <c r="N84" s="33">
        <f>IF(B84="高三",MAX(IF(E84="男",L84-18,L84-55),0),IF(B84="高二",MAX(IF(E84="男",L84-17,L84-54),0),IF(B84="高一",MAX(IF(E84="男",L84-16,L84-53),0))))</f>
        <v>0</v>
      </c>
      <c r="O84" s="23">
        <f>IF(E84="男",LOOKUP($N84,[1]对照表!$Z$3:$Z$13,[1]对照表!$AA$3:$AA$13),LOOKUP($N84,[1]对照表!$Z$15:$Z$25,[1]对照表!$AA$15:$AA$25))</f>
        <v>0</v>
      </c>
      <c r="P84" s="25">
        <f>M84+O84</f>
        <v>80</v>
      </c>
      <c r="Q84" s="50">
        <v>4.05</v>
      </c>
      <c r="R84" s="32">
        <f>IF(B84="高三",IF($E84="男",LOOKUP(Q84,[1]对照表!$W$3:$W$24,[1]对照表!$X$3:$X$24),LOOKUP(Q84,[1]对照表!$W$27:$W$48,[1]对照表!$X$27:$X$48)),IF(B84="高二",IF($E84="男",LOOKUP(Q84,[1]对照表!$V$3:$V$24,[1]对照表!$X$3:$X$24),LOOKUP(Q84,[1]对照表!$V$27:$V$48,[1]对照表!$X$27:$X$48)),IF(B84="高一",IF($E84="男",LOOKUP(Q84,[1]对照表!$U$3:$U$24,[1]对照表!$X$3:$X$24),LOOKUP(Q84,[1]对照表!$U$27:$U$48,[1]对照表!$X$27:$X$48)))))</f>
        <v>72</v>
      </c>
      <c r="S84" s="33">
        <f>ROUND(IF(IF($B84="高三",MIN(IF($E84="男",$Q84-3.2,$Q84-3.2),0),IF($B84="高二",MIN(IF($E84="男",$Q84-3.25,$Q84-3.22),0),IF($B84="高一",MIN(IF($E84="男",$Q84-3.3,$Q84-3.24),0))))&lt;-0.6,IF($B84="高三",MIN(IF($E84="男",$Q84-3.2,$Q84-3.2),0),IF($B84="高二",MIN(IF($E84="男",$Q84-3.25,$Q84-3.22),0),IF($B84="高一",MIN(IF($E84="男",$Q84-3.3,$Q84-3.24),0))))+0.4,IF($B84="高三",MIN(IF($E84="男",$Q84-3.2,$Q84-3.2),0),IF($B84="高二",MIN(IF($E84="男",$Q84-3.25,$Q84-3.22),0),IF($B84="高一",MIN(IF($E84="男",$Q84-3.3,$Q84-3.24),0))))),2)</f>
        <v>0</v>
      </c>
      <c r="T84" s="23">
        <f>IF(E84="男",LOOKUP($S84,[1]对照表!$AB$3:$AB$13,[1]对照表!$AC$3:$AC$13),LOOKUP($S84,[1]对照表!$AB$15:$AB$25,[1]对照表!$AC$15:$AC$25))</f>
        <v>0</v>
      </c>
      <c r="U84" s="26">
        <f>R84+T84</f>
        <v>72</v>
      </c>
      <c r="V84" s="26">
        <f>SUM(I84,K84,M84)/3*0.3+SUM(G84,R84)/2*0.4</f>
        <v>55.1</v>
      </c>
      <c r="W84" s="27">
        <f>O84+T84</f>
        <v>0</v>
      </c>
      <c r="X84" s="28">
        <f>V84/0.7+W84</f>
        <v>78.714285714285722</v>
      </c>
      <c r="Y84" s="28">
        <f>X84</f>
        <v>78.714285714285722</v>
      </c>
      <c r="Z84" s="38"/>
    </row>
    <row r="85" spans="1:26" ht="15.6" x14ac:dyDescent="0.25">
      <c r="A85" s="48">
        <v>31</v>
      </c>
      <c r="B85" s="17" t="s">
        <v>767</v>
      </c>
      <c r="C85" s="48">
        <v>202</v>
      </c>
      <c r="D85" s="49" t="s">
        <v>1103</v>
      </c>
      <c r="E85" s="48" t="s">
        <v>65</v>
      </c>
      <c r="F85" s="50">
        <v>8.65</v>
      </c>
      <c r="G85" s="32">
        <f>IF(B85="高三",IF($E85="男",LOOKUP(F85,[1]对照表!$G$3:$G$24,[1]对照表!$H$3:$H$24),LOOKUP(F85,[1]对照表!$G$27:$G$48,[1]对照表!$H$27:$H$48)),IF(B85="高二",IF($E85="男",LOOKUP(F85,[1]对照表!$F$3:$F$24,[1]对照表!$H$3:$H$24),LOOKUP(F85,[1]对照表!$F$27:$F$48,[1]对照表!$H$27:$H$48)),IF(B85="高一",IF($E85="男",LOOKUP(F85,[1]对照表!$E$3:$E$24,[1]对照表!$H$3:$H$24),LOOKUP(F85,[1]对照表!$E$27:$E$48,[1]对照表!$H$27:$H$48)))))</f>
        <v>78</v>
      </c>
      <c r="H85" s="38">
        <v>8</v>
      </c>
      <c r="I85" s="32">
        <f>IF(B85="高三",IF($E85="男",LOOKUP(H85,[1]对照表!$K$3:$K$24,[1]对照表!$L$3:$L$24),LOOKUP(H85,[1]对照表!$K$27:$K$48,[1]对照表!$L$27:$L$48)),IF(B85="高二",IF($E85="男",LOOKUP(H85,[1]对照表!$J$3:$J$24,[1]对照表!$L$3:$L$24),LOOKUP(H85,[1]对照表!$J$27:$J$48,[1]对照表!$L$27:$L$48)),IF(B85="高一",IF($E85="男",LOOKUP(H85,[1]对照表!$I$3:$I$24,[1]对照表!$L$3:$L$24),LOOKUP(H85,[1]对照表!$I$27:$I$48,[1]对照表!$L$27:$L$48)))))</f>
        <v>64</v>
      </c>
      <c r="J85" s="38">
        <v>165</v>
      </c>
      <c r="K85" s="32">
        <f>IF(B85="高三",IF($E85="男",LOOKUP(J85,[1]对照表!$O$3:$O$24,[1]对照表!$P$3:$P$24),LOOKUP(J85,[1]对照表!$O$27:$O$48,[1]对照表!$P$27:$P$48)),IF(B85="高二",IF($E85="男",LOOKUP(J85,[1]对照表!$N$3:$N$24,[1]对照表!$P$3:$P$24),LOOKUP(J85,[1]对照表!$N$27:$N$48,[1]对照表!$P$27:$P$48)),IF(B85="高一",IF($E85="男",LOOKUP(J85,[1]对照表!$M$3:$M$24,[1]对照表!$P$3:$P$24),LOOKUP(J85,[1]对照表!$M$27:$M$48,[1]对照表!$P$27:$P$48)))))</f>
        <v>70</v>
      </c>
      <c r="L85" s="38">
        <v>55</v>
      </c>
      <c r="M85" s="32">
        <f>IF(B85="高三",IF($E85="男",LOOKUP(L85,[1]对照表!$S$3:$S$24,[1]对照表!$T$3:$T$24),LOOKUP(L85,[1]对照表!$S$27:$S$48,[1]对照表!$T$27:$T$48)),IF(B85="高二",IF($E85="男",LOOKUP(L85,[1]对照表!$R$3:$R$24,[1]对照表!$T$3:$T$24),LOOKUP(L85,[1]对照表!$R$27:$R$48,[1]对照表!$T$27:$T$48)),IF(B85="高一",IF($E85="男",LOOKUP(L85,[1]对照表!$Q$3:$Q$24,[1]对照表!$T$3:$T$24),LOOKUP(L85,[1]对照表!$Q$27:$Q$48,[1]对照表!$T$27:$T$48)))))</f>
        <v>100</v>
      </c>
      <c r="N85" s="33">
        <f>IF(B85="高三",MAX(IF(E85="男",L85-18,L85-55),0),IF(B85="高二",MAX(IF(E85="男",L85-17,L85-54),0),IF(B85="高一",MAX(IF(E85="男",L85-16,L85-53),0))))</f>
        <v>1</v>
      </c>
      <c r="O85" s="23">
        <f>IF(E85="男",LOOKUP($N85,[1]对照表!$Z$3:$Z$13,[1]对照表!$AA$3:$AA$13),LOOKUP($N85,[1]对照表!$Z$15:$Z$25,[1]对照表!$AA$15:$AA$25))</f>
        <v>0</v>
      </c>
      <c r="P85" s="25">
        <f>M85+O85</f>
        <v>100</v>
      </c>
      <c r="Q85" s="50">
        <v>3.42</v>
      </c>
      <c r="R85" s="32">
        <f>IF(B85="高三",IF($E85="男",LOOKUP(Q85,[1]对照表!$W$3:$W$24,[1]对照表!$X$3:$X$24),LOOKUP(Q85,[1]对照表!$W$27:$W$48,[1]对照表!$X$27:$X$48)),IF(B85="高二",IF($E85="男",LOOKUP(Q85,[1]对照表!$V$3:$V$24,[1]对照表!$X$3:$X$24),LOOKUP(Q85,[1]对照表!$V$27:$V$48,[1]对照表!$X$27:$X$48)),IF(B85="高一",IF($E85="男",LOOKUP(Q85,[1]对照表!$U$3:$U$24,[1]对照表!$X$3:$X$24),LOOKUP(Q85,[1]对照表!$U$27:$U$48,[1]对照表!$X$27:$X$48)))))</f>
        <v>80</v>
      </c>
      <c r="S85" s="33">
        <f>ROUND(IF(IF($B85="高三",MIN(IF($E85="男",$Q85-3.2,$Q85-3.2),0),IF($B85="高二",MIN(IF($E85="男",$Q85-3.25,$Q85-3.22),0),IF($B85="高一",MIN(IF($E85="男",$Q85-3.3,$Q85-3.24),0))))&lt;-0.6,IF($B85="高三",MIN(IF($E85="男",$Q85-3.2,$Q85-3.2),0),IF($B85="高二",MIN(IF($E85="男",$Q85-3.25,$Q85-3.22),0),IF($B85="高一",MIN(IF($E85="男",$Q85-3.3,$Q85-3.24),0))))+0.4,IF($B85="高三",MIN(IF($E85="男",$Q85-3.2,$Q85-3.2),0),IF($B85="高二",MIN(IF($E85="男",$Q85-3.25,$Q85-3.22),0),IF($B85="高一",MIN(IF($E85="男",$Q85-3.3,$Q85-3.24),0))))),2)</f>
        <v>0</v>
      </c>
      <c r="T85" s="23">
        <f>IF(E85="男",LOOKUP($S85,[1]对照表!$AB$3:$AB$13,[1]对照表!$AC$3:$AC$13),LOOKUP($S85,[1]对照表!$AB$15:$AB$25,[1]对照表!$AC$15:$AC$25))</f>
        <v>0</v>
      </c>
      <c r="U85" s="26">
        <f>R85+T85</f>
        <v>80</v>
      </c>
      <c r="V85" s="26">
        <f>SUM(I85,K85,M85)/3*0.3+SUM(G85,R85)/2*0.4</f>
        <v>55</v>
      </c>
      <c r="W85" s="27">
        <f>O85+T85</f>
        <v>0</v>
      </c>
      <c r="X85" s="28">
        <f>V85/0.7+W85</f>
        <v>78.571428571428569</v>
      </c>
      <c r="Y85" s="28">
        <f>X85</f>
        <v>78.571428571428569</v>
      </c>
      <c r="Z85" s="38"/>
    </row>
    <row r="86" spans="1:26" ht="15.6" x14ac:dyDescent="0.25">
      <c r="A86" s="48">
        <v>11</v>
      </c>
      <c r="B86" s="17" t="s">
        <v>767</v>
      </c>
      <c r="C86" s="48">
        <v>202</v>
      </c>
      <c r="D86" s="58" t="s">
        <v>1107</v>
      </c>
      <c r="E86" s="48" t="s">
        <v>23</v>
      </c>
      <c r="F86" s="50">
        <v>7.6</v>
      </c>
      <c r="G86" s="32">
        <f>IF(B86="高三",IF($E86="男",LOOKUP(F86,[1]对照表!$G$3:$G$24,[1]对照表!$H$3:$H$24),LOOKUP(F86,[1]对照表!$G$27:$G$48,[1]对照表!$H$27:$H$48)),IF(B86="高二",IF($E86="男",LOOKUP(F86,[1]对照表!$F$3:$F$24,[1]对照表!$H$3:$H$24),LOOKUP(F86,[1]对照表!$F$27:$F$48,[1]对照表!$H$27:$H$48)),IF(B86="高一",IF($E86="男",LOOKUP(F86,[1]对照表!$E$3:$E$24,[1]对照表!$H$3:$H$24),LOOKUP(F86,[1]对照表!$E$27:$E$48,[1]对照表!$H$27:$H$48)))))</f>
        <v>78</v>
      </c>
      <c r="H86" s="38">
        <v>13</v>
      </c>
      <c r="I86" s="32">
        <f>IF(B86="高三",IF($E86="男",LOOKUP(H86,[1]对照表!$K$3:$K$24,[1]对照表!$L$3:$L$24),LOOKUP(H86,[1]对照表!$K$27:$K$48,[1]对照表!$L$27:$L$48)),IF(B86="高二",IF($E86="男",LOOKUP(H86,[1]对照表!$J$3:$J$24,[1]对照表!$L$3:$L$24),LOOKUP(H86,[1]对照表!$J$27:$J$48,[1]对照表!$L$27:$L$48)),IF(B86="高一",IF($E86="男",LOOKUP(H86,[1]对照表!$I$3:$I$24,[1]对照表!$L$3:$L$24),LOOKUP(H86,[1]对照表!$I$27:$I$48,[1]对照表!$L$27:$L$48)))))</f>
        <v>74</v>
      </c>
      <c r="J86" s="38">
        <v>240</v>
      </c>
      <c r="K86" s="32">
        <f>IF(B86="高三",IF($E86="男",LOOKUP(J86,[1]对照表!$O$3:$O$24,[1]对照表!$P$3:$P$24),LOOKUP(J86,[1]对照表!$O$27:$O$48,[1]对照表!$P$27:$P$48)),IF(B86="高二",IF($E86="男",LOOKUP(J86,[1]对照表!$N$3:$N$24,[1]对照表!$P$3:$P$24),LOOKUP(J86,[1]对照表!$N$27:$N$48,[1]对照表!$P$27:$P$48)),IF(B86="高一",IF($E86="男",LOOKUP(J86,[1]对照表!$M$3:$M$24,[1]对照表!$P$3:$P$24),LOOKUP(J86,[1]对照表!$M$27:$M$48,[1]对照表!$P$27:$P$48)))))</f>
        <v>80</v>
      </c>
      <c r="L86" s="38">
        <v>16</v>
      </c>
      <c r="M86" s="32">
        <f>IF(B86="高三",IF($E86="男",LOOKUP(L86,[1]对照表!$S$3:$S$24,[1]对照表!$T$3:$T$24),LOOKUP(L86,[1]对照表!$S$27:$S$48,[1]对照表!$T$27:$T$48)),IF(B86="高二",IF($E86="男",LOOKUP(L86,[1]对照表!$R$3:$R$24,[1]对照表!$T$3:$T$24),LOOKUP(L86,[1]对照表!$R$27:$R$48,[1]对照表!$T$27:$T$48)),IF(B86="高一",IF($E86="男",LOOKUP(L86,[1]对照表!$Q$3:$Q$24,[1]对照表!$T$3:$T$24),LOOKUP(L86,[1]对照表!$Q$27:$Q$48,[1]对照表!$T$27:$T$48)))))</f>
        <v>95</v>
      </c>
      <c r="N86" s="33">
        <f>IF(B86="高三",MAX(IF(E86="男",L86-18,L86-55),0),IF(B86="高二",MAX(IF(E86="男",L86-17,L86-54),0),IF(B86="高一",MAX(IF(E86="男",L86-16,L86-53),0))))</f>
        <v>0</v>
      </c>
      <c r="O86" s="23">
        <f>IF(E86="男",LOOKUP($N86,[1]对照表!$Z$3:$Z$13,[1]对照表!$AA$3:$AA$13),LOOKUP($N86,[1]对照表!$Z$15:$Z$25,[1]对照表!$AA$15:$AA$25))</f>
        <v>0</v>
      </c>
      <c r="P86" s="25">
        <f>M86+O86</f>
        <v>95</v>
      </c>
      <c r="Q86" s="50">
        <v>3.26</v>
      </c>
      <c r="R86" s="32">
        <f>IF(B86="高三",IF($E86="男",LOOKUP(Q86,[1]对照表!$W$3:$W$24,[1]对照表!$X$3:$X$24),LOOKUP(Q86,[1]对照表!$W$27:$W$48,[1]对照表!$X$27:$X$48)),IF(B86="高二",IF($E86="男",LOOKUP(Q86,[1]对照表!$V$3:$V$24,[1]对照表!$X$3:$X$24),LOOKUP(Q86,[1]对照表!$V$27:$V$48,[1]对照表!$X$27:$X$48)),IF(B86="高一",IF($E86="男",LOOKUP(Q86,[1]对照表!$U$3:$U$24,[1]对照表!$X$3:$X$24),LOOKUP(Q86,[1]对照表!$U$27:$U$48,[1]对照表!$X$27:$X$48)))))</f>
        <v>95</v>
      </c>
      <c r="S86" s="33">
        <f>ROUND(IF(IF($B86="高三",MIN(IF($E86="男",$Q86-3.2,$Q86-3.2),0),IF($B86="高二",MIN(IF($E86="男",$Q86-3.25,$Q86-3.22),0),IF($B86="高一",MIN(IF($E86="男",$Q86-3.3,$Q86-3.24),0))))&lt;-0.6,IF($B86="高三",MIN(IF($E86="男",$Q86-3.2,$Q86-3.2),0),IF($B86="高二",MIN(IF($E86="男",$Q86-3.25,$Q86-3.22),0),IF($B86="高一",MIN(IF($E86="男",$Q86-3.3,$Q86-3.24),0))))+0.4,IF($B86="高三",MIN(IF($E86="男",$Q86-3.2,$Q86-3.2),0),IF($B86="高二",MIN(IF($E86="男",$Q86-3.25,$Q86-3.22),0),IF($B86="高一",MIN(IF($E86="男",$Q86-3.3,$Q86-3.24),0))))),2)</f>
        <v>0</v>
      </c>
      <c r="T86" s="23">
        <f>IF(E86="男",LOOKUP($S86,[1]对照表!$AB$3:$AB$13,[1]对照表!$AC$3:$AC$13),LOOKUP($S86,[1]对照表!$AB$15:$AB$25,[1]对照表!$AC$15:$AC$25))</f>
        <v>0</v>
      </c>
      <c r="U86" s="26">
        <f>R86+T86</f>
        <v>95</v>
      </c>
      <c r="V86" s="26">
        <f>SUM(I86,K86,M86)/3*0.3+SUM(G86,R86)/2*0.4</f>
        <v>59.5</v>
      </c>
      <c r="W86" s="27">
        <f>O86+T86</f>
        <v>0</v>
      </c>
      <c r="X86" s="28">
        <f>V86/0.7+W86</f>
        <v>85</v>
      </c>
      <c r="Y86" s="28">
        <f>X86</f>
        <v>85</v>
      </c>
      <c r="Z86" s="38"/>
    </row>
    <row r="87" spans="1:26" ht="15.6" x14ac:dyDescent="0.25">
      <c r="A87" s="48">
        <v>10</v>
      </c>
      <c r="B87" s="17" t="s">
        <v>767</v>
      </c>
      <c r="C87" s="48">
        <v>202</v>
      </c>
      <c r="D87" s="58" t="s">
        <v>1149</v>
      </c>
      <c r="E87" s="48" t="s">
        <v>23</v>
      </c>
      <c r="F87" s="50">
        <v>7.2</v>
      </c>
      <c r="G87" s="32">
        <f>IF(B87="高三",IF($E87="男",LOOKUP(F87,[1]对照表!$G$3:$G$24,[1]对照表!$H$3:$H$24),LOOKUP(F87,[1]对照表!$G$27:$G$48,[1]对照表!$H$27:$H$48)),IF(B87="高二",IF($E87="男",LOOKUP(F87,[1]对照表!$F$3:$F$24,[1]对照表!$H$3:$H$24),LOOKUP(F87,[1]对照表!$F$27:$F$48,[1]对照表!$H$27:$H$48)),IF(B87="高一",IF($E87="男",LOOKUP(F87,[1]对照表!$E$3:$E$24,[1]对照表!$H$3:$H$24),LOOKUP(F87,[1]对照表!$E$27:$E$48,[1]对照表!$H$27:$H$48)))))</f>
        <v>90</v>
      </c>
      <c r="H87" s="38">
        <v>11</v>
      </c>
      <c r="I87" s="32">
        <f>IF(B87="高三",IF($E87="男",LOOKUP(H87,[1]对照表!$K$3:$K$24,[1]对照表!$L$3:$L$24),LOOKUP(H87,[1]对照表!$K$27:$K$48,[1]对照表!$L$27:$L$48)),IF(B87="高二",IF($E87="男",LOOKUP(H87,[1]对照表!$J$3:$J$24,[1]对照表!$L$3:$L$24),LOOKUP(H87,[1]对照表!$J$27:$J$48,[1]对照表!$L$27:$L$48)),IF(B87="高一",IF($E87="男",LOOKUP(H87,[1]对照表!$I$3:$I$24,[1]对照表!$L$3:$L$24),LOOKUP(H87,[1]对照表!$I$27:$I$48,[1]对照表!$L$27:$L$48)))))</f>
        <v>72</v>
      </c>
      <c r="J87" s="38">
        <v>225</v>
      </c>
      <c r="K87" s="32">
        <f>IF(B87="高三",IF($E87="男",LOOKUP(J87,[1]对照表!$O$3:$O$24,[1]对照表!$P$3:$P$24),LOOKUP(J87,[1]对照表!$O$27:$O$48,[1]对照表!$P$27:$P$48)),IF(B87="高二",IF($E87="男",LOOKUP(J87,[1]对照表!$N$3:$N$24,[1]对照表!$P$3:$P$24),LOOKUP(J87,[1]对照表!$N$27:$N$48,[1]对照表!$P$27:$P$48)),IF(B87="高一",IF($E87="男",LOOKUP(J87,[1]对照表!$M$3:$M$24,[1]对照表!$P$3:$P$24),LOOKUP(J87,[1]对照表!$M$27:$M$48,[1]对照表!$P$27:$P$48)))))</f>
        <v>72</v>
      </c>
      <c r="L87" s="38">
        <v>11</v>
      </c>
      <c r="M87" s="32">
        <f>IF(B87="高三",IF($E87="男",LOOKUP(L87,[1]对照表!$S$3:$S$24,[1]对照表!$T$3:$T$24),LOOKUP(L87,[1]对照表!$S$27:$S$48,[1]对照表!$T$27:$T$48)),IF(B87="高二",IF($E87="男",LOOKUP(L87,[1]对照表!$R$3:$R$24,[1]对照表!$T$3:$T$24),LOOKUP(L87,[1]对照表!$R$27:$R$48,[1]对照表!$T$27:$T$48)),IF(B87="高一",IF($E87="男",LOOKUP(L87,[1]对照表!$Q$3:$Q$24,[1]对照表!$T$3:$T$24),LOOKUP(L87,[1]对照表!$Q$27:$Q$48,[1]对照表!$T$27:$T$48)))))</f>
        <v>72</v>
      </c>
      <c r="N87" s="33">
        <f>IF(B87="高三",MAX(IF(E87="男",L87-18,L87-55),0),IF(B87="高二",MAX(IF(E87="男",L87-17,L87-54),0),IF(B87="高一",MAX(IF(E87="男",L87-16,L87-53),0))))</f>
        <v>0</v>
      </c>
      <c r="O87" s="23">
        <f>IF(E87="男",LOOKUP($N87,[1]对照表!$Z$3:$Z$13,[1]对照表!$AA$3:$AA$13),LOOKUP($N87,[1]对照表!$Z$15:$Z$25,[1]对照表!$AA$15:$AA$25))</f>
        <v>0</v>
      </c>
      <c r="P87" s="25">
        <f>M87+O87</f>
        <v>72</v>
      </c>
      <c r="Q87" s="50">
        <v>3.29</v>
      </c>
      <c r="R87" s="32">
        <f>IF(B87="高三",IF($E87="男",LOOKUP(Q87,[1]对照表!$W$3:$W$24,[1]对照表!$X$3:$X$24),LOOKUP(Q87,[1]对照表!$W$27:$W$48,[1]对照表!$X$27:$X$48)),IF(B87="高二",IF($E87="男",LOOKUP(Q87,[1]对照表!$V$3:$V$24,[1]对照表!$X$3:$X$24),LOOKUP(Q87,[1]对照表!$V$27:$V$48,[1]对照表!$X$27:$X$48)),IF(B87="高一",IF($E87="男",LOOKUP(Q87,[1]对照表!$U$3:$U$24,[1]对照表!$X$3:$X$24),LOOKUP(Q87,[1]对照表!$U$27:$U$48,[1]对照表!$X$27:$X$48)))))</f>
        <v>95</v>
      </c>
      <c r="S87" s="33">
        <f>ROUND(IF(IF($B87="高三",MIN(IF($E87="男",$Q87-3.2,$Q87-3.2),0),IF($B87="高二",MIN(IF($E87="男",$Q87-3.25,$Q87-3.22),0),IF($B87="高一",MIN(IF($E87="男",$Q87-3.3,$Q87-3.24),0))))&lt;-0.6,IF($B87="高三",MIN(IF($E87="男",$Q87-3.2,$Q87-3.2),0),IF($B87="高二",MIN(IF($E87="男",$Q87-3.25,$Q87-3.22),0),IF($B87="高一",MIN(IF($E87="男",$Q87-3.3,$Q87-3.24),0))))+0.4,IF($B87="高三",MIN(IF($E87="男",$Q87-3.2,$Q87-3.2),0),IF($B87="高二",MIN(IF($E87="男",$Q87-3.25,$Q87-3.22),0),IF($B87="高一",MIN(IF($E87="男",$Q87-3.3,$Q87-3.24),0))))),2)</f>
        <v>0</v>
      </c>
      <c r="T87" s="23">
        <f>IF(E87="男",LOOKUP($S87,[1]对照表!$AB$3:$AB$13,[1]对照表!$AC$3:$AC$13),LOOKUP($S87,[1]对照表!$AB$15:$AB$25,[1]对照表!$AC$15:$AC$25))</f>
        <v>0</v>
      </c>
      <c r="U87" s="26">
        <f>R87+T87</f>
        <v>95</v>
      </c>
      <c r="V87" s="26">
        <f>SUM(I87,K87,M87)/3*0.3+SUM(G87,R87)/2*0.4</f>
        <v>58.599999999999994</v>
      </c>
      <c r="W87" s="27">
        <f>O87+T87</f>
        <v>0</v>
      </c>
      <c r="X87" s="28">
        <f>V87/0.7+W87</f>
        <v>83.714285714285708</v>
      </c>
      <c r="Y87" s="28">
        <f>X87</f>
        <v>83.714285714285708</v>
      </c>
      <c r="Z87" s="38"/>
    </row>
    <row r="88" spans="1:26" ht="15.6" x14ac:dyDescent="0.25">
      <c r="A88" s="48">
        <v>1</v>
      </c>
      <c r="B88" s="17" t="s">
        <v>767</v>
      </c>
      <c r="C88" s="48">
        <v>202</v>
      </c>
      <c r="D88" s="49" t="s">
        <v>1151</v>
      </c>
      <c r="E88" s="48" t="s">
        <v>23</v>
      </c>
      <c r="F88" s="50">
        <v>7.1</v>
      </c>
      <c r="G88" s="32">
        <f>IF(B88="高三",IF($E88="男",LOOKUP(F88,[1]对照表!$G$3:$G$24,[1]对照表!$H$3:$H$24),LOOKUP(F88,[1]对照表!$G$27:$G$48,[1]对照表!$H$27:$H$48)),IF(B88="高二",IF($E88="男",LOOKUP(F88,[1]对照表!$F$3:$F$24,[1]对照表!$H$3:$H$24),LOOKUP(F88,[1]对照表!$F$27:$F$48,[1]对照表!$H$27:$H$48)),IF(B88="高一",IF($E88="男",LOOKUP(F88,[1]对照表!$E$3:$E$24,[1]对照表!$H$3:$H$24),LOOKUP(F88,[1]对照表!$E$27:$E$48,[1]对照表!$H$27:$H$48)))))</f>
        <v>95</v>
      </c>
      <c r="H88" s="38">
        <v>20.5</v>
      </c>
      <c r="I88" s="32">
        <f>IF(B88="高三",IF($E88="男",LOOKUP(H88,[1]对照表!$K$3:$K$24,[1]对照表!$L$3:$L$24),LOOKUP(H88,[1]对照表!$K$27:$K$48,[1]对照表!$L$27:$L$48)),IF(B88="高二",IF($E88="男",LOOKUP(H88,[1]对照表!$J$3:$J$24,[1]对照表!$L$3:$L$24),LOOKUP(H88,[1]对照表!$J$27:$J$48,[1]对照表!$L$27:$L$48)),IF(B88="高一",IF($E88="男",LOOKUP(H88,[1]对照表!$I$3:$I$24,[1]对照表!$L$3:$L$24),LOOKUP(H88,[1]对照表!$I$27:$I$48,[1]对照表!$L$27:$L$48)))))</f>
        <v>90</v>
      </c>
      <c r="J88" s="38">
        <v>257</v>
      </c>
      <c r="K88" s="32">
        <f>IF(B88="高三",IF($E88="男",LOOKUP(J88,[1]对照表!$O$3:$O$24,[1]对照表!$P$3:$P$24),LOOKUP(J88,[1]对照表!$O$27:$O$48,[1]对照表!$P$27:$P$48)),IF(B88="高二",IF($E88="男",LOOKUP(J88,[1]对照表!$N$3:$N$24,[1]对照表!$P$3:$P$24),LOOKUP(J88,[1]对照表!$N$27:$N$48,[1]对照表!$P$27:$P$48)),IF(B88="高一",IF($E88="男",LOOKUP(J88,[1]对照表!$M$3:$M$24,[1]对照表!$P$3:$P$24),LOOKUP(J88,[1]对照表!$M$27:$M$48,[1]对照表!$P$27:$P$48)))))</f>
        <v>90</v>
      </c>
      <c r="L88" s="38">
        <v>11</v>
      </c>
      <c r="M88" s="32">
        <f>IF(B88="高三",IF($E88="男",LOOKUP(L88,[1]对照表!$S$3:$S$24,[1]对照表!$T$3:$T$24),LOOKUP(L88,[1]对照表!$S$27:$S$48,[1]对照表!$T$27:$T$48)),IF(B88="高二",IF($E88="男",LOOKUP(L88,[1]对照表!$R$3:$R$24,[1]对照表!$T$3:$T$24),LOOKUP(L88,[1]对照表!$R$27:$R$48,[1]对照表!$T$27:$T$48)),IF(B88="高一",IF($E88="男",LOOKUP(L88,[1]对照表!$Q$3:$Q$24,[1]对照表!$T$3:$T$24),LOOKUP(L88,[1]对照表!$Q$27:$Q$48,[1]对照表!$T$27:$T$48)))))</f>
        <v>72</v>
      </c>
      <c r="N88" s="33">
        <f>IF(B88="高三",MAX(IF(E88="男",L88-18,L88-55),0),IF(B88="高二",MAX(IF(E88="男",L88-17,L88-54),0),IF(B88="高一",MAX(IF(E88="男",L88-16,L88-53),0))))</f>
        <v>0</v>
      </c>
      <c r="O88" s="23">
        <f>IF(E88="男",LOOKUP($N88,[1]对照表!$Z$3:$Z$13,[1]对照表!$AA$3:$AA$13),LOOKUP($N88,[1]对照表!$Z$15:$Z$25,[1]对照表!$AA$15:$AA$25))</f>
        <v>0</v>
      </c>
      <c r="P88" s="25">
        <f>M88+O88</f>
        <v>72</v>
      </c>
      <c r="Q88" s="50">
        <v>4.09</v>
      </c>
      <c r="R88" s="32">
        <f>IF(B88="高三",IF($E88="男",LOOKUP(Q88,[1]对照表!$W$3:$W$24,[1]对照表!$X$3:$X$24),LOOKUP(Q88,[1]对照表!$W$27:$W$48,[1]对照表!$X$27:$X$48)),IF(B88="高二",IF($E88="男",LOOKUP(Q88,[1]对照表!$V$3:$V$24,[1]对照表!$X$3:$X$24),LOOKUP(Q88,[1]对照表!$V$27:$V$48,[1]对照表!$X$27:$X$48)),IF(B88="高一",IF($E88="男",LOOKUP(Q88,[1]对照表!$U$3:$U$24,[1]对照表!$X$3:$X$24),LOOKUP(Q88,[1]对照表!$U$27:$U$48,[1]对照表!$X$27:$X$48)))))</f>
        <v>72</v>
      </c>
      <c r="S88" s="33">
        <f>ROUND(IF(IF($B88="高三",MIN(IF($E88="男",$Q88-3.2,$Q88-3.2),0),IF($B88="高二",MIN(IF($E88="男",$Q88-3.25,$Q88-3.22),0),IF($B88="高一",MIN(IF($E88="男",$Q88-3.3,$Q88-3.24),0))))&lt;-0.6,IF($B88="高三",MIN(IF($E88="男",$Q88-3.2,$Q88-3.2),0),IF($B88="高二",MIN(IF($E88="男",$Q88-3.25,$Q88-3.22),0),IF($B88="高一",MIN(IF($E88="男",$Q88-3.3,$Q88-3.24),0))))+0.4,IF($B88="高三",MIN(IF($E88="男",$Q88-3.2,$Q88-3.2),0),IF($B88="高二",MIN(IF($E88="男",$Q88-3.25,$Q88-3.22),0),IF($B88="高一",MIN(IF($E88="男",$Q88-3.3,$Q88-3.24),0))))),2)</f>
        <v>0</v>
      </c>
      <c r="T88" s="23">
        <f>IF(E88="男",LOOKUP($S88,[1]对照表!$AB$3:$AB$13,[1]对照表!$AC$3:$AC$13),LOOKUP($S88,[1]对照表!$AB$15:$AB$25,[1]对照表!$AC$15:$AC$25))</f>
        <v>0</v>
      </c>
      <c r="U88" s="26">
        <f>R88+T88</f>
        <v>72</v>
      </c>
      <c r="V88" s="26">
        <f>SUM(I88,K88,M88)/3*0.3+SUM(G88,R88)/2*0.4</f>
        <v>58.599999999999994</v>
      </c>
      <c r="W88" s="27">
        <f>O88+T88</f>
        <v>0</v>
      </c>
      <c r="X88" s="28">
        <f>V88/0.7+W88</f>
        <v>83.714285714285708</v>
      </c>
      <c r="Y88" s="28">
        <f>X88</f>
        <v>83.714285714285708</v>
      </c>
      <c r="Z88" s="38"/>
    </row>
    <row r="89" spans="1:26" ht="15.6" x14ac:dyDescent="0.25">
      <c r="A89" s="48">
        <v>14</v>
      </c>
      <c r="B89" s="17" t="s">
        <v>767</v>
      </c>
      <c r="C89" s="48">
        <v>202</v>
      </c>
      <c r="D89" s="49" t="s">
        <v>1153</v>
      </c>
      <c r="E89" s="48" t="s">
        <v>65</v>
      </c>
      <c r="F89" s="50">
        <v>9.09</v>
      </c>
      <c r="G89" s="32">
        <f>IF(B89="高三",IF($E89="男",LOOKUP(F89,[1]对照表!$G$3:$G$24,[1]对照表!$H$3:$H$24),LOOKUP(F89,[1]对照表!$G$27:$G$48,[1]对照表!$H$27:$H$48)),IF(B89="高二",IF($E89="男",LOOKUP(F89,[1]对照表!$F$3:$F$24,[1]对照表!$H$3:$H$24),LOOKUP(F89,[1]对照表!$F$27:$F$48,[1]对照表!$H$27:$H$48)),IF(B89="高一",IF($E89="男",LOOKUP(F89,[1]对照表!$E$3:$E$24,[1]对照表!$H$3:$H$24),LOOKUP(F89,[1]对照表!$E$27:$E$48,[1]对照表!$H$27:$H$48)))))</f>
        <v>74</v>
      </c>
      <c r="H89" s="38">
        <v>25</v>
      </c>
      <c r="I89" s="32">
        <f>IF(B89="高三",IF($E89="男",LOOKUP(H89,[1]对照表!$K$3:$K$24,[1]对照表!$L$3:$L$24),LOOKUP(H89,[1]对照表!$K$27:$K$48,[1]对照表!$L$27:$L$48)),IF(B89="高二",IF($E89="男",LOOKUP(H89,[1]对照表!$J$3:$J$24,[1]对照表!$L$3:$L$24),LOOKUP(H89,[1]对照表!$J$27:$J$48,[1]对照表!$L$27:$L$48)),IF(B89="高一",IF($E89="男",LOOKUP(H89,[1]对照表!$I$3:$I$24,[1]对照表!$L$3:$L$24),LOOKUP(H89,[1]对照表!$I$27:$I$48,[1]对照表!$L$27:$L$48)))))</f>
        <v>100</v>
      </c>
      <c r="J89" s="38">
        <v>154</v>
      </c>
      <c r="K89" s="32">
        <f>IF(B89="高三",IF($E89="男",LOOKUP(J89,[1]对照表!$O$3:$O$24,[1]对照表!$P$3:$P$24),LOOKUP(J89,[1]对照表!$O$27:$O$48,[1]对照表!$P$27:$P$48)),IF(B89="高二",IF($E89="男",LOOKUP(J89,[1]对照表!$N$3:$N$24,[1]对照表!$P$3:$P$24),LOOKUP(J89,[1]对照表!$N$27:$N$48,[1]对照表!$P$27:$P$48)),IF(B89="高一",IF($E89="男",LOOKUP(J89,[1]对照表!$M$3:$M$24,[1]对照表!$P$3:$P$24),LOOKUP(J89,[1]对照表!$M$27:$M$48,[1]对照表!$P$27:$P$48)))))</f>
        <v>62</v>
      </c>
      <c r="L89" s="38">
        <v>45</v>
      </c>
      <c r="M89" s="32">
        <f>IF(B89="高三",IF($E89="男",LOOKUP(L89,[1]对照表!$S$3:$S$24,[1]对照表!$T$3:$T$24),LOOKUP(L89,[1]对照表!$S$27:$S$48,[1]对照表!$T$27:$T$48)),IF(B89="高二",IF($E89="男",LOOKUP(L89,[1]对照表!$R$3:$R$24,[1]对照表!$T$3:$T$24),LOOKUP(L89,[1]对照表!$R$27:$R$48,[1]对照表!$T$27:$T$48)),IF(B89="高一",IF($E89="男",LOOKUP(L89,[1]对照表!$Q$3:$Q$24,[1]对照表!$T$3:$T$24),LOOKUP(L89,[1]对照表!$Q$27:$Q$48,[1]对照表!$T$27:$T$48)))))</f>
        <v>80</v>
      </c>
      <c r="N89" s="33">
        <f>IF(B89="高三",MAX(IF(E89="男",L89-18,L89-55),0),IF(B89="高二",MAX(IF(E89="男",L89-17,L89-54),0),IF(B89="高一",MAX(IF(E89="男",L89-16,L89-53),0))))</f>
        <v>0</v>
      </c>
      <c r="O89" s="23">
        <f>IF(E89="男",LOOKUP($N89,[1]对照表!$Z$3:$Z$13,[1]对照表!$AA$3:$AA$13),LOOKUP($N89,[1]对照表!$Z$15:$Z$25,[1]对照表!$AA$15:$AA$25))</f>
        <v>0</v>
      </c>
      <c r="P89" s="25">
        <f>M89+O89</f>
        <v>80</v>
      </c>
      <c r="Q89" s="50">
        <v>4.04</v>
      </c>
      <c r="R89" s="32">
        <f>IF(B89="高三",IF($E89="男",LOOKUP(Q89,[1]对照表!$W$3:$W$24,[1]对照表!$X$3:$X$24),LOOKUP(Q89,[1]对照表!$W$27:$W$48,[1]对照表!$X$27:$X$48)),IF(B89="高二",IF($E89="男",LOOKUP(Q89,[1]对照表!$V$3:$V$24,[1]对照表!$X$3:$X$24),LOOKUP(Q89,[1]对照表!$V$27:$V$48,[1]对照表!$X$27:$X$48)),IF(B89="高一",IF($E89="男",LOOKUP(Q89,[1]对照表!$U$3:$U$24,[1]对照表!$X$3:$X$24),LOOKUP(Q89,[1]对照表!$U$27:$U$48,[1]对照表!$X$27:$X$48)))))</f>
        <v>72</v>
      </c>
      <c r="S89" s="33">
        <f>ROUND(IF(IF($B89="高三",MIN(IF($E89="男",$Q89-3.2,$Q89-3.2),0),IF($B89="高二",MIN(IF($E89="男",$Q89-3.25,$Q89-3.22),0),IF($B89="高一",MIN(IF($E89="男",$Q89-3.3,$Q89-3.24),0))))&lt;-0.6,IF($B89="高三",MIN(IF($E89="男",$Q89-3.2,$Q89-3.2),0),IF($B89="高二",MIN(IF($E89="男",$Q89-3.25,$Q89-3.22),0),IF($B89="高一",MIN(IF($E89="男",$Q89-3.3,$Q89-3.24),0))))+0.4,IF($B89="高三",MIN(IF($E89="男",$Q89-3.2,$Q89-3.2),0),IF($B89="高二",MIN(IF($E89="男",$Q89-3.25,$Q89-3.22),0),IF($B89="高一",MIN(IF($E89="男",$Q89-3.3,$Q89-3.24),0))))),2)</f>
        <v>0</v>
      </c>
      <c r="T89" s="23">
        <f>IF(E89="男",LOOKUP($S89,[1]对照表!$AB$3:$AB$13,[1]对照表!$AC$3:$AC$13),LOOKUP($S89,[1]对照表!$AB$15:$AB$25,[1]对照表!$AC$15:$AC$25))</f>
        <v>0</v>
      </c>
      <c r="U89" s="26">
        <f>R89+T89</f>
        <v>72</v>
      </c>
      <c r="V89" s="26">
        <f>SUM(I89,K89,M89)/3*0.3+SUM(G89,R89)/2*0.4</f>
        <v>53.400000000000006</v>
      </c>
      <c r="W89" s="27">
        <f>O89+T89</f>
        <v>0</v>
      </c>
      <c r="X89" s="28">
        <f>V89/0.7+W89</f>
        <v>76.285714285714292</v>
      </c>
      <c r="Y89" s="28">
        <f>X89</f>
        <v>76.285714285714292</v>
      </c>
      <c r="Z89" s="38"/>
    </row>
    <row r="90" spans="1:26" ht="15.6" x14ac:dyDescent="0.25">
      <c r="A90" s="48">
        <v>54</v>
      </c>
      <c r="B90" s="17" t="s">
        <v>767</v>
      </c>
      <c r="C90" s="48">
        <v>202</v>
      </c>
      <c r="D90" s="49" t="s">
        <v>1158</v>
      </c>
      <c r="E90" s="48" t="s">
        <v>65</v>
      </c>
      <c r="F90" s="50">
        <v>9.0500000000000007</v>
      </c>
      <c r="G90" s="32">
        <f>IF(B90="高三",IF($E90="男",LOOKUP(F90,[1]对照表!$G$3:$G$24,[1]对照表!$H$3:$H$24),LOOKUP(F90,[1]对照表!$G$27:$G$48,[1]对照表!$H$27:$H$48)),IF(B90="高二",IF($E90="男",LOOKUP(F90,[1]对照表!$F$3:$F$24,[1]对照表!$H$3:$H$24),LOOKUP(F90,[1]对照表!$F$27:$F$48,[1]对照表!$H$27:$H$48)),IF(B90="高一",IF($E90="男",LOOKUP(F90,[1]对照表!$E$3:$E$24,[1]对照表!$H$3:$H$24),LOOKUP(F90,[1]对照表!$E$27:$E$48,[1]对照表!$H$27:$H$48)))))</f>
        <v>74</v>
      </c>
      <c r="H90" s="38">
        <v>17</v>
      </c>
      <c r="I90" s="32">
        <f>IF(B90="高三",IF($E90="男",LOOKUP(H90,[1]对照表!$K$3:$K$24,[1]对照表!$L$3:$L$24),LOOKUP(H90,[1]对照表!$K$27:$K$48,[1]对照表!$L$27:$L$48)),IF(B90="高二",IF($E90="男",LOOKUP(H90,[1]对照表!$J$3:$J$24,[1]对照表!$L$3:$L$24),LOOKUP(H90,[1]对照表!$J$27:$J$48,[1]对照表!$L$27:$L$48)),IF(B90="高一",IF($E90="男",LOOKUP(H90,[1]对照表!$I$3:$I$24,[1]对照表!$L$3:$L$24),LOOKUP(H90,[1]对照表!$I$27:$I$48,[1]对照表!$L$27:$L$48)))))</f>
        <v>78</v>
      </c>
      <c r="J90" s="38">
        <v>170</v>
      </c>
      <c r="K90" s="32">
        <f>IF(B90="高三",IF($E90="男",LOOKUP(J90,[1]对照表!$O$3:$O$24,[1]对照表!$P$3:$P$24),LOOKUP(J90,[1]对照表!$O$27:$O$48,[1]对照表!$P$27:$P$48)),IF(B90="高二",IF($E90="男",LOOKUP(J90,[1]对照表!$N$3:$N$24,[1]对照表!$P$3:$P$24),LOOKUP(J90,[1]对照表!$N$27:$N$48,[1]对照表!$P$27:$P$48)),IF(B90="高一",IF($E90="男",LOOKUP(J90,[1]对照表!$M$3:$M$24,[1]对照表!$P$3:$P$24),LOOKUP(J90,[1]对照表!$M$27:$M$48,[1]对照表!$P$27:$P$48)))))</f>
        <v>74</v>
      </c>
      <c r="L90" s="38">
        <v>48</v>
      </c>
      <c r="M90" s="32">
        <f>IF(B90="高三",IF($E90="男",LOOKUP(L90,[1]对照表!$S$3:$S$24,[1]对照表!$T$3:$T$24),LOOKUP(L90,[1]对照表!$S$27:$S$48,[1]对照表!$T$27:$T$48)),IF(B90="高二",IF($E90="男",LOOKUP(L90,[1]对照表!$R$3:$R$24,[1]对照表!$T$3:$T$24),LOOKUP(L90,[1]对照表!$R$27:$R$48,[1]对照表!$T$27:$T$48)),IF(B90="高一",IF($E90="男",LOOKUP(L90,[1]对照表!$Q$3:$Q$24,[1]对照表!$T$3:$T$24),LOOKUP(L90,[1]对照表!$Q$27:$Q$48,[1]对照表!$T$27:$T$48)))))</f>
        <v>85</v>
      </c>
      <c r="N90" s="33">
        <f>IF(B90="高三",MAX(IF(E90="男",L90-18,L90-55),0),IF(B90="高二",MAX(IF(E90="男",L90-17,L90-54),0),IF(B90="高一",MAX(IF(E90="男",L90-16,L90-53),0))))</f>
        <v>0</v>
      </c>
      <c r="O90" s="23">
        <f>IF(E90="男",LOOKUP($N90,[1]对照表!$Z$3:$Z$13,[1]对照表!$AA$3:$AA$13),LOOKUP($N90,[1]对照表!$Z$15:$Z$25,[1]对照表!$AA$15:$AA$25))</f>
        <v>0</v>
      </c>
      <c r="P90" s="25">
        <f>M90+O90</f>
        <v>85</v>
      </c>
      <c r="Q90" s="50">
        <v>4.0199999999999996</v>
      </c>
      <c r="R90" s="32">
        <f>IF(B90="高三",IF($E90="男",LOOKUP(Q90,[1]对照表!$W$3:$W$24,[1]对照表!$X$3:$X$24),LOOKUP(Q90,[1]对照表!$W$27:$W$48,[1]对照表!$X$27:$X$48)),IF(B90="高二",IF($E90="男",LOOKUP(Q90,[1]对照表!$V$3:$V$24,[1]对照表!$X$3:$X$24),LOOKUP(Q90,[1]对照表!$V$27:$V$48,[1]对照表!$X$27:$X$48)),IF(B90="高一",IF($E90="男",LOOKUP(Q90,[1]对照表!$U$3:$U$24,[1]对照表!$X$3:$X$24),LOOKUP(Q90,[1]对照表!$U$27:$U$48,[1]对照表!$X$27:$X$48)))))</f>
        <v>74</v>
      </c>
      <c r="S90" s="33">
        <f>ROUND(IF(IF($B90="高三",MIN(IF($E90="男",$Q90-3.2,$Q90-3.2),0),IF($B90="高二",MIN(IF($E90="男",$Q90-3.25,$Q90-3.22),0),IF($B90="高一",MIN(IF($E90="男",$Q90-3.3,$Q90-3.24),0))))&lt;-0.6,IF($B90="高三",MIN(IF($E90="男",$Q90-3.2,$Q90-3.2),0),IF($B90="高二",MIN(IF($E90="男",$Q90-3.25,$Q90-3.22),0),IF($B90="高一",MIN(IF($E90="男",$Q90-3.3,$Q90-3.24),0))))+0.4,IF($B90="高三",MIN(IF($E90="男",$Q90-3.2,$Q90-3.2),0),IF($B90="高二",MIN(IF($E90="男",$Q90-3.25,$Q90-3.22),0),IF($B90="高一",MIN(IF($E90="男",$Q90-3.3,$Q90-3.24),0))))),2)</f>
        <v>0</v>
      </c>
      <c r="T90" s="23">
        <f>IF(E90="男",LOOKUP($S90,[1]对照表!$AB$3:$AB$13,[1]对照表!$AC$3:$AC$13),LOOKUP($S90,[1]对照表!$AB$15:$AB$25,[1]对照表!$AC$15:$AC$25))</f>
        <v>0</v>
      </c>
      <c r="U90" s="26">
        <f>R90+T90</f>
        <v>74</v>
      </c>
      <c r="V90" s="26">
        <f>SUM(I90,K90,M90)/3*0.3+SUM(G90,R90)/2*0.4</f>
        <v>53.3</v>
      </c>
      <c r="W90" s="27">
        <f>O90+T90</f>
        <v>0</v>
      </c>
      <c r="X90" s="28">
        <f>V90/0.7+W90</f>
        <v>76.142857142857139</v>
      </c>
      <c r="Y90" s="28">
        <f>X90</f>
        <v>76.142857142857139</v>
      </c>
      <c r="Z90" s="38"/>
    </row>
    <row r="91" spans="1:26" ht="15.6" customHeight="1" x14ac:dyDescent="0.25">
      <c r="A91" s="48">
        <v>38</v>
      </c>
      <c r="B91" s="17" t="s">
        <v>767</v>
      </c>
      <c r="C91" s="48">
        <v>202</v>
      </c>
      <c r="D91" s="49" t="s">
        <v>1176</v>
      </c>
      <c r="E91" s="48" t="s">
        <v>65</v>
      </c>
      <c r="F91" s="50">
        <v>9.91</v>
      </c>
      <c r="G91" s="32">
        <f>IF(B91="高三",IF($E91="男",LOOKUP(F91,[1]对照表!$G$3:$G$24,[1]对照表!$H$3:$H$24),LOOKUP(F91,[1]对照表!$G$27:$G$48,[1]对照表!$H$27:$H$48)),IF(B91="高二",IF($E91="男",LOOKUP(F91,[1]对照表!$F$3:$F$24,[1]对照表!$H$3:$H$24),LOOKUP(F91,[1]对照表!$F$27:$F$48,[1]对照表!$H$27:$H$48)),IF(B91="高一",IF($E91="男",LOOKUP(F91,[1]对照表!$E$3:$E$24,[1]对照表!$H$3:$H$24),LOOKUP(F91,[1]对照表!$E$27:$E$48,[1]对照表!$H$27:$H$48)))))</f>
        <v>64</v>
      </c>
      <c r="H91" s="38">
        <v>20.5</v>
      </c>
      <c r="I91" s="32">
        <f>IF(B91="高三",IF($E91="男",LOOKUP(H91,[1]对照表!$K$3:$K$24,[1]对照表!$L$3:$L$24),LOOKUP(H91,[1]对照表!$K$27:$K$48,[1]对照表!$L$27:$L$48)),IF(B91="高二",IF($E91="男",LOOKUP(H91,[1]对照表!$J$3:$J$24,[1]对照表!$L$3:$L$24),LOOKUP(H91,[1]对照表!$J$27:$J$48,[1]对照表!$L$27:$L$48)),IF(B91="高一",IF($E91="男",LOOKUP(H91,[1]对照表!$I$3:$I$24,[1]对照表!$L$3:$L$24),LOOKUP(H91,[1]对照表!$I$27:$I$48,[1]对照表!$L$27:$L$48)))))</f>
        <v>85</v>
      </c>
      <c r="J91" s="38">
        <v>185</v>
      </c>
      <c r="K91" s="32">
        <f>IF(B91="高三",IF($E91="男",LOOKUP(J91,[1]对照表!$O$3:$O$24,[1]对照表!$P$3:$P$24),LOOKUP(J91,[1]对照表!$O$27:$O$48,[1]对照表!$P$27:$P$48)),IF(B91="高二",IF($E91="男",LOOKUP(J91,[1]对照表!$N$3:$N$24,[1]对照表!$P$3:$P$24),LOOKUP(J91,[1]对照表!$N$27:$N$48,[1]对照表!$P$27:$P$48)),IF(B91="高一",IF($E91="男",LOOKUP(J91,[1]对照表!$M$3:$M$24,[1]对照表!$P$3:$P$24),LOOKUP(J91,[1]对照表!$M$27:$M$48,[1]对照表!$P$27:$P$48)))))</f>
        <v>80</v>
      </c>
      <c r="L91" s="38">
        <v>40</v>
      </c>
      <c r="M91" s="32">
        <f>IF(B91="高三",IF($E91="男",LOOKUP(L91,[1]对照表!$S$3:$S$24,[1]对照表!$T$3:$T$24),LOOKUP(L91,[1]对照表!$S$27:$S$48,[1]对照表!$T$27:$T$48)),IF(B91="高二",IF($E91="男",LOOKUP(L91,[1]对照表!$R$3:$R$24,[1]对照表!$T$3:$T$24),LOOKUP(L91,[1]对照表!$R$27:$R$48,[1]对照表!$T$27:$T$48)),IF(B91="高一",IF($E91="男",LOOKUP(L91,[1]对照表!$Q$3:$Q$24,[1]对照表!$T$3:$T$24),LOOKUP(L91,[1]对照表!$Q$27:$Q$48,[1]对照表!$T$27:$T$48)))))</f>
        <v>76</v>
      </c>
      <c r="N91" s="33">
        <f>IF(B91="高三",MAX(IF(E91="男",L91-18,L91-55),0),IF(B91="高二",MAX(IF(E91="男",L91-17,L91-54),0),IF(B91="高一",MAX(IF(E91="男",L91-16,L91-53),0))))</f>
        <v>0</v>
      </c>
      <c r="O91" s="23">
        <f>IF(E91="男",LOOKUP($N91,[1]对照表!$Z$3:$Z$13,[1]对照表!$AA$3:$AA$13),LOOKUP($N91,[1]对照表!$Z$15:$Z$25,[1]对照表!$AA$15:$AA$25))</f>
        <v>0</v>
      </c>
      <c r="P91" s="25">
        <f>M91+O91</f>
        <v>76</v>
      </c>
      <c r="Q91" s="50">
        <v>3.5</v>
      </c>
      <c r="R91" s="32">
        <f>IF(B91="高三",IF($E91="男",LOOKUP(Q91,[1]对照表!$W$3:$W$24,[1]对照表!$X$3:$X$24),LOOKUP(Q91,[1]对照表!$W$27:$W$48,[1]对照表!$X$27:$X$48)),IF(B91="高二",IF($E91="男",LOOKUP(Q91,[1]对照表!$V$3:$V$24,[1]对照表!$X$3:$X$24),LOOKUP(Q91,[1]对照表!$V$27:$V$48,[1]对照表!$X$27:$X$48)),IF(B91="高一",IF($E91="男",LOOKUP(Q91,[1]对照表!$U$3:$U$24,[1]对照表!$X$3:$X$24),LOOKUP(Q91,[1]对照表!$U$27:$U$48,[1]对照表!$X$27:$X$48)))))</f>
        <v>78</v>
      </c>
      <c r="S91" s="33">
        <f>ROUND(IF(IF($B91="高三",MIN(IF($E91="男",$Q91-3.2,$Q91-3.2),0),IF($B91="高二",MIN(IF($E91="男",$Q91-3.25,$Q91-3.22),0),IF($B91="高一",MIN(IF($E91="男",$Q91-3.3,$Q91-3.24),0))))&lt;-0.6,IF($B91="高三",MIN(IF($E91="男",$Q91-3.2,$Q91-3.2),0),IF($B91="高二",MIN(IF($E91="男",$Q91-3.25,$Q91-3.22),0),IF($B91="高一",MIN(IF($E91="男",$Q91-3.3,$Q91-3.24),0))))+0.4,IF($B91="高三",MIN(IF($E91="男",$Q91-3.2,$Q91-3.2),0),IF($B91="高二",MIN(IF($E91="男",$Q91-3.25,$Q91-3.22),0),IF($B91="高一",MIN(IF($E91="男",$Q91-3.3,$Q91-3.24),0))))),2)</f>
        <v>0</v>
      </c>
      <c r="T91" s="23">
        <f>IF(E91="男",LOOKUP($S91,[1]对照表!$AB$3:$AB$13,[1]对照表!$AC$3:$AC$13),LOOKUP($S91,[1]对照表!$AB$15:$AB$25,[1]对照表!$AC$15:$AC$25))</f>
        <v>0</v>
      </c>
      <c r="U91" s="26">
        <f>R91+T91</f>
        <v>78</v>
      </c>
      <c r="V91" s="26">
        <f>SUM(I91,K91,M91)/3*0.3+SUM(G91,R91)/2*0.4</f>
        <v>52.5</v>
      </c>
      <c r="W91" s="27">
        <f>O91+T91</f>
        <v>0</v>
      </c>
      <c r="X91" s="28">
        <f>V91/0.7+W91</f>
        <v>75</v>
      </c>
      <c r="Y91" s="28">
        <f>X91</f>
        <v>75</v>
      </c>
      <c r="Z91" s="38"/>
    </row>
    <row r="92" spans="1:26" ht="15.6" x14ac:dyDescent="0.25">
      <c r="A92" s="48">
        <v>13</v>
      </c>
      <c r="B92" s="17" t="s">
        <v>767</v>
      </c>
      <c r="C92" s="48">
        <v>202</v>
      </c>
      <c r="D92" s="49" t="s">
        <v>1181</v>
      </c>
      <c r="E92" s="48" t="s">
        <v>65</v>
      </c>
      <c r="F92" s="50">
        <v>9.2799999999999994</v>
      </c>
      <c r="G92" s="32">
        <f>IF(B92="高三",IF($E92="男",LOOKUP(F92,[1]对照表!$G$3:$G$24,[1]对照表!$H$3:$H$24),LOOKUP(F92,[1]对照表!$G$27:$G$48,[1]对照表!$H$27:$H$48)),IF(B92="高二",IF($E92="男",LOOKUP(F92,[1]对照表!$F$3:$F$24,[1]对照表!$H$3:$H$24),LOOKUP(F92,[1]对照表!$F$27:$F$48,[1]对照表!$H$27:$H$48)),IF(B92="高一",IF($E92="男",LOOKUP(F92,[1]对照表!$E$3:$E$24,[1]对照表!$H$3:$H$24),LOOKUP(F92,[1]对照表!$E$27:$E$48,[1]对照表!$H$27:$H$48)))))</f>
        <v>72</v>
      </c>
      <c r="H92" s="38">
        <v>14</v>
      </c>
      <c r="I92" s="32">
        <f>IF(B92="高三",IF($E92="男",LOOKUP(H92,[1]对照表!$K$3:$K$24,[1]对照表!$L$3:$L$24),LOOKUP(H92,[1]对照表!$K$27:$K$48,[1]对照表!$L$27:$L$48)),IF(B92="高二",IF($E92="男",LOOKUP(H92,[1]对照表!$J$3:$J$24,[1]对照表!$L$3:$L$24),LOOKUP(H92,[1]对照表!$J$27:$J$48,[1]对照表!$L$27:$L$48)),IF(B92="高一",IF($E92="男",LOOKUP(H92,[1]对照表!$I$3:$I$24,[1]对照表!$L$3:$L$24),LOOKUP(H92,[1]对照表!$I$27:$I$48,[1]对照表!$L$27:$L$48)))))</f>
        <v>72</v>
      </c>
      <c r="J92" s="38">
        <v>164</v>
      </c>
      <c r="K92" s="32">
        <f>IF(B92="高三",IF($E92="男",LOOKUP(J92,[1]对照表!$O$3:$O$24,[1]对照表!$P$3:$P$24),LOOKUP(J92,[1]对照表!$O$27:$O$48,[1]对照表!$P$27:$P$48)),IF(B92="高二",IF($E92="男",LOOKUP(J92,[1]对照表!$N$3:$N$24,[1]对照表!$P$3:$P$24),LOOKUP(J92,[1]对照表!$N$27:$N$48,[1]对照表!$P$27:$P$48)),IF(B92="高一",IF($E92="男",LOOKUP(J92,[1]对照表!$M$3:$M$24,[1]对照表!$P$3:$P$24),LOOKUP(J92,[1]对照表!$M$27:$M$48,[1]对照表!$P$27:$P$48)))))</f>
        <v>70</v>
      </c>
      <c r="L92" s="38">
        <v>44</v>
      </c>
      <c r="M92" s="32">
        <f>IF(B92="高三",IF($E92="男",LOOKUP(L92,[1]对照表!$S$3:$S$24,[1]对照表!$T$3:$T$24),LOOKUP(L92,[1]对照表!$S$27:$S$48,[1]对照表!$T$27:$T$48)),IF(B92="高二",IF($E92="男",LOOKUP(L92,[1]对照表!$R$3:$R$24,[1]对照表!$T$3:$T$24),LOOKUP(L92,[1]对照表!$R$27:$R$48,[1]对照表!$T$27:$T$48)),IF(B92="高一",IF($E92="男",LOOKUP(L92,[1]对照表!$Q$3:$Q$24,[1]对照表!$T$3:$T$24),LOOKUP(L92,[1]对照表!$Q$27:$Q$48,[1]对照表!$T$27:$T$48)))))</f>
        <v>80</v>
      </c>
      <c r="N92" s="33">
        <f>IF(B92="高三",MAX(IF(E92="男",L92-18,L92-55),0),IF(B92="高二",MAX(IF(E92="男",L92-17,L92-54),0),IF(B92="高一",MAX(IF(E92="男",L92-16,L92-53),0))))</f>
        <v>0</v>
      </c>
      <c r="O92" s="23">
        <f>IF(E92="男",LOOKUP($N92,[1]对照表!$Z$3:$Z$13,[1]对照表!$AA$3:$AA$13),LOOKUP($N92,[1]对照表!$Z$15:$Z$25,[1]对照表!$AA$15:$AA$25))</f>
        <v>0</v>
      </c>
      <c r="P92" s="25">
        <f>M92+O92</f>
        <v>80</v>
      </c>
      <c r="Q92" s="50">
        <v>3.5</v>
      </c>
      <c r="R92" s="32">
        <f>IF(B92="高三",IF($E92="男",LOOKUP(Q92,[1]对照表!$W$3:$W$24,[1]对照表!$X$3:$X$24),LOOKUP(Q92,[1]对照表!$W$27:$W$48,[1]对照表!$X$27:$X$48)),IF(B92="高二",IF($E92="男",LOOKUP(Q92,[1]对照表!$V$3:$V$24,[1]对照表!$X$3:$X$24),LOOKUP(Q92,[1]对照表!$V$27:$V$48,[1]对照表!$X$27:$X$48)),IF(B92="高一",IF($E92="男",LOOKUP(Q92,[1]对照表!$U$3:$U$24,[1]对照表!$X$3:$X$24),LOOKUP(Q92,[1]对照表!$U$27:$U$48,[1]对照表!$X$27:$X$48)))))</f>
        <v>78</v>
      </c>
      <c r="S92" s="33">
        <f>ROUND(IF(IF($B92="高三",MIN(IF($E92="男",$Q92-3.2,$Q92-3.2),0),IF($B92="高二",MIN(IF($E92="男",$Q92-3.25,$Q92-3.22),0),IF($B92="高一",MIN(IF($E92="男",$Q92-3.3,$Q92-3.24),0))))&lt;-0.6,IF($B92="高三",MIN(IF($E92="男",$Q92-3.2,$Q92-3.2),0),IF($B92="高二",MIN(IF($E92="男",$Q92-3.25,$Q92-3.22),0),IF($B92="高一",MIN(IF($E92="男",$Q92-3.3,$Q92-3.24),0))))+0.4,IF($B92="高三",MIN(IF($E92="男",$Q92-3.2,$Q92-3.2),0),IF($B92="高二",MIN(IF($E92="男",$Q92-3.25,$Q92-3.22),0),IF($B92="高一",MIN(IF($E92="男",$Q92-3.3,$Q92-3.24),0))))),2)</f>
        <v>0</v>
      </c>
      <c r="T92" s="23">
        <f>IF(E92="男",LOOKUP($S92,[1]对照表!$AB$3:$AB$13,[1]对照表!$AC$3:$AC$13),LOOKUP($S92,[1]对照表!$AB$15:$AB$25,[1]对照表!$AC$15:$AC$25))</f>
        <v>0</v>
      </c>
      <c r="U92" s="26">
        <f>R92+T92</f>
        <v>78</v>
      </c>
      <c r="V92" s="26">
        <f>SUM(I92,K92,M92)/3*0.3+SUM(G92,R92)/2*0.4</f>
        <v>52.2</v>
      </c>
      <c r="W92" s="27">
        <f>O92+T92</f>
        <v>0</v>
      </c>
      <c r="X92" s="28">
        <f>V92/0.7+W92</f>
        <v>74.571428571428584</v>
      </c>
      <c r="Y92" s="28">
        <f>X92</f>
        <v>74.571428571428584</v>
      </c>
      <c r="Z92" s="38"/>
    </row>
    <row r="93" spans="1:26" ht="15.6" x14ac:dyDescent="0.25">
      <c r="A93" s="48">
        <v>16</v>
      </c>
      <c r="B93" s="17" t="s">
        <v>767</v>
      </c>
      <c r="C93" s="48">
        <v>202</v>
      </c>
      <c r="D93" s="49" t="s">
        <v>1196</v>
      </c>
      <c r="E93" s="48" t="s">
        <v>65</v>
      </c>
      <c r="F93" s="50">
        <v>9.3000000000000007</v>
      </c>
      <c r="G93" s="32">
        <f>IF(B93="高三",IF($E93="男",LOOKUP(F93,[1]对照表!$G$3:$G$24,[1]对照表!$H$3:$H$24),LOOKUP(F93,[1]对照表!$G$27:$G$48,[1]对照表!$H$27:$H$48)),IF(B93="高二",IF($E93="男",LOOKUP(F93,[1]对照表!$F$3:$F$24,[1]对照表!$H$3:$H$24),LOOKUP(F93,[1]对照表!$F$27:$F$48,[1]对照表!$H$27:$H$48)),IF(B93="高一",IF($E93="男",LOOKUP(F93,[1]对照表!$E$3:$E$24,[1]对照表!$H$3:$H$24),LOOKUP(F93,[1]对照表!$E$27:$E$48,[1]对照表!$H$27:$H$48)))))</f>
        <v>72</v>
      </c>
      <c r="H93" s="38">
        <v>19</v>
      </c>
      <c r="I93" s="32">
        <f>IF(B93="高三",IF($E93="男",LOOKUP(H93,[1]对照表!$K$3:$K$24,[1]对照表!$L$3:$L$24),LOOKUP(H93,[1]对照表!$K$27:$K$48,[1]对照表!$L$27:$L$48)),IF(B93="高二",IF($E93="男",LOOKUP(H93,[1]对照表!$J$3:$J$24,[1]对照表!$L$3:$L$24),LOOKUP(H93,[1]对照表!$J$27:$J$48,[1]对照表!$L$27:$L$48)),IF(B93="高一",IF($E93="男",LOOKUP(H93,[1]对照表!$I$3:$I$24,[1]对照表!$L$3:$L$24),LOOKUP(H93,[1]对照表!$I$27:$I$48,[1]对照表!$L$27:$L$48)))))</f>
        <v>80</v>
      </c>
      <c r="J93" s="38">
        <v>155</v>
      </c>
      <c r="K93" s="32">
        <f>IF(B93="高三",IF($E93="男",LOOKUP(J93,[1]对照表!$O$3:$O$24,[1]对照表!$P$3:$P$24),LOOKUP(J93,[1]对照表!$O$27:$O$48,[1]对照表!$P$27:$P$48)),IF(B93="高二",IF($E93="男",LOOKUP(J93,[1]对照表!$N$3:$N$24,[1]对照表!$P$3:$P$24),LOOKUP(J93,[1]对照表!$N$27:$N$48,[1]对照表!$P$27:$P$48)),IF(B93="高一",IF($E93="男",LOOKUP(J93,[1]对照表!$M$3:$M$24,[1]对照表!$P$3:$P$24),LOOKUP(J93,[1]对照表!$M$27:$M$48,[1]对照表!$P$27:$P$48)))))</f>
        <v>64</v>
      </c>
      <c r="L93" s="38">
        <v>46</v>
      </c>
      <c r="M93" s="32">
        <f>IF(B93="高三",IF($E93="男",LOOKUP(L93,[1]对照表!$S$3:$S$24,[1]对照表!$T$3:$T$24),LOOKUP(L93,[1]对照表!$S$27:$S$48,[1]对照表!$T$27:$T$48)),IF(B93="高二",IF($E93="男",LOOKUP(L93,[1]对照表!$R$3:$R$24,[1]对照表!$T$3:$T$24),LOOKUP(L93,[1]对照表!$R$27:$R$48,[1]对照表!$T$27:$T$48)),IF(B93="高一",IF($E93="男",LOOKUP(L93,[1]对照表!$Q$3:$Q$24,[1]对照表!$T$3:$T$24),LOOKUP(L93,[1]对照表!$Q$27:$Q$48,[1]对照表!$T$27:$T$48)))))</f>
        <v>80</v>
      </c>
      <c r="N93" s="33">
        <f>IF(B93="高三",MAX(IF(E93="男",L93-18,L93-55),0),IF(B93="高二",MAX(IF(E93="男",L93-17,L93-54),0),IF(B93="高一",MAX(IF(E93="男",L93-16,L93-53),0))))</f>
        <v>0</v>
      </c>
      <c r="O93" s="23">
        <f>IF(E93="男",LOOKUP($N93,[1]对照表!$Z$3:$Z$13,[1]对照表!$AA$3:$AA$13),LOOKUP($N93,[1]对照表!$Z$15:$Z$25,[1]对照表!$AA$15:$AA$25))</f>
        <v>0</v>
      </c>
      <c r="P93" s="25">
        <f>M93+O93</f>
        <v>80</v>
      </c>
      <c r="Q93" s="50">
        <v>4.0199999999999996</v>
      </c>
      <c r="R93" s="32">
        <f>IF(B93="高三",IF($E93="男",LOOKUP(Q93,[1]对照表!$W$3:$W$24,[1]对照表!$X$3:$X$24),LOOKUP(Q93,[1]对照表!$W$27:$W$48,[1]对照表!$X$27:$X$48)),IF(B93="高二",IF($E93="男",LOOKUP(Q93,[1]对照表!$V$3:$V$24,[1]对照表!$X$3:$X$24),LOOKUP(Q93,[1]对照表!$V$27:$V$48,[1]对照表!$X$27:$X$48)),IF(B93="高一",IF($E93="男",LOOKUP(Q93,[1]对照表!$U$3:$U$24,[1]对照表!$X$3:$X$24),LOOKUP(Q93,[1]对照表!$U$27:$U$48,[1]对照表!$X$27:$X$48)))))</f>
        <v>74</v>
      </c>
      <c r="S93" s="33">
        <f>ROUND(IF(IF($B93="高三",MIN(IF($E93="男",$Q93-3.2,$Q93-3.2),0),IF($B93="高二",MIN(IF($E93="男",$Q93-3.25,$Q93-3.22),0),IF($B93="高一",MIN(IF($E93="男",$Q93-3.3,$Q93-3.24),0))))&lt;-0.6,IF($B93="高三",MIN(IF($E93="男",$Q93-3.2,$Q93-3.2),0),IF($B93="高二",MIN(IF($E93="男",$Q93-3.25,$Q93-3.22),0),IF($B93="高一",MIN(IF($E93="男",$Q93-3.3,$Q93-3.24),0))))+0.4,IF($B93="高三",MIN(IF($E93="男",$Q93-3.2,$Q93-3.2),0),IF($B93="高二",MIN(IF($E93="男",$Q93-3.25,$Q93-3.22),0),IF($B93="高一",MIN(IF($E93="男",$Q93-3.3,$Q93-3.24),0))))),2)</f>
        <v>0</v>
      </c>
      <c r="T93" s="23">
        <f>IF(E93="男",LOOKUP($S93,[1]对照表!$AB$3:$AB$13,[1]对照表!$AC$3:$AC$13),LOOKUP($S93,[1]对照表!$AB$15:$AB$25,[1]对照表!$AC$15:$AC$25))</f>
        <v>0</v>
      </c>
      <c r="U93" s="26">
        <f>R93+T93</f>
        <v>74</v>
      </c>
      <c r="V93" s="26">
        <f>SUM(I93,K93,M93)/3*0.3+SUM(G93,R93)/2*0.4</f>
        <v>51.600000000000009</v>
      </c>
      <c r="W93" s="27">
        <f>O93+T93</f>
        <v>0</v>
      </c>
      <c r="X93" s="28">
        <f>V93/0.7+W93</f>
        <v>73.714285714285737</v>
      </c>
      <c r="Y93" s="28">
        <f>X93</f>
        <v>73.714285714285737</v>
      </c>
      <c r="Z93" s="38"/>
    </row>
    <row r="94" spans="1:26" ht="15.6" x14ac:dyDescent="0.25">
      <c r="A94" s="48">
        <v>2</v>
      </c>
      <c r="B94" s="17" t="s">
        <v>767</v>
      </c>
      <c r="C94" s="48">
        <v>202</v>
      </c>
      <c r="D94" s="49" t="s">
        <v>1199</v>
      </c>
      <c r="E94" s="48" t="s">
        <v>23</v>
      </c>
      <c r="F94" s="50">
        <v>8.1999999999999993</v>
      </c>
      <c r="G94" s="32">
        <f>IF(B94="高三",IF($E94="男",LOOKUP(F94,[1]对照表!$G$3:$G$24,[1]对照表!$H$3:$H$24),LOOKUP(F94,[1]对照表!$G$27:$G$48,[1]对照表!$H$27:$H$48)),IF(B94="高二",IF($E94="男",LOOKUP(F94,[1]对照表!$F$3:$F$24,[1]对照表!$H$3:$H$24),LOOKUP(F94,[1]对照表!$F$27:$F$48,[1]对照表!$H$27:$H$48)),IF(B94="高一",IF($E94="男",LOOKUP(F94,[1]对照表!$E$3:$E$24,[1]对照表!$H$3:$H$24),LOOKUP(F94,[1]对照表!$E$27:$E$48,[1]对照表!$H$27:$H$48)))))</f>
        <v>72</v>
      </c>
      <c r="H94" s="38">
        <v>19</v>
      </c>
      <c r="I94" s="32">
        <f>IF(B94="高三",IF($E94="男",LOOKUP(H94,[1]对照表!$K$3:$K$24,[1]对照表!$L$3:$L$24),LOOKUP(H94,[1]对照表!$K$27:$K$48,[1]对照表!$L$27:$L$48)),IF(B94="高二",IF($E94="男",LOOKUP(H94,[1]对照表!$J$3:$J$24,[1]对照表!$L$3:$L$24),LOOKUP(H94,[1]对照表!$J$27:$J$48,[1]对照表!$L$27:$L$48)),IF(B94="高一",IF($E94="男",LOOKUP(H94,[1]对照表!$I$3:$I$24,[1]对照表!$L$3:$L$24),LOOKUP(H94,[1]对照表!$I$27:$I$48,[1]对照表!$L$27:$L$48)))))</f>
        <v>85</v>
      </c>
      <c r="J94" s="38">
        <v>207</v>
      </c>
      <c r="K94" s="32">
        <f>IF(B94="高三",IF($E94="男",LOOKUP(J94,[1]对照表!$O$3:$O$24,[1]对照表!$P$3:$P$24),LOOKUP(J94,[1]对照表!$O$27:$O$48,[1]对照表!$P$27:$P$48)),IF(B94="高二",IF($E94="男",LOOKUP(J94,[1]对照表!$N$3:$N$24,[1]对照表!$P$3:$P$24),LOOKUP(J94,[1]对照表!$N$27:$N$48,[1]对照表!$P$27:$P$48)),IF(B94="高一",IF($E94="男",LOOKUP(J94,[1]对照表!$M$3:$M$24,[1]对照表!$P$3:$P$24),LOOKUP(J94,[1]对照表!$M$27:$M$48,[1]对照表!$P$27:$P$48)))))</f>
        <v>62</v>
      </c>
      <c r="L94" s="38">
        <v>20</v>
      </c>
      <c r="M94" s="32">
        <f>IF(B94="高三",IF($E94="男",LOOKUP(L94,[1]对照表!$S$3:$S$24,[1]对照表!$T$3:$T$24),LOOKUP(L94,[1]对照表!$S$27:$S$48,[1]对照表!$T$27:$T$48)),IF(B94="高二",IF($E94="男",LOOKUP(L94,[1]对照表!$R$3:$R$24,[1]对照表!$T$3:$T$24),LOOKUP(L94,[1]对照表!$R$27:$R$48,[1]对照表!$T$27:$T$48)),IF(B94="高一",IF($E94="男",LOOKUP(L94,[1]对照表!$Q$3:$Q$24,[1]对照表!$T$3:$T$24),LOOKUP(L94,[1]对照表!$Q$27:$Q$48,[1]对照表!$T$27:$T$48)))))</f>
        <v>100</v>
      </c>
      <c r="N94" s="33">
        <f>IF(B94="高三",MAX(IF(E94="男",L94-18,L94-55),0),IF(B94="高二",MAX(IF(E94="男",L94-17,L94-54),0),IF(B94="高一",MAX(IF(E94="男",L94-16,L94-53),0))))</f>
        <v>3</v>
      </c>
      <c r="O94" s="23">
        <f>IF(E94="男",LOOKUP($N94,[1]对照表!$Z$3:$Z$13,[1]对照表!$AA$3:$AA$13),LOOKUP($N94,[1]对照表!$Z$15:$Z$25,[1]对照表!$AA$15:$AA$25))</f>
        <v>3</v>
      </c>
      <c r="P94" s="25">
        <f>M94+O94</f>
        <v>103</v>
      </c>
      <c r="Q94" s="50">
        <v>3.53</v>
      </c>
      <c r="R94" s="32">
        <f>IF(B94="高三",IF($E94="男",LOOKUP(Q94,[1]对照表!$W$3:$W$24,[1]对照表!$X$3:$X$24),LOOKUP(Q94,[1]对照表!$W$27:$W$48,[1]对照表!$X$27:$X$48)),IF(B94="高二",IF($E94="男",LOOKUP(Q94,[1]对照表!$V$3:$V$24,[1]对照表!$X$3:$X$24),LOOKUP(Q94,[1]对照表!$V$27:$V$48,[1]对照表!$X$27:$X$48)),IF(B94="高一",IF($E94="男",LOOKUP(Q94,[1]对照表!$U$3:$U$24,[1]对照表!$X$3:$X$24),LOOKUP(Q94,[1]对照表!$U$27:$U$48,[1]对照表!$X$27:$X$48)))))</f>
        <v>78</v>
      </c>
      <c r="S94" s="33">
        <f>ROUND(IF(IF($B94="高三",MIN(IF($E94="男",$Q94-3.2,$Q94-3.2),0),IF($B94="高二",MIN(IF($E94="男",$Q94-3.25,$Q94-3.22),0),IF($B94="高一",MIN(IF($E94="男",$Q94-3.3,$Q94-3.24),0))))&lt;-0.6,IF($B94="高三",MIN(IF($E94="男",$Q94-3.2,$Q94-3.2),0),IF($B94="高二",MIN(IF($E94="男",$Q94-3.25,$Q94-3.22),0),IF($B94="高一",MIN(IF($E94="男",$Q94-3.3,$Q94-3.24),0))))+0.4,IF($B94="高三",MIN(IF($E94="男",$Q94-3.2,$Q94-3.2),0),IF($B94="高二",MIN(IF($E94="男",$Q94-3.25,$Q94-3.22),0),IF($B94="高一",MIN(IF($E94="男",$Q94-3.3,$Q94-3.24),0))))),2)</f>
        <v>0</v>
      </c>
      <c r="T94" s="23">
        <f>IF(E94="男",LOOKUP($S94,[1]对照表!$AB$3:$AB$13,[1]对照表!$AC$3:$AC$13),LOOKUP($S94,[1]对照表!$AB$15:$AB$25,[1]对照表!$AC$15:$AC$25))</f>
        <v>0</v>
      </c>
      <c r="U94" s="26">
        <f>R94+T94</f>
        <v>78</v>
      </c>
      <c r="V94" s="26">
        <f>SUM(I94,K94,M94)/3*0.3+SUM(G94,R94)/2*0.4</f>
        <v>54.7</v>
      </c>
      <c r="W94" s="27">
        <f>O94+T94</f>
        <v>3</v>
      </c>
      <c r="X94" s="28">
        <f>V94/0.7+W94</f>
        <v>81.142857142857153</v>
      </c>
      <c r="Y94" s="28">
        <f>X94</f>
        <v>81.142857142857153</v>
      </c>
      <c r="Z94" s="38"/>
    </row>
    <row r="95" spans="1:26" ht="15.6" x14ac:dyDescent="0.25">
      <c r="A95" s="48">
        <v>44</v>
      </c>
      <c r="B95" s="17" t="s">
        <v>767</v>
      </c>
      <c r="C95" s="48">
        <v>202</v>
      </c>
      <c r="D95" s="49" t="s">
        <v>1207</v>
      </c>
      <c r="E95" s="48" t="s">
        <v>65</v>
      </c>
      <c r="F95" s="50">
        <v>8.15</v>
      </c>
      <c r="G95" s="32">
        <f>IF(B95="高三",IF($E95="男",LOOKUP(F95,[1]对照表!$G$3:$G$24,[1]对照表!$H$3:$H$24),LOOKUP(F95,[1]对照表!$G$27:$G$48,[1]对照表!$H$27:$H$48)),IF(B95="高二",IF($E95="男",LOOKUP(F95,[1]对照表!$F$3:$F$24,[1]对照表!$H$3:$H$24),LOOKUP(F95,[1]对照表!$F$27:$F$48,[1]对照表!$H$27:$H$48)),IF(B95="高一",IF($E95="男",LOOKUP(F95,[1]对照表!$E$3:$E$24,[1]对照表!$H$3:$H$24),LOOKUP(F95,[1]对照表!$E$27:$E$48,[1]对照表!$H$27:$H$48)))))</f>
        <v>85</v>
      </c>
      <c r="H95" s="38">
        <v>19.8</v>
      </c>
      <c r="I95" s="32">
        <f>IF(B95="高三",IF($E95="男",LOOKUP(H95,[1]对照表!$K$3:$K$24,[1]对照表!$L$3:$L$24),LOOKUP(H95,[1]对照表!$K$27:$K$48,[1]对照表!$L$27:$L$48)),IF(B95="高二",IF($E95="男",LOOKUP(H95,[1]对照表!$J$3:$J$24,[1]对照表!$L$3:$L$24),LOOKUP(H95,[1]对照表!$J$27:$J$48,[1]对照表!$L$27:$L$48)),IF(B95="高一",IF($E95="男",LOOKUP(H95,[1]对照表!$I$3:$I$24,[1]对照表!$L$3:$L$24),LOOKUP(H95,[1]对照表!$I$27:$I$48,[1]对照表!$L$27:$L$48)))))</f>
        <v>85</v>
      </c>
      <c r="J95" s="38">
        <v>185</v>
      </c>
      <c r="K95" s="32">
        <f>IF(B95="高三",IF($E95="男",LOOKUP(J95,[1]对照表!$O$3:$O$24,[1]对照表!$P$3:$P$24),LOOKUP(J95,[1]对照表!$O$27:$O$48,[1]对照表!$P$27:$P$48)),IF(B95="高二",IF($E95="男",LOOKUP(J95,[1]对照表!$N$3:$N$24,[1]对照表!$P$3:$P$24),LOOKUP(J95,[1]对照表!$N$27:$N$48,[1]对照表!$P$27:$P$48)),IF(B95="高一",IF($E95="男",LOOKUP(J95,[1]对照表!$M$3:$M$24,[1]对照表!$P$3:$P$24),LOOKUP(J95,[1]对照表!$M$27:$M$48,[1]对照表!$P$27:$P$48)))))</f>
        <v>80</v>
      </c>
      <c r="L95" s="38">
        <v>54</v>
      </c>
      <c r="M95" s="32">
        <f>IF(B95="高三",IF($E95="男",LOOKUP(L95,[1]对照表!$S$3:$S$24,[1]对照表!$T$3:$T$24),LOOKUP(L95,[1]对照表!$S$27:$S$48,[1]对照表!$T$27:$T$48)),IF(B95="高二",IF($E95="男",LOOKUP(L95,[1]对照表!$R$3:$R$24,[1]对照表!$T$3:$T$24),LOOKUP(L95,[1]对照表!$R$27:$R$48,[1]对照表!$T$27:$T$48)),IF(B95="高一",IF($E95="男",LOOKUP(L95,[1]对照表!$Q$3:$Q$24,[1]对照表!$T$3:$T$24),LOOKUP(L95,[1]对照表!$Q$27:$Q$48,[1]对照表!$T$27:$T$48)))))</f>
        <v>100</v>
      </c>
      <c r="N95" s="33">
        <f>IF(B95="高三",MAX(IF(E95="男",L95-18,L95-55),0),IF(B95="高二",MAX(IF(E95="男",L95-17,L95-54),0),IF(B95="高一",MAX(IF(E95="男",L95-16,L95-53),0))))</f>
        <v>0</v>
      </c>
      <c r="O95" s="23">
        <f>IF(E95="男",LOOKUP($N95,[1]对照表!$Z$3:$Z$13,[1]对照表!$AA$3:$AA$13),LOOKUP($N95,[1]对照表!$Z$15:$Z$25,[1]对照表!$AA$15:$AA$25))</f>
        <v>0</v>
      </c>
      <c r="P95" s="25">
        <f>M95+O95</f>
        <v>100</v>
      </c>
      <c r="Q95" s="50">
        <v>4.51</v>
      </c>
      <c r="R95" s="32">
        <f>IF(B95="高三",IF($E95="男",LOOKUP(Q95,[1]对照表!$W$3:$W$24,[1]对照表!$X$3:$X$24),LOOKUP(Q95,[1]对照表!$W$27:$W$48,[1]对照表!$X$27:$X$48)),IF(B95="高二",IF($E95="男",LOOKUP(Q95,[1]对照表!$V$3:$V$24,[1]对照表!$X$3:$X$24),LOOKUP(Q95,[1]对照表!$V$27:$V$48,[1]对照表!$X$27:$X$48)),IF(B95="高一",IF($E95="男",LOOKUP(Q95,[1]对照表!$U$3:$U$24,[1]对照表!$X$3:$X$24),LOOKUP(Q95,[1]对照表!$U$27:$U$48,[1]对照表!$X$27:$X$48)))))</f>
        <v>40</v>
      </c>
      <c r="S95" s="33">
        <f>ROUND(IF(IF($B95="高三",MIN(IF($E95="男",$Q95-3.2,$Q95-3.2),0),IF($B95="高二",MIN(IF($E95="男",$Q95-3.25,$Q95-3.22),0),IF($B95="高一",MIN(IF($E95="男",$Q95-3.3,$Q95-3.24),0))))&lt;-0.6,IF($B95="高三",MIN(IF($E95="男",$Q95-3.2,$Q95-3.2),0),IF($B95="高二",MIN(IF($E95="男",$Q95-3.25,$Q95-3.22),0),IF($B95="高一",MIN(IF($E95="男",$Q95-3.3,$Q95-3.24),0))))+0.4,IF($B95="高三",MIN(IF($E95="男",$Q95-3.2,$Q95-3.2),0),IF($B95="高二",MIN(IF($E95="男",$Q95-3.25,$Q95-3.22),0),IF($B95="高一",MIN(IF($E95="男",$Q95-3.3,$Q95-3.24),0))))),2)</f>
        <v>0</v>
      </c>
      <c r="T95" s="23">
        <f>IF(E95="男",LOOKUP($S95,[1]对照表!$AB$3:$AB$13,[1]对照表!$AC$3:$AC$13),LOOKUP($S95,[1]对照表!$AB$15:$AB$25,[1]对照表!$AC$15:$AC$25))</f>
        <v>0</v>
      </c>
      <c r="U95" s="26">
        <f>R95+T95</f>
        <v>40</v>
      </c>
      <c r="V95" s="26">
        <f>SUM(I95,K95,M95)/3*0.3+SUM(G95,R95)/2*0.4</f>
        <v>51.5</v>
      </c>
      <c r="W95" s="27">
        <f>O95+T95</f>
        <v>0</v>
      </c>
      <c r="X95" s="28">
        <f>V95/0.7+W95</f>
        <v>73.571428571428569</v>
      </c>
      <c r="Y95" s="28">
        <f>X95</f>
        <v>73.571428571428569</v>
      </c>
      <c r="Z95" s="38"/>
    </row>
    <row r="96" spans="1:26" ht="15.6" x14ac:dyDescent="0.25">
      <c r="A96" s="48">
        <v>26</v>
      </c>
      <c r="B96" s="17" t="s">
        <v>767</v>
      </c>
      <c r="C96" s="48">
        <v>202</v>
      </c>
      <c r="D96" s="49" t="s">
        <v>1217</v>
      </c>
      <c r="E96" s="48" t="s">
        <v>65</v>
      </c>
      <c r="F96" s="50">
        <v>9.73</v>
      </c>
      <c r="G96" s="32">
        <f>IF(B96="高三",IF($E96="男",LOOKUP(F96,[1]对照表!$G$3:$G$24,[1]对照表!$H$3:$H$24),LOOKUP(F96,[1]对照表!$G$27:$G$48,[1]对照表!$H$27:$H$48)),IF(B96="高二",IF($E96="男",LOOKUP(F96,[1]对照表!$F$3:$F$24,[1]对照表!$H$3:$H$24),LOOKUP(F96,[1]对照表!$F$27:$F$48,[1]对照表!$H$27:$H$48)),IF(B96="高一",IF($E96="男",LOOKUP(F96,[1]对照表!$E$3:$E$24,[1]对照表!$H$3:$H$24),LOOKUP(F96,[1]对照表!$E$27:$E$48,[1]对照表!$H$27:$H$48)))))</f>
        <v>66</v>
      </c>
      <c r="H96" s="38">
        <v>16.399999999999999</v>
      </c>
      <c r="I96" s="32">
        <f>IF(B96="高三",IF($E96="男",LOOKUP(H96,[1]对照表!$K$3:$K$24,[1]对照表!$L$3:$L$24),LOOKUP(H96,[1]对照表!$K$27:$K$48,[1]对照表!$L$27:$L$48)),IF(B96="高二",IF($E96="男",LOOKUP(H96,[1]对照表!$J$3:$J$24,[1]对照表!$L$3:$L$24),LOOKUP(H96,[1]对照表!$J$27:$J$48,[1]对照表!$L$27:$L$48)),IF(B96="高一",IF($E96="男",LOOKUP(H96,[1]对照表!$I$3:$I$24,[1]对照表!$L$3:$L$24),LOOKUP(H96,[1]对照表!$I$27:$I$48,[1]对照表!$L$27:$L$48)))))</f>
        <v>76</v>
      </c>
      <c r="J96" s="38">
        <v>185</v>
      </c>
      <c r="K96" s="32">
        <f>IF(B96="高三",IF($E96="男",LOOKUP(J96,[1]对照表!$O$3:$O$24,[1]对照表!$P$3:$P$24),LOOKUP(J96,[1]对照表!$O$27:$O$48,[1]对照表!$P$27:$P$48)),IF(B96="高二",IF($E96="男",LOOKUP(J96,[1]对照表!$N$3:$N$24,[1]对照表!$P$3:$P$24),LOOKUP(J96,[1]对照表!$N$27:$N$48,[1]对照表!$P$27:$P$48)),IF(B96="高一",IF($E96="男",LOOKUP(J96,[1]对照表!$M$3:$M$24,[1]对照表!$P$3:$P$24),LOOKUP(J96,[1]对照表!$M$27:$M$48,[1]对照表!$P$27:$P$48)))))</f>
        <v>80</v>
      </c>
      <c r="L96" s="38">
        <v>42</v>
      </c>
      <c r="M96" s="32">
        <f>IF(B96="高三",IF($E96="男",LOOKUP(L96,[1]对照表!$S$3:$S$24,[1]对照表!$T$3:$T$24),LOOKUP(L96,[1]对照表!$S$27:$S$48,[1]对照表!$T$27:$T$48)),IF(B96="高二",IF($E96="男",LOOKUP(L96,[1]对照表!$R$3:$R$24,[1]对照表!$T$3:$T$24),LOOKUP(L96,[1]对照表!$R$27:$R$48,[1]对照表!$T$27:$T$48)),IF(B96="高一",IF($E96="男",LOOKUP(L96,[1]对照表!$Q$3:$Q$24,[1]对照表!$T$3:$T$24),LOOKUP(L96,[1]对照表!$Q$27:$Q$48,[1]对照表!$T$27:$T$48)))))</f>
        <v>78</v>
      </c>
      <c r="N96" s="33">
        <f>IF(B96="高三",MAX(IF(E96="男",L96-18,L96-55),0),IF(B96="高二",MAX(IF(E96="男",L96-17,L96-54),0),IF(B96="高一",MAX(IF(E96="男",L96-16,L96-53),0))))</f>
        <v>0</v>
      </c>
      <c r="O96" s="23">
        <f>IF(E96="男",LOOKUP($N96,[1]对照表!$Z$3:$Z$13,[1]对照表!$AA$3:$AA$13),LOOKUP($N96,[1]对照表!$Z$15:$Z$25,[1]对照表!$AA$15:$AA$25))</f>
        <v>0</v>
      </c>
      <c r="P96" s="25">
        <f>M96+O96</f>
        <v>78</v>
      </c>
      <c r="Q96" s="50">
        <v>4.01</v>
      </c>
      <c r="R96" s="32">
        <f>IF(B96="高三",IF($E96="男",LOOKUP(Q96,[1]对照表!$W$3:$W$24,[1]对照表!$X$3:$X$24),LOOKUP(Q96,[1]对照表!$W$27:$W$48,[1]对照表!$X$27:$X$48)),IF(B96="高二",IF($E96="男",LOOKUP(Q96,[1]对照表!$V$3:$V$24,[1]对照表!$X$3:$X$24),LOOKUP(Q96,[1]对照表!$V$27:$V$48,[1]对照表!$X$27:$X$48)),IF(B96="高一",IF($E96="男",LOOKUP(Q96,[1]对照表!$U$3:$U$24,[1]对照表!$X$3:$X$24),LOOKUP(Q96,[1]对照表!$U$27:$U$48,[1]对照表!$X$27:$X$48)))))</f>
        <v>74</v>
      </c>
      <c r="S96" s="33">
        <f>ROUND(IF(IF($B96="高三",MIN(IF($E96="男",$Q96-3.2,$Q96-3.2),0),IF($B96="高二",MIN(IF($E96="男",$Q96-3.25,$Q96-3.22),0),IF($B96="高一",MIN(IF($E96="男",$Q96-3.3,$Q96-3.24),0))))&lt;-0.6,IF($B96="高三",MIN(IF($E96="男",$Q96-3.2,$Q96-3.2),0),IF($B96="高二",MIN(IF($E96="男",$Q96-3.25,$Q96-3.22),0),IF($B96="高一",MIN(IF($E96="男",$Q96-3.3,$Q96-3.24),0))))+0.4,IF($B96="高三",MIN(IF($E96="男",$Q96-3.2,$Q96-3.2),0),IF($B96="高二",MIN(IF($E96="男",$Q96-3.25,$Q96-3.22),0),IF($B96="高一",MIN(IF($E96="男",$Q96-3.3,$Q96-3.24),0))))),2)</f>
        <v>0</v>
      </c>
      <c r="T96" s="23">
        <f>IF(E96="男",LOOKUP($S96,[1]对照表!$AB$3:$AB$13,[1]对照表!$AC$3:$AC$13),LOOKUP($S96,[1]对照表!$AB$15:$AB$25,[1]对照表!$AC$15:$AC$25))</f>
        <v>0</v>
      </c>
      <c r="U96" s="26">
        <f>R96+T96</f>
        <v>74</v>
      </c>
      <c r="V96" s="26">
        <f>SUM(I96,K96,M96)/3*0.3+SUM(G96,R96)/2*0.4</f>
        <v>51.4</v>
      </c>
      <c r="W96" s="27">
        <f>O96+T96</f>
        <v>0</v>
      </c>
      <c r="X96" s="28">
        <f>V96/0.7+W96</f>
        <v>73.428571428571431</v>
      </c>
      <c r="Y96" s="28">
        <f>X96</f>
        <v>73.428571428571431</v>
      </c>
      <c r="Z96" s="38"/>
    </row>
    <row r="97" spans="1:26" ht="15.6" x14ac:dyDescent="0.25">
      <c r="A97" s="48">
        <v>39</v>
      </c>
      <c r="B97" s="17" t="s">
        <v>767</v>
      </c>
      <c r="C97" s="48">
        <v>202</v>
      </c>
      <c r="D97" s="49" t="s">
        <v>1223</v>
      </c>
      <c r="E97" s="48" t="s">
        <v>65</v>
      </c>
      <c r="F97" s="50">
        <v>8.8800000000000008</v>
      </c>
      <c r="G97" s="32">
        <f>IF(B97="高三",IF($E97="男",LOOKUP(F97,[1]对照表!$G$3:$G$24,[1]对照表!$H$3:$H$24),LOOKUP(F97,[1]对照表!$G$27:$G$48,[1]对照表!$H$27:$H$48)),IF(B97="高二",IF($E97="男",LOOKUP(F97,[1]对照表!$F$3:$F$24,[1]对照表!$H$3:$H$24),LOOKUP(F97,[1]对照表!$F$27:$F$48,[1]对照表!$H$27:$H$48)),IF(B97="高一",IF($E97="男",LOOKUP(F97,[1]对照表!$E$3:$E$24,[1]对照表!$H$3:$H$24),LOOKUP(F97,[1]对照表!$E$27:$E$48,[1]对照表!$H$27:$H$48)))))</f>
        <v>76</v>
      </c>
      <c r="H97" s="38">
        <v>16.5</v>
      </c>
      <c r="I97" s="32">
        <f>IF(B97="高三",IF($E97="男",LOOKUP(H97,[1]对照表!$K$3:$K$24,[1]对照表!$L$3:$L$24),LOOKUP(H97,[1]对照表!$K$27:$K$48,[1]对照表!$L$27:$L$48)),IF(B97="高二",IF($E97="男",LOOKUP(H97,[1]对照表!$J$3:$J$24,[1]对照表!$L$3:$L$24),LOOKUP(H97,[1]对照表!$J$27:$J$48,[1]对照表!$L$27:$L$48)),IF(B97="高一",IF($E97="男",LOOKUP(H97,[1]对照表!$I$3:$I$24,[1]对照表!$L$3:$L$24),LOOKUP(H97,[1]对照表!$I$27:$I$48,[1]对照表!$L$27:$L$48)))))</f>
        <v>76</v>
      </c>
      <c r="J97" s="38">
        <v>165</v>
      </c>
      <c r="K97" s="32">
        <f>IF(B97="高三",IF($E97="男",LOOKUP(J97,[1]对照表!$O$3:$O$24,[1]对照表!$P$3:$P$24),LOOKUP(J97,[1]对照表!$O$27:$O$48,[1]对照表!$P$27:$P$48)),IF(B97="高二",IF($E97="男",LOOKUP(J97,[1]对照表!$N$3:$N$24,[1]对照表!$P$3:$P$24),LOOKUP(J97,[1]对照表!$N$27:$N$48,[1]对照表!$P$27:$P$48)),IF(B97="高一",IF($E97="男",LOOKUP(J97,[1]对照表!$M$3:$M$24,[1]对照表!$P$3:$P$24),LOOKUP(J97,[1]对照表!$M$27:$M$48,[1]对照表!$P$27:$P$48)))))</f>
        <v>70</v>
      </c>
      <c r="L97" s="38">
        <v>46</v>
      </c>
      <c r="M97" s="32">
        <f>IF(B97="高三",IF($E97="男",LOOKUP(L97,[1]对照表!$S$3:$S$24,[1]对照表!$T$3:$T$24),LOOKUP(L97,[1]对照表!$S$27:$S$48,[1]对照表!$T$27:$T$48)),IF(B97="高二",IF($E97="男",LOOKUP(L97,[1]对照表!$R$3:$R$24,[1]对照表!$T$3:$T$24),LOOKUP(L97,[1]对照表!$R$27:$R$48,[1]对照表!$T$27:$T$48)),IF(B97="高一",IF($E97="男",LOOKUP(L97,[1]对照表!$Q$3:$Q$24,[1]对照表!$T$3:$T$24),LOOKUP(L97,[1]对照表!$Q$27:$Q$48,[1]对照表!$T$27:$T$48)))))</f>
        <v>80</v>
      </c>
      <c r="N97" s="33">
        <f>IF(B97="高三",MAX(IF(E97="男",L97-18,L97-55),0),IF(B97="高二",MAX(IF(E97="男",L97-17,L97-54),0),IF(B97="高一",MAX(IF(E97="男",L97-16,L97-53),0))))</f>
        <v>0</v>
      </c>
      <c r="O97" s="23">
        <f>IF(E97="男",LOOKUP($N97,[1]对照表!$Z$3:$Z$13,[1]对照表!$AA$3:$AA$13),LOOKUP($N97,[1]对照表!$Z$15:$Z$25,[1]对照表!$AA$15:$AA$25))</f>
        <v>0</v>
      </c>
      <c r="P97" s="25">
        <f>M97+O97</f>
        <v>80</v>
      </c>
      <c r="Q97" s="50">
        <v>4.21</v>
      </c>
      <c r="R97" s="32">
        <f>IF(B97="高三",IF($E97="男",LOOKUP(Q97,[1]对照表!$W$3:$W$24,[1]对照表!$X$3:$X$24),LOOKUP(Q97,[1]对照表!$W$27:$W$48,[1]对照表!$X$27:$X$48)),IF(B97="高二",IF($E97="男",LOOKUP(Q97,[1]对照表!$V$3:$V$24,[1]对照表!$X$3:$X$24),LOOKUP(Q97,[1]对照表!$V$27:$V$48,[1]对照表!$X$27:$X$48)),IF(B97="高一",IF($E97="男",LOOKUP(Q97,[1]对照表!$U$3:$U$24,[1]对照表!$X$3:$X$24),LOOKUP(Q97,[1]对照表!$U$27:$U$48,[1]对照表!$X$27:$X$48)))))</f>
        <v>66</v>
      </c>
      <c r="S97" s="33">
        <f>ROUND(IF(IF($B97="高三",MIN(IF($E97="男",$Q97-3.2,$Q97-3.2),0),IF($B97="高二",MIN(IF($E97="男",$Q97-3.25,$Q97-3.22),0),IF($B97="高一",MIN(IF($E97="男",$Q97-3.3,$Q97-3.24),0))))&lt;-0.6,IF($B97="高三",MIN(IF($E97="男",$Q97-3.2,$Q97-3.2),0),IF($B97="高二",MIN(IF($E97="男",$Q97-3.25,$Q97-3.22),0),IF($B97="高一",MIN(IF($E97="男",$Q97-3.3,$Q97-3.24),0))))+0.4,IF($B97="高三",MIN(IF($E97="男",$Q97-3.2,$Q97-3.2),0),IF($B97="高二",MIN(IF($E97="男",$Q97-3.25,$Q97-3.22),0),IF($B97="高一",MIN(IF($E97="男",$Q97-3.3,$Q97-3.24),0))))),2)</f>
        <v>0</v>
      </c>
      <c r="T97" s="23">
        <f>IF(E97="男",LOOKUP($S97,[1]对照表!$AB$3:$AB$13,[1]对照表!$AC$3:$AC$13),LOOKUP($S97,[1]对照表!$AB$15:$AB$25,[1]对照表!$AC$15:$AC$25))</f>
        <v>0</v>
      </c>
      <c r="U97" s="26">
        <f>R97+T97</f>
        <v>66</v>
      </c>
      <c r="V97" s="26">
        <f>SUM(I97,K97,M97)/3*0.3+SUM(G97,R97)/2*0.4</f>
        <v>51</v>
      </c>
      <c r="W97" s="27">
        <f>O97+T97</f>
        <v>0</v>
      </c>
      <c r="X97" s="28">
        <f>V97/0.7+W97</f>
        <v>72.857142857142861</v>
      </c>
      <c r="Y97" s="28">
        <f>X97</f>
        <v>72.857142857142861</v>
      </c>
      <c r="Z97" s="38"/>
    </row>
    <row r="98" spans="1:26" ht="15.6" customHeight="1" x14ac:dyDescent="0.25">
      <c r="A98" s="48">
        <v>4</v>
      </c>
      <c r="B98" s="17" t="s">
        <v>767</v>
      </c>
      <c r="C98" s="48">
        <v>202</v>
      </c>
      <c r="D98" s="49" t="s">
        <v>1268</v>
      </c>
      <c r="E98" s="48" t="s">
        <v>23</v>
      </c>
      <c r="F98" s="50">
        <v>7.6</v>
      </c>
      <c r="G98" s="32">
        <f>IF(B98="高三",IF($E98="男",LOOKUP(F98,[1]对照表!$G$3:$G$24,[1]对照表!$H$3:$H$24),LOOKUP(F98,[1]对照表!$G$27:$G$48,[1]对照表!$H$27:$H$48)),IF(B98="高二",IF($E98="男",LOOKUP(F98,[1]对照表!$F$3:$F$24,[1]对照表!$H$3:$H$24),LOOKUP(F98,[1]对照表!$F$27:$F$48,[1]对照表!$H$27:$H$48)),IF(B98="高一",IF($E98="男",LOOKUP(F98,[1]对照表!$E$3:$E$24,[1]对照表!$H$3:$H$24),LOOKUP(F98,[1]对照表!$E$27:$E$48,[1]对照表!$H$27:$H$48)))))</f>
        <v>78</v>
      </c>
      <c r="H98" s="38">
        <v>19</v>
      </c>
      <c r="I98" s="32">
        <f>IF(B98="高三",IF($E98="男",LOOKUP(H98,[1]对照表!$K$3:$K$24,[1]对照表!$L$3:$L$24),LOOKUP(H98,[1]对照表!$K$27:$K$48,[1]对照表!$L$27:$L$48)),IF(B98="高二",IF($E98="男",LOOKUP(H98,[1]对照表!$J$3:$J$24,[1]对照表!$L$3:$L$24),LOOKUP(H98,[1]对照表!$J$27:$J$48,[1]对照表!$L$27:$L$48)),IF(B98="高一",IF($E98="男",LOOKUP(H98,[1]对照表!$I$3:$I$24,[1]对照表!$L$3:$L$24),LOOKUP(H98,[1]对照表!$I$27:$I$48,[1]对照表!$L$27:$L$48)))))</f>
        <v>85</v>
      </c>
      <c r="J98" s="38">
        <v>240</v>
      </c>
      <c r="K98" s="32">
        <f>IF(B98="高三",IF($E98="男",LOOKUP(J98,[1]对照表!$O$3:$O$24,[1]对照表!$P$3:$P$24),LOOKUP(J98,[1]对照表!$O$27:$O$48,[1]对照表!$P$27:$P$48)),IF(B98="高二",IF($E98="男",LOOKUP(J98,[1]对照表!$N$3:$N$24,[1]对照表!$P$3:$P$24),LOOKUP(J98,[1]对照表!$N$27:$N$48,[1]对照表!$P$27:$P$48)),IF(B98="高一",IF($E98="男",LOOKUP(J98,[1]对照表!$M$3:$M$24,[1]对照表!$P$3:$P$24),LOOKUP(J98,[1]对照表!$M$27:$M$48,[1]对照表!$P$27:$P$48)))))</f>
        <v>80</v>
      </c>
      <c r="L98" s="38">
        <v>8</v>
      </c>
      <c r="M98" s="32">
        <f>IF(B98="高三",IF($E98="男",LOOKUP(L98,[1]对照表!$S$3:$S$24,[1]对照表!$T$3:$T$24),LOOKUP(L98,[1]对照表!$S$27:$S$48,[1]对照表!$T$27:$T$48)),IF(B98="高二",IF($E98="男",LOOKUP(L98,[1]对照表!$R$3:$R$24,[1]对照表!$T$3:$T$24),LOOKUP(L98,[1]对照表!$R$27:$R$48,[1]对照表!$T$27:$T$48)),IF(B98="高一",IF($E98="男",LOOKUP(L98,[1]对照表!$Q$3:$Q$24,[1]对照表!$T$3:$T$24),LOOKUP(L98,[1]对照表!$Q$27:$Q$48,[1]对照表!$T$27:$T$48)))))</f>
        <v>60</v>
      </c>
      <c r="N98" s="33">
        <f>IF(B98="高三",MAX(IF(E98="男",L98-18,L98-55),0),IF(B98="高二",MAX(IF(E98="男",L98-17,L98-54),0),IF(B98="高一",MAX(IF(E98="男",L98-16,L98-53),0))))</f>
        <v>0</v>
      </c>
      <c r="O98" s="23">
        <f>IF(E98="男",LOOKUP($N98,[1]对照表!$Z$3:$Z$13,[1]对照表!$AA$3:$AA$13),LOOKUP($N98,[1]对照表!$Z$15:$Z$25,[1]对照表!$AA$15:$AA$25))</f>
        <v>0</v>
      </c>
      <c r="P98" s="25">
        <f>M98+O98</f>
        <v>60</v>
      </c>
      <c r="Q98" s="50">
        <v>3.43</v>
      </c>
      <c r="R98" s="32">
        <f>IF(B98="高三",IF($E98="男",LOOKUP(Q98,[1]对照表!$W$3:$W$24,[1]对照表!$X$3:$X$24),LOOKUP(Q98,[1]对照表!$W$27:$W$48,[1]对照表!$X$27:$X$48)),IF(B98="高二",IF($E98="男",LOOKUP(Q98,[1]对照表!$V$3:$V$24,[1]对照表!$X$3:$X$24),LOOKUP(Q98,[1]对照表!$V$27:$V$48,[1]对照表!$X$27:$X$48)),IF(B98="高一",IF($E98="男",LOOKUP(Q98,[1]对照表!$U$3:$U$24,[1]对照表!$X$3:$X$24),LOOKUP(Q98,[1]对照表!$U$27:$U$48,[1]对照表!$X$27:$X$48)))))</f>
        <v>80</v>
      </c>
      <c r="S98" s="33">
        <f>ROUND(IF(IF($B98="高三",MIN(IF($E98="男",$Q98-3.2,$Q98-3.2),0),IF($B98="高二",MIN(IF($E98="男",$Q98-3.25,$Q98-3.22),0),IF($B98="高一",MIN(IF($E98="男",$Q98-3.3,$Q98-3.24),0))))&lt;-0.6,IF($B98="高三",MIN(IF($E98="男",$Q98-3.2,$Q98-3.2),0),IF($B98="高二",MIN(IF($E98="男",$Q98-3.25,$Q98-3.22),0),IF($B98="高一",MIN(IF($E98="男",$Q98-3.3,$Q98-3.24),0))))+0.4,IF($B98="高三",MIN(IF($E98="男",$Q98-3.2,$Q98-3.2),0),IF($B98="高二",MIN(IF($E98="男",$Q98-3.25,$Q98-3.22),0),IF($B98="高一",MIN(IF($E98="男",$Q98-3.3,$Q98-3.24),0))))),2)</f>
        <v>0</v>
      </c>
      <c r="T98" s="23">
        <f>IF(E98="男",LOOKUP($S98,[1]对照表!$AB$3:$AB$13,[1]对照表!$AC$3:$AC$13),LOOKUP($S98,[1]对照表!$AB$15:$AB$25,[1]对照表!$AC$15:$AC$25))</f>
        <v>0</v>
      </c>
      <c r="U98" s="26">
        <f>R98+T98</f>
        <v>80</v>
      </c>
      <c r="V98" s="26">
        <f>SUM(I98,K98,M98)/3*0.3+SUM(G98,R98)/2*0.4</f>
        <v>54.1</v>
      </c>
      <c r="W98" s="27">
        <f>O98+T98</f>
        <v>0</v>
      </c>
      <c r="X98" s="28">
        <f>V98/0.7+W98</f>
        <v>77.285714285714292</v>
      </c>
      <c r="Y98" s="28">
        <f>X98</f>
        <v>77.285714285714292</v>
      </c>
      <c r="Z98" s="38"/>
    </row>
    <row r="99" spans="1:26" ht="15.6" customHeight="1" x14ac:dyDescent="0.25">
      <c r="A99" s="48">
        <v>50</v>
      </c>
      <c r="B99" s="17" t="s">
        <v>767</v>
      </c>
      <c r="C99" s="48">
        <v>202</v>
      </c>
      <c r="D99" s="49" t="s">
        <v>1280</v>
      </c>
      <c r="E99" s="48" t="s">
        <v>65</v>
      </c>
      <c r="F99" s="50">
        <v>10.71</v>
      </c>
      <c r="G99" s="32">
        <f>IF(B99="高三",IF($E99="男",LOOKUP(F99,[1]对照表!$G$3:$G$24,[1]对照表!$H$3:$H$24),LOOKUP(F99,[1]对照表!$G$27:$G$48,[1]对照表!$H$27:$H$48)),IF(B99="高二",IF($E99="男",LOOKUP(F99,[1]对照表!$F$3:$F$24,[1]对照表!$H$3:$H$24),LOOKUP(F99,[1]对照表!$F$27:$F$48,[1]对照表!$H$27:$H$48)),IF(B99="高一",IF($E99="男",LOOKUP(F99,[1]对照表!$E$3:$E$24,[1]对照表!$H$3:$H$24),LOOKUP(F99,[1]对照表!$E$27:$E$48,[1]对照表!$H$27:$H$48)))))</f>
        <v>40</v>
      </c>
      <c r="H99" s="38">
        <v>24.6</v>
      </c>
      <c r="I99" s="32">
        <f>IF(B99="高三",IF($E99="男",LOOKUP(H99,[1]对照表!$K$3:$K$24,[1]对照表!$L$3:$L$24),LOOKUP(H99,[1]对照表!$K$27:$K$48,[1]对照表!$L$27:$L$48)),IF(B99="高二",IF($E99="男",LOOKUP(H99,[1]对照表!$J$3:$J$24,[1]对照表!$L$3:$L$24),LOOKUP(H99,[1]对照表!$J$27:$J$48,[1]对照表!$L$27:$L$48)),IF(B99="高一",IF($E99="男",LOOKUP(H99,[1]对照表!$I$3:$I$24,[1]对照表!$L$3:$L$24),LOOKUP(H99,[1]对照表!$I$27:$I$48,[1]对照表!$L$27:$L$48)))))</f>
        <v>95</v>
      </c>
      <c r="J99" s="38">
        <v>162</v>
      </c>
      <c r="K99" s="32">
        <f>IF(B99="高三",IF($E99="男",LOOKUP(J99,[1]对照表!$O$3:$O$24,[1]对照表!$P$3:$P$24),LOOKUP(J99,[1]对照表!$O$27:$O$48,[1]对照表!$P$27:$P$48)),IF(B99="高二",IF($E99="男",LOOKUP(J99,[1]对照表!$N$3:$N$24,[1]对照表!$P$3:$P$24),LOOKUP(J99,[1]对照表!$N$27:$N$48,[1]对照表!$P$27:$P$48)),IF(B99="高一",IF($E99="男",LOOKUP(J99,[1]对照表!$M$3:$M$24,[1]对照表!$P$3:$P$24),LOOKUP(J99,[1]对照表!$M$27:$M$48,[1]对照表!$P$27:$P$48)))))</f>
        <v>68</v>
      </c>
      <c r="L99" s="38">
        <v>40</v>
      </c>
      <c r="M99" s="32">
        <f>IF(B99="高三",IF($E99="男",LOOKUP(L99,[1]对照表!$S$3:$S$24,[1]对照表!$T$3:$T$24),LOOKUP(L99,[1]对照表!$S$27:$S$48,[1]对照表!$T$27:$T$48)),IF(B99="高二",IF($E99="男",LOOKUP(L99,[1]对照表!$R$3:$R$24,[1]对照表!$T$3:$T$24),LOOKUP(L99,[1]对照表!$R$27:$R$48,[1]对照表!$T$27:$T$48)),IF(B99="高一",IF($E99="男",LOOKUP(L99,[1]对照表!$Q$3:$Q$24,[1]对照表!$T$3:$T$24),LOOKUP(L99,[1]对照表!$Q$27:$Q$48,[1]对照表!$T$27:$T$48)))))</f>
        <v>76</v>
      </c>
      <c r="N99" s="33">
        <f>IF(B99="高三",MAX(IF(E99="男",L99-18,L99-55),0),IF(B99="高二",MAX(IF(E99="男",L99-17,L99-54),0),IF(B99="高一",MAX(IF(E99="男",L99-16,L99-53),0))))</f>
        <v>0</v>
      </c>
      <c r="O99" s="23">
        <f>IF(E99="男",LOOKUP($N99,[1]对照表!$Z$3:$Z$13,[1]对照表!$AA$3:$AA$13),LOOKUP($N99,[1]对照表!$Z$15:$Z$25,[1]对照表!$AA$15:$AA$25))</f>
        <v>0</v>
      </c>
      <c r="P99" s="25">
        <f>M99+O99</f>
        <v>76</v>
      </c>
      <c r="Q99" s="50">
        <v>4.26</v>
      </c>
      <c r="R99" s="32">
        <f>IF(B99="高三",IF($E99="男",LOOKUP(Q99,[1]对照表!$W$3:$W$24,[1]对照表!$X$3:$X$24),LOOKUP(Q99,[1]对照表!$W$27:$W$48,[1]对照表!$X$27:$X$48)),IF(B99="高二",IF($E99="男",LOOKUP(Q99,[1]对照表!$V$3:$V$24,[1]对照表!$X$3:$X$24),LOOKUP(Q99,[1]对照表!$V$27:$V$48,[1]对照表!$X$27:$X$48)),IF(B99="高一",IF($E99="男",LOOKUP(Q99,[1]对照表!$U$3:$U$24,[1]对照表!$X$3:$X$24),LOOKUP(Q99,[1]对照表!$U$27:$U$48,[1]对照表!$X$27:$X$48)))))</f>
        <v>64</v>
      </c>
      <c r="S99" s="33">
        <f>ROUND(IF(IF($B99="高三",MIN(IF($E99="男",$Q99-3.2,$Q99-3.2),0),IF($B99="高二",MIN(IF($E99="男",$Q99-3.25,$Q99-3.22),0),IF($B99="高一",MIN(IF($E99="男",$Q99-3.3,$Q99-3.24),0))))&lt;-0.6,IF($B99="高三",MIN(IF($E99="男",$Q99-3.2,$Q99-3.2),0),IF($B99="高二",MIN(IF($E99="男",$Q99-3.25,$Q99-3.22),0),IF($B99="高一",MIN(IF($E99="男",$Q99-3.3,$Q99-3.24),0))))+0.4,IF($B99="高三",MIN(IF($E99="男",$Q99-3.2,$Q99-3.2),0),IF($B99="高二",MIN(IF($E99="男",$Q99-3.25,$Q99-3.22),0),IF($B99="高一",MIN(IF($E99="男",$Q99-3.3,$Q99-3.24),0))))),2)</f>
        <v>0</v>
      </c>
      <c r="T99" s="23">
        <f>IF(E99="男",LOOKUP($S99,[1]对照表!$AB$3:$AB$13,[1]对照表!$AC$3:$AC$13),LOOKUP($S99,[1]对照表!$AB$15:$AB$25,[1]对照表!$AC$15:$AC$25))</f>
        <v>0</v>
      </c>
      <c r="U99" s="26">
        <f>R99+T99</f>
        <v>64</v>
      </c>
      <c r="V99" s="26">
        <f>SUM(I99,K99,M99)/3*0.3+SUM(G99,R99)/2*0.4</f>
        <v>44.7</v>
      </c>
      <c r="W99" s="27">
        <f>O99+T99</f>
        <v>0</v>
      </c>
      <c r="X99" s="28">
        <f>V99/0.7+W99</f>
        <v>63.857142857142868</v>
      </c>
      <c r="Y99" s="28">
        <f>X99</f>
        <v>63.857142857142868</v>
      </c>
      <c r="Z99" s="38"/>
    </row>
    <row r="100" spans="1:26" ht="15.6" x14ac:dyDescent="0.25">
      <c r="A100" s="48">
        <v>47</v>
      </c>
      <c r="B100" s="17" t="s">
        <v>767</v>
      </c>
      <c r="C100" s="48">
        <v>202</v>
      </c>
      <c r="D100" s="49" t="s">
        <v>1285</v>
      </c>
      <c r="E100" s="48" t="s">
        <v>65</v>
      </c>
      <c r="F100" s="50">
        <v>7.87</v>
      </c>
      <c r="G100" s="32">
        <f>IF(B100="高三",IF($E100="男",LOOKUP(F100,[1]对照表!$G$3:$G$24,[1]对照表!$H$3:$H$24),LOOKUP(F100,[1]对照表!$G$27:$G$48,[1]对照表!$H$27:$H$48)),IF(B100="高二",IF($E100="男",LOOKUP(F100,[1]对照表!$F$3:$F$24,[1]对照表!$H$3:$H$24),LOOKUP(F100,[1]对照表!$F$27:$F$48,[1]对照表!$H$27:$H$48)),IF(B100="高一",IF($E100="男",LOOKUP(F100,[1]对照表!$E$3:$E$24,[1]对照表!$H$3:$H$24),LOOKUP(F100,[1]对照表!$E$27:$E$48,[1]对照表!$H$27:$H$48)))))</f>
        <v>90</v>
      </c>
      <c r="H100" s="38">
        <v>14</v>
      </c>
      <c r="I100" s="32">
        <f>IF(B100="高三",IF($E100="男",LOOKUP(H100,[1]对照表!$K$3:$K$24,[1]对照表!$L$3:$L$24),LOOKUP(H100,[1]对照表!$K$27:$K$48,[1]对照表!$L$27:$L$48)),IF(B100="高二",IF($E100="男",LOOKUP(H100,[1]对照表!$J$3:$J$24,[1]对照表!$L$3:$L$24),LOOKUP(H100,[1]对照表!$J$27:$J$48,[1]对照表!$L$27:$L$48)),IF(B100="高一",IF($E100="男",LOOKUP(H100,[1]对照表!$I$3:$I$24,[1]对照表!$L$3:$L$24),LOOKUP(H100,[1]对照表!$I$27:$I$48,[1]对照表!$L$27:$L$48)))))</f>
        <v>72</v>
      </c>
      <c r="J100" s="38">
        <v>220</v>
      </c>
      <c r="K100" s="32">
        <f>IF(B100="高三",IF($E100="男",LOOKUP(J100,[1]对照表!$O$3:$O$24,[1]对照表!$P$3:$P$24),LOOKUP(J100,[1]对照表!$O$27:$O$48,[1]对照表!$P$27:$P$48)),IF(B100="高二",IF($E100="男",LOOKUP(J100,[1]对照表!$N$3:$N$24,[1]对照表!$P$3:$P$24),LOOKUP(J100,[1]对照表!$N$27:$N$48,[1]对照表!$P$27:$P$48)),IF(B100="高一",IF($E100="男",LOOKUP(J100,[1]对照表!$M$3:$M$24,[1]对照表!$P$3:$P$24),LOOKUP(J100,[1]对照表!$M$27:$M$48,[1]对照表!$P$27:$P$48)))))</f>
        <v>100</v>
      </c>
      <c r="L100" s="38">
        <v>53</v>
      </c>
      <c r="M100" s="32">
        <f>IF(B100="高三",IF($E100="男",LOOKUP(L100,[1]对照表!$S$3:$S$24,[1]对照表!$T$3:$T$24),LOOKUP(L100,[1]对照表!$S$27:$S$48,[1]对照表!$T$27:$T$48)),IF(B100="高二",IF($E100="男",LOOKUP(L100,[1]对照表!$R$3:$R$24,[1]对照表!$T$3:$T$24),LOOKUP(L100,[1]对照表!$R$27:$R$48,[1]对照表!$T$27:$T$48)),IF(B100="高一",IF($E100="男",LOOKUP(L100,[1]对照表!$Q$3:$Q$24,[1]对照表!$T$3:$T$24),LOOKUP(L100,[1]对照表!$Q$27:$Q$48,[1]对照表!$T$27:$T$48)))))</f>
        <v>95</v>
      </c>
      <c r="N100" s="33">
        <f>IF(B100="高三",MAX(IF(E100="男",L100-18,L100-55),0),IF(B100="高二",MAX(IF(E100="男",L100-17,L100-54),0),IF(B100="高一",MAX(IF(E100="男",L100-16,L100-53),0))))</f>
        <v>0</v>
      </c>
      <c r="O100" s="23">
        <f>IF(E100="男",LOOKUP($N100,[1]对照表!$Z$3:$Z$13,[1]对照表!$AA$3:$AA$13),LOOKUP($N100,[1]对照表!$Z$15:$Z$25,[1]对照表!$AA$15:$AA$25))</f>
        <v>0</v>
      </c>
      <c r="P100" s="25">
        <f>M100+O100</f>
        <v>95</v>
      </c>
      <c r="Q100" s="50" t="s">
        <v>1286</v>
      </c>
      <c r="R100" s="32" t="str">
        <f>IF(B100="高三",IF($E100="男",LOOKUP(Q100,[1]对照表!$W$3:$W$24,[1]对照表!$X$3:$X$24),LOOKUP(Q100,[1]对照表!$W$27:$W$48,[1]对照表!$X$27:$X$48)),IF(B100="高二",IF($E100="男",LOOKUP(Q100,[1]对照表!$V$3:$V$24,[1]对照表!$X$3:$X$24),LOOKUP(Q100,[1]对照表!$V$27:$V$48,[1]对照表!$X$27:$X$48)),IF(B100="高一",IF($E100="男",LOOKUP(Q100,[1]对照表!$U$3:$U$24,[1]对照表!$X$3:$X$24),LOOKUP(Q100,[1]对照表!$U$27:$U$48,[1]对照表!$X$27:$X$48)))))</f>
        <v>/</v>
      </c>
      <c r="S100" s="27">
        <v>0</v>
      </c>
      <c r="T100" s="23">
        <f>IF(E100="男",LOOKUP($S100,[1]对照表!$AB$3:$AB$13,[1]对照表!$AC$3:$AC$13),LOOKUP($S100,[1]对照表!$AB$15:$AB$25,[1]对照表!$AC$15:$AC$25))</f>
        <v>0</v>
      </c>
      <c r="U100" s="26">
        <v>0</v>
      </c>
      <c r="V100" s="26">
        <f>SUM(I100,K100,M100)/3*0.3+SUM(G100,R100)/2*0.4</f>
        <v>44.7</v>
      </c>
      <c r="W100" s="27">
        <f>O100+T100</f>
        <v>0</v>
      </c>
      <c r="X100" s="28">
        <f>V100/0.7+W100</f>
        <v>63.857142857142868</v>
      </c>
      <c r="Y100" s="28">
        <f>X100</f>
        <v>63.857142857142868</v>
      </c>
      <c r="Z100" s="38"/>
    </row>
    <row r="101" spans="1:26" ht="15.6" x14ac:dyDescent="0.25">
      <c r="A101" s="48">
        <v>56</v>
      </c>
      <c r="B101" s="17" t="s">
        <v>767</v>
      </c>
      <c r="C101" s="48">
        <v>202</v>
      </c>
      <c r="D101" s="49" t="s">
        <v>1328</v>
      </c>
      <c r="E101" s="48" t="s">
        <v>65</v>
      </c>
      <c r="F101" s="50">
        <v>8.85</v>
      </c>
      <c r="G101" s="32">
        <f>IF(B101="高三",IF($E101="男",LOOKUP(F101,[1]对照表!$G$3:$G$24,[1]对照表!$H$3:$H$24),LOOKUP(F101,[1]对照表!$G$27:$G$48,[1]对照表!$H$27:$H$48)),IF(B101="高二",IF($E101="男",LOOKUP(F101,[1]对照表!$F$3:$F$24,[1]对照表!$H$3:$H$24),LOOKUP(F101,[1]对照表!$F$27:$F$48,[1]对照表!$H$27:$H$48)),IF(B101="高一",IF($E101="男",LOOKUP(F101,[1]对照表!$E$3:$E$24,[1]对照表!$H$3:$H$24),LOOKUP(F101,[1]对照表!$E$27:$E$48,[1]对照表!$H$27:$H$48)))))</f>
        <v>76</v>
      </c>
      <c r="H101" s="38">
        <v>26</v>
      </c>
      <c r="I101" s="32">
        <f>IF(B101="高三",IF($E101="男",LOOKUP(H101,[1]对照表!$K$3:$K$24,[1]对照表!$L$3:$L$24),LOOKUP(H101,[1]对照表!$K$27:$K$48,[1]对照表!$L$27:$L$48)),IF(B101="高二",IF($E101="男",LOOKUP(H101,[1]对照表!$J$3:$J$24,[1]对照表!$L$3:$L$24),LOOKUP(H101,[1]对照表!$J$27:$J$48,[1]对照表!$L$27:$L$48)),IF(B101="高一",IF($E101="男",LOOKUP(H101,[1]对照表!$I$3:$I$24,[1]对照表!$L$3:$L$24),LOOKUP(H101,[1]对照表!$I$27:$I$48,[1]对照表!$L$27:$L$48)))))</f>
        <v>100</v>
      </c>
      <c r="J101" s="38">
        <v>187</v>
      </c>
      <c r="K101" s="32">
        <f>IF(B101="高三",IF($E101="男",LOOKUP(J101,[1]对照表!$O$3:$O$24,[1]对照表!$P$3:$P$24),LOOKUP(J101,[1]对照表!$O$27:$O$48,[1]对照表!$P$27:$P$48)),IF(B101="高二",IF($E101="男",LOOKUP(J101,[1]对照表!$N$3:$N$24,[1]对照表!$P$3:$P$24),LOOKUP(J101,[1]对照表!$N$27:$N$48,[1]对照表!$P$27:$P$48)),IF(B101="高一",IF($E101="男",LOOKUP(J101,[1]对照表!$M$3:$M$24,[1]对照表!$P$3:$P$24),LOOKUP(J101,[1]对照表!$M$27:$M$48,[1]对照表!$P$27:$P$48)))))</f>
        <v>85</v>
      </c>
      <c r="L101" s="38">
        <v>37</v>
      </c>
      <c r="M101" s="32">
        <f>IF(B101="高三",IF($E101="男",LOOKUP(L101,[1]对照表!$S$3:$S$24,[1]对照表!$T$3:$T$24),LOOKUP(L101,[1]对照表!$S$27:$S$48,[1]对照表!$T$27:$T$48)),IF(B101="高二",IF($E101="男",LOOKUP(L101,[1]对照表!$R$3:$R$24,[1]对照表!$T$3:$T$24),LOOKUP(L101,[1]对照表!$R$27:$R$48,[1]对照表!$T$27:$T$48)),IF(B101="高一",IF($E101="男",LOOKUP(L101,[1]对照表!$Q$3:$Q$24,[1]对照表!$T$3:$T$24),LOOKUP(L101,[1]对照表!$Q$27:$Q$48,[1]对照表!$T$27:$T$48)))))</f>
        <v>72</v>
      </c>
      <c r="N101" s="33">
        <f>IF(B101="高三",MAX(IF(E101="男",L101-18,L101-55),0),IF(B101="高二",MAX(IF(E101="男",L101-17,L101-54),0),IF(B101="高一",MAX(IF(E101="男",L101-16,L101-53),0))))</f>
        <v>0</v>
      </c>
      <c r="O101" s="23">
        <f>IF(E101="男",LOOKUP($N101,[1]对照表!$Z$3:$Z$13,[1]对照表!$AA$3:$AA$13),LOOKUP($N101,[1]对照表!$Z$15:$Z$25,[1]对照表!$AA$15:$AA$25))</f>
        <v>0</v>
      </c>
      <c r="P101" s="25">
        <f>M101+O101</f>
        <v>72</v>
      </c>
      <c r="Q101" s="50"/>
      <c r="R101" s="20">
        <v>0</v>
      </c>
      <c r="S101" s="22">
        <v>0</v>
      </c>
      <c r="T101" s="23">
        <f>IF(E101="男",LOOKUP($S101,[1]对照表!$AB$3:$AB$13,[1]对照表!$AC$3:$AC$13),LOOKUP($S101,[1]对照表!$AB$15:$AB$25,[1]对照表!$AC$15:$AC$25))</f>
        <v>0</v>
      </c>
      <c r="U101" s="26">
        <f>R101+T101</f>
        <v>0</v>
      </c>
      <c r="V101" s="26">
        <f>SUM(I101,K101,M101)/3*0.3+SUM(G101,R101)/2*0.4</f>
        <v>40.9</v>
      </c>
      <c r="W101" s="27">
        <f>O101+T101</f>
        <v>0</v>
      </c>
      <c r="X101" s="28">
        <f>V101/0.7+W101</f>
        <v>58.428571428571431</v>
      </c>
      <c r="Y101" s="28">
        <f>X101</f>
        <v>58.428571428571431</v>
      </c>
      <c r="Z101" s="38"/>
    </row>
    <row r="102" spans="1:26" ht="15.6" x14ac:dyDescent="0.25">
      <c r="A102" s="48">
        <v>42</v>
      </c>
      <c r="B102" s="17" t="s">
        <v>767</v>
      </c>
      <c r="C102" s="48">
        <v>202</v>
      </c>
      <c r="D102" s="49" t="s">
        <v>1334</v>
      </c>
      <c r="E102" s="48" t="s">
        <v>65</v>
      </c>
      <c r="F102" s="50">
        <v>8.5500000000000007</v>
      </c>
      <c r="G102" s="32">
        <f>IF(B102="高三",IF($E102="男",LOOKUP(F102,[1]对照表!$G$3:$G$24,[1]对照表!$H$3:$H$24),LOOKUP(F102,[1]对照表!$G$27:$G$48,[1]对照表!$H$27:$H$48)),IF(B102="高二",IF($E102="男",LOOKUP(F102,[1]对照表!$F$3:$F$24,[1]对照表!$H$3:$H$24),LOOKUP(F102,[1]对照表!$F$27:$F$48,[1]对照表!$H$27:$H$48)),IF(B102="高一",IF($E102="男",LOOKUP(F102,[1]对照表!$E$3:$E$24,[1]对照表!$H$3:$H$24),LOOKUP(F102,[1]对照表!$E$27:$E$48,[1]对照表!$H$27:$H$48)))))</f>
        <v>78</v>
      </c>
      <c r="H102" s="38">
        <v>20.7</v>
      </c>
      <c r="I102" s="32">
        <f>IF(B102="高三",IF($E102="男",LOOKUP(H102,[1]对照表!$K$3:$K$24,[1]对照表!$L$3:$L$24),LOOKUP(H102,[1]对照表!$K$27:$K$48,[1]对照表!$L$27:$L$48)),IF(B102="高二",IF($E102="男",LOOKUP(H102,[1]对照表!$J$3:$J$24,[1]对照表!$L$3:$L$24),LOOKUP(H102,[1]对照表!$J$27:$J$48,[1]对照表!$L$27:$L$48)),IF(B102="高一",IF($E102="男",LOOKUP(H102,[1]对照表!$I$3:$I$24,[1]对照表!$L$3:$L$24),LOOKUP(H102,[1]对照表!$I$27:$I$48,[1]对照表!$L$27:$L$48)))))</f>
        <v>85</v>
      </c>
      <c r="J102" s="38">
        <v>175</v>
      </c>
      <c r="K102" s="32">
        <f>IF(B102="高三",IF($E102="男",LOOKUP(J102,[1]对照表!$O$3:$O$24,[1]对照表!$P$3:$P$24),LOOKUP(J102,[1]对照表!$O$27:$O$48,[1]对照表!$P$27:$P$48)),IF(B102="高二",IF($E102="男",LOOKUP(J102,[1]对照表!$N$3:$N$24,[1]对照表!$P$3:$P$24),LOOKUP(J102,[1]对照表!$N$27:$N$48,[1]对照表!$P$27:$P$48)),IF(B102="高一",IF($E102="男",LOOKUP(J102,[1]对照表!$M$3:$M$24,[1]对照表!$P$3:$P$24),LOOKUP(J102,[1]对照表!$M$27:$M$48,[1]对照表!$P$27:$P$48)))))</f>
        <v>76</v>
      </c>
      <c r="L102" s="38">
        <v>46</v>
      </c>
      <c r="M102" s="32">
        <f>IF(B102="高三",IF($E102="男",LOOKUP(L102,[1]对照表!$S$3:$S$24,[1]对照表!$T$3:$T$24),LOOKUP(L102,[1]对照表!$S$27:$S$48,[1]对照表!$T$27:$T$48)),IF(B102="高二",IF($E102="男",LOOKUP(L102,[1]对照表!$R$3:$R$24,[1]对照表!$T$3:$T$24),LOOKUP(L102,[1]对照表!$R$27:$R$48,[1]对照表!$T$27:$T$48)),IF(B102="高一",IF($E102="男",LOOKUP(L102,[1]对照表!$Q$3:$Q$24,[1]对照表!$T$3:$T$24),LOOKUP(L102,[1]对照表!$Q$27:$Q$48,[1]对照表!$T$27:$T$48)))))</f>
        <v>80</v>
      </c>
      <c r="N102" s="33">
        <f>IF(B102="高三",MAX(IF(E102="男",L102-18,L102-55),0),IF(B102="高二",MAX(IF(E102="男",L102-17,L102-54),0),IF(B102="高一",MAX(IF(E102="男",L102-16,L102-53),0))))</f>
        <v>0</v>
      </c>
      <c r="O102" s="23">
        <f>IF(E102="男",LOOKUP($N102,[1]对照表!$Z$3:$Z$13,[1]对照表!$AA$3:$AA$13),LOOKUP($N102,[1]对照表!$Z$15:$Z$25,[1]对照表!$AA$15:$AA$25))</f>
        <v>0</v>
      </c>
      <c r="P102" s="25">
        <f>M102+O102</f>
        <v>80</v>
      </c>
      <c r="Q102" s="50" t="s">
        <v>578</v>
      </c>
      <c r="R102" s="32" t="str">
        <f>IF(B102="高三",IF($E102="男",LOOKUP(Q102,[1]对照表!$W$3:$W$24,[1]对照表!$X$3:$X$24),LOOKUP(Q102,[1]对照表!$W$27:$W$48,[1]对照表!$X$27:$X$48)),IF(B102="高二",IF($E102="男",LOOKUP(Q102,[1]对照表!$V$3:$V$24,[1]对照表!$X$3:$X$24),LOOKUP(Q102,[1]对照表!$V$27:$V$48,[1]对照表!$X$27:$X$48)),IF(B102="高一",IF($E102="男",LOOKUP(Q102,[1]对照表!$U$3:$U$24,[1]对照表!$X$3:$X$24),LOOKUP(Q102,[1]对照表!$U$27:$U$48,[1]对照表!$X$27:$X$48)))))</f>
        <v>/</v>
      </c>
      <c r="S102" s="33">
        <v>0</v>
      </c>
      <c r="T102" s="23">
        <f>IF(E102="男",LOOKUP($S102,[1]对照表!$AB$3:$AB$13,[1]对照表!$AC$3:$AC$13),LOOKUP($S102,[1]对照表!$AB$15:$AB$25,[1]对照表!$AC$15:$AC$25))</f>
        <v>0</v>
      </c>
      <c r="U102" s="26">
        <v>0</v>
      </c>
      <c r="V102" s="26">
        <f>SUM(I102,K102,M102)/3*0.3+SUM(G102,R102)/2*0.4</f>
        <v>39.700000000000003</v>
      </c>
      <c r="W102" s="27">
        <f>O102+T102</f>
        <v>0</v>
      </c>
      <c r="X102" s="28">
        <f>V102/0.7+W102</f>
        <v>56.714285714285722</v>
      </c>
      <c r="Y102" s="28">
        <f>X102</f>
        <v>56.714285714285722</v>
      </c>
      <c r="Z102" s="38"/>
    </row>
    <row r="103" spans="1:26" ht="15.6" x14ac:dyDescent="0.25">
      <c r="A103" s="48">
        <v>25</v>
      </c>
      <c r="B103" s="17" t="s">
        <v>767</v>
      </c>
      <c r="C103" s="48">
        <v>202</v>
      </c>
      <c r="D103" s="49" t="s">
        <v>1351</v>
      </c>
      <c r="E103" s="48" t="s">
        <v>65</v>
      </c>
      <c r="F103" s="50">
        <v>9.89</v>
      </c>
      <c r="G103" s="32">
        <f>IF(B103="高三",IF($E103="男",LOOKUP(F103,[1]对照表!$G$3:$G$24,[1]对照表!$H$3:$H$24),LOOKUP(F103,[1]对照表!$G$27:$G$48,[1]对照表!$H$27:$H$48)),IF(B103="高二",IF($E103="男",LOOKUP(F103,[1]对照表!$F$3:$F$24,[1]对照表!$H$3:$H$24),LOOKUP(F103,[1]对照表!$F$27:$F$48,[1]对照表!$H$27:$H$48)),IF(B103="高一",IF($E103="男",LOOKUP(F103,[1]对照表!$E$3:$E$24,[1]对照表!$H$3:$H$24),LOOKUP(F103,[1]对照表!$E$27:$E$48,[1]对照表!$H$27:$H$48)))))</f>
        <v>66</v>
      </c>
      <c r="H103" s="38">
        <v>22</v>
      </c>
      <c r="I103" s="32">
        <f>IF(B103="高三",IF($E103="男",LOOKUP(H103,[1]对照表!$K$3:$K$24,[1]对照表!$L$3:$L$24),LOOKUP(H103,[1]对照表!$K$27:$K$48,[1]对照表!$L$27:$L$48)),IF(B103="高二",IF($E103="男",LOOKUP(H103,[1]对照表!$J$3:$J$24,[1]对照表!$L$3:$L$24),LOOKUP(H103,[1]对照表!$J$27:$J$48,[1]对照表!$L$27:$L$48)),IF(B103="高一",IF($E103="男",LOOKUP(H103,[1]对照表!$I$3:$I$24,[1]对照表!$L$3:$L$24),LOOKUP(H103,[1]对照表!$I$27:$I$48,[1]对照表!$L$27:$L$48)))))</f>
        <v>90</v>
      </c>
      <c r="J103" s="38">
        <v>166</v>
      </c>
      <c r="K103" s="32">
        <f>IF(B103="高三",IF($E103="男",LOOKUP(J103,[1]对照表!$O$3:$O$24,[1]对照表!$P$3:$P$24),LOOKUP(J103,[1]对照表!$O$27:$O$48,[1]对照表!$P$27:$P$48)),IF(B103="高二",IF($E103="男",LOOKUP(J103,[1]对照表!$N$3:$N$24,[1]对照表!$P$3:$P$24),LOOKUP(J103,[1]对照表!$N$27:$N$48,[1]对照表!$P$27:$P$48)),IF(B103="高一",IF($E103="男",LOOKUP(J103,[1]对照表!$M$3:$M$24,[1]对照表!$P$3:$P$24),LOOKUP(J103,[1]对照表!$M$27:$M$48,[1]对照表!$P$27:$P$48)))))</f>
        <v>70</v>
      </c>
      <c r="L103" s="38">
        <v>53</v>
      </c>
      <c r="M103" s="32">
        <f>IF(B103="高三",IF($E103="男",LOOKUP(L103,[1]对照表!$S$3:$S$24,[1]对照表!$T$3:$T$24),LOOKUP(L103,[1]对照表!$S$27:$S$48,[1]对照表!$T$27:$T$48)),IF(B103="高二",IF($E103="男",LOOKUP(L103,[1]对照表!$R$3:$R$24,[1]对照表!$T$3:$T$24),LOOKUP(L103,[1]对照表!$R$27:$R$48,[1]对照表!$T$27:$T$48)),IF(B103="高一",IF($E103="男",LOOKUP(L103,[1]对照表!$Q$3:$Q$24,[1]对照表!$T$3:$T$24),LOOKUP(L103,[1]对照表!$Q$27:$Q$48,[1]对照表!$T$27:$T$48)))))</f>
        <v>95</v>
      </c>
      <c r="N103" s="33">
        <f>IF(B103="高三",MAX(IF(E103="男",L103-18,L103-55),0),IF(B103="高二",MAX(IF(E103="男",L103-17,L103-54),0),IF(B103="高一",MAX(IF(E103="男",L103-16,L103-53),0))))</f>
        <v>0</v>
      </c>
      <c r="O103" s="23">
        <f>IF(E103="男",LOOKUP($N103,[1]对照表!$Z$3:$Z$13,[1]对照表!$AA$3:$AA$13),LOOKUP($N103,[1]对照表!$Z$15:$Z$25,[1]对照表!$AA$15:$AA$25))</f>
        <v>0</v>
      </c>
      <c r="P103" s="25">
        <f>M103+O103</f>
        <v>95</v>
      </c>
      <c r="Q103" s="50" t="s">
        <v>578</v>
      </c>
      <c r="R103" s="32" t="str">
        <f>IF(B103="高三",IF($E103="男",LOOKUP(Q103,[1]对照表!$W$3:$W$24,[1]对照表!$X$3:$X$24),LOOKUP(Q103,[1]对照表!$W$27:$W$48,[1]对照表!$X$27:$X$48)),IF(B103="高二",IF($E103="男",LOOKUP(Q103,[1]对照表!$V$3:$V$24,[1]对照表!$X$3:$X$24),LOOKUP(Q103,[1]对照表!$V$27:$V$48,[1]对照表!$X$27:$X$48)),IF(B103="高一",IF($E103="男",LOOKUP(Q103,[1]对照表!$U$3:$U$24,[1]对照表!$X$3:$X$24),LOOKUP(Q103,[1]对照表!$U$27:$U$48,[1]对照表!$X$27:$X$48)))))</f>
        <v>/</v>
      </c>
      <c r="S103" s="33">
        <v>0</v>
      </c>
      <c r="T103" s="23">
        <f>IF(E103="男",LOOKUP($S103,[1]对照表!$AB$3:$AB$13,[1]对照表!$AC$3:$AC$13),LOOKUP($S103,[1]对照表!$AB$15:$AB$25,[1]对照表!$AC$15:$AC$25))</f>
        <v>0</v>
      </c>
      <c r="U103" s="26">
        <v>0</v>
      </c>
      <c r="V103" s="26">
        <f>SUM(I103,K103,M103)/3*0.3+SUM(G103,R103)/2*0.4</f>
        <v>38.700000000000003</v>
      </c>
      <c r="W103" s="27">
        <f>O103+T103</f>
        <v>0</v>
      </c>
      <c r="X103" s="28">
        <f>V103/0.7+W103</f>
        <v>55.285714285714292</v>
      </c>
      <c r="Y103" s="28">
        <f>X103</f>
        <v>55.285714285714292</v>
      </c>
      <c r="Z103" s="38"/>
    </row>
    <row r="104" spans="1:26" ht="15.6" customHeight="1" x14ac:dyDescent="0.25">
      <c r="A104" s="48">
        <v>21</v>
      </c>
      <c r="B104" s="17" t="s">
        <v>767</v>
      </c>
      <c r="C104" s="48">
        <v>202</v>
      </c>
      <c r="D104" s="49" t="s">
        <v>1357</v>
      </c>
      <c r="E104" s="48" t="s">
        <v>65</v>
      </c>
      <c r="F104" s="50">
        <v>9.32</v>
      </c>
      <c r="G104" s="32">
        <f>IF(B104="高三",IF($E104="男",LOOKUP(F104,[1]对照表!$G$3:$G$24,[1]对照表!$H$3:$H$24),LOOKUP(F104,[1]对照表!$G$27:$G$48,[1]对照表!$H$27:$H$48)),IF(B104="高二",IF($E104="男",LOOKUP(F104,[1]对照表!$F$3:$F$24,[1]对照表!$H$3:$H$24),LOOKUP(F104,[1]对照表!$F$27:$F$48,[1]对照表!$H$27:$H$48)),IF(B104="高一",IF($E104="男",LOOKUP(F104,[1]对照表!$E$3:$E$24,[1]对照表!$H$3:$H$24),LOOKUP(F104,[1]对照表!$E$27:$E$48,[1]对照表!$H$27:$H$48)))))</f>
        <v>70</v>
      </c>
      <c r="H104" s="38">
        <v>17</v>
      </c>
      <c r="I104" s="32">
        <f>IF(B104="高三",IF($E104="男",LOOKUP(H104,[1]对照表!$K$3:$K$24,[1]对照表!$L$3:$L$24),LOOKUP(H104,[1]对照表!$K$27:$K$48,[1]对照表!$L$27:$L$48)),IF(B104="高二",IF($E104="男",LOOKUP(H104,[1]对照表!$J$3:$J$24,[1]对照表!$L$3:$L$24),LOOKUP(H104,[1]对照表!$J$27:$J$48,[1]对照表!$L$27:$L$48)),IF(B104="高一",IF($E104="男",LOOKUP(H104,[1]对照表!$I$3:$I$24,[1]对照表!$L$3:$L$24),LOOKUP(H104,[1]对照表!$I$27:$I$48,[1]对照表!$L$27:$L$48)))))</f>
        <v>78</v>
      </c>
      <c r="J104" s="38">
        <v>167</v>
      </c>
      <c r="K104" s="32">
        <f>IF(B104="高三",IF($E104="男",LOOKUP(J104,[1]对照表!$O$3:$O$24,[1]对照表!$P$3:$P$24),LOOKUP(J104,[1]对照表!$O$27:$O$48,[1]对照表!$P$27:$P$48)),IF(B104="高二",IF($E104="男",LOOKUP(J104,[1]对照表!$N$3:$N$24,[1]对照表!$P$3:$P$24),LOOKUP(J104,[1]对照表!$N$27:$N$48,[1]对照表!$P$27:$P$48)),IF(B104="高一",IF($E104="男",LOOKUP(J104,[1]对照表!$M$3:$M$24,[1]对照表!$P$3:$P$24),LOOKUP(J104,[1]对照表!$M$27:$M$48,[1]对照表!$P$27:$P$48)))))</f>
        <v>72</v>
      </c>
      <c r="L104" s="38">
        <v>42</v>
      </c>
      <c r="M104" s="32">
        <f>IF(B104="高三",IF($E104="男",LOOKUP(L104,[1]对照表!$S$3:$S$24,[1]对照表!$T$3:$T$24),LOOKUP(L104,[1]对照表!$S$27:$S$48,[1]对照表!$T$27:$T$48)),IF(B104="高二",IF($E104="男",LOOKUP(L104,[1]对照表!$R$3:$R$24,[1]对照表!$T$3:$T$24),LOOKUP(L104,[1]对照表!$R$27:$R$48,[1]对照表!$T$27:$T$48)),IF(B104="高一",IF($E104="男",LOOKUP(L104,[1]对照表!$Q$3:$Q$24,[1]对照表!$T$3:$T$24),LOOKUP(L104,[1]对照表!$Q$27:$Q$48,[1]对照表!$T$27:$T$48)))))</f>
        <v>78</v>
      </c>
      <c r="N104" s="33">
        <f>IF(B104="高三",MAX(IF(E104="男",L104-18,L104-55),0),IF(B104="高二",MAX(IF(E104="男",L104-17,L104-54),0),IF(B104="高一",MAX(IF(E104="男",L104-16,L104-53),0))))</f>
        <v>0</v>
      </c>
      <c r="O104" s="23">
        <f>IF(E104="男",LOOKUP($N104,[1]对照表!$Z$3:$Z$13,[1]对照表!$AA$3:$AA$13),LOOKUP($N104,[1]对照表!$Z$15:$Z$25,[1]对照表!$AA$15:$AA$25))</f>
        <v>0</v>
      </c>
      <c r="P104" s="25">
        <f>M104+O104</f>
        <v>78</v>
      </c>
      <c r="Q104" s="50"/>
      <c r="R104" s="20">
        <v>0</v>
      </c>
      <c r="S104" s="22">
        <v>0</v>
      </c>
      <c r="T104" s="23">
        <f>IF(E104="男",LOOKUP($S104,[1]对照表!$AB$3:$AB$13,[1]对照表!$AC$3:$AC$13),LOOKUP($S104,[1]对照表!$AB$15:$AB$25,[1]对照表!$AC$15:$AC$25))</f>
        <v>0</v>
      </c>
      <c r="U104" s="26">
        <f>R104+T104</f>
        <v>0</v>
      </c>
      <c r="V104" s="26">
        <f>SUM(I104,K104,M104)/3*0.3+SUM(G104,R104)/2*0.4</f>
        <v>36.799999999999997</v>
      </c>
      <c r="W104" s="27">
        <f>O104+T104</f>
        <v>0</v>
      </c>
      <c r="X104" s="28">
        <f>V104/0.7+W104</f>
        <v>52.571428571428569</v>
      </c>
      <c r="Y104" s="28">
        <f>X104</f>
        <v>52.571428571428569</v>
      </c>
      <c r="Z104" s="38" t="s">
        <v>578</v>
      </c>
    </row>
    <row r="105" spans="1:26" ht="15.6" x14ac:dyDescent="0.25">
      <c r="A105" s="48">
        <v>7</v>
      </c>
      <c r="B105" s="17" t="s">
        <v>767</v>
      </c>
      <c r="C105" s="48">
        <v>202</v>
      </c>
      <c r="D105" s="49" t="s">
        <v>1367</v>
      </c>
      <c r="E105" s="48" t="s">
        <v>23</v>
      </c>
      <c r="F105" s="50">
        <v>7.2</v>
      </c>
      <c r="G105" s="32">
        <f>IF(B105="高三",IF($E105="男",LOOKUP(F105,[1]对照表!$G$3:$G$24,[1]对照表!$H$3:$H$24),LOOKUP(F105,[1]对照表!$G$27:$G$48,[1]对照表!$H$27:$H$48)),IF(B105="高二",IF($E105="男",LOOKUP(F105,[1]对照表!$F$3:$F$24,[1]对照表!$H$3:$H$24),LOOKUP(F105,[1]对照表!$F$27:$F$48,[1]对照表!$H$27:$H$48)),IF(B105="高一",IF($E105="男",LOOKUP(F105,[1]对照表!$E$3:$E$24,[1]对照表!$H$3:$H$24),LOOKUP(F105,[1]对照表!$E$27:$E$48,[1]对照表!$H$27:$H$48)))))</f>
        <v>90</v>
      </c>
      <c r="H105" s="38">
        <v>10</v>
      </c>
      <c r="I105" s="32">
        <f>IF(B105="高三",IF($E105="男",LOOKUP(H105,[1]对照表!$K$3:$K$24,[1]对照表!$L$3:$L$24),LOOKUP(H105,[1]对照表!$K$27:$K$48,[1]对照表!$L$27:$L$48)),IF(B105="高二",IF($E105="男",LOOKUP(H105,[1]对照表!$J$3:$J$24,[1]对照表!$L$3:$L$24),LOOKUP(H105,[1]对照表!$J$27:$J$48,[1]对照表!$L$27:$L$48)),IF(B105="高一",IF($E105="男",LOOKUP(H105,[1]对照表!$I$3:$I$24,[1]对照表!$L$3:$L$24),LOOKUP(H105,[1]对照表!$I$27:$I$48,[1]对照表!$L$27:$L$48)))))</f>
        <v>70</v>
      </c>
      <c r="J105" s="38">
        <v>191</v>
      </c>
      <c r="K105" s="32">
        <f>IF(B105="高三",IF($E105="男",LOOKUP(J105,[1]对照表!$O$3:$O$24,[1]对照表!$P$3:$P$24),LOOKUP(J105,[1]对照表!$O$27:$O$48,[1]对照表!$P$27:$P$48)),IF(B105="高二",IF($E105="男",LOOKUP(J105,[1]对照表!$N$3:$N$24,[1]对照表!$P$3:$P$24),LOOKUP(J105,[1]对照表!$N$27:$N$48,[1]对照表!$P$27:$P$48)),IF(B105="高一",IF($E105="男",LOOKUP(J105,[1]对照表!$M$3:$M$24,[1]对照表!$P$3:$P$24),LOOKUP(J105,[1]对照表!$M$27:$M$48,[1]对照表!$P$27:$P$48)))))</f>
        <v>40</v>
      </c>
      <c r="L105" s="38">
        <v>4</v>
      </c>
      <c r="M105" s="32">
        <f>IF(B105="高三",IF($E105="男",LOOKUP(L105,[1]对照表!$S$3:$S$24,[1]对照表!$T$3:$T$24),LOOKUP(L105,[1]对照表!$S$27:$S$48,[1]对照表!$T$27:$T$48)),IF(B105="高二",IF($E105="男",LOOKUP(L105,[1]对照表!$R$3:$R$24,[1]对照表!$T$3:$T$24),LOOKUP(L105,[1]对照表!$R$27:$R$48,[1]对照表!$T$27:$T$48)),IF(B105="高一",IF($E105="男",LOOKUP(L105,[1]对照表!$Q$3:$Q$24,[1]对照表!$T$3:$T$24),LOOKUP(L105,[1]对照表!$Q$27:$Q$48,[1]对照表!$T$27:$T$48)))))</f>
        <v>20</v>
      </c>
      <c r="N105" s="33">
        <f>IF(B105="高三",MAX(IF(E105="男",L105-18,L105-55),0),IF(B105="高二",MAX(IF(E105="男",L105-17,L105-54),0),IF(B105="高一",MAX(IF(E105="男",L105-16,L105-53),0))))</f>
        <v>0</v>
      </c>
      <c r="O105" s="23">
        <f>IF(E105="男",LOOKUP($N105,[1]对照表!$Z$3:$Z$13,[1]对照表!$AA$3:$AA$13),LOOKUP($N105,[1]对照表!$Z$15:$Z$25,[1]对照表!$AA$15:$AA$25))</f>
        <v>0</v>
      </c>
      <c r="P105" s="25">
        <f>M105+O105</f>
        <v>20</v>
      </c>
      <c r="Q105" s="50">
        <v>3.31</v>
      </c>
      <c r="R105" s="32">
        <f>IF(B105="高三",IF($E105="男",LOOKUP(Q105,[1]对照表!$W$3:$W$24,[1]对照表!$X$3:$X$24),LOOKUP(Q105,[1]对照表!$W$27:$W$48,[1]对照表!$X$27:$X$48)),IF(B105="高二",IF($E105="男",LOOKUP(Q105,[1]对照表!$V$3:$V$24,[1]对照表!$X$3:$X$24),LOOKUP(Q105,[1]对照表!$V$27:$V$48,[1]对照表!$X$27:$X$48)),IF(B105="高一",IF($E105="男",LOOKUP(Q105,[1]对照表!$U$3:$U$24,[1]对照表!$X$3:$X$24),LOOKUP(Q105,[1]对照表!$U$27:$U$48,[1]对照表!$X$27:$X$48)))))</f>
        <v>90</v>
      </c>
      <c r="S105" s="33">
        <f>ROUND(IF(IF($B105="高三",MIN(IF($E105="男",$Q105-3.2,$Q105-3.2),0),IF($B105="高二",MIN(IF($E105="男",$Q105-3.25,$Q105-3.22),0),IF($B105="高一",MIN(IF($E105="男",$Q105-3.3,$Q105-3.24),0))))&lt;-0.6,IF($B105="高三",MIN(IF($E105="男",$Q105-3.2,$Q105-3.2),0),IF($B105="高二",MIN(IF($E105="男",$Q105-3.25,$Q105-3.22),0),IF($B105="高一",MIN(IF($E105="男",$Q105-3.3,$Q105-3.24),0))))+0.4,IF($B105="高三",MIN(IF($E105="男",$Q105-3.2,$Q105-3.2),0),IF($B105="高二",MIN(IF($E105="男",$Q105-3.25,$Q105-3.22),0),IF($B105="高一",MIN(IF($E105="男",$Q105-3.3,$Q105-3.24),0))))),2)</f>
        <v>0</v>
      </c>
      <c r="T105" s="23">
        <f>IF(E105="男",LOOKUP($S105,[1]对照表!$AB$3:$AB$13,[1]对照表!$AC$3:$AC$13),LOOKUP($S105,[1]对照表!$AB$15:$AB$25,[1]对照表!$AC$15:$AC$25))</f>
        <v>0</v>
      </c>
      <c r="U105" s="26">
        <f>R105+T105</f>
        <v>90</v>
      </c>
      <c r="V105" s="26">
        <f>SUM(I105,K105,M105)/3*0.3+SUM(G105,R105)/2*0.4</f>
        <v>49</v>
      </c>
      <c r="W105" s="27">
        <f>O105+T105</f>
        <v>0</v>
      </c>
      <c r="X105" s="28">
        <f>V105/0.7+W105</f>
        <v>70</v>
      </c>
      <c r="Y105" s="28">
        <f>X105</f>
        <v>70</v>
      </c>
      <c r="Z105" s="38"/>
    </row>
    <row r="106" spans="1:26" ht="15.6" customHeight="1" x14ac:dyDescent="0.25">
      <c r="A106" s="48">
        <v>8</v>
      </c>
      <c r="B106" s="17" t="s">
        <v>767</v>
      </c>
      <c r="C106" s="48">
        <v>202</v>
      </c>
      <c r="D106" s="49" t="s">
        <v>1388</v>
      </c>
      <c r="E106" s="48" t="s">
        <v>23</v>
      </c>
      <c r="F106" s="50">
        <v>7.2</v>
      </c>
      <c r="G106" s="32">
        <f>IF(B106="高三",IF($E106="男",LOOKUP(F106,[1]对照表!$G$3:$G$24,[1]对照表!$H$3:$H$24),LOOKUP(F106,[1]对照表!$G$27:$G$48,[1]对照表!$H$27:$H$48)),IF(B106="高二",IF($E106="男",LOOKUP(F106,[1]对照表!$F$3:$F$24,[1]对照表!$H$3:$H$24),LOOKUP(F106,[1]对照表!$F$27:$F$48,[1]对照表!$H$27:$H$48)),IF(B106="高一",IF($E106="男",LOOKUP(F106,[1]对照表!$E$3:$E$24,[1]对照表!$H$3:$H$24),LOOKUP(F106,[1]对照表!$E$27:$E$48,[1]对照表!$H$27:$H$48)))))</f>
        <v>90</v>
      </c>
      <c r="H106" s="38">
        <v>13</v>
      </c>
      <c r="I106" s="32">
        <f>IF(B106="高三",IF($E106="男",LOOKUP(H106,[1]对照表!$K$3:$K$24,[1]对照表!$L$3:$L$24),LOOKUP(H106,[1]对照表!$K$27:$K$48,[1]对照表!$L$27:$L$48)),IF(B106="高二",IF($E106="男",LOOKUP(H106,[1]对照表!$J$3:$J$24,[1]对照表!$L$3:$L$24),LOOKUP(H106,[1]对照表!$J$27:$J$48,[1]对照表!$L$27:$L$48)),IF(B106="高一",IF($E106="男",LOOKUP(H106,[1]对照表!$I$3:$I$24,[1]对照表!$L$3:$L$24),LOOKUP(H106,[1]对照表!$I$27:$I$48,[1]对照表!$L$27:$L$48)))))</f>
        <v>74</v>
      </c>
      <c r="J106" s="38">
        <v>222</v>
      </c>
      <c r="K106" s="32">
        <f>IF(B106="高三",IF($E106="男",LOOKUP(J106,[1]对照表!$O$3:$O$24,[1]对照表!$P$3:$P$24),LOOKUP(J106,[1]对照表!$O$27:$O$48,[1]对照表!$P$27:$P$48)),IF(B106="高二",IF($E106="男",LOOKUP(J106,[1]对照表!$N$3:$N$24,[1]对照表!$P$3:$P$24),LOOKUP(J106,[1]对照表!$N$27:$N$48,[1]对照表!$P$27:$P$48)),IF(B106="高一",IF($E106="男",LOOKUP(J106,[1]对照表!$M$3:$M$24,[1]对照表!$P$3:$P$24),LOOKUP(J106,[1]对照表!$M$27:$M$48,[1]对照表!$P$27:$P$48)))))</f>
        <v>70</v>
      </c>
      <c r="L106" s="38">
        <v>0</v>
      </c>
      <c r="M106" s="32">
        <f>IF(B106="高三",IF($E106="男",LOOKUP(L106,[1]对照表!$S$3:$S$24,[1]对照表!$T$3:$T$24),LOOKUP(L106,[1]对照表!$S$27:$S$48,[1]对照表!$T$27:$T$48)),IF(B106="高二",IF($E106="男",LOOKUP(L106,[1]对照表!$R$3:$R$24,[1]对照表!$T$3:$T$24),LOOKUP(L106,[1]对照表!$R$27:$R$48,[1]对照表!$T$27:$T$48)),IF(B106="高一",IF($E106="男",LOOKUP(L106,[1]对照表!$Q$3:$Q$24,[1]对照表!$T$3:$T$24),LOOKUP(L106,[1]对照表!$Q$27:$Q$48,[1]对照表!$T$27:$T$48)))))</f>
        <v>0</v>
      </c>
      <c r="N106" s="33">
        <f>IF(B106="高三",MAX(IF(E106="男",L106-18,L106-55),0),IF(B106="高二",MAX(IF(E106="男",L106-17,L106-54),0),IF(B106="高一",MAX(IF(E106="男",L106-16,L106-53),0))))</f>
        <v>0</v>
      </c>
      <c r="O106" s="23">
        <f>IF(E106="男",LOOKUP($N106,[1]对照表!$Z$3:$Z$13,[1]对照表!$AA$3:$AA$13),LOOKUP($N106,[1]对照表!$Z$15:$Z$25,[1]对照表!$AA$15:$AA$25))</f>
        <v>0</v>
      </c>
      <c r="P106" s="25">
        <f>M106+O106</f>
        <v>0</v>
      </c>
      <c r="Q106" s="50">
        <v>4.08</v>
      </c>
      <c r="R106" s="32">
        <f>IF(B106="高三",IF($E106="男",LOOKUP(Q106,[1]对照表!$W$3:$W$24,[1]对照表!$X$3:$X$24),LOOKUP(Q106,[1]对照表!$W$27:$W$48,[1]对照表!$X$27:$X$48)),IF(B106="高二",IF($E106="男",LOOKUP(Q106,[1]对照表!$V$3:$V$24,[1]对照表!$X$3:$X$24),LOOKUP(Q106,[1]对照表!$V$27:$V$48,[1]对照表!$X$27:$X$48)),IF(B106="高一",IF($E106="男",LOOKUP(Q106,[1]对照表!$U$3:$U$24,[1]对照表!$X$3:$X$24),LOOKUP(Q106,[1]对照表!$U$27:$U$48,[1]对照表!$X$27:$X$48)))))</f>
        <v>72</v>
      </c>
      <c r="S106" s="33">
        <f>ROUND(IF(IF($B106="高三",MIN(IF($E106="男",$Q106-3.2,$Q106-3.2),0),IF($B106="高二",MIN(IF($E106="男",$Q106-3.25,$Q106-3.22),0),IF($B106="高一",MIN(IF($E106="男",$Q106-3.3,$Q106-3.24),0))))&lt;-0.6,IF($B106="高三",MIN(IF($E106="男",$Q106-3.2,$Q106-3.2),0),IF($B106="高二",MIN(IF($E106="男",$Q106-3.25,$Q106-3.22),0),IF($B106="高一",MIN(IF($E106="男",$Q106-3.3,$Q106-3.24),0))))+0.4,IF($B106="高三",MIN(IF($E106="男",$Q106-3.2,$Q106-3.2),0),IF($B106="高二",MIN(IF($E106="男",$Q106-3.25,$Q106-3.22),0),IF($B106="高一",MIN(IF($E106="男",$Q106-3.3,$Q106-3.24),0))))),2)</f>
        <v>0</v>
      </c>
      <c r="T106" s="23">
        <f>IF(E106="男",LOOKUP($S106,[1]对照表!$AB$3:$AB$13,[1]对照表!$AC$3:$AC$13),LOOKUP($S106,[1]对照表!$AB$15:$AB$25,[1]对照表!$AC$15:$AC$25))</f>
        <v>0</v>
      </c>
      <c r="U106" s="26">
        <f>R106+T106</f>
        <v>72</v>
      </c>
      <c r="V106" s="26">
        <f>SUM(I106,K106,M106)/3*0.3+SUM(G106,R106)/2*0.4</f>
        <v>46.8</v>
      </c>
      <c r="W106" s="27">
        <f>O106+T106</f>
        <v>0</v>
      </c>
      <c r="X106" s="28">
        <f>V106/0.7+W106</f>
        <v>66.857142857142861</v>
      </c>
      <c r="Y106" s="28">
        <f>X106</f>
        <v>66.857142857142861</v>
      </c>
      <c r="Z106" s="38"/>
    </row>
    <row r="107" spans="1:26" ht="15.6" x14ac:dyDescent="0.25">
      <c r="A107" s="48">
        <v>57</v>
      </c>
      <c r="B107" s="17" t="s">
        <v>767</v>
      </c>
      <c r="C107" s="48">
        <v>202</v>
      </c>
      <c r="D107" s="49" t="s">
        <v>1399</v>
      </c>
      <c r="E107" s="48" t="s">
        <v>65</v>
      </c>
      <c r="F107" s="50"/>
      <c r="G107" s="20">
        <v>0</v>
      </c>
      <c r="H107" s="38">
        <v>18</v>
      </c>
      <c r="I107" s="32">
        <f>IF(B107="高三",IF($E107="男",LOOKUP(H107,[1]对照表!$K$3:$K$24,[1]对照表!$L$3:$L$24),LOOKUP(H107,[1]对照表!$K$27:$K$48,[1]对照表!$L$27:$L$48)),IF(B107="高二",IF($E107="男",LOOKUP(H107,[1]对照表!$J$3:$J$24,[1]对照表!$L$3:$L$24),LOOKUP(H107,[1]对照表!$J$27:$J$48,[1]对照表!$L$27:$L$48)),IF(B107="高一",IF($E107="男",LOOKUP(H107,[1]对照表!$I$3:$I$24,[1]对照表!$L$3:$L$24),LOOKUP(H107,[1]对照表!$I$27:$I$48,[1]对照表!$L$27:$L$48)))))</f>
        <v>80</v>
      </c>
      <c r="J107" s="38">
        <v>155</v>
      </c>
      <c r="K107" s="32">
        <f>IF(B107="高三",IF($E107="男",LOOKUP(J107,[1]对照表!$O$3:$O$24,[1]对照表!$P$3:$P$24),LOOKUP(J107,[1]对照表!$O$27:$O$48,[1]对照表!$P$27:$P$48)),IF(B107="高二",IF($E107="男",LOOKUP(J107,[1]对照表!$N$3:$N$24,[1]对照表!$P$3:$P$24),LOOKUP(J107,[1]对照表!$N$27:$N$48,[1]对照表!$P$27:$P$48)),IF(B107="高一",IF($E107="男",LOOKUP(J107,[1]对照表!$M$3:$M$24,[1]对照表!$P$3:$P$24),LOOKUP(J107,[1]对照表!$M$27:$M$48,[1]对照表!$P$27:$P$48)))))</f>
        <v>64</v>
      </c>
      <c r="L107" s="38">
        <v>46</v>
      </c>
      <c r="M107" s="32">
        <f>IF(B107="高三",IF($E107="男",LOOKUP(L107,[1]对照表!$S$3:$S$24,[1]对照表!$T$3:$T$24),LOOKUP(L107,[1]对照表!$S$27:$S$48,[1]对照表!$T$27:$T$48)),IF(B107="高二",IF($E107="男",LOOKUP(L107,[1]对照表!$R$3:$R$24,[1]对照表!$T$3:$T$24),LOOKUP(L107,[1]对照表!$R$27:$R$48,[1]对照表!$T$27:$T$48)),IF(B107="高一",IF($E107="男",LOOKUP(L107,[1]对照表!$Q$3:$Q$24,[1]对照表!$T$3:$T$24),LOOKUP(L107,[1]对照表!$Q$27:$Q$48,[1]对照表!$T$27:$T$48)))))</f>
        <v>80</v>
      </c>
      <c r="N107" s="33">
        <f>IF(B107="高三",MAX(IF(E107="男",L107-18,L107-55),0),IF(B107="高二",MAX(IF(E107="男",L107-17,L107-54),0),IF(B107="高一",MAX(IF(E107="男",L107-16,L107-53),0))))</f>
        <v>0</v>
      </c>
      <c r="O107" s="23">
        <f>IF(E107="男",LOOKUP($N107,[1]对照表!$Z$3:$Z$13,[1]对照表!$AA$3:$AA$13),LOOKUP($N107,[1]对照表!$Z$15:$Z$25,[1]对照表!$AA$15:$AA$25))</f>
        <v>0</v>
      </c>
      <c r="P107" s="25">
        <f>M107+O107</f>
        <v>80</v>
      </c>
      <c r="Q107" s="50"/>
      <c r="R107" s="20">
        <v>0</v>
      </c>
      <c r="S107" s="20">
        <v>0</v>
      </c>
      <c r="T107" s="23">
        <f>IF(E107="男",LOOKUP($S107,[1]对照表!$AB$3:$AB$13,[1]对照表!$AC$3:$AC$13),LOOKUP($S107,[1]对照表!$AB$15:$AB$25,[1]对照表!$AC$15:$AC$25))</f>
        <v>0</v>
      </c>
      <c r="U107" s="26">
        <f>R107+T107</f>
        <v>0</v>
      </c>
      <c r="V107" s="26">
        <f>SUM(I107,K107,M107)/3*0.3+SUM(G107,R107)/2*0.4</f>
        <v>22.400000000000002</v>
      </c>
      <c r="W107" s="27">
        <f>O107+T107</f>
        <v>0</v>
      </c>
      <c r="X107" s="28">
        <f>V107/0.7+W107</f>
        <v>32.000000000000007</v>
      </c>
      <c r="Y107" s="29">
        <v>50</v>
      </c>
      <c r="Z107" s="38" t="s">
        <v>578</v>
      </c>
    </row>
    <row r="108" spans="1:26" ht="15.6" x14ac:dyDescent="0.25">
      <c r="A108" s="48">
        <v>46</v>
      </c>
      <c r="B108" s="17" t="s">
        <v>767</v>
      </c>
      <c r="C108" s="48">
        <v>202</v>
      </c>
      <c r="D108" s="49" t="s">
        <v>1407</v>
      </c>
      <c r="E108" s="48" t="s">
        <v>65</v>
      </c>
      <c r="F108" s="50"/>
      <c r="G108" s="20">
        <v>0</v>
      </c>
      <c r="H108" s="38">
        <v>19.100000000000001</v>
      </c>
      <c r="I108" s="32">
        <f>IF(B108="高三",IF($E108="男",LOOKUP(H108,[1]对照表!$K$3:$K$24,[1]对照表!$L$3:$L$24),LOOKUP(H108,[1]对照表!$K$27:$K$48,[1]对照表!$L$27:$L$48)),IF(B108="高二",IF($E108="男",LOOKUP(H108,[1]对照表!$J$3:$J$24,[1]对照表!$L$3:$L$24),LOOKUP(H108,[1]对照表!$J$27:$J$48,[1]对照表!$L$27:$L$48)),IF(B108="高一",IF($E108="男",LOOKUP(H108,[1]对照表!$I$3:$I$24,[1]对照表!$L$3:$L$24),LOOKUP(H108,[1]对照表!$I$27:$I$48,[1]对照表!$L$27:$L$48)))))</f>
        <v>80</v>
      </c>
      <c r="J108" s="38">
        <v>176</v>
      </c>
      <c r="K108" s="32">
        <f>IF(B108="高三",IF($E108="男",LOOKUP(J108,[1]对照表!$O$3:$O$24,[1]对照表!$P$3:$P$24),LOOKUP(J108,[1]对照表!$O$27:$O$48,[1]对照表!$P$27:$P$48)),IF(B108="高二",IF($E108="男",LOOKUP(J108,[1]对照表!$N$3:$N$24,[1]对照表!$P$3:$P$24),LOOKUP(J108,[1]对照表!$N$27:$N$48,[1]对照表!$P$27:$P$48)),IF(B108="高一",IF($E108="男",LOOKUP(J108,[1]对照表!$M$3:$M$24,[1]对照表!$P$3:$P$24),LOOKUP(J108,[1]对照表!$M$27:$M$48,[1]对照表!$P$27:$P$48)))))</f>
        <v>78</v>
      </c>
      <c r="L108" s="38"/>
      <c r="M108" s="20">
        <v>0</v>
      </c>
      <c r="N108" s="33">
        <f>IF(B108="高三",MAX(IF(E108="男",L108-18,L108-55),0),IF(B108="高二",MAX(IF(E108="男",L108-17,L108-54),0),IF(B108="高一",MAX(IF(E108="男",L108-16,L108-53),0))))</f>
        <v>0</v>
      </c>
      <c r="O108" s="23">
        <f>IF(E108="男",LOOKUP($N108,[1]对照表!$Z$3:$Z$13,[1]对照表!$AA$3:$AA$13),LOOKUP($N108,[1]对照表!$Z$15:$Z$25,[1]对照表!$AA$15:$AA$25))</f>
        <v>0</v>
      </c>
      <c r="P108" s="25">
        <f>M108+O108</f>
        <v>0</v>
      </c>
      <c r="Q108" s="50"/>
      <c r="R108" s="20">
        <v>0</v>
      </c>
      <c r="S108" s="22">
        <v>0</v>
      </c>
      <c r="T108" s="23">
        <f>IF(E108="男",LOOKUP($S108,[1]对照表!$AB$3:$AB$13,[1]对照表!$AC$3:$AC$13),LOOKUP($S108,[1]对照表!$AB$15:$AB$25,[1]对照表!$AC$15:$AC$25))</f>
        <v>0</v>
      </c>
      <c r="U108" s="26">
        <f>R108+T108</f>
        <v>0</v>
      </c>
      <c r="V108" s="26">
        <f>SUM(I108,K108,M108)/3*0.3+SUM(G108,R108)/2*0.4</f>
        <v>15.799999999999999</v>
      </c>
      <c r="W108" s="27">
        <f>O108+T108</f>
        <v>0</v>
      </c>
      <c r="X108" s="28">
        <f>V108/0.7+W108</f>
        <v>22.571428571428573</v>
      </c>
      <c r="Y108" s="29">
        <v>50</v>
      </c>
      <c r="Z108" s="38" t="s">
        <v>578</v>
      </c>
    </row>
    <row r="109" spans="1:26" ht="15.6" customHeight="1" x14ac:dyDescent="0.25">
      <c r="A109" s="48">
        <v>6</v>
      </c>
      <c r="B109" s="17" t="s">
        <v>767</v>
      </c>
      <c r="C109" s="48">
        <v>202</v>
      </c>
      <c r="D109" s="49" t="s">
        <v>1455</v>
      </c>
      <c r="E109" s="48" t="s">
        <v>23</v>
      </c>
      <c r="F109" s="50">
        <v>7.9</v>
      </c>
      <c r="G109" s="32">
        <f>IF(B109="高三",IF($E109="男",LOOKUP(F109,[1]对照表!$G$3:$G$24,[1]对照表!$H$3:$H$24),LOOKUP(F109,[1]对照表!$G$27:$G$48,[1]对照表!$H$27:$H$48)),IF(B109="高二",IF($E109="男",LOOKUP(F109,[1]对照表!$F$3:$F$24,[1]对照表!$H$3:$H$24),LOOKUP(F109,[1]对照表!$F$27:$F$48,[1]对照表!$H$27:$H$48)),IF(B109="高一",IF($E109="男",LOOKUP(F109,[1]对照表!$E$3:$E$24,[1]对照表!$H$3:$H$24),LOOKUP(F109,[1]对照表!$E$27:$E$48,[1]对照表!$H$27:$H$48)))))</f>
        <v>74</v>
      </c>
      <c r="H109" s="38">
        <v>-2</v>
      </c>
      <c r="I109" s="32">
        <f>IF(B109="高三",IF($E109="男",LOOKUP(H109,[1]对照表!$K$3:$K$24,[1]对照表!$L$3:$L$24),LOOKUP(H109,[1]对照表!$K$27:$K$48,[1]对照表!$L$27:$L$48)),IF(B109="高二",IF($E109="男",LOOKUP(H109,[1]对照表!$J$3:$J$24,[1]对照表!$L$3:$L$24),LOOKUP(H109,[1]对照表!$J$27:$J$48,[1]对照表!$L$27:$L$48)),IF(B109="高一",IF($E109="男",LOOKUP(H109,[1]对照表!$I$3:$I$24,[1]对照表!$L$3:$L$24),LOOKUP(H109,[1]对照表!$I$27:$I$48,[1]对照表!$L$27:$L$48)))))</f>
        <v>10</v>
      </c>
      <c r="J109" s="38">
        <v>180</v>
      </c>
      <c r="K109" s="32">
        <f>IF(B109="高三",IF($E109="男",LOOKUP(J109,[1]对照表!$O$3:$O$24,[1]对照表!$P$3:$P$24),LOOKUP(J109,[1]对照表!$O$27:$O$48,[1]对照表!$P$27:$P$48)),IF(B109="高二",IF($E109="男",LOOKUP(J109,[1]对照表!$N$3:$N$24,[1]对照表!$P$3:$P$24),LOOKUP(J109,[1]对照表!$N$27:$N$48,[1]对照表!$P$27:$P$48)),IF(B109="高一",IF($E109="男",LOOKUP(J109,[1]对照表!$M$3:$M$24,[1]对照表!$P$3:$P$24),LOOKUP(J109,[1]对照表!$M$27:$M$48,[1]对照表!$P$27:$P$48)))))</f>
        <v>20</v>
      </c>
      <c r="L109" s="38">
        <v>0</v>
      </c>
      <c r="M109" s="32">
        <f>IF(B109="高三",IF($E109="男",LOOKUP(L109,[1]对照表!$S$3:$S$24,[1]对照表!$T$3:$T$24),LOOKUP(L109,[1]对照表!$S$27:$S$48,[1]对照表!$T$27:$T$48)),IF(B109="高二",IF($E109="男",LOOKUP(L109,[1]对照表!$R$3:$R$24,[1]对照表!$T$3:$T$24),LOOKUP(L109,[1]对照表!$R$27:$R$48,[1]对照表!$T$27:$T$48)),IF(B109="高一",IF($E109="男",LOOKUP(L109,[1]对照表!$Q$3:$Q$24,[1]对照表!$T$3:$T$24),LOOKUP(L109,[1]对照表!$Q$27:$Q$48,[1]对照表!$T$27:$T$48)))))</f>
        <v>0</v>
      </c>
      <c r="N109" s="33">
        <f>IF(B109="高三",MAX(IF(E109="男",L109-18,L109-55),0),IF(B109="高二",MAX(IF(E109="男",L109-17,L109-54),0),IF(B109="高一",MAX(IF(E109="男",L109-16,L109-53),0))))</f>
        <v>0</v>
      </c>
      <c r="O109" s="23">
        <f>IF(E109="男",LOOKUP($N109,[1]对照表!$Z$3:$Z$13,[1]对照表!$AA$3:$AA$13),LOOKUP($N109,[1]对照表!$Z$15:$Z$25,[1]对照表!$AA$15:$AA$25))</f>
        <v>0</v>
      </c>
      <c r="P109" s="25">
        <f>M109+O109</f>
        <v>0</v>
      </c>
      <c r="Q109" s="50">
        <v>4.58</v>
      </c>
      <c r="R109" s="32">
        <f>IF(B109="高三",IF($E109="男",LOOKUP(Q109,[1]对照表!$W$3:$W$24,[1]对照表!$X$3:$X$24),LOOKUP(Q109,[1]对照表!$W$27:$W$48,[1]对照表!$X$27:$X$48)),IF(B109="高二",IF($E109="男",LOOKUP(Q109,[1]对照表!$V$3:$V$24,[1]对照表!$X$3:$X$24),LOOKUP(Q109,[1]对照表!$V$27:$V$48,[1]对照表!$X$27:$X$48)),IF(B109="高一",IF($E109="男",LOOKUP(Q109,[1]对照表!$U$3:$U$24,[1]对照表!$X$3:$X$24),LOOKUP(Q109,[1]对照表!$U$27:$U$48,[1]对照表!$X$27:$X$48)))))</f>
        <v>50</v>
      </c>
      <c r="S109" s="27">
        <f>ROUND(IF(IF($B109="高三",MIN(IF($E109="男",$Q109-3.2,$Q109-3.2),0),IF($B109="高二",MIN(IF($E109="男",$Q109-3.25,$Q109-3.22),0),IF($B109="高一",MIN(IF($E109="男",$Q109-3.3,$Q109-3.24),0))))&lt;-0.6,IF($B109="高三",MIN(IF($E109="男",$Q109-3.2,$Q109-3.2),0),IF($B109="高二",MIN(IF($E109="男",$Q109-3.25,$Q109-3.22),0),IF($B109="高一",MIN(IF($E109="男",$Q109-3.3,$Q109-3.24),0))))+0.4,IF($B109="高三",MIN(IF($E109="男",$Q109-3.2,$Q109-3.2),0),IF($B109="高二",MIN(IF($E109="男",$Q109-3.25,$Q109-3.22),0),IF($B109="高一",MIN(IF($E109="男",$Q109-3.3,$Q109-3.24),0))))),2)</f>
        <v>0</v>
      </c>
      <c r="T109" s="23">
        <f>IF(E109="男",LOOKUP($S109,[1]对照表!$AB$3:$AB$13,[1]对照表!$AC$3:$AC$13),LOOKUP($S109,[1]对照表!$AB$15:$AB$25,[1]对照表!$AC$15:$AC$25))</f>
        <v>0</v>
      </c>
      <c r="U109" s="26">
        <f>R109+T109</f>
        <v>50</v>
      </c>
      <c r="V109" s="26">
        <f>SUM(I109,K109,M109)/3*0.3+SUM(G109,R109)/2*0.4</f>
        <v>27.8</v>
      </c>
      <c r="W109" s="27">
        <f>O109+T109</f>
        <v>0</v>
      </c>
      <c r="X109" s="28">
        <f>V109/0.7+W109</f>
        <v>39.714285714285715</v>
      </c>
      <c r="Y109" s="29">
        <v>50</v>
      </c>
      <c r="Z109" s="38"/>
    </row>
    <row r="110" spans="1:26" ht="15.6" x14ac:dyDescent="0.25">
      <c r="A110" s="48">
        <v>3</v>
      </c>
      <c r="B110" s="17" t="s">
        <v>767</v>
      </c>
      <c r="C110" s="48">
        <v>202</v>
      </c>
      <c r="D110" s="49" t="s">
        <v>1466</v>
      </c>
      <c r="E110" s="48" t="s">
        <v>23</v>
      </c>
      <c r="F110" s="50"/>
      <c r="G110" s="20">
        <v>0</v>
      </c>
      <c r="H110" s="38"/>
      <c r="I110" s="20">
        <v>0</v>
      </c>
      <c r="J110" s="38"/>
      <c r="K110" s="20">
        <v>0</v>
      </c>
      <c r="L110" s="38"/>
      <c r="M110" s="20">
        <v>0</v>
      </c>
      <c r="N110" s="33">
        <f>IF(B110="高三",MAX(IF(E110="男",L110-18,L110-55),0),IF(B110="高二",MAX(IF(E110="男",L110-17,L110-54),0),IF(B110="高一",MAX(IF(E110="男",L110-16,L110-53),0))))</f>
        <v>0</v>
      </c>
      <c r="O110" s="23">
        <f>IF(E110="男",LOOKUP($N110,[1]对照表!$Z$3:$Z$13,[1]对照表!$AA$3:$AA$13),LOOKUP($N110,[1]对照表!$Z$15:$Z$25,[1]对照表!$AA$15:$AA$25))</f>
        <v>0</v>
      </c>
      <c r="P110" s="25">
        <f>M110+O110</f>
        <v>0</v>
      </c>
      <c r="Q110" s="50"/>
      <c r="R110" s="20">
        <v>0</v>
      </c>
      <c r="S110" s="20">
        <v>0</v>
      </c>
      <c r="T110" s="23">
        <f>IF(E110="男",LOOKUP($S110,[1]对照表!$AB$3:$AB$13,[1]对照表!$AC$3:$AC$13),LOOKUP($S110,[1]对照表!$AB$15:$AB$25,[1]对照表!$AC$15:$AC$25))</f>
        <v>0</v>
      </c>
      <c r="U110" s="26">
        <f>R110+T110</f>
        <v>0</v>
      </c>
      <c r="V110" s="26">
        <f>SUM(I110,K110,M110)/3*0.3+SUM(G110,R110)/2*0.4</f>
        <v>0</v>
      </c>
      <c r="W110" s="27">
        <f>O110+T110</f>
        <v>0</v>
      </c>
      <c r="X110" s="28">
        <f>V110/0.7+W110</f>
        <v>0</v>
      </c>
      <c r="Y110" s="29">
        <v>50</v>
      </c>
      <c r="Z110" s="38" t="s">
        <v>578</v>
      </c>
    </row>
    <row r="111" spans="1:26" ht="15.6" customHeight="1" x14ac:dyDescent="0.25">
      <c r="A111" s="48">
        <v>53</v>
      </c>
      <c r="B111" s="17" t="s">
        <v>767</v>
      </c>
      <c r="C111" s="48">
        <v>202</v>
      </c>
      <c r="D111" s="49" t="s">
        <v>1467</v>
      </c>
      <c r="E111" s="48" t="s">
        <v>65</v>
      </c>
      <c r="F111" s="50"/>
      <c r="G111" s="20">
        <v>0</v>
      </c>
      <c r="H111" s="38"/>
      <c r="I111" s="20">
        <v>0</v>
      </c>
      <c r="J111" s="38"/>
      <c r="K111" s="20">
        <v>0</v>
      </c>
      <c r="L111" s="38"/>
      <c r="M111" s="20">
        <v>0</v>
      </c>
      <c r="N111" s="33">
        <f>IF(B111="高三",MAX(IF(E111="男",L111-18,L111-55),0),IF(B111="高二",MAX(IF(E111="男",L111-17,L111-54),0),IF(B111="高一",MAX(IF(E111="男",L111-16,L111-53),0))))</f>
        <v>0</v>
      </c>
      <c r="O111" s="23">
        <f>IF(E111="男",LOOKUP($N111,[1]对照表!$Z$3:$Z$13,[1]对照表!$AA$3:$AA$13),LOOKUP($N111,[1]对照表!$Z$15:$Z$25,[1]对照表!$AA$15:$AA$25))</f>
        <v>0</v>
      </c>
      <c r="P111" s="25">
        <f>M111+O111</f>
        <v>0</v>
      </c>
      <c r="Q111" s="50"/>
      <c r="R111" s="20">
        <v>0</v>
      </c>
      <c r="S111" s="20">
        <v>0</v>
      </c>
      <c r="T111" s="23">
        <f>IF(E111="男",LOOKUP($S111,[1]对照表!$AB$3:$AB$13,[1]对照表!$AC$3:$AC$13),LOOKUP($S111,[1]对照表!$AB$15:$AB$25,[1]对照表!$AC$15:$AC$25))</f>
        <v>0</v>
      </c>
      <c r="U111" s="26">
        <f>R111+T111</f>
        <v>0</v>
      </c>
      <c r="V111" s="26">
        <f>SUM(I111,K111,M111)/3*0.3+SUM(G111,R111)/2*0.4</f>
        <v>0</v>
      </c>
      <c r="W111" s="27">
        <f>O111+T111</f>
        <v>0</v>
      </c>
      <c r="X111" s="28">
        <f>V111/0.7+W111</f>
        <v>0</v>
      </c>
      <c r="Y111" s="29">
        <v>50</v>
      </c>
      <c r="Z111" s="38" t="s">
        <v>578</v>
      </c>
    </row>
    <row r="112" spans="1:26" ht="15.6" x14ac:dyDescent="0.25">
      <c r="A112" s="48">
        <v>55</v>
      </c>
      <c r="B112" s="17" t="s">
        <v>767</v>
      </c>
      <c r="C112" s="48">
        <v>202</v>
      </c>
      <c r="D112" s="49" t="s">
        <v>1468</v>
      </c>
      <c r="E112" s="48" t="s">
        <v>65</v>
      </c>
      <c r="F112" s="50"/>
      <c r="G112" s="20">
        <v>0</v>
      </c>
      <c r="H112" s="38"/>
      <c r="I112" s="20">
        <v>0</v>
      </c>
      <c r="J112" s="38"/>
      <c r="K112" s="20">
        <v>0</v>
      </c>
      <c r="L112" s="38"/>
      <c r="M112" s="20">
        <v>0</v>
      </c>
      <c r="N112" s="33">
        <f>IF(B112="高三",MAX(IF(E112="男",L112-18,L112-55),0),IF(B112="高二",MAX(IF(E112="男",L112-17,L112-54),0),IF(B112="高一",MAX(IF(E112="男",L112-16,L112-53),0))))</f>
        <v>0</v>
      </c>
      <c r="O112" s="23">
        <f>IF(E112="男",LOOKUP($N112,[1]对照表!$Z$3:$Z$13,[1]对照表!$AA$3:$AA$13),LOOKUP($N112,[1]对照表!$Z$15:$Z$25,[1]对照表!$AA$15:$AA$25))</f>
        <v>0</v>
      </c>
      <c r="P112" s="25">
        <f>M112+O112</f>
        <v>0</v>
      </c>
      <c r="Q112" s="50"/>
      <c r="R112" s="20">
        <v>0</v>
      </c>
      <c r="S112" s="22">
        <v>0</v>
      </c>
      <c r="T112" s="23">
        <f>IF(E112="男",LOOKUP($S112,[1]对照表!$AB$3:$AB$13,[1]对照表!$AC$3:$AC$13),LOOKUP($S112,[1]对照表!$AB$15:$AB$25,[1]对照表!$AC$15:$AC$25))</f>
        <v>0</v>
      </c>
      <c r="U112" s="26">
        <f>R112+T112</f>
        <v>0</v>
      </c>
      <c r="V112" s="26">
        <f>SUM(I112,K112,M112)/3*0.3+SUM(G112,R112)/2*0.4</f>
        <v>0</v>
      </c>
      <c r="W112" s="27">
        <f>O112+T112</f>
        <v>0</v>
      </c>
      <c r="X112" s="28">
        <f>V112/0.7+W112</f>
        <v>0</v>
      </c>
      <c r="Y112" s="29">
        <v>50</v>
      </c>
      <c r="Z112" s="38"/>
    </row>
    <row r="113" spans="1:26" ht="15.6" x14ac:dyDescent="0.25">
      <c r="A113" s="48">
        <v>58</v>
      </c>
      <c r="B113" s="17" t="s">
        <v>767</v>
      </c>
      <c r="C113" s="48">
        <v>203</v>
      </c>
      <c r="D113" s="58" t="s">
        <v>897</v>
      </c>
      <c r="E113" s="48" t="s">
        <v>65</v>
      </c>
      <c r="F113" s="50">
        <v>8.7200000000000006</v>
      </c>
      <c r="G113" s="32">
        <f>IF(B113="高三",IF($E113="男",LOOKUP(F113,[1]对照表!$G$3:$G$24,[1]对照表!$H$3:$H$24),LOOKUP(F113,[1]对照表!$G$27:$G$48,[1]对照表!$H$27:$H$48)),IF(B113="高二",IF($E113="男",LOOKUP(F113,[1]对照表!$F$3:$F$24,[1]对照表!$H$3:$H$24),LOOKUP(F113,[1]对照表!$F$27:$F$48,[1]对照表!$H$27:$H$48)),IF(B113="高一",IF($E113="男",LOOKUP(F113,[1]对照表!$E$3:$E$24,[1]对照表!$H$3:$H$24),LOOKUP(F113,[1]对照表!$E$27:$E$48,[1]对照表!$H$27:$H$48)))))</f>
        <v>76</v>
      </c>
      <c r="H113" s="38">
        <v>19</v>
      </c>
      <c r="I113" s="32">
        <f>IF(B113="高三",IF($E113="男",LOOKUP(H113,[1]对照表!$K$3:$K$24,[1]对照表!$L$3:$L$24),LOOKUP(H113,[1]对照表!$K$27:$K$48,[1]对照表!$L$27:$L$48)),IF(B113="高二",IF($E113="男",LOOKUP(H113,[1]对照表!$J$3:$J$24,[1]对照表!$L$3:$L$24),LOOKUP(H113,[1]对照表!$J$27:$J$48,[1]对照表!$L$27:$L$48)),IF(B113="高一",IF($E113="男",LOOKUP(H113,[1]对照表!$I$3:$I$24,[1]对照表!$L$3:$L$24),LOOKUP(H113,[1]对照表!$I$27:$I$48,[1]对照表!$L$27:$L$48)))))</f>
        <v>80</v>
      </c>
      <c r="J113" s="38">
        <v>180</v>
      </c>
      <c r="K113" s="32">
        <f>IF(B113="高三",IF($E113="男",LOOKUP(J113,[1]对照表!$O$3:$O$24,[1]对照表!$P$3:$P$24),LOOKUP(J113,[1]对照表!$O$27:$O$48,[1]对照表!$P$27:$P$48)),IF(B113="高二",IF($E113="男",LOOKUP(J113,[1]对照表!$N$3:$N$24,[1]对照表!$P$3:$P$24),LOOKUP(J113,[1]对照表!$N$27:$N$48,[1]对照表!$P$27:$P$48)),IF(B113="高一",IF($E113="男",LOOKUP(J113,[1]对照表!$M$3:$M$24,[1]对照表!$P$3:$P$24),LOOKUP(J113,[1]对照表!$M$27:$M$48,[1]对照表!$P$27:$P$48)))))</f>
        <v>80</v>
      </c>
      <c r="L113" s="38">
        <v>53</v>
      </c>
      <c r="M113" s="32">
        <f>IF(B113="高三",IF($E113="男",LOOKUP(L113,[1]对照表!$S$3:$S$24,[1]对照表!$T$3:$T$24),LOOKUP(L113,[1]对照表!$S$27:$S$48,[1]对照表!$T$27:$T$48)),IF(B113="高二",IF($E113="男",LOOKUP(L113,[1]对照表!$R$3:$R$24,[1]对照表!$T$3:$T$24),LOOKUP(L113,[1]对照表!$R$27:$R$48,[1]对照表!$T$27:$T$48)),IF(B113="高一",IF($E113="男",LOOKUP(L113,[1]对照表!$Q$3:$Q$24,[1]对照表!$T$3:$T$24),LOOKUP(L113,[1]对照表!$Q$27:$Q$48,[1]对照表!$T$27:$T$48)))))</f>
        <v>95</v>
      </c>
      <c r="N113" s="33">
        <f>IF(B113="高三",MAX(IF(E113="男",L113-18,L113-55),0),IF(B113="高二",MAX(IF(E113="男",L113-17,L113-54),0),IF(B113="高一",MAX(IF(E113="男",L113-16,L113-53),0))))</f>
        <v>0</v>
      </c>
      <c r="O113" s="23">
        <f>IF(E113="男",LOOKUP($N113,[1]对照表!$Z$3:$Z$13,[1]对照表!$AA$3:$AA$13),LOOKUP($N113,[1]对照表!$Z$15:$Z$25,[1]对照表!$AA$15:$AA$25))</f>
        <v>0</v>
      </c>
      <c r="P113" s="25">
        <f>M113+O113</f>
        <v>95</v>
      </c>
      <c r="Q113" s="50">
        <v>3.21</v>
      </c>
      <c r="R113" s="32">
        <f>IF(B113="高三",IF($E113="男",LOOKUP(Q113,[1]对照表!$W$3:$W$24,[1]对照表!$X$3:$X$24),LOOKUP(Q113,[1]对照表!$W$27:$W$48,[1]对照表!$X$27:$X$48)),IF(B113="高二",IF($E113="男",LOOKUP(Q113,[1]对照表!$V$3:$V$24,[1]对照表!$X$3:$X$24),LOOKUP(Q113,[1]对照表!$V$27:$V$48,[1]对照表!$X$27:$X$48)),IF(B113="高一",IF($E113="男",LOOKUP(Q113,[1]对照表!$U$3:$U$24,[1]对照表!$X$3:$X$24),LOOKUP(Q113,[1]对照表!$U$27:$U$48,[1]对照表!$X$27:$X$48)))))</f>
        <v>100</v>
      </c>
      <c r="S113" s="33">
        <f>ROUND(IF(IF($B113="高三",MIN(IF($E113="男",$Q113-3.2,$Q113-3.2),0),IF($B113="高二",MIN(IF($E113="男",$Q113-3.25,$Q113-3.22),0),IF($B113="高一",MIN(IF($E113="男",$Q113-3.3,$Q113-3.24),0))))&lt;-0.6,IF($B113="高三",MIN(IF($E113="男",$Q113-3.2,$Q113-3.2),0),IF($B113="高二",MIN(IF($E113="男",$Q113-3.25,$Q113-3.22),0),IF($B113="高一",MIN(IF($E113="男",$Q113-3.3,$Q113-3.24),0))))+0.4,IF($B113="高三",MIN(IF($E113="男",$Q113-3.2,$Q113-3.2),0),IF($B113="高二",MIN(IF($E113="男",$Q113-3.25,$Q113-3.22),0),IF($B113="高一",MIN(IF($E113="男",$Q113-3.3,$Q113-3.24),0))))),2)</f>
        <v>-0.01</v>
      </c>
      <c r="T113" s="23">
        <f>IF(E113="男",LOOKUP($S113,[1]对照表!$AB$3:$AB$13,[1]对照表!$AC$3:$AC$13),LOOKUP($S113,[1]对照表!$AB$15:$AB$25,[1]对照表!$AC$15:$AC$25))</f>
        <v>0</v>
      </c>
      <c r="U113" s="26">
        <f>R113+T113</f>
        <v>100</v>
      </c>
      <c r="V113" s="26">
        <f>SUM(I113,K113,M113)/3*0.3+SUM(G113,R113)/2*0.4</f>
        <v>60.7</v>
      </c>
      <c r="W113" s="27">
        <f>O113+T113</f>
        <v>0</v>
      </c>
      <c r="X113" s="28">
        <f>V113/0.7+W113</f>
        <v>86.714285714285722</v>
      </c>
      <c r="Y113" s="28">
        <f>X113</f>
        <v>86.714285714285722</v>
      </c>
      <c r="Z113" s="38"/>
    </row>
    <row r="114" spans="1:26" ht="15.6" x14ac:dyDescent="0.25">
      <c r="A114" s="48">
        <v>24</v>
      </c>
      <c r="B114" s="17" t="s">
        <v>767</v>
      </c>
      <c r="C114" s="48">
        <v>203</v>
      </c>
      <c r="D114" s="49" t="s">
        <v>903</v>
      </c>
      <c r="E114" s="48" t="s">
        <v>65</v>
      </c>
      <c r="F114" s="50">
        <v>8.8000000000000007</v>
      </c>
      <c r="G114" s="32">
        <f>IF(B114="高三",IF($E114="男",LOOKUP(F114,[1]对照表!$G$3:$G$24,[1]对照表!$H$3:$H$24),LOOKUP(F114,[1]对照表!$G$27:$G$48,[1]对照表!$H$27:$H$48)),IF(B114="高二",IF($E114="男",LOOKUP(F114,[1]对照表!$F$3:$F$24,[1]对照表!$H$3:$H$24),LOOKUP(F114,[1]对照表!$F$27:$F$48,[1]对照表!$H$27:$H$48)),IF(B114="高一",IF($E114="男",LOOKUP(F114,[1]对照表!$E$3:$E$24,[1]对照表!$H$3:$H$24),LOOKUP(F114,[1]对照表!$E$27:$E$48,[1]对照表!$H$27:$H$48)))))</f>
        <v>76</v>
      </c>
      <c r="H114" s="38">
        <v>23</v>
      </c>
      <c r="I114" s="32">
        <f>IF(B114="高三",IF($E114="男",LOOKUP(H114,[1]对照表!$K$3:$K$24,[1]对照表!$L$3:$L$24),LOOKUP(H114,[1]对照表!$K$27:$K$48,[1]对照表!$L$27:$L$48)),IF(B114="高二",IF($E114="男",LOOKUP(H114,[1]对照表!$J$3:$J$24,[1]对照表!$L$3:$L$24),LOOKUP(H114,[1]对照表!$J$27:$J$48,[1]对照表!$L$27:$L$48)),IF(B114="高一",IF($E114="男",LOOKUP(H114,[1]对照表!$I$3:$I$24,[1]对照表!$L$3:$L$24),LOOKUP(H114,[1]对照表!$I$27:$I$48,[1]对照表!$L$27:$L$48)))))</f>
        <v>90</v>
      </c>
      <c r="J114" s="38">
        <v>160</v>
      </c>
      <c r="K114" s="32">
        <f>IF(B114="高三",IF($E114="男",LOOKUP(J114,[1]对照表!$O$3:$O$24,[1]对照表!$P$3:$P$24),LOOKUP(J114,[1]对照表!$O$27:$O$48,[1]对照表!$P$27:$P$48)),IF(B114="高二",IF($E114="男",LOOKUP(J114,[1]对照表!$N$3:$N$24,[1]对照表!$P$3:$P$24),LOOKUP(J114,[1]对照表!$N$27:$N$48,[1]对照表!$P$27:$P$48)),IF(B114="高一",IF($E114="男",LOOKUP(J114,[1]对照表!$M$3:$M$24,[1]对照表!$P$3:$P$24),LOOKUP(J114,[1]对照表!$M$27:$M$48,[1]对照表!$P$27:$P$48)))))</f>
        <v>66</v>
      </c>
      <c r="L114" s="38">
        <v>50</v>
      </c>
      <c r="M114" s="32">
        <f>IF(B114="高三",IF($E114="男",LOOKUP(L114,[1]对照表!$S$3:$S$24,[1]对照表!$T$3:$T$24),LOOKUP(L114,[1]对照表!$S$27:$S$48,[1]对照表!$T$27:$T$48)),IF(B114="高二",IF($E114="男",LOOKUP(L114,[1]对照表!$R$3:$R$24,[1]对照表!$T$3:$T$24),LOOKUP(L114,[1]对照表!$R$27:$R$48,[1]对照表!$T$27:$T$48)),IF(B114="高一",IF($E114="男",LOOKUP(L114,[1]对照表!$Q$3:$Q$24,[1]对照表!$T$3:$T$24),LOOKUP(L114,[1]对照表!$Q$27:$Q$48,[1]对照表!$T$27:$T$48)))))</f>
        <v>90</v>
      </c>
      <c r="N114" s="33">
        <f>IF(B114="高三",MAX(IF(E114="男",L114-18,L114-55),0),IF(B114="高二",MAX(IF(E114="男",L114-17,L114-54),0),IF(B114="高一",MAX(IF(E114="男",L114-16,L114-53),0))))</f>
        <v>0</v>
      </c>
      <c r="O114" s="23">
        <f>IF(E114="男",LOOKUP($N114,[1]对照表!$Z$3:$Z$13,[1]对照表!$AA$3:$AA$13),LOOKUP($N114,[1]对照表!$Z$15:$Z$25,[1]对照表!$AA$15:$AA$25))</f>
        <v>0</v>
      </c>
      <c r="P114" s="25">
        <f>M114+O114</f>
        <v>90</v>
      </c>
      <c r="Q114" s="50">
        <v>3.16</v>
      </c>
      <c r="R114" s="32">
        <f>IF(B114="高三",IF($E114="男",LOOKUP(Q114,[1]对照表!$W$3:$W$24,[1]对照表!$X$3:$X$24),LOOKUP(Q114,[1]对照表!$W$27:$W$48,[1]对照表!$X$27:$X$48)),IF(B114="高二",IF($E114="男",LOOKUP(Q114,[1]对照表!$V$3:$V$24,[1]对照表!$X$3:$X$24),LOOKUP(Q114,[1]对照表!$V$27:$V$48,[1]对照表!$X$27:$X$48)),IF(B114="高一",IF($E114="男",LOOKUP(Q114,[1]对照表!$U$3:$U$24,[1]对照表!$X$3:$X$24),LOOKUP(Q114,[1]对照表!$U$27:$U$48,[1]对照表!$X$27:$X$48)))))</f>
        <v>100</v>
      </c>
      <c r="S114" s="33">
        <f>ROUND(IF(IF($B114="高三",MIN(IF($E114="男",$Q114-3.2,$Q114-3.2),0),IF($B114="高二",MIN(IF($E114="男",$Q114-3.25,$Q114-3.22),0),IF($B114="高一",MIN(IF($E114="男",$Q114-3.3,$Q114-3.24),0))))&lt;-0.6,IF($B114="高三",MIN(IF($E114="男",$Q114-3.2,$Q114-3.2),0),IF($B114="高二",MIN(IF($E114="男",$Q114-3.25,$Q114-3.22),0),IF($B114="高一",MIN(IF($E114="男",$Q114-3.3,$Q114-3.24),0))))+0.4,IF($B114="高三",MIN(IF($E114="男",$Q114-3.2,$Q114-3.2),0),IF($B114="高二",MIN(IF($E114="男",$Q114-3.25,$Q114-3.22),0),IF($B114="高一",MIN(IF($E114="男",$Q114-3.3,$Q114-3.24),0))))),2)</f>
        <v>-0.06</v>
      </c>
      <c r="T114" s="23">
        <f>IF(E114="男",LOOKUP($S114,[1]对照表!$AB$3:$AB$13,[1]对照表!$AC$3:$AC$13),LOOKUP($S114,[1]对照表!$AB$15:$AB$25,[1]对照表!$AC$15:$AC$25))</f>
        <v>1</v>
      </c>
      <c r="U114" s="26">
        <f>R114+T114</f>
        <v>101</v>
      </c>
      <c r="V114" s="26">
        <f>SUM(I114,K114,M114)/3*0.3+SUM(G114,R114)/2*0.4</f>
        <v>59.8</v>
      </c>
      <c r="W114" s="27">
        <f>O114+T114</f>
        <v>1</v>
      </c>
      <c r="X114" s="28">
        <f>V114/0.7+W114</f>
        <v>86.428571428571431</v>
      </c>
      <c r="Y114" s="28">
        <f>X114</f>
        <v>86.428571428571431</v>
      </c>
      <c r="Z114" s="38"/>
    </row>
    <row r="115" spans="1:26" ht="15.6" x14ac:dyDescent="0.25">
      <c r="A115" s="48">
        <v>43</v>
      </c>
      <c r="B115" s="17" t="s">
        <v>767</v>
      </c>
      <c r="C115" s="48">
        <v>203</v>
      </c>
      <c r="D115" s="49" t="s">
        <v>920</v>
      </c>
      <c r="E115" s="48" t="s">
        <v>65</v>
      </c>
      <c r="F115" s="50">
        <v>8.9600000000000009</v>
      </c>
      <c r="G115" s="32">
        <f>IF(B115="高三",IF($E115="男",LOOKUP(F115,[1]对照表!$G$3:$G$24,[1]对照表!$H$3:$H$24),LOOKUP(F115,[1]对照表!$G$27:$G$48,[1]对照表!$H$27:$H$48)),IF(B115="高二",IF($E115="男",LOOKUP(F115,[1]对照表!$F$3:$F$24,[1]对照表!$H$3:$H$24),LOOKUP(F115,[1]对照表!$F$27:$F$48,[1]对照表!$H$27:$H$48)),IF(B115="高一",IF($E115="男",LOOKUP(F115,[1]对照表!$E$3:$E$24,[1]对照表!$H$3:$H$24),LOOKUP(F115,[1]对照表!$E$27:$E$48,[1]对照表!$H$27:$H$48)))))</f>
        <v>74</v>
      </c>
      <c r="H115" s="38">
        <v>19.5</v>
      </c>
      <c r="I115" s="32">
        <f>IF(B115="高三",IF($E115="男",LOOKUP(H115,[1]对照表!$K$3:$K$24,[1]对照表!$L$3:$L$24),LOOKUP(H115,[1]对照表!$K$27:$K$48,[1]对照表!$L$27:$L$48)),IF(B115="高二",IF($E115="男",LOOKUP(H115,[1]对照表!$J$3:$J$24,[1]对照表!$L$3:$L$24),LOOKUP(H115,[1]对照表!$J$27:$J$48,[1]对照表!$L$27:$L$48)),IF(B115="高一",IF($E115="男",LOOKUP(H115,[1]对照表!$I$3:$I$24,[1]对照表!$L$3:$L$24),LOOKUP(H115,[1]对照表!$I$27:$I$48,[1]对照表!$L$27:$L$48)))))</f>
        <v>80</v>
      </c>
      <c r="J115" s="38">
        <v>172</v>
      </c>
      <c r="K115" s="32">
        <f>IF(B115="高三",IF($E115="男",LOOKUP(J115,[1]对照表!$O$3:$O$24,[1]对照表!$P$3:$P$24),LOOKUP(J115,[1]对照表!$O$27:$O$48,[1]对照表!$P$27:$P$48)),IF(B115="高二",IF($E115="男",LOOKUP(J115,[1]对照表!$N$3:$N$24,[1]对照表!$P$3:$P$24),LOOKUP(J115,[1]对照表!$N$27:$N$48,[1]对照表!$P$27:$P$48)),IF(B115="高一",IF($E115="男",LOOKUP(J115,[1]对照表!$M$3:$M$24,[1]对照表!$P$3:$P$24),LOOKUP(J115,[1]对照表!$M$27:$M$48,[1]对照表!$P$27:$P$48)))))</f>
        <v>74</v>
      </c>
      <c r="L115" s="38">
        <v>56</v>
      </c>
      <c r="M115" s="32">
        <f>IF(B115="高三",IF($E115="男",LOOKUP(L115,[1]对照表!$S$3:$S$24,[1]对照表!$T$3:$T$24),LOOKUP(L115,[1]对照表!$S$27:$S$48,[1]对照表!$T$27:$T$48)),IF(B115="高二",IF($E115="男",LOOKUP(L115,[1]对照表!$R$3:$R$24,[1]对照表!$T$3:$T$24),LOOKUP(L115,[1]对照表!$R$27:$R$48,[1]对照表!$T$27:$T$48)),IF(B115="高一",IF($E115="男",LOOKUP(L115,[1]对照表!$Q$3:$Q$24,[1]对照表!$T$3:$T$24),LOOKUP(L115,[1]对照表!$Q$27:$Q$48,[1]对照表!$T$27:$T$48)))))</f>
        <v>100</v>
      </c>
      <c r="N115" s="33">
        <f>IF(B115="高三",MAX(IF(E115="男",L115-18,L115-55),0),IF(B115="高二",MAX(IF(E115="男",L115-17,L115-54),0),IF(B115="高一",MAX(IF(E115="男",L115-16,L115-53),0))))</f>
        <v>2</v>
      </c>
      <c r="O115" s="23">
        <f>IF(E115="男",LOOKUP($N115,[1]对照表!$Z$3:$Z$13,[1]对照表!$AA$3:$AA$13),LOOKUP($N115,[1]对照表!$Z$15:$Z$25,[1]对照表!$AA$15:$AA$25))</f>
        <v>1</v>
      </c>
      <c r="P115" s="25">
        <f>M115+O115</f>
        <v>101</v>
      </c>
      <c r="Q115" s="50">
        <v>3.25</v>
      </c>
      <c r="R115" s="32">
        <f>IF(B115="高三",IF($E115="男",LOOKUP(Q115,[1]对照表!$W$3:$W$24,[1]对照表!$X$3:$X$24),LOOKUP(Q115,[1]对照表!$W$27:$W$48,[1]对照表!$X$27:$X$48)),IF(B115="高二",IF($E115="男",LOOKUP(Q115,[1]对照表!$V$3:$V$24,[1]对照表!$X$3:$X$24),LOOKUP(Q115,[1]对照表!$V$27:$V$48,[1]对照表!$X$27:$X$48)),IF(B115="高一",IF($E115="男",LOOKUP(Q115,[1]对照表!$U$3:$U$24,[1]对照表!$X$3:$X$24),LOOKUP(Q115,[1]对照表!$U$27:$U$48,[1]对照表!$X$27:$X$48)))))</f>
        <v>95</v>
      </c>
      <c r="S115" s="33">
        <f>ROUND(IF(IF($B115="高三",MIN(IF($E115="男",$Q115-3.2,$Q115-3.2),0),IF($B115="高二",MIN(IF($E115="男",$Q115-3.25,$Q115-3.22),0),IF($B115="高一",MIN(IF($E115="男",$Q115-3.3,$Q115-3.24),0))))&lt;-0.6,IF($B115="高三",MIN(IF($E115="男",$Q115-3.2,$Q115-3.2),0),IF($B115="高二",MIN(IF($E115="男",$Q115-3.25,$Q115-3.22),0),IF($B115="高一",MIN(IF($E115="男",$Q115-3.3,$Q115-3.24),0))))+0.4,IF($B115="高三",MIN(IF($E115="男",$Q115-3.2,$Q115-3.2),0),IF($B115="高二",MIN(IF($E115="男",$Q115-3.25,$Q115-3.22),0),IF($B115="高一",MIN(IF($E115="男",$Q115-3.3,$Q115-3.24),0))))),2)</f>
        <v>0</v>
      </c>
      <c r="T115" s="23">
        <f>IF(E115="男",LOOKUP($S115,[1]对照表!$AB$3:$AB$13,[1]对照表!$AC$3:$AC$13),LOOKUP($S115,[1]对照表!$AB$15:$AB$25,[1]对照表!$AC$15:$AC$25))</f>
        <v>0</v>
      </c>
      <c r="U115" s="26">
        <f>R115+T115</f>
        <v>95</v>
      </c>
      <c r="V115" s="26">
        <f>SUM(I115,K115,M115)/3*0.3+SUM(G115,R115)/2*0.4</f>
        <v>59.2</v>
      </c>
      <c r="W115" s="27">
        <f>O115+T115</f>
        <v>1</v>
      </c>
      <c r="X115" s="28">
        <f>V115/0.7+W115</f>
        <v>85.571428571428584</v>
      </c>
      <c r="Y115" s="28">
        <f>X115</f>
        <v>85.571428571428584</v>
      </c>
      <c r="Z115" s="38"/>
    </row>
    <row r="116" spans="1:26" ht="15.6" x14ac:dyDescent="0.25">
      <c r="A116" s="48">
        <v>57</v>
      </c>
      <c r="B116" s="17" t="s">
        <v>767</v>
      </c>
      <c r="C116" s="48">
        <v>203</v>
      </c>
      <c r="D116" s="58" t="s">
        <v>928</v>
      </c>
      <c r="E116" s="48" t="s">
        <v>65</v>
      </c>
      <c r="F116" s="50">
        <v>8.5</v>
      </c>
      <c r="G116" s="32">
        <f>IF(B116="高三",IF($E116="男",LOOKUP(F116,[1]对照表!$G$3:$G$24,[1]对照表!$H$3:$H$24),LOOKUP(F116,[1]对照表!$G$27:$G$48,[1]对照表!$H$27:$H$48)),IF(B116="高二",IF($E116="男",LOOKUP(F116,[1]对照表!$F$3:$F$24,[1]对照表!$H$3:$H$24),LOOKUP(F116,[1]对照表!$F$27:$F$48,[1]对照表!$H$27:$H$48)),IF(B116="高一",IF($E116="男",LOOKUP(F116,[1]对照表!$E$3:$E$24,[1]对照表!$H$3:$H$24),LOOKUP(F116,[1]对照表!$E$27:$E$48,[1]对照表!$H$27:$H$48)))))</f>
        <v>80</v>
      </c>
      <c r="H116" s="38">
        <v>22</v>
      </c>
      <c r="I116" s="32">
        <f>IF(B116="高三",IF($E116="男",LOOKUP(H116,[1]对照表!$K$3:$K$24,[1]对照表!$L$3:$L$24),LOOKUP(H116,[1]对照表!$K$27:$K$48,[1]对照表!$L$27:$L$48)),IF(B116="高二",IF($E116="男",LOOKUP(H116,[1]对照表!$J$3:$J$24,[1]对照表!$L$3:$L$24),LOOKUP(H116,[1]对照表!$J$27:$J$48,[1]对照表!$L$27:$L$48)),IF(B116="高一",IF($E116="男",LOOKUP(H116,[1]对照表!$I$3:$I$24,[1]对照表!$L$3:$L$24),LOOKUP(H116,[1]对照表!$I$27:$I$48,[1]对照表!$L$27:$L$48)))))</f>
        <v>90</v>
      </c>
      <c r="J116" s="38">
        <v>167</v>
      </c>
      <c r="K116" s="32">
        <f>IF(B116="高三",IF($E116="男",LOOKUP(J116,[1]对照表!$O$3:$O$24,[1]对照表!$P$3:$P$24),LOOKUP(J116,[1]对照表!$O$27:$O$48,[1]对照表!$P$27:$P$48)),IF(B116="高二",IF($E116="男",LOOKUP(J116,[1]对照表!$N$3:$N$24,[1]对照表!$P$3:$P$24),LOOKUP(J116,[1]对照表!$N$27:$N$48,[1]对照表!$P$27:$P$48)),IF(B116="高一",IF($E116="男",LOOKUP(J116,[1]对照表!$M$3:$M$24,[1]对照表!$P$3:$P$24),LOOKUP(J116,[1]对照表!$M$27:$M$48,[1]对照表!$P$27:$P$48)))))</f>
        <v>72</v>
      </c>
      <c r="L116" s="38">
        <v>47</v>
      </c>
      <c r="M116" s="32">
        <f>IF(B116="高三",IF($E116="男",LOOKUP(L116,[1]对照表!$S$3:$S$24,[1]对照表!$T$3:$T$24),LOOKUP(L116,[1]对照表!$S$27:$S$48,[1]对照表!$T$27:$T$48)),IF(B116="高二",IF($E116="男",LOOKUP(L116,[1]对照表!$R$3:$R$24,[1]对照表!$T$3:$T$24),LOOKUP(L116,[1]对照表!$R$27:$R$48,[1]对照表!$T$27:$T$48)),IF(B116="高一",IF($E116="男",LOOKUP(L116,[1]对照表!$Q$3:$Q$24,[1]对照表!$T$3:$T$24),LOOKUP(L116,[1]对照表!$Q$27:$Q$48,[1]对照表!$T$27:$T$48)))))</f>
        <v>85</v>
      </c>
      <c r="N116" s="33">
        <f>IF(B116="高三",MAX(IF(E116="男",L116-18,L116-55),0),IF(B116="高二",MAX(IF(E116="男",L116-17,L116-54),0),IF(B116="高一",MAX(IF(E116="男",L116-16,L116-53),0))))</f>
        <v>0</v>
      </c>
      <c r="O116" s="23">
        <f>IF(E116="男",LOOKUP($N116,[1]对照表!$Z$3:$Z$13,[1]对照表!$AA$3:$AA$13),LOOKUP($N116,[1]对照表!$Z$15:$Z$25,[1]对照表!$AA$15:$AA$25))</f>
        <v>0</v>
      </c>
      <c r="P116" s="25">
        <f>M116+O116</f>
        <v>85</v>
      </c>
      <c r="Q116" s="50">
        <v>3.28</v>
      </c>
      <c r="R116" s="32">
        <f>IF(B116="高三",IF($E116="男",LOOKUP(Q116,[1]对照表!$W$3:$W$24,[1]对照表!$X$3:$X$24),LOOKUP(Q116,[1]对照表!$W$27:$W$48,[1]对照表!$X$27:$X$48)),IF(B116="高二",IF($E116="男",LOOKUP(Q116,[1]对照表!$V$3:$V$24,[1]对照表!$X$3:$X$24),LOOKUP(Q116,[1]对照表!$V$27:$V$48,[1]对照表!$X$27:$X$48)),IF(B116="高一",IF($E116="男",LOOKUP(Q116,[1]对照表!$U$3:$U$24,[1]对照表!$X$3:$X$24),LOOKUP(Q116,[1]对照表!$U$27:$U$48,[1]对照表!$X$27:$X$48)))))</f>
        <v>95</v>
      </c>
      <c r="S116" s="33">
        <f>ROUND(IF(IF($B116="高三",MIN(IF($E116="男",$Q116-3.2,$Q116-3.2),0),IF($B116="高二",MIN(IF($E116="男",$Q116-3.25,$Q116-3.22),0),IF($B116="高一",MIN(IF($E116="男",$Q116-3.3,$Q116-3.24),0))))&lt;-0.6,IF($B116="高三",MIN(IF($E116="男",$Q116-3.2,$Q116-3.2),0),IF($B116="高二",MIN(IF($E116="男",$Q116-3.25,$Q116-3.22),0),IF($B116="高一",MIN(IF($E116="男",$Q116-3.3,$Q116-3.24),0))))+0.4,IF($B116="高三",MIN(IF($E116="男",$Q116-3.2,$Q116-3.2),0),IF($B116="高二",MIN(IF($E116="男",$Q116-3.25,$Q116-3.22),0),IF($B116="高一",MIN(IF($E116="男",$Q116-3.3,$Q116-3.24),0))))),2)</f>
        <v>0</v>
      </c>
      <c r="T116" s="23">
        <f>IF(E116="男",LOOKUP($S116,[1]对照表!$AB$3:$AB$13,[1]对照表!$AC$3:$AC$13),LOOKUP($S116,[1]对照表!$AB$15:$AB$25,[1]对照表!$AC$15:$AC$25))</f>
        <v>0</v>
      </c>
      <c r="U116" s="26">
        <f>R116+T116</f>
        <v>95</v>
      </c>
      <c r="V116" s="26">
        <f>SUM(I116,K116,M116)/3*0.3+SUM(G116,R116)/2*0.4</f>
        <v>59.7</v>
      </c>
      <c r="W116" s="27">
        <f>O116+T116</f>
        <v>0</v>
      </c>
      <c r="X116" s="28">
        <f>V116/0.7+W116</f>
        <v>85.285714285714292</v>
      </c>
      <c r="Y116" s="28">
        <f>X116</f>
        <v>85.285714285714292</v>
      </c>
      <c r="Z116" s="38"/>
    </row>
    <row r="117" spans="1:26" ht="15.6" customHeight="1" x14ac:dyDescent="0.25">
      <c r="A117" s="48">
        <v>36</v>
      </c>
      <c r="B117" s="17" t="s">
        <v>767</v>
      </c>
      <c r="C117" s="48">
        <v>203</v>
      </c>
      <c r="D117" s="49" t="s">
        <v>947</v>
      </c>
      <c r="E117" s="48" t="s">
        <v>65</v>
      </c>
      <c r="F117" s="50">
        <v>9.11</v>
      </c>
      <c r="G117" s="32">
        <f>IF(B117="高三",IF($E117="男",LOOKUP(F117,[1]对照表!$G$3:$G$24,[1]对照表!$H$3:$H$24),LOOKUP(F117,[1]对照表!$G$27:$G$48,[1]对照表!$H$27:$H$48)),IF(B117="高二",IF($E117="男",LOOKUP(F117,[1]对照表!$F$3:$F$24,[1]对照表!$H$3:$H$24),LOOKUP(F117,[1]对照表!$F$27:$F$48,[1]对照表!$H$27:$H$48)),IF(B117="高一",IF($E117="男",LOOKUP(F117,[1]对照表!$E$3:$E$24,[1]对照表!$H$3:$H$24),LOOKUP(F117,[1]对照表!$E$27:$E$48,[1]对照表!$H$27:$H$48)))))</f>
        <v>72</v>
      </c>
      <c r="H117" s="38">
        <v>20.7</v>
      </c>
      <c r="I117" s="32">
        <f>IF(B117="高三",IF($E117="男",LOOKUP(H117,[1]对照表!$K$3:$K$24,[1]对照表!$L$3:$L$24),LOOKUP(H117,[1]对照表!$K$27:$K$48,[1]对照表!$L$27:$L$48)),IF(B117="高二",IF($E117="男",LOOKUP(H117,[1]对照表!$J$3:$J$24,[1]对照表!$L$3:$L$24),LOOKUP(H117,[1]对照表!$J$27:$J$48,[1]对照表!$L$27:$L$48)),IF(B117="高一",IF($E117="男",LOOKUP(H117,[1]对照表!$I$3:$I$24,[1]对照表!$L$3:$L$24),LOOKUP(H117,[1]对照表!$I$27:$I$48,[1]对照表!$L$27:$L$48)))))</f>
        <v>85</v>
      </c>
      <c r="J117" s="38">
        <v>171</v>
      </c>
      <c r="K117" s="32">
        <f>IF(B117="高三",IF($E117="男",LOOKUP(J117,[1]对照表!$O$3:$O$24,[1]对照表!$P$3:$P$24),LOOKUP(J117,[1]对照表!$O$27:$O$48,[1]对照表!$P$27:$P$48)),IF(B117="高二",IF($E117="男",LOOKUP(J117,[1]对照表!$N$3:$N$24,[1]对照表!$P$3:$P$24),LOOKUP(J117,[1]对照表!$N$27:$N$48,[1]对照表!$P$27:$P$48)),IF(B117="高一",IF($E117="男",LOOKUP(J117,[1]对照表!$M$3:$M$24,[1]对照表!$P$3:$P$24),LOOKUP(J117,[1]对照表!$M$27:$M$48,[1]对照表!$P$27:$P$48)))))</f>
        <v>74</v>
      </c>
      <c r="L117" s="38">
        <v>60</v>
      </c>
      <c r="M117" s="32">
        <f>IF(B117="高三",IF($E117="男",LOOKUP(L117,[1]对照表!$S$3:$S$24,[1]对照表!$T$3:$T$24),LOOKUP(L117,[1]对照表!$S$27:$S$48,[1]对照表!$T$27:$T$48)),IF(B117="高二",IF($E117="男",LOOKUP(L117,[1]对照表!$R$3:$R$24,[1]对照表!$T$3:$T$24),LOOKUP(L117,[1]对照表!$R$27:$R$48,[1]对照表!$T$27:$T$48)),IF(B117="高一",IF($E117="男",LOOKUP(L117,[1]对照表!$Q$3:$Q$24,[1]对照表!$T$3:$T$24),LOOKUP(L117,[1]对照表!$Q$27:$Q$48,[1]对照表!$T$27:$T$48)))))</f>
        <v>100</v>
      </c>
      <c r="N117" s="33">
        <f>IF(B117="高三",MAX(IF(E117="男",L117-18,L117-55),0),IF(B117="高二",MAX(IF(E117="男",L117-17,L117-54),0),IF(B117="高一",MAX(IF(E117="男",L117-16,L117-53),0))))</f>
        <v>6</v>
      </c>
      <c r="O117" s="23">
        <f>IF(E117="男",LOOKUP($N117,[1]对照表!$Z$3:$Z$13,[1]对照表!$AA$3:$AA$13),LOOKUP($N117,[1]对照表!$Z$15:$Z$25,[1]对照表!$AA$15:$AA$25))</f>
        <v>3</v>
      </c>
      <c r="P117" s="25">
        <f>M117+O117</f>
        <v>103</v>
      </c>
      <c r="Q117" s="50">
        <v>3.37</v>
      </c>
      <c r="R117" s="32">
        <f>IF(B117="高三",IF($E117="男",LOOKUP(Q117,[1]对照表!$W$3:$W$24,[1]对照表!$X$3:$X$24),LOOKUP(Q117,[1]对照表!$W$27:$W$48,[1]对照表!$X$27:$X$48)),IF(B117="高二",IF($E117="男",LOOKUP(Q117,[1]对照表!$V$3:$V$24,[1]对照表!$X$3:$X$24),LOOKUP(Q117,[1]对照表!$V$27:$V$48,[1]对照表!$X$27:$X$48)),IF(B117="高一",IF($E117="男",LOOKUP(Q117,[1]对照表!$U$3:$U$24,[1]对照表!$X$3:$X$24),LOOKUP(Q117,[1]对照表!$U$27:$U$48,[1]对照表!$X$27:$X$48)))))</f>
        <v>85</v>
      </c>
      <c r="S117" s="33">
        <f>ROUND(IF(IF($B117="高三",MIN(IF($E117="男",$Q117-3.2,$Q117-3.2),0),IF($B117="高二",MIN(IF($E117="男",$Q117-3.25,$Q117-3.22),0),IF($B117="高一",MIN(IF($E117="男",$Q117-3.3,$Q117-3.24),0))))&lt;-0.6,IF($B117="高三",MIN(IF($E117="男",$Q117-3.2,$Q117-3.2),0),IF($B117="高二",MIN(IF($E117="男",$Q117-3.25,$Q117-3.22),0),IF($B117="高一",MIN(IF($E117="男",$Q117-3.3,$Q117-3.24),0))))+0.4,IF($B117="高三",MIN(IF($E117="男",$Q117-3.2,$Q117-3.2),0),IF($B117="高二",MIN(IF($E117="男",$Q117-3.25,$Q117-3.22),0),IF($B117="高一",MIN(IF($E117="男",$Q117-3.3,$Q117-3.24),0))))),2)</f>
        <v>0</v>
      </c>
      <c r="T117" s="23">
        <f>IF(E117="男",LOOKUP($S117,[1]对照表!$AB$3:$AB$13,[1]对照表!$AC$3:$AC$13),LOOKUP($S117,[1]对照表!$AB$15:$AB$25,[1]对照表!$AC$15:$AC$25))</f>
        <v>0</v>
      </c>
      <c r="U117" s="26">
        <f>R117+T117</f>
        <v>85</v>
      </c>
      <c r="V117" s="26">
        <f>SUM(I117,K117,M117)/3*0.3+SUM(G117,R117)/2*0.4</f>
        <v>57.3</v>
      </c>
      <c r="W117" s="27">
        <f>O117+T117</f>
        <v>3</v>
      </c>
      <c r="X117" s="28">
        <f>V117/0.7+W117</f>
        <v>84.857142857142861</v>
      </c>
      <c r="Y117" s="28">
        <f>X117</f>
        <v>84.857142857142861</v>
      </c>
      <c r="Z117" s="38"/>
    </row>
    <row r="118" spans="1:26" ht="15.6" x14ac:dyDescent="0.25">
      <c r="A118" s="48">
        <v>46</v>
      </c>
      <c r="B118" s="17" t="s">
        <v>767</v>
      </c>
      <c r="C118" s="48">
        <v>203</v>
      </c>
      <c r="D118" s="49" t="s">
        <v>965</v>
      </c>
      <c r="E118" s="48" t="s">
        <v>65</v>
      </c>
      <c r="F118" s="50">
        <v>9.16</v>
      </c>
      <c r="G118" s="32">
        <f>IF(B118="高三",IF($E118="男",LOOKUP(F118,[1]对照表!$G$3:$G$24,[1]对照表!$H$3:$H$24),LOOKUP(F118,[1]对照表!$G$27:$G$48,[1]对照表!$H$27:$H$48)),IF(B118="高二",IF($E118="男",LOOKUP(F118,[1]对照表!$F$3:$F$24,[1]对照表!$H$3:$H$24),LOOKUP(F118,[1]对照表!$F$27:$F$48,[1]对照表!$H$27:$H$48)),IF(B118="高一",IF($E118="男",LOOKUP(F118,[1]对照表!$E$3:$E$24,[1]对照表!$H$3:$H$24),LOOKUP(F118,[1]对照表!$E$27:$E$48,[1]对照表!$H$27:$H$48)))))</f>
        <v>72</v>
      </c>
      <c r="H118" s="38">
        <v>21</v>
      </c>
      <c r="I118" s="32">
        <f>IF(B118="高三",IF($E118="男",LOOKUP(H118,[1]对照表!$K$3:$K$24,[1]对照表!$L$3:$L$24),LOOKUP(H118,[1]对照表!$K$27:$K$48,[1]对照表!$L$27:$L$48)),IF(B118="高二",IF($E118="男",LOOKUP(H118,[1]对照表!$J$3:$J$24,[1]对照表!$L$3:$L$24),LOOKUP(H118,[1]对照表!$J$27:$J$48,[1]对照表!$L$27:$L$48)),IF(B118="高一",IF($E118="男",LOOKUP(H118,[1]对照表!$I$3:$I$24,[1]对照表!$L$3:$L$24),LOOKUP(H118,[1]对照表!$I$27:$I$48,[1]对照表!$L$27:$L$48)))))</f>
        <v>85</v>
      </c>
      <c r="J118" s="38">
        <v>185</v>
      </c>
      <c r="K118" s="32">
        <f>IF(B118="高三",IF($E118="男",LOOKUP(J118,[1]对照表!$O$3:$O$24,[1]对照表!$P$3:$P$24),LOOKUP(J118,[1]对照表!$O$27:$O$48,[1]对照表!$P$27:$P$48)),IF(B118="高二",IF($E118="男",LOOKUP(J118,[1]对照表!$N$3:$N$24,[1]对照表!$P$3:$P$24),LOOKUP(J118,[1]对照表!$N$27:$N$48,[1]对照表!$P$27:$P$48)),IF(B118="高一",IF($E118="男",LOOKUP(J118,[1]对照表!$M$3:$M$24,[1]对照表!$P$3:$P$24),LOOKUP(J118,[1]对照表!$M$27:$M$48,[1]对照表!$P$27:$P$48)))))</f>
        <v>80</v>
      </c>
      <c r="L118" s="38">
        <v>54</v>
      </c>
      <c r="M118" s="32">
        <f>IF(B118="高三",IF($E118="男",LOOKUP(L118,[1]对照表!$S$3:$S$24,[1]对照表!$T$3:$T$24),LOOKUP(L118,[1]对照表!$S$27:$S$48,[1]对照表!$T$27:$T$48)),IF(B118="高二",IF($E118="男",LOOKUP(L118,[1]对照表!$R$3:$R$24,[1]对照表!$T$3:$T$24),LOOKUP(L118,[1]对照表!$R$27:$R$48,[1]对照表!$T$27:$T$48)),IF(B118="高一",IF($E118="男",LOOKUP(L118,[1]对照表!$Q$3:$Q$24,[1]对照表!$T$3:$T$24),LOOKUP(L118,[1]对照表!$Q$27:$Q$48,[1]对照表!$T$27:$T$48)))))</f>
        <v>100</v>
      </c>
      <c r="N118" s="33">
        <f>IF(B118="高三",MAX(IF(E118="男",L118-18,L118-55),0),IF(B118="高二",MAX(IF(E118="男",L118-17,L118-54),0),IF(B118="高一",MAX(IF(E118="男",L118-16,L118-53),0))))</f>
        <v>0</v>
      </c>
      <c r="O118" s="23">
        <f>IF(E118="男",LOOKUP($N118,[1]对照表!$Z$3:$Z$13,[1]对照表!$AA$3:$AA$13),LOOKUP($N118,[1]对照表!$Z$15:$Z$25,[1]对照表!$AA$15:$AA$25))</f>
        <v>0</v>
      </c>
      <c r="P118" s="25">
        <f>M118+O118</f>
        <v>100</v>
      </c>
      <c r="Q118" s="50">
        <v>3.29</v>
      </c>
      <c r="R118" s="32">
        <f>IF(B118="高三",IF($E118="男",LOOKUP(Q118,[1]对照表!$W$3:$W$24,[1]对照表!$X$3:$X$24),LOOKUP(Q118,[1]对照表!$W$27:$W$48,[1]对照表!$X$27:$X$48)),IF(B118="高二",IF($E118="男",LOOKUP(Q118,[1]对照表!$V$3:$V$24,[1]对照表!$X$3:$X$24),LOOKUP(Q118,[1]对照表!$V$27:$V$48,[1]对照表!$X$27:$X$48)),IF(B118="高一",IF($E118="男",LOOKUP(Q118,[1]对照表!$U$3:$U$24,[1]对照表!$X$3:$X$24),LOOKUP(Q118,[1]对照表!$U$27:$U$48,[1]对照表!$X$27:$X$48)))))</f>
        <v>90</v>
      </c>
      <c r="S118" s="33">
        <f>ROUND(IF(IF($B118="高三",MIN(IF($E118="男",$Q118-3.2,$Q118-3.2),0),IF($B118="高二",MIN(IF($E118="男",$Q118-3.25,$Q118-3.22),0),IF($B118="高一",MIN(IF($E118="男",$Q118-3.3,$Q118-3.24),0))))&lt;-0.6,IF($B118="高三",MIN(IF($E118="男",$Q118-3.2,$Q118-3.2),0),IF($B118="高二",MIN(IF($E118="男",$Q118-3.25,$Q118-3.22),0),IF($B118="高一",MIN(IF($E118="男",$Q118-3.3,$Q118-3.24),0))))+0.4,IF($B118="高三",MIN(IF($E118="男",$Q118-3.2,$Q118-3.2),0),IF($B118="高二",MIN(IF($E118="男",$Q118-3.25,$Q118-3.22),0),IF($B118="高一",MIN(IF($E118="男",$Q118-3.3,$Q118-3.24),0))))),2)</f>
        <v>0</v>
      </c>
      <c r="T118" s="23">
        <f>IF(E118="男",LOOKUP($S118,[1]对照表!$AB$3:$AB$13,[1]对照表!$AC$3:$AC$13),LOOKUP($S118,[1]对照表!$AB$15:$AB$25,[1]对照表!$AC$15:$AC$25))</f>
        <v>0</v>
      </c>
      <c r="U118" s="26">
        <f>R118+T118</f>
        <v>90</v>
      </c>
      <c r="V118" s="26">
        <f>SUM(I118,K118,M118)/3*0.3+SUM(G118,R118)/2*0.4</f>
        <v>58.899999999999991</v>
      </c>
      <c r="W118" s="27">
        <f>O118+T118</f>
        <v>0</v>
      </c>
      <c r="X118" s="28">
        <f>V118/0.7+W118</f>
        <v>84.142857142857139</v>
      </c>
      <c r="Y118" s="28">
        <f>X118</f>
        <v>84.142857142857139</v>
      </c>
      <c r="Z118" s="38"/>
    </row>
    <row r="119" spans="1:26" ht="15.6" x14ac:dyDescent="0.25">
      <c r="A119" s="48">
        <v>54</v>
      </c>
      <c r="B119" s="17" t="s">
        <v>767</v>
      </c>
      <c r="C119" s="48">
        <v>203</v>
      </c>
      <c r="D119" s="49" t="s">
        <v>969</v>
      </c>
      <c r="E119" s="48" t="s">
        <v>65</v>
      </c>
      <c r="F119" s="50">
        <v>9.01</v>
      </c>
      <c r="G119" s="32">
        <f>IF(B119="高三",IF($E119="男",LOOKUP(F119,[1]对照表!$G$3:$G$24,[1]对照表!$H$3:$H$24),LOOKUP(F119,[1]对照表!$G$27:$G$48,[1]对照表!$H$27:$H$48)),IF(B119="高二",IF($E119="男",LOOKUP(F119,[1]对照表!$F$3:$F$24,[1]对照表!$H$3:$H$24),LOOKUP(F119,[1]对照表!$F$27:$F$48,[1]对照表!$H$27:$H$48)),IF(B119="高一",IF($E119="男",LOOKUP(F119,[1]对照表!$E$3:$E$24,[1]对照表!$H$3:$H$24),LOOKUP(F119,[1]对照表!$E$27:$E$48,[1]对照表!$H$27:$H$48)))))</f>
        <v>74</v>
      </c>
      <c r="H119" s="38">
        <v>22</v>
      </c>
      <c r="I119" s="32">
        <f>IF(B119="高三",IF($E119="男",LOOKUP(H119,[1]对照表!$K$3:$K$24,[1]对照表!$L$3:$L$24),LOOKUP(H119,[1]对照表!$K$27:$K$48,[1]对照表!$L$27:$L$48)),IF(B119="高二",IF($E119="男",LOOKUP(H119,[1]对照表!$J$3:$J$24,[1]对照表!$L$3:$L$24),LOOKUP(H119,[1]对照表!$J$27:$J$48,[1]对照表!$L$27:$L$48)),IF(B119="高一",IF($E119="男",LOOKUP(H119,[1]对照表!$I$3:$I$24,[1]对照表!$L$3:$L$24),LOOKUP(H119,[1]对照表!$I$27:$I$48,[1]对照表!$L$27:$L$48)))))</f>
        <v>90</v>
      </c>
      <c r="J119" s="38">
        <v>193</v>
      </c>
      <c r="K119" s="32">
        <f>IF(B119="高三",IF($E119="男",LOOKUP(J119,[1]对照表!$O$3:$O$24,[1]对照表!$P$3:$P$24),LOOKUP(J119,[1]对照表!$O$27:$O$48,[1]对照表!$P$27:$P$48)),IF(B119="高二",IF($E119="男",LOOKUP(J119,[1]对照表!$N$3:$N$24,[1]对照表!$P$3:$P$24),LOOKUP(J119,[1]对照表!$N$27:$N$48,[1]对照表!$P$27:$P$48)),IF(B119="高一",IF($E119="男",LOOKUP(J119,[1]对照表!$M$3:$M$24,[1]对照表!$P$3:$P$24),LOOKUP(J119,[1]对照表!$M$27:$M$48,[1]对照表!$P$27:$P$48)))))</f>
        <v>90</v>
      </c>
      <c r="L119" s="38">
        <v>54</v>
      </c>
      <c r="M119" s="32">
        <f>IF(B119="高三",IF($E119="男",LOOKUP(L119,[1]对照表!$S$3:$S$24,[1]对照表!$T$3:$T$24),LOOKUP(L119,[1]对照表!$S$27:$S$48,[1]对照表!$T$27:$T$48)),IF(B119="高二",IF($E119="男",LOOKUP(L119,[1]对照表!$R$3:$R$24,[1]对照表!$T$3:$T$24),LOOKUP(L119,[1]对照表!$R$27:$R$48,[1]对照表!$T$27:$T$48)),IF(B119="高一",IF($E119="男",LOOKUP(L119,[1]对照表!$Q$3:$Q$24,[1]对照表!$T$3:$T$24),LOOKUP(L119,[1]对照表!$Q$27:$Q$48,[1]对照表!$T$27:$T$48)))))</f>
        <v>100</v>
      </c>
      <c r="N119" s="33">
        <f>IF(B119="高三",MAX(IF(E119="男",L119-18,L119-55),0),IF(B119="高二",MAX(IF(E119="男",L119-17,L119-54),0),IF(B119="高一",MAX(IF(E119="男",L119-16,L119-53),0))))</f>
        <v>0</v>
      </c>
      <c r="O119" s="23">
        <f>IF(E119="男",LOOKUP($N119,[1]对照表!$Z$3:$Z$13,[1]对照表!$AA$3:$AA$13),LOOKUP($N119,[1]对照表!$Z$15:$Z$25,[1]对照表!$AA$15:$AA$25))</f>
        <v>0</v>
      </c>
      <c r="P119" s="25">
        <f>M119+O119</f>
        <v>100</v>
      </c>
      <c r="Q119" s="50">
        <v>3.47</v>
      </c>
      <c r="R119" s="32">
        <f>IF(B119="高三",IF($E119="男",LOOKUP(Q119,[1]对照表!$W$3:$W$24,[1]对照表!$X$3:$X$24),LOOKUP(Q119,[1]对照表!$W$27:$W$48,[1]对照表!$X$27:$X$48)),IF(B119="高二",IF($E119="男",LOOKUP(Q119,[1]对照表!$V$3:$V$24,[1]对照表!$X$3:$X$24),LOOKUP(Q119,[1]对照表!$V$27:$V$48,[1]对照表!$X$27:$X$48)),IF(B119="高一",IF($E119="男",LOOKUP(Q119,[1]对照表!$U$3:$U$24,[1]对照表!$X$3:$X$24),LOOKUP(Q119,[1]对照表!$U$27:$U$48,[1]对照表!$X$27:$X$48)))))</f>
        <v>80</v>
      </c>
      <c r="S119" s="33">
        <f>ROUND(IF(IF($B119="高三",MIN(IF($E119="男",$Q119-3.2,$Q119-3.2),0),IF($B119="高二",MIN(IF($E119="男",$Q119-3.25,$Q119-3.22),0),IF($B119="高一",MIN(IF($E119="男",$Q119-3.3,$Q119-3.24),0))))&lt;-0.6,IF($B119="高三",MIN(IF($E119="男",$Q119-3.2,$Q119-3.2),0),IF($B119="高二",MIN(IF($E119="男",$Q119-3.25,$Q119-3.22),0),IF($B119="高一",MIN(IF($E119="男",$Q119-3.3,$Q119-3.24),0))))+0.4,IF($B119="高三",MIN(IF($E119="男",$Q119-3.2,$Q119-3.2),0),IF($B119="高二",MIN(IF($E119="男",$Q119-3.25,$Q119-3.22),0),IF($B119="高一",MIN(IF($E119="男",$Q119-3.3,$Q119-3.24),0))))),2)</f>
        <v>0</v>
      </c>
      <c r="T119" s="23">
        <f>IF(E119="男",LOOKUP($S119,[1]对照表!$AB$3:$AB$13,[1]对照表!$AC$3:$AC$13),LOOKUP($S119,[1]对照表!$AB$15:$AB$25,[1]对照表!$AC$15:$AC$25))</f>
        <v>0</v>
      </c>
      <c r="U119" s="26">
        <f>R119+T119</f>
        <v>80</v>
      </c>
      <c r="V119" s="26">
        <f>SUM(I119,K119,M119)/3*0.3+SUM(G119,R119)/2*0.4</f>
        <v>58.8</v>
      </c>
      <c r="W119" s="27">
        <f>O119+T119</f>
        <v>0</v>
      </c>
      <c r="X119" s="28">
        <f>V119/0.7+W119</f>
        <v>84</v>
      </c>
      <c r="Y119" s="28">
        <f>X119</f>
        <v>84</v>
      </c>
      <c r="Z119" s="38"/>
    </row>
    <row r="120" spans="1:26" ht="15.6" x14ac:dyDescent="0.25">
      <c r="A120" s="48">
        <v>32</v>
      </c>
      <c r="B120" s="17" t="s">
        <v>767</v>
      </c>
      <c r="C120" s="48">
        <v>203</v>
      </c>
      <c r="D120" s="49" t="s">
        <v>986</v>
      </c>
      <c r="E120" s="48" t="s">
        <v>65</v>
      </c>
      <c r="F120" s="50">
        <v>8.7799999999999994</v>
      </c>
      <c r="G120" s="32">
        <f>IF(B120="高三",IF($E120="男",LOOKUP(F120,[1]对照表!$G$3:$G$24,[1]对照表!$H$3:$H$24),LOOKUP(F120,[1]对照表!$G$27:$G$48,[1]对照表!$H$27:$H$48)),IF(B120="高二",IF($E120="男",LOOKUP(F120,[1]对照表!$F$3:$F$24,[1]对照表!$H$3:$H$24),LOOKUP(F120,[1]对照表!$F$27:$F$48,[1]对照表!$H$27:$H$48)),IF(B120="高一",IF($E120="男",LOOKUP(F120,[1]对照表!$E$3:$E$24,[1]对照表!$H$3:$H$24),LOOKUP(F120,[1]对照表!$E$27:$E$48,[1]对照表!$H$27:$H$48)))))</f>
        <v>76</v>
      </c>
      <c r="H120" s="38">
        <v>24</v>
      </c>
      <c r="I120" s="32">
        <f>IF(B120="高三",IF($E120="男",LOOKUP(H120,[1]对照表!$K$3:$K$24,[1]对照表!$L$3:$L$24),LOOKUP(H120,[1]对照表!$K$27:$K$48,[1]对照表!$L$27:$L$48)),IF(B120="高二",IF($E120="男",LOOKUP(H120,[1]对照表!$J$3:$J$24,[1]对照表!$L$3:$L$24),LOOKUP(H120,[1]对照表!$J$27:$J$48,[1]对照表!$L$27:$L$48)),IF(B120="高一",IF($E120="男",LOOKUP(H120,[1]对照表!$I$3:$I$24,[1]对照表!$L$3:$L$24),LOOKUP(H120,[1]对照表!$I$27:$I$48,[1]对照表!$L$27:$L$48)))))</f>
        <v>95</v>
      </c>
      <c r="J120" s="38">
        <v>184</v>
      </c>
      <c r="K120" s="32">
        <f>IF(B120="高三",IF($E120="男",LOOKUP(J120,[1]对照表!$O$3:$O$24,[1]对照表!$P$3:$P$24),LOOKUP(J120,[1]对照表!$O$27:$O$48,[1]对照表!$P$27:$P$48)),IF(B120="高二",IF($E120="男",LOOKUP(J120,[1]对照表!$N$3:$N$24,[1]对照表!$P$3:$P$24),LOOKUP(J120,[1]对照表!$N$27:$N$48,[1]对照表!$P$27:$P$48)),IF(B120="高一",IF($E120="男",LOOKUP(J120,[1]对照表!$M$3:$M$24,[1]对照表!$P$3:$P$24),LOOKUP(J120,[1]对照表!$M$27:$M$48,[1]对照表!$P$27:$P$48)))))</f>
        <v>80</v>
      </c>
      <c r="L120" s="38">
        <v>49</v>
      </c>
      <c r="M120" s="32">
        <f>IF(B120="高三",IF($E120="男",LOOKUP(L120,[1]对照表!$S$3:$S$24,[1]对照表!$T$3:$T$24),LOOKUP(L120,[1]对照表!$S$27:$S$48,[1]对照表!$T$27:$T$48)),IF(B120="高二",IF($E120="男",LOOKUP(L120,[1]对照表!$R$3:$R$24,[1]对照表!$T$3:$T$24),LOOKUP(L120,[1]对照表!$R$27:$R$48,[1]对照表!$T$27:$T$48)),IF(B120="高一",IF($E120="男",LOOKUP(L120,[1]对照表!$Q$3:$Q$24,[1]对照表!$T$3:$T$24),LOOKUP(L120,[1]对照表!$Q$27:$Q$48,[1]对照表!$T$27:$T$48)))))</f>
        <v>85</v>
      </c>
      <c r="N120" s="33">
        <f>IF(B120="高三",MAX(IF(E120="男",L120-18,L120-55),0),IF(B120="高二",MAX(IF(E120="男",L120-17,L120-54),0),IF(B120="高一",MAX(IF(E120="男",L120-16,L120-53),0))))</f>
        <v>0</v>
      </c>
      <c r="O120" s="23">
        <f>IF(E120="男",LOOKUP($N120,[1]对照表!$Z$3:$Z$13,[1]对照表!$AA$3:$AA$13),LOOKUP($N120,[1]对照表!$Z$15:$Z$25,[1]对照表!$AA$15:$AA$25))</f>
        <v>0</v>
      </c>
      <c r="P120" s="25">
        <f>M120+O120</f>
        <v>85</v>
      </c>
      <c r="Q120" s="50">
        <v>3.38</v>
      </c>
      <c r="R120" s="32">
        <f>IF(B120="高三",IF($E120="男",LOOKUP(Q120,[1]对照表!$W$3:$W$24,[1]对照表!$X$3:$X$24),LOOKUP(Q120,[1]对照表!$W$27:$W$48,[1]对照表!$X$27:$X$48)),IF(B120="高二",IF($E120="男",LOOKUP(Q120,[1]对照表!$V$3:$V$24,[1]对照表!$X$3:$X$24),LOOKUP(Q120,[1]对照表!$V$27:$V$48,[1]对照表!$X$27:$X$48)),IF(B120="高一",IF($E120="男",LOOKUP(Q120,[1]对照表!$U$3:$U$24,[1]对照表!$X$3:$X$24),LOOKUP(Q120,[1]对照表!$U$27:$U$48,[1]对照表!$X$27:$X$48)))))</f>
        <v>85</v>
      </c>
      <c r="S120" s="33">
        <f>ROUND(IF(IF($B120="高三",MIN(IF($E120="男",$Q120-3.2,$Q120-3.2),0),IF($B120="高二",MIN(IF($E120="男",$Q120-3.25,$Q120-3.22),0),IF($B120="高一",MIN(IF($E120="男",$Q120-3.3,$Q120-3.24),0))))&lt;-0.6,IF($B120="高三",MIN(IF($E120="男",$Q120-3.2,$Q120-3.2),0),IF($B120="高二",MIN(IF($E120="男",$Q120-3.25,$Q120-3.22),0),IF($B120="高一",MIN(IF($E120="男",$Q120-3.3,$Q120-3.24),0))))+0.4,IF($B120="高三",MIN(IF($E120="男",$Q120-3.2,$Q120-3.2),0),IF($B120="高二",MIN(IF($E120="男",$Q120-3.25,$Q120-3.22),0),IF($B120="高一",MIN(IF($E120="男",$Q120-3.3,$Q120-3.24),0))))),2)</f>
        <v>0</v>
      </c>
      <c r="T120" s="23">
        <f>IF(E120="男",LOOKUP($S120,[1]对照表!$AB$3:$AB$13,[1]对照表!$AC$3:$AC$13),LOOKUP($S120,[1]对照表!$AB$15:$AB$25,[1]对照表!$AC$15:$AC$25))</f>
        <v>0</v>
      </c>
      <c r="U120" s="26">
        <f>R120+T120</f>
        <v>85</v>
      </c>
      <c r="V120" s="26">
        <f>SUM(I120,K120,M120)/3*0.3+SUM(G120,R120)/2*0.4</f>
        <v>58.2</v>
      </c>
      <c r="W120" s="27">
        <f>O120+T120</f>
        <v>0</v>
      </c>
      <c r="X120" s="28">
        <f>V120/0.7+W120</f>
        <v>83.142857142857153</v>
      </c>
      <c r="Y120" s="28">
        <f>X120</f>
        <v>83.142857142857153</v>
      </c>
      <c r="Z120" s="38"/>
    </row>
    <row r="121" spans="1:26" ht="15.6" x14ac:dyDescent="0.25">
      <c r="A121" s="48">
        <v>49</v>
      </c>
      <c r="B121" s="17" t="s">
        <v>767</v>
      </c>
      <c r="C121" s="48">
        <v>203</v>
      </c>
      <c r="D121" s="49" t="s">
        <v>988</v>
      </c>
      <c r="E121" s="48" t="s">
        <v>65</v>
      </c>
      <c r="F121" s="50">
        <v>8.76</v>
      </c>
      <c r="G121" s="32">
        <f>IF(B121="高三",IF($E121="男",LOOKUP(F121,[1]对照表!$G$3:$G$24,[1]对照表!$H$3:$H$24),LOOKUP(F121,[1]对照表!$G$27:$G$48,[1]对照表!$H$27:$H$48)),IF(B121="高二",IF($E121="男",LOOKUP(F121,[1]对照表!$F$3:$F$24,[1]对照表!$H$3:$H$24),LOOKUP(F121,[1]对照表!$F$27:$F$48,[1]对照表!$H$27:$H$48)),IF(B121="高一",IF($E121="男",LOOKUP(F121,[1]对照表!$E$3:$E$24,[1]对照表!$H$3:$H$24),LOOKUP(F121,[1]对照表!$E$27:$E$48,[1]对照表!$H$27:$H$48)))))</f>
        <v>76</v>
      </c>
      <c r="H121" s="38">
        <v>19</v>
      </c>
      <c r="I121" s="32">
        <f>IF(B121="高三",IF($E121="男",LOOKUP(H121,[1]对照表!$K$3:$K$24,[1]对照表!$L$3:$L$24),LOOKUP(H121,[1]对照表!$K$27:$K$48,[1]对照表!$L$27:$L$48)),IF(B121="高二",IF($E121="男",LOOKUP(H121,[1]对照表!$J$3:$J$24,[1]对照表!$L$3:$L$24),LOOKUP(H121,[1]对照表!$J$27:$J$48,[1]对照表!$L$27:$L$48)),IF(B121="高一",IF($E121="男",LOOKUP(H121,[1]对照表!$I$3:$I$24,[1]对照表!$L$3:$L$24),LOOKUP(H121,[1]对照表!$I$27:$I$48,[1]对照表!$L$27:$L$48)))))</f>
        <v>80</v>
      </c>
      <c r="J121" s="38">
        <v>185</v>
      </c>
      <c r="K121" s="32">
        <f>IF(B121="高三",IF($E121="男",LOOKUP(J121,[1]对照表!$O$3:$O$24,[1]对照表!$P$3:$P$24),LOOKUP(J121,[1]对照表!$O$27:$O$48,[1]对照表!$P$27:$P$48)),IF(B121="高二",IF($E121="男",LOOKUP(J121,[1]对照表!$N$3:$N$24,[1]对照表!$P$3:$P$24),LOOKUP(J121,[1]对照表!$N$27:$N$48,[1]对照表!$P$27:$P$48)),IF(B121="高一",IF($E121="男",LOOKUP(J121,[1]对照表!$M$3:$M$24,[1]对照表!$P$3:$P$24),LOOKUP(J121,[1]对照表!$M$27:$M$48,[1]对照表!$P$27:$P$48)))))</f>
        <v>80</v>
      </c>
      <c r="L121" s="38">
        <v>55</v>
      </c>
      <c r="M121" s="32">
        <f>IF(B121="高三",IF($E121="男",LOOKUP(L121,[1]对照表!$S$3:$S$24,[1]对照表!$T$3:$T$24),LOOKUP(L121,[1]对照表!$S$27:$S$48,[1]对照表!$T$27:$T$48)),IF(B121="高二",IF($E121="男",LOOKUP(L121,[1]对照表!$R$3:$R$24,[1]对照表!$T$3:$T$24),LOOKUP(L121,[1]对照表!$R$27:$R$48,[1]对照表!$T$27:$T$48)),IF(B121="高一",IF($E121="男",LOOKUP(L121,[1]对照表!$Q$3:$Q$24,[1]对照表!$T$3:$T$24),LOOKUP(L121,[1]对照表!$Q$27:$Q$48,[1]对照表!$T$27:$T$48)))))</f>
        <v>100</v>
      </c>
      <c r="N121" s="33">
        <f>IF(B121="高三",MAX(IF(E121="男",L121-18,L121-55),0),IF(B121="高二",MAX(IF(E121="男",L121-17,L121-54),0),IF(B121="高一",MAX(IF(E121="男",L121-16,L121-53),0))))</f>
        <v>1</v>
      </c>
      <c r="O121" s="23">
        <f>IF(E121="男",LOOKUP($N121,[1]对照表!$Z$3:$Z$13,[1]对照表!$AA$3:$AA$13),LOOKUP($N121,[1]对照表!$Z$15:$Z$25,[1]对照表!$AA$15:$AA$25))</f>
        <v>0</v>
      </c>
      <c r="P121" s="25">
        <f>M121+O121</f>
        <v>100</v>
      </c>
      <c r="Q121" s="50">
        <v>3.39</v>
      </c>
      <c r="R121" s="32">
        <f>IF(B121="高三",IF($E121="男",LOOKUP(Q121,[1]对照表!$W$3:$W$24,[1]对照表!$X$3:$X$24),LOOKUP(Q121,[1]对照表!$W$27:$W$48,[1]对照表!$X$27:$X$48)),IF(B121="高二",IF($E121="男",LOOKUP(Q121,[1]对照表!$V$3:$V$24,[1]对照表!$X$3:$X$24),LOOKUP(Q121,[1]对照表!$V$27:$V$48,[1]对照表!$X$27:$X$48)),IF(B121="高一",IF($E121="男",LOOKUP(Q121,[1]对照表!$U$3:$U$24,[1]对照表!$X$3:$X$24),LOOKUP(Q121,[1]对照表!$U$27:$U$48,[1]对照表!$X$27:$X$48)))))</f>
        <v>85</v>
      </c>
      <c r="S121" s="27">
        <f>ROUND(IF(IF($B121="高三",MIN(IF($E121="男",$Q121-3.2,$Q121-3.2),0),IF($B121="高二",MIN(IF($E121="男",$Q121-3.25,$Q121-3.22),0),IF($B121="高一",MIN(IF($E121="男",$Q121-3.3,$Q121-3.24),0))))&lt;-0.6,IF($B121="高三",MIN(IF($E121="男",$Q121-3.2,$Q121-3.2),0),IF($B121="高二",MIN(IF($E121="男",$Q121-3.25,$Q121-3.22),0),IF($B121="高一",MIN(IF($E121="男",$Q121-3.3,$Q121-3.24),0))))+0.4,IF($B121="高三",MIN(IF($E121="男",$Q121-3.2,$Q121-3.2),0),IF($B121="高二",MIN(IF($E121="男",$Q121-3.25,$Q121-3.22),0),IF($B121="高一",MIN(IF($E121="男",$Q121-3.3,$Q121-3.24),0))))),2)</f>
        <v>0</v>
      </c>
      <c r="T121" s="23">
        <f>IF(E121="男",LOOKUP($S121,[1]对照表!$AB$3:$AB$13,[1]对照表!$AC$3:$AC$13),LOOKUP($S121,[1]对照表!$AB$15:$AB$25,[1]对照表!$AC$15:$AC$25))</f>
        <v>0</v>
      </c>
      <c r="U121" s="26">
        <f>R121+T121</f>
        <v>85</v>
      </c>
      <c r="V121" s="26">
        <f>SUM(I121,K121,M121)/3*0.3+SUM(G121,R121)/2*0.4</f>
        <v>58.2</v>
      </c>
      <c r="W121" s="27">
        <f>O121+T121</f>
        <v>0</v>
      </c>
      <c r="X121" s="28">
        <f>V121/0.7+W121</f>
        <v>83.142857142857153</v>
      </c>
      <c r="Y121" s="28">
        <f>X121</f>
        <v>83.142857142857153</v>
      </c>
      <c r="Z121" s="38"/>
    </row>
    <row r="122" spans="1:26" ht="15.6" customHeight="1" x14ac:dyDescent="0.25">
      <c r="A122" s="48">
        <v>29</v>
      </c>
      <c r="B122" s="17" t="s">
        <v>767</v>
      </c>
      <c r="C122" s="48">
        <v>203</v>
      </c>
      <c r="D122" s="49" t="s">
        <v>990</v>
      </c>
      <c r="E122" s="48" t="s">
        <v>65</v>
      </c>
      <c r="F122" s="50">
        <v>8.57</v>
      </c>
      <c r="G122" s="32">
        <f>IF(B122="高三",IF($E122="男",LOOKUP(F122,[1]对照表!$G$3:$G$24,[1]对照表!$H$3:$H$24),LOOKUP(F122,[1]对照表!$G$27:$G$48,[1]对照表!$H$27:$H$48)),IF(B122="高二",IF($E122="男",LOOKUP(F122,[1]对照表!$F$3:$F$24,[1]对照表!$H$3:$H$24),LOOKUP(F122,[1]对照表!$F$27:$F$48,[1]对照表!$H$27:$H$48)),IF(B122="高一",IF($E122="男",LOOKUP(F122,[1]对照表!$E$3:$E$24,[1]对照表!$H$3:$H$24),LOOKUP(F122,[1]对照表!$E$27:$E$48,[1]对照表!$H$27:$H$48)))))</f>
        <v>78</v>
      </c>
      <c r="H122" s="38">
        <v>27.5</v>
      </c>
      <c r="I122" s="32">
        <f>IF(B122="高三",IF($E122="男",LOOKUP(H122,[1]对照表!$K$3:$K$24,[1]对照表!$L$3:$L$24),LOOKUP(H122,[1]对照表!$K$27:$K$48,[1]对照表!$L$27:$L$48)),IF(B122="高二",IF($E122="男",LOOKUP(H122,[1]对照表!$J$3:$J$24,[1]对照表!$L$3:$L$24),LOOKUP(H122,[1]对照表!$J$27:$J$48,[1]对照表!$L$27:$L$48)),IF(B122="高一",IF($E122="男",LOOKUP(H122,[1]对照表!$I$3:$I$24,[1]对照表!$L$3:$L$24),LOOKUP(H122,[1]对照表!$I$27:$I$48,[1]对照表!$L$27:$L$48)))))</f>
        <v>100</v>
      </c>
      <c r="J122" s="38">
        <v>180</v>
      </c>
      <c r="K122" s="32">
        <f>IF(B122="高三",IF($E122="男",LOOKUP(J122,[1]对照表!$O$3:$O$24,[1]对照表!$P$3:$P$24),LOOKUP(J122,[1]对照表!$O$27:$O$48,[1]对照表!$P$27:$P$48)),IF(B122="高二",IF($E122="男",LOOKUP(J122,[1]对照表!$N$3:$N$24,[1]对照表!$P$3:$P$24),LOOKUP(J122,[1]对照表!$N$27:$N$48,[1]对照表!$P$27:$P$48)),IF(B122="高一",IF($E122="男",LOOKUP(J122,[1]对照表!$M$3:$M$24,[1]对照表!$P$3:$P$24),LOOKUP(J122,[1]对照表!$M$27:$M$48,[1]对照表!$P$27:$P$48)))))</f>
        <v>80</v>
      </c>
      <c r="L122" s="38">
        <v>50</v>
      </c>
      <c r="M122" s="32">
        <f>IF(B122="高三",IF($E122="男",LOOKUP(L122,[1]对照表!$S$3:$S$24,[1]对照表!$T$3:$T$24),LOOKUP(L122,[1]对照表!$S$27:$S$48,[1]对照表!$T$27:$T$48)),IF(B122="高二",IF($E122="男",LOOKUP(L122,[1]对照表!$R$3:$R$24,[1]对照表!$T$3:$T$24),LOOKUP(L122,[1]对照表!$R$27:$R$48,[1]对照表!$T$27:$T$48)),IF(B122="高一",IF($E122="男",LOOKUP(L122,[1]对照表!$Q$3:$Q$24,[1]对照表!$T$3:$T$24),LOOKUP(L122,[1]对照表!$Q$27:$Q$48,[1]对照表!$T$27:$T$48)))))</f>
        <v>90</v>
      </c>
      <c r="N122" s="33">
        <f>IF(B122="高三",MAX(IF(E122="男",L122-18,L122-55),0),IF(B122="高二",MAX(IF(E122="男",L122-17,L122-54),0),IF(B122="高一",MAX(IF(E122="男",L122-16,L122-53),0))))</f>
        <v>0</v>
      </c>
      <c r="O122" s="23">
        <f>IF(E122="男",LOOKUP($N122,[1]对照表!$Z$3:$Z$13,[1]对照表!$AA$3:$AA$13),LOOKUP($N122,[1]对照表!$Z$15:$Z$25,[1]对照表!$AA$15:$AA$25))</f>
        <v>0</v>
      </c>
      <c r="P122" s="25">
        <f>M122+O122</f>
        <v>90</v>
      </c>
      <c r="Q122" s="50">
        <v>3.51</v>
      </c>
      <c r="R122" s="32">
        <f>IF(B122="高三",IF($E122="男",LOOKUP(Q122,[1]对照表!$W$3:$W$24,[1]对照表!$X$3:$X$24),LOOKUP(Q122,[1]对照表!$W$27:$W$48,[1]对照表!$X$27:$X$48)),IF(B122="高二",IF($E122="男",LOOKUP(Q122,[1]对照表!$V$3:$V$24,[1]对照表!$X$3:$X$24),LOOKUP(Q122,[1]对照表!$V$27:$V$48,[1]对照表!$X$27:$X$48)),IF(B122="高一",IF($E122="男",LOOKUP(Q122,[1]对照表!$U$3:$U$24,[1]对照表!$X$3:$X$24),LOOKUP(Q122,[1]对照表!$U$27:$U$48,[1]对照表!$X$27:$X$48)))))</f>
        <v>78</v>
      </c>
      <c r="S122" s="27">
        <f>ROUND(IF(IF($B122="高三",MIN(IF($E122="男",$Q122-3.2,$Q122-3.2),0),IF($B122="高二",MIN(IF($E122="男",$Q122-3.25,$Q122-3.22),0),IF($B122="高一",MIN(IF($E122="男",$Q122-3.3,$Q122-3.24),0))))&lt;-0.6,IF($B122="高三",MIN(IF($E122="男",$Q122-3.2,$Q122-3.2),0),IF($B122="高二",MIN(IF($E122="男",$Q122-3.25,$Q122-3.22),0),IF($B122="高一",MIN(IF($E122="男",$Q122-3.3,$Q122-3.24),0))))+0.4,IF($B122="高三",MIN(IF($E122="男",$Q122-3.2,$Q122-3.2),0),IF($B122="高二",MIN(IF($E122="男",$Q122-3.25,$Q122-3.22),0),IF($B122="高一",MIN(IF($E122="男",$Q122-3.3,$Q122-3.24),0))))),2)</f>
        <v>0</v>
      </c>
      <c r="T122" s="23">
        <f>IF(E122="男",LOOKUP($S122,[1]对照表!$AB$3:$AB$13,[1]对照表!$AC$3:$AC$13),LOOKUP($S122,[1]对照表!$AB$15:$AB$25,[1]对照表!$AC$15:$AC$25))</f>
        <v>0</v>
      </c>
      <c r="U122" s="26">
        <f>R122+T122</f>
        <v>78</v>
      </c>
      <c r="V122" s="26">
        <f>SUM(I122,K122,M122)/3*0.3+SUM(G122,R122)/2*0.4</f>
        <v>58.2</v>
      </c>
      <c r="W122" s="27">
        <f>O122+T122</f>
        <v>0</v>
      </c>
      <c r="X122" s="28">
        <f>V122/0.7+W122</f>
        <v>83.142857142857153</v>
      </c>
      <c r="Y122" s="28">
        <f>X122</f>
        <v>83.142857142857153</v>
      </c>
      <c r="Z122" s="38"/>
    </row>
    <row r="123" spans="1:26" ht="15.6" x14ac:dyDescent="0.25">
      <c r="A123" s="48">
        <v>53</v>
      </c>
      <c r="B123" s="17" t="s">
        <v>767</v>
      </c>
      <c r="C123" s="48">
        <v>203</v>
      </c>
      <c r="D123" s="49" t="s">
        <v>993</v>
      </c>
      <c r="E123" s="48" t="s">
        <v>65</v>
      </c>
      <c r="F123" s="50">
        <v>9.01</v>
      </c>
      <c r="G123" s="32">
        <f>IF(B123="高三",IF($E123="男",LOOKUP(F123,[1]对照表!$G$3:$G$24,[1]对照表!$H$3:$H$24),LOOKUP(F123,[1]对照表!$G$27:$G$48,[1]对照表!$H$27:$H$48)),IF(B123="高二",IF($E123="男",LOOKUP(F123,[1]对照表!$F$3:$F$24,[1]对照表!$H$3:$H$24),LOOKUP(F123,[1]对照表!$F$27:$F$48,[1]对照表!$H$27:$H$48)),IF(B123="高一",IF($E123="男",LOOKUP(F123,[1]对照表!$E$3:$E$24,[1]对照表!$H$3:$H$24),LOOKUP(F123,[1]对照表!$E$27:$E$48,[1]对照表!$H$27:$H$48)))))</f>
        <v>74</v>
      </c>
      <c r="H123" s="38">
        <v>24</v>
      </c>
      <c r="I123" s="32">
        <f>IF(B123="高三",IF($E123="男",LOOKUP(H123,[1]对照表!$K$3:$K$24,[1]对照表!$L$3:$L$24),LOOKUP(H123,[1]对照表!$K$27:$K$48,[1]对照表!$L$27:$L$48)),IF(B123="高二",IF($E123="男",LOOKUP(H123,[1]对照表!$J$3:$J$24,[1]对照表!$L$3:$L$24),LOOKUP(H123,[1]对照表!$J$27:$J$48,[1]对照表!$L$27:$L$48)),IF(B123="高一",IF($E123="男",LOOKUP(H123,[1]对照表!$I$3:$I$24,[1]对照表!$L$3:$L$24),LOOKUP(H123,[1]对照表!$I$27:$I$48,[1]对照表!$L$27:$L$48)))))</f>
        <v>95</v>
      </c>
      <c r="J123" s="38">
        <v>177</v>
      </c>
      <c r="K123" s="32">
        <f>IF(B123="高三",IF($E123="男",LOOKUP(J123,[1]对照表!$O$3:$O$24,[1]对照表!$P$3:$P$24),LOOKUP(J123,[1]对照表!$O$27:$O$48,[1]对照表!$P$27:$P$48)),IF(B123="高二",IF($E123="男",LOOKUP(J123,[1]对照表!$N$3:$N$24,[1]对照表!$P$3:$P$24),LOOKUP(J123,[1]对照表!$N$27:$N$48,[1]对照表!$P$27:$P$48)),IF(B123="高一",IF($E123="男",LOOKUP(J123,[1]对照表!$M$3:$M$24,[1]对照表!$P$3:$P$24),LOOKUP(J123,[1]对照表!$M$27:$M$48,[1]对照表!$P$27:$P$48)))))</f>
        <v>78</v>
      </c>
      <c r="L123" s="38">
        <v>60</v>
      </c>
      <c r="M123" s="32">
        <f>IF(B123="高三",IF($E123="男",LOOKUP(L123,[1]对照表!$S$3:$S$24,[1]对照表!$T$3:$T$24),LOOKUP(L123,[1]对照表!$S$27:$S$48,[1]对照表!$T$27:$T$48)),IF(B123="高二",IF($E123="男",LOOKUP(L123,[1]对照表!$R$3:$R$24,[1]对照表!$T$3:$T$24),LOOKUP(L123,[1]对照表!$R$27:$R$48,[1]对照表!$T$27:$T$48)),IF(B123="高一",IF($E123="男",LOOKUP(L123,[1]对照表!$Q$3:$Q$24,[1]对照表!$T$3:$T$24),LOOKUP(L123,[1]对照表!$Q$27:$Q$48,[1]对照表!$T$27:$T$48)))))</f>
        <v>100</v>
      </c>
      <c r="N123" s="33">
        <f>IF(B123="高三",MAX(IF(E123="男",L123-18,L123-55),0),IF(B123="高二",MAX(IF(E123="男",L123-17,L123-54),0),IF(B123="高一",MAX(IF(E123="男",L123-16,L123-53),0))))</f>
        <v>6</v>
      </c>
      <c r="O123" s="23">
        <f>IF(E123="男",LOOKUP($N123,[1]对照表!$Z$3:$Z$13,[1]对照表!$AA$3:$AA$13),LOOKUP($N123,[1]对照表!$Z$15:$Z$25,[1]对照表!$AA$15:$AA$25))</f>
        <v>3</v>
      </c>
      <c r="P123" s="25">
        <f>M123+O123</f>
        <v>103</v>
      </c>
      <c r="Q123" s="50">
        <v>4.13</v>
      </c>
      <c r="R123" s="32">
        <f>IF(B123="高三",IF($E123="男",LOOKUP(Q123,[1]对照表!$W$3:$W$24,[1]对照表!$X$3:$X$24),LOOKUP(Q123,[1]对照表!$W$27:$W$48,[1]对照表!$X$27:$X$48)),IF(B123="高二",IF($E123="男",LOOKUP(Q123,[1]对照表!$V$3:$V$24,[1]对照表!$X$3:$X$24),LOOKUP(Q123,[1]对照表!$V$27:$V$48,[1]对照表!$X$27:$X$48)),IF(B123="高一",IF($E123="男",LOOKUP(Q123,[1]对照表!$U$3:$U$24,[1]对照表!$X$3:$X$24),LOOKUP(Q123,[1]对照表!$U$27:$U$48,[1]对照表!$X$27:$X$48)))))</f>
        <v>70</v>
      </c>
      <c r="S123" s="33">
        <f>ROUND(IF(IF($B123="高三",MIN(IF($E123="男",$Q123-3.2,$Q123-3.2),0),IF($B123="高二",MIN(IF($E123="男",$Q123-3.25,$Q123-3.22),0),IF($B123="高一",MIN(IF($E123="男",$Q123-3.3,$Q123-3.24),0))))&lt;-0.6,IF($B123="高三",MIN(IF($E123="男",$Q123-3.2,$Q123-3.2),0),IF($B123="高二",MIN(IF($E123="男",$Q123-3.25,$Q123-3.22),0),IF($B123="高一",MIN(IF($E123="男",$Q123-3.3,$Q123-3.24),0))))+0.4,IF($B123="高三",MIN(IF($E123="男",$Q123-3.2,$Q123-3.2),0),IF($B123="高二",MIN(IF($E123="男",$Q123-3.25,$Q123-3.22),0),IF($B123="高一",MIN(IF($E123="男",$Q123-3.3,$Q123-3.24),0))))),2)</f>
        <v>0</v>
      </c>
      <c r="T123" s="23">
        <f>IF(E123="男",LOOKUP($S123,[1]对照表!$AB$3:$AB$13,[1]对照表!$AC$3:$AC$13),LOOKUP($S123,[1]对照表!$AB$15:$AB$25,[1]对照表!$AC$15:$AC$25))</f>
        <v>0</v>
      </c>
      <c r="U123" s="26">
        <f>R123+T123</f>
        <v>70</v>
      </c>
      <c r="V123" s="26">
        <f>SUM(I123,K123,M123)/3*0.3+SUM(G123,R123)/2*0.4</f>
        <v>56.1</v>
      </c>
      <c r="W123" s="27">
        <f>O123+T123</f>
        <v>3</v>
      </c>
      <c r="X123" s="28">
        <f>V123/0.7+W123</f>
        <v>83.142857142857153</v>
      </c>
      <c r="Y123" s="28">
        <f>X123</f>
        <v>83.142857142857153</v>
      </c>
      <c r="Z123" s="38"/>
    </row>
    <row r="124" spans="1:26" ht="15.6" x14ac:dyDescent="0.25">
      <c r="A124" s="48">
        <v>35</v>
      </c>
      <c r="B124" s="17" t="s">
        <v>767</v>
      </c>
      <c r="C124" s="48">
        <v>203</v>
      </c>
      <c r="D124" s="49" t="s">
        <v>1003</v>
      </c>
      <c r="E124" s="48" t="s">
        <v>65</v>
      </c>
      <c r="F124" s="50">
        <v>8.9700000000000006</v>
      </c>
      <c r="G124" s="32">
        <f>IF(B124="高三",IF($E124="男",LOOKUP(F124,[1]对照表!$G$3:$G$24,[1]对照表!$H$3:$H$24),LOOKUP(F124,[1]对照表!$G$27:$G$48,[1]对照表!$H$27:$H$48)),IF(B124="高二",IF($E124="男",LOOKUP(F124,[1]对照表!$F$3:$F$24,[1]对照表!$H$3:$H$24),LOOKUP(F124,[1]对照表!$F$27:$F$48,[1]对照表!$H$27:$H$48)),IF(B124="高一",IF($E124="男",LOOKUP(F124,[1]对照表!$E$3:$E$24,[1]对照表!$H$3:$H$24),LOOKUP(F124,[1]对照表!$E$27:$E$48,[1]对照表!$H$27:$H$48)))))</f>
        <v>74</v>
      </c>
      <c r="H124" s="38">
        <v>20.399999999999999</v>
      </c>
      <c r="I124" s="32">
        <f>IF(B124="高三",IF($E124="男",LOOKUP(H124,[1]对照表!$K$3:$K$24,[1]对照表!$L$3:$L$24),LOOKUP(H124,[1]对照表!$K$27:$K$48,[1]对照表!$L$27:$L$48)),IF(B124="高二",IF($E124="男",LOOKUP(H124,[1]对照表!$J$3:$J$24,[1]对照表!$L$3:$L$24),LOOKUP(H124,[1]对照表!$J$27:$J$48,[1]对照表!$L$27:$L$48)),IF(B124="高一",IF($E124="男",LOOKUP(H124,[1]对照表!$I$3:$I$24,[1]对照表!$L$3:$L$24),LOOKUP(H124,[1]对照表!$I$27:$I$48,[1]对照表!$L$27:$L$48)))))</f>
        <v>85</v>
      </c>
      <c r="J124" s="38">
        <v>185</v>
      </c>
      <c r="K124" s="32">
        <f>IF(B124="高三",IF($E124="男",LOOKUP(J124,[1]对照表!$O$3:$O$24,[1]对照表!$P$3:$P$24),LOOKUP(J124,[1]对照表!$O$27:$O$48,[1]对照表!$P$27:$P$48)),IF(B124="高二",IF($E124="男",LOOKUP(J124,[1]对照表!$N$3:$N$24,[1]对照表!$P$3:$P$24),LOOKUP(J124,[1]对照表!$N$27:$N$48,[1]对照表!$P$27:$P$48)),IF(B124="高一",IF($E124="男",LOOKUP(J124,[1]对照表!$M$3:$M$24,[1]对照表!$P$3:$P$24),LOOKUP(J124,[1]对照表!$M$27:$M$48,[1]对照表!$P$27:$P$48)))))</f>
        <v>80</v>
      </c>
      <c r="L124" s="38">
        <v>56</v>
      </c>
      <c r="M124" s="32">
        <f>IF(B124="高三",IF($E124="男",LOOKUP(L124,[1]对照表!$S$3:$S$24,[1]对照表!$T$3:$T$24),LOOKUP(L124,[1]对照表!$S$27:$S$48,[1]对照表!$T$27:$T$48)),IF(B124="高二",IF($E124="男",LOOKUP(L124,[1]对照表!$R$3:$R$24,[1]对照表!$T$3:$T$24),LOOKUP(L124,[1]对照表!$R$27:$R$48,[1]对照表!$T$27:$T$48)),IF(B124="高一",IF($E124="男",LOOKUP(L124,[1]对照表!$Q$3:$Q$24,[1]对照表!$T$3:$T$24),LOOKUP(L124,[1]对照表!$Q$27:$Q$48,[1]对照表!$T$27:$T$48)))))</f>
        <v>100</v>
      </c>
      <c r="N124" s="33">
        <f>IF(B124="高三",MAX(IF(E124="男",L124-18,L124-55),0),IF(B124="高二",MAX(IF(E124="男",L124-17,L124-54),0),IF(B124="高一",MAX(IF(E124="男",L124-16,L124-53),0))))</f>
        <v>2</v>
      </c>
      <c r="O124" s="23">
        <f>IF(E124="男",LOOKUP($N124,[1]对照表!$Z$3:$Z$13,[1]对照表!$AA$3:$AA$13),LOOKUP($N124,[1]对照表!$Z$15:$Z$25,[1]对照表!$AA$15:$AA$25))</f>
        <v>1</v>
      </c>
      <c r="P124" s="25">
        <f>M124+O124</f>
        <v>101</v>
      </c>
      <c r="Q124" s="50">
        <v>3.43</v>
      </c>
      <c r="R124" s="32">
        <f>IF(B124="高三",IF($E124="男",LOOKUP(Q124,[1]对照表!$W$3:$W$24,[1]对照表!$X$3:$X$24),LOOKUP(Q124,[1]对照表!$W$27:$W$48,[1]对照表!$X$27:$X$48)),IF(B124="高二",IF($E124="男",LOOKUP(Q124,[1]对照表!$V$3:$V$24,[1]对照表!$X$3:$X$24),LOOKUP(Q124,[1]对照表!$V$27:$V$48,[1]对照表!$X$27:$X$48)),IF(B124="高一",IF($E124="男",LOOKUP(Q124,[1]对照表!$U$3:$U$24,[1]对照表!$X$3:$X$24),LOOKUP(Q124,[1]对照表!$U$27:$U$48,[1]对照表!$X$27:$X$48)))))</f>
        <v>80</v>
      </c>
      <c r="S124" s="33">
        <f>ROUND(IF(IF($B124="高三",MIN(IF($E124="男",$Q124-3.2,$Q124-3.2),0),IF($B124="高二",MIN(IF($E124="男",$Q124-3.25,$Q124-3.22),0),IF($B124="高一",MIN(IF($E124="男",$Q124-3.3,$Q124-3.24),0))))&lt;-0.6,IF($B124="高三",MIN(IF($E124="男",$Q124-3.2,$Q124-3.2),0),IF($B124="高二",MIN(IF($E124="男",$Q124-3.25,$Q124-3.22),0),IF($B124="高一",MIN(IF($E124="男",$Q124-3.3,$Q124-3.24),0))))+0.4,IF($B124="高三",MIN(IF($E124="男",$Q124-3.2,$Q124-3.2),0),IF($B124="高二",MIN(IF($E124="男",$Q124-3.25,$Q124-3.22),0),IF($B124="高一",MIN(IF($E124="男",$Q124-3.3,$Q124-3.24),0))))),2)</f>
        <v>0</v>
      </c>
      <c r="T124" s="23">
        <f>IF(E124="男",LOOKUP($S124,[1]对照表!$AB$3:$AB$13,[1]对照表!$AC$3:$AC$13),LOOKUP($S124,[1]对照表!$AB$15:$AB$25,[1]对照表!$AC$15:$AC$25))</f>
        <v>0</v>
      </c>
      <c r="U124" s="26">
        <f>R124+T124</f>
        <v>80</v>
      </c>
      <c r="V124" s="26">
        <f>SUM(I124,K124,M124)/3*0.3+SUM(G124,R124)/2*0.4</f>
        <v>57.3</v>
      </c>
      <c r="W124" s="27">
        <f>O124+T124</f>
        <v>1</v>
      </c>
      <c r="X124" s="28">
        <f>V124/0.7+W124</f>
        <v>82.857142857142861</v>
      </c>
      <c r="Y124" s="28">
        <f>X124</f>
        <v>82.857142857142861</v>
      </c>
      <c r="Z124" s="38"/>
    </row>
    <row r="125" spans="1:26" ht="15.6" x14ac:dyDescent="0.25">
      <c r="A125" s="48">
        <v>22</v>
      </c>
      <c r="B125" s="17" t="s">
        <v>767</v>
      </c>
      <c r="C125" s="48">
        <v>203</v>
      </c>
      <c r="D125" s="49" t="s">
        <v>1009</v>
      </c>
      <c r="E125" s="48" t="s">
        <v>65</v>
      </c>
      <c r="F125" s="50">
        <v>8.3699999999999992</v>
      </c>
      <c r="G125" s="32">
        <f>IF(B125="高三",IF($E125="男",LOOKUP(F125,[1]对照表!$G$3:$G$24,[1]对照表!$H$3:$H$24),LOOKUP(F125,[1]对照表!$G$27:$G$48,[1]对照表!$H$27:$H$48)),IF(B125="高二",IF($E125="男",LOOKUP(F125,[1]对照表!$F$3:$F$24,[1]对照表!$H$3:$H$24),LOOKUP(F125,[1]对照表!$F$27:$F$48,[1]对照表!$H$27:$H$48)),IF(B125="高一",IF($E125="男",LOOKUP(F125,[1]对照表!$E$3:$E$24,[1]对照表!$H$3:$H$24),LOOKUP(F125,[1]对照表!$E$27:$E$48,[1]对照表!$H$27:$H$48)))))</f>
        <v>80</v>
      </c>
      <c r="H125" s="38">
        <v>17.3</v>
      </c>
      <c r="I125" s="32">
        <f>IF(B125="高三",IF($E125="男",LOOKUP(H125,[1]对照表!$K$3:$K$24,[1]对照表!$L$3:$L$24),LOOKUP(H125,[1]对照表!$K$27:$K$48,[1]对照表!$L$27:$L$48)),IF(B125="高二",IF($E125="男",LOOKUP(H125,[1]对照表!$J$3:$J$24,[1]对照表!$L$3:$L$24),LOOKUP(H125,[1]对照表!$J$27:$J$48,[1]对照表!$L$27:$L$48)),IF(B125="高一",IF($E125="男",LOOKUP(H125,[1]对照表!$I$3:$I$24,[1]对照表!$L$3:$L$24),LOOKUP(H125,[1]对照表!$I$27:$I$48,[1]对照表!$L$27:$L$48)))))</f>
        <v>78</v>
      </c>
      <c r="J125" s="38">
        <v>170</v>
      </c>
      <c r="K125" s="32">
        <f>IF(B125="高三",IF($E125="男",LOOKUP(J125,[1]对照表!$O$3:$O$24,[1]对照表!$P$3:$P$24),LOOKUP(J125,[1]对照表!$O$27:$O$48,[1]对照表!$P$27:$P$48)),IF(B125="高二",IF($E125="男",LOOKUP(J125,[1]对照表!$N$3:$N$24,[1]对照表!$P$3:$P$24),LOOKUP(J125,[1]对照表!$N$27:$N$48,[1]对照表!$P$27:$P$48)),IF(B125="高一",IF($E125="男",LOOKUP(J125,[1]对照表!$M$3:$M$24,[1]对照表!$P$3:$P$24),LOOKUP(J125,[1]对照表!$M$27:$M$48,[1]对照表!$P$27:$P$48)))))</f>
        <v>74</v>
      </c>
      <c r="L125" s="38">
        <v>49</v>
      </c>
      <c r="M125" s="32">
        <f>IF(B125="高三",IF($E125="男",LOOKUP(L125,[1]对照表!$S$3:$S$24,[1]对照表!$T$3:$T$24),LOOKUP(L125,[1]对照表!$S$27:$S$48,[1]对照表!$T$27:$T$48)),IF(B125="高二",IF($E125="男",LOOKUP(L125,[1]对照表!$R$3:$R$24,[1]对照表!$T$3:$T$24),LOOKUP(L125,[1]对照表!$R$27:$R$48,[1]对照表!$T$27:$T$48)),IF(B125="高一",IF($E125="男",LOOKUP(L125,[1]对照表!$Q$3:$Q$24,[1]对照表!$T$3:$T$24),LOOKUP(L125,[1]对照表!$Q$27:$Q$48,[1]对照表!$T$27:$T$48)))))</f>
        <v>85</v>
      </c>
      <c r="N125" s="33">
        <f>IF(B125="高三",MAX(IF(E125="男",L125-18,L125-55),0),IF(B125="高二",MAX(IF(E125="男",L125-17,L125-54),0),IF(B125="高一",MAX(IF(E125="男",L125-16,L125-53),0))))</f>
        <v>0</v>
      </c>
      <c r="O125" s="23">
        <f>IF(E125="男",LOOKUP($N125,[1]对照表!$Z$3:$Z$13,[1]对照表!$AA$3:$AA$13),LOOKUP($N125,[1]对照表!$Z$15:$Z$25,[1]对照表!$AA$15:$AA$25))</f>
        <v>0</v>
      </c>
      <c r="P125" s="25">
        <f>M125+O125</f>
        <v>85</v>
      </c>
      <c r="Q125" s="50">
        <v>3.3</v>
      </c>
      <c r="R125" s="32">
        <f>IF(B125="高三",IF($E125="男",LOOKUP(Q125,[1]对照表!$W$3:$W$24,[1]对照表!$X$3:$X$24),LOOKUP(Q125,[1]对照表!$W$27:$W$48,[1]对照表!$X$27:$X$48)),IF(B125="高二",IF($E125="男",LOOKUP(Q125,[1]对照表!$V$3:$V$24,[1]对照表!$X$3:$X$24),LOOKUP(Q125,[1]对照表!$V$27:$V$48,[1]对照表!$X$27:$X$48)),IF(B125="高一",IF($E125="男",LOOKUP(Q125,[1]对照表!$U$3:$U$24,[1]对照表!$X$3:$X$24),LOOKUP(Q125,[1]对照表!$U$27:$U$48,[1]对照表!$X$27:$X$48)))))</f>
        <v>90</v>
      </c>
      <c r="S125" s="33">
        <f>ROUND(IF(IF($B125="高三",MIN(IF($E125="男",$Q125-3.2,$Q125-3.2),0),IF($B125="高二",MIN(IF($E125="男",$Q125-3.25,$Q125-3.22),0),IF($B125="高一",MIN(IF($E125="男",$Q125-3.3,$Q125-3.24),0))))&lt;-0.6,IF($B125="高三",MIN(IF($E125="男",$Q125-3.2,$Q125-3.2),0),IF($B125="高二",MIN(IF($E125="男",$Q125-3.25,$Q125-3.22),0),IF($B125="高一",MIN(IF($E125="男",$Q125-3.3,$Q125-3.24),0))))+0.4,IF($B125="高三",MIN(IF($E125="男",$Q125-3.2,$Q125-3.2),0),IF($B125="高二",MIN(IF($E125="男",$Q125-3.25,$Q125-3.22),0),IF($B125="高一",MIN(IF($E125="男",$Q125-3.3,$Q125-3.24),0))))),2)</f>
        <v>0</v>
      </c>
      <c r="T125" s="23">
        <f>IF(E125="男",LOOKUP($S125,[1]对照表!$AB$3:$AB$13,[1]对照表!$AC$3:$AC$13),LOOKUP($S125,[1]对照表!$AB$15:$AB$25,[1]对照表!$AC$15:$AC$25))</f>
        <v>0</v>
      </c>
      <c r="U125" s="26">
        <f>R125+T125</f>
        <v>90</v>
      </c>
      <c r="V125" s="26">
        <f>SUM(I125,K125,M125)/3*0.3+SUM(G125,R125)/2*0.4</f>
        <v>57.7</v>
      </c>
      <c r="W125" s="27">
        <f>O125+T125</f>
        <v>0</v>
      </c>
      <c r="X125" s="28">
        <f>V125/0.7+W125</f>
        <v>82.428571428571445</v>
      </c>
      <c r="Y125" s="28">
        <f>X125</f>
        <v>82.428571428571445</v>
      </c>
      <c r="Z125" s="38"/>
    </row>
    <row r="126" spans="1:26" ht="15.6" x14ac:dyDescent="0.25">
      <c r="A126" s="48">
        <v>31</v>
      </c>
      <c r="B126" s="17" t="s">
        <v>767</v>
      </c>
      <c r="C126" s="38">
        <v>203</v>
      </c>
      <c r="D126" s="49" t="s">
        <v>1021</v>
      </c>
      <c r="E126" s="38" t="s">
        <v>65</v>
      </c>
      <c r="F126" s="50">
        <v>8.5299999999999994</v>
      </c>
      <c r="G126" s="32">
        <f>IF(B126="高三",IF($E126="男",LOOKUP(F126,[1]对照表!$G$3:$G$24,[1]对照表!$H$3:$H$24),LOOKUP(F126,[1]对照表!$G$27:$G$48,[1]对照表!$H$27:$H$48)),IF(B126="高二",IF($E126="男",LOOKUP(F126,[1]对照表!$F$3:$F$24,[1]对照表!$H$3:$H$24),LOOKUP(F126,[1]对照表!$F$27:$F$48,[1]对照表!$H$27:$H$48)),IF(B126="高一",IF($E126="男",LOOKUP(F126,[1]对照表!$E$3:$E$24,[1]对照表!$H$3:$H$24),LOOKUP(F126,[1]对照表!$E$27:$E$48,[1]对照表!$H$27:$H$48)))))</f>
        <v>78</v>
      </c>
      <c r="H126" s="38">
        <v>19</v>
      </c>
      <c r="I126" s="32">
        <f>IF(B126="高三",IF($E126="男",LOOKUP(H126,[1]对照表!$K$3:$K$24,[1]对照表!$L$3:$L$24),LOOKUP(H126,[1]对照表!$K$27:$K$48,[1]对照表!$L$27:$L$48)),IF(B126="高二",IF($E126="男",LOOKUP(H126,[1]对照表!$J$3:$J$24,[1]对照表!$L$3:$L$24),LOOKUP(H126,[1]对照表!$J$27:$J$48,[1]对照表!$L$27:$L$48)),IF(B126="高一",IF($E126="男",LOOKUP(H126,[1]对照表!$I$3:$I$24,[1]对照表!$L$3:$L$24),LOOKUP(H126,[1]对照表!$I$27:$I$48,[1]对照表!$L$27:$L$48)))))</f>
        <v>80</v>
      </c>
      <c r="J126" s="38">
        <v>185</v>
      </c>
      <c r="K126" s="32">
        <f>IF(B126="高三",IF($E126="男",LOOKUP(J126,[1]对照表!$O$3:$O$24,[1]对照表!$P$3:$P$24),LOOKUP(J126,[1]对照表!$O$27:$O$48,[1]对照表!$P$27:$P$48)),IF(B126="高二",IF($E126="男",LOOKUP(J126,[1]对照表!$N$3:$N$24,[1]对照表!$P$3:$P$24),LOOKUP(J126,[1]对照表!$N$27:$N$48,[1]对照表!$P$27:$P$48)),IF(B126="高一",IF($E126="男",LOOKUP(J126,[1]对照表!$M$3:$M$24,[1]对照表!$P$3:$P$24),LOOKUP(J126,[1]对照表!$M$27:$M$48,[1]对照表!$P$27:$P$48)))))</f>
        <v>80</v>
      </c>
      <c r="L126" s="38">
        <v>55</v>
      </c>
      <c r="M126" s="32">
        <f>IF(B126="高三",IF($E126="男",LOOKUP(L126,[1]对照表!$S$3:$S$24,[1]对照表!$T$3:$T$24),LOOKUP(L126,[1]对照表!$S$27:$S$48,[1]对照表!$T$27:$T$48)),IF(B126="高二",IF($E126="男",LOOKUP(L126,[1]对照表!$R$3:$R$24,[1]对照表!$T$3:$T$24),LOOKUP(L126,[1]对照表!$R$27:$R$48,[1]对照表!$T$27:$T$48)),IF(B126="高一",IF($E126="男",LOOKUP(L126,[1]对照表!$Q$3:$Q$24,[1]对照表!$T$3:$T$24),LOOKUP(L126,[1]对照表!$Q$27:$Q$48,[1]对照表!$T$27:$T$48)))))</f>
        <v>100</v>
      </c>
      <c r="N126" s="33">
        <f>IF(B126="高三",MAX(IF(E126="男",L126-18,L126-55),0),IF(B126="高二",MAX(IF(E126="男",L126-17,L126-54),0),IF(B126="高一",MAX(IF(E126="男",L126-16,L126-53),0))))</f>
        <v>1</v>
      </c>
      <c r="O126" s="23">
        <f>IF(E126="男",LOOKUP($N126,[1]对照表!$Z$3:$Z$13,[1]对照表!$AA$3:$AA$13),LOOKUP($N126,[1]对照表!$Z$15:$Z$25,[1]对照表!$AA$15:$AA$25))</f>
        <v>0</v>
      </c>
      <c r="P126" s="25">
        <f>M126+O126</f>
        <v>100</v>
      </c>
      <c r="Q126" s="50">
        <v>3.44</v>
      </c>
      <c r="R126" s="32">
        <f>IF(B126="高三",IF($E126="男",LOOKUP(Q126,[1]对照表!$W$3:$W$24,[1]对照表!$X$3:$X$24),LOOKUP(Q126,[1]对照表!$W$27:$W$48,[1]对照表!$X$27:$X$48)),IF(B126="高二",IF($E126="男",LOOKUP(Q126,[1]对照表!$V$3:$V$24,[1]对照表!$X$3:$X$24),LOOKUP(Q126,[1]对照表!$V$27:$V$48,[1]对照表!$X$27:$X$48)),IF(B126="高一",IF($E126="男",LOOKUP(Q126,[1]对照表!$U$3:$U$24,[1]对照表!$X$3:$X$24),LOOKUP(Q126,[1]对照表!$U$27:$U$48,[1]对照表!$X$27:$X$48)))))</f>
        <v>80</v>
      </c>
      <c r="S126" s="33">
        <f>ROUND(IF(IF($B126="高三",MIN(IF($E126="男",$Q126-3.2,$Q126-3.2),0),IF($B126="高二",MIN(IF($E126="男",$Q126-3.25,$Q126-3.22),0),IF($B126="高一",MIN(IF($E126="男",$Q126-3.3,$Q126-3.24),0))))&lt;-0.6,IF($B126="高三",MIN(IF($E126="男",$Q126-3.2,$Q126-3.2),0),IF($B126="高二",MIN(IF($E126="男",$Q126-3.25,$Q126-3.22),0),IF($B126="高一",MIN(IF($E126="男",$Q126-3.3,$Q126-3.24),0))))+0.4,IF($B126="高三",MIN(IF($E126="男",$Q126-3.2,$Q126-3.2),0),IF($B126="高二",MIN(IF($E126="男",$Q126-3.25,$Q126-3.22),0),IF($B126="高一",MIN(IF($E126="男",$Q126-3.3,$Q126-3.24),0))))),2)</f>
        <v>0</v>
      </c>
      <c r="T126" s="23">
        <f>IF(E126="男",LOOKUP($S126,[1]对照表!$AB$3:$AB$13,[1]对照表!$AC$3:$AC$13),LOOKUP($S126,[1]对照表!$AB$15:$AB$25,[1]对照表!$AC$15:$AC$25))</f>
        <v>0</v>
      </c>
      <c r="U126" s="26">
        <f>R126+T126</f>
        <v>80</v>
      </c>
      <c r="V126" s="26">
        <f>SUM(I126,K126,M126)/3*0.3+SUM(G126,R126)/2*0.4</f>
        <v>57.6</v>
      </c>
      <c r="W126" s="27">
        <f>O126+T126</f>
        <v>0</v>
      </c>
      <c r="X126" s="28">
        <f>V126/0.7+W126</f>
        <v>82.285714285714292</v>
      </c>
      <c r="Y126" s="28">
        <f>X126</f>
        <v>82.285714285714292</v>
      </c>
      <c r="Z126" s="38"/>
    </row>
    <row r="127" spans="1:26" ht="15.6" x14ac:dyDescent="0.25">
      <c r="A127" s="48">
        <v>40</v>
      </c>
      <c r="B127" s="17" t="s">
        <v>767</v>
      </c>
      <c r="C127" s="48">
        <v>203</v>
      </c>
      <c r="D127" s="49" t="s">
        <v>1023</v>
      </c>
      <c r="E127" s="48" t="s">
        <v>65</v>
      </c>
      <c r="F127" s="50">
        <v>9.16</v>
      </c>
      <c r="G127" s="32">
        <f>IF(B127="高三",IF($E127="男",LOOKUP(F127,[1]对照表!$G$3:$G$24,[1]对照表!$H$3:$H$24),LOOKUP(F127,[1]对照表!$G$27:$G$48,[1]对照表!$H$27:$H$48)),IF(B127="高二",IF($E127="男",LOOKUP(F127,[1]对照表!$F$3:$F$24,[1]对照表!$H$3:$H$24),LOOKUP(F127,[1]对照表!$F$27:$F$48,[1]对照表!$H$27:$H$48)),IF(B127="高一",IF($E127="男",LOOKUP(F127,[1]对照表!$E$3:$E$24,[1]对照表!$H$3:$H$24),LOOKUP(F127,[1]对照表!$E$27:$E$48,[1]对照表!$H$27:$H$48)))))</f>
        <v>72</v>
      </c>
      <c r="H127" s="38">
        <v>20.399999999999999</v>
      </c>
      <c r="I127" s="32">
        <f>IF(B127="高三",IF($E127="男",LOOKUP(H127,[1]对照表!$K$3:$K$24,[1]对照表!$L$3:$L$24),LOOKUP(H127,[1]对照表!$K$27:$K$48,[1]对照表!$L$27:$L$48)),IF(B127="高二",IF($E127="男",LOOKUP(H127,[1]对照表!$J$3:$J$24,[1]对照表!$L$3:$L$24),LOOKUP(H127,[1]对照表!$J$27:$J$48,[1]对照表!$L$27:$L$48)),IF(B127="高一",IF($E127="男",LOOKUP(H127,[1]对照表!$I$3:$I$24,[1]对照表!$L$3:$L$24),LOOKUP(H127,[1]对照表!$I$27:$I$48,[1]对照表!$L$27:$L$48)))))</f>
        <v>85</v>
      </c>
      <c r="J127" s="38">
        <v>207</v>
      </c>
      <c r="K127" s="32">
        <f>IF(B127="高三",IF($E127="男",LOOKUP(J127,[1]对照表!$O$3:$O$24,[1]对照表!$P$3:$P$24),LOOKUP(J127,[1]对照表!$O$27:$O$48,[1]对照表!$P$27:$P$48)),IF(B127="高二",IF($E127="男",LOOKUP(J127,[1]对照表!$N$3:$N$24,[1]对照表!$P$3:$P$24),LOOKUP(J127,[1]对照表!$N$27:$N$48,[1]对照表!$P$27:$P$48)),IF(B127="高一",IF($E127="男",LOOKUP(J127,[1]对照表!$M$3:$M$24,[1]对照表!$P$3:$P$24),LOOKUP(J127,[1]对照表!$M$27:$M$48,[1]对照表!$P$27:$P$48)))))</f>
        <v>100</v>
      </c>
      <c r="L127" s="38">
        <v>53</v>
      </c>
      <c r="M127" s="32">
        <f>IF(B127="高三",IF($E127="男",LOOKUP(L127,[1]对照表!$S$3:$S$24,[1]对照表!$T$3:$T$24),LOOKUP(L127,[1]对照表!$S$27:$S$48,[1]对照表!$T$27:$T$48)),IF(B127="高二",IF($E127="男",LOOKUP(L127,[1]对照表!$R$3:$R$24,[1]对照表!$T$3:$T$24),LOOKUP(L127,[1]对照表!$R$27:$R$48,[1]对照表!$T$27:$T$48)),IF(B127="高一",IF($E127="男",LOOKUP(L127,[1]对照表!$Q$3:$Q$24,[1]对照表!$T$3:$T$24),LOOKUP(L127,[1]对照表!$Q$27:$Q$48,[1]对照表!$T$27:$T$48)))))</f>
        <v>95</v>
      </c>
      <c r="N127" s="33">
        <f>IF(B127="高三",MAX(IF(E127="男",L127-18,L127-55),0),IF(B127="高二",MAX(IF(E127="男",L127-17,L127-54),0),IF(B127="高一",MAX(IF(E127="男",L127-16,L127-53),0))))</f>
        <v>0</v>
      </c>
      <c r="O127" s="23">
        <f>IF(E127="男",LOOKUP($N127,[1]对照表!$Z$3:$Z$13,[1]对照表!$AA$3:$AA$13),LOOKUP($N127,[1]对照表!$Z$15:$Z$25,[1]对照表!$AA$15:$AA$25))</f>
        <v>0</v>
      </c>
      <c r="P127" s="25">
        <f>M127+O127</f>
        <v>95</v>
      </c>
      <c r="Q127" s="50">
        <v>3.55</v>
      </c>
      <c r="R127" s="32">
        <f>IF(B127="高三",IF($E127="男",LOOKUP(Q127,[1]对照表!$W$3:$W$24,[1]对照表!$X$3:$X$24),LOOKUP(Q127,[1]对照表!$W$27:$W$48,[1]对照表!$X$27:$X$48)),IF(B127="高二",IF($E127="男",LOOKUP(Q127,[1]对照表!$V$3:$V$24,[1]对照表!$X$3:$X$24),LOOKUP(Q127,[1]对照表!$V$27:$V$48,[1]对照表!$X$27:$X$48)),IF(B127="高一",IF($E127="男",LOOKUP(Q127,[1]对照表!$U$3:$U$24,[1]对照表!$X$3:$X$24),LOOKUP(Q127,[1]对照表!$U$27:$U$48,[1]对照表!$X$27:$X$48)))))</f>
        <v>76</v>
      </c>
      <c r="S127" s="33">
        <f>ROUND(IF(IF($B127="高三",MIN(IF($E127="男",$Q127-3.2,$Q127-3.2),0),IF($B127="高二",MIN(IF($E127="男",$Q127-3.25,$Q127-3.22),0),IF($B127="高一",MIN(IF($E127="男",$Q127-3.3,$Q127-3.24),0))))&lt;-0.6,IF($B127="高三",MIN(IF($E127="男",$Q127-3.2,$Q127-3.2),0),IF($B127="高二",MIN(IF($E127="男",$Q127-3.25,$Q127-3.22),0),IF($B127="高一",MIN(IF($E127="男",$Q127-3.3,$Q127-3.24),0))))+0.4,IF($B127="高三",MIN(IF($E127="男",$Q127-3.2,$Q127-3.2),0),IF($B127="高二",MIN(IF($E127="男",$Q127-3.25,$Q127-3.22),0),IF($B127="高一",MIN(IF($E127="男",$Q127-3.3,$Q127-3.24),0))))),2)</f>
        <v>0</v>
      </c>
      <c r="T127" s="23">
        <f>IF(E127="男",LOOKUP($S127,[1]对照表!$AB$3:$AB$13,[1]对照表!$AC$3:$AC$13),LOOKUP($S127,[1]对照表!$AB$15:$AB$25,[1]对照表!$AC$15:$AC$25))</f>
        <v>0</v>
      </c>
      <c r="U127" s="26">
        <f>R127+T127</f>
        <v>76</v>
      </c>
      <c r="V127" s="26">
        <f>SUM(I127,K127,M127)/3*0.3+SUM(G127,R127)/2*0.4</f>
        <v>57.599999999999994</v>
      </c>
      <c r="W127" s="27">
        <f>O127+T127</f>
        <v>0</v>
      </c>
      <c r="X127" s="28">
        <f>V127/0.7+W127</f>
        <v>82.285714285714278</v>
      </c>
      <c r="Y127" s="28">
        <f>X127</f>
        <v>82.285714285714278</v>
      </c>
      <c r="Z127" s="38"/>
    </row>
    <row r="128" spans="1:26" ht="15.6" x14ac:dyDescent="0.25">
      <c r="A128" s="48">
        <v>25</v>
      </c>
      <c r="B128" s="17" t="s">
        <v>767</v>
      </c>
      <c r="C128" s="48">
        <v>203</v>
      </c>
      <c r="D128" s="49" t="s">
        <v>1040</v>
      </c>
      <c r="E128" s="48" t="s">
        <v>65</v>
      </c>
      <c r="F128" s="50">
        <v>8.3699999999999992</v>
      </c>
      <c r="G128" s="32">
        <f>IF(B128="高三",IF($E128="男",LOOKUP(F128,[1]对照表!$G$3:$G$24,[1]对照表!$H$3:$H$24),LOOKUP(F128,[1]对照表!$G$27:$G$48,[1]对照表!$H$27:$H$48)),IF(B128="高二",IF($E128="男",LOOKUP(F128,[1]对照表!$F$3:$F$24,[1]对照表!$H$3:$H$24),LOOKUP(F128,[1]对照表!$F$27:$F$48,[1]对照表!$H$27:$H$48)),IF(B128="高一",IF($E128="男",LOOKUP(F128,[1]对照表!$E$3:$E$24,[1]对照表!$H$3:$H$24),LOOKUP(F128,[1]对照表!$E$27:$E$48,[1]对照表!$H$27:$H$48)))))</f>
        <v>80</v>
      </c>
      <c r="H128" s="38">
        <v>21</v>
      </c>
      <c r="I128" s="32">
        <f>IF(B128="高三",IF($E128="男",LOOKUP(H128,[1]对照表!$K$3:$K$24,[1]对照表!$L$3:$L$24),LOOKUP(H128,[1]对照表!$K$27:$K$48,[1]对照表!$L$27:$L$48)),IF(B128="高二",IF($E128="男",LOOKUP(H128,[1]对照表!$J$3:$J$24,[1]对照表!$L$3:$L$24),LOOKUP(H128,[1]对照表!$J$27:$J$48,[1]对照表!$L$27:$L$48)),IF(B128="高一",IF($E128="男",LOOKUP(H128,[1]对照表!$I$3:$I$24,[1]对照表!$L$3:$L$24),LOOKUP(H128,[1]对照表!$I$27:$I$48,[1]对照表!$L$27:$L$48)))))</f>
        <v>85</v>
      </c>
      <c r="J128" s="38">
        <v>200</v>
      </c>
      <c r="K128" s="32">
        <f>IF(B128="高三",IF($E128="男",LOOKUP(J128,[1]对照表!$O$3:$O$24,[1]对照表!$P$3:$P$24),LOOKUP(J128,[1]对照表!$O$27:$O$48,[1]对照表!$P$27:$P$48)),IF(B128="高二",IF($E128="男",LOOKUP(J128,[1]对照表!$N$3:$N$24,[1]对照表!$P$3:$P$24),LOOKUP(J128,[1]对照表!$N$27:$N$48,[1]对照表!$P$27:$P$48)),IF(B128="高一",IF($E128="男",LOOKUP(J128,[1]对照表!$M$3:$M$24,[1]对照表!$P$3:$P$24),LOOKUP(J128,[1]对照表!$M$27:$M$48,[1]对照表!$P$27:$P$48)))))</f>
        <v>95</v>
      </c>
      <c r="L128" s="38">
        <v>34</v>
      </c>
      <c r="M128" s="32">
        <f>IF(B128="高三",IF($E128="男",LOOKUP(L128,[1]对照表!$S$3:$S$24,[1]对照表!$T$3:$T$24),LOOKUP(L128,[1]对照表!$S$27:$S$48,[1]对照表!$T$27:$T$48)),IF(B128="高二",IF($E128="男",LOOKUP(L128,[1]对照表!$R$3:$R$24,[1]对照表!$T$3:$T$24),LOOKUP(L128,[1]对照表!$R$27:$R$48,[1]对照表!$T$27:$T$48)),IF(B128="高一",IF($E128="男",LOOKUP(L128,[1]对照表!$Q$3:$Q$24,[1]对照表!$T$3:$T$24),LOOKUP(L128,[1]对照表!$Q$27:$Q$48,[1]对照表!$T$27:$T$48)))))</f>
        <v>70</v>
      </c>
      <c r="N128" s="33">
        <f>IF(B128="高三",MAX(IF(E128="男",L128-18,L128-55),0),IF(B128="高二",MAX(IF(E128="男",L128-17,L128-54),0),IF(B128="高一",MAX(IF(E128="男",L128-16,L128-53),0))))</f>
        <v>0</v>
      </c>
      <c r="O128" s="23">
        <f>IF(E128="男",LOOKUP($N128,[1]对照表!$Z$3:$Z$13,[1]对照表!$AA$3:$AA$13),LOOKUP($N128,[1]对照表!$Z$15:$Z$25,[1]对照表!$AA$15:$AA$25))</f>
        <v>0</v>
      </c>
      <c r="P128" s="25">
        <f>M128+O128</f>
        <v>70</v>
      </c>
      <c r="Q128" s="50">
        <v>3.48</v>
      </c>
      <c r="R128" s="32">
        <f>IF(B128="高三",IF($E128="男",LOOKUP(Q128,[1]对照表!$W$3:$W$24,[1]对照表!$X$3:$X$24),LOOKUP(Q128,[1]对照表!$W$27:$W$48,[1]对照表!$X$27:$X$48)),IF(B128="高二",IF($E128="男",LOOKUP(Q128,[1]对照表!$V$3:$V$24,[1]对照表!$X$3:$X$24),LOOKUP(Q128,[1]对照表!$V$27:$V$48,[1]对照表!$X$27:$X$48)),IF(B128="高一",IF($E128="男",LOOKUP(Q128,[1]对照表!$U$3:$U$24,[1]对照表!$X$3:$X$24),LOOKUP(Q128,[1]对照表!$U$27:$U$48,[1]对照表!$X$27:$X$48)))))</f>
        <v>80</v>
      </c>
      <c r="S128" s="27">
        <f>ROUND(IF(IF($B128="高三",MIN(IF($E128="男",$Q128-3.2,$Q128-3.2),0),IF($B128="高二",MIN(IF($E128="男",$Q128-3.25,$Q128-3.22),0),IF($B128="高一",MIN(IF($E128="男",$Q128-3.3,$Q128-3.24),0))))&lt;-0.6,IF($B128="高三",MIN(IF($E128="男",$Q128-3.2,$Q128-3.2),0),IF($B128="高二",MIN(IF($E128="男",$Q128-3.25,$Q128-3.22),0),IF($B128="高一",MIN(IF($E128="男",$Q128-3.3,$Q128-3.24),0))))+0.4,IF($B128="高三",MIN(IF($E128="男",$Q128-3.2,$Q128-3.2),0),IF($B128="高二",MIN(IF($E128="男",$Q128-3.25,$Q128-3.22),0),IF($B128="高一",MIN(IF($E128="男",$Q128-3.3,$Q128-3.24),0))))),2)</f>
        <v>0</v>
      </c>
      <c r="T128" s="23">
        <f>IF(E128="男",LOOKUP($S128,[1]对照表!$AB$3:$AB$13,[1]对照表!$AC$3:$AC$13),LOOKUP($S128,[1]对照表!$AB$15:$AB$25,[1]对照表!$AC$15:$AC$25))</f>
        <v>0</v>
      </c>
      <c r="U128" s="26">
        <f>R128+T128</f>
        <v>80</v>
      </c>
      <c r="V128" s="26">
        <f>SUM(I128,K128,M128)/3*0.3+SUM(G128,R128)/2*0.4</f>
        <v>57</v>
      </c>
      <c r="W128" s="27">
        <f>O128+T128</f>
        <v>0</v>
      </c>
      <c r="X128" s="28">
        <f>V128/0.7+W128</f>
        <v>81.428571428571431</v>
      </c>
      <c r="Y128" s="28">
        <f>X128</f>
        <v>81.428571428571431</v>
      </c>
      <c r="Z128" s="38"/>
    </row>
    <row r="129" spans="1:26" ht="15.6" x14ac:dyDescent="0.25">
      <c r="A129" s="48">
        <v>12</v>
      </c>
      <c r="B129" s="17" t="s">
        <v>767</v>
      </c>
      <c r="C129" s="48">
        <v>203</v>
      </c>
      <c r="D129" s="49" t="s">
        <v>1042</v>
      </c>
      <c r="E129" s="48" t="s">
        <v>65</v>
      </c>
      <c r="F129" s="50">
        <v>8.9</v>
      </c>
      <c r="G129" s="32">
        <f>IF(B129="高三",IF($E129="男",LOOKUP(F129,[1]对照表!$G$3:$G$24,[1]对照表!$H$3:$H$24),LOOKUP(F129,[1]对照表!$G$27:$G$48,[1]对照表!$H$27:$H$48)),IF(B129="高二",IF($E129="男",LOOKUP(F129,[1]对照表!$F$3:$F$24,[1]对照表!$H$3:$H$24),LOOKUP(F129,[1]对照表!$F$27:$F$48,[1]对照表!$H$27:$H$48)),IF(B129="高一",IF($E129="男",LOOKUP(F129,[1]对照表!$E$3:$E$24,[1]对照表!$H$3:$H$24),LOOKUP(F129,[1]对照表!$E$27:$E$48,[1]对照表!$H$27:$H$48)))))</f>
        <v>76</v>
      </c>
      <c r="H129" s="38">
        <v>25.5</v>
      </c>
      <c r="I129" s="32">
        <f>IF(B129="高三",IF($E129="男",LOOKUP(H129,[1]对照表!$K$3:$K$24,[1]对照表!$L$3:$L$24),LOOKUP(H129,[1]对照表!$K$27:$K$48,[1]对照表!$L$27:$L$48)),IF(B129="高二",IF($E129="男",LOOKUP(H129,[1]对照表!$J$3:$J$24,[1]对照表!$L$3:$L$24),LOOKUP(H129,[1]对照表!$J$27:$J$48,[1]对照表!$L$27:$L$48)),IF(B129="高一",IF($E129="男",LOOKUP(H129,[1]对照表!$I$3:$I$24,[1]对照表!$L$3:$L$24),LOOKUP(H129,[1]对照表!$I$27:$I$48,[1]对照表!$L$27:$L$48)))))</f>
        <v>100</v>
      </c>
      <c r="J129" s="38">
        <v>167</v>
      </c>
      <c r="K129" s="32">
        <f>IF(B129="高三",IF($E129="男",LOOKUP(J129,[1]对照表!$O$3:$O$24,[1]对照表!$P$3:$P$24),LOOKUP(J129,[1]对照表!$O$27:$O$48,[1]对照表!$P$27:$P$48)),IF(B129="高二",IF($E129="男",LOOKUP(J129,[1]对照表!$N$3:$N$24,[1]对照表!$P$3:$P$24),LOOKUP(J129,[1]对照表!$N$27:$N$48,[1]对照表!$P$27:$P$48)),IF(B129="高一",IF($E129="男",LOOKUP(J129,[1]对照表!$M$3:$M$24,[1]对照表!$P$3:$P$24),LOOKUP(J129,[1]对照表!$M$27:$M$48,[1]对照表!$P$27:$P$48)))))</f>
        <v>72</v>
      </c>
      <c r="L129" s="38">
        <v>50</v>
      </c>
      <c r="M129" s="32">
        <f>IF(B129="高三",IF($E129="男",LOOKUP(L129,[1]对照表!$S$3:$S$24,[1]对照表!$T$3:$T$24),LOOKUP(L129,[1]对照表!$S$27:$S$48,[1]对照表!$T$27:$T$48)),IF(B129="高二",IF($E129="男",LOOKUP(L129,[1]对照表!$R$3:$R$24,[1]对照表!$T$3:$T$24),LOOKUP(L129,[1]对照表!$R$27:$R$48,[1]对照表!$T$27:$T$48)),IF(B129="高一",IF($E129="男",LOOKUP(L129,[1]对照表!$Q$3:$Q$24,[1]对照表!$T$3:$T$24),LOOKUP(L129,[1]对照表!$Q$27:$Q$48,[1]对照表!$T$27:$T$48)))))</f>
        <v>90</v>
      </c>
      <c r="N129" s="33">
        <f>IF(B129="高三",MAX(IF(E129="男",L129-18,L129-55),0),IF(B129="高二",MAX(IF(E129="男",L129-17,L129-54),0),IF(B129="高一",MAX(IF(E129="男",L129-16,L129-53),0))))</f>
        <v>0</v>
      </c>
      <c r="O129" s="23">
        <f>IF(E129="男",LOOKUP($N129,[1]对照表!$Z$3:$Z$13,[1]对照表!$AA$3:$AA$13),LOOKUP($N129,[1]对照表!$Z$15:$Z$25,[1]对照表!$AA$15:$AA$25))</f>
        <v>0</v>
      </c>
      <c r="P129" s="25">
        <f>M129+O129</f>
        <v>90</v>
      </c>
      <c r="Q129" s="50">
        <v>3.51</v>
      </c>
      <c r="R129" s="32">
        <f>IF(B129="高三",IF($E129="男",LOOKUP(Q129,[1]对照表!$W$3:$W$24,[1]对照表!$X$3:$X$24),LOOKUP(Q129,[1]对照表!$W$27:$W$48,[1]对照表!$X$27:$X$48)),IF(B129="高二",IF($E129="男",LOOKUP(Q129,[1]对照表!$V$3:$V$24,[1]对照表!$X$3:$X$24),LOOKUP(Q129,[1]对照表!$V$27:$V$48,[1]对照表!$X$27:$X$48)),IF(B129="高一",IF($E129="男",LOOKUP(Q129,[1]对照表!$U$3:$U$24,[1]对照表!$X$3:$X$24),LOOKUP(Q129,[1]对照表!$U$27:$U$48,[1]对照表!$X$27:$X$48)))))</f>
        <v>78</v>
      </c>
      <c r="S129" s="33">
        <f>ROUND(IF(IF($B129="高三",MIN(IF($E129="男",$Q129-3.2,$Q129-3.2),0),IF($B129="高二",MIN(IF($E129="男",$Q129-3.25,$Q129-3.22),0),IF($B129="高一",MIN(IF($E129="男",$Q129-3.3,$Q129-3.24),0))))&lt;-0.6,IF($B129="高三",MIN(IF($E129="男",$Q129-3.2,$Q129-3.2),0),IF($B129="高二",MIN(IF($E129="男",$Q129-3.25,$Q129-3.22),0),IF($B129="高一",MIN(IF($E129="男",$Q129-3.3,$Q129-3.24),0))))+0.4,IF($B129="高三",MIN(IF($E129="男",$Q129-3.2,$Q129-3.2),0),IF($B129="高二",MIN(IF($E129="男",$Q129-3.25,$Q129-3.22),0),IF($B129="高一",MIN(IF($E129="男",$Q129-3.3,$Q129-3.24),0))))),2)</f>
        <v>0</v>
      </c>
      <c r="T129" s="23">
        <f>IF(E129="男",LOOKUP($S129,[1]对照表!$AB$3:$AB$13,[1]对照表!$AC$3:$AC$13),LOOKUP($S129,[1]对照表!$AB$15:$AB$25,[1]对照表!$AC$15:$AC$25))</f>
        <v>0</v>
      </c>
      <c r="U129" s="26">
        <f>R129+T129</f>
        <v>78</v>
      </c>
      <c r="V129" s="26">
        <f>SUM(I129,K129,M129)/3*0.3+SUM(G129,R129)/2*0.4</f>
        <v>57</v>
      </c>
      <c r="W129" s="27">
        <f>O129+T129</f>
        <v>0</v>
      </c>
      <c r="X129" s="28">
        <f>V129/0.7+W129</f>
        <v>81.428571428571431</v>
      </c>
      <c r="Y129" s="28">
        <f>X129</f>
        <v>81.428571428571431</v>
      </c>
      <c r="Z129" s="38"/>
    </row>
    <row r="130" spans="1:26" ht="15.6" x14ac:dyDescent="0.25">
      <c r="A130" s="48">
        <v>1</v>
      </c>
      <c r="B130" s="17" t="s">
        <v>767</v>
      </c>
      <c r="C130" s="48">
        <v>203</v>
      </c>
      <c r="D130" s="49" t="s">
        <v>1046</v>
      </c>
      <c r="E130" s="49" t="s">
        <v>23</v>
      </c>
      <c r="F130" s="50">
        <v>6.9</v>
      </c>
      <c r="G130" s="32">
        <f>IF(B130="高三",IF($E130="男",LOOKUP(F130,[1]对照表!$G$3:$G$24,[1]对照表!$H$3:$H$24),LOOKUP(F130,[1]对照表!$G$27:$G$48,[1]对照表!$H$27:$H$48)),IF(B130="高二",IF($E130="男",LOOKUP(F130,[1]对照表!$F$3:$F$24,[1]对照表!$H$3:$H$24),LOOKUP(F130,[1]对照表!$F$27:$F$48,[1]对照表!$H$27:$H$48)),IF(B130="高一",IF($E130="男",LOOKUP(F130,[1]对照表!$E$3:$E$24,[1]对照表!$H$3:$H$24),LOOKUP(F130,[1]对照表!$E$27:$E$48,[1]对照表!$H$27:$H$48)))))</f>
        <v>100</v>
      </c>
      <c r="H130" s="38">
        <v>19</v>
      </c>
      <c r="I130" s="32">
        <f>IF(B130="高三",IF($E130="男",LOOKUP(H130,[1]对照表!$K$3:$K$24,[1]对照表!$L$3:$L$24),LOOKUP(H130,[1]对照表!$K$27:$K$48,[1]对照表!$L$27:$L$48)),IF(B130="高二",IF($E130="男",LOOKUP(H130,[1]对照表!$J$3:$J$24,[1]对照表!$L$3:$L$24),LOOKUP(H130,[1]对照表!$J$27:$J$48,[1]对照表!$L$27:$L$48)),IF(B130="高一",IF($E130="男",LOOKUP(H130,[1]对照表!$I$3:$I$24,[1]对照表!$L$3:$L$24),LOOKUP(H130,[1]对照表!$I$27:$I$48,[1]对照表!$L$27:$L$48)))))</f>
        <v>85</v>
      </c>
      <c r="J130" s="38">
        <v>235</v>
      </c>
      <c r="K130" s="32">
        <f>IF(B130="高三",IF($E130="男",LOOKUP(J130,[1]对照表!$O$3:$O$24,[1]对照表!$P$3:$P$24),LOOKUP(J130,[1]对照表!$O$27:$O$48,[1]对照表!$P$27:$P$48)),IF(B130="高二",IF($E130="男",LOOKUP(J130,[1]对照表!$N$3:$N$24,[1]对照表!$P$3:$P$24),LOOKUP(J130,[1]对照表!$N$27:$N$48,[1]对照表!$P$27:$P$48)),IF(B130="高一",IF($E130="男",LOOKUP(J130,[1]对照表!$M$3:$M$24,[1]对照表!$P$3:$P$24),LOOKUP(J130,[1]对照表!$M$27:$M$48,[1]对照表!$P$27:$P$48)))))</f>
        <v>76</v>
      </c>
      <c r="L130" s="38">
        <v>11</v>
      </c>
      <c r="M130" s="32">
        <f>IF(B130="高三",IF($E130="男",LOOKUP(L130,[1]对照表!$S$3:$S$24,[1]对照表!$T$3:$T$24),LOOKUP(L130,[1]对照表!$S$27:$S$48,[1]对照表!$T$27:$T$48)),IF(B130="高二",IF($E130="男",LOOKUP(L130,[1]对照表!$R$3:$R$24,[1]对照表!$T$3:$T$24),LOOKUP(L130,[1]对照表!$R$27:$R$48,[1]对照表!$T$27:$T$48)),IF(B130="高一",IF($E130="男",LOOKUP(L130,[1]对照表!$Q$3:$Q$24,[1]对照表!$T$3:$T$24),LOOKUP(L130,[1]对照表!$Q$27:$Q$48,[1]对照表!$T$27:$T$48)))))</f>
        <v>72</v>
      </c>
      <c r="N130" s="33">
        <f>IF(B130="高三",MAX(IF(E130="男",L130-18,L130-55),0),IF(B130="高二",MAX(IF(E130="男",L130-17,L130-54),0),IF(B130="高一",MAX(IF(E130="男",L130-16,L130-53),0))))</f>
        <v>0</v>
      </c>
      <c r="O130" s="23">
        <f>IF(E130="男",LOOKUP($N130,[1]对照表!$Z$3:$Z$13,[1]对照表!$AA$3:$AA$13),LOOKUP($N130,[1]对照表!$Z$15:$Z$25,[1]对照表!$AA$15:$AA$25))</f>
        <v>0</v>
      </c>
      <c r="P130" s="25">
        <f>M130+O130</f>
        <v>72</v>
      </c>
      <c r="Q130" s="50">
        <v>3.31</v>
      </c>
      <c r="R130" s="32">
        <f>IF(B130="高三",IF($E130="男",LOOKUP(Q130,[1]对照表!$W$3:$W$24,[1]对照表!$X$3:$X$24),LOOKUP(Q130,[1]对照表!$W$27:$W$48,[1]对照表!$X$27:$X$48)),IF(B130="高二",IF($E130="男",LOOKUP(Q130,[1]对照表!$V$3:$V$24,[1]对照表!$X$3:$X$24),LOOKUP(Q130,[1]对照表!$V$27:$V$48,[1]对照表!$X$27:$X$48)),IF(B130="高一",IF($E130="男",LOOKUP(Q130,[1]对照表!$U$3:$U$24,[1]对照表!$X$3:$X$24),LOOKUP(Q130,[1]对照表!$U$27:$U$48,[1]对照表!$X$27:$X$48)))))</f>
        <v>90</v>
      </c>
      <c r="S130" s="33">
        <f>ROUND(IF(IF($B130="高三",MIN(IF($E130="男",$Q130-3.2,$Q130-3.2),0),IF($B130="高二",MIN(IF($E130="男",$Q130-3.25,$Q130-3.22),0),IF($B130="高一",MIN(IF($E130="男",$Q130-3.3,$Q130-3.24),0))))&lt;-0.6,IF($B130="高三",MIN(IF($E130="男",$Q130-3.2,$Q130-3.2),0),IF($B130="高二",MIN(IF($E130="男",$Q130-3.25,$Q130-3.22),0),IF($B130="高一",MIN(IF($E130="男",$Q130-3.3,$Q130-3.24),0))))+0.4,IF($B130="高三",MIN(IF($E130="男",$Q130-3.2,$Q130-3.2),0),IF($B130="高二",MIN(IF($E130="男",$Q130-3.25,$Q130-3.22),0),IF($B130="高一",MIN(IF($E130="男",$Q130-3.3,$Q130-3.24),0))))),2)</f>
        <v>0</v>
      </c>
      <c r="T130" s="23">
        <f>IF(E130="男",LOOKUP($S130,[1]对照表!$AB$3:$AB$13,[1]对照表!$AC$3:$AC$13),LOOKUP($S130,[1]对照表!$AB$15:$AB$25,[1]对照表!$AC$15:$AC$25))</f>
        <v>0</v>
      </c>
      <c r="U130" s="26">
        <f>R130+T130</f>
        <v>90</v>
      </c>
      <c r="V130" s="26">
        <f>SUM(I130,K130,M130)/3*0.3+SUM(G130,R130)/2*0.4</f>
        <v>61.3</v>
      </c>
      <c r="W130" s="27">
        <f>O130+T130</f>
        <v>0</v>
      </c>
      <c r="X130" s="28">
        <f>V130/0.7+W130</f>
        <v>87.571428571428569</v>
      </c>
      <c r="Y130" s="28">
        <f>X130</f>
        <v>87.571428571428569</v>
      </c>
      <c r="Z130" s="38"/>
    </row>
    <row r="131" spans="1:26" ht="15.6" x14ac:dyDescent="0.25">
      <c r="A131" s="48">
        <v>42</v>
      </c>
      <c r="B131" s="17" t="s">
        <v>767</v>
      </c>
      <c r="C131" s="48">
        <v>203</v>
      </c>
      <c r="D131" s="49" t="s">
        <v>1073</v>
      </c>
      <c r="E131" s="48" t="s">
        <v>65</v>
      </c>
      <c r="F131" s="50">
        <v>9.89</v>
      </c>
      <c r="G131" s="32">
        <f>IF(B131="高三",IF($E131="男",LOOKUP(F131,[1]对照表!$G$3:$G$24,[1]对照表!$H$3:$H$24),LOOKUP(F131,[1]对照表!$G$27:$G$48,[1]对照表!$H$27:$H$48)),IF(B131="高二",IF($E131="男",LOOKUP(F131,[1]对照表!$F$3:$F$24,[1]对照表!$H$3:$H$24),LOOKUP(F131,[1]对照表!$F$27:$F$48,[1]对照表!$H$27:$H$48)),IF(B131="高一",IF($E131="男",LOOKUP(F131,[1]对照表!$E$3:$E$24,[1]对照表!$H$3:$H$24),LOOKUP(F131,[1]对照表!$E$27:$E$48,[1]对照表!$H$27:$H$48)))))</f>
        <v>66</v>
      </c>
      <c r="H131" s="38">
        <v>24</v>
      </c>
      <c r="I131" s="32">
        <f>IF(B131="高三",IF($E131="男",LOOKUP(H131,[1]对照表!$K$3:$K$24,[1]对照表!$L$3:$L$24),LOOKUP(H131,[1]对照表!$K$27:$K$48,[1]对照表!$L$27:$L$48)),IF(B131="高二",IF($E131="男",LOOKUP(H131,[1]对照表!$J$3:$J$24,[1]对照表!$L$3:$L$24),LOOKUP(H131,[1]对照表!$J$27:$J$48,[1]对照表!$L$27:$L$48)),IF(B131="高一",IF($E131="男",LOOKUP(H131,[1]对照表!$I$3:$I$24,[1]对照表!$L$3:$L$24),LOOKUP(H131,[1]对照表!$I$27:$I$48,[1]对照表!$L$27:$L$48)))))</f>
        <v>95</v>
      </c>
      <c r="J131" s="38">
        <v>168</v>
      </c>
      <c r="K131" s="32">
        <f>IF(B131="高三",IF($E131="男",LOOKUP(J131,[1]对照表!$O$3:$O$24,[1]对照表!$P$3:$P$24),LOOKUP(J131,[1]对照表!$O$27:$O$48,[1]对照表!$P$27:$P$48)),IF(B131="高二",IF($E131="男",LOOKUP(J131,[1]对照表!$N$3:$N$24,[1]对照表!$P$3:$P$24),LOOKUP(J131,[1]对照表!$N$27:$N$48,[1]对照表!$P$27:$P$48)),IF(B131="高一",IF($E131="男",LOOKUP(J131,[1]对照表!$M$3:$M$24,[1]对照表!$P$3:$P$24),LOOKUP(J131,[1]对照表!$M$27:$M$48,[1]对照表!$P$27:$P$48)))))</f>
        <v>72</v>
      </c>
      <c r="L131" s="38">
        <v>54</v>
      </c>
      <c r="M131" s="32">
        <f>IF(B131="高三",IF($E131="男",LOOKUP(L131,[1]对照表!$S$3:$S$24,[1]对照表!$T$3:$T$24),LOOKUP(L131,[1]对照表!$S$27:$S$48,[1]对照表!$T$27:$T$48)),IF(B131="高二",IF($E131="男",LOOKUP(L131,[1]对照表!$R$3:$R$24,[1]对照表!$T$3:$T$24),LOOKUP(L131,[1]对照表!$R$27:$R$48,[1]对照表!$T$27:$T$48)),IF(B131="高一",IF($E131="男",LOOKUP(L131,[1]对照表!$Q$3:$Q$24,[1]对照表!$T$3:$T$24),LOOKUP(L131,[1]对照表!$Q$27:$Q$48,[1]对照表!$T$27:$T$48)))))</f>
        <v>100</v>
      </c>
      <c r="N131" s="33">
        <f>IF(B131="高三",MAX(IF(E131="男",L131-18,L131-55),0),IF(B131="高二",MAX(IF(E131="男",L131-17,L131-54),0),IF(B131="高一",MAX(IF(E131="男",L131-16,L131-53),0))))</f>
        <v>0</v>
      </c>
      <c r="O131" s="23">
        <f>IF(E131="男",LOOKUP($N131,[1]对照表!$Z$3:$Z$13,[1]对照表!$AA$3:$AA$13),LOOKUP($N131,[1]对照表!$Z$15:$Z$25,[1]对照表!$AA$15:$AA$25))</f>
        <v>0</v>
      </c>
      <c r="P131" s="25">
        <f>M131+O131</f>
        <v>100</v>
      </c>
      <c r="Q131" s="50">
        <v>3.44</v>
      </c>
      <c r="R131" s="32">
        <f>IF(B131="高三",IF($E131="男",LOOKUP(Q131,[1]对照表!$W$3:$W$24,[1]对照表!$X$3:$X$24),LOOKUP(Q131,[1]对照表!$W$27:$W$48,[1]对照表!$X$27:$X$48)),IF(B131="高二",IF($E131="男",LOOKUP(Q131,[1]对照表!$V$3:$V$24,[1]对照表!$X$3:$X$24),LOOKUP(Q131,[1]对照表!$V$27:$V$48,[1]对照表!$X$27:$X$48)),IF(B131="高一",IF($E131="男",LOOKUP(Q131,[1]对照表!$U$3:$U$24,[1]对照表!$X$3:$X$24),LOOKUP(Q131,[1]对照表!$U$27:$U$48,[1]对照表!$X$27:$X$48)))))</f>
        <v>80</v>
      </c>
      <c r="S131" s="33">
        <f>ROUND(IF(IF($B131="高三",MIN(IF($E131="男",$Q131-3.2,$Q131-3.2),0),IF($B131="高二",MIN(IF($E131="男",$Q131-3.25,$Q131-3.22),0),IF($B131="高一",MIN(IF($E131="男",$Q131-3.3,$Q131-3.24),0))))&lt;-0.6,IF($B131="高三",MIN(IF($E131="男",$Q131-3.2,$Q131-3.2),0),IF($B131="高二",MIN(IF($E131="男",$Q131-3.25,$Q131-3.22),0),IF($B131="高一",MIN(IF($E131="男",$Q131-3.3,$Q131-3.24),0))))+0.4,IF($B131="高三",MIN(IF($E131="男",$Q131-3.2,$Q131-3.2),0),IF($B131="高二",MIN(IF($E131="男",$Q131-3.25,$Q131-3.22),0),IF($B131="高一",MIN(IF($E131="男",$Q131-3.3,$Q131-3.24),0))))),2)</f>
        <v>0</v>
      </c>
      <c r="T131" s="23">
        <f>IF(E131="男",LOOKUP($S131,[1]对照表!$AB$3:$AB$13,[1]对照表!$AC$3:$AC$13),LOOKUP($S131,[1]对照表!$AB$15:$AB$25,[1]对照表!$AC$15:$AC$25))</f>
        <v>0</v>
      </c>
      <c r="U131" s="26">
        <f>R131+T131</f>
        <v>80</v>
      </c>
      <c r="V131" s="26">
        <f>SUM(I131,K131,M131)/3*0.3+SUM(G131,R131)/2*0.4</f>
        <v>55.900000000000006</v>
      </c>
      <c r="W131" s="27">
        <f>O131+T131</f>
        <v>0</v>
      </c>
      <c r="X131" s="28">
        <f>V131/0.7+W131</f>
        <v>79.857142857142875</v>
      </c>
      <c r="Y131" s="28">
        <f>X131</f>
        <v>79.857142857142875</v>
      </c>
      <c r="Z131" s="38"/>
    </row>
    <row r="132" spans="1:26" ht="15.6" x14ac:dyDescent="0.25">
      <c r="A132" s="48">
        <v>37</v>
      </c>
      <c r="B132" s="17" t="s">
        <v>767</v>
      </c>
      <c r="C132" s="48">
        <v>203</v>
      </c>
      <c r="D132" s="49" t="s">
        <v>1093</v>
      </c>
      <c r="E132" s="48" t="s">
        <v>65</v>
      </c>
      <c r="F132" s="50">
        <v>9.65</v>
      </c>
      <c r="G132" s="32">
        <f>IF(B132="高三",IF($E132="男",LOOKUP(F132,[1]对照表!$G$3:$G$24,[1]对照表!$H$3:$H$24),LOOKUP(F132,[1]对照表!$G$27:$G$48,[1]对照表!$H$27:$H$48)),IF(B132="高二",IF($E132="男",LOOKUP(F132,[1]对照表!$F$3:$F$24,[1]对照表!$H$3:$H$24),LOOKUP(F132,[1]对照表!$F$27:$F$48,[1]对照表!$H$27:$H$48)),IF(B132="高一",IF($E132="男",LOOKUP(F132,[1]对照表!$E$3:$E$24,[1]对照表!$H$3:$H$24),LOOKUP(F132,[1]对照表!$E$27:$E$48,[1]对照表!$H$27:$H$48)))))</f>
        <v>68</v>
      </c>
      <c r="H132" s="38">
        <v>23.2</v>
      </c>
      <c r="I132" s="32">
        <f>IF(B132="高三",IF($E132="男",LOOKUP(H132,[1]对照表!$K$3:$K$24,[1]对照表!$L$3:$L$24),LOOKUP(H132,[1]对照表!$K$27:$K$48,[1]对照表!$L$27:$L$48)),IF(B132="高二",IF($E132="男",LOOKUP(H132,[1]对照表!$J$3:$J$24,[1]对照表!$L$3:$L$24),LOOKUP(H132,[1]对照表!$J$27:$J$48,[1]对照表!$L$27:$L$48)),IF(B132="高一",IF($E132="男",LOOKUP(H132,[1]对照表!$I$3:$I$24,[1]对照表!$L$3:$L$24),LOOKUP(H132,[1]对照表!$I$27:$I$48,[1]对照表!$L$27:$L$48)))))</f>
        <v>95</v>
      </c>
      <c r="J132" s="38">
        <v>179</v>
      </c>
      <c r="K132" s="32">
        <f>IF(B132="高三",IF($E132="男",LOOKUP(J132,[1]对照表!$O$3:$O$24,[1]对照表!$P$3:$P$24),LOOKUP(J132,[1]对照表!$O$27:$O$48,[1]对照表!$P$27:$P$48)),IF(B132="高二",IF($E132="男",LOOKUP(J132,[1]对照表!$N$3:$N$24,[1]对照表!$P$3:$P$24),LOOKUP(J132,[1]对照表!$N$27:$N$48,[1]对照表!$P$27:$P$48)),IF(B132="高一",IF($E132="男",LOOKUP(J132,[1]对照表!$M$3:$M$24,[1]对照表!$P$3:$P$24),LOOKUP(J132,[1]对照表!$M$27:$M$48,[1]对照表!$P$27:$P$48)))))</f>
        <v>80</v>
      </c>
      <c r="L132" s="38">
        <v>53</v>
      </c>
      <c r="M132" s="32">
        <f>IF(B132="高三",IF($E132="男",LOOKUP(L132,[1]对照表!$S$3:$S$24,[1]对照表!$T$3:$T$24),LOOKUP(L132,[1]对照表!$S$27:$S$48,[1]对照表!$T$27:$T$48)),IF(B132="高二",IF($E132="男",LOOKUP(L132,[1]对照表!$R$3:$R$24,[1]对照表!$T$3:$T$24),LOOKUP(L132,[1]对照表!$R$27:$R$48,[1]对照表!$T$27:$T$48)),IF(B132="高一",IF($E132="男",LOOKUP(L132,[1]对照表!$Q$3:$Q$24,[1]对照表!$T$3:$T$24),LOOKUP(L132,[1]对照表!$Q$27:$Q$48,[1]对照表!$T$27:$T$48)))))</f>
        <v>95</v>
      </c>
      <c r="N132" s="33">
        <f>IF(B132="高三",MAX(IF(E132="男",L132-18,L132-55),0),IF(B132="高二",MAX(IF(E132="男",L132-17,L132-54),0),IF(B132="高一",MAX(IF(E132="男",L132-16,L132-53),0))))</f>
        <v>0</v>
      </c>
      <c r="O132" s="23">
        <f>IF(E132="男",LOOKUP($N132,[1]对照表!$Z$3:$Z$13,[1]对照表!$AA$3:$AA$13),LOOKUP($N132,[1]对照表!$Z$15:$Z$25,[1]对照表!$AA$15:$AA$25))</f>
        <v>0</v>
      </c>
      <c r="P132" s="25">
        <f>M132+O132</f>
        <v>95</v>
      </c>
      <c r="Q132" s="50">
        <v>4.01</v>
      </c>
      <c r="R132" s="32">
        <f>IF(B132="高三",IF($E132="男",LOOKUP(Q132,[1]对照表!$W$3:$W$24,[1]对照表!$X$3:$X$24),LOOKUP(Q132,[1]对照表!$W$27:$W$48,[1]对照表!$X$27:$X$48)),IF(B132="高二",IF($E132="男",LOOKUP(Q132,[1]对照表!$V$3:$V$24,[1]对照表!$X$3:$X$24),LOOKUP(Q132,[1]对照表!$V$27:$V$48,[1]对照表!$X$27:$X$48)),IF(B132="高一",IF($E132="男",LOOKUP(Q132,[1]对照表!$U$3:$U$24,[1]对照表!$X$3:$X$24),LOOKUP(Q132,[1]对照表!$U$27:$U$48,[1]对照表!$X$27:$X$48)))))</f>
        <v>74</v>
      </c>
      <c r="S132" s="27">
        <f>ROUND(IF(IF($B132="高三",MIN(IF($E132="男",$Q132-3.2,$Q132-3.2),0),IF($B132="高二",MIN(IF($E132="男",$Q132-3.25,$Q132-3.22),0),IF($B132="高一",MIN(IF($E132="男",$Q132-3.3,$Q132-3.24),0))))&lt;-0.6,IF($B132="高三",MIN(IF($E132="男",$Q132-3.2,$Q132-3.2),0),IF($B132="高二",MIN(IF($E132="男",$Q132-3.25,$Q132-3.22),0),IF($B132="高一",MIN(IF($E132="男",$Q132-3.3,$Q132-3.24),0))))+0.4,IF($B132="高三",MIN(IF($E132="男",$Q132-3.2,$Q132-3.2),0),IF($B132="高二",MIN(IF($E132="男",$Q132-3.25,$Q132-3.22),0),IF($B132="高一",MIN(IF($E132="男",$Q132-3.3,$Q132-3.24),0))))),2)</f>
        <v>0</v>
      </c>
      <c r="T132" s="23">
        <f>IF(E132="男",LOOKUP($S132,[1]对照表!$AB$3:$AB$13,[1]对照表!$AC$3:$AC$13),LOOKUP($S132,[1]对照表!$AB$15:$AB$25,[1]对照表!$AC$15:$AC$25))</f>
        <v>0</v>
      </c>
      <c r="U132" s="26">
        <f>R132+T132</f>
        <v>74</v>
      </c>
      <c r="V132" s="26">
        <f>SUM(I132,K132,M132)/3*0.3+SUM(G132,R132)/2*0.4</f>
        <v>55.400000000000006</v>
      </c>
      <c r="W132" s="27">
        <f>O132+T132</f>
        <v>0</v>
      </c>
      <c r="X132" s="28">
        <f>V132/0.7+W132</f>
        <v>79.142857142857153</v>
      </c>
      <c r="Y132" s="28">
        <f>X132</f>
        <v>79.142857142857153</v>
      </c>
      <c r="Z132" s="38"/>
    </row>
    <row r="133" spans="1:26" ht="15.6" x14ac:dyDescent="0.25">
      <c r="A133" s="48">
        <v>19</v>
      </c>
      <c r="B133" s="17" t="s">
        <v>767</v>
      </c>
      <c r="C133" s="48">
        <v>203</v>
      </c>
      <c r="D133" s="49" t="s">
        <v>1123</v>
      </c>
      <c r="E133" s="48" t="s">
        <v>65</v>
      </c>
      <c r="F133" s="50">
        <v>9.6300000000000008</v>
      </c>
      <c r="G133" s="32">
        <f>IF(B133="高三",IF($E133="男",LOOKUP(F133,[1]对照表!$G$3:$G$24,[1]对照表!$H$3:$H$24),LOOKUP(F133,[1]对照表!$G$27:$G$48,[1]对照表!$H$27:$H$48)),IF(B133="高二",IF($E133="男",LOOKUP(F133,[1]对照表!$F$3:$F$24,[1]对照表!$H$3:$H$24),LOOKUP(F133,[1]对照表!$F$27:$F$48,[1]对照表!$H$27:$H$48)),IF(B133="高一",IF($E133="男",LOOKUP(F133,[1]对照表!$E$3:$E$24,[1]对照表!$H$3:$H$24),LOOKUP(F133,[1]对照表!$E$27:$E$48,[1]对照表!$H$27:$H$48)))))</f>
        <v>68</v>
      </c>
      <c r="H133" s="38">
        <v>24</v>
      </c>
      <c r="I133" s="32">
        <f>IF(B133="高三",IF($E133="男",LOOKUP(H133,[1]对照表!$K$3:$K$24,[1]对照表!$L$3:$L$24),LOOKUP(H133,[1]对照表!$K$27:$K$48,[1]对照表!$L$27:$L$48)),IF(B133="高二",IF($E133="男",LOOKUP(H133,[1]对照表!$J$3:$J$24,[1]对照表!$L$3:$L$24),LOOKUP(H133,[1]对照表!$J$27:$J$48,[1]对照表!$L$27:$L$48)),IF(B133="高一",IF($E133="男",LOOKUP(H133,[1]对照表!$I$3:$I$24,[1]对照表!$L$3:$L$24),LOOKUP(H133,[1]对照表!$I$27:$I$48,[1]对照表!$L$27:$L$48)))))</f>
        <v>95</v>
      </c>
      <c r="J133" s="38">
        <v>163</v>
      </c>
      <c r="K133" s="32">
        <f>IF(B133="高三",IF($E133="男",LOOKUP(J133,[1]对照表!$O$3:$O$24,[1]对照表!$P$3:$P$24),LOOKUP(J133,[1]对照表!$O$27:$O$48,[1]对照表!$P$27:$P$48)),IF(B133="高二",IF($E133="男",LOOKUP(J133,[1]对照表!$N$3:$N$24,[1]对照表!$P$3:$P$24),LOOKUP(J133,[1]对照表!$N$27:$N$48,[1]对照表!$P$27:$P$48)),IF(B133="高一",IF($E133="男",LOOKUP(J133,[1]对照表!$M$3:$M$24,[1]对照表!$P$3:$P$24),LOOKUP(J133,[1]对照表!$M$27:$M$48,[1]对照表!$P$27:$P$48)))))</f>
        <v>68</v>
      </c>
      <c r="L133" s="38">
        <v>40</v>
      </c>
      <c r="M133" s="32">
        <f>IF(B133="高三",IF($E133="男",LOOKUP(L133,[1]对照表!$S$3:$S$24,[1]对照表!$T$3:$T$24),LOOKUP(L133,[1]对照表!$S$27:$S$48,[1]对照表!$T$27:$T$48)),IF(B133="高二",IF($E133="男",LOOKUP(L133,[1]对照表!$R$3:$R$24,[1]对照表!$T$3:$T$24),LOOKUP(L133,[1]对照表!$R$27:$R$48,[1]对照表!$T$27:$T$48)),IF(B133="高一",IF($E133="男",LOOKUP(L133,[1]对照表!$Q$3:$Q$24,[1]对照表!$T$3:$T$24),LOOKUP(L133,[1]对照表!$Q$27:$Q$48,[1]对照表!$T$27:$T$48)))))</f>
        <v>76</v>
      </c>
      <c r="N133" s="33">
        <f>IF(B133="高三",MAX(IF(E133="男",L133-18,L133-55),0),IF(B133="高二",MAX(IF(E133="男",L133-17,L133-54),0),IF(B133="高一",MAX(IF(E133="男",L133-16,L133-53),0))))</f>
        <v>0</v>
      </c>
      <c r="O133" s="23">
        <f>IF(E133="男",LOOKUP($N133,[1]对照表!$Z$3:$Z$13,[1]对照表!$AA$3:$AA$13),LOOKUP($N133,[1]对照表!$Z$15:$Z$25,[1]对照表!$AA$15:$AA$25))</f>
        <v>0</v>
      </c>
      <c r="P133" s="25">
        <f>M133+O133</f>
        <v>76</v>
      </c>
      <c r="Q133" s="50">
        <v>3.38</v>
      </c>
      <c r="R133" s="32">
        <f>IF(B133="高三",IF($E133="男",LOOKUP(Q133,[1]对照表!$W$3:$W$24,[1]对照表!$X$3:$X$24),LOOKUP(Q133,[1]对照表!$W$27:$W$48,[1]对照表!$X$27:$X$48)),IF(B133="高二",IF($E133="男",LOOKUP(Q133,[1]对照表!$V$3:$V$24,[1]对照表!$X$3:$X$24),LOOKUP(Q133,[1]对照表!$V$27:$V$48,[1]对照表!$X$27:$X$48)),IF(B133="高一",IF($E133="男",LOOKUP(Q133,[1]对照表!$U$3:$U$24,[1]对照表!$X$3:$X$24),LOOKUP(Q133,[1]对照表!$U$27:$U$48,[1]对照表!$X$27:$X$48)))))</f>
        <v>85</v>
      </c>
      <c r="S133" s="27">
        <f>ROUND(IF(IF($B133="高三",MIN(IF($E133="男",$Q133-3.2,$Q133-3.2),0),IF($B133="高二",MIN(IF($E133="男",$Q133-3.25,$Q133-3.22),0),IF($B133="高一",MIN(IF($E133="男",$Q133-3.3,$Q133-3.24),0))))&lt;-0.6,IF($B133="高三",MIN(IF($E133="男",$Q133-3.2,$Q133-3.2),0),IF($B133="高二",MIN(IF($E133="男",$Q133-3.25,$Q133-3.22),0),IF($B133="高一",MIN(IF($E133="男",$Q133-3.3,$Q133-3.24),0))))+0.4,IF($B133="高三",MIN(IF($E133="男",$Q133-3.2,$Q133-3.2),0),IF($B133="高二",MIN(IF($E133="男",$Q133-3.25,$Q133-3.22),0),IF($B133="高一",MIN(IF($E133="男",$Q133-3.3,$Q133-3.24),0))))),2)</f>
        <v>0</v>
      </c>
      <c r="T133" s="23">
        <f>IF(E133="男",LOOKUP($S133,[1]对照表!$AB$3:$AB$13,[1]对照表!$AC$3:$AC$13),LOOKUP($S133,[1]对照表!$AB$15:$AB$25,[1]对照表!$AC$15:$AC$25))</f>
        <v>0</v>
      </c>
      <c r="U133" s="26">
        <f>R133+T133</f>
        <v>85</v>
      </c>
      <c r="V133" s="26">
        <f>SUM(I133,K133,M133)/3*0.3+SUM(G133,R133)/2*0.4</f>
        <v>54.5</v>
      </c>
      <c r="W133" s="27">
        <f>O133+T133</f>
        <v>0</v>
      </c>
      <c r="X133" s="28">
        <f>V133/0.7+W133</f>
        <v>77.857142857142861</v>
      </c>
      <c r="Y133" s="28">
        <f>X133</f>
        <v>77.857142857142861</v>
      </c>
      <c r="Z133" s="38"/>
    </row>
    <row r="134" spans="1:26" ht="15.6" customHeight="1" x14ac:dyDescent="0.25">
      <c r="A134" s="48">
        <v>11</v>
      </c>
      <c r="B134" s="17" t="s">
        <v>767</v>
      </c>
      <c r="C134" s="48">
        <v>203</v>
      </c>
      <c r="D134" s="58" t="s">
        <v>1136</v>
      </c>
      <c r="E134" s="58" t="s">
        <v>23</v>
      </c>
      <c r="F134" s="50">
        <v>6.9</v>
      </c>
      <c r="G134" s="32">
        <f>IF(B134="高三",IF($E134="男",LOOKUP(F134,[1]对照表!$G$3:$G$24,[1]对照表!$H$3:$H$24),LOOKUP(F134,[1]对照表!$G$27:$G$48,[1]对照表!$H$27:$H$48)),IF(B134="高二",IF($E134="男",LOOKUP(F134,[1]对照表!$F$3:$F$24,[1]对照表!$H$3:$H$24),LOOKUP(F134,[1]对照表!$F$27:$F$48,[1]对照表!$H$27:$H$48)),IF(B134="高一",IF($E134="男",LOOKUP(F134,[1]对照表!$E$3:$E$24,[1]对照表!$H$3:$H$24),LOOKUP(F134,[1]对照表!$E$27:$E$48,[1]对照表!$H$27:$H$48)))))</f>
        <v>100</v>
      </c>
      <c r="H134" s="38">
        <v>18.5</v>
      </c>
      <c r="I134" s="32">
        <f>IF(B134="高三",IF($E134="男",LOOKUP(H134,[1]对照表!$K$3:$K$24,[1]对照表!$L$3:$L$24),LOOKUP(H134,[1]对照表!$K$27:$K$48,[1]对照表!$L$27:$L$48)),IF(B134="高二",IF($E134="男",LOOKUP(H134,[1]对照表!$J$3:$J$24,[1]对照表!$L$3:$L$24),LOOKUP(H134,[1]对照表!$J$27:$J$48,[1]对照表!$L$27:$L$48)),IF(B134="高一",IF($E134="男",LOOKUP(H134,[1]对照表!$I$3:$I$24,[1]对照表!$L$3:$L$24),LOOKUP(H134,[1]对照表!$I$27:$I$48,[1]对照表!$L$27:$L$48)))))</f>
        <v>85</v>
      </c>
      <c r="J134" s="38">
        <v>247</v>
      </c>
      <c r="K134" s="32">
        <f>IF(B134="高三",IF($E134="男",LOOKUP(J134,[1]对照表!$O$3:$O$24,[1]对照表!$P$3:$P$24),LOOKUP(J134,[1]对照表!$O$27:$O$48,[1]对照表!$P$27:$P$48)),IF(B134="高二",IF($E134="男",LOOKUP(J134,[1]对照表!$N$3:$N$24,[1]对照表!$P$3:$P$24),LOOKUP(J134,[1]对照表!$N$27:$N$48,[1]对照表!$P$27:$P$48)),IF(B134="高一",IF($E134="男",LOOKUP(J134,[1]对照表!$M$3:$M$24,[1]对照表!$P$3:$P$24),LOOKUP(J134,[1]对照表!$M$27:$M$48,[1]对照表!$P$27:$P$48)))))</f>
        <v>80</v>
      </c>
      <c r="L134" s="38">
        <v>9</v>
      </c>
      <c r="M134" s="32">
        <f>IF(B134="高三",IF($E134="男",LOOKUP(L134,[1]对照表!$S$3:$S$24,[1]对照表!$T$3:$T$24),LOOKUP(L134,[1]对照表!$S$27:$S$48,[1]对照表!$T$27:$T$48)),IF(B134="高二",IF($E134="男",LOOKUP(L134,[1]对照表!$R$3:$R$24,[1]对照表!$T$3:$T$24),LOOKUP(L134,[1]对照表!$R$27:$R$48,[1]对照表!$T$27:$T$48)),IF(B134="高一",IF($E134="男",LOOKUP(L134,[1]对照表!$Q$3:$Q$24,[1]对照表!$T$3:$T$24),LOOKUP(L134,[1]对照表!$Q$27:$Q$48,[1]对照表!$T$27:$T$48)))))</f>
        <v>64</v>
      </c>
      <c r="N134" s="33">
        <f>IF(B134="高三",MAX(IF(E134="男",L134-18,L134-55),0),IF(B134="高二",MAX(IF(E134="男",L134-17,L134-54),0),IF(B134="高一",MAX(IF(E134="男",L134-16,L134-53),0))))</f>
        <v>0</v>
      </c>
      <c r="O134" s="23">
        <f>IF(E134="男",LOOKUP($N134,[1]对照表!$Z$3:$Z$13,[1]对照表!$AA$3:$AA$13),LOOKUP($N134,[1]对照表!$Z$15:$Z$25,[1]对照表!$AA$15:$AA$25))</f>
        <v>0</v>
      </c>
      <c r="P134" s="25">
        <f>M134+O134</f>
        <v>64</v>
      </c>
      <c r="Q134" s="50">
        <v>3.47</v>
      </c>
      <c r="R134" s="32">
        <f>IF(B134="高三",IF($E134="男",LOOKUP(Q134,[1]对照表!$W$3:$W$24,[1]对照表!$X$3:$X$24),LOOKUP(Q134,[1]对照表!$W$27:$W$48,[1]对照表!$X$27:$X$48)),IF(B134="高二",IF($E134="男",LOOKUP(Q134,[1]对照表!$V$3:$V$24,[1]对照表!$X$3:$X$24),LOOKUP(Q134,[1]对照表!$V$27:$V$48,[1]对照表!$X$27:$X$48)),IF(B134="高一",IF($E134="男",LOOKUP(Q134,[1]对照表!$U$3:$U$24,[1]对照表!$X$3:$X$24),LOOKUP(Q134,[1]对照表!$U$27:$U$48,[1]对照表!$X$27:$X$48)))))</f>
        <v>80</v>
      </c>
      <c r="S134" s="33">
        <f>ROUND(IF(IF($B134="高三",MIN(IF($E134="男",$Q134-3.2,$Q134-3.2),0),IF($B134="高二",MIN(IF($E134="男",$Q134-3.25,$Q134-3.22),0),IF($B134="高一",MIN(IF($E134="男",$Q134-3.3,$Q134-3.24),0))))&lt;-0.6,IF($B134="高三",MIN(IF($E134="男",$Q134-3.2,$Q134-3.2),0),IF($B134="高二",MIN(IF($E134="男",$Q134-3.25,$Q134-3.22),0),IF($B134="高一",MIN(IF($E134="男",$Q134-3.3,$Q134-3.24),0))))+0.4,IF($B134="高三",MIN(IF($E134="男",$Q134-3.2,$Q134-3.2),0),IF($B134="高二",MIN(IF($E134="男",$Q134-3.25,$Q134-3.22),0),IF($B134="高一",MIN(IF($E134="男",$Q134-3.3,$Q134-3.24),0))))),2)</f>
        <v>0</v>
      </c>
      <c r="T134" s="23">
        <f>IF(E134="男",LOOKUP($S134,[1]对照表!$AB$3:$AB$13,[1]对照表!$AC$3:$AC$13),LOOKUP($S134,[1]对照表!$AB$15:$AB$25,[1]对照表!$AC$15:$AC$25))</f>
        <v>0</v>
      </c>
      <c r="U134" s="26">
        <f>R134+T134</f>
        <v>80</v>
      </c>
      <c r="V134" s="26">
        <f>SUM(I134,K134,M134)/3*0.3+SUM(G134,R134)/2*0.4</f>
        <v>58.9</v>
      </c>
      <c r="W134" s="27">
        <f>O134+T134</f>
        <v>0</v>
      </c>
      <c r="X134" s="28">
        <f>V134/0.7+W134</f>
        <v>84.142857142857153</v>
      </c>
      <c r="Y134" s="28">
        <f>X134</f>
        <v>84.142857142857153</v>
      </c>
      <c r="Z134" s="38"/>
    </row>
    <row r="135" spans="1:26" ht="15.6" x14ac:dyDescent="0.25">
      <c r="A135" s="48">
        <v>47</v>
      </c>
      <c r="B135" s="17" t="s">
        <v>767</v>
      </c>
      <c r="C135" s="48">
        <v>203</v>
      </c>
      <c r="D135" s="49" t="s">
        <v>1152</v>
      </c>
      <c r="E135" s="48" t="s">
        <v>65</v>
      </c>
      <c r="F135" s="50">
        <v>10.08</v>
      </c>
      <c r="G135" s="32">
        <f>IF(B135="高三",IF($E135="男",LOOKUP(F135,[1]对照表!$G$3:$G$24,[1]对照表!$H$3:$H$24),LOOKUP(F135,[1]对照表!$G$27:$G$48,[1]对照表!$H$27:$H$48)),IF(B135="高二",IF($E135="男",LOOKUP(F135,[1]对照表!$F$3:$F$24,[1]对照表!$H$3:$H$24),LOOKUP(F135,[1]对照表!$F$27:$F$48,[1]对照表!$H$27:$H$48)),IF(B135="高一",IF($E135="男",LOOKUP(F135,[1]对照表!$E$3:$E$24,[1]对照表!$H$3:$H$24),LOOKUP(F135,[1]对照表!$E$27:$E$48,[1]对照表!$H$27:$H$48)))))</f>
        <v>64</v>
      </c>
      <c r="H135" s="38">
        <v>26.5</v>
      </c>
      <c r="I135" s="32">
        <f>IF(B135="高三",IF($E135="男",LOOKUP(H135,[1]对照表!$K$3:$K$24,[1]对照表!$L$3:$L$24),LOOKUP(H135,[1]对照表!$K$27:$K$48,[1]对照表!$L$27:$L$48)),IF(B135="高二",IF($E135="男",LOOKUP(H135,[1]对照表!$J$3:$J$24,[1]对照表!$L$3:$L$24),LOOKUP(H135,[1]对照表!$J$27:$J$48,[1]对照表!$L$27:$L$48)),IF(B135="高一",IF($E135="男",LOOKUP(H135,[1]对照表!$I$3:$I$24,[1]对照表!$L$3:$L$24),LOOKUP(H135,[1]对照表!$I$27:$I$48,[1]对照表!$L$27:$L$48)))))</f>
        <v>100</v>
      </c>
      <c r="J135" s="38">
        <v>179</v>
      </c>
      <c r="K135" s="32">
        <f>IF(B135="高三",IF($E135="男",LOOKUP(J135,[1]对照表!$O$3:$O$24,[1]对照表!$P$3:$P$24),LOOKUP(J135,[1]对照表!$O$27:$O$48,[1]对照表!$P$27:$P$48)),IF(B135="高二",IF($E135="男",LOOKUP(J135,[1]对照表!$N$3:$N$24,[1]对照表!$P$3:$P$24),LOOKUP(J135,[1]对照表!$N$27:$N$48,[1]对照表!$P$27:$P$48)),IF(B135="高一",IF($E135="男",LOOKUP(J135,[1]对照表!$M$3:$M$24,[1]对照表!$P$3:$P$24),LOOKUP(J135,[1]对照表!$M$27:$M$48,[1]对照表!$P$27:$P$48)))))</f>
        <v>80</v>
      </c>
      <c r="L135" s="38">
        <v>38</v>
      </c>
      <c r="M135" s="32">
        <f>IF(B135="高三",IF($E135="男",LOOKUP(L135,[1]对照表!$S$3:$S$24,[1]对照表!$T$3:$T$24),LOOKUP(L135,[1]对照表!$S$27:$S$48,[1]对照表!$T$27:$T$48)),IF(B135="高二",IF($E135="男",LOOKUP(L135,[1]对照表!$R$3:$R$24,[1]对照表!$T$3:$T$24),LOOKUP(L135,[1]对照表!$R$27:$R$48,[1]对照表!$T$27:$T$48)),IF(B135="高一",IF($E135="男",LOOKUP(L135,[1]对照表!$Q$3:$Q$24,[1]对照表!$T$3:$T$24),LOOKUP(L135,[1]对照表!$Q$27:$Q$48,[1]对照表!$T$27:$T$48)))))</f>
        <v>74</v>
      </c>
      <c r="N135" s="33">
        <f>IF(B135="高三",MAX(IF(E135="男",L135-18,L135-55),0),IF(B135="高二",MAX(IF(E135="男",L135-17,L135-54),0),IF(B135="高一",MAX(IF(E135="男",L135-16,L135-53),0))))</f>
        <v>0</v>
      </c>
      <c r="O135" s="23">
        <f>IF(E135="男",LOOKUP($N135,[1]对照表!$Z$3:$Z$13,[1]对照表!$AA$3:$AA$13),LOOKUP($N135,[1]对照表!$Z$15:$Z$25,[1]对照表!$AA$15:$AA$25))</f>
        <v>0</v>
      </c>
      <c r="P135" s="25">
        <f>M135+O135</f>
        <v>74</v>
      </c>
      <c r="Q135" s="50">
        <v>3.57</v>
      </c>
      <c r="R135" s="32">
        <f>IF(B135="高三",IF($E135="男",LOOKUP(Q135,[1]对照表!$W$3:$W$24,[1]对照表!$X$3:$X$24),LOOKUP(Q135,[1]对照表!$W$27:$W$48,[1]对照表!$X$27:$X$48)),IF(B135="高二",IF($E135="男",LOOKUP(Q135,[1]对照表!$V$3:$V$24,[1]对照表!$X$3:$X$24),LOOKUP(Q135,[1]对照表!$V$27:$V$48,[1]对照表!$X$27:$X$48)),IF(B135="高一",IF($E135="男",LOOKUP(Q135,[1]对照表!$U$3:$U$24,[1]对照表!$X$3:$X$24),LOOKUP(Q135,[1]对照表!$U$27:$U$48,[1]对照表!$X$27:$X$48)))))</f>
        <v>76</v>
      </c>
      <c r="S135" s="27">
        <f>ROUND(IF(IF($B135="高三",MIN(IF($E135="男",$Q135-3.2,$Q135-3.2),0),IF($B135="高二",MIN(IF($E135="男",$Q135-3.25,$Q135-3.22),0),IF($B135="高一",MIN(IF($E135="男",$Q135-3.3,$Q135-3.24),0))))&lt;-0.6,IF($B135="高三",MIN(IF($E135="男",$Q135-3.2,$Q135-3.2),0),IF($B135="高二",MIN(IF($E135="男",$Q135-3.25,$Q135-3.22),0),IF($B135="高一",MIN(IF($E135="男",$Q135-3.3,$Q135-3.24),0))))+0.4,IF($B135="高三",MIN(IF($E135="男",$Q135-3.2,$Q135-3.2),0),IF($B135="高二",MIN(IF($E135="男",$Q135-3.25,$Q135-3.22),0),IF($B135="高一",MIN(IF($E135="男",$Q135-3.3,$Q135-3.24),0))))),2)</f>
        <v>0</v>
      </c>
      <c r="T135" s="23">
        <f>IF(E135="男",LOOKUP($S135,[1]对照表!$AB$3:$AB$13,[1]对照表!$AC$3:$AC$13),LOOKUP($S135,[1]对照表!$AB$15:$AB$25,[1]对照表!$AC$15:$AC$25))</f>
        <v>0</v>
      </c>
      <c r="U135" s="26">
        <f>R135+T135</f>
        <v>76</v>
      </c>
      <c r="V135" s="26">
        <f>SUM(I135,K135,M135)/3*0.3+SUM(G135,R135)/2*0.4</f>
        <v>53.400000000000006</v>
      </c>
      <c r="W135" s="27">
        <f>O135+T135</f>
        <v>0</v>
      </c>
      <c r="X135" s="28">
        <f>V135/0.7+W135</f>
        <v>76.285714285714292</v>
      </c>
      <c r="Y135" s="28">
        <f>X135</f>
        <v>76.285714285714292</v>
      </c>
      <c r="Z135" s="38"/>
    </row>
    <row r="136" spans="1:26" ht="15.6" x14ac:dyDescent="0.25">
      <c r="A136" s="48">
        <v>33</v>
      </c>
      <c r="B136" s="17" t="s">
        <v>767</v>
      </c>
      <c r="C136" s="48">
        <v>203</v>
      </c>
      <c r="D136" s="49" t="s">
        <v>1161</v>
      </c>
      <c r="E136" s="48" t="s">
        <v>65</v>
      </c>
      <c r="F136" s="50">
        <v>8.9700000000000006</v>
      </c>
      <c r="G136" s="32">
        <f>IF(B136="高三",IF($E136="男",LOOKUP(F136,[1]对照表!$G$3:$G$24,[1]对照表!$H$3:$H$24),LOOKUP(F136,[1]对照表!$G$27:$G$48,[1]对照表!$H$27:$H$48)),IF(B136="高二",IF($E136="男",LOOKUP(F136,[1]对照表!$F$3:$F$24,[1]对照表!$H$3:$H$24),LOOKUP(F136,[1]对照表!$F$27:$F$48,[1]对照表!$H$27:$H$48)),IF(B136="高一",IF($E136="男",LOOKUP(F136,[1]对照表!$E$3:$E$24,[1]对照表!$H$3:$H$24),LOOKUP(F136,[1]对照表!$E$27:$E$48,[1]对照表!$H$27:$H$48)))))</f>
        <v>74</v>
      </c>
      <c r="H136" s="38">
        <v>18.2</v>
      </c>
      <c r="I136" s="32">
        <f>IF(B136="高三",IF($E136="男",LOOKUP(H136,[1]对照表!$K$3:$K$24,[1]对照表!$L$3:$L$24),LOOKUP(H136,[1]对照表!$K$27:$K$48,[1]对照表!$L$27:$L$48)),IF(B136="高二",IF($E136="男",LOOKUP(H136,[1]对照表!$J$3:$J$24,[1]对照表!$L$3:$L$24),LOOKUP(H136,[1]对照表!$J$27:$J$48,[1]对照表!$L$27:$L$48)),IF(B136="高一",IF($E136="男",LOOKUP(H136,[1]对照表!$I$3:$I$24,[1]对照表!$L$3:$L$24),LOOKUP(H136,[1]对照表!$I$27:$I$48,[1]对照表!$L$27:$L$48)))))</f>
        <v>80</v>
      </c>
      <c r="J136" s="38">
        <v>175</v>
      </c>
      <c r="K136" s="32">
        <f>IF(B136="高三",IF($E136="男",LOOKUP(J136,[1]对照表!$O$3:$O$24,[1]对照表!$P$3:$P$24),LOOKUP(J136,[1]对照表!$O$27:$O$48,[1]对照表!$P$27:$P$48)),IF(B136="高二",IF($E136="男",LOOKUP(J136,[1]对照表!$N$3:$N$24,[1]对照表!$P$3:$P$24),LOOKUP(J136,[1]对照表!$N$27:$N$48,[1]对照表!$P$27:$P$48)),IF(B136="高一",IF($E136="男",LOOKUP(J136,[1]对照表!$M$3:$M$24,[1]对照表!$P$3:$P$24),LOOKUP(J136,[1]对照表!$M$27:$M$48,[1]对照表!$P$27:$P$48)))))</f>
        <v>76</v>
      </c>
      <c r="L136" s="38">
        <v>54</v>
      </c>
      <c r="M136" s="32">
        <f>IF(B136="高三",IF($E136="男",LOOKUP(L136,[1]对照表!$S$3:$S$24,[1]对照表!$T$3:$T$24),LOOKUP(L136,[1]对照表!$S$27:$S$48,[1]对照表!$T$27:$T$48)),IF(B136="高二",IF($E136="男",LOOKUP(L136,[1]对照表!$R$3:$R$24,[1]对照表!$T$3:$T$24),LOOKUP(L136,[1]对照表!$R$27:$R$48,[1]对照表!$T$27:$T$48)),IF(B136="高一",IF($E136="男",LOOKUP(L136,[1]对照表!$Q$3:$Q$24,[1]对照表!$T$3:$T$24),LOOKUP(L136,[1]对照表!$Q$27:$Q$48,[1]对照表!$T$27:$T$48)))))</f>
        <v>100</v>
      </c>
      <c r="N136" s="33">
        <f>IF(B136="高三",MAX(IF(E136="男",L136-18,L136-55),0),IF(B136="高二",MAX(IF(E136="男",L136-17,L136-54),0),IF(B136="高一",MAX(IF(E136="男",L136-16,L136-53),0))))</f>
        <v>0</v>
      </c>
      <c r="O136" s="23">
        <f>IF(E136="男",LOOKUP($N136,[1]对照表!$Z$3:$Z$13,[1]对照表!$AA$3:$AA$13),LOOKUP($N136,[1]对照表!$Z$15:$Z$25,[1]对照表!$AA$15:$AA$25))</f>
        <v>0</v>
      </c>
      <c r="P136" s="25">
        <f>M136+O136</f>
        <v>100</v>
      </c>
      <c r="Q136" s="50">
        <v>4.25</v>
      </c>
      <c r="R136" s="32">
        <f>IF(B136="高三",IF($E136="男",LOOKUP(Q136,[1]对照表!$W$3:$W$24,[1]对照表!$X$3:$X$24),LOOKUP(Q136,[1]对照表!$W$27:$W$48,[1]对照表!$X$27:$X$48)),IF(B136="高二",IF($E136="男",LOOKUP(Q136,[1]对照表!$V$3:$V$24,[1]对照表!$X$3:$X$24),LOOKUP(Q136,[1]对照表!$V$27:$V$48,[1]对照表!$X$27:$X$48)),IF(B136="高一",IF($E136="男",LOOKUP(Q136,[1]对照表!$U$3:$U$24,[1]对照表!$X$3:$X$24),LOOKUP(Q136,[1]对照表!$U$27:$U$48,[1]对照表!$X$27:$X$48)))))</f>
        <v>64</v>
      </c>
      <c r="S136" s="33">
        <f>ROUND(IF(IF($B136="高三",MIN(IF($E136="男",$Q136-3.2,$Q136-3.2),0),IF($B136="高二",MIN(IF($E136="男",$Q136-3.25,$Q136-3.22),0),IF($B136="高一",MIN(IF($E136="男",$Q136-3.3,$Q136-3.24),0))))&lt;-0.6,IF($B136="高三",MIN(IF($E136="男",$Q136-3.2,$Q136-3.2),0),IF($B136="高二",MIN(IF($E136="男",$Q136-3.25,$Q136-3.22),0),IF($B136="高一",MIN(IF($E136="男",$Q136-3.3,$Q136-3.24),0))))+0.4,IF($B136="高三",MIN(IF($E136="男",$Q136-3.2,$Q136-3.2),0),IF($B136="高二",MIN(IF($E136="男",$Q136-3.25,$Q136-3.22),0),IF($B136="高一",MIN(IF($E136="男",$Q136-3.3,$Q136-3.24),0))))),2)</f>
        <v>0</v>
      </c>
      <c r="T136" s="23">
        <f>IF(E136="男",LOOKUP($S136,[1]对照表!$AB$3:$AB$13,[1]对照表!$AC$3:$AC$13),LOOKUP($S136,[1]对照表!$AB$15:$AB$25,[1]对照表!$AC$15:$AC$25))</f>
        <v>0</v>
      </c>
      <c r="U136" s="26">
        <f>R136+T136</f>
        <v>64</v>
      </c>
      <c r="V136" s="26">
        <f>SUM(I136,K136,M136)/3*0.3+SUM(G136,R136)/2*0.4</f>
        <v>53.2</v>
      </c>
      <c r="W136" s="27">
        <f>O136+T136</f>
        <v>0</v>
      </c>
      <c r="X136" s="28">
        <f>V136/0.7+W136</f>
        <v>76.000000000000014</v>
      </c>
      <c r="Y136" s="28">
        <f>X136</f>
        <v>76.000000000000014</v>
      </c>
      <c r="Z136" s="38"/>
    </row>
    <row r="137" spans="1:26" ht="15.6" x14ac:dyDescent="0.25">
      <c r="A137" s="48">
        <v>15</v>
      </c>
      <c r="B137" s="17" t="s">
        <v>767</v>
      </c>
      <c r="C137" s="48">
        <v>203</v>
      </c>
      <c r="D137" s="49" t="s">
        <v>1162</v>
      </c>
      <c r="E137" s="48" t="s">
        <v>65</v>
      </c>
      <c r="F137" s="50">
        <v>9.32</v>
      </c>
      <c r="G137" s="32">
        <f>IF(B137="高三",IF($E137="男",LOOKUP(F137,[1]对照表!$G$3:$G$24,[1]对照表!$H$3:$H$24),LOOKUP(F137,[1]对照表!$G$27:$G$48,[1]对照表!$H$27:$H$48)),IF(B137="高二",IF($E137="男",LOOKUP(F137,[1]对照表!$F$3:$F$24,[1]对照表!$H$3:$H$24),LOOKUP(F137,[1]对照表!$F$27:$F$48,[1]对照表!$H$27:$H$48)),IF(B137="高一",IF($E137="男",LOOKUP(F137,[1]对照表!$E$3:$E$24,[1]对照表!$H$3:$H$24),LOOKUP(F137,[1]对照表!$E$27:$E$48,[1]对照表!$H$27:$H$48)))))</f>
        <v>70</v>
      </c>
      <c r="H137" s="38">
        <v>24.5</v>
      </c>
      <c r="I137" s="32">
        <f>IF(B137="高三",IF($E137="男",LOOKUP(H137,[1]对照表!$K$3:$K$24,[1]对照表!$L$3:$L$24),LOOKUP(H137,[1]对照表!$K$27:$K$48,[1]对照表!$L$27:$L$48)),IF(B137="高二",IF($E137="男",LOOKUP(H137,[1]对照表!$J$3:$J$24,[1]对照表!$L$3:$L$24),LOOKUP(H137,[1]对照表!$J$27:$J$48,[1]对照表!$L$27:$L$48)),IF(B137="高一",IF($E137="男",LOOKUP(H137,[1]对照表!$I$3:$I$24,[1]对照表!$L$3:$L$24),LOOKUP(H137,[1]对照表!$I$27:$I$48,[1]对照表!$L$27:$L$48)))))</f>
        <v>95</v>
      </c>
      <c r="J137" s="38">
        <v>155</v>
      </c>
      <c r="K137" s="32">
        <f>IF(B137="高三",IF($E137="男",LOOKUP(J137,[1]对照表!$O$3:$O$24,[1]对照表!$P$3:$P$24),LOOKUP(J137,[1]对照表!$O$27:$O$48,[1]对照表!$P$27:$P$48)),IF(B137="高二",IF($E137="男",LOOKUP(J137,[1]对照表!$N$3:$N$24,[1]对照表!$P$3:$P$24),LOOKUP(J137,[1]对照表!$N$27:$N$48,[1]对照表!$P$27:$P$48)),IF(B137="高一",IF($E137="男",LOOKUP(J137,[1]对照表!$M$3:$M$24,[1]对照表!$P$3:$P$24),LOOKUP(J137,[1]对照表!$M$27:$M$48,[1]对照表!$P$27:$P$48)))))</f>
        <v>64</v>
      </c>
      <c r="L137" s="38">
        <v>57</v>
      </c>
      <c r="M137" s="32">
        <f>IF(B137="高三",IF($E137="男",LOOKUP(L137,[1]对照表!$S$3:$S$24,[1]对照表!$T$3:$T$24),LOOKUP(L137,[1]对照表!$S$27:$S$48,[1]对照表!$T$27:$T$48)),IF(B137="高二",IF($E137="男",LOOKUP(L137,[1]对照表!$R$3:$R$24,[1]对照表!$T$3:$T$24),LOOKUP(L137,[1]对照表!$R$27:$R$48,[1]对照表!$T$27:$T$48)),IF(B137="高一",IF($E137="男",LOOKUP(L137,[1]对照表!$Q$3:$Q$24,[1]对照表!$T$3:$T$24),LOOKUP(L137,[1]对照表!$Q$27:$Q$48,[1]对照表!$T$27:$T$48)))))</f>
        <v>100</v>
      </c>
      <c r="N137" s="33">
        <f>IF(B137="高三",MAX(IF(E137="男",L137-18,L137-55),0),IF(B137="高二",MAX(IF(E137="男",L137-17,L137-54),0),IF(B137="高一",MAX(IF(E137="男",L137-16,L137-53),0))))</f>
        <v>3</v>
      </c>
      <c r="O137" s="23">
        <f>IF(E137="男",LOOKUP($N137,[1]对照表!$Z$3:$Z$13,[1]对照表!$AA$3:$AA$13),LOOKUP($N137,[1]对照表!$Z$15:$Z$25,[1]对照表!$AA$15:$AA$25))</f>
        <v>1</v>
      </c>
      <c r="P137" s="25">
        <f>M137+O137</f>
        <v>101</v>
      </c>
      <c r="Q137" s="50">
        <v>4.3</v>
      </c>
      <c r="R137" s="32">
        <f>IF(B137="高三",IF($E137="男",LOOKUP(Q137,[1]对照表!$W$3:$W$24,[1]对照表!$X$3:$X$24),LOOKUP(Q137,[1]对照表!$W$27:$W$48,[1]对照表!$X$27:$X$48)),IF(B137="高二",IF($E137="男",LOOKUP(Q137,[1]对照表!$V$3:$V$24,[1]对照表!$X$3:$X$24),LOOKUP(Q137,[1]对照表!$V$27:$V$48,[1]对照表!$X$27:$X$48)),IF(B137="高一",IF($E137="男",LOOKUP(Q137,[1]对照表!$U$3:$U$24,[1]对照表!$X$3:$X$24),LOOKUP(Q137,[1]对照表!$U$27:$U$48,[1]对照表!$X$27:$X$48)))))</f>
        <v>62</v>
      </c>
      <c r="S137" s="33">
        <f>ROUND(IF(IF($B137="高三",MIN(IF($E137="男",$Q137-3.2,$Q137-3.2),0),IF($B137="高二",MIN(IF($E137="男",$Q137-3.25,$Q137-3.22),0),IF($B137="高一",MIN(IF($E137="男",$Q137-3.3,$Q137-3.24),0))))&lt;-0.6,IF($B137="高三",MIN(IF($E137="男",$Q137-3.2,$Q137-3.2),0),IF($B137="高二",MIN(IF($E137="男",$Q137-3.25,$Q137-3.22),0),IF($B137="高一",MIN(IF($E137="男",$Q137-3.3,$Q137-3.24),0))))+0.4,IF($B137="高三",MIN(IF($E137="男",$Q137-3.2,$Q137-3.2),0),IF($B137="高二",MIN(IF($E137="男",$Q137-3.25,$Q137-3.22),0),IF($B137="高一",MIN(IF($E137="男",$Q137-3.3,$Q137-3.24),0))))),2)</f>
        <v>0</v>
      </c>
      <c r="T137" s="23">
        <f>IF(E137="男",LOOKUP($S137,[1]对照表!$AB$3:$AB$13,[1]对照表!$AC$3:$AC$13),LOOKUP($S137,[1]对照表!$AB$15:$AB$25,[1]对照表!$AC$15:$AC$25))</f>
        <v>0</v>
      </c>
      <c r="U137" s="26">
        <f>R137+T137</f>
        <v>62</v>
      </c>
      <c r="V137" s="26">
        <f>SUM(I137,K137,M137)/3*0.3+SUM(G137,R137)/2*0.4</f>
        <v>52.3</v>
      </c>
      <c r="W137" s="27">
        <f>O137+T137</f>
        <v>1</v>
      </c>
      <c r="X137" s="28">
        <f>V137/0.7+W137</f>
        <v>75.714285714285708</v>
      </c>
      <c r="Y137" s="28">
        <f>X137</f>
        <v>75.714285714285708</v>
      </c>
      <c r="Z137" s="38"/>
    </row>
    <row r="138" spans="1:26" ht="15.6" customHeight="1" x14ac:dyDescent="0.25">
      <c r="A138" s="48">
        <v>18</v>
      </c>
      <c r="B138" s="17" t="s">
        <v>767</v>
      </c>
      <c r="C138" s="48">
        <v>203</v>
      </c>
      <c r="D138" s="49" t="s">
        <v>1184</v>
      </c>
      <c r="E138" s="48" t="s">
        <v>65</v>
      </c>
      <c r="F138" s="50">
        <v>9.6300000000000008</v>
      </c>
      <c r="G138" s="32">
        <f>IF(B138="高三",IF($E138="男",LOOKUP(F138,[1]对照表!$G$3:$G$24,[1]对照表!$H$3:$H$24),LOOKUP(F138,[1]对照表!$G$27:$G$48,[1]对照表!$H$27:$H$48)),IF(B138="高二",IF($E138="男",LOOKUP(F138,[1]对照表!$F$3:$F$24,[1]对照表!$H$3:$H$24),LOOKUP(F138,[1]对照表!$F$27:$F$48,[1]对照表!$H$27:$H$48)),IF(B138="高一",IF($E138="男",LOOKUP(F138,[1]对照表!$E$3:$E$24,[1]对照表!$H$3:$H$24),LOOKUP(F138,[1]对照表!$E$27:$E$48,[1]对照表!$H$27:$H$48)))))</f>
        <v>68</v>
      </c>
      <c r="H138" s="38">
        <v>18</v>
      </c>
      <c r="I138" s="32">
        <f>IF(B138="高三",IF($E138="男",LOOKUP(H138,[1]对照表!$K$3:$K$24,[1]对照表!$L$3:$L$24),LOOKUP(H138,[1]对照表!$K$27:$K$48,[1]对照表!$L$27:$L$48)),IF(B138="高二",IF($E138="男",LOOKUP(H138,[1]对照表!$J$3:$J$24,[1]对照表!$L$3:$L$24),LOOKUP(H138,[1]对照表!$J$27:$J$48,[1]对照表!$L$27:$L$48)),IF(B138="高一",IF($E138="男",LOOKUP(H138,[1]对照表!$I$3:$I$24,[1]对照表!$L$3:$L$24),LOOKUP(H138,[1]对照表!$I$27:$I$48,[1]对照表!$L$27:$L$48)))))</f>
        <v>80</v>
      </c>
      <c r="J138" s="38">
        <v>182</v>
      </c>
      <c r="K138" s="32">
        <f>IF(B138="高三",IF($E138="男",LOOKUP(J138,[1]对照表!$O$3:$O$24,[1]对照表!$P$3:$P$24),LOOKUP(J138,[1]对照表!$O$27:$O$48,[1]对照表!$P$27:$P$48)),IF(B138="高二",IF($E138="男",LOOKUP(J138,[1]对照表!$N$3:$N$24,[1]对照表!$P$3:$P$24),LOOKUP(J138,[1]对照表!$N$27:$N$48,[1]对照表!$P$27:$P$48)),IF(B138="高一",IF($E138="男",LOOKUP(J138,[1]对照表!$M$3:$M$24,[1]对照表!$P$3:$P$24),LOOKUP(J138,[1]对照表!$M$27:$M$48,[1]对照表!$P$27:$P$48)))))</f>
        <v>80</v>
      </c>
      <c r="L138" s="38">
        <v>49</v>
      </c>
      <c r="M138" s="32">
        <f>IF(B138="高三",IF($E138="男",LOOKUP(L138,[1]对照表!$S$3:$S$24,[1]对照表!$T$3:$T$24),LOOKUP(L138,[1]对照表!$S$27:$S$48,[1]对照表!$T$27:$T$48)),IF(B138="高二",IF($E138="男",LOOKUP(L138,[1]对照表!$R$3:$R$24,[1]对照表!$T$3:$T$24),LOOKUP(L138,[1]对照表!$R$27:$R$48,[1]对照表!$T$27:$T$48)),IF(B138="高一",IF($E138="男",LOOKUP(L138,[1]对照表!$Q$3:$Q$24,[1]对照表!$T$3:$T$24),LOOKUP(L138,[1]对照表!$Q$27:$Q$48,[1]对照表!$T$27:$T$48)))))</f>
        <v>85</v>
      </c>
      <c r="N138" s="33">
        <f>IF(B138="高三",MAX(IF(E138="男",L138-18,L138-55),0),IF(B138="高二",MAX(IF(E138="男",L138-17,L138-54),0),IF(B138="高一",MAX(IF(E138="男",L138-16,L138-53),0))))</f>
        <v>0</v>
      </c>
      <c r="O138" s="23">
        <f>IF(E138="男",LOOKUP($N138,[1]对照表!$Z$3:$Z$13,[1]对照表!$AA$3:$AA$13),LOOKUP($N138,[1]对照表!$Z$15:$Z$25,[1]对照表!$AA$15:$AA$25))</f>
        <v>0</v>
      </c>
      <c r="P138" s="25">
        <f>M138+O138</f>
        <v>85</v>
      </c>
      <c r="Q138" s="50">
        <v>4.09</v>
      </c>
      <c r="R138" s="32">
        <f>IF(B138="高三",IF($E138="男",LOOKUP(Q138,[1]对照表!$W$3:$W$24,[1]对照表!$X$3:$X$24),LOOKUP(Q138,[1]对照表!$W$27:$W$48,[1]对照表!$X$27:$X$48)),IF(B138="高二",IF($E138="男",LOOKUP(Q138,[1]对照表!$V$3:$V$24,[1]对照表!$X$3:$X$24),LOOKUP(Q138,[1]对照表!$V$27:$V$48,[1]对照表!$X$27:$X$48)),IF(B138="高一",IF($E138="男",LOOKUP(Q138,[1]对照表!$U$3:$U$24,[1]对照表!$X$3:$X$24),LOOKUP(Q138,[1]对照表!$U$27:$U$48,[1]对照表!$X$27:$X$48)))))</f>
        <v>70</v>
      </c>
      <c r="S138" s="33">
        <f>ROUND(IF(IF($B138="高三",MIN(IF($E138="男",$Q138-3.2,$Q138-3.2),0),IF($B138="高二",MIN(IF($E138="男",$Q138-3.25,$Q138-3.22),0),IF($B138="高一",MIN(IF($E138="男",$Q138-3.3,$Q138-3.24),0))))&lt;-0.6,IF($B138="高三",MIN(IF($E138="男",$Q138-3.2,$Q138-3.2),0),IF($B138="高二",MIN(IF($E138="男",$Q138-3.25,$Q138-3.22),0),IF($B138="高一",MIN(IF($E138="男",$Q138-3.3,$Q138-3.24),0))))+0.4,IF($B138="高三",MIN(IF($E138="男",$Q138-3.2,$Q138-3.2),0),IF($B138="高二",MIN(IF($E138="男",$Q138-3.25,$Q138-3.22),0),IF($B138="高一",MIN(IF($E138="男",$Q138-3.3,$Q138-3.24),0))))),2)</f>
        <v>0</v>
      </c>
      <c r="T138" s="23">
        <f>IF(E138="男",LOOKUP($S138,[1]对照表!$AB$3:$AB$13,[1]对照表!$AC$3:$AC$13),LOOKUP($S138,[1]对照表!$AB$15:$AB$25,[1]对照表!$AC$15:$AC$25))</f>
        <v>0</v>
      </c>
      <c r="U138" s="26">
        <f>R138+T138</f>
        <v>70</v>
      </c>
      <c r="V138" s="26">
        <f>SUM(I138,K138,M138)/3*0.3+SUM(G138,R138)/2*0.4</f>
        <v>52.1</v>
      </c>
      <c r="W138" s="27">
        <f>O138+T138</f>
        <v>0</v>
      </c>
      <c r="X138" s="28">
        <f>V138/0.7+W138</f>
        <v>74.428571428571431</v>
      </c>
      <c r="Y138" s="28">
        <f>X138</f>
        <v>74.428571428571431</v>
      </c>
      <c r="Z138" s="38"/>
    </row>
    <row r="139" spans="1:26" ht="15.6" x14ac:dyDescent="0.25">
      <c r="A139" s="48">
        <v>4</v>
      </c>
      <c r="B139" s="17" t="s">
        <v>767</v>
      </c>
      <c r="C139" s="48">
        <v>203</v>
      </c>
      <c r="D139" s="49" t="s">
        <v>1215</v>
      </c>
      <c r="E139" s="49" t="s">
        <v>23</v>
      </c>
      <c r="F139" s="50">
        <v>7</v>
      </c>
      <c r="G139" s="32">
        <f>IF(B139="高三",IF($E139="男",LOOKUP(F139,[1]对照表!$G$3:$G$24,[1]对照表!$H$3:$H$24),LOOKUP(F139,[1]对照表!$G$27:$G$48,[1]对照表!$H$27:$H$48)),IF(B139="高二",IF($E139="男",LOOKUP(F139,[1]对照表!$F$3:$F$24,[1]对照表!$H$3:$H$24),LOOKUP(F139,[1]对照表!$F$27:$F$48,[1]对照表!$H$27:$H$48)),IF(B139="高一",IF($E139="男",LOOKUP(F139,[1]对照表!$E$3:$E$24,[1]对照表!$H$3:$H$24),LOOKUP(F139,[1]对照表!$E$27:$E$48,[1]对照表!$H$27:$H$48)))))</f>
        <v>100</v>
      </c>
      <c r="H139" s="38">
        <v>16</v>
      </c>
      <c r="I139" s="32">
        <f>IF(B139="高三",IF($E139="男",LOOKUP(H139,[1]对照表!$K$3:$K$24,[1]对照表!$L$3:$L$24),LOOKUP(H139,[1]对照表!$K$27:$K$48,[1]对照表!$L$27:$L$48)),IF(B139="高二",IF($E139="男",LOOKUP(H139,[1]对照表!$J$3:$J$24,[1]对照表!$L$3:$L$24),LOOKUP(H139,[1]对照表!$J$27:$J$48,[1]对照表!$L$27:$L$48)),IF(B139="高一",IF($E139="男",LOOKUP(H139,[1]对照表!$I$3:$I$24,[1]对照表!$L$3:$L$24),LOOKUP(H139,[1]对照表!$I$27:$I$48,[1]对照表!$L$27:$L$48)))))</f>
        <v>78</v>
      </c>
      <c r="J139" s="38">
        <v>214</v>
      </c>
      <c r="K139" s="32">
        <f>IF(B139="高三",IF($E139="男",LOOKUP(J139,[1]对照表!$O$3:$O$24,[1]对照表!$P$3:$P$24),LOOKUP(J139,[1]对照表!$O$27:$O$48,[1]对照表!$P$27:$P$48)),IF(B139="高二",IF($E139="男",LOOKUP(J139,[1]对照表!$N$3:$N$24,[1]对照表!$P$3:$P$24),LOOKUP(J139,[1]对照表!$N$27:$N$48,[1]对照表!$P$27:$P$48)),IF(B139="高一",IF($E139="男",LOOKUP(J139,[1]对照表!$M$3:$M$24,[1]对照表!$P$3:$P$24),LOOKUP(J139,[1]对照表!$M$27:$M$48,[1]对照表!$P$27:$P$48)))))</f>
        <v>66</v>
      </c>
      <c r="L139" s="38">
        <v>5</v>
      </c>
      <c r="M139" s="32">
        <f>IF(B139="高三",IF($E139="男",LOOKUP(L139,[1]对照表!$S$3:$S$24,[1]对照表!$T$3:$T$24),LOOKUP(L139,[1]对照表!$S$27:$S$48,[1]对照表!$T$27:$T$48)),IF(B139="高二",IF($E139="男",LOOKUP(L139,[1]对照表!$R$3:$R$24,[1]对照表!$T$3:$T$24),LOOKUP(L139,[1]对照表!$R$27:$R$48,[1]对照表!$T$27:$T$48)),IF(B139="高一",IF($E139="男",LOOKUP(L139,[1]对照表!$Q$3:$Q$24,[1]对照表!$T$3:$T$24),LOOKUP(L139,[1]对照表!$Q$27:$Q$48,[1]对照表!$T$27:$T$48)))))</f>
        <v>30</v>
      </c>
      <c r="N139" s="33">
        <f>IF(B139="高三",MAX(IF(E139="男",L139-18,L139-55),0),IF(B139="高二",MAX(IF(E139="男",L139-17,L139-54),0),IF(B139="高一",MAX(IF(E139="男",L139-16,L139-53),0))))</f>
        <v>0</v>
      </c>
      <c r="O139" s="23">
        <f>IF(E139="男",LOOKUP($N139,[1]对照表!$Z$3:$Z$13,[1]对照表!$AA$3:$AA$13),LOOKUP($N139,[1]对照表!$Z$15:$Z$25,[1]对照表!$AA$15:$AA$25))</f>
        <v>0</v>
      </c>
      <c r="P139" s="25">
        <f>M139+O139</f>
        <v>30</v>
      </c>
      <c r="Q139" s="50">
        <v>3.28</v>
      </c>
      <c r="R139" s="32">
        <f>IF(B139="高三",IF($E139="男",LOOKUP(Q139,[1]对照表!$W$3:$W$24,[1]对照表!$X$3:$X$24),LOOKUP(Q139,[1]对照表!$W$27:$W$48,[1]对照表!$X$27:$X$48)),IF(B139="高二",IF($E139="男",LOOKUP(Q139,[1]对照表!$V$3:$V$24,[1]对照表!$X$3:$X$24),LOOKUP(Q139,[1]对照表!$V$27:$V$48,[1]对照表!$X$27:$X$48)),IF(B139="高一",IF($E139="男",LOOKUP(Q139,[1]对照表!$U$3:$U$24,[1]对照表!$X$3:$X$24),LOOKUP(Q139,[1]对照表!$U$27:$U$48,[1]对照表!$X$27:$X$48)))))</f>
        <v>95</v>
      </c>
      <c r="S139" s="33">
        <f>ROUND(IF(IF($B139="高三",MIN(IF($E139="男",$Q139-3.2,$Q139-3.2),0),IF($B139="高二",MIN(IF($E139="男",$Q139-3.25,$Q139-3.22),0),IF($B139="高一",MIN(IF($E139="男",$Q139-3.3,$Q139-3.24),0))))&lt;-0.6,IF($B139="高三",MIN(IF($E139="男",$Q139-3.2,$Q139-3.2),0),IF($B139="高二",MIN(IF($E139="男",$Q139-3.25,$Q139-3.22),0),IF($B139="高一",MIN(IF($E139="男",$Q139-3.3,$Q139-3.24),0))))+0.4,IF($B139="高三",MIN(IF($E139="男",$Q139-3.2,$Q139-3.2),0),IF($B139="高二",MIN(IF($E139="男",$Q139-3.25,$Q139-3.22),0),IF($B139="高一",MIN(IF($E139="男",$Q139-3.3,$Q139-3.24),0))))),2)</f>
        <v>0</v>
      </c>
      <c r="T139" s="23">
        <f>IF(E139="男",LOOKUP($S139,[1]对照表!$AB$3:$AB$13,[1]对照表!$AC$3:$AC$13),LOOKUP($S139,[1]对照表!$AB$15:$AB$25,[1]对照表!$AC$15:$AC$25))</f>
        <v>0</v>
      </c>
      <c r="U139" s="26">
        <f>R139+T139</f>
        <v>95</v>
      </c>
      <c r="V139" s="26">
        <f>SUM(I139,K139,M139)/3*0.3+SUM(G139,R139)/2*0.4</f>
        <v>56.4</v>
      </c>
      <c r="W139" s="27">
        <f>O139+T139</f>
        <v>0</v>
      </c>
      <c r="X139" s="28">
        <f>V139/0.7+W139</f>
        <v>80.571428571428569</v>
      </c>
      <c r="Y139" s="28">
        <f>X139</f>
        <v>80.571428571428569</v>
      </c>
      <c r="Z139" s="38"/>
    </row>
    <row r="140" spans="1:26" ht="15.6" x14ac:dyDescent="0.25">
      <c r="A140" s="48">
        <v>44</v>
      </c>
      <c r="B140" s="17" t="s">
        <v>767</v>
      </c>
      <c r="C140" s="48">
        <v>203</v>
      </c>
      <c r="D140" s="49" t="s">
        <v>1220</v>
      </c>
      <c r="E140" s="48" t="s">
        <v>65</v>
      </c>
      <c r="F140" s="50">
        <v>9.34</v>
      </c>
      <c r="G140" s="32">
        <f>IF(B140="高三",IF($E140="男",LOOKUP(F140,[1]对照表!$G$3:$G$24,[1]对照表!$H$3:$H$24),LOOKUP(F140,[1]对照表!$G$27:$G$48,[1]对照表!$H$27:$H$48)),IF(B140="高二",IF($E140="男",LOOKUP(F140,[1]对照表!$F$3:$F$24,[1]对照表!$H$3:$H$24),LOOKUP(F140,[1]对照表!$F$27:$F$48,[1]对照表!$H$27:$H$48)),IF(B140="高一",IF($E140="男",LOOKUP(F140,[1]对照表!$E$3:$E$24,[1]对照表!$H$3:$H$24),LOOKUP(F140,[1]对照表!$E$27:$E$48,[1]对照表!$H$27:$H$48)))))</f>
        <v>70</v>
      </c>
      <c r="H140" s="38">
        <v>24</v>
      </c>
      <c r="I140" s="32">
        <f>IF(B140="高三",IF($E140="男",LOOKUP(H140,[1]对照表!$K$3:$K$24,[1]对照表!$L$3:$L$24),LOOKUP(H140,[1]对照表!$K$27:$K$48,[1]对照表!$L$27:$L$48)),IF(B140="高二",IF($E140="男",LOOKUP(H140,[1]对照表!$J$3:$J$24,[1]对照表!$L$3:$L$24),LOOKUP(H140,[1]对照表!$J$27:$J$48,[1]对照表!$L$27:$L$48)),IF(B140="高一",IF($E140="男",LOOKUP(H140,[1]对照表!$I$3:$I$24,[1]对照表!$L$3:$L$24),LOOKUP(H140,[1]对照表!$I$27:$I$48,[1]对照表!$L$27:$L$48)))))</f>
        <v>95</v>
      </c>
      <c r="J140" s="38">
        <v>162</v>
      </c>
      <c r="K140" s="32">
        <f>IF(B140="高三",IF($E140="男",LOOKUP(J140,[1]对照表!$O$3:$O$24,[1]对照表!$P$3:$P$24),LOOKUP(J140,[1]对照表!$O$27:$O$48,[1]对照表!$P$27:$P$48)),IF(B140="高二",IF($E140="男",LOOKUP(J140,[1]对照表!$N$3:$N$24,[1]对照表!$P$3:$P$24),LOOKUP(J140,[1]对照表!$N$27:$N$48,[1]对照表!$P$27:$P$48)),IF(B140="高一",IF($E140="男",LOOKUP(J140,[1]对照表!$M$3:$M$24,[1]对照表!$P$3:$P$24),LOOKUP(J140,[1]对照表!$M$27:$M$48,[1]对照表!$P$27:$P$48)))))</f>
        <v>68</v>
      </c>
      <c r="L140" s="38">
        <v>49</v>
      </c>
      <c r="M140" s="32">
        <f>IF(B140="高三",IF($E140="男",LOOKUP(L140,[1]对照表!$S$3:$S$24,[1]对照表!$T$3:$T$24),LOOKUP(L140,[1]对照表!$S$27:$S$48,[1]对照表!$T$27:$T$48)),IF(B140="高二",IF($E140="男",LOOKUP(L140,[1]对照表!$R$3:$R$24,[1]对照表!$T$3:$T$24),LOOKUP(L140,[1]对照表!$R$27:$R$48,[1]对照表!$T$27:$T$48)),IF(B140="高一",IF($E140="男",LOOKUP(L140,[1]对照表!$Q$3:$Q$24,[1]对照表!$T$3:$T$24),LOOKUP(L140,[1]对照表!$Q$27:$Q$48,[1]对照表!$T$27:$T$48)))))</f>
        <v>85</v>
      </c>
      <c r="N140" s="33">
        <f>IF(B140="高三",MAX(IF(E140="男",L140-18,L140-55),0),IF(B140="高二",MAX(IF(E140="男",L140-17,L140-54),0),IF(B140="高一",MAX(IF(E140="男",L140-16,L140-53),0))))</f>
        <v>0</v>
      </c>
      <c r="O140" s="23">
        <f>IF(E140="男",LOOKUP($N140,[1]对照表!$Z$3:$Z$13,[1]对照表!$AA$3:$AA$13),LOOKUP($N140,[1]对照表!$Z$15:$Z$25,[1]对照表!$AA$15:$AA$25))</f>
        <v>0</v>
      </c>
      <c r="P140" s="25">
        <f>M140+O140</f>
        <v>85</v>
      </c>
      <c r="Q140" s="50">
        <v>4.29</v>
      </c>
      <c r="R140" s="32">
        <f>IF(B140="高三",IF($E140="男",LOOKUP(Q140,[1]对照表!$W$3:$W$24,[1]对照表!$X$3:$X$24),LOOKUP(Q140,[1]对照表!$W$27:$W$48,[1]对照表!$X$27:$X$48)),IF(B140="高二",IF($E140="男",LOOKUP(Q140,[1]对照表!$V$3:$V$24,[1]对照表!$X$3:$X$24),LOOKUP(Q140,[1]对照表!$V$27:$V$48,[1]对照表!$X$27:$X$48)),IF(B140="高一",IF($E140="男",LOOKUP(Q140,[1]对照表!$U$3:$U$24,[1]对照表!$X$3:$X$24),LOOKUP(Q140,[1]对照表!$U$27:$U$48,[1]对照表!$X$27:$X$48)))))</f>
        <v>62</v>
      </c>
      <c r="S140" s="33">
        <f>ROUND(IF(IF($B140="高三",MIN(IF($E140="男",$Q140-3.2,$Q140-3.2),0),IF($B140="高二",MIN(IF($E140="男",$Q140-3.25,$Q140-3.22),0),IF($B140="高一",MIN(IF($E140="男",$Q140-3.3,$Q140-3.24),0))))&lt;-0.6,IF($B140="高三",MIN(IF($E140="男",$Q140-3.2,$Q140-3.2),0),IF($B140="高二",MIN(IF($E140="男",$Q140-3.25,$Q140-3.22),0),IF($B140="高一",MIN(IF($E140="男",$Q140-3.3,$Q140-3.24),0))))+0.4,IF($B140="高三",MIN(IF($E140="男",$Q140-3.2,$Q140-3.2),0),IF($B140="高二",MIN(IF($E140="男",$Q140-3.25,$Q140-3.22),0),IF($B140="高一",MIN(IF($E140="男",$Q140-3.3,$Q140-3.24),0))))),2)</f>
        <v>0</v>
      </c>
      <c r="T140" s="23">
        <f>IF(E140="男",LOOKUP($S140,[1]对照表!$AB$3:$AB$13,[1]对照表!$AC$3:$AC$13),LOOKUP($S140,[1]对照表!$AB$15:$AB$25,[1]对照表!$AC$15:$AC$25))</f>
        <v>0</v>
      </c>
      <c r="U140" s="26">
        <f>R140+T140</f>
        <v>62</v>
      </c>
      <c r="V140" s="26">
        <f>SUM(I140,K140,M140)/3*0.3+SUM(G140,R140)/2*0.4</f>
        <v>51.2</v>
      </c>
      <c r="W140" s="27">
        <f>O140+T140</f>
        <v>0</v>
      </c>
      <c r="X140" s="28">
        <f>V140/0.7+W140</f>
        <v>73.142857142857153</v>
      </c>
      <c r="Y140" s="28">
        <f>X140</f>
        <v>73.142857142857153</v>
      </c>
      <c r="Z140" s="38"/>
    </row>
    <row r="141" spans="1:26" ht="15.6" x14ac:dyDescent="0.25">
      <c r="A141" s="48">
        <v>39</v>
      </c>
      <c r="B141" s="17" t="s">
        <v>767</v>
      </c>
      <c r="C141" s="48">
        <v>203</v>
      </c>
      <c r="D141" s="49" t="s">
        <v>1232</v>
      </c>
      <c r="E141" s="48" t="s">
        <v>65</v>
      </c>
      <c r="F141" s="50">
        <v>9.8000000000000007</v>
      </c>
      <c r="G141" s="32">
        <f>IF(B141="高三",IF($E141="男",LOOKUP(F141,[1]对照表!$G$3:$G$24,[1]对照表!$H$3:$H$24),LOOKUP(F141,[1]对照表!$G$27:$G$48,[1]对照表!$H$27:$H$48)),IF(B141="高二",IF($E141="男",LOOKUP(F141,[1]对照表!$F$3:$F$24,[1]对照表!$H$3:$H$24),LOOKUP(F141,[1]对照表!$F$27:$F$48,[1]对照表!$H$27:$H$48)),IF(B141="高一",IF($E141="男",LOOKUP(F141,[1]对照表!$E$3:$E$24,[1]对照表!$H$3:$H$24),LOOKUP(F141,[1]对照表!$E$27:$E$48,[1]对照表!$H$27:$H$48)))))</f>
        <v>66</v>
      </c>
      <c r="H141" s="38">
        <v>18</v>
      </c>
      <c r="I141" s="32">
        <f>IF(B141="高三",IF($E141="男",LOOKUP(H141,[1]对照表!$K$3:$K$24,[1]对照表!$L$3:$L$24),LOOKUP(H141,[1]对照表!$K$27:$K$48,[1]对照表!$L$27:$L$48)),IF(B141="高二",IF($E141="男",LOOKUP(H141,[1]对照表!$J$3:$J$24,[1]对照表!$L$3:$L$24),LOOKUP(H141,[1]对照表!$J$27:$J$48,[1]对照表!$L$27:$L$48)),IF(B141="高一",IF($E141="男",LOOKUP(H141,[1]对照表!$I$3:$I$24,[1]对照表!$L$3:$L$24),LOOKUP(H141,[1]对照表!$I$27:$I$48,[1]对照表!$L$27:$L$48)))))</f>
        <v>80</v>
      </c>
      <c r="J141" s="38">
        <v>168</v>
      </c>
      <c r="K141" s="32">
        <f>IF(B141="高三",IF($E141="男",LOOKUP(J141,[1]对照表!$O$3:$O$24,[1]对照表!$P$3:$P$24),LOOKUP(J141,[1]对照表!$O$27:$O$48,[1]对照表!$P$27:$P$48)),IF(B141="高二",IF($E141="男",LOOKUP(J141,[1]对照表!$N$3:$N$24,[1]对照表!$P$3:$P$24),LOOKUP(J141,[1]对照表!$N$27:$N$48,[1]对照表!$P$27:$P$48)),IF(B141="高一",IF($E141="男",LOOKUP(J141,[1]对照表!$M$3:$M$24,[1]对照表!$P$3:$P$24),LOOKUP(J141,[1]对照表!$M$27:$M$48,[1]对照表!$P$27:$P$48)))))</f>
        <v>72</v>
      </c>
      <c r="L141" s="38">
        <v>49</v>
      </c>
      <c r="M141" s="32">
        <f>IF(B141="高三",IF($E141="男",LOOKUP(L141,[1]对照表!$S$3:$S$24,[1]对照表!$T$3:$T$24),LOOKUP(L141,[1]对照表!$S$27:$S$48,[1]对照表!$T$27:$T$48)),IF(B141="高二",IF($E141="男",LOOKUP(L141,[1]对照表!$R$3:$R$24,[1]对照表!$T$3:$T$24),LOOKUP(L141,[1]对照表!$R$27:$R$48,[1]对照表!$T$27:$T$48)),IF(B141="高一",IF($E141="男",LOOKUP(L141,[1]对照表!$Q$3:$Q$24,[1]对照表!$T$3:$T$24),LOOKUP(L141,[1]对照表!$Q$27:$Q$48,[1]对照表!$T$27:$T$48)))))</f>
        <v>85</v>
      </c>
      <c r="N141" s="33">
        <f>IF(B141="高三",MAX(IF(E141="男",L141-18,L141-55),0),IF(B141="高二",MAX(IF(E141="男",L141-17,L141-54),0),IF(B141="高一",MAX(IF(E141="男",L141-16,L141-53),0))))</f>
        <v>0</v>
      </c>
      <c r="O141" s="23">
        <f>IF(E141="男",LOOKUP($N141,[1]对照表!$Z$3:$Z$13,[1]对照表!$AA$3:$AA$13),LOOKUP($N141,[1]对照表!$Z$15:$Z$25,[1]对照表!$AA$15:$AA$25))</f>
        <v>0</v>
      </c>
      <c r="P141" s="25">
        <f>M141+O141</f>
        <v>85</v>
      </c>
      <c r="Q141" s="50">
        <v>4.09</v>
      </c>
      <c r="R141" s="32">
        <f>IF(B141="高三",IF($E141="男",LOOKUP(Q141,[1]对照表!$W$3:$W$24,[1]对照表!$X$3:$X$24),LOOKUP(Q141,[1]对照表!$W$27:$W$48,[1]对照表!$X$27:$X$48)),IF(B141="高二",IF($E141="男",LOOKUP(Q141,[1]对照表!$V$3:$V$24,[1]对照表!$X$3:$X$24),LOOKUP(Q141,[1]对照表!$V$27:$V$48,[1]对照表!$X$27:$X$48)),IF(B141="高一",IF($E141="男",LOOKUP(Q141,[1]对照表!$U$3:$U$24,[1]对照表!$X$3:$X$24),LOOKUP(Q141,[1]对照表!$U$27:$U$48,[1]对照表!$X$27:$X$48)))))</f>
        <v>70</v>
      </c>
      <c r="S141" s="33">
        <f>ROUND(IF(IF($B141="高三",MIN(IF($E141="男",$Q141-3.2,$Q141-3.2),0),IF($B141="高二",MIN(IF($E141="男",$Q141-3.25,$Q141-3.22),0),IF($B141="高一",MIN(IF($E141="男",$Q141-3.3,$Q141-3.24),0))))&lt;-0.6,IF($B141="高三",MIN(IF($E141="男",$Q141-3.2,$Q141-3.2),0),IF($B141="高二",MIN(IF($E141="男",$Q141-3.25,$Q141-3.22),0),IF($B141="高一",MIN(IF($E141="男",$Q141-3.3,$Q141-3.24),0))))+0.4,IF($B141="高三",MIN(IF($E141="男",$Q141-3.2,$Q141-3.2),0),IF($B141="高二",MIN(IF($E141="男",$Q141-3.25,$Q141-3.22),0),IF($B141="高一",MIN(IF($E141="男",$Q141-3.3,$Q141-3.24),0))))),2)</f>
        <v>0</v>
      </c>
      <c r="T141" s="23">
        <f>IF(E141="男",LOOKUP($S141,[1]对照表!$AB$3:$AB$13,[1]对照表!$AC$3:$AC$13),LOOKUP($S141,[1]对照表!$AB$15:$AB$25,[1]对照表!$AC$15:$AC$25))</f>
        <v>0</v>
      </c>
      <c r="U141" s="26">
        <f>R141+T141</f>
        <v>70</v>
      </c>
      <c r="V141" s="26">
        <f>SUM(I141,K141,M141)/3*0.3+SUM(G141,R141)/2*0.4</f>
        <v>50.900000000000006</v>
      </c>
      <c r="W141" s="27">
        <f>O141+T141</f>
        <v>0</v>
      </c>
      <c r="X141" s="28">
        <f>V141/0.7+W141</f>
        <v>72.714285714285722</v>
      </c>
      <c r="Y141" s="28">
        <f>X141</f>
        <v>72.714285714285722</v>
      </c>
      <c r="Z141" s="38"/>
    </row>
    <row r="142" spans="1:26" ht="15.6" x14ac:dyDescent="0.25">
      <c r="A142" s="48">
        <v>51</v>
      </c>
      <c r="B142" s="17" t="s">
        <v>767</v>
      </c>
      <c r="C142" s="38">
        <v>203</v>
      </c>
      <c r="D142" s="49" t="s">
        <v>1240</v>
      </c>
      <c r="E142" s="38" t="s">
        <v>65</v>
      </c>
      <c r="F142" s="50">
        <v>9.17</v>
      </c>
      <c r="G142" s="32">
        <f>IF(B142="高三",IF($E142="男",LOOKUP(F142,[1]对照表!$G$3:$G$24,[1]对照表!$H$3:$H$24),LOOKUP(F142,[1]对照表!$G$27:$G$48,[1]对照表!$H$27:$H$48)),IF(B142="高二",IF($E142="男",LOOKUP(F142,[1]对照表!$F$3:$F$24,[1]对照表!$H$3:$H$24),LOOKUP(F142,[1]对照表!$F$27:$F$48,[1]对照表!$H$27:$H$48)),IF(B142="高一",IF($E142="男",LOOKUP(F142,[1]对照表!$E$3:$E$24,[1]对照表!$H$3:$H$24),LOOKUP(F142,[1]对照表!$E$27:$E$48,[1]对照表!$H$27:$H$48)))))</f>
        <v>72</v>
      </c>
      <c r="H142" s="38">
        <v>17</v>
      </c>
      <c r="I142" s="32">
        <f>IF(B142="高三",IF($E142="男",LOOKUP(H142,[1]对照表!$K$3:$K$24,[1]对照表!$L$3:$L$24),LOOKUP(H142,[1]对照表!$K$27:$K$48,[1]对照表!$L$27:$L$48)),IF(B142="高二",IF($E142="男",LOOKUP(H142,[1]对照表!$J$3:$J$24,[1]对照表!$L$3:$L$24),LOOKUP(H142,[1]对照表!$J$27:$J$48,[1]对照表!$L$27:$L$48)),IF(B142="高一",IF($E142="男",LOOKUP(H142,[1]对照表!$I$3:$I$24,[1]对照表!$L$3:$L$24),LOOKUP(H142,[1]对照表!$I$27:$I$48,[1]对照表!$L$27:$L$48)))))</f>
        <v>78</v>
      </c>
      <c r="J142" s="38">
        <v>175</v>
      </c>
      <c r="K142" s="32">
        <f>IF(B142="高三",IF($E142="男",LOOKUP(J142,[1]对照表!$O$3:$O$24,[1]对照表!$P$3:$P$24),LOOKUP(J142,[1]对照表!$O$27:$O$48,[1]对照表!$P$27:$P$48)),IF(B142="高二",IF($E142="男",LOOKUP(J142,[1]对照表!$N$3:$N$24,[1]对照表!$P$3:$P$24),LOOKUP(J142,[1]对照表!$N$27:$N$48,[1]对照表!$P$27:$P$48)),IF(B142="高一",IF($E142="男",LOOKUP(J142,[1]对照表!$M$3:$M$24,[1]对照表!$P$3:$P$24),LOOKUP(J142,[1]对照表!$M$27:$M$48,[1]对照表!$P$27:$P$48)))))</f>
        <v>76</v>
      </c>
      <c r="L142" s="38">
        <v>35</v>
      </c>
      <c r="M142" s="32">
        <f>IF(B142="高三",IF($E142="男",LOOKUP(L142,[1]对照表!$S$3:$S$24,[1]对照表!$T$3:$T$24),LOOKUP(L142,[1]对照表!$S$27:$S$48,[1]对照表!$T$27:$T$48)),IF(B142="高二",IF($E142="男",LOOKUP(L142,[1]对照表!$R$3:$R$24,[1]对照表!$T$3:$T$24),LOOKUP(L142,[1]对照表!$R$27:$R$48,[1]对照表!$T$27:$T$48)),IF(B142="高一",IF($E142="男",LOOKUP(L142,[1]对照表!$Q$3:$Q$24,[1]对照表!$T$3:$T$24),LOOKUP(L142,[1]对照表!$Q$27:$Q$48,[1]对照表!$T$27:$T$48)))))</f>
        <v>70</v>
      </c>
      <c r="N142" s="33">
        <f>IF(B142="高三",MAX(IF(E142="男",L142-18,L142-55),0),IF(B142="高二",MAX(IF(E142="男",L142-17,L142-54),0),IF(B142="高一",MAX(IF(E142="男",L142-16,L142-53),0))))</f>
        <v>0</v>
      </c>
      <c r="O142" s="23">
        <f>IF(E142="男",LOOKUP($N142,[1]对照表!$Z$3:$Z$13,[1]对照表!$AA$3:$AA$13),LOOKUP($N142,[1]对照表!$Z$15:$Z$25,[1]对照表!$AA$15:$AA$25))</f>
        <v>0</v>
      </c>
      <c r="P142" s="25">
        <f>M142+O142</f>
        <v>70</v>
      </c>
      <c r="Q142" s="50">
        <v>4.16</v>
      </c>
      <c r="R142" s="32">
        <f>IF(B142="高三",IF($E142="男",LOOKUP(Q142,[1]对照表!$W$3:$W$24,[1]对照表!$X$3:$X$24),LOOKUP(Q142,[1]对照表!$W$27:$W$48,[1]对照表!$X$27:$X$48)),IF(B142="高二",IF($E142="男",LOOKUP(Q142,[1]对照表!$V$3:$V$24,[1]对照表!$X$3:$X$24),LOOKUP(Q142,[1]对照表!$V$27:$V$48,[1]对照表!$X$27:$X$48)),IF(B142="高一",IF($E142="男",LOOKUP(Q142,[1]对照表!$U$3:$U$24,[1]对照表!$X$3:$X$24),LOOKUP(Q142,[1]对照表!$U$27:$U$48,[1]对照表!$X$27:$X$48)))))</f>
        <v>68</v>
      </c>
      <c r="S142" s="33">
        <f>ROUND(IF(IF($B142="高三",MIN(IF($E142="男",$Q142-3.2,$Q142-3.2),0),IF($B142="高二",MIN(IF($E142="男",$Q142-3.25,$Q142-3.22),0),IF($B142="高一",MIN(IF($E142="男",$Q142-3.3,$Q142-3.24),0))))&lt;-0.6,IF($B142="高三",MIN(IF($E142="男",$Q142-3.2,$Q142-3.2),0),IF($B142="高二",MIN(IF($E142="男",$Q142-3.25,$Q142-3.22),0),IF($B142="高一",MIN(IF($E142="男",$Q142-3.3,$Q142-3.24),0))))+0.4,IF($B142="高三",MIN(IF($E142="男",$Q142-3.2,$Q142-3.2),0),IF($B142="高二",MIN(IF($E142="男",$Q142-3.25,$Q142-3.22),0),IF($B142="高一",MIN(IF($E142="男",$Q142-3.3,$Q142-3.24),0))))),2)</f>
        <v>0</v>
      </c>
      <c r="T142" s="23">
        <f>IF(E142="男",LOOKUP($S142,[1]对照表!$AB$3:$AB$13,[1]对照表!$AC$3:$AC$13),LOOKUP($S142,[1]对照表!$AB$15:$AB$25,[1]对照表!$AC$15:$AC$25))</f>
        <v>0</v>
      </c>
      <c r="U142" s="26">
        <f>R142+T142</f>
        <v>68</v>
      </c>
      <c r="V142" s="26">
        <f>SUM(I142,K142,M142)/3*0.3+SUM(G142,R142)/2*0.4</f>
        <v>50.400000000000006</v>
      </c>
      <c r="W142" s="27">
        <f>O142+T142</f>
        <v>0</v>
      </c>
      <c r="X142" s="28">
        <f>V142/0.7+W142</f>
        <v>72.000000000000014</v>
      </c>
      <c r="Y142" s="28">
        <f>X142</f>
        <v>72.000000000000014</v>
      </c>
      <c r="Z142" s="38"/>
    </row>
    <row r="143" spans="1:26" ht="15.6" x14ac:dyDescent="0.25">
      <c r="A143" s="48">
        <v>17</v>
      </c>
      <c r="B143" s="17" t="s">
        <v>767</v>
      </c>
      <c r="C143" s="48">
        <v>203</v>
      </c>
      <c r="D143" s="49" t="s">
        <v>1242</v>
      </c>
      <c r="E143" s="48" t="s">
        <v>65</v>
      </c>
      <c r="F143" s="50">
        <v>9.4700000000000006</v>
      </c>
      <c r="G143" s="32">
        <f>IF(B143="高三",IF($E143="男",LOOKUP(F143,[1]对照表!$G$3:$G$24,[1]对照表!$H$3:$H$24),LOOKUP(F143,[1]对照表!$G$27:$G$48,[1]对照表!$H$27:$H$48)),IF(B143="高二",IF($E143="男",LOOKUP(F143,[1]对照表!$F$3:$F$24,[1]对照表!$H$3:$H$24),LOOKUP(F143,[1]对照表!$F$27:$F$48,[1]对照表!$H$27:$H$48)),IF(B143="高一",IF($E143="男",LOOKUP(F143,[1]对照表!$E$3:$E$24,[1]对照表!$H$3:$H$24),LOOKUP(F143,[1]对照表!$E$27:$E$48,[1]对照表!$H$27:$H$48)))))</f>
        <v>70</v>
      </c>
      <c r="H143" s="38">
        <v>12</v>
      </c>
      <c r="I143" s="32">
        <f>IF(B143="高三",IF($E143="男",LOOKUP(H143,[1]对照表!$K$3:$K$24,[1]对照表!$L$3:$L$24),LOOKUP(H143,[1]对照表!$K$27:$K$48,[1]对照表!$L$27:$L$48)),IF(B143="高二",IF($E143="男",LOOKUP(H143,[1]对照表!$J$3:$J$24,[1]对照表!$L$3:$L$24),LOOKUP(H143,[1]对照表!$J$27:$J$48,[1]对照表!$L$27:$L$48)),IF(B143="高一",IF($E143="男",LOOKUP(H143,[1]对照表!$I$3:$I$24,[1]对照表!$L$3:$L$24),LOOKUP(H143,[1]对照表!$I$27:$I$48,[1]对照表!$L$27:$L$48)))))</f>
        <v>70</v>
      </c>
      <c r="J143" s="38">
        <v>168</v>
      </c>
      <c r="K143" s="32">
        <f>IF(B143="高三",IF($E143="男",LOOKUP(J143,[1]对照表!$O$3:$O$24,[1]对照表!$P$3:$P$24),LOOKUP(J143,[1]对照表!$O$27:$O$48,[1]对照表!$P$27:$P$48)),IF(B143="高二",IF($E143="男",LOOKUP(J143,[1]对照表!$N$3:$N$24,[1]对照表!$P$3:$P$24),LOOKUP(J143,[1]对照表!$N$27:$N$48,[1]对照表!$P$27:$P$48)),IF(B143="高一",IF($E143="男",LOOKUP(J143,[1]对照表!$M$3:$M$24,[1]对照表!$P$3:$P$24),LOOKUP(J143,[1]对照表!$M$27:$M$48,[1]对照表!$P$27:$P$48)))))</f>
        <v>72</v>
      </c>
      <c r="L143" s="38">
        <v>47</v>
      </c>
      <c r="M143" s="32">
        <f>IF(B143="高三",IF($E143="男",LOOKUP(L143,[1]对照表!$S$3:$S$24,[1]对照表!$T$3:$T$24),LOOKUP(L143,[1]对照表!$S$27:$S$48,[1]对照表!$T$27:$T$48)),IF(B143="高二",IF($E143="男",LOOKUP(L143,[1]对照表!$R$3:$R$24,[1]对照表!$T$3:$T$24),LOOKUP(L143,[1]对照表!$R$27:$R$48,[1]对照表!$T$27:$T$48)),IF(B143="高一",IF($E143="男",LOOKUP(L143,[1]对照表!$Q$3:$Q$24,[1]对照表!$T$3:$T$24),LOOKUP(L143,[1]对照表!$Q$27:$Q$48,[1]对照表!$T$27:$T$48)))))</f>
        <v>85</v>
      </c>
      <c r="N143" s="33">
        <f>IF(B143="高三",MAX(IF(E143="男",L143-18,L143-55),0),IF(B143="高二",MAX(IF(E143="男",L143-17,L143-54),0),IF(B143="高一",MAX(IF(E143="男",L143-16,L143-53),0))))</f>
        <v>0</v>
      </c>
      <c r="O143" s="23">
        <f>IF(E143="男",LOOKUP($N143,[1]对照表!$Z$3:$Z$13,[1]对照表!$AA$3:$AA$13),LOOKUP($N143,[1]对照表!$Z$15:$Z$25,[1]对照表!$AA$15:$AA$25))</f>
        <v>0</v>
      </c>
      <c r="P143" s="25">
        <f>M143+O143</f>
        <v>85</v>
      </c>
      <c r="Q143" s="50">
        <v>4.16</v>
      </c>
      <c r="R143" s="32">
        <f>IF(B143="高三",IF($E143="男",LOOKUP(Q143,[1]对照表!$W$3:$W$24,[1]对照表!$X$3:$X$24),LOOKUP(Q143,[1]对照表!$W$27:$W$48,[1]对照表!$X$27:$X$48)),IF(B143="高二",IF($E143="男",LOOKUP(Q143,[1]对照表!$V$3:$V$24,[1]对照表!$X$3:$X$24),LOOKUP(Q143,[1]对照表!$V$27:$V$48,[1]对照表!$X$27:$X$48)),IF(B143="高一",IF($E143="男",LOOKUP(Q143,[1]对照表!$U$3:$U$24,[1]对照表!$X$3:$X$24),LOOKUP(Q143,[1]对照表!$U$27:$U$48,[1]对照表!$X$27:$X$48)))))</f>
        <v>68</v>
      </c>
      <c r="S143" s="33">
        <f>ROUND(IF(IF($B143="高三",MIN(IF($E143="男",$Q143-3.2,$Q143-3.2),0),IF($B143="高二",MIN(IF($E143="男",$Q143-3.25,$Q143-3.22),0),IF($B143="高一",MIN(IF($E143="男",$Q143-3.3,$Q143-3.24),0))))&lt;-0.6,IF($B143="高三",MIN(IF($E143="男",$Q143-3.2,$Q143-3.2),0),IF($B143="高二",MIN(IF($E143="男",$Q143-3.25,$Q143-3.22),0),IF($B143="高一",MIN(IF($E143="男",$Q143-3.3,$Q143-3.24),0))))+0.4,IF($B143="高三",MIN(IF($E143="男",$Q143-3.2,$Q143-3.2),0),IF($B143="高二",MIN(IF($E143="男",$Q143-3.25,$Q143-3.22),0),IF($B143="高一",MIN(IF($E143="男",$Q143-3.3,$Q143-3.24),0))))),2)</f>
        <v>0</v>
      </c>
      <c r="T143" s="23">
        <f>IF(E143="男",LOOKUP($S143,[1]对照表!$AB$3:$AB$13,[1]对照表!$AC$3:$AC$13),LOOKUP($S143,[1]对照表!$AB$15:$AB$25,[1]对照表!$AC$15:$AC$25))</f>
        <v>0</v>
      </c>
      <c r="U143" s="26">
        <f>R143+T143</f>
        <v>68</v>
      </c>
      <c r="V143" s="26">
        <f>SUM(I143,K143,M143)/3*0.3+SUM(G143,R143)/2*0.4</f>
        <v>50.3</v>
      </c>
      <c r="W143" s="27">
        <f>O143+T143</f>
        <v>0</v>
      </c>
      <c r="X143" s="28">
        <f>V143/0.7+W143</f>
        <v>71.857142857142861</v>
      </c>
      <c r="Y143" s="28">
        <f>X143</f>
        <v>71.857142857142861</v>
      </c>
      <c r="Z143" s="38"/>
    </row>
    <row r="144" spans="1:26" ht="15.6" customHeight="1" x14ac:dyDescent="0.25">
      <c r="A144" s="48">
        <v>56</v>
      </c>
      <c r="B144" s="17" t="s">
        <v>767</v>
      </c>
      <c r="C144" s="48">
        <v>203</v>
      </c>
      <c r="D144" s="49" t="s">
        <v>1243</v>
      </c>
      <c r="E144" s="48" t="s">
        <v>65</v>
      </c>
      <c r="F144" s="50">
        <v>9.01</v>
      </c>
      <c r="G144" s="32">
        <f>IF(B144="高三",IF($E144="男",LOOKUP(F144,[1]对照表!$G$3:$G$24,[1]对照表!$H$3:$H$24),LOOKUP(F144,[1]对照表!$G$27:$G$48,[1]对照表!$H$27:$H$48)),IF(B144="高二",IF($E144="男",LOOKUP(F144,[1]对照表!$F$3:$F$24,[1]对照表!$H$3:$H$24),LOOKUP(F144,[1]对照表!$F$27:$F$48,[1]对照表!$H$27:$H$48)),IF(B144="高一",IF($E144="男",LOOKUP(F144,[1]对照表!$E$3:$E$24,[1]对照表!$H$3:$H$24),LOOKUP(F144,[1]对照表!$E$27:$E$48,[1]对照表!$H$27:$H$48)))))</f>
        <v>74</v>
      </c>
      <c r="H144" s="38">
        <v>13</v>
      </c>
      <c r="I144" s="32">
        <f>IF(B144="高三",IF($E144="男",LOOKUP(H144,[1]对照表!$K$3:$K$24,[1]对照表!$L$3:$L$24),LOOKUP(H144,[1]对照表!$K$27:$K$48,[1]对照表!$L$27:$L$48)),IF(B144="高二",IF($E144="男",LOOKUP(H144,[1]对照表!$J$3:$J$24,[1]对照表!$L$3:$L$24),LOOKUP(H144,[1]对照表!$J$27:$J$48,[1]对照表!$L$27:$L$48)),IF(B144="高一",IF($E144="男",LOOKUP(H144,[1]对照表!$I$3:$I$24,[1]对照表!$L$3:$L$24),LOOKUP(H144,[1]对照表!$I$27:$I$48,[1]对照表!$L$27:$L$48)))))</f>
        <v>72</v>
      </c>
      <c r="J144" s="38">
        <v>180</v>
      </c>
      <c r="K144" s="32">
        <f>IF(B144="高三",IF($E144="男",LOOKUP(J144,[1]对照表!$O$3:$O$24,[1]对照表!$P$3:$P$24),LOOKUP(J144,[1]对照表!$O$27:$O$48,[1]对照表!$P$27:$P$48)),IF(B144="高二",IF($E144="男",LOOKUP(J144,[1]对照表!$N$3:$N$24,[1]对照表!$P$3:$P$24),LOOKUP(J144,[1]对照表!$N$27:$N$48,[1]对照表!$P$27:$P$48)),IF(B144="高一",IF($E144="男",LOOKUP(J144,[1]对照表!$M$3:$M$24,[1]对照表!$P$3:$P$24),LOOKUP(J144,[1]对照表!$M$27:$M$48,[1]对照表!$P$27:$P$48)))))</f>
        <v>80</v>
      </c>
      <c r="L144" s="38">
        <v>42</v>
      </c>
      <c r="M144" s="32">
        <f>IF(B144="高三",IF($E144="男",LOOKUP(L144,[1]对照表!$S$3:$S$24,[1]对照表!$T$3:$T$24),LOOKUP(L144,[1]对照表!$S$27:$S$48,[1]对照表!$T$27:$T$48)),IF(B144="高二",IF($E144="男",LOOKUP(L144,[1]对照表!$R$3:$R$24,[1]对照表!$T$3:$T$24),LOOKUP(L144,[1]对照表!$R$27:$R$48,[1]对照表!$T$27:$T$48)),IF(B144="高一",IF($E144="男",LOOKUP(L144,[1]对照表!$Q$3:$Q$24,[1]对照表!$T$3:$T$24),LOOKUP(L144,[1]对照表!$Q$27:$Q$48,[1]对照表!$T$27:$T$48)))))</f>
        <v>78</v>
      </c>
      <c r="N144" s="33">
        <f>IF(B144="高三",MAX(IF(E144="男",L144-18,L144-55),0),IF(B144="高二",MAX(IF(E144="男",L144-17,L144-54),0),IF(B144="高一",MAX(IF(E144="男",L144-16,L144-53),0))))</f>
        <v>0</v>
      </c>
      <c r="O144" s="23">
        <f>IF(E144="男",LOOKUP($N144,[1]对照表!$Z$3:$Z$13,[1]对照表!$AA$3:$AA$13),LOOKUP($N144,[1]对照表!$Z$15:$Z$25,[1]对照表!$AA$15:$AA$25))</f>
        <v>0</v>
      </c>
      <c r="P144" s="25">
        <f>M144+O144</f>
        <v>78</v>
      </c>
      <c r="Q144" s="50">
        <v>4.32</v>
      </c>
      <c r="R144" s="32">
        <f>IF(B144="高三",IF($E144="男",LOOKUP(Q144,[1]对照表!$W$3:$W$24,[1]对照表!$X$3:$X$24),LOOKUP(Q144,[1]对照表!$W$27:$W$48,[1]对照表!$X$27:$X$48)),IF(B144="高二",IF($E144="男",LOOKUP(Q144,[1]对照表!$V$3:$V$24,[1]对照表!$X$3:$X$24),LOOKUP(Q144,[1]对照表!$V$27:$V$48,[1]对照表!$X$27:$X$48)),IF(B144="高一",IF($E144="男",LOOKUP(Q144,[1]对照表!$U$3:$U$24,[1]对照表!$X$3:$X$24),LOOKUP(Q144,[1]对照表!$U$27:$U$48,[1]对照表!$X$27:$X$48)))))</f>
        <v>62</v>
      </c>
      <c r="S144" s="33">
        <f>ROUND(IF(IF($B144="高三",MIN(IF($E144="男",$Q144-3.2,$Q144-3.2),0),IF($B144="高二",MIN(IF($E144="男",$Q144-3.25,$Q144-3.22),0),IF($B144="高一",MIN(IF($E144="男",$Q144-3.3,$Q144-3.24),0))))&lt;-0.6,IF($B144="高三",MIN(IF($E144="男",$Q144-3.2,$Q144-3.2),0),IF($B144="高二",MIN(IF($E144="男",$Q144-3.25,$Q144-3.22),0),IF($B144="高一",MIN(IF($E144="男",$Q144-3.3,$Q144-3.24),0))))+0.4,IF($B144="高三",MIN(IF($E144="男",$Q144-3.2,$Q144-3.2),0),IF($B144="高二",MIN(IF($E144="男",$Q144-3.25,$Q144-3.22),0),IF($B144="高一",MIN(IF($E144="男",$Q144-3.3,$Q144-3.24),0))))),2)</f>
        <v>0</v>
      </c>
      <c r="T144" s="23">
        <f>IF(E144="男",LOOKUP($S144,[1]对照表!$AB$3:$AB$13,[1]对照表!$AC$3:$AC$13),LOOKUP($S144,[1]对照表!$AB$15:$AB$25,[1]对照表!$AC$15:$AC$25))</f>
        <v>0</v>
      </c>
      <c r="U144" s="26">
        <f>R144+T144</f>
        <v>62</v>
      </c>
      <c r="V144" s="26">
        <f>SUM(I144,K144,M144)/3*0.3+SUM(G144,R144)/2*0.4</f>
        <v>50.2</v>
      </c>
      <c r="W144" s="27">
        <f>O144+T144</f>
        <v>0</v>
      </c>
      <c r="X144" s="28">
        <f>V144/0.7+W144</f>
        <v>71.714285714285722</v>
      </c>
      <c r="Y144" s="28">
        <f>X144</f>
        <v>71.714285714285722</v>
      </c>
      <c r="Z144" s="38"/>
    </row>
    <row r="145" spans="1:26" ht="15.6" x14ac:dyDescent="0.25">
      <c r="A145" s="48">
        <v>6</v>
      </c>
      <c r="B145" s="17" t="s">
        <v>767</v>
      </c>
      <c r="C145" s="48">
        <v>203</v>
      </c>
      <c r="D145" s="49" t="s">
        <v>1246</v>
      </c>
      <c r="E145" s="49" t="s">
        <v>23</v>
      </c>
      <c r="F145" s="50">
        <v>7</v>
      </c>
      <c r="G145" s="32">
        <f>IF(B145="高三",IF($E145="男",LOOKUP(F145,[1]对照表!$G$3:$G$24,[1]对照表!$H$3:$H$24),LOOKUP(F145,[1]对照表!$G$27:$G$48,[1]对照表!$H$27:$H$48)),IF(B145="高二",IF($E145="男",LOOKUP(F145,[1]对照表!$F$3:$F$24,[1]对照表!$H$3:$H$24),LOOKUP(F145,[1]对照表!$F$27:$F$48,[1]对照表!$H$27:$H$48)),IF(B145="高一",IF($E145="男",LOOKUP(F145,[1]对照表!$E$3:$E$24,[1]对照表!$H$3:$H$24),LOOKUP(F145,[1]对照表!$E$27:$E$48,[1]对照表!$H$27:$H$48)))))</f>
        <v>100</v>
      </c>
      <c r="H145" s="38">
        <v>23</v>
      </c>
      <c r="I145" s="32">
        <f>IF(B145="高三",IF($E145="男",LOOKUP(H145,[1]对照表!$K$3:$K$24,[1]对照表!$L$3:$L$24),LOOKUP(H145,[1]对照表!$K$27:$K$48,[1]对照表!$L$27:$L$48)),IF(B145="高二",IF($E145="男",LOOKUP(H145,[1]对照表!$J$3:$J$24,[1]对照表!$L$3:$L$24),LOOKUP(H145,[1]对照表!$J$27:$J$48,[1]对照表!$L$27:$L$48)),IF(B145="高一",IF($E145="男",LOOKUP(H145,[1]对照表!$I$3:$I$24,[1]对照表!$L$3:$L$24),LOOKUP(H145,[1]对照表!$I$27:$I$48,[1]对照表!$L$27:$L$48)))))</f>
        <v>95</v>
      </c>
      <c r="J145" s="38">
        <v>255</v>
      </c>
      <c r="K145" s="32">
        <f>IF(B145="高三",IF($E145="男",LOOKUP(J145,[1]对照表!$O$3:$O$24,[1]对照表!$P$3:$P$24),LOOKUP(J145,[1]对照表!$O$27:$O$48,[1]对照表!$P$27:$P$48)),IF(B145="高二",IF($E145="男",LOOKUP(J145,[1]对照表!$N$3:$N$24,[1]对照表!$P$3:$P$24),LOOKUP(J145,[1]对照表!$N$27:$N$48,[1]对照表!$P$27:$P$48)),IF(B145="高一",IF($E145="男",LOOKUP(J145,[1]对照表!$M$3:$M$24,[1]对照表!$P$3:$P$24),LOOKUP(J145,[1]对照表!$M$27:$M$48,[1]对照表!$P$27:$P$48)))))</f>
        <v>90</v>
      </c>
      <c r="L145" s="38">
        <v>3</v>
      </c>
      <c r="M145" s="32">
        <f>IF(B145="高三",IF($E145="男",LOOKUP(L145,[1]对照表!$S$3:$S$24,[1]对照表!$T$3:$T$24),LOOKUP(L145,[1]对照表!$S$27:$S$48,[1]对照表!$T$27:$T$48)),IF(B145="高二",IF($E145="男",LOOKUP(L145,[1]对照表!$R$3:$R$24,[1]对照表!$T$3:$T$24),LOOKUP(L145,[1]对照表!$R$27:$R$48,[1]对照表!$T$27:$T$48)),IF(B145="高一",IF($E145="男",LOOKUP(L145,[1]对照表!$Q$3:$Q$24,[1]对照表!$T$3:$T$24),LOOKUP(L145,[1]对照表!$Q$27:$Q$48,[1]对照表!$T$27:$T$48)))))</f>
        <v>10</v>
      </c>
      <c r="N145" s="33">
        <f>IF(B145="高三",MAX(IF(E145="男",L145-18,L145-55),0),IF(B145="高二",MAX(IF(E145="男",L145-17,L145-54),0),IF(B145="高一",MAX(IF(E145="男",L145-16,L145-53),0))))</f>
        <v>0</v>
      </c>
      <c r="O145" s="23">
        <f>IF(E145="男",LOOKUP($N145,[1]对照表!$Z$3:$Z$13,[1]对照表!$AA$3:$AA$13),LOOKUP($N145,[1]对照表!$Z$15:$Z$25,[1]对照表!$AA$15:$AA$25))</f>
        <v>0</v>
      </c>
      <c r="P145" s="25">
        <f>M145+O145</f>
        <v>10</v>
      </c>
      <c r="Q145" s="50">
        <v>3.55</v>
      </c>
      <c r="R145" s="32">
        <f>IF(B145="高三",IF($E145="男",LOOKUP(Q145,[1]对照表!$W$3:$W$24,[1]对照表!$X$3:$X$24),LOOKUP(Q145,[1]对照表!$W$27:$W$48,[1]对照表!$X$27:$X$48)),IF(B145="高二",IF($E145="男",LOOKUP(Q145,[1]对照表!$V$3:$V$24,[1]对照表!$X$3:$X$24),LOOKUP(Q145,[1]对照表!$V$27:$V$48,[1]对照表!$X$27:$X$48)),IF(B145="高一",IF($E145="男",LOOKUP(Q145,[1]对照表!$U$3:$U$24,[1]对照表!$X$3:$X$24),LOOKUP(Q145,[1]对照表!$U$27:$U$48,[1]对照表!$X$27:$X$48)))))</f>
        <v>78</v>
      </c>
      <c r="S145" s="33">
        <f>ROUND(IF(IF($B145="高三",MIN(IF($E145="男",$Q145-3.2,$Q145-3.2),0),IF($B145="高二",MIN(IF($E145="男",$Q145-3.25,$Q145-3.22),0),IF($B145="高一",MIN(IF($E145="男",$Q145-3.3,$Q145-3.24),0))))&lt;-0.6,IF($B145="高三",MIN(IF($E145="男",$Q145-3.2,$Q145-3.2),0),IF($B145="高二",MIN(IF($E145="男",$Q145-3.25,$Q145-3.22),0),IF($B145="高一",MIN(IF($E145="男",$Q145-3.3,$Q145-3.24),0))))+0.4,IF($B145="高三",MIN(IF($E145="男",$Q145-3.2,$Q145-3.2),0),IF($B145="高二",MIN(IF($E145="男",$Q145-3.25,$Q145-3.22),0),IF($B145="高一",MIN(IF($E145="男",$Q145-3.3,$Q145-3.24),0))))),2)</f>
        <v>0</v>
      </c>
      <c r="T145" s="23">
        <f>IF(E145="男",LOOKUP($S145,[1]对照表!$AB$3:$AB$13,[1]对照表!$AC$3:$AC$13),LOOKUP($S145,[1]对照表!$AB$15:$AB$25,[1]对照表!$AC$15:$AC$25))</f>
        <v>0</v>
      </c>
      <c r="U145" s="26">
        <f>R145+T145</f>
        <v>78</v>
      </c>
      <c r="V145" s="26">
        <f>SUM(I145,K145,M145)/3*0.3+SUM(G145,R145)/2*0.4</f>
        <v>55.1</v>
      </c>
      <c r="W145" s="27">
        <f>O145+T145</f>
        <v>0</v>
      </c>
      <c r="X145" s="28">
        <f>V145/0.7+W145</f>
        <v>78.714285714285722</v>
      </c>
      <c r="Y145" s="28">
        <f>X145</f>
        <v>78.714285714285722</v>
      </c>
      <c r="Z145" s="38"/>
    </row>
    <row r="146" spans="1:26" ht="15.6" x14ac:dyDescent="0.25">
      <c r="A146" s="48">
        <v>27</v>
      </c>
      <c r="B146" s="17" t="s">
        <v>767</v>
      </c>
      <c r="C146" s="48">
        <v>203</v>
      </c>
      <c r="D146" s="49" t="s">
        <v>1303</v>
      </c>
      <c r="E146" s="48" t="s">
        <v>65</v>
      </c>
      <c r="F146" s="50">
        <v>10.71</v>
      </c>
      <c r="G146" s="32">
        <f>IF(B146="高三",IF($E146="男",LOOKUP(F146,[1]对照表!$G$3:$G$24,[1]对照表!$H$3:$H$24),LOOKUP(F146,[1]对照表!$G$27:$G$48,[1]对照表!$H$27:$H$48)),IF(B146="高二",IF($E146="男",LOOKUP(F146,[1]对照表!$F$3:$F$24,[1]对照表!$H$3:$H$24),LOOKUP(F146,[1]对照表!$F$27:$F$48,[1]对照表!$H$27:$H$48)),IF(B146="高一",IF($E146="男",LOOKUP(F146,[1]对照表!$E$3:$E$24,[1]对照表!$H$3:$H$24),LOOKUP(F146,[1]对照表!$E$27:$E$48,[1]对照表!$H$27:$H$48)))))</f>
        <v>40</v>
      </c>
      <c r="H146" s="38">
        <v>22.5</v>
      </c>
      <c r="I146" s="32">
        <f>IF(B146="高三",IF($E146="男",LOOKUP(H146,[1]对照表!$K$3:$K$24,[1]对照表!$L$3:$L$24),LOOKUP(H146,[1]对照表!$K$27:$K$48,[1]对照表!$L$27:$L$48)),IF(B146="高二",IF($E146="男",LOOKUP(H146,[1]对照表!$J$3:$J$24,[1]对照表!$L$3:$L$24),LOOKUP(H146,[1]对照表!$J$27:$J$48,[1]对照表!$L$27:$L$48)),IF(B146="高一",IF($E146="男",LOOKUP(H146,[1]对照表!$I$3:$I$24,[1]对照表!$L$3:$L$24),LOOKUP(H146,[1]对照表!$I$27:$I$48,[1]对照表!$L$27:$L$48)))))</f>
        <v>90</v>
      </c>
      <c r="J146" s="38">
        <v>152</v>
      </c>
      <c r="K146" s="32">
        <f>IF(B146="高三",IF($E146="男",LOOKUP(J146,[1]对照表!$O$3:$O$24,[1]对照表!$P$3:$P$24),LOOKUP(J146,[1]对照表!$O$27:$O$48,[1]对照表!$P$27:$P$48)),IF(B146="高二",IF($E146="男",LOOKUP(J146,[1]对照表!$N$3:$N$24,[1]对照表!$P$3:$P$24),LOOKUP(J146,[1]对照表!$N$27:$N$48,[1]对照表!$P$27:$P$48)),IF(B146="高一",IF($E146="男",LOOKUP(J146,[1]对照表!$M$3:$M$24,[1]对照表!$P$3:$P$24),LOOKUP(J146,[1]对照表!$M$27:$M$48,[1]对照表!$P$27:$P$48)))))</f>
        <v>62</v>
      </c>
      <c r="L146" s="38">
        <v>46</v>
      </c>
      <c r="M146" s="32">
        <f>IF(B146="高三",IF($E146="男",LOOKUP(L146,[1]对照表!$S$3:$S$24,[1]对照表!$T$3:$T$24),LOOKUP(L146,[1]对照表!$S$27:$S$48,[1]对照表!$T$27:$T$48)),IF(B146="高二",IF($E146="男",LOOKUP(L146,[1]对照表!$R$3:$R$24,[1]对照表!$T$3:$T$24),LOOKUP(L146,[1]对照表!$R$27:$R$48,[1]对照表!$T$27:$T$48)),IF(B146="高一",IF($E146="男",LOOKUP(L146,[1]对照表!$Q$3:$Q$24,[1]对照表!$T$3:$T$24),LOOKUP(L146,[1]对照表!$Q$27:$Q$48,[1]对照表!$T$27:$T$48)))))</f>
        <v>80</v>
      </c>
      <c r="N146" s="33">
        <f>IF(B146="高三",MAX(IF(E146="男",L146-18,L146-55),0),IF(B146="高二",MAX(IF(E146="男",L146-17,L146-54),0),IF(B146="高一",MAX(IF(E146="男",L146-16,L146-53),0))))</f>
        <v>0</v>
      </c>
      <c r="O146" s="23">
        <f>IF(E146="男",LOOKUP($N146,[1]对照表!$Z$3:$Z$13,[1]对照表!$AA$3:$AA$13),LOOKUP($N146,[1]对照表!$Z$15:$Z$25,[1]对照表!$AA$15:$AA$25))</f>
        <v>0</v>
      </c>
      <c r="P146" s="25">
        <f>M146+O146</f>
        <v>80</v>
      </c>
      <c r="Q146" s="50">
        <v>4.28</v>
      </c>
      <c r="R146" s="32">
        <f>IF(B146="高三",IF($E146="男",LOOKUP(Q146,[1]对照表!$W$3:$W$24,[1]对照表!$X$3:$X$24),LOOKUP(Q146,[1]对照表!$W$27:$W$48,[1]对照表!$X$27:$X$48)),IF(B146="高二",IF($E146="男",LOOKUP(Q146,[1]对照表!$V$3:$V$24,[1]对照表!$X$3:$X$24),LOOKUP(Q146,[1]对照表!$V$27:$V$48,[1]对照表!$X$27:$X$48)),IF(B146="高一",IF($E146="男",LOOKUP(Q146,[1]对照表!$U$3:$U$24,[1]对照表!$X$3:$X$24),LOOKUP(Q146,[1]对照表!$U$27:$U$48,[1]对照表!$X$27:$X$48)))))</f>
        <v>64</v>
      </c>
      <c r="S146" s="33">
        <f>ROUND(IF(IF($B146="高三",MIN(IF($E146="男",$Q146-3.2,$Q146-3.2),0),IF($B146="高二",MIN(IF($E146="男",$Q146-3.25,$Q146-3.22),0),IF($B146="高一",MIN(IF($E146="男",$Q146-3.3,$Q146-3.24),0))))&lt;-0.6,IF($B146="高三",MIN(IF($E146="男",$Q146-3.2,$Q146-3.2),0),IF($B146="高二",MIN(IF($E146="男",$Q146-3.25,$Q146-3.22),0),IF($B146="高一",MIN(IF($E146="男",$Q146-3.3,$Q146-3.24),0))))+0.4,IF($B146="高三",MIN(IF($E146="男",$Q146-3.2,$Q146-3.2),0),IF($B146="高二",MIN(IF($E146="男",$Q146-3.25,$Q146-3.22),0),IF($B146="高一",MIN(IF($E146="男",$Q146-3.3,$Q146-3.24),0))))),2)</f>
        <v>0</v>
      </c>
      <c r="T146" s="23">
        <f>IF(E146="男",LOOKUP($S146,[1]对照表!$AB$3:$AB$13,[1]对照表!$AC$3:$AC$13),LOOKUP($S146,[1]对照表!$AB$15:$AB$25,[1]对照表!$AC$15:$AC$25))</f>
        <v>0</v>
      </c>
      <c r="U146" s="26">
        <f>R146+T146</f>
        <v>64</v>
      </c>
      <c r="V146" s="26">
        <f>SUM(I146,K146,M146)/3*0.3+SUM(G146,R146)/2*0.4</f>
        <v>44</v>
      </c>
      <c r="W146" s="27">
        <f>O146+T146</f>
        <v>0</v>
      </c>
      <c r="X146" s="28">
        <f>V146/0.7+W146</f>
        <v>62.857142857142861</v>
      </c>
      <c r="Y146" s="28">
        <f>X146</f>
        <v>62.857142857142861</v>
      </c>
      <c r="Z146" s="38"/>
    </row>
    <row r="147" spans="1:26" ht="15.6" x14ac:dyDescent="0.25">
      <c r="A147" s="48">
        <v>30</v>
      </c>
      <c r="B147" s="17" t="s">
        <v>767</v>
      </c>
      <c r="C147" s="48">
        <v>203</v>
      </c>
      <c r="D147" s="49" t="s">
        <v>1305</v>
      </c>
      <c r="E147" s="48" t="s">
        <v>65</v>
      </c>
      <c r="F147" s="50">
        <v>8.57</v>
      </c>
      <c r="G147" s="32">
        <f>IF(B147="高三",IF($E147="男",LOOKUP(F147,[1]对照表!$G$3:$G$24,[1]对照表!$H$3:$H$24),LOOKUP(F147,[1]对照表!$G$27:$G$48,[1]对照表!$H$27:$H$48)),IF(B147="高二",IF($E147="男",LOOKUP(F147,[1]对照表!$F$3:$F$24,[1]对照表!$H$3:$H$24),LOOKUP(F147,[1]对照表!$F$27:$F$48,[1]对照表!$H$27:$H$48)),IF(B147="高一",IF($E147="男",LOOKUP(F147,[1]对照表!$E$3:$E$24,[1]对照表!$H$3:$H$24),LOOKUP(F147,[1]对照表!$E$27:$E$48,[1]对照表!$H$27:$H$48)))))</f>
        <v>78</v>
      </c>
      <c r="H147" s="38">
        <v>10.3</v>
      </c>
      <c r="I147" s="32">
        <f>IF(B147="高三",IF($E147="男",LOOKUP(H147,[1]对照表!$K$3:$K$24,[1]对照表!$L$3:$L$24),LOOKUP(H147,[1]对照表!$K$27:$K$48,[1]对照表!$L$27:$L$48)),IF(B147="高二",IF($E147="男",LOOKUP(H147,[1]对照表!$J$3:$J$24,[1]对照表!$L$3:$L$24),LOOKUP(H147,[1]对照表!$J$27:$J$48,[1]对照表!$L$27:$L$48)),IF(B147="高一",IF($E147="男",LOOKUP(H147,[1]对照表!$I$3:$I$24,[1]对照表!$L$3:$L$24),LOOKUP(H147,[1]对照表!$I$27:$I$48,[1]对照表!$L$27:$L$48)))))</f>
        <v>68</v>
      </c>
      <c r="J147" s="38">
        <v>177</v>
      </c>
      <c r="K147" s="32">
        <f>IF(B147="高三",IF($E147="男",LOOKUP(J147,[1]对照表!$O$3:$O$24,[1]对照表!$P$3:$P$24),LOOKUP(J147,[1]对照表!$O$27:$O$48,[1]对照表!$P$27:$P$48)),IF(B147="高二",IF($E147="男",LOOKUP(J147,[1]对照表!$N$3:$N$24,[1]对照表!$P$3:$P$24),LOOKUP(J147,[1]对照表!$N$27:$N$48,[1]对照表!$P$27:$P$48)),IF(B147="高一",IF($E147="男",LOOKUP(J147,[1]对照表!$M$3:$M$24,[1]对照表!$P$3:$P$24),LOOKUP(J147,[1]对照表!$M$27:$M$48,[1]对照表!$P$27:$P$48)))))</f>
        <v>78</v>
      </c>
      <c r="L147" s="38">
        <v>62</v>
      </c>
      <c r="M147" s="32">
        <f>IF(B147="高三",IF($E147="男",LOOKUP(L147,[1]对照表!$S$3:$S$24,[1]对照表!$T$3:$T$24),LOOKUP(L147,[1]对照表!$S$27:$S$48,[1]对照表!$T$27:$T$48)),IF(B147="高二",IF($E147="男",LOOKUP(L147,[1]对照表!$R$3:$R$24,[1]对照表!$T$3:$T$24),LOOKUP(L147,[1]对照表!$R$27:$R$48,[1]对照表!$T$27:$T$48)),IF(B147="高一",IF($E147="男",LOOKUP(L147,[1]对照表!$Q$3:$Q$24,[1]对照表!$T$3:$T$24),LOOKUP(L147,[1]对照表!$Q$27:$Q$48,[1]对照表!$T$27:$T$48)))))</f>
        <v>100</v>
      </c>
      <c r="N147" s="33">
        <f>IF(B147="高三",MAX(IF(E147="男",L147-18,L147-55),0),IF(B147="高二",MAX(IF(E147="男",L147-17,L147-54),0),IF(B147="高一",MAX(IF(E147="男",L147-16,L147-53),0))))</f>
        <v>8</v>
      </c>
      <c r="O147" s="23">
        <f>IF(E147="男",LOOKUP($N147,[1]对照表!$Z$3:$Z$13,[1]对照表!$AA$3:$AA$13),LOOKUP($N147,[1]对照表!$Z$15:$Z$25,[1]对照表!$AA$15:$AA$25))</f>
        <v>5</v>
      </c>
      <c r="P147" s="25">
        <f>M147+O147</f>
        <v>105</v>
      </c>
      <c r="Q147" s="50" t="s">
        <v>578</v>
      </c>
      <c r="R147" s="32" t="str">
        <f>IF(B147="高三",IF($E147="男",LOOKUP(Q147,[1]对照表!$W$3:$W$24,[1]对照表!$X$3:$X$24),LOOKUP(Q147,[1]对照表!$W$27:$W$48,[1]对照表!$X$27:$X$48)),IF(B147="高二",IF($E147="男",LOOKUP(Q147,[1]对照表!$V$3:$V$24,[1]对照表!$X$3:$X$24),LOOKUP(Q147,[1]对照表!$V$27:$V$48,[1]对照表!$X$27:$X$48)),IF(B147="高一",IF($E147="男",LOOKUP(Q147,[1]对照表!$U$3:$U$24,[1]对照表!$X$3:$X$24),LOOKUP(Q147,[1]对照表!$U$27:$U$48,[1]对照表!$X$27:$X$48)))))</f>
        <v>/</v>
      </c>
      <c r="S147" s="33">
        <v>0</v>
      </c>
      <c r="T147" s="23">
        <f>IF(E147="男",LOOKUP($S147,[1]对照表!$AB$3:$AB$13,[1]对照表!$AC$3:$AC$13),LOOKUP($S147,[1]对照表!$AB$15:$AB$25,[1]对照表!$AC$15:$AC$25))</f>
        <v>0</v>
      </c>
      <c r="U147" s="26">
        <v>0</v>
      </c>
      <c r="V147" s="26">
        <f>SUM(I147,K147,M147)/3*0.3+SUM(G147,R147)/2*0.4</f>
        <v>40.200000000000003</v>
      </c>
      <c r="W147" s="27">
        <f>O147+T147</f>
        <v>5</v>
      </c>
      <c r="X147" s="28">
        <f>V147/0.7+W147</f>
        <v>62.428571428571438</v>
      </c>
      <c r="Y147" s="28">
        <f>X147</f>
        <v>62.428571428571438</v>
      </c>
      <c r="Z147" s="38"/>
    </row>
    <row r="148" spans="1:26" ht="15.6" x14ac:dyDescent="0.25">
      <c r="A148" s="48">
        <v>41</v>
      </c>
      <c r="B148" s="17" t="s">
        <v>767</v>
      </c>
      <c r="C148" s="38">
        <v>203</v>
      </c>
      <c r="D148" s="49" t="s">
        <v>1307</v>
      </c>
      <c r="E148" s="38" t="s">
        <v>65</v>
      </c>
      <c r="F148" s="50">
        <v>8.94</v>
      </c>
      <c r="G148" s="32">
        <f>IF(B148="高三",IF($E148="男",LOOKUP(F148,[1]对照表!$G$3:$G$24,[1]对照表!$H$3:$H$24),LOOKUP(F148,[1]对照表!$G$27:$G$48,[1]对照表!$H$27:$H$48)),IF(B148="高二",IF($E148="男",LOOKUP(F148,[1]对照表!$F$3:$F$24,[1]对照表!$H$3:$H$24),LOOKUP(F148,[1]对照表!$F$27:$F$48,[1]对照表!$H$27:$H$48)),IF(B148="高一",IF($E148="男",LOOKUP(F148,[1]对照表!$E$3:$E$24,[1]对照表!$H$3:$H$24),LOOKUP(F148,[1]对照表!$E$27:$E$48,[1]对照表!$H$27:$H$48)))))</f>
        <v>74</v>
      </c>
      <c r="H148" s="38">
        <v>22</v>
      </c>
      <c r="I148" s="32">
        <f>IF(B148="高三",IF($E148="男",LOOKUP(H148,[1]对照表!$K$3:$K$24,[1]对照表!$L$3:$L$24),LOOKUP(H148,[1]对照表!$K$27:$K$48,[1]对照表!$L$27:$L$48)),IF(B148="高二",IF($E148="男",LOOKUP(H148,[1]对照表!$J$3:$J$24,[1]对照表!$L$3:$L$24),LOOKUP(H148,[1]对照表!$J$27:$J$48,[1]对照表!$L$27:$L$48)),IF(B148="高一",IF($E148="男",LOOKUP(H148,[1]对照表!$I$3:$I$24,[1]对照表!$L$3:$L$24),LOOKUP(H148,[1]对照表!$I$27:$I$48,[1]对照表!$L$27:$L$48)))))</f>
        <v>90</v>
      </c>
      <c r="J148" s="38">
        <v>186</v>
      </c>
      <c r="K148" s="32">
        <f>IF(B148="高三",IF($E148="男",LOOKUP(J148,[1]对照表!$O$3:$O$24,[1]对照表!$P$3:$P$24),LOOKUP(J148,[1]对照表!$O$27:$O$48,[1]对照表!$P$27:$P$48)),IF(B148="高二",IF($E148="男",LOOKUP(J148,[1]对照表!$N$3:$N$24,[1]对照表!$P$3:$P$24),LOOKUP(J148,[1]对照表!$N$27:$N$48,[1]对照表!$P$27:$P$48)),IF(B148="高一",IF($E148="男",LOOKUP(J148,[1]对照表!$M$3:$M$24,[1]对照表!$P$3:$P$24),LOOKUP(J148,[1]对照表!$M$27:$M$48,[1]对照表!$P$27:$P$48)))))</f>
        <v>85</v>
      </c>
      <c r="L148" s="38">
        <v>59</v>
      </c>
      <c r="M148" s="32">
        <f>IF(B148="高三",IF($E148="男",LOOKUP(L148,[1]对照表!$S$3:$S$24,[1]对照表!$T$3:$T$24),LOOKUP(L148,[1]对照表!$S$27:$S$48,[1]对照表!$T$27:$T$48)),IF(B148="高二",IF($E148="男",LOOKUP(L148,[1]对照表!$R$3:$R$24,[1]对照表!$T$3:$T$24),LOOKUP(L148,[1]对照表!$R$27:$R$48,[1]对照表!$T$27:$T$48)),IF(B148="高一",IF($E148="男",LOOKUP(L148,[1]对照表!$Q$3:$Q$24,[1]对照表!$T$3:$T$24),LOOKUP(L148,[1]对照表!$Q$27:$Q$48,[1]对照表!$T$27:$T$48)))))</f>
        <v>100</v>
      </c>
      <c r="N148" s="33">
        <f>IF(B148="高三",MAX(IF(E148="男",L148-18,L148-55),0),IF(B148="高二",MAX(IF(E148="男",L148-17,L148-54),0),IF(B148="高一",MAX(IF(E148="男",L148-16,L148-53),0))))</f>
        <v>5</v>
      </c>
      <c r="O148" s="23">
        <f>IF(E148="男",LOOKUP($N148,[1]对照表!$Z$3:$Z$13,[1]对照表!$AA$3:$AA$13),LOOKUP($N148,[1]对照表!$Z$15:$Z$25,[1]对照表!$AA$15:$AA$25))</f>
        <v>2</v>
      </c>
      <c r="P148" s="25">
        <f>M148+O148</f>
        <v>102</v>
      </c>
      <c r="Q148" s="50" t="s">
        <v>578</v>
      </c>
      <c r="R148" s="32" t="str">
        <f>IF(B148="高三",IF($E148="男",LOOKUP(Q148,[1]对照表!$W$3:$W$24,[1]对照表!$X$3:$X$24),LOOKUP(Q148,[1]对照表!$W$27:$W$48,[1]对照表!$X$27:$X$48)),IF(B148="高二",IF($E148="男",LOOKUP(Q148,[1]对照表!$V$3:$V$24,[1]对照表!$X$3:$X$24),LOOKUP(Q148,[1]对照表!$V$27:$V$48,[1]对照表!$X$27:$X$48)),IF(B148="高一",IF($E148="男",LOOKUP(Q148,[1]对照表!$U$3:$U$24,[1]对照表!$X$3:$X$24),LOOKUP(Q148,[1]对照表!$U$27:$U$48,[1]对照表!$X$27:$X$48)))))</f>
        <v>/</v>
      </c>
      <c r="S148" s="33">
        <v>0</v>
      </c>
      <c r="T148" s="23">
        <f>IF(E148="男",LOOKUP($S148,[1]对照表!$AB$3:$AB$13,[1]对照表!$AC$3:$AC$13),LOOKUP($S148,[1]对照表!$AB$15:$AB$25,[1]对照表!$AC$15:$AC$25))</f>
        <v>0</v>
      </c>
      <c r="U148" s="26">
        <v>0</v>
      </c>
      <c r="V148" s="26">
        <f>SUM(I148,K148,M148)/3*0.3+SUM(G148,R148)/2*0.4</f>
        <v>42.3</v>
      </c>
      <c r="W148" s="27">
        <f>O148+T148</f>
        <v>2</v>
      </c>
      <c r="X148" s="28">
        <f>V148/0.7+W148</f>
        <v>62.428571428571431</v>
      </c>
      <c r="Y148" s="28">
        <f>X148</f>
        <v>62.428571428571431</v>
      </c>
      <c r="Z148" s="38"/>
    </row>
    <row r="149" spans="1:26" ht="15.6" x14ac:dyDescent="0.25">
      <c r="A149" s="48">
        <v>38</v>
      </c>
      <c r="B149" s="17" t="s">
        <v>767</v>
      </c>
      <c r="C149" s="48">
        <v>203</v>
      </c>
      <c r="D149" s="49" t="s">
        <v>1310</v>
      </c>
      <c r="E149" s="48" t="s">
        <v>65</v>
      </c>
      <c r="F149" s="50">
        <v>9.11</v>
      </c>
      <c r="G149" s="32">
        <f>IF(B149="高三",IF($E149="男",LOOKUP(F149,[1]对照表!$G$3:$G$24,[1]对照表!$H$3:$H$24),LOOKUP(F149,[1]对照表!$G$27:$G$48,[1]对照表!$H$27:$H$48)),IF(B149="高二",IF($E149="男",LOOKUP(F149,[1]对照表!$F$3:$F$24,[1]对照表!$H$3:$H$24),LOOKUP(F149,[1]对照表!$F$27:$F$48,[1]对照表!$H$27:$H$48)),IF(B149="高一",IF($E149="男",LOOKUP(F149,[1]对照表!$E$3:$E$24,[1]对照表!$H$3:$H$24),LOOKUP(F149,[1]对照表!$E$27:$E$48,[1]对照表!$H$27:$H$48)))))</f>
        <v>72</v>
      </c>
      <c r="H149" s="38">
        <v>25</v>
      </c>
      <c r="I149" s="32">
        <f>IF(B149="高三",IF($E149="男",LOOKUP(H149,[1]对照表!$K$3:$K$24,[1]对照表!$L$3:$L$24),LOOKUP(H149,[1]对照表!$K$27:$K$48,[1]对照表!$L$27:$L$48)),IF(B149="高二",IF($E149="男",LOOKUP(H149,[1]对照表!$J$3:$J$24,[1]对照表!$L$3:$L$24),LOOKUP(H149,[1]对照表!$J$27:$J$48,[1]对照表!$L$27:$L$48)),IF(B149="高一",IF($E149="男",LOOKUP(H149,[1]对照表!$I$3:$I$24,[1]对照表!$L$3:$L$24),LOOKUP(H149,[1]对照表!$I$27:$I$48,[1]对照表!$L$27:$L$48)))))</f>
        <v>100</v>
      </c>
      <c r="J149" s="38">
        <v>184</v>
      </c>
      <c r="K149" s="32">
        <f>IF(B149="高三",IF($E149="男",LOOKUP(J149,[1]对照表!$O$3:$O$24,[1]对照表!$P$3:$P$24),LOOKUP(J149,[1]对照表!$O$27:$O$48,[1]对照表!$P$27:$P$48)),IF(B149="高二",IF($E149="男",LOOKUP(J149,[1]对照表!$N$3:$N$24,[1]对照表!$P$3:$P$24),LOOKUP(J149,[1]对照表!$N$27:$N$48,[1]对照表!$P$27:$P$48)),IF(B149="高一",IF($E149="男",LOOKUP(J149,[1]对照表!$M$3:$M$24,[1]对照表!$P$3:$P$24),LOOKUP(J149,[1]对照表!$M$27:$M$48,[1]对照表!$P$27:$P$48)))))</f>
        <v>80</v>
      </c>
      <c r="L149" s="38">
        <v>56</v>
      </c>
      <c r="M149" s="32">
        <f>IF(B149="高三",IF($E149="男",LOOKUP(L149,[1]对照表!$S$3:$S$24,[1]对照表!$T$3:$T$24),LOOKUP(L149,[1]对照表!$S$27:$S$48,[1]对照表!$T$27:$T$48)),IF(B149="高二",IF($E149="男",LOOKUP(L149,[1]对照表!$R$3:$R$24,[1]对照表!$T$3:$T$24),LOOKUP(L149,[1]对照表!$R$27:$R$48,[1]对照表!$T$27:$T$48)),IF(B149="高一",IF($E149="男",LOOKUP(L149,[1]对照表!$Q$3:$Q$24,[1]对照表!$T$3:$T$24),LOOKUP(L149,[1]对照表!$Q$27:$Q$48,[1]对照表!$T$27:$T$48)))))</f>
        <v>100</v>
      </c>
      <c r="N149" s="33">
        <f>IF(B149="高三",MAX(IF(E149="男",L149-18,L149-55),0),IF(B149="高二",MAX(IF(E149="男",L149-17,L149-54),0),IF(B149="高一",MAX(IF(E149="男",L149-16,L149-53),0))))</f>
        <v>2</v>
      </c>
      <c r="O149" s="23">
        <f>IF(E149="男",LOOKUP($N149,[1]对照表!$Z$3:$Z$13,[1]对照表!$AA$3:$AA$13),LOOKUP($N149,[1]对照表!$Z$15:$Z$25,[1]对照表!$AA$15:$AA$25))</f>
        <v>1</v>
      </c>
      <c r="P149" s="25">
        <f>M149+O149</f>
        <v>101</v>
      </c>
      <c r="Q149" s="50" t="s">
        <v>578</v>
      </c>
      <c r="R149" s="32" t="str">
        <f>IF(B149="高三",IF($E149="男",LOOKUP(Q149,[1]对照表!$W$3:$W$24,[1]对照表!$X$3:$X$24),LOOKUP(Q149,[1]对照表!$W$27:$W$48,[1]对照表!$X$27:$X$48)),IF(B149="高二",IF($E149="男",LOOKUP(Q149,[1]对照表!$V$3:$V$24,[1]对照表!$X$3:$X$24),LOOKUP(Q149,[1]对照表!$V$27:$V$48,[1]对照表!$X$27:$X$48)),IF(B149="高一",IF($E149="男",LOOKUP(Q149,[1]对照表!$U$3:$U$24,[1]对照表!$X$3:$X$24),LOOKUP(Q149,[1]对照表!$U$27:$U$48,[1]对照表!$X$27:$X$48)))))</f>
        <v>/</v>
      </c>
      <c r="S149" s="33">
        <v>0</v>
      </c>
      <c r="T149" s="23">
        <f>IF(E149="男",LOOKUP($S149,[1]对照表!$AB$3:$AB$13,[1]对照表!$AC$3:$AC$13),LOOKUP($S149,[1]对照表!$AB$15:$AB$25,[1]对照表!$AC$15:$AC$25))</f>
        <v>0</v>
      </c>
      <c r="U149" s="26">
        <v>0</v>
      </c>
      <c r="V149" s="26">
        <f>SUM(I149,K149,M149)/3*0.3+SUM(G149,R149)/2*0.4</f>
        <v>42.4</v>
      </c>
      <c r="W149" s="27">
        <f>O149+T149</f>
        <v>1</v>
      </c>
      <c r="X149" s="28">
        <f>V149/0.7+W149</f>
        <v>61.571428571428577</v>
      </c>
      <c r="Y149" s="28">
        <f>X149</f>
        <v>61.571428571428577</v>
      </c>
      <c r="Z149" s="38"/>
    </row>
    <row r="150" spans="1:26" ht="15.6" x14ac:dyDescent="0.25">
      <c r="A150" s="48">
        <v>45</v>
      </c>
      <c r="B150" s="17" t="s">
        <v>767</v>
      </c>
      <c r="C150" s="48">
        <v>203</v>
      </c>
      <c r="D150" s="49" t="s">
        <v>1311</v>
      </c>
      <c r="E150" s="48" t="s">
        <v>65</v>
      </c>
      <c r="F150" s="50">
        <v>9.44</v>
      </c>
      <c r="G150" s="32">
        <f>IF(B150="高三",IF($E150="男",LOOKUP(F150,[1]对照表!$G$3:$G$24,[1]对照表!$H$3:$H$24),LOOKUP(F150,[1]对照表!$G$27:$G$48,[1]对照表!$H$27:$H$48)),IF(B150="高二",IF($E150="男",LOOKUP(F150,[1]对照表!$F$3:$F$24,[1]对照表!$H$3:$H$24),LOOKUP(F150,[1]对照表!$F$27:$F$48,[1]对照表!$H$27:$H$48)),IF(B150="高一",IF($E150="男",LOOKUP(F150,[1]对照表!$E$3:$E$24,[1]对照表!$H$3:$H$24),LOOKUP(F150,[1]对照表!$E$27:$E$48,[1]对照表!$H$27:$H$48)))))</f>
        <v>70</v>
      </c>
      <c r="H150" s="38">
        <v>19</v>
      </c>
      <c r="I150" s="32">
        <f>IF(B150="高三",IF($E150="男",LOOKUP(H150,[1]对照表!$K$3:$K$24,[1]对照表!$L$3:$L$24),LOOKUP(H150,[1]对照表!$K$27:$K$48,[1]对照表!$L$27:$L$48)),IF(B150="高二",IF($E150="男",LOOKUP(H150,[1]对照表!$J$3:$J$24,[1]对照表!$L$3:$L$24),LOOKUP(H150,[1]对照表!$J$27:$J$48,[1]对照表!$L$27:$L$48)),IF(B150="高一",IF($E150="男",LOOKUP(H150,[1]对照表!$I$3:$I$24,[1]对照表!$L$3:$L$24),LOOKUP(H150,[1]对照表!$I$27:$I$48,[1]对照表!$L$27:$L$48)))))</f>
        <v>80</v>
      </c>
      <c r="J150" s="38">
        <v>140</v>
      </c>
      <c r="K150" s="32">
        <f>IF(B150="高三",IF($E150="男",LOOKUP(J150,[1]对照表!$O$3:$O$24,[1]对照表!$P$3:$P$24),LOOKUP(J150,[1]对照表!$O$27:$O$48,[1]对照表!$P$27:$P$48)),IF(B150="高二",IF($E150="男",LOOKUP(J150,[1]对照表!$N$3:$N$24,[1]对照表!$P$3:$P$24),LOOKUP(J150,[1]对照表!$N$27:$N$48,[1]对照表!$P$27:$P$48)),IF(B150="高一",IF($E150="男",LOOKUP(J150,[1]对照表!$M$3:$M$24,[1]对照表!$P$3:$P$24),LOOKUP(J150,[1]对照表!$M$27:$M$48,[1]对照表!$P$27:$P$48)))))</f>
        <v>40</v>
      </c>
      <c r="L150" s="38">
        <v>35</v>
      </c>
      <c r="M150" s="32">
        <f>IF(B150="高三",IF($E150="男",LOOKUP(L150,[1]对照表!$S$3:$S$24,[1]对照表!$T$3:$T$24),LOOKUP(L150,[1]对照表!$S$27:$S$48,[1]对照表!$T$27:$T$48)),IF(B150="高二",IF($E150="男",LOOKUP(L150,[1]对照表!$R$3:$R$24,[1]对照表!$T$3:$T$24),LOOKUP(L150,[1]对照表!$R$27:$R$48,[1]对照表!$T$27:$T$48)),IF(B150="高一",IF($E150="男",LOOKUP(L150,[1]对照表!$Q$3:$Q$24,[1]对照表!$T$3:$T$24),LOOKUP(L150,[1]对照表!$Q$27:$Q$48,[1]对照表!$T$27:$T$48)))))</f>
        <v>70</v>
      </c>
      <c r="N150" s="33">
        <f>IF(B150="高三",MAX(IF(E150="男",L150-18,L150-55),0),IF(B150="高二",MAX(IF(E150="男",L150-17,L150-54),0),IF(B150="高一",MAX(IF(E150="男",L150-16,L150-53),0))))</f>
        <v>0</v>
      </c>
      <c r="O150" s="23">
        <f>IF(E150="男",LOOKUP($N150,[1]对照表!$Z$3:$Z$13,[1]对照表!$AA$3:$AA$13),LOOKUP($N150,[1]对照表!$Z$15:$Z$25,[1]对照表!$AA$15:$AA$25))</f>
        <v>0</v>
      </c>
      <c r="P150" s="25">
        <f>M150+O150</f>
        <v>70</v>
      </c>
      <c r="Q150" s="50">
        <v>4.46</v>
      </c>
      <c r="R150" s="32">
        <f>IF(B150="高三",IF($E150="男",LOOKUP(Q150,[1]对照表!$W$3:$W$24,[1]对照表!$X$3:$X$24),LOOKUP(Q150,[1]对照表!$W$27:$W$48,[1]对照表!$X$27:$X$48)),IF(B150="高二",IF($E150="男",LOOKUP(Q150,[1]对照表!$V$3:$V$24,[1]对照表!$X$3:$X$24),LOOKUP(Q150,[1]对照表!$V$27:$V$48,[1]对照表!$X$27:$X$48)),IF(B150="高一",IF($E150="男",LOOKUP(Q150,[1]对照表!$U$3:$U$24,[1]对照表!$X$3:$X$24),LOOKUP(Q150,[1]对照表!$U$27:$U$48,[1]对照表!$X$27:$X$48)))))</f>
        <v>50</v>
      </c>
      <c r="S150" s="33">
        <f>ROUND(IF(IF($B150="高三",MIN(IF($E150="男",$Q150-3.2,$Q150-3.2),0),IF($B150="高二",MIN(IF($E150="男",$Q150-3.25,$Q150-3.22),0),IF($B150="高一",MIN(IF($E150="男",$Q150-3.3,$Q150-3.24),0))))&lt;-0.6,IF($B150="高三",MIN(IF($E150="男",$Q150-3.2,$Q150-3.2),0),IF($B150="高二",MIN(IF($E150="男",$Q150-3.25,$Q150-3.22),0),IF($B150="高一",MIN(IF($E150="男",$Q150-3.3,$Q150-3.24),0))))+0.4,IF($B150="高三",MIN(IF($E150="男",$Q150-3.2,$Q150-3.2),0),IF($B150="高二",MIN(IF($E150="男",$Q150-3.25,$Q150-3.22),0),IF($B150="高一",MIN(IF($E150="男",$Q150-3.3,$Q150-3.24),0))))),2)</f>
        <v>0</v>
      </c>
      <c r="T150" s="23">
        <f>IF(E150="男",LOOKUP($S150,[1]对照表!$AB$3:$AB$13,[1]对照表!$AC$3:$AC$13),LOOKUP($S150,[1]对照表!$AB$15:$AB$25,[1]对照表!$AC$15:$AC$25))</f>
        <v>0</v>
      </c>
      <c r="U150" s="26">
        <f>R150+T150</f>
        <v>50</v>
      </c>
      <c r="V150" s="26">
        <f>SUM(I150,K150,M150)/3*0.3+SUM(G150,R150)/2*0.4</f>
        <v>43</v>
      </c>
      <c r="W150" s="27">
        <f>O150+T150</f>
        <v>0</v>
      </c>
      <c r="X150" s="28">
        <f>V150/0.7+W150</f>
        <v>61.428571428571431</v>
      </c>
      <c r="Y150" s="28">
        <f>X150</f>
        <v>61.428571428571431</v>
      </c>
      <c r="Z150" s="38"/>
    </row>
    <row r="151" spans="1:26" ht="15.6" x14ac:dyDescent="0.25">
      <c r="A151" s="48">
        <v>13</v>
      </c>
      <c r="B151" s="17" t="s">
        <v>767</v>
      </c>
      <c r="C151" s="48">
        <v>203</v>
      </c>
      <c r="D151" s="49" t="s">
        <v>1314</v>
      </c>
      <c r="E151" s="48" t="s">
        <v>65</v>
      </c>
      <c r="F151" s="50">
        <v>8.7799999999999994</v>
      </c>
      <c r="G151" s="32">
        <f>IF(B151="高三",IF($E151="男",LOOKUP(F151,[1]对照表!$G$3:$G$24,[1]对照表!$H$3:$H$24),LOOKUP(F151,[1]对照表!$G$27:$G$48,[1]对照表!$H$27:$H$48)),IF(B151="高二",IF($E151="男",LOOKUP(F151,[1]对照表!$F$3:$F$24,[1]对照表!$H$3:$H$24),LOOKUP(F151,[1]对照表!$F$27:$F$48,[1]对照表!$H$27:$H$48)),IF(B151="高一",IF($E151="男",LOOKUP(F151,[1]对照表!$E$3:$E$24,[1]对照表!$H$3:$H$24),LOOKUP(F151,[1]对照表!$E$27:$E$48,[1]对照表!$H$27:$H$48)))))</f>
        <v>76</v>
      </c>
      <c r="H151" s="38">
        <v>25.5</v>
      </c>
      <c r="I151" s="32">
        <f>IF(B151="高三",IF($E151="男",LOOKUP(H151,[1]对照表!$K$3:$K$24,[1]对照表!$L$3:$L$24),LOOKUP(H151,[1]对照表!$K$27:$K$48,[1]对照表!$L$27:$L$48)),IF(B151="高二",IF($E151="男",LOOKUP(H151,[1]对照表!$J$3:$J$24,[1]对照表!$L$3:$L$24),LOOKUP(H151,[1]对照表!$J$27:$J$48,[1]对照表!$L$27:$L$48)),IF(B151="高一",IF($E151="男",LOOKUP(H151,[1]对照表!$I$3:$I$24,[1]对照表!$L$3:$L$24),LOOKUP(H151,[1]对照表!$I$27:$I$48,[1]对照表!$L$27:$L$48)))))</f>
        <v>100</v>
      </c>
      <c r="J151" s="38">
        <v>185</v>
      </c>
      <c r="K151" s="32">
        <f>IF(B151="高三",IF($E151="男",LOOKUP(J151,[1]对照表!$O$3:$O$24,[1]对照表!$P$3:$P$24),LOOKUP(J151,[1]对照表!$O$27:$O$48,[1]对照表!$P$27:$P$48)),IF(B151="高二",IF($E151="男",LOOKUP(J151,[1]对照表!$N$3:$N$24,[1]对照表!$P$3:$P$24),LOOKUP(J151,[1]对照表!$N$27:$N$48,[1]对照表!$P$27:$P$48)),IF(B151="高一",IF($E151="男",LOOKUP(J151,[1]对照表!$M$3:$M$24,[1]对照表!$P$3:$P$24),LOOKUP(J151,[1]对照表!$M$27:$M$48,[1]对照表!$P$27:$P$48)))))</f>
        <v>80</v>
      </c>
      <c r="L151" s="38">
        <v>50</v>
      </c>
      <c r="M151" s="32">
        <f>IF(B151="高三",IF($E151="男",LOOKUP(L151,[1]对照表!$S$3:$S$24,[1]对照表!$T$3:$T$24),LOOKUP(L151,[1]对照表!$S$27:$S$48,[1]对照表!$T$27:$T$48)),IF(B151="高二",IF($E151="男",LOOKUP(L151,[1]对照表!$R$3:$R$24,[1]对照表!$T$3:$T$24),LOOKUP(L151,[1]对照表!$R$27:$R$48,[1]对照表!$T$27:$T$48)),IF(B151="高一",IF($E151="男",LOOKUP(L151,[1]对照表!$Q$3:$Q$24,[1]对照表!$T$3:$T$24),LOOKUP(L151,[1]对照表!$Q$27:$Q$48,[1]对照表!$T$27:$T$48)))))</f>
        <v>90</v>
      </c>
      <c r="N151" s="33">
        <f>IF(B151="高三",MAX(IF(E151="男",L151-18,L151-55),0),IF(B151="高二",MAX(IF(E151="男",L151-17,L151-54),0),IF(B151="高一",MAX(IF(E151="男",L151-16,L151-53),0))))</f>
        <v>0</v>
      </c>
      <c r="O151" s="23">
        <f>IF(E151="男",LOOKUP($N151,[1]对照表!$Z$3:$Z$13,[1]对照表!$AA$3:$AA$13),LOOKUP($N151,[1]对照表!$Z$15:$Z$25,[1]对照表!$AA$15:$AA$25))</f>
        <v>0</v>
      </c>
      <c r="P151" s="25">
        <f>M151+O151</f>
        <v>90</v>
      </c>
      <c r="Q151" s="50" t="s">
        <v>578</v>
      </c>
      <c r="R151" s="32" t="str">
        <f>IF(B151="高三",IF($E151="男",LOOKUP(Q151,[1]对照表!$W$3:$W$24,[1]对照表!$X$3:$X$24),LOOKUP(Q151,[1]对照表!$W$27:$W$48,[1]对照表!$X$27:$X$48)),IF(B151="高二",IF($E151="男",LOOKUP(Q151,[1]对照表!$V$3:$V$24,[1]对照表!$X$3:$X$24),LOOKUP(Q151,[1]对照表!$V$27:$V$48,[1]对照表!$X$27:$X$48)),IF(B151="高一",IF($E151="男",LOOKUP(Q151,[1]对照表!$U$3:$U$24,[1]对照表!$X$3:$X$24),LOOKUP(Q151,[1]对照表!$U$27:$U$48,[1]对照表!$X$27:$X$48)))))</f>
        <v>/</v>
      </c>
      <c r="S151" s="33">
        <v>0</v>
      </c>
      <c r="T151" s="23">
        <f>IF(E151="男",LOOKUP($S151,[1]对照表!$AB$3:$AB$13,[1]对照表!$AC$3:$AC$13),LOOKUP($S151,[1]对照表!$AB$15:$AB$25,[1]对照表!$AC$15:$AC$25))</f>
        <v>0</v>
      </c>
      <c r="U151" s="26">
        <v>0</v>
      </c>
      <c r="V151" s="26">
        <f>SUM(I151,K151,M151)/3*0.3+SUM(G151,R151)/2*0.4</f>
        <v>42.2</v>
      </c>
      <c r="W151" s="27">
        <f>O151+T151</f>
        <v>0</v>
      </c>
      <c r="X151" s="28">
        <f>V151/0.7+W151</f>
        <v>60.285714285714292</v>
      </c>
      <c r="Y151" s="28">
        <f>X151</f>
        <v>60.285714285714292</v>
      </c>
      <c r="Z151" s="38"/>
    </row>
    <row r="152" spans="1:26" ht="15.6" x14ac:dyDescent="0.25">
      <c r="A152" s="48">
        <v>20</v>
      </c>
      <c r="B152" s="17" t="s">
        <v>767</v>
      </c>
      <c r="C152" s="48">
        <v>203</v>
      </c>
      <c r="D152" s="49" t="s">
        <v>1316</v>
      </c>
      <c r="E152" s="48" t="s">
        <v>65</v>
      </c>
      <c r="F152" s="50">
        <v>8.9</v>
      </c>
      <c r="G152" s="32">
        <f>IF(B152="高三",IF($E152="男",LOOKUP(F152,[1]对照表!$G$3:$G$24,[1]对照表!$H$3:$H$24),LOOKUP(F152,[1]对照表!$G$27:$G$48,[1]对照表!$H$27:$H$48)),IF(B152="高二",IF($E152="男",LOOKUP(F152,[1]对照表!$F$3:$F$24,[1]对照表!$H$3:$H$24),LOOKUP(F152,[1]对照表!$F$27:$F$48,[1]对照表!$H$27:$H$48)),IF(B152="高一",IF($E152="男",LOOKUP(F152,[1]对照表!$E$3:$E$24,[1]对照表!$H$3:$H$24),LOOKUP(F152,[1]对照表!$E$27:$E$48,[1]对照表!$H$27:$H$48)))))</f>
        <v>76</v>
      </c>
      <c r="H152" s="38">
        <v>21.5</v>
      </c>
      <c r="I152" s="32">
        <f>IF(B152="高三",IF($E152="男",LOOKUP(H152,[1]对照表!$K$3:$K$24,[1]对照表!$L$3:$L$24),LOOKUP(H152,[1]对照表!$K$27:$K$48,[1]对照表!$L$27:$L$48)),IF(B152="高二",IF($E152="男",LOOKUP(H152,[1]对照表!$J$3:$J$24,[1]对照表!$L$3:$L$24),LOOKUP(H152,[1]对照表!$J$27:$J$48,[1]对照表!$L$27:$L$48)),IF(B152="高一",IF($E152="男",LOOKUP(H152,[1]对照表!$I$3:$I$24,[1]对照表!$L$3:$L$24),LOOKUP(H152,[1]对照表!$I$27:$I$48,[1]对照表!$L$27:$L$48)))))</f>
        <v>90</v>
      </c>
      <c r="J152" s="38">
        <v>190</v>
      </c>
      <c r="K152" s="32">
        <f>IF(B152="高三",IF($E152="男",LOOKUP(J152,[1]对照表!$O$3:$O$24,[1]对照表!$P$3:$P$24),LOOKUP(J152,[1]对照表!$O$27:$O$48,[1]对照表!$P$27:$P$48)),IF(B152="高二",IF($E152="男",LOOKUP(J152,[1]对照表!$N$3:$N$24,[1]对照表!$P$3:$P$24),LOOKUP(J152,[1]对照表!$N$27:$N$48,[1]对照表!$P$27:$P$48)),IF(B152="高一",IF($E152="男",LOOKUP(J152,[1]对照表!$M$3:$M$24,[1]对照表!$P$3:$P$24),LOOKUP(J152,[1]对照表!$M$27:$M$48,[1]对照表!$P$27:$P$48)))))</f>
        <v>85</v>
      </c>
      <c r="L152" s="38">
        <v>52</v>
      </c>
      <c r="M152" s="32">
        <f>IF(B152="高三",IF($E152="男",LOOKUP(L152,[1]对照表!$S$3:$S$24,[1]对照表!$T$3:$T$24),LOOKUP(L152,[1]对照表!$S$27:$S$48,[1]对照表!$T$27:$T$48)),IF(B152="高二",IF($E152="男",LOOKUP(L152,[1]对照表!$R$3:$R$24,[1]对照表!$T$3:$T$24),LOOKUP(L152,[1]对照表!$R$27:$R$48,[1]对照表!$T$27:$T$48)),IF(B152="高一",IF($E152="男",LOOKUP(L152,[1]对照表!$Q$3:$Q$24,[1]对照表!$T$3:$T$24),LOOKUP(L152,[1]对照表!$Q$27:$Q$48,[1]对照表!$T$27:$T$48)))))</f>
        <v>95</v>
      </c>
      <c r="N152" s="33">
        <f>IF(B152="高三",MAX(IF(E152="男",L152-18,L152-55),0),IF(B152="高二",MAX(IF(E152="男",L152-17,L152-54),0),IF(B152="高一",MAX(IF(E152="男",L152-16,L152-53),0))))</f>
        <v>0</v>
      </c>
      <c r="O152" s="23">
        <f>IF(E152="男",LOOKUP($N152,[1]对照表!$Z$3:$Z$13,[1]对照表!$AA$3:$AA$13),LOOKUP($N152,[1]对照表!$Z$15:$Z$25,[1]对照表!$AA$15:$AA$25))</f>
        <v>0</v>
      </c>
      <c r="P152" s="25">
        <f>M152+O152</f>
        <v>95</v>
      </c>
      <c r="Q152" s="50"/>
      <c r="R152" s="20">
        <v>0</v>
      </c>
      <c r="S152" s="22">
        <v>0</v>
      </c>
      <c r="T152" s="23">
        <f>IF(E152="男",LOOKUP($S152,[1]对照表!$AB$3:$AB$13,[1]对照表!$AC$3:$AC$13),LOOKUP($S152,[1]对照表!$AB$15:$AB$25,[1]对照表!$AC$15:$AC$25))</f>
        <v>0</v>
      </c>
      <c r="U152" s="26">
        <f>R152+T152</f>
        <v>0</v>
      </c>
      <c r="V152" s="26">
        <f>SUM(I152,K152,M152)/3*0.3+SUM(G152,R152)/2*0.4</f>
        <v>42.2</v>
      </c>
      <c r="W152" s="27">
        <f>O152+T152</f>
        <v>0</v>
      </c>
      <c r="X152" s="28">
        <f>V152/0.7+W152</f>
        <v>60.285714285714292</v>
      </c>
      <c r="Y152" s="28">
        <f>X152</f>
        <v>60.285714285714292</v>
      </c>
      <c r="Z152" s="38"/>
    </row>
    <row r="153" spans="1:26" ht="15.6" x14ac:dyDescent="0.25">
      <c r="A153" s="48">
        <v>5</v>
      </c>
      <c r="B153" s="17" t="s">
        <v>767</v>
      </c>
      <c r="C153" s="48">
        <v>203</v>
      </c>
      <c r="D153" s="49" t="s">
        <v>1336</v>
      </c>
      <c r="E153" s="49" t="s">
        <v>23</v>
      </c>
      <c r="F153" s="50">
        <v>7.3</v>
      </c>
      <c r="G153" s="32">
        <f>IF(B153="高三",IF($E153="男",LOOKUP(F153,[1]对照表!$G$3:$G$24,[1]对照表!$H$3:$H$24),LOOKUP(F153,[1]对照表!$G$27:$G$48,[1]对照表!$H$27:$H$48)),IF(B153="高二",IF($E153="男",LOOKUP(F153,[1]对照表!$F$3:$F$24,[1]对照表!$H$3:$H$24),LOOKUP(F153,[1]对照表!$F$27:$F$48,[1]对照表!$H$27:$H$48)),IF(B153="高一",IF($E153="男",LOOKUP(F153,[1]对照表!$E$3:$E$24,[1]对照表!$H$3:$H$24),LOOKUP(F153,[1]对照表!$E$27:$E$48,[1]对照表!$H$27:$H$48)))))</f>
        <v>85</v>
      </c>
      <c r="H153" s="38">
        <v>18</v>
      </c>
      <c r="I153" s="32">
        <f>IF(B153="高三",IF($E153="男",LOOKUP(H153,[1]对照表!$K$3:$K$24,[1]对照表!$L$3:$L$24),LOOKUP(H153,[1]对照表!$K$27:$K$48,[1]对照表!$L$27:$L$48)),IF(B153="高二",IF($E153="男",LOOKUP(H153,[1]对照表!$J$3:$J$24,[1]对照表!$L$3:$L$24),LOOKUP(H153,[1]对照表!$J$27:$J$48,[1]对照表!$L$27:$L$48)),IF(B153="高一",IF($E153="男",LOOKUP(H153,[1]对照表!$I$3:$I$24,[1]对照表!$L$3:$L$24),LOOKUP(H153,[1]对照表!$I$27:$I$48,[1]对照表!$L$27:$L$48)))))</f>
        <v>80</v>
      </c>
      <c r="J153" s="38">
        <v>235</v>
      </c>
      <c r="K153" s="32">
        <f>IF(B153="高三",IF($E153="男",LOOKUP(J153,[1]对照表!$O$3:$O$24,[1]对照表!$P$3:$P$24),LOOKUP(J153,[1]对照表!$O$27:$O$48,[1]对照表!$P$27:$P$48)),IF(B153="高二",IF($E153="男",LOOKUP(J153,[1]对照表!$N$3:$N$24,[1]对照表!$P$3:$P$24),LOOKUP(J153,[1]对照表!$N$27:$N$48,[1]对照表!$P$27:$P$48)),IF(B153="高一",IF($E153="男",LOOKUP(J153,[1]对照表!$M$3:$M$24,[1]对照表!$P$3:$P$24),LOOKUP(J153,[1]对照表!$M$27:$M$48,[1]对照表!$P$27:$P$48)))))</f>
        <v>76</v>
      </c>
      <c r="L153" s="38">
        <v>6</v>
      </c>
      <c r="M153" s="32">
        <f>IF(B153="高三",IF($E153="男",LOOKUP(L153,[1]对照表!$S$3:$S$24,[1]对照表!$T$3:$T$24),LOOKUP(L153,[1]对照表!$S$27:$S$48,[1]对照表!$T$27:$T$48)),IF(B153="高二",IF($E153="男",LOOKUP(L153,[1]对照表!$R$3:$R$24,[1]对照表!$T$3:$T$24),LOOKUP(L153,[1]对照表!$R$27:$R$48,[1]对照表!$T$27:$T$48)),IF(B153="高一",IF($E153="男",LOOKUP(L153,[1]对照表!$Q$3:$Q$24,[1]对照表!$T$3:$T$24),LOOKUP(L153,[1]对照表!$Q$27:$Q$48,[1]对照表!$T$27:$T$48)))))</f>
        <v>40</v>
      </c>
      <c r="N153" s="33">
        <f>IF(B153="高三",MAX(IF(E153="男",L153-18,L153-55),0),IF(B153="高二",MAX(IF(E153="男",L153-17,L153-54),0),IF(B153="高一",MAX(IF(E153="男",L153-16,L153-53),0))))</f>
        <v>0</v>
      </c>
      <c r="O153" s="23">
        <f>IF(E153="男",LOOKUP($N153,[1]对照表!$Z$3:$Z$13,[1]对照表!$AA$3:$AA$13),LOOKUP($N153,[1]对照表!$Z$15:$Z$25,[1]对照表!$AA$15:$AA$25))</f>
        <v>0</v>
      </c>
      <c r="P153" s="25">
        <f>M153+O153</f>
        <v>40</v>
      </c>
      <c r="Q153" s="50">
        <v>4.04</v>
      </c>
      <c r="R153" s="32">
        <f>IF(B153="高三",IF($E153="男",LOOKUP(Q153,[1]对照表!$W$3:$W$24,[1]对照表!$X$3:$X$24),LOOKUP(Q153,[1]对照表!$W$27:$W$48,[1]对照表!$X$27:$X$48)),IF(B153="高二",IF($E153="男",LOOKUP(Q153,[1]对照表!$V$3:$V$24,[1]对照表!$X$3:$X$24),LOOKUP(Q153,[1]对照表!$V$27:$V$48,[1]对照表!$X$27:$X$48)),IF(B153="高一",IF($E153="男",LOOKUP(Q153,[1]对照表!$U$3:$U$24,[1]对照表!$X$3:$X$24),LOOKUP(Q153,[1]对照表!$U$27:$U$48,[1]对照表!$X$27:$X$48)))))</f>
        <v>74</v>
      </c>
      <c r="S153" s="33">
        <f>ROUND(IF(IF($B153="高三",MIN(IF($E153="男",$Q153-3.2,$Q153-3.2),0),IF($B153="高二",MIN(IF($E153="男",$Q153-3.25,$Q153-3.22),0),IF($B153="高一",MIN(IF($E153="男",$Q153-3.3,$Q153-3.24),0))))&lt;-0.6,IF($B153="高三",MIN(IF($E153="男",$Q153-3.2,$Q153-3.2),0),IF($B153="高二",MIN(IF($E153="男",$Q153-3.25,$Q153-3.22),0),IF($B153="高一",MIN(IF($E153="男",$Q153-3.3,$Q153-3.24),0))))+0.4,IF($B153="高三",MIN(IF($E153="男",$Q153-3.2,$Q153-3.2),0),IF($B153="高二",MIN(IF($E153="男",$Q153-3.25,$Q153-3.22),0),IF($B153="高一",MIN(IF($E153="男",$Q153-3.3,$Q153-3.24),0))))),2)</f>
        <v>0</v>
      </c>
      <c r="T153" s="23">
        <f>IF(E153="男",LOOKUP($S153,[1]对照表!$AB$3:$AB$13,[1]对照表!$AC$3:$AC$13),LOOKUP($S153,[1]对照表!$AB$15:$AB$25,[1]对照表!$AC$15:$AC$25))</f>
        <v>0</v>
      </c>
      <c r="U153" s="26">
        <f>R153+T153</f>
        <v>74</v>
      </c>
      <c r="V153" s="26">
        <f>SUM(I153,K153,M153)/3*0.3+SUM(G153,R153)/2*0.4</f>
        <v>51.4</v>
      </c>
      <c r="W153" s="27">
        <f>O153+T153</f>
        <v>0</v>
      </c>
      <c r="X153" s="28">
        <f>V153/0.7+W153</f>
        <v>73.428571428571431</v>
      </c>
      <c r="Y153" s="28">
        <f>X153</f>
        <v>73.428571428571431</v>
      </c>
      <c r="Z153" s="38"/>
    </row>
    <row r="154" spans="1:26" ht="15.6" customHeight="1" x14ac:dyDescent="0.25">
      <c r="A154" s="48">
        <v>8</v>
      </c>
      <c r="B154" s="17" t="s">
        <v>767</v>
      </c>
      <c r="C154" s="48">
        <v>203</v>
      </c>
      <c r="D154" s="49" t="s">
        <v>1339</v>
      </c>
      <c r="E154" s="49" t="s">
        <v>23</v>
      </c>
      <c r="F154" s="50">
        <v>7.3</v>
      </c>
      <c r="G154" s="32">
        <f>IF(B154="高三",IF($E154="男",LOOKUP(F154,[1]对照表!$G$3:$G$24,[1]对照表!$H$3:$H$24),LOOKUP(F154,[1]对照表!$G$27:$G$48,[1]对照表!$H$27:$H$48)),IF(B154="高二",IF($E154="男",LOOKUP(F154,[1]对照表!$F$3:$F$24,[1]对照表!$H$3:$H$24),LOOKUP(F154,[1]对照表!$F$27:$F$48,[1]对照表!$H$27:$H$48)),IF(B154="高一",IF($E154="男",LOOKUP(F154,[1]对照表!$E$3:$E$24,[1]对照表!$H$3:$H$24),LOOKUP(F154,[1]对照表!$E$27:$E$48,[1]对照表!$H$27:$H$48)))))</f>
        <v>85</v>
      </c>
      <c r="H154" s="38">
        <v>24</v>
      </c>
      <c r="I154" s="32">
        <f>IF(B154="高三",IF($E154="男",LOOKUP(H154,[1]对照表!$K$3:$K$24,[1]对照表!$L$3:$L$24),LOOKUP(H154,[1]对照表!$K$27:$K$48,[1]对照表!$L$27:$L$48)),IF(B154="高二",IF($E154="男",LOOKUP(H154,[1]对照表!$J$3:$J$24,[1]对照表!$L$3:$L$24),LOOKUP(H154,[1]对照表!$J$27:$J$48,[1]对照表!$L$27:$L$48)),IF(B154="高一",IF($E154="男",LOOKUP(H154,[1]对照表!$I$3:$I$24,[1]对照表!$L$3:$L$24),LOOKUP(H154,[1]对照表!$I$27:$I$48,[1]对照表!$L$27:$L$48)))))</f>
        <v>95</v>
      </c>
      <c r="J154" s="38">
        <v>210</v>
      </c>
      <c r="K154" s="32">
        <f>IF(B154="高三",IF($E154="男",LOOKUP(J154,[1]对照表!$O$3:$O$24,[1]对照表!$P$3:$P$24),LOOKUP(J154,[1]对照表!$O$27:$O$48,[1]对照表!$P$27:$P$48)),IF(B154="高二",IF($E154="男",LOOKUP(J154,[1]对照表!$N$3:$N$24,[1]对照表!$P$3:$P$24),LOOKUP(J154,[1]对照表!$N$27:$N$48,[1]对照表!$P$27:$P$48)),IF(B154="高一",IF($E154="男",LOOKUP(J154,[1]对照表!$M$3:$M$24,[1]对照表!$P$3:$P$24),LOOKUP(J154,[1]对照表!$M$27:$M$48,[1]对照表!$P$27:$P$48)))))</f>
        <v>64</v>
      </c>
      <c r="L154" s="38">
        <v>2</v>
      </c>
      <c r="M154" s="32">
        <f>IF(B154="高三",IF($E154="男",LOOKUP(L154,[1]对照表!$S$3:$S$24,[1]对照表!$T$3:$T$24),LOOKUP(L154,[1]对照表!$S$27:$S$48,[1]对照表!$T$27:$T$48)),IF(B154="高二",IF($E154="男",LOOKUP(L154,[1]对照表!$R$3:$R$24,[1]对照表!$T$3:$T$24),LOOKUP(L154,[1]对照表!$R$27:$R$48,[1]对照表!$T$27:$T$48)),IF(B154="高一",IF($E154="男",LOOKUP(L154,[1]对照表!$Q$3:$Q$24,[1]对照表!$T$3:$T$24),LOOKUP(L154,[1]对照表!$Q$27:$Q$48,[1]对照表!$T$27:$T$48)))))</f>
        <v>0</v>
      </c>
      <c r="N154" s="33">
        <f>IF(B154="高三",MAX(IF(E154="男",L154-18,L154-55),0),IF(B154="高二",MAX(IF(E154="男",L154-17,L154-54),0),IF(B154="高一",MAX(IF(E154="男",L154-16,L154-53),0))))</f>
        <v>0</v>
      </c>
      <c r="O154" s="23">
        <f>IF(E154="男",LOOKUP($N154,[1]对照表!$Z$3:$Z$13,[1]对照表!$AA$3:$AA$13),LOOKUP($N154,[1]对照表!$Z$15:$Z$25,[1]对照表!$AA$15:$AA$25))</f>
        <v>0</v>
      </c>
      <c r="P154" s="25">
        <f>M154+O154</f>
        <v>0</v>
      </c>
      <c r="Q154" s="50">
        <v>3.34</v>
      </c>
      <c r="R154" s="32">
        <f>IF(B154="高三",IF($E154="男",LOOKUP(Q154,[1]对照表!$W$3:$W$24,[1]对照表!$X$3:$X$24),LOOKUP(Q154,[1]对照表!$W$27:$W$48,[1]对照表!$X$27:$X$48)),IF(B154="高二",IF($E154="男",LOOKUP(Q154,[1]对照表!$V$3:$V$24,[1]对照表!$X$3:$X$24),LOOKUP(Q154,[1]对照表!$V$27:$V$48,[1]对照表!$X$27:$X$48)),IF(B154="高一",IF($E154="男",LOOKUP(Q154,[1]对照表!$U$3:$U$24,[1]对照表!$X$3:$X$24),LOOKUP(Q154,[1]对照表!$U$27:$U$48,[1]对照表!$X$27:$X$48)))))</f>
        <v>90</v>
      </c>
      <c r="S154" s="33">
        <f>ROUND(IF(IF($B154="高三",MIN(IF($E154="男",$Q154-3.2,$Q154-3.2),0),IF($B154="高二",MIN(IF($E154="男",$Q154-3.25,$Q154-3.22),0),IF($B154="高一",MIN(IF($E154="男",$Q154-3.3,$Q154-3.24),0))))&lt;-0.6,IF($B154="高三",MIN(IF($E154="男",$Q154-3.2,$Q154-3.2),0),IF($B154="高二",MIN(IF($E154="男",$Q154-3.25,$Q154-3.22),0),IF($B154="高一",MIN(IF($E154="男",$Q154-3.3,$Q154-3.24),0))))+0.4,IF($B154="高三",MIN(IF($E154="男",$Q154-3.2,$Q154-3.2),0),IF($B154="高二",MIN(IF($E154="男",$Q154-3.25,$Q154-3.22),0),IF($B154="高一",MIN(IF($E154="男",$Q154-3.3,$Q154-3.24),0))))),2)</f>
        <v>0</v>
      </c>
      <c r="T154" s="23">
        <f>IF(E154="男",LOOKUP($S154,[1]对照表!$AB$3:$AB$13,[1]对照表!$AC$3:$AC$13),LOOKUP($S154,[1]对照表!$AB$15:$AB$25,[1]对照表!$AC$15:$AC$25))</f>
        <v>0</v>
      </c>
      <c r="U154" s="26">
        <f>R154+T154</f>
        <v>90</v>
      </c>
      <c r="V154" s="26">
        <f>SUM(I154,K154,M154)/3*0.3+SUM(G154,R154)/2*0.4</f>
        <v>50.9</v>
      </c>
      <c r="W154" s="27">
        <f>O154+T154</f>
        <v>0</v>
      </c>
      <c r="X154" s="28">
        <f>V154/0.7+W154</f>
        <v>72.714285714285722</v>
      </c>
      <c r="Y154" s="28">
        <f>X154</f>
        <v>72.714285714285722</v>
      </c>
      <c r="Z154" s="38"/>
    </row>
    <row r="155" spans="1:26" ht="15.6" x14ac:dyDescent="0.25">
      <c r="A155" s="48">
        <v>26</v>
      </c>
      <c r="B155" s="17" t="s">
        <v>767</v>
      </c>
      <c r="C155" s="48">
        <v>203</v>
      </c>
      <c r="D155" s="49" t="s">
        <v>1348</v>
      </c>
      <c r="E155" s="48" t="s">
        <v>65</v>
      </c>
      <c r="F155" s="50">
        <v>8.3699999999999992</v>
      </c>
      <c r="G155" s="32">
        <f>IF(B155="高三",IF($E155="男",LOOKUP(F155,[1]对照表!$G$3:$G$24,[1]对照表!$H$3:$H$24),LOOKUP(F155,[1]对照表!$G$27:$G$48,[1]对照表!$H$27:$H$48)),IF(B155="高二",IF($E155="男",LOOKUP(F155,[1]对照表!$F$3:$F$24,[1]对照表!$H$3:$H$24),LOOKUP(F155,[1]对照表!$F$27:$F$48,[1]对照表!$H$27:$H$48)),IF(B155="高一",IF($E155="男",LOOKUP(F155,[1]对照表!$E$3:$E$24,[1]对照表!$H$3:$H$24),LOOKUP(F155,[1]对照表!$E$27:$E$48,[1]对照表!$H$27:$H$48)))))</f>
        <v>80</v>
      </c>
      <c r="H155" s="38">
        <v>10.8</v>
      </c>
      <c r="I155" s="32">
        <f>IF(B155="高三",IF($E155="男",LOOKUP(H155,[1]对照表!$K$3:$K$24,[1]对照表!$L$3:$L$24),LOOKUP(H155,[1]对照表!$K$27:$K$48,[1]对照表!$L$27:$L$48)),IF(B155="高二",IF($E155="男",LOOKUP(H155,[1]对照表!$J$3:$J$24,[1]对照表!$L$3:$L$24),LOOKUP(H155,[1]对照表!$J$27:$J$48,[1]对照表!$L$27:$L$48)),IF(B155="高一",IF($E155="男",LOOKUP(H155,[1]对照表!$I$3:$I$24,[1]对照表!$L$3:$L$24),LOOKUP(H155,[1]对照表!$I$27:$I$48,[1]对照表!$L$27:$L$48)))))</f>
        <v>68</v>
      </c>
      <c r="J155" s="38">
        <v>190</v>
      </c>
      <c r="K155" s="32">
        <f>IF(B155="高三",IF($E155="男",LOOKUP(J155,[1]对照表!$O$3:$O$24,[1]对照表!$P$3:$P$24),LOOKUP(J155,[1]对照表!$O$27:$O$48,[1]对照表!$P$27:$P$48)),IF(B155="高二",IF($E155="男",LOOKUP(J155,[1]对照表!$N$3:$N$24,[1]对照表!$P$3:$P$24),LOOKUP(J155,[1]对照表!$N$27:$N$48,[1]对照表!$P$27:$P$48)),IF(B155="高一",IF($E155="男",LOOKUP(J155,[1]对照表!$M$3:$M$24,[1]对照表!$P$3:$P$24),LOOKUP(J155,[1]对照表!$M$27:$M$48,[1]对照表!$P$27:$P$48)))))</f>
        <v>85</v>
      </c>
      <c r="L155" s="38">
        <v>40</v>
      </c>
      <c r="M155" s="32">
        <f>IF(B155="高三",IF($E155="男",LOOKUP(L155,[1]对照表!$S$3:$S$24,[1]对照表!$T$3:$T$24),LOOKUP(L155,[1]对照表!$S$27:$S$48,[1]对照表!$T$27:$T$48)),IF(B155="高二",IF($E155="男",LOOKUP(L155,[1]对照表!$R$3:$R$24,[1]对照表!$T$3:$T$24),LOOKUP(L155,[1]对照表!$R$27:$R$48,[1]对照表!$T$27:$T$48)),IF(B155="高一",IF($E155="男",LOOKUP(L155,[1]对照表!$Q$3:$Q$24,[1]对照表!$T$3:$T$24),LOOKUP(L155,[1]对照表!$Q$27:$Q$48,[1]对照表!$T$27:$T$48)))))</f>
        <v>76</v>
      </c>
      <c r="N155" s="33">
        <f>IF(B155="高三",MAX(IF(E155="男",L155-18,L155-55),0),IF(B155="高二",MAX(IF(E155="男",L155-17,L155-54),0),IF(B155="高一",MAX(IF(E155="男",L155-16,L155-53),0))))</f>
        <v>0</v>
      </c>
      <c r="O155" s="23">
        <f>IF(E155="男",LOOKUP($N155,[1]对照表!$Z$3:$Z$13,[1]对照表!$AA$3:$AA$13),LOOKUP($N155,[1]对照表!$Z$15:$Z$25,[1]对照表!$AA$15:$AA$25))</f>
        <v>0</v>
      </c>
      <c r="P155" s="25">
        <f>M155+O155</f>
        <v>76</v>
      </c>
      <c r="Q155" s="50" t="s">
        <v>578</v>
      </c>
      <c r="R155" s="32" t="str">
        <f>IF(B155="高三",IF($E155="男",LOOKUP(Q155,[1]对照表!$W$3:$W$24,[1]对照表!$X$3:$X$24),LOOKUP(Q155,[1]对照表!$W$27:$W$48,[1]对照表!$X$27:$X$48)),IF(B155="高二",IF($E155="男",LOOKUP(Q155,[1]对照表!$V$3:$V$24,[1]对照表!$X$3:$X$24),LOOKUP(Q155,[1]对照表!$V$27:$V$48,[1]对照表!$X$27:$X$48)),IF(B155="高一",IF($E155="男",LOOKUP(Q155,[1]对照表!$U$3:$U$24,[1]对照表!$X$3:$X$24),LOOKUP(Q155,[1]对照表!$U$27:$U$48,[1]对照表!$X$27:$X$48)))))</f>
        <v>/</v>
      </c>
      <c r="S155" s="33">
        <v>0</v>
      </c>
      <c r="T155" s="23">
        <f>IF(E155="男",LOOKUP($S155,[1]对照表!$AB$3:$AB$13,[1]对照表!$AC$3:$AC$13),LOOKUP($S155,[1]对照表!$AB$15:$AB$25,[1]对照表!$AC$15:$AC$25))</f>
        <v>0</v>
      </c>
      <c r="U155" s="26">
        <v>0</v>
      </c>
      <c r="V155" s="26">
        <f>SUM(I155,K155,M155)/3*0.3+SUM(G155,R155)/2*0.4</f>
        <v>38.9</v>
      </c>
      <c r="W155" s="27">
        <f>O155+T155</f>
        <v>0</v>
      </c>
      <c r="X155" s="28">
        <f>V155/0.7+W155</f>
        <v>55.571428571428569</v>
      </c>
      <c r="Y155" s="28">
        <f>X155</f>
        <v>55.571428571428569</v>
      </c>
      <c r="Z155" s="38"/>
    </row>
    <row r="156" spans="1:26" ht="15.6" x14ac:dyDescent="0.25">
      <c r="A156" s="48">
        <v>34</v>
      </c>
      <c r="B156" s="17" t="s">
        <v>767</v>
      </c>
      <c r="C156" s="48">
        <v>203</v>
      </c>
      <c r="D156" s="49" t="s">
        <v>1353</v>
      </c>
      <c r="E156" s="48" t="s">
        <v>65</v>
      </c>
      <c r="F156" s="50">
        <v>9.2899999999999991</v>
      </c>
      <c r="G156" s="32">
        <f>IF(B156="高三",IF($E156="男",LOOKUP(F156,[1]对照表!$G$3:$G$24,[1]对照表!$H$3:$H$24),LOOKUP(F156,[1]对照表!$G$27:$G$48,[1]对照表!$H$27:$H$48)),IF(B156="高二",IF($E156="男",LOOKUP(F156,[1]对照表!$F$3:$F$24,[1]对照表!$H$3:$H$24),LOOKUP(F156,[1]对照表!$F$27:$F$48,[1]对照表!$H$27:$H$48)),IF(B156="高一",IF($E156="男",LOOKUP(F156,[1]对照表!$E$3:$E$24,[1]对照表!$H$3:$H$24),LOOKUP(F156,[1]对照表!$E$27:$E$48,[1]对照表!$H$27:$H$48)))))</f>
        <v>72</v>
      </c>
      <c r="H156" s="38">
        <v>16</v>
      </c>
      <c r="I156" s="32">
        <f>IF(B156="高三",IF($E156="男",LOOKUP(H156,[1]对照表!$K$3:$K$24,[1]对照表!$L$3:$L$24),LOOKUP(H156,[1]对照表!$K$27:$K$48,[1]对照表!$L$27:$L$48)),IF(B156="高二",IF($E156="男",LOOKUP(H156,[1]对照表!$J$3:$J$24,[1]对照表!$L$3:$L$24),LOOKUP(H156,[1]对照表!$J$27:$J$48,[1]对照表!$L$27:$L$48)),IF(B156="高一",IF($E156="男",LOOKUP(H156,[1]对照表!$I$3:$I$24,[1]对照表!$L$3:$L$24),LOOKUP(H156,[1]对照表!$I$27:$I$48,[1]对照表!$L$27:$L$48)))))</f>
        <v>76</v>
      </c>
      <c r="J156" s="38">
        <v>176</v>
      </c>
      <c r="K156" s="32">
        <f>IF(B156="高三",IF($E156="男",LOOKUP(J156,[1]对照表!$O$3:$O$24,[1]对照表!$P$3:$P$24),LOOKUP(J156,[1]对照表!$O$27:$O$48,[1]对照表!$P$27:$P$48)),IF(B156="高二",IF($E156="男",LOOKUP(J156,[1]对照表!$N$3:$N$24,[1]对照表!$P$3:$P$24),LOOKUP(J156,[1]对照表!$N$27:$N$48,[1]对照表!$P$27:$P$48)),IF(B156="高一",IF($E156="男",LOOKUP(J156,[1]对照表!$M$3:$M$24,[1]对照表!$P$3:$P$24),LOOKUP(J156,[1]对照表!$M$27:$M$48,[1]对照表!$P$27:$P$48)))))</f>
        <v>78</v>
      </c>
      <c r="L156" s="38">
        <v>48</v>
      </c>
      <c r="M156" s="32">
        <f>IF(B156="高三",IF($E156="男",LOOKUP(L156,[1]对照表!$S$3:$S$24,[1]对照表!$T$3:$T$24),LOOKUP(L156,[1]对照表!$S$27:$S$48,[1]对照表!$T$27:$T$48)),IF(B156="高二",IF($E156="男",LOOKUP(L156,[1]对照表!$R$3:$R$24,[1]对照表!$T$3:$T$24),LOOKUP(L156,[1]对照表!$R$27:$R$48,[1]对照表!$T$27:$T$48)),IF(B156="高一",IF($E156="男",LOOKUP(L156,[1]对照表!$Q$3:$Q$24,[1]对照表!$T$3:$T$24),LOOKUP(L156,[1]对照表!$Q$27:$Q$48,[1]对照表!$T$27:$T$48)))))</f>
        <v>85</v>
      </c>
      <c r="N156" s="33">
        <f>IF(B156="高三",MAX(IF(E156="男",L156-18,L156-55),0),IF(B156="高二",MAX(IF(E156="男",L156-17,L156-54),0),IF(B156="高一",MAX(IF(E156="男",L156-16,L156-53),0))))</f>
        <v>0</v>
      </c>
      <c r="O156" s="23">
        <f>IF(E156="男",LOOKUP($N156,[1]对照表!$Z$3:$Z$13,[1]对照表!$AA$3:$AA$13),LOOKUP($N156,[1]对照表!$Z$15:$Z$25,[1]对照表!$AA$15:$AA$25))</f>
        <v>0</v>
      </c>
      <c r="P156" s="25">
        <f>M156+O156</f>
        <v>85</v>
      </c>
      <c r="Q156" s="50" t="s">
        <v>578</v>
      </c>
      <c r="R156" s="32" t="str">
        <f>IF(B156="高三",IF($E156="男",LOOKUP(Q156,[1]对照表!$W$3:$W$24,[1]对照表!$X$3:$X$24),LOOKUP(Q156,[1]对照表!$W$27:$W$48,[1]对照表!$X$27:$X$48)),IF(B156="高二",IF($E156="男",LOOKUP(Q156,[1]对照表!$V$3:$V$24,[1]对照表!$X$3:$X$24),LOOKUP(Q156,[1]对照表!$V$27:$V$48,[1]对照表!$X$27:$X$48)),IF(B156="高一",IF($E156="男",LOOKUP(Q156,[1]对照表!$U$3:$U$24,[1]对照表!$X$3:$X$24),LOOKUP(Q156,[1]对照表!$U$27:$U$48,[1]对照表!$X$27:$X$48)))))</f>
        <v>/</v>
      </c>
      <c r="S156" s="33">
        <v>0</v>
      </c>
      <c r="T156" s="23">
        <f>IF(E156="男",LOOKUP($S156,[1]对照表!$AB$3:$AB$13,[1]对照表!$AC$3:$AC$13),LOOKUP($S156,[1]对照表!$AB$15:$AB$25,[1]对照表!$AC$15:$AC$25))</f>
        <v>0</v>
      </c>
      <c r="U156" s="26">
        <v>0</v>
      </c>
      <c r="V156" s="26">
        <f>SUM(I156,K156,M156)/3*0.3+SUM(G156,R156)/2*0.4</f>
        <v>38.300000000000004</v>
      </c>
      <c r="W156" s="27">
        <f>O156+T156</f>
        <v>0</v>
      </c>
      <c r="X156" s="28">
        <f>V156/0.7+W156</f>
        <v>54.714285714285722</v>
      </c>
      <c r="Y156" s="28">
        <f>X156</f>
        <v>54.714285714285722</v>
      </c>
      <c r="Z156" s="38"/>
    </row>
    <row r="157" spans="1:26" ht="15.6" x14ac:dyDescent="0.25">
      <c r="A157" s="48">
        <v>28</v>
      </c>
      <c r="B157" s="17" t="s">
        <v>767</v>
      </c>
      <c r="C157" s="48">
        <v>203</v>
      </c>
      <c r="D157" s="49" t="s">
        <v>1354</v>
      </c>
      <c r="E157" s="48" t="s">
        <v>65</v>
      </c>
      <c r="F157" s="50">
        <v>9.19</v>
      </c>
      <c r="G157" s="32">
        <f>IF(B157="高三",IF($E157="男",LOOKUP(F157,[1]对照表!$G$3:$G$24,[1]对照表!$H$3:$H$24),LOOKUP(F157,[1]对照表!$G$27:$G$48,[1]对照表!$H$27:$H$48)),IF(B157="高二",IF($E157="男",LOOKUP(F157,[1]对照表!$F$3:$F$24,[1]对照表!$H$3:$H$24),LOOKUP(F157,[1]对照表!$F$27:$F$48,[1]对照表!$H$27:$H$48)),IF(B157="高一",IF($E157="男",LOOKUP(F157,[1]对照表!$E$3:$E$24,[1]对照表!$H$3:$H$24),LOOKUP(F157,[1]对照表!$E$27:$E$48,[1]对照表!$H$27:$H$48)))))</f>
        <v>72</v>
      </c>
      <c r="H157" s="38">
        <v>25.7</v>
      </c>
      <c r="I157" s="32">
        <f>IF(B157="高三",IF($E157="男",LOOKUP(H157,[1]对照表!$K$3:$K$24,[1]对照表!$L$3:$L$24),LOOKUP(H157,[1]对照表!$K$27:$K$48,[1]对照表!$L$27:$L$48)),IF(B157="高二",IF($E157="男",LOOKUP(H157,[1]对照表!$J$3:$J$24,[1]对照表!$L$3:$L$24),LOOKUP(H157,[1]对照表!$J$27:$J$48,[1]对照表!$L$27:$L$48)),IF(B157="高一",IF($E157="男",LOOKUP(H157,[1]对照表!$I$3:$I$24,[1]对照表!$L$3:$L$24),LOOKUP(H157,[1]对照表!$I$27:$I$48,[1]对照表!$L$27:$L$48)))))</f>
        <v>100</v>
      </c>
      <c r="J157" s="38">
        <v>160</v>
      </c>
      <c r="K157" s="32">
        <f>IF(B157="高三",IF($E157="男",LOOKUP(J157,[1]对照表!$O$3:$O$24,[1]对照表!$P$3:$P$24),LOOKUP(J157,[1]对照表!$O$27:$O$48,[1]对照表!$P$27:$P$48)),IF(B157="高二",IF($E157="男",LOOKUP(J157,[1]对照表!$N$3:$N$24,[1]对照表!$P$3:$P$24),LOOKUP(J157,[1]对照表!$N$27:$N$48,[1]对照表!$P$27:$P$48)),IF(B157="高一",IF($E157="男",LOOKUP(J157,[1]对照表!$M$3:$M$24,[1]对照表!$P$3:$P$24),LOOKUP(J157,[1]对照表!$M$27:$M$48,[1]对照表!$P$27:$P$48)))))</f>
        <v>66</v>
      </c>
      <c r="L157" s="38">
        <v>36</v>
      </c>
      <c r="M157" s="32">
        <f>IF(B157="高三",IF($E157="男",LOOKUP(L157,[1]对照表!$S$3:$S$24,[1]对照表!$T$3:$T$24),LOOKUP(L157,[1]对照表!$S$27:$S$48,[1]对照表!$T$27:$T$48)),IF(B157="高二",IF($E157="男",LOOKUP(L157,[1]对照表!$R$3:$R$24,[1]对照表!$T$3:$T$24),LOOKUP(L157,[1]对照表!$R$27:$R$48,[1]对照表!$T$27:$T$48)),IF(B157="高一",IF($E157="男",LOOKUP(L157,[1]对照表!$Q$3:$Q$24,[1]对照表!$T$3:$T$24),LOOKUP(L157,[1]对照表!$Q$27:$Q$48,[1]对照表!$T$27:$T$48)))))</f>
        <v>72</v>
      </c>
      <c r="N157" s="33">
        <f>IF(B157="高三",MAX(IF(E157="男",L157-18,L157-55),0),IF(B157="高二",MAX(IF(E157="男",L157-17,L157-54),0),IF(B157="高一",MAX(IF(E157="男",L157-16,L157-53),0))))</f>
        <v>0</v>
      </c>
      <c r="O157" s="23">
        <f>IF(E157="男",LOOKUP($N157,[1]对照表!$Z$3:$Z$13,[1]对照表!$AA$3:$AA$13),LOOKUP($N157,[1]对照表!$Z$15:$Z$25,[1]对照表!$AA$15:$AA$25))</f>
        <v>0</v>
      </c>
      <c r="P157" s="25">
        <f>M157+O157</f>
        <v>72</v>
      </c>
      <c r="Q157" s="50" t="s">
        <v>578</v>
      </c>
      <c r="R157" s="32" t="str">
        <f>IF(B157="高三",IF($E157="男",LOOKUP(Q157,[1]对照表!$W$3:$W$24,[1]对照表!$X$3:$X$24),LOOKUP(Q157,[1]对照表!$W$27:$W$48,[1]对照表!$X$27:$X$48)),IF(B157="高二",IF($E157="男",LOOKUP(Q157,[1]对照表!$V$3:$V$24,[1]对照表!$X$3:$X$24),LOOKUP(Q157,[1]对照表!$V$27:$V$48,[1]对照表!$X$27:$X$48)),IF(B157="高一",IF($E157="男",LOOKUP(Q157,[1]对照表!$U$3:$U$24,[1]对照表!$X$3:$X$24),LOOKUP(Q157,[1]对照表!$U$27:$U$48,[1]对照表!$X$27:$X$48)))))</f>
        <v>/</v>
      </c>
      <c r="S157" s="33">
        <v>0</v>
      </c>
      <c r="T157" s="23">
        <f>IF(E157="男",LOOKUP($S157,[1]对照表!$AB$3:$AB$13,[1]对照表!$AC$3:$AC$13),LOOKUP($S157,[1]对照表!$AB$15:$AB$25,[1]对照表!$AC$15:$AC$25))</f>
        <v>0</v>
      </c>
      <c r="U157" s="26">
        <v>0</v>
      </c>
      <c r="V157" s="26">
        <f>SUM(I157,K157,M157)/3*0.3+SUM(G157,R157)/2*0.4</f>
        <v>38.199999999999996</v>
      </c>
      <c r="W157" s="27">
        <f>O157+T157</f>
        <v>0</v>
      </c>
      <c r="X157" s="28">
        <f>V157/0.7+W157</f>
        <v>54.571428571428569</v>
      </c>
      <c r="Y157" s="28">
        <f>X157</f>
        <v>54.571428571428569</v>
      </c>
      <c r="Z157" s="38"/>
    </row>
    <row r="158" spans="1:26" ht="15.6" customHeight="1" x14ac:dyDescent="0.25">
      <c r="A158" s="48">
        <v>48</v>
      </c>
      <c r="B158" s="17" t="s">
        <v>767</v>
      </c>
      <c r="C158" s="48">
        <v>203</v>
      </c>
      <c r="D158" s="49" t="s">
        <v>1356</v>
      </c>
      <c r="E158" s="48" t="s">
        <v>65</v>
      </c>
      <c r="F158" s="50">
        <v>10.75</v>
      </c>
      <c r="G158" s="32">
        <f>IF(B158="高三",IF($E158="男",LOOKUP(F158,[1]对照表!$G$3:$G$24,[1]对照表!$H$3:$H$24),LOOKUP(F158,[1]对照表!$G$27:$G$48,[1]对照表!$H$27:$H$48)),IF(B158="高二",IF($E158="男",LOOKUP(F158,[1]对照表!$F$3:$F$24,[1]对照表!$H$3:$H$24),LOOKUP(F158,[1]对照表!$F$27:$F$48,[1]对照表!$H$27:$H$48)),IF(B158="高一",IF($E158="男",LOOKUP(F158,[1]对照表!$E$3:$E$24,[1]对照表!$H$3:$H$24),LOOKUP(F158,[1]对照表!$E$27:$E$48,[1]对照表!$H$27:$H$48)))))</f>
        <v>40</v>
      </c>
      <c r="H158" s="38">
        <v>19.5</v>
      </c>
      <c r="I158" s="32">
        <f>IF(B158="高三",IF($E158="男",LOOKUP(H158,[1]对照表!$K$3:$K$24,[1]对照表!$L$3:$L$24),LOOKUP(H158,[1]对照表!$K$27:$K$48,[1]对照表!$L$27:$L$48)),IF(B158="高二",IF($E158="男",LOOKUP(H158,[1]对照表!$J$3:$J$24,[1]对照表!$L$3:$L$24),LOOKUP(H158,[1]对照表!$J$27:$J$48,[1]对照表!$L$27:$L$48)),IF(B158="高一",IF($E158="男",LOOKUP(H158,[1]对照表!$I$3:$I$24,[1]对照表!$L$3:$L$24),LOOKUP(H158,[1]对照表!$I$27:$I$48,[1]对照表!$L$27:$L$48)))))</f>
        <v>80</v>
      </c>
      <c r="J158" s="38">
        <v>145</v>
      </c>
      <c r="K158" s="32">
        <f>IF(B158="高三",IF($E158="男",LOOKUP(J158,[1]对照表!$O$3:$O$24,[1]对照表!$P$3:$P$24),LOOKUP(J158,[1]对照表!$O$27:$O$48,[1]对照表!$P$27:$P$48)),IF(B158="高二",IF($E158="男",LOOKUP(J158,[1]对照表!$N$3:$N$24,[1]对照表!$P$3:$P$24),LOOKUP(J158,[1]对照表!$N$27:$N$48,[1]对照表!$P$27:$P$48)),IF(B158="高一",IF($E158="男",LOOKUP(J158,[1]对照表!$M$3:$M$24,[1]对照表!$P$3:$P$24),LOOKUP(J158,[1]对照表!$M$27:$M$48,[1]对照表!$P$27:$P$48)))))</f>
        <v>50</v>
      </c>
      <c r="L158" s="38">
        <v>45</v>
      </c>
      <c r="M158" s="32">
        <f>IF(B158="高三",IF($E158="男",LOOKUP(L158,[1]对照表!$S$3:$S$24,[1]对照表!$T$3:$T$24),LOOKUP(L158,[1]对照表!$S$27:$S$48,[1]对照表!$T$27:$T$48)),IF(B158="高二",IF($E158="男",LOOKUP(L158,[1]对照表!$R$3:$R$24,[1]对照表!$T$3:$T$24),LOOKUP(L158,[1]对照表!$R$27:$R$48,[1]对照表!$T$27:$T$48)),IF(B158="高一",IF($E158="男",LOOKUP(L158,[1]对照表!$Q$3:$Q$24,[1]对照表!$T$3:$T$24),LOOKUP(L158,[1]对照表!$Q$27:$Q$48,[1]对照表!$T$27:$T$48)))))</f>
        <v>80</v>
      </c>
      <c r="N158" s="33">
        <f>IF(B158="高三",MAX(IF(E158="男",L158-18,L158-55),0),IF(B158="高二",MAX(IF(E158="男",L158-17,L158-54),0),IF(B158="高一",MAX(IF(E158="男",L158-16,L158-53),0))))</f>
        <v>0</v>
      </c>
      <c r="O158" s="23">
        <f>IF(E158="男",LOOKUP($N158,[1]对照表!$Z$3:$Z$13,[1]对照表!$AA$3:$AA$13),LOOKUP($N158,[1]对照表!$Z$15:$Z$25,[1]对照表!$AA$15:$AA$25))</f>
        <v>0</v>
      </c>
      <c r="P158" s="25">
        <f>M158+O158</f>
        <v>80</v>
      </c>
      <c r="Q158" s="50">
        <v>4.51</v>
      </c>
      <c r="R158" s="32">
        <f>IF(B158="高三",IF($E158="男",LOOKUP(Q158,[1]对照表!$W$3:$W$24,[1]对照表!$X$3:$X$24),LOOKUP(Q158,[1]对照表!$W$27:$W$48,[1]对照表!$X$27:$X$48)),IF(B158="高二",IF($E158="男",LOOKUP(Q158,[1]对照表!$V$3:$V$24,[1]对照表!$X$3:$X$24),LOOKUP(Q158,[1]对照表!$V$27:$V$48,[1]对照表!$X$27:$X$48)),IF(B158="高一",IF($E158="男",LOOKUP(Q158,[1]对照表!$U$3:$U$24,[1]对照表!$X$3:$X$24),LOOKUP(Q158,[1]对照表!$U$27:$U$48,[1]对照表!$X$27:$X$48)))))</f>
        <v>40</v>
      </c>
      <c r="S158" s="33">
        <f>ROUND(IF(IF($B158="高三",MIN(IF($E158="男",$Q158-3.2,$Q158-3.2),0),IF($B158="高二",MIN(IF($E158="男",$Q158-3.25,$Q158-3.22),0),IF($B158="高一",MIN(IF($E158="男",$Q158-3.3,$Q158-3.24),0))))&lt;-0.6,IF($B158="高三",MIN(IF($E158="男",$Q158-3.2,$Q158-3.2),0),IF($B158="高二",MIN(IF($E158="男",$Q158-3.25,$Q158-3.22),0),IF($B158="高一",MIN(IF($E158="男",$Q158-3.3,$Q158-3.24),0))))+0.4,IF($B158="高三",MIN(IF($E158="男",$Q158-3.2,$Q158-3.2),0),IF($B158="高二",MIN(IF($E158="男",$Q158-3.25,$Q158-3.22),0),IF($B158="高一",MIN(IF($E158="男",$Q158-3.3,$Q158-3.24),0))))),2)</f>
        <v>0</v>
      </c>
      <c r="T158" s="23">
        <f>IF(E158="男",LOOKUP($S158,[1]对照表!$AB$3:$AB$13,[1]对照表!$AC$3:$AC$13),LOOKUP($S158,[1]对照表!$AB$15:$AB$25,[1]对照表!$AC$15:$AC$25))</f>
        <v>0</v>
      </c>
      <c r="U158" s="26">
        <f>R158+T158</f>
        <v>40</v>
      </c>
      <c r="V158" s="26">
        <f>SUM(I158,K158,M158)/3*0.3+SUM(G158,R158)/2*0.4</f>
        <v>37</v>
      </c>
      <c r="W158" s="27">
        <f>O158+T158</f>
        <v>0</v>
      </c>
      <c r="X158" s="28">
        <f>V158/0.7+W158</f>
        <v>52.857142857142861</v>
      </c>
      <c r="Y158" s="28">
        <f>X158</f>
        <v>52.857142857142861</v>
      </c>
      <c r="Z158" s="38"/>
    </row>
    <row r="159" spans="1:26" ht="15.6" x14ac:dyDescent="0.25">
      <c r="A159" s="48">
        <v>7</v>
      </c>
      <c r="B159" s="17" t="s">
        <v>767</v>
      </c>
      <c r="C159" s="48">
        <v>203</v>
      </c>
      <c r="D159" s="49" t="s">
        <v>1373</v>
      </c>
      <c r="E159" s="49" t="s">
        <v>23</v>
      </c>
      <c r="F159" s="50">
        <v>7.2</v>
      </c>
      <c r="G159" s="32">
        <f>IF(B159="高三",IF($E159="男",LOOKUP(F159,[1]对照表!$G$3:$G$24,[1]对照表!$H$3:$H$24),LOOKUP(F159,[1]对照表!$G$27:$G$48,[1]对照表!$H$27:$H$48)),IF(B159="高二",IF($E159="男",LOOKUP(F159,[1]对照表!$F$3:$F$24,[1]对照表!$H$3:$H$24),LOOKUP(F159,[1]对照表!$F$27:$F$48,[1]对照表!$H$27:$H$48)),IF(B159="高一",IF($E159="男",LOOKUP(F159,[1]对照表!$E$3:$E$24,[1]对照表!$H$3:$H$24),LOOKUP(F159,[1]对照表!$E$27:$E$48,[1]对照表!$H$27:$H$48)))))</f>
        <v>90</v>
      </c>
      <c r="H159" s="38">
        <v>26.5</v>
      </c>
      <c r="I159" s="32">
        <f>IF(B159="高三",IF($E159="男",LOOKUP(H159,[1]对照表!$K$3:$K$24,[1]对照表!$L$3:$L$24),LOOKUP(H159,[1]对照表!$K$27:$K$48,[1]对照表!$L$27:$L$48)),IF(B159="高二",IF($E159="男",LOOKUP(H159,[1]对照表!$J$3:$J$24,[1]对照表!$L$3:$L$24),LOOKUP(H159,[1]对照表!$J$27:$J$48,[1]对照表!$L$27:$L$48)),IF(B159="高一",IF($E159="男",LOOKUP(H159,[1]对照表!$I$3:$I$24,[1]对照表!$L$3:$L$24),LOOKUP(H159,[1]对照表!$I$27:$I$48,[1]对照表!$L$27:$L$48)))))</f>
        <v>100</v>
      </c>
      <c r="J159" s="38">
        <v>215</v>
      </c>
      <c r="K159" s="32">
        <f>IF(B159="高三",IF($E159="男",LOOKUP(J159,[1]对照表!$O$3:$O$24,[1]对照表!$P$3:$P$24),LOOKUP(J159,[1]对照表!$O$27:$O$48,[1]对照表!$P$27:$P$48)),IF(B159="高二",IF($E159="男",LOOKUP(J159,[1]对照表!$N$3:$N$24,[1]对照表!$P$3:$P$24),LOOKUP(J159,[1]对照表!$N$27:$N$48,[1]对照表!$P$27:$P$48)),IF(B159="高一",IF($E159="男",LOOKUP(J159,[1]对照表!$M$3:$M$24,[1]对照表!$P$3:$P$24),LOOKUP(J159,[1]对照表!$M$27:$M$48,[1]对照表!$P$27:$P$48)))))</f>
        <v>66</v>
      </c>
      <c r="L159" s="38">
        <v>0</v>
      </c>
      <c r="M159" s="32">
        <f>IF(B159="高三",IF($E159="男",LOOKUP(L159,[1]对照表!$S$3:$S$24,[1]对照表!$T$3:$T$24),LOOKUP(L159,[1]对照表!$S$27:$S$48,[1]对照表!$T$27:$T$48)),IF(B159="高二",IF($E159="男",LOOKUP(L159,[1]对照表!$R$3:$R$24,[1]对照表!$T$3:$T$24),LOOKUP(L159,[1]对照表!$R$27:$R$48,[1]对照表!$T$27:$T$48)),IF(B159="高一",IF($E159="男",LOOKUP(L159,[1]对照表!$Q$3:$Q$24,[1]对照表!$T$3:$T$24),LOOKUP(L159,[1]对照表!$Q$27:$Q$48,[1]对照表!$T$27:$T$48)))))</f>
        <v>0</v>
      </c>
      <c r="N159" s="33">
        <f>IF(B159="高三",MAX(IF(E159="男",L159-18,L159-55),0),IF(B159="高二",MAX(IF(E159="男",L159-17,L159-54),0),IF(B159="高一",MAX(IF(E159="男",L159-16,L159-53),0))))</f>
        <v>0</v>
      </c>
      <c r="O159" s="23">
        <f>IF(E159="男",LOOKUP($N159,[1]对照表!$Z$3:$Z$13,[1]对照表!$AA$3:$AA$13),LOOKUP($N159,[1]对照表!$Z$15:$Z$25,[1]对照表!$AA$15:$AA$25))</f>
        <v>0</v>
      </c>
      <c r="P159" s="25">
        <f>M159+O159</f>
        <v>0</v>
      </c>
      <c r="Q159" s="50">
        <v>4.1100000000000003</v>
      </c>
      <c r="R159" s="32">
        <f>IF(B159="高三",IF($E159="男",LOOKUP(Q159,[1]对照表!$W$3:$W$24,[1]对照表!$X$3:$X$24),LOOKUP(Q159,[1]对照表!$W$27:$W$48,[1]对照表!$X$27:$X$48)),IF(B159="高二",IF($E159="男",LOOKUP(Q159,[1]对照表!$V$3:$V$24,[1]对照表!$X$3:$X$24),LOOKUP(Q159,[1]对照表!$V$27:$V$48,[1]对照表!$X$27:$X$48)),IF(B159="高一",IF($E159="男",LOOKUP(Q159,[1]对照表!$U$3:$U$24,[1]对照表!$X$3:$X$24),LOOKUP(Q159,[1]对照表!$U$27:$U$48,[1]对照表!$X$27:$X$48)))))</f>
        <v>70</v>
      </c>
      <c r="S159" s="33">
        <f>ROUND(IF(IF($B159="高三",MIN(IF($E159="男",$Q159-3.2,$Q159-3.2),0),IF($B159="高二",MIN(IF($E159="男",$Q159-3.25,$Q159-3.22),0),IF($B159="高一",MIN(IF($E159="男",$Q159-3.3,$Q159-3.24),0))))&lt;-0.6,IF($B159="高三",MIN(IF($E159="男",$Q159-3.2,$Q159-3.2),0),IF($B159="高二",MIN(IF($E159="男",$Q159-3.25,$Q159-3.22),0),IF($B159="高一",MIN(IF($E159="男",$Q159-3.3,$Q159-3.24),0))))+0.4,IF($B159="高三",MIN(IF($E159="男",$Q159-3.2,$Q159-3.2),0),IF($B159="高二",MIN(IF($E159="男",$Q159-3.25,$Q159-3.22),0),IF($B159="高一",MIN(IF($E159="男",$Q159-3.3,$Q159-3.24),0))))),2)</f>
        <v>0</v>
      </c>
      <c r="T159" s="23">
        <f>IF(E159="男",LOOKUP($S159,[1]对照表!$AB$3:$AB$13,[1]对照表!$AC$3:$AC$13),LOOKUP($S159,[1]对照表!$AB$15:$AB$25,[1]对照表!$AC$15:$AC$25))</f>
        <v>0</v>
      </c>
      <c r="U159" s="26">
        <f>R159+T159</f>
        <v>70</v>
      </c>
      <c r="V159" s="26">
        <f>SUM(I159,K159,M159)/3*0.3+SUM(G159,R159)/2*0.4</f>
        <v>48.6</v>
      </c>
      <c r="W159" s="27">
        <f>O159+T159</f>
        <v>0</v>
      </c>
      <c r="X159" s="28">
        <f>V159/0.7+W159</f>
        <v>69.428571428571431</v>
      </c>
      <c r="Y159" s="28">
        <f>X159</f>
        <v>69.428571428571431</v>
      </c>
      <c r="Z159" s="38"/>
    </row>
    <row r="160" spans="1:26" ht="15.6" x14ac:dyDescent="0.25">
      <c r="A160" s="48">
        <v>2</v>
      </c>
      <c r="B160" s="17" t="s">
        <v>767</v>
      </c>
      <c r="C160" s="48">
        <v>203</v>
      </c>
      <c r="D160" s="49" t="s">
        <v>1383</v>
      </c>
      <c r="E160" s="49" t="s">
        <v>23</v>
      </c>
      <c r="F160" s="50">
        <v>8</v>
      </c>
      <c r="G160" s="32">
        <f>IF(B160="高三",IF($E160="男",LOOKUP(F160,[1]对照表!$G$3:$G$24,[1]对照表!$H$3:$H$24),LOOKUP(F160,[1]对照表!$G$27:$G$48,[1]对照表!$H$27:$H$48)),IF(B160="高二",IF($E160="男",LOOKUP(F160,[1]对照表!$F$3:$F$24,[1]对照表!$H$3:$H$24),LOOKUP(F160,[1]对照表!$F$27:$F$48,[1]对照表!$H$27:$H$48)),IF(B160="高一",IF($E160="男",LOOKUP(F160,[1]对照表!$E$3:$E$24,[1]对照表!$H$3:$H$24),LOOKUP(F160,[1]对照表!$E$27:$E$48,[1]对照表!$H$27:$H$48)))))</f>
        <v>74</v>
      </c>
      <c r="H160" s="38">
        <v>27</v>
      </c>
      <c r="I160" s="32">
        <f>IF(B160="高三",IF($E160="男",LOOKUP(H160,[1]对照表!$K$3:$K$24,[1]对照表!$L$3:$L$24),LOOKUP(H160,[1]对照表!$K$27:$K$48,[1]对照表!$L$27:$L$48)),IF(B160="高二",IF($E160="男",LOOKUP(H160,[1]对照表!$J$3:$J$24,[1]对照表!$L$3:$L$24),LOOKUP(H160,[1]对照表!$J$27:$J$48,[1]对照表!$L$27:$L$48)),IF(B160="高一",IF($E160="男",LOOKUP(H160,[1]对照表!$I$3:$I$24,[1]对照表!$L$3:$L$24),LOOKUP(H160,[1]对照表!$I$27:$I$48,[1]对照表!$L$27:$L$48)))))</f>
        <v>100</v>
      </c>
      <c r="J160" s="38">
        <v>218</v>
      </c>
      <c r="K160" s="32">
        <f>IF(B160="高三",IF($E160="男",LOOKUP(J160,[1]对照表!$O$3:$O$24,[1]对照表!$P$3:$P$24),LOOKUP(J160,[1]对照表!$O$27:$O$48,[1]对照表!$P$27:$P$48)),IF(B160="高二",IF($E160="男",LOOKUP(J160,[1]对照表!$N$3:$N$24,[1]对照表!$P$3:$P$24),LOOKUP(J160,[1]对照表!$N$27:$N$48,[1]对照表!$P$27:$P$48)),IF(B160="高一",IF($E160="男",LOOKUP(J160,[1]对照表!$M$3:$M$24,[1]对照表!$P$3:$P$24),LOOKUP(J160,[1]对照表!$M$27:$M$48,[1]对照表!$P$27:$P$48)))))</f>
        <v>68</v>
      </c>
      <c r="L160" s="38">
        <v>0</v>
      </c>
      <c r="M160" s="32">
        <f>IF(B160="高三",IF($E160="男",LOOKUP(L160,[1]对照表!$S$3:$S$24,[1]对照表!$T$3:$T$24),LOOKUP(L160,[1]对照表!$S$27:$S$48,[1]对照表!$T$27:$T$48)),IF(B160="高二",IF($E160="男",LOOKUP(L160,[1]对照表!$R$3:$R$24,[1]对照表!$T$3:$T$24),LOOKUP(L160,[1]对照表!$R$27:$R$48,[1]对照表!$T$27:$T$48)),IF(B160="高一",IF($E160="男",LOOKUP(L160,[1]对照表!$Q$3:$Q$24,[1]对照表!$T$3:$T$24),LOOKUP(L160,[1]对照表!$Q$27:$Q$48,[1]对照表!$T$27:$T$48)))))</f>
        <v>0</v>
      </c>
      <c r="N160" s="33">
        <f>IF(B160="高三",MAX(IF(E160="男",L160-18,L160-55),0),IF(B160="高二",MAX(IF(E160="男",L160-17,L160-54),0),IF(B160="高一",MAX(IF(E160="男",L160-16,L160-53),0))))</f>
        <v>0</v>
      </c>
      <c r="O160" s="23">
        <f>IF(E160="男",LOOKUP($N160,[1]对照表!$Z$3:$Z$13,[1]对照表!$AA$3:$AA$13),LOOKUP($N160,[1]对照表!$Z$15:$Z$25,[1]对照表!$AA$15:$AA$25))</f>
        <v>0</v>
      </c>
      <c r="P160" s="25">
        <f>M160+O160</f>
        <v>0</v>
      </c>
      <c r="Q160" s="50">
        <v>3.53</v>
      </c>
      <c r="R160" s="32">
        <f>IF(B160="高三",IF($E160="男",LOOKUP(Q160,[1]对照表!$W$3:$W$24,[1]对照表!$X$3:$X$24),LOOKUP(Q160,[1]对照表!$W$27:$W$48,[1]对照表!$X$27:$X$48)),IF(B160="高二",IF($E160="男",LOOKUP(Q160,[1]对照表!$V$3:$V$24,[1]对照表!$X$3:$X$24),LOOKUP(Q160,[1]对照表!$V$27:$V$48,[1]对照表!$X$27:$X$48)),IF(B160="高一",IF($E160="男",LOOKUP(Q160,[1]对照表!$U$3:$U$24,[1]对照表!$X$3:$X$24),LOOKUP(Q160,[1]对照表!$U$27:$U$48,[1]对照表!$X$27:$X$48)))))</f>
        <v>78</v>
      </c>
      <c r="S160" s="33">
        <f>ROUND(IF(IF($B160="高三",MIN(IF($E160="男",$Q160-3.2,$Q160-3.2),0),IF($B160="高二",MIN(IF($E160="男",$Q160-3.25,$Q160-3.22),0),IF($B160="高一",MIN(IF($E160="男",$Q160-3.3,$Q160-3.24),0))))&lt;-0.6,IF($B160="高三",MIN(IF($E160="男",$Q160-3.2,$Q160-3.2),0),IF($B160="高二",MIN(IF($E160="男",$Q160-3.25,$Q160-3.22),0),IF($B160="高一",MIN(IF($E160="男",$Q160-3.3,$Q160-3.24),0))))+0.4,IF($B160="高三",MIN(IF($E160="男",$Q160-3.2,$Q160-3.2),0),IF($B160="高二",MIN(IF($E160="男",$Q160-3.25,$Q160-3.22),0),IF($B160="高一",MIN(IF($E160="男",$Q160-3.3,$Q160-3.24),0))))),2)</f>
        <v>0</v>
      </c>
      <c r="T160" s="23">
        <f>IF(E160="男",LOOKUP($S160,[1]对照表!$AB$3:$AB$13,[1]对照表!$AC$3:$AC$13),LOOKUP($S160,[1]对照表!$AB$15:$AB$25,[1]对照表!$AC$15:$AC$25))</f>
        <v>0</v>
      </c>
      <c r="U160" s="26">
        <f>R160+T160</f>
        <v>78</v>
      </c>
      <c r="V160" s="26">
        <f>SUM(I160,K160,M160)/3*0.3+SUM(G160,R160)/2*0.4</f>
        <v>47.2</v>
      </c>
      <c r="W160" s="27">
        <f>O160+T160</f>
        <v>0</v>
      </c>
      <c r="X160" s="28">
        <f>V160/0.7+W160</f>
        <v>67.428571428571431</v>
      </c>
      <c r="Y160" s="28">
        <f>X160</f>
        <v>67.428571428571431</v>
      </c>
      <c r="Z160" s="38"/>
    </row>
    <row r="161" spans="1:26" ht="15.6" x14ac:dyDescent="0.25">
      <c r="A161" s="48">
        <v>16</v>
      </c>
      <c r="B161" s="17" t="s">
        <v>767</v>
      </c>
      <c r="C161" s="48">
        <v>203</v>
      </c>
      <c r="D161" s="49" t="s">
        <v>1392</v>
      </c>
      <c r="E161" s="48" t="s">
        <v>65</v>
      </c>
      <c r="F161" s="50">
        <v>8.5500000000000007</v>
      </c>
      <c r="G161" s="32">
        <f>IF(B161="高三",IF($E161="男",LOOKUP(F161,[1]对照表!$G$3:$G$24,[1]对照表!$H$3:$H$24),LOOKUP(F161,[1]对照表!$G$27:$G$48,[1]对照表!$H$27:$H$48)),IF(B161="高二",IF($E161="男",LOOKUP(F161,[1]对照表!$F$3:$F$24,[1]对照表!$H$3:$H$24),LOOKUP(F161,[1]对照表!$F$27:$F$48,[1]对照表!$H$27:$H$48)),IF(B161="高一",IF($E161="男",LOOKUP(F161,[1]对照表!$E$3:$E$24,[1]对照表!$H$3:$H$24),LOOKUP(F161,[1]对照表!$E$27:$E$48,[1]对照表!$H$27:$H$48)))))</f>
        <v>78</v>
      </c>
      <c r="H161" s="38">
        <v>23.5</v>
      </c>
      <c r="I161" s="32">
        <f>IF(B161="高三",IF($E161="男",LOOKUP(H161,[1]对照表!$K$3:$K$24,[1]对照表!$L$3:$L$24),LOOKUP(H161,[1]对照表!$K$27:$K$48,[1]对照表!$L$27:$L$48)),IF(B161="高二",IF($E161="男",LOOKUP(H161,[1]对照表!$J$3:$J$24,[1]对照表!$L$3:$L$24),LOOKUP(H161,[1]对照表!$J$27:$J$48,[1]对照表!$L$27:$L$48)),IF(B161="高一",IF($E161="男",LOOKUP(H161,[1]对照表!$I$3:$I$24,[1]对照表!$L$3:$L$24),LOOKUP(H161,[1]对照表!$I$27:$I$48,[1]对照表!$L$27:$L$48)))))</f>
        <v>95</v>
      </c>
      <c r="J161" s="38">
        <v>196</v>
      </c>
      <c r="K161" s="32">
        <f>IF(B161="高三",IF($E161="男",LOOKUP(J161,[1]对照表!$O$3:$O$24,[1]对照表!$P$3:$P$24),LOOKUP(J161,[1]对照表!$O$27:$O$48,[1]对照表!$P$27:$P$48)),IF(B161="高二",IF($E161="男",LOOKUP(J161,[1]对照表!$N$3:$N$24,[1]对照表!$P$3:$P$24),LOOKUP(J161,[1]对照表!$N$27:$N$48,[1]对照表!$P$27:$P$48)),IF(B161="高一",IF($E161="男",LOOKUP(J161,[1]对照表!$M$3:$M$24,[1]对照表!$P$3:$P$24),LOOKUP(J161,[1]对照表!$M$27:$M$48,[1]对照表!$P$27:$P$48)))))</f>
        <v>90</v>
      </c>
      <c r="L161" s="38" t="s">
        <v>578</v>
      </c>
      <c r="M161" s="32">
        <v>0</v>
      </c>
      <c r="N161" s="33">
        <v>0</v>
      </c>
      <c r="O161" s="23">
        <f>IF(E161="男",LOOKUP($N161,[1]对照表!$Z$3:$Z$13,[1]对照表!$AA$3:$AA$13),LOOKUP($N161,[1]对照表!$Z$15:$Z$25,[1]对照表!$AA$15:$AA$25))</f>
        <v>0</v>
      </c>
      <c r="P161" s="25">
        <f>M161+O161</f>
        <v>0</v>
      </c>
      <c r="Q161" s="50"/>
      <c r="R161" s="20">
        <v>0</v>
      </c>
      <c r="S161" s="22">
        <v>0</v>
      </c>
      <c r="T161" s="23">
        <f>IF(E161="男",LOOKUP($S161,[1]对照表!$AB$3:$AB$13,[1]对照表!$AC$3:$AC$13),LOOKUP($S161,[1]对照表!$AB$15:$AB$25,[1]对照表!$AC$15:$AC$25))</f>
        <v>0</v>
      </c>
      <c r="U161" s="26">
        <f>R161+T161</f>
        <v>0</v>
      </c>
      <c r="V161" s="26">
        <f>SUM(I161,K161,M161)/3*0.3+SUM(G161,R161)/2*0.4</f>
        <v>34.1</v>
      </c>
      <c r="W161" s="27">
        <f>O161+T161</f>
        <v>0</v>
      </c>
      <c r="X161" s="28">
        <f>V161/0.7+W161</f>
        <v>48.714285714285722</v>
      </c>
      <c r="Y161" s="29">
        <v>50</v>
      </c>
      <c r="Z161" s="38"/>
    </row>
    <row r="162" spans="1:26" ht="15.6" customHeight="1" x14ac:dyDescent="0.25">
      <c r="A162" s="48">
        <v>55</v>
      </c>
      <c r="B162" s="17" t="s">
        <v>767</v>
      </c>
      <c r="C162" s="48">
        <v>203</v>
      </c>
      <c r="D162" s="49" t="s">
        <v>1394</v>
      </c>
      <c r="E162" s="48" t="s">
        <v>65</v>
      </c>
      <c r="F162" s="50">
        <v>9.99</v>
      </c>
      <c r="G162" s="32">
        <f>IF(B162="高三",IF($E162="男",LOOKUP(F162,[1]对照表!$G$3:$G$24,[1]对照表!$H$3:$H$24),LOOKUP(F162,[1]对照表!$G$27:$G$48,[1]对照表!$H$27:$H$48)),IF(B162="高二",IF($E162="男",LOOKUP(F162,[1]对照表!$F$3:$F$24,[1]对照表!$H$3:$H$24),LOOKUP(F162,[1]对照表!$F$27:$F$48,[1]对照表!$H$27:$H$48)),IF(B162="高一",IF($E162="男",LOOKUP(F162,[1]对照表!$E$3:$E$24,[1]对照表!$H$3:$H$24),LOOKUP(F162,[1]对照表!$E$27:$E$48,[1]对照表!$H$27:$H$48)))))</f>
        <v>64</v>
      </c>
      <c r="H162" s="38">
        <v>9</v>
      </c>
      <c r="I162" s="32">
        <f>IF(B162="高三",IF($E162="男",LOOKUP(H162,[1]对照表!$K$3:$K$24,[1]对照表!$L$3:$L$24),LOOKUP(H162,[1]对照表!$K$27:$K$48,[1]对照表!$L$27:$L$48)),IF(B162="高二",IF($E162="男",LOOKUP(H162,[1]对照表!$J$3:$J$24,[1]对照表!$L$3:$L$24),LOOKUP(H162,[1]对照表!$J$27:$J$48,[1]对照表!$L$27:$L$48)),IF(B162="高一",IF($E162="男",LOOKUP(H162,[1]对照表!$I$3:$I$24,[1]对照表!$L$3:$L$24),LOOKUP(H162,[1]对照表!$I$27:$I$48,[1]对照表!$L$27:$L$48)))))</f>
        <v>66</v>
      </c>
      <c r="J162" s="38">
        <v>171</v>
      </c>
      <c r="K162" s="32">
        <f>IF(B162="高三",IF($E162="男",LOOKUP(J162,[1]对照表!$O$3:$O$24,[1]对照表!$P$3:$P$24),LOOKUP(J162,[1]对照表!$O$27:$O$48,[1]对照表!$P$27:$P$48)),IF(B162="高二",IF($E162="男",LOOKUP(J162,[1]对照表!$N$3:$N$24,[1]对照表!$P$3:$P$24),LOOKUP(J162,[1]对照表!$N$27:$N$48,[1]对照表!$P$27:$P$48)),IF(B162="高一",IF($E162="男",LOOKUP(J162,[1]对照表!$M$3:$M$24,[1]对照表!$P$3:$P$24),LOOKUP(J162,[1]对照表!$M$27:$M$48,[1]对照表!$P$27:$P$48)))))</f>
        <v>74</v>
      </c>
      <c r="L162" s="38">
        <v>35</v>
      </c>
      <c r="M162" s="32">
        <f>IF(B162="高三",IF($E162="男",LOOKUP(L162,[1]对照表!$S$3:$S$24,[1]对照表!$T$3:$T$24),LOOKUP(L162,[1]对照表!$S$27:$S$48,[1]对照表!$T$27:$T$48)),IF(B162="高二",IF($E162="男",LOOKUP(L162,[1]对照表!$R$3:$R$24,[1]对照表!$T$3:$T$24),LOOKUP(L162,[1]对照表!$R$27:$R$48,[1]对照表!$T$27:$T$48)),IF(B162="高一",IF($E162="男",LOOKUP(L162,[1]对照表!$Q$3:$Q$24,[1]对照表!$T$3:$T$24),LOOKUP(L162,[1]对照表!$Q$27:$Q$48,[1]对照表!$T$27:$T$48)))))</f>
        <v>70</v>
      </c>
      <c r="N162" s="33">
        <f>IF(B162="高三",MAX(IF(E162="男",L162-18,L162-55),0),IF(B162="高二",MAX(IF(E162="男",L162-17,L162-54),0),IF(B162="高一",MAX(IF(E162="男",L162-16,L162-53),0))))</f>
        <v>0</v>
      </c>
      <c r="O162" s="23">
        <f>IF(E162="男",LOOKUP($N162,[1]对照表!$Z$3:$Z$13,[1]对照表!$AA$3:$AA$13),LOOKUP($N162,[1]对照表!$Z$15:$Z$25,[1]对照表!$AA$15:$AA$25))</f>
        <v>0</v>
      </c>
      <c r="P162" s="25">
        <f>M162+O162</f>
        <v>70</v>
      </c>
      <c r="Q162" s="50">
        <v>5.33</v>
      </c>
      <c r="R162" s="32">
        <f>IF(B162="高三",IF($E162="男",LOOKUP(Q162,[1]对照表!$W$3:$W$24,[1]对照表!$X$3:$X$24),LOOKUP(Q162,[1]对照表!$W$27:$W$48,[1]对照表!$X$27:$X$48)),IF(B162="高二",IF($E162="男",LOOKUP(Q162,[1]对照表!$V$3:$V$24,[1]对照表!$X$3:$X$24),LOOKUP(Q162,[1]对照表!$V$27:$V$48,[1]对照表!$X$27:$X$48)),IF(B162="高一",IF($E162="男",LOOKUP(Q162,[1]对照表!$U$3:$U$24,[1]对照表!$X$3:$X$24),LOOKUP(Q162,[1]对照表!$U$27:$U$48,[1]对照表!$X$27:$X$48)))))</f>
        <v>0</v>
      </c>
      <c r="S162" s="27">
        <f>ROUND(IF(IF($B162="高三",MIN(IF($E162="男",$Q162-3.2,$Q162-3.2),0),IF($B162="高二",MIN(IF($E162="男",$Q162-3.25,$Q162-3.22),0),IF($B162="高一",MIN(IF($E162="男",$Q162-3.3,$Q162-3.24),0))))&lt;-0.6,IF($B162="高三",MIN(IF($E162="男",$Q162-3.2,$Q162-3.2),0),IF($B162="高二",MIN(IF($E162="男",$Q162-3.25,$Q162-3.22),0),IF($B162="高一",MIN(IF($E162="男",$Q162-3.3,$Q162-3.24),0))))+0.4,IF($B162="高三",MIN(IF($E162="男",$Q162-3.2,$Q162-3.2),0),IF($B162="高二",MIN(IF($E162="男",$Q162-3.25,$Q162-3.22),0),IF($B162="高一",MIN(IF($E162="男",$Q162-3.3,$Q162-3.24),0))))),2)</f>
        <v>0</v>
      </c>
      <c r="T162" s="23">
        <f>IF(E162="男",LOOKUP($S162,[1]对照表!$AB$3:$AB$13,[1]对照表!$AC$3:$AC$13),LOOKUP($S162,[1]对照表!$AB$15:$AB$25,[1]对照表!$AC$15:$AC$25))</f>
        <v>0</v>
      </c>
      <c r="U162" s="26">
        <f>R162+T162</f>
        <v>0</v>
      </c>
      <c r="V162" s="26">
        <f>SUM(I162,K162,M162)/3*0.3+SUM(G162,R162)/2*0.4</f>
        <v>33.799999999999997</v>
      </c>
      <c r="W162" s="27">
        <f>O162+T162</f>
        <v>0</v>
      </c>
      <c r="X162" s="28">
        <f>V162/0.7+W162</f>
        <v>48.285714285714285</v>
      </c>
      <c r="Y162" s="29">
        <v>50</v>
      </c>
      <c r="Z162" s="38"/>
    </row>
    <row r="163" spans="1:26" ht="15.6" x14ac:dyDescent="0.25">
      <c r="A163" s="48">
        <v>23</v>
      </c>
      <c r="B163" s="17" t="s">
        <v>767</v>
      </c>
      <c r="C163" s="48">
        <v>203</v>
      </c>
      <c r="D163" s="49" t="s">
        <v>1410</v>
      </c>
      <c r="E163" s="48" t="s">
        <v>65</v>
      </c>
      <c r="F163" s="50"/>
      <c r="G163" s="20">
        <v>0</v>
      </c>
      <c r="H163" s="38">
        <v>18.2</v>
      </c>
      <c r="I163" s="32">
        <f>IF(B163="高三",IF($E163="男",LOOKUP(H163,[1]对照表!$K$3:$K$24,[1]对照表!$L$3:$L$24),LOOKUP(H163,[1]对照表!$K$27:$K$48,[1]对照表!$L$27:$L$48)),IF(B163="高二",IF($E163="男",LOOKUP(H163,[1]对照表!$J$3:$J$24,[1]对照表!$L$3:$L$24),LOOKUP(H163,[1]对照表!$J$27:$J$48,[1]对照表!$L$27:$L$48)),IF(B163="高一",IF($E163="男",LOOKUP(H163,[1]对照表!$I$3:$I$24,[1]对照表!$L$3:$L$24),LOOKUP(H163,[1]对照表!$I$27:$I$48,[1]对照表!$L$27:$L$48)))))</f>
        <v>80</v>
      </c>
      <c r="J163" s="38">
        <v>169</v>
      </c>
      <c r="K163" s="32">
        <f>IF(B163="高三",IF($E163="男",LOOKUP(J163,[1]对照表!$O$3:$O$24,[1]对照表!$P$3:$P$24),LOOKUP(J163,[1]对照表!$O$27:$O$48,[1]对照表!$P$27:$P$48)),IF(B163="高二",IF($E163="男",LOOKUP(J163,[1]对照表!$N$3:$N$24,[1]对照表!$P$3:$P$24),LOOKUP(J163,[1]对照表!$N$27:$N$48,[1]对照表!$P$27:$P$48)),IF(B163="高一",IF($E163="男",LOOKUP(J163,[1]对照表!$M$3:$M$24,[1]对照表!$P$3:$P$24),LOOKUP(J163,[1]对照表!$M$27:$M$48,[1]对照表!$P$27:$P$48)))))</f>
        <v>72</v>
      </c>
      <c r="L163" s="38"/>
      <c r="M163" s="20">
        <v>0</v>
      </c>
      <c r="N163" s="33">
        <f>IF(B163="高三",MAX(IF(E163="男",L163-18,L163-55),0),IF(B163="高二",MAX(IF(E163="男",L163-17,L163-54),0),IF(B163="高一",MAX(IF(E163="男",L163-16,L163-53),0))))</f>
        <v>0</v>
      </c>
      <c r="O163" s="23">
        <f>IF(E163="男",LOOKUP($N163,[1]对照表!$Z$3:$Z$13,[1]对照表!$AA$3:$AA$13),LOOKUP($N163,[1]对照表!$Z$15:$Z$25,[1]对照表!$AA$15:$AA$25))</f>
        <v>0</v>
      </c>
      <c r="P163" s="25">
        <f>M163+O163</f>
        <v>0</v>
      </c>
      <c r="Q163" s="50"/>
      <c r="R163" s="20">
        <v>0</v>
      </c>
      <c r="S163" s="22">
        <v>0</v>
      </c>
      <c r="T163" s="23">
        <f>IF(E163="男",LOOKUP($S163,[1]对照表!$AB$3:$AB$13,[1]对照表!$AC$3:$AC$13),LOOKUP($S163,[1]对照表!$AB$15:$AB$25,[1]对照表!$AC$15:$AC$25))</f>
        <v>0</v>
      </c>
      <c r="U163" s="26">
        <f>R163+T163</f>
        <v>0</v>
      </c>
      <c r="V163" s="26">
        <f>SUM(I163,K163,M163)/3*0.3+SUM(G163,R163)/2*0.4</f>
        <v>15.2</v>
      </c>
      <c r="W163" s="27">
        <f>O163+T163</f>
        <v>0</v>
      </c>
      <c r="X163" s="28">
        <f>V163/0.7+W163</f>
        <v>21.714285714285715</v>
      </c>
      <c r="Y163" s="29">
        <v>50</v>
      </c>
      <c r="Z163" s="38" t="s">
        <v>578</v>
      </c>
    </row>
    <row r="164" spans="1:26" ht="15.6" x14ac:dyDescent="0.25">
      <c r="A164" s="48">
        <v>14</v>
      </c>
      <c r="B164" s="17" t="s">
        <v>767</v>
      </c>
      <c r="C164" s="48">
        <v>203</v>
      </c>
      <c r="D164" s="49" t="s">
        <v>1418</v>
      </c>
      <c r="E164" s="48" t="s">
        <v>65</v>
      </c>
      <c r="F164" s="50" t="s">
        <v>578</v>
      </c>
      <c r="G164" s="32" t="str">
        <f>IF(B164="高三",IF($E164="男",LOOKUP(F164,[1]对照表!$G$3:$G$24,[1]对照表!$H$3:$H$24),LOOKUP(F164,[1]对照表!$G$27:$G$48,[1]对照表!$H$27:$H$48)),IF(B164="高二",IF($E164="男",LOOKUP(F164,[1]对照表!$F$3:$F$24,[1]对照表!$H$3:$H$24),LOOKUP(F164,[1]对照表!$F$27:$F$48,[1]对照表!$H$27:$H$48)),IF(B164="高一",IF($E164="男",LOOKUP(F164,[1]对照表!$E$3:$E$24,[1]对照表!$H$3:$H$24),LOOKUP(F164,[1]对照表!$E$27:$E$48,[1]对照表!$H$27:$H$48)))))</f>
        <v>/</v>
      </c>
      <c r="H164" s="38">
        <v>12</v>
      </c>
      <c r="I164" s="32">
        <f>IF(B164="高三",IF($E164="男",LOOKUP(H164,[1]对照表!$K$3:$K$24,[1]对照表!$L$3:$L$24),LOOKUP(H164,[1]对照表!$K$27:$K$48,[1]对照表!$L$27:$L$48)),IF(B164="高二",IF($E164="男",LOOKUP(H164,[1]对照表!$J$3:$J$24,[1]对照表!$L$3:$L$24),LOOKUP(H164,[1]对照表!$J$27:$J$48,[1]对照表!$L$27:$L$48)),IF(B164="高一",IF($E164="男",LOOKUP(H164,[1]对照表!$I$3:$I$24,[1]对照表!$L$3:$L$24),LOOKUP(H164,[1]对照表!$I$27:$I$48,[1]对照表!$L$27:$L$48)))))</f>
        <v>70</v>
      </c>
      <c r="J164" s="38" t="s">
        <v>578</v>
      </c>
      <c r="K164" s="32" t="str">
        <f>IF(B164="高三",IF($E164="男",LOOKUP(J164,[1]对照表!$O$3:$O$24,[1]对照表!$P$3:$P$24),LOOKUP(J164,[1]对照表!$O$27:$O$48,[1]对照表!$P$27:$P$48)),IF(B164="高二",IF($E164="男",LOOKUP(J164,[1]对照表!$N$3:$N$24,[1]对照表!$P$3:$P$24),LOOKUP(J164,[1]对照表!$N$27:$N$48,[1]对照表!$P$27:$P$48)),IF(B164="高一",IF($E164="男",LOOKUP(J164,[1]对照表!$M$3:$M$24,[1]对照表!$P$3:$P$24),LOOKUP(J164,[1]对照表!$M$27:$M$48,[1]对照表!$P$27:$P$48)))))</f>
        <v>/</v>
      </c>
      <c r="L164" s="38">
        <v>39</v>
      </c>
      <c r="M164" s="32">
        <f>IF(B164="高三",IF($E164="男",LOOKUP(L164,[1]对照表!$S$3:$S$24,[1]对照表!$T$3:$T$24),LOOKUP(L164,[1]对照表!$S$27:$S$48,[1]对照表!$T$27:$T$48)),IF(B164="高二",IF($E164="男",LOOKUP(L164,[1]对照表!$R$3:$R$24,[1]对照表!$T$3:$T$24),LOOKUP(L164,[1]对照表!$R$27:$R$48,[1]对照表!$T$27:$T$48)),IF(B164="高一",IF($E164="男",LOOKUP(L164,[1]对照表!$Q$3:$Q$24,[1]对照表!$T$3:$T$24),LOOKUP(L164,[1]对照表!$Q$27:$Q$48,[1]对照表!$T$27:$T$48)))))</f>
        <v>74</v>
      </c>
      <c r="N164" s="33">
        <f>IF(B164="高三",MAX(IF(E164="男",L164-18,L164-55),0),IF(B164="高二",MAX(IF(E164="男",L164-17,L164-54),0),IF(B164="高一",MAX(IF(E164="男",L164-16,L164-53),0))))</f>
        <v>0</v>
      </c>
      <c r="O164" s="23">
        <f>IF(E164="男",LOOKUP($N164,[1]对照表!$Z$3:$Z$13,[1]对照表!$AA$3:$AA$13),LOOKUP($N164,[1]对照表!$Z$15:$Z$25,[1]对照表!$AA$15:$AA$25))</f>
        <v>0</v>
      </c>
      <c r="P164" s="25">
        <f>M164+O164</f>
        <v>74</v>
      </c>
      <c r="Q164" s="50" t="s">
        <v>578</v>
      </c>
      <c r="R164" s="32" t="str">
        <f>IF(B164="高三",IF($E164="男",LOOKUP(Q164,[1]对照表!$W$3:$W$24,[1]对照表!$X$3:$X$24),LOOKUP(Q164,[1]对照表!$W$27:$W$48,[1]对照表!$X$27:$X$48)),IF(B164="高二",IF($E164="男",LOOKUP(Q164,[1]对照表!$V$3:$V$24,[1]对照表!$X$3:$X$24),LOOKUP(Q164,[1]对照表!$V$27:$V$48,[1]对照表!$X$27:$X$48)),IF(B164="高一",IF($E164="男",LOOKUP(Q164,[1]对照表!$U$3:$U$24,[1]对照表!$X$3:$X$24),LOOKUP(Q164,[1]对照表!$U$27:$U$48,[1]对照表!$X$27:$X$48)))))</f>
        <v>/</v>
      </c>
      <c r="S164" s="27">
        <v>0</v>
      </c>
      <c r="T164" s="23">
        <f>IF(E164="男",LOOKUP($S164,[1]对照表!$AB$3:$AB$13,[1]对照表!$AC$3:$AC$13),LOOKUP($S164,[1]对照表!$AB$15:$AB$25,[1]对照表!$AC$15:$AC$25))</f>
        <v>0</v>
      </c>
      <c r="U164" s="26">
        <v>0</v>
      </c>
      <c r="V164" s="26">
        <f>SUM(I164,K164,M164)/3*0.3+SUM(G164,R164)/2*0.4</f>
        <v>14.399999999999999</v>
      </c>
      <c r="W164" s="27">
        <f>O164+T164</f>
        <v>0</v>
      </c>
      <c r="X164" s="28">
        <f>V164/0.7+W164</f>
        <v>20.571428571428569</v>
      </c>
      <c r="Y164" s="29">
        <v>50</v>
      </c>
      <c r="Z164" s="38"/>
    </row>
    <row r="165" spans="1:26" ht="15.6" x14ac:dyDescent="0.25">
      <c r="A165" s="48">
        <v>3</v>
      </c>
      <c r="B165" s="17" t="s">
        <v>767</v>
      </c>
      <c r="C165" s="48">
        <v>203</v>
      </c>
      <c r="D165" s="49" t="s">
        <v>1419</v>
      </c>
      <c r="E165" s="49" t="s">
        <v>23</v>
      </c>
      <c r="F165" s="50">
        <v>7.3</v>
      </c>
      <c r="G165" s="32">
        <f>IF(B165="高三",IF($E165="男",LOOKUP(F165,[1]对照表!$G$3:$G$24,[1]对照表!$H$3:$H$24),LOOKUP(F165,[1]对照表!$G$27:$G$48,[1]对照表!$H$27:$H$48)),IF(B165="高二",IF($E165="男",LOOKUP(F165,[1]对照表!$F$3:$F$24,[1]对照表!$H$3:$H$24),LOOKUP(F165,[1]对照表!$F$27:$F$48,[1]对照表!$H$27:$H$48)),IF(B165="高一",IF($E165="男",LOOKUP(F165,[1]对照表!$E$3:$E$24,[1]对照表!$H$3:$H$24),LOOKUP(F165,[1]对照表!$E$27:$E$48,[1]对照表!$H$27:$H$48)))))</f>
        <v>85</v>
      </c>
      <c r="H165" s="38">
        <v>14.5</v>
      </c>
      <c r="I165" s="32">
        <f>IF(B165="高三",IF($E165="男",LOOKUP(H165,[1]对照表!$K$3:$K$24,[1]对照表!$L$3:$L$24),LOOKUP(H165,[1]对照表!$K$27:$K$48,[1]对照表!$L$27:$L$48)),IF(B165="高二",IF($E165="男",LOOKUP(H165,[1]对照表!$J$3:$J$24,[1]对照表!$L$3:$L$24),LOOKUP(H165,[1]对照表!$J$27:$J$48,[1]对照表!$L$27:$L$48)),IF(B165="高一",IF($E165="男",LOOKUP(H165,[1]对照表!$I$3:$I$24,[1]对照表!$L$3:$L$24),LOOKUP(H165,[1]对照表!$I$27:$I$48,[1]对照表!$L$27:$L$48)))))</f>
        <v>76</v>
      </c>
      <c r="J165" s="38">
        <v>210</v>
      </c>
      <c r="K165" s="32">
        <f>IF(B165="高三",IF($E165="男",LOOKUP(J165,[1]对照表!$O$3:$O$24,[1]对照表!$P$3:$P$24),LOOKUP(J165,[1]对照表!$O$27:$O$48,[1]对照表!$P$27:$P$48)),IF(B165="高二",IF($E165="男",LOOKUP(J165,[1]对照表!$N$3:$N$24,[1]对照表!$P$3:$P$24),LOOKUP(J165,[1]对照表!$N$27:$N$48,[1]对照表!$P$27:$P$48)),IF(B165="高一",IF($E165="男",LOOKUP(J165,[1]对照表!$M$3:$M$24,[1]对照表!$P$3:$P$24),LOOKUP(J165,[1]对照表!$M$27:$M$48,[1]对照表!$P$27:$P$48)))))</f>
        <v>64</v>
      </c>
      <c r="L165" s="38">
        <v>3</v>
      </c>
      <c r="M165" s="32">
        <f>IF(B165="高三",IF($E165="男",LOOKUP(L165,[1]对照表!$S$3:$S$24,[1]对照表!$T$3:$T$24),LOOKUP(L165,[1]对照表!$S$27:$S$48,[1]对照表!$T$27:$T$48)),IF(B165="高二",IF($E165="男",LOOKUP(L165,[1]对照表!$R$3:$R$24,[1]对照表!$T$3:$T$24),LOOKUP(L165,[1]对照表!$R$27:$R$48,[1]对照表!$T$27:$T$48)),IF(B165="高一",IF($E165="男",LOOKUP(L165,[1]对照表!$Q$3:$Q$24,[1]对照表!$T$3:$T$24),LOOKUP(L165,[1]对照表!$Q$27:$Q$48,[1]对照表!$T$27:$T$48)))))</f>
        <v>10</v>
      </c>
      <c r="N165" s="33">
        <f>IF(B165="高三",MAX(IF(E165="男",L165-18,L165-55),0),IF(B165="高二",MAX(IF(E165="男",L165-17,L165-54),0),IF(B165="高一",MAX(IF(E165="男",L165-16,L165-53),0))))</f>
        <v>0</v>
      </c>
      <c r="O165" s="23">
        <f>IF(E165="男",LOOKUP($N165,[1]对照表!$Z$3:$Z$13,[1]对照表!$AA$3:$AA$13),LOOKUP($N165,[1]对照表!$Z$15:$Z$25,[1]对照表!$AA$15:$AA$25))</f>
        <v>0</v>
      </c>
      <c r="P165" s="25">
        <f>M165+O165</f>
        <v>10</v>
      </c>
      <c r="Q165" s="50">
        <v>4.3600000000000003</v>
      </c>
      <c r="R165" s="32">
        <f>IF(B165="高三",IF($E165="男",LOOKUP(Q165,[1]对照表!$W$3:$W$24,[1]对照表!$X$3:$X$24),LOOKUP(Q165,[1]对照表!$W$27:$W$48,[1]对照表!$X$27:$X$48)),IF(B165="高二",IF($E165="男",LOOKUP(Q165,[1]对照表!$V$3:$V$24,[1]对照表!$X$3:$X$24),LOOKUP(Q165,[1]对照表!$V$27:$V$48,[1]对照表!$X$27:$X$48)),IF(B165="高一",IF($E165="男",LOOKUP(Q165,[1]对照表!$U$3:$U$24,[1]对照表!$X$3:$X$24),LOOKUP(Q165,[1]对照表!$U$27:$U$48,[1]对照表!$X$27:$X$48)))))</f>
        <v>60</v>
      </c>
      <c r="S165" s="33">
        <f>ROUND(IF(IF($B165="高三",MIN(IF($E165="男",$Q165-3.2,$Q165-3.2),0),IF($B165="高二",MIN(IF($E165="男",$Q165-3.25,$Q165-3.22),0),IF($B165="高一",MIN(IF($E165="男",$Q165-3.3,$Q165-3.24),0))))&lt;-0.6,IF($B165="高三",MIN(IF($E165="男",$Q165-3.2,$Q165-3.2),0),IF($B165="高二",MIN(IF($E165="男",$Q165-3.25,$Q165-3.22),0),IF($B165="高一",MIN(IF($E165="男",$Q165-3.3,$Q165-3.24),0))))+0.4,IF($B165="高三",MIN(IF($E165="男",$Q165-3.2,$Q165-3.2),0),IF($B165="高二",MIN(IF($E165="男",$Q165-3.25,$Q165-3.22),0),IF($B165="高一",MIN(IF($E165="男",$Q165-3.3,$Q165-3.24),0))))),2)</f>
        <v>0</v>
      </c>
      <c r="T165" s="23">
        <f>IF(E165="男",LOOKUP($S165,[1]对照表!$AB$3:$AB$13,[1]对照表!$AC$3:$AC$13),LOOKUP($S165,[1]对照表!$AB$15:$AB$25,[1]对照表!$AC$15:$AC$25))</f>
        <v>0</v>
      </c>
      <c r="U165" s="26">
        <f>R165+T165</f>
        <v>60</v>
      </c>
      <c r="V165" s="26">
        <f>SUM(I165,K165,M165)/3*0.3+SUM(G165,R165)/2*0.4</f>
        <v>44</v>
      </c>
      <c r="W165" s="27">
        <f>O165+T165</f>
        <v>0</v>
      </c>
      <c r="X165" s="28">
        <f>V165/0.7+W165</f>
        <v>62.857142857142861</v>
      </c>
      <c r="Y165" s="28">
        <f>X165</f>
        <v>62.857142857142861</v>
      </c>
      <c r="Z165" s="38"/>
    </row>
    <row r="166" spans="1:26" ht="15.6" x14ac:dyDescent="0.25">
      <c r="A166" s="48">
        <v>9</v>
      </c>
      <c r="B166" s="17" t="s">
        <v>767</v>
      </c>
      <c r="C166" s="48">
        <v>203</v>
      </c>
      <c r="D166" s="49" t="s">
        <v>1469</v>
      </c>
      <c r="E166" s="49" t="s">
        <v>23</v>
      </c>
      <c r="F166" s="50"/>
      <c r="G166" s="20">
        <v>0</v>
      </c>
      <c r="H166" s="38"/>
      <c r="I166" s="20">
        <v>0</v>
      </c>
      <c r="J166" s="38"/>
      <c r="K166" s="20">
        <v>0</v>
      </c>
      <c r="L166" s="38"/>
      <c r="M166" s="20">
        <v>0</v>
      </c>
      <c r="N166" s="33">
        <f>IF(B166="高三",MAX(IF(E166="男",L166-18,L166-55),0),IF(B166="高二",MAX(IF(E166="男",L166-17,L166-54),0),IF(B166="高一",MAX(IF(E166="男",L166-16,L166-53),0))))</f>
        <v>0</v>
      </c>
      <c r="O166" s="23">
        <f>IF(E166="男",LOOKUP($N166,[1]对照表!$Z$3:$Z$13,[1]对照表!$AA$3:$AA$13),LOOKUP($N166,[1]对照表!$Z$15:$Z$25,[1]对照表!$AA$15:$AA$25))</f>
        <v>0</v>
      </c>
      <c r="P166" s="25">
        <f>M166+O166</f>
        <v>0</v>
      </c>
      <c r="Q166" s="50"/>
      <c r="R166" s="20">
        <v>0</v>
      </c>
      <c r="S166" s="22">
        <v>0</v>
      </c>
      <c r="T166" s="23">
        <f>IF(E166="男",LOOKUP($S166,[1]对照表!$AB$3:$AB$13,[1]对照表!$AC$3:$AC$13),LOOKUP($S166,[1]对照表!$AB$15:$AB$25,[1]对照表!$AC$15:$AC$25))</f>
        <v>0</v>
      </c>
      <c r="U166" s="26">
        <f>R166+T166</f>
        <v>0</v>
      </c>
      <c r="V166" s="26">
        <f>SUM(I166,K166,M166)/3*0.3+SUM(G166,R166)/2*0.4</f>
        <v>0</v>
      </c>
      <c r="W166" s="27">
        <f>O166+T166</f>
        <v>0</v>
      </c>
      <c r="X166" s="28">
        <f>V166/0.7+W166</f>
        <v>0</v>
      </c>
      <c r="Y166" s="29">
        <v>50</v>
      </c>
      <c r="Z166" s="38" t="s">
        <v>578</v>
      </c>
    </row>
    <row r="167" spans="1:26" ht="15.6" x14ac:dyDescent="0.25">
      <c r="A167" s="48">
        <v>10</v>
      </c>
      <c r="B167" s="17" t="s">
        <v>767</v>
      </c>
      <c r="C167" s="48">
        <v>203</v>
      </c>
      <c r="D167" s="49" t="s">
        <v>1470</v>
      </c>
      <c r="E167" s="49" t="s">
        <v>23</v>
      </c>
      <c r="F167" s="50"/>
      <c r="G167" s="20">
        <v>0</v>
      </c>
      <c r="H167" s="38"/>
      <c r="I167" s="20">
        <v>0</v>
      </c>
      <c r="J167" s="38"/>
      <c r="K167" s="20">
        <v>0</v>
      </c>
      <c r="L167" s="38"/>
      <c r="M167" s="20">
        <v>0</v>
      </c>
      <c r="N167" s="33">
        <f>IF(B167="高三",MAX(IF(E167="男",L167-18,L167-55),0),IF(B167="高二",MAX(IF(E167="男",L167-17,L167-54),0),IF(B167="高一",MAX(IF(E167="男",L167-16,L167-53),0))))</f>
        <v>0</v>
      </c>
      <c r="O167" s="23">
        <f>IF(E167="男",LOOKUP($N167,[1]对照表!$Z$3:$Z$13,[1]对照表!$AA$3:$AA$13),LOOKUP($N167,[1]对照表!$Z$15:$Z$25,[1]对照表!$AA$15:$AA$25))</f>
        <v>0</v>
      </c>
      <c r="P167" s="25">
        <f>M167+O167</f>
        <v>0</v>
      </c>
      <c r="Q167" s="50"/>
      <c r="R167" s="20">
        <v>0</v>
      </c>
      <c r="S167" s="22">
        <v>0</v>
      </c>
      <c r="T167" s="23">
        <f>IF(E167="男",LOOKUP($S167,[1]对照表!$AB$3:$AB$13,[1]对照表!$AC$3:$AC$13),LOOKUP($S167,[1]对照表!$AB$15:$AB$25,[1]对照表!$AC$15:$AC$25))</f>
        <v>0</v>
      </c>
      <c r="U167" s="26">
        <f>R167+T167</f>
        <v>0</v>
      </c>
      <c r="V167" s="26">
        <f>SUM(I167,K167,M167)/3*0.3+SUM(G167,R167)/2*0.4</f>
        <v>0</v>
      </c>
      <c r="W167" s="27">
        <f>O167+T167</f>
        <v>0</v>
      </c>
      <c r="X167" s="28">
        <f>V167/0.7+W167</f>
        <v>0</v>
      </c>
      <c r="Y167" s="29">
        <v>50</v>
      </c>
      <c r="Z167" s="38" t="s">
        <v>578</v>
      </c>
    </row>
    <row r="168" spans="1:26" ht="15.6" x14ac:dyDescent="0.25">
      <c r="A168" s="48">
        <v>21</v>
      </c>
      <c r="B168" s="17" t="s">
        <v>767</v>
      </c>
      <c r="C168" s="38">
        <v>203</v>
      </c>
      <c r="D168" s="49" t="s">
        <v>1471</v>
      </c>
      <c r="E168" s="38" t="s">
        <v>65</v>
      </c>
      <c r="F168" s="50"/>
      <c r="G168" s="20">
        <v>0</v>
      </c>
      <c r="H168" s="38"/>
      <c r="I168" s="20">
        <v>0</v>
      </c>
      <c r="J168" s="38"/>
      <c r="K168" s="20">
        <v>0</v>
      </c>
      <c r="L168" s="38"/>
      <c r="M168" s="20">
        <v>0</v>
      </c>
      <c r="N168" s="33">
        <f>IF(B168="高三",MAX(IF(E168="男",L168-18,L168-55),0),IF(B168="高二",MAX(IF(E168="男",L168-17,L168-54),0),IF(B168="高一",MAX(IF(E168="男",L168-16,L168-53),0))))</f>
        <v>0</v>
      </c>
      <c r="O168" s="23">
        <f>IF(E168="男",LOOKUP($N168,[1]对照表!$Z$3:$Z$13,[1]对照表!$AA$3:$AA$13),LOOKUP($N168,[1]对照表!$Z$15:$Z$25,[1]对照表!$AA$15:$AA$25))</f>
        <v>0</v>
      </c>
      <c r="P168" s="25">
        <f>M168+O168</f>
        <v>0</v>
      </c>
      <c r="Q168" s="50"/>
      <c r="R168" s="20">
        <v>0</v>
      </c>
      <c r="S168" s="22">
        <v>0</v>
      </c>
      <c r="T168" s="23">
        <f>IF(E168="男",LOOKUP($S168,[1]对照表!$AB$3:$AB$13,[1]对照表!$AC$3:$AC$13),LOOKUP($S168,[1]对照表!$AB$15:$AB$25,[1]对照表!$AC$15:$AC$25))</f>
        <v>0</v>
      </c>
      <c r="U168" s="26">
        <f>R168+T168</f>
        <v>0</v>
      </c>
      <c r="V168" s="26">
        <f>SUM(I168,K168,M168)/3*0.3+SUM(G168,R168)/2*0.4</f>
        <v>0</v>
      </c>
      <c r="W168" s="27">
        <f>O168+T168</f>
        <v>0</v>
      </c>
      <c r="X168" s="28">
        <f>V168/0.7+W168</f>
        <v>0</v>
      </c>
      <c r="Y168" s="29">
        <v>50</v>
      </c>
      <c r="Z168" s="38" t="s">
        <v>578</v>
      </c>
    </row>
    <row r="169" spans="1:26" ht="15.6" customHeight="1" x14ac:dyDescent="0.25">
      <c r="A169" s="48">
        <v>50</v>
      </c>
      <c r="B169" s="17" t="s">
        <v>767</v>
      </c>
      <c r="C169" s="48">
        <v>203</v>
      </c>
      <c r="D169" s="49" t="s">
        <v>1472</v>
      </c>
      <c r="E169" s="48" t="s">
        <v>65</v>
      </c>
      <c r="F169" s="50"/>
      <c r="G169" s="20">
        <v>0</v>
      </c>
      <c r="H169" s="38"/>
      <c r="I169" s="20">
        <v>0</v>
      </c>
      <c r="J169" s="38"/>
      <c r="K169" s="20">
        <v>0</v>
      </c>
      <c r="L169" s="38"/>
      <c r="M169" s="20">
        <v>0</v>
      </c>
      <c r="N169" s="33">
        <f>IF(B169="高三",MAX(IF(E169="男",L169-18,L169-55),0),IF(B169="高二",MAX(IF(E169="男",L169-17,L169-54),0),IF(B169="高一",MAX(IF(E169="男",L169-16,L169-53),0))))</f>
        <v>0</v>
      </c>
      <c r="O169" s="23">
        <f>IF(E169="男",LOOKUP($N169,[1]对照表!$Z$3:$Z$13,[1]对照表!$AA$3:$AA$13),LOOKUP($N169,[1]对照表!$Z$15:$Z$25,[1]对照表!$AA$15:$AA$25))</f>
        <v>0</v>
      </c>
      <c r="P169" s="25">
        <f>M169+O169</f>
        <v>0</v>
      </c>
      <c r="Q169" s="50"/>
      <c r="R169" s="20">
        <v>0</v>
      </c>
      <c r="S169" s="22">
        <v>0</v>
      </c>
      <c r="T169" s="23">
        <f>IF(E169="男",LOOKUP($S169,[1]对照表!$AB$3:$AB$13,[1]对照表!$AC$3:$AC$13),LOOKUP($S169,[1]对照表!$AB$15:$AB$25,[1]对照表!$AC$15:$AC$25))</f>
        <v>0</v>
      </c>
      <c r="U169" s="26">
        <f>R169+T169</f>
        <v>0</v>
      </c>
      <c r="V169" s="26">
        <f>SUM(I169,K169,M169)/3*0.3+SUM(G169,R169)/2*0.4</f>
        <v>0</v>
      </c>
      <c r="W169" s="27">
        <f>O169+T169</f>
        <v>0</v>
      </c>
      <c r="X169" s="28">
        <f>V169/0.7+W169</f>
        <v>0</v>
      </c>
      <c r="Y169" s="29">
        <v>50</v>
      </c>
      <c r="Z169" s="38" t="s">
        <v>578</v>
      </c>
    </row>
    <row r="170" spans="1:26" ht="15.6" x14ac:dyDescent="0.25">
      <c r="A170" s="48">
        <v>52</v>
      </c>
      <c r="B170" s="17" t="s">
        <v>767</v>
      </c>
      <c r="C170" s="48">
        <v>203</v>
      </c>
      <c r="D170" s="49" t="s">
        <v>1473</v>
      </c>
      <c r="E170" s="48" t="s">
        <v>65</v>
      </c>
      <c r="F170" s="50"/>
      <c r="G170" s="20">
        <v>0</v>
      </c>
      <c r="H170" s="38"/>
      <c r="I170" s="20">
        <v>0</v>
      </c>
      <c r="J170" s="38"/>
      <c r="K170" s="20">
        <v>0</v>
      </c>
      <c r="L170" s="38"/>
      <c r="M170" s="20">
        <v>0</v>
      </c>
      <c r="N170" s="33">
        <f>IF(B170="高三",MAX(IF(E170="男",L170-18,L170-55),0),IF(B170="高二",MAX(IF(E170="男",L170-17,L170-54),0),IF(B170="高一",MAX(IF(E170="男",L170-16,L170-53),0))))</f>
        <v>0</v>
      </c>
      <c r="O170" s="23">
        <f>IF(E170="男",LOOKUP($N170,[1]对照表!$Z$3:$Z$13,[1]对照表!$AA$3:$AA$13),LOOKUP($N170,[1]对照表!$Z$15:$Z$25,[1]对照表!$AA$15:$AA$25))</f>
        <v>0</v>
      </c>
      <c r="P170" s="25">
        <f>M170+O170</f>
        <v>0</v>
      </c>
      <c r="Q170" s="50"/>
      <c r="R170" s="20">
        <v>0</v>
      </c>
      <c r="S170" s="22">
        <v>0</v>
      </c>
      <c r="T170" s="23">
        <f>IF(E170="男",LOOKUP($S170,[1]对照表!$AB$3:$AB$13,[1]对照表!$AC$3:$AC$13),LOOKUP($S170,[1]对照表!$AB$15:$AB$25,[1]对照表!$AC$15:$AC$25))</f>
        <v>0</v>
      </c>
      <c r="U170" s="26">
        <f>R170+T170</f>
        <v>0</v>
      </c>
      <c r="V170" s="26">
        <f>SUM(I170,K170,M170)/3*0.3+SUM(G170,R170)/2*0.4</f>
        <v>0</v>
      </c>
      <c r="W170" s="27">
        <f>O170+T170</f>
        <v>0</v>
      </c>
      <c r="X170" s="28">
        <f>V170/0.7+W170</f>
        <v>0</v>
      </c>
      <c r="Y170" s="29">
        <v>50</v>
      </c>
      <c r="Z170" s="38" t="s">
        <v>578</v>
      </c>
    </row>
    <row r="171" spans="1:26" ht="15.6" customHeight="1" x14ac:dyDescent="0.25">
      <c r="A171" s="48">
        <v>26</v>
      </c>
      <c r="B171" s="17" t="s">
        <v>767</v>
      </c>
      <c r="C171" s="48">
        <v>204</v>
      </c>
      <c r="D171" s="49" t="s">
        <v>791</v>
      </c>
      <c r="E171" s="48" t="s">
        <v>65</v>
      </c>
      <c r="F171" s="50">
        <v>7.69</v>
      </c>
      <c r="G171" s="32">
        <f>IF(B171="高三",IF($E171="男",LOOKUP(F171,[1]对照表!$G$3:$G$24,[1]对照表!$H$3:$H$24),LOOKUP(F171,[1]对照表!$G$27:$G$48,[1]对照表!$H$27:$H$48)),IF(B171="高二",IF($E171="男",LOOKUP(F171,[1]对照表!$F$3:$F$24,[1]对照表!$H$3:$H$24),LOOKUP(F171,[1]对照表!$F$27:$F$48,[1]对照表!$H$27:$H$48)),IF(B171="高一",IF($E171="男",LOOKUP(F171,[1]对照表!$E$3:$E$24,[1]对照表!$H$3:$H$24),LOOKUP(F171,[1]对照表!$E$27:$E$48,[1]对照表!$H$27:$H$48)))))</f>
        <v>100</v>
      </c>
      <c r="H171" s="38">
        <v>23</v>
      </c>
      <c r="I171" s="32">
        <f>IF(B171="高三",IF($E171="男",LOOKUP(H171,[1]对照表!$K$3:$K$24,[1]对照表!$L$3:$L$24),LOOKUP(H171,[1]对照表!$K$27:$K$48,[1]对照表!$L$27:$L$48)),IF(B171="高二",IF($E171="男",LOOKUP(H171,[1]对照表!$J$3:$J$24,[1]对照表!$L$3:$L$24),LOOKUP(H171,[1]对照表!$J$27:$J$48,[1]对照表!$L$27:$L$48)),IF(B171="高一",IF($E171="男",LOOKUP(H171,[1]对照表!$I$3:$I$24,[1]对照表!$L$3:$L$24),LOOKUP(H171,[1]对照表!$I$27:$I$48,[1]对照表!$L$27:$L$48)))))</f>
        <v>90</v>
      </c>
      <c r="J171" s="38">
        <v>225</v>
      </c>
      <c r="K171" s="32">
        <f>IF(B171="高三",IF($E171="男",LOOKUP(J171,[1]对照表!$O$3:$O$24,[1]对照表!$P$3:$P$24),LOOKUP(J171,[1]对照表!$O$27:$O$48,[1]对照表!$P$27:$P$48)),IF(B171="高二",IF($E171="男",LOOKUP(J171,[1]对照表!$N$3:$N$24,[1]对照表!$P$3:$P$24),LOOKUP(J171,[1]对照表!$N$27:$N$48,[1]对照表!$P$27:$P$48)),IF(B171="高一",IF($E171="男",LOOKUP(J171,[1]对照表!$M$3:$M$24,[1]对照表!$P$3:$P$24),LOOKUP(J171,[1]对照表!$M$27:$M$48,[1]对照表!$P$27:$P$48)))))</f>
        <v>100</v>
      </c>
      <c r="L171" s="38">
        <v>50</v>
      </c>
      <c r="M171" s="32">
        <f>IF(B171="高三",IF($E171="男",LOOKUP(L171,[1]对照表!$S$3:$S$24,[1]对照表!$T$3:$T$24),LOOKUP(L171,[1]对照表!$S$27:$S$48,[1]对照表!$T$27:$T$48)),IF(B171="高二",IF($E171="男",LOOKUP(L171,[1]对照表!$R$3:$R$24,[1]对照表!$T$3:$T$24),LOOKUP(L171,[1]对照表!$R$27:$R$48,[1]对照表!$T$27:$T$48)),IF(B171="高一",IF($E171="男",LOOKUP(L171,[1]对照表!$Q$3:$Q$24,[1]对照表!$T$3:$T$24),LOOKUP(L171,[1]对照表!$Q$27:$Q$48,[1]对照表!$T$27:$T$48)))))</f>
        <v>90</v>
      </c>
      <c r="N171" s="33">
        <f>IF(B171="高三",MAX(IF(E171="男",L171-18,L171-55),0),IF(B171="高二",MAX(IF(E171="男",L171-17,L171-54),0),IF(B171="高一",MAX(IF(E171="男",L171-16,L171-53),0))))</f>
        <v>0</v>
      </c>
      <c r="O171" s="23">
        <f>IF(E171="男",LOOKUP($N171,[1]对照表!$Z$3:$Z$13,[1]对照表!$AA$3:$AA$13),LOOKUP($N171,[1]对照表!$Z$15:$Z$25,[1]对照表!$AA$15:$AA$25))</f>
        <v>0</v>
      </c>
      <c r="P171" s="25">
        <f>M171+O171</f>
        <v>90</v>
      </c>
      <c r="Q171" s="50">
        <v>3.14</v>
      </c>
      <c r="R171" s="32">
        <f>IF(B171="高三",IF($E171="男",LOOKUP(Q171,[1]对照表!$W$3:$W$24,[1]对照表!$X$3:$X$24),LOOKUP(Q171,[1]对照表!$W$27:$W$48,[1]对照表!$X$27:$X$48)),IF(B171="高二",IF($E171="男",LOOKUP(Q171,[1]对照表!$V$3:$V$24,[1]对照表!$X$3:$X$24),LOOKUP(Q171,[1]对照表!$V$27:$V$48,[1]对照表!$X$27:$X$48)),IF(B171="高一",IF($E171="男",LOOKUP(Q171,[1]对照表!$U$3:$U$24,[1]对照表!$X$3:$X$24),LOOKUP(Q171,[1]对照表!$U$27:$U$48,[1]对照表!$X$27:$X$48)))))</f>
        <v>100</v>
      </c>
      <c r="S171" s="33">
        <f>ROUND(IF(IF($B171="高三",MIN(IF($E171="男",$Q171-3.2,$Q171-3.2),0),IF($B171="高二",MIN(IF($E171="男",$Q171-3.25,$Q171-3.22),0),IF($B171="高一",MIN(IF($E171="男",$Q171-3.3,$Q171-3.24),0))))&lt;-0.6,IF($B171="高三",MIN(IF($E171="男",$Q171-3.2,$Q171-3.2),0),IF($B171="高二",MIN(IF($E171="男",$Q171-3.25,$Q171-3.22),0),IF($B171="高一",MIN(IF($E171="男",$Q171-3.3,$Q171-3.24),0))))+0.4,IF($B171="高三",MIN(IF($E171="男",$Q171-3.2,$Q171-3.2),0),IF($B171="高二",MIN(IF($E171="男",$Q171-3.25,$Q171-3.22),0),IF($B171="高一",MIN(IF($E171="男",$Q171-3.3,$Q171-3.24),0))))),2)</f>
        <v>-0.08</v>
      </c>
      <c r="T171" s="23">
        <f>IF(E171="男",LOOKUP($S171,[1]对照表!$AB$3:$AB$13,[1]对照表!$AC$3:$AC$13),LOOKUP($S171,[1]对照表!$AB$15:$AB$25,[1]对照表!$AC$15:$AC$25))</f>
        <v>1</v>
      </c>
      <c r="U171" s="26">
        <f>R171+T171</f>
        <v>101</v>
      </c>
      <c r="V171" s="26">
        <f>SUM(I171,K171,M171)/3*0.3+SUM(G171,R171)/2*0.4</f>
        <v>68</v>
      </c>
      <c r="W171" s="27">
        <f>O171+T171</f>
        <v>1</v>
      </c>
      <c r="X171" s="28">
        <f>V171/0.7+W171</f>
        <v>98.142857142857153</v>
      </c>
      <c r="Y171" s="28">
        <f>X171</f>
        <v>98.142857142857153</v>
      </c>
      <c r="Z171" s="38"/>
    </row>
    <row r="172" spans="1:26" ht="15.6" x14ac:dyDescent="0.25">
      <c r="A172" s="48">
        <v>10</v>
      </c>
      <c r="B172" s="17" t="s">
        <v>767</v>
      </c>
      <c r="C172" s="48">
        <v>204</v>
      </c>
      <c r="D172" s="49" t="s">
        <v>798</v>
      </c>
      <c r="E172" s="48" t="s">
        <v>23</v>
      </c>
      <c r="F172" s="50">
        <v>6.8</v>
      </c>
      <c r="G172" s="32">
        <f>IF(B172="高三",IF($E172="男",LOOKUP(F172,[1]对照表!$G$3:$G$24,[1]对照表!$H$3:$H$24),LOOKUP(F172,[1]对照表!$G$27:$G$48,[1]对照表!$H$27:$H$48)),IF(B172="高二",IF($E172="男",LOOKUP(F172,[1]对照表!$F$3:$F$24,[1]对照表!$H$3:$H$24),LOOKUP(F172,[1]对照表!$F$27:$F$48,[1]对照表!$H$27:$H$48)),IF(B172="高一",IF($E172="男",LOOKUP(F172,[1]对照表!$E$3:$E$24,[1]对照表!$H$3:$H$24),LOOKUP(F172,[1]对照表!$E$27:$E$48,[1]对照表!$H$27:$H$48)))))</f>
        <v>100</v>
      </c>
      <c r="H172" s="38">
        <v>21.5</v>
      </c>
      <c r="I172" s="32">
        <f>IF(B172="高三",IF($E172="男",LOOKUP(H172,[1]对照表!$K$3:$K$24,[1]对照表!$L$3:$L$24),LOOKUP(H172,[1]对照表!$K$27:$K$48,[1]对照表!$L$27:$L$48)),IF(B172="高二",IF($E172="男",LOOKUP(H172,[1]对照表!$J$3:$J$24,[1]对照表!$L$3:$L$24),LOOKUP(H172,[1]对照表!$J$27:$J$48,[1]对照表!$L$27:$L$48)),IF(B172="高一",IF($E172="男",LOOKUP(H172,[1]对照表!$I$3:$I$24,[1]对照表!$L$3:$L$24),LOOKUP(H172,[1]对照表!$I$27:$I$48,[1]对照表!$L$27:$L$48)))))</f>
        <v>90</v>
      </c>
      <c r="J172" s="38">
        <v>255</v>
      </c>
      <c r="K172" s="32">
        <f>IF(B172="高三",IF($E172="男",LOOKUP(J172,[1]对照表!$O$3:$O$24,[1]对照表!$P$3:$P$24),LOOKUP(J172,[1]对照表!$O$27:$O$48,[1]对照表!$P$27:$P$48)),IF(B172="高二",IF($E172="男",LOOKUP(J172,[1]对照表!$N$3:$N$24,[1]对照表!$P$3:$P$24),LOOKUP(J172,[1]对照表!$N$27:$N$48,[1]对照表!$P$27:$P$48)),IF(B172="高一",IF($E172="男",LOOKUP(J172,[1]对照表!$M$3:$M$24,[1]对照表!$P$3:$P$24),LOOKUP(J172,[1]对照表!$M$27:$M$48,[1]对照表!$P$27:$P$48)))))</f>
        <v>90</v>
      </c>
      <c r="L172" s="38">
        <v>27</v>
      </c>
      <c r="M172" s="32">
        <f>IF(B172="高三",IF($E172="男",LOOKUP(L172,[1]对照表!$S$3:$S$24,[1]对照表!$T$3:$T$24),LOOKUP(L172,[1]对照表!$S$27:$S$48,[1]对照表!$T$27:$T$48)),IF(B172="高二",IF($E172="男",LOOKUP(L172,[1]对照表!$R$3:$R$24,[1]对照表!$T$3:$T$24),LOOKUP(L172,[1]对照表!$R$27:$R$48,[1]对照表!$T$27:$T$48)),IF(B172="高一",IF($E172="男",LOOKUP(L172,[1]对照表!$Q$3:$Q$24,[1]对照表!$T$3:$T$24),LOOKUP(L172,[1]对照表!$Q$27:$Q$48,[1]对照表!$T$27:$T$48)))))</f>
        <v>100</v>
      </c>
      <c r="N172" s="33">
        <f>IF(B172="高三",MAX(IF(E172="男",L172-18,L172-55),0),IF(B172="高二",MAX(IF(E172="男",L172-17,L172-54),0),IF(B172="高一",MAX(IF(E172="男",L172-16,L172-53),0))))</f>
        <v>10</v>
      </c>
      <c r="O172" s="23">
        <f>IF(E172="男",LOOKUP($N172,[1]对照表!$Z$3:$Z$13,[1]对照表!$AA$3:$AA$13),LOOKUP($N172,[1]对照表!$Z$15:$Z$25,[1]对照表!$AA$15:$AA$25))</f>
        <v>10</v>
      </c>
      <c r="P172" s="25">
        <f>M172+O172</f>
        <v>110</v>
      </c>
      <c r="Q172" s="50">
        <v>3.33</v>
      </c>
      <c r="R172" s="32">
        <f>IF(B172="高三",IF($E172="男",LOOKUP(Q172,[1]对照表!$W$3:$W$24,[1]对照表!$X$3:$X$24),LOOKUP(Q172,[1]对照表!$W$27:$W$48,[1]对照表!$X$27:$X$48)),IF(B172="高二",IF($E172="男",LOOKUP(Q172,[1]对照表!$V$3:$V$24,[1]对照表!$X$3:$X$24),LOOKUP(Q172,[1]对照表!$V$27:$V$48,[1]对照表!$X$27:$X$48)),IF(B172="高一",IF($E172="男",LOOKUP(Q172,[1]对照表!$U$3:$U$24,[1]对照表!$X$3:$X$24),LOOKUP(Q172,[1]对照表!$U$27:$U$48,[1]对照表!$X$27:$X$48)))))</f>
        <v>90</v>
      </c>
      <c r="S172" s="33">
        <f>ROUND(IF(IF($B172="高三",MIN(IF($E172="男",$Q172-3.2,$Q172-3.2),0),IF($B172="高二",MIN(IF($E172="男",$Q172-3.25,$Q172-3.22),0),IF($B172="高一",MIN(IF($E172="男",$Q172-3.3,$Q172-3.24),0))))&lt;-0.6,IF($B172="高三",MIN(IF($E172="男",$Q172-3.2,$Q172-3.2),0),IF($B172="高二",MIN(IF($E172="男",$Q172-3.25,$Q172-3.22),0),IF($B172="高一",MIN(IF($E172="男",$Q172-3.3,$Q172-3.24),0))))+0.4,IF($B172="高三",MIN(IF($E172="男",$Q172-3.2,$Q172-3.2),0),IF($B172="高二",MIN(IF($E172="男",$Q172-3.25,$Q172-3.22),0),IF($B172="高一",MIN(IF($E172="男",$Q172-3.3,$Q172-3.24),0))))),2)</f>
        <v>0</v>
      </c>
      <c r="T172" s="23">
        <f>IF(E172="男",LOOKUP($S172,[1]对照表!$AB$3:$AB$13,[1]对照表!$AC$3:$AC$13),LOOKUP($S172,[1]对照表!$AB$15:$AB$25,[1]对照表!$AC$15:$AC$25))</f>
        <v>0</v>
      </c>
      <c r="U172" s="26">
        <f>R172+T172</f>
        <v>90</v>
      </c>
      <c r="V172" s="26">
        <f>SUM(I172,K172,M172)/3*0.3+SUM(G172,R172)/2*0.4</f>
        <v>66</v>
      </c>
      <c r="W172" s="27">
        <f>O172+T172</f>
        <v>10</v>
      </c>
      <c r="X172" s="28">
        <f>V172/0.7+W172</f>
        <v>104.28571428571429</v>
      </c>
      <c r="Y172" s="28">
        <f>X172</f>
        <v>104.28571428571429</v>
      </c>
      <c r="Z172" s="38"/>
    </row>
    <row r="173" spans="1:26" ht="15.6" x14ac:dyDescent="0.25">
      <c r="A173" s="48">
        <v>58</v>
      </c>
      <c r="B173" s="17" t="s">
        <v>767</v>
      </c>
      <c r="C173" s="48">
        <v>204</v>
      </c>
      <c r="D173" s="49" t="s">
        <v>807</v>
      </c>
      <c r="E173" s="48" t="s">
        <v>65</v>
      </c>
      <c r="F173" s="50">
        <v>8.5</v>
      </c>
      <c r="G173" s="32">
        <f>IF(B173="高三",IF($E173="男",LOOKUP(F173,[1]对照表!$G$3:$G$24,[1]对照表!$H$3:$H$24),LOOKUP(F173,[1]对照表!$G$27:$G$48,[1]对照表!$H$27:$H$48)),IF(B173="高二",IF($E173="男",LOOKUP(F173,[1]对照表!$F$3:$F$24,[1]对照表!$H$3:$H$24),LOOKUP(F173,[1]对照表!$F$27:$F$48,[1]对照表!$H$27:$H$48)),IF(B173="高一",IF($E173="男",LOOKUP(F173,[1]对照表!$E$3:$E$24,[1]对照表!$H$3:$H$24),LOOKUP(F173,[1]对照表!$E$27:$E$48,[1]对照表!$H$27:$H$48)))))</f>
        <v>80</v>
      </c>
      <c r="H173" s="38">
        <v>23.5</v>
      </c>
      <c r="I173" s="32">
        <f>IF(B173="高三",IF($E173="男",LOOKUP(H173,[1]对照表!$K$3:$K$24,[1]对照表!$L$3:$L$24),LOOKUP(H173,[1]对照表!$K$27:$K$48,[1]对照表!$L$27:$L$48)),IF(B173="高二",IF($E173="男",LOOKUP(H173,[1]对照表!$J$3:$J$24,[1]对照表!$L$3:$L$24),LOOKUP(H173,[1]对照表!$J$27:$J$48,[1]对照表!$L$27:$L$48)),IF(B173="高一",IF($E173="男",LOOKUP(H173,[1]对照表!$I$3:$I$24,[1]对照表!$L$3:$L$24),LOOKUP(H173,[1]对照表!$I$27:$I$48,[1]对照表!$L$27:$L$48)))))</f>
        <v>95</v>
      </c>
      <c r="J173" s="38">
        <v>210</v>
      </c>
      <c r="K173" s="32">
        <f>IF(B173="高三",IF($E173="男",LOOKUP(J173,[1]对照表!$O$3:$O$24,[1]对照表!$P$3:$P$24),LOOKUP(J173,[1]对照表!$O$27:$O$48,[1]对照表!$P$27:$P$48)),IF(B173="高二",IF($E173="男",LOOKUP(J173,[1]对照表!$N$3:$N$24,[1]对照表!$P$3:$P$24),LOOKUP(J173,[1]对照表!$N$27:$N$48,[1]对照表!$P$27:$P$48)),IF(B173="高一",IF($E173="男",LOOKUP(J173,[1]对照表!$M$3:$M$24,[1]对照表!$P$3:$P$24),LOOKUP(J173,[1]对照表!$M$27:$M$48,[1]对照表!$P$27:$P$48)))))</f>
        <v>100</v>
      </c>
      <c r="L173" s="38">
        <v>61</v>
      </c>
      <c r="M173" s="32">
        <f>IF(B173="高三",IF($E173="男",LOOKUP(L173,[1]对照表!$S$3:$S$24,[1]对照表!$T$3:$T$24),LOOKUP(L173,[1]对照表!$S$27:$S$48,[1]对照表!$T$27:$T$48)),IF(B173="高二",IF($E173="男",LOOKUP(L173,[1]对照表!$R$3:$R$24,[1]对照表!$T$3:$T$24),LOOKUP(L173,[1]对照表!$R$27:$R$48,[1]对照表!$T$27:$T$48)),IF(B173="高一",IF($E173="男",LOOKUP(L173,[1]对照表!$Q$3:$Q$24,[1]对照表!$T$3:$T$24),LOOKUP(L173,[1]对照表!$Q$27:$Q$48,[1]对照表!$T$27:$T$48)))))</f>
        <v>100</v>
      </c>
      <c r="N173" s="33">
        <f>IF(B173="高三",MAX(IF(E173="男",L173-18,L173-55),0),IF(B173="高二",MAX(IF(E173="男",L173-17,L173-54),0),IF(B173="高一",MAX(IF(E173="男",L173-16,L173-53),0))))</f>
        <v>7</v>
      </c>
      <c r="O173" s="23">
        <f>IF(E173="男",LOOKUP($N173,[1]对照表!$Z$3:$Z$13,[1]对照表!$AA$3:$AA$13),LOOKUP($N173,[1]对照表!$Z$15:$Z$25,[1]对照表!$AA$15:$AA$25))</f>
        <v>4</v>
      </c>
      <c r="P173" s="25">
        <f>M173+O173</f>
        <v>104</v>
      </c>
      <c r="Q173" s="50">
        <v>3.33</v>
      </c>
      <c r="R173" s="32">
        <f>IF(B173="高三",IF($E173="男",LOOKUP(Q173,[1]对照表!$W$3:$W$24,[1]对照表!$X$3:$X$24),LOOKUP(Q173,[1]对照表!$W$27:$W$48,[1]对照表!$X$27:$X$48)),IF(B173="高二",IF($E173="男",LOOKUP(Q173,[1]对照表!$V$3:$V$24,[1]对照表!$X$3:$X$24),LOOKUP(Q173,[1]对照表!$V$27:$V$48,[1]对照表!$X$27:$X$48)),IF(B173="高一",IF($E173="男",LOOKUP(Q173,[1]对照表!$U$3:$U$24,[1]对照表!$X$3:$X$24),LOOKUP(Q173,[1]对照表!$U$27:$U$48,[1]对照表!$X$27:$X$48)))))</f>
        <v>90</v>
      </c>
      <c r="S173" s="33">
        <f>ROUND(IF(IF($B173="高三",MIN(IF($E173="男",$Q173-3.2,$Q173-3.2),0),IF($B173="高二",MIN(IF($E173="男",$Q173-3.25,$Q173-3.22),0),IF($B173="高一",MIN(IF($E173="男",$Q173-3.3,$Q173-3.24),0))))&lt;-0.6,IF($B173="高三",MIN(IF($E173="男",$Q173-3.2,$Q173-3.2),0),IF($B173="高二",MIN(IF($E173="男",$Q173-3.25,$Q173-3.22),0),IF($B173="高一",MIN(IF($E173="男",$Q173-3.3,$Q173-3.24),0))))+0.4,IF($B173="高三",MIN(IF($E173="男",$Q173-3.2,$Q173-3.2),0),IF($B173="高二",MIN(IF($E173="男",$Q173-3.25,$Q173-3.22),0),IF($B173="高一",MIN(IF($E173="男",$Q173-3.3,$Q173-3.24),0))))),2)</f>
        <v>0</v>
      </c>
      <c r="T173" s="23">
        <f>IF(E173="男",LOOKUP($S173,[1]对照表!$AB$3:$AB$13,[1]对照表!$AC$3:$AC$13),LOOKUP($S173,[1]对照表!$AB$15:$AB$25,[1]对照表!$AC$15:$AC$25))</f>
        <v>0</v>
      </c>
      <c r="U173" s="26">
        <f>R173+T173</f>
        <v>90</v>
      </c>
      <c r="V173" s="26">
        <f>SUM(I173,K173,M173)/3*0.3+SUM(G173,R173)/2*0.4</f>
        <v>63.5</v>
      </c>
      <c r="W173" s="27">
        <f>O173+T173</f>
        <v>4</v>
      </c>
      <c r="X173" s="28">
        <f>V173/0.7+W173</f>
        <v>94.714285714285722</v>
      </c>
      <c r="Y173" s="28">
        <f>X173</f>
        <v>94.714285714285722</v>
      </c>
      <c r="Z173" s="38"/>
    </row>
    <row r="174" spans="1:26" ht="15.6" x14ac:dyDescent="0.25">
      <c r="A174" s="48">
        <v>41</v>
      </c>
      <c r="B174" s="17" t="s">
        <v>767</v>
      </c>
      <c r="C174" s="48">
        <v>204</v>
      </c>
      <c r="D174" s="49" t="s">
        <v>810</v>
      </c>
      <c r="E174" s="48" t="s">
        <v>65</v>
      </c>
      <c r="F174" s="50">
        <v>7.91</v>
      </c>
      <c r="G174" s="32">
        <f>IF(B174="高三",IF($E174="男",LOOKUP(F174,[1]对照表!$G$3:$G$24,[1]对照表!$H$3:$H$24),LOOKUP(F174,[1]对照表!$G$27:$G$48,[1]对照表!$H$27:$H$48)),IF(B174="高二",IF($E174="男",LOOKUP(F174,[1]对照表!$F$3:$F$24,[1]对照表!$H$3:$H$24),LOOKUP(F174,[1]对照表!$F$27:$F$48,[1]对照表!$H$27:$H$48)),IF(B174="高一",IF($E174="男",LOOKUP(F174,[1]对照表!$E$3:$E$24,[1]对照表!$H$3:$H$24),LOOKUP(F174,[1]对照表!$E$27:$E$48,[1]对照表!$H$27:$H$48)))))</f>
        <v>85</v>
      </c>
      <c r="H174" s="38">
        <v>20</v>
      </c>
      <c r="I174" s="32">
        <f>IF(B174="高三",IF($E174="男",LOOKUP(H174,[1]对照表!$K$3:$K$24,[1]对照表!$L$3:$L$24),LOOKUP(H174,[1]对照表!$K$27:$K$48,[1]对照表!$L$27:$L$48)),IF(B174="高二",IF($E174="男",LOOKUP(H174,[1]对照表!$J$3:$J$24,[1]对照表!$L$3:$L$24),LOOKUP(H174,[1]对照表!$J$27:$J$48,[1]对照表!$L$27:$L$48)),IF(B174="高一",IF($E174="男",LOOKUP(H174,[1]对照表!$I$3:$I$24,[1]对照表!$L$3:$L$24),LOOKUP(H174,[1]对照表!$I$27:$I$48,[1]对照表!$L$27:$L$48)))))</f>
        <v>85</v>
      </c>
      <c r="J174" s="38">
        <v>205</v>
      </c>
      <c r="K174" s="32">
        <f>IF(B174="高三",IF($E174="男",LOOKUP(J174,[1]对照表!$O$3:$O$24,[1]对照表!$P$3:$P$24),LOOKUP(J174,[1]对照表!$O$27:$O$48,[1]对照表!$P$27:$P$48)),IF(B174="高二",IF($E174="男",LOOKUP(J174,[1]对照表!$N$3:$N$24,[1]对照表!$P$3:$P$24),LOOKUP(J174,[1]对照表!$N$27:$N$48,[1]对照表!$P$27:$P$48)),IF(B174="高一",IF($E174="男",LOOKUP(J174,[1]对照表!$M$3:$M$24,[1]对照表!$P$3:$P$24),LOOKUP(J174,[1]对照表!$M$27:$M$48,[1]对照表!$P$27:$P$48)))))</f>
        <v>100</v>
      </c>
      <c r="L174" s="38">
        <v>55</v>
      </c>
      <c r="M174" s="32">
        <f>IF(B174="高三",IF($E174="男",LOOKUP(L174,[1]对照表!$S$3:$S$24,[1]对照表!$T$3:$T$24),LOOKUP(L174,[1]对照表!$S$27:$S$48,[1]对照表!$T$27:$T$48)),IF(B174="高二",IF($E174="男",LOOKUP(L174,[1]对照表!$R$3:$R$24,[1]对照表!$T$3:$T$24),LOOKUP(L174,[1]对照表!$R$27:$R$48,[1]对照表!$T$27:$T$48)),IF(B174="高一",IF($E174="男",LOOKUP(L174,[1]对照表!$Q$3:$Q$24,[1]对照表!$T$3:$T$24),LOOKUP(L174,[1]对照表!$Q$27:$Q$48,[1]对照表!$T$27:$T$48)))))</f>
        <v>100</v>
      </c>
      <c r="N174" s="33">
        <f>IF(B174="高三",MAX(IF(E174="男",L174-18,L174-55),0),IF(B174="高二",MAX(IF(E174="男",L174-17,L174-54),0),IF(B174="高一",MAX(IF(E174="男",L174-16,L174-53),0))))</f>
        <v>1</v>
      </c>
      <c r="O174" s="23">
        <f>IF(E174="男",LOOKUP($N174,[1]对照表!$Z$3:$Z$13,[1]对照表!$AA$3:$AA$13),LOOKUP($N174,[1]对照表!$Z$15:$Z$25,[1]对照表!$AA$15:$AA$25))</f>
        <v>0</v>
      </c>
      <c r="P174" s="25">
        <f>M174+O174</f>
        <v>100</v>
      </c>
      <c r="Q174" s="50">
        <v>3.14</v>
      </c>
      <c r="R174" s="32">
        <f>IF(B174="高三",IF($E174="男",LOOKUP(Q174,[1]对照表!$W$3:$W$24,[1]对照表!$X$3:$X$24),LOOKUP(Q174,[1]对照表!$W$27:$W$48,[1]对照表!$X$27:$X$48)),IF(B174="高二",IF($E174="男",LOOKUP(Q174,[1]对照表!$V$3:$V$24,[1]对照表!$X$3:$X$24),LOOKUP(Q174,[1]对照表!$V$27:$V$48,[1]对照表!$X$27:$X$48)),IF(B174="高一",IF($E174="男",LOOKUP(Q174,[1]对照表!$U$3:$U$24,[1]对照表!$X$3:$X$24),LOOKUP(Q174,[1]对照表!$U$27:$U$48,[1]对照表!$X$27:$X$48)))))</f>
        <v>100</v>
      </c>
      <c r="S174" s="33">
        <f>ROUND(IF(IF($B174="高三",MIN(IF($E174="男",$Q174-3.2,$Q174-3.2),0),IF($B174="高二",MIN(IF($E174="男",$Q174-3.25,$Q174-3.22),0),IF($B174="高一",MIN(IF($E174="男",$Q174-3.3,$Q174-3.24),0))))&lt;-0.6,IF($B174="高三",MIN(IF($E174="男",$Q174-3.2,$Q174-3.2),0),IF($B174="高二",MIN(IF($E174="男",$Q174-3.25,$Q174-3.22),0),IF($B174="高一",MIN(IF($E174="男",$Q174-3.3,$Q174-3.24),0))))+0.4,IF($B174="高三",MIN(IF($E174="男",$Q174-3.2,$Q174-3.2),0),IF($B174="高二",MIN(IF($E174="男",$Q174-3.25,$Q174-3.22),0),IF($B174="高一",MIN(IF($E174="男",$Q174-3.3,$Q174-3.24),0))))),2)</f>
        <v>-0.08</v>
      </c>
      <c r="T174" s="23">
        <f>IF(E174="男",LOOKUP($S174,[1]对照表!$AB$3:$AB$13,[1]对照表!$AC$3:$AC$13),LOOKUP($S174,[1]对照表!$AB$15:$AB$25,[1]对照表!$AC$15:$AC$25))</f>
        <v>1</v>
      </c>
      <c r="U174" s="26">
        <f>R174+T174</f>
        <v>101</v>
      </c>
      <c r="V174" s="26">
        <f>SUM(I174,K174,M174)/3*0.3+SUM(G174,R174)/2*0.4</f>
        <v>65.5</v>
      </c>
      <c r="W174" s="27">
        <f>O174+T174</f>
        <v>1</v>
      </c>
      <c r="X174" s="28">
        <f>V174/0.7+W174</f>
        <v>94.571428571428584</v>
      </c>
      <c r="Y174" s="28">
        <f>X174</f>
        <v>94.571428571428584</v>
      </c>
      <c r="Z174" s="38"/>
    </row>
    <row r="175" spans="1:26" ht="15.6" x14ac:dyDescent="0.25">
      <c r="A175" s="48">
        <v>29</v>
      </c>
      <c r="B175" s="17" t="s">
        <v>767</v>
      </c>
      <c r="C175" s="48">
        <v>204</v>
      </c>
      <c r="D175" s="49" t="s">
        <v>813</v>
      </c>
      <c r="E175" s="48" t="s">
        <v>65</v>
      </c>
      <c r="F175" s="50">
        <v>8.1999999999999993</v>
      </c>
      <c r="G175" s="32">
        <f>IF(B175="高三",IF($E175="男",LOOKUP(F175,[1]对照表!$G$3:$G$24,[1]对照表!$H$3:$H$24),LOOKUP(F175,[1]对照表!$G$27:$G$48,[1]对照表!$H$27:$H$48)),IF(B175="高二",IF($E175="男",LOOKUP(F175,[1]对照表!$F$3:$F$24,[1]对照表!$H$3:$H$24),LOOKUP(F175,[1]对照表!$F$27:$F$48,[1]对照表!$H$27:$H$48)),IF(B175="高一",IF($E175="男",LOOKUP(F175,[1]对照表!$E$3:$E$24,[1]对照表!$H$3:$H$24),LOOKUP(F175,[1]对照表!$E$27:$E$48,[1]对照表!$H$27:$H$48)))))</f>
        <v>85</v>
      </c>
      <c r="H175" s="38">
        <v>21.5</v>
      </c>
      <c r="I175" s="32">
        <f>IF(B175="高三",IF($E175="男",LOOKUP(H175,[1]对照表!$K$3:$K$24,[1]对照表!$L$3:$L$24),LOOKUP(H175,[1]对照表!$K$27:$K$48,[1]对照表!$L$27:$L$48)),IF(B175="高二",IF($E175="男",LOOKUP(H175,[1]对照表!$J$3:$J$24,[1]对照表!$L$3:$L$24),LOOKUP(H175,[1]对照表!$J$27:$J$48,[1]对照表!$L$27:$L$48)),IF(B175="高一",IF($E175="男",LOOKUP(H175,[1]对照表!$I$3:$I$24,[1]对照表!$L$3:$L$24),LOOKUP(H175,[1]对照表!$I$27:$I$48,[1]对照表!$L$27:$L$48)))))</f>
        <v>90</v>
      </c>
      <c r="J175" s="38">
        <v>205</v>
      </c>
      <c r="K175" s="32">
        <f>IF(B175="高三",IF($E175="男",LOOKUP(J175,[1]对照表!$O$3:$O$24,[1]对照表!$P$3:$P$24),LOOKUP(J175,[1]对照表!$O$27:$O$48,[1]对照表!$P$27:$P$48)),IF(B175="高二",IF($E175="男",LOOKUP(J175,[1]对照表!$N$3:$N$24,[1]对照表!$P$3:$P$24),LOOKUP(J175,[1]对照表!$N$27:$N$48,[1]对照表!$P$27:$P$48)),IF(B175="高一",IF($E175="男",LOOKUP(J175,[1]对照表!$M$3:$M$24,[1]对照表!$P$3:$P$24),LOOKUP(J175,[1]对照表!$M$27:$M$48,[1]对照表!$P$27:$P$48)))))</f>
        <v>100</v>
      </c>
      <c r="L175" s="38">
        <v>60</v>
      </c>
      <c r="M175" s="32">
        <f>IF(B175="高三",IF($E175="男",LOOKUP(L175,[1]对照表!$S$3:$S$24,[1]对照表!$T$3:$T$24),LOOKUP(L175,[1]对照表!$S$27:$S$48,[1]对照表!$T$27:$T$48)),IF(B175="高二",IF($E175="男",LOOKUP(L175,[1]对照表!$R$3:$R$24,[1]对照表!$T$3:$T$24),LOOKUP(L175,[1]对照表!$R$27:$R$48,[1]对照表!$T$27:$T$48)),IF(B175="高一",IF($E175="男",LOOKUP(L175,[1]对照表!$Q$3:$Q$24,[1]对照表!$T$3:$T$24),LOOKUP(L175,[1]对照表!$Q$27:$Q$48,[1]对照表!$T$27:$T$48)))))</f>
        <v>100</v>
      </c>
      <c r="N175" s="33">
        <f>IF(B175="高三",MAX(IF(E175="男",L175-18,L175-55),0),IF(B175="高二",MAX(IF(E175="男",L175-17,L175-54),0),IF(B175="高一",MAX(IF(E175="男",L175-16,L175-53),0))))</f>
        <v>6</v>
      </c>
      <c r="O175" s="23">
        <f>IF(E175="男",LOOKUP($N175,[1]对照表!$Z$3:$Z$13,[1]对照表!$AA$3:$AA$13),LOOKUP($N175,[1]对照表!$Z$15:$Z$25,[1]对照表!$AA$15:$AA$25))</f>
        <v>3</v>
      </c>
      <c r="P175" s="25">
        <f>M175+O175</f>
        <v>103</v>
      </c>
      <c r="Q175" s="50">
        <v>3.29</v>
      </c>
      <c r="R175" s="32">
        <f>IF(B175="高三",IF($E175="男",LOOKUP(Q175,[1]对照表!$W$3:$W$24,[1]对照表!$X$3:$X$24),LOOKUP(Q175,[1]对照表!$W$27:$W$48,[1]对照表!$X$27:$X$48)),IF(B175="高二",IF($E175="男",LOOKUP(Q175,[1]对照表!$V$3:$V$24,[1]对照表!$X$3:$X$24),LOOKUP(Q175,[1]对照表!$V$27:$V$48,[1]对照表!$X$27:$X$48)),IF(B175="高一",IF($E175="男",LOOKUP(Q175,[1]对照表!$U$3:$U$24,[1]对照表!$X$3:$X$24),LOOKUP(Q175,[1]对照表!$U$27:$U$48,[1]对照表!$X$27:$X$48)))))</f>
        <v>90</v>
      </c>
      <c r="S175" s="33">
        <f>ROUND(IF(IF($B175="高三",MIN(IF($E175="男",$Q175-3.2,$Q175-3.2),0),IF($B175="高二",MIN(IF($E175="男",$Q175-3.25,$Q175-3.22),0),IF($B175="高一",MIN(IF($E175="男",$Q175-3.3,$Q175-3.24),0))))&lt;-0.6,IF($B175="高三",MIN(IF($E175="男",$Q175-3.2,$Q175-3.2),0),IF($B175="高二",MIN(IF($E175="男",$Q175-3.25,$Q175-3.22),0),IF($B175="高一",MIN(IF($E175="男",$Q175-3.3,$Q175-3.24),0))))+0.4,IF($B175="高三",MIN(IF($E175="男",$Q175-3.2,$Q175-3.2),0),IF($B175="高二",MIN(IF($E175="男",$Q175-3.25,$Q175-3.22),0),IF($B175="高一",MIN(IF($E175="男",$Q175-3.3,$Q175-3.24),0))))),2)</f>
        <v>0</v>
      </c>
      <c r="T175" s="23">
        <f>IF(E175="男",LOOKUP($S175,[1]对照表!$AB$3:$AB$13,[1]对照表!$AC$3:$AC$13),LOOKUP($S175,[1]对照表!$AB$15:$AB$25,[1]对照表!$AC$15:$AC$25))</f>
        <v>0</v>
      </c>
      <c r="U175" s="26">
        <f>R175+T175</f>
        <v>90</v>
      </c>
      <c r="V175" s="26">
        <f>SUM(I175,K175,M175)/3*0.3+SUM(G175,R175)/2*0.4</f>
        <v>64</v>
      </c>
      <c r="W175" s="27">
        <f>O175+T175</f>
        <v>3</v>
      </c>
      <c r="X175" s="28">
        <f>V175/0.7+W175</f>
        <v>94.428571428571431</v>
      </c>
      <c r="Y175" s="28">
        <f>X175</f>
        <v>94.428571428571431</v>
      </c>
      <c r="Z175" s="38"/>
    </row>
    <row r="176" spans="1:26" ht="15.6" x14ac:dyDescent="0.25">
      <c r="A176" s="48">
        <v>20</v>
      </c>
      <c r="B176" s="17" t="s">
        <v>767</v>
      </c>
      <c r="C176" s="48">
        <v>204</v>
      </c>
      <c r="D176" s="49" t="s">
        <v>814</v>
      </c>
      <c r="E176" s="48" t="s">
        <v>65</v>
      </c>
      <c r="F176" s="50">
        <v>7.88</v>
      </c>
      <c r="G176" s="32">
        <f>IF(B176="高三",IF($E176="男",LOOKUP(F176,[1]对照表!$G$3:$G$24,[1]对照表!$H$3:$H$24),LOOKUP(F176,[1]对照表!$G$27:$G$48,[1]对照表!$H$27:$H$48)),IF(B176="高二",IF($E176="男",LOOKUP(F176,[1]对照表!$F$3:$F$24,[1]对照表!$H$3:$H$24),LOOKUP(F176,[1]对照表!$F$27:$F$48,[1]对照表!$H$27:$H$48)),IF(B176="高一",IF($E176="男",LOOKUP(F176,[1]对照表!$E$3:$E$24,[1]对照表!$H$3:$H$24),LOOKUP(F176,[1]对照表!$E$27:$E$48,[1]对照表!$H$27:$H$48)))))</f>
        <v>90</v>
      </c>
      <c r="H176" s="38">
        <v>19.100000000000001</v>
      </c>
      <c r="I176" s="32">
        <f>IF(B176="高三",IF($E176="男",LOOKUP(H176,[1]对照表!$K$3:$K$24,[1]对照表!$L$3:$L$24),LOOKUP(H176,[1]对照表!$K$27:$K$48,[1]对照表!$L$27:$L$48)),IF(B176="高二",IF($E176="男",LOOKUP(H176,[1]对照表!$J$3:$J$24,[1]对照表!$L$3:$L$24),LOOKUP(H176,[1]对照表!$J$27:$J$48,[1]对照表!$L$27:$L$48)),IF(B176="高一",IF($E176="男",LOOKUP(H176,[1]对照表!$I$3:$I$24,[1]对照表!$L$3:$L$24),LOOKUP(H176,[1]对照表!$I$27:$I$48,[1]对照表!$L$27:$L$48)))))</f>
        <v>80</v>
      </c>
      <c r="J176" s="38">
        <v>210</v>
      </c>
      <c r="K176" s="32">
        <f>IF(B176="高三",IF($E176="男",LOOKUP(J176,[1]对照表!$O$3:$O$24,[1]对照表!$P$3:$P$24),LOOKUP(J176,[1]对照表!$O$27:$O$48,[1]对照表!$P$27:$P$48)),IF(B176="高二",IF($E176="男",LOOKUP(J176,[1]对照表!$N$3:$N$24,[1]对照表!$P$3:$P$24),LOOKUP(J176,[1]对照表!$N$27:$N$48,[1]对照表!$P$27:$P$48)),IF(B176="高一",IF($E176="男",LOOKUP(J176,[1]对照表!$M$3:$M$24,[1]对照表!$P$3:$P$24),LOOKUP(J176,[1]对照表!$M$27:$M$48,[1]对照表!$P$27:$P$48)))))</f>
        <v>100</v>
      </c>
      <c r="L176" s="38">
        <v>55</v>
      </c>
      <c r="M176" s="32">
        <f>IF(B176="高三",IF($E176="男",LOOKUP(L176,[1]对照表!$S$3:$S$24,[1]对照表!$T$3:$T$24),LOOKUP(L176,[1]对照表!$S$27:$S$48,[1]对照表!$T$27:$T$48)),IF(B176="高二",IF($E176="男",LOOKUP(L176,[1]对照表!$R$3:$R$24,[1]对照表!$T$3:$T$24),LOOKUP(L176,[1]对照表!$R$27:$R$48,[1]对照表!$T$27:$T$48)),IF(B176="高一",IF($E176="男",LOOKUP(L176,[1]对照表!$Q$3:$Q$24,[1]对照表!$T$3:$T$24),LOOKUP(L176,[1]对照表!$Q$27:$Q$48,[1]对照表!$T$27:$T$48)))))</f>
        <v>100</v>
      </c>
      <c r="N176" s="33">
        <f>IF(B176="高三",MAX(IF(E176="男",L176-18,L176-55),0),IF(B176="高二",MAX(IF(E176="男",L176-17,L176-54),0),IF(B176="高一",MAX(IF(E176="男",L176-16,L176-53),0))))</f>
        <v>1</v>
      </c>
      <c r="O176" s="23">
        <f>IF(E176="男",LOOKUP($N176,[1]对照表!$Z$3:$Z$13,[1]对照表!$AA$3:$AA$13),LOOKUP($N176,[1]对照表!$Z$15:$Z$25,[1]对照表!$AA$15:$AA$25))</f>
        <v>0</v>
      </c>
      <c r="P176" s="25">
        <f>M176+O176</f>
        <v>100</v>
      </c>
      <c r="Q176" s="50">
        <v>3.18</v>
      </c>
      <c r="R176" s="32">
        <f>IF(B176="高三",IF($E176="男",LOOKUP(Q176,[1]对照表!$W$3:$W$24,[1]对照表!$X$3:$X$24),LOOKUP(Q176,[1]对照表!$W$27:$W$48,[1]对照表!$X$27:$X$48)),IF(B176="高二",IF($E176="男",LOOKUP(Q176,[1]对照表!$V$3:$V$24,[1]对照表!$X$3:$X$24),LOOKUP(Q176,[1]对照表!$V$27:$V$48,[1]对照表!$X$27:$X$48)),IF(B176="高一",IF($E176="男",LOOKUP(Q176,[1]对照表!$U$3:$U$24,[1]对照表!$X$3:$X$24),LOOKUP(Q176,[1]对照表!$U$27:$U$48,[1]对照表!$X$27:$X$48)))))</f>
        <v>100</v>
      </c>
      <c r="S176" s="33">
        <f>ROUND(IF(IF($B176="高三",MIN(IF($E176="男",$Q176-3.2,$Q176-3.2),0),IF($B176="高二",MIN(IF($E176="男",$Q176-3.25,$Q176-3.22),0),IF($B176="高一",MIN(IF($E176="男",$Q176-3.3,$Q176-3.24),0))))&lt;-0.6,IF($B176="高三",MIN(IF($E176="男",$Q176-3.2,$Q176-3.2),0),IF($B176="高二",MIN(IF($E176="男",$Q176-3.25,$Q176-3.22),0),IF($B176="高一",MIN(IF($E176="男",$Q176-3.3,$Q176-3.24),0))))+0.4,IF($B176="高三",MIN(IF($E176="男",$Q176-3.2,$Q176-3.2),0),IF($B176="高二",MIN(IF($E176="男",$Q176-3.25,$Q176-3.22),0),IF($B176="高一",MIN(IF($E176="男",$Q176-3.3,$Q176-3.24),0))))),2)</f>
        <v>-0.04</v>
      </c>
      <c r="T176" s="23">
        <f>IF(E176="男",LOOKUP($S176,[1]对照表!$AB$3:$AB$13,[1]对照表!$AC$3:$AC$13),LOOKUP($S176,[1]对照表!$AB$15:$AB$25,[1]对照表!$AC$15:$AC$25))</f>
        <v>0</v>
      </c>
      <c r="U176" s="26">
        <f>R176+T176</f>
        <v>100</v>
      </c>
      <c r="V176" s="26">
        <f>SUM(I176,K176,M176)/3*0.3+SUM(G176,R176)/2*0.4</f>
        <v>66</v>
      </c>
      <c r="W176" s="27">
        <f>O176+T176</f>
        <v>0</v>
      </c>
      <c r="X176" s="28">
        <f>V176/0.7+W176</f>
        <v>94.285714285714292</v>
      </c>
      <c r="Y176" s="28">
        <f>X176</f>
        <v>94.285714285714292</v>
      </c>
      <c r="Z176" s="38"/>
    </row>
    <row r="177" spans="1:26" ht="15.6" customHeight="1" x14ac:dyDescent="0.25">
      <c r="A177" s="48">
        <v>52</v>
      </c>
      <c r="B177" s="17" t="s">
        <v>767</v>
      </c>
      <c r="C177" s="48">
        <v>204</v>
      </c>
      <c r="D177" s="49" t="s">
        <v>815</v>
      </c>
      <c r="E177" s="48" t="s">
        <v>65</v>
      </c>
      <c r="F177" s="50">
        <v>8.6</v>
      </c>
      <c r="G177" s="32">
        <f>IF(B177="高三",IF($E177="男",LOOKUP(F177,[1]对照表!$G$3:$G$24,[1]对照表!$H$3:$H$24),LOOKUP(F177,[1]对照表!$G$27:$G$48,[1]对照表!$H$27:$H$48)),IF(B177="高二",IF($E177="男",LOOKUP(F177,[1]对照表!$F$3:$F$24,[1]对照表!$H$3:$H$24),LOOKUP(F177,[1]对照表!$F$27:$F$48,[1]对照表!$H$27:$H$48)),IF(B177="高一",IF($E177="男",LOOKUP(F177,[1]对照表!$E$3:$E$24,[1]对照表!$H$3:$H$24),LOOKUP(F177,[1]对照表!$E$27:$E$48,[1]对照表!$H$27:$H$48)))))</f>
        <v>78</v>
      </c>
      <c r="H177" s="38">
        <v>29</v>
      </c>
      <c r="I177" s="32">
        <f>IF(B177="高三",IF($E177="男",LOOKUP(H177,[1]对照表!$K$3:$K$24,[1]对照表!$L$3:$L$24),LOOKUP(H177,[1]对照表!$K$27:$K$48,[1]对照表!$L$27:$L$48)),IF(B177="高二",IF($E177="男",LOOKUP(H177,[1]对照表!$J$3:$J$24,[1]对照表!$L$3:$L$24),LOOKUP(H177,[1]对照表!$J$27:$J$48,[1]对照表!$L$27:$L$48)),IF(B177="高一",IF($E177="男",LOOKUP(H177,[1]对照表!$I$3:$I$24,[1]对照表!$L$3:$L$24),LOOKUP(H177,[1]对照表!$I$27:$I$48,[1]对照表!$L$27:$L$48)))))</f>
        <v>100</v>
      </c>
      <c r="J177" s="38">
        <v>196</v>
      </c>
      <c r="K177" s="32">
        <f>IF(B177="高三",IF($E177="男",LOOKUP(J177,[1]对照表!$O$3:$O$24,[1]对照表!$P$3:$P$24),LOOKUP(J177,[1]对照表!$O$27:$O$48,[1]对照表!$P$27:$P$48)),IF(B177="高二",IF($E177="男",LOOKUP(J177,[1]对照表!$N$3:$N$24,[1]对照表!$P$3:$P$24),LOOKUP(J177,[1]对照表!$N$27:$N$48,[1]对照表!$P$27:$P$48)),IF(B177="高一",IF($E177="男",LOOKUP(J177,[1]对照表!$M$3:$M$24,[1]对照表!$P$3:$P$24),LOOKUP(J177,[1]对照表!$M$27:$M$48,[1]对照表!$P$27:$P$48)))))</f>
        <v>90</v>
      </c>
      <c r="L177" s="38">
        <v>58</v>
      </c>
      <c r="M177" s="32">
        <f>IF(B177="高三",IF($E177="男",LOOKUP(L177,[1]对照表!$S$3:$S$24,[1]对照表!$T$3:$T$24),LOOKUP(L177,[1]对照表!$S$27:$S$48,[1]对照表!$T$27:$T$48)),IF(B177="高二",IF($E177="男",LOOKUP(L177,[1]对照表!$R$3:$R$24,[1]对照表!$T$3:$T$24),LOOKUP(L177,[1]对照表!$R$27:$R$48,[1]对照表!$T$27:$T$48)),IF(B177="高一",IF($E177="男",LOOKUP(L177,[1]对照表!$Q$3:$Q$24,[1]对照表!$T$3:$T$24),LOOKUP(L177,[1]对照表!$Q$27:$Q$48,[1]对照表!$T$27:$T$48)))))</f>
        <v>100</v>
      </c>
      <c r="N177" s="33">
        <f>IF(B177="高三",MAX(IF(E177="男",L177-18,L177-55),0),IF(B177="高二",MAX(IF(E177="男",L177-17,L177-54),0),IF(B177="高一",MAX(IF(E177="男",L177-16,L177-53),0))))</f>
        <v>4</v>
      </c>
      <c r="O177" s="23">
        <f>IF(E177="男",LOOKUP($N177,[1]对照表!$Z$3:$Z$13,[1]对照表!$AA$3:$AA$13),LOOKUP($N177,[1]对照表!$Z$15:$Z$25,[1]对照表!$AA$15:$AA$25))</f>
        <v>2</v>
      </c>
      <c r="P177" s="25">
        <f>M177+O177</f>
        <v>102</v>
      </c>
      <c r="Q177" s="50">
        <v>3.2</v>
      </c>
      <c r="R177" s="32">
        <f>IF(B177="高三",IF($E177="男",LOOKUP(Q177,[1]对照表!$W$3:$W$24,[1]对照表!$X$3:$X$24),LOOKUP(Q177,[1]对照表!$W$27:$W$48,[1]对照表!$X$27:$X$48)),IF(B177="高二",IF($E177="男",LOOKUP(Q177,[1]对照表!$V$3:$V$24,[1]对照表!$X$3:$X$24),LOOKUP(Q177,[1]对照表!$V$27:$V$48,[1]对照表!$X$27:$X$48)),IF(B177="高一",IF($E177="男",LOOKUP(Q177,[1]对照表!$U$3:$U$24,[1]对照表!$X$3:$X$24),LOOKUP(Q177,[1]对照表!$U$27:$U$48,[1]对照表!$X$27:$X$48)))))</f>
        <v>100</v>
      </c>
      <c r="S177" s="33">
        <f>ROUND(IF(IF($B177="高三",MIN(IF($E177="男",$Q177-3.2,$Q177-3.2),0),IF($B177="高二",MIN(IF($E177="男",$Q177-3.25,$Q177-3.22),0),IF($B177="高一",MIN(IF($E177="男",$Q177-3.3,$Q177-3.24),0))))&lt;-0.6,IF($B177="高三",MIN(IF($E177="男",$Q177-3.2,$Q177-3.2),0),IF($B177="高二",MIN(IF($E177="男",$Q177-3.25,$Q177-3.22),0),IF($B177="高一",MIN(IF($E177="男",$Q177-3.3,$Q177-3.24),0))))+0.4,IF($B177="高三",MIN(IF($E177="男",$Q177-3.2,$Q177-3.2),0),IF($B177="高二",MIN(IF($E177="男",$Q177-3.25,$Q177-3.22),0),IF($B177="高一",MIN(IF($E177="男",$Q177-3.3,$Q177-3.24),0))))),2)</f>
        <v>-0.02</v>
      </c>
      <c r="T177" s="23">
        <f>IF(E177="男",LOOKUP($S177,[1]对照表!$AB$3:$AB$13,[1]对照表!$AC$3:$AC$13),LOOKUP($S177,[1]对照表!$AB$15:$AB$25,[1]对照表!$AC$15:$AC$25))</f>
        <v>0</v>
      </c>
      <c r="U177" s="26">
        <f>R177+T177</f>
        <v>100</v>
      </c>
      <c r="V177" s="26">
        <f>SUM(I177,K177,M177)/3*0.3+SUM(G177,R177)/2*0.4</f>
        <v>64.599999999999994</v>
      </c>
      <c r="W177" s="27">
        <f>O177+T177</f>
        <v>2</v>
      </c>
      <c r="X177" s="28">
        <f>V177/0.7+W177</f>
        <v>94.285714285714278</v>
      </c>
      <c r="Y177" s="28">
        <f>X177</f>
        <v>94.285714285714278</v>
      </c>
      <c r="Z177" s="38"/>
    </row>
    <row r="178" spans="1:26" ht="15.6" x14ac:dyDescent="0.25">
      <c r="A178" s="48">
        <v>18</v>
      </c>
      <c r="B178" s="17" t="s">
        <v>767</v>
      </c>
      <c r="C178" s="48">
        <v>204</v>
      </c>
      <c r="D178" s="49" t="s">
        <v>819</v>
      </c>
      <c r="E178" s="48" t="s">
        <v>65</v>
      </c>
      <c r="F178" s="50">
        <v>8.24</v>
      </c>
      <c r="G178" s="32">
        <f>IF(B178="高三",IF($E178="男",LOOKUP(F178,[1]对照表!$G$3:$G$24,[1]对照表!$H$3:$H$24),LOOKUP(F178,[1]对照表!$G$27:$G$48,[1]对照表!$H$27:$H$48)),IF(B178="高二",IF($E178="男",LOOKUP(F178,[1]对照表!$F$3:$F$24,[1]对照表!$H$3:$H$24),LOOKUP(F178,[1]对照表!$F$27:$F$48,[1]对照表!$H$27:$H$48)),IF(B178="高一",IF($E178="男",LOOKUP(F178,[1]对照表!$E$3:$E$24,[1]对照表!$H$3:$H$24),LOOKUP(F178,[1]对照表!$E$27:$E$48,[1]对照表!$H$27:$H$48)))))</f>
        <v>80</v>
      </c>
      <c r="H178" s="38">
        <v>15.5</v>
      </c>
      <c r="I178" s="32">
        <f>IF(B178="高三",IF($E178="男",LOOKUP(H178,[1]对照表!$K$3:$K$24,[1]对照表!$L$3:$L$24),LOOKUP(H178,[1]对照表!$K$27:$K$48,[1]对照表!$L$27:$L$48)),IF(B178="高二",IF($E178="男",LOOKUP(H178,[1]对照表!$J$3:$J$24,[1]对照表!$L$3:$L$24),LOOKUP(H178,[1]对照表!$J$27:$J$48,[1]对照表!$L$27:$L$48)),IF(B178="高一",IF($E178="男",LOOKUP(H178,[1]对照表!$I$3:$I$24,[1]对照表!$L$3:$L$24),LOOKUP(H178,[1]对照表!$I$27:$I$48,[1]对照表!$L$27:$L$48)))))</f>
        <v>76</v>
      </c>
      <c r="J178" s="38">
        <v>188</v>
      </c>
      <c r="K178" s="32">
        <f>IF(B178="高三",IF($E178="男",LOOKUP(J178,[1]对照表!$O$3:$O$24,[1]对照表!$P$3:$P$24),LOOKUP(J178,[1]对照表!$O$27:$O$48,[1]对照表!$P$27:$P$48)),IF(B178="高二",IF($E178="男",LOOKUP(J178,[1]对照表!$N$3:$N$24,[1]对照表!$P$3:$P$24),LOOKUP(J178,[1]对照表!$N$27:$N$48,[1]对照表!$P$27:$P$48)),IF(B178="高一",IF($E178="男",LOOKUP(J178,[1]对照表!$M$3:$M$24,[1]对照表!$P$3:$P$24),LOOKUP(J178,[1]对照表!$M$27:$M$48,[1]对照表!$P$27:$P$48)))))</f>
        <v>85</v>
      </c>
      <c r="L178" s="38">
        <v>61</v>
      </c>
      <c r="M178" s="32">
        <f>IF(B178="高三",IF($E178="男",LOOKUP(L178,[1]对照表!$S$3:$S$24,[1]对照表!$T$3:$T$24),LOOKUP(L178,[1]对照表!$S$27:$S$48,[1]对照表!$T$27:$T$48)),IF(B178="高二",IF($E178="男",LOOKUP(L178,[1]对照表!$R$3:$R$24,[1]对照表!$T$3:$T$24),LOOKUP(L178,[1]对照表!$R$27:$R$48,[1]对照表!$T$27:$T$48)),IF(B178="高一",IF($E178="男",LOOKUP(L178,[1]对照表!$Q$3:$Q$24,[1]对照表!$T$3:$T$24),LOOKUP(L178,[1]对照表!$Q$27:$Q$48,[1]对照表!$T$27:$T$48)))))</f>
        <v>100</v>
      </c>
      <c r="N178" s="33">
        <f>IF(B178="高三",MAX(IF(E178="男",L178-18,L178-55),0),IF(B178="高二",MAX(IF(E178="男",L178-17,L178-54),0),IF(B178="高一",MAX(IF(E178="男",L178-16,L178-53),0))))</f>
        <v>7</v>
      </c>
      <c r="O178" s="23">
        <f>IF(E178="男",LOOKUP($N178,[1]对照表!$Z$3:$Z$13,[1]对照表!$AA$3:$AA$13),LOOKUP($N178,[1]对照表!$Z$15:$Z$25,[1]对照表!$AA$15:$AA$25))</f>
        <v>4</v>
      </c>
      <c r="P178" s="25">
        <f>M178+O178</f>
        <v>104</v>
      </c>
      <c r="Q178" s="50">
        <v>3.17</v>
      </c>
      <c r="R178" s="32">
        <f>IF(B178="高三",IF($E178="男",LOOKUP(Q178,[1]对照表!$W$3:$W$24,[1]对照表!$X$3:$X$24),LOOKUP(Q178,[1]对照表!$W$27:$W$48,[1]对照表!$X$27:$X$48)),IF(B178="高二",IF($E178="男",LOOKUP(Q178,[1]对照表!$V$3:$V$24,[1]对照表!$X$3:$X$24),LOOKUP(Q178,[1]对照表!$V$27:$V$48,[1]对照表!$X$27:$X$48)),IF(B178="高一",IF($E178="男",LOOKUP(Q178,[1]对照表!$U$3:$U$24,[1]对照表!$X$3:$X$24),LOOKUP(Q178,[1]对照表!$U$27:$U$48,[1]对照表!$X$27:$X$48)))))</f>
        <v>100</v>
      </c>
      <c r="S178" s="33">
        <f>ROUND(IF(IF($B178="高三",MIN(IF($E178="男",$Q178-3.2,$Q178-3.2),0),IF($B178="高二",MIN(IF($E178="男",$Q178-3.25,$Q178-3.22),0),IF($B178="高一",MIN(IF($E178="男",$Q178-3.3,$Q178-3.24),0))))&lt;-0.6,IF($B178="高三",MIN(IF($E178="男",$Q178-3.2,$Q178-3.2),0),IF($B178="高二",MIN(IF($E178="男",$Q178-3.25,$Q178-3.22),0),IF($B178="高一",MIN(IF($E178="男",$Q178-3.3,$Q178-3.24),0))))+0.4,IF($B178="高三",MIN(IF($E178="男",$Q178-3.2,$Q178-3.2),0),IF($B178="高二",MIN(IF($E178="男",$Q178-3.25,$Q178-3.22),0),IF($B178="高一",MIN(IF($E178="男",$Q178-3.3,$Q178-3.24),0))))),2)</f>
        <v>-0.05</v>
      </c>
      <c r="T178" s="23">
        <f>IF(E178="男",LOOKUP($S178,[1]对照表!$AB$3:$AB$13,[1]对照表!$AC$3:$AC$13),LOOKUP($S178,[1]对照表!$AB$15:$AB$25,[1]对照表!$AC$15:$AC$25))</f>
        <v>1</v>
      </c>
      <c r="U178" s="26">
        <f>R178+T178</f>
        <v>101</v>
      </c>
      <c r="V178" s="26">
        <f>SUM(I178,K178,M178)/3*0.3+SUM(G178,R178)/2*0.4</f>
        <v>62.099999999999994</v>
      </c>
      <c r="W178" s="27">
        <f>O178+T178</f>
        <v>5</v>
      </c>
      <c r="X178" s="28">
        <f>V178/0.7+W178</f>
        <v>93.714285714285708</v>
      </c>
      <c r="Y178" s="28">
        <f>X178</f>
        <v>93.714285714285708</v>
      </c>
      <c r="Z178" s="38"/>
    </row>
    <row r="179" spans="1:26" ht="15.6" x14ac:dyDescent="0.25">
      <c r="A179" s="48">
        <v>17</v>
      </c>
      <c r="B179" s="17" t="s">
        <v>767</v>
      </c>
      <c r="C179" s="48">
        <v>204</v>
      </c>
      <c r="D179" s="49" t="s">
        <v>838</v>
      </c>
      <c r="E179" s="48" t="s">
        <v>65</v>
      </c>
      <c r="F179" s="50">
        <v>7.77</v>
      </c>
      <c r="G179" s="32">
        <f>IF(B179="高三",IF($E179="男",LOOKUP(F179,[1]对照表!$G$3:$G$24,[1]对照表!$H$3:$H$24),LOOKUP(F179,[1]对照表!$G$27:$G$48,[1]对照表!$H$27:$H$48)),IF(B179="高二",IF($E179="男",LOOKUP(F179,[1]对照表!$F$3:$F$24,[1]对照表!$H$3:$H$24),LOOKUP(F179,[1]对照表!$F$27:$F$48,[1]对照表!$H$27:$H$48)),IF(B179="高一",IF($E179="男",LOOKUP(F179,[1]对照表!$E$3:$E$24,[1]对照表!$H$3:$H$24),LOOKUP(F179,[1]对照表!$E$27:$E$48,[1]对照表!$H$27:$H$48)))))</f>
        <v>95</v>
      </c>
      <c r="H179" s="38">
        <v>11.6</v>
      </c>
      <c r="I179" s="32">
        <f>IF(B179="高三",IF($E179="男",LOOKUP(H179,[1]对照表!$K$3:$K$24,[1]对照表!$L$3:$L$24),LOOKUP(H179,[1]对照表!$K$27:$K$48,[1]对照表!$L$27:$L$48)),IF(B179="高二",IF($E179="男",LOOKUP(H179,[1]对照表!$J$3:$J$24,[1]对照表!$L$3:$L$24),LOOKUP(H179,[1]对照表!$J$27:$J$48,[1]对照表!$L$27:$L$48)),IF(B179="高一",IF($E179="男",LOOKUP(H179,[1]对照表!$I$3:$I$24,[1]对照表!$L$3:$L$24),LOOKUP(H179,[1]对照表!$I$27:$I$48,[1]对照表!$L$27:$L$48)))))</f>
        <v>70</v>
      </c>
      <c r="J179" s="38">
        <v>208</v>
      </c>
      <c r="K179" s="32">
        <f>IF(B179="高三",IF($E179="男",LOOKUP(J179,[1]对照表!$O$3:$O$24,[1]对照表!$P$3:$P$24),LOOKUP(J179,[1]对照表!$O$27:$O$48,[1]对照表!$P$27:$P$48)),IF(B179="高二",IF($E179="男",LOOKUP(J179,[1]对照表!$N$3:$N$24,[1]对照表!$P$3:$P$24),LOOKUP(J179,[1]对照表!$N$27:$N$48,[1]对照表!$P$27:$P$48)),IF(B179="高一",IF($E179="男",LOOKUP(J179,[1]对照表!$M$3:$M$24,[1]对照表!$P$3:$P$24),LOOKUP(J179,[1]对照表!$M$27:$M$48,[1]对照表!$P$27:$P$48)))))</f>
        <v>100</v>
      </c>
      <c r="L179" s="38">
        <v>57</v>
      </c>
      <c r="M179" s="32">
        <f>IF(B179="高三",IF($E179="男",LOOKUP(L179,[1]对照表!$S$3:$S$24,[1]对照表!$T$3:$T$24),LOOKUP(L179,[1]对照表!$S$27:$S$48,[1]对照表!$T$27:$T$48)),IF(B179="高二",IF($E179="男",LOOKUP(L179,[1]对照表!$R$3:$R$24,[1]对照表!$T$3:$T$24),LOOKUP(L179,[1]对照表!$R$27:$R$48,[1]对照表!$T$27:$T$48)),IF(B179="高一",IF($E179="男",LOOKUP(L179,[1]对照表!$Q$3:$Q$24,[1]对照表!$T$3:$T$24),LOOKUP(L179,[1]对照表!$Q$27:$Q$48,[1]对照表!$T$27:$T$48)))))</f>
        <v>100</v>
      </c>
      <c r="N179" s="33">
        <f>IF(B179="高三",MAX(IF(E179="男",L179-18,L179-55),0),IF(B179="高二",MAX(IF(E179="男",L179-17,L179-54),0),IF(B179="高一",MAX(IF(E179="男",L179-16,L179-53),0))))</f>
        <v>3</v>
      </c>
      <c r="O179" s="23">
        <f>IF(E179="男",LOOKUP($N179,[1]对照表!$Z$3:$Z$13,[1]对照表!$AA$3:$AA$13),LOOKUP($N179,[1]对照表!$Z$15:$Z$25,[1]对照表!$AA$15:$AA$25))</f>
        <v>1</v>
      </c>
      <c r="P179" s="25">
        <f>M179+O179</f>
        <v>101</v>
      </c>
      <c r="Q179" s="50">
        <v>3.38</v>
      </c>
      <c r="R179" s="32">
        <f>IF(B179="高三",IF($E179="男",LOOKUP(Q179,[1]对照表!$W$3:$W$24,[1]对照表!$X$3:$X$24),LOOKUP(Q179,[1]对照表!$W$27:$W$48,[1]对照表!$X$27:$X$48)),IF(B179="高二",IF($E179="男",LOOKUP(Q179,[1]对照表!$V$3:$V$24,[1]对照表!$X$3:$X$24),LOOKUP(Q179,[1]对照表!$V$27:$V$48,[1]对照表!$X$27:$X$48)),IF(B179="高一",IF($E179="男",LOOKUP(Q179,[1]对照表!$U$3:$U$24,[1]对照表!$X$3:$X$24),LOOKUP(Q179,[1]对照表!$U$27:$U$48,[1]对照表!$X$27:$X$48)))))</f>
        <v>85</v>
      </c>
      <c r="S179" s="33">
        <f>ROUND(IF(IF($B179="高三",MIN(IF($E179="男",$Q179-3.2,$Q179-3.2),0),IF($B179="高二",MIN(IF($E179="男",$Q179-3.25,$Q179-3.22),0),IF($B179="高一",MIN(IF($E179="男",$Q179-3.3,$Q179-3.24),0))))&lt;-0.6,IF($B179="高三",MIN(IF($E179="男",$Q179-3.2,$Q179-3.2),0),IF($B179="高二",MIN(IF($E179="男",$Q179-3.25,$Q179-3.22),0),IF($B179="高一",MIN(IF($E179="男",$Q179-3.3,$Q179-3.24),0))))+0.4,IF($B179="高三",MIN(IF($E179="男",$Q179-3.2,$Q179-3.2),0),IF($B179="高二",MIN(IF($E179="男",$Q179-3.25,$Q179-3.22),0),IF($B179="高一",MIN(IF($E179="男",$Q179-3.3,$Q179-3.24),0))))),2)</f>
        <v>0</v>
      </c>
      <c r="T179" s="23">
        <f>IF(E179="男",LOOKUP($S179,[1]对照表!$AB$3:$AB$13,[1]对照表!$AC$3:$AC$13),LOOKUP($S179,[1]对照表!$AB$15:$AB$25,[1]对照表!$AC$15:$AC$25))</f>
        <v>0</v>
      </c>
      <c r="U179" s="26">
        <f>R179+T179</f>
        <v>85</v>
      </c>
      <c r="V179" s="26">
        <f>SUM(I179,K179,M179)/3*0.3+SUM(G179,R179)/2*0.4</f>
        <v>63</v>
      </c>
      <c r="W179" s="27">
        <f>O179+T179</f>
        <v>1</v>
      </c>
      <c r="X179" s="28">
        <f>V179/0.7+W179</f>
        <v>91</v>
      </c>
      <c r="Y179" s="28">
        <f>X179</f>
        <v>91</v>
      </c>
      <c r="Z179" s="38"/>
    </row>
    <row r="180" spans="1:26" ht="15.6" customHeight="1" x14ac:dyDescent="0.25">
      <c r="A180" s="48">
        <v>16</v>
      </c>
      <c r="B180" s="17" t="s">
        <v>767</v>
      </c>
      <c r="C180" s="48">
        <v>204</v>
      </c>
      <c r="D180" s="49" t="s">
        <v>847</v>
      </c>
      <c r="E180" s="48" t="s">
        <v>65</v>
      </c>
      <c r="F180" s="50">
        <v>8.5</v>
      </c>
      <c r="G180" s="32">
        <f>IF(B180="高三",IF($E180="男",LOOKUP(F180,[1]对照表!$G$3:$G$24,[1]对照表!$H$3:$H$24),LOOKUP(F180,[1]对照表!$G$27:$G$48,[1]对照表!$H$27:$H$48)),IF(B180="高二",IF($E180="男",LOOKUP(F180,[1]对照表!$F$3:$F$24,[1]对照表!$H$3:$H$24),LOOKUP(F180,[1]对照表!$F$27:$F$48,[1]对照表!$H$27:$H$48)),IF(B180="高一",IF($E180="男",LOOKUP(F180,[1]对照表!$E$3:$E$24,[1]对照表!$H$3:$H$24),LOOKUP(F180,[1]对照表!$E$27:$E$48,[1]对照表!$H$27:$H$48)))))</f>
        <v>80</v>
      </c>
      <c r="H180" s="38">
        <v>25.7</v>
      </c>
      <c r="I180" s="32">
        <f>IF(B180="高三",IF($E180="男",LOOKUP(H180,[1]对照表!$K$3:$K$24,[1]对照表!$L$3:$L$24),LOOKUP(H180,[1]对照表!$K$27:$K$48,[1]对照表!$L$27:$L$48)),IF(B180="高二",IF($E180="男",LOOKUP(H180,[1]对照表!$J$3:$J$24,[1]对照表!$L$3:$L$24),LOOKUP(H180,[1]对照表!$J$27:$J$48,[1]对照表!$L$27:$L$48)),IF(B180="高一",IF($E180="男",LOOKUP(H180,[1]对照表!$I$3:$I$24,[1]对照表!$L$3:$L$24),LOOKUP(H180,[1]对照表!$I$27:$I$48,[1]对照表!$L$27:$L$48)))))</f>
        <v>100</v>
      </c>
      <c r="J180" s="38">
        <v>205</v>
      </c>
      <c r="K180" s="32">
        <f>IF(B180="高三",IF($E180="男",LOOKUP(J180,[1]对照表!$O$3:$O$24,[1]对照表!$P$3:$P$24),LOOKUP(J180,[1]对照表!$O$27:$O$48,[1]对照表!$P$27:$P$48)),IF(B180="高二",IF($E180="男",LOOKUP(J180,[1]对照表!$N$3:$N$24,[1]对照表!$P$3:$P$24),LOOKUP(J180,[1]对照表!$N$27:$N$48,[1]对照表!$P$27:$P$48)),IF(B180="高一",IF($E180="男",LOOKUP(J180,[1]对照表!$M$3:$M$24,[1]对照表!$P$3:$P$24),LOOKUP(J180,[1]对照表!$M$27:$M$48,[1]对照表!$P$27:$P$48)))))</f>
        <v>100</v>
      </c>
      <c r="L180" s="38">
        <v>59</v>
      </c>
      <c r="M180" s="32">
        <f>IF(B180="高三",IF($E180="男",LOOKUP(L180,[1]对照表!$S$3:$S$24,[1]对照表!$T$3:$T$24),LOOKUP(L180,[1]对照表!$S$27:$S$48,[1]对照表!$T$27:$T$48)),IF(B180="高二",IF($E180="男",LOOKUP(L180,[1]对照表!$R$3:$R$24,[1]对照表!$T$3:$T$24),LOOKUP(L180,[1]对照表!$R$27:$R$48,[1]对照表!$T$27:$T$48)),IF(B180="高一",IF($E180="男",LOOKUP(L180,[1]对照表!$Q$3:$Q$24,[1]对照表!$T$3:$T$24),LOOKUP(L180,[1]对照表!$Q$27:$Q$48,[1]对照表!$T$27:$T$48)))))</f>
        <v>100</v>
      </c>
      <c r="N180" s="33">
        <f>IF(B180="高三",MAX(IF(E180="男",L180-18,L180-55),0),IF(B180="高二",MAX(IF(E180="男",L180-17,L180-54),0),IF(B180="高一",MAX(IF(E180="男",L180-16,L180-53),0))))</f>
        <v>5</v>
      </c>
      <c r="O180" s="23">
        <f>IF(E180="男",LOOKUP($N180,[1]对照表!$Z$3:$Z$13,[1]对照表!$AA$3:$AA$13),LOOKUP($N180,[1]对照表!$Z$15:$Z$25,[1]对照表!$AA$15:$AA$25))</f>
        <v>2</v>
      </c>
      <c r="P180" s="25">
        <f>M180+O180</f>
        <v>102</v>
      </c>
      <c r="Q180" s="50">
        <v>3.51</v>
      </c>
      <c r="R180" s="32">
        <f>IF(B180="高三",IF($E180="男",LOOKUP(Q180,[1]对照表!$W$3:$W$24,[1]对照表!$X$3:$X$24),LOOKUP(Q180,[1]对照表!$W$27:$W$48,[1]对照表!$X$27:$X$48)),IF(B180="高二",IF($E180="男",LOOKUP(Q180,[1]对照表!$V$3:$V$24,[1]对照表!$X$3:$X$24),LOOKUP(Q180,[1]对照表!$V$27:$V$48,[1]对照表!$X$27:$X$48)),IF(B180="高一",IF($E180="男",LOOKUP(Q180,[1]对照表!$U$3:$U$24,[1]对照表!$X$3:$X$24),LOOKUP(Q180,[1]对照表!$U$27:$U$48,[1]对照表!$X$27:$X$48)))))</f>
        <v>78</v>
      </c>
      <c r="S180" s="33">
        <f>ROUND(IF(IF($B180="高三",MIN(IF($E180="男",$Q180-3.2,$Q180-3.2),0),IF($B180="高二",MIN(IF($E180="男",$Q180-3.25,$Q180-3.22),0),IF($B180="高一",MIN(IF($E180="男",$Q180-3.3,$Q180-3.24),0))))&lt;-0.6,IF($B180="高三",MIN(IF($E180="男",$Q180-3.2,$Q180-3.2),0),IF($B180="高二",MIN(IF($E180="男",$Q180-3.25,$Q180-3.22),0),IF($B180="高一",MIN(IF($E180="男",$Q180-3.3,$Q180-3.24),0))))+0.4,IF($B180="高三",MIN(IF($E180="男",$Q180-3.2,$Q180-3.2),0),IF($B180="高二",MIN(IF($E180="男",$Q180-3.25,$Q180-3.22),0),IF($B180="高一",MIN(IF($E180="男",$Q180-3.3,$Q180-3.24),0))))),2)</f>
        <v>0</v>
      </c>
      <c r="T180" s="23">
        <f>IF(E180="男",LOOKUP($S180,[1]对照表!$AB$3:$AB$13,[1]对照表!$AC$3:$AC$13),LOOKUP($S180,[1]对照表!$AB$15:$AB$25,[1]对照表!$AC$15:$AC$25))</f>
        <v>0</v>
      </c>
      <c r="U180" s="26">
        <f>R180+T180</f>
        <v>78</v>
      </c>
      <c r="V180" s="26">
        <f>SUM(I180,K180,M180)/3*0.3+SUM(G180,R180)/2*0.4</f>
        <v>61.6</v>
      </c>
      <c r="W180" s="27">
        <f>O180+T180</f>
        <v>2</v>
      </c>
      <c r="X180" s="28">
        <f>V180/0.7+W180</f>
        <v>90.000000000000014</v>
      </c>
      <c r="Y180" s="28">
        <f>X180</f>
        <v>90.000000000000014</v>
      </c>
      <c r="Z180" s="38"/>
    </row>
    <row r="181" spans="1:26" ht="15.6" x14ac:dyDescent="0.25">
      <c r="A181" s="48">
        <v>4</v>
      </c>
      <c r="B181" s="17" t="s">
        <v>767</v>
      </c>
      <c r="C181" s="48">
        <v>204</v>
      </c>
      <c r="D181" s="49" t="s">
        <v>853</v>
      </c>
      <c r="E181" s="48" t="s">
        <v>23</v>
      </c>
      <c r="F181" s="50">
        <v>6.9</v>
      </c>
      <c r="G181" s="32">
        <f>IF(B181="高三",IF($E181="男",LOOKUP(F181,[1]对照表!$G$3:$G$24,[1]对照表!$H$3:$H$24),LOOKUP(F181,[1]对照表!$G$27:$G$48,[1]对照表!$H$27:$H$48)),IF(B181="高二",IF($E181="男",LOOKUP(F181,[1]对照表!$F$3:$F$24,[1]对照表!$H$3:$H$24),LOOKUP(F181,[1]对照表!$F$27:$F$48,[1]对照表!$H$27:$H$48)),IF(B181="高一",IF($E181="男",LOOKUP(F181,[1]对照表!$E$3:$E$24,[1]对照表!$H$3:$H$24),LOOKUP(F181,[1]对照表!$E$27:$E$48,[1]对照表!$H$27:$H$48)))))</f>
        <v>100</v>
      </c>
      <c r="H181" s="38">
        <v>5</v>
      </c>
      <c r="I181" s="32">
        <f>IF(B181="高三",IF($E181="男",LOOKUP(H181,[1]对照表!$K$3:$K$24,[1]对照表!$L$3:$L$24),LOOKUP(H181,[1]对照表!$K$27:$K$48,[1]对照表!$L$27:$L$48)),IF(B181="高二",IF($E181="男",LOOKUP(H181,[1]对照表!$J$3:$J$24,[1]对照表!$L$3:$L$24),LOOKUP(H181,[1]对照表!$J$27:$J$48,[1]对照表!$L$27:$L$48)),IF(B181="高一",IF($E181="男",LOOKUP(H181,[1]对照表!$I$3:$I$24,[1]对照表!$L$3:$L$24),LOOKUP(H181,[1]对照表!$I$27:$I$48,[1]对照表!$L$27:$L$48)))))</f>
        <v>64</v>
      </c>
      <c r="J181" s="38">
        <v>250</v>
      </c>
      <c r="K181" s="32">
        <f>IF(B181="高三",IF($E181="男",LOOKUP(J181,[1]对照表!$O$3:$O$24,[1]对照表!$P$3:$P$24),LOOKUP(J181,[1]对照表!$O$27:$O$48,[1]对照表!$P$27:$P$48)),IF(B181="高二",IF($E181="男",LOOKUP(J181,[1]对照表!$N$3:$N$24,[1]对照表!$P$3:$P$24),LOOKUP(J181,[1]对照表!$N$27:$N$48,[1]对照表!$P$27:$P$48)),IF(B181="高一",IF($E181="男",LOOKUP(J181,[1]对照表!$M$3:$M$24,[1]对照表!$P$3:$P$24),LOOKUP(J181,[1]对照表!$M$27:$M$48,[1]对照表!$P$27:$P$48)))))</f>
        <v>85</v>
      </c>
      <c r="L181" s="38">
        <v>24</v>
      </c>
      <c r="M181" s="32">
        <f>IF(B181="高三",IF($E181="男",LOOKUP(L181,[1]对照表!$S$3:$S$24,[1]对照表!$T$3:$T$24),LOOKUP(L181,[1]对照表!$S$27:$S$48,[1]对照表!$T$27:$T$48)),IF(B181="高二",IF($E181="男",LOOKUP(L181,[1]对照表!$R$3:$R$24,[1]对照表!$T$3:$T$24),LOOKUP(L181,[1]对照表!$R$27:$R$48,[1]对照表!$T$27:$T$48)),IF(B181="高一",IF($E181="男",LOOKUP(L181,[1]对照表!$Q$3:$Q$24,[1]对照表!$T$3:$T$24),LOOKUP(L181,[1]对照表!$Q$27:$Q$48,[1]对照表!$T$27:$T$48)))))</f>
        <v>100</v>
      </c>
      <c r="N181" s="33">
        <f>IF(B181="高三",MAX(IF(E181="男",L181-18,L181-55),0),IF(B181="高二",MAX(IF(E181="男",L181-17,L181-54),0),IF(B181="高一",MAX(IF(E181="男",L181-16,L181-53),0))))</f>
        <v>7</v>
      </c>
      <c r="O181" s="23">
        <f>IF(E181="男",LOOKUP($N181,[1]对照表!$Z$3:$Z$13,[1]对照表!$AA$3:$AA$13),LOOKUP($N181,[1]对照表!$Z$15:$Z$25,[1]对照表!$AA$15:$AA$25))</f>
        <v>7</v>
      </c>
      <c r="P181" s="25">
        <f>M181+O181</f>
        <v>107</v>
      </c>
      <c r="Q181" s="50">
        <v>3.18</v>
      </c>
      <c r="R181" s="32">
        <f>IF(B181="高三",IF($E181="男",LOOKUP(Q181,[1]对照表!$W$3:$W$24,[1]对照表!$X$3:$X$24),LOOKUP(Q181,[1]对照表!$W$27:$W$48,[1]对照表!$X$27:$X$48)),IF(B181="高二",IF($E181="男",LOOKUP(Q181,[1]对照表!$V$3:$V$24,[1]对照表!$X$3:$X$24),LOOKUP(Q181,[1]对照表!$V$27:$V$48,[1]对照表!$X$27:$X$48)),IF(B181="高一",IF($E181="男",LOOKUP(Q181,[1]对照表!$U$3:$U$24,[1]对照表!$X$3:$X$24),LOOKUP(Q181,[1]对照表!$U$27:$U$48,[1]对照表!$X$27:$X$48)))))</f>
        <v>100</v>
      </c>
      <c r="S181" s="33">
        <f>ROUND(IF(IF($B181="高三",MIN(IF($E181="男",$Q181-3.2,$Q181-3.2),0),IF($B181="高二",MIN(IF($E181="男",$Q181-3.25,$Q181-3.22),0),IF($B181="高一",MIN(IF($E181="男",$Q181-3.3,$Q181-3.24),0))))&lt;-0.6,IF($B181="高三",MIN(IF($E181="男",$Q181-3.2,$Q181-3.2),0),IF($B181="高二",MIN(IF($E181="男",$Q181-3.25,$Q181-3.22),0),IF($B181="高一",MIN(IF($E181="男",$Q181-3.3,$Q181-3.24),0))))+0.4,IF($B181="高三",MIN(IF($E181="男",$Q181-3.2,$Q181-3.2),0),IF($B181="高二",MIN(IF($E181="男",$Q181-3.25,$Q181-3.22),0),IF($B181="高一",MIN(IF($E181="男",$Q181-3.3,$Q181-3.24),0))))),2)</f>
        <v>-7.0000000000000007E-2</v>
      </c>
      <c r="T181" s="23">
        <f>IF(E181="男",LOOKUP($S181,[1]对照表!$AB$3:$AB$13,[1]对照表!$AC$3:$AC$13),LOOKUP($S181,[1]对照表!$AB$15:$AB$25,[1]对照表!$AC$15:$AC$25))</f>
        <v>1</v>
      </c>
      <c r="U181" s="26">
        <f>R181+T181</f>
        <v>101</v>
      </c>
      <c r="V181" s="26">
        <f>SUM(I181,K181,M181)/3*0.3+SUM(G181,R181)/2*0.4</f>
        <v>64.900000000000006</v>
      </c>
      <c r="W181" s="27">
        <f>O181+T181</f>
        <v>8</v>
      </c>
      <c r="X181" s="28">
        <f>V181/0.7+W181</f>
        <v>100.71428571428572</v>
      </c>
      <c r="Y181" s="28">
        <f>X181</f>
        <v>100.71428571428572</v>
      </c>
      <c r="Z181" s="38"/>
    </row>
    <row r="182" spans="1:26" ht="15.6" x14ac:dyDescent="0.25">
      <c r="A182" s="48">
        <v>9</v>
      </c>
      <c r="B182" s="17" t="s">
        <v>767</v>
      </c>
      <c r="C182" s="48">
        <v>204</v>
      </c>
      <c r="D182" s="49" t="s">
        <v>854</v>
      </c>
      <c r="E182" s="48" t="s">
        <v>23</v>
      </c>
      <c r="F182" s="50">
        <v>6.7</v>
      </c>
      <c r="G182" s="32">
        <f>IF(B182="高三",IF($E182="男",LOOKUP(F182,[1]对照表!$G$3:$G$24,[1]对照表!$H$3:$H$24),LOOKUP(F182,[1]对照表!$G$27:$G$48,[1]对照表!$H$27:$H$48)),IF(B182="高二",IF($E182="男",LOOKUP(F182,[1]对照表!$F$3:$F$24,[1]对照表!$H$3:$H$24),LOOKUP(F182,[1]对照表!$F$27:$F$48,[1]对照表!$H$27:$H$48)),IF(B182="高一",IF($E182="男",LOOKUP(F182,[1]对照表!$E$3:$E$24,[1]对照表!$H$3:$H$24),LOOKUP(F182,[1]对照表!$E$27:$E$48,[1]对照表!$H$27:$H$48)))))</f>
        <v>100</v>
      </c>
      <c r="H182" s="38">
        <v>28.1</v>
      </c>
      <c r="I182" s="32">
        <f>IF(B182="高三",IF($E182="男",LOOKUP(H182,[1]对照表!$K$3:$K$24,[1]对照表!$L$3:$L$24),LOOKUP(H182,[1]对照表!$K$27:$K$48,[1]对照表!$L$27:$L$48)),IF(B182="高二",IF($E182="男",LOOKUP(H182,[1]对照表!$J$3:$J$24,[1]对照表!$L$3:$L$24),LOOKUP(H182,[1]对照表!$J$27:$J$48,[1]对照表!$L$27:$L$48)),IF(B182="高一",IF($E182="男",LOOKUP(H182,[1]对照表!$I$3:$I$24,[1]对照表!$L$3:$L$24),LOOKUP(H182,[1]对照表!$I$27:$I$48,[1]对照表!$L$27:$L$48)))))</f>
        <v>100</v>
      </c>
      <c r="J182" s="38">
        <v>270</v>
      </c>
      <c r="K182" s="32">
        <f>IF(B182="高三",IF($E182="男",LOOKUP(J182,[1]对照表!$O$3:$O$24,[1]对照表!$P$3:$P$24),LOOKUP(J182,[1]对照表!$O$27:$O$48,[1]对照表!$P$27:$P$48)),IF(B182="高二",IF($E182="男",LOOKUP(J182,[1]对照表!$N$3:$N$24,[1]对照表!$P$3:$P$24),LOOKUP(J182,[1]对照表!$N$27:$N$48,[1]对照表!$P$27:$P$48)),IF(B182="高一",IF($E182="男",LOOKUP(J182,[1]对照表!$M$3:$M$24,[1]对照表!$P$3:$P$24),LOOKUP(J182,[1]对照表!$M$27:$M$48,[1]对照表!$P$27:$P$48)))))</f>
        <v>100</v>
      </c>
      <c r="L182" s="38">
        <v>12</v>
      </c>
      <c r="M182" s="32">
        <f>IF(B182="高三",IF($E182="男",LOOKUP(L182,[1]对照表!$S$3:$S$24,[1]对照表!$T$3:$T$24),LOOKUP(L182,[1]对照表!$S$27:$S$48,[1]对照表!$T$27:$T$48)),IF(B182="高二",IF($E182="男",LOOKUP(L182,[1]对照表!$R$3:$R$24,[1]对照表!$T$3:$T$24),LOOKUP(L182,[1]对照表!$R$27:$R$48,[1]对照表!$T$27:$T$48)),IF(B182="高一",IF($E182="男",LOOKUP(L182,[1]对照表!$Q$3:$Q$24,[1]对照表!$T$3:$T$24),LOOKUP(L182,[1]对照表!$Q$27:$Q$48,[1]对照表!$T$27:$T$48)))))</f>
        <v>76</v>
      </c>
      <c r="N182" s="33">
        <f>IF(B182="高三",MAX(IF(E182="男",L182-18,L182-55),0),IF(B182="高二",MAX(IF(E182="男",L182-17,L182-54),0),IF(B182="高一",MAX(IF(E182="男",L182-16,L182-53),0))))</f>
        <v>0</v>
      </c>
      <c r="O182" s="23">
        <f>IF(E182="男",LOOKUP($N182,[1]对照表!$Z$3:$Z$13,[1]对照表!$AA$3:$AA$13),LOOKUP($N182,[1]对照表!$Z$15:$Z$25,[1]对照表!$AA$15:$AA$25))</f>
        <v>0</v>
      </c>
      <c r="P182" s="25">
        <f>M182+O182</f>
        <v>76</v>
      </c>
      <c r="Q182" s="50">
        <v>3.08</v>
      </c>
      <c r="R182" s="32">
        <f>IF(B182="高三",IF($E182="男",LOOKUP(Q182,[1]对照表!$W$3:$W$24,[1]对照表!$X$3:$X$24),LOOKUP(Q182,[1]对照表!$W$27:$W$48,[1]对照表!$X$27:$X$48)),IF(B182="高二",IF($E182="男",LOOKUP(Q182,[1]对照表!$V$3:$V$24,[1]对照表!$X$3:$X$24),LOOKUP(Q182,[1]对照表!$V$27:$V$48,[1]对照表!$X$27:$X$48)),IF(B182="高一",IF($E182="男",LOOKUP(Q182,[1]对照表!$U$3:$U$24,[1]对照表!$X$3:$X$24),LOOKUP(Q182,[1]对照表!$U$27:$U$48,[1]对照表!$X$27:$X$48)))))</f>
        <v>100</v>
      </c>
      <c r="S182" s="33">
        <f>ROUND(IF(IF($B182="高三",MIN(IF($E182="男",$Q182-3.2,$Q182-3.2),0),IF($B182="高二",MIN(IF($E182="男",$Q182-3.25,$Q182-3.22),0),IF($B182="高一",MIN(IF($E182="男",$Q182-3.3,$Q182-3.24),0))))&lt;-0.6,IF($B182="高三",MIN(IF($E182="男",$Q182-3.2,$Q182-3.2),0),IF($B182="高二",MIN(IF($E182="男",$Q182-3.25,$Q182-3.22),0),IF($B182="高一",MIN(IF($E182="男",$Q182-3.3,$Q182-3.24),0))))+0.4,IF($B182="高三",MIN(IF($E182="男",$Q182-3.2,$Q182-3.2),0),IF($B182="高二",MIN(IF($E182="男",$Q182-3.25,$Q182-3.22),0),IF($B182="高一",MIN(IF($E182="男",$Q182-3.3,$Q182-3.24),0))))),2)</f>
        <v>-0.17</v>
      </c>
      <c r="T182" s="23">
        <f>IF(E182="男",LOOKUP($S182,[1]对照表!$AB$3:$AB$13,[1]对照表!$AC$3:$AC$13),LOOKUP($S182,[1]对照表!$AB$15:$AB$25,[1]对照表!$AC$15:$AC$25))</f>
        <v>4</v>
      </c>
      <c r="U182" s="26">
        <f>R182+T182</f>
        <v>104</v>
      </c>
      <c r="V182" s="26">
        <f>SUM(I182,K182,M182)/3*0.3+SUM(G182,R182)/2*0.4</f>
        <v>67.599999999999994</v>
      </c>
      <c r="W182" s="27">
        <f>O182+T182</f>
        <v>4</v>
      </c>
      <c r="X182" s="28">
        <f>V182/0.7+W182</f>
        <v>100.57142857142857</v>
      </c>
      <c r="Y182" s="28">
        <f>X182</f>
        <v>100.57142857142857</v>
      </c>
      <c r="Z182" s="38"/>
    </row>
    <row r="183" spans="1:26" ht="15.6" x14ac:dyDescent="0.25">
      <c r="A183" s="48">
        <v>53</v>
      </c>
      <c r="B183" s="17" t="s">
        <v>767</v>
      </c>
      <c r="C183" s="48">
        <v>204</v>
      </c>
      <c r="D183" s="49" t="s">
        <v>856</v>
      </c>
      <c r="E183" s="48" t="s">
        <v>65</v>
      </c>
      <c r="F183" s="50">
        <v>7.96</v>
      </c>
      <c r="G183" s="32">
        <f>IF(B183="高三",IF($E183="男",LOOKUP(F183,[1]对照表!$G$3:$G$24,[1]对照表!$H$3:$H$24),LOOKUP(F183,[1]对照表!$G$27:$G$48,[1]对照表!$H$27:$H$48)),IF(B183="高二",IF($E183="男",LOOKUP(F183,[1]对照表!$F$3:$F$24,[1]对照表!$H$3:$H$24),LOOKUP(F183,[1]对照表!$F$27:$F$48,[1]对照表!$H$27:$H$48)),IF(B183="高一",IF($E183="男",LOOKUP(F183,[1]对照表!$E$3:$E$24,[1]对照表!$H$3:$H$24),LOOKUP(F183,[1]对照表!$E$27:$E$48,[1]对照表!$H$27:$H$48)))))</f>
        <v>85</v>
      </c>
      <c r="H183" s="38">
        <v>24</v>
      </c>
      <c r="I183" s="32">
        <f>IF(B183="高三",IF($E183="男",LOOKUP(H183,[1]对照表!$K$3:$K$24,[1]对照表!$L$3:$L$24),LOOKUP(H183,[1]对照表!$K$27:$K$48,[1]对照表!$L$27:$L$48)),IF(B183="高二",IF($E183="男",LOOKUP(H183,[1]对照表!$J$3:$J$24,[1]对照表!$L$3:$L$24),LOOKUP(H183,[1]对照表!$J$27:$J$48,[1]对照表!$L$27:$L$48)),IF(B183="高一",IF($E183="男",LOOKUP(H183,[1]对照表!$I$3:$I$24,[1]对照表!$L$3:$L$24),LOOKUP(H183,[1]对照表!$I$27:$I$48,[1]对照表!$L$27:$L$48)))))</f>
        <v>95</v>
      </c>
      <c r="J183" s="38">
        <v>175</v>
      </c>
      <c r="K183" s="32">
        <f>IF(B183="高三",IF($E183="男",LOOKUP(J183,[1]对照表!$O$3:$O$24,[1]对照表!$P$3:$P$24),LOOKUP(J183,[1]对照表!$O$27:$O$48,[1]对照表!$P$27:$P$48)),IF(B183="高二",IF($E183="男",LOOKUP(J183,[1]对照表!$N$3:$N$24,[1]对照表!$P$3:$P$24),LOOKUP(J183,[1]对照表!$N$27:$N$48,[1]对照表!$P$27:$P$48)),IF(B183="高一",IF($E183="男",LOOKUP(J183,[1]对照表!$M$3:$M$24,[1]对照表!$P$3:$P$24),LOOKUP(J183,[1]对照表!$M$27:$M$48,[1]对照表!$P$27:$P$48)))))</f>
        <v>76</v>
      </c>
      <c r="L183" s="38">
        <v>53</v>
      </c>
      <c r="M183" s="32">
        <f>IF(B183="高三",IF($E183="男",LOOKUP(L183,[1]对照表!$S$3:$S$24,[1]对照表!$T$3:$T$24),LOOKUP(L183,[1]对照表!$S$27:$S$48,[1]对照表!$T$27:$T$48)),IF(B183="高二",IF($E183="男",LOOKUP(L183,[1]对照表!$R$3:$R$24,[1]对照表!$T$3:$T$24),LOOKUP(L183,[1]对照表!$R$27:$R$48,[1]对照表!$T$27:$T$48)),IF(B183="高一",IF($E183="男",LOOKUP(L183,[1]对照表!$Q$3:$Q$24,[1]对照表!$T$3:$T$24),LOOKUP(L183,[1]对照表!$Q$27:$Q$48,[1]对照表!$T$27:$T$48)))))</f>
        <v>95</v>
      </c>
      <c r="N183" s="33">
        <f>IF(B183="高三",MAX(IF(E183="男",L183-18,L183-55),0),IF(B183="高二",MAX(IF(E183="男",L183-17,L183-54),0),IF(B183="高一",MAX(IF(E183="男",L183-16,L183-53),0))))</f>
        <v>0</v>
      </c>
      <c r="O183" s="23">
        <f>IF(E183="男",LOOKUP($N183,[1]对照表!$Z$3:$Z$13,[1]对照表!$AA$3:$AA$13),LOOKUP($N183,[1]对照表!$Z$15:$Z$25,[1]对照表!$AA$15:$AA$25))</f>
        <v>0</v>
      </c>
      <c r="P183" s="25">
        <f>M183+O183</f>
        <v>95</v>
      </c>
      <c r="Q183" s="50">
        <v>3.26</v>
      </c>
      <c r="R183" s="32">
        <f>IF(B183="高三",IF($E183="男",LOOKUP(Q183,[1]对照表!$W$3:$W$24,[1]对照表!$X$3:$X$24),LOOKUP(Q183,[1]对照表!$W$27:$W$48,[1]对照表!$X$27:$X$48)),IF(B183="高二",IF($E183="男",LOOKUP(Q183,[1]对照表!$V$3:$V$24,[1]对照表!$X$3:$X$24),LOOKUP(Q183,[1]对照表!$V$27:$V$48,[1]对照表!$X$27:$X$48)),IF(B183="高一",IF($E183="男",LOOKUP(Q183,[1]对照表!$U$3:$U$24,[1]对照表!$X$3:$X$24),LOOKUP(Q183,[1]对照表!$U$27:$U$48,[1]对照表!$X$27:$X$48)))))</f>
        <v>95</v>
      </c>
      <c r="S183" s="33">
        <f>ROUND(IF(IF($B183="高三",MIN(IF($E183="男",$Q183-3.2,$Q183-3.2),0),IF($B183="高二",MIN(IF($E183="男",$Q183-3.25,$Q183-3.22),0),IF($B183="高一",MIN(IF($E183="男",$Q183-3.3,$Q183-3.24),0))))&lt;-0.6,IF($B183="高三",MIN(IF($E183="男",$Q183-3.2,$Q183-3.2),0),IF($B183="高二",MIN(IF($E183="男",$Q183-3.25,$Q183-3.22),0),IF($B183="高一",MIN(IF($E183="男",$Q183-3.3,$Q183-3.24),0))))+0.4,IF($B183="高三",MIN(IF($E183="男",$Q183-3.2,$Q183-3.2),0),IF($B183="高二",MIN(IF($E183="男",$Q183-3.25,$Q183-3.22),0),IF($B183="高一",MIN(IF($E183="男",$Q183-3.3,$Q183-3.24),0))))),2)</f>
        <v>0</v>
      </c>
      <c r="T183" s="23">
        <f>IF(E183="男",LOOKUP($S183,[1]对照表!$AB$3:$AB$13,[1]对照表!$AC$3:$AC$13),LOOKUP($S183,[1]对照表!$AB$15:$AB$25,[1]对照表!$AC$15:$AC$25))</f>
        <v>0</v>
      </c>
      <c r="U183" s="26">
        <f>R183+T183</f>
        <v>95</v>
      </c>
      <c r="V183" s="26">
        <f>SUM(I183,K183,M183)/3*0.3+SUM(G183,R183)/2*0.4</f>
        <v>62.6</v>
      </c>
      <c r="W183" s="27">
        <f>O183+T183</f>
        <v>0</v>
      </c>
      <c r="X183" s="28">
        <f>V183/0.7+W183</f>
        <v>89.428571428571431</v>
      </c>
      <c r="Y183" s="28">
        <f>X183</f>
        <v>89.428571428571431</v>
      </c>
      <c r="Z183" s="38"/>
    </row>
    <row r="184" spans="1:26" ht="15.6" customHeight="1" x14ac:dyDescent="0.25">
      <c r="A184" s="48">
        <v>31</v>
      </c>
      <c r="B184" s="17" t="s">
        <v>767</v>
      </c>
      <c r="C184" s="48">
        <v>204</v>
      </c>
      <c r="D184" s="49" t="s">
        <v>862</v>
      </c>
      <c r="E184" s="48" t="s">
        <v>65</v>
      </c>
      <c r="F184" s="50">
        <v>8.99</v>
      </c>
      <c r="G184" s="32">
        <f>IF(B184="高三",IF($E184="男",LOOKUP(F184,[1]对照表!$G$3:$G$24,[1]对照表!$H$3:$H$24),LOOKUP(F184,[1]对照表!$G$27:$G$48,[1]对照表!$H$27:$H$48)),IF(B184="高二",IF($E184="男",LOOKUP(F184,[1]对照表!$F$3:$F$24,[1]对照表!$H$3:$H$24),LOOKUP(F184,[1]对照表!$F$27:$F$48,[1]对照表!$H$27:$H$48)),IF(B184="高一",IF($E184="男",LOOKUP(F184,[1]对照表!$E$3:$E$24,[1]对照表!$H$3:$H$24),LOOKUP(F184,[1]对照表!$E$27:$E$48,[1]对照表!$H$27:$H$48)))))</f>
        <v>74</v>
      </c>
      <c r="H184" s="38">
        <v>23</v>
      </c>
      <c r="I184" s="32">
        <f>IF(B184="高三",IF($E184="男",LOOKUP(H184,[1]对照表!$K$3:$K$24,[1]对照表!$L$3:$L$24),LOOKUP(H184,[1]对照表!$K$27:$K$48,[1]对照表!$L$27:$L$48)),IF(B184="高二",IF($E184="男",LOOKUP(H184,[1]对照表!$J$3:$J$24,[1]对照表!$L$3:$L$24),LOOKUP(H184,[1]对照表!$J$27:$J$48,[1]对照表!$L$27:$L$48)),IF(B184="高一",IF($E184="男",LOOKUP(H184,[1]对照表!$I$3:$I$24,[1]对照表!$L$3:$L$24),LOOKUP(H184,[1]对照表!$I$27:$I$48,[1]对照表!$L$27:$L$48)))))</f>
        <v>90</v>
      </c>
      <c r="J184" s="38">
        <v>185</v>
      </c>
      <c r="K184" s="32">
        <f>IF(B184="高三",IF($E184="男",LOOKUP(J184,[1]对照表!$O$3:$O$24,[1]对照表!$P$3:$P$24),LOOKUP(J184,[1]对照表!$O$27:$O$48,[1]对照表!$P$27:$P$48)),IF(B184="高二",IF($E184="男",LOOKUP(J184,[1]对照表!$N$3:$N$24,[1]对照表!$P$3:$P$24),LOOKUP(J184,[1]对照表!$N$27:$N$48,[1]对照表!$P$27:$P$48)),IF(B184="高一",IF($E184="男",LOOKUP(J184,[1]对照表!$M$3:$M$24,[1]对照表!$P$3:$P$24),LOOKUP(J184,[1]对照表!$M$27:$M$48,[1]对照表!$P$27:$P$48)))))</f>
        <v>80</v>
      </c>
      <c r="L184" s="38">
        <v>58</v>
      </c>
      <c r="M184" s="32">
        <f>IF(B184="高三",IF($E184="男",LOOKUP(L184,[1]对照表!$S$3:$S$24,[1]对照表!$T$3:$T$24),LOOKUP(L184,[1]对照表!$S$27:$S$48,[1]对照表!$T$27:$T$48)),IF(B184="高二",IF($E184="男",LOOKUP(L184,[1]对照表!$R$3:$R$24,[1]对照表!$T$3:$T$24),LOOKUP(L184,[1]对照表!$R$27:$R$48,[1]对照表!$T$27:$T$48)),IF(B184="高一",IF($E184="男",LOOKUP(L184,[1]对照表!$Q$3:$Q$24,[1]对照表!$T$3:$T$24),LOOKUP(L184,[1]对照表!$Q$27:$Q$48,[1]对照表!$T$27:$T$48)))))</f>
        <v>100</v>
      </c>
      <c r="N184" s="33">
        <f>IF(B184="高三",MAX(IF(E184="男",L184-18,L184-55),0),IF(B184="高二",MAX(IF(E184="男",L184-17,L184-54),0),IF(B184="高一",MAX(IF(E184="男",L184-16,L184-53),0))))</f>
        <v>4</v>
      </c>
      <c r="O184" s="23">
        <f>IF(E184="男",LOOKUP($N184,[1]对照表!$Z$3:$Z$13,[1]对照表!$AA$3:$AA$13),LOOKUP($N184,[1]对照表!$Z$15:$Z$25,[1]对照表!$AA$15:$AA$25))</f>
        <v>2</v>
      </c>
      <c r="P184" s="25">
        <f>M184+O184</f>
        <v>102</v>
      </c>
      <c r="Q184" s="50">
        <v>3.26</v>
      </c>
      <c r="R184" s="32">
        <f>IF(B184="高三",IF($E184="男",LOOKUP(Q184,[1]对照表!$W$3:$W$24,[1]对照表!$X$3:$X$24),LOOKUP(Q184,[1]对照表!$W$27:$W$48,[1]对照表!$X$27:$X$48)),IF(B184="高二",IF($E184="男",LOOKUP(Q184,[1]对照表!$V$3:$V$24,[1]对照表!$X$3:$X$24),LOOKUP(Q184,[1]对照表!$V$27:$V$48,[1]对照表!$X$27:$X$48)),IF(B184="高一",IF($E184="男",LOOKUP(Q184,[1]对照表!$U$3:$U$24,[1]对照表!$X$3:$X$24),LOOKUP(Q184,[1]对照表!$U$27:$U$48,[1]对照表!$X$27:$X$48)))))</f>
        <v>95</v>
      </c>
      <c r="S184" s="33">
        <f>ROUND(IF(IF($B184="高三",MIN(IF($E184="男",$Q184-3.2,$Q184-3.2),0),IF($B184="高二",MIN(IF($E184="男",$Q184-3.25,$Q184-3.22),0),IF($B184="高一",MIN(IF($E184="男",$Q184-3.3,$Q184-3.24),0))))&lt;-0.6,IF($B184="高三",MIN(IF($E184="男",$Q184-3.2,$Q184-3.2),0),IF($B184="高二",MIN(IF($E184="男",$Q184-3.25,$Q184-3.22),0),IF($B184="高一",MIN(IF($E184="男",$Q184-3.3,$Q184-3.24),0))))+0.4,IF($B184="高三",MIN(IF($E184="男",$Q184-3.2,$Q184-3.2),0),IF($B184="高二",MIN(IF($E184="男",$Q184-3.25,$Q184-3.22),0),IF($B184="高一",MIN(IF($E184="男",$Q184-3.3,$Q184-3.24),0))))),2)</f>
        <v>0</v>
      </c>
      <c r="T184" s="23">
        <f>IF(E184="男",LOOKUP($S184,[1]对照表!$AB$3:$AB$13,[1]对照表!$AC$3:$AC$13),LOOKUP($S184,[1]对照表!$AB$15:$AB$25,[1]对照表!$AC$15:$AC$25))</f>
        <v>0</v>
      </c>
      <c r="U184" s="26">
        <f>R184+T184</f>
        <v>95</v>
      </c>
      <c r="V184" s="26">
        <f>SUM(I184,K184,M184)/3*0.3+SUM(G184,R184)/2*0.4</f>
        <v>60.800000000000004</v>
      </c>
      <c r="W184" s="27">
        <f>O184+T184</f>
        <v>2</v>
      </c>
      <c r="X184" s="28">
        <f>V184/0.7+W184</f>
        <v>88.857142857142875</v>
      </c>
      <c r="Y184" s="28">
        <f>X184</f>
        <v>88.857142857142875</v>
      </c>
      <c r="Z184" s="38"/>
    </row>
    <row r="185" spans="1:26" ht="15.6" x14ac:dyDescent="0.25">
      <c r="A185" s="48">
        <v>34</v>
      </c>
      <c r="B185" s="17" t="s">
        <v>767</v>
      </c>
      <c r="C185" s="48">
        <v>204</v>
      </c>
      <c r="D185" s="49" t="s">
        <v>865</v>
      </c>
      <c r="E185" s="48" t="s">
        <v>65</v>
      </c>
      <c r="F185" s="50">
        <v>8.36</v>
      </c>
      <c r="G185" s="32">
        <f>IF(B185="高三",IF($E185="男",LOOKUP(F185,[1]对照表!$G$3:$G$24,[1]对照表!$H$3:$H$24),LOOKUP(F185,[1]对照表!$G$27:$G$48,[1]对照表!$H$27:$H$48)),IF(B185="高二",IF($E185="男",LOOKUP(F185,[1]对照表!$F$3:$F$24,[1]对照表!$H$3:$H$24),LOOKUP(F185,[1]对照表!$F$27:$F$48,[1]对照表!$H$27:$H$48)),IF(B185="高一",IF($E185="男",LOOKUP(F185,[1]对照表!$E$3:$E$24,[1]对照表!$H$3:$H$24),LOOKUP(F185,[1]对照表!$E$27:$E$48,[1]对照表!$H$27:$H$48)))))</f>
        <v>80</v>
      </c>
      <c r="H185" s="38">
        <v>25</v>
      </c>
      <c r="I185" s="32">
        <f>IF(B185="高三",IF($E185="男",LOOKUP(H185,[1]对照表!$K$3:$K$24,[1]对照表!$L$3:$L$24),LOOKUP(H185,[1]对照表!$K$27:$K$48,[1]对照表!$L$27:$L$48)),IF(B185="高二",IF($E185="男",LOOKUP(H185,[1]对照表!$J$3:$J$24,[1]对照表!$L$3:$L$24),LOOKUP(H185,[1]对照表!$J$27:$J$48,[1]对照表!$L$27:$L$48)),IF(B185="高一",IF($E185="男",LOOKUP(H185,[1]对照表!$I$3:$I$24,[1]对照表!$L$3:$L$24),LOOKUP(H185,[1]对照表!$I$27:$I$48,[1]对照表!$L$27:$L$48)))))</f>
        <v>100</v>
      </c>
      <c r="J185" s="38">
        <v>196</v>
      </c>
      <c r="K185" s="32">
        <f>IF(B185="高三",IF($E185="男",LOOKUP(J185,[1]对照表!$O$3:$O$24,[1]对照表!$P$3:$P$24),LOOKUP(J185,[1]对照表!$O$27:$O$48,[1]对照表!$P$27:$P$48)),IF(B185="高二",IF($E185="男",LOOKUP(J185,[1]对照表!$N$3:$N$24,[1]对照表!$P$3:$P$24),LOOKUP(J185,[1]对照表!$N$27:$N$48,[1]对照表!$P$27:$P$48)),IF(B185="高一",IF($E185="男",LOOKUP(J185,[1]对照表!$M$3:$M$24,[1]对照表!$P$3:$P$24),LOOKUP(J185,[1]对照表!$M$27:$M$48,[1]对照表!$P$27:$P$48)))))</f>
        <v>90</v>
      </c>
      <c r="L185" s="38">
        <v>54</v>
      </c>
      <c r="M185" s="32">
        <f>IF(B185="高三",IF($E185="男",LOOKUP(L185,[1]对照表!$S$3:$S$24,[1]对照表!$T$3:$T$24),LOOKUP(L185,[1]对照表!$S$27:$S$48,[1]对照表!$T$27:$T$48)),IF(B185="高二",IF($E185="男",LOOKUP(L185,[1]对照表!$R$3:$R$24,[1]对照表!$T$3:$T$24),LOOKUP(L185,[1]对照表!$R$27:$R$48,[1]对照表!$T$27:$T$48)),IF(B185="高一",IF($E185="男",LOOKUP(L185,[1]对照表!$Q$3:$Q$24,[1]对照表!$T$3:$T$24),LOOKUP(L185,[1]对照表!$Q$27:$Q$48,[1]对照表!$T$27:$T$48)))))</f>
        <v>100</v>
      </c>
      <c r="N185" s="33">
        <f>IF(B185="高三",MAX(IF(E185="男",L185-18,L185-55),0),IF(B185="高二",MAX(IF(E185="男",L185-17,L185-54),0),IF(B185="高一",MAX(IF(E185="男",L185-16,L185-53),0))))</f>
        <v>0</v>
      </c>
      <c r="O185" s="23">
        <f>IF(E185="男",LOOKUP($N185,[1]对照表!$Z$3:$Z$13,[1]对照表!$AA$3:$AA$13),LOOKUP($N185,[1]对照表!$Z$15:$Z$25,[1]对照表!$AA$15:$AA$25))</f>
        <v>0</v>
      </c>
      <c r="P185" s="25">
        <f>M185+O185</f>
        <v>100</v>
      </c>
      <c r="Q185" s="50">
        <v>3.37</v>
      </c>
      <c r="R185" s="32">
        <f>IF(B185="高三",IF($E185="男",LOOKUP(Q185,[1]对照表!$W$3:$W$24,[1]对照表!$X$3:$X$24),LOOKUP(Q185,[1]对照表!$W$27:$W$48,[1]对照表!$X$27:$X$48)),IF(B185="高二",IF($E185="男",LOOKUP(Q185,[1]对照表!$V$3:$V$24,[1]对照表!$X$3:$X$24),LOOKUP(Q185,[1]对照表!$V$27:$V$48,[1]对照表!$X$27:$X$48)),IF(B185="高一",IF($E185="男",LOOKUP(Q185,[1]对照表!$U$3:$U$24,[1]对照表!$X$3:$X$24),LOOKUP(Q185,[1]对照表!$U$27:$U$48,[1]对照表!$X$27:$X$48)))))</f>
        <v>85</v>
      </c>
      <c r="S185" s="33">
        <f>ROUND(IF(IF($B185="高三",MIN(IF($E185="男",$Q185-3.2,$Q185-3.2),0),IF($B185="高二",MIN(IF($E185="男",$Q185-3.25,$Q185-3.22),0),IF($B185="高一",MIN(IF($E185="男",$Q185-3.3,$Q185-3.24),0))))&lt;-0.6,IF($B185="高三",MIN(IF($E185="男",$Q185-3.2,$Q185-3.2),0),IF($B185="高二",MIN(IF($E185="男",$Q185-3.25,$Q185-3.22),0),IF($B185="高一",MIN(IF($E185="男",$Q185-3.3,$Q185-3.24),0))))+0.4,IF($B185="高三",MIN(IF($E185="男",$Q185-3.2,$Q185-3.2),0),IF($B185="高二",MIN(IF($E185="男",$Q185-3.25,$Q185-3.22),0),IF($B185="高一",MIN(IF($E185="男",$Q185-3.3,$Q185-3.24),0))))),2)</f>
        <v>0</v>
      </c>
      <c r="T185" s="23">
        <f>IF(E185="男",LOOKUP($S185,[1]对照表!$AB$3:$AB$13,[1]对照表!$AC$3:$AC$13),LOOKUP($S185,[1]对照表!$AB$15:$AB$25,[1]对照表!$AC$15:$AC$25))</f>
        <v>0</v>
      </c>
      <c r="U185" s="26">
        <f>R185+T185</f>
        <v>85</v>
      </c>
      <c r="V185" s="26">
        <f>SUM(I185,K185,M185)/3*0.3+SUM(G185,R185)/2*0.4</f>
        <v>62</v>
      </c>
      <c r="W185" s="27">
        <f>O185+T185</f>
        <v>0</v>
      </c>
      <c r="X185" s="28">
        <f>V185/0.7+W185</f>
        <v>88.571428571428584</v>
      </c>
      <c r="Y185" s="28">
        <f>X185</f>
        <v>88.571428571428584</v>
      </c>
      <c r="Z185" s="38"/>
    </row>
    <row r="186" spans="1:26" ht="15.6" customHeight="1" x14ac:dyDescent="0.25">
      <c r="A186" s="48">
        <v>50</v>
      </c>
      <c r="B186" s="17" t="s">
        <v>767</v>
      </c>
      <c r="C186" s="48">
        <v>204</v>
      </c>
      <c r="D186" s="49" t="s">
        <v>871</v>
      </c>
      <c r="E186" s="48" t="s">
        <v>65</v>
      </c>
      <c r="F186" s="50">
        <v>8.52</v>
      </c>
      <c r="G186" s="32">
        <f>IF(B186="高三",IF($E186="男",LOOKUP(F186,[1]对照表!$G$3:$G$24,[1]对照表!$H$3:$H$24),LOOKUP(F186,[1]对照表!$G$27:$G$48,[1]对照表!$H$27:$H$48)),IF(B186="高二",IF($E186="男",LOOKUP(F186,[1]对照表!$F$3:$F$24,[1]对照表!$H$3:$H$24),LOOKUP(F186,[1]对照表!$F$27:$F$48,[1]对照表!$H$27:$H$48)),IF(B186="高一",IF($E186="男",LOOKUP(F186,[1]对照表!$E$3:$E$24,[1]对照表!$H$3:$H$24),LOOKUP(F186,[1]对照表!$E$27:$E$48,[1]对照表!$H$27:$H$48)))))</f>
        <v>78</v>
      </c>
      <c r="H186" s="38">
        <v>23.5</v>
      </c>
      <c r="I186" s="32">
        <f>IF(B186="高三",IF($E186="男",LOOKUP(H186,[1]对照表!$K$3:$K$24,[1]对照表!$L$3:$L$24),LOOKUP(H186,[1]对照表!$K$27:$K$48,[1]对照表!$L$27:$L$48)),IF(B186="高二",IF($E186="男",LOOKUP(H186,[1]对照表!$J$3:$J$24,[1]对照表!$L$3:$L$24),LOOKUP(H186,[1]对照表!$J$27:$J$48,[1]对照表!$L$27:$L$48)),IF(B186="高一",IF($E186="男",LOOKUP(H186,[1]对照表!$I$3:$I$24,[1]对照表!$L$3:$L$24),LOOKUP(H186,[1]对照表!$I$27:$I$48,[1]对照表!$L$27:$L$48)))))</f>
        <v>95</v>
      </c>
      <c r="J186" s="38">
        <v>187</v>
      </c>
      <c r="K186" s="32">
        <f>IF(B186="高三",IF($E186="男",LOOKUP(J186,[1]对照表!$O$3:$O$24,[1]对照表!$P$3:$P$24),LOOKUP(J186,[1]对照表!$O$27:$O$48,[1]对照表!$P$27:$P$48)),IF(B186="高二",IF($E186="男",LOOKUP(J186,[1]对照表!$N$3:$N$24,[1]对照表!$P$3:$P$24),LOOKUP(J186,[1]对照表!$N$27:$N$48,[1]对照表!$P$27:$P$48)),IF(B186="高一",IF($E186="男",LOOKUP(J186,[1]对照表!$M$3:$M$24,[1]对照表!$P$3:$P$24),LOOKUP(J186,[1]对照表!$M$27:$M$48,[1]对照表!$P$27:$P$48)))))</f>
        <v>85</v>
      </c>
      <c r="L186" s="38">
        <v>51</v>
      </c>
      <c r="M186" s="32">
        <f>IF(B186="高三",IF($E186="男",LOOKUP(L186,[1]对照表!$S$3:$S$24,[1]对照表!$T$3:$T$24),LOOKUP(L186,[1]对照表!$S$27:$S$48,[1]对照表!$T$27:$T$48)),IF(B186="高二",IF($E186="男",LOOKUP(L186,[1]对照表!$R$3:$R$24,[1]对照表!$T$3:$T$24),LOOKUP(L186,[1]对照表!$R$27:$R$48,[1]对照表!$T$27:$T$48)),IF(B186="高一",IF($E186="男",LOOKUP(L186,[1]对照表!$Q$3:$Q$24,[1]对照表!$T$3:$T$24),LOOKUP(L186,[1]对照表!$Q$27:$Q$48,[1]对照表!$T$27:$T$48)))))</f>
        <v>90</v>
      </c>
      <c r="N186" s="33">
        <f>IF(B186="高三",MAX(IF(E186="男",L186-18,L186-55),0),IF(B186="高二",MAX(IF(E186="男",L186-17,L186-54),0),IF(B186="高一",MAX(IF(E186="男",L186-16,L186-53),0))))</f>
        <v>0</v>
      </c>
      <c r="O186" s="23">
        <f>IF(E186="男",LOOKUP($N186,[1]对照表!$Z$3:$Z$13,[1]对照表!$AA$3:$AA$13),LOOKUP($N186,[1]对照表!$Z$15:$Z$25,[1]对照表!$AA$15:$AA$25))</f>
        <v>0</v>
      </c>
      <c r="P186" s="25">
        <f>M186+O186</f>
        <v>90</v>
      </c>
      <c r="Q186" s="50">
        <v>3.27</v>
      </c>
      <c r="R186" s="32">
        <f>IF(B186="高三",IF($E186="男",LOOKUP(Q186,[1]对照表!$W$3:$W$24,[1]对照表!$X$3:$X$24),LOOKUP(Q186,[1]对照表!$W$27:$W$48,[1]对照表!$X$27:$X$48)),IF(B186="高二",IF($E186="男",LOOKUP(Q186,[1]对照表!$V$3:$V$24,[1]对照表!$X$3:$X$24),LOOKUP(Q186,[1]对照表!$V$27:$V$48,[1]对照表!$X$27:$X$48)),IF(B186="高一",IF($E186="男",LOOKUP(Q186,[1]对照表!$U$3:$U$24,[1]对照表!$X$3:$X$24),LOOKUP(Q186,[1]对照表!$U$27:$U$48,[1]对照表!$X$27:$X$48)))))</f>
        <v>95</v>
      </c>
      <c r="S186" s="33">
        <f>ROUND(IF(IF($B186="高三",MIN(IF($E186="男",$Q186-3.2,$Q186-3.2),0),IF($B186="高二",MIN(IF($E186="男",$Q186-3.25,$Q186-3.22),0),IF($B186="高一",MIN(IF($E186="男",$Q186-3.3,$Q186-3.24),0))))&lt;-0.6,IF($B186="高三",MIN(IF($E186="男",$Q186-3.2,$Q186-3.2),0),IF($B186="高二",MIN(IF($E186="男",$Q186-3.25,$Q186-3.22),0),IF($B186="高一",MIN(IF($E186="男",$Q186-3.3,$Q186-3.24),0))))+0.4,IF($B186="高三",MIN(IF($E186="男",$Q186-3.2,$Q186-3.2),0),IF($B186="高二",MIN(IF($E186="男",$Q186-3.25,$Q186-3.22),0),IF($B186="高一",MIN(IF($E186="男",$Q186-3.3,$Q186-3.24),0))))),2)</f>
        <v>0</v>
      </c>
      <c r="T186" s="23">
        <f>IF(E186="男",LOOKUP($S186,[1]对照表!$AB$3:$AB$13,[1]对照表!$AC$3:$AC$13),LOOKUP($S186,[1]对照表!$AB$15:$AB$25,[1]对照表!$AC$15:$AC$25))</f>
        <v>0</v>
      </c>
      <c r="U186" s="26">
        <f>R186+T186</f>
        <v>95</v>
      </c>
      <c r="V186" s="26">
        <f>SUM(I186,K186,M186)/3*0.3+SUM(G186,R186)/2*0.4</f>
        <v>61.6</v>
      </c>
      <c r="W186" s="27">
        <f>O186+T186</f>
        <v>0</v>
      </c>
      <c r="X186" s="28">
        <f>V186/0.7+W186</f>
        <v>88.000000000000014</v>
      </c>
      <c r="Y186" s="28">
        <f>X186</f>
        <v>88.000000000000014</v>
      </c>
      <c r="Z186" s="38"/>
    </row>
    <row r="187" spans="1:26" ht="15.6" x14ac:dyDescent="0.25">
      <c r="A187" s="48">
        <v>32</v>
      </c>
      <c r="B187" s="17" t="s">
        <v>767</v>
      </c>
      <c r="C187" s="48">
        <v>204</v>
      </c>
      <c r="D187" s="49" t="s">
        <v>884</v>
      </c>
      <c r="E187" s="48" t="s">
        <v>65</v>
      </c>
      <c r="F187" s="50">
        <v>9.23</v>
      </c>
      <c r="G187" s="32">
        <f>IF(B187="高三",IF($E187="男",LOOKUP(F187,[1]对照表!$G$3:$G$24,[1]对照表!$H$3:$H$24),LOOKUP(F187,[1]对照表!$G$27:$G$48,[1]对照表!$H$27:$H$48)),IF(B187="高二",IF($E187="男",LOOKUP(F187,[1]对照表!$F$3:$F$24,[1]对照表!$H$3:$H$24),LOOKUP(F187,[1]对照表!$F$27:$F$48,[1]对照表!$H$27:$H$48)),IF(B187="高一",IF($E187="男",LOOKUP(F187,[1]对照表!$E$3:$E$24,[1]对照表!$H$3:$H$24),LOOKUP(F187,[1]对照表!$E$27:$E$48,[1]对照表!$H$27:$H$48)))))</f>
        <v>72</v>
      </c>
      <c r="H187" s="38">
        <v>27</v>
      </c>
      <c r="I187" s="32">
        <f>IF(B187="高三",IF($E187="男",LOOKUP(H187,[1]对照表!$K$3:$K$24,[1]对照表!$L$3:$L$24),LOOKUP(H187,[1]对照表!$K$27:$K$48,[1]对照表!$L$27:$L$48)),IF(B187="高二",IF($E187="男",LOOKUP(H187,[1]对照表!$J$3:$J$24,[1]对照表!$L$3:$L$24),LOOKUP(H187,[1]对照表!$J$27:$J$48,[1]对照表!$L$27:$L$48)),IF(B187="高一",IF($E187="男",LOOKUP(H187,[1]对照表!$I$3:$I$24,[1]对照表!$L$3:$L$24),LOOKUP(H187,[1]对照表!$I$27:$I$48,[1]对照表!$L$27:$L$48)))))</f>
        <v>100</v>
      </c>
      <c r="J187" s="38">
        <v>170</v>
      </c>
      <c r="K187" s="32">
        <f>IF(B187="高三",IF($E187="男",LOOKUP(J187,[1]对照表!$O$3:$O$24,[1]对照表!$P$3:$P$24),LOOKUP(J187,[1]对照表!$O$27:$O$48,[1]对照表!$P$27:$P$48)),IF(B187="高二",IF($E187="男",LOOKUP(J187,[1]对照表!$N$3:$N$24,[1]对照表!$P$3:$P$24),LOOKUP(J187,[1]对照表!$N$27:$N$48,[1]对照表!$P$27:$P$48)),IF(B187="高一",IF($E187="男",LOOKUP(J187,[1]对照表!$M$3:$M$24,[1]对照表!$P$3:$P$24),LOOKUP(J187,[1]对照表!$M$27:$M$48,[1]对照表!$P$27:$P$48)))))</f>
        <v>74</v>
      </c>
      <c r="L187" s="38">
        <v>63</v>
      </c>
      <c r="M187" s="32">
        <f>IF(B187="高三",IF($E187="男",LOOKUP(L187,[1]对照表!$S$3:$S$24,[1]对照表!$T$3:$T$24),LOOKUP(L187,[1]对照表!$S$27:$S$48,[1]对照表!$T$27:$T$48)),IF(B187="高二",IF($E187="男",LOOKUP(L187,[1]对照表!$R$3:$R$24,[1]对照表!$T$3:$T$24),LOOKUP(L187,[1]对照表!$R$27:$R$48,[1]对照表!$T$27:$T$48)),IF(B187="高一",IF($E187="男",LOOKUP(L187,[1]对照表!$Q$3:$Q$24,[1]对照表!$T$3:$T$24),LOOKUP(L187,[1]对照表!$Q$27:$Q$48,[1]对照表!$T$27:$T$48)))))</f>
        <v>100</v>
      </c>
      <c r="N187" s="33">
        <f>IF(B187="高三",MAX(IF(E187="男",L187-18,L187-55),0),IF(B187="高二",MAX(IF(E187="男",L187-17,L187-54),0),IF(B187="高一",MAX(IF(E187="男",L187-16,L187-53),0))))</f>
        <v>9</v>
      </c>
      <c r="O187" s="23">
        <f>IF(E187="男",LOOKUP($N187,[1]对照表!$Z$3:$Z$13,[1]对照表!$AA$3:$AA$13),LOOKUP($N187,[1]对照表!$Z$15:$Z$25,[1]对照表!$AA$15:$AA$25))</f>
        <v>6</v>
      </c>
      <c r="P187" s="25">
        <f>M187+O187</f>
        <v>106</v>
      </c>
      <c r="Q187" s="50">
        <v>3.55</v>
      </c>
      <c r="R187" s="32">
        <f>IF(B187="高三",IF($E187="男",LOOKUP(Q187,[1]对照表!$W$3:$W$24,[1]对照表!$X$3:$X$24),LOOKUP(Q187,[1]对照表!$W$27:$W$48,[1]对照表!$X$27:$X$48)),IF(B187="高二",IF($E187="男",LOOKUP(Q187,[1]对照表!$V$3:$V$24,[1]对照表!$X$3:$X$24),LOOKUP(Q187,[1]对照表!$V$27:$V$48,[1]对照表!$X$27:$X$48)),IF(B187="高一",IF($E187="男",LOOKUP(Q187,[1]对照表!$U$3:$U$24,[1]对照表!$X$3:$X$24),LOOKUP(Q187,[1]对照表!$U$27:$U$48,[1]对照表!$X$27:$X$48)))))</f>
        <v>76</v>
      </c>
      <c r="S187" s="33">
        <f>ROUND(IF(IF($B187="高三",MIN(IF($E187="男",$Q187-3.2,$Q187-3.2),0),IF($B187="高二",MIN(IF($E187="男",$Q187-3.25,$Q187-3.22),0),IF($B187="高一",MIN(IF($E187="男",$Q187-3.3,$Q187-3.24),0))))&lt;-0.6,IF($B187="高三",MIN(IF($E187="男",$Q187-3.2,$Q187-3.2),0),IF($B187="高二",MIN(IF($E187="男",$Q187-3.25,$Q187-3.22),0),IF($B187="高一",MIN(IF($E187="男",$Q187-3.3,$Q187-3.24),0))))+0.4,IF($B187="高三",MIN(IF($E187="男",$Q187-3.2,$Q187-3.2),0),IF($B187="高二",MIN(IF($E187="男",$Q187-3.25,$Q187-3.22),0),IF($B187="高一",MIN(IF($E187="男",$Q187-3.3,$Q187-3.24),0))))),2)</f>
        <v>0</v>
      </c>
      <c r="T187" s="23">
        <f>IF(E187="男",LOOKUP($S187,[1]对照表!$AB$3:$AB$13,[1]对照表!$AC$3:$AC$13),LOOKUP($S187,[1]对照表!$AB$15:$AB$25,[1]对照表!$AC$15:$AC$25))</f>
        <v>0</v>
      </c>
      <c r="U187" s="26">
        <f>R187+T187</f>
        <v>76</v>
      </c>
      <c r="V187" s="26">
        <f>SUM(I187,K187,M187)/3*0.3+SUM(G187,R187)/2*0.4</f>
        <v>57</v>
      </c>
      <c r="W187" s="27">
        <f>O187+T187</f>
        <v>6</v>
      </c>
      <c r="X187" s="28">
        <f>V187/0.7+W187</f>
        <v>87.428571428571431</v>
      </c>
      <c r="Y187" s="28">
        <f>X187</f>
        <v>87.428571428571431</v>
      </c>
      <c r="Z187" s="38"/>
    </row>
    <row r="188" spans="1:26" ht="15.6" x14ac:dyDescent="0.25">
      <c r="A188" s="48">
        <v>43</v>
      </c>
      <c r="B188" s="17" t="s">
        <v>767</v>
      </c>
      <c r="C188" s="48">
        <v>204</v>
      </c>
      <c r="D188" s="49" t="s">
        <v>885</v>
      </c>
      <c r="E188" s="48" t="s">
        <v>65</v>
      </c>
      <c r="F188" s="50">
        <v>8.5500000000000007</v>
      </c>
      <c r="G188" s="32">
        <f>IF(B188="高三",IF($E188="男",LOOKUP(F188,[1]对照表!$G$3:$G$24,[1]对照表!$H$3:$H$24),LOOKUP(F188,[1]对照表!$G$27:$G$48,[1]对照表!$H$27:$H$48)),IF(B188="高二",IF($E188="男",LOOKUP(F188,[1]对照表!$F$3:$F$24,[1]对照表!$H$3:$H$24),LOOKUP(F188,[1]对照表!$F$27:$F$48,[1]对照表!$H$27:$H$48)),IF(B188="高一",IF($E188="男",LOOKUP(F188,[1]对照表!$E$3:$E$24,[1]对照表!$H$3:$H$24),LOOKUP(F188,[1]对照表!$E$27:$E$48,[1]对照表!$H$27:$H$48)))))</f>
        <v>78</v>
      </c>
      <c r="H188" s="38">
        <v>24</v>
      </c>
      <c r="I188" s="32">
        <f>IF(B188="高三",IF($E188="男",LOOKUP(H188,[1]对照表!$K$3:$K$24,[1]对照表!$L$3:$L$24),LOOKUP(H188,[1]对照表!$K$27:$K$48,[1]对照表!$L$27:$L$48)),IF(B188="高二",IF($E188="男",LOOKUP(H188,[1]对照表!$J$3:$J$24,[1]对照表!$L$3:$L$24),LOOKUP(H188,[1]对照表!$J$27:$J$48,[1]对照表!$L$27:$L$48)),IF(B188="高一",IF($E188="男",LOOKUP(H188,[1]对照表!$I$3:$I$24,[1]对照表!$L$3:$L$24),LOOKUP(H188,[1]对照表!$I$27:$I$48,[1]对照表!$L$27:$L$48)))))</f>
        <v>95</v>
      </c>
      <c r="J188" s="38">
        <v>196</v>
      </c>
      <c r="K188" s="32">
        <f>IF(B188="高三",IF($E188="男",LOOKUP(J188,[1]对照表!$O$3:$O$24,[1]对照表!$P$3:$P$24),LOOKUP(J188,[1]对照表!$O$27:$O$48,[1]对照表!$P$27:$P$48)),IF(B188="高二",IF($E188="男",LOOKUP(J188,[1]对照表!$N$3:$N$24,[1]对照表!$P$3:$P$24),LOOKUP(J188,[1]对照表!$N$27:$N$48,[1]对照表!$P$27:$P$48)),IF(B188="高一",IF($E188="男",LOOKUP(J188,[1]对照表!$M$3:$M$24,[1]对照表!$P$3:$P$24),LOOKUP(J188,[1]对照表!$M$27:$M$48,[1]对照表!$P$27:$P$48)))))</f>
        <v>90</v>
      </c>
      <c r="L188" s="38">
        <v>51</v>
      </c>
      <c r="M188" s="32">
        <f>IF(B188="高三",IF($E188="男",LOOKUP(L188,[1]对照表!$S$3:$S$24,[1]对照表!$T$3:$T$24),LOOKUP(L188,[1]对照表!$S$27:$S$48,[1]对照表!$T$27:$T$48)),IF(B188="高二",IF($E188="男",LOOKUP(L188,[1]对照表!$R$3:$R$24,[1]对照表!$T$3:$T$24),LOOKUP(L188,[1]对照表!$R$27:$R$48,[1]对照表!$T$27:$T$48)),IF(B188="高一",IF($E188="男",LOOKUP(L188,[1]对照表!$Q$3:$Q$24,[1]对照表!$T$3:$T$24),LOOKUP(L188,[1]对照表!$Q$27:$Q$48,[1]对照表!$T$27:$T$48)))))</f>
        <v>90</v>
      </c>
      <c r="N188" s="33">
        <f>IF(B188="高三",MAX(IF(E188="男",L188-18,L188-55),0),IF(B188="高二",MAX(IF(E188="男",L188-17,L188-54),0),IF(B188="高一",MAX(IF(E188="男",L188-16,L188-53),0))))</f>
        <v>0</v>
      </c>
      <c r="O188" s="23">
        <f>IF(E188="男",LOOKUP($N188,[1]对照表!$Z$3:$Z$13,[1]对照表!$AA$3:$AA$13),LOOKUP($N188,[1]对照表!$Z$15:$Z$25,[1]对照表!$AA$15:$AA$25))</f>
        <v>0</v>
      </c>
      <c r="P188" s="25">
        <f>M188+O188</f>
        <v>90</v>
      </c>
      <c r="Q188" s="50">
        <v>3.29</v>
      </c>
      <c r="R188" s="32">
        <f>IF(B188="高三",IF($E188="男",LOOKUP(Q188,[1]对照表!$W$3:$W$24,[1]对照表!$X$3:$X$24),LOOKUP(Q188,[1]对照表!$W$27:$W$48,[1]对照表!$X$27:$X$48)),IF(B188="高二",IF($E188="男",LOOKUP(Q188,[1]对照表!$V$3:$V$24,[1]对照表!$X$3:$X$24),LOOKUP(Q188,[1]对照表!$V$27:$V$48,[1]对照表!$X$27:$X$48)),IF(B188="高一",IF($E188="男",LOOKUP(Q188,[1]对照表!$U$3:$U$24,[1]对照表!$X$3:$X$24),LOOKUP(Q188,[1]对照表!$U$27:$U$48,[1]对照表!$X$27:$X$48)))))</f>
        <v>90</v>
      </c>
      <c r="S188" s="33">
        <f>ROUND(IF(IF($B188="高三",MIN(IF($E188="男",$Q188-3.2,$Q188-3.2),0),IF($B188="高二",MIN(IF($E188="男",$Q188-3.25,$Q188-3.22),0),IF($B188="高一",MIN(IF($E188="男",$Q188-3.3,$Q188-3.24),0))))&lt;-0.6,IF($B188="高三",MIN(IF($E188="男",$Q188-3.2,$Q188-3.2),0),IF($B188="高二",MIN(IF($E188="男",$Q188-3.25,$Q188-3.22),0),IF($B188="高一",MIN(IF($E188="男",$Q188-3.3,$Q188-3.24),0))))+0.4,IF($B188="高三",MIN(IF($E188="男",$Q188-3.2,$Q188-3.2),0),IF($B188="高二",MIN(IF($E188="男",$Q188-3.25,$Q188-3.22),0),IF($B188="高一",MIN(IF($E188="男",$Q188-3.3,$Q188-3.24),0))))),2)</f>
        <v>0</v>
      </c>
      <c r="T188" s="23">
        <f>IF(E188="男",LOOKUP($S188,[1]对照表!$AB$3:$AB$13,[1]对照表!$AC$3:$AC$13),LOOKUP($S188,[1]对照表!$AB$15:$AB$25,[1]对照表!$AC$15:$AC$25))</f>
        <v>0</v>
      </c>
      <c r="U188" s="26">
        <f>R188+T188</f>
        <v>90</v>
      </c>
      <c r="V188" s="26">
        <f>SUM(I188,K188,M188)/3*0.3+SUM(G188,R188)/2*0.4</f>
        <v>61.1</v>
      </c>
      <c r="W188" s="27">
        <f>O188+T188</f>
        <v>0</v>
      </c>
      <c r="X188" s="28">
        <f>V188/0.7+W188</f>
        <v>87.285714285714292</v>
      </c>
      <c r="Y188" s="28">
        <f>X188</f>
        <v>87.285714285714292</v>
      </c>
      <c r="Z188" s="38"/>
    </row>
    <row r="189" spans="1:26" ht="15.6" x14ac:dyDescent="0.25">
      <c r="A189" s="48">
        <v>5</v>
      </c>
      <c r="B189" s="17" t="s">
        <v>767</v>
      </c>
      <c r="C189" s="48">
        <v>204</v>
      </c>
      <c r="D189" s="49" t="s">
        <v>886</v>
      </c>
      <c r="E189" s="48" t="s">
        <v>23</v>
      </c>
      <c r="F189" s="50">
        <v>6.7</v>
      </c>
      <c r="G189" s="32">
        <f>IF(B189="高三",IF($E189="男",LOOKUP(F189,[1]对照表!$G$3:$G$24,[1]对照表!$H$3:$H$24),LOOKUP(F189,[1]对照表!$G$27:$G$48,[1]对照表!$H$27:$H$48)),IF(B189="高二",IF($E189="男",LOOKUP(F189,[1]对照表!$F$3:$F$24,[1]对照表!$H$3:$H$24),LOOKUP(F189,[1]对照表!$F$27:$F$48,[1]对照表!$H$27:$H$48)),IF(B189="高一",IF($E189="男",LOOKUP(F189,[1]对照表!$E$3:$E$24,[1]对照表!$H$3:$H$24),LOOKUP(F189,[1]对照表!$E$27:$E$48,[1]对照表!$H$27:$H$48)))))</f>
        <v>100</v>
      </c>
      <c r="H189" s="38">
        <v>24</v>
      </c>
      <c r="I189" s="32">
        <f>IF(B189="高三",IF($E189="男",LOOKUP(H189,[1]对照表!$K$3:$K$24,[1]对照表!$L$3:$L$24),LOOKUP(H189,[1]对照表!$K$27:$K$48,[1]对照表!$L$27:$L$48)),IF(B189="高二",IF($E189="男",LOOKUP(H189,[1]对照表!$J$3:$J$24,[1]对照表!$L$3:$L$24),LOOKUP(H189,[1]对照表!$J$27:$J$48,[1]对照表!$L$27:$L$48)),IF(B189="高一",IF($E189="男",LOOKUP(H189,[1]对照表!$I$3:$I$24,[1]对照表!$L$3:$L$24),LOOKUP(H189,[1]对照表!$I$27:$I$48,[1]对照表!$L$27:$L$48)))))</f>
        <v>95</v>
      </c>
      <c r="J189" s="38">
        <v>265</v>
      </c>
      <c r="K189" s="32">
        <f>IF(B189="高三",IF($E189="男",LOOKUP(J189,[1]对照表!$O$3:$O$24,[1]对照表!$P$3:$P$24),LOOKUP(J189,[1]对照表!$O$27:$O$48,[1]对照表!$P$27:$P$48)),IF(B189="高二",IF($E189="男",LOOKUP(J189,[1]对照表!$N$3:$N$24,[1]对照表!$P$3:$P$24),LOOKUP(J189,[1]对照表!$N$27:$N$48,[1]对照表!$P$27:$P$48)),IF(B189="高一",IF($E189="男",LOOKUP(J189,[1]对照表!$M$3:$M$24,[1]对照表!$P$3:$P$24),LOOKUP(J189,[1]对照表!$M$27:$M$48,[1]对照表!$P$27:$P$48)))))</f>
        <v>100</v>
      </c>
      <c r="L189" s="38">
        <v>20</v>
      </c>
      <c r="M189" s="32">
        <f>IF(B189="高三",IF($E189="男",LOOKUP(L189,[1]对照表!$S$3:$S$24,[1]对照表!$T$3:$T$24),LOOKUP(L189,[1]对照表!$S$27:$S$48,[1]对照表!$T$27:$T$48)),IF(B189="高二",IF($E189="男",LOOKUP(L189,[1]对照表!$R$3:$R$24,[1]对照表!$T$3:$T$24),LOOKUP(L189,[1]对照表!$R$27:$R$48,[1]对照表!$T$27:$T$48)),IF(B189="高一",IF($E189="男",LOOKUP(L189,[1]对照表!$Q$3:$Q$24,[1]对照表!$T$3:$T$24),LOOKUP(L189,[1]对照表!$Q$27:$Q$48,[1]对照表!$T$27:$T$48)))))</f>
        <v>100</v>
      </c>
      <c r="N189" s="33">
        <f>IF(B189="高三",MAX(IF(E189="男",L189-18,L189-55),0),IF(B189="高二",MAX(IF(E189="男",L189-17,L189-54),0),IF(B189="高一",MAX(IF(E189="男",L189-16,L189-53),0))))</f>
        <v>3</v>
      </c>
      <c r="O189" s="23">
        <f>IF(E189="男",LOOKUP($N189,[1]对照表!$Z$3:$Z$13,[1]对照表!$AA$3:$AA$13),LOOKUP($N189,[1]对照表!$Z$15:$Z$25,[1]对照表!$AA$15:$AA$25))</f>
        <v>3</v>
      </c>
      <c r="P189" s="25">
        <f>M189+O189</f>
        <v>103</v>
      </c>
      <c r="Q189" s="50">
        <v>3.34</v>
      </c>
      <c r="R189" s="32">
        <f>IF(B189="高三",IF($E189="男",LOOKUP(Q189,[1]对照表!$W$3:$W$24,[1]对照表!$X$3:$X$24),LOOKUP(Q189,[1]对照表!$W$27:$W$48,[1]对照表!$X$27:$X$48)),IF(B189="高二",IF($E189="男",LOOKUP(Q189,[1]对照表!$V$3:$V$24,[1]对照表!$X$3:$X$24),LOOKUP(Q189,[1]对照表!$V$27:$V$48,[1]对照表!$X$27:$X$48)),IF(B189="高一",IF($E189="男",LOOKUP(Q189,[1]对照表!$U$3:$U$24,[1]对照表!$X$3:$X$24),LOOKUP(Q189,[1]对照表!$U$27:$U$48,[1]对照表!$X$27:$X$48)))))</f>
        <v>90</v>
      </c>
      <c r="S189" s="33">
        <f>ROUND(IF(IF($B189="高三",MIN(IF($E189="男",$Q189-3.2,$Q189-3.2),0),IF($B189="高二",MIN(IF($E189="男",$Q189-3.25,$Q189-3.22),0),IF($B189="高一",MIN(IF($E189="男",$Q189-3.3,$Q189-3.24),0))))&lt;-0.6,IF($B189="高三",MIN(IF($E189="男",$Q189-3.2,$Q189-3.2),0),IF($B189="高二",MIN(IF($E189="男",$Q189-3.25,$Q189-3.22),0),IF($B189="高一",MIN(IF($E189="男",$Q189-3.3,$Q189-3.24),0))))+0.4,IF($B189="高三",MIN(IF($E189="男",$Q189-3.2,$Q189-3.2),0),IF($B189="高二",MIN(IF($E189="男",$Q189-3.25,$Q189-3.22),0),IF($B189="高一",MIN(IF($E189="男",$Q189-3.3,$Q189-3.24),0))))),2)</f>
        <v>0</v>
      </c>
      <c r="T189" s="23">
        <f>IF(E189="男",LOOKUP($S189,[1]对照表!$AB$3:$AB$13,[1]对照表!$AC$3:$AC$13),LOOKUP($S189,[1]对照表!$AB$15:$AB$25,[1]对照表!$AC$15:$AC$25))</f>
        <v>0</v>
      </c>
      <c r="U189" s="26">
        <f>R189+T189</f>
        <v>90</v>
      </c>
      <c r="V189" s="26">
        <f>SUM(I189,K189,M189)/3*0.3+SUM(G189,R189)/2*0.4</f>
        <v>67.5</v>
      </c>
      <c r="W189" s="27">
        <f>O189+T189</f>
        <v>3</v>
      </c>
      <c r="X189" s="28">
        <f>V189/0.7+W189</f>
        <v>99.428571428571431</v>
      </c>
      <c r="Y189" s="28">
        <f>X189</f>
        <v>99.428571428571431</v>
      </c>
      <c r="Z189" s="38"/>
    </row>
    <row r="190" spans="1:26" ht="15.6" x14ac:dyDescent="0.25">
      <c r="A190" s="48">
        <v>51</v>
      </c>
      <c r="B190" s="17" t="s">
        <v>767</v>
      </c>
      <c r="C190" s="48">
        <v>204</v>
      </c>
      <c r="D190" s="49" t="s">
        <v>914</v>
      </c>
      <c r="E190" s="48" t="s">
        <v>65</v>
      </c>
      <c r="F190" s="50">
        <v>8.8000000000000007</v>
      </c>
      <c r="G190" s="32">
        <f>IF(B190="高三",IF($E190="男",LOOKUP(F190,[1]对照表!$G$3:$G$24,[1]对照表!$H$3:$H$24),LOOKUP(F190,[1]对照表!$G$27:$G$48,[1]对照表!$H$27:$H$48)),IF(B190="高二",IF($E190="男",LOOKUP(F190,[1]对照表!$F$3:$F$24,[1]对照表!$H$3:$H$24),LOOKUP(F190,[1]对照表!$F$27:$F$48,[1]对照表!$H$27:$H$48)),IF(B190="高一",IF($E190="男",LOOKUP(F190,[1]对照表!$E$3:$E$24,[1]对照表!$H$3:$H$24),LOOKUP(F190,[1]对照表!$E$27:$E$48,[1]对照表!$H$27:$H$48)))))</f>
        <v>76</v>
      </c>
      <c r="H190" s="38">
        <v>27</v>
      </c>
      <c r="I190" s="32">
        <f>IF(B190="高三",IF($E190="男",LOOKUP(H190,[1]对照表!$K$3:$K$24,[1]对照表!$L$3:$L$24),LOOKUP(H190,[1]对照表!$K$27:$K$48,[1]对照表!$L$27:$L$48)),IF(B190="高二",IF($E190="男",LOOKUP(H190,[1]对照表!$J$3:$J$24,[1]对照表!$L$3:$L$24),LOOKUP(H190,[1]对照表!$J$27:$J$48,[1]对照表!$L$27:$L$48)),IF(B190="高一",IF($E190="男",LOOKUP(H190,[1]对照表!$I$3:$I$24,[1]对照表!$L$3:$L$24),LOOKUP(H190,[1]对照表!$I$27:$I$48,[1]对照表!$L$27:$L$48)))))</f>
        <v>100</v>
      </c>
      <c r="J190" s="38">
        <v>172</v>
      </c>
      <c r="K190" s="32">
        <f>IF(B190="高三",IF($E190="男",LOOKUP(J190,[1]对照表!$O$3:$O$24,[1]对照表!$P$3:$P$24),LOOKUP(J190,[1]对照表!$O$27:$O$48,[1]对照表!$P$27:$P$48)),IF(B190="高二",IF($E190="男",LOOKUP(J190,[1]对照表!$N$3:$N$24,[1]对照表!$P$3:$P$24),LOOKUP(J190,[1]对照表!$N$27:$N$48,[1]对照表!$P$27:$P$48)),IF(B190="高一",IF($E190="男",LOOKUP(J190,[1]对照表!$M$3:$M$24,[1]对照表!$P$3:$P$24),LOOKUP(J190,[1]对照表!$M$27:$M$48,[1]对照表!$P$27:$P$48)))))</f>
        <v>74</v>
      </c>
      <c r="L190" s="38">
        <v>52</v>
      </c>
      <c r="M190" s="32">
        <f>IF(B190="高三",IF($E190="男",LOOKUP(L190,[1]对照表!$S$3:$S$24,[1]对照表!$T$3:$T$24),LOOKUP(L190,[1]对照表!$S$27:$S$48,[1]对照表!$T$27:$T$48)),IF(B190="高二",IF($E190="男",LOOKUP(L190,[1]对照表!$R$3:$R$24,[1]对照表!$T$3:$T$24),LOOKUP(L190,[1]对照表!$R$27:$R$48,[1]对照表!$T$27:$T$48)),IF(B190="高一",IF($E190="男",LOOKUP(L190,[1]对照表!$Q$3:$Q$24,[1]对照表!$T$3:$T$24),LOOKUP(L190,[1]对照表!$Q$27:$Q$48,[1]对照表!$T$27:$T$48)))))</f>
        <v>95</v>
      </c>
      <c r="N190" s="33">
        <f>IF(B190="高三",MAX(IF(E190="男",L190-18,L190-55),0),IF(B190="高二",MAX(IF(E190="男",L190-17,L190-54),0),IF(B190="高一",MAX(IF(E190="男",L190-16,L190-53),0))))</f>
        <v>0</v>
      </c>
      <c r="O190" s="23">
        <f>IF(E190="男",LOOKUP($N190,[1]对照表!$Z$3:$Z$13,[1]对照表!$AA$3:$AA$13),LOOKUP($N190,[1]对照表!$Z$15:$Z$25,[1]对照表!$AA$15:$AA$25))</f>
        <v>0</v>
      </c>
      <c r="P190" s="25">
        <f>M190+O190</f>
        <v>95</v>
      </c>
      <c r="Q190" s="50">
        <v>3.32</v>
      </c>
      <c r="R190" s="32">
        <f>IF(B190="高三",IF($E190="男",LOOKUP(Q190,[1]对照表!$W$3:$W$24,[1]对照表!$X$3:$X$24),LOOKUP(Q190,[1]对照表!$W$27:$W$48,[1]对照表!$X$27:$X$48)),IF(B190="高二",IF($E190="男",LOOKUP(Q190,[1]对照表!$V$3:$V$24,[1]对照表!$X$3:$X$24),LOOKUP(Q190,[1]对照表!$V$27:$V$48,[1]对照表!$X$27:$X$48)),IF(B190="高一",IF($E190="男",LOOKUP(Q190,[1]对照表!$U$3:$U$24,[1]对照表!$X$3:$X$24),LOOKUP(Q190,[1]对照表!$U$27:$U$48,[1]对照表!$X$27:$X$48)))))</f>
        <v>90</v>
      </c>
      <c r="S190" s="33">
        <f>ROUND(IF(IF($B190="高三",MIN(IF($E190="男",$Q190-3.2,$Q190-3.2),0),IF($B190="高二",MIN(IF($E190="男",$Q190-3.25,$Q190-3.22),0),IF($B190="高一",MIN(IF($E190="男",$Q190-3.3,$Q190-3.24),0))))&lt;-0.6,IF($B190="高三",MIN(IF($E190="男",$Q190-3.2,$Q190-3.2),0),IF($B190="高二",MIN(IF($E190="男",$Q190-3.25,$Q190-3.22),0),IF($B190="高一",MIN(IF($E190="男",$Q190-3.3,$Q190-3.24),0))))+0.4,IF($B190="高三",MIN(IF($E190="男",$Q190-3.2,$Q190-3.2),0),IF($B190="高二",MIN(IF($E190="男",$Q190-3.25,$Q190-3.22),0),IF($B190="高一",MIN(IF($E190="男",$Q190-3.3,$Q190-3.24),0))))),2)</f>
        <v>0</v>
      </c>
      <c r="T190" s="23">
        <f>IF(E190="男",LOOKUP($S190,[1]对照表!$AB$3:$AB$13,[1]对照表!$AC$3:$AC$13),LOOKUP($S190,[1]对照表!$AB$15:$AB$25,[1]对照表!$AC$15:$AC$25))</f>
        <v>0</v>
      </c>
      <c r="U190" s="26">
        <f>R190+T190</f>
        <v>90</v>
      </c>
      <c r="V190" s="26">
        <f>SUM(I190,K190,M190)/3*0.3+SUM(G190,R190)/2*0.4</f>
        <v>60.100000000000009</v>
      </c>
      <c r="W190" s="27">
        <f>O190+T190</f>
        <v>0</v>
      </c>
      <c r="X190" s="28">
        <f>V190/0.7+W190</f>
        <v>85.857142857142875</v>
      </c>
      <c r="Y190" s="28">
        <f>X190</f>
        <v>85.857142857142875</v>
      </c>
      <c r="Z190" s="38"/>
    </row>
    <row r="191" spans="1:26" ht="15.6" x14ac:dyDescent="0.25">
      <c r="A191" s="48">
        <v>49</v>
      </c>
      <c r="B191" s="17" t="s">
        <v>767</v>
      </c>
      <c r="C191" s="48">
        <v>204</v>
      </c>
      <c r="D191" s="49" t="s">
        <v>917</v>
      </c>
      <c r="E191" s="48" t="s">
        <v>65</v>
      </c>
      <c r="F191" s="50">
        <v>8.52</v>
      </c>
      <c r="G191" s="32">
        <f>IF(B191="高三",IF($E191="男",LOOKUP(F191,[1]对照表!$G$3:$G$24,[1]对照表!$H$3:$H$24),LOOKUP(F191,[1]对照表!$G$27:$G$48,[1]对照表!$H$27:$H$48)),IF(B191="高二",IF($E191="男",LOOKUP(F191,[1]对照表!$F$3:$F$24,[1]对照表!$H$3:$H$24),LOOKUP(F191,[1]对照表!$F$27:$F$48,[1]对照表!$H$27:$H$48)),IF(B191="高一",IF($E191="男",LOOKUP(F191,[1]对照表!$E$3:$E$24,[1]对照表!$H$3:$H$24),LOOKUP(F191,[1]对照表!$E$27:$E$48,[1]对照表!$H$27:$H$48)))))</f>
        <v>78</v>
      </c>
      <c r="H191" s="38">
        <v>28</v>
      </c>
      <c r="I191" s="32">
        <f>IF(B191="高三",IF($E191="男",LOOKUP(H191,[1]对照表!$K$3:$K$24,[1]对照表!$L$3:$L$24),LOOKUP(H191,[1]对照表!$K$27:$K$48,[1]对照表!$L$27:$L$48)),IF(B191="高二",IF($E191="男",LOOKUP(H191,[1]对照表!$J$3:$J$24,[1]对照表!$L$3:$L$24),LOOKUP(H191,[1]对照表!$J$27:$J$48,[1]对照表!$L$27:$L$48)),IF(B191="高一",IF($E191="男",LOOKUP(H191,[1]对照表!$I$3:$I$24,[1]对照表!$L$3:$L$24),LOOKUP(H191,[1]对照表!$I$27:$I$48,[1]对照表!$L$27:$L$48)))))</f>
        <v>100</v>
      </c>
      <c r="J191" s="38">
        <v>197</v>
      </c>
      <c r="K191" s="32">
        <f>IF(B191="高三",IF($E191="男",LOOKUP(J191,[1]对照表!$O$3:$O$24,[1]对照表!$P$3:$P$24),LOOKUP(J191,[1]对照表!$O$27:$O$48,[1]对照表!$P$27:$P$48)),IF(B191="高二",IF($E191="男",LOOKUP(J191,[1]对照表!$N$3:$N$24,[1]对照表!$P$3:$P$24),LOOKUP(J191,[1]对照表!$N$27:$N$48,[1]对照表!$P$27:$P$48)),IF(B191="高一",IF($E191="男",LOOKUP(J191,[1]对照表!$M$3:$M$24,[1]对照表!$P$3:$P$24),LOOKUP(J191,[1]对照表!$M$27:$M$48,[1]对照表!$P$27:$P$48)))))</f>
        <v>90</v>
      </c>
      <c r="L191" s="38">
        <v>53</v>
      </c>
      <c r="M191" s="32">
        <f>IF(B191="高三",IF($E191="男",LOOKUP(L191,[1]对照表!$S$3:$S$24,[1]对照表!$T$3:$T$24),LOOKUP(L191,[1]对照表!$S$27:$S$48,[1]对照表!$T$27:$T$48)),IF(B191="高二",IF($E191="男",LOOKUP(L191,[1]对照表!$R$3:$R$24,[1]对照表!$T$3:$T$24),LOOKUP(L191,[1]对照表!$R$27:$R$48,[1]对照表!$T$27:$T$48)),IF(B191="高一",IF($E191="男",LOOKUP(L191,[1]对照表!$Q$3:$Q$24,[1]对照表!$T$3:$T$24),LOOKUP(L191,[1]对照表!$Q$27:$Q$48,[1]对照表!$T$27:$T$48)))))</f>
        <v>95</v>
      </c>
      <c r="N191" s="33">
        <f>IF(B191="高三",MAX(IF(E191="男",L191-18,L191-55),0),IF(B191="高二",MAX(IF(E191="男",L191-17,L191-54),0),IF(B191="高一",MAX(IF(E191="男",L191-16,L191-53),0))))</f>
        <v>0</v>
      </c>
      <c r="O191" s="23">
        <f>IF(E191="男",LOOKUP($N191,[1]对照表!$Z$3:$Z$13,[1]对照表!$AA$3:$AA$13),LOOKUP($N191,[1]对照表!$Z$15:$Z$25,[1]对照表!$AA$15:$AA$25))</f>
        <v>0</v>
      </c>
      <c r="P191" s="25">
        <f>M191+O191</f>
        <v>95</v>
      </c>
      <c r="Q191" s="50">
        <v>3.47</v>
      </c>
      <c r="R191" s="32">
        <f>IF(B191="高三",IF($E191="男",LOOKUP(Q191,[1]对照表!$W$3:$W$24,[1]对照表!$X$3:$X$24),LOOKUP(Q191,[1]对照表!$W$27:$W$48,[1]对照表!$X$27:$X$48)),IF(B191="高二",IF($E191="男",LOOKUP(Q191,[1]对照表!$V$3:$V$24,[1]对照表!$X$3:$X$24),LOOKUP(Q191,[1]对照表!$V$27:$V$48,[1]对照表!$X$27:$X$48)),IF(B191="高一",IF($E191="男",LOOKUP(Q191,[1]对照表!$U$3:$U$24,[1]对照表!$X$3:$X$24),LOOKUP(Q191,[1]对照表!$U$27:$U$48,[1]对照表!$X$27:$X$48)))))</f>
        <v>80</v>
      </c>
      <c r="S191" s="33">
        <f>ROUND(IF(IF($B191="高三",MIN(IF($E191="男",$Q191-3.2,$Q191-3.2),0),IF($B191="高二",MIN(IF($E191="男",$Q191-3.25,$Q191-3.22),0),IF($B191="高一",MIN(IF($E191="男",$Q191-3.3,$Q191-3.24),0))))&lt;-0.6,IF($B191="高三",MIN(IF($E191="男",$Q191-3.2,$Q191-3.2),0),IF($B191="高二",MIN(IF($E191="男",$Q191-3.25,$Q191-3.22),0),IF($B191="高一",MIN(IF($E191="男",$Q191-3.3,$Q191-3.24),0))))+0.4,IF($B191="高三",MIN(IF($E191="男",$Q191-3.2,$Q191-3.2),0),IF($B191="高二",MIN(IF($E191="男",$Q191-3.25,$Q191-3.22),0),IF($B191="高一",MIN(IF($E191="男",$Q191-3.3,$Q191-3.24),0))))),2)</f>
        <v>0</v>
      </c>
      <c r="T191" s="23">
        <f>IF(E191="男",LOOKUP($S191,[1]对照表!$AB$3:$AB$13,[1]对照表!$AC$3:$AC$13),LOOKUP($S191,[1]对照表!$AB$15:$AB$25,[1]对照表!$AC$15:$AC$25))</f>
        <v>0</v>
      </c>
      <c r="U191" s="26">
        <f>R191+T191</f>
        <v>80</v>
      </c>
      <c r="V191" s="26">
        <f>SUM(I191,K191,M191)/3*0.3+SUM(G191,R191)/2*0.4</f>
        <v>60.1</v>
      </c>
      <c r="W191" s="27">
        <f>O191+T191</f>
        <v>0</v>
      </c>
      <c r="X191" s="28">
        <f>V191/0.7+W191</f>
        <v>85.857142857142861</v>
      </c>
      <c r="Y191" s="28">
        <f>X191</f>
        <v>85.857142857142861</v>
      </c>
      <c r="Z191" s="38"/>
    </row>
    <row r="192" spans="1:26" ht="15.6" x14ac:dyDescent="0.25">
      <c r="A192" s="48">
        <v>13</v>
      </c>
      <c r="B192" s="17" t="s">
        <v>767</v>
      </c>
      <c r="C192" s="48">
        <v>204</v>
      </c>
      <c r="D192" s="49" t="s">
        <v>919</v>
      </c>
      <c r="E192" s="48" t="s">
        <v>23</v>
      </c>
      <c r="F192" s="50">
        <v>7</v>
      </c>
      <c r="G192" s="32">
        <f>IF(B192="高三",IF($E192="男",LOOKUP(F192,[1]对照表!$G$3:$G$24,[1]对照表!$H$3:$H$24),LOOKUP(F192,[1]对照表!$G$27:$G$48,[1]对照表!$H$27:$H$48)),IF(B192="高二",IF($E192="男",LOOKUP(F192,[1]对照表!$F$3:$F$24,[1]对照表!$H$3:$H$24),LOOKUP(F192,[1]对照表!$F$27:$F$48,[1]对照表!$H$27:$H$48)),IF(B192="高一",IF($E192="男",LOOKUP(F192,[1]对照表!$E$3:$E$24,[1]对照表!$H$3:$H$24),LOOKUP(F192,[1]对照表!$E$27:$E$48,[1]对照表!$H$27:$H$48)))))</f>
        <v>100</v>
      </c>
      <c r="H192" s="38">
        <v>22</v>
      </c>
      <c r="I192" s="32">
        <f>IF(B192="高三",IF($E192="男",LOOKUP(H192,[1]对照表!$K$3:$K$24,[1]对照表!$L$3:$L$24),LOOKUP(H192,[1]对照表!$K$27:$K$48,[1]对照表!$L$27:$L$48)),IF(B192="高二",IF($E192="男",LOOKUP(H192,[1]对照表!$J$3:$J$24,[1]对照表!$L$3:$L$24),LOOKUP(H192,[1]对照表!$J$27:$J$48,[1]对照表!$L$27:$L$48)),IF(B192="高一",IF($E192="男",LOOKUP(H192,[1]对照表!$I$3:$I$24,[1]对照表!$L$3:$L$24),LOOKUP(H192,[1]对照表!$I$27:$I$48,[1]对照表!$L$27:$L$48)))))</f>
        <v>90</v>
      </c>
      <c r="J192" s="38">
        <v>220</v>
      </c>
      <c r="K192" s="32">
        <f>IF(B192="高三",IF($E192="男",LOOKUP(J192,[1]对照表!$O$3:$O$24,[1]对照表!$P$3:$P$24),LOOKUP(J192,[1]对照表!$O$27:$O$48,[1]对照表!$P$27:$P$48)),IF(B192="高二",IF($E192="男",LOOKUP(J192,[1]对照表!$N$3:$N$24,[1]对照表!$P$3:$P$24),LOOKUP(J192,[1]对照表!$N$27:$N$48,[1]对照表!$P$27:$P$48)),IF(B192="高一",IF($E192="男",LOOKUP(J192,[1]对照表!$M$3:$M$24,[1]对照表!$P$3:$P$24),LOOKUP(J192,[1]对照表!$M$27:$M$48,[1]对照表!$P$27:$P$48)))))</f>
        <v>70</v>
      </c>
      <c r="L192" s="38">
        <v>23</v>
      </c>
      <c r="M192" s="32">
        <f>IF(B192="高三",IF($E192="男",LOOKUP(L192,[1]对照表!$S$3:$S$24,[1]对照表!$T$3:$T$24),LOOKUP(L192,[1]对照表!$S$27:$S$48,[1]对照表!$T$27:$T$48)),IF(B192="高二",IF($E192="男",LOOKUP(L192,[1]对照表!$R$3:$R$24,[1]对照表!$T$3:$T$24),LOOKUP(L192,[1]对照表!$R$27:$R$48,[1]对照表!$T$27:$T$48)),IF(B192="高一",IF($E192="男",LOOKUP(L192,[1]对照表!$Q$3:$Q$24,[1]对照表!$T$3:$T$24),LOOKUP(L192,[1]对照表!$Q$27:$Q$48,[1]对照表!$T$27:$T$48)))))</f>
        <v>100</v>
      </c>
      <c r="N192" s="33">
        <f>IF(B192="高三",MAX(IF(E192="男",L192-18,L192-55),0),IF(B192="高二",MAX(IF(E192="男",L192-17,L192-54),0),IF(B192="高一",MAX(IF(E192="男",L192-16,L192-53),0))))</f>
        <v>6</v>
      </c>
      <c r="O192" s="23">
        <f>IF(E192="男",LOOKUP($N192,[1]对照表!$Z$3:$Z$13,[1]对照表!$AA$3:$AA$13),LOOKUP($N192,[1]对照表!$Z$15:$Z$25,[1]对照表!$AA$15:$AA$25))</f>
        <v>6</v>
      </c>
      <c r="P192" s="25">
        <f>M192+O192</f>
        <v>106</v>
      </c>
      <c r="Q192" s="50">
        <v>3.39</v>
      </c>
      <c r="R192" s="32">
        <f>IF(B192="高三",IF($E192="男",LOOKUP(Q192,[1]对照表!$W$3:$W$24,[1]对照表!$X$3:$X$24),LOOKUP(Q192,[1]对照表!$W$27:$W$48,[1]对照表!$X$27:$X$48)),IF(B192="高二",IF($E192="男",LOOKUP(Q192,[1]对照表!$V$3:$V$24,[1]对照表!$X$3:$X$24),LOOKUP(Q192,[1]对照表!$V$27:$V$48,[1]对照表!$X$27:$X$48)),IF(B192="高一",IF($E192="男",LOOKUP(Q192,[1]对照表!$U$3:$U$24,[1]对照表!$X$3:$X$24),LOOKUP(Q192,[1]对照表!$U$27:$U$48,[1]对照表!$X$27:$X$48)))))</f>
        <v>85</v>
      </c>
      <c r="S192" s="33">
        <f>ROUND(IF(IF($B192="高三",MIN(IF($E192="男",$Q192-3.2,$Q192-3.2),0),IF($B192="高二",MIN(IF($E192="男",$Q192-3.25,$Q192-3.22),0),IF($B192="高一",MIN(IF($E192="男",$Q192-3.3,$Q192-3.24),0))))&lt;-0.6,IF($B192="高三",MIN(IF($E192="男",$Q192-3.2,$Q192-3.2),0),IF($B192="高二",MIN(IF($E192="男",$Q192-3.25,$Q192-3.22),0),IF($B192="高一",MIN(IF($E192="男",$Q192-3.3,$Q192-3.24),0))))+0.4,IF($B192="高三",MIN(IF($E192="男",$Q192-3.2,$Q192-3.2),0),IF($B192="高二",MIN(IF($E192="男",$Q192-3.25,$Q192-3.22),0),IF($B192="高一",MIN(IF($E192="男",$Q192-3.3,$Q192-3.24),0))))),2)</f>
        <v>0</v>
      </c>
      <c r="T192" s="23">
        <f>IF(E192="男",LOOKUP($S192,[1]对照表!$AB$3:$AB$13,[1]对照表!$AC$3:$AC$13),LOOKUP($S192,[1]对照表!$AB$15:$AB$25,[1]对照表!$AC$15:$AC$25))</f>
        <v>0</v>
      </c>
      <c r="U192" s="26">
        <f>R192+T192</f>
        <v>85</v>
      </c>
      <c r="V192" s="26">
        <f>SUM(I192,K192,M192)/3*0.3+SUM(G192,R192)/2*0.4</f>
        <v>63</v>
      </c>
      <c r="W192" s="27">
        <f>O192+T192</f>
        <v>6</v>
      </c>
      <c r="X192" s="28">
        <f>V192/0.7+W192</f>
        <v>96</v>
      </c>
      <c r="Y192" s="28">
        <f>X192</f>
        <v>96</v>
      </c>
      <c r="Z192" s="38"/>
    </row>
    <row r="193" spans="1:26" ht="15.6" x14ac:dyDescent="0.25">
      <c r="A193" s="48">
        <v>39</v>
      </c>
      <c r="B193" s="17" t="s">
        <v>767</v>
      </c>
      <c r="C193" s="48">
        <v>204</v>
      </c>
      <c r="D193" s="49" t="s">
        <v>922</v>
      </c>
      <c r="E193" s="48" t="s">
        <v>65</v>
      </c>
      <c r="F193" s="50">
        <v>8.6999999999999993</v>
      </c>
      <c r="G193" s="32">
        <f>IF(B193="高三",IF($E193="男",LOOKUP(F193,[1]对照表!$G$3:$G$24,[1]对照表!$H$3:$H$24),LOOKUP(F193,[1]对照表!$G$27:$G$48,[1]对照表!$H$27:$H$48)),IF(B193="高二",IF($E193="男",LOOKUP(F193,[1]对照表!$F$3:$F$24,[1]对照表!$H$3:$H$24),LOOKUP(F193,[1]对照表!$F$27:$F$48,[1]对照表!$H$27:$H$48)),IF(B193="高一",IF($E193="男",LOOKUP(F193,[1]对照表!$E$3:$E$24,[1]对照表!$H$3:$H$24),LOOKUP(F193,[1]对照表!$E$27:$E$48,[1]对照表!$H$27:$H$48)))))</f>
        <v>78</v>
      </c>
      <c r="H193" s="38">
        <v>24.5</v>
      </c>
      <c r="I193" s="32">
        <f>IF(B193="高三",IF($E193="男",LOOKUP(H193,[1]对照表!$K$3:$K$24,[1]对照表!$L$3:$L$24),LOOKUP(H193,[1]对照表!$K$27:$K$48,[1]对照表!$L$27:$L$48)),IF(B193="高二",IF($E193="男",LOOKUP(H193,[1]对照表!$J$3:$J$24,[1]对照表!$L$3:$L$24),LOOKUP(H193,[1]对照表!$J$27:$J$48,[1]对照表!$L$27:$L$48)),IF(B193="高一",IF($E193="男",LOOKUP(H193,[1]对照表!$I$3:$I$24,[1]对照表!$L$3:$L$24),LOOKUP(H193,[1]对照表!$I$27:$I$48,[1]对照表!$L$27:$L$48)))))</f>
        <v>95</v>
      </c>
      <c r="J193" s="38">
        <v>176</v>
      </c>
      <c r="K193" s="32">
        <f>IF(B193="高三",IF($E193="男",LOOKUP(J193,[1]对照表!$O$3:$O$24,[1]对照表!$P$3:$P$24),LOOKUP(J193,[1]对照表!$O$27:$O$48,[1]对照表!$P$27:$P$48)),IF(B193="高二",IF($E193="男",LOOKUP(J193,[1]对照表!$N$3:$N$24,[1]对照表!$P$3:$P$24),LOOKUP(J193,[1]对照表!$N$27:$N$48,[1]对照表!$P$27:$P$48)),IF(B193="高一",IF($E193="男",LOOKUP(J193,[1]对照表!$M$3:$M$24,[1]对照表!$P$3:$P$24),LOOKUP(J193,[1]对照表!$M$27:$M$48,[1]对照表!$P$27:$P$48)))))</f>
        <v>78</v>
      </c>
      <c r="L193" s="38">
        <v>55</v>
      </c>
      <c r="M193" s="32">
        <f>IF(B193="高三",IF($E193="男",LOOKUP(L193,[1]对照表!$S$3:$S$24,[1]对照表!$T$3:$T$24),LOOKUP(L193,[1]对照表!$S$27:$S$48,[1]对照表!$T$27:$T$48)),IF(B193="高二",IF($E193="男",LOOKUP(L193,[1]对照表!$R$3:$R$24,[1]对照表!$T$3:$T$24),LOOKUP(L193,[1]对照表!$R$27:$R$48,[1]对照表!$T$27:$T$48)),IF(B193="高一",IF($E193="男",LOOKUP(L193,[1]对照表!$Q$3:$Q$24,[1]对照表!$T$3:$T$24),LOOKUP(L193,[1]对照表!$Q$27:$Q$48,[1]对照表!$T$27:$T$48)))))</f>
        <v>100</v>
      </c>
      <c r="N193" s="33">
        <f>IF(B193="高三",MAX(IF(E193="男",L193-18,L193-55),0),IF(B193="高二",MAX(IF(E193="男",L193-17,L193-54),0),IF(B193="高一",MAX(IF(E193="男",L193-16,L193-53),0))))</f>
        <v>1</v>
      </c>
      <c r="O193" s="23">
        <f>IF(E193="男",LOOKUP($N193,[1]对照表!$Z$3:$Z$13,[1]对照表!$AA$3:$AA$13),LOOKUP($N193,[1]对照表!$Z$15:$Z$25,[1]对照表!$AA$15:$AA$25))</f>
        <v>0</v>
      </c>
      <c r="P193" s="25">
        <f>M193+O193</f>
        <v>100</v>
      </c>
      <c r="Q193" s="50">
        <v>3.36</v>
      </c>
      <c r="R193" s="32">
        <f>IF(B193="高三",IF($E193="男",LOOKUP(Q193,[1]对照表!$W$3:$W$24,[1]对照表!$X$3:$X$24),LOOKUP(Q193,[1]对照表!$W$27:$W$48,[1]对照表!$X$27:$X$48)),IF(B193="高二",IF($E193="男",LOOKUP(Q193,[1]对照表!$V$3:$V$24,[1]对照表!$X$3:$X$24),LOOKUP(Q193,[1]对照表!$V$27:$V$48,[1]对照表!$X$27:$X$48)),IF(B193="高一",IF($E193="男",LOOKUP(Q193,[1]对照表!$U$3:$U$24,[1]对照表!$X$3:$X$24),LOOKUP(Q193,[1]对照表!$U$27:$U$48,[1]对照表!$X$27:$X$48)))))</f>
        <v>85</v>
      </c>
      <c r="S193" s="27">
        <f>ROUND(IF(IF($B193="高三",MIN(IF($E193="男",$Q193-3.2,$Q193-3.2),0),IF($B193="高二",MIN(IF($E193="男",$Q193-3.25,$Q193-3.22),0),IF($B193="高一",MIN(IF($E193="男",$Q193-3.3,$Q193-3.24),0))))&lt;-0.6,IF($B193="高三",MIN(IF($E193="男",$Q193-3.2,$Q193-3.2),0),IF($B193="高二",MIN(IF($E193="男",$Q193-3.25,$Q193-3.22),0),IF($B193="高一",MIN(IF($E193="男",$Q193-3.3,$Q193-3.24),0))))+0.4,IF($B193="高三",MIN(IF($E193="男",$Q193-3.2,$Q193-3.2),0),IF($B193="高二",MIN(IF($E193="男",$Q193-3.25,$Q193-3.22),0),IF($B193="高一",MIN(IF($E193="男",$Q193-3.3,$Q193-3.24),0))))),2)</f>
        <v>0</v>
      </c>
      <c r="T193" s="23">
        <f>IF(E193="男",LOOKUP($S193,[1]对照表!$AB$3:$AB$13,[1]对照表!$AC$3:$AC$13),LOOKUP($S193,[1]对照表!$AB$15:$AB$25,[1]对照表!$AC$15:$AC$25))</f>
        <v>0</v>
      </c>
      <c r="U193" s="26">
        <f>R193+T193</f>
        <v>85</v>
      </c>
      <c r="V193" s="26">
        <f>SUM(I193,K193,M193)/3*0.3+SUM(G193,R193)/2*0.4</f>
        <v>59.900000000000006</v>
      </c>
      <c r="W193" s="27">
        <f>O193+T193</f>
        <v>0</v>
      </c>
      <c r="X193" s="28">
        <f>V193/0.7+W193</f>
        <v>85.571428571428584</v>
      </c>
      <c r="Y193" s="28">
        <f>X193</f>
        <v>85.571428571428584</v>
      </c>
      <c r="Z193" s="38"/>
    </row>
    <row r="194" spans="1:26" ht="15.6" x14ac:dyDescent="0.25">
      <c r="A194" s="48">
        <v>19</v>
      </c>
      <c r="B194" s="17" t="s">
        <v>767</v>
      </c>
      <c r="C194" s="48">
        <v>204</v>
      </c>
      <c r="D194" s="49" t="s">
        <v>923</v>
      </c>
      <c r="E194" s="48" t="s">
        <v>65</v>
      </c>
      <c r="F194" s="50">
        <v>9.19</v>
      </c>
      <c r="G194" s="32">
        <f>IF(B194="高三",IF($E194="男",LOOKUP(F194,[1]对照表!$G$3:$G$24,[1]对照表!$H$3:$H$24),LOOKUP(F194,[1]对照表!$G$27:$G$48,[1]对照表!$H$27:$H$48)),IF(B194="高二",IF($E194="男",LOOKUP(F194,[1]对照表!$F$3:$F$24,[1]对照表!$H$3:$H$24),LOOKUP(F194,[1]对照表!$F$27:$F$48,[1]对照表!$H$27:$H$48)),IF(B194="高一",IF($E194="男",LOOKUP(F194,[1]对照表!$E$3:$E$24,[1]对照表!$H$3:$H$24),LOOKUP(F194,[1]对照表!$E$27:$E$48,[1]对照表!$H$27:$H$48)))))</f>
        <v>72</v>
      </c>
      <c r="H194" s="38">
        <v>26.7</v>
      </c>
      <c r="I194" s="32">
        <f>IF(B194="高三",IF($E194="男",LOOKUP(H194,[1]对照表!$K$3:$K$24,[1]对照表!$L$3:$L$24),LOOKUP(H194,[1]对照表!$K$27:$K$48,[1]对照表!$L$27:$L$48)),IF(B194="高二",IF($E194="男",LOOKUP(H194,[1]对照表!$J$3:$J$24,[1]对照表!$L$3:$L$24),LOOKUP(H194,[1]对照表!$J$27:$J$48,[1]对照表!$L$27:$L$48)),IF(B194="高一",IF($E194="男",LOOKUP(H194,[1]对照表!$I$3:$I$24,[1]对照表!$L$3:$L$24),LOOKUP(H194,[1]对照表!$I$27:$I$48,[1]对照表!$L$27:$L$48)))))</f>
        <v>100</v>
      </c>
      <c r="J194" s="38">
        <v>190</v>
      </c>
      <c r="K194" s="32">
        <f>IF(B194="高三",IF($E194="男",LOOKUP(J194,[1]对照表!$O$3:$O$24,[1]对照表!$P$3:$P$24),LOOKUP(J194,[1]对照表!$O$27:$O$48,[1]对照表!$P$27:$P$48)),IF(B194="高二",IF($E194="男",LOOKUP(J194,[1]对照表!$N$3:$N$24,[1]对照表!$P$3:$P$24),LOOKUP(J194,[1]对照表!$N$27:$N$48,[1]对照表!$P$27:$P$48)),IF(B194="高一",IF($E194="男",LOOKUP(J194,[1]对照表!$M$3:$M$24,[1]对照表!$P$3:$P$24),LOOKUP(J194,[1]对照表!$M$27:$M$48,[1]对照表!$P$27:$P$48)))))</f>
        <v>85</v>
      </c>
      <c r="L194" s="38">
        <v>55</v>
      </c>
      <c r="M194" s="32">
        <f>IF(B194="高三",IF($E194="男",LOOKUP(L194,[1]对照表!$S$3:$S$24,[1]对照表!$T$3:$T$24),LOOKUP(L194,[1]对照表!$S$27:$S$48,[1]对照表!$T$27:$T$48)),IF(B194="高二",IF($E194="男",LOOKUP(L194,[1]对照表!$R$3:$R$24,[1]对照表!$T$3:$T$24),LOOKUP(L194,[1]对照表!$R$27:$R$48,[1]对照表!$T$27:$T$48)),IF(B194="高一",IF($E194="男",LOOKUP(L194,[1]对照表!$Q$3:$Q$24,[1]对照表!$T$3:$T$24),LOOKUP(L194,[1]对照表!$Q$27:$Q$48,[1]对照表!$T$27:$T$48)))))</f>
        <v>100</v>
      </c>
      <c r="N194" s="33">
        <f>IF(B194="高三",MAX(IF(E194="男",L194-18,L194-55),0),IF(B194="高二",MAX(IF(E194="男",L194-17,L194-54),0),IF(B194="高一",MAX(IF(E194="男",L194-16,L194-53),0))))</f>
        <v>1</v>
      </c>
      <c r="O194" s="23">
        <f>IF(E194="男",LOOKUP($N194,[1]对照表!$Z$3:$Z$13,[1]对照表!$AA$3:$AA$13),LOOKUP($N194,[1]对照表!$Z$15:$Z$25,[1]对照表!$AA$15:$AA$25))</f>
        <v>0</v>
      </c>
      <c r="P194" s="25">
        <f>M194+O194</f>
        <v>100</v>
      </c>
      <c r="Q194" s="50">
        <v>3.4</v>
      </c>
      <c r="R194" s="32">
        <f>IF(B194="高三",IF($E194="男",LOOKUP(Q194,[1]对照表!$W$3:$W$24,[1]对照表!$X$3:$X$24),LOOKUP(Q194,[1]对照表!$W$27:$W$48,[1]对照表!$X$27:$X$48)),IF(B194="高二",IF($E194="男",LOOKUP(Q194,[1]对照表!$V$3:$V$24,[1]对照表!$X$3:$X$24),LOOKUP(Q194,[1]对照表!$V$27:$V$48,[1]对照表!$X$27:$X$48)),IF(B194="高一",IF($E194="男",LOOKUP(Q194,[1]对照表!$U$3:$U$24,[1]对照表!$X$3:$X$24),LOOKUP(Q194,[1]对照表!$U$27:$U$48,[1]对照表!$X$27:$X$48)))))</f>
        <v>85</v>
      </c>
      <c r="S194" s="27">
        <f>ROUND(IF(IF($B194="高三",MIN(IF($E194="男",$Q194-3.2,$Q194-3.2),0),IF($B194="高二",MIN(IF($E194="男",$Q194-3.25,$Q194-3.22),0),IF($B194="高一",MIN(IF($E194="男",$Q194-3.3,$Q194-3.24),0))))&lt;-0.6,IF($B194="高三",MIN(IF($E194="男",$Q194-3.2,$Q194-3.2),0),IF($B194="高二",MIN(IF($E194="男",$Q194-3.25,$Q194-3.22),0),IF($B194="高一",MIN(IF($E194="男",$Q194-3.3,$Q194-3.24),0))))+0.4,IF($B194="高三",MIN(IF($E194="男",$Q194-3.2,$Q194-3.2),0),IF($B194="高二",MIN(IF($E194="男",$Q194-3.25,$Q194-3.22),0),IF($B194="高一",MIN(IF($E194="男",$Q194-3.3,$Q194-3.24),0))))),2)</f>
        <v>0</v>
      </c>
      <c r="T194" s="23">
        <f>IF(E194="男",LOOKUP($S194,[1]对照表!$AB$3:$AB$13,[1]对照表!$AC$3:$AC$13),LOOKUP($S194,[1]对照表!$AB$15:$AB$25,[1]对照表!$AC$15:$AC$25))</f>
        <v>0</v>
      </c>
      <c r="U194" s="26">
        <f>R194+T194</f>
        <v>85</v>
      </c>
      <c r="V194" s="26">
        <f>SUM(I194,K194,M194)/3*0.3+SUM(G194,R194)/2*0.4</f>
        <v>59.900000000000006</v>
      </c>
      <c r="W194" s="27">
        <f>O194+T194</f>
        <v>0</v>
      </c>
      <c r="X194" s="28">
        <f>V194/0.7+W194</f>
        <v>85.571428571428584</v>
      </c>
      <c r="Y194" s="28">
        <f>X194</f>
        <v>85.571428571428584</v>
      </c>
      <c r="Z194" s="38"/>
    </row>
    <row r="195" spans="1:26" ht="15.6" x14ac:dyDescent="0.25">
      <c r="A195" s="48">
        <v>30</v>
      </c>
      <c r="B195" s="17" t="s">
        <v>767</v>
      </c>
      <c r="C195" s="48">
        <v>204</v>
      </c>
      <c r="D195" s="49" t="s">
        <v>926</v>
      </c>
      <c r="E195" s="48" t="s">
        <v>65</v>
      </c>
      <c r="F195" s="50">
        <v>8.99</v>
      </c>
      <c r="G195" s="32">
        <f>IF(B195="高三",IF($E195="男",LOOKUP(F195,[1]对照表!$G$3:$G$24,[1]对照表!$H$3:$H$24),LOOKUP(F195,[1]对照表!$G$27:$G$48,[1]对照表!$H$27:$H$48)),IF(B195="高二",IF($E195="男",LOOKUP(F195,[1]对照表!$F$3:$F$24,[1]对照表!$H$3:$H$24),LOOKUP(F195,[1]对照表!$F$27:$F$48,[1]对照表!$H$27:$H$48)),IF(B195="高一",IF($E195="男",LOOKUP(F195,[1]对照表!$E$3:$E$24,[1]对照表!$H$3:$H$24),LOOKUP(F195,[1]对照表!$E$27:$E$48,[1]对照表!$H$27:$H$48)))))</f>
        <v>74</v>
      </c>
      <c r="H195" s="38">
        <v>27</v>
      </c>
      <c r="I195" s="32">
        <f>IF(B195="高三",IF($E195="男",LOOKUP(H195,[1]对照表!$K$3:$K$24,[1]对照表!$L$3:$L$24),LOOKUP(H195,[1]对照表!$K$27:$K$48,[1]对照表!$L$27:$L$48)),IF(B195="高二",IF($E195="男",LOOKUP(H195,[1]对照表!$J$3:$J$24,[1]对照表!$L$3:$L$24),LOOKUP(H195,[1]对照表!$J$27:$J$48,[1]对照表!$L$27:$L$48)),IF(B195="高一",IF($E195="男",LOOKUP(H195,[1]对照表!$I$3:$I$24,[1]对照表!$L$3:$L$24),LOOKUP(H195,[1]对照表!$I$27:$I$48,[1]对照表!$L$27:$L$48)))))</f>
        <v>100</v>
      </c>
      <c r="J195" s="38">
        <v>190</v>
      </c>
      <c r="K195" s="32">
        <f>IF(B195="高三",IF($E195="男",LOOKUP(J195,[1]对照表!$O$3:$O$24,[1]对照表!$P$3:$P$24),LOOKUP(J195,[1]对照表!$O$27:$O$48,[1]对照表!$P$27:$P$48)),IF(B195="高二",IF($E195="男",LOOKUP(J195,[1]对照表!$N$3:$N$24,[1]对照表!$P$3:$P$24),LOOKUP(J195,[1]对照表!$N$27:$N$48,[1]对照表!$P$27:$P$48)),IF(B195="高一",IF($E195="男",LOOKUP(J195,[1]对照表!$M$3:$M$24,[1]对照表!$P$3:$P$24),LOOKUP(J195,[1]对照表!$M$27:$M$48,[1]对照表!$P$27:$P$48)))))</f>
        <v>85</v>
      </c>
      <c r="L195" s="38">
        <v>47</v>
      </c>
      <c r="M195" s="32">
        <f>IF(B195="高三",IF($E195="男",LOOKUP(L195,[1]对照表!$S$3:$S$24,[1]对照表!$T$3:$T$24),LOOKUP(L195,[1]对照表!$S$27:$S$48,[1]对照表!$T$27:$T$48)),IF(B195="高二",IF($E195="男",LOOKUP(L195,[1]对照表!$R$3:$R$24,[1]对照表!$T$3:$T$24),LOOKUP(L195,[1]对照表!$R$27:$R$48,[1]对照表!$T$27:$T$48)),IF(B195="高一",IF($E195="男",LOOKUP(L195,[1]对照表!$Q$3:$Q$24,[1]对照表!$T$3:$T$24),LOOKUP(L195,[1]对照表!$Q$27:$Q$48,[1]对照表!$T$27:$T$48)))))</f>
        <v>85</v>
      </c>
      <c r="N195" s="33">
        <f>IF(B195="高三",MAX(IF(E195="男",L195-18,L195-55),0),IF(B195="高二",MAX(IF(E195="男",L195-17,L195-54),0),IF(B195="高一",MAX(IF(E195="男",L195-16,L195-53),0))))</f>
        <v>0</v>
      </c>
      <c r="O195" s="23">
        <f>IF(E195="男",LOOKUP($N195,[1]对照表!$Z$3:$Z$13,[1]对照表!$AA$3:$AA$13),LOOKUP($N195,[1]对照表!$Z$15:$Z$25,[1]对照表!$AA$15:$AA$25))</f>
        <v>0</v>
      </c>
      <c r="P195" s="25">
        <f>M195+O195</f>
        <v>85</v>
      </c>
      <c r="Q195" s="50">
        <v>3.29</v>
      </c>
      <c r="R195" s="32">
        <f>IF(B195="高三",IF($E195="男",LOOKUP(Q195,[1]对照表!$W$3:$W$24,[1]对照表!$X$3:$X$24),LOOKUP(Q195,[1]对照表!$W$27:$W$48,[1]对照表!$X$27:$X$48)),IF(B195="高二",IF($E195="男",LOOKUP(Q195,[1]对照表!$V$3:$V$24,[1]对照表!$X$3:$X$24),LOOKUP(Q195,[1]对照表!$V$27:$V$48,[1]对照表!$X$27:$X$48)),IF(B195="高一",IF($E195="男",LOOKUP(Q195,[1]对照表!$U$3:$U$24,[1]对照表!$X$3:$X$24),LOOKUP(Q195,[1]对照表!$U$27:$U$48,[1]对照表!$X$27:$X$48)))))</f>
        <v>90</v>
      </c>
      <c r="S195" s="33">
        <f>ROUND(IF(IF($B195="高三",MIN(IF($E195="男",$Q195-3.2,$Q195-3.2),0),IF($B195="高二",MIN(IF($E195="男",$Q195-3.25,$Q195-3.22),0),IF($B195="高一",MIN(IF($E195="男",$Q195-3.3,$Q195-3.24),0))))&lt;-0.6,IF($B195="高三",MIN(IF($E195="男",$Q195-3.2,$Q195-3.2),0),IF($B195="高二",MIN(IF($E195="男",$Q195-3.25,$Q195-3.22),0),IF($B195="高一",MIN(IF($E195="男",$Q195-3.3,$Q195-3.24),0))))+0.4,IF($B195="高三",MIN(IF($E195="男",$Q195-3.2,$Q195-3.2),0),IF($B195="高二",MIN(IF($E195="男",$Q195-3.25,$Q195-3.22),0),IF($B195="高一",MIN(IF($E195="男",$Q195-3.3,$Q195-3.24),0))))),2)</f>
        <v>0</v>
      </c>
      <c r="T195" s="23">
        <f>IF(E195="男",LOOKUP($S195,[1]对照表!$AB$3:$AB$13,[1]对照表!$AC$3:$AC$13),LOOKUP($S195,[1]对照表!$AB$15:$AB$25,[1]对照表!$AC$15:$AC$25))</f>
        <v>0</v>
      </c>
      <c r="U195" s="26">
        <f>R195+T195</f>
        <v>90</v>
      </c>
      <c r="V195" s="26">
        <f>SUM(I195,K195,M195)/3*0.3+SUM(G195,R195)/2*0.4</f>
        <v>59.800000000000004</v>
      </c>
      <c r="W195" s="27">
        <f>O195+T195</f>
        <v>0</v>
      </c>
      <c r="X195" s="28">
        <f>V195/0.7+W195</f>
        <v>85.428571428571445</v>
      </c>
      <c r="Y195" s="28">
        <f>X195</f>
        <v>85.428571428571445</v>
      </c>
      <c r="Z195" s="38"/>
    </row>
    <row r="196" spans="1:26" ht="15.6" x14ac:dyDescent="0.25">
      <c r="A196" s="48">
        <v>25</v>
      </c>
      <c r="B196" s="17" t="s">
        <v>767</v>
      </c>
      <c r="C196" s="48">
        <v>204</v>
      </c>
      <c r="D196" s="49" t="s">
        <v>948</v>
      </c>
      <c r="E196" s="48" t="s">
        <v>65</v>
      </c>
      <c r="F196" s="50">
        <v>8.7100000000000009</v>
      </c>
      <c r="G196" s="32">
        <f>IF(B196="高三",IF($E196="男",LOOKUP(F196,[1]对照表!$G$3:$G$24,[1]对照表!$H$3:$H$24),LOOKUP(F196,[1]对照表!$G$27:$G$48,[1]对照表!$H$27:$H$48)),IF(B196="高二",IF($E196="男",LOOKUP(F196,[1]对照表!$F$3:$F$24,[1]对照表!$H$3:$H$24),LOOKUP(F196,[1]对照表!$F$27:$F$48,[1]对照表!$H$27:$H$48)),IF(B196="高一",IF($E196="男",LOOKUP(F196,[1]对照表!$E$3:$E$24,[1]对照表!$H$3:$H$24),LOOKUP(F196,[1]对照表!$E$27:$E$48,[1]对照表!$H$27:$H$48)))))</f>
        <v>76</v>
      </c>
      <c r="H196" s="38">
        <v>22</v>
      </c>
      <c r="I196" s="32">
        <f>IF(B196="高三",IF($E196="男",LOOKUP(H196,[1]对照表!$K$3:$K$24,[1]对照表!$L$3:$L$24),LOOKUP(H196,[1]对照表!$K$27:$K$48,[1]对照表!$L$27:$L$48)),IF(B196="高二",IF($E196="男",LOOKUP(H196,[1]对照表!$J$3:$J$24,[1]对照表!$L$3:$L$24),LOOKUP(H196,[1]对照表!$J$27:$J$48,[1]对照表!$L$27:$L$48)),IF(B196="高一",IF($E196="男",LOOKUP(H196,[1]对照表!$I$3:$I$24,[1]对照表!$L$3:$L$24),LOOKUP(H196,[1]对照表!$I$27:$I$48,[1]对照表!$L$27:$L$48)))))</f>
        <v>90</v>
      </c>
      <c r="J196" s="38">
        <v>190</v>
      </c>
      <c r="K196" s="32">
        <f>IF(B196="高三",IF($E196="男",LOOKUP(J196,[1]对照表!$O$3:$O$24,[1]对照表!$P$3:$P$24),LOOKUP(J196,[1]对照表!$O$27:$O$48,[1]对照表!$P$27:$P$48)),IF(B196="高二",IF($E196="男",LOOKUP(J196,[1]对照表!$N$3:$N$24,[1]对照表!$P$3:$P$24),LOOKUP(J196,[1]对照表!$N$27:$N$48,[1]对照表!$P$27:$P$48)),IF(B196="高一",IF($E196="男",LOOKUP(J196,[1]对照表!$M$3:$M$24,[1]对照表!$P$3:$P$24),LOOKUP(J196,[1]对照表!$M$27:$M$48,[1]对照表!$P$27:$P$48)))))</f>
        <v>85</v>
      </c>
      <c r="L196" s="38">
        <v>58</v>
      </c>
      <c r="M196" s="32">
        <f>IF(B196="高三",IF($E196="男",LOOKUP(L196,[1]对照表!$S$3:$S$24,[1]对照表!$T$3:$T$24),LOOKUP(L196,[1]对照表!$S$27:$S$48,[1]对照表!$T$27:$T$48)),IF(B196="高二",IF($E196="男",LOOKUP(L196,[1]对照表!$R$3:$R$24,[1]对照表!$T$3:$T$24),LOOKUP(L196,[1]对照表!$R$27:$R$48,[1]对照表!$T$27:$T$48)),IF(B196="高一",IF($E196="男",LOOKUP(L196,[1]对照表!$Q$3:$Q$24,[1]对照表!$T$3:$T$24),LOOKUP(L196,[1]对照表!$Q$27:$Q$48,[1]对照表!$T$27:$T$48)))))</f>
        <v>100</v>
      </c>
      <c r="N196" s="33">
        <f>IF(B196="高三",MAX(IF(E196="男",L196-18,L196-55),0),IF(B196="高二",MAX(IF(E196="男",L196-17,L196-54),0),IF(B196="高一",MAX(IF(E196="男",L196-16,L196-53),0))))</f>
        <v>4</v>
      </c>
      <c r="O196" s="23">
        <f>IF(E196="男",LOOKUP($N196,[1]对照表!$Z$3:$Z$13,[1]对照表!$AA$3:$AA$13),LOOKUP($N196,[1]对照表!$Z$15:$Z$25,[1]对照表!$AA$15:$AA$25))</f>
        <v>2</v>
      </c>
      <c r="P196" s="25">
        <f>M196+O196</f>
        <v>102</v>
      </c>
      <c r="Q196" s="50">
        <v>3.58</v>
      </c>
      <c r="R196" s="32">
        <f>IF(B196="高三",IF($E196="男",LOOKUP(Q196,[1]对照表!$W$3:$W$24,[1]对照表!$X$3:$X$24),LOOKUP(Q196,[1]对照表!$W$27:$W$48,[1]对照表!$X$27:$X$48)),IF(B196="高二",IF($E196="男",LOOKUP(Q196,[1]对照表!$V$3:$V$24,[1]对照表!$X$3:$X$24),LOOKUP(Q196,[1]对照表!$V$27:$V$48,[1]对照表!$X$27:$X$48)),IF(B196="高一",IF($E196="男",LOOKUP(Q196,[1]对照表!$U$3:$U$24,[1]对照表!$X$3:$X$24),LOOKUP(Q196,[1]对照表!$U$27:$U$48,[1]对照表!$X$27:$X$48)))))</f>
        <v>76</v>
      </c>
      <c r="S196" s="33">
        <f>ROUND(IF(IF($B196="高三",MIN(IF($E196="男",$Q196-3.2,$Q196-3.2),0),IF($B196="高二",MIN(IF($E196="男",$Q196-3.25,$Q196-3.22),0),IF($B196="高一",MIN(IF($E196="男",$Q196-3.3,$Q196-3.24),0))))&lt;-0.6,IF($B196="高三",MIN(IF($E196="男",$Q196-3.2,$Q196-3.2),0),IF($B196="高二",MIN(IF($E196="男",$Q196-3.25,$Q196-3.22),0),IF($B196="高一",MIN(IF($E196="男",$Q196-3.3,$Q196-3.24),0))))+0.4,IF($B196="高三",MIN(IF($E196="男",$Q196-3.2,$Q196-3.2),0),IF($B196="高二",MIN(IF($E196="男",$Q196-3.25,$Q196-3.22),0),IF($B196="高一",MIN(IF($E196="男",$Q196-3.3,$Q196-3.24),0))))),2)</f>
        <v>0</v>
      </c>
      <c r="T196" s="23">
        <f>IF(E196="男",LOOKUP($S196,[1]对照表!$AB$3:$AB$13,[1]对照表!$AC$3:$AC$13),LOOKUP($S196,[1]对照表!$AB$15:$AB$25,[1]对照表!$AC$15:$AC$25))</f>
        <v>0</v>
      </c>
      <c r="U196" s="26">
        <f>R196+T196</f>
        <v>76</v>
      </c>
      <c r="V196" s="26">
        <f>SUM(I196,K196,M196)/3*0.3+SUM(G196,R196)/2*0.4</f>
        <v>57.900000000000006</v>
      </c>
      <c r="W196" s="27">
        <f>O196+T196</f>
        <v>2</v>
      </c>
      <c r="X196" s="28">
        <f>V196/0.7+W196</f>
        <v>84.714285714285722</v>
      </c>
      <c r="Y196" s="28">
        <f>X196</f>
        <v>84.714285714285722</v>
      </c>
      <c r="Z196" s="38"/>
    </row>
    <row r="197" spans="1:26" ht="15.6" customHeight="1" x14ac:dyDescent="0.25">
      <c r="A197" s="48">
        <v>55</v>
      </c>
      <c r="B197" s="17" t="s">
        <v>767</v>
      </c>
      <c r="C197" s="48">
        <v>204</v>
      </c>
      <c r="D197" s="49" t="s">
        <v>955</v>
      </c>
      <c r="E197" s="48" t="s">
        <v>65</v>
      </c>
      <c r="F197" s="50">
        <v>8.6</v>
      </c>
      <c r="G197" s="32">
        <f>IF(B197="高三",IF($E197="男",LOOKUP(F197,[1]对照表!$G$3:$G$24,[1]对照表!$H$3:$H$24),LOOKUP(F197,[1]对照表!$G$27:$G$48,[1]对照表!$H$27:$H$48)),IF(B197="高二",IF($E197="男",LOOKUP(F197,[1]对照表!$F$3:$F$24,[1]对照表!$H$3:$H$24),LOOKUP(F197,[1]对照表!$F$27:$F$48,[1]对照表!$H$27:$H$48)),IF(B197="高一",IF($E197="男",LOOKUP(F197,[1]对照表!$E$3:$E$24,[1]对照表!$H$3:$H$24),LOOKUP(F197,[1]对照表!$E$27:$E$48,[1]对照表!$H$27:$H$48)))))</f>
        <v>78</v>
      </c>
      <c r="H197" s="38">
        <v>22.5</v>
      </c>
      <c r="I197" s="32">
        <f>IF(B197="高三",IF($E197="男",LOOKUP(H197,[1]对照表!$K$3:$K$24,[1]对照表!$L$3:$L$24),LOOKUP(H197,[1]对照表!$K$27:$K$48,[1]对照表!$L$27:$L$48)),IF(B197="高二",IF($E197="男",LOOKUP(H197,[1]对照表!$J$3:$J$24,[1]对照表!$L$3:$L$24),LOOKUP(H197,[1]对照表!$J$27:$J$48,[1]对照表!$L$27:$L$48)),IF(B197="高一",IF($E197="男",LOOKUP(H197,[1]对照表!$I$3:$I$24,[1]对照表!$L$3:$L$24),LOOKUP(H197,[1]对照表!$I$27:$I$48,[1]对照表!$L$27:$L$48)))))</f>
        <v>90</v>
      </c>
      <c r="J197" s="38">
        <v>195</v>
      </c>
      <c r="K197" s="32">
        <f>IF(B197="高三",IF($E197="男",LOOKUP(J197,[1]对照表!$O$3:$O$24,[1]对照表!$P$3:$P$24),LOOKUP(J197,[1]对照表!$O$27:$O$48,[1]对照表!$P$27:$P$48)),IF(B197="高二",IF($E197="男",LOOKUP(J197,[1]对照表!$N$3:$N$24,[1]对照表!$P$3:$P$24),LOOKUP(J197,[1]对照表!$N$27:$N$48,[1]对照表!$P$27:$P$48)),IF(B197="高一",IF($E197="男",LOOKUP(J197,[1]对照表!$M$3:$M$24,[1]对照表!$P$3:$P$24),LOOKUP(J197,[1]对照表!$M$27:$M$48,[1]对照表!$P$27:$P$48)))))</f>
        <v>90</v>
      </c>
      <c r="L197" s="38">
        <v>49</v>
      </c>
      <c r="M197" s="32">
        <f>IF(B197="高三",IF($E197="男",LOOKUP(L197,[1]对照表!$S$3:$S$24,[1]对照表!$T$3:$T$24),LOOKUP(L197,[1]对照表!$S$27:$S$48,[1]对照表!$T$27:$T$48)),IF(B197="高二",IF($E197="男",LOOKUP(L197,[1]对照表!$R$3:$R$24,[1]对照表!$T$3:$T$24),LOOKUP(L197,[1]对照表!$R$27:$R$48,[1]对照表!$T$27:$T$48)),IF(B197="高一",IF($E197="男",LOOKUP(L197,[1]对照表!$Q$3:$Q$24,[1]对照表!$T$3:$T$24),LOOKUP(L197,[1]对照表!$Q$27:$Q$48,[1]对照表!$T$27:$T$48)))))</f>
        <v>85</v>
      </c>
      <c r="N197" s="33">
        <f>IF(B197="高三",MAX(IF(E197="男",L197-18,L197-55),0),IF(B197="高二",MAX(IF(E197="男",L197-17,L197-54),0),IF(B197="高一",MAX(IF(E197="男",L197-16,L197-53),0))))</f>
        <v>0</v>
      </c>
      <c r="O197" s="23">
        <f>IF(E197="男",LOOKUP($N197,[1]对照表!$Z$3:$Z$13,[1]对照表!$AA$3:$AA$13),LOOKUP($N197,[1]对照表!$Z$15:$Z$25,[1]对照表!$AA$15:$AA$25))</f>
        <v>0</v>
      </c>
      <c r="P197" s="25">
        <f>M197+O197</f>
        <v>85</v>
      </c>
      <c r="Q197" s="50">
        <v>3.4</v>
      </c>
      <c r="R197" s="32">
        <f>IF(B197="高三",IF($E197="男",LOOKUP(Q197,[1]对照表!$W$3:$W$24,[1]对照表!$X$3:$X$24),LOOKUP(Q197,[1]对照表!$W$27:$W$48,[1]对照表!$X$27:$X$48)),IF(B197="高二",IF($E197="男",LOOKUP(Q197,[1]对照表!$V$3:$V$24,[1]对照表!$X$3:$X$24),LOOKUP(Q197,[1]对照表!$V$27:$V$48,[1]对照表!$X$27:$X$48)),IF(B197="高一",IF($E197="男",LOOKUP(Q197,[1]对照表!$U$3:$U$24,[1]对照表!$X$3:$X$24),LOOKUP(Q197,[1]对照表!$U$27:$U$48,[1]对照表!$X$27:$X$48)))))</f>
        <v>85</v>
      </c>
      <c r="S197" s="33">
        <f>ROUND(IF(IF($B197="高三",MIN(IF($E197="男",$Q197-3.2,$Q197-3.2),0),IF($B197="高二",MIN(IF($E197="男",$Q197-3.25,$Q197-3.22),0),IF($B197="高一",MIN(IF($E197="男",$Q197-3.3,$Q197-3.24),0))))&lt;-0.6,IF($B197="高三",MIN(IF($E197="男",$Q197-3.2,$Q197-3.2),0),IF($B197="高二",MIN(IF($E197="男",$Q197-3.25,$Q197-3.22),0),IF($B197="高一",MIN(IF($E197="男",$Q197-3.3,$Q197-3.24),0))))+0.4,IF($B197="高三",MIN(IF($E197="男",$Q197-3.2,$Q197-3.2),0),IF($B197="高二",MIN(IF($E197="男",$Q197-3.25,$Q197-3.22),0),IF($B197="高一",MIN(IF($E197="男",$Q197-3.3,$Q197-3.24),0))))),2)</f>
        <v>0</v>
      </c>
      <c r="T197" s="23">
        <f>IF(E197="男",LOOKUP($S197,[1]对照表!$AB$3:$AB$13,[1]对照表!$AC$3:$AC$13),LOOKUP($S197,[1]对照表!$AB$15:$AB$25,[1]对照表!$AC$15:$AC$25))</f>
        <v>0</v>
      </c>
      <c r="U197" s="26">
        <f>R197+T197</f>
        <v>85</v>
      </c>
      <c r="V197" s="26">
        <f>SUM(I197,K197,M197)/3*0.3+SUM(G197,R197)/2*0.4</f>
        <v>59.099999999999994</v>
      </c>
      <c r="W197" s="27">
        <f>O197+T197</f>
        <v>0</v>
      </c>
      <c r="X197" s="28">
        <f>V197/0.7+W197</f>
        <v>84.428571428571431</v>
      </c>
      <c r="Y197" s="28">
        <f>X197</f>
        <v>84.428571428571431</v>
      </c>
      <c r="Z197" s="38"/>
    </row>
    <row r="198" spans="1:26" ht="15.6" customHeight="1" x14ac:dyDescent="0.25">
      <c r="A198" s="48">
        <v>28</v>
      </c>
      <c r="B198" s="17" t="s">
        <v>767</v>
      </c>
      <c r="C198" s="48">
        <v>204</v>
      </c>
      <c r="D198" s="49" t="s">
        <v>957</v>
      </c>
      <c r="E198" s="48" t="s">
        <v>65</v>
      </c>
      <c r="F198" s="50">
        <v>8.9700000000000006</v>
      </c>
      <c r="G198" s="32">
        <f>IF(B198="高三",IF($E198="男",LOOKUP(F198,[1]对照表!$G$3:$G$24,[1]对照表!$H$3:$H$24),LOOKUP(F198,[1]对照表!$G$27:$G$48,[1]对照表!$H$27:$H$48)),IF(B198="高二",IF($E198="男",LOOKUP(F198,[1]对照表!$F$3:$F$24,[1]对照表!$H$3:$H$24),LOOKUP(F198,[1]对照表!$F$27:$F$48,[1]对照表!$H$27:$H$48)),IF(B198="高一",IF($E198="男",LOOKUP(F198,[1]对照表!$E$3:$E$24,[1]对照表!$H$3:$H$24),LOOKUP(F198,[1]对照表!$E$27:$E$48,[1]对照表!$H$27:$H$48)))))</f>
        <v>74</v>
      </c>
      <c r="H198" s="38">
        <v>11.5</v>
      </c>
      <c r="I198" s="32">
        <f>IF(B198="高三",IF($E198="男",LOOKUP(H198,[1]对照表!$K$3:$K$24,[1]对照表!$L$3:$L$24),LOOKUP(H198,[1]对照表!$K$27:$K$48,[1]对照表!$L$27:$L$48)),IF(B198="高二",IF($E198="男",LOOKUP(H198,[1]对照表!$J$3:$J$24,[1]对照表!$L$3:$L$24),LOOKUP(H198,[1]对照表!$J$27:$J$48,[1]对照表!$L$27:$L$48)),IF(B198="高一",IF($E198="男",LOOKUP(H198,[1]对照表!$I$3:$I$24,[1]对照表!$L$3:$L$24),LOOKUP(H198,[1]对照表!$I$27:$I$48,[1]对照表!$L$27:$L$48)))))</f>
        <v>70</v>
      </c>
      <c r="J198" s="38">
        <v>177</v>
      </c>
      <c r="K198" s="32">
        <f>IF(B198="高三",IF($E198="男",LOOKUP(J198,[1]对照表!$O$3:$O$24,[1]对照表!$P$3:$P$24),LOOKUP(J198,[1]对照表!$O$27:$O$48,[1]对照表!$P$27:$P$48)),IF(B198="高二",IF($E198="男",LOOKUP(J198,[1]对照表!$N$3:$N$24,[1]对照表!$P$3:$P$24),LOOKUP(J198,[1]对照表!$N$27:$N$48,[1]对照表!$P$27:$P$48)),IF(B198="高一",IF($E198="男",LOOKUP(J198,[1]对照表!$M$3:$M$24,[1]对照表!$P$3:$P$24),LOOKUP(J198,[1]对照表!$M$27:$M$48,[1]对照表!$P$27:$P$48)))))</f>
        <v>78</v>
      </c>
      <c r="L198" s="38">
        <v>58</v>
      </c>
      <c r="M198" s="32">
        <f>IF(B198="高三",IF($E198="男",LOOKUP(L198,[1]对照表!$S$3:$S$24,[1]对照表!$T$3:$T$24),LOOKUP(L198,[1]对照表!$S$27:$S$48,[1]对照表!$T$27:$T$48)),IF(B198="高二",IF($E198="男",LOOKUP(L198,[1]对照表!$R$3:$R$24,[1]对照表!$T$3:$T$24),LOOKUP(L198,[1]对照表!$R$27:$R$48,[1]对照表!$T$27:$T$48)),IF(B198="高一",IF($E198="男",LOOKUP(L198,[1]对照表!$Q$3:$Q$24,[1]对照表!$T$3:$T$24),LOOKUP(L198,[1]对照表!$Q$27:$Q$48,[1]对照表!$T$27:$T$48)))))</f>
        <v>100</v>
      </c>
      <c r="N198" s="33">
        <f>IF(B198="高三",MAX(IF(E198="男",L198-18,L198-55),0),IF(B198="高二",MAX(IF(E198="男",L198-17,L198-54),0),IF(B198="高一",MAX(IF(E198="男",L198-16,L198-53),0))))</f>
        <v>4</v>
      </c>
      <c r="O198" s="23">
        <f>IF(E198="男",LOOKUP($N198,[1]对照表!$Z$3:$Z$13,[1]对照表!$AA$3:$AA$13),LOOKUP($N198,[1]对照表!$Z$15:$Z$25,[1]对照表!$AA$15:$AA$25))</f>
        <v>2</v>
      </c>
      <c r="P198" s="25">
        <f>M198+O198</f>
        <v>102</v>
      </c>
      <c r="Q198" s="50">
        <v>3.33</v>
      </c>
      <c r="R198" s="32">
        <f>IF(B198="高三",IF($E198="男",LOOKUP(Q198,[1]对照表!$W$3:$W$24,[1]对照表!$X$3:$X$24),LOOKUP(Q198,[1]对照表!$W$27:$W$48,[1]对照表!$X$27:$X$48)),IF(B198="高二",IF($E198="男",LOOKUP(Q198,[1]对照表!$V$3:$V$24,[1]对照表!$X$3:$X$24),LOOKUP(Q198,[1]对照表!$V$27:$V$48,[1]对照表!$X$27:$X$48)),IF(B198="高一",IF($E198="男",LOOKUP(Q198,[1]对照表!$U$3:$U$24,[1]对照表!$X$3:$X$24),LOOKUP(Q198,[1]对照表!$U$27:$U$48,[1]对照表!$X$27:$X$48)))))</f>
        <v>90</v>
      </c>
      <c r="S198" s="33">
        <f>ROUND(IF(IF($B198="高三",MIN(IF($E198="男",$Q198-3.2,$Q198-3.2),0),IF($B198="高二",MIN(IF($E198="男",$Q198-3.25,$Q198-3.22),0),IF($B198="高一",MIN(IF($E198="男",$Q198-3.3,$Q198-3.24),0))))&lt;-0.6,IF($B198="高三",MIN(IF($E198="男",$Q198-3.2,$Q198-3.2),0),IF($B198="高二",MIN(IF($E198="男",$Q198-3.25,$Q198-3.22),0),IF($B198="高一",MIN(IF($E198="男",$Q198-3.3,$Q198-3.24),0))))+0.4,IF($B198="高三",MIN(IF($E198="男",$Q198-3.2,$Q198-3.2),0),IF($B198="高二",MIN(IF($E198="男",$Q198-3.25,$Q198-3.22),0),IF($B198="高一",MIN(IF($E198="男",$Q198-3.3,$Q198-3.24),0))))),2)</f>
        <v>0</v>
      </c>
      <c r="T198" s="23">
        <f>IF(E198="男",LOOKUP($S198,[1]对照表!$AB$3:$AB$13,[1]对照表!$AC$3:$AC$13),LOOKUP($S198,[1]对照表!$AB$15:$AB$25,[1]对照表!$AC$15:$AC$25))</f>
        <v>0</v>
      </c>
      <c r="U198" s="26">
        <f>R198+T198</f>
        <v>90</v>
      </c>
      <c r="V198" s="26">
        <f>SUM(I198,K198,M198)/3*0.3+SUM(G198,R198)/2*0.4</f>
        <v>57.600000000000009</v>
      </c>
      <c r="W198" s="27">
        <f>O198+T198</f>
        <v>2</v>
      </c>
      <c r="X198" s="28">
        <f>V198/0.7+W198</f>
        <v>84.285714285714306</v>
      </c>
      <c r="Y198" s="28">
        <f>X198</f>
        <v>84.285714285714306</v>
      </c>
      <c r="Z198" s="38"/>
    </row>
    <row r="199" spans="1:26" ht="15.6" x14ac:dyDescent="0.25">
      <c r="A199" s="48">
        <v>45</v>
      </c>
      <c r="B199" s="17" t="s">
        <v>767</v>
      </c>
      <c r="C199" s="48">
        <v>204</v>
      </c>
      <c r="D199" s="49" t="s">
        <v>963</v>
      </c>
      <c r="E199" s="48" t="s">
        <v>65</v>
      </c>
      <c r="F199" s="50">
        <v>8.68</v>
      </c>
      <c r="G199" s="32">
        <f>IF(B199="高三",IF($E199="男",LOOKUP(F199,[1]对照表!$G$3:$G$24,[1]对照表!$H$3:$H$24),LOOKUP(F199,[1]对照表!$G$27:$G$48,[1]对照表!$H$27:$H$48)),IF(B199="高二",IF($E199="男",LOOKUP(F199,[1]对照表!$F$3:$F$24,[1]对照表!$H$3:$H$24),LOOKUP(F199,[1]对照表!$F$27:$F$48,[1]对照表!$H$27:$H$48)),IF(B199="高一",IF($E199="男",LOOKUP(F199,[1]对照表!$E$3:$E$24,[1]对照表!$H$3:$H$24),LOOKUP(F199,[1]对照表!$E$27:$E$48,[1]对照表!$H$27:$H$48)))))</f>
        <v>78</v>
      </c>
      <c r="H199" s="38">
        <v>23.5</v>
      </c>
      <c r="I199" s="32">
        <f>IF(B199="高三",IF($E199="男",LOOKUP(H199,[1]对照表!$K$3:$K$24,[1]对照表!$L$3:$L$24),LOOKUP(H199,[1]对照表!$K$27:$K$48,[1]对照表!$L$27:$L$48)),IF(B199="高二",IF($E199="男",LOOKUP(H199,[1]对照表!$J$3:$J$24,[1]对照表!$L$3:$L$24),LOOKUP(H199,[1]对照表!$J$27:$J$48,[1]对照表!$L$27:$L$48)),IF(B199="高一",IF($E199="男",LOOKUP(H199,[1]对照表!$I$3:$I$24,[1]对照表!$L$3:$L$24),LOOKUP(H199,[1]对照表!$I$27:$I$48,[1]对照表!$L$27:$L$48)))))</f>
        <v>95</v>
      </c>
      <c r="J199" s="38">
        <v>181</v>
      </c>
      <c r="K199" s="32">
        <f>IF(B199="高三",IF($E199="男",LOOKUP(J199,[1]对照表!$O$3:$O$24,[1]对照表!$P$3:$P$24),LOOKUP(J199,[1]对照表!$O$27:$O$48,[1]对照表!$P$27:$P$48)),IF(B199="高二",IF($E199="男",LOOKUP(J199,[1]对照表!$N$3:$N$24,[1]对照表!$P$3:$P$24),LOOKUP(J199,[1]对照表!$N$27:$N$48,[1]对照表!$P$27:$P$48)),IF(B199="高一",IF($E199="男",LOOKUP(J199,[1]对照表!$M$3:$M$24,[1]对照表!$P$3:$P$24),LOOKUP(J199,[1]对照表!$M$27:$M$48,[1]对照表!$P$27:$P$48)))))</f>
        <v>80</v>
      </c>
      <c r="L199" s="38">
        <v>57</v>
      </c>
      <c r="M199" s="32">
        <f>IF(B199="高三",IF($E199="男",LOOKUP(L199,[1]对照表!$S$3:$S$24,[1]对照表!$T$3:$T$24),LOOKUP(L199,[1]对照表!$S$27:$S$48,[1]对照表!$T$27:$T$48)),IF(B199="高二",IF($E199="男",LOOKUP(L199,[1]对照表!$R$3:$R$24,[1]对照表!$T$3:$T$24),LOOKUP(L199,[1]对照表!$R$27:$R$48,[1]对照表!$T$27:$T$48)),IF(B199="高一",IF($E199="男",LOOKUP(L199,[1]对照表!$Q$3:$Q$24,[1]对照表!$T$3:$T$24),LOOKUP(L199,[1]对照表!$Q$27:$Q$48,[1]对照表!$T$27:$T$48)))))</f>
        <v>100</v>
      </c>
      <c r="N199" s="33">
        <f>IF(B199="高三",MAX(IF(E199="男",L199-18,L199-55),0),IF(B199="高二",MAX(IF(E199="男",L199-17,L199-54),0),IF(B199="高一",MAX(IF(E199="男",L199-16,L199-53),0))))</f>
        <v>3</v>
      </c>
      <c r="O199" s="23">
        <f>IF(E199="男",LOOKUP($N199,[1]对照表!$Z$3:$Z$13,[1]对照表!$AA$3:$AA$13),LOOKUP($N199,[1]对照表!$Z$15:$Z$25,[1]对照表!$AA$15:$AA$25))</f>
        <v>1</v>
      </c>
      <c r="P199" s="25">
        <f>M199+O199</f>
        <v>101</v>
      </c>
      <c r="Q199" s="50">
        <v>3.58</v>
      </c>
      <c r="R199" s="32">
        <f>IF(B199="高三",IF($E199="男",LOOKUP(Q199,[1]对照表!$W$3:$W$24,[1]对照表!$X$3:$X$24),LOOKUP(Q199,[1]对照表!$W$27:$W$48,[1]对照表!$X$27:$X$48)),IF(B199="高二",IF($E199="男",LOOKUP(Q199,[1]对照表!$V$3:$V$24,[1]对照表!$X$3:$X$24),LOOKUP(Q199,[1]对照表!$V$27:$V$48,[1]对照表!$X$27:$X$48)),IF(B199="高一",IF($E199="男",LOOKUP(Q199,[1]对照表!$U$3:$U$24,[1]对照表!$X$3:$X$24),LOOKUP(Q199,[1]对照表!$U$27:$U$48,[1]对照表!$X$27:$X$48)))))</f>
        <v>76</v>
      </c>
      <c r="S199" s="33">
        <f>ROUND(IF(IF($B199="高三",MIN(IF($E199="男",$Q199-3.2,$Q199-3.2),0),IF($B199="高二",MIN(IF($E199="男",$Q199-3.25,$Q199-3.22),0),IF($B199="高一",MIN(IF($E199="男",$Q199-3.3,$Q199-3.24),0))))&lt;-0.6,IF($B199="高三",MIN(IF($E199="男",$Q199-3.2,$Q199-3.2),0),IF($B199="高二",MIN(IF($E199="男",$Q199-3.25,$Q199-3.22),0),IF($B199="高一",MIN(IF($E199="男",$Q199-3.3,$Q199-3.24),0))))+0.4,IF($B199="高三",MIN(IF($E199="男",$Q199-3.2,$Q199-3.2),0),IF($B199="高二",MIN(IF($E199="男",$Q199-3.25,$Q199-3.22),0),IF($B199="高一",MIN(IF($E199="男",$Q199-3.3,$Q199-3.24),0))))),2)</f>
        <v>0</v>
      </c>
      <c r="T199" s="23">
        <f>IF(E199="男",LOOKUP($S199,[1]对照表!$AB$3:$AB$13,[1]对照表!$AC$3:$AC$13),LOOKUP($S199,[1]对照表!$AB$15:$AB$25,[1]对照表!$AC$15:$AC$25))</f>
        <v>0</v>
      </c>
      <c r="U199" s="26">
        <f>R199+T199</f>
        <v>76</v>
      </c>
      <c r="V199" s="26">
        <f>SUM(I199,K199,M199)/3*0.3+SUM(G199,R199)/2*0.4</f>
        <v>58.3</v>
      </c>
      <c r="W199" s="27">
        <f>O199+T199</f>
        <v>1</v>
      </c>
      <c r="X199" s="28">
        <f>V199/0.7+W199</f>
        <v>84.285714285714292</v>
      </c>
      <c r="Y199" s="28">
        <f>X199</f>
        <v>84.285714285714292</v>
      </c>
      <c r="Z199" s="38"/>
    </row>
    <row r="200" spans="1:26" ht="15.6" x14ac:dyDescent="0.25">
      <c r="A200" s="48">
        <v>37</v>
      </c>
      <c r="B200" s="17" t="s">
        <v>767</v>
      </c>
      <c r="C200" s="48">
        <v>204</v>
      </c>
      <c r="D200" s="49" t="s">
        <v>976</v>
      </c>
      <c r="E200" s="48" t="s">
        <v>65</v>
      </c>
      <c r="F200" s="50">
        <v>8.4600000000000009</v>
      </c>
      <c r="G200" s="32">
        <f>IF(B200="高三",IF($E200="男",LOOKUP(F200,[1]对照表!$G$3:$G$24,[1]对照表!$H$3:$H$24),LOOKUP(F200,[1]对照表!$G$27:$G$48,[1]对照表!$H$27:$H$48)),IF(B200="高二",IF($E200="男",LOOKUP(F200,[1]对照表!$F$3:$F$24,[1]对照表!$H$3:$H$24),LOOKUP(F200,[1]对照表!$F$27:$F$48,[1]对照表!$H$27:$H$48)),IF(B200="高一",IF($E200="男",LOOKUP(F200,[1]对照表!$E$3:$E$24,[1]对照表!$H$3:$H$24),LOOKUP(F200,[1]对照表!$E$27:$E$48,[1]对照表!$H$27:$H$48)))))</f>
        <v>80</v>
      </c>
      <c r="H200" s="38">
        <v>15.5</v>
      </c>
      <c r="I200" s="32">
        <f>IF(B200="高三",IF($E200="男",LOOKUP(H200,[1]对照表!$K$3:$K$24,[1]对照表!$L$3:$L$24),LOOKUP(H200,[1]对照表!$K$27:$K$48,[1]对照表!$L$27:$L$48)),IF(B200="高二",IF($E200="男",LOOKUP(H200,[1]对照表!$J$3:$J$24,[1]对照表!$L$3:$L$24),LOOKUP(H200,[1]对照表!$J$27:$J$48,[1]对照表!$L$27:$L$48)),IF(B200="高一",IF($E200="男",LOOKUP(H200,[1]对照表!$I$3:$I$24,[1]对照表!$L$3:$L$24),LOOKUP(H200,[1]对照表!$I$27:$I$48,[1]对照表!$L$27:$L$48)))))</f>
        <v>76</v>
      </c>
      <c r="J200" s="38">
        <v>182</v>
      </c>
      <c r="K200" s="32">
        <f>IF(B200="高三",IF($E200="男",LOOKUP(J200,[1]对照表!$O$3:$O$24,[1]对照表!$P$3:$P$24),LOOKUP(J200,[1]对照表!$O$27:$O$48,[1]对照表!$P$27:$P$48)),IF(B200="高二",IF($E200="男",LOOKUP(J200,[1]对照表!$N$3:$N$24,[1]对照表!$P$3:$P$24),LOOKUP(J200,[1]对照表!$N$27:$N$48,[1]对照表!$P$27:$P$48)),IF(B200="高一",IF($E200="男",LOOKUP(J200,[1]对照表!$M$3:$M$24,[1]对照表!$P$3:$P$24),LOOKUP(J200,[1]对照表!$M$27:$M$48,[1]对照表!$P$27:$P$48)))))</f>
        <v>80</v>
      </c>
      <c r="L200" s="38">
        <v>54</v>
      </c>
      <c r="M200" s="32">
        <f>IF(B200="高三",IF($E200="男",LOOKUP(L200,[1]对照表!$S$3:$S$24,[1]对照表!$T$3:$T$24),LOOKUP(L200,[1]对照表!$S$27:$S$48,[1]对照表!$T$27:$T$48)),IF(B200="高二",IF($E200="男",LOOKUP(L200,[1]对照表!$R$3:$R$24,[1]对照表!$T$3:$T$24),LOOKUP(L200,[1]对照表!$R$27:$R$48,[1]对照表!$T$27:$T$48)),IF(B200="高一",IF($E200="男",LOOKUP(L200,[1]对照表!$Q$3:$Q$24,[1]对照表!$T$3:$T$24),LOOKUP(L200,[1]对照表!$Q$27:$Q$48,[1]对照表!$T$27:$T$48)))))</f>
        <v>100</v>
      </c>
      <c r="N200" s="33">
        <f>IF(B200="高三",MAX(IF(E200="男",L200-18,L200-55),0),IF(B200="高二",MAX(IF(E200="男",L200-17,L200-54),0),IF(B200="高一",MAX(IF(E200="男",L200-16,L200-53),0))))</f>
        <v>0</v>
      </c>
      <c r="O200" s="23">
        <f>IF(E200="男",LOOKUP($N200,[1]对照表!$Z$3:$Z$13,[1]对照表!$AA$3:$AA$13),LOOKUP($N200,[1]对照表!$Z$15:$Z$25,[1]对照表!$AA$15:$AA$25))</f>
        <v>0</v>
      </c>
      <c r="P200" s="25">
        <f>M200+O200</f>
        <v>100</v>
      </c>
      <c r="Q200" s="50">
        <v>3.37</v>
      </c>
      <c r="R200" s="32">
        <f>IF(B200="高三",IF($E200="男",LOOKUP(Q200,[1]对照表!$W$3:$W$24,[1]对照表!$X$3:$X$24),LOOKUP(Q200,[1]对照表!$W$27:$W$48,[1]对照表!$X$27:$X$48)),IF(B200="高二",IF($E200="男",LOOKUP(Q200,[1]对照表!$V$3:$V$24,[1]对照表!$X$3:$X$24),LOOKUP(Q200,[1]对照表!$V$27:$V$48,[1]对照表!$X$27:$X$48)),IF(B200="高一",IF($E200="男",LOOKUP(Q200,[1]对照表!$U$3:$U$24,[1]对照表!$X$3:$X$24),LOOKUP(Q200,[1]对照表!$U$27:$U$48,[1]对照表!$X$27:$X$48)))))</f>
        <v>85</v>
      </c>
      <c r="S200" s="33">
        <f>ROUND(IF(IF($B200="高三",MIN(IF($E200="男",$Q200-3.2,$Q200-3.2),0),IF($B200="高二",MIN(IF($E200="男",$Q200-3.25,$Q200-3.22),0),IF($B200="高一",MIN(IF($E200="男",$Q200-3.3,$Q200-3.24),0))))&lt;-0.6,IF($B200="高三",MIN(IF($E200="男",$Q200-3.2,$Q200-3.2),0),IF($B200="高二",MIN(IF($E200="男",$Q200-3.25,$Q200-3.22),0),IF($B200="高一",MIN(IF($E200="男",$Q200-3.3,$Q200-3.24),0))))+0.4,IF($B200="高三",MIN(IF($E200="男",$Q200-3.2,$Q200-3.2),0),IF($B200="高二",MIN(IF($E200="男",$Q200-3.25,$Q200-3.22),0),IF($B200="高一",MIN(IF($E200="男",$Q200-3.3,$Q200-3.24),0))))),2)</f>
        <v>0</v>
      </c>
      <c r="T200" s="23">
        <f>IF(E200="男",LOOKUP($S200,[1]对照表!$AB$3:$AB$13,[1]对照表!$AC$3:$AC$13),LOOKUP($S200,[1]对照表!$AB$15:$AB$25,[1]对照表!$AC$15:$AC$25))</f>
        <v>0</v>
      </c>
      <c r="U200" s="26">
        <f>R200+T200</f>
        <v>85</v>
      </c>
      <c r="V200" s="26">
        <f>SUM(I200,K200,M200)/3*0.3+SUM(G200,R200)/2*0.4</f>
        <v>58.599999999999994</v>
      </c>
      <c r="W200" s="27">
        <f>O200+T200</f>
        <v>0</v>
      </c>
      <c r="X200" s="28">
        <f>V200/0.7+W200</f>
        <v>83.714285714285708</v>
      </c>
      <c r="Y200" s="28">
        <f>X200</f>
        <v>83.714285714285708</v>
      </c>
      <c r="Z200" s="38"/>
    </row>
    <row r="201" spans="1:26" ht="15.6" x14ac:dyDescent="0.25">
      <c r="A201" s="48">
        <v>12</v>
      </c>
      <c r="B201" s="17" t="s">
        <v>767</v>
      </c>
      <c r="C201" s="48">
        <v>204</v>
      </c>
      <c r="D201" s="49" t="s">
        <v>991</v>
      </c>
      <c r="E201" s="48" t="s">
        <v>23</v>
      </c>
      <c r="F201" s="50">
        <v>7.2</v>
      </c>
      <c r="G201" s="32">
        <f>IF(B201="高三",IF($E201="男",LOOKUP(F201,[1]对照表!$G$3:$G$24,[1]对照表!$H$3:$H$24),LOOKUP(F201,[1]对照表!$G$27:$G$48,[1]对照表!$H$27:$H$48)),IF(B201="高二",IF($E201="男",LOOKUP(F201,[1]对照表!$F$3:$F$24,[1]对照表!$H$3:$H$24),LOOKUP(F201,[1]对照表!$F$27:$F$48,[1]对照表!$H$27:$H$48)),IF(B201="高一",IF($E201="男",LOOKUP(F201,[1]对照表!$E$3:$E$24,[1]对照表!$H$3:$H$24),LOOKUP(F201,[1]对照表!$E$27:$E$48,[1]对照表!$H$27:$H$48)))))</f>
        <v>90</v>
      </c>
      <c r="H201" s="38">
        <v>16</v>
      </c>
      <c r="I201" s="32">
        <f>IF(B201="高三",IF($E201="男",LOOKUP(H201,[1]对照表!$K$3:$K$24,[1]对照表!$L$3:$L$24),LOOKUP(H201,[1]对照表!$K$27:$K$48,[1]对照表!$L$27:$L$48)),IF(B201="高二",IF($E201="男",LOOKUP(H201,[1]对照表!$J$3:$J$24,[1]对照表!$L$3:$L$24),LOOKUP(H201,[1]对照表!$J$27:$J$48,[1]对照表!$L$27:$L$48)),IF(B201="高一",IF($E201="男",LOOKUP(H201,[1]对照表!$I$3:$I$24,[1]对照表!$L$3:$L$24),LOOKUP(H201,[1]对照表!$I$27:$I$48,[1]对照表!$L$27:$L$48)))))</f>
        <v>78</v>
      </c>
      <c r="J201" s="38">
        <v>265</v>
      </c>
      <c r="K201" s="32">
        <f>IF(B201="高三",IF($E201="男",LOOKUP(J201,[1]对照表!$O$3:$O$24,[1]对照表!$P$3:$P$24),LOOKUP(J201,[1]对照表!$O$27:$O$48,[1]对照表!$P$27:$P$48)),IF(B201="高二",IF($E201="男",LOOKUP(J201,[1]对照表!$N$3:$N$24,[1]对照表!$P$3:$P$24),LOOKUP(J201,[1]对照表!$N$27:$N$48,[1]对照表!$P$27:$P$48)),IF(B201="高一",IF($E201="男",LOOKUP(J201,[1]对照表!$M$3:$M$24,[1]对照表!$P$3:$P$24),LOOKUP(J201,[1]对照表!$M$27:$M$48,[1]对照表!$P$27:$P$48)))))</f>
        <v>100</v>
      </c>
      <c r="L201" s="38">
        <v>21</v>
      </c>
      <c r="M201" s="32">
        <f>IF(B201="高三",IF($E201="男",LOOKUP(L201,[1]对照表!$S$3:$S$24,[1]对照表!$T$3:$T$24),LOOKUP(L201,[1]对照表!$S$27:$S$48,[1]对照表!$T$27:$T$48)),IF(B201="高二",IF($E201="男",LOOKUP(L201,[1]对照表!$R$3:$R$24,[1]对照表!$T$3:$T$24),LOOKUP(L201,[1]对照表!$R$27:$R$48,[1]对照表!$T$27:$T$48)),IF(B201="高一",IF($E201="男",LOOKUP(L201,[1]对照表!$Q$3:$Q$24,[1]对照表!$T$3:$T$24),LOOKUP(L201,[1]对照表!$Q$27:$Q$48,[1]对照表!$T$27:$T$48)))))</f>
        <v>100</v>
      </c>
      <c r="N201" s="33">
        <f>IF(B201="高三",MAX(IF(E201="男",L201-18,L201-55),0),IF(B201="高二",MAX(IF(E201="男",L201-17,L201-54),0),IF(B201="高一",MAX(IF(E201="男",L201-16,L201-53),0))))</f>
        <v>4</v>
      </c>
      <c r="O201" s="23">
        <f>IF(E201="男",LOOKUP($N201,[1]对照表!$Z$3:$Z$13,[1]对照表!$AA$3:$AA$13),LOOKUP($N201,[1]对照表!$Z$15:$Z$25,[1]对照表!$AA$15:$AA$25))</f>
        <v>4</v>
      </c>
      <c r="P201" s="25">
        <f>M201+O201</f>
        <v>104</v>
      </c>
      <c r="Q201" s="50">
        <v>3.59</v>
      </c>
      <c r="R201" s="32">
        <f>IF(B201="高三",IF($E201="男",LOOKUP(Q201,[1]对照表!$W$3:$W$24,[1]对照表!$X$3:$X$24),LOOKUP(Q201,[1]对照表!$W$27:$W$48,[1]对照表!$X$27:$X$48)),IF(B201="高二",IF($E201="男",LOOKUP(Q201,[1]对照表!$V$3:$V$24,[1]对照表!$X$3:$X$24),LOOKUP(Q201,[1]对照表!$V$27:$V$48,[1]对照表!$X$27:$X$48)),IF(B201="高一",IF($E201="男",LOOKUP(Q201,[1]对照表!$U$3:$U$24,[1]对照表!$X$3:$X$24),LOOKUP(Q201,[1]对照表!$U$27:$U$48,[1]对照表!$X$27:$X$48)))))</f>
        <v>76</v>
      </c>
      <c r="S201" s="33">
        <f>ROUND(IF(IF($B201="高三",MIN(IF($E201="男",$Q201-3.2,$Q201-3.2),0),IF($B201="高二",MIN(IF($E201="男",$Q201-3.25,$Q201-3.22),0),IF($B201="高一",MIN(IF($E201="男",$Q201-3.3,$Q201-3.24),0))))&lt;-0.6,IF($B201="高三",MIN(IF($E201="男",$Q201-3.2,$Q201-3.2),0),IF($B201="高二",MIN(IF($E201="男",$Q201-3.25,$Q201-3.22),0),IF($B201="高一",MIN(IF($E201="男",$Q201-3.3,$Q201-3.24),0))))+0.4,IF($B201="高三",MIN(IF($E201="男",$Q201-3.2,$Q201-3.2),0),IF($B201="高二",MIN(IF($E201="男",$Q201-3.25,$Q201-3.22),0),IF($B201="高一",MIN(IF($E201="男",$Q201-3.3,$Q201-3.24),0))))),2)</f>
        <v>0</v>
      </c>
      <c r="T201" s="23">
        <f>IF(E201="男",LOOKUP($S201,[1]对照表!$AB$3:$AB$13,[1]对照表!$AC$3:$AC$13),LOOKUP($S201,[1]对照表!$AB$15:$AB$25,[1]对照表!$AC$15:$AC$25))</f>
        <v>0</v>
      </c>
      <c r="U201" s="26">
        <f>R201+T201</f>
        <v>76</v>
      </c>
      <c r="V201" s="26">
        <f>SUM(I201,K201,M201)/3*0.3+SUM(G201,R201)/2*0.4</f>
        <v>61</v>
      </c>
      <c r="W201" s="27">
        <f>O201+T201</f>
        <v>4</v>
      </c>
      <c r="X201" s="28">
        <f>V201/0.7+W201</f>
        <v>91.142857142857153</v>
      </c>
      <c r="Y201" s="28">
        <f>X201</f>
        <v>91.142857142857153</v>
      </c>
      <c r="Z201" s="38"/>
    </row>
    <row r="202" spans="1:26" ht="15.6" x14ac:dyDescent="0.25">
      <c r="A202" s="48">
        <v>11</v>
      </c>
      <c r="B202" s="17" t="s">
        <v>767</v>
      </c>
      <c r="C202" s="48">
        <v>204</v>
      </c>
      <c r="D202" s="49" t="s">
        <v>1001</v>
      </c>
      <c r="E202" s="48" t="s">
        <v>23</v>
      </c>
      <c r="F202" s="50">
        <v>7.1</v>
      </c>
      <c r="G202" s="32">
        <f>IF(B202="高三",IF($E202="男",LOOKUP(F202,[1]对照表!$G$3:$G$24,[1]对照表!$H$3:$H$24),LOOKUP(F202,[1]对照表!$G$27:$G$48,[1]对照表!$H$27:$H$48)),IF(B202="高二",IF($E202="男",LOOKUP(F202,[1]对照表!$F$3:$F$24,[1]对照表!$H$3:$H$24),LOOKUP(F202,[1]对照表!$F$27:$F$48,[1]对照表!$H$27:$H$48)),IF(B202="高一",IF($E202="男",LOOKUP(F202,[1]对照表!$E$3:$E$24,[1]对照表!$H$3:$H$24),LOOKUP(F202,[1]对照表!$E$27:$E$48,[1]对照表!$H$27:$H$48)))))</f>
        <v>95</v>
      </c>
      <c r="H202" s="38">
        <v>24.3</v>
      </c>
      <c r="I202" s="32">
        <f>IF(B202="高三",IF($E202="男",LOOKUP(H202,[1]对照表!$K$3:$K$24,[1]对照表!$L$3:$L$24),LOOKUP(H202,[1]对照表!$K$27:$K$48,[1]对照表!$L$27:$L$48)),IF(B202="高二",IF($E202="男",LOOKUP(H202,[1]对照表!$J$3:$J$24,[1]对照表!$L$3:$L$24),LOOKUP(H202,[1]对照表!$J$27:$J$48,[1]对照表!$L$27:$L$48)),IF(B202="高一",IF($E202="男",LOOKUP(H202,[1]对照表!$I$3:$I$24,[1]对照表!$L$3:$L$24),LOOKUP(H202,[1]对照表!$I$27:$I$48,[1]对照表!$L$27:$L$48)))))</f>
        <v>100</v>
      </c>
      <c r="J202" s="38">
        <v>255</v>
      </c>
      <c r="K202" s="32">
        <f>IF(B202="高三",IF($E202="男",LOOKUP(J202,[1]对照表!$O$3:$O$24,[1]对照表!$P$3:$P$24),LOOKUP(J202,[1]对照表!$O$27:$O$48,[1]对照表!$P$27:$P$48)),IF(B202="高二",IF($E202="男",LOOKUP(J202,[1]对照表!$N$3:$N$24,[1]对照表!$P$3:$P$24),LOOKUP(J202,[1]对照表!$N$27:$N$48,[1]对照表!$P$27:$P$48)),IF(B202="高一",IF($E202="男",LOOKUP(J202,[1]对照表!$M$3:$M$24,[1]对照表!$P$3:$P$24),LOOKUP(J202,[1]对照表!$M$27:$M$48,[1]对照表!$P$27:$P$48)))))</f>
        <v>90</v>
      </c>
      <c r="L202" s="38">
        <v>13</v>
      </c>
      <c r="M202" s="32">
        <f>IF(B202="高三",IF($E202="男",LOOKUP(L202,[1]对照表!$S$3:$S$24,[1]对照表!$T$3:$T$24),LOOKUP(L202,[1]对照表!$S$27:$S$48,[1]对照表!$T$27:$T$48)),IF(B202="高二",IF($E202="男",LOOKUP(L202,[1]对照表!$R$3:$R$24,[1]对照表!$T$3:$T$24),LOOKUP(L202,[1]对照表!$R$27:$R$48,[1]对照表!$T$27:$T$48)),IF(B202="高一",IF($E202="男",LOOKUP(L202,[1]对照表!$Q$3:$Q$24,[1]对照表!$T$3:$T$24),LOOKUP(L202,[1]对照表!$Q$27:$Q$48,[1]对照表!$T$27:$T$48)))))</f>
        <v>80</v>
      </c>
      <c r="N202" s="33">
        <f>IF(B202="高三",MAX(IF(E202="男",L202-18,L202-55),0),IF(B202="高二",MAX(IF(E202="男",L202-17,L202-54),0),IF(B202="高一",MAX(IF(E202="男",L202-16,L202-53),0))))</f>
        <v>0</v>
      </c>
      <c r="O202" s="23">
        <f>IF(E202="男",LOOKUP($N202,[1]对照表!$Z$3:$Z$13,[1]对照表!$AA$3:$AA$13),LOOKUP($N202,[1]对照表!$Z$15:$Z$25,[1]对照表!$AA$15:$AA$25))</f>
        <v>0</v>
      </c>
      <c r="P202" s="25">
        <f>M202+O202</f>
        <v>80</v>
      </c>
      <c r="Q202" s="50">
        <v>3.41</v>
      </c>
      <c r="R202" s="32">
        <f>IF(B202="高三",IF($E202="男",LOOKUP(Q202,[1]对照表!$W$3:$W$24,[1]对照表!$X$3:$X$24),LOOKUP(Q202,[1]对照表!$W$27:$W$48,[1]对照表!$X$27:$X$48)),IF(B202="高二",IF($E202="男",LOOKUP(Q202,[1]对照表!$V$3:$V$24,[1]对照表!$X$3:$X$24),LOOKUP(Q202,[1]对照表!$V$27:$V$48,[1]对照表!$X$27:$X$48)),IF(B202="高一",IF($E202="男",LOOKUP(Q202,[1]对照表!$U$3:$U$24,[1]对照表!$X$3:$X$24),LOOKUP(Q202,[1]对照表!$U$27:$U$48,[1]对照表!$X$27:$X$48)))))</f>
        <v>85</v>
      </c>
      <c r="S202" s="33">
        <f>ROUND(IF(IF($B202="高三",MIN(IF($E202="男",$Q202-3.2,$Q202-3.2),0),IF($B202="高二",MIN(IF($E202="男",$Q202-3.25,$Q202-3.22),0),IF($B202="高一",MIN(IF($E202="男",$Q202-3.3,$Q202-3.24),0))))&lt;-0.6,IF($B202="高三",MIN(IF($E202="男",$Q202-3.2,$Q202-3.2),0),IF($B202="高二",MIN(IF($E202="男",$Q202-3.25,$Q202-3.22),0),IF($B202="高一",MIN(IF($E202="男",$Q202-3.3,$Q202-3.24),0))))+0.4,IF($B202="高三",MIN(IF($E202="男",$Q202-3.2,$Q202-3.2),0),IF($B202="高二",MIN(IF($E202="男",$Q202-3.25,$Q202-3.22),0),IF($B202="高一",MIN(IF($E202="男",$Q202-3.3,$Q202-3.24),0))))),2)</f>
        <v>0</v>
      </c>
      <c r="T202" s="23">
        <f>IF(E202="男",LOOKUP($S202,[1]对照表!$AB$3:$AB$13,[1]对照表!$AC$3:$AC$13),LOOKUP($S202,[1]对照表!$AB$15:$AB$25,[1]对照表!$AC$15:$AC$25))</f>
        <v>0</v>
      </c>
      <c r="U202" s="26">
        <f>R202+T202</f>
        <v>85</v>
      </c>
      <c r="V202" s="26">
        <f>SUM(I202,K202,M202)/3*0.3+SUM(G202,R202)/2*0.4</f>
        <v>63</v>
      </c>
      <c r="W202" s="27">
        <f>O202+T202</f>
        <v>0</v>
      </c>
      <c r="X202" s="28">
        <f>V202/0.7+W202</f>
        <v>90</v>
      </c>
      <c r="Y202" s="28">
        <f>X202</f>
        <v>90</v>
      </c>
      <c r="Z202" s="38"/>
    </row>
    <row r="203" spans="1:26" ht="15.6" customHeight="1" x14ac:dyDescent="0.25">
      <c r="A203" s="48">
        <v>27</v>
      </c>
      <c r="B203" s="17" t="s">
        <v>767</v>
      </c>
      <c r="C203" s="48">
        <v>204</v>
      </c>
      <c r="D203" s="49" t="s">
        <v>1005</v>
      </c>
      <c r="E203" s="48" t="s">
        <v>65</v>
      </c>
      <c r="F203" s="50">
        <v>8.9700000000000006</v>
      </c>
      <c r="G203" s="32">
        <f>IF(B203="高三",IF($E203="男",LOOKUP(F203,[1]对照表!$G$3:$G$24,[1]对照表!$H$3:$H$24),LOOKUP(F203,[1]对照表!$G$27:$G$48,[1]对照表!$H$27:$H$48)),IF(B203="高二",IF($E203="男",LOOKUP(F203,[1]对照表!$F$3:$F$24,[1]对照表!$H$3:$H$24),LOOKUP(F203,[1]对照表!$F$27:$F$48,[1]对照表!$H$27:$H$48)),IF(B203="高一",IF($E203="男",LOOKUP(F203,[1]对照表!$E$3:$E$24,[1]对照表!$H$3:$H$24),LOOKUP(F203,[1]对照表!$E$27:$E$48,[1]对照表!$H$27:$H$48)))))</f>
        <v>74</v>
      </c>
      <c r="H203" s="38">
        <v>26</v>
      </c>
      <c r="I203" s="32">
        <f>IF(B203="高三",IF($E203="男",LOOKUP(H203,[1]对照表!$K$3:$K$24,[1]对照表!$L$3:$L$24),LOOKUP(H203,[1]对照表!$K$27:$K$48,[1]对照表!$L$27:$L$48)),IF(B203="高二",IF($E203="男",LOOKUP(H203,[1]对照表!$J$3:$J$24,[1]对照表!$L$3:$L$24),LOOKUP(H203,[1]对照表!$J$27:$J$48,[1]对照表!$L$27:$L$48)),IF(B203="高一",IF($E203="男",LOOKUP(H203,[1]对照表!$I$3:$I$24,[1]对照表!$L$3:$L$24),LOOKUP(H203,[1]对照表!$I$27:$I$48,[1]对照表!$L$27:$L$48)))))</f>
        <v>100</v>
      </c>
      <c r="J203" s="38">
        <v>174</v>
      </c>
      <c r="K203" s="32">
        <f>IF(B203="高三",IF($E203="男",LOOKUP(J203,[1]对照表!$O$3:$O$24,[1]对照表!$P$3:$P$24),LOOKUP(J203,[1]对照表!$O$27:$O$48,[1]对照表!$P$27:$P$48)),IF(B203="高二",IF($E203="男",LOOKUP(J203,[1]对照表!$N$3:$N$24,[1]对照表!$P$3:$P$24),LOOKUP(J203,[1]对照表!$N$27:$N$48,[1]对照表!$P$27:$P$48)),IF(B203="高一",IF($E203="男",LOOKUP(J203,[1]对照表!$M$3:$M$24,[1]对照表!$P$3:$P$24),LOOKUP(J203,[1]对照表!$M$27:$M$48,[1]对照表!$P$27:$P$48)))))</f>
        <v>76</v>
      </c>
      <c r="L203" s="38">
        <v>53</v>
      </c>
      <c r="M203" s="32">
        <f>IF(B203="高三",IF($E203="男",LOOKUP(L203,[1]对照表!$S$3:$S$24,[1]对照表!$T$3:$T$24),LOOKUP(L203,[1]对照表!$S$27:$S$48,[1]对照表!$T$27:$T$48)),IF(B203="高二",IF($E203="男",LOOKUP(L203,[1]对照表!$R$3:$R$24,[1]对照表!$T$3:$T$24),LOOKUP(L203,[1]对照表!$R$27:$R$48,[1]对照表!$T$27:$T$48)),IF(B203="高一",IF($E203="男",LOOKUP(L203,[1]对照表!$Q$3:$Q$24,[1]对照表!$T$3:$T$24),LOOKUP(L203,[1]对照表!$Q$27:$Q$48,[1]对照表!$T$27:$T$48)))))</f>
        <v>95</v>
      </c>
      <c r="N203" s="33">
        <f>IF(B203="高三",MAX(IF(E203="男",L203-18,L203-55),0),IF(B203="高二",MAX(IF(E203="男",L203-17,L203-54),0),IF(B203="高一",MAX(IF(E203="男",L203-16,L203-53),0))))</f>
        <v>0</v>
      </c>
      <c r="O203" s="23">
        <f>IF(E203="男",LOOKUP($N203,[1]对照表!$Z$3:$Z$13,[1]对照表!$AA$3:$AA$13),LOOKUP($N203,[1]对照表!$Z$15:$Z$25,[1]对照表!$AA$15:$AA$25))</f>
        <v>0</v>
      </c>
      <c r="P203" s="25">
        <f>M203+O203</f>
        <v>95</v>
      </c>
      <c r="Q203" s="50">
        <v>3.43</v>
      </c>
      <c r="R203" s="32">
        <f>IF(B203="高三",IF($E203="男",LOOKUP(Q203,[1]对照表!$W$3:$W$24,[1]对照表!$X$3:$X$24),LOOKUP(Q203,[1]对照表!$W$27:$W$48,[1]对照表!$X$27:$X$48)),IF(B203="高二",IF($E203="男",LOOKUP(Q203,[1]对照表!$V$3:$V$24,[1]对照表!$X$3:$X$24),LOOKUP(Q203,[1]对照表!$V$27:$V$48,[1]对照表!$X$27:$X$48)),IF(B203="高一",IF($E203="男",LOOKUP(Q203,[1]对照表!$U$3:$U$24,[1]对照表!$X$3:$X$24),LOOKUP(Q203,[1]对照表!$U$27:$U$48,[1]对照表!$X$27:$X$48)))))</f>
        <v>80</v>
      </c>
      <c r="S203" s="33">
        <f>ROUND(IF(IF($B203="高三",MIN(IF($E203="男",$Q203-3.2,$Q203-3.2),0),IF($B203="高二",MIN(IF($E203="男",$Q203-3.25,$Q203-3.22),0),IF($B203="高一",MIN(IF($E203="男",$Q203-3.3,$Q203-3.24),0))))&lt;-0.6,IF($B203="高三",MIN(IF($E203="男",$Q203-3.2,$Q203-3.2),0),IF($B203="高二",MIN(IF($E203="男",$Q203-3.25,$Q203-3.22),0),IF($B203="高一",MIN(IF($E203="男",$Q203-3.3,$Q203-3.24),0))))+0.4,IF($B203="高三",MIN(IF($E203="男",$Q203-3.2,$Q203-3.2),0),IF($B203="高二",MIN(IF($E203="男",$Q203-3.25,$Q203-3.22),0),IF($B203="高一",MIN(IF($E203="男",$Q203-3.3,$Q203-3.24),0))))),2)</f>
        <v>0</v>
      </c>
      <c r="T203" s="23">
        <f>IF(E203="男",LOOKUP($S203,[1]对照表!$AB$3:$AB$13,[1]对照表!$AC$3:$AC$13),LOOKUP($S203,[1]对照表!$AB$15:$AB$25,[1]对照表!$AC$15:$AC$25))</f>
        <v>0</v>
      </c>
      <c r="U203" s="26">
        <f>R203+T203</f>
        <v>80</v>
      </c>
      <c r="V203" s="26">
        <f>SUM(I203,K203,M203)/3*0.3+SUM(G203,R203)/2*0.4</f>
        <v>57.9</v>
      </c>
      <c r="W203" s="27">
        <f>O203+T203</f>
        <v>0</v>
      </c>
      <c r="X203" s="28">
        <f>V203/0.7+W203</f>
        <v>82.714285714285722</v>
      </c>
      <c r="Y203" s="28">
        <f>X203</f>
        <v>82.714285714285722</v>
      </c>
      <c r="Z203" s="38"/>
    </row>
    <row r="204" spans="1:26" ht="15.6" x14ac:dyDescent="0.25">
      <c r="A204" s="48">
        <v>47</v>
      </c>
      <c r="B204" s="17" t="s">
        <v>767</v>
      </c>
      <c r="C204" s="48">
        <v>204</v>
      </c>
      <c r="D204" s="49" t="s">
        <v>1013</v>
      </c>
      <c r="E204" s="48" t="s">
        <v>65</v>
      </c>
      <c r="F204" s="50">
        <v>9.18</v>
      </c>
      <c r="G204" s="32">
        <f>IF(B204="高三",IF($E204="男",LOOKUP(F204,[1]对照表!$G$3:$G$24,[1]对照表!$H$3:$H$24),LOOKUP(F204,[1]对照表!$G$27:$G$48,[1]对照表!$H$27:$H$48)),IF(B204="高二",IF($E204="男",LOOKUP(F204,[1]对照表!$F$3:$F$24,[1]对照表!$H$3:$H$24),LOOKUP(F204,[1]对照表!$F$27:$F$48,[1]对照表!$H$27:$H$48)),IF(B204="高一",IF($E204="男",LOOKUP(F204,[1]对照表!$E$3:$E$24,[1]对照表!$H$3:$H$24),LOOKUP(F204,[1]对照表!$E$27:$E$48,[1]对照表!$H$27:$H$48)))))</f>
        <v>72</v>
      </c>
      <c r="H204" s="38">
        <v>23</v>
      </c>
      <c r="I204" s="32">
        <f>IF(B204="高三",IF($E204="男",LOOKUP(H204,[1]对照表!$K$3:$K$24,[1]对照表!$L$3:$L$24),LOOKUP(H204,[1]对照表!$K$27:$K$48,[1]对照表!$L$27:$L$48)),IF(B204="高二",IF($E204="男",LOOKUP(H204,[1]对照表!$J$3:$J$24,[1]对照表!$L$3:$L$24),LOOKUP(H204,[1]对照表!$J$27:$J$48,[1]对照表!$L$27:$L$48)),IF(B204="高一",IF($E204="男",LOOKUP(H204,[1]对照表!$I$3:$I$24,[1]对照表!$L$3:$L$24),LOOKUP(H204,[1]对照表!$I$27:$I$48,[1]对照表!$L$27:$L$48)))))</f>
        <v>90</v>
      </c>
      <c r="J204" s="38">
        <v>182</v>
      </c>
      <c r="K204" s="32">
        <f>IF(B204="高三",IF($E204="男",LOOKUP(J204,[1]对照表!$O$3:$O$24,[1]对照表!$P$3:$P$24),LOOKUP(J204,[1]对照表!$O$27:$O$48,[1]对照表!$P$27:$P$48)),IF(B204="高二",IF($E204="男",LOOKUP(J204,[1]对照表!$N$3:$N$24,[1]对照表!$P$3:$P$24),LOOKUP(J204,[1]对照表!$N$27:$N$48,[1]对照表!$P$27:$P$48)),IF(B204="高一",IF($E204="男",LOOKUP(J204,[1]对照表!$M$3:$M$24,[1]对照表!$P$3:$P$24),LOOKUP(J204,[1]对照表!$M$27:$M$48,[1]对照表!$P$27:$P$48)))))</f>
        <v>80</v>
      </c>
      <c r="L204" s="38">
        <v>56</v>
      </c>
      <c r="M204" s="32">
        <f>IF(B204="高三",IF($E204="男",LOOKUP(L204,[1]对照表!$S$3:$S$24,[1]对照表!$T$3:$T$24),LOOKUP(L204,[1]对照表!$S$27:$S$48,[1]对照表!$T$27:$T$48)),IF(B204="高二",IF($E204="男",LOOKUP(L204,[1]对照表!$R$3:$R$24,[1]对照表!$T$3:$T$24),LOOKUP(L204,[1]对照表!$R$27:$R$48,[1]对照表!$T$27:$T$48)),IF(B204="高一",IF($E204="男",LOOKUP(L204,[1]对照表!$Q$3:$Q$24,[1]对照表!$T$3:$T$24),LOOKUP(L204,[1]对照表!$Q$27:$Q$48,[1]对照表!$T$27:$T$48)))))</f>
        <v>100</v>
      </c>
      <c r="N204" s="33">
        <f>IF(B204="高三",MAX(IF(E204="男",L204-18,L204-55),0),IF(B204="高二",MAX(IF(E204="男",L204-17,L204-54),0),IF(B204="高一",MAX(IF(E204="男",L204-16,L204-53),0))))</f>
        <v>2</v>
      </c>
      <c r="O204" s="23">
        <f>IF(E204="男",LOOKUP($N204,[1]对照表!$Z$3:$Z$13,[1]对照表!$AA$3:$AA$13),LOOKUP($N204,[1]对照表!$Z$15:$Z$25,[1]对照表!$AA$15:$AA$25))</f>
        <v>1</v>
      </c>
      <c r="P204" s="25">
        <f>M204+O204</f>
        <v>101</v>
      </c>
      <c r="Q204" s="50">
        <v>3.53</v>
      </c>
      <c r="R204" s="32">
        <f>IF(B204="高三",IF($E204="男",LOOKUP(Q204,[1]对照表!$W$3:$W$24,[1]对照表!$X$3:$X$24),LOOKUP(Q204,[1]对照表!$W$27:$W$48,[1]对照表!$X$27:$X$48)),IF(B204="高二",IF($E204="男",LOOKUP(Q204,[1]对照表!$V$3:$V$24,[1]对照表!$X$3:$X$24),LOOKUP(Q204,[1]对照表!$V$27:$V$48,[1]对照表!$X$27:$X$48)),IF(B204="高一",IF($E204="男",LOOKUP(Q204,[1]对照表!$U$3:$U$24,[1]对照表!$X$3:$X$24),LOOKUP(Q204,[1]对照表!$U$27:$U$48,[1]对照表!$X$27:$X$48)))))</f>
        <v>78</v>
      </c>
      <c r="S204" s="33">
        <f>ROUND(IF(IF($B204="高三",MIN(IF($E204="男",$Q204-3.2,$Q204-3.2),0),IF($B204="高二",MIN(IF($E204="男",$Q204-3.25,$Q204-3.22),0),IF($B204="高一",MIN(IF($E204="男",$Q204-3.3,$Q204-3.24),0))))&lt;-0.6,IF($B204="高三",MIN(IF($E204="男",$Q204-3.2,$Q204-3.2),0),IF($B204="高二",MIN(IF($E204="男",$Q204-3.25,$Q204-3.22),0),IF($B204="高一",MIN(IF($E204="男",$Q204-3.3,$Q204-3.24),0))))+0.4,IF($B204="高三",MIN(IF($E204="男",$Q204-3.2,$Q204-3.2),0),IF($B204="高二",MIN(IF($E204="男",$Q204-3.25,$Q204-3.22),0),IF($B204="高一",MIN(IF($E204="男",$Q204-3.3,$Q204-3.24),0))))),2)</f>
        <v>0</v>
      </c>
      <c r="T204" s="23">
        <f>IF(E204="男",LOOKUP($S204,[1]对照表!$AB$3:$AB$13,[1]对照表!$AC$3:$AC$13),LOOKUP($S204,[1]对照表!$AB$15:$AB$25,[1]对照表!$AC$15:$AC$25))</f>
        <v>0</v>
      </c>
      <c r="U204" s="26">
        <f>R204+T204</f>
        <v>78</v>
      </c>
      <c r="V204" s="26">
        <f>SUM(I204,K204,M204)/3*0.3+SUM(G204,R204)/2*0.4</f>
        <v>57</v>
      </c>
      <c r="W204" s="27">
        <f>O204+T204</f>
        <v>1</v>
      </c>
      <c r="X204" s="28">
        <f>V204/0.7+W204</f>
        <v>82.428571428571431</v>
      </c>
      <c r="Y204" s="28">
        <f>X204</f>
        <v>82.428571428571431</v>
      </c>
      <c r="Z204" s="38"/>
    </row>
    <row r="205" spans="1:26" ht="15.6" x14ac:dyDescent="0.25">
      <c r="A205" s="48">
        <v>6</v>
      </c>
      <c r="B205" s="17" t="s">
        <v>767</v>
      </c>
      <c r="C205" s="48">
        <v>204</v>
      </c>
      <c r="D205" s="49" t="s">
        <v>1024</v>
      </c>
      <c r="E205" s="48" t="s">
        <v>23</v>
      </c>
      <c r="F205" s="50">
        <v>6.8</v>
      </c>
      <c r="G205" s="32">
        <f>IF(B205="高三",IF($E205="男",LOOKUP(F205,[1]对照表!$G$3:$G$24,[1]对照表!$H$3:$H$24),LOOKUP(F205,[1]对照表!$G$27:$G$48,[1]对照表!$H$27:$H$48)),IF(B205="高二",IF($E205="男",LOOKUP(F205,[1]对照表!$F$3:$F$24,[1]对照表!$H$3:$H$24),LOOKUP(F205,[1]对照表!$F$27:$F$48,[1]对照表!$H$27:$H$48)),IF(B205="高一",IF($E205="男",LOOKUP(F205,[1]对照表!$E$3:$E$24,[1]对照表!$H$3:$H$24),LOOKUP(F205,[1]对照表!$E$27:$E$48,[1]对照表!$H$27:$H$48)))))</f>
        <v>100</v>
      </c>
      <c r="H205" s="38">
        <v>11</v>
      </c>
      <c r="I205" s="32">
        <f>IF(B205="高三",IF($E205="男",LOOKUP(H205,[1]对照表!$K$3:$K$24,[1]对照表!$L$3:$L$24),LOOKUP(H205,[1]对照表!$K$27:$K$48,[1]对照表!$L$27:$L$48)),IF(B205="高二",IF($E205="男",LOOKUP(H205,[1]对照表!$J$3:$J$24,[1]对照表!$L$3:$L$24),LOOKUP(H205,[1]对照表!$J$27:$J$48,[1]对照表!$L$27:$L$48)),IF(B205="高一",IF($E205="男",LOOKUP(H205,[1]对照表!$I$3:$I$24,[1]对照表!$L$3:$L$24),LOOKUP(H205,[1]对照表!$I$27:$I$48,[1]对照表!$L$27:$L$48)))))</f>
        <v>72</v>
      </c>
      <c r="J205" s="38">
        <v>255</v>
      </c>
      <c r="K205" s="32">
        <f>IF(B205="高三",IF($E205="男",LOOKUP(J205,[1]对照表!$O$3:$O$24,[1]对照表!$P$3:$P$24),LOOKUP(J205,[1]对照表!$O$27:$O$48,[1]对照表!$P$27:$P$48)),IF(B205="高二",IF($E205="男",LOOKUP(J205,[1]对照表!$N$3:$N$24,[1]对照表!$P$3:$P$24),LOOKUP(J205,[1]对照表!$N$27:$N$48,[1]对照表!$P$27:$P$48)),IF(B205="高一",IF($E205="男",LOOKUP(J205,[1]对照表!$M$3:$M$24,[1]对照表!$P$3:$P$24),LOOKUP(J205,[1]对照表!$M$27:$M$48,[1]对照表!$P$27:$P$48)))))</f>
        <v>90</v>
      </c>
      <c r="L205" s="38">
        <v>10</v>
      </c>
      <c r="M205" s="32">
        <f>IF(B205="高三",IF($E205="男",LOOKUP(L205,[1]对照表!$S$3:$S$24,[1]对照表!$T$3:$T$24),LOOKUP(L205,[1]对照表!$S$27:$S$48,[1]对照表!$T$27:$T$48)),IF(B205="高二",IF($E205="男",LOOKUP(L205,[1]对照表!$R$3:$R$24,[1]对照表!$T$3:$T$24),LOOKUP(L205,[1]对照表!$R$27:$R$48,[1]对照表!$T$27:$T$48)),IF(B205="高一",IF($E205="男",LOOKUP(L205,[1]对照表!$Q$3:$Q$24,[1]对照表!$T$3:$T$24),LOOKUP(L205,[1]对照表!$Q$27:$Q$48,[1]对照表!$T$27:$T$48)))))</f>
        <v>68</v>
      </c>
      <c r="N205" s="33">
        <f>IF(B205="高三",MAX(IF(E205="男",L205-18,L205-55),0),IF(B205="高二",MAX(IF(E205="男",L205-17,L205-54),0),IF(B205="高一",MAX(IF(E205="男",L205-16,L205-53),0))))</f>
        <v>0</v>
      </c>
      <c r="O205" s="23">
        <f>IF(E205="男",LOOKUP($N205,[1]对照表!$Z$3:$Z$13,[1]对照表!$AA$3:$AA$13),LOOKUP($N205,[1]对照表!$Z$15:$Z$25,[1]对照表!$AA$15:$AA$25))</f>
        <v>0</v>
      </c>
      <c r="P205" s="25">
        <f>M205+O205</f>
        <v>68</v>
      </c>
      <c r="Q205" s="50">
        <v>3.29</v>
      </c>
      <c r="R205" s="32">
        <f>IF(B205="高三",IF($E205="男",LOOKUP(Q205,[1]对照表!$W$3:$W$24,[1]对照表!$X$3:$X$24),LOOKUP(Q205,[1]对照表!$W$27:$W$48,[1]对照表!$X$27:$X$48)),IF(B205="高二",IF($E205="男",LOOKUP(Q205,[1]对照表!$V$3:$V$24,[1]对照表!$X$3:$X$24),LOOKUP(Q205,[1]对照表!$V$27:$V$48,[1]对照表!$X$27:$X$48)),IF(B205="高一",IF($E205="男",LOOKUP(Q205,[1]对照表!$U$3:$U$24,[1]对照表!$X$3:$X$24),LOOKUP(Q205,[1]对照表!$U$27:$U$48,[1]对照表!$X$27:$X$48)))))</f>
        <v>95</v>
      </c>
      <c r="S205" s="33">
        <f>ROUND(IF(IF($B205="高三",MIN(IF($E205="男",$Q205-3.2,$Q205-3.2),0),IF($B205="高二",MIN(IF($E205="男",$Q205-3.25,$Q205-3.22),0),IF($B205="高一",MIN(IF($E205="男",$Q205-3.3,$Q205-3.24),0))))&lt;-0.6,IF($B205="高三",MIN(IF($E205="男",$Q205-3.2,$Q205-3.2),0),IF($B205="高二",MIN(IF($E205="男",$Q205-3.25,$Q205-3.22),0),IF($B205="高一",MIN(IF($E205="男",$Q205-3.3,$Q205-3.24),0))))+0.4,IF($B205="高三",MIN(IF($E205="男",$Q205-3.2,$Q205-3.2),0),IF($B205="高二",MIN(IF($E205="男",$Q205-3.25,$Q205-3.22),0),IF($B205="高一",MIN(IF($E205="男",$Q205-3.3,$Q205-3.24),0))))),2)</f>
        <v>0</v>
      </c>
      <c r="T205" s="23">
        <f>IF(E205="男",LOOKUP($S205,[1]对照表!$AB$3:$AB$13,[1]对照表!$AC$3:$AC$13),LOOKUP($S205,[1]对照表!$AB$15:$AB$25,[1]对照表!$AC$15:$AC$25))</f>
        <v>0</v>
      </c>
      <c r="U205" s="26">
        <f>R205+T205</f>
        <v>95</v>
      </c>
      <c r="V205" s="26">
        <f>SUM(I205,K205,M205)/3*0.3+SUM(G205,R205)/2*0.4</f>
        <v>62</v>
      </c>
      <c r="W205" s="27">
        <f>O205+T205</f>
        <v>0</v>
      </c>
      <c r="X205" s="28">
        <f>V205/0.7+W205</f>
        <v>88.571428571428584</v>
      </c>
      <c r="Y205" s="28">
        <f>X205</f>
        <v>88.571428571428584</v>
      </c>
      <c r="Z205" s="38"/>
    </row>
    <row r="206" spans="1:26" ht="15.6" x14ac:dyDescent="0.25">
      <c r="A206" s="48">
        <v>35</v>
      </c>
      <c r="B206" s="17" t="s">
        <v>767</v>
      </c>
      <c r="C206" s="48">
        <v>204</v>
      </c>
      <c r="D206" s="49" t="s">
        <v>1028</v>
      </c>
      <c r="E206" s="48" t="s">
        <v>65</v>
      </c>
      <c r="F206" s="50">
        <v>8.4600000000000009</v>
      </c>
      <c r="G206" s="32">
        <f>IF(B206="高三",IF($E206="男",LOOKUP(F206,[1]对照表!$G$3:$G$24,[1]对照表!$H$3:$H$24),LOOKUP(F206,[1]对照表!$G$27:$G$48,[1]对照表!$H$27:$H$48)),IF(B206="高二",IF($E206="男",LOOKUP(F206,[1]对照表!$F$3:$F$24,[1]对照表!$H$3:$H$24),LOOKUP(F206,[1]对照表!$F$27:$F$48,[1]对照表!$H$27:$H$48)),IF(B206="高一",IF($E206="男",LOOKUP(F206,[1]对照表!$E$3:$E$24,[1]对照表!$H$3:$H$24),LOOKUP(F206,[1]对照表!$E$27:$E$48,[1]对照表!$H$27:$H$48)))))</f>
        <v>80</v>
      </c>
      <c r="H206" s="38">
        <v>20.5</v>
      </c>
      <c r="I206" s="32">
        <f>IF(B206="高三",IF($E206="男",LOOKUP(H206,[1]对照表!$K$3:$K$24,[1]对照表!$L$3:$L$24),LOOKUP(H206,[1]对照表!$K$27:$K$48,[1]对照表!$L$27:$L$48)),IF(B206="高二",IF($E206="男",LOOKUP(H206,[1]对照表!$J$3:$J$24,[1]对照表!$L$3:$L$24),LOOKUP(H206,[1]对照表!$J$27:$J$48,[1]对照表!$L$27:$L$48)),IF(B206="高一",IF($E206="男",LOOKUP(H206,[1]对照表!$I$3:$I$24,[1]对照表!$L$3:$L$24),LOOKUP(H206,[1]对照表!$I$27:$I$48,[1]对照表!$L$27:$L$48)))))</f>
        <v>85</v>
      </c>
      <c r="J206" s="38">
        <v>180</v>
      </c>
      <c r="K206" s="32">
        <f>IF(B206="高三",IF($E206="男",LOOKUP(J206,[1]对照表!$O$3:$O$24,[1]对照表!$P$3:$P$24),LOOKUP(J206,[1]对照表!$O$27:$O$48,[1]对照表!$P$27:$P$48)),IF(B206="高二",IF($E206="男",LOOKUP(J206,[1]对照表!$N$3:$N$24,[1]对照表!$P$3:$P$24),LOOKUP(J206,[1]对照表!$N$27:$N$48,[1]对照表!$P$27:$P$48)),IF(B206="高一",IF($E206="男",LOOKUP(J206,[1]对照表!$M$3:$M$24,[1]对照表!$P$3:$P$24),LOOKUP(J206,[1]对照表!$M$27:$M$48,[1]对照表!$P$27:$P$48)))))</f>
        <v>80</v>
      </c>
      <c r="L206" s="38">
        <v>51</v>
      </c>
      <c r="M206" s="32">
        <f>IF(B206="高三",IF($E206="男",LOOKUP(L206,[1]对照表!$S$3:$S$24,[1]对照表!$T$3:$T$24),LOOKUP(L206,[1]对照表!$S$27:$S$48,[1]对照表!$T$27:$T$48)),IF(B206="高二",IF($E206="男",LOOKUP(L206,[1]对照表!$R$3:$R$24,[1]对照表!$T$3:$T$24),LOOKUP(L206,[1]对照表!$R$27:$R$48,[1]对照表!$T$27:$T$48)),IF(B206="高一",IF($E206="男",LOOKUP(L206,[1]对照表!$Q$3:$Q$24,[1]对照表!$T$3:$T$24),LOOKUP(L206,[1]对照表!$Q$27:$Q$48,[1]对照表!$T$27:$T$48)))))</f>
        <v>90</v>
      </c>
      <c r="N206" s="33">
        <f>IF(B206="高三",MAX(IF(E206="男",L206-18,L206-55),0),IF(B206="高二",MAX(IF(E206="男",L206-17,L206-54),0),IF(B206="高一",MAX(IF(E206="男",L206-16,L206-53),0))))</f>
        <v>0</v>
      </c>
      <c r="O206" s="23">
        <f>IF(E206="男",LOOKUP($N206,[1]对照表!$Z$3:$Z$13,[1]对照表!$AA$3:$AA$13),LOOKUP($N206,[1]对照表!$Z$15:$Z$25,[1]对照表!$AA$15:$AA$25))</f>
        <v>0</v>
      </c>
      <c r="P206" s="25">
        <f>M206+O206</f>
        <v>90</v>
      </c>
      <c r="Q206" s="50">
        <v>3.48</v>
      </c>
      <c r="R206" s="32">
        <f>IF(B206="高三",IF($E206="男",LOOKUP(Q206,[1]对照表!$W$3:$W$24,[1]对照表!$X$3:$X$24),LOOKUP(Q206,[1]对照表!$W$27:$W$48,[1]对照表!$X$27:$X$48)),IF(B206="高二",IF($E206="男",LOOKUP(Q206,[1]对照表!$V$3:$V$24,[1]对照表!$X$3:$X$24),LOOKUP(Q206,[1]对照表!$V$27:$V$48,[1]对照表!$X$27:$X$48)),IF(B206="高一",IF($E206="男",LOOKUP(Q206,[1]对照表!$U$3:$U$24,[1]对照表!$X$3:$X$24),LOOKUP(Q206,[1]对照表!$U$27:$U$48,[1]对照表!$X$27:$X$48)))))</f>
        <v>80</v>
      </c>
      <c r="S206" s="27">
        <f>ROUND(IF(IF($B206="高三",MIN(IF($E206="男",$Q206-3.2,$Q206-3.2),0),IF($B206="高二",MIN(IF($E206="男",$Q206-3.25,$Q206-3.22),0),IF($B206="高一",MIN(IF($E206="男",$Q206-3.3,$Q206-3.24),0))))&lt;-0.6,IF($B206="高三",MIN(IF($E206="男",$Q206-3.2,$Q206-3.2),0),IF($B206="高二",MIN(IF($E206="男",$Q206-3.25,$Q206-3.22),0),IF($B206="高一",MIN(IF($E206="男",$Q206-3.3,$Q206-3.24),0))))+0.4,IF($B206="高三",MIN(IF($E206="男",$Q206-3.2,$Q206-3.2),0),IF($B206="高二",MIN(IF($E206="男",$Q206-3.25,$Q206-3.22),0),IF($B206="高一",MIN(IF($E206="男",$Q206-3.3,$Q206-3.24),0))))),2)</f>
        <v>0</v>
      </c>
      <c r="T206" s="23">
        <f>IF(E206="男",LOOKUP($S206,[1]对照表!$AB$3:$AB$13,[1]对照表!$AC$3:$AC$13),LOOKUP($S206,[1]对照表!$AB$15:$AB$25,[1]对照表!$AC$15:$AC$25))</f>
        <v>0</v>
      </c>
      <c r="U206" s="26">
        <f>R206+T206</f>
        <v>80</v>
      </c>
      <c r="V206" s="26">
        <f>SUM(I206,K206,M206)/3*0.3+SUM(G206,R206)/2*0.4</f>
        <v>57.5</v>
      </c>
      <c r="W206" s="27">
        <f>O206+T206</f>
        <v>0</v>
      </c>
      <c r="X206" s="28">
        <f>V206/0.7+W206</f>
        <v>82.142857142857153</v>
      </c>
      <c r="Y206" s="28">
        <f>X206</f>
        <v>82.142857142857153</v>
      </c>
      <c r="Z206" s="38"/>
    </row>
    <row r="207" spans="1:26" ht="15.6" x14ac:dyDescent="0.25">
      <c r="A207" s="48">
        <v>40</v>
      </c>
      <c r="B207" s="17" t="s">
        <v>767</v>
      </c>
      <c r="C207" s="48">
        <v>204</v>
      </c>
      <c r="D207" s="49" t="s">
        <v>1032</v>
      </c>
      <c r="E207" s="48" t="s">
        <v>65</v>
      </c>
      <c r="F207" s="50">
        <v>9.23</v>
      </c>
      <c r="G207" s="32">
        <f>IF(B207="高三",IF($E207="男",LOOKUP(F207,[1]对照表!$G$3:$G$24,[1]对照表!$H$3:$H$24),LOOKUP(F207,[1]对照表!$G$27:$G$48,[1]对照表!$H$27:$H$48)),IF(B207="高二",IF($E207="男",LOOKUP(F207,[1]对照表!$F$3:$F$24,[1]对照表!$H$3:$H$24),LOOKUP(F207,[1]对照表!$F$27:$F$48,[1]对照表!$H$27:$H$48)),IF(B207="高一",IF($E207="男",LOOKUP(F207,[1]对照表!$E$3:$E$24,[1]对照表!$H$3:$H$24),LOOKUP(F207,[1]对照表!$E$27:$E$48,[1]对照表!$H$27:$H$48)))))</f>
        <v>72</v>
      </c>
      <c r="H207" s="38">
        <v>17</v>
      </c>
      <c r="I207" s="32">
        <f>IF(B207="高三",IF($E207="男",LOOKUP(H207,[1]对照表!$K$3:$K$24,[1]对照表!$L$3:$L$24),LOOKUP(H207,[1]对照表!$K$27:$K$48,[1]对照表!$L$27:$L$48)),IF(B207="高二",IF($E207="男",LOOKUP(H207,[1]对照表!$J$3:$J$24,[1]对照表!$L$3:$L$24),LOOKUP(H207,[1]对照表!$J$27:$J$48,[1]对照表!$L$27:$L$48)),IF(B207="高一",IF($E207="男",LOOKUP(H207,[1]对照表!$I$3:$I$24,[1]对照表!$L$3:$L$24),LOOKUP(H207,[1]对照表!$I$27:$I$48,[1]对照表!$L$27:$L$48)))))</f>
        <v>78</v>
      </c>
      <c r="J207" s="38">
        <v>164</v>
      </c>
      <c r="K207" s="32">
        <f>IF(B207="高三",IF($E207="男",LOOKUP(J207,[1]对照表!$O$3:$O$24,[1]对照表!$P$3:$P$24),LOOKUP(J207,[1]对照表!$O$27:$O$48,[1]对照表!$P$27:$P$48)),IF(B207="高二",IF($E207="男",LOOKUP(J207,[1]对照表!$N$3:$N$24,[1]对照表!$P$3:$P$24),LOOKUP(J207,[1]对照表!$N$27:$N$48,[1]对照表!$P$27:$P$48)),IF(B207="高一",IF($E207="男",LOOKUP(J207,[1]对照表!$M$3:$M$24,[1]对照表!$P$3:$P$24),LOOKUP(J207,[1]对照表!$M$27:$M$48,[1]对照表!$P$27:$P$48)))))</f>
        <v>70</v>
      </c>
      <c r="L207" s="38">
        <v>54</v>
      </c>
      <c r="M207" s="32">
        <f>IF(B207="高三",IF($E207="男",LOOKUP(L207,[1]对照表!$S$3:$S$24,[1]对照表!$T$3:$T$24),LOOKUP(L207,[1]对照表!$S$27:$S$48,[1]对照表!$T$27:$T$48)),IF(B207="高二",IF($E207="男",LOOKUP(L207,[1]对照表!$R$3:$R$24,[1]对照表!$T$3:$T$24),LOOKUP(L207,[1]对照表!$R$27:$R$48,[1]对照表!$T$27:$T$48)),IF(B207="高一",IF($E207="男",LOOKUP(L207,[1]对照表!$Q$3:$Q$24,[1]对照表!$T$3:$T$24),LOOKUP(L207,[1]对照表!$Q$27:$Q$48,[1]对照表!$T$27:$T$48)))))</f>
        <v>100</v>
      </c>
      <c r="N207" s="33">
        <f>IF(B207="高三",MAX(IF(E207="男",L207-18,L207-55),0),IF(B207="高二",MAX(IF(E207="男",L207-17,L207-54),0),IF(B207="高一",MAX(IF(E207="男",L207-16,L207-53),0))))</f>
        <v>0</v>
      </c>
      <c r="O207" s="23">
        <f>IF(E207="男",LOOKUP($N207,[1]对照表!$Z$3:$Z$13,[1]对照表!$AA$3:$AA$13),LOOKUP($N207,[1]对照表!$Z$15:$Z$25,[1]对照表!$AA$15:$AA$25))</f>
        <v>0</v>
      </c>
      <c r="P207" s="25">
        <f>M207+O207</f>
        <v>100</v>
      </c>
      <c r="Q207" s="50">
        <v>3.34</v>
      </c>
      <c r="R207" s="32">
        <f>IF(B207="高三",IF($E207="男",LOOKUP(Q207,[1]对照表!$W$3:$W$24,[1]对照表!$X$3:$X$24),LOOKUP(Q207,[1]对照表!$W$27:$W$48,[1]对照表!$X$27:$X$48)),IF(B207="高二",IF($E207="男",LOOKUP(Q207,[1]对照表!$V$3:$V$24,[1]对照表!$X$3:$X$24),LOOKUP(Q207,[1]对照表!$V$27:$V$48,[1]对照表!$X$27:$X$48)),IF(B207="高一",IF($E207="男",LOOKUP(Q207,[1]对照表!$U$3:$U$24,[1]对照表!$X$3:$X$24),LOOKUP(Q207,[1]对照表!$U$27:$U$48,[1]对照表!$X$27:$X$48)))))</f>
        <v>90</v>
      </c>
      <c r="S207" s="33">
        <f>ROUND(IF(IF($B207="高三",MIN(IF($E207="男",$Q207-3.2,$Q207-3.2),0),IF($B207="高二",MIN(IF($E207="男",$Q207-3.25,$Q207-3.22),0),IF($B207="高一",MIN(IF($E207="男",$Q207-3.3,$Q207-3.24),0))))&lt;-0.6,IF($B207="高三",MIN(IF($E207="男",$Q207-3.2,$Q207-3.2),0),IF($B207="高二",MIN(IF($E207="男",$Q207-3.25,$Q207-3.22),0),IF($B207="高一",MIN(IF($E207="男",$Q207-3.3,$Q207-3.24),0))))+0.4,IF($B207="高三",MIN(IF($E207="男",$Q207-3.2,$Q207-3.2),0),IF($B207="高二",MIN(IF($E207="男",$Q207-3.25,$Q207-3.22),0),IF($B207="高一",MIN(IF($E207="男",$Q207-3.3,$Q207-3.24),0))))),2)</f>
        <v>0</v>
      </c>
      <c r="T207" s="23">
        <f>IF(E207="男",LOOKUP($S207,[1]对照表!$AB$3:$AB$13,[1]对照表!$AC$3:$AC$13),LOOKUP($S207,[1]对照表!$AB$15:$AB$25,[1]对照表!$AC$15:$AC$25))</f>
        <v>0</v>
      </c>
      <c r="U207" s="26">
        <f>R207+T207</f>
        <v>90</v>
      </c>
      <c r="V207" s="26">
        <f>SUM(I207,K207,M207)/3*0.3+SUM(G207,R207)/2*0.4</f>
        <v>57.2</v>
      </c>
      <c r="W207" s="27">
        <f>O207+T207</f>
        <v>0</v>
      </c>
      <c r="X207" s="28">
        <f>V207/0.7+W207</f>
        <v>81.714285714285722</v>
      </c>
      <c r="Y207" s="28">
        <f>X207</f>
        <v>81.714285714285722</v>
      </c>
      <c r="Z207" s="38"/>
    </row>
    <row r="208" spans="1:26" ht="15.6" x14ac:dyDescent="0.25">
      <c r="A208" s="48">
        <v>21</v>
      </c>
      <c r="B208" s="17" t="s">
        <v>767</v>
      </c>
      <c r="C208" s="48">
        <v>204</v>
      </c>
      <c r="D208" s="49" t="s">
        <v>1043</v>
      </c>
      <c r="E208" s="48" t="s">
        <v>65</v>
      </c>
      <c r="F208" s="50">
        <v>8.74</v>
      </c>
      <c r="G208" s="32">
        <f>IF(B208="高三",IF($E208="男",LOOKUP(F208,[1]对照表!$G$3:$G$24,[1]对照表!$H$3:$H$24),LOOKUP(F208,[1]对照表!$G$27:$G$48,[1]对照表!$H$27:$H$48)),IF(B208="高二",IF($E208="男",LOOKUP(F208,[1]对照表!$F$3:$F$24,[1]对照表!$H$3:$H$24),LOOKUP(F208,[1]对照表!$F$27:$F$48,[1]对照表!$H$27:$H$48)),IF(B208="高一",IF($E208="男",LOOKUP(F208,[1]对照表!$E$3:$E$24,[1]对照表!$H$3:$H$24),LOOKUP(F208,[1]对照表!$E$27:$E$48,[1]对照表!$H$27:$H$48)))))</f>
        <v>76</v>
      </c>
      <c r="H208" s="38">
        <v>20</v>
      </c>
      <c r="I208" s="32">
        <f>IF(B208="高三",IF($E208="男",LOOKUP(H208,[1]对照表!$K$3:$K$24,[1]对照表!$L$3:$L$24),LOOKUP(H208,[1]对照表!$K$27:$K$48,[1]对照表!$L$27:$L$48)),IF(B208="高二",IF($E208="男",LOOKUP(H208,[1]对照表!$J$3:$J$24,[1]对照表!$L$3:$L$24),LOOKUP(H208,[1]对照表!$J$27:$J$48,[1]对照表!$L$27:$L$48)),IF(B208="高一",IF($E208="男",LOOKUP(H208,[1]对照表!$I$3:$I$24,[1]对照表!$L$3:$L$24),LOOKUP(H208,[1]对照表!$I$27:$I$48,[1]对照表!$L$27:$L$48)))))</f>
        <v>85</v>
      </c>
      <c r="J208" s="38">
        <v>170</v>
      </c>
      <c r="K208" s="32">
        <f>IF(B208="高三",IF($E208="男",LOOKUP(J208,[1]对照表!$O$3:$O$24,[1]对照表!$P$3:$P$24),LOOKUP(J208,[1]对照表!$O$27:$O$48,[1]对照表!$P$27:$P$48)),IF(B208="高二",IF($E208="男",LOOKUP(J208,[1]对照表!$N$3:$N$24,[1]对照表!$P$3:$P$24),LOOKUP(J208,[1]对照表!$N$27:$N$48,[1]对照表!$P$27:$P$48)),IF(B208="高一",IF($E208="男",LOOKUP(J208,[1]对照表!$M$3:$M$24,[1]对照表!$P$3:$P$24),LOOKUP(J208,[1]对照表!$M$27:$M$48,[1]对照表!$P$27:$P$48)))))</f>
        <v>74</v>
      </c>
      <c r="L208" s="38">
        <v>56</v>
      </c>
      <c r="M208" s="32">
        <f>IF(B208="高三",IF($E208="男",LOOKUP(L208,[1]对照表!$S$3:$S$24,[1]对照表!$T$3:$T$24),LOOKUP(L208,[1]对照表!$S$27:$S$48,[1]对照表!$T$27:$T$48)),IF(B208="高二",IF($E208="男",LOOKUP(L208,[1]对照表!$R$3:$R$24,[1]对照表!$T$3:$T$24),LOOKUP(L208,[1]对照表!$R$27:$R$48,[1]对照表!$T$27:$T$48)),IF(B208="高一",IF($E208="男",LOOKUP(L208,[1]对照表!$Q$3:$Q$24,[1]对照表!$T$3:$T$24),LOOKUP(L208,[1]对照表!$Q$27:$Q$48,[1]对照表!$T$27:$T$48)))))</f>
        <v>100</v>
      </c>
      <c r="N208" s="33">
        <f>IF(B208="高三",MAX(IF(E208="男",L208-18,L208-55),0),IF(B208="高二",MAX(IF(E208="男",L208-17,L208-54),0),IF(B208="高一",MAX(IF(E208="男",L208-16,L208-53),0))))</f>
        <v>2</v>
      </c>
      <c r="O208" s="23">
        <f>IF(E208="男",LOOKUP($N208,[1]对照表!$Z$3:$Z$13,[1]对照表!$AA$3:$AA$13),LOOKUP($N208,[1]对照表!$Z$15:$Z$25,[1]对照表!$AA$15:$AA$25))</f>
        <v>1</v>
      </c>
      <c r="P208" s="25">
        <f>M208+O208</f>
        <v>101</v>
      </c>
      <c r="Q208" s="50">
        <v>3.54</v>
      </c>
      <c r="R208" s="32">
        <f>IF(B208="高三",IF($E208="男",LOOKUP(Q208,[1]对照表!$W$3:$W$24,[1]对照表!$X$3:$X$24),LOOKUP(Q208,[1]对照表!$W$27:$W$48,[1]对照表!$X$27:$X$48)),IF(B208="高二",IF($E208="男",LOOKUP(Q208,[1]对照表!$V$3:$V$24,[1]对照表!$X$3:$X$24),LOOKUP(Q208,[1]对照表!$V$27:$V$48,[1]对照表!$X$27:$X$48)),IF(B208="高一",IF($E208="男",LOOKUP(Q208,[1]对照表!$U$3:$U$24,[1]对照表!$X$3:$X$24),LOOKUP(Q208,[1]对照表!$U$27:$U$48,[1]对照表!$X$27:$X$48)))))</f>
        <v>76</v>
      </c>
      <c r="S208" s="27">
        <f>ROUND(IF(IF($B208="高三",MIN(IF($E208="男",$Q208-3.2,$Q208-3.2),0),IF($B208="高二",MIN(IF($E208="男",$Q208-3.25,$Q208-3.22),0),IF($B208="高一",MIN(IF($E208="男",$Q208-3.3,$Q208-3.24),0))))&lt;-0.6,IF($B208="高三",MIN(IF($E208="男",$Q208-3.2,$Q208-3.2),0),IF($B208="高二",MIN(IF($E208="男",$Q208-3.25,$Q208-3.22),0),IF($B208="高一",MIN(IF($E208="男",$Q208-3.3,$Q208-3.24),0))))+0.4,IF($B208="高三",MIN(IF($E208="男",$Q208-3.2,$Q208-3.2),0),IF($B208="高二",MIN(IF($E208="男",$Q208-3.25,$Q208-3.22),0),IF($B208="高一",MIN(IF($E208="男",$Q208-3.3,$Q208-3.24),0))))),2)</f>
        <v>0</v>
      </c>
      <c r="T208" s="23">
        <f>IF(E208="男",LOOKUP($S208,[1]对照表!$AB$3:$AB$13,[1]对照表!$AC$3:$AC$13),LOOKUP($S208,[1]对照表!$AB$15:$AB$25,[1]对照表!$AC$15:$AC$25))</f>
        <v>0</v>
      </c>
      <c r="U208" s="26">
        <f>R208+T208</f>
        <v>76</v>
      </c>
      <c r="V208" s="26">
        <f>SUM(I208,K208,M208)/3*0.3+SUM(G208,R208)/2*0.4</f>
        <v>56.3</v>
      </c>
      <c r="W208" s="27">
        <f>O208+T208</f>
        <v>1</v>
      </c>
      <c r="X208" s="28">
        <f>V208/0.7+W208</f>
        <v>81.428571428571431</v>
      </c>
      <c r="Y208" s="28">
        <f>X208</f>
        <v>81.428571428571431</v>
      </c>
      <c r="Z208" s="38"/>
    </row>
    <row r="209" spans="1:26" ht="15.6" x14ac:dyDescent="0.25">
      <c r="A209" s="48">
        <v>33</v>
      </c>
      <c r="B209" s="17" t="s">
        <v>767</v>
      </c>
      <c r="C209" s="48">
        <v>204</v>
      </c>
      <c r="D209" s="49" t="s">
        <v>1055</v>
      </c>
      <c r="E209" s="48" t="s">
        <v>65</v>
      </c>
      <c r="F209" s="50">
        <v>9.4499999999999993</v>
      </c>
      <c r="G209" s="32">
        <f>IF(B209="高三",IF($E209="男",LOOKUP(F209,[1]对照表!$G$3:$G$24,[1]对照表!$H$3:$H$24),LOOKUP(F209,[1]对照表!$G$27:$G$48,[1]对照表!$H$27:$H$48)),IF(B209="高二",IF($E209="男",LOOKUP(F209,[1]对照表!$F$3:$F$24,[1]对照表!$H$3:$H$24),LOOKUP(F209,[1]对照表!$F$27:$F$48,[1]对照表!$H$27:$H$48)),IF(B209="高一",IF($E209="男",LOOKUP(F209,[1]对照表!$E$3:$E$24,[1]对照表!$H$3:$H$24),LOOKUP(F209,[1]对照表!$E$27:$E$48,[1]对照表!$H$27:$H$48)))))</f>
        <v>70</v>
      </c>
      <c r="H209" s="38">
        <v>23.5</v>
      </c>
      <c r="I209" s="32">
        <f>IF(B209="高三",IF($E209="男",LOOKUP(H209,[1]对照表!$K$3:$K$24,[1]对照表!$L$3:$L$24),LOOKUP(H209,[1]对照表!$K$27:$K$48,[1]对照表!$L$27:$L$48)),IF(B209="高二",IF($E209="男",LOOKUP(H209,[1]对照表!$J$3:$J$24,[1]对照表!$L$3:$L$24),LOOKUP(H209,[1]对照表!$J$27:$J$48,[1]对照表!$L$27:$L$48)),IF(B209="高一",IF($E209="男",LOOKUP(H209,[1]对照表!$I$3:$I$24,[1]对照表!$L$3:$L$24),LOOKUP(H209,[1]对照表!$I$27:$I$48,[1]对照表!$L$27:$L$48)))))</f>
        <v>95</v>
      </c>
      <c r="J209" s="38">
        <v>166</v>
      </c>
      <c r="K209" s="32">
        <f>IF(B209="高三",IF($E209="男",LOOKUP(J209,[1]对照表!$O$3:$O$24,[1]对照表!$P$3:$P$24),LOOKUP(J209,[1]对照表!$O$27:$O$48,[1]对照表!$P$27:$P$48)),IF(B209="高二",IF($E209="男",LOOKUP(J209,[1]对照表!$N$3:$N$24,[1]对照表!$P$3:$P$24),LOOKUP(J209,[1]对照表!$N$27:$N$48,[1]对照表!$P$27:$P$48)),IF(B209="高一",IF($E209="男",LOOKUP(J209,[1]对照表!$M$3:$M$24,[1]对照表!$P$3:$P$24),LOOKUP(J209,[1]对照表!$M$27:$M$48,[1]对照表!$P$27:$P$48)))))</f>
        <v>70</v>
      </c>
      <c r="L209" s="38">
        <v>55</v>
      </c>
      <c r="M209" s="32">
        <f>IF(B209="高三",IF($E209="男",LOOKUP(L209,[1]对照表!$S$3:$S$24,[1]对照表!$T$3:$T$24),LOOKUP(L209,[1]对照表!$S$27:$S$48,[1]对照表!$T$27:$T$48)),IF(B209="高二",IF($E209="男",LOOKUP(L209,[1]对照表!$R$3:$R$24,[1]对照表!$T$3:$T$24),LOOKUP(L209,[1]对照表!$R$27:$R$48,[1]对照表!$T$27:$T$48)),IF(B209="高一",IF($E209="男",LOOKUP(L209,[1]对照表!$Q$3:$Q$24,[1]对照表!$T$3:$T$24),LOOKUP(L209,[1]对照表!$Q$27:$Q$48,[1]对照表!$T$27:$T$48)))))</f>
        <v>100</v>
      </c>
      <c r="N209" s="33">
        <f>IF(B209="高三",MAX(IF(E209="男",L209-18,L209-55),0),IF(B209="高二",MAX(IF(E209="男",L209-17,L209-54),0),IF(B209="高一",MAX(IF(E209="男",L209-16,L209-53),0))))</f>
        <v>1</v>
      </c>
      <c r="O209" s="23">
        <f>IF(E209="男",LOOKUP($N209,[1]对照表!$Z$3:$Z$13,[1]对照表!$AA$3:$AA$13),LOOKUP($N209,[1]对照表!$Z$15:$Z$25,[1]对照表!$AA$15:$AA$25))</f>
        <v>0</v>
      </c>
      <c r="P209" s="25">
        <f>M209+O209</f>
        <v>100</v>
      </c>
      <c r="Q209" s="50">
        <v>3.44</v>
      </c>
      <c r="R209" s="32">
        <f>IF(B209="高三",IF($E209="男",LOOKUP(Q209,[1]对照表!$W$3:$W$24,[1]对照表!$X$3:$X$24),LOOKUP(Q209,[1]对照表!$W$27:$W$48,[1]对照表!$X$27:$X$48)),IF(B209="高二",IF($E209="男",LOOKUP(Q209,[1]对照表!$V$3:$V$24,[1]对照表!$X$3:$X$24),LOOKUP(Q209,[1]对照表!$V$27:$V$48,[1]对照表!$X$27:$X$48)),IF(B209="高一",IF($E209="男",LOOKUP(Q209,[1]对照表!$U$3:$U$24,[1]对照表!$X$3:$X$24),LOOKUP(Q209,[1]对照表!$U$27:$U$48,[1]对照表!$X$27:$X$48)))))</f>
        <v>80</v>
      </c>
      <c r="S209" s="33">
        <f>ROUND(IF(IF($B209="高三",MIN(IF($E209="男",$Q209-3.2,$Q209-3.2),0),IF($B209="高二",MIN(IF($E209="男",$Q209-3.25,$Q209-3.22),0),IF($B209="高一",MIN(IF($E209="男",$Q209-3.3,$Q209-3.24),0))))&lt;-0.6,IF($B209="高三",MIN(IF($E209="男",$Q209-3.2,$Q209-3.2),0),IF($B209="高二",MIN(IF($E209="男",$Q209-3.25,$Q209-3.22),0),IF($B209="高一",MIN(IF($E209="男",$Q209-3.3,$Q209-3.24),0))))+0.4,IF($B209="高三",MIN(IF($E209="男",$Q209-3.2,$Q209-3.2),0),IF($B209="高二",MIN(IF($E209="男",$Q209-3.25,$Q209-3.22),0),IF($B209="高一",MIN(IF($E209="男",$Q209-3.3,$Q209-3.24),0))))),2)</f>
        <v>0</v>
      </c>
      <c r="T209" s="23">
        <f>IF(E209="男",LOOKUP($S209,[1]对照表!$AB$3:$AB$13,[1]对照表!$AC$3:$AC$13),LOOKUP($S209,[1]对照表!$AB$15:$AB$25,[1]对照表!$AC$15:$AC$25))</f>
        <v>0</v>
      </c>
      <c r="U209" s="26">
        <f>R209+T209</f>
        <v>80</v>
      </c>
      <c r="V209" s="26">
        <f>SUM(I209,K209,M209)/3*0.3+SUM(G209,R209)/2*0.4</f>
        <v>56.5</v>
      </c>
      <c r="W209" s="27">
        <f>O209+T209</f>
        <v>0</v>
      </c>
      <c r="X209" s="28">
        <f>V209/0.7+W209</f>
        <v>80.714285714285722</v>
      </c>
      <c r="Y209" s="28">
        <f>X209</f>
        <v>80.714285714285722</v>
      </c>
      <c r="Z209" s="38"/>
    </row>
    <row r="210" spans="1:26" ht="15.6" x14ac:dyDescent="0.25">
      <c r="A210" s="48">
        <v>8</v>
      </c>
      <c r="B210" s="17" t="s">
        <v>767</v>
      </c>
      <c r="C210" s="48">
        <v>204</v>
      </c>
      <c r="D210" s="49" t="s">
        <v>1056</v>
      </c>
      <c r="E210" s="48" t="s">
        <v>23</v>
      </c>
      <c r="F210" s="50">
        <v>7</v>
      </c>
      <c r="G210" s="32">
        <f>IF(B210="高三",IF($E210="男",LOOKUP(F210,[1]对照表!$G$3:$G$24,[1]对照表!$H$3:$H$24),LOOKUP(F210,[1]对照表!$G$27:$G$48,[1]对照表!$H$27:$H$48)),IF(B210="高二",IF($E210="男",LOOKUP(F210,[1]对照表!$F$3:$F$24,[1]对照表!$H$3:$H$24),LOOKUP(F210,[1]对照表!$F$27:$F$48,[1]对照表!$H$27:$H$48)),IF(B210="高一",IF($E210="男",LOOKUP(F210,[1]对照表!$E$3:$E$24,[1]对照表!$H$3:$H$24),LOOKUP(F210,[1]对照表!$E$27:$E$48,[1]对照表!$H$27:$H$48)))))</f>
        <v>100</v>
      </c>
      <c r="H210" s="38">
        <v>21.5</v>
      </c>
      <c r="I210" s="32">
        <f>IF(B210="高三",IF($E210="男",LOOKUP(H210,[1]对照表!$K$3:$K$24,[1]对照表!$L$3:$L$24),LOOKUP(H210,[1]对照表!$K$27:$K$48,[1]对照表!$L$27:$L$48)),IF(B210="高二",IF($E210="男",LOOKUP(H210,[1]对照表!$J$3:$J$24,[1]对照表!$L$3:$L$24),LOOKUP(H210,[1]对照表!$J$27:$J$48,[1]对照表!$L$27:$L$48)),IF(B210="高一",IF($E210="男",LOOKUP(H210,[1]对照表!$I$3:$I$24,[1]对照表!$L$3:$L$24),LOOKUP(H210,[1]对照表!$I$27:$I$48,[1]对照表!$L$27:$L$48)))))</f>
        <v>90</v>
      </c>
      <c r="J210" s="38">
        <v>230</v>
      </c>
      <c r="K210" s="32">
        <f>IF(B210="高三",IF($E210="男",LOOKUP(J210,[1]对照表!$O$3:$O$24,[1]对照表!$P$3:$P$24),LOOKUP(J210,[1]对照表!$O$27:$O$48,[1]对照表!$P$27:$P$48)),IF(B210="高二",IF($E210="男",LOOKUP(J210,[1]对照表!$N$3:$N$24,[1]对照表!$P$3:$P$24),LOOKUP(J210,[1]对照表!$N$27:$N$48,[1]对照表!$P$27:$P$48)),IF(B210="高一",IF($E210="男",LOOKUP(J210,[1]对照表!$M$3:$M$24,[1]对照表!$P$3:$P$24),LOOKUP(J210,[1]对照表!$M$27:$M$48,[1]对照表!$P$27:$P$48)))))</f>
        <v>74</v>
      </c>
      <c r="L210" s="38">
        <v>15</v>
      </c>
      <c r="M210" s="32">
        <f>IF(B210="高三",IF($E210="男",LOOKUP(L210,[1]对照表!$S$3:$S$24,[1]对照表!$T$3:$T$24),LOOKUP(L210,[1]对照表!$S$27:$S$48,[1]对照表!$T$27:$T$48)),IF(B210="高二",IF($E210="男",LOOKUP(L210,[1]对照表!$R$3:$R$24,[1]对照表!$T$3:$T$24),LOOKUP(L210,[1]对照表!$R$27:$R$48,[1]对照表!$T$27:$T$48)),IF(B210="高一",IF($E210="男",LOOKUP(L210,[1]对照表!$Q$3:$Q$24,[1]对照表!$T$3:$T$24),LOOKUP(L210,[1]对照表!$Q$27:$Q$48,[1]对照表!$T$27:$T$48)))))</f>
        <v>90</v>
      </c>
      <c r="N210" s="33">
        <f>IF(B210="高三",MAX(IF(E210="男",L210-18,L210-55),0),IF(B210="高二",MAX(IF(E210="男",L210-17,L210-54),0),IF(B210="高一",MAX(IF(E210="男",L210-16,L210-53),0))))</f>
        <v>0</v>
      </c>
      <c r="O210" s="23">
        <f>IF(E210="男",LOOKUP($N210,[1]对照表!$Z$3:$Z$13,[1]对照表!$AA$3:$AA$13),LOOKUP($N210,[1]对照表!$Z$15:$Z$25,[1]对照表!$AA$15:$AA$25))</f>
        <v>0</v>
      </c>
      <c r="P210" s="25">
        <f>M210+O210</f>
        <v>90</v>
      </c>
      <c r="Q210" s="50">
        <v>3.53</v>
      </c>
      <c r="R210" s="32">
        <f>IF(B210="高三",IF($E210="男",LOOKUP(Q210,[1]对照表!$W$3:$W$24,[1]对照表!$X$3:$X$24),LOOKUP(Q210,[1]对照表!$W$27:$W$48,[1]对照表!$X$27:$X$48)),IF(B210="高二",IF($E210="男",LOOKUP(Q210,[1]对照表!$V$3:$V$24,[1]对照表!$X$3:$X$24),LOOKUP(Q210,[1]对照表!$V$27:$V$48,[1]对照表!$X$27:$X$48)),IF(B210="高一",IF($E210="男",LOOKUP(Q210,[1]对照表!$U$3:$U$24,[1]对照表!$X$3:$X$24),LOOKUP(Q210,[1]对照表!$U$27:$U$48,[1]对照表!$X$27:$X$48)))))</f>
        <v>78</v>
      </c>
      <c r="S210" s="33">
        <f>ROUND(IF(IF($B210="高三",MIN(IF($E210="男",$Q210-3.2,$Q210-3.2),0),IF($B210="高二",MIN(IF($E210="男",$Q210-3.25,$Q210-3.22),0),IF($B210="高一",MIN(IF($E210="男",$Q210-3.3,$Q210-3.24),0))))&lt;-0.6,IF($B210="高三",MIN(IF($E210="男",$Q210-3.2,$Q210-3.2),0),IF($B210="高二",MIN(IF($E210="男",$Q210-3.25,$Q210-3.22),0),IF($B210="高一",MIN(IF($E210="男",$Q210-3.3,$Q210-3.24),0))))+0.4,IF($B210="高三",MIN(IF($E210="男",$Q210-3.2,$Q210-3.2),0),IF($B210="高二",MIN(IF($E210="男",$Q210-3.25,$Q210-3.22),0),IF($B210="高一",MIN(IF($E210="男",$Q210-3.3,$Q210-3.24),0))))),2)</f>
        <v>0</v>
      </c>
      <c r="T210" s="23">
        <f>IF(E210="男",LOOKUP($S210,[1]对照表!$AB$3:$AB$13,[1]对照表!$AC$3:$AC$13),LOOKUP($S210,[1]对照表!$AB$15:$AB$25,[1]对照表!$AC$15:$AC$25))</f>
        <v>0</v>
      </c>
      <c r="U210" s="26">
        <f>R210+T210</f>
        <v>78</v>
      </c>
      <c r="V210" s="26">
        <f>SUM(I210,K210,M210)/3*0.3+SUM(G210,R210)/2*0.4</f>
        <v>61</v>
      </c>
      <c r="W210" s="27">
        <f>O210+T210</f>
        <v>0</v>
      </c>
      <c r="X210" s="28">
        <f>V210/0.7+W210</f>
        <v>87.142857142857153</v>
      </c>
      <c r="Y210" s="28">
        <f>X210</f>
        <v>87.142857142857153</v>
      </c>
      <c r="Z210" s="38"/>
    </row>
    <row r="211" spans="1:26" ht="15.6" x14ac:dyDescent="0.25">
      <c r="A211" s="48">
        <v>57</v>
      </c>
      <c r="B211" s="17" t="s">
        <v>767</v>
      </c>
      <c r="C211" s="48">
        <v>204</v>
      </c>
      <c r="D211" s="49" t="s">
        <v>1058</v>
      </c>
      <c r="E211" s="48" t="s">
        <v>65</v>
      </c>
      <c r="F211" s="50">
        <v>8.89</v>
      </c>
      <c r="G211" s="32">
        <f>IF(B211="高三",IF($E211="男",LOOKUP(F211,[1]对照表!$G$3:$G$24,[1]对照表!$H$3:$H$24),LOOKUP(F211,[1]对照表!$G$27:$G$48,[1]对照表!$H$27:$H$48)),IF(B211="高二",IF($E211="男",LOOKUP(F211,[1]对照表!$F$3:$F$24,[1]对照表!$H$3:$H$24),LOOKUP(F211,[1]对照表!$F$27:$F$48,[1]对照表!$H$27:$H$48)),IF(B211="高一",IF($E211="男",LOOKUP(F211,[1]对照表!$E$3:$E$24,[1]对照表!$H$3:$H$24),LOOKUP(F211,[1]对照表!$E$27:$E$48,[1]对照表!$H$27:$H$48)))))</f>
        <v>76</v>
      </c>
      <c r="H211" s="38">
        <v>25</v>
      </c>
      <c r="I211" s="32">
        <f>IF(B211="高三",IF($E211="男",LOOKUP(H211,[1]对照表!$K$3:$K$24,[1]对照表!$L$3:$L$24),LOOKUP(H211,[1]对照表!$K$27:$K$48,[1]对照表!$L$27:$L$48)),IF(B211="高二",IF($E211="男",LOOKUP(H211,[1]对照表!$J$3:$J$24,[1]对照表!$L$3:$L$24),LOOKUP(H211,[1]对照表!$J$27:$J$48,[1]对照表!$L$27:$L$48)),IF(B211="高一",IF($E211="男",LOOKUP(H211,[1]对照表!$I$3:$I$24,[1]对照表!$L$3:$L$24),LOOKUP(H211,[1]对照表!$I$27:$I$48,[1]对照表!$L$27:$L$48)))))</f>
        <v>100</v>
      </c>
      <c r="J211" s="38">
        <v>165</v>
      </c>
      <c r="K211" s="32">
        <f>IF(B211="高三",IF($E211="男",LOOKUP(J211,[1]对照表!$O$3:$O$24,[1]对照表!$P$3:$P$24),LOOKUP(J211,[1]对照表!$O$27:$O$48,[1]对照表!$P$27:$P$48)),IF(B211="高二",IF($E211="男",LOOKUP(J211,[1]对照表!$N$3:$N$24,[1]对照表!$P$3:$P$24),LOOKUP(J211,[1]对照表!$N$27:$N$48,[1]对照表!$P$27:$P$48)),IF(B211="高一",IF($E211="男",LOOKUP(J211,[1]对照表!$M$3:$M$24,[1]对照表!$P$3:$P$24),LOOKUP(J211,[1]对照表!$M$27:$M$48,[1]对照表!$P$27:$P$48)))))</f>
        <v>70</v>
      </c>
      <c r="L211" s="38">
        <v>50</v>
      </c>
      <c r="M211" s="32">
        <f>IF(B211="高三",IF($E211="男",LOOKUP(L211,[1]对照表!$S$3:$S$24,[1]对照表!$T$3:$T$24),LOOKUP(L211,[1]对照表!$S$27:$S$48,[1]对照表!$T$27:$T$48)),IF(B211="高二",IF($E211="男",LOOKUP(L211,[1]对照表!$R$3:$R$24,[1]对照表!$T$3:$T$24),LOOKUP(L211,[1]对照表!$R$27:$R$48,[1]对照表!$T$27:$T$48)),IF(B211="高一",IF($E211="男",LOOKUP(L211,[1]对照表!$Q$3:$Q$24,[1]对照表!$T$3:$T$24),LOOKUP(L211,[1]对照表!$Q$27:$Q$48,[1]对照表!$T$27:$T$48)))))</f>
        <v>90</v>
      </c>
      <c r="N211" s="33">
        <f>IF(B211="高三",MAX(IF(E211="男",L211-18,L211-55),0),IF(B211="高二",MAX(IF(E211="男",L211-17,L211-54),0),IF(B211="高一",MAX(IF(E211="男",L211-16,L211-53),0))))</f>
        <v>0</v>
      </c>
      <c r="O211" s="23">
        <f>IF(E211="男",LOOKUP($N211,[1]对照表!$Z$3:$Z$13,[1]对照表!$AA$3:$AA$13),LOOKUP($N211,[1]对照表!$Z$15:$Z$25,[1]对照表!$AA$15:$AA$25))</f>
        <v>0</v>
      </c>
      <c r="P211" s="25">
        <f>M211+O211</f>
        <v>90</v>
      </c>
      <c r="Q211" s="50">
        <v>3.54</v>
      </c>
      <c r="R211" s="32">
        <f>IF(B211="高三",IF($E211="男",LOOKUP(Q211,[1]对照表!$W$3:$W$24,[1]对照表!$X$3:$X$24),LOOKUP(Q211,[1]对照表!$W$27:$W$48,[1]对照表!$X$27:$X$48)),IF(B211="高二",IF($E211="男",LOOKUP(Q211,[1]对照表!$V$3:$V$24,[1]对照表!$X$3:$X$24),LOOKUP(Q211,[1]对照表!$V$27:$V$48,[1]对照表!$X$27:$X$48)),IF(B211="高一",IF($E211="男",LOOKUP(Q211,[1]对照表!$U$3:$U$24,[1]对照表!$X$3:$X$24),LOOKUP(Q211,[1]对照表!$U$27:$U$48,[1]对照表!$X$27:$X$48)))))</f>
        <v>76</v>
      </c>
      <c r="S211" s="33">
        <f>ROUND(IF(IF($B211="高三",MIN(IF($E211="男",$Q211-3.2,$Q211-3.2),0),IF($B211="高二",MIN(IF($E211="男",$Q211-3.25,$Q211-3.22),0),IF($B211="高一",MIN(IF($E211="男",$Q211-3.3,$Q211-3.24),0))))&lt;-0.6,IF($B211="高三",MIN(IF($E211="男",$Q211-3.2,$Q211-3.2),0),IF($B211="高二",MIN(IF($E211="男",$Q211-3.25,$Q211-3.22),0),IF($B211="高一",MIN(IF($E211="男",$Q211-3.3,$Q211-3.24),0))))+0.4,IF($B211="高三",MIN(IF($E211="男",$Q211-3.2,$Q211-3.2),0),IF($B211="高二",MIN(IF($E211="男",$Q211-3.25,$Q211-3.22),0),IF($B211="高一",MIN(IF($E211="男",$Q211-3.3,$Q211-3.24),0))))),2)</f>
        <v>0</v>
      </c>
      <c r="T211" s="23">
        <f>IF(E211="男",LOOKUP($S211,[1]对照表!$AB$3:$AB$13,[1]对照表!$AC$3:$AC$13),LOOKUP($S211,[1]对照表!$AB$15:$AB$25,[1]对照表!$AC$15:$AC$25))</f>
        <v>0</v>
      </c>
      <c r="U211" s="26">
        <f>R211+T211</f>
        <v>76</v>
      </c>
      <c r="V211" s="26">
        <f>SUM(I211,K211,M211)/3*0.3+SUM(G211,R211)/2*0.4</f>
        <v>56.400000000000006</v>
      </c>
      <c r="W211" s="27">
        <f>O211+T211</f>
        <v>0</v>
      </c>
      <c r="X211" s="28">
        <f>V211/0.7+W211</f>
        <v>80.571428571428584</v>
      </c>
      <c r="Y211" s="28">
        <f>X211</f>
        <v>80.571428571428584</v>
      </c>
      <c r="Z211" s="38"/>
    </row>
    <row r="212" spans="1:26" ht="15.6" x14ac:dyDescent="0.25">
      <c r="A212" s="48">
        <v>44</v>
      </c>
      <c r="B212" s="17" t="s">
        <v>767</v>
      </c>
      <c r="C212" s="48">
        <v>204</v>
      </c>
      <c r="D212" s="49" t="s">
        <v>1061</v>
      </c>
      <c r="E212" s="48" t="s">
        <v>65</v>
      </c>
      <c r="F212" s="50">
        <v>8.75</v>
      </c>
      <c r="G212" s="32">
        <f>IF(B212="高三",IF($E212="男",LOOKUP(F212,[1]对照表!$G$3:$G$24,[1]对照表!$H$3:$H$24),LOOKUP(F212,[1]对照表!$G$27:$G$48,[1]对照表!$H$27:$H$48)),IF(B212="高二",IF($E212="男",LOOKUP(F212,[1]对照表!$F$3:$F$24,[1]对照表!$H$3:$H$24),LOOKUP(F212,[1]对照表!$F$27:$F$48,[1]对照表!$H$27:$H$48)),IF(B212="高一",IF($E212="男",LOOKUP(F212,[1]对照表!$E$3:$E$24,[1]对照表!$H$3:$H$24),LOOKUP(F212,[1]对照表!$E$27:$E$48,[1]对照表!$H$27:$H$48)))))</f>
        <v>76</v>
      </c>
      <c r="H212" s="38">
        <v>19</v>
      </c>
      <c r="I212" s="32">
        <f>IF(B212="高三",IF($E212="男",LOOKUP(H212,[1]对照表!$K$3:$K$24,[1]对照表!$L$3:$L$24),LOOKUP(H212,[1]对照表!$K$27:$K$48,[1]对照表!$L$27:$L$48)),IF(B212="高二",IF($E212="男",LOOKUP(H212,[1]对照表!$J$3:$J$24,[1]对照表!$L$3:$L$24),LOOKUP(H212,[1]对照表!$J$27:$J$48,[1]对照表!$L$27:$L$48)),IF(B212="高一",IF($E212="男",LOOKUP(H212,[1]对照表!$I$3:$I$24,[1]对照表!$L$3:$L$24),LOOKUP(H212,[1]对照表!$I$27:$I$48,[1]对照表!$L$27:$L$48)))))</f>
        <v>80</v>
      </c>
      <c r="J212" s="38">
        <v>173</v>
      </c>
      <c r="K212" s="32">
        <f>IF(B212="高三",IF($E212="男",LOOKUP(J212,[1]对照表!$O$3:$O$24,[1]对照表!$P$3:$P$24),LOOKUP(J212,[1]对照表!$O$27:$O$48,[1]对照表!$P$27:$P$48)),IF(B212="高二",IF($E212="男",LOOKUP(J212,[1]对照表!$N$3:$N$24,[1]对照表!$P$3:$P$24),LOOKUP(J212,[1]对照表!$N$27:$N$48,[1]对照表!$P$27:$P$48)),IF(B212="高一",IF($E212="男",LOOKUP(J212,[1]对照表!$M$3:$M$24,[1]对照表!$P$3:$P$24),LOOKUP(J212,[1]对照表!$M$27:$M$48,[1]对照表!$P$27:$P$48)))))</f>
        <v>76</v>
      </c>
      <c r="L212" s="38">
        <v>54</v>
      </c>
      <c r="M212" s="32">
        <f>IF(B212="高三",IF($E212="男",LOOKUP(L212,[1]对照表!$S$3:$S$24,[1]对照表!$T$3:$T$24),LOOKUP(L212,[1]对照表!$S$27:$S$48,[1]对照表!$T$27:$T$48)),IF(B212="高二",IF($E212="男",LOOKUP(L212,[1]对照表!$R$3:$R$24,[1]对照表!$T$3:$T$24),LOOKUP(L212,[1]对照表!$R$27:$R$48,[1]对照表!$T$27:$T$48)),IF(B212="高一",IF($E212="男",LOOKUP(L212,[1]对照表!$Q$3:$Q$24,[1]对照表!$T$3:$T$24),LOOKUP(L212,[1]对照表!$Q$27:$Q$48,[1]对照表!$T$27:$T$48)))))</f>
        <v>100</v>
      </c>
      <c r="N212" s="33">
        <f>IF(B212="高三",MAX(IF(E212="男",L212-18,L212-55),0),IF(B212="高二",MAX(IF(E212="男",L212-17,L212-54),0),IF(B212="高一",MAX(IF(E212="男",L212-16,L212-53),0))))</f>
        <v>0</v>
      </c>
      <c r="O212" s="23">
        <f>IF(E212="男",LOOKUP($N212,[1]对照表!$Z$3:$Z$13,[1]对照表!$AA$3:$AA$13),LOOKUP($N212,[1]对照表!$Z$15:$Z$25,[1]对照表!$AA$15:$AA$25))</f>
        <v>0</v>
      </c>
      <c r="P212" s="25">
        <f>M212+O212</f>
        <v>100</v>
      </c>
      <c r="Q212" s="50">
        <v>3.53</v>
      </c>
      <c r="R212" s="32">
        <f>IF(B212="高三",IF($E212="男",LOOKUP(Q212,[1]对照表!$W$3:$W$24,[1]对照表!$X$3:$X$24),LOOKUP(Q212,[1]对照表!$W$27:$W$48,[1]对照表!$X$27:$X$48)),IF(B212="高二",IF($E212="男",LOOKUP(Q212,[1]对照表!$V$3:$V$24,[1]对照表!$X$3:$X$24),LOOKUP(Q212,[1]对照表!$V$27:$V$48,[1]对照表!$X$27:$X$48)),IF(B212="高一",IF($E212="男",LOOKUP(Q212,[1]对照表!$U$3:$U$24,[1]对照表!$X$3:$X$24),LOOKUP(Q212,[1]对照表!$U$27:$U$48,[1]对照表!$X$27:$X$48)))))</f>
        <v>78</v>
      </c>
      <c r="S212" s="33">
        <f>ROUND(IF(IF($B212="高三",MIN(IF($E212="男",$Q212-3.2,$Q212-3.2),0),IF($B212="高二",MIN(IF($E212="男",$Q212-3.25,$Q212-3.22),0),IF($B212="高一",MIN(IF($E212="男",$Q212-3.3,$Q212-3.24),0))))&lt;-0.6,IF($B212="高三",MIN(IF($E212="男",$Q212-3.2,$Q212-3.2),0),IF($B212="高二",MIN(IF($E212="男",$Q212-3.25,$Q212-3.22),0),IF($B212="高一",MIN(IF($E212="男",$Q212-3.3,$Q212-3.24),0))))+0.4,IF($B212="高三",MIN(IF($E212="男",$Q212-3.2,$Q212-3.2),0),IF($B212="高二",MIN(IF($E212="男",$Q212-3.25,$Q212-3.22),0),IF($B212="高一",MIN(IF($E212="男",$Q212-3.3,$Q212-3.24),0))))),2)</f>
        <v>0</v>
      </c>
      <c r="T212" s="23">
        <f>IF(E212="男",LOOKUP($S212,[1]对照表!$AB$3:$AB$13,[1]对照表!$AC$3:$AC$13),LOOKUP($S212,[1]对照表!$AB$15:$AB$25,[1]对照表!$AC$15:$AC$25))</f>
        <v>0</v>
      </c>
      <c r="U212" s="26">
        <f>R212+T212</f>
        <v>78</v>
      </c>
      <c r="V212" s="26">
        <f>SUM(I212,K212,M212)/3*0.3+SUM(G212,R212)/2*0.4</f>
        <v>56.4</v>
      </c>
      <c r="W212" s="27">
        <f>O212+T212</f>
        <v>0</v>
      </c>
      <c r="X212" s="28">
        <f>V212/0.7+W212</f>
        <v>80.571428571428569</v>
      </c>
      <c r="Y212" s="28">
        <f>X212</f>
        <v>80.571428571428569</v>
      </c>
      <c r="Z212" s="38"/>
    </row>
    <row r="213" spans="1:26" ht="15.6" customHeight="1" x14ac:dyDescent="0.25">
      <c r="A213" s="48">
        <v>48</v>
      </c>
      <c r="B213" s="17" t="s">
        <v>767</v>
      </c>
      <c r="C213" s="48">
        <v>204</v>
      </c>
      <c r="D213" s="49" t="s">
        <v>1062</v>
      </c>
      <c r="E213" s="48" t="s">
        <v>65</v>
      </c>
      <c r="F213" s="50">
        <v>9.4600000000000009</v>
      </c>
      <c r="G213" s="32">
        <f>IF(B213="高三",IF($E213="男",LOOKUP(F213,[1]对照表!$G$3:$G$24,[1]对照表!$H$3:$H$24),LOOKUP(F213,[1]对照表!$G$27:$G$48,[1]对照表!$H$27:$H$48)),IF(B213="高二",IF($E213="男",LOOKUP(F213,[1]对照表!$F$3:$F$24,[1]对照表!$H$3:$H$24),LOOKUP(F213,[1]对照表!$F$27:$F$48,[1]对照表!$H$27:$H$48)),IF(B213="高一",IF($E213="男",LOOKUP(F213,[1]对照表!$E$3:$E$24,[1]对照表!$H$3:$H$24),LOOKUP(F213,[1]对照表!$E$27:$E$48,[1]对照表!$H$27:$H$48)))))</f>
        <v>70</v>
      </c>
      <c r="H213" s="38">
        <v>12</v>
      </c>
      <c r="I213" s="32">
        <f>IF(B213="高三",IF($E213="男",LOOKUP(H213,[1]对照表!$K$3:$K$24,[1]对照表!$L$3:$L$24),LOOKUP(H213,[1]对照表!$K$27:$K$48,[1]对照表!$L$27:$L$48)),IF(B213="高二",IF($E213="男",LOOKUP(H213,[1]对照表!$J$3:$J$24,[1]对照表!$L$3:$L$24),LOOKUP(H213,[1]对照表!$J$27:$J$48,[1]对照表!$L$27:$L$48)),IF(B213="高一",IF($E213="男",LOOKUP(H213,[1]对照表!$I$3:$I$24,[1]对照表!$L$3:$L$24),LOOKUP(H213,[1]对照表!$I$27:$I$48,[1]对照表!$L$27:$L$48)))))</f>
        <v>70</v>
      </c>
      <c r="J213" s="38">
        <v>174</v>
      </c>
      <c r="K213" s="32">
        <f>IF(B213="高三",IF($E213="男",LOOKUP(J213,[1]对照表!$O$3:$O$24,[1]对照表!$P$3:$P$24),LOOKUP(J213,[1]对照表!$O$27:$O$48,[1]对照表!$P$27:$P$48)),IF(B213="高二",IF($E213="男",LOOKUP(J213,[1]对照表!$N$3:$N$24,[1]对照表!$P$3:$P$24),LOOKUP(J213,[1]对照表!$N$27:$N$48,[1]对照表!$P$27:$P$48)),IF(B213="高一",IF($E213="男",LOOKUP(J213,[1]对照表!$M$3:$M$24,[1]对照表!$P$3:$P$24),LOOKUP(J213,[1]对照表!$M$27:$M$48,[1]对照表!$P$27:$P$48)))))</f>
        <v>76</v>
      </c>
      <c r="L213" s="38">
        <v>56</v>
      </c>
      <c r="M213" s="32">
        <f>IF(B213="高三",IF($E213="男",LOOKUP(L213,[1]对照表!$S$3:$S$24,[1]对照表!$T$3:$T$24),LOOKUP(L213,[1]对照表!$S$27:$S$48,[1]对照表!$T$27:$T$48)),IF(B213="高二",IF($E213="男",LOOKUP(L213,[1]对照表!$R$3:$R$24,[1]对照表!$T$3:$T$24),LOOKUP(L213,[1]对照表!$R$27:$R$48,[1]对照表!$T$27:$T$48)),IF(B213="高一",IF($E213="男",LOOKUP(L213,[1]对照表!$Q$3:$Q$24,[1]对照表!$T$3:$T$24),LOOKUP(L213,[1]对照表!$Q$27:$Q$48,[1]对照表!$T$27:$T$48)))))</f>
        <v>100</v>
      </c>
      <c r="N213" s="33">
        <f>IF(B213="高三",MAX(IF(E213="男",L213-18,L213-55),0),IF(B213="高二",MAX(IF(E213="男",L213-17,L213-54),0),IF(B213="高一",MAX(IF(E213="男",L213-16,L213-53),0))))</f>
        <v>2</v>
      </c>
      <c r="O213" s="23">
        <f>IF(E213="男",LOOKUP($N213,[1]对照表!$Z$3:$Z$13,[1]对照表!$AA$3:$AA$13),LOOKUP($N213,[1]对照表!$Z$15:$Z$25,[1]对照表!$AA$15:$AA$25))</f>
        <v>1</v>
      </c>
      <c r="P213" s="25">
        <f>M213+O213</f>
        <v>101</v>
      </c>
      <c r="Q213" s="50">
        <v>3.38</v>
      </c>
      <c r="R213" s="32">
        <f>IF(B213="高三",IF($E213="男",LOOKUP(Q213,[1]对照表!$W$3:$W$24,[1]对照表!$X$3:$X$24),LOOKUP(Q213,[1]对照表!$W$27:$W$48,[1]对照表!$X$27:$X$48)),IF(B213="高二",IF($E213="男",LOOKUP(Q213,[1]对照表!$V$3:$V$24,[1]对照表!$X$3:$X$24),LOOKUP(Q213,[1]对照表!$V$27:$V$48,[1]对照表!$X$27:$X$48)),IF(B213="高一",IF($E213="男",LOOKUP(Q213,[1]对照表!$U$3:$U$24,[1]对照表!$X$3:$X$24),LOOKUP(Q213,[1]对照表!$U$27:$U$48,[1]对照表!$X$27:$X$48)))))</f>
        <v>85</v>
      </c>
      <c r="S213" s="33">
        <f>ROUND(IF(IF($B213="高三",MIN(IF($E213="男",$Q213-3.2,$Q213-3.2),0),IF($B213="高二",MIN(IF($E213="男",$Q213-3.25,$Q213-3.22),0),IF($B213="高一",MIN(IF($E213="男",$Q213-3.3,$Q213-3.24),0))))&lt;-0.6,IF($B213="高三",MIN(IF($E213="男",$Q213-3.2,$Q213-3.2),0),IF($B213="高二",MIN(IF($E213="男",$Q213-3.25,$Q213-3.22),0),IF($B213="高一",MIN(IF($E213="男",$Q213-3.3,$Q213-3.24),0))))+0.4,IF($B213="高三",MIN(IF($E213="男",$Q213-3.2,$Q213-3.2),0),IF($B213="高二",MIN(IF($E213="男",$Q213-3.25,$Q213-3.22),0),IF($B213="高一",MIN(IF($E213="男",$Q213-3.3,$Q213-3.24),0))))),2)</f>
        <v>0</v>
      </c>
      <c r="T213" s="23">
        <f>IF(E213="男",LOOKUP($S213,[1]对照表!$AB$3:$AB$13,[1]对照表!$AC$3:$AC$13),LOOKUP($S213,[1]对照表!$AB$15:$AB$25,[1]对照表!$AC$15:$AC$25))</f>
        <v>0</v>
      </c>
      <c r="U213" s="26">
        <f>R213+T213</f>
        <v>85</v>
      </c>
      <c r="V213" s="26">
        <f>SUM(I213,K213,M213)/3*0.3+SUM(G213,R213)/2*0.4</f>
        <v>55.599999999999994</v>
      </c>
      <c r="W213" s="27">
        <f>O213+T213</f>
        <v>1</v>
      </c>
      <c r="X213" s="28">
        <f>V213/0.7+W213</f>
        <v>80.428571428571431</v>
      </c>
      <c r="Y213" s="28">
        <f>X213</f>
        <v>80.428571428571431</v>
      </c>
      <c r="Z213" s="38"/>
    </row>
    <row r="214" spans="1:26" ht="15.6" x14ac:dyDescent="0.25">
      <c r="A214" s="48">
        <v>42</v>
      </c>
      <c r="B214" s="17" t="s">
        <v>767</v>
      </c>
      <c r="C214" s="48">
        <v>204</v>
      </c>
      <c r="D214" s="49" t="s">
        <v>1087</v>
      </c>
      <c r="E214" s="48" t="s">
        <v>65</v>
      </c>
      <c r="F214" s="50">
        <v>8.5500000000000007</v>
      </c>
      <c r="G214" s="32">
        <f>IF(B214="高三",IF($E214="男",LOOKUP(F214,[1]对照表!$G$3:$G$24,[1]对照表!$H$3:$H$24),LOOKUP(F214,[1]对照表!$G$27:$G$48,[1]对照表!$H$27:$H$48)),IF(B214="高二",IF($E214="男",LOOKUP(F214,[1]对照表!$F$3:$F$24,[1]对照表!$H$3:$H$24),LOOKUP(F214,[1]对照表!$F$27:$F$48,[1]对照表!$H$27:$H$48)),IF(B214="高一",IF($E214="男",LOOKUP(F214,[1]对照表!$E$3:$E$24,[1]对照表!$H$3:$H$24),LOOKUP(F214,[1]对照表!$E$27:$E$48,[1]对照表!$H$27:$H$48)))))</f>
        <v>78</v>
      </c>
      <c r="H214" s="38">
        <v>18</v>
      </c>
      <c r="I214" s="32">
        <f>IF(B214="高三",IF($E214="男",LOOKUP(H214,[1]对照表!$K$3:$K$24,[1]对照表!$L$3:$L$24),LOOKUP(H214,[1]对照表!$K$27:$K$48,[1]对照表!$L$27:$L$48)),IF(B214="高二",IF($E214="男",LOOKUP(H214,[1]对照表!$J$3:$J$24,[1]对照表!$L$3:$L$24),LOOKUP(H214,[1]对照表!$J$27:$J$48,[1]对照表!$L$27:$L$48)),IF(B214="高一",IF($E214="男",LOOKUP(H214,[1]对照表!$I$3:$I$24,[1]对照表!$L$3:$L$24),LOOKUP(H214,[1]对照表!$I$27:$I$48,[1]对照表!$L$27:$L$48)))))</f>
        <v>80</v>
      </c>
      <c r="J214" s="38">
        <v>170</v>
      </c>
      <c r="K214" s="32">
        <f>IF(B214="高三",IF($E214="男",LOOKUP(J214,[1]对照表!$O$3:$O$24,[1]对照表!$P$3:$P$24),LOOKUP(J214,[1]对照表!$O$27:$O$48,[1]对照表!$P$27:$P$48)),IF(B214="高二",IF($E214="男",LOOKUP(J214,[1]对照表!$N$3:$N$24,[1]对照表!$P$3:$P$24),LOOKUP(J214,[1]对照表!$N$27:$N$48,[1]对照表!$P$27:$P$48)),IF(B214="高一",IF($E214="男",LOOKUP(J214,[1]对照表!$M$3:$M$24,[1]对照表!$P$3:$P$24),LOOKUP(J214,[1]对照表!$M$27:$M$48,[1]对照表!$P$27:$P$48)))))</f>
        <v>74</v>
      </c>
      <c r="L214" s="38">
        <v>41</v>
      </c>
      <c r="M214" s="32">
        <f>IF(B214="高三",IF($E214="男",LOOKUP(L214,[1]对照表!$S$3:$S$24,[1]对照表!$T$3:$T$24),LOOKUP(L214,[1]对照表!$S$27:$S$48,[1]对照表!$T$27:$T$48)),IF(B214="高二",IF($E214="男",LOOKUP(L214,[1]对照表!$R$3:$R$24,[1]对照表!$T$3:$T$24),LOOKUP(L214,[1]对照表!$R$27:$R$48,[1]对照表!$T$27:$T$48)),IF(B214="高一",IF($E214="男",LOOKUP(L214,[1]对照表!$Q$3:$Q$24,[1]对照表!$T$3:$T$24),LOOKUP(L214,[1]对照表!$Q$27:$Q$48,[1]对照表!$T$27:$T$48)))))</f>
        <v>76</v>
      </c>
      <c r="N214" s="33">
        <f>IF(B214="高三",MAX(IF(E214="男",L214-18,L214-55),0),IF(B214="高二",MAX(IF(E214="男",L214-17,L214-54),0),IF(B214="高一",MAX(IF(E214="男",L214-16,L214-53),0))))</f>
        <v>0</v>
      </c>
      <c r="O214" s="23">
        <f>IF(E214="男",LOOKUP($N214,[1]对照表!$Z$3:$Z$13,[1]对照表!$AA$3:$AA$13),LOOKUP($N214,[1]对照表!$Z$15:$Z$25,[1]对照表!$AA$15:$AA$25))</f>
        <v>0</v>
      </c>
      <c r="P214" s="25">
        <f>M214+O214</f>
        <v>76</v>
      </c>
      <c r="Q214" s="50">
        <v>3.39</v>
      </c>
      <c r="R214" s="32">
        <f>IF(B214="高三",IF($E214="男",LOOKUP(Q214,[1]对照表!$W$3:$W$24,[1]对照表!$X$3:$X$24),LOOKUP(Q214,[1]对照表!$W$27:$W$48,[1]对照表!$X$27:$X$48)),IF(B214="高二",IF($E214="男",LOOKUP(Q214,[1]对照表!$V$3:$V$24,[1]对照表!$X$3:$X$24),LOOKUP(Q214,[1]对照表!$V$27:$V$48,[1]对照表!$X$27:$X$48)),IF(B214="高一",IF($E214="男",LOOKUP(Q214,[1]对照表!$U$3:$U$24,[1]对照表!$X$3:$X$24),LOOKUP(Q214,[1]对照表!$U$27:$U$48,[1]对照表!$X$27:$X$48)))))</f>
        <v>85</v>
      </c>
      <c r="S214" s="33">
        <f>ROUND(IF(IF($B214="高三",MIN(IF($E214="男",$Q214-3.2,$Q214-3.2),0),IF($B214="高二",MIN(IF($E214="男",$Q214-3.25,$Q214-3.22),0),IF($B214="高一",MIN(IF($E214="男",$Q214-3.3,$Q214-3.24),0))))&lt;-0.6,IF($B214="高三",MIN(IF($E214="男",$Q214-3.2,$Q214-3.2),0),IF($B214="高二",MIN(IF($E214="男",$Q214-3.25,$Q214-3.22),0),IF($B214="高一",MIN(IF($E214="男",$Q214-3.3,$Q214-3.24),0))))+0.4,IF($B214="高三",MIN(IF($E214="男",$Q214-3.2,$Q214-3.2),0),IF($B214="高二",MIN(IF($E214="男",$Q214-3.25,$Q214-3.22),0),IF($B214="高一",MIN(IF($E214="男",$Q214-3.3,$Q214-3.24),0))))),2)</f>
        <v>0</v>
      </c>
      <c r="T214" s="23">
        <f>IF(E214="男",LOOKUP($S214,[1]对照表!$AB$3:$AB$13,[1]对照表!$AC$3:$AC$13),LOOKUP($S214,[1]对照表!$AB$15:$AB$25,[1]对照表!$AC$15:$AC$25))</f>
        <v>0</v>
      </c>
      <c r="U214" s="26">
        <f>R214+T214</f>
        <v>85</v>
      </c>
      <c r="V214" s="26">
        <f>SUM(I214,K214,M214)/3*0.3+SUM(G214,R214)/2*0.4</f>
        <v>55.6</v>
      </c>
      <c r="W214" s="27">
        <f>O214+T214</f>
        <v>0</v>
      </c>
      <c r="X214" s="28">
        <f>V214/0.7+W214</f>
        <v>79.428571428571431</v>
      </c>
      <c r="Y214" s="28">
        <f>X214</f>
        <v>79.428571428571431</v>
      </c>
      <c r="Z214" s="38"/>
    </row>
    <row r="215" spans="1:26" ht="15.6" x14ac:dyDescent="0.25">
      <c r="A215" s="48">
        <v>22</v>
      </c>
      <c r="B215" s="17" t="s">
        <v>767</v>
      </c>
      <c r="C215" s="48">
        <v>204</v>
      </c>
      <c r="D215" s="49" t="s">
        <v>1130</v>
      </c>
      <c r="E215" s="48" t="s">
        <v>65</v>
      </c>
      <c r="F215" s="50">
        <v>8.91</v>
      </c>
      <c r="G215" s="32">
        <f>IF(B215="高三",IF($E215="男",LOOKUP(F215,[1]对照表!$G$3:$G$24,[1]对照表!$H$3:$H$24),LOOKUP(F215,[1]对照表!$G$27:$G$48,[1]对照表!$H$27:$H$48)),IF(B215="高二",IF($E215="男",LOOKUP(F215,[1]对照表!$F$3:$F$24,[1]对照表!$H$3:$H$24),LOOKUP(F215,[1]对照表!$F$27:$F$48,[1]对照表!$H$27:$H$48)),IF(B215="高一",IF($E215="男",LOOKUP(F215,[1]对照表!$E$3:$E$24,[1]对照表!$H$3:$H$24),LOOKUP(F215,[1]对照表!$E$27:$E$48,[1]对照表!$H$27:$H$48)))))</f>
        <v>74</v>
      </c>
      <c r="H215" s="38">
        <v>16.100000000000001</v>
      </c>
      <c r="I215" s="32">
        <f>IF(B215="高三",IF($E215="男",LOOKUP(H215,[1]对照表!$K$3:$K$24,[1]对照表!$L$3:$L$24),LOOKUP(H215,[1]对照表!$K$27:$K$48,[1]对照表!$L$27:$L$48)),IF(B215="高二",IF($E215="男",LOOKUP(H215,[1]对照表!$J$3:$J$24,[1]对照表!$L$3:$L$24),LOOKUP(H215,[1]对照表!$J$27:$J$48,[1]对照表!$L$27:$L$48)),IF(B215="高一",IF($E215="男",LOOKUP(H215,[1]对照表!$I$3:$I$24,[1]对照表!$L$3:$L$24),LOOKUP(H215,[1]对照表!$I$27:$I$48,[1]对照表!$L$27:$L$48)))))</f>
        <v>76</v>
      </c>
      <c r="J215" s="38">
        <v>182</v>
      </c>
      <c r="K215" s="32">
        <f>IF(B215="高三",IF($E215="男",LOOKUP(J215,[1]对照表!$O$3:$O$24,[1]对照表!$P$3:$P$24),LOOKUP(J215,[1]对照表!$O$27:$O$48,[1]对照表!$P$27:$P$48)),IF(B215="高二",IF($E215="男",LOOKUP(J215,[1]对照表!$N$3:$N$24,[1]对照表!$P$3:$P$24),LOOKUP(J215,[1]对照表!$N$27:$N$48,[1]对照表!$P$27:$P$48)),IF(B215="高一",IF($E215="男",LOOKUP(J215,[1]对照表!$M$3:$M$24,[1]对照表!$P$3:$P$24),LOOKUP(J215,[1]对照表!$M$27:$M$48,[1]对照表!$P$27:$P$48)))))</f>
        <v>80</v>
      </c>
      <c r="L215" s="38">
        <v>42</v>
      </c>
      <c r="M215" s="32">
        <f>IF(B215="高三",IF($E215="男",LOOKUP(L215,[1]对照表!$S$3:$S$24,[1]对照表!$T$3:$T$24),LOOKUP(L215,[1]对照表!$S$27:$S$48,[1]对照表!$T$27:$T$48)),IF(B215="高二",IF($E215="男",LOOKUP(L215,[1]对照表!$R$3:$R$24,[1]对照表!$T$3:$T$24),LOOKUP(L215,[1]对照表!$R$27:$R$48,[1]对照表!$T$27:$T$48)),IF(B215="高一",IF($E215="男",LOOKUP(L215,[1]对照表!$Q$3:$Q$24,[1]对照表!$T$3:$T$24),LOOKUP(L215,[1]对照表!$Q$27:$Q$48,[1]对照表!$T$27:$T$48)))))</f>
        <v>78</v>
      </c>
      <c r="N215" s="33">
        <f>IF(B215="高三",MAX(IF(E215="男",L215-18,L215-55),0),IF(B215="高二",MAX(IF(E215="男",L215-17,L215-54),0),IF(B215="高一",MAX(IF(E215="男",L215-16,L215-53),0))))</f>
        <v>0</v>
      </c>
      <c r="O215" s="23">
        <f>IF(E215="男",LOOKUP($N215,[1]对照表!$Z$3:$Z$13,[1]对照表!$AA$3:$AA$13),LOOKUP($N215,[1]对照表!$Z$15:$Z$25,[1]对照表!$AA$15:$AA$25))</f>
        <v>0</v>
      </c>
      <c r="P215" s="25">
        <f>M215+O215</f>
        <v>78</v>
      </c>
      <c r="Q215" s="50">
        <v>3.42</v>
      </c>
      <c r="R215" s="32">
        <f>IF(B215="高三",IF($E215="男",LOOKUP(Q215,[1]对照表!$W$3:$W$24,[1]对照表!$X$3:$X$24),LOOKUP(Q215,[1]对照表!$W$27:$W$48,[1]对照表!$X$27:$X$48)),IF(B215="高二",IF($E215="男",LOOKUP(Q215,[1]对照表!$V$3:$V$24,[1]对照表!$X$3:$X$24),LOOKUP(Q215,[1]对照表!$V$27:$V$48,[1]对照表!$X$27:$X$48)),IF(B215="高一",IF($E215="男",LOOKUP(Q215,[1]对照表!$U$3:$U$24,[1]对照表!$X$3:$X$24),LOOKUP(Q215,[1]对照表!$U$27:$U$48,[1]对照表!$X$27:$X$48)))))</f>
        <v>80</v>
      </c>
      <c r="S215" s="33">
        <f>ROUND(IF(IF($B215="高三",MIN(IF($E215="男",$Q215-3.2,$Q215-3.2),0),IF($B215="高二",MIN(IF($E215="男",$Q215-3.25,$Q215-3.22),0),IF($B215="高一",MIN(IF($E215="男",$Q215-3.3,$Q215-3.24),0))))&lt;-0.6,IF($B215="高三",MIN(IF($E215="男",$Q215-3.2,$Q215-3.2),0),IF($B215="高二",MIN(IF($E215="男",$Q215-3.25,$Q215-3.22),0),IF($B215="高一",MIN(IF($E215="男",$Q215-3.3,$Q215-3.24),0))))+0.4,IF($B215="高三",MIN(IF($E215="男",$Q215-3.2,$Q215-3.2),0),IF($B215="高二",MIN(IF($E215="男",$Q215-3.25,$Q215-3.22),0),IF($B215="高一",MIN(IF($E215="男",$Q215-3.3,$Q215-3.24),0))))),2)</f>
        <v>0</v>
      </c>
      <c r="T215" s="23">
        <f>IF(E215="男",LOOKUP($S215,[1]对照表!$AB$3:$AB$13,[1]对照表!$AC$3:$AC$13),LOOKUP($S215,[1]对照表!$AB$15:$AB$25,[1]对照表!$AC$15:$AC$25))</f>
        <v>0</v>
      </c>
      <c r="U215" s="26">
        <f>R215+T215</f>
        <v>80</v>
      </c>
      <c r="V215" s="26">
        <f>SUM(I215,K215,M215)/3*0.3+SUM(G215,R215)/2*0.4</f>
        <v>54.2</v>
      </c>
      <c r="W215" s="27">
        <f>O215+T215</f>
        <v>0</v>
      </c>
      <c r="X215" s="28">
        <f>V215/0.7+W215</f>
        <v>77.428571428571431</v>
      </c>
      <c r="Y215" s="28">
        <f>X215</f>
        <v>77.428571428571431</v>
      </c>
      <c r="Z215" s="38"/>
    </row>
    <row r="216" spans="1:26" ht="15.6" x14ac:dyDescent="0.25">
      <c r="A216" s="48">
        <v>15</v>
      </c>
      <c r="B216" s="17" t="s">
        <v>767</v>
      </c>
      <c r="C216" s="48">
        <v>204</v>
      </c>
      <c r="D216" s="49" t="s">
        <v>1143</v>
      </c>
      <c r="E216" s="48" t="s">
        <v>65</v>
      </c>
      <c r="F216" s="50">
        <v>9.6999999999999993</v>
      </c>
      <c r="G216" s="32">
        <f>IF(B216="高三",IF($E216="男",LOOKUP(F216,[1]对照表!$G$3:$G$24,[1]对照表!$H$3:$H$24),LOOKUP(F216,[1]对照表!$G$27:$G$48,[1]对照表!$H$27:$H$48)),IF(B216="高二",IF($E216="男",LOOKUP(F216,[1]对照表!$F$3:$F$24,[1]对照表!$H$3:$H$24),LOOKUP(F216,[1]对照表!$F$27:$F$48,[1]对照表!$H$27:$H$48)),IF(B216="高一",IF($E216="男",LOOKUP(F216,[1]对照表!$E$3:$E$24,[1]对照表!$H$3:$H$24),LOOKUP(F216,[1]对照表!$E$27:$E$48,[1]对照表!$H$27:$H$48)))))</f>
        <v>68</v>
      </c>
      <c r="H216" s="38">
        <v>21.1</v>
      </c>
      <c r="I216" s="32">
        <f>IF(B216="高三",IF($E216="男",LOOKUP(H216,[1]对照表!$K$3:$K$24,[1]对照表!$L$3:$L$24),LOOKUP(H216,[1]对照表!$K$27:$K$48,[1]对照表!$L$27:$L$48)),IF(B216="高二",IF($E216="男",LOOKUP(H216,[1]对照表!$J$3:$J$24,[1]对照表!$L$3:$L$24),LOOKUP(H216,[1]对照表!$J$27:$J$48,[1]对照表!$L$27:$L$48)),IF(B216="高一",IF($E216="男",LOOKUP(H216,[1]对照表!$I$3:$I$24,[1]对照表!$L$3:$L$24),LOOKUP(H216,[1]对照表!$I$27:$I$48,[1]对照表!$L$27:$L$48)))))</f>
        <v>85</v>
      </c>
      <c r="J216" s="38">
        <v>168</v>
      </c>
      <c r="K216" s="32">
        <f>IF(B216="高三",IF($E216="男",LOOKUP(J216,[1]对照表!$O$3:$O$24,[1]对照表!$P$3:$P$24),LOOKUP(J216,[1]对照表!$O$27:$O$48,[1]对照表!$P$27:$P$48)),IF(B216="高二",IF($E216="男",LOOKUP(J216,[1]对照表!$N$3:$N$24,[1]对照表!$P$3:$P$24),LOOKUP(J216,[1]对照表!$N$27:$N$48,[1]对照表!$P$27:$P$48)),IF(B216="高一",IF($E216="男",LOOKUP(J216,[1]对照表!$M$3:$M$24,[1]对照表!$P$3:$P$24),LOOKUP(J216,[1]对照表!$M$27:$M$48,[1]对照表!$P$27:$P$48)))))</f>
        <v>72</v>
      </c>
      <c r="L216" s="38">
        <v>53</v>
      </c>
      <c r="M216" s="32">
        <f>IF(B216="高三",IF($E216="男",LOOKUP(L216,[1]对照表!$S$3:$S$24,[1]对照表!$T$3:$T$24),LOOKUP(L216,[1]对照表!$S$27:$S$48,[1]对照表!$T$27:$T$48)),IF(B216="高二",IF($E216="男",LOOKUP(L216,[1]对照表!$R$3:$R$24,[1]对照表!$T$3:$T$24),LOOKUP(L216,[1]对照表!$R$27:$R$48,[1]对照表!$T$27:$T$48)),IF(B216="高一",IF($E216="男",LOOKUP(L216,[1]对照表!$Q$3:$Q$24,[1]对照表!$T$3:$T$24),LOOKUP(L216,[1]对照表!$Q$27:$Q$48,[1]对照表!$T$27:$T$48)))))</f>
        <v>95</v>
      </c>
      <c r="N216" s="33">
        <f>IF(B216="高三",MAX(IF(E216="男",L216-18,L216-55),0),IF(B216="高二",MAX(IF(E216="男",L216-17,L216-54),0),IF(B216="高一",MAX(IF(E216="男",L216-16,L216-53),0))))</f>
        <v>0</v>
      </c>
      <c r="O216" s="23">
        <f>IF(E216="男",LOOKUP($N216,[1]对照表!$Z$3:$Z$13,[1]对照表!$AA$3:$AA$13),LOOKUP($N216,[1]对照表!$Z$15:$Z$25,[1]对照表!$AA$15:$AA$25))</f>
        <v>0</v>
      </c>
      <c r="P216" s="25">
        <f>M216+O216</f>
        <v>95</v>
      </c>
      <c r="Q216" s="50">
        <v>3.55</v>
      </c>
      <c r="R216" s="32">
        <f>IF(B216="高三",IF($E216="男",LOOKUP(Q216,[1]对照表!$W$3:$W$24,[1]对照表!$X$3:$X$24),LOOKUP(Q216,[1]对照表!$W$27:$W$48,[1]对照表!$X$27:$X$48)),IF(B216="高二",IF($E216="男",LOOKUP(Q216,[1]对照表!$V$3:$V$24,[1]对照表!$X$3:$X$24),LOOKUP(Q216,[1]对照表!$V$27:$V$48,[1]对照表!$X$27:$X$48)),IF(B216="高一",IF($E216="男",LOOKUP(Q216,[1]对照表!$U$3:$U$24,[1]对照表!$X$3:$X$24),LOOKUP(Q216,[1]对照表!$U$27:$U$48,[1]对照表!$X$27:$X$48)))))</f>
        <v>76</v>
      </c>
      <c r="S216" s="33">
        <f>ROUND(IF(IF($B216="高三",MIN(IF($E216="男",$Q216-3.2,$Q216-3.2),0),IF($B216="高二",MIN(IF($E216="男",$Q216-3.25,$Q216-3.22),0),IF($B216="高一",MIN(IF($E216="男",$Q216-3.3,$Q216-3.24),0))))&lt;-0.6,IF($B216="高三",MIN(IF($E216="男",$Q216-3.2,$Q216-3.2),0),IF($B216="高二",MIN(IF($E216="男",$Q216-3.25,$Q216-3.22),0),IF($B216="高一",MIN(IF($E216="男",$Q216-3.3,$Q216-3.24),0))))+0.4,IF($B216="高三",MIN(IF($E216="男",$Q216-3.2,$Q216-3.2),0),IF($B216="高二",MIN(IF($E216="男",$Q216-3.25,$Q216-3.22),0),IF($B216="高一",MIN(IF($E216="男",$Q216-3.3,$Q216-3.24),0))))),2)</f>
        <v>0</v>
      </c>
      <c r="T216" s="23">
        <f>IF(E216="男",LOOKUP($S216,[1]对照表!$AB$3:$AB$13,[1]对照表!$AC$3:$AC$13),LOOKUP($S216,[1]对照表!$AB$15:$AB$25,[1]对照表!$AC$15:$AC$25))</f>
        <v>0</v>
      </c>
      <c r="U216" s="26">
        <f>R216+T216</f>
        <v>76</v>
      </c>
      <c r="V216" s="26">
        <f>SUM(I216,K216,M216)/3*0.3+SUM(G216,R216)/2*0.4</f>
        <v>54</v>
      </c>
      <c r="W216" s="27">
        <f>O216+T216</f>
        <v>0</v>
      </c>
      <c r="X216" s="28">
        <f>V216/0.7+W216</f>
        <v>77.142857142857153</v>
      </c>
      <c r="Y216" s="28">
        <f>X216</f>
        <v>77.142857142857153</v>
      </c>
      <c r="Z216" s="38"/>
    </row>
    <row r="217" spans="1:26" ht="15.6" x14ac:dyDescent="0.25">
      <c r="A217" s="48">
        <v>46</v>
      </c>
      <c r="B217" s="17" t="s">
        <v>767</v>
      </c>
      <c r="C217" s="48">
        <v>204</v>
      </c>
      <c r="D217" s="49" t="s">
        <v>1191</v>
      </c>
      <c r="E217" s="48" t="s">
        <v>65</v>
      </c>
      <c r="F217" s="50">
        <v>9.02</v>
      </c>
      <c r="G217" s="32">
        <f>IF(B217="高三",IF($E217="男",LOOKUP(F217,[1]对照表!$G$3:$G$24,[1]对照表!$H$3:$H$24),LOOKUP(F217,[1]对照表!$G$27:$G$48,[1]对照表!$H$27:$H$48)),IF(B217="高二",IF($E217="男",LOOKUP(F217,[1]对照表!$F$3:$F$24,[1]对照表!$H$3:$H$24),LOOKUP(F217,[1]对照表!$F$27:$F$48,[1]对照表!$H$27:$H$48)),IF(B217="高一",IF($E217="男",LOOKUP(F217,[1]对照表!$E$3:$E$24,[1]对照表!$H$3:$H$24),LOOKUP(F217,[1]对照表!$E$27:$E$48,[1]对照表!$H$27:$H$48)))))</f>
        <v>74</v>
      </c>
      <c r="H217" s="38">
        <v>11</v>
      </c>
      <c r="I217" s="32">
        <f>IF(B217="高三",IF($E217="男",LOOKUP(H217,[1]对照表!$K$3:$K$24,[1]对照表!$L$3:$L$24),LOOKUP(H217,[1]对照表!$K$27:$K$48,[1]对照表!$L$27:$L$48)),IF(B217="高二",IF($E217="男",LOOKUP(H217,[1]对照表!$J$3:$J$24,[1]对照表!$L$3:$L$24),LOOKUP(H217,[1]对照表!$J$27:$J$48,[1]对照表!$L$27:$L$48)),IF(B217="高一",IF($E217="男",LOOKUP(H217,[1]对照表!$I$3:$I$24,[1]对照表!$L$3:$L$24),LOOKUP(H217,[1]对照表!$I$27:$I$48,[1]对照表!$L$27:$L$48)))))</f>
        <v>68</v>
      </c>
      <c r="J217" s="38">
        <v>158</v>
      </c>
      <c r="K217" s="32">
        <f>IF(B217="高三",IF($E217="男",LOOKUP(J217,[1]对照表!$O$3:$O$24,[1]对照表!$P$3:$P$24),LOOKUP(J217,[1]对照表!$O$27:$O$48,[1]对照表!$P$27:$P$48)),IF(B217="高二",IF($E217="男",LOOKUP(J217,[1]对照表!$N$3:$N$24,[1]对照表!$P$3:$P$24),LOOKUP(J217,[1]对照表!$N$27:$N$48,[1]对照表!$P$27:$P$48)),IF(B217="高一",IF($E217="男",LOOKUP(J217,[1]对照表!$M$3:$M$24,[1]对照表!$P$3:$P$24),LOOKUP(J217,[1]对照表!$M$27:$M$48,[1]对照表!$P$27:$P$48)))))</f>
        <v>66</v>
      </c>
      <c r="L217" s="38">
        <v>47</v>
      </c>
      <c r="M217" s="32">
        <f>IF(B217="高三",IF($E217="男",LOOKUP(L217,[1]对照表!$S$3:$S$24,[1]对照表!$T$3:$T$24),LOOKUP(L217,[1]对照表!$S$27:$S$48,[1]对照表!$T$27:$T$48)),IF(B217="高二",IF($E217="男",LOOKUP(L217,[1]对照表!$R$3:$R$24,[1]对照表!$T$3:$T$24),LOOKUP(L217,[1]对照表!$R$27:$R$48,[1]对照表!$T$27:$T$48)),IF(B217="高一",IF($E217="男",LOOKUP(L217,[1]对照表!$Q$3:$Q$24,[1]对照表!$T$3:$T$24),LOOKUP(L217,[1]对照表!$Q$27:$Q$48,[1]对照表!$T$27:$T$48)))))</f>
        <v>85</v>
      </c>
      <c r="N217" s="33">
        <f>IF(B217="高三",MAX(IF(E217="男",L217-18,L217-55),0),IF(B217="高二",MAX(IF(E217="男",L217-17,L217-54),0),IF(B217="高一",MAX(IF(E217="男",L217-16,L217-53),0))))</f>
        <v>0</v>
      </c>
      <c r="O217" s="23">
        <f>IF(E217="男",LOOKUP($N217,[1]对照表!$Z$3:$Z$13,[1]对照表!$AA$3:$AA$13),LOOKUP($N217,[1]对照表!$Z$15:$Z$25,[1]对照表!$AA$15:$AA$25))</f>
        <v>0</v>
      </c>
      <c r="P217" s="25">
        <f>M217+O217</f>
        <v>85</v>
      </c>
      <c r="Q217" s="50">
        <v>3.54</v>
      </c>
      <c r="R217" s="32">
        <f>IF(B217="高三",IF($E217="男",LOOKUP(Q217,[1]对照表!$W$3:$W$24,[1]对照表!$X$3:$X$24),LOOKUP(Q217,[1]对照表!$W$27:$W$48,[1]对照表!$X$27:$X$48)),IF(B217="高二",IF($E217="男",LOOKUP(Q217,[1]对照表!$V$3:$V$24,[1]对照表!$X$3:$X$24),LOOKUP(Q217,[1]对照表!$V$27:$V$48,[1]对照表!$X$27:$X$48)),IF(B217="高一",IF($E217="男",LOOKUP(Q217,[1]对照表!$U$3:$U$24,[1]对照表!$X$3:$X$24),LOOKUP(Q217,[1]对照表!$U$27:$U$48,[1]对照表!$X$27:$X$48)))))</f>
        <v>76</v>
      </c>
      <c r="S217" s="33">
        <f>ROUND(IF(IF($B217="高三",MIN(IF($E217="男",$Q217-3.2,$Q217-3.2),0),IF($B217="高二",MIN(IF($E217="男",$Q217-3.25,$Q217-3.22),0),IF($B217="高一",MIN(IF($E217="男",$Q217-3.3,$Q217-3.24),0))))&lt;-0.6,IF($B217="高三",MIN(IF($E217="男",$Q217-3.2,$Q217-3.2),0),IF($B217="高二",MIN(IF($E217="男",$Q217-3.25,$Q217-3.22),0),IF($B217="高一",MIN(IF($E217="男",$Q217-3.3,$Q217-3.24),0))))+0.4,IF($B217="高三",MIN(IF($E217="男",$Q217-3.2,$Q217-3.2),0),IF($B217="高二",MIN(IF($E217="男",$Q217-3.25,$Q217-3.22),0),IF($B217="高一",MIN(IF($E217="男",$Q217-3.3,$Q217-3.24),0))))),2)</f>
        <v>0</v>
      </c>
      <c r="T217" s="23">
        <f>IF(E217="男",LOOKUP($S217,[1]对照表!$AB$3:$AB$13,[1]对照表!$AC$3:$AC$13),LOOKUP($S217,[1]对照表!$AB$15:$AB$25,[1]对照表!$AC$15:$AC$25))</f>
        <v>0</v>
      </c>
      <c r="U217" s="26">
        <f>R217+T217</f>
        <v>76</v>
      </c>
      <c r="V217" s="26">
        <f>SUM(I217,K217,M217)/3*0.3+SUM(G217,R217)/2*0.4</f>
        <v>51.9</v>
      </c>
      <c r="W217" s="27">
        <f>O217+T217</f>
        <v>0</v>
      </c>
      <c r="X217" s="28">
        <f>V217/0.7+W217</f>
        <v>74.142857142857139</v>
      </c>
      <c r="Y217" s="28">
        <f>X217</f>
        <v>74.142857142857139</v>
      </c>
      <c r="Z217" s="38"/>
    </row>
    <row r="218" spans="1:26" ht="15.6" x14ac:dyDescent="0.25">
      <c r="A218" s="48">
        <v>56</v>
      </c>
      <c r="B218" s="17" t="s">
        <v>767</v>
      </c>
      <c r="C218" s="48">
        <v>204</v>
      </c>
      <c r="D218" s="49" t="s">
        <v>1238</v>
      </c>
      <c r="E218" s="48" t="s">
        <v>65</v>
      </c>
      <c r="F218" s="50">
        <v>10.27</v>
      </c>
      <c r="G218" s="32">
        <f>IF(B218="高三",IF($E218="男",LOOKUP(F218,[1]对照表!$G$3:$G$24,[1]对照表!$H$3:$H$24),LOOKUP(F218,[1]对照表!$G$27:$G$48,[1]对照表!$H$27:$H$48)),IF(B218="高二",IF($E218="男",LOOKUP(F218,[1]对照表!$F$3:$F$24,[1]对照表!$H$3:$H$24),LOOKUP(F218,[1]对照表!$F$27:$F$48,[1]对照表!$H$27:$H$48)),IF(B218="高一",IF($E218="男",LOOKUP(F218,[1]对照表!$E$3:$E$24,[1]对照表!$H$3:$H$24),LOOKUP(F218,[1]对照表!$E$27:$E$48,[1]对照表!$H$27:$H$48)))))</f>
        <v>62</v>
      </c>
      <c r="H218" s="38">
        <v>19.5</v>
      </c>
      <c r="I218" s="32">
        <f>IF(B218="高三",IF($E218="男",LOOKUP(H218,[1]对照表!$K$3:$K$24,[1]对照表!$L$3:$L$24),LOOKUP(H218,[1]对照表!$K$27:$K$48,[1]对照表!$L$27:$L$48)),IF(B218="高二",IF($E218="男",LOOKUP(H218,[1]对照表!$J$3:$J$24,[1]对照表!$L$3:$L$24),LOOKUP(H218,[1]对照表!$J$27:$J$48,[1]对照表!$L$27:$L$48)),IF(B218="高一",IF($E218="男",LOOKUP(H218,[1]对照表!$I$3:$I$24,[1]对照表!$L$3:$L$24),LOOKUP(H218,[1]对照表!$I$27:$I$48,[1]对照表!$L$27:$L$48)))))</f>
        <v>80</v>
      </c>
      <c r="J218" s="38">
        <v>150</v>
      </c>
      <c r="K218" s="32">
        <f>IF(B218="高三",IF($E218="男",LOOKUP(J218,[1]对照表!$O$3:$O$24,[1]对照表!$P$3:$P$24),LOOKUP(J218,[1]对照表!$O$27:$O$48,[1]对照表!$P$27:$P$48)),IF(B218="高二",IF($E218="男",LOOKUP(J218,[1]对照表!$N$3:$N$24,[1]对照表!$P$3:$P$24),LOOKUP(J218,[1]对照表!$N$27:$N$48,[1]对照表!$P$27:$P$48)),IF(B218="高一",IF($E218="男",LOOKUP(J218,[1]对照表!$M$3:$M$24,[1]对照表!$P$3:$P$24),LOOKUP(J218,[1]对照表!$M$27:$M$48,[1]对照表!$P$27:$P$48)))))</f>
        <v>60</v>
      </c>
      <c r="L218" s="38">
        <v>48</v>
      </c>
      <c r="M218" s="32">
        <f>IF(B218="高三",IF($E218="男",LOOKUP(L218,[1]对照表!$S$3:$S$24,[1]对照表!$T$3:$T$24),LOOKUP(L218,[1]对照表!$S$27:$S$48,[1]对照表!$T$27:$T$48)),IF(B218="高二",IF($E218="男",LOOKUP(L218,[1]对照表!$R$3:$R$24,[1]对照表!$T$3:$T$24),LOOKUP(L218,[1]对照表!$R$27:$R$48,[1]对照表!$T$27:$T$48)),IF(B218="高一",IF($E218="男",LOOKUP(L218,[1]对照表!$Q$3:$Q$24,[1]对照表!$T$3:$T$24),LOOKUP(L218,[1]对照表!$Q$27:$Q$48,[1]对照表!$T$27:$T$48)))))</f>
        <v>85</v>
      </c>
      <c r="N218" s="33">
        <f>IF(B218="高三",MAX(IF(E218="男",L218-18,L218-55),0),IF(B218="高二",MAX(IF(E218="男",L218-17,L218-54),0),IF(B218="高一",MAX(IF(E218="男",L218-16,L218-53),0))))</f>
        <v>0</v>
      </c>
      <c r="O218" s="23">
        <f>IF(E218="男",LOOKUP($N218,[1]对照表!$Z$3:$Z$13,[1]对照表!$AA$3:$AA$13),LOOKUP($N218,[1]对照表!$Z$15:$Z$25,[1]对照表!$AA$15:$AA$25))</f>
        <v>0</v>
      </c>
      <c r="P218" s="25">
        <f>M218+O218</f>
        <v>85</v>
      </c>
      <c r="Q218" s="50">
        <v>3.53</v>
      </c>
      <c r="R218" s="32">
        <f>IF(B218="高三",IF($E218="男",LOOKUP(Q218,[1]对照表!$W$3:$W$24,[1]对照表!$X$3:$X$24),LOOKUP(Q218,[1]对照表!$W$27:$W$48,[1]对照表!$X$27:$X$48)),IF(B218="高二",IF($E218="男",LOOKUP(Q218,[1]对照表!$V$3:$V$24,[1]对照表!$X$3:$X$24),LOOKUP(Q218,[1]对照表!$V$27:$V$48,[1]对照表!$X$27:$X$48)),IF(B218="高一",IF($E218="男",LOOKUP(Q218,[1]对照表!$U$3:$U$24,[1]对照表!$X$3:$X$24),LOOKUP(Q218,[1]对照表!$U$27:$U$48,[1]对照表!$X$27:$X$48)))))</f>
        <v>78</v>
      </c>
      <c r="S218" s="33">
        <f>ROUND(IF(IF($B218="高三",MIN(IF($E218="男",$Q218-3.2,$Q218-3.2),0),IF($B218="高二",MIN(IF($E218="男",$Q218-3.25,$Q218-3.22),0),IF($B218="高一",MIN(IF($E218="男",$Q218-3.3,$Q218-3.24),0))))&lt;-0.6,IF($B218="高三",MIN(IF($E218="男",$Q218-3.2,$Q218-3.2),0),IF($B218="高二",MIN(IF($E218="男",$Q218-3.25,$Q218-3.22),0),IF($B218="高一",MIN(IF($E218="男",$Q218-3.3,$Q218-3.24),0))))+0.4,IF($B218="高三",MIN(IF($E218="男",$Q218-3.2,$Q218-3.2),0),IF($B218="高二",MIN(IF($E218="男",$Q218-3.25,$Q218-3.22),0),IF($B218="高一",MIN(IF($E218="男",$Q218-3.3,$Q218-3.24),0))))),2)</f>
        <v>0</v>
      </c>
      <c r="T218" s="23">
        <f>IF(E218="男",LOOKUP($S218,[1]对照表!$AB$3:$AB$13,[1]对照表!$AC$3:$AC$13),LOOKUP($S218,[1]对照表!$AB$15:$AB$25,[1]对照表!$AC$15:$AC$25))</f>
        <v>0</v>
      </c>
      <c r="U218" s="26">
        <f>R218+T218</f>
        <v>78</v>
      </c>
      <c r="V218" s="26">
        <f>SUM(I218,K218,M218)/3*0.3+SUM(G218,R218)/2*0.4</f>
        <v>50.5</v>
      </c>
      <c r="W218" s="27">
        <f>O218+T218</f>
        <v>0</v>
      </c>
      <c r="X218" s="28">
        <f>V218/0.7+W218</f>
        <v>72.142857142857153</v>
      </c>
      <c r="Y218" s="28">
        <f>X218</f>
        <v>72.142857142857153</v>
      </c>
      <c r="Z218" s="38"/>
    </row>
    <row r="219" spans="1:26" ht="15.6" customHeight="1" x14ac:dyDescent="0.25">
      <c r="A219" s="48">
        <v>1</v>
      </c>
      <c r="B219" s="17" t="s">
        <v>767</v>
      </c>
      <c r="C219" s="48">
        <v>204</v>
      </c>
      <c r="D219" s="49" t="s">
        <v>1254</v>
      </c>
      <c r="E219" s="48" t="s">
        <v>23</v>
      </c>
      <c r="F219" s="50">
        <v>8</v>
      </c>
      <c r="G219" s="32">
        <f>IF(B219="高三",IF($E219="男",LOOKUP(F219,[1]对照表!$G$3:$G$24,[1]对照表!$H$3:$H$24),LOOKUP(F219,[1]对照表!$G$27:$G$48,[1]对照表!$H$27:$H$48)),IF(B219="高二",IF($E219="男",LOOKUP(F219,[1]对照表!$F$3:$F$24,[1]对照表!$H$3:$H$24),LOOKUP(F219,[1]对照表!$F$27:$F$48,[1]对照表!$H$27:$H$48)),IF(B219="高一",IF($E219="男",LOOKUP(F219,[1]对照表!$E$3:$E$24,[1]对照表!$H$3:$H$24),LOOKUP(F219,[1]对照表!$E$27:$E$48,[1]对照表!$H$27:$H$48)))))</f>
        <v>74</v>
      </c>
      <c r="H219" s="38">
        <v>27.5</v>
      </c>
      <c r="I219" s="32">
        <f>IF(B219="高三",IF($E219="男",LOOKUP(H219,[1]对照表!$K$3:$K$24,[1]对照表!$L$3:$L$24),LOOKUP(H219,[1]对照表!$K$27:$K$48,[1]对照表!$L$27:$L$48)),IF(B219="高二",IF($E219="男",LOOKUP(H219,[1]对照表!$J$3:$J$24,[1]对照表!$L$3:$L$24),LOOKUP(H219,[1]对照表!$J$27:$J$48,[1]对照表!$L$27:$L$48)),IF(B219="高一",IF($E219="男",LOOKUP(H219,[1]对照表!$I$3:$I$24,[1]对照表!$L$3:$L$24),LOOKUP(H219,[1]对照表!$I$27:$I$48,[1]对照表!$L$27:$L$48)))))</f>
        <v>100</v>
      </c>
      <c r="J219" s="38">
        <v>250</v>
      </c>
      <c r="K219" s="32">
        <f>IF(B219="高三",IF($E219="男",LOOKUP(J219,[1]对照表!$O$3:$O$24,[1]对照表!$P$3:$P$24),LOOKUP(J219,[1]对照表!$O$27:$O$48,[1]对照表!$P$27:$P$48)),IF(B219="高二",IF($E219="男",LOOKUP(J219,[1]对照表!$N$3:$N$24,[1]对照表!$P$3:$P$24),LOOKUP(J219,[1]对照表!$N$27:$N$48,[1]对照表!$P$27:$P$48)),IF(B219="高一",IF($E219="男",LOOKUP(J219,[1]对照表!$M$3:$M$24,[1]对照表!$P$3:$P$24),LOOKUP(J219,[1]对照表!$M$27:$M$48,[1]对照表!$P$27:$P$48)))))</f>
        <v>85</v>
      </c>
      <c r="L219" s="38">
        <v>10</v>
      </c>
      <c r="M219" s="32">
        <f>IF(B219="高三",IF($E219="男",LOOKUP(L219,[1]对照表!$S$3:$S$24,[1]对照表!$T$3:$T$24),LOOKUP(L219,[1]对照表!$S$27:$S$48,[1]对照表!$T$27:$T$48)),IF(B219="高二",IF($E219="男",LOOKUP(L219,[1]对照表!$R$3:$R$24,[1]对照表!$T$3:$T$24),LOOKUP(L219,[1]对照表!$R$27:$R$48,[1]对照表!$T$27:$T$48)),IF(B219="高一",IF($E219="男",LOOKUP(L219,[1]对照表!$Q$3:$Q$24,[1]对照表!$T$3:$T$24),LOOKUP(L219,[1]对照表!$Q$27:$Q$48,[1]对照表!$T$27:$T$48)))))</f>
        <v>68</v>
      </c>
      <c r="N219" s="33">
        <f>IF(B219="高三",MAX(IF(E219="男",L219-18,L219-55),0),IF(B219="高二",MAX(IF(E219="男",L219-17,L219-54),0),IF(B219="高一",MAX(IF(E219="男",L219-16,L219-53),0))))</f>
        <v>0</v>
      </c>
      <c r="O219" s="23">
        <f>IF(E219="男",LOOKUP($N219,[1]对照表!$Z$3:$Z$13,[1]对照表!$AA$3:$AA$13),LOOKUP($N219,[1]对照表!$Z$15:$Z$25,[1]对照表!$AA$15:$AA$25))</f>
        <v>0</v>
      </c>
      <c r="P219" s="25">
        <f>M219+O219</f>
        <v>68</v>
      </c>
      <c r="Q219" s="50">
        <v>4.0199999999999996</v>
      </c>
      <c r="R219" s="32">
        <f>IF(B219="高三",IF($E219="男",LOOKUP(Q219,[1]对照表!$W$3:$W$24,[1]对照表!$X$3:$X$24),LOOKUP(Q219,[1]对照表!$W$27:$W$48,[1]对照表!$X$27:$X$48)),IF(B219="高二",IF($E219="男",LOOKUP(Q219,[1]对照表!$V$3:$V$24,[1]对照表!$X$3:$X$24),LOOKUP(Q219,[1]对照表!$V$27:$V$48,[1]对照表!$X$27:$X$48)),IF(B219="高一",IF($E219="男",LOOKUP(Q219,[1]对照表!$U$3:$U$24,[1]对照表!$X$3:$X$24),LOOKUP(Q219,[1]对照表!$U$27:$U$48,[1]对照表!$X$27:$X$48)))))</f>
        <v>74</v>
      </c>
      <c r="S219" s="33">
        <f>ROUND(IF(IF($B219="高三",MIN(IF($E219="男",$Q219-3.2,$Q219-3.2),0),IF($B219="高二",MIN(IF($E219="男",$Q219-3.25,$Q219-3.22),0),IF($B219="高一",MIN(IF($E219="男",$Q219-3.3,$Q219-3.24),0))))&lt;-0.6,IF($B219="高三",MIN(IF($E219="男",$Q219-3.2,$Q219-3.2),0),IF($B219="高二",MIN(IF($E219="男",$Q219-3.25,$Q219-3.22),0),IF($B219="高一",MIN(IF($E219="男",$Q219-3.3,$Q219-3.24),0))))+0.4,IF($B219="高三",MIN(IF($E219="男",$Q219-3.2,$Q219-3.2),0),IF($B219="高二",MIN(IF($E219="男",$Q219-3.25,$Q219-3.22),0),IF($B219="高一",MIN(IF($E219="男",$Q219-3.3,$Q219-3.24),0))))),2)</f>
        <v>0</v>
      </c>
      <c r="T219" s="23">
        <f>IF(E219="男",LOOKUP($S219,[1]对照表!$AB$3:$AB$13,[1]对照表!$AC$3:$AC$13),LOOKUP($S219,[1]对照表!$AB$15:$AB$25,[1]对照表!$AC$15:$AC$25))</f>
        <v>0</v>
      </c>
      <c r="U219" s="26">
        <f>R219+T219</f>
        <v>74</v>
      </c>
      <c r="V219" s="26">
        <f>SUM(I219,K219,M219)/3*0.3+SUM(G219,R219)/2*0.4</f>
        <v>54.9</v>
      </c>
      <c r="W219" s="27">
        <f>O219+T219</f>
        <v>0</v>
      </c>
      <c r="X219" s="28">
        <f>V219/0.7+W219</f>
        <v>78.428571428571431</v>
      </c>
      <c r="Y219" s="28">
        <f>X219</f>
        <v>78.428571428571431</v>
      </c>
      <c r="Z219" s="38"/>
    </row>
    <row r="220" spans="1:26" ht="15.6" x14ac:dyDescent="0.25">
      <c r="A220" s="48">
        <v>3</v>
      </c>
      <c r="B220" s="17" t="s">
        <v>767</v>
      </c>
      <c r="C220" s="48">
        <v>204</v>
      </c>
      <c r="D220" s="49" t="s">
        <v>1320</v>
      </c>
      <c r="E220" s="48" t="s">
        <v>23</v>
      </c>
      <c r="F220" s="50">
        <v>7.7</v>
      </c>
      <c r="G220" s="32">
        <f>IF(B220="高三",IF($E220="男",LOOKUP(F220,[1]对照表!$G$3:$G$24,[1]对照表!$H$3:$H$24),LOOKUP(F220,[1]对照表!$G$27:$G$48,[1]对照表!$H$27:$H$48)),IF(B220="高二",IF($E220="男",LOOKUP(F220,[1]对照表!$F$3:$F$24,[1]对照表!$H$3:$H$24),LOOKUP(F220,[1]对照表!$F$27:$F$48,[1]对照表!$H$27:$H$48)),IF(B220="高一",IF($E220="男",LOOKUP(F220,[1]对照表!$E$3:$E$24,[1]对照表!$H$3:$H$24),LOOKUP(F220,[1]对照表!$E$27:$E$48,[1]对照表!$H$27:$H$48)))))</f>
        <v>76</v>
      </c>
      <c r="H220" s="38">
        <v>18</v>
      </c>
      <c r="I220" s="32">
        <f>IF(B220="高三",IF($E220="男",LOOKUP(H220,[1]对照表!$K$3:$K$24,[1]对照表!$L$3:$L$24),LOOKUP(H220,[1]对照表!$K$27:$K$48,[1]对照表!$L$27:$L$48)),IF(B220="高二",IF($E220="男",LOOKUP(H220,[1]对照表!$J$3:$J$24,[1]对照表!$L$3:$L$24),LOOKUP(H220,[1]对照表!$J$27:$J$48,[1]对照表!$L$27:$L$48)),IF(B220="高一",IF($E220="男",LOOKUP(H220,[1]对照表!$I$3:$I$24,[1]对照表!$L$3:$L$24),LOOKUP(H220,[1]对照表!$I$27:$I$48,[1]对照表!$L$27:$L$48)))))</f>
        <v>80</v>
      </c>
      <c r="J220" s="38">
        <v>200</v>
      </c>
      <c r="K220" s="32">
        <f>IF(B220="高三",IF($E220="男",LOOKUP(J220,[1]对照表!$O$3:$O$24,[1]对照表!$P$3:$P$24),LOOKUP(J220,[1]对照表!$O$27:$O$48,[1]对照表!$P$27:$P$48)),IF(B220="高二",IF($E220="男",LOOKUP(J220,[1]对照表!$N$3:$N$24,[1]对照表!$P$3:$P$24),LOOKUP(J220,[1]对照表!$N$27:$N$48,[1]对照表!$P$27:$P$48)),IF(B220="高一",IF($E220="男",LOOKUP(J220,[1]对照表!$M$3:$M$24,[1]对照表!$P$3:$P$24),LOOKUP(J220,[1]对照表!$M$27:$M$48,[1]对照表!$P$27:$P$48)))))</f>
        <v>60</v>
      </c>
      <c r="L220" s="38">
        <v>11</v>
      </c>
      <c r="M220" s="32">
        <f>IF(B220="高三",IF($E220="男",LOOKUP(L220,[1]对照表!$S$3:$S$24,[1]对照表!$T$3:$T$24),LOOKUP(L220,[1]对照表!$S$27:$S$48,[1]对照表!$T$27:$T$48)),IF(B220="高二",IF($E220="男",LOOKUP(L220,[1]对照表!$R$3:$R$24,[1]对照表!$T$3:$T$24),LOOKUP(L220,[1]对照表!$R$27:$R$48,[1]对照表!$T$27:$T$48)),IF(B220="高一",IF($E220="男",LOOKUP(L220,[1]对照表!$Q$3:$Q$24,[1]对照表!$T$3:$T$24),LOOKUP(L220,[1]对照表!$Q$27:$Q$48,[1]对照表!$T$27:$T$48)))))</f>
        <v>72</v>
      </c>
      <c r="N220" s="33">
        <f>IF(B220="高三",MAX(IF(E220="男",L220-18,L220-55),0),IF(B220="高二",MAX(IF(E220="男",L220-17,L220-54),0),IF(B220="高一",MAX(IF(E220="男",L220-16,L220-53),0))))</f>
        <v>0</v>
      </c>
      <c r="O220" s="23">
        <f>IF(E220="男",LOOKUP($N220,[1]对照表!$Z$3:$Z$13,[1]对照表!$AA$3:$AA$13),LOOKUP($N220,[1]对照表!$Z$15:$Z$25,[1]对照表!$AA$15:$AA$25))</f>
        <v>0</v>
      </c>
      <c r="P220" s="25">
        <f>M220+O220</f>
        <v>72</v>
      </c>
      <c r="Q220" s="50">
        <v>3.51</v>
      </c>
      <c r="R220" s="32">
        <f>IF(B220="高三",IF($E220="男",LOOKUP(Q220,[1]对照表!$W$3:$W$24,[1]对照表!$X$3:$X$24),LOOKUP(Q220,[1]对照表!$W$27:$W$48,[1]对照表!$X$27:$X$48)),IF(B220="高二",IF($E220="男",LOOKUP(Q220,[1]对照表!$V$3:$V$24,[1]对照表!$X$3:$X$24),LOOKUP(Q220,[1]对照表!$V$27:$V$48,[1]对照表!$X$27:$X$48)),IF(B220="高一",IF($E220="男",LOOKUP(Q220,[1]对照表!$U$3:$U$24,[1]对照表!$X$3:$X$24),LOOKUP(Q220,[1]对照表!$U$27:$U$48,[1]对照表!$X$27:$X$48)))))</f>
        <v>78</v>
      </c>
      <c r="S220" s="33">
        <f>ROUND(IF(IF($B220="高三",MIN(IF($E220="男",$Q220-3.2,$Q220-3.2),0),IF($B220="高二",MIN(IF($E220="男",$Q220-3.25,$Q220-3.22),0),IF($B220="高一",MIN(IF($E220="男",$Q220-3.3,$Q220-3.24),0))))&lt;-0.6,IF($B220="高三",MIN(IF($E220="男",$Q220-3.2,$Q220-3.2),0),IF($B220="高二",MIN(IF($E220="男",$Q220-3.25,$Q220-3.22),0),IF($B220="高一",MIN(IF($E220="男",$Q220-3.3,$Q220-3.24),0))))+0.4,IF($B220="高三",MIN(IF($E220="男",$Q220-3.2,$Q220-3.2),0),IF($B220="高二",MIN(IF($E220="男",$Q220-3.25,$Q220-3.22),0),IF($B220="高一",MIN(IF($E220="男",$Q220-3.3,$Q220-3.24),0))))),2)</f>
        <v>0</v>
      </c>
      <c r="T220" s="23">
        <f>IF(E220="男",LOOKUP($S220,[1]对照表!$AB$3:$AB$13,[1]对照表!$AC$3:$AC$13),LOOKUP($S220,[1]对照表!$AB$15:$AB$25,[1]对照表!$AC$15:$AC$25))</f>
        <v>0</v>
      </c>
      <c r="U220" s="26">
        <f>R220+T220</f>
        <v>78</v>
      </c>
      <c r="V220" s="26">
        <f>SUM(I220,K220,M220)/3*0.3+SUM(G220,R220)/2*0.4</f>
        <v>52</v>
      </c>
      <c r="W220" s="27">
        <f>O220+T220</f>
        <v>0</v>
      </c>
      <c r="X220" s="28">
        <f>V220/0.7+W220</f>
        <v>74.285714285714292</v>
      </c>
      <c r="Y220" s="28">
        <f>X220</f>
        <v>74.285714285714292</v>
      </c>
      <c r="Z220" s="38"/>
    </row>
    <row r="221" spans="1:26" ht="15.6" customHeight="1" x14ac:dyDescent="0.25">
      <c r="A221" s="48">
        <v>2</v>
      </c>
      <c r="B221" s="17" t="s">
        <v>767</v>
      </c>
      <c r="C221" s="48">
        <v>204</v>
      </c>
      <c r="D221" s="49" t="s">
        <v>1327</v>
      </c>
      <c r="E221" s="48" t="s">
        <v>23</v>
      </c>
      <c r="F221" s="50">
        <v>7.3</v>
      </c>
      <c r="G221" s="32">
        <f>IF(B221="高三",IF($E221="男",LOOKUP(F221,[1]对照表!$G$3:$G$24,[1]对照表!$H$3:$H$24),LOOKUP(F221,[1]对照表!$G$27:$G$48,[1]对照表!$H$27:$H$48)),IF(B221="高二",IF($E221="男",LOOKUP(F221,[1]对照表!$F$3:$F$24,[1]对照表!$H$3:$H$24),LOOKUP(F221,[1]对照表!$F$27:$F$48,[1]对照表!$H$27:$H$48)),IF(B221="高一",IF($E221="男",LOOKUP(F221,[1]对照表!$E$3:$E$24,[1]对照表!$H$3:$H$24),LOOKUP(F221,[1]对照表!$E$27:$E$48,[1]对照表!$H$27:$H$48)))))</f>
        <v>85</v>
      </c>
      <c r="H221" s="38">
        <v>6.5</v>
      </c>
      <c r="I221" s="32">
        <f>IF(B221="高三",IF($E221="男",LOOKUP(H221,[1]对照表!$K$3:$K$24,[1]对照表!$L$3:$L$24),LOOKUP(H221,[1]对照表!$K$27:$K$48,[1]对照表!$L$27:$L$48)),IF(B221="高二",IF($E221="男",LOOKUP(H221,[1]对照表!$J$3:$J$24,[1]对照表!$L$3:$L$24),LOOKUP(H221,[1]对照表!$J$27:$J$48,[1]对照表!$L$27:$L$48)),IF(B221="高一",IF($E221="男",LOOKUP(H221,[1]对照表!$I$3:$I$24,[1]对照表!$L$3:$L$24),LOOKUP(H221,[1]对照表!$I$27:$I$48,[1]对照表!$L$27:$L$48)))))</f>
        <v>66</v>
      </c>
      <c r="J221" s="38">
        <v>220</v>
      </c>
      <c r="K221" s="32">
        <f>IF(B221="高三",IF($E221="男",LOOKUP(J221,[1]对照表!$O$3:$O$24,[1]对照表!$P$3:$P$24),LOOKUP(J221,[1]对照表!$O$27:$O$48,[1]对照表!$P$27:$P$48)),IF(B221="高二",IF($E221="男",LOOKUP(J221,[1]对照表!$N$3:$N$24,[1]对照表!$P$3:$P$24),LOOKUP(J221,[1]对照表!$N$27:$N$48,[1]对照表!$P$27:$P$48)),IF(B221="高一",IF($E221="男",LOOKUP(J221,[1]对照表!$M$3:$M$24,[1]对照表!$P$3:$P$24),LOOKUP(J221,[1]对照表!$M$27:$M$48,[1]对照表!$P$27:$P$48)))))</f>
        <v>70</v>
      </c>
      <c r="L221" s="38">
        <v>8</v>
      </c>
      <c r="M221" s="32">
        <f>IF(B221="高三",IF($E221="男",LOOKUP(L221,[1]对照表!$S$3:$S$24,[1]对照表!$T$3:$T$24),LOOKUP(L221,[1]对照表!$S$27:$S$48,[1]对照表!$T$27:$T$48)),IF(B221="高二",IF($E221="男",LOOKUP(L221,[1]对照表!$R$3:$R$24,[1]对照表!$T$3:$T$24),LOOKUP(L221,[1]对照表!$R$27:$R$48,[1]对照表!$T$27:$T$48)),IF(B221="高一",IF($E221="男",LOOKUP(L221,[1]对照表!$Q$3:$Q$24,[1]对照表!$T$3:$T$24),LOOKUP(L221,[1]对照表!$Q$27:$Q$48,[1]对照表!$T$27:$T$48)))))</f>
        <v>60</v>
      </c>
      <c r="N221" s="33">
        <f>IF(B221="高三",MAX(IF(E221="男",L221-18,L221-55),0),IF(B221="高二",MAX(IF(E221="男",L221-17,L221-54),0),IF(B221="高一",MAX(IF(E221="男",L221-16,L221-53),0))))</f>
        <v>0</v>
      </c>
      <c r="O221" s="23">
        <f>IF(E221="男",LOOKUP($N221,[1]对照表!$Z$3:$Z$13,[1]对照表!$AA$3:$AA$13),LOOKUP($N221,[1]对照表!$Z$15:$Z$25,[1]对照表!$AA$15:$AA$25))</f>
        <v>0</v>
      </c>
      <c r="P221" s="25">
        <f>M221+O221</f>
        <v>60</v>
      </c>
      <c r="Q221" s="50">
        <v>3.59</v>
      </c>
      <c r="R221" s="32">
        <f>IF(B221="高三",IF($E221="男",LOOKUP(Q221,[1]对照表!$W$3:$W$24,[1]对照表!$X$3:$X$24),LOOKUP(Q221,[1]对照表!$W$27:$W$48,[1]对照表!$X$27:$X$48)),IF(B221="高二",IF($E221="男",LOOKUP(Q221,[1]对照表!$V$3:$V$24,[1]对照表!$X$3:$X$24),LOOKUP(Q221,[1]对照表!$V$27:$V$48,[1]对照表!$X$27:$X$48)),IF(B221="高一",IF($E221="男",LOOKUP(Q221,[1]对照表!$U$3:$U$24,[1]对照表!$X$3:$X$24),LOOKUP(Q221,[1]对照表!$U$27:$U$48,[1]对照表!$X$27:$X$48)))))</f>
        <v>76</v>
      </c>
      <c r="S221" s="33">
        <f>ROUND(IF(IF($B221="高三",MIN(IF($E221="男",$Q221-3.2,$Q221-3.2),0),IF($B221="高二",MIN(IF($E221="男",$Q221-3.25,$Q221-3.22),0),IF($B221="高一",MIN(IF($E221="男",$Q221-3.3,$Q221-3.24),0))))&lt;-0.6,IF($B221="高三",MIN(IF($E221="男",$Q221-3.2,$Q221-3.2),0),IF($B221="高二",MIN(IF($E221="男",$Q221-3.25,$Q221-3.22),0),IF($B221="高一",MIN(IF($E221="男",$Q221-3.3,$Q221-3.24),0))))+0.4,IF($B221="高三",MIN(IF($E221="男",$Q221-3.2,$Q221-3.2),0),IF($B221="高二",MIN(IF($E221="男",$Q221-3.25,$Q221-3.22),0),IF($B221="高一",MIN(IF($E221="男",$Q221-3.3,$Q221-3.24),0))))),2)</f>
        <v>0</v>
      </c>
      <c r="T221" s="23">
        <f>IF(E221="男",LOOKUP($S221,[1]对照表!$AB$3:$AB$13,[1]对照表!$AC$3:$AC$13),LOOKUP($S221,[1]对照表!$AB$15:$AB$25,[1]对照表!$AC$15:$AC$25))</f>
        <v>0</v>
      </c>
      <c r="U221" s="26">
        <f>R221+T221</f>
        <v>76</v>
      </c>
      <c r="V221" s="26">
        <f>SUM(I221,K221,M221)/3*0.3+SUM(G221,R221)/2*0.4</f>
        <v>51.8</v>
      </c>
      <c r="W221" s="27">
        <f>O221+T221</f>
        <v>0</v>
      </c>
      <c r="X221" s="28">
        <f>V221/0.7+W221</f>
        <v>74</v>
      </c>
      <c r="Y221" s="28">
        <f>X221</f>
        <v>74</v>
      </c>
      <c r="Z221" s="38"/>
    </row>
    <row r="222" spans="1:26" ht="15.6" customHeight="1" x14ac:dyDescent="0.25">
      <c r="A222" s="48">
        <v>14</v>
      </c>
      <c r="B222" s="17" t="s">
        <v>767</v>
      </c>
      <c r="C222" s="48">
        <v>204</v>
      </c>
      <c r="D222" s="49" t="s">
        <v>1335</v>
      </c>
      <c r="E222" s="48" t="s">
        <v>23</v>
      </c>
      <c r="F222" s="50">
        <v>7.5</v>
      </c>
      <c r="G222" s="32">
        <f>IF(B222="高三",IF($E222="男",LOOKUP(F222,[1]对照表!$G$3:$G$24,[1]对照表!$H$3:$H$24),LOOKUP(F222,[1]对照表!$G$27:$G$48,[1]对照表!$H$27:$H$48)),IF(B222="高二",IF($E222="男",LOOKUP(F222,[1]对照表!$F$3:$F$24,[1]对照表!$H$3:$H$24),LOOKUP(F222,[1]对照表!$F$27:$F$48,[1]对照表!$H$27:$H$48)),IF(B222="高一",IF($E222="男",LOOKUP(F222,[1]对照表!$E$3:$E$24,[1]对照表!$H$3:$H$24),LOOKUP(F222,[1]对照表!$E$27:$E$48,[1]对照表!$H$27:$H$48)))))</f>
        <v>78</v>
      </c>
      <c r="H222" s="38">
        <v>13.7</v>
      </c>
      <c r="I222" s="32">
        <f>IF(B222="高三",IF($E222="男",LOOKUP(H222,[1]对照表!$K$3:$K$24,[1]对照表!$L$3:$L$24),LOOKUP(H222,[1]对照表!$K$27:$K$48,[1]对照表!$L$27:$L$48)),IF(B222="高二",IF($E222="男",LOOKUP(H222,[1]对照表!$J$3:$J$24,[1]对照表!$L$3:$L$24),LOOKUP(H222,[1]对照表!$J$27:$J$48,[1]对照表!$L$27:$L$48)),IF(B222="高一",IF($E222="男",LOOKUP(H222,[1]对照表!$I$3:$I$24,[1]对照表!$L$3:$L$24),LOOKUP(H222,[1]对照表!$I$27:$I$48,[1]对照表!$L$27:$L$48)))))</f>
        <v>76</v>
      </c>
      <c r="J222" s="38">
        <v>235</v>
      </c>
      <c r="K222" s="32">
        <f>IF(B222="高三",IF($E222="男",LOOKUP(J222,[1]对照表!$O$3:$O$24,[1]对照表!$P$3:$P$24),LOOKUP(J222,[1]对照表!$O$27:$O$48,[1]对照表!$P$27:$P$48)),IF(B222="高二",IF($E222="男",LOOKUP(J222,[1]对照表!$N$3:$N$24,[1]对照表!$P$3:$P$24),LOOKUP(J222,[1]对照表!$N$27:$N$48,[1]对照表!$P$27:$P$48)),IF(B222="高一",IF($E222="男",LOOKUP(J222,[1]对照表!$M$3:$M$24,[1]对照表!$P$3:$P$24),LOOKUP(J222,[1]对照表!$M$27:$M$48,[1]对照表!$P$27:$P$48)))))</f>
        <v>76</v>
      </c>
      <c r="L222" s="38">
        <v>7</v>
      </c>
      <c r="M222" s="32">
        <f>IF(B222="高三",IF($E222="男",LOOKUP(L222,[1]对照表!$S$3:$S$24,[1]对照表!$T$3:$T$24),LOOKUP(L222,[1]对照表!$S$27:$S$48,[1]对照表!$T$27:$T$48)),IF(B222="高二",IF($E222="男",LOOKUP(L222,[1]对照表!$R$3:$R$24,[1]对照表!$T$3:$T$24),LOOKUP(L222,[1]对照表!$R$27:$R$48,[1]对照表!$T$27:$T$48)),IF(B222="高一",IF($E222="男",LOOKUP(L222,[1]对照表!$Q$3:$Q$24,[1]对照表!$T$3:$T$24),LOOKUP(L222,[1]对照表!$Q$27:$Q$48,[1]对照表!$T$27:$T$48)))))</f>
        <v>50</v>
      </c>
      <c r="N222" s="33">
        <f>IF(B222="高三",MAX(IF(E222="男",L222-18,L222-55),0),IF(B222="高二",MAX(IF(E222="男",L222-17,L222-54),0),IF(B222="高一",MAX(IF(E222="男",L222-16,L222-53),0))))</f>
        <v>0</v>
      </c>
      <c r="O222" s="23">
        <f>IF(E222="男",LOOKUP($N222,[1]对照表!$Z$3:$Z$13,[1]对照表!$AA$3:$AA$13),LOOKUP($N222,[1]对照表!$Z$15:$Z$25,[1]对照表!$AA$15:$AA$25))</f>
        <v>0</v>
      </c>
      <c r="P222" s="25">
        <f>M222+O222</f>
        <v>50</v>
      </c>
      <c r="Q222" s="50">
        <v>3.51</v>
      </c>
      <c r="R222" s="32">
        <f>IF(B222="高三",IF($E222="男",LOOKUP(Q222,[1]对照表!$W$3:$W$24,[1]对照表!$X$3:$X$24),LOOKUP(Q222,[1]对照表!$W$27:$W$48,[1]对照表!$X$27:$X$48)),IF(B222="高二",IF($E222="男",LOOKUP(Q222,[1]对照表!$V$3:$V$24,[1]对照表!$X$3:$X$24),LOOKUP(Q222,[1]对照表!$V$27:$V$48,[1]对照表!$X$27:$X$48)),IF(B222="高一",IF($E222="男",LOOKUP(Q222,[1]对照表!$U$3:$U$24,[1]对照表!$X$3:$X$24),LOOKUP(Q222,[1]对照表!$U$27:$U$48,[1]对照表!$X$27:$X$48)))))</f>
        <v>78</v>
      </c>
      <c r="S222" s="33">
        <f>ROUND(IF(IF($B222="高三",MIN(IF($E222="男",$Q222-3.2,$Q222-3.2),0),IF($B222="高二",MIN(IF($E222="男",$Q222-3.25,$Q222-3.22),0),IF($B222="高一",MIN(IF($E222="男",$Q222-3.3,$Q222-3.24),0))))&lt;-0.6,IF($B222="高三",MIN(IF($E222="男",$Q222-3.2,$Q222-3.2),0),IF($B222="高二",MIN(IF($E222="男",$Q222-3.25,$Q222-3.22),0),IF($B222="高一",MIN(IF($E222="男",$Q222-3.3,$Q222-3.24),0))))+0.4,IF($B222="高三",MIN(IF($E222="男",$Q222-3.2,$Q222-3.2),0),IF($B222="高二",MIN(IF($E222="男",$Q222-3.25,$Q222-3.22),0),IF($B222="高一",MIN(IF($E222="男",$Q222-3.3,$Q222-3.24),0))))),2)</f>
        <v>0</v>
      </c>
      <c r="T222" s="23">
        <f>IF(E222="男",LOOKUP($S222,[1]对照表!$AB$3:$AB$13,[1]对照表!$AC$3:$AC$13),LOOKUP($S222,[1]对照表!$AB$15:$AB$25,[1]对照表!$AC$15:$AC$25))</f>
        <v>0</v>
      </c>
      <c r="U222" s="26">
        <f>R222+T222</f>
        <v>78</v>
      </c>
      <c r="V222" s="26">
        <f>SUM(I222,K222,M222)/3*0.3+SUM(G222,R222)/2*0.4</f>
        <v>51.400000000000006</v>
      </c>
      <c r="W222" s="27">
        <f>O222+T222</f>
        <v>0</v>
      </c>
      <c r="X222" s="28">
        <f>V222/0.7+W222</f>
        <v>73.428571428571445</v>
      </c>
      <c r="Y222" s="28">
        <f>X222</f>
        <v>73.428571428571445</v>
      </c>
      <c r="Z222" s="38"/>
    </row>
    <row r="223" spans="1:26" ht="15.6" x14ac:dyDescent="0.25">
      <c r="A223" s="48">
        <v>7</v>
      </c>
      <c r="B223" s="17" t="s">
        <v>767</v>
      </c>
      <c r="C223" s="48">
        <v>204</v>
      </c>
      <c r="D223" s="49" t="s">
        <v>1395</v>
      </c>
      <c r="E223" s="48" t="s">
        <v>23</v>
      </c>
      <c r="F223" s="50">
        <v>7.5</v>
      </c>
      <c r="G223" s="32">
        <f>IF(B223="高三",IF($E223="男",LOOKUP(F223,[1]对照表!$G$3:$G$24,[1]对照表!$H$3:$H$24),LOOKUP(F223,[1]对照表!$G$27:$G$48,[1]对照表!$H$27:$H$48)),IF(B223="高二",IF($E223="男",LOOKUP(F223,[1]对照表!$F$3:$F$24,[1]对照表!$H$3:$H$24),LOOKUP(F223,[1]对照表!$F$27:$F$48,[1]对照表!$H$27:$H$48)),IF(B223="高一",IF($E223="男",LOOKUP(F223,[1]对照表!$E$3:$E$24,[1]对照表!$H$3:$H$24),LOOKUP(F223,[1]对照表!$E$27:$E$48,[1]对照表!$H$27:$H$48)))))</f>
        <v>78</v>
      </c>
      <c r="H223" s="38">
        <v>15</v>
      </c>
      <c r="I223" s="32">
        <f>IF(B223="高三",IF($E223="男",LOOKUP(H223,[1]对照表!$K$3:$K$24,[1]对照表!$L$3:$L$24),LOOKUP(H223,[1]对照表!$K$27:$K$48,[1]对照表!$L$27:$L$48)),IF(B223="高二",IF($E223="男",LOOKUP(H223,[1]对照表!$J$3:$J$24,[1]对照表!$L$3:$L$24),LOOKUP(H223,[1]对照表!$J$27:$J$48,[1]对照表!$L$27:$L$48)),IF(B223="高一",IF($E223="男",LOOKUP(H223,[1]对照表!$I$3:$I$24,[1]对照表!$L$3:$L$24),LOOKUP(H223,[1]对照表!$I$27:$I$48,[1]对照表!$L$27:$L$48)))))</f>
        <v>78</v>
      </c>
      <c r="J223" s="38">
        <v>205</v>
      </c>
      <c r="K223" s="32">
        <f>IF(B223="高三",IF($E223="男",LOOKUP(J223,[1]对照表!$O$3:$O$24,[1]对照表!$P$3:$P$24),LOOKUP(J223,[1]对照表!$O$27:$O$48,[1]对照表!$P$27:$P$48)),IF(B223="高二",IF($E223="男",LOOKUP(J223,[1]对照表!$N$3:$N$24,[1]对照表!$P$3:$P$24),LOOKUP(J223,[1]对照表!$N$27:$N$48,[1]对照表!$P$27:$P$48)),IF(B223="高一",IF($E223="男",LOOKUP(J223,[1]对照表!$M$3:$M$24,[1]对照表!$P$3:$P$24),LOOKUP(J223,[1]对照表!$M$27:$M$48,[1]对照表!$P$27:$P$48)))))</f>
        <v>62</v>
      </c>
      <c r="L223" s="38">
        <v>0</v>
      </c>
      <c r="M223" s="32">
        <f>IF(B223="高三",IF($E223="男",LOOKUP(L223,[1]对照表!$S$3:$S$24,[1]对照表!$T$3:$T$24),LOOKUP(L223,[1]对照表!$S$27:$S$48,[1]对照表!$T$27:$T$48)),IF(B223="高二",IF($E223="男",LOOKUP(L223,[1]对照表!$R$3:$R$24,[1]对照表!$T$3:$T$24),LOOKUP(L223,[1]对照表!$R$27:$R$48,[1]对照表!$T$27:$T$48)),IF(B223="高一",IF($E223="男",LOOKUP(L223,[1]对照表!$Q$3:$Q$24,[1]对照表!$T$3:$T$24),LOOKUP(L223,[1]对照表!$Q$27:$Q$48,[1]对照表!$T$27:$T$48)))))</f>
        <v>0</v>
      </c>
      <c r="N223" s="33">
        <f>IF(B223="高三",MAX(IF(E223="男",L223-18,L223-55),0),IF(B223="高二",MAX(IF(E223="男",L223-17,L223-54),0),IF(B223="高一",MAX(IF(E223="男",L223-16,L223-53),0))))</f>
        <v>0</v>
      </c>
      <c r="O223" s="23">
        <f>IF(E223="男",LOOKUP($N223,[1]对照表!$Z$3:$Z$13,[1]对照表!$AA$3:$AA$13),LOOKUP($N223,[1]对照表!$Z$15:$Z$25,[1]对照表!$AA$15:$AA$25))</f>
        <v>0</v>
      </c>
      <c r="P223" s="25">
        <f>M223+O223</f>
        <v>0</v>
      </c>
      <c r="Q223" s="50">
        <v>3.5</v>
      </c>
      <c r="R223" s="32">
        <f>IF(B223="高三",IF($E223="男",LOOKUP(Q223,[1]对照表!$W$3:$W$24,[1]对照表!$X$3:$X$24),LOOKUP(Q223,[1]对照表!$W$27:$W$48,[1]对照表!$X$27:$X$48)),IF(B223="高二",IF($E223="男",LOOKUP(Q223,[1]对照表!$V$3:$V$24,[1]对照表!$X$3:$X$24),LOOKUP(Q223,[1]对照表!$V$27:$V$48,[1]对照表!$X$27:$X$48)),IF(B223="高一",IF($E223="男",LOOKUP(Q223,[1]对照表!$U$3:$U$24,[1]对照表!$X$3:$X$24),LOOKUP(Q223,[1]对照表!$U$27:$U$48,[1]对照表!$X$27:$X$48)))))</f>
        <v>80</v>
      </c>
      <c r="S223" s="33">
        <f>ROUND(IF(IF($B223="高三",MIN(IF($E223="男",$Q223-3.2,$Q223-3.2),0),IF($B223="高二",MIN(IF($E223="男",$Q223-3.25,$Q223-3.22),0),IF($B223="高一",MIN(IF($E223="男",$Q223-3.3,$Q223-3.24),0))))&lt;-0.6,IF($B223="高三",MIN(IF($E223="男",$Q223-3.2,$Q223-3.2),0),IF($B223="高二",MIN(IF($E223="男",$Q223-3.25,$Q223-3.22),0),IF($B223="高一",MIN(IF($E223="男",$Q223-3.3,$Q223-3.24),0))))+0.4,IF($B223="高三",MIN(IF($E223="男",$Q223-3.2,$Q223-3.2),0),IF($B223="高二",MIN(IF($E223="男",$Q223-3.25,$Q223-3.22),0),IF($B223="高一",MIN(IF($E223="男",$Q223-3.3,$Q223-3.24),0))))),2)</f>
        <v>0</v>
      </c>
      <c r="T223" s="23">
        <f>IF(E223="男",LOOKUP($S223,[1]对照表!$AB$3:$AB$13,[1]对照表!$AC$3:$AC$13),LOOKUP($S223,[1]对照表!$AB$15:$AB$25,[1]对照表!$AC$15:$AC$25))</f>
        <v>0</v>
      </c>
      <c r="U223" s="26">
        <f>R223+T223</f>
        <v>80</v>
      </c>
      <c r="V223" s="26">
        <f>SUM(I223,K223,M223)/3*0.3+SUM(G223,R223)/2*0.4</f>
        <v>45.6</v>
      </c>
      <c r="W223" s="27">
        <f>O223+T223</f>
        <v>0</v>
      </c>
      <c r="X223" s="28">
        <f>V223/0.7+W223</f>
        <v>65.142857142857153</v>
      </c>
      <c r="Y223" s="28">
        <f>X223</f>
        <v>65.142857142857153</v>
      </c>
      <c r="Z223" s="38"/>
    </row>
    <row r="224" spans="1:26" ht="15.6" x14ac:dyDescent="0.25">
      <c r="A224" s="48">
        <v>23</v>
      </c>
      <c r="B224" s="17" t="s">
        <v>767</v>
      </c>
      <c r="C224" s="48">
        <v>204</v>
      </c>
      <c r="D224" s="49" t="s">
        <v>1474</v>
      </c>
      <c r="E224" s="48" t="s">
        <v>65</v>
      </c>
      <c r="F224" s="50"/>
      <c r="G224" s="20">
        <v>0</v>
      </c>
      <c r="H224" s="38"/>
      <c r="I224" s="20">
        <v>0</v>
      </c>
      <c r="J224" s="38"/>
      <c r="K224" s="20">
        <v>0</v>
      </c>
      <c r="L224" s="38"/>
      <c r="M224" s="20">
        <v>0</v>
      </c>
      <c r="N224" s="33">
        <f>IF(B224="高三",MAX(IF(E224="男",L224-18,L224-55),0),IF(B224="高二",MAX(IF(E224="男",L224-17,L224-54),0),IF(B224="高一",MAX(IF(E224="男",L224-16,L224-53),0))))</f>
        <v>0</v>
      </c>
      <c r="O224" s="23">
        <f>IF(E224="男",LOOKUP($N224,[1]对照表!$Z$3:$Z$13,[1]对照表!$AA$3:$AA$13),LOOKUP($N224,[1]对照表!$Z$15:$Z$25,[1]对照表!$AA$15:$AA$25))</f>
        <v>0</v>
      </c>
      <c r="P224" s="25">
        <f>M224+O224</f>
        <v>0</v>
      </c>
      <c r="Q224" s="50"/>
      <c r="R224" s="20">
        <v>0</v>
      </c>
      <c r="S224" s="20">
        <v>0</v>
      </c>
      <c r="T224" s="23">
        <f>IF(E224="男",LOOKUP($S224,[1]对照表!$AB$3:$AB$13,[1]对照表!$AC$3:$AC$13),LOOKUP($S224,[1]对照表!$AB$15:$AB$25,[1]对照表!$AC$15:$AC$25))</f>
        <v>0</v>
      </c>
      <c r="U224" s="26">
        <f>R224+T224</f>
        <v>0</v>
      </c>
      <c r="V224" s="26">
        <f>SUM(I224,K224,M224)/3*0.3+SUM(G224,R224)/2*0.4</f>
        <v>0</v>
      </c>
      <c r="W224" s="27">
        <f>O224+T224</f>
        <v>0</v>
      </c>
      <c r="X224" s="28">
        <f>V224/0.7+W224</f>
        <v>0</v>
      </c>
      <c r="Y224" s="29">
        <v>50</v>
      </c>
      <c r="Z224" s="38" t="s">
        <v>578</v>
      </c>
    </row>
    <row r="225" spans="1:26" ht="15.6" x14ac:dyDescent="0.25">
      <c r="A225" s="48">
        <v>24</v>
      </c>
      <c r="B225" s="17" t="s">
        <v>767</v>
      </c>
      <c r="C225" s="48">
        <v>204</v>
      </c>
      <c r="D225" s="49" t="s">
        <v>1475</v>
      </c>
      <c r="E225" s="48" t="s">
        <v>65</v>
      </c>
      <c r="F225" s="50"/>
      <c r="G225" s="20">
        <v>0</v>
      </c>
      <c r="H225" s="38"/>
      <c r="I225" s="20">
        <v>0</v>
      </c>
      <c r="J225" s="38"/>
      <c r="K225" s="20">
        <v>0</v>
      </c>
      <c r="L225" s="38"/>
      <c r="M225" s="20">
        <v>0</v>
      </c>
      <c r="N225" s="33">
        <f>IF(B225="高三",MAX(IF(E225="男",L225-18,L225-55),0),IF(B225="高二",MAX(IF(E225="男",L225-17,L225-54),0),IF(B225="高一",MAX(IF(E225="男",L225-16,L225-53),0))))</f>
        <v>0</v>
      </c>
      <c r="O225" s="23">
        <f>IF(E225="男",LOOKUP($N225,[1]对照表!$Z$3:$Z$13,[1]对照表!$AA$3:$AA$13),LOOKUP($N225,[1]对照表!$Z$15:$Z$25,[1]对照表!$AA$15:$AA$25))</f>
        <v>0</v>
      </c>
      <c r="P225" s="25">
        <f>M225+O225</f>
        <v>0</v>
      </c>
      <c r="Q225" s="50"/>
      <c r="R225" s="20">
        <v>0</v>
      </c>
      <c r="S225" s="22">
        <v>0</v>
      </c>
      <c r="T225" s="23">
        <f>IF(E225="男",LOOKUP($S225,[1]对照表!$AB$3:$AB$13,[1]对照表!$AC$3:$AC$13),LOOKUP($S225,[1]对照表!$AB$15:$AB$25,[1]对照表!$AC$15:$AC$25))</f>
        <v>0</v>
      </c>
      <c r="U225" s="26">
        <f>R225+T225</f>
        <v>0</v>
      </c>
      <c r="V225" s="26">
        <f>SUM(I225,K225,M225)/3*0.3+SUM(G225,R225)/2*0.4</f>
        <v>0</v>
      </c>
      <c r="W225" s="27">
        <f>O225+T225</f>
        <v>0</v>
      </c>
      <c r="X225" s="28">
        <f>V225/0.7+W225</f>
        <v>0</v>
      </c>
      <c r="Y225" s="29">
        <v>50</v>
      </c>
      <c r="Z225" s="38" t="s">
        <v>578</v>
      </c>
    </row>
    <row r="226" spans="1:26" ht="15.6" x14ac:dyDescent="0.25">
      <c r="A226" s="48">
        <v>36</v>
      </c>
      <c r="B226" s="17" t="s">
        <v>767</v>
      </c>
      <c r="C226" s="48">
        <v>204</v>
      </c>
      <c r="D226" s="49" t="s">
        <v>1476</v>
      </c>
      <c r="E226" s="48" t="s">
        <v>65</v>
      </c>
      <c r="F226" s="50"/>
      <c r="G226" s="20">
        <v>0</v>
      </c>
      <c r="H226" s="38"/>
      <c r="I226" s="20">
        <v>0</v>
      </c>
      <c r="J226" s="38"/>
      <c r="K226" s="20">
        <v>0</v>
      </c>
      <c r="L226" s="38"/>
      <c r="M226" s="20">
        <v>0</v>
      </c>
      <c r="N226" s="33">
        <f>IF(B226="高三",MAX(IF(E226="男",L226-18,L226-55),0),IF(B226="高二",MAX(IF(E226="男",L226-17,L226-54),0),IF(B226="高一",MAX(IF(E226="男",L226-16,L226-53),0))))</f>
        <v>0</v>
      </c>
      <c r="O226" s="23">
        <f>IF(E226="男",LOOKUP($N226,[1]对照表!$Z$3:$Z$13,[1]对照表!$AA$3:$AA$13),LOOKUP($N226,[1]对照表!$Z$15:$Z$25,[1]对照表!$AA$15:$AA$25))</f>
        <v>0</v>
      </c>
      <c r="P226" s="25">
        <f>M226+O226</f>
        <v>0</v>
      </c>
      <c r="Q226" s="50"/>
      <c r="R226" s="20">
        <v>0</v>
      </c>
      <c r="S226" s="22">
        <v>0</v>
      </c>
      <c r="T226" s="23">
        <f>IF(E226="男",LOOKUP($S226,[1]对照表!$AB$3:$AB$13,[1]对照表!$AC$3:$AC$13),LOOKUP($S226,[1]对照表!$AB$15:$AB$25,[1]对照表!$AC$15:$AC$25))</f>
        <v>0</v>
      </c>
      <c r="U226" s="26">
        <f>R226+T226</f>
        <v>0</v>
      </c>
      <c r="V226" s="26">
        <f>SUM(I226,K226,M226)/3*0.3+SUM(G226,R226)/2*0.4</f>
        <v>0</v>
      </c>
      <c r="W226" s="27">
        <f>O226+T226</f>
        <v>0</v>
      </c>
      <c r="X226" s="28">
        <f>V226/0.7+W226</f>
        <v>0</v>
      </c>
      <c r="Y226" s="29">
        <v>50</v>
      </c>
      <c r="Z226" s="38" t="s">
        <v>578</v>
      </c>
    </row>
    <row r="227" spans="1:26" ht="15.6" x14ac:dyDescent="0.25">
      <c r="A227" s="48">
        <v>38</v>
      </c>
      <c r="B227" s="17" t="s">
        <v>767</v>
      </c>
      <c r="C227" s="48">
        <v>204</v>
      </c>
      <c r="D227" s="49" t="s">
        <v>1477</v>
      </c>
      <c r="E227" s="48" t="s">
        <v>65</v>
      </c>
      <c r="F227" s="50"/>
      <c r="G227" s="20">
        <v>0</v>
      </c>
      <c r="H227" s="38"/>
      <c r="I227" s="20">
        <v>0</v>
      </c>
      <c r="J227" s="38"/>
      <c r="K227" s="20">
        <v>0</v>
      </c>
      <c r="L227" s="38"/>
      <c r="M227" s="20">
        <v>0</v>
      </c>
      <c r="N227" s="33">
        <f>IF(B227="高三",MAX(IF(E227="男",L227-18,L227-55),0),IF(B227="高二",MAX(IF(E227="男",L227-17,L227-54),0),IF(B227="高一",MAX(IF(E227="男",L227-16,L227-53),0))))</f>
        <v>0</v>
      </c>
      <c r="O227" s="23">
        <f>IF(E227="男",LOOKUP($N227,[1]对照表!$Z$3:$Z$13,[1]对照表!$AA$3:$AA$13),LOOKUP($N227,[1]对照表!$Z$15:$Z$25,[1]对照表!$AA$15:$AA$25))</f>
        <v>0</v>
      </c>
      <c r="P227" s="25">
        <f>M227+O227</f>
        <v>0</v>
      </c>
      <c r="Q227" s="50"/>
      <c r="R227" s="20">
        <v>0</v>
      </c>
      <c r="S227" s="22">
        <v>0</v>
      </c>
      <c r="T227" s="23">
        <f>IF(E227="男",LOOKUP($S227,[1]对照表!$AB$3:$AB$13,[1]对照表!$AC$3:$AC$13),LOOKUP($S227,[1]对照表!$AB$15:$AB$25,[1]对照表!$AC$15:$AC$25))</f>
        <v>0</v>
      </c>
      <c r="U227" s="26">
        <f>R227+T227</f>
        <v>0</v>
      </c>
      <c r="V227" s="26">
        <f>SUM(I227,K227,M227)/3*0.3+SUM(G227,R227)/2*0.4</f>
        <v>0</v>
      </c>
      <c r="W227" s="27">
        <f>O227+T227</f>
        <v>0</v>
      </c>
      <c r="X227" s="28">
        <f>V227/0.7+W227</f>
        <v>0</v>
      </c>
      <c r="Y227" s="29">
        <v>50</v>
      </c>
      <c r="Z227" s="38" t="s">
        <v>578</v>
      </c>
    </row>
    <row r="228" spans="1:26" ht="15.6" x14ac:dyDescent="0.25">
      <c r="A228" s="48">
        <v>54</v>
      </c>
      <c r="B228" s="17" t="s">
        <v>767</v>
      </c>
      <c r="C228" s="48">
        <v>204</v>
      </c>
      <c r="D228" s="49" t="s">
        <v>1478</v>
      </c>
      <c r="E228" s="48" t="s">
        <v>65</v>
      </c>
      <c r="F228" s="50"/>
      <c r="G228" s="20">
        <v>0</v>
      </c>
      <c r="H228" s="38"/>
      <c r="I228" s="20">
        <v>0</v>
      </c>
      <c r="J228" s="38"/>
      <c r="K228" s="20">
        <v>0</v>
      </c>
      <c r="L228" s="38"/>
      <c r="M228" s="20">
        <v>0</v>
      </c>
      <c r="N228" s="33">
        <f>IF(B228="高三",MAX(IF(E228="男",L228-18,L228-55),0),IF(B228="高二",MAX(IF(E228="男",L228-17,L228-54),0),IF(B228="高一",MAX(IF(E228="男",L228-16,L228-53),0))))</f>
        <v>0</v>
      </c>
      <c r="O228" s="23">
        <f>IF(E228="男",LOOKUP($N228,[1]对照表!$Z$3:$Z$13,[1]对照表!$AA$3:$AA$13),LOOKUP($N228,[1]对照表!$Z$15:$Z$25,[1]对照表!$AA$15:$AA$25))</f>
        <v>0</v>
      </c>
      <c r="P228" s="25">
        <f>M228+O228</f>
        <v>0</v>
      </c>
      <c r="Q228" s="50"/>
      <c r="R228" s="20">
        <v>0</v>
      </c>
      <c r="S228" s="22">
        <v>0</v>
      </c>
      <c r="T228" s="23">
        <f>IF(E228="男",LOOKUP($S228,[1]对照表!$AB$3:$AB$13,[1]对照表!$AC$3:$AC$13),LOOKUP($S228,[1]对照表!$AB$15:$AB$25,[1]对照表!$AC$15:$AC$25))</f>
        <v>0</v>
      </c>
      <c r="U228" s="26">
        <f>R228+T228</f>
        <v>0</v>
      </c>
      <c r="V228" s="26">
        <f>SUM(I228,K228,M228)/3*0.3+SUM(G228,R228)/2*0.4</f>
        <v>0</v>
      </c>
      <c r="W228" s="27">
        <f>O228+T228</f>
        <v>0</v>
      </c>
      <c r="X228" s="28">
        <f>V228/0.7+W228</f>
        <v>0</v>
      </c>
      <c r="Y228" s="29">
        <v>50</v>
      </c>
      <c r="Z228" s="38" t="s">
        <v>578</v>
      </c>
    </row>
    <row r="229" spans="1:26" ht="15.6" x14ac:dyDescent="0.25">
      <c r="A229" s="48">
        <v>20</v>
      </c>
      <c r="B229" s="17" t="s">
        <v>767</v>
      </c>
      <c r="C229" s="38">
        <v>205</v>
      </c>
      <c r="D229" s="49" t="s">
        <v>786</v>
      </c>
      <c r="E229" s="48" t="s">
        <v>23</v>
      </c>
      <c r="F229" s="50">
        <v>7.1</v>
      </c>
      <c r="G229" s="32">
        <f>IF(B229="高三",IF($E229="男",LOOKUP(F229,[1]对照表!$G$3:$G$24,[1]对照表!$H$3:$H$24),LOOKUP(F229,[1]对照表!$G$27:$G$48,[1]对照表!$H$27:$H$48)),IF(B229="高二",IF($E229="男",LOOKUP(F229,[1]对照表!$F$3:$F$24,[1]对照表!$H$3:$H$24),LOOKUP(F229,[1]对照表!$F$27:$F$48,[1]对照表!$H$27:$H$48)),IF(B229="高一",IF($E229="男",LOOKUP(F229,[1]对照表!$E$3:$E$24,[1]对照表!$H$3:$H$24),LOOKUP(F229,[1]对照表!$E$27:$E$48,[1]对照表!$H$27:$H$48)))))</f>
        <v>95</v>
      </c>
      <c r="H229" s="38">
        <v>21.3</v>
      </c>
      <c r="I229" s="32">
        <f>IF(B229="高三",IF($E229="男",LOOKUP(H229,[1]对照表!$K$3:$K$24,[1]对照表!$L$3:$L$24),LOOKUP(H229,[1]对照表!$K$27:$K$48,[1]对照表!$L$27:$L$48)),IF(B229="高二",IF($E229="男",LOOKUP(H229,[1]对照表!$J$3:$J$24,[1]对照表!$L$3:$L$24),LOOKUP(H229,[1]对照表!$J$27:$J$48,[1]对照表!$L$27:$L$48)),IF(B229="高一",IF($E229="男",LOOKUP(H229,[1]对照表!$I$3:$I$24,[1]对照表!$L$3:$L$24),LOOKUP(H229,[1]对照表!$I$27:$I$48,[1]对照表!$L$27:$L$48)))))</f>
        <v>90</v>
      </c>
      <c r="J229" s="38">
        <v>255</v>
      </c>
      <c r="K229" s="32">
        <f>IF(B229="高三",IF($E229="男",LOOKUP(J229,[1]对照表!$O$3:$O$24,[1]对照表!$P$3:$P$24),LOOKUP(J229,[1]对照表!$O$27:$O$48,[1]对照表!$P$27:$P$48)),IF(B229="高二",IF($E229="男",LOOKUP(J229,[1]对照表!$N$3:$N$24,[1]对照表!$P$3:$P$24),LOOKUP(J229,[1]对照表!$N$27:$N$48,[1]对照表!$P$27:$P$48)),IF(B229="高一",IF($E229="男",LOOKUP(J229,[1]对照表!$M$3:$M$24,[1]对照表!$P$3:$P$24),LOOKUP(J229,[1]对照表!$M$27:$M$48,[1]对照表!$P$27:$P$48)))))</f>
        <v>90</v>
      </c>
      <c r="L229" s="38">
        <v>33</v>
      </c>
      <c r="M229" s="32">
        <f>IF(B229="高三",IF($E229="男",LOOKUP(L229,[1]对照表!$S$3:$S$24,[1]对照表!$T$3:$T$24),LOOKUP(L229,[1]对照表!$S$27:$S$48,[1]对照表!$T$27:$T$48)),IF(B229="高二",IF($E229="男",LOOKUP(L229,[1]对照表!$R$3:$R$24,[1]对照表!$T$3:$T$24),LOOKUP(L229,[1]对照表!$R$27:$R$48,[1]对照表!$T$27:$T$48)),IF(B229="高一",IF($E229="男",LOOKUP(L229,[1]对照表!$Q$3:$Q$24,[1]对照表!$T$3:$T$24),LOOKUP(L229,[1]对照表!$Q$27:$Q$48,[1]对照表!$T$27:$T$48)))))</f>
        <v>100</v>
      </c>
      <c r="N229" s="33">
        <f>IF(B229="高三",MAX(IF(E229="男",L229-18,L229-55),0),IF(B229="高二",MAX(IF(E229="男",L229-17,L229-54),0),IF(B229="高一",MAX(IF(E229="男",L229-16,L229-53),0))))</f>
        <v>16</v>
      </c>
      <c r="O229" s="23">
        <f>IF(E229="男",LOOKUP($N229,[1]对照表!$Z$3:$Z$13,[1]对照表!$AA$3:$AA$13),LOOKUP($N229,[1]对照表!$Z$15:$Z$25,[1]对照表!$AA$15:$AA$25))</f>
        <v>10</v>
      </c>
      <c r="P229" s="25">
        <f>M229+O229</f>
        <v>110</v>
      </c>
      <c r="Q229" s="50">
        <v>3.15</v>
      </c>
      <c r="R229" s="32">
        <f>IF(B229="高三",IF($E229="男",LOOKUP(Q229,[1]对照表!$W$3:$W$24,[1]对照表!$X$3:$X$24),LOOKUP(Q229,[1]对照表!$W$27:$W$48,[1]对照表!$X$27:$X$48)),IF(B229="高二",IF($E229="男",LOOKUP(Q229,[1]对照表!$V$3:$V$24,[1]对照表!$X$3:$X$24),LOOKUP(Q229,[1]对照表!$V$27:$V$48,[1]对照表!$X$27:$X$48)),IF(B229="高一",IF($E229="男",LOOKUP(Q229,[1]对照表!$U$3:$U$24,[1]对照表!$X$3:$X$24),LOOKUP(Q229,[1]对照表!$U$27:$U$48,[1]对照表!$X$27:$X$48)))))</f>
        <v>100</v>
      </c>
      <c r="S229" s="33">
        <f>ROUND(IF(IF($B229="高三",MIN(IF($E229="男",$Q229-3.2,$Q229-3.2),0),IF($B229="高二",MIN(IF($E229="男",$Q229-3.25,$Q229-3.22),0),IF($B229="高一",MIN(IF($E229="男",$Q229-3.3,$Q229-3.24),0))))&lt;-0.6,IF($B229="高三",MIN(IF($E229="男",$Q229-3.2,$Q229-3.2),0),IF($B229="高二",MIN(IF($E229="男",$Q229-3.25,$Q229-3.22),0),IF($B229="高一",MIN(IF($E229="男",$Q229-3.3,$Q229-3.24),0))))+0.4,IF($B229="高三",MIN(IF($E229="男",$Q229-3.2,$Q229-3.2),0),IF($B229="高二",MIN(IF($E229="男",$Q229-3.25,$Q229-3.22),0),IF($B229="高一",MIN(IF($E229="男",$Q229-3.3,$Q229-3.24),0))))),2)</f>
        <v>-0.1</v>
      </c>
      <c r="T229" s="23">
        <f>IF(E229="男",LOOKUP($S229,[1]对照表!$AB$3:$AB$13,[1]对照表!$AC$3:$AC$13),LOOKUP($S229,[1]对照表!$AB$15:$AB$25,[1]对照表!$AC$15:$AC$25))</f>
        <v>2</v>
      </c>
      <c r="U229" s="26">
        <f>R229+T229</f>
        <v>102</v>
      </c>
      <c r="V229" s="26">
        <f>SUM(I229,K229,M229)/3*0.3+SUM(G229,R229)/2*0.4</f>
        <v>67</v>
      </c>
      <c r="W229" s="27">
        <f>O229+T229</f>
        <v>12</v>
      </c>
      <c r="X229" s="28">
        <f>V229/0.7+W229</f>
        <v>107.71428571428572</v>
      </c>
      <c r="Y229" s="28">
        <f>X229</f>
        <v>107.71428571428572</v>
      </c>
      <c r="Z229" s="38"/>
    </row>
    <row r="230" spans="1:26" ht="15.6" x14ac:dyDescent="0.25">
      <c r="A230" s="48">
        <v>5</v>
      </c>
      <c r="B230" s="17" t="s">
        <v>767</v>
      </c>
      <c r="C230" s="38">
        <v>205</v>
      </c>
      <c r="D230" s="49" t="s">
        <v>789</v>
      </c>
      <c r="E230" s="48" t="s">
        <v>23</v>
      </c>
      <c r="F230" s="50">
        <v>6.7</v>
      </c>
      <c r="G230" s="32">
        <f>IF(B230="高三",IF($E230="男",LOOKUP(F230,[1]对照表!$G$3:$G$24,[1]对照表!$H$3:$H$24),LOOKUP(F230,[1]对照表!$G$27:$G$48,[1]对照表!$H$27:$H$48)),IF(B230="高二",IF($E230="男",LOOKUP(F230,[1]对照表!$F$3:$F$24,[1]对照表!$H$3:$H$24),LOOKUP(F230,[1]对照表!$F$27:$F$48,[1]对照表!$H$27:$H$48)),IF(B230="高一",IF($E230="男",LOOKUP(F230,[1]对照表!$E$3:$E$24,[1]对照表!$H$3:$H$24),LOOKUP(F230,[1]对照表!$E$27:$E$48,[1]对照表!$H$27:$H$48)))))</f>
        <v>100</v>
      </c>
      <c r="H230" s="38">
        <v>20.5</v>
      </c>
      <c r="I230" s="32">
        <f>IF(B230="高三",IF($E230="男",LOOKUP(H230,[1]对照表!$K$3:$K$24,[1]对照表!$L$3:$L$24),LOOKUP(H230,[1]对照表!$K$27:$K$48,[1]对照表!$L$27:$L$48)),IF(B230="高二",IF($E230="男",LOOKUP(H230,[1]对照表!$J$3:$J$24,[1]对照表!$L$3:$L$24),LOOKUP(H230,[1]对照表!$J$27:$J$48,[1]对照表!$L$27:$L$48)),IF(B230="高一",IF($E230="男",LOOKUP(H230,[1]对照表!$I$3:$I$24,[1]对照表!$L$3:$L$24),LOOKUP(H230,[1]对照表!$I$27:$I$48,[1]对照表!$L$27:$L$48)))))</f>
        <v>90</v>
      </c>
      <c r="J230" s="38">
        <v>270</v>
      </c>
      <c r="K230" s="32">
        <f>IF(B230="高三",IF($E230="男",LOOKUP(J230,[1]对照表!$O$3:$O$24,[1]对照表!$P$3:$P$24),LOOKUP(J230,[1]对照表!$O$27:$O$48,[1]对照表!$P$27:$P$48)),IF(B230="高二",IF($E230="男",LOOKUP(J230,[1]对照表!$N$3:$N$24,[1]对照表!$P$3:$P$24),LOOKUP(J230,[1]对照表!$N$27:$N$48,[1]对照表!$P$27:$P$48)),IF(B230="高一",IF($E230="男",LOOKUP(J230,[1]对照表!$M$3:$M$24,[1]对照表!$P$3:$P$24),LOOKUP(J230,[1]对照表!$M$27:$M$48,[1]对照表!$P$27:$P$48)))))</f>
        <v>100</v>
      </c>
      <c r="L230" s="38">
        <v>24</v>
      </c>
      <c r="M230" s="32">
        <f>IF(B230="高三",IF($E230="男",LOOKUP(L230,[1]对照表!$S$3:$S$24,[1]对照表!$T$3:$T$24),LOOKUP(L230,[1]对照表!$S$27:$S$48,[1]对照表!$T$27:$T$48)),IF(B230="高二",IF($E230="男",LOOKUP(L230,[1]对照表!$R$3:$R$24,[1]对照表!$T$3:$T$24),LOOKUP(L230,[1]对照表!$R$27:$R$48,[1]对照表!$T$27:$T$48)),IF(B230="高一",IF($E230="男",LOOKUP(L230,[1]对照表!$Q$3:$Q$24,[1]对照表!$T$3:$T$24),LOOKUP(L230,[1]对照表!$Q$27:$Q$48,[1]对照表!$T$27:$T$48)))))</f>
        <v>100</v>
      </c>
      <c r="N230" s="33">
        <f>IF(B230="高三",MAX(IF(E230="男",L230-18,L230-55),0),IF(B230="高二",MAX(IF(E230="男",L230-17,L230-54),0),IF(B230="高一",MAX(IF(E230="男",L230-16,L230-53),0))))</f>
        <v>7</v>
      </c>
      <c r="O230" s="23">
        <f>IF(E230="男",LOOKUP($N230,[1]对照表!$Z$3:$Z$13,[1]对照表!$AA$3:$AA$13),LOOKUP($N230,[1]对照表!$Z$15:$Z$25,[1]对照表!$AA$15:$AA$25))</f>
        <v>7</v>
      </c>
      <c r="P230" s="25">
        <f>M230+O230</f>
        <v>107</v>
      </c>
      <c r="Q230" s="50">
        <v>3.23</v>
      </c>
      <c r="R230" s="32">
        <f>IF(B230="高三",IF($E230="男",LOOKUP(Q230,[1]对照表!$W$3:$W$24,[1]对照表!$X$3:$X$24),LOOKUP(Q230,[1]对照表!$W$27:$W$48,[1]对照表!$X$27:$X$48)),IF(B230="高二",IF($E230="男",LOOKUP(Q230,[1]对照表!$V$3:$V$24,[1]对照表!$X$3:$X$24),LOOKUP(Q230,[1]对照表!$V$27:$V$48,[1]对照表!$X$27:$X$48)),IF(B230="高一",IF($E230="男",LOOKUP(Q230,[1]对照表!$U$3:$U$24,[1]对照表!$X$3:$X$24),LOOKUP(Q230,[1]对照表!$U$27:$U$48,[1]对照表!$X$27:$X$48)))))</f>
        <v>100</v>
      </c>
      <c r="S230" s="33">
        <f>ROUND(IF(IF($B230="高三",MIN(IF($E230="男",$Q230-3.2,$Q230-3.2),0),IF($B230="高二",MIN(IF($E230="男",$Q230-3.25,$Q230-3.22),0),IF($B230="高一",MIN(IF($E230="男",$Q230-3.3,$Q230-3.24),0))))&lt;-0.6,IF($B230="高三",MIN(IF($E230="男",$Q230-3.2,$Q230-3.2),0),IF($B230="高二",MIN(IF($E230="男",$Q230-3.25,$Q230-3.22),0),IF($B230="高一",MIN(IF($E230="男",$Q230-3.3,$Q230-3.24),0))))+0.4,IF($B230="高三",MIN(IF($E230="男",$Q230-3.2,$Q230-3.2),0),IF($B230="高二",MIN(IF($E230="男",$Q230-3.25,$Q230-3.22),0),IF($B230="高一",MIN(IF($E230="男",$Q230-3.3,$Q230-3.24),0))))),2)</f>
        <v>-0.02</v>
      </c>
      <c r="T230" s="23">
        <f>IF(E230="男",LOOKUP($S230,[1]对照表!$AB$3:$AB$13,[1]对照表!$AC$3:$AC$13),LOOKUP($S230,[1]对照表!$AB$15:$AB$25,[1]对照表!$AC$15:$AC$25))</f>
        <v>0</v>
      </c>
      <c r="U230" s="26">
        <f>R230+T230</f>
        <v>100</v>
      </c>
      <c r="V230" s="26">
        <f>SUM(I230,K230,M230)/3*0.3+SUM(G230,R230)/2*0.4</f>
        <v>69</v>
      </c>
      <c r="W230" s="27">
        <f>O230+T230</f>
        <v>7</v>
      </c>
      <c r="X230" s="28">
        <f>V230/0.7+W230</f>
        <v>105.57142857142858</v>
      </c>
      <c r="Y230" s="28">
        <f>X230</f>
        <v>105.57142857142858</v>
      </c>
      <c r="Z230" s="38"/>
    </row>
    <row r="231" spans="1:26" ht="15.6" customHeight="1" x14ac:dyDescent="0.25">
      <c r="A231" s="38">
        <v>11</v>
      </c>
      <c r="B231" s="17" t="s">
        <v>767</v>
      </c>
      <c r="C231" s="38">
        <v>205</v>
      </c>
      <c r="D231" s="49" t="s">
        <v>812</v>
      </c>
      <c r="E231" s="48" t="s">
        <v>23</v>
      </c>
      <c r="F231" s="50">
        <v>6.7</v>
      </c>
      <c r="G231" s="32">
        <f>IF(B231="高三",IF($E231="男",LOOKUP(F231,[1]对照表!$G$3:$G$24,[1]对照表!$H$3:$H$24),LOOKUP(F231,[1]对照表!$G$27:$G$48,[1]对照表!$H$27:$H$48)),IF(B231="高二",IF($E231="男",LOOKUP(F231,[1]对照表!$F$3:$F$24,[1]对照表!$H$3:$H$24),LOOKUP(F231,[1]对照表!$F$27:$F$48,[1]对照表!$H$27:$H$48)),IF(B231="高一",IF($E231="男",LOOKUP(F231,[1]对照表!$E$3:$E$24,[1]对照表!$H$3:$H$24),LOOKUP(F231,[1]对照表!$E$27:$E$48,[1]对照表!$H$27:$H$48)))))</f>
        <v>100</v>
      </c>
      <c r="H231" s="38">
        <v>23</v>
      </c>
      <c r="I231" s="32">
        <f>IF(B231="高三",IF($E231="男",LOOKUP(H231,[1]对照表!$K$3:$K$24,[1]对照表!$L$3:$L$24),LOOKUP(H231,[1]对照表!$K$27:$K$48,[1]对照表!$L$27:$L$48)),IF(B231="高二",IF($E231="男",LOOKUP(H231,[1]对照表!$J$3:$J$24,[1]对照表!$L$3:$L$24),LOOKUP(H231,[1]对照表!$J$27:$J$48,[1]对照表!$L$27:$L$48)),IF(B231="高一",IF($E231="男",LOOKUP(H231,[1]对照表!$I$3:$I$24,[1]对照表!$L$3:$L$24),LOOKUP(H231,[1]对照表!$I$27:$I$48,[1]对照表!$L$27:$L$48)))))</f>
        <v>95</v>
      </c>
      <c r="J231" s="38">
        <v>285</v>
      </c>
      <c r="K231" s="32">
        <f>IF(B231="高三",IF($E231="男",LOOKUP(J231,[1]对照表!$O$3:$O$24,[1]对照表!$P$3:$P$24),LOOKUP(J231,[1]对照表!$O$27:$O$48,[1]对照表!$P$27:$P$48)),IF(B231="高二",IF($E231="男",LOOKUP(J231,[1]对照表!$N$3:$N$24,[1]对照表!$P$3:$P$24),LOOKUP(J231,[1]对照表!$N$27:$N$48,[1]对照表!$P$27:$P$48)),IF(B231="高一",IF($E231="男",LOOKUP(J231,[1]对照表!$M$3:$M$24,[1]对照表!$P$3:$P$24),LOOKUP(J231,[1]对照表!$M$27:$M$48,[1]对照表!$P$27:$P$48)))))</f>
        <v>100</v>
      </c>
      <c r="L231" s="38">
        <v>27</v>
      </c>
      <c r="M231" s="32">
        <f>IF(B231="高三",IF($E231="男",LOOKUP(L231,[1]对照表!$S$3:$S$24,[1]对照表!$T$3:$T$24),LOOKUP(L231,[1]对照表!$S$27:$S$48,[1]对照表!$T$27:$T$48)),IF(B231="高二",IF($E231="男",LOOKUP(L231,[1]对照表!$R$3:$R$24,[1]对照表!$T$3:$T$24),LOOKUP(L231,[1]对照表!$R$27:$R$48,[1]对照表!$T$27:$T$48)),IF(B231="高一",IF($E231="男",LOOKUP(L231,[1]对照表!$Q$3:$Q$24,[1]对照表!$T$3:$T$24),LOOKUP(L231,[1]对照表!$Q$27:$Q$48,[1]对照表!$T$27:$T$48)))))</f>
        <v>100</v>
      </c>
      <c r="N231" s="33">
        <f>IF(B231="高三",MAX(IF(E231="男",L231-18,L231-55),0),IF(B231="高二",MAX(IF(E231="男",L231-17,L231-54),0),IF(B231="高一",MAX(IF(E231="男",L231-16,L231-53),0))))</f>
        <v>10</v>
      </c>
      <c r="O231" s="23">
        <f>IF(E231="男",LOOKUP($N231,[1]对照表!$Z$3:$Z$13,[1]对照表!$AA$3:$AA$13),LOOKUP($N231,[1]对照表!$Z$15:$Z$25,[1]对照表!$AA$15:$AA$25))</f>
        <v>10</v>
      </c>
      <c r="P231" s="25">
        <f>M231+O231</f>
        <v>110</v>
      </c>
      <c r="Q231" s="50">
        <v>3.5</v>
      </c>
      <c r="R231" s="32">
        <f>IF(B231="高三",IF($E231="男",LOOKUP(Q231,[1]对照表!$W$3:$W$24,[1]对照表!$X$3:$X$24),LOOKUP(Q231,[1]对照表!$W$27:$W$48,[1]对照表!$X$27:$X$48)),IF(B231="高二",IF($E231="男",LOOKUP(Q231,[1]对照表!$V$3:$V$24,[1]对照表!$X$3:$X$24),LOOKUP(Q231,[1]对照表!$V$27:$V$48,[1]对照表!$X$27:$X$48)),IF(B231="高一",IF($E231="男",LOOKUP(Q231,[1]对照表!$U$3:$U$24,[1]对照表!$X$3:$X$24),LOOKUP(Q231,[1]对照表!$U$27:$U$48,[1]对照表!$X$27:$X$48)))))</f>
        <v>80</v>
      </c>
      <c r="S231" s="33">
        <f>ROUND(IF(IF($B231="高三",MIN(IF($E231="男",$Q231-3.2,$Q231-3.2),0),IF($B231="高二",MIN(IF($E231="男",$Q231-3.25,$Q231-3.22),0),IF($B231="高一",MIN(IF($E231="男",$Q231-3.3,$Q231-3.24),0))))&lt;-0.6,IF($B231="高三",MIN(IF($E231="男",$Q231-3.2,$Q231-3.2),0),IF($B231="高二",MIN(IF($E231="男",$Q231-3.25,$Q231-3.22),0),IF($B231="高一",MIN(IF($E231="男",$Q231-3.3,$Q231-3.24),0))))+0.4,IF($B231="高三",MIN(IF($E231="男",$Q231-3.2,$Q231-3.2),0),IF($B231="高二",MIN(IF($E231="男",$Q231-3.25,$Q231-3.22),0),IF($B231="高一",MIN(IF($E231="男",$Q231-3.3,$Q231-3.24),0))))),2)</f>
        <v>0</v>
      </c>
      <c r="T231" s="23">
        <f>IF(E231="男",LOOKUP($S231,[1]对照表!$AB$3:$AB$13,[1]对照表!$AC$3:$AC$13),LOOKUP($S231,[1]对照表!$AB$15:$AB$25,[1]对照表!$AC$15:$AC$25))</f>
        <v>0</v>
      </c>
      <c r="U231" s="26">
        <f>R231+T231</f>
        <v>80</v>
      </c>
      <c r="V231" s="26">
        <f>SUM(I231,K231,M231)/3*0.3+SUM(G231,R231)/2*0.4</f>
        <v>65.5</v>
      </c>
      <c r="W231" s="27">
        <f>O231+T231</f>
        <v>10</v>
      </c>
      <c r="X231" s="28">
        <f>V231/0.7+W231</f>
        <v>103.57142857142858</v>
      </c>
      <c r="Y231" s="28">
        <f>X231</f>
        <v>103.57142857142858</v>
      </c>
      <c r="Z231" s="38"/>
    </row>
    <row r="232" spans="1:26" ht="15.6" x14ac:dyDescent="0.25">
      <c r="A232" s="48">
        <v>42</v>
      </c>
      <c r="B232" s="17" t="s">
        <v>767</v>
      </c>
      <c r="C232" s="38">
        <v>205</v>
      </c>
      <c r="D232" s="49" t="s">
        <v>823</v>
      </c>
      <c r="E232" s="38" t="s">
        <v>65</v>
      </c>
      <c r="F232" s="50">
        <v>8.26</v>
      </c>
      <c r="G232" s="32">
        <f>IF(B232="高三",IF($E232="男",LOOKUP(F232,[1]对照表!$G$3:$G$24,[1]对照表!$H$3:$H$24),LOOKUP(F232,[1]对照表!$G$27:$G$48,[1]对照表!$H$27:$H$48)),IF(B232="高二",IF($E232="男",LOOKUP(F232,[1]对照表!$F$3:$F$24,[1]对照表!$H$3:$H$24),LOOKUP(F232,[1]对照表!$F$27:$F$48,[1]对照表!$H$27:$H$48)),IF(B232="高一",IF($E232="男",LOOKUP(F232,[1]对照表!$E$3:$E$24,[1]对照表!$H$3:$H$24),LOOKUP(F232,[1]对照表!$E$27:$E$48,[1]对照表!$H$27:$H$48)))))</f>
        <v>80</v>
      </c>
      <c r="H232" s="38">
        <v>31.8</v>
      </c>
      <c r="I232" s="32">
        <f>IF(B232="高三",IF($E232="男",LOOKUP(H232,[1]对照表!$K$3:$K$24,[1]对照表!$L$3:$L$24),LOOKUP(H232,[1]对照表!$K$27:$K$48,[1]对照表!$L$27:$L$48)),IF(B232="高二",IF($E232="男",LOOKUP(H232,[1]对照表!$J$3:$J$24,[1]对照表!$L$3:$L$24),LOOKUP(H232,[1]对照表!$J$27:$J$48,[1]对照表!$L$27:$L$48)),IF(B232="高一",IF($E232="男",LOOKUP(H232,[1]对照表!$I$3:$I$24,[1]对照表!$L$3:$L$24),LOOKUP(H232,[1]对照表!$I$27:$I$48,[1]对照表!$L$27:$L$48)))))</f>
        <v>100</v>
      </c>
      <c r="J232" s="38">
        <v>205</v>
      </c>
      <c r="K232" s="32">
        <f>IF(B232="高三",IF($E232="男",LOOKUP(J232,[1]对照表!$O$3:$O$24,[1]对照表!$P$3:$P$24),LOOKUP(J232,[1]对照表!$O$27:$O$48,[1]对照表!$P$27:$P$48)),IF(B232="高二",IF($E232="男",LOOKUP(J232,[1]对照表!$N$3:$N$24,[1]对照表!$P$3:$P$24),LOOKUP(J232,[1]对照表!$N$27:$N$48,[1]对照表!$P$27:$P$48)),IF(B232="高一",IF($E232="男",LOOKUP(J232,[1]对照表!$M$3:$M$24,[1]对照表!$P$3:$P$24),LOOKUP(J232,[1]对照表!$M$27:$M$48,[1]对照表!$P$27:$P$48)))))</f>
        <v>100</v>
      </c>
      <c r="L232" s="38">
        <v>58</v>
      </c>
      <c r="M232" s="32">
        <f>IF(B232="高三",IF($E232="男",LOOKUP(L232,[1]对照表!$S$3:$S$24,[1]对照表!$T$3:$T$24),LOOKUP(L232,[1]对照表!$S$27:$S$48,[1]对照表!$T$27:$T$48)),IF(B232="高二",IF($E232="男",LOOKUP(L232,[1]对照表!$R$3:$R$24,[1]对照表!$T$3:$T$24),LOOKUP(L232,[1]对照表!$R$27:$R$48,[1]对照表!$T$27:$T$48)),IF(B232="高一",IF($E232="男",LOOKUP(L232,[1]对照表!$Q$3:$Q$24,[1]对照表!$T$3:$T$24),LOOKUP(L232,[1]对照表!$Q$27:$Q$48,[1]对照表!$T$27:$T$48)))))</f>
        <v>100</v>
      </c>
      <c r="N232" s="33">
        <f>IF(B232="高三",MAX(IF(E232="男",L232-18,L232-55),0),IF(B232="高二",MAX(IF(E232="男",L232-17,L232-54),0),IF(B232="高一",MAX(IF(E232="男",L232-16,L232-53),0))))</f>
        <v>4</v>
      </c>
      <c r="O232" s="23">
        <f>IF(E232="男",LOOKUP($N232,[1]对照表!$Z$3:$Z$13,[1]对照表!$AA$3:$AA$13),LOOKUP($N232,[1]对照表!$Z$15:$Z$25,[1]对照表!$AA$15:$AA$25))</f>
        <v>2</v>
      </c>
      <c r="P232" s="25">
        <f>M232+O232</f>
        <v>102</v>
      </c>
      <c r="Q232" s="50">
        <v>3.34</v>
      </c>
      <c r="R232" s="32">
        <f>IF(B232="高三",IF($E232="男",LOOKUP(Q232,[1]对照表!$W$3:$W$24,[1]对照表!$X$3:$X$24),LOOKUP(Q232,[1]对照表!$W$27:$W$48,[1]对照表!$X$27:$X$48)),IF(B232="高二",IF($E232="男",LOOKUP(Q232,[1]对照表!$V$3:$V$24,[1]对照表!$X$3:$X$24),LOOKUP(Q232,[1]对照表!$V$27:$V$48,[1]对照表!$X$27:$X$48)),IF(B232="高一",IF($E232="男",LOOKUP(Q232,[1]对照表!$U$3:$U$24,[1]对照表!$X$3:$X$24),LOOKUP(Q232,[1]对照表!$U$27:$U$48,[1]对照表!$X$27:$X$48)))))</f>
        <v>90</v>
      </c>
      <c r="S232" s="33">
        <f>ROUND(IF(IF($B232="高三",MIN(IF($E232="男",$Q232-3.2,$Q232-3.2),0),IF($B232="高二",MIN(IF($E232="男",$Q232-3.25,$Q232-3.22),0),IF($B232="高一",MIN(IF($E232="男",$Q232-3.3,$Q232-3.24),0))))&lt;-0.6,IF($B232="高三",MIN(IF($E232="男",$Q232-3.2,$Q232-3.2),0),IF($B232="高二",MIN(IF($E232="男",$Q232-3.25,$Q232-3.22),0),IF($B232="高一",MIN(IF($E232="男",$Q232-3.3,$Q232-3.24),0))))+0.4,IF($B232="高三",MIN(IF($E232="男",$Q232-3.2,$Q232-3.2),0),IF($B232="高二",MIN(IF($E232="男",$Q232-3.25,$Q232-3.22),0),IF($B232="高一",MIN(IF($E232="男",$Q232-3.3,$Q232-3.24),0))))),2)</f>
        <v>0</v>
      </c>
      <c r="T232" s="23">
        <f>IF(E232="男",LOOKUP($S232,[1]对照表!$AB$3:$AB$13,[1]对照表!$AC$3:$AC$13),LOOKUP($S232,[1]对照表!$AB$15:$AB$25,[1]对照表!$AC$15:$AC$25))</f>
        <v>0</v>
      </c>
      <c r="U232" s="26">
        <f>R232+T232</f>
        <v>90</v>
      </c>
      <c r="V232" s="26">
        <f>SUM(I232,K232,M232)/3*0.3+SUM(G232,R232)/2*0.4</f>
        <v>64</v>
      </c>
      <c r="W232" s="27">
        <f>O232+T232</f>
        <v>2</v>
      </c>
      <c r="X232" s="28">
        <f>V232/0.7+W232</f>
        <v>93.428571428571431</v>
      </c>
      <c r="Y232" s="28">
        <f>X232</f>
        <v>93.428571428571431</v>
      </c>
      <c r="Z232" s="38"/>
    </row>
    <row r="233" spans="1:26" ht="15.6" x14ac:dyDescent="0.25">
      <c r="A233" s="48">
        <v>1</v>
      </c>
      <c r="B233" s="17" t="s">
        <v>767</v>
      </c>
      <c r="C233" s="38">
        <v>205</v>
      </c>
      <c r="D233" s="49" t="s">
        <v>894</v>
      </c>
      <c r="E233" s="48" t="s">
        <v>23</v>
      </c>
      <c r="F233" s="50">
        <v>7.6</v>
      </c>
      <c r="G233" s="32">
        <f>IF(B233="高三",IF($E233="男",LOOKUP(F233,[1]对照表!$G$3:$G$24,[1]对照表!$H$3:$H$24),LOOKUP(F233,[1]对照表!$G$27:$G$48,[1]对照表!$H$27:$H$48)),IF(B233="高二",IF($E233="男",LOOKUP(F233,[1]对照表!$F$3:$F$24,[1]对照表!$H$3:$H$24),LOOKUP(F233,[1]对照表!$F$27:$F$48,[1]对照表!$H$27:$H$48)),IF(B233="高一",IF($E233="男",LOOKUP(F233,[1]对照表!$E$3:$E$24,[1]对照表!$H$3:$H$24),LOOKUP(F233,[1]对照表!$E$27:$E$48,[1]对照表!$H$27:$H$48)))))</f>
        <v>78</v>
      </c>
      <c r="H233" s="38">
        <v>20</v>
      </c>
      <c r="I233" s="32">
        <f>IF(B233="高三",IF($E233="男",LOOKUP(H233,[1]对照表!$K$3:$K$24,[1]对照表!$L$3:$L$24),LOOKUP(H233,[1]对照表!$K$27:$K$48,[1]对照表!$L$27:$L$48)),IF(B233="高二",IF($E233="男",LOOKUP(H233,[1]对照表!$J$3:$J$24,[1]对照表!$L$3:$L$24),LOOKUP(H233,[1]对照表!$J$27:$J$48,[1]对照表!$L$27:$L$48)),IF(B233="高一",IF($E233="男",LOOKUP(H233,[1]对照表!$I$3:$I$24,[1]对照表!$L$3:$L$24),LOOKUP(H233,[1]对照表!$I$27:$I$48,[1]对照表!$L$27:$L$48)))))</f>
        <v>85</v>
      </c>
      <c r="J233" s="38">
        <v>265</v>
      </c>
      <c r="K233" s="32">
        <f>IF(B233="高三",IF($E233="男",LOOKUP(J233,[1]对照表!$O$3:$O$24,[1]对照表!$P$3:$P$24),LOOKUP(J233,[1]对照表!$O$27:$O$48,[1]对照表!$P$27:$P$48)),IF(B233="高二",IF($E233="男",LOOKUP(J233,[1]对照表!$N$3:$N$24,[1]对照表!$P$3:$P$24),LOOKUP(J233,[1]对照表!$N$27:$N$48,[1]对照表!$P$27:$P$48)),IF(B233="高一",IF($E233="男",LOOKUP(J233,[1]对照表!$M$3:$M$24,[1]对照表!$P$3:$P$24),LOOKUP(J233,[1]对照表!$M$27:$M$48,[1]对照表!$P$27:$P$48)))))</f>
        <v>100</v>
      </c>
      <c r="L233" s="38">
        <v>24</v>
      </c>
      <c r="M233" s="32">
        <f>IF(B233="高三",IF($E233="男",LOOKUP(L233,[1]对照表!$S$3:$S$24,[1]对照表!$T$3:$T$24),LOOKUP(L233,[1]对照表!$S$27:$S$48,[1]对照表!$T$27:$T$48)),IF(B233="高二",IF($E233="男",LOOKUP(L233,[1]对照表!$R$3:$R$24,[1]对照表!$T$3:$T$24),LOOKUP(L233,[1]对照表!$R$27:$R$48,[1]对照表!$T$27:$T$48)),IF(B233="高一",IF($E233="男",LOOKUP(L233,[1]对照表!$Q$3:$Q$24,[1]对照表!$T$3:$T$24),LOOKUP(L233,[1]对照表!$Q$27:$Q$48,[1]对照表!$T$27:$T$48)))))</f>
        <v>100</v>
      </c>
      <c r="N233" s="33">
        <f>IF(B233="高三",MAX(IF(E233="男",L233-18,L233-55),0),IF(B233="高二",MAX(IF(E233="男",L233-17,L233-54),0),IF(B233="高一",MAX(IF(E233="男",L233-16,L233-53),0))))</f>
        <v>7</v>
      </c>
      <c r="O233" s="23">
        <f>IF(E233="男",LOOKUP($N233,[1]对照表!$Z$3:$Z$13,[1]对照表!$AA$3:$AA$13),LOOKUP($N233,[1]对照表!$Z$15:$Z$25,[1]对照表!$AA$15:$AA$25))</f>
        <v>7</v>
      </c>
      <c r="P233" s="25">
        <f>M233+O233</f>
        <v>107</v>
      </c>
      <c r="Q233" s="50">
        <v>3.24</v>
      </c>
      <c r="R233" s="32">
        <f>IF(B233="高三",IF($E233="男",LOOKUP(Q233,[1]对照表!$W$3:$W$24,[1]对照表!$X$3:$X$24),LOOKUP(Q233,[1]对照表!$W$27:$W$48,[1]对照表!$X$27:$X$48)),IF(B233="高二",IF($E233="男",LOOKUP(Q233,[1]对照表!$V$3:$V$24,[1]对照表!$X$3:$X$24),LOOKUP(Q233,[1]对照表!$V$27:$V$48,[1]对照表!$X$27:$X$48)),IF(B233="高一",IF($E233="男",LOOKUP(Q233,[1]对照表!$U$3:$U$24,[1]对照表!$X$3:$X$24),LOOKUP(Q233,[1]对照表!$U$27:$U$48,[1]对照表!$X$27:$X$48)))))</f>
        <v>100</v>
      </c>
      <c r="S233" s="33">
        <f>ROUND(IF(IF($B233="高三",MIN(IF($E233="男",$Q233-3.2,$Q233-3.2),0),IF($B233="高二",MIN(IF($E233="男",$Q233-3.25,$Q233-3.22),0),IF($B233="高一",MIN(IF($E233="男",$Q233-3.3,$Q233-3.24),0))))&lt;-0.6,IF($B233="高三",MIN(IF($E233="男",$Q233-3.2,$Q233-3.2),0),IF($B233="高二",MIN(IF($E233="男",$Q233-3.25,$Q233-3.22),0),IF($B233="高一",MIN(IF($E233="男",$Q233-3.3,$Q233-3.24),0))))+0.4,IF($B233="高三",MIN(IF($E233="男",$Q233-3.2,$Q233-3.2),0),IF($B233="高二",MIN(IF($E233="男",$Q233-3.25,$Q233-3.22),0),IF($B233="高一",MIN(IF($E233="男",$Q233-3.3,$Q233-3.24),0))))),2)</f>
        <v>-0.01</v>
      </c>
      <c r="T233" s="23">
        <f>IF(E233="男",LOOKUP($S233,[1]对照表!$AB$3:$AB$13,[1]对照表!$AC$3:$AC$13),LOOKUP($S233,[1]对照表!$AB$15:$AB$25,[1]对照表!$AC$15:$AC$25))</f>
        <v>0</v>
      </c>
      <c r="U233" s="26">
        <f>R233+T233</f>
        <v>100</v>
      </c>
      <c r="V233" s="26">
        <f>SUM(I233,K233,M233)/3*0.3+SUM(G233,R233)/2*0.4</f>
        <v>64.099999999999994</v>
      </c>
      <c r="W233" s="27">
        <f>O233+T233</f>
        <v>7</v>
      </c>
      <c r="X233" s="28">
        <f>V233/0.7+W233</f>
        <v>98.571428571428569</v>
      </c>
      <c r="Y233" s="28">
        <f>X233</f>
        <v>98.571428571428569</v>
      </c>
      <c r="Z233" s="38"/>
    </row>
    <row r="234" spans="1:26" ht="15.6" x14ac:dyDescent="0.25">
      <c r="A234" s="48">
        <v>6</v>
      </c>
      <c r="B234" s="17" t="s">
        <v>767</v>
      </c>
      <c r="C234" s="38">
        <v>205</v>
      </c>
      <c r="D234" s="49" t="s">
        <v>941</v>
      </c>
      <c r="E234" s="48" t="s">
        <v>23</v>
      </c>
      <c r="F234" s="50">
        <v>6.9</v>
      </c>
      <c r="G234" s="32">
        <f>IF(B234="高三",IF($E234="男",LOOKUP(F234,[1]对照表!$G$3:$G$24,[1]对照表!$H$3:$H$24),LOOKUP(F234,[1]对照表!$G$27:$G$48,[1]对照表!$H$27:$H$48)),IF(B234="高二",IF($E234="男",LOOKUP(F234,[1]对照表!$F$3:$F$24,[1]对照表!$H$3:$H$24),LOOKUP(F234,[1]对照表!$F$27:$F$48,[1]对照表!$H$27:$H$48)),IF(B234="高一",IF($E234="男",LOOKUP(F234,[1]对照表!$E$3:$E$24,[1]对照表!$H$3:$H$24),LOOKUP(F234,[1]对照表!$E$27:$E$48,[1]对照表!$H$27:$H$48)))))</f>
        <v>100</v>
      </c>
      <c r="H234" s="38">
        <v>8.5</v>
      </c>
      <c r="I234" s="32">
        <f>IF(B234="高三",IF($E234="男",LOOKUP(H234,[1]对照表!$K$3:$K$24,[1]对照表!$L$3:$L$24),LOOKUP(H234,[1]对照表!$K$27:$K$48,[1]对照表!$L$27:$L$48)),IF(B234="高二",IF($E234="男",LOOKUP(H234,[1]对照表!$J$3:$J$24,[1]对照表!$L$3:$L$24),LOOKUP(H234,[1]对照表!$J$27:$J$48,[1]对照表!$L$27:$L$48)),IF(B234="高一",IF($E234="男",LOOKUP(H234,[1]对照表!$I$3:$I$24,[1]对照表!$L$3:$L$24),LOOKUP(H234,[1]对照表!$I$27:$I$48,[1]对照表!$L$27:$L$48)))))</f>
        <v>68</v>
      </c>
      <c r="J234" s="38">
        <v>262</v>
      </c>
      <c r="K234" s="32">
        <f>IF(B234="高三",IF($E234="男",LOOKUP(J234,[1]对照表!$O$3:$O$24,[1]对照表!$P$3:$P$24),LOOKUP(J234,[1]对照表!$O$27:$O$48,[1]对照表!$P$27:$P$48)),IF(B234="高二",IF($E234="男",LOOKUP(J234,[1]对照表!$N$3:$N$24,[1]对照表!$P$3:$P$24),LOOKUP(J234,[1]对照表!$N$27:$N$48,[1]对照表!$P$27:$P$48)),IF(B234="高一",IF($E234="男",LOOKUP(J234,[1]对照表!$M$3:$M$24,[1]对照表!$P$3:$P$24),LOOKUP(J234,[1]对照表!$M$27:$M$48,[1]对照表!$P$27:$P$48)))))</f>
        <v>95</v>
      </c>
      <c r="L234" s="38">
        <v>24</v>
      </c>
      <c r="M234" s="32">
        <f>IF(B234="高三",IF($E234="男",LOOKUP(L234,[1]对照表!$S$3:$S$24,[1]对照表!$T$3:$T$24),LOOKUP(L234,[1]对照表!$S$27:$S$48,[1]对照表!$T$27:$T$48)),IF(B234="高二",IF($E234="男",LOOKUP(L234,[1]对照表!$R$3:$R$24,[1]对照表!$T$3:$T$24),LOOKUP(L234,[1]对照表!$R$27:$R$48,[1]对照表!$T$27:$T$48)),IF(B234="高一",IF($E234="男",LOOKUP(L234,[1]对照表!$Q$3:$Q$24,[1]对照表!$T$3:$T$24),LOOKUP(L234,[1]对照表!$Q$27:$Q$48,[1]对照表!$T$27:$T$48)))))</f>
        <v>100</v>
      </c>
      <c r="N234" s="33">
        <f>IF(B234="高三",MAX(IF(E234="男",L234-18,L234-55),0),IF(B234="高二",MAX(IF(E234="男",L234-17,L234-54),0),IF(B234="高一",MAX(IF(E234="男",L234-16,L234-53),0))))</f>
        <v>7</v>
      </c>
      <c r="O234" s="23">
        <f>IF(E234="男",LOOKUP($N234,[1]对照表!$Z$3:$Z$13,[1]对照表!$AA$3:$AA$13),LOOKUP($N234,[1]对照表!$Z$15:$Z$25,[1]对照表!$AA$15:$AA$25))</f>
        <v>7</v>
      </c>
      <c r="P234" s="25">
        <f>M234+O234</f>
        <v>107</v>
      </c>
      <c r="Q234" s="50">
        <v>4</v>
      </c>
      <c r="R234" s="32">
        <f>IF(B234="高三",IF($E234="男",LOOKUP(Q234,[1]对照表!$W$3:$W$24,[1]对照表!$X$3:$X$24),LOOKUP(Q234,[1]对照表!$W$27:$W$48,[1]对照表!$X$27:$X$48)),IF(B234="高二",IF($E234="男",LOOKUP(Q234,[1]对照表!$V$3:$V$24,[1]对照表!$X$3:$X$24),LOOKUP(Q234,[1]对照表!$V$27:$V$48,[1]对照表!$X$27:$X$48)),IF(B234="高一",IF($E234="男",LOOKUP(Q234,[1]对照表!$U$3:$U$24,[1]对照表!$X$3:$X$24),LOOKUP(Q234,[1]对照表!$U$27:$U$48,[1]对照表!$X$27:$X$48)))))</f>
        <v>76</v>
      </c>
      <c r="S234" s="33">
        <f>ROUND(IF(IF($B234="高三",MIN(IF($E234="男",$Q234-3.2,$Q234-3.2),0),IF($B234="高二",MIN(IF($E234="男",$Q234-3.25,$Q234-3.22),0),IF($B234="高一",MIN(IF($E234="男",$Q234-3.3,$Q234-3.24),0))))&lt;-0.6,IF($B234="高三",MIN(IF($E234="男",$Q234-3.2,$Q234-3.2),0),IF($B234="高二",MIN(IF($E234="男",$Q234-3.25,$Q234-3.22),0),IF($B234="高一",MIN(IF($E234="男",$Q234-3.3,$Q234-3.24),0))))+0.4,IF($B234="高三",MIN(IF($E234="男",$Q234-3.2,$Q234-3.2),0),IF($B234="高二",MIN(IF($E234="男",$Q234-3.25,$Q234-3.22),0),IF($B234="高一",MIN(IF($E234="男",$Q234-3.3,$Q234-3.24),0))))),2)</f>
        <v>0</v>
      </c>
      <c r="T234" s="23">
        <f>IF(E234="男",LOOKUP($S234,[1]对照表!$AB$3:$AB$13,[1]对照表!$AC$3:$AC$13),LOOKUP($S234,[1]对照表!$AB$15:$AB$25,[1]对照表!$AC$15:$AC$25))</f>
        <v>0</v>
      </c>
      <c r="U234" s="26">
        <f>R234+T234</f>
        <v>76</v>
      </c>
      <c r="V234" s="26">
        <f>SUM(I234,K234,M234)/3*0.3+SUM(G234,R234)/2*0.4</f>
        <v>61.5</v>
      </c>
      <c r="W234" s="27">
        <f>O234+T234</f>
        <v>7</v>
      </c>
      <c r="X234" s="28">
        <f>V234/0.7+W234</f>
        <v>94.857142857142861</v>
      </c>
      <c r="Y234" s="28">
        <f>X234</f>
        <v>94.857142857142861</v>
      </c>
      <c r="Z234" s="38"/>
    </row>
    <row r="235" spans="1:26" ht="15.6" x14ac:dyDescent="0.25">
      <c r="A235" s="48">
        <v>4</v>
      </c>
      <c r="B235" s="17" t="s">
        <v>767</v>
      </c>
      <c r="C235" s="38">
        <v>205</v>
      </c>
      <c r="D235" s="49" t="s">
        <v>967</v>
      </c>
      <c r="E235" s="48" t="s">
        <v>23</v>
      </c>
      <c r="F235" s="50">
        <v>7.9</v>
      </c>
      <c r="G235" s="32">
        <f>IF(B235="高三",IF($E235="男",LOOKUP(F235,[1]对照表!$G$3:$G$24,[1]对照表!$H$3:$H$24),LOOKUP(F235,[1]对照表!$G$27:$G$48,[1]对照表!$H$27:$H$48)),IF(B235="高二",IF($E235="男",LOOKUP(F235,[1]对照表!$F$3:$F$24,[1]对照表!$H$3:$H$24),LOOKUP(F235,[1]对照表!$F$27:$F$48,[1]对照表!$H$27:$H$48)),IF(B235="高一",IF($E235="男",LOOKUP(F235,[1]对照表!$E$3:$E$24,[1]对照表!$H$3:$H$24),LOOKUP(F235,[1]对照表!$E$27:$E$48,[1]对照表!$H$27:$H$48)))))</f>
        <v>74</v>
      </c>
      <c r="H235" s="38">
        <v>20.9</v>
      </c>
      <c r="I235" s="32">
        <f>IF(B235="高三",IF($E235="男",LOOKUP(H235,[1]对照表!$K$3:$K$24,[1]对照表!$L$3:$L$24),LOOKUP(H235,[1]对照表!$K$27:$K$48,[1]对照表!$L$27:$L$48)),IF(B235="高二",IF($E235="男",LOOKUP(H235,[1]对照表!$J$3:$J$24,[1]对照表!$L$3:$L$24),LOOKUP(H235,[1]对照表!$J$27:$J$48,[1]对照表!$L$27:$L$48)),IF(B235="高一",IF($E235="男",LOOKUP(H235,[1]对照表!$I$3:$I$24,[1]对照表!$L$3:$L$24),LOOKUP(H235,[1]对照表!$I$27:$I$48,[1]对照表!$L$27:$L$48)))))</f>
        <v>90</v>
      </c>
      <c r="J235" s="38">
        <v>236</v>
      </c>
      <c r="K235" s="32">
        <f>IF(B235="高三",IF($E235="男",LOOKUP(J235,[1]对照表!$O$3:$O$24,[1]对照表!$P$3:$P$24),LOOKUP(J235,[1]对照表!$O$27:$O$48,[1]对照表!$P$27:$P$48)),IF(B235="高二",IF($E235="男",LOOKUP(J235,[1]对照表!$N$3:$N$24,[1]对照表!$P$3:$P$24),LOOKUP(J235,[1]对照表!$N$27:$N$48,[1]对照表!$P$27:$P$48)),IF(B235="高一",IF($E235="男",LOOKUP(J235,[1]对照表!$M$3:$M$24,[1]对照表!$P$3:$P$24),LOOKUP(J235,[1]对照表!$M$27:$M$48,[1]对照表!$P$27:$P$48)))))</f>
        <v>78</v>
      </c>
      <c r="L235" s="38">
        <v>23</v>
      </c>
      <c r="M235" s="32">
        <f>IF(B235="高三",IF($E235="男",LOOKUP(L235,[1]对照表!$S$3:$S$24,[1]对照表!$T$3:$T$24),LOOKUP(L235,[1]对照表!$S$27:$S$48,[1]对照表!$T$27:$T$48)),IF(B235="高二",IF($E235="男",LOOKUP(L235,[1]对照表!$R$3:$R$24,[1]对照表!$T$3:$T$24),LOOKUP(L235,[1]对照表!$R$27:$R$48,[1]对照表!$T$27:$T$48)),IF(B235="高一",IF($E235="男",LOOKUP(L235,[1]对照表!$Q$3:$Q$24,[1]对照表!$T$3:$T$24),LOOKUP(L235,[1]对照表!$Q$27:$Q$48,[1]对照表!$T$27:$T$48)))))</f>
        <v>100</v>
      </c>
      <c r="N235" s="33">
        <f>IF(B235="高三",MAX(IF(E235="男",L235-18,L235-55),0),IF(B235="高二",MAX(IF(E235="男",L235-17,L235-54),0),IF(B235="高一",MAX(IF(E235="男",L235-16,L235-53),0))))</f>
        <v>6</v>
      </c>
      <c r="O235" s="23">
        <f>IF(E235="男",LOOKUP($N235,[1]对照表!$Z$3:$Z$13,[1]对照表!$AA$3:$AA$13),LOOKUP($N235,[1]对照表!$Z$15:$Z$25,[1]对照表!$AA$15:$AA$25))</f>
        <v>6</v>
      </c>
      <c r="P235" s="25">
        <f>M235+O235</f>
        <v>106</v>
      </c>
      <c r="Q235" s="50">
        <v>3.3</v>
      </c>
      <c r="R235" s="32">
        <f>IF(B235="高三",IF($E235="男",LOOKUP(Q235,[1]对照表!$W$3:$W$24,[1]对照表!$X$3:$X$24),LOOKUP(Q235,[1]对照表!$W$27:$W$48,[1]对照表!$X$27:$X$48)),IF(B235="高二",IF($E235="男",LOOKUP(Q235,[1]对照表!$V$3:$V$24,[1]对照表!$X$3:$X$24),LOOKUP(Q235,[1]对照表!$V$27:$V$48,[1]对照表!$X$27:$X$48)),IF(B235="高一",IF($E235="男",LOOKUP(Q235,[1]对照表!$U$3:$U$24,[1]对照表!$X$3:$X$24),LOOKUP(Q235,[1]对照表!$U$27:$U$48,[1]对照表!$X$27:$X$48)))))</f>
        <v>95</v>
      </c>
      <c r="S235" s="33">
        <f>ROUND(IF(IF($B235="高三",MIN(IF($E235="男",$Q235-3.2,$Q235-3.2),0),IF($B235="高二",MIN(IF($E235="男",$Q235-3.25,$Q235-3.22),0),IF($B235="高一",MIN(IF($E235="男",$Q235-3.3,$Q235-3.24),0))))&lt;-0.6,IF($B235="高三",MIN(IF($E235="男",$Q235-3.2,$Q235-3.2),0),IF($B235="高二",MIN(IF($E235="男",$Q235-3.25,$Q235-3.22),0),IF($B235="高一",MIN(IF($E235="男",$Q235-3.3,$Q235-3.24),0))))+0.4,IF($B235="高三",MIN(IF($E235="男",$Q235-3.2,$Q235-3.2),0),IF($B235="高二",MIN(IF($E235="男",$Q235-3.25,$Q235-3.22),0),IF($B235="高一",MIN(IF($E235="男",$Q235-3.3,$Q235-3.24),0))))),2)</f>
        <v>0</v>
      </c>
      <c r="T235" s="23">
        <f>IF(E235="男",LOOKUP($S235,[1]对照表!$AB$3:$AB$13,[1]对照表!$AC$3:$AC$13),LOOKUP($S235,[1]对照表!$AB$15:$AB$25,[1]对照表!$AC$15:$AC$25))</f>
        <v>0</v>
      </c>
      <c r="U235" s="26">
        <f>R235+T235</f>
        <v>95</v>
      </c>
      <c r="V235" s="26">
        <f>SUM(I235,K235,M235)/3*0.3+SUM(G235,R235)/2*0.4</f>
        <v>60.6</v>
      </c>
      <c r="W235" s="27">
        <f>O235+T235</f>
        <v>6</v>
      </c>
      <c r="X235" s="28">
        <f>V235/0.7+W235</f>
        <v>92.571428571428584</v>
      </c>
      <c r="Y235" s="28">
        <f>X235</f>
        <v>92.571428571428584</v>
      </c>
      <c r="Z235" s="38"/>
    </row>
    <row r="236" spans="1:26" ht="15.6" customHeight="1" x14ac:dyDescent="0.25">
      <c r="A236" s="38">
        <v>17</v>
      </c>
      <c r="B236" s="17" t="s">
        <v>767</v>
      </c>
      <c r="C236" s="38">
        <v>205</v>
      </c>
      <c r="D236" s="49" t="s">
        <v>1025</v>
      </c>
      <c r="E236" s="48" t="s">
        <v>23</v>
      </c>
      <c r="F236" s="50">
        <v>7.3</v>
      </c>
      <c r="G236" s="32">
        <f>IF(B236="高三",IF($E236="男",LOOKUP(F236,[1]对照表!$G$3:$G$24,[1]对照表!$H$3:$H$24),LOOKUP(F236,[1]对照表!$G$27:$G$48,[1]对照表!$H$27:$H$48)),IF(B236="高二",IF($E236="男",LOOKUP(F236,[1]对照表!$F$3:$F$24,[1]对照表!$H$3:$H$24),LOOKUP(F236,[1]对照表!$F$27:$F$48,[1]对照表!$H$27:$H$48)),IF(B236="高一",IF($E236="男",LOOKUP(F236,[1]对照表!$E$3:$E$24,[1]对照表!$H$3:$H$24),LOOKUP(F236,[1]对照表!$E$27:$E$48,[1]对照表!$H$27:$H$48)))))</f>
        <v>85</v>
      </c>
      <c r="H236" s="38">
        <v>24.8</v>
      </c>
      <c r="I236" s="32">
        <f>IF(B236="高三",IF($E236="男",LOOKUP(H236,[1]对照表!$K$3:$K$24,[1]对照表!$L$3:$L$24),LOOKUP(H236,[1]对照表!$K$27:$K$48,[1]对照表!$L$27:$L$48)),IF(B236="高二",IF($E236="男",LOOKUP(H236,[1]对照表!$J$3:$J$24,[1]对照表!$L$3:$L$24),LOOKUP(H236,[1]对照表!$J$27:$J$48,[1]对照表!$L$27:$L$48)),IF(B236="高一",IF($E236="男",LOOKUP(H236,[1]对照表!$I$3:$I$24,[1]对照表!$L$3:$L$24),LOOKUP(H236,[1]对照表!$I$27:$I$48,[1]对照表!$L$27:$L$48)))))</f>
        <v>100</v>
      </c>
      <c r="J236" s="38">
        <v>245</v>
      </c>
      <c r="K236" s="32">
        <f>IF(B236="高三",IF($E236="男",LOOKUP(J236,[1]对照表!$O$3:$O$24,[1]对照表!$P$3:$P$24),LOOKUP(J236,[1]对照表!$O$27:$O$48,[1]对照表!$P$27:$P$48)),IF(B236="高二",IF($E236="男",LOOKUP(J236,[1]对照表!$N$3:$N$24,[1]对照表!$P$3:$P$24),LOOKUP(J236,[1]对照表!$N$27:$N$48,[1]对照表!$P$27:$P$48)),IF(B236="高一",IF($E236="男",LOOKUP(J236,[1]对照表!$M$3:$M$24,[1]对照表!$P$3:$P$24),LOOKUP(J236,[1]对照表!$M$27:$M$48,[1]对照表!$P$27:$P$48)))))</f>
        <v>80</v>
      </c>
      <c r="L236" s="38">
        <v>15</v>
      </c>
      <c r="M236" s="32">
        <f>IF(B236="高三",IF($E236="男",LOOKUP(L236,[1]对照表!$S$3:$S$24,[1]对照表!$T$3:$T$24),LOOKUP(L236,[1]对照表!$S$27:$S$48,[1]对照表!$T$27:$T$48)),IF(B236="高二",IF($E236="男",LOOKUP(L236,[1]对照表!$R$3:$R$24,[1]对照表!$T$3:$T$24),LOOKUP(L236,[1]对照表!$R$27:$R$48,[1]对照表!$T$27:$T$48)),IF(B236="高一",IF($E236="男",LOOKUP(L236,[1]对照表!$Q$3:$Q$24,[1]对照表!$T$3:$T$24),LOOKUP(L236,[1]对照表!$Q$27:$Q$48,[1]对照表!$T$27:$T$48)))))</f>
        <v>90</v>
      </c>
      <c r="N236" s="33">
        <f>IF(B236="高三",MAX(IF(E236="男",L236-18,L236-55),0),IF(B236="高二",MAX(IF(E236="男",L236-17,L236-54),0),IF(B236="高一",MAX(IF(E236="男",L236-16,L236-53),0))))</f>
        <v>0</v>
      </c>
      <c r="O236" s="23">
        <f>IF(E236="男",LOOKUP($N236,[1]对照表!$Z$3:$Z$13,[1]对照表!$AA$3:$AA$13),LOOKUP($N236,[1]对照表!$Z$15:$Z$25,[1]对照表!$AA$15:$AA$25))</f>
        <v>0</v>
      </c>
      <c r="P236" s="25">
        <f>M236+O236</f>
        <v>90</v>
      </c>
      <c r="Q236" s="50">
        <v>3.35</v>
      </c>
      <c r="R236" s="32">
        <f>IF(B236="高三",IF($E236="男",LOOKUP(Q236,[1]对照表!$W$3:$W$24,[1]对照表!$X$3:$X$24),LOOKUP(Q236,[1]对照表!$W$27:$W$48,[1]对照表!$X$27:$X$48)),IF(B236="高二",IF($E236="男",LOOKUP(Q236,[1]对照表!$V$3:$V$24,[1]对照表!$X$3:$X$24),LOOKUP(Q236,[1]对照表!$V$27:$V$48,[1]对照表!$X$27:$X$48)),IF(B236="高一",IF($E236="男",LOOKUP(Q236,[1]对照表!$U$3:$U$24,[1]对照表!$X$3:$X$24),LOOKUP(Q236,[1]对照表!$U$27:$U$48,[1]对照表!$X$27:$X$48)))))</f>
        <v>90</v>
      </c>
      <c r="S236" s="33">
        <f>ROUND(IF(IF($B236="高三",MIN(IF($E236="男",$Q236-3.2,$Q236-3.2),0),IF($B236="高二",MIN(IF($E236="男",$Q236-3.25,$Q236-3.22),0),IF($B236="高一",MIN(IF($E236="男",$Q236-3.3,$Q236-3.24),0))))&lt;-0.6,IF($B236="高三",MIN(IF($E236="男",$Q236-3.2,$Q236-3.2),0),IF($B236="高二",MIN(IF($E236="男",$Q236-3.25,$Q236-3.22),0),IF($B236="高一",MIN(IF($E236="男",$Q236-3.3,$Q236-3.24),0))))+0.4,IF($B236="高三",MIN(IF($E236="男",$Q236-3.2,$Q236-3.2),0),IF($B236="高二",MIN(IF($E236="男",$Q236-3.25,$Q236-3.22),0),IF($B236="高一",MIN(IF($E236="男",$Q236-3.3,$Q236-3.24),0))))),2)</f>
        <v>0</v>
      </c>
      <c r="T236" s="23">
        <f>IF(E236="男",LOOKUP($S236,[1]对照表!$AB$3:$AB$13,[1]对照表!$AC$3:$AC$13),LOOKUP($S236,[1]对照表!$AB$15:$AB$25,[1]对照表!$AC$15:$AC$25))</f>
        <v>0</v>
      </c>
      <c r="U236" s="26">
        <f>R236+T236</f>
        <v>90</v>
      </c>
      <c r="V236" s="26">
        <f>SUM(I236,K236,M236)/3*0.3+SUM(G236,R236)/2*0.4</f>
        <v>62</v>
      </c>
      <c r="W236" s="27">
        <f>O236+T236</f>
        <v>0</v>
      </c>
      <c r="X236" s="28">
        <f>V236/0.7+W236</f>
        <v>88.571428571428584</v>
      </c>
      <c r="Y236" s="28">
        <f>X236</f>
        <v>88.571428571428584</v>
      </c>
      <c r="Z236" s="38"/>
    </row>
    <row r="237" spans="1:26" ht="15.6" x14ac:dyDescent="0.25">
      <c r="A237" s="38">
        <v>8</v>
      </c>
      <c r="B237" s="17" t="s">
        <v>767</v>
      </c>
      <c r="C237" s="38">
        <v>205</v>
      </c>
      <c r="D237" s="49" t="s">
        <v>1036</v>
      </c>
      <c r="E237" s="48" t="s">
        <v>23</v>
      </c>
      <c r="F237" s="50">
        <v>6.9</v>
      </c>
      <c r="G237" s="32">
        <f>IF(B237="高三",IF($E237="男",LOOKUP(F237,[1]对照表!$G$3:$G$24,[1]对照表!$H$3:$H$24),LOOKUP(F237,[1]对照表!$G$27:$G$48,[1]对照表!$H$27:$H$48)),IF(B237="高二",IF($E237="男",LOOKUP(F237,[1]对照表!$F$3:$F$24,[1]对照表!$H$3:$H$24),LOOKUP(F237,[1]对照表!$F$27:$F$48,[1]对照表!$H$27:$H$48)),IF(B237="高一",IF($E237="男",LOOKUP(F237,[1]对照表!$E$3:$E$24,[1]对照表!$H$3:$H$24),LOOKUP(F237,[1]对照表!$E$27:$E$48,[1]对照表!$H$27:$H$48)))))</f>
        <v>100</v>
      </c>
      <c r="H237" s="38">
        <v>28.3</v>
      </c>
      <c r="I237" s="32">
        <f>IF(B237="高三",IF($E237="男",LOOKUP(H237,[1]对照表!$K$3:$K$24,[1]对照表!$L$3:$L$24),LOOKUP(H237,[1]对照表!$K$27:$K$48,[1]对照表!$L$27:$L$48)),IF(B237="高二",IF($E237="男",LOOKUP(H237,[1]对照表!$J$3:$J$24,[1]对照表!$L$3:$L$24),LOOKUP(H237,[1]对照表!$J$27:$J$48,[1]对照表!$L$27:$L$48)),IF(B237="高一",IF($E237="男",LOOKUP(H237,[1]对照表!$I$3:$I$24,[1]对照表!$L$3:$L$24),LOOKUP(H237,[1]对照表!$I$27:$I$48,[1]对照表!$L$27:$L$48)))))</f>
        <v>100</v>
      </c>
      <c r="J237" s="38">
        <v>290</v>
      </c>
      <c r="K237" s="32">
        <f>IF(B237="高三",IF($E237="男",LOOKUP(J237,[1]对照表!$O$3:$O$24,[1]对照表!$P$3:$P$24),LOOKUP(J237,[1]对照表!$O$27:$O$48,[1]对照表!$P$27:$P$48)),IF(B237="高二",IF($E237="男",LOOKUP(J237,[1]对照表!$N$3:$N$24,[1]对照表!$P$3:$P$24),LOOKUP(J237,[1]对照表!$N$27:$N$48,[1]对照表!$P$27:$P$48)),IF(B237="高一",IF($E237="男",LOOKUP(J237,[1]对照表!$M$3:$M$24,[1]对照表!$P$3:$P$24),LOOKUP(J237,[1]对照表!$M$27:$M$48,[1]对照表!$P$27:$P$48)))))</f>
        <v>100</v>
      </c>
      <c r="L237" s="38">
        <v>3</v>
      </c>
      <c r="M237" s="32">
        <f>IF(B237="高三",IF($E237="男",LOOKUP(L237,[1]对照表!$S$3:$S$24,[1]对照表!$T$3:$T$24),LOOKUP(L237,[1]对照表!$S$27:$S$48,[1]对照表!$T$27:$T$48)),IF(B237="高二",IF($E237="男",LOOKUP(L237,[1]对照表!$R$3:$R$24,[1]对照表!$T$3:$T$24),LOOKUP(L237,[1]对照表!$R$27:$R$48,[1]对照表!$T$27:$T$48)),IF(B237="高一",IF($E237="男",LOOKUP(L237,[1]对照表!$Q$3:$Q$24,[1]对照表!$T$3:$T$24),LOOKUP(L237,[1]对照表!$Q$27:$Q$48,[1]对照表!$T$27:$T$48)))))</f>
        <v>10</v>
      </c>
      <c r="N237" s="33">
        <f>IF(B237="高三",MAX(IF(E237="男",L237-18,L237-55),0),IF(B237="高二",MAX(IF(E237="男",L237-17,L237-54),0),IF(B237="高一",MAX(IF(E237="男",L237-16,L237-53),0))))</f>
        <v>0</v>
      </c>
      <c r="O237" s="23">
        <f>IF(E237="男",LOOKUP($N237,[1]对照表!$Z$3:$Z$13,[1]对照表!$AA$3:$AA$13),LOOKUP($N237,[1]对照表!$Z$15:$Z$25,[1]对照表!$AA$15:$AA$25))</f>
        <v>0</v>
      </c>
      <c r="P237" s="25">
        <f>M237+O237</f>
        <v>10</v>
      </c>
      <c r="Q237" s="50">
        <v>3.18</v>
      </c>
      <c r="R237" s="32">
        <f>IF(B237="高三",IF($E237="男",LOOKUP(Q237,[1]对照表!$W$3:$W$24,[1]对照表!$X$3:$X$24),LOOKUP(Q237,[1]对照表!$W$27:$W$48,[1]对照表!$X$27:$X$48)),IF(B237="高二",IF($E237="男",LOOKUP(Q237,[1]对照表!$V$3:$V$24,[1]对照表!$X$3:$X$24),LOOKUP(Q237,[1]对照表!$V$27:$V$48,[1]对照表!$X$27:$X$48)),IF(B237="高一",IF($E237="男",LOOKUP(Q237,[1]对照表!$U$3:$U$24,[1]对照表!$X$3:$X$24),LOOKUP(Q237,[1]对照表!$U$27:$U$48,[1]对照表!$X$27:$X$48)))))</f>
        <v>100</v>
      </c>
      <c r="S237" s="33">
        <f>ROUND(IF(IF($B237="高三",MIN(IF($E237="男",$Q237-3.2,$Q237-3.2),0),IF($B237="高二",MIN(IF($E237="男",$Q237-3.25,$Q237-3.22),0),IF($B237="高一",MIN(IF($E237="男",$Q237-3.3,$Q237-3.24),0))))&lt;-0.6,IF($B237="高三",MIN(IF($E237="男",$Q237-3.2,$Q237-3.2),0),IF($B237="高二",MIN(IF($E237="男",$Q237-3.25,$Q237-3.22),0),IF($B237="高一",MIN(IF($E237="男",$Q237-3.3,$Q237-3.24),0))))+0.4,IF($B237="高三",MIN(IF($E237="男",$Q237-3.2,$Q237-3.2),0),IF($B237="高二",MIN(IF($E237="男",$Q237-3.25,$Q237-3.22),0),IF($B237="高一",MIN(IF($E237="男",$Q237-3.3,$Q237-3.24),0))))),2)</f>
        <v>-7.0000000000000007E-2</v>
      </c>
      <c r="T237" s="23">
        <f>IF(E237="男",LOOKUP($S237,[1]对照表!$AB$3:$AB$13,[1]对照表!$AC$3:$AC$13),LOOKUP($S237,[1]对照表!$AB$15:$AB$25,[1]对照表!$AC$15:$AC$25))</f>
        <v>1</v>
      </c>
      <c r="U237" s="26">
        <f>R237+T237</f>
        <v>101</v>
      </c>
      <c r="V237" s="26">
        <f>SUM(I237,K237,M237)/3*0.3+SUM(G237,R237)/2*0.4</f>
        <v>61</v>
      </c>
      <c r="W237" s="27">
        <f>O237+T237</f>
        <v>1</v>
      </c>
      <c r="X237" s="28">
        <f>V237/0.7+W237</f>
        <v>88.142857142857153</v>
      </c>
      <c r="Y237" s="28">
        <f>X237</f>
        <v>88.142857142857153</v>
      </c>
      <c r="Z237" s="38"/>
    </row>
    <row r="238" spans="1:26" ht="15.6" customHeight="1" x14ac:dyDescent="0.25">
      <c r="A238" s="38">
        <v>27</v>
      </c>
      <c r="B238" s="17" t="s">
        <v>767</v>
      </c>
      <c r="C238" s="38">
        <v>205</v>
      </c>
      <c r="D238" s="49" t="s">
        <v>1039</v>
      </c>
      <c r="E238" s="48" t="s">
        <v>23</v>
      </c>
      <c r="F238" s="50">
        <v>6.8</v>
      </c>
      <c r="G238" s="32">
        <f>IF(B238="高三",IF($E238="男",LOOKUP(F238,[1]对照表!$G$3:$G$24,[1]对照表!$H$3:$H$24),LOOKUP(F238,[1]对照表!$G$27:$G$48,[1]对照表!$H$27:$H$48)),IF(B238="高二",IF($E238="男",LOOKUP(F238,[1]对照表!$F$3:$F$24,[1]对照表!$H$3:$H$24),LOOKUP(F238,[1]对照表!$F$27:$F$48,[1]对照表!$H$27:$H$48)),IF(B238="高一",IF($E238="男",LOOKUP(F238,[1]对照表!$E$3:$E$24,[1]对照表!$H$3:$H$24),LOOKUP(F238,[1]对照表!$E$27:$E$48,[1]对照表!$H$27:$H$48)))))</f>
        <v>100</v>
      </c>
      <c r="H238" s="38">
        <v>13.5</v>
      </c>
      <c r="I238" s="32">
        <f>IF(B238="高三",IF($E238="男",LOOKUP(H238,[1]对照表!$K$3:$K$24,[1]对照表!$L$3:$L$24),LOOKUP(H238,[1]对照表!$K$27:$K$48,[1]对照表!$L$27:$L$48)),IF(B238="高二",IF($E238="男",LOOKUP(H238,[1]对照表!$J$3:$J$24,[1]对照表!$L$3:$L$24),LOOKUP(H238,[1]对照表!$J$27:$J$48,[1]对照表!$L$27:$L$48)),IF(B238="高一",IF($E238="男",LOOKUP(H238,[1]对照表!$I$3:$I$24,[1]对照表!$L$3:$L$24),LOOKUP(H238,[1]对照表!$I$27:$I$48,[1]对照表!$L$27:$L$48)))))</f>
        <v>76</v>
      </c>
      <c r="J238" s="38">
        <v>262</v>
      </c>
      <c r="K238" s="32">
        <f>IF(B238="高三",IF($E238="男",LOOKUP(J238,[1]对照表!$O$3:$O$24,[1]对照表!$P$3:$P$24),LOOKUP(J238,[1]对照表!$O$27:$O$48,[1]对照表!$P$27:$P$48)),IF(B238="高二",IF($E238="男",LOOKUP(J238,[1]对照表!$N$3:$N$24,[1]对照表!$P$3:$P$24),LOOKUP(J238,[1]对照表!$N$27:$N$48,[1]对照表!$P$27:$P$48)),IF(B238="高一",IF($E238="男",LOOKUP(J238,[1]对照表!$M$3:$M$24,[1]对照表!$P$3:$P$24),LOOKUP(J238,[1]对照表!$M$27:$M$48,[1]对照表!$P$27:$P$48)))))</f>
        <v>95</v>
      </c>
      <c r="L238" s="38">
        <v>14</v>
      </c>
      <c r="M238" s="32">
        <f>IF(B238="高三",IF($E238="男",LOOKUP(L238,[1]对照表!$S$3:$S$24,[1]对照表!$T$3:$T$24),LOOKUP(L238,[1]对照表!$S$27:$S$48,[1]对照表!$T$27:$T$48)),IF(B238="高二",IF($E238="男",LOOKUP(L238,[1]对照表!$R$3:$R$24,[1]对照表!$T$3:$T$24),LOOKUP(L238,[1]对照表!$R$27:$R$48,[1]对照表!$T$27:$T$48)),IF(B238="高一",IF($E238="男",LOOKUP(L238,[1]对照表!$Q$3:$Q$24,[1]对照表!$T$3:$T$24),LOOKUP(L238,[1]对照表!$Q$27:$Q$48,[1]对照表!$T$27:$T$48)))))</f>
        <v>85</v>
      </c>
      <c r="N238" s="33">
        <f>IF(B238="高三",MAX(IF(E238="男",L238-18,L238-55),0),IF(B238="高二",MAX(IF(E238="男",L238-17,L238-54),0),IF(B238="高一",MAX(IF(E238="男",L238-16,L238-53),0))))</f>
        <v>0</v>
      </c>
      <c r="O238" s="23">
        <f>IF(E238="男",LOOKUP($N238,[1]对照表!$Z$3:$Z$13,[1]对照表!$AA$3:$AA$13),LOOKUP($N238,[1]对照表!$Z$15:$Z$25,[1]对照表!$AA$15:$AA$25))</f>
        <v>0</v>
      </c>
      <c r="P238" s="25">
        <f>M238+O238</f>
        <v>85</v>
      </c>
      <c r="Q238" s="50">
        <v>3.48</v>
      </c>
      <c r="R238" s="32">
        <f>IF(B238="高三",IF($E238="男",LOOKUP(Q238,[1]对照表!$W$3:$W$24,[1]对照表!$X$3:$X$24),LOOKUP(Q238,[1]对照表!$W$27:$W$48,[1]对照表!$X$27:$X$48)),IF(B238="高二",IF($E238="男",LOOKUP(Q238,[1]对照表!$V$3:$V$24,[1]对照表!$X$3:$X$24),LOOKUP(Q238,[1]对照表!$V$27:$V$48,[1]对照表!$X$27:$X$48)),IF(B238="高一",IF($E238="男",LOOKUP(Q238,[1]对照表!$U$3:$U$24,[1]对照表!$X$3:$X$24),LOOKUP(Q238,[1]对照表!$U$27:$U$48,[1]对照表!$X$27:$X$48)))))</f>
        <v>80</v>
      </c>
      <c r="S238" s="33">
        <f>ROUND(IF(IF($B238="高三",MIN(IF($E238="男",$Q238-3.2,$Q238-3.2),0),IF($B238="高二",MIN(IF($E238="男",$Q238-3.25,$Q238-3.22),0),IF($B238="高一",MIN(IF($E238="男",$Q238-3.3,$Q238-3.24),0))))&lt;-0.6,IF($B238="高三",MIN(IF($E238="男",$Q238-3.2,$Q238-3.2),0),IF($B238="高二",MIN(IF($E238="男",$Q238-3.25,$Q238-3.22),0),IF($B238="高一",MIN(IF($E238="男",$Q238-3.3,$Q238-3.24),0))))+0.4,IF($B238="高三",MIN(IF($E238="男",$Q238-3.2,$Q238-3.2),0),IF($B238="高二",MIN(IF($E238="男",$Q238-3.25,$Q238-3.22),0),IF($B238="高一",MIN(IF($E238="男",$Q238-3.3,$Q238-3.24),0))))),2)</f>
        <v>0</v>
      </c>
      <c r="T238" s="23">
        <f>IF(E238="男",LOOKUP($S238,[1]对照表!$AB$3:$AB$13,[1]对照表!$AC$3:$AC$13),LOOKUP($S238,[1]对照表!$AB$15:$AB$25,[1]对照表!$AC$15:$AC$25))</f>
        <v>0</v>
      </c>
      <c r="U238" s="26">
        <f>R238+T238</f>
        <v>80</v>
      </c>
      <c r="V238" s="26">
        <f>SUM(I238,K238,M238)/3*0.3+SUM(G238,R238)/2*0.4</f>
        <v>61.599999999999994</v>
      </c>
      <c r="W238" s="27">
        <f>O238+T238</f>
        <v>0</v>
      </c>
      <c r="X238" s="28">
        <f>V238/0.7+W238</f>
        <v>88</v>
      </c>
      <c r="Y238" s="28">
        <f>X238</f>
        <v>88</v>
      </c>
      <c r="Z238" s="38"/>
    </row>
    <row r="239" spans="1:26" ht="15.6" x14ac:dyDescent="0.25">
      <c r="A239" s="48">
        <v>25</v>
      </c>
      <c r="B239" s="17" t="s">
        <v>767</v>
      </c>
      <c r="C239" s="38">
        <v>205</v>
      </c>
      <c r="D239" s="49" t="s">
        <v>1074</v>
      </c>
      <c r="E239" s="48" t="s">
        <v>23</v>
      </c>
      <c r="F239" s="50">
        <v>6.9</v>
      </c>
      <c r="G239" s="32">
        <f>IF(B239="高三",IF($E239="男",LOOKUP(F239,[1]对照表!$G$3:$G$24,[1]对照表!$H$3:$H$24),LOOKUP(F239,[1]对照表!$G$27:$G$48,[1]对照表!$H$27:$H$48)),IF(B239="高二",IF($E239="男",LOOKUP(F239,[1]对照表!$F$3:$F$24,[1]对照表!$H$3:$H$24),LOOKUP(F239,[1]对照表!$F$27:$F$48,[1]对照表!$H$27:$H$48)),IF(B239="高一",IF($E239="男",LOOKUP(F239,[1]对照表!$E$3:$E$24,[1]对照表!$H$3:$H$24),LOOKUP(F239,[1]对照表!$E$27:$E$48,[1]对照表!$H$27:$H$48)))))</f>
        <v>100</v>
      </c>
      <c r="H239" s="38">
        <v>11</v>
      </c>
      <c r="I239" s="32">
        <f>IF(B239="高三",IF($E239="男",LOOKUP(H239,[1]对照表!$K$3:$K$24,[1]对照表!$L$3:$L$24),LOOKUP(H239,[1]对照表!$K$27:$K$48,[1]对照表!$L$27:$L$48)),IF(B239="高二",IF($E239="男",LOOKUP(H239,[1]对照表!$J$3:$J$24,[1]对照表!$L$3:$L$24),LOOKUP(H239,[1]对照表!$J$27:$J$48,[1]对照表!$L$27:$L$48)),IF(B239="高一",IF($E239="男",LOOKUP(H239,[1]对照表!$I$3:$I$24,[1]对照表!$L$3:$L$24),LOOKUP(H239,[1]对照表!$I$27:$I$48,[1]对照表!$L$27:$L$48)))))</f>
        <v>72</v>
      </c>
      <c r="J239" s="38">
        <v>246</v>
      </c>
      <c r="K239" s="32">
        <f>IF(B239="高三",IF($E239="男",LOOKUP(J239,[1]对照表!$O$3:$O$24,[1]对照表!$P$3:$P$24),LOOKUP(J239,[1]对照表!$O$27:$O$48,[1]对照表!$P$27:$P$48)),IF(B239="高二",IF($E239="男",LOOKUP(J239,[1]对照表!$N$3:$N$24,[1]对照表!$P$3:$P$24),LOOKUP(J239,[1]对照表!$N$27:$N$48,[1]对照表!$P$27:$P$48)),IF(B239="高一",IF($E239="男",LOOKUP(J239,[1]对照表!$M$3:$M$24,[1]对照表!$P$3:$P$24),LOOKUP(J239,[1]对照表!$M$27:$M$48,[1]对照表!$P$27:$P$48)))))</f>
        <v>80</v>
      </c>
      <c r="L239" s="38">
        <v>17</v>
      </c>
      <c r="M239" s="32">
        <f>IF(B239="高三",IF($E239="男",LOOKUP(L239,[1]对照表!$S$3:$S$24,[1]对照表!$T$3:$T$24),LOOKUP(L239,[1]对照表!$S$27:$S$48,[1]对照表!$T$27:$T$48)),IF(B239="高二",IF($E239="男",LOOKUP(L239,[1]对照表!$R$3:$R$24,[1]对照表!$T$3:$T$24),LOOKUP(L239,[1]对照表!$R$27:$R$48,[1]对照表!$T$27:$T$48)),IF(B239="高一",IF($E239="男",LOOKUP(L239,[1]对照表!$Q$3:$Q$24,[1]对照表!$T$3:$T$24),LOOKUP(L239,[1]对照表!$Q$27:$Q$48,[1]对照表!$T$27:$T$48)))))</f>
        <v>100</v>
      </c>
      <c r="N239" s="33">
        <f>IF(B239="高三",MAX(IF(E239="男",L239-18,L239-55),0),IF(B239="高二",MAX(IF(E239="男",L239-17,L239-54),0),IF(B239="高一",MAX(IF(E239="男",L239-16,L239-53),0))))</f>
        <v>0</v>
      </c>
      <c r="O239" s="23">
        <f>IF(E239="男",LOOKUP($N239,[1]对照表!$Z$3:$Z$13,[1]对照表!$AA$3:$AA$13),LOOKUP($N239,[1]对照表!$Z$15:$Z$25,[1]对照表!$AA$15:$AA$25))</f>
        <v>0</v>
      </c>
      <c r="P239" s="25">
        <f>M239+O239</f>
        <v>100</v>
      </c>
      <c r="Q239" s="50">
        <v>3.56</v>
      </c>
      <c r="R239" s="32">
        <f>IF(B239="高三",IF($E239="男",LOOKUP(Q239,[1]对照表!$W$3:$W$24,[1]对照表!$X$3:$X$24),LOOKUP(Q239,[1]对照表!$W$27:$W$48,[1]对照表!$X$27:$X$48)),IF(B239="高二",IF($E239="男",LOOKUP(Q239,[1]对照表!$V$3:$V$24,[1]对照表!$X$3:$X$24),LOOKUP(Q239,[1]对照表!$V$27:$V$48,[1]对照表!$X$27:$X$48)),IF(B239="高一",IF($E239="男",LOOKUP(Q239,[1]对照表!$U$3:$U$24,[1]对照表!$X$3:$X$24),LOOKUP(Q239,[1]对照表!$U$27:$U$48,[1]对照表!$X$27:$X$48)))))</f>
        <v>76</v>
      </c>
      <c r="S239" s="33">
        <f>ROUND(IF(IF($B239="高三",MIN(IF($E239="男",$Q239-3.2,$Q239-3.2),0),IF($B239="高二",MIN(IF($E239="男",$Q239-3.25,$Q239-3.22),0),IF($B239="高一",MIN(IF($E239="男",$Q239-3.3,$Q239-3.24),0))))&lt;-0.6,IF($B239="高三",MIN(IF($E239="男",$Q239-3.2,$Q239-3.2),0),IF($B239="高二",MIN(IF($E239="男",$Q239-3.25,$Q239-3.22),0),IF($B239="高一",MIN(IF($E239="男",$Q239-3.3,$Q239-3.24),0))))+0.4,IF($B239="高三",MIN(IF($E239="男",$Q239-3.2,$Q239-3.2),0),IF($B239="高二",MIN(IF($E239="男",$Q239-3.25,$Q239-3.22),0),IF($B239="高一",MIN(IF($E239="男",$Q239-3.3,$Q239-3.24),0))))),2)</f>
        <v>0</v>
      </c>
      <c r="T239" s="23">
        <f>IF(E239="男",LOOKUP($S239,[1]对照表!$AB$3:$AB$13,[1]对照表!$AC$3:$AC$13),LOOKUP($S239,[1]对照表!$AB$15:$AB$25,[1]对照表!$AC$15:$AC$25))</f>
        <v>0</v>
      </c>
      <c r="U239" s="26">
        <f>R239+T239</f>
        <v>76</v>
      </c>
      <c r="V239" s="26">
        <f>SUM(I239,K239,M239)/3*0.3+SUM(G239,R239)/2*0.4</f>
        <v>60.400000000000006</v>
      </c>
      <c r="W239" s="27">
        <f>O239+T239</f>
        <v>0</v>
      </c>
      <c r="X239" s="28">
        <f>V239/0.7+W239</f>
        <v>86.285714285714306</v>
      </c>
      <c r="Y239" s="28">
        <f>X239</f>
        <v>86.285714285714306</v>
      </c>
      <c r="Z239" s="38"/>
    </row>
    <row r="240" spans="1:26" ht="15.6" x14ac:dyDescent="0.25">
      <c r="A240" s="48">
        <v>38</v>
      </c>
      <c r="B240" s="17" t="s">
        <v>767</v>
      </c>
      <c r="C240" s="38">
        <v>205</v>
      </c>
      <c r="D240" s="49" t="s">
        <v>1086</v>
      </c>
      <c r="E240" s="38" t="s">
        <v>65</v>
      </c>
      <c r="F240" s="50">
        <v>8.32</v>
      </c>
      <c r="G240" s="32">
        <f>IF(B240="高三",IF($E240="男",LOOKUP(F240,[1]对照表!$G$3:$G$24,[1]对照表!$H$3:$H$24),LOOKUP(F240,[1]对照表!$G$27:$G$48,[1]对照表!$H$27:$H$48)),IF(B240="高二",IF($E240="男",LOOKUP(F240,[1]对照表!$F$3:$F$24,[1]对照表!$H$3:$H$24),LOOKUP(F240,[1]对照表!$F$27:$F$48,[1]对照表!$H$27:$H$48)),IF(B240="高一",IF($E240="男",LOOKUP(F240,[1]对照表!$E$3:$E$24,[1]对照表!$H$3:$H$24),LOOKUP(F240,[1]对照表!$E$27:$E$48,[1]对照表!$H$27:$H$48)))))</f>
        <v>80</v>
      </c>
      <c r="H240" s="38">
        <v>18</v>
      </c>
      <c r="I240" s="32">
        <f>IF(B240="高三",IF($E240="男",LOOKUP(H240,[1]对照表!$K$3:$K$24,[1]对照表!$L$3:$L$24),LOOKUP(H240,[1]对照表!$K$27:$K$48,[1]对照表!$L$27:$L$48)),IF(B240="高二",IF($E240="男",LOOKUP(H240,[1]对照表!$J$3:$J$24,[1]对照表!$L$3:$L$24),LOOKUP(H240,[1]对照表!$J$27:$J$48,[1]对照表!$L$27:$L$48)),IF(B240="高一",IF($E240="男",LOOKUP(H240,[1]对照表!$I$3:$I$24,[1]对照表!$L$3:$L$24),LOOKUP(H240,[1]对照表!$I$27:$I$48,[1]对照表!$L$27:$L$48)))))</f>
        <v>80</v>
      </c>
      <c r="J240" s="38">
        <v>175</v>
      </c>
      <c r="K240" s="32">
        <f>IF(B240="高三",IF($E240="男",LOOKUP(J240,[1]对照表!$O$3:$O$24,[1]对照表!$P$3:$P$24),LOOKUP(J240,[1]对照表!$O$27:$O$48,[1]对照表!$P$27:$P$48)),IF(B240="高二",IF($E240="男",LOOKUP(J240,[1]对照表!$N$3:$N$24,[1]对照表!$P$3:$P$24),LOOKUP(J240,[1]对照表!$N$27:$N$48,[1]对照表!$P$27:$P$48)),IF(B240="高一",IF($E240="男",LOOKUP(J240,[1]对照表!$M$3:$M$24,[1]对照表!$P$3:$P$24),LOOKUP(J240,[1]对照表!$M$27:$M$48,[1]对照表!$P$27:$P$48)))))</f>
        <v>76</v>
      </c>
      <c r="L240" s="38">
        <v>35</v>
      </c>
      <c r="M240" s="32">
        <f>IF(B240="高三",IF($E240="男",LOOKUP(L240,[1]对照表!$S$3:$S$24,[1]对照表!$T$3:$T$24),LOOKUP(L240,[1]对照表!$S$27:$S$48,[1]对照表!$T$27:$T$48)),IF(B240="高二",IF($E240="男",LOOKUP(L240,[1]对照表!$R$3:$R$24,[1]对照表!$T$3:$T$24),LOOKUP(L240,[1]对照表!$R$27:$R$48,[1]对照表!$T$27:$T$48)),IF(B240="高一",IF($E240="男",LOOKUP(L240,[1]对照表!$Q$3:$Q$24,[1]对照表!$T$3:$T$24),LOOKUP(L240,[1]对照表!$Q$27:$Q$48,[1]对照表!$T$27:$T$48)))))</f>
        <v>70</v>
      </c>
      <c r="N240" s="33">
        <f>IF(B240="高三",MAX(IF(E240="男",L240-18,L240-55),0),IF(B240="高二",MAX(IF(E240="男",L240-17,L240-54),0),IF(B240="高一",MAX(IF(E240="男",L240-16,L240-53),0))))</f>
        <v>0</v>
      </c>
      <c r="O240" s="23">
        <f>IF(E240="男",LOOKUP($N240,[1]对照表!$Z$3:$Z$13,[1]对照表!$AA$3:$AA$13),LOOKUP($N240,[1]对照表!$Z$15:$Z$25,[1]对照表!$AA$15:$AA$25))</f>
        <v>0</v>
      </c>
      <c r="P240" s="25">
        <f>M240+O240</f>
        <v>70</v>
      </c>
      <c r="Q240" s="50">
        <v>3.36</v>
      </c>
      <c r="R240" s="32">
        <f>IF(B240="高三",IF($E240="男",LOOKUP(Q240,[1]对照表!$W$3:$W$24,[1]对照表!$X$3:$X$24),LOOKUP(Q240,[1]对照表!$W$27:$W$48,[1]对照表!$X$27:$X$48)),IF(B240="高二",IF($E240="男",LOOKUP(Q240,[1]对照表!$V$3:$V$24,[1]对照表!$X$3:$X$24),LOOKUP(Q240,[1]对照表!$V$27:$V$48,[1]对照表!$X$27:$X$48)),IF(B240="高一",IF($E240="男",LOOKUP(Q240,[1]对照表!$U$3:$U$24,[1]对照表!$X$3:$X$24),LOOKUP(Q240,[1]对照表!$U$27:$U$48,[1]对照表!$X$27:$X$48)))))</f>
        <v>85</v>
      </c>
      <c r="S240" s="33">
        <f>ROUND(IF(IF($B240="高三",MIN(IF($E240="男",$Q240-3.2,$Q240-3.2),0),IF($B240="高二",MIN(IF($E240="男",$Q240-3.25,$Q240-3.22),0),IF($B240="高一",MIN(IF($E240="男",$Q240-3.3,$Q240-3.24),0))))&lt;-0.6,IF($B240="高三",MIN(IF($E240="男",$Q240-3.2,$Q240-3.2),0),IF($B240="高二",MIN(IF($E240="男",$Q240-3.25,$Q240-3.22),0),IF($B240="高一",MIN(IF($E240="男",$Q240-3.3,$Q240-3.24),0))))+0.4,IF($B240="高三",MIN(IF($E240="男",$Q240-3.2,$Q240-3.2),0),IF($B240="高二",MIN(IF($E240="男",$Q240-3.25,$Q240-3.22),0),IF($B240="高一",MIN(IF($E240="男",$Q240-3.3,$Q240-3.24),0))))),2)</f>
        <v>0</v>
      </c>
      <c r="T240" s="23">
        <f>IF(E240="男",LOOKUP($S240,[1]对照表!$AB$3:$AB$13,[1]对照表!$AC$3:$AC$13),LOOKUP($S240,[1]对照表!$AB$15:$AB$25,[1]对照表!$AC$15:$AC$25))</f>
        <v>0</v>
      </c>
      <c r="U240" s="26">
        <f>R240+T240</f>
        <v>85</v>
      </c>
      <c r="V240" s="26">
        <f>SUM(I240,K240,M240)/3*0.3+SUM(G240,R240)/2*0.4</f>
        <v>55.599999999999994</v>
      </c>
      <c r="W240" s="27">
        <f>O240+T240</f>
        <v>0</v>
      </c>
      <c r="X240" s="28">
        <f>V240/0.7+W240</f>
        <v>79.428571428571431</v>
      </c>
      <c r="Y240" s="28">
        <f>X240</f>
        <v>79.428571428571431</v>
      </c>
      <c r="Z240" s="38"/>
    </row>
    <row r="241" spans="1:26" ht="15.6" x14ac:dyDescent="0.25">
      <c r="A241" s="48">
        <v>2</v>
      </c>
      <c r="B241" s="17" t="s">
        <v>767</v>
      </c>
      <c r="C241" s="38">
        <v>205</v>
      </c>
      <c r="D241" s="49" t="s">
        <v>1113</v>
      </c>
      <c r="E241" s="48" t="s">
        <v>23</v>
      </c>
      <c r="F241" s="50">
        <v>7.3</v>
      </c>
      <c r="G241" s="32">
        <f>IF(B241="高三",IF($E241="男",LOOKUP(F241,[1]对照表!$G$3:$G$24,[1]对照表!$H$3:$H$24),LOOKUP(F241,[1]对照表!$G$27:$G$48,[1]对照表!$H$27:$H$48)),IF(B241="高二",IF($E241="男",LOOKUP(F241,[1]对照表!$F$3:$F$24,[1]对照表!$H$3:$H$24),LOOKUP(F241,[1]对照表!$F$27:$F$48,[1]对照表!$H$27:$H$48)),IF(B241="高一",IF($E241="男",LOOKUP(F241,[1]对照表!$E$3:$E$24,[1]对照表!$H$3:$H$24),LOOKUP(F241,[1]对照表!$E$27:$E$48,[1]对照表!$H$27:$H$48)))))</f>
        <v>85</v>
      </c>
      <c r="H241" s="38">
        <v>18.7</v>
      </c>
      <c r="I241" s="32">
        <f>IF(B241="高三",IF($E241="男",LOOKUP(H241,[1]对照表!$K$3:$K$24,[1]对照表!$L$3:$L$24),LOOKUP(H241,[1]对照表!$K$27:$K$48,[1]对照表!$L$27:$L$48)),IF(B241="高二",IF($E241="男",LOOKUP(H241,[1]对照表!$J$3:$J$24,[1]对照表!$L$3:$L$24),LOOKUP(H241,[1]对照表!$J$27:$J$48,[1]对照表!$L$27:$L$48)),IF(B241="高一",IF($E241="男",LOOKUP(H241,[1]对照表!$I$3:$I$24,[1]对照表!$L$3:$L$24),LOOKUP(H241,[1]对照表!$I$27:$I$48,[1]对照表!$L$27:$L$48)))))</f>
        <v>85</v>
      </c>
      <c r="J241" s="38">
        <v>245</v>
      </c>
      <c r="K241" s="32">
        <f>IF(B241="高三",IF($E241="男",LOOKUP(J241,[1]对照表!$O$3:$O$24,[1]对照表!$P$3:$P$24),LOOKUP(J241,[1]对照表!$O$27:$O$48,[1]对照表!$P$27:$P$48)),IF(B241="高二",IF($E241="男",LOOKUP(J241,[1]对照表!$N$3:$N$24,[1]对照表!$P$3:$P$24),LOOKUP(J241,[1]对照表!$N$27:$N$48,[1]对照表!$P$27:$P$48)),IF(B241="高一",IF($E241="男",LOOKUP(J241,[1]对照表!$M$3:$M$24,[1]对照表!$P$3:$P$24),LOOKUP(J241,[1]对照表!$M$27:$M$48,[1]对照表!$P$27:$P$48)))))</f>
        <v>80</v>
      </c>
      <c r="L241" s="38">
        <v>10</v>
      </c>
      <c r="M241" s="32">
        <f>IF(B241="高三",IF($E241="男",LOOKUP(L241,[1]对照表!$S$3:$S$24,[1]对照表!$T$3:$T$24),LOOKUP(L241,[1]对照表!$S$27:$S$48,[1]对照表!$T$27:$T$48)),IF(B241="高二",IF($E241="男",LOOKUP(L241,[1]对照表!$R$3:$R$24,[1]对照表!$T$3:$T$24),LOOKUP(L241,[1]对照表!$R$27:$R$48,[1]对照表!$T$27:$T$48)),IF(B241="高一",IF($E241="男",LOOKUP(L241,[1]对照表!$Q$3:$Q$24,[1]对照表!$T$3:$T$24),LOOKUP(L241,[1]对照表!$Q$27:$Q$48,[1]对照表!$T$27:$T$48)))))</f>
        <v>68</v>
      </c>
      <c r="N241" s="33">
        <f>IF(B241="高三",MAX(IF(E241="男",L241-18,L241-55),0),IF(B241="高二",MAX(IF(E241="男",L241-17,L241-54),0),IF(B241="高一",MAX(IF(E241="男",L241-16,L241-53),0))))</f>
        <v>0</v>
      </c>
      <c r="O241" s="23">
        <f>IF(E241="男",LOOKUP($N241,[1]对照表!$Z$3:$Z$13,[1]对照表!$AA$3:$AA$13),LOOKUP($N241,[1]对照表!$Z$15:$Z$25,[1]对照表!$AA$15:$AA$25))</f>
        <v>0</v>
      </c>
      <c r="P241" s="25">
        <f>M241+O241</f>
        <v>68</v>
      </c>
      <c r="Q241" s="50">
        <v>3.28</v>
      </c>
      <c r="R241" s="32">
        <f>IF(B241="高三",IF($E241="男",LOOKUP(Q241,[1]对照表!$W$3:$W$24,[1]对照表!$X$3:$X$24),LOOKUP(Q241,[1]对照表!$W$27:$W$48,[1]对照表!$X$27:$X$48)),IF(B241="高二",IF($E241="男",LOOKUP(Q241,[1]对照表!$V$3:$V$24,[1]对照表!$X$3:$X$24),LOOKUP(Q241,[1]对照表!$V$27:$V$48,[1]对照表!$X$27:$X$48)),IF(B241="高一",IF($E241="男",LOOKUP(Q241,[1]对照表!$U$3:$U$24,[1]对照表!$X$3:$X$24),LOOKUP(Q241,[1]对照表!$U$27:$U$48,[1]对照表!$X$27:$X$48)))))</f>
        <v>95</v>
      </c>
      <c r="S241" s="33">
        <f>ROUND(IF(IF($B241="高三",MIN(IF($E241="男",$Q241-3.2,$Q241-3.2),0),IF($B241="高二",MIN(IF($E241="男",$Q241-3.25,$Q241-3.22),0),IF($B241="高一",MIN(IF($E241="男",$Q241-3.3,$Q241-3.24),0))))&lt;-0.6,IF($B241="高三",MIN(IF($E241="男",$Q241-3.2,$Q241-3.2),0),IF($B241="高二",MIN(IF($E241="男",$Q241-3.25,$Q241-3.22),0),IF($B241="高一",MIN(IF($E241="男",$Q241-3.3,$Q241-3.24),0))))+0.4,IF($B241="高三",MIN(IF($E241="男",$Q241-3.2,$Q241-3.2),0),IF($B241="高二",MIN(IF($E241="男",$Q241-3.25,$Q241-3.22),0),IF($B241="高一",MIN(IF($E241="男",$Q241-3.3,$Q241-3.24),0))))),2)</f>
        <v>0</v>
      </c>
      <c r="T241" s="23">
        <f>IF(E241="男",LOOKUP($S241,[1]对照表!$AB$3:$AB$13,[1]对照表!$AC$3:$AC$13),LOOKUP($S241,[1]对照表!$AB$15:$AB$25,[1]对照表!$AC$15:$AC$25))</f>
        <v>0</v>
      </c>
      <c r="U241" s="26">
        <f>R241+T241</f>
        <v>95</v>
      </c>
      <c r="V241" s="26">
        <f>SUM(I241,K241,M241)/3*0.3+SUM(G241,R241)/2*0.4</f>
        <v>59.3</v>
      </c>
      <c r="W241" s="27">
        <f>O241+T241</f>
        <v>0</v>
      </c>
      <c r="X241" s="28">
        <f>V241/0.7+W241</f>
        <v>84.714285714285722</v>
      </c>
      <c r="Y241" s="28">
        <f>X241</f>
        <v>84.714285714285722</v>
      </c>
      <c r="Z241" s="38"/>
    </row>
    <row r="242" spans="1:26" ht="15.6" customHeight="1" x14ac:dyDescent="0.25">
      <c r="A242" s="48">
        <v>40</v>
      </c>
      <c r="B242" s="17" t="s">
        <v>767</v>
      </c>
      <c r="C242" s="38">
        <v>205</v>
      </c>
      <c r="D242" s="49" t="s">
        <v>1124</v>
      </c>
      <c r="E242" s="38" t="s">
        <v>65</v>
      </c>
      <c r="F242" s="50">
        <v>8.65</v>
      </c>
      <c r="G242" s="32">
        <f>IF(B242="高三",IF($E242="男",LOOKUP(F242,[1]对照表!$G$3:$G$24,[1]对照表!$H$3:$H$24),LOOKUP(F242,[1]对照表!$G$27:$G$48,[1]对照表!$H$27:$H$48)),IF(B242="高二",IF($E242="男",LOOKUP(F242,[1]对照表!$F$3:$F$24,[1]对照表!$H$3:$H$24),LOOKUP(F242,[1]对照表!$F$27:$F$48,[1]对照表!$H$27:$H$48)),IF(B242="高一",IF($E242="男",LOOKUP(F242,[1]对照表!$E$3:$E$24,[1]对照表!$H$3:$H$24),LOOKUP(F242,[1]对照表!$E$27:$E$48,[1]对照表!$H$27:$H$48)))))</f>
        <v>78</v>
      </c>
      <c r="H242" s="38">
        <v>19.8</v>
      </c>
      <c r="I242" s="32">
        <f>IF(B242="高三",IF($E242="男",LOOKUP(H242,[1]对照表!$K$3:$K$24,[1]对照表!$L$3:$L$24),LOOKUP(H242,[1]对照表!$K$27:$K$48,[1]对照表!$L$27:$L$48)),IF(B242="高二",IF($E242="男",LOOKUP(H242,[1]对照表!$J$3:$J$24,[1]对照表!$L$3:$L$24),LOOKUP(H242,[1]对照表!$J$27:$J$48,[1]对照表!$L$27:$L$48)),IF(B242="高一",IF($E242="男",LOOKUP(H242,[1]对照表!$I$3:$I$24,[1]对照表!$L$3:$L$24),LOOKUP(H242,[1]对照表!$I$27:$I$48,[1]对照表!$L$27:$L$48)))))</f>
        <v>85</v>
      </c>
      <c r="J242" s="38">
        <v>175</v>
      </c>
      <c r="K242" s="32">
        <f>IF(B242="高三",IF($E242="男",LOOKUP(J242,[1]对照表!$O$3:$O$24,[1]对照表!$P$3:$P$24),LOOKUP(J242,[1]对照表!$O$27:$O$48,[1]对照表!$P$27:$P$48)),IF(B242="高二",IF($E242="男",LOOKUP(J242,[1]对照表!$N$3:$N$24,[1]对照表!$P$3:$P$24),LOOKUP(J242,[1]对照表!$N$27:$N$48,[1]对照表!$P$27:$P$48)),IF(B242="高一",IF($E242="男",LOOKUP(J242,[1]对照表!$M$3:$M$24,[1]对照表!$P$3:$P$24),LOOKUP(J242,[1]对照表!$M$27:$M$48,[1]对照表!$P$27:$P$48)))))</f>
        <v>76</v>
      </c>
      <c r="L242" s="38">
        <v>40</v>
      </c>
      <c r="M242" s="32">
        <f>IF(B242="高三",IF($E242="男",LOOKUP(L242,[1]对照表!$S$3:$S$24,[1]对照表!$T$3:$T$24),LOOKUP(L242,[1]对照表!$S$27:$S$48,[1]对照表!$T$27:$T$48)),IF(B242="高二",IF($E242="男",LOOKUP(L242,[1]对照表!$R$3:$R$24,[1]对照表!$T$3:$T$24),LOOKUP(L242,[1]对照表!$R$27:$R$48,[1]对照表!$T$27:$T$48)),IF(B242="高一",IF($E242="男",LOOKUP(L242,[1]对照表!$Q$3:$Q$24,[1]对照表!$T$3:$T$24),LOOKUP(L242,[1]对照表!$Q$27:$Q$48,[1]对照表!$T$27:$T$48)))))</f>
        <v>76</v>
      </c>
      <c r="N242" s="33">
        <f>IF(B242="高三",MAX(IF(E242="男",L242-18,L242-55),0),IF(B242="高二",MAX(IF(E242="男",L242-17,L242-54),0),IF(B242="高一",MAX(IF(E242="男",L242-16,L242-53),0))))</f>
        <v>0</v>
      </c>
      <c r="O242" s="23">
        <f>IF(E242="男",LOOKUP($N242,[1]对照表!$Z$3:$Z$13,[1]对照表!$AA$3:$AA$13),LOOKUP($N242,[1]对照表!$Z$15:$Z$25,[1]对照表!$AA$15:$AA$25))</f>
        <v>0</v>
      </c>
      <c r="P242" s="25">
        <f>M242+O242</f>
        <v>76</v>
      </c>
      <c r="Q242" s="50">
        <v>3.58</v>
      </c>
      <c r="R242" s="32">
        <f>IF(B242="高三",IF($E242="男",LOOKUP(Q242,[1]对照表!$W$3:$W$24,[1]对照表!$X$3:$X$24),LOOKUP(Q242,[1]对照表!$W$27:$W$48,[1]对照表!$X$27:$X$48)),IF(B242="高二",IF($E242="男",LOOKUP(Q242,[1]对照表!$V$3:$V$24,[1]对照表!$X$3:$X$24),LOOKUP(Q242,[1]对照表!$V$27:$V$48,[1]对照表!$X$27:$X$48)),IF(B242="高一",IF($E242="男",LOOKUP(Q242,[1]对照表!$U$3:$U$24,[1]对照表!$X$3:$X$24),LOOKUP(Q242,[1]对照表!$U$27:$U$48,[1]对照表!$X$27:$X$48)))))</f>
        <v>76</v>
      </c>
      <c r="S242" s="33">
        <f>ROUND(IF(IF($B242="高三",MIN(IF($E242="男",$Q242-3.2,$Q242-3.2),0),IF($B242="高二",MIN(IF($E242="男",$Q242-3.25,$Q242-3.22),0),IF($B242="高一",MIN(IF($E242="男",$Q242-3.3,$Q242-3.24),0))))&lt;-0.6,IF($B242="高三",MIN(IF($E242="男",$Q242-3.2,$Q242-3.2),0),IF($B242="高二",MIN(IF($E242="男",$Q242-3.25,$Q242-3.22),0),IF($B242="高一",MIN(IF($E242="男",$Q242-3.3,$Q242-3.24),0))))+0.4,IF($B242="高三",MIN(IF($E242="男",$Q242-3.2,$Q242-3.2),0),IF($B242="高二",MIN(IF($E242="男",$Q242-3.25,$Q242-3.22),0),IF($B242="高一",MIN(IF($E242="男",$Q242-3.3,$Q242-3.24),0))))),2)</f>
        <v>0</v>
      </c>
      <c r="T242" s="23">
        <f>IF(E242="男",LOOKUP($S242,[1]对照表!$AB$3:$AB$13,[1]对照表!$AC$3:$AC$13),LOOKUP($S242,[1]对照表!$AB$15:$AB$25,[1]对照表!$AC$15:$AC$25))</f>
        <v>0</v>
      </c>
      <c r="U242" s="26">
        <f>R242+T242</f>
        <v>76</v>
      </c>
      <c r="V242" s="26">
        <f>SUM(I242,K242,M242)/3*0.3+SUM(G242,R242)/2*0.4</f>
        <v>54.5</v>
      </c>
      <c r="W242" s="27">
        <f>O242+T242</f>
        <v>0</v>
      </c>
      <c r="X242" s="28">
        <f>V242/0.7+W242</f>
        <v>77.857142857142861</v>
      </c>
      <c r="Y242" s="28">
        <f>X242</f>
        <v>77.857142857142861</v>
      </c>
      <c r="Z242" s="38"/>
    </row>
    <row r="243" spans="1:26" ht="15.6" x14ac:dyDescent="0.25">
      <c r="A243" s="48">
        <v>19</v>
      </c>
      <c r="B243" s="17" t="s">
        <v>767</v>
      </c>
      <c r="C243" s="38">
        <v>205</v>
      </c>
      <c r="D243" s="49" t="s">
        <v>1141</v>
      </c>
      <c r="E243" s="48" t="s">
        <v>23</v>
      </c>
      <c r="F243" s="50">
        <v>7.2</v>
      </c>
      <c r="G243" s="32">
        <f>IF(B243="高三",IF($E243="男",LOOKUP(F243,[1]对照表!$G$3:$G$24,[1]对照表!$H$3:$H$24),LOOKUP(F243,[1]对照表!$G$27:$G$48,[1]对照表!$H$27:$H$48)),IF(B243="高二",IF($E243="男",LOOKUP(F243,[1]对照表!$F$3:$F$24,[1]对照表!$H$3:$H$24),LOOKUP(F243,[1]对照表!$F$27:$F$48,[1]对照表!$H$27:$H$48)),IF(B243="高一",IF($E243="男",LOOKUP(F243,[1]对照表!$E$3:$E$24,[1]对照表!$H$3:$H$24),LOOKUP(F243,[1]对照表!$E$27:$E$48,[1]对照表!$H$27:$H$48)))))</f>
        <v>90</v>
      </c>
      <c r="H243" s="38">
        <v>22</v>
      </c>
      <c r="I243" s="32">
        <f>IF(B243="高三",IF($E243="男",LOOKUP(H243,[1]对照表!$K$3:$K$24,[1]对照表!$L$3:$L$24),LOOKUP(H243,[1]对照表!$K$27:$K$48,[1]对照表!$L$27:$L$48)),IF(B243="高二",IF($E243="男",LOOKUP(H243,[1]对照表!$J$3:$J$24,[1]对照表!$L$3:$L$24),LOOKUP(H243,[1]对照表!$J$27:$J$48,[1]对照表!$L$27:$L$48)),IF(B243="高一",IF($E243="男",LOOKUP(H243,[1]对照表!$I$3:$I$24,[1]对照表!$L$3:$L$24),LOOKUP(H243,[1]对照表!$I$27:$I$48,[1]对照表!$L$27:$L$48)))))</f>
        <v>90</v>
      </c>
      <c r="J243" s="38">
        <v>240</v>
      </c>
      <c r="K243" s="32">
        <f>IF(B243="高三",IF($E243="男",LOOKUP(J243,[1]对照表!$O$3:$O$24,[1]对照表!$P$3:$P$24),LOOKUP(J243,[1]对照表!$O$27:$O$48,[1]对照表!$P$27:$P$48)),IF(B243="高二",IF($E243="男",LOOKUP(J243,[1]对照表!$N$3:$N$24,[1]对照表!$P$3:$P$24),LOOKUP(J243,[1]对照表!$N$27:$N$48,[1]对照表!$P$27:$P$48)),IF(B243="高一",IF($E243="男",LOOKUP(J243,[1]对照表!$M$3:$M$24,[1]对照表!$P$3:$P$24),LOOKUP(J243,[1]对照表!$M$27:$M$48,[1]对照表!$P$27:$P$48)))))</f>
        <v>80</v>
      </c>
      <c r="L243" s="38">
        <v>10</v>
      </c>
      <c r="M243" s="32">
        <f>IF(B243="高三",IF($E243="男",LOOKUP(L243,[1]对照表!$S$3:$S$24,[1]对照表!$T$3:$T$24),LOOKUP(L243,[1]对照表!$S$27:$S$48,[1]对照表!$T$27:$T$48)),IF(B243="高二",IF($E243="男",LOOKUP(L243,[1]对照表!$R$3:$R$24,[1]对照表!$T$3:$T$24),LOOKUP(L243,[1]对照表!$R$27:$R$48,[1]对照表!$T$27:$T$48)),IF(B243="高一",IF($E243="男",LOOKUP(L243,[1]对照表!$Q$3:$Q$24,[1]对照表!$T$3:$T$24),LOOKUP(L243,[1]对照表!$Q$27:$Q$48,[1]对照表!$T$27:$T$48)))))</f>
        <v>68</v>
      </c>
      <c r="N243" s="33">
        <f>IF(B243="高三",MAX(IF(E243="男",L243-18,L243-55),0),IF(B243="高二",MAX(IF(E243="男",L243-17,L243-54),0),IF(B243="高一",MAX(IF(E243="男",L243-16,L243-53),0))))</f>
        <v>0</v>
      </c>
      <c r="O243" s="23">
        <f>IF(E243="男",LOOKUP($N243,[1]对照表!$Z$3:$Z$13,[1]对照表!$AA$3:$AA$13),LOOKUP($N243,[1]对照表!$Z$15:$Z$25,[1]对照表!$AA$15:$AA$25))</f>
        <v>0</v>
      </c>
      <c r="P243" s="25">
        <f>M243+O243</f>
        <v>68</v>
      </c>
      <c r="Q243" s="50">
        <v>3.39</v>
      </c>
      <c r="R243" s="32">
        <f>IF(B243="高三",IF($E243="男",LOOKUP(Q243,[1]对照表!$W$3:$W$24,[1]对照表!$X$3:$X$24),LOOKUP(Q243,[1]对照表!$W$27:$W$48,[1]对照表!$X$27:$X$48)),IF(B243="高二",IF($E243="男",LOOKUP(Q243,[1]对照表!$V$3:$V$24,[1]对照表!$X$3:$X$24),LOOKUP(Q243,[1]对照表!$V$27:$V$48,[1]对照表!$X$27:$X$48)),IF(B243="高一",IF($E243="男",LOOKUP(Q243,[1]对照表!$U$3:$U$24,[1]对照表!$X$3:$X$24),LOOKUP(Q243,[1]对照表!$U$27:$U$48,[1]对照表!$X$27:$X$48)))))</f>
        <v>85</v>
      </c>
      <c r="S243" s="27">
        <f>ROUND(IF(IF($B243="高三",MIN(IF($E243="男",$Q243-3.2,$Q243-3.2),0),IF($B243="高二",MIN(IF($E243="男",$Q243-3.25,$Q243-3.22),0),IF($B243="高一",MIN(IF($E243="男",$Q243-3.3,$Q243-3.24),0))))&lt;-0.6,IF($B243="高三",MIN(IF($E243="男",$Q243-3.2,$Q243-3.2),0),IF($B243="高二",MIN(IF($E243="男",$Q243-3.25,$Q243-3.22),0),IF($B243="高一",MIN(IF($E243="男",$Q243-3.3,$Q243-3.24),0))))+0.4,IF($B243="高三",MIN(IF($E243="男",$Q243-3.2,$Q243-3.2),0),IF($B243="高二",MIN(IF($E243="男",$Q243-3.25,$Q243-3.22),0),IF($B243="高一",MIN(IF($E243="男",$Q243-3.3,$Q243-3.24),0))))),2)</f>
        <v>0</v>
      </c>
      <c r="T243" s="23">
        <f>IF(E243="男",LOOKUP($S243,[1]对照表!$AB$3:$AB$13,[1]对照表!$AC$3:$AC$13),LOOKUP($S243,[1]对照表!$AB$15:$AB$25,[1]对照表!$AC$15:$AC$25))</f>
        <v>0</v>
      </c>
      <c r="U243" s="26">
        <f>R243+T243</f>
        <v>85</v>
      </c>
      <c r="V243" s="26">
        <f>SUM(I243,K243,M243)/3*0.3+SUM(G243,R243)/2*0.4</f>
        <v>58.8</v>
      </c>
      <c r="W243" s="27">
        <f>O243+T243</f>
        <v>0</v>
      </c>
      <c r="X243" s="28">
        <f>V243/0.7+W243</f>
        <v>84</v>
      </c>
      <c r="Y243" s="28">
        <f>X243</f>
        <v>84</v>
      </c>
      <c r="Z243" s="38"/>
    </row>
    <row r="244" spans="1:26" ht="15.6" x14ac:dyDescent="0.25">
      <c r="A244" s="48">
        <v>36</v>
      </c>
      <c r="B244" s="17" t="s">
        <v>767</v>
      </c>
      <c r="C244" s="38">
        <v>205</v>
      </c>
      <c r="D244" s="49" t="s">
        <v>1165</v>
      </c>
      <c r="E244" s="38" t="s">
        <v>65</v>
      </c>
      <c r="F244" s="50">
        <v>8.82</v>
      </c>
      <c r="G244" s="32">
        <f>IF(B244="高三",IF($E244="男",LOOKUP(F244,[1]对照表!$G$3:$G$24,[1]对照表!$H$3:$H$24),LOOKUP(F244,[1]对照表!$G$27:$G$48,[1]对照表!$H$27:$H$48)),IF(B244="高二",IF($E244="男",LOOKUP(F244,[1]对照表!$F$3:$F$24,[1]对照表!$H$3:$H$24),LOOKUP(F244,[1]对照表!$F$27:$F$48,[1]对照表!$H$27:$H$48)),IF(B244="高一",IF($E244="男",LOOKUP(F244,[1]对照表!$E$3:$E$24,[1]对照表!$H$3:$H$24),LOOKUP(F244,[1]对照表!$E$27:$E$48,[1]对照表!$H$27:$H$48)))))</f>
        <v>76</v>
      </c>
      <c r="H244" s="38">
        <v>15</v>
      </c>
      <c r="I244" s="32">
        <f>IF(B244="高三",IF($E244="男",LOOKUP(H244,[1]对照表!$K$3:$K$24,[1]对照表!$L$3:$L$24),LOOKUP(H244,[1]对照表!$K$27:$K$48,[1]对照表!$L$27:$L$48)),IF(B244="高二",IF($E244="男",LOOKUP(H244,[1]对照表!$J$3:$J$24,[1]对照表!$L$3:$L$24),LOOKUP(H244,[1]对照表!$J$27:$J$48,[1]对照表!$L$27:$L$48)),IF(B244="高一",IF($E244="男",LOOKUP(H244,[1]对照表!$I$3:$I$24,[1]对照表!$L$3:$L$24),LOOKUP(H244,[1]对照表!$I$27:$I$48,[1]对照表!$L$27:$L$48)))))</f>
        <v>74</v>
      </c>
      <c r="J244" s="38">
        <v>180</v>
      </c>
      <c r="K244" s="32">
        <f>IF(B244="高三",IF($E244="男",LOOKUP(J244,[1]对照表!$O$3:$O$24,[1]对照表!$P$3:$P$24),LOOKUP(J244,[1]对照表!$O$27:$O$48,[1]对照表!$P$27:$P$48)),IF(B244="高二",IF($E244="男",LOOKUP(J244,[1]对照表!$N$3:$N$24,[1]对照表!$P$3:$P$24),LOOKUP(J244,[1]对照表!$N$27:$N$48,[1]对照表!$P$27:$P$48)),IF(B244="高一",IF($E244="男",LOOKUP(J244,[1]对照表!$M$3:$M$24,[1]对照表!$P$3:$P$24),LOOKUP(J244,[1]对照表!$M$27:$M$48,[1]对照表!$P$27:$P$48)))))</f>
        <v>80</v>
      </c>
      <c r="L244" s="38">
        <v>38</v>
      </c>
      <c r="M244" s="32">
        <f>IF(B244="高三",IF($E244="男",LOOKUP(L244,[1]对照表!$S$3:$S$24,[1]对照表!$T$3:$T$24),LOOKUP(L244,[1]对照表!$S$27:$S$48,[1]对照表!$T$27:$T$48)),IF(B244="高二",IF($E244="男",LOOKUP(L244,[1]对照表!$R$3:$R$24,[1]对照表!$T$3:$T$24),LOOKUP(L244,[1]对照表!$R$27:$R$48,[1]对照表!$T$27:$T$48)),IF(B244="高一",IF($E244="男",LOOKUP(L244,[1]对照表!$Q$3:$Q$24,[1]对照表!$T$3:$T$24),LOOKUP(L244,[1]对照表!$Q$27:$Q$48,[1]对照表!$T$27:$T$48)))))</f>
        <v>74</v>
      </c>
      <c r="N244" s="33">
        <f>IF(B244="高三",MAX(IF(E244="男",L244-18,L244-55),0),IF(B244="高二",MAX(IF(E244="男",L244-17,L244-54),0),IF(B244="高一",MAX(IF(E244="男",L244-16,L244-53),0))))</f>
        <v>0</v>
      </c>
      <c r="O244" s="23">
        <f>IF(E244="男",LOOKUP($N244,[1]对照表!$Z$3:$Z$13,[1]对照表!$AA$3:$AA$13),LOOKUP($N244,[1]对照表!$Z$15:$Z$25,[1]对照表!$AA$15:$AA$25))</f>
        <v>0</v>
      </c>
      <c r="P244" s="25">
        <f>M244+O244</f>
        <v>74</v>
      </c>
      <c r="Q244" s="50">
        <v>4</v>
      </c>
      <c r="R244" s="32">
        <f>IF(B244="高三",IF($E244="男",LOOKUP(Q244,[1]对照表!$W$3:$W$24,[1]对照表!$X$3:$X$24),LOOKUP(Q244,[1]对照表!$W$27:$W$48,[1]对照表!$X$27:$X$48)),IF(B244="高二",IF($E244="男",LOOKUP(Q244,[1]对照表!$V$3:$V$24,[1]对照表!$X$3:$X$24),LOOKUP(Q244,[1]对照表!$V$27:$V$48,[1]对照表!$X$27:$X$48)),IF(B244="高一",IF($E244="男",LOOKUP(Q244,[1]对照表!$U$3:$U$24,[1]对照表!$X$3:$X$24),LOOKUP(Q244,[1]对照表!$U$27:$U$48,[1]对照表!$X$27:$X$48)))))</f>
        <v>74</v>
      </c>
      <c r="S244" s="33">
        <f>ROUND(IF(IF($B244="高三",MIN(IF($E244="男",$Q244-3.2,$Q244-3.2),0),IF($B244="高二",MIN(IF($E244="男",$Q244-3.25,$Q244-3.22),0),IF($B244="高一",MIN(IF($E244="男",$Q244-3.3,$Q244-3.24),0))))&lt;-0.6,IF($B244="高三",MIN(IF($E244="男",$Q244-3.2,$Q244-3.2),0),IF($B244="高二",MIN(IF($E244="男",$Q244-3.25,$Q244-3.22),0),IF($B244="高一",MIN(IF($E244="男",$Q244-3.3,$Q244-3.24),0))))+0.4,IF($B244="高三",MIN(IF($E244="男",$Q244-3.2,$Q244-3.2),0),IF($B244="高二",MIN(IF($E244="男",$Q244-3.25,$Q244-3.22),0),IF($B244="高一",MIN(IF($E244="男",$Q244-3.3,$Q244-3.24),0))))),2)</f>
        <v>0</v>
      </c>
      <c r="T244" s="23">
        <f>IF(E244="男",LOOKUP($S244,[1]对照表!$AB$3:$AB$13,[1]对照表!$AC$3:$AC$13),LOOKUP($S244,[1]对照表!$AB$15:$AB$25,[1]对照表!$AC$15:$AC$25))</f>
        <v>0</v>
      </c>
      <c r="U244" s="26">
        <f>R244+T244</f>
        <v>74</v>
      </c>
      <c r="V244" s="26">
        <f>SUM(I244,K244,M244)/3*0.3+SUM(G244,R244)/2*0.4</f>
        <v>52.8</v>
      </c>
      <c r="W244" s="27">
        <f>O244+T244</f>
        <v>0</v>
      </c>
      <c r="X244" s="28">
        <f>V244/0.7+W244</f>
        <v>75.428571428571431</v>
      </c>
      <c r="Y244" s="28">
        <f>X244</f>
        <v>75.428571428571431</v>
      </c>
      <c r="Z244" s="38"/>
    </row>
    <row r="245" spans="1:26" ht="15.6" x14ac:dyDescent="0.25">
      <c r="A245" s="38">
        <v>18</v>
      </c>
      <c r="B245" s="17" t="s">
        <v>767</v>
      </c>
      <c r="C245" s="38">
        <v>205</v>
      </c>
      <c r="D245" s="49" t="s">
        <v>1166</v>
      </c>
      <c r="E245" s="48" t="s">
        <v>23</v>
      </c>
      <c r="F245" s="50">
        <v>7.1</v>
      </c>
      <c r="G245" s="32">
        <f>IF(B245="高三",IF($E245="男",LOOKUP(F245,[1]对照表!$G$3:$G$24,[1]对照表!$H$3:$H$24),LOOKUP(F245,[1]对照表!$G$27:$G$48,[1]对照表!$H$27:$H$48)),IF(B245="高二",IF($E245="男",LOOKUP(F245,[1]对照表!$F$3:$F$24,[1]对照表!$H$3:$H$24),LOOKUP(F245,[1]对照表!$F$27:$F$48,[1]对照表!$H$27:$H$48)),IF(B245="高一",IF($E245="男",LOOKUP(F245,[1]对照表!$E$3:$E$24,[1]对照表!$H$3:$H$24),LOOKUP(F245,[1]对照表!$E$27:$E$48,[1]对照表!$H$27:$H$48)))))</f>
        <v>95</v>
      </c>
      <c r="H245" s="38">
        <v>8.6</v>
      </c>
      <c r="I245" s="32">
        <f>IF(B245="高三",IF($E245="男",LOOKUP(H245,[1]对照表!$K$3:$K$24,[1]对照表!$L$3:$L$24),LOOKUP(H245,[1]对照表!$K$27:$K$48,[1]对照表!$L$27:$L$48)),IF(B245="高二",IF($E245="男",LOOKUP(H245,[1]对照表!$J$3:$J$24,[1]对照表!$L$3:$L$24),LOOKUP(H245,[1]对照表!$J$27:$J$48,[1]对照表!$L$27:$L$48)),IF(B245="高一",IF($E245="男",LOOKUP(H245,[1]对照表!$I$3:$I$24,[1]对照表!$L$3:$L$24),LOOKUP(H245,[1]对照表!$I$27:$I$48,[1]对照表!$L$27:$L$48)))))</f>
        <v>68</v>
      </c>
      <c r="J245" s="38">
        <v>235</v>
      </c>
      <c r="K245" s="32">
        <f>IF(B245="高三",IF($E245="男",LOOKUP(J245,[1]对照表!$O$3:$O$24,[1]对照表!$P$3:$P$24),LOOKUP(J245,[1]对照表!$O$27:$O$48,[1]对照表!$P$27:$P$48)),IF(B245="高二",IF($E245="男",LOOKUP(J245,[1]对照表!$N$3:$N$24,[1]对照表!$P$3:$P$24),LOOKUP(J245,[1]对照表!$N$27:$N$48,[1]对照表!$P$27:$P$48)),IF(B245="高一",IF($E245="男",LOOKUP(J245,[1]对照表!$M$3:$M$24,[1]对照表!$P$3:$P$24),LOOKUP(J245,[1]对照表!$M$27:$M$48,[1]对照表!$P$27:$P$48)))))</f>
        <v>76</v>
      </c>
      <c r="L245" s="38">
        <v>17</v>
      </c>
      <c r="M245" s="32">
        <f>IF(B245="高三",IF($E245="男",LOOKUP(L245,[1]对照表!$S$3:$S$24,[1]对照表!$T$3:$T$24),LOOKUP(L245,[1]对照表!$S$27:$S$48,[1]对照表!$T$27:$T$48)),IF(B245="高二",IF($E245="男",LOOKUP(L245,[1]对照表!$R$3:$R$24,[1]对照表!$T$3:$T$24),LOOKUP(L245,[1]对照表!$R$27:$R$48,[1]对照表!$T$27:$T$48)),IF(B245="高一",IF($E245="男",LOOKUP(L245,[1]对照表!$Q$3:$Q$24,[1]对照表!$T$3:$T$24),LOOKUP(L245,[1]对照表!$Q$27:$Q$48,[1]对照表!$T$27:$T$48)))))</f>
        <v>100</v>
      </c>
      <c r="N245" s="33">
        <f>IF(B245="高三",MAX(IF(E245="男",L245-18,L245-55),0),IF(B245="高二",MAX(IF(E245="男",L245-17,L245-54),0),IF(B245="高一",MAX(IF(E245="男",L245-16,L245-53),0))))</f>
        <v>0</v>
      </c>
      <c r="O245" s="23">
        <f>IF(E245="男",LOOKUP($N245,[1]对照表!$Z$3:$Z$13,[1]对照表!$AA$3:$AA$13),LOOKUP($N245,[1]对照表!$Z$15:$Z$25,[1]对照表!$AA$15:$AA$25))</f>
        <v>0</v>
      </c>
      <c r="P245" s="25">
        <f>M245+O245</f>
        <v>100</v>
      </c>
      <c r="Q245" s="50">
        <v>4.04</v>
      </c>
      <c r="R245" s="32">
        <f>IF(B245="高三",IF($E245="男",LOOKUP(Q245,[1]对照表!$W$3:$W$24,[1]对照表!$X$3:$X$24),LOOKUP(Q245,[1]对照表!$W$27:$W$48,[1]对照表!$X$27:$X$48)),IF(B245="高二",IF($E245="男",LOOKUP(Q245,[1]对照表!$V$3:$V$24,[1]对照表!$X$3:$X$24),LOOKUP(Q245,[1]对照表!$V$27:$V$48,[1]对照表!$X$27:$X$48)),IF(B245="高一",IF($E245="男",LOOKUP(Q245,[1]对照表!$U$3:$U$24,[1]对照表!$X$3:$X$24),LOOKUP(Q245,[1]对照表!$U$27:$U$48,[1]对照表!$X$27:$X$48)))))</f>
        <v>74</v>
      </c>
      <c r="S245" s="33">
        <f>ROUND(IF(IF($B245="高三",MIN(IF($E245="男",$Q245-3.2,$Q245-3.2),0),IF($B245="高二",MIN(IF($E245="男",$Q245-3.25,$Q245-3.22),0),IF($B245="高一",MIN(IF($E245="男",$Q245-3.3,$Q245-3.24),0))))&lt;-0.6,IF($B245="高三",MIN(IF($E245="男",$Q245-3.2,$Q245-3.2),0),IF($B245="高二",MIN(IF($E245="男",$Q245-3.25,$Q245-3.22),0),IF($B245="高一",MIN(IF($E245="男",$Q245-3.3,$Q245-3.24),0))))+0.4,IF($B245="高三",MIN(IF($E245="男",$Q245-3.2,$Q245-3.2),0),IF($B245="高二",MIN(IF($E245="男",$Q245-3.25,$Q245-3.22),0),IF($B245="高一",MIN(IF($E245="男",$Q245-3.3,$Q245-3.24),0))))),2)</f>
        <v>0</v>
      </c>
      <c r="T245" s="23">
        <f>IF(E245="男",LOOKUP($S245,[1]对照表!$AB$3:$AB$13,[1]对照表!$AC$3:$AC$13),LOOKUP($S245,[1]对照表!$AB$15:$AB$25,[1]对照表!$AC$15:$AC$25))</f>
        <v>0</v>
      </c>
      <c r="U245" s="26">
        <f>R245+T245</f>
        <v>74</v>
      </c>
      <c r="V245" s="26">
        <f>SUM(I245,K245,M245)/3*0.3+SUM(G245,R245)/2*0.4</f>
        <v>58.2</v>
      </c>
      <c r="W245" s="27">
        <f>O245+T245</f>
        <v>0</v>
      </c>
      <c r="X245" s="28">
        <f>V245/0.7+W245</f>
        <v>83.142857142857153</v>
      </c>
      <c r="Y245" s="28">
        <f>X245</f>
        <v>83.142857142857153</v>
      </c>
      <c r="Z245" s="38"/>
    </row>
    <row r="246" spans="1:26" ht="15.6" x14ac:dyDescent="0.25">
      <c r="A246" s="48">
        <v>41</v>
      </c>
      <c r="B246" s="17" t="s">
        <v>767</v>
      </c>
      <c r="C246" s="38">
        <v>205</v>
      </c>
      <c r="D246" s="49" t="s">
        <v>1185</v>
      </c>
      <c r="E246" s="38" t="s">
        <v>65</v>
      </c>
      <c r="F246" s="50">
        <v>10</v>
      </c>
      <c r="G246" s="32">
        <f>IF(B246="高三",IF($E246="男",LOOKUP(F246,[1]对照表!$G$3:$G$24,[1]对照表!$H$3:$H$24),LOOKUP(F246,[1]对照表!$G$27:$G$48,[1]对照表!$H$27:$H$48)),IF(B246="高二",IF($E246="男",LOOKUP(F246,[1]对照表!$F$3:$F$24,[1]对照表!$H$3:$H$24),LOOKUP(F246,[1]对照表!$F$27:$F$48,[1]对照表!$H$27:$H$48)),IF(B246="高一",IF($E246="男",LOOKUP(F246,[1]对照表!$E$3:$E$24,[1]对照表!$H$3:$H$24),LOOKUP(F246,[1]对照表!$E$27:$E$48,[1]对照表!$H$27:$H$48)))))</f>
        <v>64</v>
      </c>
      <c r="H246" s="38">
        <v>24</v>
      </c>
      <c r="I246" s="32">
        <f>IF(B246="高三",IF($E246="男",LOOKUP(H246,[1]对照表!$K$3:$K$24,[1]对照表!$L$3:$L$24),LOOKUP(H246,[1]对照表!$K$27:$K$48,[1]对照表!$L$27:$L$48)),IF(B246="高二",IF($E246="男",LOOKUP(H246,[1]对照表!$J$3:$J$24,[1]对照表!$L$3:$L$24),LOOKUP(H246,[1]对照表!$J$27:$J$48,[1]对照表!$L$27:$L$48)),IF(B246="高一",IF($E246="男",LOOKUP(H246,[1]对照表!$I$3:$I$24,[1]对照表!$L$3:$L$24),LOOKUP(H246,[1]对照表!$I$27:$I$48,[1]对照表!$L$27:$L$48)))))</f>
        <v>95</v>
      </c>
      <c r="J246" s="38">
        <v>176</v>
      </c>
      <c r="K246" s="32">
        <f>IF(B246="高三",IF($E246="男",LOOKUP(J246,[1]对照表!$O$3:$O$24,[1]对照表!$P$3:$P$24),LOOKUP(J246,[1]对照表!$O$27:$O$48,[1]对照表!$P$27:$P$48)),IF(B246="高二",IF($E246="男",LOOKUP(J246,[1]对照表!$N$3:$N$24,[1]对照表!$P$3:$P$24),LOOKUP(J246,[1]对照表!$N$27:$N$48,[1]对照表!$P$27:$P$48)),IF(B246="高一",IF($E246="男",LOOKUP(J246,[1]对照表!$M$3:$M$24,[1]对照表!$P$3:$P$24),LOOKUP(J246,[1]对照表!$M$27:$M$48,[1]对照表!$P$27:$P$48)))))</f>
        <v>78</v>
      </c>
      <c r="L246" s="38">
        <v>46</v>
      </c>
      <c r="M246" s="32">
        <f>IF(B246="高三",IF($E246="男",LOOKUP(L246,[1]对照表!$S$3:$S$24,[1]对照表!$T$3:$T$24),LOOKUP(L246,[1]对照表!$S$27:$S$48,[1]对照表!$T$27:$T$48)),IF(B246="高二",IF($E246="男",LOOKUP(L246,[1]对照表!$R$3:$R$24,[1]对照表!$T$3:$T$24),LOOKUP(L246,[1]对照表!$R$27:$R$48,[1]对照表!$T$27:$T$48)),IF(B246="高一",IF($E246="男",LOOKUP(L246,[1]对照表!$Q$3:$Q$24,[1]对照表!$T$3:$T$24),LOOKUP(L246,[1]对照表!$Q$27:$Q$48,[1]对照表!$T$27:$T$48)))))</f>
        <v>80</v>
      </c>
      <c r="N246" s="33">
        <f>IF(B246="高三",MAX(IF(E246="男",L246-18,L246-55),0),IF(B246="高二",MAX(IF(E246="男",L246-17,L246-54),0),IF(B246="高一",MAX(IF(E246="男",L246-16,L246-53),0))))</f>
        <v>0</v>
      </c>
      <c r="O246" s="23">
        <f>IF(E246="男",LOOKUP($N246,[1]对照表!$Z$3:$Z$13,[1]对照表!$AA$3:$AA$13),LOOKUP($N246,[1]对照表!$Z$15:$Z$25,[1]对照表!$AA$15:$AA$25))</f>
        <v>0</v>
      </c>
      <c r="P246" s="25">
        <f>M246+O246</f>
        <v>80</v>
      </c>
      <c r="Q246" s="50">
        <v>4.12</v>
      </c>
      <c r="R246" s="32">
        <f>IF(B246="高三",IF($E246="男",LOOKUP(Q246,[1]对照表!$W$3:$W$24,[1]对照表!$X$3:$X$24),LOOKUP(Q246,[1]对照表!$W$27:$W$48,[1]对照表!$X$27:$X$48)),IF(B246="高二",IF($E246="男",LOOKUP(Q246,[1]对照表!$V$3:$V$24,[1]对照表!$X$3:$X$24),LOOKUP(Q246,[1]对照表!$V$27:$V$48,[1]对照表!$X$27:$X$48)),IF(B246="高一",IF($E246="男",LOOKUP(Q246,[1]对照表!$U$3:$U$24,[1]对照表!$X$3:$X$24),LOOKUP(Q246,[1]对照表!$U$27:$U$48,[1]对照表!$X$27:$X$48)))))</f>
        <v>70</v>
      </c>
      <c r="S246" s="33">
        <f>ROUND(IF(IF($B246="高三",MIN(IF($E246="男",$Q246-3.2,$Q246-3.2),0),IF($B246="高二",MIN(IF($E246="男",$Q246-3.25,$Q246-3.22),0),IF($B246="高一",MIN(IF($E246="男",$Q246-3.3,$Q246-3.24),0))))&lt;-0.6,IF($B246="高三",MIN(IF($E246="男",$Q246-3.2,$Q246-3.2),0),IF($B246="高二",MIN(IF($E246="男",$Q246-3.25,$Q246-3.22),0),IF($B246="高一",MIN(IF($E246="男",$Q246-3.3,$Q246-3.24),0))))+0.4,IF($B246="高三",MIN(IF($E246="男",$Q246-3.2,$Q246-3.2),0),IF($B246="高二",MIN(IF($E246="男",$Q246-3.25,$Q246-3.22),0),IF($B246="高一",MIN(IF($E246="男",$Q246-3.3,$Q246-3.24),0))))),2)</f>
        <v>0</v>
      </c>
      <c r="T246" s="23">
        <f>IF(E246="男",LOOKUP($S246,[1]对照表!$AB$3:$AB$13,[1]对照表!$AC$3:$AC$13),LOOKUP($S246,[1]对照表!$AB$15:$AB$25,[1]对照表!$AC$15:$AC$25))</f>
        <v>0</v>
      </c>
      <c r="U246" s="26">
        <f>R246+T246</f>
        <v>70</v>
      </c>
      <c r="V246" s="26">
        <f>SUM(I246,K246,M246)/3*0.3+SUM(G246,R246)/2*0.4</f>
        <v>52.099999999999994</v>
      </c>
      <c r="W246" s="27">
        <f>O246+T246</f>
        <v>0</v>
      </c>
      <c r="X246" s="28">
        <f>V246/0.7+W246</f>
        <v>74.428571428571431</v>
      </c>
      <c r="Y246" s="28">
        <f>X246</f>
        <v>74.428571428571431</v>
      </c>
      <c r="Z246" s="38"/>
    </row>
    <row r="247" spans="1:26" ht="15.6" x14ac:dyDescent="0.25">
      <c r="A247" s="48">
        <v>39</v>
      </c>
      <c r="B247" s="17" t="s">
        <v>767</v>
      </c>
      <c r="C247" s="38">
        <v>205</v>
      </c>
      <c r="D247" s="49" t="s">
        <v>1188</v>
      </c>
      <c r="E247" s="38" t="s">
        <v>65</v>
      </c>
      <c r="F247" s="50">
        <v>9.6</v>
      </c>
      <c r="G247" s="32">
        <f>IF(B247="高三",IF($E247="男",LOOKUP(F247,[1]对照表!$G$3:$G$24,[1]对照表!$H$3:$H$24),LOOKUP(F247,[1]对照表!$G$27:$G$48,[1]对照表!$H$27:$H$48)),IF(B247="高二",IF($E247="男",LOOKUP(F247,[1]对照表!$F$3:$F$24,[1]对照表!$H$3:$H$24),LOOKUP(F247,[1]对照表!$F$27:$F$48,[1]对照表!$H$27:$H$48)),IF(B247="高一",IF($E247="男",LOOKUP(F247,[1]对照表!$E$3:$E$24,[1]对照表!$H$3:$H$24),LOOKUP(F247,[1]对照表!$E$27:$E$48,[1]对照表!$H$27:$H$48)))))</f>
        <v>68</v>
      </c>
      <c r="H247" s="38">
        <v>16.2</v>
      </c>
      <c r="I247" s="32">
        <f>IF(B247="高三",IF($E247="男",LOOKUP(H247,[1]对照表!$K$3:$K$24,[1]对照表!$L$3:$L$24),LOOKUP(H247,[1]对照表!$K$27:$K$48,[1]对照表!$L$27:$L$48)),IF(B247="高二",IF($E247="男",LOOKUP(H247,[1]对照表!$J$3:$J$24,[1]对照表!$L$3:$L$24),LOOKUP(H247,[1]对照表!$J$27:$J$48,[1]对照表!$L$27:$L$48)),IF(B247="高一",IF($E247="男",LOOKUP(H247,[1]对照表!$I$3:$I$24,[1]对照表!$L$3:$L$24),LOOKUP(H247,[1]对照表!$I$27:$I$48,[1]对照表!$L$27:$L$48)))))</f>
        <v>76</v>
      </c>
      <c r="J247" s="38">
        <v>156</v>
      </c>
      <c r="K247" s="32">
        <f>IF(B247="高三",IF($E247="男",LOOKUP(J247,[1]对照表!$O$3:$O$24,[1]对照表!$P$3:$P$24),LOOKUP(J247,[1]对照表!$O$27:$O$48,[1]对照表!$P$27:$P$48)),IF(B247="高二",IF($E247="男",LOOKUP(J247,[1]对照表!$N$3:$N$24,[1]对照表!$P$3:$P$24),LOOKUP(J247,[1]对照表!$N$27:$N$48,[1]对照表!$P$27:$P$48)),IF(B247="高一",IF($E247="男",LOOKUP(J247,[1]对照表!$M$3:$M$24,[1]对照表!$P$3:$P$24),LOOKUP(J247,[1]对照表!$M$27:$M$48,[1]对照表!$P$27:$P$48)))))</f>
        <v>64</v>
      </c>
      <c r="L247" s="38">
        <v>55</v>
      </c>
      <c r="M247" s="32">
        <f>IF(B247="高三",IF($E247="男",LOOKUP(L247,[1]对照表!$S$3:$S$24,[1]对照表!$T$3:$T$24),LOOKUP(L247,[1]对照表!$S$27:$S$48,[1]对照表!$T$27:$T$48)),IF(B247="高二",IF($E247="男",LOOKUP(L247,[1]对照表!$R$3:$R$24,[1]对照表!$T$3:$T$24),LOOKUP(L247,[1]对照表!$R$27:$R$48,[1]对照表!$T$27:$T$48)),IF(B247="高一",IF($E247="男",LOOKUP(L247,[1]对照表!$Q$3:$Q$24,[1]对照表!$T$3:$T$24),LOOKUP(L247,[1]对照表!$Q$27:$Q$48,[1]对照表!$T$27:$T$48)))))</f>
        <v>100</v>
      </c>
      <c r="N247" s="33">
        <f>IF(B247="高三",MAX(IF(E247="男",L247-18,L247-55),0),IF(B247="高二",MAX(IF(E247="男",L247-17,L247-54),0),IF(B247="高一",MAX(IF(E247="男",L247-16,L247-53),0))))</f>
        <v>1</v>
      </c>
      <c r="O247" s="23">
        <f>IF(E247="男",LOOKUP($N247,[1]对照表!$Z$3:$Z$13,[1]对照表!$AA$3:$AA$13),LOOKUP($N247,[1]对照表!$Z$15:$Z$25,[1]对照表!$AA$15:$AA$25))</f>
        <v>0</v>
      </c>
      <c r="P247" s="25">
        <f>M247+O247</f>
        <v>100</v>
      </c>
      <c r="Q247" s="50">
        <v>4.04</v>
      </c>
      <c r="R247" s="32">
        <f>IF(B247="高三",IF($E247="男",LOOKUP(Q247,[1]对照表!$W$3:$W$24,[1]对照表!$X$3:$X$24),LOOKUP(Q247,[1]对照表!$W$27:$W$48,[1]对照表!$X$27:$X$48)),IF(B247="高二",IF($E247="男",LOOKUP(Q247,[1]对照表!$V$3:$V$24,[1]对照表!$X$3:$X$24),LOOKUP(Q247,[1]对照表!$V$27:$V$48,[1]对照表!$X$27:$X$48)),IF(B247="高一",IF($E247="男",LOOKUP(Q247,[1]对照表!$U$3:$U$24,[1]对照表!$X$3:$X$24),LOOKUP(Q247,[1]对照表!$U$27:$U$48,[1]对照表!$X$27:$X$48)))))</f>
        <v>72</v>
      </c>
      <c r="S247" s="33">
        <f>ROUND(IF(IF($B247="高三",MIN(IF($E247="男",$Q247-3.2,$Q247-3.2),0),IF($B247="高二",MIN(IF($E247="男",$Q247-3.25,$Q247-3.22),0),IF($B247="高一",MIN(IF($E247="男",$Q247-3.3,$Q247-3.24),0))))&lt;-0.6,IF($B247="高三",MIN(IF($E247="男",$Q247-3.2,$Q247-3.2),0),IF($B247="高二",MIN(IF($E247="男",$Q247-3.25,$Q247-3.22),0),IF($B247="高一",MIN(IF($E247="男",$Q247-3.3,$Q247-3.24),0))))+0.4,IF($B247="高三",MIN(IF($E247="男",$Q247-3.2,$Q247-3.2),0),IF($B247="高二",MIN(IF($E247="男",$Q247-3.25,$Q247-3.22),0),IF($B247="高一",MIN(IF($E247="男",$Q247-3.3,$Q247-3.24),0))))),2)</f>
        <v>0</v>
      </c>
      <c r="T247" s="23">
        <f>IF(E247="男",LOOKUP($S247,[1]对照表!$AB$3:$AB$13,[1]对照表!$AC$3:$AC$13),LOOKUP($S247,[1]对照表!$AB$15:$AB$25,[1]对照表!$AC$15:$AC$25))</f>
        <v>0</v>
      </c>
      <c r="U247" s="26">
        <f>R247+T247</f>
        <v>72</v>
      </c>
      <c r="V247" s="26">
        <f>SUM(I247,K247,M247)/3*0.3+SUM(G247,R247)/2*0.4</f>
        <v>52</v>
      </c>
      <c r="W247" s="27">
        <f>O247+T247</f>
        <v>0</v>
      </c>
      <c r="X247" s="28">
        <f>V247/0.7+W247</f>
        <v>74.285714285714292</v>
      </c>
      <c r="Y247" s="28">
        <f>X247</f>
        <v>74.285714285714292</v>
      </c>
      <c r="Z247" s="38"/>
    </row>
    <row r="248" spans="1:26" ht="15.6" x14ac:dyDescent="0.25">
      <c r="A248" s="48">
        <v>30</v>
      </c>
      <c r="B248" s="17" t="s">
        <v>767</v>
      </c>
      <c r="C248" s="38">
        <v>205</v>
      </c>
      <c r="D248" s="49" t="s">
        <v>1202</v>
      </c>
      <c r="E248" s="48" t="s">
        <v>23</v>
      </c>
      <c r="F248" s="50">
        <v>8.1</v>
      </c>
      <c r="G248" s="32">
        <f>IF(B248="高三",IF($E248="男",LOOKUP(F248,[1]对照表!$G$3:$G$24,[1]对照表!$H$3:$H$24),LOOKUP(F248,[1]对照表!$G$27:$G$48,[1]对照表!$H$27:$H$48)),IF(B248="高二",IF($E248="男",LOOKUP(F248,[1]对照表!$F$3:$F$24,[1]对照表!$H$3:$H$24),LOOKUP(F248,[1]对照表!$F$27:$F$48,[1]对照表!$H$27:$H$48)),IF(B248="高一",IF($E248="男",LOOKUP(F248,[1]对照表!$E$3:$E$24,[1]对照表!$H$3:$H$24),LOOKUP(F248,[1]对照表!$E$27:$E$48,[1]对照表!$H$27:$H$48)))))</f>
        <v>72</v>
      </c>
      <c r="H248" s="38">
        <v>7</v>
      </c>
      <c r="I248" s="32">
        <f>IF(B248="高三",IF($E248="男",LOOKUP(H248,[1]对照表!$K$3:$K$24,[1]对照表!$L$3:$L$24),LOOKUP(H248,[1]对照表!$K$27:$K$48,[1]对照表!$L$27:$L$48)),IF(B248="高二",IF($E248="男",LOOKUP(H248,[1]对照表!$J$3:$J$24,[1]对照表!$L$3:$L$24),LOOKUP(H248,[1]对照表!$J$27:$J$48,[1]对照表!$L$27:$L$48)),IF(B248="高一",IF($E248="男",LOOKUP(H248,[1]对照表!$I$3:$I$24,[1]对照表!$L$3:$L$24),LOOKUP(H248,[1]对照表!$I$27:$I$48,[1]对照表!$L$27:$L$48)))))</f>
        <v>66</v>
      </c>
      <c r="J248" s="38">
        <v>230</v>
      </c>
      <c r="K248" s="32">
        <f>IF(B248="高三",IF($E248="男",LOOKUP(J248,[1]对照表!$O$3:$O$24,[1]对照表!$P$3:$P$24),LOOKUP(J248,[1]对照表!$O$27:$O$48,[1]对照表!$P$27:$P$48)),IF(B248="高二",IF($E248="男",LOOKUP(J248,[1]对照表!$N$3:$N$24,[1]对照表!$P$3:$P$24),LOOKUP(J248,[1]对照表!$N$27:$N$48,[1]对照表!$P$27:$P$48)),IF(B248="高一",IF($E248="男",LOOKUP(J248,[1]对照表!$M$3:$M$24,[1]对照表!$P$3:$P$24),LOOKUP(J248,[1]对照表!$M$27:$M$48,[1]对照表!$P$27:$P$48)))))</f>
        <v>74</v>
      </c>
      <c r="L248" s="38">
        <v>12</v>
      </c>
      <c r="M248" s="32">
        <f>IF(B248="高三",IF($E248="男",LOOKUP(L248,[1]对照表!$S$3:$S$24,[1]对照表!$T$3:$T$24),LOOKUP(L248,[1]对照表!$S$27:$S$48,[1]对照表!$T$27:$T$48)),IF(B248="高二",IF($E248="男",LOOKUP(L248,[1]对照表!$R$3:$R$24,[1]对照表!$T$3:$T$24),LOOKUP(L248,[1]对照表!$R$27:$R$48,[1]对照表!$T$27:$T$48)),IF(B248="高一",IF($E248="男",LOOKUP(L248,[1]对照表!$Q$3:$Q$24,[1]对照表!$T$3:$T$24),LOOKUP(L248,[1]对照表!$Q$27:$Q$48,[1]对照表!$T$27:$T$48)))))</f>
        <v>76</v>
      </c>
      <c r="N248" s="33">
        <f>IF(B248="高三",MAX(IF(E248="男",L248-18,L248-55),0),IF(B248="高二",MAX(IF(E248="男",L248-17,L248-54),0),IF(B248="高一",MAX(IF(E248="男",L248-16,L248-53),0))))</f>
        <v>0</v>
      </c>
      <c r="O248" s="23">
        <f>IF(E248="男",LOOKUP($N248,[1]对照表!$Z$3:$Z$13,[1]对照表!$AA$3:$AA$13),LOOKUP($N248,[1]对照表!$Z$15:$Z$25,[1]对照表!$AA$15:$AA$25))</f>
        <v>0</v>
      </c>
      <c r="P248" s="25">
        <f>M248+O248</f>
        <v>76</v>
      </c>
      <c r="Q248" s="50">
        <v>3.19</v>
      </c>
      <c r="R248" s="32">
        <f>IF(B248="高三",IF($E248="男",LOOKUP(Q248,[1]对照表!$W$3:$W$24,[1]对照表!$X$3:$X$24),LOOKUP(Q248,[1]对照表!$W$27:$W$48,[1]对照表!$X$27:$X$48)),IF(B248="高二",IF($E248="男",LOOKUP(Q248,[1]对照表!$V$3:$V$24,[1]对照表!$X$3:$X$24),LOOKUP(Q248,[1]对照表!$V$27:$V$48,[1]对照表!$X$27:$X$48)),IF(B248="高一",IF($E248="男",LOOKUP(Q248,[1]对照表!$U$3:$U$24,[1]对照表!$X$3:$X$24),LOOKUP(Q248,[1]对照表!$U$27:$U$48,[1]对照表!$X$27:$X$48)))))</f>
        <v>100</v>
      </c>
      <c r="S248" s="33">
        <f>ROUND(IF(IF($B248="高三",MIN(IF($E248="男",$Q248-3.2,$Q248-3.2),0),IF($B248="高二",MIN(IF($E248="男",$Q248-3.25,$Q248-3.22),0),IF($B248="高一",MIN(IF($E248="男",$Q248-3.3,$Q248-3.24),0))))&lt;-0.6,IF($B248="高三",MIN(IF($E248="男",$Q248-3.2,$Q248-3.2),0),IF($B248="高二",MIN(IF($E248="男",$Q248-3.25,$Q248-3.22),0),IF($B248="高一",MIN(IF($E248="男",$Q248-3.3,$Q248-3.24),0))))+0.4,IF($B248="高三",MIN(IF($E248="男",$Q248-3.2,$Q248-3.2),0),IF($B248="高二",MIN(IF($E248="男",$Q248-3.25,$Q248-3.22),0),IF($B248="高一",MIN(IF($E248="男",$Q248-3.3,$Q248-3.24),0))))),2)</f>
        <v>-0.06</v>
      </c>
      <c r="T248" s="23">
        <f>IF(E248="男",LOOKUP($S248,[1]对照表!$AB$3:$AB$13,[1]对照表!$AC$3:$AC$13),LOOKUP($S248,[1]对照表!$AB$15:$AB$25,[1]对照表!$AC$15:$AC$25))</f>
        <v>1</v>
      </c>
      <c r="U248" s="26">
        <f>R248+T248</f>
        <v>101</v>
      </c>
      <c r="V248" s="26">
        <f>SUM(I248,K248,M248)/3*0.3+SUM(G248,R248)/2*0.4</f>
        <v>56</v>
      </c>
      <c r="W248" s="27">
        <f>O248+T248</f>
        <v>1</v>
      </c>
      <c r="X248" s="28">
        <f>V248/0.7+W248</f>
        <v>81</v>
      </c>
      <c r="Y248" s="28">
        <f>X248</f>
        <v>81</v>
      </c>
      <c r="Z248" s="38"/>
    </row>
    <row r="249" spans="1:26" ht="15.6" x14ac:dyDescent="0.25">
      <c r="A249" s="48">
        <v>37</v>
      </c>
      <c r="B249" s="17" t="s">
        <v>767</v>
      </c>
      <c r="C249" s="38">
        <v>205</v>
      </c>
      <c r="D249" s="49" t="s">
        <v>1206</v>
      </c>
      <c r="E249" s="38" t="s">
        <v>65</v>
      </c>
      <c r="F249" s="50">
        <v>9.43</v>
      </c>
      <c r="G249" s="32">
        <f>IF(B249="高三",IF($E249="男",LOOKUP(F249,[1]对照表!$G$3:$G$24,[1]对照表!$H$3:$H$24),LOOKUP(F249,[1]对照表!$G$27:$G$48,[1]对照表!$H$27:$H$48)),IF(B249="高二",IF($E249="男",LOOKUP(F249,[1]对照表!$F$3:$F$24,[1]对照表!$H$3:$H$24),LOOKUP(F249,[1]对照表!$F$27:$F$48,[1]对照表!$H$27:$H$48)),IF(B249="高一",IF($E249="男",LOOKUP(F249,[1]对照表!$E$3:$E$24,[1]对照表!$H$3:$H$24),LOOKUP(F249,[1]对照表!$E$27:$E$48,[1]对照表!$H$27:$H$48)))))</f>
        <v>70</v>
      </c>
      <c r="H249" s="38">
        <v>22.4</v>
      </c>
      <c r="I249" s="32">
        <f>IF(B249="高三",IF($E249="男",LOOKUP(H249,[1]对照表!$K$3:$K$24,[1]对照表!$L$3:$L$24),LOOKUP(H249,[1]对照表!$K$27:$K$48,[1]对照表!$L$27:$L$48)),IF(B249="高二",IF($E249="男",LOOKUP(H249,[1]对照表!$J$3:$J$24,[1]对照表!$L$3:$L$24),LOOKUP(H249,[1]对照表!$J$27:$J$48,[1]对照表!$L$27:$L$48)),IF(B249="高一",IF($E249="男",LOOKUP(H249,[1]对照表!$I$3:$I$24,[1]对照表!$L$3:$L$24),LOOKUP(H249,[1]对照表!$I$27:$I$48,[1]对照表!$L$27:$L$48)))))</f>
        <v>90</v>
      </c>
      <c r="J249" s="38">
        <v>155</v>
      </c>
      <c r="K249" s="32">
        <f>IF(B249="高三",IF($E249="男",LOOKUP(J249,[1]对照表!$O$3:$O$24,[1]对照表!$P$3:$P$24),LOOKUP(J249,[1]对照表!$O$27:$O$48,[1]对照表!$P$27:$P$48)),IF(B249="高二",IF($E249="男",LOOKUP(J249,[1]对照表!$N$3:$N$24,[1]对照表!$P$3:$P$24),LOOKUP(J249,[1]对照表!$N$27:$N$48,[1]对照表!$P$27:$P$48)),IF(B249="高一",IF($E249="男",LOOKUP(J249,[1]对照表!$M$3:$M$24,[1]对照表!$P$3:$P$24),LOOKUP(J249,[1]对照表!$M$27:$M$48,[1]对照表!$P$27:$P$48)))))</f>
        <v>64</v>
      </c>
      <c r="L249" s="38">
        <v>48</v>
      </c>
      <c r="M249" s="32">
        <f>IF(B249="高三",IF($E249="男",LOOKUP(L249,[1]对照表!$S$3:$S$24,[1]对照表!$T$3:$T$24),LOOKUP(L249,[1]对照表!$S$27:$S$48,[1]对照表!$T$27:$T$48)),IF(B249="高二",IF($E249="男",LOOKUP(L249,[1]对照表!$R$3:$R$24,[1]对照表!$T$3:$T$24),LOOKUP(L249,[1]对照表!$R$27:$R$48,[1]对照表!$T$27:$T$48)),IF(B249="高一",IF($E249="男",LOOKUP(L249,[1]对照表!$Q$3:$Q$24,[1]对照表!$T$3:$T$24),LOOKUP(L249,[1]对照表!$Q$27:$Q$48,[1]对照表!$T$27:$T$48)))))</f>
        <v>85</v>
      </c>
      <c r="N249" s="33">
        <f>IF(B249="高三",MAX(IF(E249="男",L249-18,L249-55),0),IF(B249="高二",MAX(IF(E249="男",L249-17,L249-54),0),IF(B249="高一",MAX(IF(E249="男",L249-16,L249-53),0))))</f>
        <v>0</v>
      </c>
      <c r="O249" s="23">
        <f>IF(E249="男",LOOKUP($N249,[1]对照表!$Z$3:$Z$13,[1]对照表!$AA$3:$AA$13),LOOKUP($N249,[1]对照表!$Z$15:$Z$25,[1]对照表!$AA$15:$AA$25))</f>
        <v>0</v>
      </c>
      <c r="P249" s="25">
        <f>M249+O249</f>
        <v>85</v>
      </c>
      <c r="Q249" s="50">
        <v>4.18</v>
      </c>
      <c r="R249" s="32">
        <f>IF(B249="高三",IF($E249="男",LOOKUP(Q249,[1]对照表!$W$3:$W$24,[1]对照表!$X$3:$X$24),LOOKUP(Q249,[1]对照表!$W$27:$W$48,[1]对照表!$X$27:$X$48)),IF(B249="高二",IF($E249="男",LOOKUP(Q249,[1]对照表!$V$3:$V$24,[1]对照表!$X$3:$X$24),LOOKUP(Q249,[1]对照表!$V$27:$V$48,[1]对照表!$X$27:$X$48)),IF(B249="高一",IF($E249="男",LOOKUP(Q249,[1]对照表!$U$3:$U$24,[1]对照表!$X$3:$X$24),LOOKUP(Q249,[1]对照表!$U$27:$U$48,[1]对照表!$X$27:$X$48)))))</f>
        <v>68</v>
      </c>
      <c r="S249" s="33">
        <f>ROUND(IF(IF($B249="高三",MIN(IF($E249="男",$Q249-3.2,$Q249-3.2),0),IF($B249="高二",MIN(IF($E249="男",$Q249-3.25,$Q249-3.22),0),IF($B249="高一",MIN(IF($E249="男",$Q249-3.3,$Q249-3.24),0))))&lt;-0.6,IF($B249="高三",MIN(IF($E249="男",$Q249-3.2,$Q249-3.2),0),IF($B249="高二",MIN(IF($E249="男",$Q249-3.25,$Q249-3.22),0),IF($B249="高一",MIN(IF($E249="男",$Q249-3.3,$Q249-3.24),0))))+0.4,IF($B249="高三",MIN(IF($E249="男",$Q249-3.2,$Q249-3.2),0),IF($B249="高二",MIN(IF($E249="男",$Q249-3.25,$Q249-3.22),0),IF($B249="高一",MIN(IF($E249="男",$Q249-3.3,$Q249-3.24),0))))),2)</f>
        <v>0</v>
      </c>
      <c r="T249" s="23">
        <f>IF(E249="男",LOOKUP($S249,[1]对照表!$AB$3:$AB$13,[1]对照表!$AC$3:$AC$13),LOOKUP($S249,[1]对照表!$AB$15:$AB$25,[1]对照表!$AC$15:$AC$25))</f>
        <v>0</v>
      </c>
      <c r="U249" s="26">
        <f>R249+T249</f>
        <v>68</v>
      </c>
      <c r="V249" s="26">
        <f>SUM(I249,K249,M249)/3*0.3+SUM(G249,R249)/2*0.4</f>
        <v>51.5</v>
      </c>
      <c r="W249" s="27">
        <f>O249+T249</f>
        <v>0</v>
      </c>
      <c r="X249" s="28">
        <f>V249/0.7+W249</f>
        <v>73.571428571428569</v>
      </c>
      <c r="Y249" s="28">
        <f>X249</f>
        <v>73.571428571428569</v>
      </c>
      <c r="Z249" s="38"/>
    </row>
    <row r="250" spans="1:26" ht="15.6" x14ac:dyDescent="0.25">
      <c r="A250" s="48">
        <v>12</v>
      </c>
      <c r="B250" s="17" t="s">
        <v>767</v>
      </c>
      <c r="C250" s="38">
        <v>205</v>
      </c>
      <c r="D250" s="49" t="s">
        <v>1225</v>
      </c>
      <c r="E250" s="48" t="s">
        <v>23</v>
      </c>
      <c r="F250" s="50">
        <v>7.1</v>
      </c>
      <c r="G250" s="32">
        <f>IF(B250="高三",IF($E250="男",LOOKUP(F250,[1]对照表!$G$3:$G$24,[1]对照表!$H$3:$H$24),LOOKUP(F250,[1]对照表!$G$27:$G$48,[1]对照表!$H$27:$H$48)),IF(B250="高二",IF($E250="男",LOOKUP(F250,[1]对照表!$F$3:$F$24,[1]对照表!$H$3:$H$24),LOOKUP(F250,[1]对照表!$F$27:$F$48,[1]对照表!$H$27:$H$48)),IF(B250="高一",IF($E250="男",LOOKUP(F250,[1]对照表!$E$3:$E$24,[1]对照表!$H$3:$H$24),LOOKUP(F250,[1]对照表!$E$27:$E$48,[1]对照表!$H$27:$H$48)))))</f>
        <v>95</v>
      </c>
      <c r="H250" s="38">
        <v>18.5</v>
      </c>
      <c r="I250" s="32">
        <f>IF(B250="高三",IF($E250="男",LOOKUP(H250,[1]对照表!$K$3:$K$24,[1]对照表!$L$3:$L$24),LOOKUP(H250,[1]对照表!$K$27:$K$48,[1]对照表!$L$27:$L$48)),IF(B250="高二",IF($E250="男",LOOKUP(H250,[1]对照表!$J$3:$J$24,[1]对照表!$L$3:$L$24),LOOKUP(H250,[1]对照表!$J$27:$J$48,[1]对照表!$L$27:$L$48)),IF(B250="高一",IF($E250="男",LOOKUP(H250,[1]对照表!$I$3:$I$24,[1]对照表!$L$3:$L$24),LOOKUP(H250,[1]对照表!$I$27:$I$48,[1]对照表!$L$27:$L$48)))))</f>
        <v>85</v>
      </c>
      <c r="J250" s="38">
        <v>217</v>
      </c>
      <c r="K250" s="32">
        <f>IF(B250="高三",IF($E250="男",LOOKUP(J250,[1]对照表!$O$3:$O$24,[1]对照表!$P$3:$P$24),LOOKUP(J250,[1]对照表!$O$27:$O$48,[1]对照表!$P$27:$P$48)),IF(B250="高二",IF($E250="男",LOOKUP(J250,[1]对照表!$N$3:$N$24,[1]对照表!$P$3:$P$24),LOOKUP(J250,[1]对照表!$N$27:$N$48,[1]对照表!$P$27:$P$48)),IF(B250="高一",IF($E250="男",LOOKUP(J250,[1]对照表!$M$3:$M$24,[1]对照表!$P$3:$P$24),LOOKUP(J250,[1]对照表!$M$27:$M$48,[1]对照表!$P$27:$P$48)))))</f>
        <v>68</v>
      </c>
      <c r="L250" s="38">
        <v>9</v>
      </c>
      <c r="M250" s="32">
        <f>IF(B250="高三",IF($E250="男",LOOKUP(L250,[1]对照表!$S$3:$S$24,[1]对照表!$T$3:$T$24),LOOKUP(L250,[1]对照表!$S$27:$S$48,[1]对照表!$T$27:$T$48)),IF(B250="高二",IF($E250="男",LOOKUP(L250,[1]对照表!$R$3:$R$24,[1]对照表!$T$3:$T$24),LOOKUP(L250,[1]对照表!$R$27:$R$48,[1]对照表!$T$27:$T$48)),IF(B250="高一",IF($E250="男",LOOKUP(L250,[1]对照表!$Q$3:$Q$24,[1]对照表!$T$3:$T$24),LOOKUP(L250,[1]对照表!$Q$27:$Q$48,[1]对照表!$T$27:$T$48)))))</f>
        <v>64</v>
      </c>
      <c r="N250" s="33">
        <f>IF(B250="高三",MAX(IF(E250="男",L250-18,L250-55),0),IF(B250="高二",MAX(IF(E250="男",L250-17,L250-54),0),IF(B250="高一",MAX(IF(E250="男",L250-16,L250-53),0))))</f>
        <v>0</v>
      </c>
      <c r="O250" s="23">
        <f>IF(E250="男",LOOKUP($N250,[1]对照表!$Z$3:$Z$13,[1]对照表!$AA$3:$AA$13),LOOKUP($N250,[1]对照表!$Z$15:$Z$25,[1]对照表!$AA$15:$AA$25))</f>
        <v>0</v>
      </c>
      <c r="P250" s="25">
        <f>M250+O250</f>
        <v>64</v>
      </c>
      <c r="Q250" s="50">
        <v>3.57</v>
      </c>
      <c r="R250" s="32">
        <f>IF(B250="高三",IF($E250="男",LOOKUP(Q250,[1]对照表!$W$3:$W$24,[1]对照表!$X$3:$X$24),LOOKUP(Q250,[1]对照表!$W$27:$W$48,[1]对照表!$X$27:$X$48)),IF(B250="高二",IF($E250="男",LOOKUP(Q250,[1]对照表!$V$3:$V$24,[1]对照表!$X$3:$X$24),LOOKUP(Q250,[1]对照表!$V$27:$V$48,[1]对照表!$X$27:$X$48)),IF(B250="高一",IF($E250="男",LOOKUP(Q250,[1]对照表!$U$3:$U$24,[1]对照表!$X$3:$X$24),LOOKUP(Q250,[1]对照表!$U$27:$U$48,[1]对照表!$X$27:$X$48)))))</f>
        <v>76</v>
      </c>
      <c r="S250" s="33">
        <f>ROUND(IF(IF($B250="高三",MIN(IF($E250="男",$Q250-3.2,$Q250-3.2),0),IF($B250="高二",MIN(IF($E250="男",$Q250-3.25,$Q250-3.22),0),IF($B250="高一",MIN(IF($E250="男",$Q250-3.3,$Q250-3.24),0))))&lt;-0.6,IF($B250="高三",MIN(IF($E250="男",$Q250-3.2,$Q250-3.2),0),IF($B250="高二",MIN(IF($E250="男",$Q250-3.25,$Q250-3.22),0),IF($B250="高一",MIN(IF($E250="男",$Q250-3.3,$Q250-3.24),0))))+0.4,IF($B250="高三",MIN(IF($E250="男",$Q250-3.2,$Q250-3.2),0),IF($B250="高二",MIN(IF($E250="男",$Q250-3.25,$Q250-3.22),0),IF($B250="高一",MIN(IF($E250="男",$Q250-3.3,$Q250-3.24),0))))),2)</f>
        <v>0</v>
      </c>
      <c r="T250" s="23">
        <f>IF(E250="男",LOOKUP($S250,[1]对照表!$AB$3:$AB$13,[1]对照表!$AC$3:$AC$13),LOOKUP($S250,[1]对照表!$AB$15:$AB$25,[1]对照表!$AC$15:$AC$25))</f>
        <v>0</v>
      </c>
      <c r="U250" s="26">
        <f>R250+T250</f>
        <v>76</v>
      </c>
      <c r="V250" s="26">
        <f>SUM(I250,K250,M250)/3*0.3+SUM(G250,R250)/2*0.4</f>
        <v>55.900000000000006</v>
      </c>
      <c r="W250" s="27">
        <f>O250+T250</f>
        <v>0</v>
      </c>
      <c r="X250" s="28">
        <f>V250/0.7+W250</f>
        <v>79.857142857142875</v>
      </c>
      <c r="Y250" s="28">
        <f>X250</f>
        <v>79.857142857142875</v>
      </c>
      <c r="Z250" s="38"/>
    </row>
    <row r="251" spans="1:26" ht="15.6" x14ac:dyDescent="0.25">
      <c r="A251" s="38">
        <v>22</v>
      </c>
      <c r="B251" s="17" t="s">
        <v>767</v>
      </c>
      <c r="C251" s="38">
        <v>205</v>
      </c>
      <c r="D251" s="49" t="s">
        <v>1229</v>
      </c>
      <c r="E251" s="48" t="s">
        <v>23</v>
      </c>
      <c r="F251" s="50">
        <v>7.1</v>
      </c>
      <c r="G251" s="32">
        <f>IF(B251="高三",IF($E251="男",LOOKUP(F251,[1]对照表!$G$3:$G$24,[1]对照表!$H$3:$H$24),LOOKUP(F251,[1]对照表!$G$27:$G$48,[1]对照表!$H$27:$H$48)),IF(B251="高二",IF($E251="男",LOOKUP(F251,[1]对照表!$F$3:$F$24,[1]对照表!$H$3:$H$24),LOOKUP(F251,[1]对照表!$F$27:$F$48,[1]对照表!$H$27:$H$48)),IF(B251="高一",IF($E251="男",LOOKUP(F251,[1]对照表!$E$3:$E$24,[1]对照表!$H$3:$H$24),LOOKUP(F251,[1]对照表!$E$27:$E$48,[1]对照表!$H$27:$H$48)))))</f>
        <v>95</v>
      </c>
      <c r="H251" s="38">
        <v>16.5</v>
      </c>
      <c r="I251" s="32">
        <f>IF(B251="高三",IF($E251="男",LOOKUP(H251,[1]对照表!$K$3:$K$24,[1]对照表!$L$3:$L$24),LOOKUP(H251,[1]对照表!$K$27:$K$48,[1]对照表!$L$27:$L$48)),IF(B251="高二",IF($E251="男",LOOKUP(H251,[1]对照表!$J$3:$J$24,[1]对照表!$L$3:$L$24),LOOKUP(H251,[1]对照表!$J$27:$J$48,[1]对照表!$L$27:$L$48)),IF(B251="高一",IF($E251="男",LOOKUP(H251,[1]对照表!$I$3:$I$24,[1]对照表!$L$3:$L$24),LOOKUP(H251,[1]对照表!$I$27:$I$48,[1]对照表!$L$27:$L$48)))))</f>
        <v>80</v>
      </c>
      <c r="J251" s="38">
        <v>232</v>
      </c>
      <c r="K251" s="32">
        <f>IF(B251="高三",IF($E251="男",LOOKUP(J251,[1]对照表!$O$3:$O$24,[1]对照表!$P$3:$P$24),LOOKUP(J251,[1]对照表!$O$27:$O$48,[1]对照表!$P$27:$P$48)),IF(B251="高二",IF($E251="男",LOOKUP(J251,[1]对照表!$N$3:$N$24,[1]对照表!$P$3:$P$24),LOOKUP(J251,[1]对照表!$N$27:$N$48,[1]对照表!$P$27:$P$48)),IF(B251="高一",IF($E251="男",LOOKUP(J251,[1]对照表!$M$3:$M$24,[1]对照表!$P$3:$P$24),LOOKUP(J251,[1]对照表!$M$27:$M$48,[1]对照表!$P$27:$P$48)))))</f>
        <v>76</v>
      </c>
      <c r="L251" s="38">
        <v>7</v>
      </c>
      <c r="M251" s="32">
        <f>IF(B251="高三",IF($E251="男",LOOKUP(L251,[1]对照表!$S$3:$S$24,[1]对照表!$T$3:$T$24),LOOKUP(L251,[1]对照表!$S$27:$S$48,[1]对照表!$T$27:$T$48)),IF(B251="高二",IF($E251="男",LOOKUP(L251,[1]对照表!$R$3:$R$24,[1]对照表!$T$3:$T$24),LOOKUP(L251,[1]对照表!$R$27:$R$48,[1]对照表!$T$27:$T$48)),IF(B251="高一",IF($E251="男",LOOKUP(L251,[1]对照表!$Q$3:$Q$24,[1]对照表!$T$3:$T$24),LOOKUP(L251,[1]对照表!$Q$27:$Q$48,[1]对照表!$T$27:$T$48)))))</f>
        <v>50</v>
      </c>
      <c r="N251" s="33">
        <f>IF(B251="高三",MAX(IF(E251="男",L251-18,L251-55),0),IF(B251="高二",MAX(IF(E251="男",L251-17,L251-54),0),IF(B251="高一",MAX(IF(E251="男",L251-16,L251-53),0))))</f>
        <v>0</v>
      </c>
      <c r="O251" s="23">
        <f>IF(E251="男",LOOKUP($N251,[1]对照表!$Z$3:$Z$13,[1]对照表!$AA$3:$AA$13),LOOKUP($N251,[1]对照表!$Z$15:$Z$25,[1]对照表!$AA$15:$AA$25))</f>
        <v>0</v>
      </c>
      <c r="P251" s="25">
        <f>M251+O251</f>
        <v>50</v>
      </c>
      <c r="Q251" s="50">
        <v>3.43</v>
      </c>
      <c r="R251" s="32">
        <f>IF(B251="高三",IF($E251="男",LOOKUP(Q251,[1]对照表!$W$3:$W$24,[1]对照表!$X$3:$X$24),LOOKUP(Q251,[1]对照表!$W$27:$W$48,[1]对照表!$X$27:$X$48)),IF(B251="高二",IF($E251="男",LOOKUP(Q251,[1]对照表!$V$3:$V$24,[1]对照表!$X$3:$X$24),LOOKUP(Q251,[1]对照表!$V$27:$V$48,[1]对照表!$X$27:$X$48)),IF(B251="高一",IF($E251="男",LOOKUP(Q251,[1]对照表!$U$3:$U$24,[1]对照表!$X$3:$X$24),LOOKUP(Q251,[1]对照表!$U$27:$U$48,[1]对照表!$X$27:$X$48)))))</f>
        <v>80</v>
      </c>
      <c r="S251" s="33">
        <f>ROUND(IF(IF($B251="高三",MIN(IF($E251="男",$Q251-3.2,$Q251-3.2),0),IF($B251="高二",MIN(IF($E251="男",$Q251-3.25,$Q251-3.22),0),IF($B251="高一",MIN(IF($E251="男",$Q251-3.3,$Q251-3.24),0))))&lt;-0.6,IF($B251="高三",MIN(IF($E251="男",$Q251-3.2,$Q251-3.2),0),IF($B251="高二",MIN(IF($E251="男",$Q251-3.25,$Q251-3.22),0),IF($B251="高一",MIN(IF($E251="男",$Q251-3.3,$Q251-3.24),0))))+0.4,IF($B251="高三",MIN(IF($E251="男",$Q251-3.2,$Q251-3.2),0),IF($B251="高二",MIN(IF($E251="男",$Q251-3.25,$Q251-3.22),0),IF($B251="高一",MIN(IF($E251="男",$Q251-3.3,$Q251-3.24),0))))),2)</f>
        <v>0</v>
      </c>
      <c r="T251" s="23">
        <f>IF(E251="男",LOOKUP($S251,[1]对照表!$AB$3:$AB$13,[1]对照表!$AC$3:$AC$13),LOOKUP($S251,[1]对照表!$AB$15:$AB$25,[1]对照表!$AC$15:$AC$25))</f>
        <v>0</v>
      </c>
      <c r="U251" s="26">
        <f>R251+T251</f>
        <v>80</v>
      </c>
      <c r="V251" s="26">
        <f>SUM(I251,K251,M251)/3*0.3+SUM(G251,R251)/2*0.4</f>
        <v>55.6</v>
      </c>
      <c r="W251" s="27">
        <f>O251+T251</f>
        <v>0</v>
      </c>
      <c r="X251" s="28">
        <f>V251/0.7+W251</f>
        <v>79.428571428571431</v>
      </c>
      <c r="Y251" s="28">
        <f>X251</f>
        <v>79.428571428571431</v>
      </c>
      <c r="Z251" s="38"/>
    </row>
    <row r="252" spans="1:26" ht="15.6" x14ac:dyDescent="0.25">
      <c r="A252" s="48">
        <v>26</v>
      </c>
      <c r="B252" s="17" t="s">
        <v>767</v>
      </c>
      <c r="C252" s="38">
        <v>205</v>
      </c>
      <c r="D252" s="49" t="s">
        <v>1262</v>
      </c>
      <c r="E252" s="48" t="s">
        <v>23</v>
      </c>
      <c r="F252" s="50">
        <v>7.6</v>
      </c>
      <c r="G252" s="32">
        <f>IF(B252="高三",IF($E252="男",LOOKUP(F252,[1]对照表!$G$3:$G$24,[1]对照表!$H$3:$H$24),LOOKUP(F252,[1]对照表!$G$27:$G$48,[1]对照表!$H$27:$H$48)),IF(B252="高二",IF($E252="男",LOOKUP(F252,[1]对照表!$F$3:$F$24,[1]对照表!$H$3:$H$24),LOOKUP(F252,[1]对照表!$F$27:$F$48,[1]对照表!$H$27:$H$48)),IF(B252="高一",IF($E252="男",LOOKUP(F252,[1]对照表!$E$3:$E$24,[1]对照表!$H$3:$H$24),LOOKUP(F252,[1]对照表!$E$27:$E$48,[1]对照表!$H$27:$H$48)))))</f>
        <v>78</v>
      </c>
      <c r="H252" s="38">
        <v>21</v>
      </c>
      <c r="I252" s="32">
        <f>IF(B252="高三",IF($E252="男",LOOKUP(H252,[1]对照表!$K$3:$K$24,[1]对照表!$L$3:$L$24),LOOKUP(H252,[1]对照表!$K$27:$K$48,[1]对照表!$L$27:$L$48)),IF(B252="高二",IF($E252="男",LOOKUP(H252,[1]对照表!$J$3:$J$24,[1]对照表!$L$3:$L$24),LOOKUP(H252,[1]对照表!$J$27:$J$48,[1]对照表!$L$27:$L$48)),IF(B252="高一",IF($E252="男",LOOKUP(H252,[1]对照表!$I$3:$I$24,[1]对照表!$L$3:$L$24),LOOKUP(H252,[1]对照表!$I$27:$I$48,[1]对照表!$L$27:$L$48)))))</f>
        <v>90</v>
      </c>
      <c r="J252" s="38">
        <v>234</v>
      </c>
      <c r="K252" s="32">
        <f>IF(B252="高三",IF($E252="男",LOOKUP(J252,[1]对照表!$O$3:$O$24,[1]对照表!$P$3:$P$24),LOOKUP(J252,[1]对照表!$O$27:$O$48,[1]对照表!$P$27:$P$48)),IF(B252="高二",IF($E252="男",LOOKUP(J252,[1]对照表!$N$3:$N$24,[1]对照表!$P$3:$P$24),LOOKUP(J252,[1]对照表!$N$27:$N$48,[1]对照表!$P$27:$P$48)),IF(B252="高一",IF($E252="男",LOOKUP(J252,[1]对照表!$M$3:$M$24,[1]对照表!$P$3:$P$24),LOOKUP(J252,[1]对照表!$M$27:$M$48,[1]对照表!$P$27:$P$48)))))</f>
        <v>76</v>
      </c>
      <c r="L252" s="38">
        <v>10</v>
      </c>
      <c r="M252" s="32">
        <f>IF(B252="高三",IF($E252="男",LOOKUP(L252,[1]对照表!$S$3:$S$24,[1]对照表!$T$3:$T$24),LOOKUP(L252,[1]对照表!$S$27:$S$48,[1]对照表!$T$27:$T$48)),IF(B252="高二",IF($E252="男",LOOKUP(L252,[1]对照表!$R$3:$R$24,[1]对照表!$T$3:$T$24),LOOKUP(L252,[1]对照表!$R$27:$R$48,[1]对照表!$T$27:$T$48)),IF(B252="高一",IF($E252="男",LOOKUP(L252,[1]对照表!$Q$3:$Q$24,[1]对照表!$T$3:$T$24),LOOKUP(L252,[1]对照表!$Q$27:$Q$48,[1]对照表!$T$27:$T$48)))))</f>
        <v>68</v>
      </c>
      <c r="N252" s="33">
        <f>IF(B252="高三",MAX(IF(E252="男",L252-18,L252-55),0),IF(B252="高二",MAX(IF(E252="男",L252-17,L252-54),0),IF(B252="高一",MAX(IF(E252="男",L252-16,L252-53),0))))</f>
        <v>0</v>
      </c>
      <c r="O252" s="23">
        <f>IF(E252="男",LOOKUP($N252,[1]对照表!$Z$3:$Z$13,[1]对照表!$AA$3:$AA$13),LOOKUP($N252,[1]对照表!$Z$15:$Z$25,[1]对照表!$AA$15:$AA$25))</f>
        <v>0</v>
      </c>
      <c r="P252" s="25">
        <f>M252+O252</f>
        <v>68</v>
      </c>
      <c r="Q252" s="50">
        <v>3.54</v>
      </c>
      <c r="R252" s="32">
        <f>IF(B252="高三",IF($E252="男",LOOKUP(Q252,[1]对照表!$W$3:$W$24,[1]对照表!$X$3:$X$24),LOOKUP(Q252,[1]对照表!$W$27:$W$48,[1]对照表!$X$27:$X$48)),IF(B252="高二",IF($E252="男",LOOKUP(Q252,[1]对照表!$V$3:$V$24,[1]对照表!$X$3:$X$24),LOOKUP(Q252,[1]对照表!$V$27:$V$48,[1]对照表!$X$27:$X$48)),IF(B252="高一",IF($E252="男",LOOKUP(Q252,[1]对照表!$U$3:$U$24,[1]对照表!$X$3:$X$24),LOOKUP(Q252,[1]对照表!$U$27:$U$48,[1]对照表!$X$27:$X$48)))))</f>
        <v>78</v>
      </c>
      <c r="S252" s="33">
        <f>ROUND(IF(IF($B252="高三",MIN(IF($E252="男",$Q252-3.2,$Q252-3.2),0),IF($B252="高二",MIN(IF($E252="男",$Q252-3.25,$Q252-3.22),0),IF($B252="高一",MIN(IF($E252="男",$Q252-3.3,$Q252-3.24),0))))&lt;-0.6,IF($B252="高三",MIN(IF($E252="男",$Q252-3.2,$Q252-3.2),0),IF($B252="高二",MIN(IF($E252="男",$Q252-3.25,$Q252-3.22),0),IF($B252="高一",MIN(IF($E252="男",$Q252-3.3,$Q252-3.24),0))))+0.4,IF($B252="高三",MIN(IF($E252="男",$Q252-3.2,$Q252-3.2),0),IF($B252="高二",MIN(IF($E252="男",$Q252-3.25,$Q252-3.22),0),IF($B252="高一",MIN(IF($E252="男",$Q252-3.3,$Q252-3.24),0))))),2)</f>
        <v>0</v>
      </c>
      <c r="T252" s="23">
        <f>IF(E252="男",LOOKUP($S252,[1]对照表!$AB$3:$AB$13,[1]对照表!$AC$3:$AC$13),LOOKUP($S252,[1]对照表!$AB$15:$AB$25,[1]对照表!$AC$15:$AC$25))</f>
        <v>0</v>
      </c>
      <c r="U252" s="26">
        <f>R252+T252</f>
        <v>78</v>
      </c>
      <c r="V252" s="26">
        <f>SUM(I252,K252,M252)/3*0.3+SUM(G252,R252)/2*0.4</f>
        <v>54.6</v>
      </c>
      <c r="W252" s="27">
        <f>O252+T252</f>
        <v>0</v>
      </c>
      <c r="X252" s="28">
        <f>V252/0.7+W252</f>
        <v>78</v>
      </c>
      <c r="Y252" s="28">
        <f>X252</f>
        <v>78</v>
      </c>
      <c r="Z252" s="38"/>
    </row>
    <row r="253" spans="1:26" ht="15.6" x14ac:dyDescent="0.25">
      <c r="A253" s="48">
        <v>14</v>
      </c>
      <c r="B253" s="17" t="s">
        <v>767</v>
      </c>
      <c r="C253" s="38">
        <v>205</v>
      </c>
      <c r="D253" s="49" t="s">
        <v>1294</v>
      </c>
      <c r="E253" s="48" t="s">
        <v>23</v>
      </c>
      <c r="F253" s="50">
        <v>7.4</v>
      </c>
      <c r="G253" s="32">
        <f>IF(B253="高三",IF($E253="男",LOOKUP(F253,[1]对照表!$G$3:$G$24,[1]对照表!$H$3:$H$24),LOOKUP(F253,[1]对照表!$G$27:$G$48,[1]对照表!$H$27:$H$48)),IF(B253="高二",IF($E253="男",LOOKUP(F253,[1]对照表!$F$3:$F$24,[1]对照表!$H$3:$H$24),LOOKUP(F253,[1]对照表!$F$27:$F$48,[1]对照表!$H$27:$H$48)),IF(B253="高一",IF($E253="男",LOOKUP(F253,[1]对照表!$E$3:$E$24,[1]对照表!$H$3:$H$24),LOOKUP(F253,[1]对照表!$E$27:$E$48,[1]对照表!$H$27:$H$48)))))</f>
        <v>80</v>
      </c>
      <c r="H253" s="38">
        <v>4</v>
      </c>
      <c r="I253" s="32">
        <f>IF(B253="高三",IF($E253="男",LOOKUP(H253,[1]对照表!$K$3:$K$24,[1]对照表!$L$3:$L$24),LOOKUP(H253,[1]对照表!$K$27:$K$48,[1]对照表!$L$27:$L$48)),IF(B253="高二",IF($E253="男",LOOKUP(H253,[1]对照表!$J$3:$J$24,[1]对照表!$L$3:$L$24),LOOKUP(H253,[1]对照表!$J$27:$J$48,[1]对照表!$L$27:$L$48)),IF(B253="高一",IF($E253="男",LOOKUP(H253,[1]对照表!$I$3:$I$24,[1]对照表!$L$3:$L$24),LOOKUP(H253,[1]对照表!$I$27:$I$48,[1]对照表!$L$27:$L$48)))))</f>
        <v>62</v>
      </c>
      <c r="J253" s="38">
        <v>225</v>
      </c>
      <c r="K253" s="32">
        <f>IF(B253="高三",IF($E253="男",LOOKUP(J253,[1]对照表!$O$3:$O$24,[1]对照表!$P$3:$P$24),LOOKUP(J253,[1]对照表!$O$27:$O$48,[1]对照表!$P$27:$P$48)),IF(B253="高二",IF($E253="男",LOOKUP(J253,[1]对照表!$N$3:$N$24,[1]对照表!$P$3:$P$24),LOOKUP(J253,[1]对照表!$N$27:$N$48,[1]对照表!$P$27:$P$48)),IF(B253="高一",IF($E253="男",LOOKUP(J253,[1]对照表!$M$3:$M$24,[1]对照表!$P$3:$P$24),LOOKUP(J253,[1]对照表!$M$27:$M$48,[1]对照表!$P$27:$P$48)))))</f>
        <v>72</v>
      </c>
      <c r="L253" s="38">
        <v>17</v>
      </c>
      <c r="M253" s="32">
        <f>IF(B253="高三",IF($E253="男",LOOKUP(L253,[1]对照表!$S$3:$S$24,[1]对照表!$T$3:$T$24),LOOKUP(L253,[1]对照表!$S$27:$S$48,[1]对照表!$T$27:$T$48)),IF(B253="高二",IF($E253="男",LOOKUP(L253,[1]对照表!$R$3:$R$24,[1]对照表!$T$3:$T$24),LOOKUP(L253,[1]对照表!$R$27:$R$48,[1]对照表!$T$27:$T$48)),IF(B253="高一",IF($E253="男",LOOKUP(L253,[1]对照表!$Q$3:$Q$24,[1]对照表!$T$3:$T$24),LOOKUP(L253,[1]对照表!$Q$27:$Q$48,[1]对照表!$T$27:$T$48)))))</f>
        <v>100</v>
      </c>
      <c r="N253" s="33">
        <f>IF(B253="高三",MAX(IF(E253="男",L253-18,L253-55),0),IF(B253="高二",MAX(IF(E253="男",L253-17,L253-54),0),IF(B253="高一",MAX(IF(E253="男",L253-16,L253-53),0))))</f>
        <v>0</v>
      </c>
      <c r="O253" s="23">
        <f>IF(E253="男",LOOKUP($N253,[1]对照表!$Z$3:$Z$13,[1]对照表!$AA$3:$AA$13),LOOKUP($N253,[1]对照表!$Z$15:$Z$25,[1]对照表!$AA$15:$AA$25))</f>
        <v>0</v>
      </c>
      <c r="P253" s="25">
        <f>M253+O253</f>
        <v>100</v>
      </c>
      <c r="Q253" s="50">
        <v>4.17</v>
      </c>
      <c r="R253" s="32">
        <f>IF(B253="高三",IF($E253="男",LOOKUP(Q253,[1]对照表!$W$3:$W$24,[1]对照表!$X$3:$X$24),LOOKUP(Q253,[1]对照表!$W$27:$W$48,[1]对照表!$X$27:$X$48)),IF(B253="高二",IF($E253="男",LOOKUP(Q253,[1]对照表!$V$3:$V$24,[1]对照表!$X$3:$X$24),LOOKUP(Q253,[1]对照表!$V$27:$V$48,[1]对照表!$X$27:$X$48)),IF(B253="高一",IF($E253="男",LOOKUP(Q253,[1]对照表!$U$3:$U$24,[1]对照表!$X$3:$X$24),LOOKUP(Q253,[1]对照表!$U$27:$U$48,[1]对照表!$X$27:$X$48)))))</f>
        <v>68</v>
      </c>
      <c r="S253" s="33">
        <f>ROUND(IF(IF($B253="高三",MIN(IF($E253="男",$Q253-3.2,$Q253-3.2),0),IF($B253="高二",MIN(IF($E253="男",$Q253-3.25,$Q253-3.22),0),IF($B253="高一",MIN(IF($E253="男",$Q253-3.3,$Q253-3.24),0))))&lt;-0.6,IF($B253="高三",MIN(IF($E253="男",$Q253-3.2,$Q253-3.2),0),IF($B253="高二",MIN(IF($E253="男",$Q253-3.25,$Q253-3.22),0),IF($B253="高一",MIN(IF($E253="男",$Q253-3.3,$Q253-3.24),0))))+0.4,IF($B253="高三",MIN(IF($E253="男",$Q253-3.2,$Q253-3.2),0),IF($B253="高二",MIN(IF($E253="男",$Q253-3.25,$Q253-3.22),0),IF($B253="高一",MIN(IF($E253="男",$Q253-3.3,$Q253-3.24),0))))),2)</f>
        <v>0</v>
      </c>
      <c r="T253" s="23">
        <f>IF(E253="男",LOOKUP($S253,[1]对照表!$AB$3:$AB$13,[1]对照表!$AC$3:$AC$13),LOOKUP($S253,[1]对照表!$AB$15:$AB$25,[1]对照表!$AC$15:$AC$25))</f>
        <v>0</v>
      </c>
      <c r="U253" s="26">
        <f>R253+T253</f>
        <v>68</v>
      </c>
      <c r="V253" s="26">
        <f>SUM(I253,K253,M253)/3*0.3+SUM(G253,R253)/2*0.4</f>
        <v>53</v>
      </c>
      <c r="W253" s="27">
        <f>O253+T253</f>
        <v>0</v>
      </c>
      <c r="X253" s="28">
        <f>V253/0.7+W253</f>
        <v>75.714285714285722</v>
      </c>
      <c r="Y253" s="28">
        <f>X253</f>
        <v>75.714285714285722</v>
      </c>
      <c r="Z253" s="38"/>
    </row>
    <row r="254" spans="1:26" ht="15.6" x14ac:dyDescent="0.25">
      <c r="A254" s="48">
        <v>21</v>
      </c>
      <c r="B254" s="17" t="s">
        <v>767</v>
      </c>
      <c r="C254" s="38">
        <v>205</v>
      </c>
      <c r="D254" s="49" t="s">
        <v>1296</v>
      </c>
      <c r="E254" s="48" t="s">
        <v>23</v>
      </c>
      <c r="F254" s="50">
        <v>7.7</v>
      </c>
      <c r="G254" s="32">
        <f>IF(B254="高三",IF($E254="男",LOOKUP(F254,[1]对照表!$G$3:$G$24,[1]对照表!$H$3:$H$24),LOOKUP(F254,[1]对照表!$G$27:$G$48,[1]对照表!$H$27:$H$48)),IF(B254="高二",IF($E254="男",LOOKUP(F254,[1]对照表!$F$3:$F$24,[1]对照表!$H$3:$H$24),LOOKUP(F254,[1]对照表!$F$27:$F$48,[1]对照表!$H$27:$H$48)),IF(B254="高一",IF($E254="男",LOOKUP(F254,[1]对照表!$E$3:$E$24,[1]对照表!$H$3:$H$24),LOOKUP(F254,[1]对照表!$E$27:$E$48,[1]对照表!$H$27:$H$48)))))</f>
        <v>76</v>
      </c>
      <c r="H254" s="38">
        <v>8.5</v>
      </c>
      <c r="I254" s="32">
        <f>IF(B254="高三",IF($E254="男",LOOKUP(H254,[1]对照表!$K$3:$K$24,[1]对照表!$L$3:$L$24),LOOKUP(H254,[1]对照表!$K$27:$K$48,[1]对照表!$L$27:$L$48)),IF(B254="高二",IF($E254="男",LOOKUP(H254,[1]对照表!$J$3:$J$24,[1]对照表!$L$3:$L$24),LOOKUP(H254,[1]对照表!$J$27:$J$48,[1]对照表!$L$27:$L$48)),IF(B254="高一",IF($E254="男",LOOKUP(H254,[1]对照表!$I$3:$I$24,[1]对照表!$L$3:$L$24),LOOKUP(H254,[1]对照表!$I$27:$I$48,[1]对照表!$L$27:$L$48)))))</f>
        <v>68</v>
      </c>
      <c r="J254" s="38">
        <v>247</v>
      </c>
      <c r="K254" s="32">
        <f>IF(B254="高三",IF($E254="男",LOOKUP(J254,[1]对照表!$O$3:$O$24,[1]对照表!$P$3:$P$24),LOOKUP(J254,[1]对照表!$O$27:$O$48,[1]对照表!$P$27:$P$48)),IF(B254="高二",IF($E254="男",LOOKUP(J254,[1]对照表!$N$3:$N$24,[1]对照表!$P$3:$P$24),LOOKUP(J254,[1]对照表!$N$27:$N$48,[1]对照表!$P$27:$P$48)),IF(B254="高一",IF($E254="男",LOOKUP(J254,[1]对照表!$M$3:$M$24,[1]对照表!$P$3:$P$24),LOOKUP(J254,[1]对照表!$M$27:$M$48,[1]对照表!$P$27:$P$48)))))</f>
        <v>80</v>
      </c>
      <c r="L254" s="38">
        <v>10</v>
      </c>
      <c r="M254" s="32">
        <f>IF(B254="高三",IF($E254="男",LOOKUP(L254,[1]对照表!$S$3:$S$24,[1]对照表!$T$3:$T$24),LOOKUP(L254,[1]对照表!$S$27:$S$48,[1]对照表!$T$27:$T$48)),IF(B254="高二",IF($E254="男",LOOKUP(L254,[1]对照表!$R$3:$R$24,[1]对照表!$T$3:$T$24),LOOKUP(L254,[1]对照表!$R$27:$R$48,[1]对照表!$T$27:$T$48)),IF(B254="高一",IF($E254="男",LOOKUP(L254,[1]对照表!$Q$3:$Q$24,[1]对照表!$T$3:$T$24),LOOKUP(L254,[1]对照表!$Q$27:$Q$48,[1]对照表!$T$27:$T$48)))))</f>
        <v>68</v>
      </c>
      <c r="N254" s="33">
        <f>IF(B254="高三",MAX(IF(E254="男",L254-18,L254-55),0),IF(B254="高二",MAX(IF(E254="男",L254-17,L254-54),0),IF(B254="高一",MAX(IF(E254="男",L254-16,L254-53),0))))</f>
        <v>0</v>
      </c>
      <c r="O254" s="23">
        <f>IF(E254="男",LOOKUP($N254,[1]对照表!$Z$3:$Z$13,[1]对照表!$AA$3:$AA$13),LOOKUP($N254,[1]对照表!$Z$15:$Z$25,[1]对照表!$AA$15:$AA$25))</f>
        <v>0</v>
      </c>
      <c r="P254" s="25">
        <f>M254+O254</f>
        <v>68</v>
      </c>
      <c r="Q254" s="50">
        <v>3.49</v>
      </c>
      <c r="R254" s="32">
        <f>IF(B254="高三",IF($E254="男",LOOKUP(Q254,[1]对照表!$W$3:$W$24,[1]对照表!$X$3:$X$24),LOOKUP(Q254,[1]对照表!$W$27:$W$48,[1]对照表!$X$27:$X$48)),IF(B254="高二",IF($E254="男",LOOKUP(Q254,[1]对照表!$V$3:$V$24,[1]对照表!$X$3:$X$24),LOOKUP(Q254,[1]对照表!$V$27:$V$48,[1]对照表!$X$27:$X$48)),IF(B254="高一",IF($E254="男",LOOKUP(Q254,[1]对照表!$U$3:$U$24,[1]对照表!$X$3:$X$24),LOOKUP(Q254,[1]对照表!$U$27:$U$48,[1]对照表!$X$27:$X$48)))))</f>
        <v>80</v>
      </c>
      <c r="S254" s="33">
        <f>ROUND(IF(IF($B254="高三",MIN(IF($E254="男",$Q254-3.2,$Q254-3.2),0),IF($B254="高二",MIN(IF($E254="男",$Q254-3.25,$Q254-3.22),0),IF($B254="高一",MIN(IF($E254="男",$Q254-3.3,$Q254-3.24),0))))&lt;-0.6,IF($B254="高三",MIN(IF($E254="男",$Q254-3.2,$Q254-3.2),0),IF($B254="高二",MIN(IF($E254="男",$Q254-3.25,$Q254-3.22),0),IF($B254="高一",MIN(IF($E254="男",$Q254-3.3,$Q254-3.24),0))))+0.4,IF($B254="高三",MIN(IF($E254="男",$Q254-3.2,$Q254-3.2),0),IF($B254="高二",MIN(IF($E254="男",$Q254-3.25,$Q254-3.22),0),IF($B254="高一",MIN(IF($E254="男",$Q254-3.3,$Q254-3.24),0))))),2)</f>
        <v>0</v>
      </c>
      <c r="T254" s="23">
        <f>IF(E254="男",LOOKUP($S254,[1]对照表!$AB$3:$AB$13,[1]对照表!$AC$3:$AC$13),LOOKUP($S254,[1]对照表!$AB$15:$AB$25,[1]对照表!$AC$15:$AC$25))</f>
        <v>0</v>
      </c>
      <c r="U254" s="26">
        <f>R254+T254</f>
        <v>80</v>
      </c>
      <c r="V254" s="26">
        <f>SUM(I254,K254,M254)/3*0.3+SUM(G254,R254)/2*0.4</f>
        <v>52.8</v>
      </c>
      <c r="W254" s="27">
        <f>O254+T254</f>
        <v>0</v>
      </c>
      <c r="X254" s="28">
        <f>V254/0.7+W254</f>
        <v>75.428571428571431</v>
      </c>
      <c r="Y254" s="28">
        <f>X254</f>
        <v>75.428571428571431</v>
      </c>
      <c r="Z254" s="38"/>
    </row>
    <row r="255" spans="1:26" ht="15.6" x14ac:dyDescent="0.25">
      <c r="A255" s="48">
        <v>3</v>
      </c>
      <c r="B255" s="17" t="s">
        <v>767</v>
      </c>
      <c r="C255" s="38">
        <v>205</v>
      </c>
      <c r="D255" s="49" t="s">
        <v>1321</v>
      </c>
      <c r="E255" s="48" t="s">
        <v>23</v>
      </c>
      <c r="F255" s="50">
        <v>7.5</v>
      </c>
      <c r="G255" s="32">
        <f>IF(B255="高三",IF($E255="男",LOOKUP(F255,[1]对照表!$G$3:$G$24,[1]对照表!$H$3:$H$24),LOOKUP(F255,[1]对照表!$G$27:$G$48,[1]对照表!$H$27:$H$48)),IF(B255="高二",IF($E255="男",LOOKUP(F255,[1]对照表!$F$3:$F$24,[1]对照表!$H$3:$H$24),LOOKUP(F255,[1]对照表!$F$27:$F$48,[1]对照表!$H$27:$H$48)),IF(B255="高一",IF($E255="男",LOOKUP(F255,[1]对照表!$E$3:$E$24,[1]对照表!$H$3:$H$24),LOOKUP(F255,[1]对照表!$E$27:$E$48,[1]对照表!$H$27:$H$48)))))</f>
        <v>78</v>
      </c>
      <c r="H255" s="38">
        <v>11</v>
      </c>
      <c r="I255" s="32">
        <f>IF(B255="高三",IF($E255="男",LOOKUP(H255,[1]对照表!$K$3:$K$24,[1]对照表!$L$3:$L$24),LOOKUP(H255,[1]对照表!$K$27:$K$48,[1]对照表!$L$27:$L$48)),IF(B255="高二",IF($E255="男",LOOKUP(H255,[1]对照表!$J$3:$J$24,[1]对照表!$L$3:$L$24),LOOKUP(H255,[1]对照表!$J$27:$J$48,[1]对照表!$L$27:$L$48)),IF(B255="高一",IF($E255="男",LOOKUP(H255,[1]对照表!$I$3:$I$24,[1]对照表!$L$3:$L$24),LOOKUP(H255,[1]对照表!$I$27:$I$48,[1]对照表!$L$27:$L$48)))))</f>
        <v>72</v>
      </c>
      <c r="J255" s="38">
        <v>235</v>
      </c>
      <c r="K255" s="32">
        <f>IF(B255="高三",IF($E255="男",LOOKUP(J255,[1]对照表!$O$3:$O$24,[1]对照表!$P$3:$P$24),LOOKUP(J255,[1]对照表!$O$27:$O$48,[1]对照表!$P$27:$P$48)),IF(B255="高二",IF($E255="男",LOOKUP(J255,[1]对照表!$N$3:$N$24,[1]对照表!$P$3:$P$24),LOOKUP(J255,[1]对照表!$N$27:$N$48,[1]对照表!$P$27:$P$48)),IF(B255="高一",IF($E255="男",LOOKUP(J255,[1]对照表!$M$3:$M$24,[1]对照表!$P$3:$P$24),LOOKUP(J255,[1]对照表!$M$27:$M$48,[1]对照表!$P$27:$P$48)))))</f>
        <v>76</v>
      </c>
      <c r="L255" s="38">
        <v>8</v>
      </c>
      <c r="M255" s="32">
        <f>IF(B255="高三",IF($E255="男",LOOKUP(L255,[1]对照表!$S$3:$S$24,[1]对照表!$T$3:$T$24),LOOKUP(L255,[1]对照表!$S$27:$S$48,[1]对照表!$T$27:$T$48)),IF(B255="高二",IF($E255="男",LOOKUP(L255,[1]对照表!$R$3:$R$24,[1]对照表!$T$3:$T$24),LOOKUP(L255,[1]对照表!$R$27:$R$48,[1]对照表!$T$27:$T$48)),IF(B255="高一",IF($E255="男",LOOKUP(L255,[1]对照表!$Q$3:$Q$24,[1]对照表!$T$3:$T$24),LOOKUP(L255,[1]对照表!$Q$27:$Q$48,[1]对照表!$T$27:$T$48)))))</f>
        <v>60</v>
      </c>
      <c r="N255" s="33">
        <f>IF(B255="高三",MAX(IF(E255="男",L255-18,L255-55),0),IF(B255="高二",MAX(IF(E255="男",L255-17,L255-54),0),IF(B255="高一",MAX(IF(E255="男",L255-16,L255-53),0))))</f>
        <v>0</v>
      </c>
      <c r="O255" s="23">
        <f>IF(E255="男",LOOKUP($N255,[1]对照表!$Z$3:$Z$13,[1]对照表!$AA$3:$AA$13),LOOKUP($N255,[1]对照表!$Z$15:$Z$25,[1]对照表!$AA$15:$AA$25))</f>
        <v>0</v>
      </c>
      <c r="P255" s="25">
        <f>M255+O255</f>
        <v>60</v>
      </c>
      <c r="Q255" s="50">
        <v>3.54</v>
      </c>
      <c r="R255" s="32">
        <f>IF(B255="高三",IF($E255="男",LOOKUP(Q255,[1]对照表!$W$3:$W$24,[1]对照表!$X$3:$X$24),LOOKUP(Q255,[1]对照表!$W$27:$W$48,[1]对照表!$X$27:$X$48)),IF(B255="高二",IF($E255="男",LOOKUP(Q255,[1]对照表!$V$3:$V$24,[1]对照表!$X$3:$X$24),LOOKUP(Q255,[1]对照表!$V$27:$V$48,[1]对照表!$X$27:$X$48)),IF(B255="高一",IF($E255="男",LOOKUP(Q255,[1]对照表!$U$3:$U$24,[1]对照表!$X$3:$X$24),LOOKUP(Q255,[1]对照表!$U$27:$U$48,[1]对照表!$X$27:$X$48)))))</f>
        <v>78</v>
      </c>
      <c r="S255" s="33">
        <f>ROUND(IF(IF($B255="高三",MIN(IF($E255="男",$Q255-3.2,$Q255-3.2),0),IF($B255="高二",MIN(IF($E255="男",$Q255-3.25,$Q255-3.22),0),IF($B255="高一",MIN(IF($E255="男",$Q255-3.3,$Q255-3.24),0))))&lt;-0.6,IF($B255="高三",MIN(IF($E255="男",$Q255-3.2,$Q255-3.2),0),IF($B255="高二",MIN(IF($E255="男",$Q255-3.25,$Q255-3.22),0),IF($B255="高一",MIN(IF($E255="男",$Q255-3.3,$Q255-3.24),0))))+0.4,IF($B255="高三",MIN(IF($E255="男",$Q255-3.2,$Q255-3.2),0),IF($B255="高二",MIN(IF($E255="男",$Q255-3.25,$Q255-3.22),0),IF($B255="高一",MIN(IF($E255="男",$Q255-3.3,$Q255-3.24),0))))),2)</f>
        <v>0</v>
      </c>
      <c r="T255" s="23">
        <f>IF(E255="男",LOOKUP($S255,[1]对照表!$AB$3:$AB$13,[1]对照表!$AC$3:$AC$13),LOOKUP($S255,[1]对照表!$AB$15:$AB$25,[1]对照表!$AC$15:$AC$25))</f>
        <v>0</v>
      </c>
      <c r="U255" s="26">
        <f>R255+T255</f>
        <v>78</v>
      </c>
      <c r="V255" s="26">
        <f>SUM(I255,K255,M255)/3*0.3+SUM(G255,R255)/2*0.4</f>
        <v>52</v>
      </c>
      <c r="W255" s="27">
        <f>O255+T255</f>
        <v>0</v>
      </c>
      <c r="X255" s="28">
        <f>V255/0.7+W255</f>
        <v>74.285714285714292</v>
      </c>
      <c r="Y255" s="28">
        <f>X255</f>
        <v>74.285714285714292</v>
      </c>
      <c r="Z255" s="38"/>
    </row>
    <row r="256" spans="1:26" ht="15.6" x14ac:dyDescent="0.25">
      <c r="A256" s="48">
        <v>23</v>
      </c>
      <c r="B256" s="17" t="s">
        <v>767</v>
      </c>
      <c r="C256" s="38">
        <v>205</v>
      </c>
      <c r="D256" s="49" t="s">
        <v>1341</v>
      </c>
      <c r="E256" s="48" t="s">
        <v>23</v>
      </c>
      <c r="F256" s="50">
        <v>7.1</v>
      </c>
      <c r="G256" s="32">
        <f>IF(B256="高三",IF($E256="男",LOOKUP(F256,[1]对照表!$G$3:$G$24,[1]对照表!$H$3:$H$24),LOOKUP(F256,[1]对照表!$G$27:$G$48,[1]对照表!$H$27:$H$48)),IF(B256="高二",IF($E256="男",LOOKUP(F256,[1]对照表!$F$3:$F$24,[1]对照表!$H$3:$H$24),LOOKUP(F256,[1]对照表!$F$27:$F$48,[1]对照表!$H$27:$H$48)),IF(B256="高一",IF($E256="男",LOOKUP(F256,[1]对照表!$E$3:$E$24,[1]对照表!$H$3:$H$24),LOOKUP(F256,[1]对照表!$E$27:$E$48,[1]对照表!$H$27:$H$48)))))</f>
        <v>95</v>
      </c>
      <c r="H256" s="38">
        <v>5.5</v>
      </c>
      <c r="I256" s="32">
        <f>IF(B256="高三",IF($E256="男",LOOKUP(H256,[1]对照表!$K$3:$K$24,[1]对照表!$L$3:$L$24),LOOKUP(H256,[1]对照表!$K$27:$K$48,[1]对照表!$L$27:$L$48)),IF(B256="高二",IF($E256="男",LOOKUP(H256,[1]对照表!$J$3:$J$24,[1]对照表!$L$3:$L$24),LOOKUP(H256,[1]对照表!$J$27:$J$48,[1]对照表!$L$27:$L$48)),IF(B256="高一",IF($E256="男",LOOKUP(H256,[1]对照表!$I$3:$I$24,[1]对照表!$L$3:$L$24),LOOKUP(H256,[1]对照表!$I$27:$I$48,[1]对照表!$L$27:$L$48)))))</f>
        <v>64</v>
      </c>
      <c r="J256" s="38">
        <v>252</v>
      </c>
      <c r="K256" s="32">
        <f>IF(B256="高三",IF($E256="男",LOOKUP(J256,[1]对照表!$O$3:$O$24,[1]对照表!$P$3:$P$24),LOOKUP(J256,[1]对照表!$O$27:$O$48,[1]对照表!$P$27:$P$48)),IF(B256="高二",IF($E256="男",LOOKUP(J256,[1]对照表!$N$3:$N$24,[1]对照表!$P$3:$P$24),LOOKUP(J256,[1]对照表!$N$27:$N$48,[1]对照表!$P$27:$P$48)),IF(B256="高一",IF($E256="男",LOOKUP(J256,[1]对照表!$M$3:$M$24,[1]对照表!$P$3:$P$24),LOOKUP(J256,[1]对照表!$M$27:$M$48,[1]对照表!$P$27:$P$48)))))</f>
        <v>85</v>
      </c>
      <c r="L256" s="38">
        <v>3</v>
      </c>
      <c r="M256" s="32">
        <f>IF(B256="高三",IF($E256="男",LOOKUP(L256,[1]对照表!$S$3:$S$24,[1]对照表!$T$3:$T$24),LOOKUP(L256,[1]对照表!$S$27:$S$48,[1]对照表!$T$27:$T$48)),IF(B256="高二",IF($E256="男",LOOKUP(L256,[1]对照表!$R$3:$R$24,[1]对照表!$T$3:$T$24),LOOKUP(L256,[1]对照表!$R$27:$R$48,[1]对照表!$T$27:$T$48)),IF(B256="高一",IF($E256="男",LOOKUP(L256,[1]对照表!$Q$3:$Q$24,[1]对照表!$T$3:$T$24),LOOKUP(L256,[1]对照表!$Q$27:$Q$48,[1]对照表!$T$27:$T$48)))))</f>
        <v>10</v>
      </c>
      <c r="N256" s="33">
        <f>IF(B256="高三",MAX(IF(E256="男",L256-18,L256-55),0),IF(B256="高二",MAX(IF(E256="男",L256-17,L256-54),0),IF(B256="高一",MAX(IF(E256="男",L256-16,L256-53),0))))</f>
        <v>0</v>
      </c>
      <c r="O256" s="23">
        <f>IF(E256="男",LOOKUP($N256,[1]对照表!$Z$3:$Z$13,[1]对照表!$AA$3:$AA$13),LOOKUP($N256,[1]对照表!$Z$15:$Z$25,[1]对照表!$AA$15:$AA$25))</f>
        <v>0</v>
      </c>
      <c r="P256" s="25">
        <f>M256+O256</f>
        <v>10</v>
      </c>
      <c r="Q256" s="50">
        <v>3.45</v>
      </c>
      <c r="R256" s="32">
        <f>IF(B256="高三",IF($E256="男",LOOKUP(Q256,[1]对照表!$W$3:$W$24,[1]对照表!$X$3:$X$24),LOOKUP(Q256,[1]对照表!$W$27:$W$48,[1]对照表!$X$27:$X$48)),IF(B256="高二",IF($E256="男",LOOKUP(Q256,[1]对照表!$V$3:$V$24,[1]对照表!$X$3:$X$24),LOOKUP(Q256,[1]对照表!$V$27:$V$48,[1]对照表!$X$27:$X$48)),IF(B256="高一",IF($E256="男",LOOKUP(Q256,[1]对照表!$U$3:$U$24,[1]对照表!$X$3:$X$24),LOOKUP(Q256,[1]对照表!$U$27:$U$48,[1]对照表!$X$27:$X$48)))))</f>
        <v>80</v>
      </c>
      <c r="S256" s="33">
        <f>ROUND(IF(IF($B256="高三",MIN(IF($E256="男",$Q256-3.2,$Q256-3.2),0),IF($B256="高二",MIN(IF($E256="男",$Q256-3.25,$Q256-3.22),0),IF($B256="高一",MIN(IF($E256="男",$Q256-3.3,$Q256-3.24),0))))&lt;-0.6,IF($B256="高三",MIN(IF($E256="男",$Q256-3.2,$Q256-3.2),0),IF($B256="高二",MIN(IF($E256="男",$Q256-3.25,$Q256-3.22),0),IF($B256="高一",MIN(IF($E256="男",$Q256-3.3,$Q256-3.24),0))))+0.4,IF($B256="高三",MIN(IF($E256="男",$Q256-3.2,$Q256-3.2),0),IF($B256="高二",MIN(IF($E256="男",$Q256-3.25,$Q256-3.22),0),IF($B256="高一",MIN(IF($E256="男",$Q256-3.3,$Q256-3.24),0))))),2)</f>
        <v>0</v>
      </c>
      <c r="T256" s="23">
        <f>IF(E256="男",LOOKUP($S256,[1]对照表!$AB$3:$AB$13,[1]对照表!$AC$3:$AC$13),LOOKUP($S256,[1]对照表!$AB$15:$AB$25,[1]对照表!$AC$15:$AC$25))</f>
        <v>0</v>
      </c>
      <c r="U256" s="26">
        <f>R256+T256</f>
        <v>80</v>
      </c>
      <c r="V256" s="26">
        <f>SUM(I256,K256,M256)/3*0.3+SUM(G256,R256)/2*0.4</f>
        <v>50.9</v>
      </c>
      <c r="W256" s="27">
        <f>O256+T256</f>
        <v>0</v>
      </c>
      <c r="X256" s="28">
        <f>V256/0.7+W256</f>
        <v>72.714285714285722</v>
      </c>
      <c r="Y256" s="28">
        <f>X256</f>
        <v>72.714285714285722</v>
      </c>
      <c r="Z256" s="38"/>
    </row>
    <row r="257" spans="1:26" ht="15.6" x14ac:dyDescent="0.25">
      <c r="A257" s="38">
        <v>16</v>
      </c>
      <c r="B257" s="17" t="s">
        <v>767</v>
      </c>
      <c r="C257" s="38">
        <v>205</v>
      </c>
      <c r="D257" s="49" t="s">
        <v>1369</v>
      </c>
      <c r="E257" s="48" t="s">
        <v>23</v>
      </c>
      <c r="F257" s="50">
        <v>7.5</v>
      </c>
      <c r="G257" s="32">
        <f>IF(B257="高三",IF($E257="男",LOOKUP(F257,[1]对照表!$G$3:$G$24,[1]对照表!$H$3:$H$24),LOOKUP(F257,[1]对照表!$G$27:$G$48,[1]对照表!$H$27:$H$48)),IF(B257="高二",IF($E257="男",LOOKUP(F257,[1]对照表!$F$3:$F$24,[1]对照表!$H$3:$H$24),LOOKUP(F257,[1]对照表!$F$27:$F$48,[1]对照表!$H$27:$H$48)),IF(B257="高一",IF($E257="男",LOOKUP(F257,[1]对照表!$E$3:$E$24,[1]对照表!$H$3:$H$24),LOOKUP(F257,[1]对照表!$E$27:$E$48,[1]对照表!$H$27:$H$48)))))</f>
        <v>78</v>
      </c>
      <c r="H257" s="38">
        <v>13.1</v>
      </c>
      <c r="I257" s="32">
        <f>IF(B257="高三",IF($E257="男",LOOKUP(H257,[1]对照表!$K$3:$K$24,[1]对照表!$L$3:$L$24),LOOKUP(H257,[1]对照表!$K$27:$K$48,[1]对照表!$L$27:$L$48)),IF(B257="高二",IF($E257="男",LOOKUP(H257,[1]对照表!$J$3:$J$24,[1]对照表!$L$3:$L$24),LOOKUP(H257,[1]对照表!$J$27:$J$48,[1]对照表!$L$27:$L$48)),IF(B257="高一",IF($E257="男",LOOKUP(H257,[1]对照表!$I$3:$I$24,[1]对照表!$L$3:$L$24),LOOKUP(H257,[1]对照表!$I$27:$I$48,[1]对照表!$L$27:$L$48)))))</f>
        <v>74</v>
      </c>
      <c r="J257" s="38">
        <v>210</v>
      </c>
      <c r="K257" s="32">
        <f>IF(B257="高三",IF($E257="男",LOOKUP(J257,[1]对照表!$O$3:$O$24,[1]对照表!$P$3:$P$24),LOOKUP(J257,[1]对照表!$O$27:$O$48,[1]对照表!$P$27:$P$48)),IF(B257="高二",IF($E257="男",LOOKUP(J257,[1]对照表!$N$3:$N$24,[1]对照表!$P$3:$P$24),LOOKUP(J257,[1]对照表!$N$27:$N$48,[1]对照表!$P$27:$P$48)),IF(B257="高一",IF($E257="男",LOOKUP(J257,[1]对照表!$M$3:$M$24,[1]对照表!$P$3:$P$24),LOOKUP(J257,[1]对照表!$M$27:$M$48,[1]对照表!$P$27:$P$48)))))</f>
        <v>64</v>
      </c>
      <c r="L257" s="38">
        <v>6</v>
      </c>
      <c r="M257" s="32">
        <f>IF(B257="高三",IF($E257="男",LOOKUP(L257,[1]对照表!$S$3:$S$24,[1]对照表!$T$3:$T$24),LOOKUP(L257,[1]对照表!$S$27:$S$48,[1]对照表!$T$27:$T$48)),IF(B257="高二",IF($E257="男",LOOKUP(L257,[1]对照表!$R$3:$R$24,[1]对照表!$T$3:$T$24),LOOKUP(L257,[1]对照表!$R$27:$R$48,[1]对照表!$T$27:$T$48)),IF(B257="高一",IF($E257="男",LOOKUP(L257,[1]对照表!$Q$3:$Q$24,[1]对照表!$T$3:$T$24),LOOKUP(L257,[1]对照表!$Q$27:$Q$48,[1]对照表!$T$27:$T$48)))))</f>
        <v>40</v>
      </c>
      <c r="N257" s="33">
        <f>IF(B257="高三",MAX(IF(E257="男",L257-18,L257-55),0),IF(B257="高二",MAX(IF(E257="男",L257-17,L257-54),0),IF(B257="高一",MAX(IF(E257="男",L257-16,L257-53),0))))</f>
        <v>0</v>
      </c>
      <c r="O257" s="23">
        <f>IF(E257="男",LOOKUP($N257,[1]对照表!$Z$3:$Z$13,[1]对照表!$AA$3:$AA$13),LOOKUP($N257,[1]对照表!$Z$15:$Z$25,[1]对照表!$AA$15:$AA$25))</f>
        <v>0</v>
      </c>
      <c r="P257" s="25">
        <f>M257+O257</f>
        <v>40</v>
      </c>
      <c r="Q257" s="50">
        <v>3.53</v>
      </c>
      <c r="R257" s="32">
        <f>IF(B257="高三",IF($E257="男",LOOKUP(Q257,[1]对照表!$W$3:$W$24,[1]对照表!$X$3:$X$24),LOOKUP(Q257,[1]对照表!$W$27:$W$48,[1]对照表!$X$27:$X$48)),IF(B257="高二",IF($E257="男",LOOKUP(Q257,[1]对照表!$V$3:$V$24,[1]对照表!$X$3:$X$24),LOOKUP(Q257,[1]对照表!$V$27:$V$48,[1]对照表!$X$27:$X$48)),IF(B257="高一",IF($E257="男",LOOKUP(Q257,[1]对照表!$U$3:$U$24,[1]对照表!$X$3:$X$24),LOOKUP(Q257,[1]对照表!$U$27:$U$48,[1]对照表!$X$27:$X$48)))))</f>
        <v>78</v>
      </c>
      <c r="S257" s="33">
        <f>ROUND(IF(IF($B257="高三",MIN(IF($E257="男",$Q257-3.2,$Q257-3.2),0),IF($B257="高二",MIN(IF($E257="男",$Q257-3.25,$Q257-3.22),0),IF($B257="高一",MIN(IF($E257="男",$Q257-3.3,$Q257-3.24),0))))&lt;-0.6,IF($B257="高三",MIN(IF($E257="男",$Q257-3.2,$Q257-3.2),0),IF($B257="高二",MIN(IF($E257="男",$Q257-3.25,$Q257-3.22),0),IF($B257="高一",MIN(IF($E257="男",$Q257-3.3,$Q257-3.24),0))))+0.4,IF($B257="高三",MIN(IF($E257="男",$Q257-3.2,$Q257-3.2),0),IF($B257="高二",MIN(IF($E257="男",$Q257-3.25,$Q257-3.22),0),IF($B257="高一",MIN(IF($E257="男",$Q257-3.3,$Q257-3.24),0))))),2)</f>
        <v>0</v>
      </c>
      <c r="T257" s="23">
        <f>IF(E257="男",LOOKUP($S257,[1]对照表!$AB$3:$AB$13,[1]对照表!$AC$3:$AC$13),LOOKUP($S257,[1]对照表!$AB$15:$AB$25,[1]对照表!$AC$15:$AC$25))</f>
        <v>0</v>
      </c>
      <c r="U257" s="26">
        <f>R257+T257</f>
        <v>78</v>
      </c>
      <c r="V257" s="26">
        <f>SUM(I257,K257,M257)/3*0.3+SUM(G257,R257)/2*0.4</f>
        <v>49</v>
      </c>
      <c r="W257" s="27">
        <f>O257+T257</f>
        <v>0</v>
      </c>
      <c r="X257" s="28">
        <f>V257/0.7+W257</f>
        <v>70</v>
      </c>
      <c r="Y257" s="28">
        <f>X257</f>
        <v>70</v>
      </c>
      <c r="Z257" s="38"/>
    </row>
    <row r="258" spans="1:26" ht="15.6" x14ac:dyDescent="0.25">
      <c r="A258" s="38">
        <v>10</v>
      </c>
      <c r="B258" s="17" t="s">
        <v>767</v>
      </c>
      <c r="C258" s="38">
        <v>205</v>
      </c>
      <c r="D258" s="49" t="s">
        <v>1375</v>
      </c>
      <c r="E258" s="48" t="s">
        <v>23</v>
      </c>
      <c r="F258" s="50">
        <v>7.3</v>
      </c>
      <c r="G258" s="32">
        <f>IF(B258="高三",IF($E258="男",LOOKUP(F258,[1]对照表!$G$3:$G$24,[1]对照表!$H$3:$H$24),LOOKUP(F258,[1]对照表!$G$27:$G$48,[1]对照表!$H$27:$H$48)),IF(B258="高二",IF($E258="男",LOOKUP(F258,[1]对照表!$F$3:$F$24,[1]对照表!$H$3:$H$24),LOOKUP(F258,[1]对照表!$F$27:$F$48,[1]对照表!$H$27:$H$48)),IF(B258="高一",IF($E258="男",LOOKUP(F258,[1]对照表!$E$3:$E$24,[1]对照表!$H$3:$H$24),LOOKUP(F258,[1]对照表!$E$27:$E$48,[1]对照表!$H$27:$H$48)))))</f>
        <v>85</v>
      </c>
      <c r="H258" s="38">
        <v>2.2000000000000002</v>
      </c>
      <c r="I258" s="32">
        <f>IF(B258="高三",IF($E258="男",LOOKUP(H258,[1]对照表!$K$3:$K$24,[1]对照表!$L$3:$L$24),LOOKUP(H258,[1]对照表!$K$27:$K$48,[1]对照表!$L$27:$L$48)),IF(B258="高二",IF($E258="男",LOOKUP(H258,[1]对照表!$J$3:$J$24,[1]对照表!$L$3:$L$24),LOOKUP(H258,[1]对照表!$J$27:$J$48,[1]对照表!$L$27:$L$48)),IF(B258="高一",IF($E258="男",LOOKUP(H258,[1]对照表!$I$3:$I$24,[1]对照表!$L$3:$L$24),LOOKUP(H258,[1]对照表!$I$27:$I$48,[1]对照表!$L$27:$L$48)))))</f>
        <v>60</v>
      </c>
      <c r="J258" s="38">
        <v>230</v>
      </c>
      <c r="K258" s="32">
        <f>IF(B258="高三",IF($E258="男",LOOKUP(J258,[1]对照表!$O$3:$O$24,[1]对照表!$P$3:$P$24),LOOKUP(J258,[1]对照表!$O$27:$O$48,[1]对照表!$P$27:$P$48)),IF(B258="高二",IF($E258="男",LOOKUP(J258,[1]对照表!$N$3:$N$24,[1]对照表!$P$3:$P$24),LOOKUP(J258,[1]对照表!$N$27:$N$48,[1]对照表!$P$27:$P$48)),IF(B258="高一",IF($E258="男",LOOKUP(J258,[1]对照表!$M$3:$M$24,[1]对照表!$P$3:$P$24),LOOKUP(J258,[1]对照表!$M$27:$M$48,[1]对照表!$P$27:$P$48)))))</f>
        <v>74</v>
      </c>
      <c r="L258" s="38">
        <v>0</v>
      </c>
      <c r="M258" s="32">
        <f>IF(B258="高三",IF($E258="男",LOOKUP(L258,[1]对照表!$S$3:$S$24,[1]对照表!$T$3:$T$24),LOOKUP(L258,[1]对照表!$S$27:$S$48,[1]对照表!$T$27:$T$48)),IF(B258="高二",IF($E258="男",LOOKUP(L258,[1]对照表!$R$3:$R$24,[1]对照表!$T$3:$T$24),LOOKUP(L258,[1]对照表!$R$27:$R$48,[1]对照表!$T$27:$T$48)),IF(B258="高一",IF($E258="男",LOOKUP(L258,[1]对照表!$Q$3:$Q$24,[1]对照表!$T$3:$T$24),LOOKUP(L258,[1]对照表!$Q$27:$Q$48,[1]对照表!$T$27:$T$48)))))</f>
        <v>0</v>
      </c>
      <c r="N258" s="33">
        <f>IF(B258="高三",MAX(IF(E258="男",L258-18,L258-55),0),IF(B258="高二",MAX(IF(E258="男",L258-17,L258-54),0),IF(B258="高一",MAX(IF(E258="男",L258-16,L258-53),0))))</f>
        <v>0</v>
      </c>
      <c r="O258" s="23">
        <f>IF(E258="男",LOOKUP($N258,[1]对照表!$Z$3:$Z$13,[1]对照表!$AA$3:$AA$13),LOOKUP($N258,[1]对照表!$Z$15:$Z$25,[1]对照表!$AA$15:$AA$25))</f>
        <v>0</v>
      </c>
      <c r="P258" s="25">
        <f>M258+O258</f>
        <v>0</v>
      </c>
      <c r="Q258" s="50">
        <v>3.33</v>
      </c>
      <c r="R258" s="32">
        <f>IF(B258="高三",IF($E258="男",LOOKUP(Q258,[1]对照表!$W$3:$W$24,[1]对照表!$X$3:$X$24),LOOKUP(Q258,[1]对照表!$W$27:$W$48,[1]对照表!$X$27:$X$48)),IF(B258="高二",IF($E258="男",LOOKUP(Q258,[1]对照表!$V$3:$V$24,[1]对照表!$X$3:$X$24),LOOKUP(Q258,[1]对照表!$V$27:$V$48,[1]对照表!$X$27:$X$48)),IF(B258="高一",IF($E258="男",LOOKUP(Q258,[1]对照表!$U$3:$U$24,[1]对照表!$X$3:$X$24),LOOKUP(Q258,[1]对照表!$U$27:$U$48,[1]对照表!$X$27:$X$48)))))</f>
        <v>90</v>
      </c>
      <c r="S258" s="33">
        <f>ROUND(IF(IF($B258="高三",MIN(IF($E258="男",$Q258-3.2,$Q258-3.2),0),IF($B258="高二",MIN(IF($E258="男",$Q258-3.25,$Q258-3.22),0),IF($B258="高一",MIN(IF($E258="男",$Q258-3.3,$Q258-3.24),0))))&lt;-0.6,IF($B258="高三",MIN(IF($E258="男",$Q258-3.2,$Q258-3.2),0),IF($B258="高二",MIN(IF($E258="男",$Q258-3.25,$Q258-3.22),0),IF($B258="高一",MIN(IF($E258="男",$Q258-3.3,$Q258-3.24),0))))+0.4,IF($B258="高三",MIN(IF($E258="男",$Q258-3.2,$Q258-3.2),0),IF($B258="高二",MIN(IF($E258="男",$Q258-3.25,$Q258-3.22),0),IF($B258="高一",MIN(IF($E258="男",$Q258-3.3,$Q258-3.24),0))))),2)</f>
        <v>0</v>
      </c>
      <c r="T258" s="23">
        <f>IF(E258="男",LOOKUP($S258,[1]对照表!$AB$3:$AB$13,[1]对照表!$AC$3:$AC$13),LOOKUP($S258,[1]对照表!$AB$15:$AB$25,[1]对照表!$AC$15:$AC$25))</f>
        <v>0</v>
      </c>
      <c r="U258" s="26">
        <f>R258+T258</f>
        <v>90</v>
      </c>
      <c r="V258" s="26">
        <f>SUM(I258,K258,M258)/3*0.3+SUM(G258,R258)/2*0.4</f>
        <v>48.4</v>
      </c>
      <c r="W258" s="27">
        <f>O258+T258</f>
        <v>0</v>
      </c>
      <c r="X258" s="28">
        <f>V258/0.7+W258</f>
        <v>69.142857142857139</v>
      </c>
      <c r="Y258" s="28">
        <f>X258</f>
        <v>69.142857142857139</v>
      </c>
      <c r="Z258" s="38"/>
    </row>
    <row r="259" spans="1:26" ht="15.6" customHeight="1" x14ac:dyDescent="0.15">
      <c r="A259" s="38">
        <v>43</v>
      </c>
      <c r="B259" s="17" t="s">
        <v>767</v>
      </c>
      <c r="C259" s="38">
        <v>205</v>
      </c>
      <c r="D259" s="49" t="s">
        <v>1397</v>
      </c>
      <c r="E259" s="38" t="s">
        <v>65</v>
      </c>
      <c r="F259" s="50">
        <v>8.65</v>
      </c>
      <c r="G259" s="32">
        <f>IF(B259="高三",IF($E259="男",LOOKUP(F259,[1]对照表!$G$3:$G$24,[1]对照表!$H$3:$H$24),LOOKUP(F259,[1]对照表!$G$27:$G$48,[1]对照表!$H$27:$H$48)),IF(B259="高二",IF($E259="男",LOOKUP(F259,[1]对照表!$F$3:$F$24,[1]对照表!$H$3:$H$24),LOOKUP(F259,[1]对照表!$F$27:$F$48,[1]对照表!$H$27:$H$48)),IF(B259="高一",IF($E259="男",LOOKUP(F259,[1]对照表!$E$3:$E$24,[1]对照表!$H$3:$H$24),LOOKUP(F259,[1]对照表!$E$27:$E$48,[1]对照表!$H$27:$H$48)))))</f>
        <v>78</v>
      </c>
      <c r="H259" s="38">
        <v>20</v>
      </c>
      <c r="I259" s="32">
        <f>IF(B259="高三",IF($E259="男",LOOKUP(H259,[1]对照表!$K$3:$K$24,[1]对照表!$L$3:$L$24),LOOKUP(H259,[1]对照表!$K$27:$K$48,[1]对照表!$L$27:$L$48)),IF(B259="高二",IF($E259="男",LOOKUP(H259,[1]对照表!$J$3:$J$24,[1]对照表!$L$3:$L$24),LOOKUP(H259,[1]对照表!$J$27:$J$48,[1]对照表!$L$27:$L$48)),IF(B259="高一",IF($E259="男",LOOKUP(H259,[1]对照表!$I$3:$I$24,[1]对照表!$L$3:$L$24),LOOKUP(H259,[1]对照表!$I$27:$I$48,[1]对照表!$L$27:$L$48)))))</f>
        <v>85</v>
      </c>
      <c r="J259" s="38">
        <v>170</v>
      </c>
      <c r="K259" s="32">
        <f>IF(B259="高三",IF($E259="男",LOOKUP(J259,[1]对照表!$O$3:$O$24,[1]对照表!$P$3:$P$24),LOOKUP(J259,[1]对照表!$O$27:$O$48,[1]对照表!$P$27:$P$48)),IF(B259="高二",IF($E259="男",LOOKUP(J259,[1]对照表!$N$3:$N$24,[1]对照表!$P$3:$P$24),LOOKUP(J259,[1]对照表!$N$27:$N$48,[1]对照表!$P$27:$P$48)),IF(B259="高一",IF($E259="男",LOOKUP(J259,[1]对照表!$M$3:$M$24,[1]对照表!$P$3:$P$24),LOOKUP(J259,[1]对照表!$M$27:$M$48,[1]对照表!$P$27:$P$48)))))</f>
        <v>74</v>
      </c>
      <c r="L259" s="38" t="s">
        <v>578</v>
      </c>
      <c r="M259" s="32">
        <v>0</v>
      </c>
      <c r="N259" s="33">
        <v>0</v>
      </c>
      <c r="O259" s="23">
        <f>IF(E259="男",LOOKUP($N259,[1]对照表!$Z$3:$Z$13,[1]对照表!$AA$3:$AA$13),LOOKUP($N259,[1]对照表!$Z$15:$Z$25,[1]对照表!$AA$15:$AA$25))</f>
        <v>0</v>
      </c>
      <c r="P259" s="25">
        <f>M259+O259</f>
        <v>0</v>
      </c>
      <c r="Q259" s="50" t="s">
        <v>578</v>
      </c>
      <c r="R259" s="32" t="str">
        <f>IF(B259="高三",IF($E259="男",LOOKUP(Q259,[1]对照表!$W$3:$W$24,[1]对照表!$X$3:$X$24),LOOKUP(Q259,[1]对照表!$W$27:$W$48,[1]对照表!$X$27:$X$48)),IF(B259="高二",IF($E259="男",LOOKUP(Q259,[1]对照表!$V$3:$V$24,[1]对照表!$X$3:$X$24),LOOKUP(Q259,[1]对照表!$V$27:$V$48,[1]对照表!$X$27:$X$48)),IF(B259="高一",IF($E259="男",LOOKUP(Q259,[1]对照表!$U$3:$U$24,[1]对照表!$X$3:$X$24),LOOKUP(Q259,[1]对照表!$U$27:$U$48,[1]对照表!$X$27:$X$48)))))</f>
        <v>/</v>
      </c>
      <c r="S259" s="33">
        <v>0</v>
      </c>
      <c r="T259" s="23">
        <f>IF(E259="男",LOOKUP($S259,[1]对照表!$AB$3:$AB$13,[1]对照表!$AC$3:$AC$13),LOOKUP($S259,[1]对照表!$AB$15:$AB$25,[1]对照表!$AC$15:$AC$25))</f>
        <v>0</v>
      </c>
      <c r="U259" s="26">
        <v>0</v>
      </c>
      <c r="V259" s="26">
        <f>SUM(I259,K259,M259)/3*0.3+SUM(G259,R259)/2*0.4</f>
        <v>31.5</v>
      </c>
      <c r="W259" s="27">
        <f>O259+T259</f>
        <v>0</v>
      </c>
      <c r="X259" s="28">
        <f>V259/0.7+W259</f>
        <v>45</v>
      </c>
      <c r="Y259" s="29">
        <v>50</v>
      </c>
      <c r="Z259" s="38"/>
    </row>
    <row r="260" spans="1:26" ht="15.6" x14ac:dyDescent="0.25">
      <c r="A260" s="48">
        <v>28</v>
      </c>
      <c r="B260" s="17" t="s">
        <v>767</v>
      </c>
      <c r="C260" s="38">
        <v>205</v>
      </c>
      <c r="D260" s="49" t="s">
        <v>1411</v>
      </c>
      <c r="E260" s="48" t="s">
        <v>23</v>
      </c>
      <c r="F260" s="50">
        <v>7.8</v>
      </c>
      <c r="G260" s="32">
        <f>IF(B260="高三",IF($E260="男",LOOKUP(F260,[1]对照表!$G$3:$G$24,[1]对照表!$H$3:$H$24),LOOKUP(F260,[1]对照表!$G$27:$G$48,[1]对照表!$H$27:$H$48)),IF(B260="高二",IF($E260="男",LOOKUP(F260,[1]对照表!$F$3:$F$24,[1]对照表!$H$3:$H$24),LOOKUP(F260,[1]对照表!$F$27:$F$48,[1]对照表!$H$27:$H$48)),IF(B260="高一",IF($E260="男",LOOKUP(F260,[1]对照表!$E$3:$E$24,[1]对照表!$H$3:$H$24),LOOKUP(F260,[1]对照表!$E$27:$E$48,[1]对照表!$H$27:$H$48)))))</f>
        <v>76</v>
      </c>
      <c r="H260" s="38">
        <v>8.8000000000000007</v>
      </c>
      <c r="I260" s="32">
        <f>IF(B260="高三",IF($E260="男",LOOKUP(H260,[1]对照表!$K$3:$K$24,[1]对照表!$L$3:$L$24),LOOKUP(H260,[1]对照表!$K$27:$K$48,[1]对照表!$L$27:$L$48)),IF(B260="高二",IF($E260="男",LOOKUP(H260,[1]对照表!$J$3:$J$24,[1]对照表!$L$3:$L$24),LOOKUP(H260,[1]对照表!$J$27:$J$48,[1]对照表!$L$27:$L$48)),IF(B260="高一",IF($E260="男",LOOKUP(H260,[1]对照表!$I$3:$I$24,[1]对照表!$L$3:$L$24),LOOKUP(H260,[1]对照表!$I$27:$I$48,[1]对照表!$L$27:$L$48)))))</f>
        <v>68</v>
      </c>
      <c r="J260" s="38">
        <v>225</v>
      </c>
      <c r="K260" s="32">
        <f>IF(B260="高三",IF($E260="男",LOOKUP(J260,[1]对照表!$O$3:$O$24,[1]对照表!$P$3:$P$24),LOOKUP(J260,[1]对照表!$O$27:$O$48,[1]对照表!$P$27:$P$48)),IF(B260="高二",IF($E260="男",LOOKUP(J260,[1]对照表!$N$3:$N$24,[1]对照表!$P$3:$P$24),LOOKUP(J260,[1]对照表!$N$27:$N$48,[1]对照表!$P$27:$P$48)),IF(B260="高一",IF($E260="男",LOOKUP(J260,[1]对照表!$M$3:$M$24,[1]对照表!$P$3:$P$24),LOOKUP(J260,[1]对照表!$M$27:$M$48,[1]对照表!$P$27:$P$48)))))</f>
        <v>72</v>
      </c>
      <c r="L260" s="38">
        <v>0</v>
      </c>
      <c r="M260" s="32">
        <f>IF(B260="高三",IF($E260="男",LOOKUP(L260,[1]对照表!$S$3:$S$24,[1]对照表!$T$3:$T$24),LOOKUP(L260,[1]对照表!$S$27:$S$48,[1]对照表!$T$27:$T$48)),IF(B260="高二",IF($E260="男",LOOKUP(L260,[1]对照表!$R$3:$R$24,[1]对照表!$T$3:$T$24),LOOKUP(L260,[1]对照表!$R$27:$R$48,[1]对照表!$T$27:$T$48)),IF(B260="高一",IF($E260="男",LOOKUP(L260,[1]对照表!$Q$3:$Q$24,[1]对照表!$T$3:$T$24),LOOKUP(L260,[1]对照表!$Q$27:$Q$48,[1]对照表!$T$27:$T$48)))))</f>
        <v>0</v>
      </c>
      <c r="N260" s="33">
        <f>IF(B260="高三",MAX(IF(E260="男",L260-18,L260-55),0),IF(B260="高二",MAX(IF(E260="男",L260-17,L260-54),0),IF(B260="高一",MAX(IF(E260="男",L260-16,L260-53),0))))</f>
        <v>0</v>
      </c>
      <c r="O260" s="23">
        <f>IF(E260="男",LOOKUP($N260,[1]对照表!$Z$3:$Z$13,[1]对照表!$AA$3:$AA$13),LOOKUP($N260,[1]对照表!$Z$15:$Z$25,[1]对照表!$AA$15:$AA$25))</f>
        <v>0</v>
      </c>
      <c r="P260" s="25">
        <f>M260+O260</f>
        <v>0</v>
      </c>
      <c r="Q260" s="50">
        <v>3.51</v>
      </c>
      <c r="R260" s="32">
        <f>IF(B260="高三",IF($E260="男",LOOKUP(Q260,[1]对照表!$W$3:$W$24,[1]对照表!$X$3:$X$24),LOOKUP(Q260,[1]对照表!$W$27:$W$48,[1]对照表!$X$27:$X$48)),IF(B260="高二",IF($E260="男",LOOKUP(Q260,[1]对照表!$V$3:$V$24,[1]对照表!$X$3:$X$24),LOOKUP(Q260,[1]对照表!$V$27:$V$48,[1]对照表!$X$27:$X$48)),IF(B260="高一",IF($E260="男",LOOKUP(Q260,[1]对照表!$U$3:$U$24,[1]对照表!$X$3:$X$24),LOOKUP(Q260,[1]对照表!$U$27:$U$48,[1]对照表!$X$27:$X$48)))))</f>
        <v>78</v>
      </c>
      <c r="S260" s="33">
        <f>ROUND(IF(IF($B260="高三",MIN(IF($E260="男",$Q260-3.2,$Q260-3.2),0),IF($B260="高二",MIN(IF($E260="男",$Q260-3.25,$Q260-3.22),0),IF($B260="高一",MIN(IF($E260="男",$Q260-3.3,$Q260-3.24),0))))&lt;-0.6,IF($B260="高三",MIN(IF($E260="男",$Q260-3.2,$Q260-3.2),0),IF($B260="高二",MIN(IF($E260="男",$Q260-3.25,$Q260-3.22),0),IF($B260="高一",MIN(IF($E260="男",$Q260-3.3,$Q260-3.24),0))))+0.4,IF($B260="高三",MIN(IF($E260="男",$Q260-3.2,$Q260-3.2),0),IF($B260="高二",MIN(IF($E260="男",$Q260-3.25,$Q260-3.22),0),IF($B260="高一",MIN(IF($E260="男",$Q260-3.3,$Q260-3.24),0))))),2)</f>
        <v>0</v>
      </c>
      <c r="T260" s="23">
        <f>IF(E260="男",LOOKUP($S260,[1]对照表!$AB$3:$AB$13,[1]对照表!$AC$3:$AC$13),LOOKUP($S260,[1]对照表!$AB$15:$AB$25,[1]对照表!$AC$15:$AC$25))</f>
        <v>0</v>
      </c>
      <c r="U260" s="26">
        <f>R260+T260</f>
        <v>78</v>
      </c>
      <c r="V260" s="26">
        <f>SUM(I260,K260,M260)/3*0.3+SUM(G260,R260)/2*0.4</f>
        <v>44.8</v>
      </c>
      <c r="W260" s="27">
        <f>O260+T260</f>
        <v>0</v>
      </c>
      <c r="X260" s="28">
        <f>V260/0.7+W260</f>
        <v>64</v>
      </c>
      <c r="Y260" s="28">
        <f>X260</f>
        <v>64</v>
      </c>
      <c r="Z260" s="38"/>
    </row>
    <row r="261" spans="1:26" ht="15.6" x14ac:dyDescent="0.25">
      <c r="A261" s="38">
        <v>32</v>
      </c>
      <c r="B261" s="17" t="s">
        <v>767</v>
      </c>
      <c r="C261" s="38">
        <v>205</v>
      </c>
      <c r="D261" s="49" t="s">
        <v>1412</v>
      </c>
      <c r="E261" s="48" t="s">
        <v>23</v>
      </c>
      <c r="F261" s="50">
        <v>7.6</v>
      </c>
      <c r="G261" s="32">
        <f>IF(B261="高三",IF($E261="男",LOOKUP(F261,[1]对照表!$G$3:$G$24,[1]对照表!$H$3:$H$24),LOOKUP(F261,[1]对照表!$G$27:$G$48,[1]对照表!$H$27:$H$48)),IF(B261="高二",IF($E261="男",LOOKUP(F261,[1]对照表!$F$3:$F$24,[1]对照表!$H$3:$H$24),LOOKUP(F261,[1]对照表!$F$27:$F$48,[1]对照表!$H$27:$H$48)),IF(B261="高一",IF($E261="男",LOOKUP(F261,[1]对照表!$E$3:$E$24,[1]对照表!$H$3:$H$24),LOOKUP(F261,[1]对照表!$E$27:$E$48,[1]对照表!$H$27:$H$48)))))</f>
        <v>78</v>
      </c>
      <c r="H261" s="38">
        <v>15</v>
      </c>
      <c r="I261" s="32">
        <f>IF(B261="高三",IF($E261="男",LOOKUP(H261,[1]对照表!$K$3:$K$24,[1]对照表!$L$3:$L$24),LOOKUP(H261,[1]对照表!$K$27:$K$48,[1]对照表!$L$27:$L$48)),IF(B261="高二",IF($E261="男",LOOKUP(H261,[1]对照表!$J$3:$J$24,[1]对照表!$L$3:$L$24),LOOKUP(H261,[1]对照表!$J$27:$J$48,[1]对照表!$L$27:$L$48)),IF(B261="高一",IF($E261="男",LOOKUP(H261,[1]对照表!$I$3:$I$24,[1]对照表!$L$3:$L$24),LOOKUP(H261,[1]对照表!$I$27:$I$48,[1]对照表!$L$27:$L$48)))))</f>
        <v>78</v>
      </c>
      <c r="J261" s="38">
        <v>208</v>
      </c>
      <c r="K261" s="32">
        <f>IF(B261="高三",IF($E261="男",LOOKUP(J261,[1]对照表!$O$3:$O$24,[1]对照表!$P$3:$P$24),LOOKUP(J261,[1]对照表!$O$27:$O$48,[1]对照表!$P$27:$P$48)),IF(B261="高二",IF($E261="男",LOOKUP(J261,[1]对照表!$N$3:$N$24,[1]对照表!$P$3:$P$24),LOOKUP(J261,[1]对照表!$N$27:$N$48,[1]对照表!$P$27:$P$48)),IF(B261="高一",IF($E261="男",LOOKUP(J261,[1]对照表!$M$3:$M$24,[1]对照表!$P$3:$P$24),LOOKUP(J261,[1]对照表!$M$27:$M$48,[1]对照表!$P$27:$P$48)))))</f>
        <v>64</v>
      </c>
      <c r="L261" s="38">
        <v>3</v>
      </c>
      <c r="M261" s="32">
        <f>IF(B261="高三",IF($E261="男",LOOKUP(L261,[1]对照表!$S$3:$S$24,[1]对照表!$T$3:$T$24),LOOKUP(L261,[1]对照表!$S$27:$S$48,[1]对照表!$T$27:$T$48)),IF(B261="高二",IF($E261="男",LOOKUP(L261,[1]对照表!$R$3:$R$24,[1]对照表!$T$3:$T$24),LOOKUP(L261,[1]对照表!$R$27:$R$48,[1]对照表!$T$27:$T$48)),IF(B261="高一",IF($E261="男",LOOKUP(L261,[1]对照表!$Q$3:$Q$24,[1]对照表!$T$3:$T$24),LOOKUP(L261,[1]对照表!$Q$27:$Q$48,[1]对照表!$T$27:$T$48)))))</f>
        <v>10</v>
      </c>
      <c r="N261" s="33">
        <f>IF(B261="高三",MAX(IF(E261="男",L261-18,L261-55),0),IF(B261="高二",MAX(IF(E261="男",L261-17,L261-54),0),IF(B261="高一",MAX(IF(E261="男",L261-16,L261-53),0))))</f>
        <v>0</v>
      </c>
      <c r="O261" s="23">
        <f>IF(E261="男",LOOKUP($N261,[1]对照表!$Z$3:$Z$13,[1]对照表!$AA$3:$AA$13),LOOKUP($N261,[1]对照表!$Z$15:$Z$25,[1]对照表!$AA$15:$AA$25))</f>
        <v>0</v>
      </c>
      <c r="P261" s="25">
        <f>M261+O261</f>
        <v>10</v>
      </c>
      <c r="Q261" s="50">
        <v>4.1100000000000003</v>
      </c>
      <c r="R261" s="32">
        <f>IF(B261="高三",IF($E261="男",LOOKUP(Q261,[1]对照表!$W$3:$W$24,[1]对照表!$X$3:$X$24),LOOKUP(Q261,[1]对照表!$W$27:$W$48,[1]对照表!$X$27:$X$48)),IF(B261="高二",IF($E261="男",LOOKUP(Q261,[1]对照表!$V$3:$V$24,[1]对照表!$X$3:$X$24),LOOKUP(Q261,[1]对照表!$V$27:$V$48,[1]对照表!$X$27:$X$48)),IF(B261="高一",IF($E261="男",LOOKUP(Q261,[1]对照表!$U$3:$U$24,[1]对照表!$X$3:$X$24),LOOKUP(Q261,[1]对照表!$U$27:$U$48,[1]对照表!$X$27:$X$48)))))</f>
        <v>70</v>
      </c>
      <c r="S261" s="33">
        <f>ROUND(IF(IF($B261="高三",MIN(IF($E261="男",$Q261-3.2,$Q261-3.2),0),IF($B261="高二",MIN(IF($E261="男",$Q261-3.25,$Q261-3.22),0),IF($B261="高一",MIN(IF($E261="男",$Q261-3.3,$Q261-3.24),0))))&lt;-0.6,IF($B261="高三",MIN(IF($E261="男",$Q261-3.2,$Q261-3.2),0),IF($B261="高二",MIN(IF($E261="男",$Q261-3.25,$Q261-3.22),0),IF($B261="高一",MIN(IF($E261="男",$Q261-3.3,$Q261-3.24),0))))+0.4,IF($B261="高三",MIN(IF($E261="男",$Q261-3.2,$Q261-3.2),0),IF($B261="高二",MIN(IF($E261="男",$Q261-3.25,$Q261-3.22),0),IF($B261="高一",MIN(IF($E261="男",$Q261-3.3,$Q261-3.24),0))))),2)</f>
        <v>0</v>
      </c>
      <c r="T261" s="23">
        <f>IF(E261="男",LOOKUP($S261,[1]对照表!$AB$3:$AB$13,[1]对照表!$AC$3:$AC$13),LOOKUP($S261,[1]对照表!$AB$15:$AB$25,[1]对照表!$AC$15:$AC$25))</f>
        <v>0</v>
      </c>
      <c r="U261" s="26">
        <f>R261+T261</f>
        <v>70</v>
      </c>
      <c r="V261" s="26">
        <f>SUM(I261,K261,M261)/3*0.3+SUM(G261,R261)/2*0.4</f>
        <v>44.8</v>
      </c>
      <c r="W261" s="27">
        <f>O261+T261</f>
        <v>0</v>
      </c>
      <c r="X261" s="28">
        <f>V261/0.7+W261</f>
        <v>64</v>
      </c>
      <c r="Y261" s="28">
        <f>X261</f>
        <v>64</v>
      </c>
      <c r="Z261" s="38"/>
    </row>
    <row r="262" spans="1:26" ht="15.6" x14ac:dyDescent="0.25">
      <c r="A262" s="48">
        <v>31</v>
      </c>
      <c r="B262" s="17" t="s">
        <v>767</v>
      </c>
      <c r="C262" s="38">
        <v>205</v>
      </c>
      <c r="D262" s="49" t="s">
        <v>1417</v>
      </c>
      <c r="E262" s="48" t="s">
        <v>23</v>
      </c>
      <c r="F262" s="50">
        <v>7.8</v>
      </c>
      <c r="G262" s="32">
        <f>IF(B262="高三",IF($E262="男",LOOKUP(F262,[1]对照表!$G$3:$G$24,[1]对照表!$H$3:$H$24),LOOKUP(F262,[1]对照表!$G$27:$G$48,[1]对照表!$H$27:$H$48)),IF(B262="高二",IF($E262="男",LOOKUP(F262,[1]对照表!$F$3:$F$24,[1]对照表!$H$3:$H$24),LOOKUP(F262,[1]对照表!$F$27:$F$48,[1]对照表!$H$27:$H$48)),IF(B262="高一",IF($E262="男",LOOKUP(F262,[1]对照表!$E$3:$E$24,[1]对照表!$H$3:$H$24),LOOKUP(F262,[1]对照表!$E$27:$E$48,[1]对照表!$H$27:$H$48)))))</f>
        <v>76</v>
      </c>
      <c r="H262" s="38">
        <v>12.1</v>
      </c>
      <c r="I262" s="32">
        <f>IF(B262="高三",IF($E262="男",LOOKUP(H262,[1]对照表!$K$3:$K$24,[1]对照表!$L$3:$L$24),LOOKUP(H262,[1]对照表!$K$27:$K$48,[1]对照表!$L$27:$L$48)),IF(B262="高二",IF($E262="男",LOOKUP(H262,[1]对照表!$J$3:$J$24,[1]对照表!$L$3:$L$24),LOOKUP(H262,[1]对照表!$J$27:$J$48,[1]对照表!$L$27:$L$48)),IF(B262="高一",IF($E262="男",LOOKUP(H262,[1]对照表!$I$3:$I$24,[1]对照表!$L$3:$L$24),LOOKUP(H262,[1]对照表!$I$27:$I$48,[1]对照表!$L$27:$L$48)))))</f>
        <v>74</v>
      </c>
      <c r="J262" s="38">
        <v>221</v>
      </c>
      <c r="K262" s="32">
        <f>IF(B262="高三",IF($E262="男",LOOKUP(J262,[1]对照表!$O$3:$O$24,[1]对照表!$P$3:$P$24),LOOKUP(J262,[1]对照表!$O$27:$O$48,[1]对照表!$P$27:$P$48)),IF(B262="高二",IF($E262="男",LOOKUP(J262,[1]对照表!$N$3:$N$24,[1]对照表!$P$3:$P$24),LOOKUP(J262,[1]对照表!$N$27:$N$48,[1]对照表!$P$27:$P$48)),IF(B262="高一",IF($E262="男",LOOKUP(J262,[1]对照表!$M$3:$M$24,[1]对照表!$P$3:$P$24),LOOKUP(J262,[1]对照表!$M$27:$M$48,[1]对照表!$P$27:$P$48)))))</f>
        <v>70</v>
      </c>
      <c r="L262" s="38">
        <v>1</v>
      </c>
      <c r="M262" s="32">
        <f>IF(B262="高三",IF($E262="男",LOOKUP(L262,[1]对照表!$S$3:$S$24,[1]对照表!$T$3:$T$24),LOOKUP(L262,[1]对照表!$S$27:$S$48,[1]对照表!$T$27:$T$48)),IF(B262="高二",IF($E262="男",LOOKUP(L262,[1]对照表!$R$3:$R$24,[1]对照表!$T$3:$T$24),LOOKUP(L262,[1]对照表!$R$27:$R$48,[1]对照表!$T$27:$T$48)),IF(B262="高一",IF($E262="男",LOOKUP(L262,[1]对照表!$Q$3:$Q$24,[1]对照表!$T$3:$T$24),LOOKUP(L262,[1]对照表!$Q$27:$Q$48,[1]对照表!$T$27:$T$48)))))</f>
        <v>0</v>
      </c>
      <c r="N262" s="33">
        <f>IF(B262="高三",MAX(IF(E262="男",L262-18,L262-55),0),IF(B262="高二",MAX(IF(E262="男",L262-17,L262-54),0),IF(B262="高一",MAX(IF(E262="男",L262-16,L262-53),0))))</f>
        <v>0</v>
      </c>
      <c r="O262" s="23">
        <f>IF(E262="男",LOOKUP($N262,[1]对照表!$Z$3:$Z$13,[1]对照表!$AA$3:$AA$13),LOOKUP($N262,[1]对照表!$Z$15:$Z$25,[1]对照表!$AA$15:$AA$25))</f>
        <v>0</v>
      </c>
      <c r="P262" s="25">
        <f>M262+O262</f>
        <v>0</v>
      </c>
      <c r="Q262" s="50">
        <v>4.09</v>
      </c>
      <c r="R262" s="32">
        <f>IF(B262="高三",IF($E262="男",LOOKUP(Q262,[1]对照表!$W$3:$W$24,[1]对照表!$X$3:$X$24),LOOKUP(Q262,[1]对照表!$W$27:$W$48,[1]对照表!$X$27:$X$48)),IF(B262="高二",IF($E262="男",LOOKUP(Q262,[1]对照表!$V$3:$V$24,[1]对照表!$X$3:$X$24),LOOKUP(Q262,[1]对照表!$V$27:$V$48,[1]对照表!$X$27:$X$48)),IF(B262="高一",IF($E262="男",LOOKUP(Q262,[1]对照表!$U$3:$U$24,[1]对照表!$X$3:$X$24),LOOKUP(Q262,[1]对照表!$U$27:$U$48,[1]对照表!$X$27:$X$48)))))</f>
        <v>72</v>
      </c>
      <c r="S262" s="33">
        <f>ROUND(IF(IF($B262="高三",MIN(IF($E262="男",$Q262-3.2,$Q262-3.2),0),IF($B262="高二",MIN(IF($E262="男",$Q262-3.25,$Q262-3.22),0),IF($B262="高一",MIN(IF($E262="男",$Q262-3.3,$Q262-3.24),0))))&lt;-0.6,IF($B262="高三",MIN(IF($E262="男",$Q262-3.2,$Q262-3.2),0),IF($B262="高二",MIN(IF($E262="男",$Q262-3.25,$Q262-3.22),0),IF($B262="高一",MIN(IF($E262="男",$Q262-3.3,$Q262-3.24),0))))+0.4,IF($B262="高三",MIN(IF($E262="男",$Q262-3.2,$Q262-3.2),0),IF($B262="高二",MIN(IF($E262="男",$Q262-3.25,$Q262-3.22),0),IF($B262="高一",MIN(IF($E262="男",$Q262-3.3,$Q262-3.24),0))))),2)</f>
        <v>0</v>
      </c>
      <c r="T262" s="23">
        <f>IF(E262="男",LOOKUP($S262,[1]对照表!$AB$3:$AB$13,[1]对照表!$AC$3:$AC$13),LOOKUP($S262,[1]对照表!$AB$15:$AB$25,[1]对照表!$AC$15:$AC$25))</f>
        <v>0</v>
      </c>
      <c r="U262" s="26">
        <f>R262+T262</f>
        <v>72</v>
      </c>
      <c r="V262" s="26">
        <f>SUM(I262,K262,M262)/3*0.3+SUM(G262,R262)/2*0.4</f>
        <v>44</v>
      </c>
      <c r="W262" s="27">
        <f>O262+T262</f>
        <v>0</v>
      </c>
      <c r="X262" s="28">
        <f>V262/0.7+W262</f>
        <v>62.857142857142861</v>
      </c>
      <c r="Y262" s="28">
        <f>X262</f>
        <v>62.857142857142861</v>
      </c>
      <c r="Z262" s="38"/>
    </row>
    <row r="263" spans="1:26" ht="15.6" x14ac:dyDescent="0.25">
      <c r="A263" s="48">
        <v>13</v>
      </c>
      <c r="B263" s="17" t="s">
        <v>767</v>
      </c>
      <c r="C263" s="38">
        <v>205</v>
      </c>
      <c r="D263" s="49" t="s">
        <v>1420</v>
      </c>
      <c r="E263" s="48" t="s">
        <v>23</v>
      </c>
      <c r="F263" s="50">
        <v>7.7</v>
      </c>
      <c r="G263" s="32">
        <f>IF(B263="高三",IF($E263="男",LOOKUP(F263,[1]对照表!$G$3:$G$24,[1]对照表!$H$3:$H$24),LOOKUP(F263,[1]对照表!$G$27:$G$48,[1]对照表!$H$27:$H$48)),IF(B263="高二",IF($E263="男",LOOKUP(F263,[1]对照表!$F$3:$F$24,[1]对照表!$H$3:$H$24),LOOKUP(F263,[1]对照表!$F$27:$F$48,[1]对照表!$H$27:$H$48)),IF(B263="高一",IF($E263="男",LOOKUP(F263,[1]对照表!$E$3:$E$24,[1]对照表!$H$3:$H$24),LOOKUP(F263,[1]对照表!$E$27:$E$48,[1]对照表!$H$27:$H$48)))))</f>
        <v>76</v>
      </c>
      <c r="H263" s="38">
        <v>23</v>
      </c>
      <c r="I263" s="32">
        <f>IF(B263="高三",IF($E263="男",LOOKUP(H263,[1]对照表!$K$3:$K$24,[1]对照表!$L$3:$L$24),LOOKUP(H263,[1]对照表!$K$27:$K$48,[1]对照表!$L$27:$L$48)),IF(B263="高二",IF($E263="男",LOOKUP(H263,[1]对照表!$J$3:$J$24,[1]对照表!$L$3:$L$24),LOOKUP(H263,[1]对照表!$J$27:$J$48,[1]对照表!$L$27:$L$48)),IF(B263="高一",IF($E263="男",LOOKUP(H263,[1]对照表!$I$3:$I$24,[1]对照表!$L$3:$L$24),LOOKUP(H263,[1]对照表!$I$27:$I$48,[1]对照表!$L$27:$L$48)))))</f>
        <v>95</v>
      </c>
      <c r="J263" s="38">
        <v>200</v>
      </c>
      <c r="K263" s="32">
        <f>IF(B263="高三",IF($E263="男",LOOKUP(J263,[1]对照表!$O$3:$O$24,[1]对照表!$P$3:$P$24),LOOKUP(J263,[1]对照表!$O$27:$O$48,[1]对照表!$P$27:$P$48)),IF(B263="高二",IF($E263="男",LOOKUP(J263,[1]对照表!$N$3:$N$24,[1]对照表!$P$3:$P$24),LOOKUP(J263,[1]对照表!$N$27:$N$48,[1]对照表!$P$27:$P$48)),IF(B263="高一",IF($E263="男",LOOKUP(J263,[1]对照表!$M$3:$M$24,[1]对照表!$P$3:$P$24),LOOKUP(J263,[1]对照表!$M$27:$M$48,[1]对照表!$P$27:$P$48)))))</f>
        <v>60</v>
      </c>
      <c r="L263" s="38">
        <v>0</v>
      </c>
      <c r="M263" s="32">
        <f>IF(B263="高三",IF($E263="男",LOOKUP(L263,[1]对照表!$S$3:$S$24,[1]对照表!$T$3:$T$24),LOOKUP(L263,[1]对照表!$S$27:$S$48,[1]对照表!$T$27:$T$48)),IF(B263="高二",IF($E263="男",LOOKUP(L263,[1]对照表!$R$3:$R$24,[1]对照表!$T$3:$T$24),LOOKUP(L263,[1]对照表!$R$27:$R$48,[1]对照表!$T$27:$T$48)),IF(B263="高一",IF($E263="男",LOOKUP(L263,[1]对照表!$Q$3:$Q$24,[1]对照表!$T$3:$T$24),LOOKUP(L263,[1]对照表!$Q$27:$Q$48,[1]对照表!$T$27:$T$48)))))</f>
        <v>0</v>
      </c>
      <c r="N263" s="33">
        <f>IF(B263="高三",MAX(IF(E263="男",L263-18,L263-55),0),IF(B263="高二",MAX(IF(E263="男",L263-17,L263-54),0),IF(B263="高一",MAX(IF(E263="男",L263-16,L263-53),0))))</f>
        <v>0</v>
      </c>
      <c r="O263" s="23">
        <f>IF(E263="男",LOOKUP($N263,[1]对照表!$Z$3:$Z$13,[1]对照表!$AA$3:$AA$13),LOOKUP($N263,[1]对照表!$Z$15:$Z$25,[1]对照表!$AA$15:$AA$25))</f>
        <v>0</v>
      </c>
      <c r="P263" s="25">
        <f>M263+O263</f>
        <v>0</v>
      </c>
      <c r="Q263" s="38">
        <v>4.24</v>
      </c>
      <c r="R263" s="32">
        <f>IF(B263="高三",IF($E263="男",LOOKUP(Q263,[1]对照表!$W$3:$W$24,[1]对照表!$X$3:$X$24),LOOKUP(Q263,[1]对照表!$W$27:$W$48,[1]对照表!$X$27:$X$48)),IF(B263="高二",IF($E263="男",LOOKUP(Q263,[1]对照表!$V$3:$V$24,[1]对照表!$X$3:$X$24),LOOKUP(Q263,[1]对照表!$V$27:$V$48,[1]对照表!$X$27:$X$48)),IF(B263="高一",IF($E263="男",LOOKUP(Q263,[1]对照表!$U$3:$U$24,[1]对照表!$X$3:$X$24),LOOKUP(Q263,[1]对照表!$U$27:$U$48,[1]对照表!$X$27:$X$48)))))</f>
        <v>66</v>
      </c>
      <c r="S263" s="27">
        <f>ROUND(IF(IF($B263="高三",MIN(IF($E263="男",$Q263-3.2,$Q263-3.2),0),IF($B263="高二",MIN(IF($E263="男",$Q263-3.25,$Q263-3.22),0),IF($B263="高一",MIN(IF($E263="男",$Q263-3.3,$Q263-3.24),0))))&lt;-0.6,IF($B263="高三",MIN(IF($E263="男",$Q263-3.2,$Q263-3.2),0),IF($B263="高二",MIN(IF($E263="男",$Q263-3.25,$Q263-3.22),0),IF($B263="高一",MIN(IF($E263="男",$Q263-3.3,$Q263-3.24),0))))+0.4,IF($B263="高三",MIN(IF($E263="男",$Q263-3.2,$Q263-3.2),0),IF($B263="高二",MIN(IF($E263="男",$Q263-3.25,$Q263-3.22),0),IF($B263="高一",MIN(IF($E263="男",$Q263-3.3,$Q263-3.24),0))))),2)</f>
        <v>0</v>
      </c>
      <c r="T263" s="23">
        <f>IF(E263="男",LOOKUP($S263,[1]对照表!$AB$3:$AB$13,[1]对照表!$AC$3:$AC$13),LOOKUP($S263,[1]对照表!$AB$15:$AB$25,[1]对照表!$AC$15:$AC$25))</f>
        <v>0</v>
      </c>
      <c r="U263" s="26">
        <f>R263+T263</f>
        <v>66</v>
      </c>
      <c r="V263" s="26">
        <f>SUM(I263,K263,M263)/3*0.3+SUM(G263,R263)/2*0.4</f>
        <v>43.9</v>
      </c>
      <c r="W263" s="27">
        <f>O263+T263</f>
        <v>0</v>
      </c>
      <c r="X263" s="28">
        <f>V263/0.7+W263</f>
        <v>62.714285714285715</v>
      </c>
      <c r="Y263" s="28">
        <f>X263</f>
        <v>62.714285714285715</v>
      </c>
      <c r="Z263" s="21"/>
    </row>
    <row r="264" spans="1:26" ht="15.6" customHeight="1" x14ac:dyDescent="0.25">
      <c r="A264" s="48">
        <v>7</v>
      </c>
      <c r="B264" s="17" t="s">
        <v>767</v>
      </c>
      <c r="C264" s="38">
        <v>205</v>
      </c>
      <c r="D264" s="49" t="s">
        <v>1423</v>
      </c>
      <c r="E264" s="48" t="s">
        <v>23</v>
      </c>
      <c r="F264" s="50">
        <v>7.1</v>
      </c>
      <c r="G264" s="32">
        <f>IF(B264="高三",IF($E264="男",LOOKUP(F264,[1]对照表!$G$3:$G$24,[1]对照表!$H$3:$H$24),LOOKUP(F264,[1]对照表!$G$27:$G$48,[1]对照表!$H$27:$H$48)),IF(B264="高二",IF($E264="男",LOOKUP(F264,[1]对照表!$F$3:$F$24,[1]对照表!$H$3:$H$24),LOOKUP(F264,[1]对照表!$F$27:$F$48,[1]对照表!$H$27:$H$48)),IF(B264="高一",IF($E264="男",LOOKUP(F264,[1]对照表!$E$3:$E$24,[1]对照表!$H$3:$H$24),LOOKUP(F264,[1]对照表!$E$27:$E$48,[1]对照表!$H$27:$H$48)))))</f>
        <v>95</v>
      </c>
      <c r="H264" s="38">
        <v>-10.9</v>
      </c>
      <c r="I264" s="32">
        <f>IF(B264="高三",IF($E264="男",LOOKUP(H264,[1]对照表!$K$3:$K$24,[1]对照表!$L$3:$L$24),LOOKUP(H264,[1]对照表!$K$27:$K$48,[1]对照表!$L$27:$L$48)),IF(B264="高二",IF($E264="男",LOOKUP(H264,[1]对照表!$J$3:$J$24,[1]对照表!$L$3:$L$24),LOOKUP(H264,[1]对照表!$J$27:$J$48,[1]对照表!$L$27:$L$48)),IF(B264="高一",IF($E264="男",LOOKUP(H264,[1]对照表!$I$3:$I$24,[1]对照表!$L$3:$L$24),LOOKUP(H264,[1]对照表!$I$27:$I$48,[1]对照表!$L$27:$L$48)))))</f>
        <v>0</v>
      </c>
      <c r="J264" s="38">
        <v>226</v>
      </c>
      <c r="K264" s="32">
        <f>IF(B264="高三",IF($E264="男",LOOKUP(J264,[1]对照表!$O$3:$O$24,[1]对照表!$P$3:$P$24),LOOKUP(J264,[1]对照表!$O$27:$O$48,[1]对照表!$P$27:$P$48)),IF(B264="高二",IF($E264="男",LOOKUP(J264,[1]对照表!$N$3:$N$24,[1]对照表!$P$3:$P$24),LOOKUP(J264,[1]对照表!$N$27:$N$48,[1]对照表!$P$27:$P$48)),IF(B264="高一",IF($E264="男",LOOKUP(J264,[1]对照表!$M$3:$M$24,[1]对照表!$P$3:$P$24),LOOKUP(J264,[1]对照表!$M$27:$M$48,[1]对照表!$P$27:$P$48)))))</f>
        <v>72</v>
      </c>
      <c r="L264" s="38">
        <v>3</v>
      </c>
      <c r="M264" s="32">
        <f>IF(B264="高三",IF($E264="男",LOOKUP(L264,[1]对照表!$S$3:$S$24,[1]对照表!$T$3:$T$24),LOOKUP(L264,[1]对照表!$S$27:$S$48,[1]对照表!$T$27:$T$48)),IF(B264="高二",IF($E264="男",LOOKUP(L264,[1]对照表!$R$3:$R$24,[1]对照表!$T$3:$T$24),LOOKUP(L264,[1]对照表!$R$27:$R$48,[1]对照表!$T$27:$T$48)),IF(B264="高一",IF($E264="男",LOOKUP(L264,[1]对照表!$Q$3:$Q$24,[1]对照表!$T$3:$T$24),LOOKUP(L264,[1]对照表!$Q$27:$Q$48,[1]对照表!$T$27:$T$48)))))</f>
        <v>10</v>
      </c>
      <c r="N264" s="33">
        <f>IF(B264="高三",MAX(IF(E264="男",L264-18,L264-55),0),IF(B264="高二",MAX(IF(E264="男",L264-17,L264-54),0),IF(B264="高一",MAX(IF(E264="男",L264-16,L264-53),0))))</f>
        <v>0</v>
      </c>
      <c r="O264" s="23">
        <f>IF(E264="男",LOOKUP($N264,[1]对照表!$Z$3:$Z$13,[1]对照表!$AA$3:$AA$13),LOOKUP($N264,[1]对照表!$Z$15:$Z$25,[1]对照表!$AA$15:$AA$25))</f>
        <v>0</v>
      </c>
      <c r="P264" s="25">
        <f>M264+O264</f>
        <v>10</v>
      </c>
      <c r="Q264" s="50">
        <v>3.44</v>
      </c>
      <c r="R264" s="32">
        <f>IF(B264="高三",IF($E264="男",LOOKUP(Q264,[1]对照表!$W$3:$W$24,[1]对照表!$X$3:$X$24),LOOKUP(Q264,[1]对照表!$W$27:$W$48,[1]对照表!$X$27:$X$48)),IF(B264="高二",IF($E264="男",LOOKUP(Q264,[1]对照表!$V$3:$V$24,[1]对照表!$X$3:$X$24),LOOKUP(Q264,[1]对照表!$V$27:$V$48,[1]对照表!$X$27:$X$48)),IF(B264="高一",IF($E264="男",LOOKUP(Q264,[1]对照表!$U$3:$U$24,[1]对照表!$X$3:$X$24),LOOKUP(Q264,[1]对照表!$U$27:$U$48,[1]对照表!$X$27:$X$48)))))</f>
        <v>80</v>
      </c>
      <c r="S264" s="33">
        <f>ROUND(IF(IF($B264="高三",MIN(IF($E264="男",$Q264-3.2,$Q264-3.2),0),IF($B264="高二",MIN(IF($E264="男",$Q264-3.25,$Q264-3.22),0),IF($B264="高一",MIN(IF($E264="男",$Q264-3.3,$Q264-3.24),0))))&lt;-0.6,IF($B264="高三",MIN(IF($E264="男",$Q264-3.2,$Q264-3.2),0),IF($B264="高二",MIN(IF($E264="男",$Q264-3.25,$Q264-3.22),0),IF($B264="高一",MIN(IF($E264="男",$Q264-3.3,$Q264-3.24),0))))+0.4,IF($B264="高三",MIN(IF($E264="男",$Q264-3.2,$Q264-3.2),0),IF($B264="高二",MIN(IF($E264="男",$Q264-3.25,$Q264-3.22),0),IF($B264="高一",MIN(IF($E264="男",$Q264-3.3,$Q264-3.24),0))))),2)</f>
        <v>0</v>
      </c>
      <c r="T264" s="23">
        <f>IF(E264="男",LOOKUP($S264,[1]对照表!$AB$3:$AB$13,[1]对照表!$AC$3:$AC$13),LOOKUP($S264,[1]对照表!$AB$15:$AB$25,[1]对照表!$AC$15:$AC$25))</f>
        <v>0</v>
      </c>
      <c r="U264" s="26">
        <f>R264+T264</f>
        <v>80</v>
      </c>
      <c r="V264" s="26">
        <f>SUM(I264,K264,M264)/3*0.3+SUM(G264,R264)/2*0.4</f>
        <v>43.2</v>
      </c>
      <c r="W264" s="27">
        <f>O264+T264</f>
        <v>0</v>
      </c>
      <c r="X264" s="28">
        <f>V264/0.7+W264</f>
        <v>61.714285714285722</v>
      </c>
      <c r="Y264" s="28">
        <f>X264</f>
        <v>61.714285714285722</v>
      </c>
      <c r="Z264" s="38"/>
    </row>
    <row r="265" spans="1:26" ht="15.6" x14ac:dyDescent="0.25">
      <c r="A265" s="48">
        <v>24</v>
      </c>
      <c r="B265" s="17" t="s">
        <v>767</v>
      </c>
      <c r="C265" s="38">
        <v>205</v>
      </c>
      <c r="D265" s="49" t="s">
        <v>1424</v>
      </c>
      <c r="E265" s="48" t="s">
        <v>23</v>
      </c>
      <c r="F265" s="50">
        <v>8.1999999999999993</v>
      </c>
      <c r="G265" s="32">
        <f>IF(B265="高三",IF($E265="男",LOOKUP(F265,[1]对照表!$G$3:$G$24,[1]对照表!$H$3:$H$24),LOOKUP(F265,[1]对照表!$G$27:$G$48,[1]对照表!$H$27:$H$48)),IF(B265="高二",IF($E265="男",LOOKUP(F265,[1]对照表!$F$3:$F$24,[1]对照表!$H$3:$H$24),LOOKUP(F265,[1]对照表!$F$27:$F$48,[1]对照表!$H$27:$H$48)),IF(B265="高一",IF($E265="男",LOOKUP(F265,[1]对照表!$E$3:$E$24,[1]对照表!$H$3:$H$24),LOOKUP(F265,[1]对照表!$E$27:$E$48,[1]对照表!$H$27:$H$48)))))</f>
        <v>72</v>
      </c>
      <c r="H265" s="38">
        <v>4.5</v>
      </c>
      <c r="I265" s="32">
        <f>IF(B265="高三",IF($E265="男",LOOKUP(H265,[1]对照表!$K$3:$K$24,[1]对照表!$L$3:$L$24),LOOKUP(H265,[1]对照表!$K$27:$K$48,[1]对照表!$L$27:$L$48)),IF(B265="高二",IF($E265="男",LOOKUP(H265,[1]对照表!$J$3:$J$24,[1]对照表!$L$3:$L$24),LOOKUP(H265,[1]对照表!$J$27:$J$48,[1]对照表!$L$27:$L$48)),IF(B265="高一",IF($E265="男",LOOKUP(H265,[1]对照表!$I$3:$I$24,[1]对照表!$L$3:$L$24),LOOKUP(H265,[1]对照表!$I$27:$I$48,[1]对照表!$L$27:$L$48)))))</f>
        <v>62</v>
      </c>
      <c r="J265" s="38">
        <v>211</v>
      </c>
      <c r="K265" s="32">
        <f>IF(B265="高三",IF($E265="男",LOOKUP(J265,[1]对照表!$O$3:$O$24,[1]对照表!$P$3:$P$24),LOOKUP(J265,[1]对照表!$O$27:$O$48,[1]对照表!$P$27:$P$48)),IF(B265="高二",IF($E265="男",LOOKUP(J265,[1]对照表!$N$3:$N$24,[1]对照表!$P$3:$P$24),LOOKUP(J265,[1]对照表!$N$27:$N$48,[1]对照表!$P$27:$P$48)),IF(B265="高一",IF($E265="男",LOOKUP(J265,[1]对照表!$M$3:$M$24,[1]对照表!$P$3:$P$24),LOOKUP(J265,[1]对照表!$M$27:$M$48,[1]对照表!$P$27:$P$48)))))</f>
        <v>64</v>
      </c>
      <c r="L265" s="38">
        <v>0</v>
      </c>
      <c r="M265" s="32">
        <f>IF(B265="高三",IF($E265="男",LOOKUP(L265,[1]对照表!$S$3:$S$24,[1]对照表!$T$3:$T$24),LOOKUP(L265,[1]对照表!$S$27:$S$48,[1]对照表!$T$27:$T$48)),IF(B265="高二",IF($E265="男",LOOKUP(L265,[1]对照表!$R$3:$R$24,[1]对照表!$T$3:$T$24),LOOKUP(L265,[1]对照表!$R$27:$R$48,[1]对照表!$T$27:$T$48)),IF(B265="高一",IF($E265="男",LOOKUP(L265,[1]对照表!$Q$3:$Q$24,[1]对照表!$T$3:$T$24),LOOKUP(L265,[1]对照表!$Q$27:$Q$48,[1]对照表!$T$27:$T$48)))))</f>
        <v>0</v>
      </c>
      <c r="N265" s="33">
        <f>IF(B265="高三",MAX(IF(E265="男",L265-18,L265-55),0),IF(B265="高二",MAX(IF(E265="男",L265-17,L265-54),0),IF(B265="高一",MAX(IF(E265="男",L265-16,L265-53),0))))</f>
        <v>0</v>
      </c>
      <c r="O265" s="23">
        <f>IF(E265="男",LOOKUP($N265,[1]对照表!$Z$3:$Z$13,[1]对照表!$AA$3:$AA$13),LOOKUP($N265,[1]对照表!$Z$15:$Z$25,[1]对照表!$AA$15:$AA$25))</f>
        <v>0</v>
      </c>
      <c r="P265" s="25">
        <f>M265+O265</f>
        <v>0</v>
      </c>
      <c r="Q265" s="50">
        <v>3.47</v>
      </c>
      <c r="R265" s="32">
        <f>IF(B265="高三",IF($E265="男",LOOKUP(Q265,[1]对照表!$W$3:$W$24,[1]对照表!$X$3:$X$24),LOOKUP(Q265,[1]对照表!$W$27:$W$48,[1]对照表!$X$27:$X$48)),IF(B265="高二",IF($E265="男",LOOKUP(Q265,[1]对照表!$V$3:$V$24,[1]对照表!$X$3:$X$24),LOOKUP(Q265,[1]对照表!$V$27:$V$48,[1]对照表!$X$27:$X$48)),IF(B265="高一",IF($E265="男",LOOKUP(Q265,[1]对照表!$U$3:$U$24,[1]对照表!$X$3:$X$24),LOOKUP(Q265,[1]对照表!$U$27:$U$48,[1]对照表!$X$27:$X$48)))))</f>
        <v>80</v>
      </c>
      <c r="S265" s="33">
        <f>ROUND(IF(IF($B265="高三",MIN(IF($E265="男",$Q265-3.2,$Q265-3.2),0),IF($B265="高二",MIN(IF($E265="男",$Q265-3.25,$Q265-3.22),0),IF($B265="高一",MIN(IF($E265="男",$Q265-3.3,$Q265-3.24),0))))&lt;-0.6,IF($B265="高三",MIN(IF($E265="男",$Q265-3.2,$Q265-3.2),0),IF($B265="高二",MIN(IF($E265="男",$Q265-3.25,$Q265-3.22),0),IF($B265="高一",MIN(IF($E265="男",$Q265-3.3,$Q265-3.24),0))))+0.4,IF($B265="高三",MIN(IF($E265="男",$Q265-3.2,$Q265-3.2),0),IF($B265="高二",MIN(IF($E265="男",$Q265-3.25,$Q265-3.22),0),IF($B265="高一",MIN(IF($E265="男",$Q265-3.3,$Q265-3.24),0))))),2)</f>
        <v>0</v>
      </c>
      <c r="T265" s="23">
        <f>IF(E265="男",LOOKUP($S265,[1]对照表!$AB$3:$AB$13,[1]对照表!$AC$3:$AC$13),LOOKUP($S265,[1]对照表!$AB$15:$AB$25,[1]对照表!$AC$15:$AC$25))</f>
        <v>0</v>
      </c>
      <c r="U265" s="26">
        <f>R265+T265</f>
        <v>80</v>
      </c>
      <c r="V265" s="26">
        <f>SUM(I265,K265,M265)/3*0.3+SUM(G265,R265)/2*0.4</f>
        <v>43</v>
      </c>
      <c r="W265" s="27">
        <f>O265+T265</f>
        <v>0</v>
      </c>
      <c r="X265" s="28">
        <f>V265/0.7+W265</f>
        <v>61.428571428571431</v>
      </c>
      <c r="Y265" s="28">
        <f>X265</f>
        <v>61.428571428571431</v>
      </c>
      <c r="Z265" s="38"/>
    </row>
    <row r="266" spans="1:26" ht="15.6" x14ac:dyDescent="0.25">
      <c r="A266" s="48">
        <v>29</v>
      </c>
      <c r="B266" s="17" t="s">
        <v>767</v>
      </c>
      <c r="C266" s="38">
        <v>205</v>
      </c>
      <c r="D266" s="49" t="s">
        <v>1428</v>
      </c>
      <c r="E266" s="48" t="s">
        <v>23</v>
      </c>
      <c r="F266" s="50">
        <v>8.1</v>
      </c>
      <c r="G266" s="32">
        <f>IF(B266="高三",IF($E266="男",LOOKUP(F266,[1]对照表!$G$3:$G$24,[1]对照表!$H$3:$H$24),LOOKUP(F266,[1]对照表!$G$27:$G$48,[1]对照表!$H$27:$H$48)),IF(B266="高二",IF($E266="男",LOOKUP(F266,[1]对照表!$F$3:$F$24,[1]对照表!$H$3:$H$24),LOOKUP(F266,[1]对照表!$F$27:$F$48,[1]对照表!$H$27:$H$48)),IF(B266="高一",IF($E266="男",LOOKUP(F266,[1]对照表!$E$3:$E$24,[1]对照表!$H$3:$H$24),LOOKUP(F266,[1]对照表!$E$27:$E$48,[1]对照表!$H$27:$H$48)))))</f>
        <v>72</v>
      </c>
      <c r="H266" s="38">
        <v>21.6</v>
      </c>
      <c r="I266" s="32">
        <f>IF(B266="高三",IF($E266="男",LOOKUP(H266,[1]对照表!$K$3:$K$24,[1]对照表!$L$3:$L$24),LOOKUP(H266,[1]对照表!$K$27:$K$48,[1]对照表!$L$27:$L$48)),IF(B266="高二",IF($E266="男",LOOKUP(H266,[1]对照表!$J$3:$J$24,[1]对照表!$L$3:$L$24),LOOKUP(H266,[1]对照表!$J$27:$J$48,[1]对照表!$L$27:$L$48)),IF(B266="高一",IF($E266="男",LOOKUP(H266,[1]对照表!$I$3:$I$24,[1]对照表!$L$3:$L$24),LOOKUP(H266,[1]对照表!$I$27:$I$48,[1]对照表!$L$27:$L$48)))))</f>
        <v>90</v>
      </c>
      <c r="J266" s="38">
        <v>202</v>
      </c>
      <c r="K266" s="32">
        <f>IF(B266="高三",IF($E266="男",LOOKUP(J266,[1]对照表!$O$3:$O$24,[1]对照表!$P$3:$P$24),LOOKUP(J266,[1]对照表!$O$27:$O$48,[1]对照表!$P$27:$P$48)),IF(B266="高二",IF($E266="男",LOOKUP(J266,[1]对照表!$N$3:$N$24,[1]对照表!$P$3:$P$24),LOOKUP(J266,[1]对照表!$N$27:$N$48,[1]对照表!$P$27:$P$48)),IF(B266="高一",IF($E266="男",LOOKUP(J266,[1]对照表!$M$3:$M$24,[1]对照表!$P$3:$P$24),LOOKUP(J266,[1]对照表!$M$27:$M$48,[1]对照表!$P$27:$P$48)))))</f>
        <v>60</v>
      </c>
      <c r="L266" s="38">
        <v>0</v>
      </c>
      <c r="M266" s="32">
        <f>IF(B266="高三",IF($E266="男",LOOKUP(L266,[1]对照表!$S$3:$S$24,[1]对照表!$T$3:$T$24),LOOKUP(L266,[1]对照表!$S$27:$S$48,[1]对照表!$T$27:$T$48)),IF(B266="高二",IF($E266="男",LOOKUP(L266,[1]对照表!$R$3:$R$24,[1]对照表!$T$3:$T$24),LOOKUP(L266,[1]对照表!$R$27:$R$48,[1]对照表!$T$27:$T$48)),IF(B266="高一",IF($E266="男",LOOKUP(L266,[1]对照表!$Q$3:$Q$24,[1]对照表!$T$3:$T$24),LOOKUP(L266,[1]对照表!$Q$27:$Q$48,[1]对照表!$T$27:$T$48)))))</f>
        <v>0</v>
      </c>
      <c r="N266" s="33">
        <f>IF(B266="高三",MAX(IF(E266="男",L266-18,L266-55),0),IF(B266="高二",MAX(IF(E266="男",L266-17,L266-54),0),IF(B266="高一",MAX(IF(E266="男",L266-16,L266-53),0))))</f>
        <v>0</v>
      </c>
      <c r="O266" s="23">
        <f>IF(E266="男",LOOKUP($N266,[1]对照表!$Z$3:$Z$13,[1]对照表!$AA$3:$AA$13),LOOKUP($N266,[1]对照表!$Z$15:$Z$25,[1]对照表!$AA$15:$AA$25))</f>
        <v>0</v>
      </c>
      <c r="P266" s="25">
        <f>M266+O266</f>
        <v>0</v>
      </c>
      <c r="Q266" s="50">
        <v>4.25</v>
      </c>
      <c r="R266" s="32">
        <f>IF(B266="高三",IF($E266="男",LOOKUP(Q266,[1]对照表!$W$3:$W$24,[1]对照表!$X$3:$X$24),LOOKUP(Q266,[1]对照表!$W$27:$W$48,[1]对照表!$X$27:$X$48)),IF(B266="高二",IF($E266="男",LOOKUP(Q266,[1]对照表!$V$3:$V$24,[1]对照表!$X$3:$X$24),LOOKUP(Q266,[1]对照表!$V$27:$V$48,[1]对照表!$X$27:$X$48)),IF(B266="高一",IF($E266="男",LOOKUP(Q266,[1]对照表!$U$3:$U$24,[1]对照表!$X$3:$X$24),LOOKUP(Q266,[1]对照表!$U$27:$U$48,[1]对照表!$X$27:$X$48)))))</f>
        <v>66</v>
      </c>
      <c r="S266" s="33">
        <f>ROUND(IF(IF($B266="高三",MIN(IF($E266="男",$Q266-3.2,$Q266-3.2),0),IF($B266="高二",MIN(IF($E266="男",$Q266-3.25,$Q266-3.22),0),IF($B266="高一",MIN(IF($E266="男",$Q266-3.3,$Q266-3.24),0))))&lt;-0.6,IF($B266="高三",MIN(IF($E266="男",$Q266-3.2,$Q266-3.2),0),IF($B266="高二",MIN(IF($E266="男",$Q266-3.25,$Q266-3.22),0),IF($B266="高一",MIN(IF($E266="男",$Q266-3.3,$Q266-3.24),0))))+0.4,IF($B266="高三",MIN(IF($E266="男",$Q266-3.2,$Q266-3.2),0),IF($B266="高二",MIN(IF($E266="男",$Q266-3.25,$Q266-3.22),0),IF($B266="高一",MIN(IF($E266="男",$Q266-3.3,$Q266-3.24),0))))),2)</f>
        <v>0</v>
      </c>
      <c r="T266" s="23">
        <f>IF(E266="男",LOOKUP($S266,[1]对照表!$AB$3:$AB$13,[1]对照表!$AC$3:$AC$13),LOOKUP($S266,[1]对照表!$AB$15:$AB$25,[1]对照表!$AC$15:$AC$25))</f>
        <v>0</v>
      </c>
      <c r="U266" s="26">
        <f>R266+T266</f>
        <v>66</v>
      </c>
      <c r="V266" s="26">
        <f>SUM(I266,K266,M266)/3*0.3+SUM(G266,R266)/2*0.4</f>
        <v>42.6</v>
      </c>
      <c r="W266" s="27">
        <f>O266+T266</f>
        <v>0</v>
      </c>
      <c r="X266" s="28">
        <f>V266/0.7+W266</f>
        <v>60.857142857142861</v>
      </c>
      <c r="Y266" s="28">
        <f>X266</f>
        <v>60.857142857142861</v>
      </c>
      <c r="Z266" s="38"/>
    </row>
    <row r="267" spans="1:26" ht="15.6" x14ac:dyDescent="0.25">
      <c r="A267" s="38">
        <v>9</v>
      </c>
      <c r="B267" s="17" t="s">
        <v>767</v>
      </c>
      <c r="C267" s="38">
        <v>205</v>
      </c>
      <c r="D267" s="49" t="s">
        <v>1439</v>
      </c>
      <c r="E267" s="48" t="s">
        <v>23</v>
      </c>
      <c r="F267" s="50">
        <v>8.5</v>
      </c>
      <c r="G267" s="32">
        <f>IF(B267="高三",IF($E267="男",LOOKUP(F267,[1]对照表!$G$3:$G$24,[1]对照表!$H$3:$H$24),LOOKUP(F267,[1]对照表!$G$27:$G$48,[1]对照表!$H$27:$H$48)),IF(B267="高二",IF($E267="男",LOOKUP(F267,[1]对照表!$F$3:$F$24,[1]对照表!$H$3:$H$24),LOOKUP(F267,[1]对照表!$F$27:$F$48,[1]对照表!$H$27:$H$48)),IF(B267="高一",IF($E267="男",LOOKUP(F267,[1]对照表!$E$3:$E$24,[1]对照表!$H$3:$H$24),LOOKUP(F267,[1]对照表!$E$27:$E$48,[1]对照表!$H$27:$H$48)))))</f>
        <v>68</v>
      </c>
      <c r="H267" s="38">
        <v>6.1</v>
      </c>
      <c r="I267" s="32">
        <f>IF(B267="高三",IF($E267="男",LOOKUP(H267,[1]对照表!$K$3:$K$24,[1]对照表!$L$3:$L$24),LOOKUP(H267,[1]对照表!$K$27:$K$48,[1]对照表!$L$27:$L$48)),IF(B267="高二",IF($E267="男",LOOKUP(H267,[1]对照表!$J$3:$J$24,[1]对照表!$L$3:$L$24),LOOKUP(H267,[1]对照表!$J$27:$J$48,[1]对照表!$L$27:$L$48)),IF(B267="高一",IF($E267="男",LOOKUP(H267,[1]对照表!$I$3:$I$24,[1]对照表!$L$3:$L$24),LOOKUP(H267,[1]对照表!$I$27:$I$48,[1]对照表!$L$27:$L$48)))))</f>
        <v>64</v>
      </c>
      <c r="J267" s="38">
        <v>205</v>
      </c>
      <c r="K267" s="32">
        <f>IF(B267="高三",IF($E267="男",LOOKUP(J267,[1]对照表!$O$3:$O$24,[1]对照表!$P$3:$P$24),LOOKUP(J267,[1]对照表!$O$27:$O$48,[1]对照表!$P$27:$P$48)),IF(B267="高二",IF($E267="男",LOOKUP(J267,[1]对照表!$N$3:$N$24,[1]对照表!$P$3:$P$24),LOOKUP(J267,[1]对照表!$N$27:$N$48,[1]对照表!$P$27:$P$48)),IF(B267="高一",IF($E267="男",LOOKUP(J267,[1]对照表!$M$3:$M$24,[1]对照表!$P$3:$P$24),LOOKUP(J267,[1]对照表!$M$27:$M$48,[1]对照表!$P$27:$P$48)))))</f>
        <v>62</v>
      </c>
      <c r="L267" s="38">
        <v>1</v>
      </c>
      <c r="M267" s="32">
        <f>IF(B267="高三",IF($E267="男",LOOKUP(L267,[1]对照表!$S$3:$S$24,[1]对照表!$T$3:$T$24),LOOKUP(L267,[1]对照表!$S$27:$S$48,[1]对照表!$T$27:$T$48)),IF(B267="高二",IF($E267="男",LOOKUP(L267,[1]对照表!$R$3:$R$24,[1]对照表!$T$3:$T$24),LOOKUP(L267,[1]对照表!$R$27:$R$48,[1]对照表!$T$27:$T$48)),IF(B267="高一",IF($E267="男",LOOKUP(L267,[1]对照表!$Q$3:$Q$24,[1]对照表!$T$3:$T$24),LOOKUP(L267,[1]对照表!$Q$27:$Q$48,[1]对照表!$T$27:$T$48)))))</f>
        <v>0</v>
      </c>
      <c r="N267" s="33">
        <f>IF(B267="高三",MAX(IF(E267="男",L267-18,L267-55),0),IF(B267="高二",MAX(IF(E267="男",L267-17,L267-54),0),IF(B267="高一",MAX(IF(E267="男",L267-16,L267-53),0))))</f>
        <v>0</v>
      </c>
      <c r="O267" s="23">
        <f>IF(E267="男",LOOKUP($N267,[1]对照表!$Z$3:$Z$13,[1]对照表!$AA$3:$AA$13),LOOKUP($N267,[1]对照表!$Z$15:$Z$25,[1]对照表!$AA$15:$AA$25))</f>
        <v>0</v>
      </c>
      <c r="P267" s="25">
        <f>M267+O267</f>
        <v>0</v>
      </c>
      <c r="Q267" s="50">
        <v>4.18</v>
      </c>
      <c r="R267" s="32">
        <f>IF(B267="高三",IF($E267="男",LOOKUP(Q267,[1]对照表!$W$3:$W$24,[1]对照表!$X$3:$X$24),LOOKUP(Q267,[1]对照表!$W$27:$W$48,[1]对照表!$X$27:$X$48)),IF(B267="高二",IF($E267="男",LOOKUP(Q267,[1]对照表!$V$3:$V$24,[1]对照表!$X$3:$X$24),LOOKUP(Q267,[1]对照表!$V$27:$V$48,[1]对照表!$X$27:$X$48)),IF(B267="高一",IF($E267="男",LOOKUP(Q267,[1]对照表!$U$3:$U$24,[1]对照表!$X$3:$X$24),LOOKUP(Q267,[1]对照表!$U$27:$U$48,[1]对照表!$X$27:$X$48)))))</f>
        <v>68</v>
      </c>
      <c r="S267" s="33">
        <f>ROUND(IF(IF($B267="高三",MIN(IF($E267="男",$Q267-3.2,$Q267-3.2),0),IF($B267="高二",MIN(IF($E267="男",$Q267-3.25,$Q267-3.22),0),IF($B267="高一",MIN(IF($E267="男",$Q267-3.3,$Q267-3.24),0))))&lt;-0.6,IF($B267="高三",MIN(IF($E267="男",$Q267-3.2,$Q267-3.2),0),IF($B267="高二",MIN(IF($E267="男",$Q267-3.25,$Q267-3.22),0),IF($B267="高一",MIN(IF($E267="男",$Q267-3.3,$Q267-3.24),0))))+0.4,IF($B267="高三",MIN(IF($E267="男",$Q267-3.2,$Q267-3.2),0),IF($B267="高二",MIN(IF($E267="男",$Q267-3.25,$Q267-3.22),0),IF($B267="高一",MIN(IF($E267="男",$Q267-3.3,$Q267-3.24),0))))),2)</f>
        <v>0</v>
      </c>
      <c r="T267" s="23">
        <f>IF(E267="男",LOOKUP($S267,[1]对照表!$AB$3:$AB$13,[1]对照表!$AC$3:$AC$13),LOOKUP($S267,[1]对照表!$AB$15:$AB$25,[1]对照表!$AC$15:$AC$25))</f>
        <v>0</v>
      </c>
      <c r="U267" s="26">
        <f>R267+T267</f>
        <v>68</v>
      </c>
      <c r="V267" s="26">
        <f>SUM(I267,K267,M267)/3*0.3+SUM(G267,R267)/2*0.4</f>
        <v>39.800000000000004</v>
      </c>
      <c r="W267" s="27">
        <f>O267+T267</f>
        <v>0</v>
      </c>
      <c r="X267" s="28">
        <f>V267/0.7+W267</f>
        <v>56.857142857142868</v>
      </c>
      <c r="Y267" s="28">
        <f>X267</f>
        <v>56.857142857142868</v>
      </c>
      <c r="Z267" s="38"/>
    </row>
    <row r="268" spans="1:26" ht="15.6" customHeight="1" x14ac:dyDescent="0.25">
      <c r="A268" s="48">
        <v>34</v>
      </c>
      <c r="B268" s="17" t="s">
        <v>767</v>
      </c>
      <c r="C268" s="38">
        <v>205</v>
      </c>
      <c r="D268" s="58" t="s">
        <v>1440</v>
      </c>
      <c r="E268" s="48" t="s">
        <v>23</v>
      </c>
      <c r="F268" s="50">
        <v>8</v>
      </c>
      <c r="G268" s="32">
        <f>IF(B268="高三",IF($E268="男",LOOKUP(F268,[1]对照表!$G$3:$G$24,[1]对照表!$H$3:$H$24),LOOKUP(F268,[1]对照表!$G$27:$G$48,[1]对照表!$H$27:$H$48)),IF(B268="高二",IF($E268="男",LOOKUP(F268,[1]对照表!$F$3:$F$24,[1]对照表!$H$3:$H$24),LOOKUP(F268,[1]对照表!$F$27:$F$48,[1]对照表!$H$27:$H$48)),IF(B268="高一",IF($E268="男",LOOKUP(F268,[1]对照表!$E$3:$E$24,[1]对照表!$H$3:$H$24),LOOKUP(F268,[1]对照表!$E$27:$E$48,[1]对照表!$H$27:$H$48)))))</f>
        <v>74</v>
      </c>
      <c r="H268" s="38">
        <v>4.2</v>
      </c>
      <c r="I268" s="32">
        <f>IF(B268="高三",IF($E268="男",LOOKUP(H268,[1]对照表!$K$3:$K$24,[1]对照表!$L$3:$L$24),LOOKUP(H268,[1]对照表!$K$27:$K$48,[1]对照表!$L$27:$L$48)),IF(B268="高二",IF($E268="男",LOOKUP(H268,[1]对照表!$J$3:$J$24,[1]对照表!$L$3:$L$24),LOOKUP(H268,[1]对照表!$J$27:$J$48,[1]对照表!$L$27:$L$48)),IF(B268="高一",IF($E268="男",LOOKUP(H268,[1]对照表!$I$3:$I$24,[1]对照表!$L$3:$L$24),LOOKUP(H268,[1]对照表!$I$27:$I$48,[1]对照表!$L$27:$L$48)))))</f>
        <v>62</v>
      </c>
      <c r="J268" s="38">
        <v>230</v>
      </c>
      <c r="K268" s="32">
        <f>IF(B268="高三",IF($E268="男",LOOKUP(J268,[1]对照表!$O$3:$O$24,[1]对照表!$P$3:$P$24),LOOKUP(J268,[1]对照表!$O$27:$O$48,[1]对照表!$P$27:$P$48)),IF(B268="高二",IF($E268="男",LOOKUP(J268,[1]对照表!$N$3:$N$24,[1]对照表!$P$3:$P$24),LOOKUP(J268,[1]对照表!$N$27:$N$48,[1]对照表!$P$27:$P$48)),IF(B268="高一",IF($E268="男",LOOKUP(J268,[1]对照表!$M$3:$M$24,[1]对照表!$P$3:$P$24),LOOKUP(J268,[1]对照表!$M$27:$M$48,[1]对照表!$P$27:$P$48)))))</f>
        <v>74</v>
      </c>
      <c r="L268" s="38">
        <v>3</v>
      </c>
      <c r="M268" s="32">
        <f>IF(B268="高三",IF($E268="男",LOOKUP(L268,[1]对照表!$S$3:$S$24,[1]对照表!$T$3:$T$24),LOOKUP(L268,[1]对照表!$S$27:$S$48,[1]对照表!$T$27:$T$48)),IF(B268="高二",IF($E268="男",LOOKUP(L268,[1]对照表!$R$3:$R$24,[1]对照表!$T$3:$T$24),LOOKUP(L268,[1]对照表!$R$27:$R$48,[1]对照表!$T$27:$T$48)),IF(B268="高一",IF($E268="男",LOOKUP(L268,[1]对照表!$Q$3:$Q$24,[1]对照表!$T$3:$T$24),LOOKUP(L268,[1]对照表!$Q$27:$Q$48,[1]对照表!$T$27:$T$48)))))</f>
        <v>10</v>
      </c>
      <c r="N268" s="33">
        <f>IF(B268="高三",MAX(IF(E268="男",L268-18,L268-55),0),IF(B268="高二",MAX(IF(E268="男",L268-17,L268-54),0),IF(B268="高一",MAX(IF(E268="男",L268-16,L268-53),0))))</f>
        <v>0</v>
      </c>
      <c r="O268" s="23">
        <f>IF(E268="男",LOOKUP($N268,[1]对照表!$Z$3:$Z$13,[1]对照表!$AA$3:$AA$13),LOOKUP($N268,[1]对照表!$Z$15:$Z$25,[1]对照表!$AA$15:$AA$25))</f>
        <v>0</v>
      </c>
      <c r="P268" s="25">
        <f>M268+O268</f>
        <v>10</v>
      </c>
      <c r="Q268" s="50">
        <v>4.5199999999999996</v>
      </c>
      <c r="R268" s="32">
        <f>IF(B268="高三",IF($E268="男",LOOKUP(Q268,[1]对照表!$W$3:$W$24,[1]对照表!$X$3:$X$24),LOOKUP(Q268,[1]对照表!$W$27:$W$48,[1]对照表!$X$27:$X$48)),IF(B268="高二",IF($E268="男",LOOKUP(Q268,[1]对照表!$V$3:$V$24,[1]对照表!$X$3:$X$24),LOOKUP(Q268,[1]对照表!$V$27:$V$48,[1]对照表!$X$27:$X$48)),IF(B268="高一",IF($E268="男",LOOKUP(Q268,[1]对照表!$U$3:$U$24,[1]对照表!$X$3:$X$24),LOOKUP(Q268,[1]对照表!$U$27:$U$48,[1]对照表!$X$27:$X$48)))))</f>
        <v>50</v>
      </c>
      <c r="S268" s="33">
        <f>ROUND(IF(IF($B268="高三",MIN(IF($E268="男",$Q268-3.2,$Q268-3.2),0),IF($B268="高二",MIN(IF($E268="男",$Q268-3.25,$Q268-3.22),0),IF($B268="高一",MIN(IF($E268="男",$Q268-3.3,$Q268-3.24),0))))&lt;-0.6,IF($B268="高三",MIN(IF($E268="男",$Q268-3.2,$Q268-3.2),0),IF($B268="高二",MIN(IF($E268="男",$Q268-3.25,$Q268-3.22),0),IF($B268="高一",MIN(IF($E268="男",$Q268-3.3,$Q268-3.24),0))))+0.4,IF($B268="高三",MIN(IF($E268="男",$Q268-3.2,$Q268-3.2),0),IF($B268="高二",MIN(IF($E268="男",$Q268-3.25,$Q268-3.22),0),IF($B268="高一",MIN(IF($E268="男",$Q268-3.3,$Q268-3.24),0))))),2)</f>
        <v>0</v>
      </c>
      <c r="T268" s="23">
        <f>IF(E268="男",LOOKUP($S268,[1]对照表!$AB$3:$AB$13,[1]对照表!$AC$3:$AC$13),LOOKUP($S268,[1]对照表!$AB$15:$AB$25,[1]对照表!$AC$15:$AC$25))</f>
        <v>0</v>
      </c>
      <c r="U268" s="26">
        <f>R268+T268</f>
        <v>50</v>
      </c>
      <c r="V268" s="26">
        <f>SUM(I268,K268,M268)/3*0.3+SUM(G268,R268)/2*0.4</f>
        <v>39.4</v>
      </c>
      <c r="W268" s="27">
        <f>O268+T268</f>
        <v>0</v>
      </c>
      <c r="X268" s="28">
        <f>V268/0.7+W268</f>
        <v>56.285714285714285</v>
      </c>
      <c r="Y268" s="28">
        <f>X268</f>
        <v>56.285714285714285</v>
      </c>
      <c r="Z268" s="38"/>
    </row>
    <row r="269" spans="1:26" ht="15.6" x14ac:dyDescent="0.25">
      <c r="A269" s="48">
        <v>33</v>
      </c>
      <c r="B269" s="17" t="s">
        <v>767</v>
      </c>
      <c r="C269" s="38">
        <v>205</v>
      </c>
      <c r="D269" s="58" t="s">
        <v>1458</v>
      </c>
      <c r="E269" s="48" t="s">
        <v>23</v>
      </c>
      <c r="F269" s="50">
        <v>9.4</v>
      </c>
      <c r="G269" s="32">
        <f>IF(B269="高三",IF($E269="男",LOOKUP(F269,[1]对照表!$G$3:$G$24,[1]对照表!$H$3:$H$24),LOOKUP(F269,[1]对照表!$G$27:$G$48,[1]对照表!$H$27:$H$48)),IF(B269="高二",IF($E269="男",LOOKUP(F269,[1]对照表!$F$3:$F$24,[1]对照表!$H$3:$H$24),LOOKUP(F269,[1]对照表!$F$27:$F$48,[1]对照表!$H$27:$H$48)),IF(B269="高一",IF($E269="男",LOOKUP(F269,[1]对照表!$E$3:$E$24,[1]对照表!$H$3:$H$24),LOOKUP(F269,[1]对照表!$E$27:$E$48,[1]对照表!$H$27:$H$48)))))</f>
        <v>60</v>
      </c>
      <c r="H269" s="38">
        <v>5.2</v>
      </c>
      <c r="I269" s="32">
        <f>IF(B269="高三",IF($E269="男",LOOKUP(H269,[1]对照表!$K$3:$K$24,[1]对照表!$L$3:$L$24),LOOKUP(H269,[1]对照表!$K$27:$K$48,[1]对照表!$L$27:$L$48)),IF(B269="高二",IF($E269="男",LOOKUP(H269,[1]对照表!$J$3:$J$24,[1]对照表!$L$3:$L$24),LOOKUP(H269,[1]对照表!$J$27:$J$48,[1]对照表!$L$27:$L$48)),IF(B269="高一",IF($E269="男",LOOKUP(H269,[1]对照表!$I$3:$I$24,[1]对照表!$L$3:$L$24),LOOKUP(H269,[1]对照表!$I$27:$I$48,[1]对照表!$L$27:$L$48)))))</f>
        <v>64</v>
      </c>
      <c r="J269" s="38">
        <v>176</v>
      </c>
      <c r="K269" s="32">
        <f>IF(B269="高三",IF($E269="男",LOOKUP(J269,[1]对照表!$O$3:$O$24,[1]对照表!$P$3:$P$24),LOOKUP(J269,[1]对照表!$O$27:$O$48,[1]对照表!$P$27:$P$48)),IF(B269="高二",IF($E269="男",LOOKUP(J269,[1]对照表!$N$3:$N$24,[1]对照表!$P$3:$P$24),LOOKUP(J269,[1]对照表!$N$27:$N$48,[1]对照表!$P$27:$P$48)),IF(B269="高一",IF($E269="男",LOOKUP(J269,[1]对照表!$M$3:$M$24,[1]对照表!$P$3:$P$24),LOOKUP(J269,[1]对照表!$M$27:$M$48,[1]对照表!$P$27:$P$48)))))</f>
        <v>10</v>
      </c>
      <c r="L269" s="38">
        <v>0</v>
      </c>
      <c r="M269" s="32">
        <f>IF(B269="高三",IF($E269="男",LOOKUP(L269,[1]对照表!$S$3:$S$24,[1]对照表!$T$3:$T$24),LOOKUP(L269,[1]对照表!$S$27:$S$48,[1]对照表!$T$27:$T$48)),IF(B269="高二",IF($E269="男",LOOKUP(L269,[1]对照表!$R$3:$R$24,[1]对照表!$T$3:$T$24),LOOKUP(L269,[1]对照表!$R$27:$R$48,[1]对照表!$T$27:$T$48)),IF(B269="高一",IF($E269="男",LOOKUP(L269,[1]对照表!$Q$3:$Q$24,[1]对照表!$T$3:$T$24),LOOKUP(L269,[1]对照表!$Q$27:$Q$48,[1]对照表!$T$27:$T$48)))))</f>
        <v>0</v>
      </c>
      <c r="N269" s="33">
        <f>IF(B269="高三",MAX(IF(E269="男",L269-18,L269-55),0),IF(B269="高二",MAX(IF(E269="男",L269-17,L269-54),0),IF(B269="高一",MAX(IF(E269="男",L269-16,L269-53),0))))</f>
        <v>0</v>
      </c>
      <c r="O269" s="23">
        <f>IF(E269="男",LOOKUP($N269,[1]对照表!$Z$3:$Z$13,[1]对照表!$AA$3:$AA$13),LOOKUP($N269,[1]对照表!$Z$15:$Z$25,[1]对照表!$AA$15:$AA$25))</f>
        <v>0</v>
      </c>
      <c r="P269" s="25">
        <f>M269+O269</f>
        <v>0</v>
      </c>
      <c r="Q269" s="50">
        <v>5.14</v>
      </c>
      <c r="R269" s="32">
        <f>IF(B269="高三",IF($E269="男",LOOKUP(Q269,[1]对照表!$W$3:$W$24,[1]对照表!$X$3:$X$24),LOOKUP(Q269,[1]对照表!$W$27:$W$48,[1]对照表!$X$27:$X$48)),IF(B269="高二",IF($E269="男",LOOKUP(Q269,[1]对照表!$V$3:$V$24,[1]对照表!$X$3:$X$24),LOOKUP(Q269,[1]对照表!$V$27:$V$48,[1]对照表!$X$27:$X$48)),IF(B269="高一",IF($E269="男",LOOKUP(Q269,[1]对照表!$U$3:$U$24,[1]对照表!$X$3:$X$24),LOOKUP(Q269,[1]对照表!$U$27:$U$48,[1]对照表!$X$27:$X$48)))))</f>
        <v>40</v>
      </c>
      <c r="S269" s="33">
        <f>ROUND(IF(IF($B269="高三",MIN(IF($E269="男",$Q269-3.2,$Q269-3.2),0),IF($B269="高二",MIN(IF($E269="男",$Q269-3.25,$Q269-3.22),0),IF($B269="高一",MIN(IF($E269="男",$Q269-3.3,$Q269-3.24),0))))&lt;-0.6,IF($B269="高三",MIN(IF($E269="男",$Q269-3.2,$Q269-3.2),0),IF($B269="高二",MIN(IF($E269="男",$Q269-3.25,$Q269-3.22),0),IF($B269="高一",MIN(IF($E269="男",$Q269-3.3,$Q269-3.24),0))))+0.4,IF($B269="高三",MIN(IF($E269="男",$Q269-3.2,$Q269-3.2),0),IF($B269="高二",MIN(IF($E269="男",$Q269-3.25,$Q269-3.22),0),IF($B269="高一",MIN(IF($E269="男",$Q269-3.3,$Q269-3.24),0))))),2)</f>
        <v>0</v>
      </c>
      <c r="T269" s="23">
        <f>IF(E269="男",LOOKUP($S269,[1]对照表!$AB$3:$AB$13,[1]对照表!$AC$3:$AC$13),LOOKUP($S269,[1]对照表!$AB$15:$AB$25,[1]对照表!$AC$15:$AC$25))</f>
        <v>0</v>
      </c>
      <c r="U269" s="26">
        <f>R269+T269</f>
        <v>40</v>
      </c>
      <c r="V269" s="26">
        <f>SUM(I269,K269,M269)/3*0.3+SUM(G269,R269)/2*0.4</f>
        <v>27.4</v>
      </c>
      <c r="W269" s="27">
        <f>O269+T269</f>
        <v>0</v>
      </c>
      <c r="X269" s="28">
        <f>V269/0.7+W269</f>
        <v>39.142857142857146</v>
      </c>
      <c r="Y269" s="29">
        <v>50</v>
      </c>
      <c r="Z269" s="38"/>
    </row>
    <row r="270" spans="1:26" ht="15.6" x14ac:dyDescent="0.25">
      <c r="A270" s="48">
        <v>15</v>
      </c>
      <c r="B270" s="17" t="s">
        <v>767</v>
      </c>
      <c r="C270" s="38">
        <v>205</v>
      </c>
      <c r="D270" s="49" t="s">
        <v>1479</v>
      </c>
      <c r="E270" s="48" t="s">
        <v>23</v>
      </c>
      <c r="F270" s="50"/>
      <c r="G270" s="20">
        <v>0</v>
      </c>
      <c r="H270" s="38"/>
      <c r="I270" s="20">
        <v>0</v>
      </c>
      <c r="J270" s="38"/>
      <c r="K270" s="20">
        <v>0</v>
      </c>
      <c r="L270" s="38"/>
      <c r="M270" s="20">
        <v>0</v>
      </c>
      <c r="N270" s="33">
        <f>IF(B270="高三",MAX(IF(E270="男",L270-18,L270-55),0),IF(B270="高二",MAX(IF(E270="男",L270-17,L270-54),0),IF(B270="高一",MAX(IF(E270="男",L270-16,L270-53),0))))</f>
        <v>0</v>
      </c>
      <c r="O270" s="23">
        <f>IF(E270="男",LOOKUP($N270,[1]对照表!$Z$3:$Z$13,[1]对照表!$AA$3:$AA$13),LOOKUP($N270,[1]对照表!$Z$15:$Z$25,[1]对照表!$AA$15:$AA$25))</f>
        <v>0</v>
      </c>
      <c r="P270" s="25">
        <f>M270+O270</f>
        <v>0</v>
      </c>
      <c r="Q270" s="50"/>
      <c r="R270" s="20">
        <v>0</v>
      </c>
      <c r="S270" s="22">
        <v>0</v>
      </c>
      <c r="T270" s="23">
        <f>IF(E270="男",LOOKUP($S270,[1]对照表!$AB$3:$AB$13,[1]对照表!$AC$3:$AC$13),LOOKUP($S270,[1]对照表!$AB$15:$AB$25,[1]对照表!$AC$15:$AC$25))</f>
        <v>0</v>
      </c>
      <c r="U270" s="26">
        <f>R270+T270</f>
        <v>0</v>
      </c>
      <c r="V270" s="26">
        <f>SUM(I270,K270,M270)/3*0.3+SUM(G270,R270)/2*0.4</f>
        <v>0</v>
      </c>
      <c r="W270" s="27">
        <f>O270+T270</f>
        <v>0</v>
      </c>
      <c r="X270" s="28">
        <f>V270/0.7+W270</f>
        <v>0</v>
      </c>
      <c r="Y270" s="29">
        <v>50</v>
      </c>
      <c r="Z270" s="38" t="s">
        <v>578</v>
      </c>
    </row>
    <row r="271" spans="1:26" ht="15.6" customHeight="1" x14ac:dyDescent="0.15">
      <c r="A271" s="38">
        <v>35</v>
      </c>
      <c r="B271" s="17" t="s">
        <v>767</v>
      </c>
      <c r="C271" s="38">
        <v>205</v>
      </c>
      <c r="D271" s="49" t="s">
        <v>1480</v>
      </c>
      <c r="E271" s="38" t="s">
        <v>65</v>
      </c>
      <c r="F271" s="50"/>
      <c r="G271" s="20">
        <v>0</v>
      </c>
      <c r="H271" s="38"/>
      <c r="I271" s="20">
        <v>0</v>
      </c>
      <c r="J271" s="38"/>
      <c r="K271" s="20">
        <v>0</v>
      </c>
      <c r="L271" s="38"/>
      <c r="M271" s="20">
        <v>0</v>
      </c>
      <c r="N271" s="33">
        <f>IF(B271="高三",MAX(IF(E271="男",L271-18,L271-55),0),IF(B271="高二",MAX(IF(E271="男",L271-17,L271-54),0),IF(B271="高一",MAX(IF(E271="男",L271-16,L271-53),0))))</f>
        <v>0</v>
      </c>
      <c r="O271" s="23">
        <f>IF(E271="男",LOOKUP($N271,[1]对照表!$Z$3:$Z$13,[1]对照表!$AA$3:$AA$13),LOOKUP($N271,[1]对照表!$Z$15:$Z$25,[1]对照表!$AA$15:$AA$25))</f>
        <v>0</v>
      </c>
      <c r="P271" s="25">
        <f>M271+O271</f>
        <v>0</v>
      </c>
      <c r="Q271" s="50"/>
      <c r="R271" s="20">
        <v>0</v>
      </c>
      <c r="S271" s="22">
        <v>0</v>
      </c>
      <c r="T271" s="23">
        <f>IF(E271="男",LOOKUP($S271,[1]对照表!$AB$3:$AB$13,[1]对照表!$AC$3:$AC$13),LOOKUP($S271,[1]对照表!$AB$15:$AB$25,[1]对照表!$AC$15:$AC$25))</f>
        <v>0</v>
      </c>
      <c r="U271" s="26">
        <f>R271+T271</f>
        <v>0</v>
      </c>
      <c r="V271" s="26">
        <f>SUM(I271,K271,M271)/3*0.3+SUM(G271,R271)/2*0.4</f>
        <v>0</v>
      </c>
      <c r="W271" s="27">
        <f>O271+T271</f>
        <v>0</v>
      </c>
      <c r="X271" s="28">
        <f>V271/0.7+W271</f>
        <v>0</v>
      </c>
      <c r="Y271" s="29">
        <v>50</v>
      </c>
      <c r="Z271" s="38" t="s">
        <v>578</v>
      </c>
    </row>
    <row r="272" spans="1:26" ht="15.6" x14ac:dyDescent="0.25">
      <c r="A272" s="48">
        <v>3</v>
      </c>
      <c r="B272" s="17" t="s">
        <v>767</v>
      </c>
      <c r="C272" s="48">
        <v>206</v>
      </c>
      <c r="D272" s="49" t="s">
        <v>793</v>
      </c>
      <c r="E272" s="48" t="s">
        <v>23</v>
      </c>
      <c r="F272" s="50">
        <v>7</v>
      </c>
      <c r="G272" s="32">
        <f>IF(B272="高三",IF($E272="男",LOOKUP(F272,[1]对照表!$G$3:$G$24,[1]对照表!$H$3:$H$24),LOOKUP(F272,[1]对照表!$G$27:$G$48,[1]对照表!$H$27:$H$48)),IF(B272="高二",IF($E272="男",LOOKUP(F272,[1]对照表!$F$3:$F$24,[1]对照表!$H$3:$H$24),LOOKUP(F272,[1]对照表!$F$27:$F$48,[1]对照表!$H$27:$H$48)),IF(B272="高一",IF($E272="男",LOOKUP(F272,[1]对照表!$E$3:$E$24,[1]对照表!$H$3:$H$24),LOOKUP(F272,[1]对照表!$E$27:$E$48,[1]对照表!$H$27:$H$48)))))</f>
        <v>100</v>
      </c>
      <c r="H272" s="38">
        <v>10</v>
      </c>
      <c r="I272" s="32">
        <f>IF(B272="高三",IF($E272="男",LOOKUP(H272,[1]对照表!$K$3:$K$24,[1]对照表!$L$3:$L$24),LOOKUP(H272,[1]对照表!$K$27:$K$48,[1]对照表!$L$27:$L$48)),IF(B272="高二",IF($E272="男",LOOKUP(H272,[1]对照表!$J$3:$J$24,[1]对照表!$L$3:$L$24),LOOKUP(H272,[1]对照表!$J$27:$J$48,[1]对照表!$L$27:$L$48)),IF(B272="高一",IF($E272="男",LOOKUP(H272,[1]对照表!$I$3:$I$24,[1]对照表!$L$3:$L$24),LOOKUP(H272,[1]对照表!$I$27:$I$48,[1]对照表!$L$27:$L$48)))))</f>
        <v>70</v>
      </c>
      <c r="J272" s="38">
        <v>263</v>
      </c>
      <c r="K272" s="32">
        <f>IF(B272="高三",IF($E272="男",LOOKUP(J272,[1]对照表!$O$3:$O$24,[1]对照表!$P$3:$P$24),LOOKUP(J272,[1]对照表!$O$27:$O$48,[1]对照表!$P$27:$P$48)),IF(B272="高二",IF($E272="男",LOOKUP(J272,[1]对照表!$N$3:$N$24,[1]对照表!$P$3:$P$24),LOOKUP(J272,[1]对照表!$N$27:$N$48,[1]对照表!$P$27:$P$48)),IF(B272="高一",IF($E272="男",LOOKUP(J272,[1]对照表!$M$3:$M$24,[1]对照表!$P$3:$P$24),LOOKUP(J272,[1]对照表!$M$27:$M$48,[1]对照表!$P$27:$P$48)))))</f>
        <v>95</v>
      </c>
      <c r="L272" s="38">
        <v>28</v>
      </c>
      <c r="M272" s="32">
        <f>IF(B272="高三",IF($E272="男",LOOKUP(L272,[1]对照表!$S$3:$S$24,[1]对照表!$T$3:$T$24),LOOKUP(L272,[1]对照表!$S$27:$S$48,[1]对照表!$T$27:$T$48)),IF(B272="高二",IF($E272="男",LOOKUP(L272,[1]对照表!$R$3:$R$24,[1]对照表!$T$3:$T$24),LOOKUP(L272,[1]对照表!$R$27:$R$48,[1]对照表!$T$27:$T$48)),IF(B272="高一",IF($E272="男",LOOKUP(L272,[1]对照表!$Q$3:$Q$24,[1]对照表!$T$3:$T$24),LOOKUP(L272,[1]对照表!$Q$27:$Q$48,[1]对照表!$T$27:$T$48)))))</f>
        <v>100</v>
      </c>
      <c r="N272" s="33">
        <f>IF(B272="高三",MAX(IF(E272="男",L272-18,L272-55),0),IF(B272="高二",MAX(IF(E272="男",L272-17,L272-54),0),IF(B272="高一",MAX(IF(E272="男",L272-16,L272-53),0))))</f>
        <v>11</v>
      </c>
      <c r="O272" s="23">
        <f>IF(E272="男",LOOKUP($N272,[1]对照表!$Z$3:$Z$13,[1]对照表!$AA$3:$AA$13),LOOKUP($N272,[1]对照表!$Z$15:$Z$25,[1]对照表!$AA$15:$AA$25))</f>
        <v>10</v>
      </c>
      <c r="P272" s="25">
        <f>M272+O272</f>
        <v>110</v>
      </c>
      <c r="Q272" s="50">
        <v>3.24</v>
      </c>
      <c r="R272" s="32">
        <f>IF(B272="高三",IF($E272="男",LOOKUP(Q272,[1]对照表!$W$3:$W$24,[1]对照表!$X$3:$X$24),LOOKUP(Q272,[1]对照表!$W$27:$W$48,[1]对照表!$X$27:$X$48)),IF(B272="高二",IF($E272="男",LOOKUP(Q272,[1]对照表!$V$3:$V$24,[1]对照表!$X$3:$X$24),LOOKUP(Q272,[1]对照表!$V$27:$V$48,[1]对照表!$X$27:$X$48)),IF(B272="高一",IF($E272="男",LOOKUP(Q272,[1]对照表!$U$3:$U$24,[1]对照表!$X$3:$X$24),LOOKUP(Q272,[1]对照表!$U$27:$U$48,[1]对照表!$X$27:$X$48)))))</f>
        <v>100</v>
      </c>
      <c r="S272" s="33">
        <f>ROUND(IF(IF($B272="高三",MIN(IF($E272="男",$Q272-3.2,$Q272-3.2),0),IF($B272="高二",MIN(IF($E272="男",$Q272-3.25,$Q272-3.22),0),IF($B272="高一",MIN(IF($E272="男",$Q272-3.3,$Q272-3.24),0))))&lt;-0.6,IF($B272="高三",MIN(IF($E272="男",$Q272-3.2,$Q272-3.2),0),IF($B272="高二",MIN(IF($E272="男",$Q272-3.25,$Q272-3.22),0),IF($B272="高一",MIN(IF($E272="男",$Q272-3.3,$Q272-3.24),0))))+0.4,IF($B272="高三",MIN(IF($E272="男",$Q272-3.2,$Q272-3.2),0),IF($B272="高二",MIN(IF($E272="男",$Q272-3.25,$Q272-3.22),0),IF($B272="高一",MIN(IF($E272="男",$Q272-3.3,$Q272-3.24),0))))),2)</f>
        <v>-0.01</v>
      </c>
      <c r="T272" s="23">
        <f>IF(E272="男",LOOKUP($S272,[1]对照表!$AB$3:$AB$13,[1]对照表!$AC$3:$AC$13),LOOKUP($S272,[1]对照表!$AB$15:$AB$25,[1]对照表!$AC$15:$AC$25))</f>
        <v>0</v>
      </c>
      <c r="U272" s="26">
        <f>R272+T272</f>
        <v>100</v>
      </c>
      <c r="V272" s="26">
        <f>SUM(I272,K272,M272)/3*0.3+SUM(G272,R272)/2*0.4</f>
        <v>66.5</v>
      </c>
      <c r="W272" s="27">
        <f>O272+T272</f>
        <v>10</v>
      </c>
      <c r="X272" s="28">
        <f>V272/0.7+W272</f>
        <v>105</v>
      </c>
      <c r="Y272" s="28">
        <f>X272</f>
        <v>105</v>
      </c>
      <c r="Z272" s="38"/>
    </row>
    <row r="273" spans="1:26" ht="15.6" x14ac:dyDescent="0.25">
      <c r="A273" s="48">
        <v>27</v>
      </c>
      <c r="B273" s="17" t="s">
        <v>767</v>
      </c>
      <c r="C273" s="48">
        <v>206</v>
      </c>
      <c r="D273" s="49" t="s">
        <v>796</v>
      </c>
      <c r="E273" s="48" t="s">
        <v>23</v>
      </c>
      <c r="F273" s="50">
        <v>7.2</v>
      </c>
      <c r="G273" s="32">
        <f>IF(B273="高三",IF($E273="男",LOOKUP(F273,[1]对照表!$G$3:$G$24,[1]对照表!$H$3:$H$24),LOOKUP(F273,[1]对照表!$G$27:$G$48,[1]对照表!$H$27:$H$48)),IF(B273="高二",IF($E273="男",LOOKUP(F273,[1]对照表!$F$3:$F$24,[1]对照表!$H$3:$H$24),LOOKUP(F273,[1]对照表!$F$27:$F$48,[1]对照表!$H$27:$H$48)),IF(B273="高一",IF($E273="男",LOOKUP(F273,[1]对照表!$E$3:$E$24,[1]对照表!$H$3:$H$24),LOOKUP(F273,[1]对照表!$E$27:$E$48,[1]对照表!$H$27:$H$48)))))</f>
        <v>90</v>
      </c>
      <c r="H273" s="38">
        <v>12</v>
      </c>
      <c r="I273" s="32">
        <f>IF(B273="高三",IF($E273="男",LOOKUP(H273,[1]对照表!$K$3:$K$24,[1]对照表!$L$3:$L$24),LOOKUP(H273,[1]对照表!$K$27:$K$48,[1]对照表!$L$27:$L$48)),IF(B273="高二",IF($E273="男",LOOKUP(H273,[1]对照表!$J$3:$J$24,[1]对照表!$L$3:$L$24),LOOKUP(H273,[1]对照表!$J$27:$J$48,[1]对照表!$L$27:$L$48)),IF(B273="高一",IF($E273="男",LOOKUP(H273,[1]对照表!$I$3:$I$24,[1]对照表!$L$3:$L$24),LOOKUP(H273,[1]对照表!$I$27:$I$48,[1]对照表!$L$27:$L$48)))))</f>
        <v>74</v>
      </c>
      <c r="J273" s="38">
        <v>297</v>
      </c>
      <c r="K273" s="32">
        <f>IF(B273="高三",IF($E273="男",LOOKUP(J273,[1]对照表!$O$3:$O$24,[1]对照表!$P$3:$P$24),LOOKUP(J273,[1]对照表!$O$27:$O$48,[1]对照表!$P$27:$P$48)),IF(B273="高二",IF($E273="男",LOOKUP(J273,[1]对照表!$N$3:$N$24,[1]对照表!$P$3:$P$24),LOOKUP(J273,[1]对照表!$N$27:$N$48,[1]对照表!$P$27:$P$48)),IF(B273="高一",IF($E273="男",LOOKUP(J273,[1]对照表!$M$3:$M$24,[1]对照表!$P$3:$P$24),LOOKUP(J273,[1]对照表!$M$27:$M$48,[1]对照表!$P$27:$P$48)))))</f>
        <v>100</v>
      </c>
      <c r="L273" s="38">
        <v>29</v>
      </c>
      <c r="M273" s="32">
        <f>IF(B273="高三",IF($E273="男",LOOKUP(L273,[1]对照表!$S$3:$S$24,[1]对照表!$T$3:$T$24),LOOKUP(L273,[1]对照表!$S$27:$S$48,[1]对照表!$T$27:$T$48)),IF(B273="高二",IF($E273="男",LOOKUP(L273,[1]对照表!$R$3:$R$24,[1]对照表!$T$3:$T$24),LOOKUP(L273,[1]对照表!$R$27:$R$48,[1]对照表!$T$27:$T$48)),IF(B273="高一",IF($E273="男",LOOKUP(L273,[1]对照表!$Q$3:$Q$24,[1]对照表!$T$3:$T$24),LOOKUP(L273,[1]对照表!$Q$27:$Q$48,[1]对照表!$T$27:$T$48)))))</f>
        <v>100</v>
      </c>
      <c r="N273" s="33">
        <f>IF(B273="高三",MAX(IF(E273="男",L273-18,L273-55),0),IF(B273="高二",MAX(IF(E273="男",L273-17,L273-54),0),IF(B273="高一",MAX(IF(E273="男",L273-16,L273-53),0))))</f>
        <v>12</v>
      </c>
      <c r="O273" s="23">
        <f>IF(E273="男",LOOKUP($N273,[1]对照表!$Z$3:$Z$13,[1]对照表!$AA$3:$AA$13),LOOKUP($N273,[1]对照表!$Z$15:$Z$25,[1]对照表!$AA$15:$AA$25))</f>
        <v>10</v>
      </c>
      <c r="P273" s="25">
        <f>M273+O273</f>
        <v>110</v>
      </c>
      <c r="Q273" s="50">
        <v>3.21</v>
      </c>
      <c r="R273" s="32">
        <f>IF(B273="高三",IF($E273="男",LOOKUP(Q273,[1]对照表!$W$3:$W$24,[1]对照表!$X$3:$X$24),LOOKUP(Q273,[1]对照表!$W$27:$W$48,[1]对照表!$X$27:$X$48)),IF(B273="高二",IF($E273="男",LOOKUP(Q273,[1]对照表!$V$3:$V$24,[1]对照表!$X$3:$X$24),LOOKUP(Q273,[1]对照表!$V$27:$V$48,[1]对照表!$X$27:$X$48)),IF(B273="高一",IF($E273="男",LOOKUP(Q273,[1]对照表!$U$3:$U$24,[1]对照表!$X$3:$X$24),LOOKUP(Q273,[1]对照表!$U$27:$U$48,[1]对照表!$X$27:$X$48)))))</f>
        <v>100</v>
      </c>
      <c r="S273" s="33">
        <f>ROUND(IF(IF($B273="高三",MIN(IF($E273="男",$Q273-3.2,$Q273-3.2),0),IF($B273="高二",MIN(IF($E273="男",$Q273-3.25,$Q273-3.22),0),IF($B273="高一",MIN(IF($E273="男",$Q273-3.3,$Q273-3.24),0))))&lt;-0.6,IF($B273="高三",MIN(IF($E273="男",$Q273-3.2,$Q273-3.2),0),IF($B273="高二",MIN(IF($E273="男",$Q273-3.25,$Q273-3.22),0),IF($B273="高一",MIN(IF($E273="男",$Q273-3.3,$Q273-3.24),0))))+0.4,IF($B273="高三",MIN(IF($E273="男",$Q273-3.2,$Q273-3.2),0),IF($B273="高二",MIN(IF($E273="男",$Q273-3.25,$Q273-3.22),0),IF($B273="高一",MIN(IF($E273="男",$Q273-3.3,$Q273-3.24),0))))),2)</f>
        <v>-0.04</v>
      </c>
      <c r="T273" s="23">
        <f>IF(E273="男",LOOKUP($S273,[1]对照表!$AB$3:$AB$13,[1]对照表!$AC$3:$AC$13),LOOKUP($S273,[1]对照表!$AB$15:$AB$25,[1]对照表!$AC$15:$AC$25))</f>
        <v>1</v>
      </c>
      <c r="U273" s="26">
        <f>R273+T273</f>
        <v>101</v>
      </c>
      <c r="V273" s="26">
        <f>SUM(I273,K273,M273)/3*0.3+SUM(G273,R273)/2*0.4</f>
        <v>65.400000000000006</v>
      </c>
      <c r="W273" s="27">
        <f>O273+T273</f>
        <v>11</v>
      </c>
      <c r="X273" s="28">
        <f>V273/0.7+W273</f>
        <v>104.42857142857144</v>
      </c>
      <c r="Y273" s="28">
        <f>X273</f>
        <v>104.42857142857144</v>
      </c>
      <c r="Z273" s="38"/>
    </row>
    <row r="274" spans="1:26" ht="15.6" customHeight="1" x14ac:dyDescent="0.25">
      <c r="A274" s="48">
        <v>40</v>
      </c>
      <c r="B274" s="17" t="s">
        <v>767</v>
      </c>
      <c r="C274" s="48">
        <v>206</v>
      </c>
      <c r="D274" s="49" t="s">
        <v>846</v>
      </c>
      <c r="E274" s="56" t="s">
        <v>65</v>
      </c>
      <c r="F274" s="50">
        <v>8.86</v>
      </c>
      <c r="G274" s="32">
        <f>IF(B274="高三",IF($E274="男",LOOKUP(F274,[1]对照表!$G$3:$G$24,[1]对照表!$H$3:$H$24),LOOKUP(F274,[1]对照表!$G$27:$G$48,[1]对照表!$H$27:$H$48)),IF(B274="高二",IF($E274="男",LOOKUP(F274,[1]对照表!$F$3:$F$24,[1]对照表!$H$3:$H$24),LOOKUP(F274,[1]对照表!$F$27:$F$48,[1]对照表!$H$27:$H$48)),IF(B274="高一",IF($E274="男",LOOKUP(F274,[1]对照表!$E$3:$E$24,[1]对照表!$H$3:$H$24),LOOKUP(F274,[1]对照表!$E$27:$E$48,[1]对照表!$H$27:$H$48)))))</f>
        <v>76</v>
      </c>
      <c r="H274" s="38">
        <v>13</v>
      </c>
      <c r="I274" s="32">
        <f>IF(B274="高三",IF($E274="男",LOOKUP(H274,[1]对照表!$K$3:$K$24,[1]对照表!$L$3:$L$24),LOOKUP(H274,[1]对照表!$K$27:$K$48,[1]对照表!$L$27:$L$48)),IF(B274="高二",IF($E274="男",LOOKUP(H274,[1]对照表!$J$3:$J$24,[1]对照表!$L$3:$L$24),LOOKUP(H274,[1]对照表!$J$27:$J$48,[1]对照表!$L$27:$L$48)),IF(B274="高一",IF($E274="男",LOOKUP(H274,[1]对照表!$I$3:$I$24,[1]对照表!$L$3:$L$24),LOOKUP(H274,[1]对照表!$I$27:$I$48,[1]对照表!$L$27:$L$48)))))</f>
        <v>72</v>
      </c>
      <c r="J274" s="38">
        <v>187</v>
      </c>
      <c r="K274" s="32">
        <f>IF(B274="高三",IF($E274="男",LOOKUP(J274,[1]对照表!$O$3:$O$24,[1]对照表!$P$3:$P$24),LOOKUP(J274,[1]对照表!$O$27:$O$48,[1]对照表!$P$27:$P$48)),IF(B274="高二",IF($E274="男",LOOKUP(J274,[1]对照表!$N$3:$N$24,[1]对照表!$P$3:$P$24),LOOKUP(J274,[1]对照表!$N$27:$N$48,[1]对照表!$P$27:$P$48)),IF(B274="高一",IF($E274="男",LOOKUP(J274,[1]对照表!$M$3:$M$24,[1]对照表!$P$3:$P$24),LOOKUP(J274,[1]对照表!$M$27:$M$48,[1]对照表!$P$27:$P$48)))))</f>
        <v>85</v>
      </c>
      <c r="L274" s="38">
        <v>56</v>
      </c>
      <c r="M274" s="32">
        <f>IF(B274="高三",IF($E274="男",LOOKUP(L274,[1]对照表!$S$3:$S$24,[1]对照表!$T$3:$T$24),LOOKUP(L274,[1]对照表!$S$27:$S$48,[1]对照表!$T$27:$T$48)),IF(B274="高二",IF($E274="男",LOOKUP(L274,[1]对照表!$R$3:$R$24,[1]对照表!$T$3:$T$24),LOOKUP(L274,[1]对照表!$R$27:$R$48,[1]对照表!$T$27:$T$48)),IF(B274="高一",IF($E274="男",LOOKUP(L274,[1]对照表!$Q$3:$Q$24,[1]对照表!$T$3:$T$24),LOOKUP(L274,[1]对照表!$Q$27:$Q$48,[1]对照表!$T$27:$T$48)))))</f>
        <v>100</v>
      </c>
      <c r="N274" s="33">
        <f>IF(B274="高三",MAX(IF(E274="男",L274-18,L274-55),0),IF(B274="高二",MAX(IF(E274="男",L274-17,L274-54),0),IF(B274="高一",MAX(IF(E274="男",L274-16,L274-53),0))))</f>
        <v>2</v>
      </c>
      <c r="O274" s="23">
        <f>IF(E274="男",LOOKUP($N274,[1]对照表!$Z$3:$Z$13,[1]对照表!$AA$3:$AA$13),LOOKUP($N274,[1]对照表!$Z$15:$Z$25,[1]对照表!$AA$15:$AA$25))</f>
        <v>1</v>
      </c>
      <c r="P274" s="25">
        <f>M274+O274</f>
        <v>101</v>
      </c>
      <c r="Q274" s="50">
        <v>3.09</v>
      </c>
      <c r="R274" s="32">
        <f>IF(B274="高三",IF($E274="男",LOOKUP(Q274,[1]对照表!$W$3:$W$24,[1]对照表!$X$3:$X$24),LOOKUP(Q274,[1]对照表!$W$27:$W$48,[1]对照表!$X$27:$X$48)),IF(B274="高二",IF($E274="男",LOOKUP(Q274,[1]对照表!$V$3:$V$24,[1]对照表!$X$3:$X$24),LOOKUP(Q274,[1]对照表!$V$27:$V$48,[1]对照表!$X$27:$X$48)),IF(B274="高一",IF($E274="男",LOOKUP(Q274,[1]对照表!$U$3:$U$24,[1]对照表!$X$3:$X$24),LOOKUP(Q274,[1]对照表!$U$27:$U$48,[1]对照表!$X$27:$X$48)))))</f>
        <v>100</v>
      </c>
      <c r="S274" s="33">
        <f>ROUND(IF(IF($B274="高三",MIN(IF($E274="男",$Q274-3.2,$Q274-3.2),0),IF($B274="高二",MIN(IF($E274="男",$Q274-3.25,$Q274-3.22),0),IF($B274="高一",MIN(IF($E274="男",$Q274-3.3,$Q274-3.24),0))))&lt;-0.6,IF($B274="高三",MIN(IF($E274="男",$Q274-3.2,$Q274-3.2),0),IF($B274="高二",MIN(IF($E274="男",$Q274-3.25,$Q274-3.22),0),IF($B274="高一",MIN(IF($E274="男",$Q274-3.3,$Q274-3.24),0))))+0.4,IF($B274="高三",MIN(IF($E274="男",$Q274-3.2,$Q274-3.2),0),IF($B274="高二",MIN(IF($E274="男",$Q274-3.25,$Q274-3.22),0),IF($B274="高一",MIN(IF($E274="男",$Q274-3.3,$Q274-3.24),0))))),2)</f>
        <v>-0.13</v>
      </c>
      <c r="T274" s="23">
        <f>IF(E274="男",LOOKUP($S274,[1]对照表!$AB$3:$AB$13,[1]对照表!$AC$3:$AC$13),LOOKUP($S274,[1]对照表!$AB$15:$AB$25,[1]对照表!$AC$15:$AC$25))</f>
        <v>2</v>
      </c>
      <c r="U274" s="26">
        <f>R274+T274</f>
        <v>102</v>
      </c>
      <c r="V274" s="26">
        <f>SUM(I274,K274,M274)/3*0.3+SUM(G274,R274)/2*0.4</f>
        <v>60.900000000000006</v>
      </c>
      <c r="W274" s="27">
        <f>O274+T274</f>
        <v>3</v>
      </c>
      <c r="X274" s="28">
        <f>V274/0.7+W274</f>
        <v>90.000000000000014</v>
      </c>
      <c r="Y274" s="28">
        <f>X274</f>
        <v>90.000000000000014</v>
      </c>
      <c r="Z274" s="38"/>
    </row>
    <row r="275" spans="1:26" ht="15.6" customHeight="1" x14ac:dyDescent="0.25">
      <c r="A275" s="48">
        <v>2</v>
      </c>
      <c r="B275" s="17" t="s">
        <v>767</v>
      </c>
      <c r="C275" s="48">
        <v>206</v>
      </c>
      <c r="D275" s="49" t="s">
        <v>857</v>
      </c>
      <c r="E275" s="48" t="s">
        <v>23</v>
      </c>
      <c r="F275" s="50">
        <v>7.3</v>
      </c>
      <c r="G275" s="32">
        <f>IF(B275="高三",IF($E275="男",LOOKUP(F275,[1]对照表!$G$3:$G$24,[1]对照表!$H$3:$H$24),LOOKUP(F275,[1]对照表!$G$27:$G$48,[1]对照表!$H$27:$H$48)),IF(B275="高二",IF($E275="男",LOOKUP(F275,[1]对照表!$F$3:$F$24,[1]对照表!$H$3:$H$24),LOOKUP(F275,[1]对照表!$F$27:$F$48,[1]对照表!$H$27:$H$48)),IF(B275="高一",IF($E275="男",LOOKUP(F275,[1]对照表!$E$3:$E$24,[1]对照表!$H$3:$H$24),LOOKUP(F275,[1]对照表!$E$27:$E$48,[1]对照表!$H$27:$H$48)))))</f>
        <v>85</v>
      </c>
      <c r="H275" s="38">
        <v>7</v>
      </c>
      <c r="I275" s="32">
        <f>IF(B275="高三",IF($E275="男",LOOKUP(H275,[1]对照表!$K$3:$K$24,[1]对照表!$L$3:$L$24),LOOKUP(H275,[1]对照表!$K$27:$K$48,[1]对照表!$L$27:$L$48)),IF(B275="高二",IF($E275="男",LOOKUP(H275,[1]对照表!$J$3:$J$24,[1]对照表!$L$3:$L$24),LOOKUP(H275,[1]对照表!$J$27:$J$48,[1]对照表!$L$27:$L$48)),IF(B275="高一",IF($E275="男",LOOKUP(H275,[1]对照表!$I$3:$I$24,[1]对照表!$L$3:$L$24),LOOKUP(H275,[1]对照表!$I$27:$I$48,[1]对照表!$L$27:$L$48)))))</f>
        <v>66</v>
      </c>
      <c r="J275" s="38">
        <v>258</v>
      </c>
      <c r="K275" s="32">
        <f>IF(B275="高三",IF($E275="男",LOOKUP(J275,[1]对照表!$O$3:$O$24,[1]对照表!$P$3:$P$24),LOOKUP(J275,[1]对照表!$O$27:$O$48,[1]对照表!$P$27:$P$48)),IF(B275="高二",IF($E275="男",LOOKUP(J275,[1]对照表!$N$3:$N$24,[1]对照表!$P$3:$P$24),LOOKUP(J275,[1]对照表!$N$27:$N$48,[1]对照表!$P$27:$P$48)),IF(B275="高一",IF($E275="男",LOOKUP(J275,[1]对照表!$M$3:$M$24,[1]对照表!$P$3:$P$24),LOOKUP(J275,[1]对照表!$M$27:$M$48,[1]对照表!$P$27:$P$48)))))</f>
        <v>90</v>
      </c>
      <c r="L275" s="38">
        <v>26</v>
      </c>
      <c r="M275" s="32">
        <f>IF(B275="高三",IF($E275="男",LOOKUP(L275,[1]对照表!$S$3:$S$24,[1]对照表!$T$3:$T$24),LOOKUP(L275,[1]对照表!$S$27:$S$48,[1]对照表!$T$27:$T$48)),IF(B275="高二",IF($E275="男",LOOKUP(L275,[1]对照表!$R$3:$R$24,[1]对照表!$T$3:$T$24),LOOKUP(L275,[1]对照表!$R$27:$R$48,[1]对照表!$T$27:$T$48)),IF(B275="高一",IF($E275="男",LOOKUP(L275,[1]对照表!$Q$3:$Q$24,[1]对照表!$T$3:$T$24),LOOKUP(L275,[1]对照表!$Q$27:$Q$48,[1]对照表!$T$27:$T$48)))))</f>
        <v>100</v>
      </c>
      <c r="N275" s="33">
        <f>IF(B275="高三",MAX(IF(E275="男",L275-18,L275-55),0),IF(B275="高二",MAX(IF(E275="男",L275-17,L275-54),0),IF(B275="高一",MAX(IF(E275="男",L275-16,L275-53),0))))</f>
        <v>9</v>
      </c>
      <c r="O275" s="23">
        <f>IF(E275="男",LOOKUP($N275,[1]对照表!$Z$3:$Z$13,[1]对照表!$AA$3:$AA$13),LOOKUP($N275,[1]对照表!$Z$15:$Z$25,[1]对照表!$AA$15:$AA$25))</f>
        <v>9</v>
      </c>
      <c r="P275" s="25">
        <f>M275+O275</f>
        <v>109</v>
      </c>
      <c r="Q275" s="50">
        <v>3.14</v>
      </c>
      <c r="R275" s="32">
        <f>IF(B275="高三",IF($E275="男",LOOKUP(Q275,[1]对照表!$W$3:$W$24,[1]对照表!$X$3:$X$24),LOOKUP(Q275,[1]对照表!$W$27:$W$48,[1]对照表!$X$27:$X$48)),IF(B275="高二",IF($E275="男",LOOKUP(Q275,[1]对照表!$V$3:$V$24,[1]对照表!$X$3:$X$24),LOOKUP(Q275,[1]对照表!$V$27:$V$48,[1]对照表!$X$27:$X$48)),IF(B275="高一",IF($E275="男",LOOKUP(Q275,[1]对照表!$U$3:$U$24,[1]对照表!$X$3:$X$24),LOOKUP(Q275,[1]对照表!$U$27:$U$48,[1]对照表!$X$27:$X$48)))))</f>
        <v>100</v>
      </c>
      <c r="S275" s="33">
        <f>ROUND(IF(IF($B275="高三",MIN(IF($E275="男",$Q275-3.2,$Q275-3.2),0),IF($B275="高二",MIN(IF($E275="男",$Q275-3.25,$Q275-3.22),0),IF($B275="高一",MIN(IF($E275="男",$Q275-3.3,$Q275-3.24),0))))&lt;-0.6,IF($B275="高三",MIN(IF($E275="男",$Q275-3.2,$Q275-3.2),0),IF($B275="高二",MIN(IF($E275="男",$Q275-3.25,$Q275-3.22),0),IF($B275="高一",MIN(IF($E275="男",$Q275-3.3,$Q275-3.24),0))))+0.4,IF($B275="高三",MIN(IF($E275="男",$Q275-3.2,$Q275-3.2),0),IF($B275="高二",MIN(IF($E275="男",$Q275-3.25,$Q275-3.22),0),IF($B275="高一",MIN(IF($E275="男",$Q275-3.3,$Q275-3.24),0))))),2)</f>
        <v>-0.11</v>
      </c>
      <c r="T275" s="23">
        <f>IF(E275="男",LOOKUP($S275,[1]对照表!$AB$3:$AB$13,[1]对照表!$AC$3:$AC$13),LOOKUP($S275,[1]对照表!$AB$15:$AB$25,[1]对照表!$AC$15:$AC$25))</f>
        <v>2</v>
      </c>
      <c r="U275" s="26">
        <f>R275+T275</f>
        <v>102</v>
      </c>
      <c r="V275" s="26">
        <f>SUM(I275,K275,M275)/3*0.3+SUM(G275,R275)/2*0.4</f>
        <v>62.599999999999994</v>
      </c>
      <c r="W275" s="27">
        <f>O275+T275</f>
        <v>11</v>
      </c>
      <c r="X275" s="28">
        <f>V275/0.7+W275</f>
        <v>100.42857142857143</v>
      </c>
      <c r="Y275" s="28">
        <f>X275</f>
        <v>100.42857142857143</v>
      </c>
      <c r="Z275" s="38"/>
    </row>
    <row r="276" spans="1:26" ht="15.6" x14ac:dyDescent="0.25">
      <c r="A276" s="48">
        <v>42</v>
      </c>
      <c r="B276" s="17" t="s">
        <v>767</v>
      </c>
      <c r="C276" s="48">
        <v>206</v>
      </c>
      <c r="D276" s="49" t="s">
        <v>859</v>
      </c>
      <c r="E276" s="56" t="s">
        <v>65</v>
      </c>
      <c r="F276" s="50">
        <v>8.44</v>
      </c>
      <c r="G276" s="32">
        <f>IF(B276="高三",IF($E276="男",LOOKUP(F276,[1]对照表!$G$3:$G$24,[1]对照表!$H$3:$H$24),LOOKUP(F276,[1]对照表!$G$27:$G$48,[1]对照表!$H$27:$H$48)),IF(B276="高二",IF($E276="男",LOOKUP(F276,[1]对照表!$F$3:$F$24,[1]对照表!$H$3:$H$24),LOOKUP(F276,[1]对照表!$F$27:$F$48,[1]对照表!$H$27:$H$48)),IF(B276="高一",IF($E276="男",LOOKUP(F276,[1]对照表!$E$3:$E$24,[1]对照表!$H$3:$H$24),LOOKUP(F276,[1]对照表!$E$27:$E$48,[1]对照表!$H$27:$H$48)))))</f>
        <v>80</v>
      </c>
      <c r="H276" s="38">
        <v>16</v>
      </c>
      <c r="I276" s="32">
        <f>IF(B276="高三",IF($E276="男",LOOKUP(H276,[1]对照表!$K$3:$K$24,[1]对照表!$L$3:$L$24),LOOKUP(H276,[1]对照表!$K$27:$K$48,[1]对照表!$L$27:$L$48)),IF(B276="高二",IF($E276="男",LOOKUP(H276,[1]对照表!$J$3:$J$24,[1]对照表!$L$3:$L$24),LOOKUP(H276,[1]对照表!$J$27:$J$48,[1]对照表!$L$27:$L$48)),IF(B276="高一",IF($E276="男",LOOKUP(H276,[1]对照表!$I$3:$I$24,[1]对照表!$L$3:$L$24),LOOKUP(H276,[1]对照表!$I$27:$I$48,[1]对照表!$L$27:$L$48)))))</f>
        <v>76</v>
      </c>
      <c r="J276" s="38">
        <v>192</v>
      </c>
      <c r="K276" s="32">
        <f>IF(B276="高三",IF($E276="男",LOOKUP(J276,[1]对照表!$O$3:$O$24,[1]对照表!$P$3:$P$24),LOOKUP(J276,[1]对照表!$O$27:$O$48,[1]对照表!$P$27:$P$48)),IF(B276="高二",IF($E276="男",LOOKUP(J276,[1]对照表!$N$3:$N$24,[1]对照表!$P$3:$P$24),LOOKUP(J276,[1]对照表!$N$27:$N$48,[1]对照表!$P$27:$P$48)),IF(B276="高一",IF($E276="男",LOOKUP(J276,[1]对照表!$M$3:$M$24,[1]对照表!$P$3:$P$24),LOOKUP(J276,[1]对照表!$M$27:$M$48,[1]对照表!$P$27:$P$48)))))</f>
        <v>85</v>
      </c>
      <c r="L276" s="38">
        <v>59</v>
      </c>
      <c r="M276" s="32">
        <f>IF(B276="高三",IF($E276="男",LOOKUP(L276,[1]对照表!$S$3:$S$24,[1]对照表!$T$3:$T$24),LOOKUP(L276,[1]对照表!$S$27:$S$48,[1]对照表!$T$27:$T$48)),IF(B276="高二",IF($E276="男",LOOKUP(L276,[1]对照表!$R$3:$R$24,[1]对照表!$T$3:$T$24),LOOKUP(L276,[1]对照表!$R$27:$R$48,[1]对照表!$T$27:$T$48)),IF(B276="高一",IF($E276="男",LOOKUP(L276,[1]对照表!$Q$3:$Q$24,[1]对照表!$T$3:$T$24),LOOKUP(L276,[1]对照表!$Q$27:$Q$48,[1]对照表!$T$27:$T$48)))))</f>
        <v>100</v>
      </c>
      <c r="N276" s="33">
        <f>IF(B276="高三",MAX(IF(E276="男",L276-18,L276-55),0),IF(B276="高二",MAX(IF(E276="男",L276-17,L276-54),0),IF(B276="高一",MAX(IF(E276="男",L276-16,L276-53),0))))</f>
        <v>5</v>
      </c>
      <c r="O276" s="23">
        <f>IF(E276="男",LOOKUP($N276,[1]对照表!$Z$3:$Z$13,[1]对照表!$AA$3:$AA$13),LOOKUP($N276,[1]对照表!$Z$15:$Z$25,[1]对照表!$AA$15:$AA$25))</f>
        <v>2</v>
      </c>
      <c r="P276" s="25">
        <f>M276+O276</f>
        <v>102</v>
      </c>
      <c r="Q276" s="50">
        <v>3.27</v>
      </c>
      <c r="R276" s="32">
        <f>IF(B276="高三",IF($E276="男",LOOKUP(Q276,[1]对照表!$W$3:$W$24,[1]对照表!$X$3:$X$24),LOOKUP(Q276,[1]对照表!$W$27:$W$48,[1]对照表!$X$27:$X$48)),IF(B276="高二",IF($E276="男",LOOKUP(Q276,[1]对照表!$V$3:$V$24,[1]对照表!$X$3:$X$24),LOOKUP(Q276,[1]对照表!$V$27:$V$48,[1]对照表!$X$27:$X$48)),IF(B276="高一",IF($E276="男",LOOKUP(Q276,[1]对照表!$U$3:$U$24,[1]对照表!$X$3:$X$24),LOOKUP(Q276,[1]对照表!$U$27:$U$48,[1]对照表!$X$27:$X$48)))))</f>
        <v>95</v>
      </c>
      <c r="S276" s="33">
        <f>ROUND(IF(IF($B276="高三",MIN(IF($E276="男",$Q276-3.2,$Q276-3.2),0),IF($B276="高二",MIN(IF($E276="男",$Q276-3.25,$Q276-3.22),0),IF($B276="高一",MIN(IF($E276="男",$Q276-3.3,$Q276-3.24),0))))&lt;-0.6,IF($B276="高三",MIN(IF($E276="男",$Q276-3.2,$Q276-3.2),0),IF($B276="高二",MIN(IF($E276="男",$Q276-3.25,$Q276-3.22),0),IF($B276="高一",MIN(IF($E276="男",$Q276-3.3,$Q276-3.24),0))))+0.4,IF($B276="高三",MIN(IF($E276="男",$Q276-3.2,$Q276-3.2),0),IF($B276="高二",MIN(IF($E276="男",$Q276-3.25,$Q276-3.22),0),IF($B276="高一",MIN(IF($E276="男",$Q276-3.3,$Q276-3.24),0))))),2)</f>
        <v>0</v>
      </c>
      <c r="T276" s="23">
        <f>IF(E276="男",LOOKUP($S276,[1]对照表!$AB$3:$AB$13,[1]对照表!$AC$3:$AC$13),LOOKUP($S276,[1]对照表!$AB$15:$AB$25,[1]对照表!$AC$15:$AC$25))</f>
        <v>0</v>
      </c>
      <c r="U276" s="26">
        <f>R276+T276</f>
        <v>95</v>
      </c>
      <c r="V276" s="26">
        <f>SUM(I276,K276,M276)/3*0.3+SUM(G276,R276)/2*0.4</f>
        <v>61.099999999999994</v>
      </c>
      <c r="W276" s="27">
        <f>O276+T276</f>
        <v>2</v>
      </c>
      <c r="X276" s="28">
        <f>V276/0.7+W276</f>
        <v>89.285714285714278</v>
      </c>
      <c r="Y276" s="28">
        <f>X276</f>
        <v>89.285714285714278</v>
      </c>
      <c r="Z276" s="38"/>
    </row>
    <row r="277" spans="1:26" ht="15.6" x14ac:dyDescent="0.25">
      <c r="A277" s="48">
        <v>36</v>
      </c>
      <c r="B277" s="17" t="s">
        <v>767</v>
      </c>
      <c r="C277" s="48">
        <v>206</v>
      </c>
      <c r="D277" s="49" t="s">
        <v>866</v>
      </c>
      <c r="E277" s="56" t="s">
        <v>65</v>
      </c>
      <c r="F277" s="50">
        <v>8.65</v>
      </c>
      <c r="G277" s="32">
        <f>IF(B277="高三",IF($E277="男",LOOKUP(F277,[1]对照表!$G$3:$G$24,[1]对照表!$H$3:$H$24),LOOKUP(F277,[1]对照表!$G$27:$G$48,[1]对照表!$H$27:$H$48)),IF(B277="高二",IF($E277="男",LOOKUP(F277,[1]对照表!$F$3:$F$24,[1]对照表!$H$3:$H$24),LOOKUP(F277,[1]对照表!$F$27:$F$48,[1]对照表!$H$27:$H$48)),IF(B277="高一",IF($E277="男",LOOKUP(F277,[1]对照表!$E$3:$E$24,[1]对照表!$H$3:$H$24),LOOKUP(F277,[1]对照表!$E$27:$E$48,[1]对照表!$H$27:$H$48)))))</f>
        <v>78</v>
      </c>
      <c r="H277" s="38">
        <v>21</v>
      </c>
      <c r="I277" s="32">
        <f>IF(B277="高三",IF($E277="男",LOOKUP(H277,[1]对照表!$K$3:$K$24,[1]对照表!$L$3:$L$24),LOOKUP(H277,[1]对照表!$K$27:$K$48,[1]对照表!$L$27:$L$48)),IF(B277="高二",IF($E277="男",LOOKUP(H277,[1]对照表!$J$3:$J$24,[1]对照表!$L$3:$L$24),LOOKUP(H277,[1]对照表!$J$27:$J$48,[1]对照表!$L$27:$L$48)),IF(B277="高一",IF($E277="男",LOOKUP(H277,[1]对照表!$I$3:$I$24,[1]对照表!$L$3:$L$24),LOOKUP(H277,[1]对照表!$I$27:$I$48,[1]对照表!$L$27:$L$48)))))</f>
        <v>85</v>
      </c>
      <c r="J277" s="38">
        <v>210</v>
      </c>
      <c r="K277" s="32">
        <f>IF(B277="高三",IF($E277="男",LOOKUP(J277,[1]对照表!$O$3:$O$24,[1]对照表!$P$3:$P$24),LOOKUP(J277,[1]对照表!$O$27:$O$48,[1]对照表!$P$27:$P$48)),IF(B277="高二",IF($E277="男",LOOKUP(J277,[1]对照表!$N$3:$N$24,[1]对照表!$P$3:$P$24),LOOKUP(J277,[1]对照表!$N$27:$N$48,[1]对照表!$P$27:$P$48)),IF(B277="高一",IF($E277="男",LOOKUP(J277,[1]对照表!$M$3:$M$24,[1]对照表!$P$3:$P$24),LOOKUP(J277,[1]对照表!$M$27:$M$48,[1]对照表!$P$27:$P$48)))))</f>
        <v>100</v>
      </c>
      <c r="L277" s="38">
        <v>57</v>
      </c>
      <c r="M277" s="32">
        <f>IF(B277="高三",IF($E277="男",LOOKUP(L277,[1]对照表!$S$3:$S$24,[1]对照表!$T$3:$T$24),LOOKUP(L277,[1]对照表!$S$27:$S$48,[1]对照表!$T$27:$T$48)),IF(B277="高二",IF($E277="男",LOOKUP(L277,[1]对照表!$R$3:$R$24,[1]对照表!$T$3:$T$24),LOOKUP(L277,[1]对照表!$R$27:$R$48,[1]对照表!$T$27:$T$48)),IF(B277="高一",IF($E277="男",LOOKUP(L277,[1]对照表!$Q$3:$Q$24,[1]对照表!$T$3:$T$24),LOOKUP(L277,[1]对照表!$Q$27:$Q$48,[1]对照表!$T$27:$T$48)))))</f>
        <v>100</v>
      </c>
      <c r="N277" s="33">
        <f>IF(B277="高三",MAX(IF(E277="男",L277-18,L277-55),0),IF(B277="高二",MAX(IF(E277="男",L277-17,L277-54),0),IF(B277="高一",MAX(IF(E277="男",L277-16,L277-53),0))))</f>
        <v>3</v>
      </c>
      <c r="O277" s="23">
        <f>IF(E277="男",LOOKUP($N277,[1]对照表!$Z$3:$Z$13,[1]对照表!$AA$3:$AA$13),LOOKUP($N277,[1]对照表!$Z$15:$Z$25,[1]对照表!$AA$15:$AA$25))</f>
        <v>1</v>
      </c>
      <c r="P277" s="25">
        <f>M277+O277</f>
        <v>101</v>
      </c>
      <c r="Q277" s="50">
        <v>3.39</v>
      </c>
      <c r="R277" s="32">
        <f>IF(B277="高三",IF($E277="男",LOOKUP(Q277,[1]对照表!$W$3:$W$24,[1]对照表!$X$3:$X$24),LOOKUP(Q277,[1]对照表!$W$27:$W$48,[1]对照表!$X$27:$X$48)),IF(B277="高二",IF($E277="男",LOOKUP(Q277,[1]对照表!$V$3:$V$24,[1]对照表!$X$3:$X$24),LOOKUP(Q277,[1]对照表!$V$27:$V$48,[1]对照表!$X$27:$X$48)),IF(B277="高一",IF($E277="男",LOOKUP(Q277,[1]对照表!$U$3:$U$24,[1]对照表!$X$3:$X$24),LOOKUP(Q277,[1]对照表!$U$27:$U$48,[1]对照表!$X$27:$X$48)))))</f>
        <v>85</v>
      </c>
      <c r="S277" s="27">
        <f>ROUND(IF(IF($B277="高三",MIN(IF($E277="男",$Q277-3.2,$Q277-3.2),0),IF($B277="高二",MIN(IF($E277="男",$Q277-3.25,$Q277-3.22),0),IF($B277="高一",MIN(IF($E277="男",$Q277-3.3,$Q277-3.24),0))))&lt;-0.6,IF($B277="高三",MIN(IF($E277="男",$Q277-3.2,$Q277-3.2),0),IF($B277="高二",MIN(IF($E277="男",$Q277-3.25,$Q277-3.22),0),IF($B277="高一",MIN(IF($E277="男",$Q277-3.3,$Q277-3.24),0))))+0.4,IF($B277="高三",MIN(IF($E277="男",$Q277-3.2,$Q277-3.2),0),IF($B277="高二",MIN(IF($E277="男",$Q277-3.25,$Q277-3.22),0),IF($B277="高一",MIN(IF($E277="男",$Q277-3.3,$Q277-3.24),0))))),2)</f>
        <v>0</v>
      </c>
      <c r="T277" s="23">
        <f>IF(E277="男",LOOKUP($S277,[1]对照表!$AB$3:$AB$13,[1]对照表!$AC$3:$AC$13),LOOKUP($S277,[1]对照表!$AB$15:$AB$25,[1]对照表!$AC$15:$AC$25))</f>
        <v>0</v>
      </c>
      <c r="U277" s="26">
        <f>R277+T277</f>
        <v>85</v>
      </c>
      <c r="V277" s="26">
        <f>SUM(I277,K277,M277)/3*0.3+SUM(G277,R277)/2*0.4</f>
        <v>61.1</v>
      </c>
      <c r="W277" s="27">
        <f>O277+T277</f>
        <v>1</v>
      </c>
      <c r="X277" s="28">
        <f>V277/0.7+W277</f>
        <v>88.285714285714292</v>
      </c>
      <c r="Y277" s="28">
        <f>X277</f>
        <v>88.285714285714292</v>
      </c>
      <c r="Z277" s="38"/>
    </row>
    <row r="278" spans="1:26" ht="15.6" customHeight="1" x14ac:dyDescent="0.25">
      <c r="A278" s="38">
        <v>30</v>
      </c>
      <c r="B278" s="17" t="s">
        <v>767</v>
      </c>
      <c r="C278" s="48">
        <v>206</v>
      </c>
      <c r="D278" s="49" t="s">
        <v>875</v>
      </c>
      <c r="E278" s="48" t="s">
        <v>23</v>
      </c>
      <c r="F278" s="50">
        <v>7.2</v>
      </c>
      <c r="G278" s="32">
        <f>IF(B278="高三",IF($E278="男",LOOKUP(F278,[1]对照表!$G$3:$G$24,[1]对照表!$H$3:$H$24),LOOKUP(F278,[1]对照表!$G$27:$G$48,[1]对照表!$H$27:$H$48)),IF(B278="高二",IF($E278="男",LOOKUP(F278,[1]对照表!$F$3:$F$24,[1]对照表!$H$3:$H$24),LOOKUP(F278,[1]对照表!$F$27:$F$48,[1]对照表!$H$27:$H$48)),IF(B278="高一",IF($E278="男",LOOKUP(F278,[1]对照表!$E$3:$E$24,[1]对照表!$H$3:$H$24),LOOKUP(F278,[1]对照表!$E$27:$E$48,[1]对照表!$H$27:$H$48)))))</f>
        <v>90</v>
      </c>
      <c r="H278" s="38">
        <v>12.1</v>
      </c>
      <c r="I278" s="32">
        <f>IF(B278="高三",IF($E278="男",LOOKUP(H278,[1]对照表!$K$3:$K$24,[1]对照表!$L$3:$L$24),LOOKUP(H278,[1]对照表!$K$27:$K$48,[1]对照表!$L$27:$L$48)),IF(B278="高二",IF($E278="男",LOOKUP(H278,[1]对照表!$J$3:$J$24,[1]对照表!$L$3:$L$24),LOOKUP(H278,[1]对照表!$J$27:$J$48,[1]对照表!$L$27:$L$48)),IF(B278="高一",IF($E278="男",LOOKUP(H278,[1]对照表!$I$3:$I$24,[1]对照表!$L$3:$L$24),LOOKUP(H278,[1]对照表!$I$27:$I$48,[1]对照表!$L$27:$L$48)))))</f>
        <v>74</v>
      </c>
      <c r="J278" s="38">
        <v>247</v>
      </c>
      <c r="K278" s="32">
        <f>IF(B278="高三",IF($E278="男",LOOKUP(J278,[1]对照表!$O$3:$O$24,[1]对照表!$P$3:$P$24),LOOKUP(J278,[1]对照表!$O$27:$O$48,[1]对照表!$P$27:$P$48)),IF(B278="高二",IF($E278="男",LOOKUP(J278,[1]对照表!$N$3:$N$24,[1]对照表!$P$3:$P$24),LOOKUP(J278,[1]对照表!$N$27:$N$48,[1]对照表!$P$27:$P$48)),IF(B278="高一",IF($E278="男",LOOKUP(J278,[1]对照表!$M$3:$M$24,[1]对照表!$P$3:$P$24),LOOKUP(J278,[1]对照表!$M$27:$M$48,[1]对照表!$P$27:$P$48)))))</f>
        <v>80</v>
      </c>
      <c r="L278" s="38">
        <v>24</v>
      </c>
      <c r="M278" s="32">
        <f>IF(B278="高三",IF($E278="男",LOOKUP(L278,[1]对照表!$S$3:$S$24,[1]对照表!$T$3:$T$24),LOOKUP(L278,[1]对照表!$S$27:$S$48,[1]对照表!$T$27:$T$48)),IF(B278="高二",IF($E278="男",LOOKUP(L278,[1]对照表!$R$3:$R$24,[1]对照表!$T$3:$T$24),LOOKUP(L278,[1]对照表!$R$27:$R$48,[1]对照表!$T$27:$T$48)),IF(B278="高一",IF($E278="男",LOOKUP(L278,[1]对照表!$Q$3:$Q$24,[1]对照表!$T$3:$T$24),LOOKUP(L278,[1]对照表!$Q$27:$Q$48,[1]对照表!$T$27:$T$48)))))</f>
        <v>100</v>
      </c>
      <c r="N278" s="33">
        <f>IF(B278="高三",MAX(IF(E278="男",L278-18,L278-55),0),IF(B278="高二",MAX(IF(E278="男",L278-17,L278-54),0),IF(B278="高一",MAX(IF(E278="男",L278-16,L278-53),0))))</f>
        <v>7</v>
      </c>
      <c r="O278" s="23">
        <f>IF(E278="男",LOOKUP($N278,[1]对照表!$Z$3:$Z$13,[1]对照表!$AA$3:$AA$13),LOOKUP($N278,[1]对照表!$Z$15:$Z$25,[1]对照表!$AA$15:$AA$25))</f>
        <v>7</v>
      </c>
      <c r="P278" s="25">
        <f>M278+O278</f>
        <v>107</v>
      </c>
      <c r="Q278" s="50">
        <v>3.15</v>
      </c>
      <c r="R278" s="32">
        <f>IF(B278="高三",IF($E278="男",LOOKUP(Q278,[1]对照表!$W$3:$W$24,[1]对照表!$X$3:$X$24),LOOKUP(Q278,[1]对照表!$W$27:$W$48,[1]对照表!$X$27:$X$48)),IF(B278="高二",IF($E278="男",LOOKUP(Q278,[1]对照表!$V$3:$V$24,[1]对照表!$X$3:$X$24),LOOKUP(Q278,[1]对照表!$V$27:$V$48,[1]对照表!$X$27:$X$48)),IF(B278="高一",IF($E278="男",LOOKUP(Q278,[1]对照表!$U$3:$U$24,[1]对照表!$X$3:$X$24),LOOKUP(Q278,[1]对照表!$U$27:$U$48,[1]对照表!$X$27:$X$48)))))</f>
        <v>100</v>
      </c>
      <c r="S278" s="33">
        <f>ROUND(IF(IF($B278="高三",MIN(IF($E278="男",$Q278-3.2,$Q278-3.2),0),IF($B278="高二",MIN(IF($E278="男",$Q278-3.25,$Q278-3.22),0),IF($B278="高一",MIN(IF($E278="男",$Q278-3.3,$Q278-3.24),0))))&lt;-0.6,IF($B278="高三",MIN(IF($E278="男",$Q278-3.2,$Q278-3.2),0),IF($B278="高二",MIN(IF($E278="男",$Q278-3.25,$Q278-3.22),0),IF($B278="高一",MIN(IF($E278="男",$Q278-3.3,$Q278-3.24),0))))+0.4,IF($B278="高三",MIN(IF($E278="男",$Q278-3.2,$Q278-3.2),0),IF($B278="高二",MIN(IF($E278="男",$Q278-3.25,$Q278-3.22),0),IF($B278="高一",MIN(IF($E278="男",$Q278-3.3,$Q278-3.24),0))))),2)</f>
        <v>-0.1</v>
      </c>
      <c r="T278" s="23">
        <f>IF(E278="男",LOOKUP($S278,[1]对照表!$AB$3:$AB$13,[1]对照表!$AC$3:$AC$13),LOOKUP($S278,[1]对照表!$AB$15:$AB$25,[1]对照表!$AC$15:$AC$25))</f>
        <v>2</v>
      </c>
      <c r="U278" s="26">
        <f>R278+T278</f>
        <v>102</v>
      </c>
      <c r="V278" s="26">
        <f>SUM(I278,K278,M278)/3*0.3+SUM(G278,R278)/2*0.4</f>
        <v>63.400000000000006</v>
      </c>
      <c r="W278" s="27">
        <f>O278+T278</f>
        <v>9</v>
      </c>
      <c r="X278" s="28">
        <f>V278/0.7+W278</f>
        <v>99.571428571428584</v>
      </c>
      <c r="Y278" s="28">
        <f>X278</f>
        <v>99.571428571428584</v>
      </c>
      <c r="Z278" s="38"/>
    </row>
    <row r="279" spans="1:26" ht="15.6" x14ac:dyDescent="0.25">
      <c r="A279" s="48">
        <v>25</v>
      </c>
      <c r="B279" s="17" t="s">
        <v>767</v>
      </c>
      <c r="C279" s="48">
        <v>206</v>
      </c>
      <c r="D279" s="49" t="s">
        <v>893</v>
      </c>
      <c r="E279" s="48" t="s">
        <v>23</v>
      </c>
      <c r="F279" s="50">
        <v>7</v>
      </c>
      <c r="G279" s="32">
        <f>IF(B279="高三",IF($E279="男",LOOKUP(F279,[1]对照表!$G$3:$G$24,[1]对照表!$H$3:$H$24),LOOKUP(F279,[1]对照表!$G$27:$G$48,[1]对照表!$H$27:$H$48)),IF(B279="高二",IF($E279="男",LOOKUP(F279,[1]对照表!$F$3:$F$24,[1]对照表!$H$3:$H$24),LOOKUP(F279,[1]对照表!$F$27:$F$48,[1]对照表!$H$27:$H$48)),IF(B279="高一",IF($E279="男",LOOKUP(F279,[1]对照表!$E$3:$E$24,[1]对照表!$H$3:$H$24),LOOKUP(F279,[1]对照表!$E$27:$E$48,[1]对照表!$H$27:$H$48)))))</f>
        <v>100</v>
      </c>
      <c r="H279" s="38">
        <v>9</v>
      </c>
      <c r="I279" s="32">
        <f>IF(B279="高三",IF($E279="男",LOOKUP(H279,[1]对照表!$K$3:$K$24,[1]对照表!$L$3:$L$24),LOOKUP(H279,[1]对照表!$K$27:$K$48,[1]对照表!$L$27:$L$48)),IF(B279="高二",IF($E279="男",LOOKUP(H279,[1]对照表!$J$3:$J$24,[1]对照表!$L$3:$L$24),LOOKUP(H279,[1]对照表!$J$27:$J$48,[1]对照表!$L$27:$L$48)),IF(B279="高一",IF($E279="男",LOOKUP(H279,[1]对照表!$I$3:$I$24,[1]对照表!$L$3:$L$24),LOOKUP(H279,[1]对照表!$I$27:$I$48,[1]对照表!$L$27:$L$48)))))</f>
        <v>68</v>
      </c>
      <c r="J279" s="38">
        <v>270</v>
      </c>
      <c r="K279" s="32">
        <f>IF(B279="高三",IF($E279="男",LOOKUP(J279,[1]对照表!$O$3:$O$24,[1]对照表!$P$3:$P$24),LOOKUP(J279,[1]对照表!$O$27:$O$48,[1]对照表!$P$27:$P$48)),IF(B279="高二",IF($E279="男",LOOKUP(J279,[1]对照表!$N$3:$N$24,[1]对照表!$P$3:$P$24),LOOKUP(J279,[1]对照表!$N$27:$N$48,[1]对照表!$P$27:$P$48)),IF(B279="高一",IF($E279="男",LOOKUP(J279,[1]对照表!$M$3:$M$24,[1]对照表!$P$3:$P$24),LOOKUP(J279,[1]对照表!$M$27:$M$48,[1]对照表!$P$27:$P$48)))))</f>
        <v>100</v>
      </c>
      <c r="L279" s="38">
        <v>22</v>
      </c>
      <c r="M279" s="32">
        <f>IF(B279="高三",IF($E279="男",LOOKUP(L279,[1]对照表!$S$3:$S$24,[1]对照表!$T$3:$T$24),LOOKUP(L279,[1]对照表!$S$27:$S$48,[1]对照表!$T$27:$T$48)),IF(B279="高二",IF($E279="男",LOOKUP(L279,[1]对照表!$R$3:$R$24,[1]对照表!$T$3:$T$24),LOOKUP(L279,[1]对照表!$R$27:$R$48,[1]对照表!$T$27:$T$48)),IF(B279="高一",IF($E279="男",LOOKUP(L279,[1]对照表!$Q$3:$Q$24,[1]对照表!$T$3:$T$24),LOOKUP(L279,[1]对照表!$Q$27:$Q$48,[1]对照表!$T$27:$T$48)))))</f>
        <v>100</v>
      </c>
      <c r="N279" s="33">
        <f>IF(B279="高三",MAX(IF(E279="男",L279-18,L279-55),0),IF(B279="高二",MAX(IF(E279="男",L279-17,L279-54),0),IF(B279="高一",MAX(IF(E279="男",L279-16,L279-53),0))))</f>
        <v>5</v>
      </c>
      <c r="O279" s="23">
        <f>IF(E279="男",LOOKUP($N279,[1]对照表!$Z$3:$Z$13,[1]对照表!$AA$3:$AA$13),LOOKUP($N279,[1]对照表!$Z$15:$Z$25,[1]对照表!$AA$15:$AA$25))</f>
        <v>5</v>
      </c>
      <c r="P279" s="25">
        <f>M279+O279</f>
        <v>105</v>
      </c>
      <c r="Q279" s="50">
        <v>3.3</v>
      </c>
      <c r="R279" s="32">
        <f>IF(B279="高三",IF($E279="男",LOOKUP(Q279,[1]对照表!$W$3:$W$24,[1]对照表!$X$3:$X$24),LOOKUP(Q279,[1]对照表!$W$27:$W$48,[1]对照表!$X$27:$X$48)),IF(B279="高二",IF($E279="男",LOOKUP(Q279,[1]对照表!$V$3:$V$24,[1]对照表!$X$3:$X$24),LOOKUP(Q279,[1]对照表!$V$27:$V$48,[1]对照表!$X$27:$X$48)),IF(B279="高一",IF($E279="男",LOOKUP(Q279,[1]对照表!$U$3:$U$24,[1]对照表!$X$3:$X$24),LOOKUP(Q279,[1]对照表!$U$27:$U$48,[1]对照表!$X$27:$X$48)))))</f>
        <v>95</v>
      </c>
      <c r="S279" s="27">
        <f>ROUND(IF(IF($B279="高三",MIN(IF($E279="男",$Q279-3.2,$Q279-3.2),0),IF($B279="高二",MIN(IF($E279="男",$Q279-3.25,$Q279-3.22),0),IF($B279="高一",MIN(IF($E279="男",$Q279-3.3,$Q279-3.24),0))))&lt;-0.6,IF($B279="高三",MIN(IF($E279="男",$Q279-3.2,$Q279-3.2),0),IF($B279="高二",MIN(IF($E279="男",$Q279-3.25,$Q279-3.22),0),IF($B279="高一",MIN(IF($E279="男",$Q279-3.3,$Q279-3.24),0))))+0.4,IF($B279="高三",MIN(IF($E279="男",$Q279-3.2,$Q279-3.2),0),IF($B279="高二",MIN(IF($E279="男",$Q279-3.25,$Q279-3.22),0),IF($B279="高一",MIN(IF($E279="男",$Q279-3.3,$Q279-3.24),0))))),2)</f>
        <v>0</v>
      </c>
      <c r="T279" s="23">
        <f>IF(E279="男",LOOKUP($S279,[1]对照表!$AB$3:$AB$13,[1]对照表!$AC$3:$AC$13),LOOKUP($S279,[1]对照表!$AB$15:$AB$25,[1]对照表!$AC$15:$AC$25))</f>
        <v>0</v>
      </c>
      <c r="U279" s="26">
        <f>R279+T279</f>
        <v>95</v>
      </c>
      <c r="V279" s="26">
        <f>SUM(I279,K279,M279)/3*0.3+SUM(G279,R279)/2*0.4</f>
        <v>65.8</v>
      </c>
      <c r="W279" s="27">
        <f>O279+T279</f>
        <v>5</v>
      </c>
      <c r="X279" s="28">
        <f>V279/0.7+W279</f>
        <v>99</v>
      </c>
      <c r="Y279" s="28">
        <f>X279</f>
        <v>99</v>
      </c>
      <c r="Z279" s="38"/>
    </row>
    <row r="280" spans="1:26" ht="15.6" x14ac:dyDescent="0.25">
      <c r="A280" s="48">
        <v>39</v>
      </c>
      <c r="B280" s="17" t="s">
        <v>767</v>
      </c>
      <c r="C280" s="48">
        <v>206</v>
      </c>
      <c r="D280" s="49" t="s">
        <v>906</v>
      </c>
      <c r="E280" s="56" t="s">
        <v>65</v>
      </c>
      <c r="F280" s="50">
        <v>8.86</v>
      </c>
      <c r="G280" s="32">
        <f>IF(B280="高三",IF($E280="男",LOOKUP(F280,[1]对照表!$G$3:$G$24,[1]对照表!$H$3:$H$24),LOOKUP(F280,[1]对照表!$G$27:$G$48,[1]对照表!$H$27:$H$48)),IF(B280="高二",IF($E280="男",LOOKUP(F280,[1]对照表!$F$3:$F$24,[1]对照表!$H$3:$H$24),LOOKUP(F280,[1]对照表!$F$27:$F$48,[1]对照表!$H$27:$H$48)),IF(B280="高一",IF($E280="男",LOOKUP(F280,[1]对照表!$E$3:$E$24,[1]对照表!$H$3:$H$24),LOOKUP(F280,[1]对照表!$E$27:$E$48,[1]对照表!$H$27:$H$48)))))</f>
        <v>76</v>
      </c>
      <c r="H280" s="38">
        <v>22</v>
      </c>
      <c r="I280" s="32">
        <f>IF(B280="高三",IF($E280="男",LOOKUP(H280,[1]对照表!$K$3:$K$24,[1]对照表!$L$3:$L$24),LOOKUP(H280,[1]对照表!$K$27:$K$48,[1]对照表!$L$27:$L$48)),IF(B280="高二",IF($E280="男",LOOKUP(H280,[1]对照表!$J$3:$J$24,[1]对照表!$L$3:$L$24),LOOKUP(H280,[1]对照表!$J$27:$J$48,[1]对照表!$L$27:$L$48)),IF(B280="高一",IF($E280="男",LOOKUP(H280,[1]对照表!$I$3:$I$24,[1]对照表!$L$3:$L$24),LOOKUP(H280,[1]对照表!$I$27:$I$48,[1]对照表!$L$27:$L$48)))))</f>
        <v>90</v>
      </c>
      <c r="J280" s="38">
        <v>175</v>
      </c>
      <c r="K280" s="32">
        <f>IF(B280="高三",IF($E280="男",LOOKUP(J280,[1]对照表!$O$3:$O$24,[1]对照表!$P$3:$P$24),LOOKUP(J280,[1]对照表!$O$27:$O$48,[1]对照表!$P$27:$P$48)),IF(B280="高二",IF($E280="男",LOOKUP(J280,[1]对照表!$N$3:$N$24,[1]对照表!$P$3:$P$24),LOOKUP(J280,[1]对照表!$N$27:$N$48,[1]对照表!$P$27:$P$48)),IF(B280="高一",IF($E280="男",LOOKUP(J280,[1]对照表!$M$3:$M$24,[1]对照表!$P$3:$P$24),LOOKUP(J280,[1]对照表!$M$27:$M$48,[1]对照表!$P$27:$P$48)))))</f>
        <v>76</v>
      </c>
      <c r="L280" s="38">
        <v>52</v>
      </c>
      <c r="M280" s="32">
        <f>IF(B280="高三",IF($E280="男",LOOKUP(L280,[1]对照表!$S$3:$S$24,[1]对照表!$T$3:$T$24),LOOKUP(L280,[1]对照表!$S$27:$S$48,[1]对照表!$T$27:$T$48)),IF(B280="高二",IF($E280="男",LOOKUP(L280,[1]对照表!$R$3:$R$24,[1]对照表!$T$3:$T$24),LOOKUP(L280,[1]对照表!$R$27:$R$48,[1]对照表!$T$27:$T$48)),IF(B280="高一",IF($E280="男",LOOKUP(L280,[1]对照表!$Q$3:$Q$24,[1]对照表!$T$3:$T$24),LOOKUP(L280,[1]对照表!$Q$27:$Q$48,[1]对照表!$T$27:$T$48)))))</f>
        <v>95</v>
      </c>
      <c r="N280" s="33">
        <f>IF(B280="高三",MAX(IF(E280="男",L280-18,L280-55),0),IF(B280="高二",MAX(IF(E280="男",L280-17,L280-54),0),IF(B280="高一",MAX(IF(E280="男",L280-16,L280-53),0))))</f>
        <v>0</v>
      </c>
      <c r="O280" s="23">
        <f>IF(E280="男",LOOKUP($N280,[1]对照表!$Z$3:$Z$13,[1]对照表!$AA$3:$AA$13),LOOKUP($N280,[1]对照表!$Z$15:$Z$25,[1]对照表!$AA$15:$AA$25))</f>
        <v>0</v>
      </c>
      <c r="P280" s="25">
        <f>M280+O280</f>
        <v>95</v>
      </c>
      <c r="Q280" s="50">
        <v>3.27</v>
      </c>
      <c r="R280" s="32">
        <f>IF(B280="高三",IF($E280="男",LOOKUP(Q280,[1]对照表!$W$3:$W$24,[1]对照表!$X$3:$X$24),LOOKUP(Q280,[1]对照表!$W$27:$W$48,[1]对照表!$X$27:$X$48)),IF(B280="高二",IF($E280="男",LOOKUP(Q280,[1]对照表!$V$3:$V$24,[1]对照表!$X$3:$X$24),LOOKUP(Q280,[1]对照表!$V$27:$V$48,[1]对照表!$X$27:$X$48)),IF(B280="高一",IF($E280="男",LOOKUP(Q280,[1]对照表!$U$3:$U$24,[1]对照表!$X$3:$X$24),LOOKUP(Q280,[1]对照表!$U$27:$U$48,[1]对照表!$X$27:$X$48)))))</f>
        <v>95</v>
      </c>
      <c r="S280" s="33">
        <f>ROUND(IF(IF($B280="高三",MIN(IF($E280="男",$Q280-3.2,$Q280-3.2),0),IF($B280="高二",MIN(IF($E280="男",$Q280-3.25,$Q280-3.22),0),IF($B280="高一",MIN(IF($E280="男",$Q280-3.3,$Q280-3.24),0))))&lt;-0.6,IF($B280="高三",MIN(IF($E280="男",$Q280-3.2,$Q280-3.2),0),IF($B280="高二",MIN(IF($E280="男",$Q280-3.25,$Q280-3.22),0),IF($B280="高一",MIN(IF($E280="男",$Q280-3.3,$Q280-3.24),0))))+0.4,IF($B280="高三",MIN(IF($E280="男",$Q280-3.2,$Q280-3.2),0),IF($B280="高二",MIN(IF($E280="男",$Q280-3.25,$Q280-3.22),0),IF($B280="高一",MIN(IF($E280="男",$Q280-3.3,$Q280-3.24),0))))),2)</f>
        <v>0</v>
      </c>
      <c r="T280" s="23">
        <f>IF(E280="男",LOOKUP($S280,[1]对照表!$AB$3:$AB$13,[1]对照表!$AC$3:$AC$13),LOOKUP($S280,[1]对照表!$AB$15:$AB$25,[1]对照表!$AC$15:$AC$25))</f>
        <v>0</v>
      </c>
      <c r="U280" s="26">
        <f>R280+T280</f>
        <v>95</v>
      </c>
      <c r="V280" s="26">
        <f>SUM(I280,K280,M280)/3*0.3+SUM(G280,R280)/2*0.4</f>
        <v>60.3</v>
      </c>
      <c r="W280" s="27">
        <f>O280+T280</f>
        <v>0</v>
      </c>
      <c r="X280" s="28">
        <f>V280/0.7+W280</f>
        <v>86.142857142857139</v>
      </c>
      <c r="Y280" s="28">
        <f>X280</f>
        <v>86.142857142857139</v>
      </c>
      <c r="Z280" s="38"/>
    </row>
    <row r="281" spans="1:26" ht="15.6" x14ac:dyDescent="0.25">
      <c r="A281" s="38">
        <v>35</v>
      </c>
      <c r="B281" s="17" t="s">
        <v>767</v>
      </c>
      <c r="C281" s="48">
        <v>206</v>
      </c>
      <c r="D281" s="49" t="s">
        <v>937</v>
      </c>
      <c r="E281" s="56" t="s">
        <v>65</v>
      </c>
      <c r="F281" s="50">
        <v>8.59</v>
      </c>
      <c r="G281" s="32">
        <f>IF(B281="高三",IF($E281="男",LOOKUP(F281,[1]对照表!$G$3:$G$24,[1]对照表!$H$3:$H$24),LOOKUP(F281,[1]对照表!$G$27:$G$48,[1]对照表!$H$27:$H$48)),IF(B281="高二",IF($E281="男",LOOKUP(F281,[1]对照表!$F$3:$F$24,[1]对照表!$H$3:$H$24),LOOKUP(F281,[1]对照表!$F$27:$F$48,[1]对照表!$H$27:$H$48)),IF(B281="高一",IF($E281="男",LOOKUP(F281,[1]对照表!$E$3:$E$24,[1]对照表!$H$3:$H$24),LOOKUP(F281,[1]对照表!$E$27:$E$48,[1]对照表!$H$27:$H$48)))))</f>
        <v>78</v>
      </c>
      <c r="H281" s="38">
        <v>25</v>
      </c>
      <c r="I281" s="32">
        <f>IF(B281="高三",IF($E281="男",LOOKUP(H281,[1]对照表!$K$3:$K$24,[1]对照表!$L$3:$L$24),LOOKUP(H281,[1]对照表!$K$27:$K$48,[1]对照表!$L$27:$L$48)),IF(B281="高二",IF($E281="男",LOOKUP(H281,[1]对照表!$J$3:$J$24,[1]对照表!$L$3:$L$24),LOOKUP(H281,[1]对照表!$J$27:$J$48,[1]对照表!$L$27:$L$48)),IF(B281="高一",IF($E281="男",LOOKUP(H281,[1]对照表!$I$3:$I$24,[1]对照表!$L$3:$L$24),LOOKUP(H281,[1]对照表!$I$27:$I$48,[1]对照表!$L$27:$L$48)))))</f>
        <v>100</v>
      </c>
      <c r="J281" s="38">
        <v>182</v>
      </c>
      <c r="K281" s="32">
        <f>IF(B281="高三",IF($E281="男",LOOKUP(J281,[1]对照表!$O$3:$O$24,[1]对照表!$P$3:$P$24),LOOKUP(J281,[1]对照表!$O$27:$O$48,[1]对照表!$P$27:$P$48)),IF(B281="高二",IF($E281="男",LOOKUP(J281,[1]对照表!$N$3:$N$24,[1]对照表!$P$3:$P$24),LOOKUP(J281,[1]对照表!$N$27:$N$48,[1]对照表!$P$27:$P$48)),IF(B281="高一",IF($E281="男",LOOKUP(J281,[1]对照表!$M$3:$M$24,[1]对照表!$P$3:$P$24),LOOKUP(J281,[1]对照表!$M$27:$M$48,[1]对照表!$P$27:$P$48)))))</f>
        <v>80</v>
      </c>
      <c r="L281" s="38">
        <v>50</v>
      </c>
      <c r="M281" s="32">
        <f>IF(B281="高三",IF($E281="男",LOOKUP(L281,[1]对照表!$S$3:$S$24,[1]对照表!$T$3:$T$24),LOOKUP(L281,[1]对照表!$S$27:$S$48,[1]对照表!$T$27:$T$48)),IF(B281="高二",IF($E281="男",LOOKUP(L281,[1]对照表!$R$3:$R$24,[1]对照表!$T$3:$T$24),LOOKUP(L281,[1]对照表!$R$27:$R$48,[1]对照表!$T$27:$T$48)),IF(B281="高一",IF($E281="男",LOOKUP(L281,[1]对照表!$Q$3:$Q$24,[1]对照表!$T$3:$T$24),LOOKUP(L281,[1]对照表!$Q$27:$Q$48,[1]对照表!$T$27:$T$48)))))</f>
        <v>90</v>
      </c>
      <c r="N281" s="33">
        <f>IF(B281="高三",MAX(IF(E281="男",L281-18,L281-55),0),IF(B281="高二",MAX(IF(E281="男",L281-17,L281-54),0),IF(B281="高一",MAX(IF(E281="男",L281-16,L281-53),0))))</f>
        <v>0</v>
      </c>
      <c r="O281" s="23">
        <f>IF(E281="男",LOOKUP($N281,[1]对照表!$Z$3:$Z$13,[1]对照表!$AA$3:$AA$13),LOOKUP($N281,[1]对照表!$Z$15:$Z$25,[1]对照表!$AA$15:$AA$25))</f>
        <v>0</v>
      </c>
      <c r="P281" s="25">
        <f>M281+O281</f>
        <v>90</v>
      </c>
      <c r="Q281" s="50">
        <v>3.39</v>
      </c>
      <c r="R281" s="32">
        <f>IF(B281="高三",IF($E281="男",LOOKUP(Q281,[1]对照表!$W$3:$W$24,[1]对照表!$X$3:$X$24),LOOKUP(Q281,[1]对照表!$W$27:$W$48,[1]对照表!$X$27:$X$48)),IF(B281="高二",IF($E281="男",LOOKUP(Q281,[1]对照表!$V$3:$V$24,[1]对照表!$X$3:$X$24),LOOKUP(Q281,[1]对照表!$V$27:$V$48,[1]对照表!$X$27:$X$48)),IF(B281="高一",IF($E281="男",LOOKUP(Q281,[1]对照表!$U$3:$U$24,[1]对照表!$X$3:$X$24),LOOKUP(Q281,[1]对照表!$U$27:$U$48,[1]对照表!$X$27:$X$48)))))</f>
        <v>85</v>
      </c>
      <c r="S281" s="33">
        <f>ROUND(IF(IF($B281="高三",MIN(IF($E281="男",$Q281-3.2,$Q281-3.2),0),IF($B281="高二",MIN(IF($E281="男",$Q281-3.25,$Q281-3.22),0),IF($B281="高一",MIN(IF($E281="男",$Q281-3.3,$Q281-3.24),0))))&lt;-0.6,IF($B281="高三",MIN(IF($E281="男",$Q281-3.2,$Q281-3.2),0),IF($B281="高二",MIN(IF($E281="男",$Q281-3.25,$Q281-3.22),0),IF($B281="高一",MIN(IF($E281="男",$Q281-3.3,$Q281-3.24),0))))+0.4,IF($B281="高三",MIN(IF($E281="男",$Q281-3.2,$Q281-3.2),0),IF($B281="高二",MIN(IF($E281="男",$Q281-3.25,$Q281-3.22),0),IF($B281="高一",MIN(IF($E281="男",$Q281-3.3,$Q281-3.24),0))))),2)</f>
        <v>0</v>
      </c>
      <c r="T281" s="23">
        <f>IF(E281="男",LOOKUP($S281,[1]对照表!$AB$3:$AB$13,[1]对照表!$AC$3:$AC$13),LOOKUP($S281,[1]对照表!$AB$15:$AB$25,[1]对照表!$AC$15:$AC$25))</f>
        <v>0</v>
      </c>
      <c r="U281" s="26">
        <f>R281+T281</f>
        <v>85</v>
      </c>
      <c r="V281" s="26">
        <f>SUM(I281,K281,M281)/3*0.3+SUM(G281,R281)/2*0.4</f>
        <v>59.6</v>
      </c>
      <c r="W281" s="27">
        <f>O281+T281</f>
        <v>0</v>
      </c>
      <c r="X281" s="28">
        <f>V281/0.7+W281</f>
        <v>85.142857142857153</v>
      </c>
      <c r="Y281" s="28">
        <f>X281</f>
        <v>85.142857142857153</v>
      </c>
      <c r="Z281" s="38"/>
    </row>
    <row r="282" spans="1:26" ht="15.6" x14ac:dyDescent="0.25">
      <c r="A282" s="48">
        <v>5</v>
      </c>
      <c r="B282" s="17" t="s">
        <v>767</v>
      </c>
      <c r="C282" s="48">
        <v>206</v>
      </c>
      <c r="D282" s="49" t="s">
        <v>956</v>
      </c>
      <c r="E282" s="48" t="s">
        <v>23</v>
      </c>
      <c r="F282" s="50">
        <v>8.1999999999999993</v>
      </c>
      <c r="G282" s="32">
        <f>IF(B282="高三",IF($E282="男",LOOKUP(F282,[1]对照表!$G$3:$G$24,[1]对照表!$H$3:$H$24),LOOKUP(F282,[1]对照表!$G$27:$G$48,[1]对照表!$H$27:$H$48)),IF(B282="高二",IF($E282="男",LOOKUP(F282,[1]对照表!$F$3:$F$24,[1]对照表!$H$3:$H$24),LOOKUP(F282,[1]对照表!$F$27:$F$48,[1]对照表!$H$27:$H$48)),IF(B282="高一",IF($E282="男",LOOKUP(F282,[1]对照表!$E$3:$E$24,[1]对照表!$H$3:$H$24),LOOKUP(F282,[1]对照表!$E$27:$E$48,[1]对照表!$H$27:$H$48)))))</f>
        <v>72</v>
      </c>
      <c r="H282" s="38">
        <v>14</v>
      </c>
      <c r="I282" s="32">
        <f>IF(B282="高三",IF($E282="男",LOOKUP(H282,[1]对照表!$K$3:$K$24,[1]对照表!$L$3:$L$24),LOOKUP(H282,[1]对照表!$K$27:$K$48,[1]对照表!$L$27:$L$48)),IF(B282="高二",IF($E282="男",LOOKUP(H282,[1]对照表!$J$3:$J$24,[1]对照表!$L$3:$L$24),LOOKUP(H282,[1]对照表!$J$27:$J$48,[1]对照表!$L$27:$L$48)),IF(B282="高一",IF($E282="男",LOOKUP(H282,[1]对照表!$I$3:$I$24,[1]对照表!$L$3:$L$24),LOOKUP(H282,[1]对照表!$I$27:$I$48,[1]对照表!$L$27:$L$48)))))</f>
        <v>76</v>
      </c>
      <c r="J282" s="38">
        <v>221</v>
      </c>
      <c r="K282" s="32">
        <f>IF(B282="高三",IF($E282="男",LOOKUP(J282,[1]对照表!$O$3:$O$24,[1]对照表!$P$3:$P$24),LOOKUP(J282,[1]对照表!$O$27:$O$48,[1]对照表!$P$27:$P$48)),IF(B282="高二",IF($E282="男",LOOKUP(J282,[1]对照表!$N$3:$N$24,[1]对照表!$P$3:$P$24),LOOKUP(J282,[1]对照表!$N$27:$N$48,[1]对照表!$P$27:$P$48)),IF(B282="高一",IF($E282="男",LOOKUP(J282,[1]对照表!$M$3:$M$24,[1]对照表!$P$3:$P$24),LOOKUP(J282,[1]对照表!$M$27:$M$48,[1]对照表!$P$27:$P$48)))))</f>
        <v>70</v>
      </c>
      <c r="L282" s="38">
        <v>24</v>
      </c>
      <c r="M282" s="32">
        <f>IF(B282="高三",IF($E282="男",LOOKUP(L282,[1]对照表!$S$3:$S$24,[1]对照表!$T$3:$T$24),LOOKUP(L282,[1]对照表!$S$27:$S$48,[1]对照表!$T$27:$T$48)),IF(B282="高二",IF($E282="男",LOOKUP(L282,[1]对照表!$R$3:$R$24,[1]对照表!$T$3:$T$24),LOOKUP(L282,[1]对照表!$R$27:$R$48,[1]对照表!$T$27:$T$48)),IF(B282="高一",IF($E282="男",LOOKUP(L282,[1]对照表!$Q$3:$Q$24,[1]对照表!$T$3:$T$24),LOOKUP(L282,[1]对照表!$Q$27:$Q$48,[1]对照表!$T$27:$T$48)))))</f>
        <v>100</v>
      </c>
      <c r="N282" s="33">
        <f>IF(B282="高三",MAX(IF(E282="男",L282-18,L282-55),0),IF(B282="高二",MAX(IF(E282="男",L282-17,L282-54),0),IF(B282="高一",MAX(IF(E282="男",L282-16,L282-53),0))))</f>
        <v>7</v>
      </c>
      <c r="O282" s="23">
        <f>IF(E282="男",LOOKUP($N282,[1]对照表!$Z$3:$Z$13,[1]对照表!$AA$3:$AA$13),LOOKUP($N282,[1]对照表!$Z$15:$Z$25,[1]对照表!$AA$15:$AA$25))</f>
        <v>7</v>
      </c>
      <c r="P282" s="25">
        <f>M282+O282</f>
        <v>107</v>
      </c>
      <c r="Q282" s="50">
        <v>3.14</v>
      </c>
      <c r="R282" s="32">
        <f>IF(B282="高三",IF($E282="男",LOOKUP(Q282,[1]对照表!$W$3:$W$24,[1]对照表!$X$3:$X$24),LOOKUP(Q282,[1]对照表!$W$27:$W$48,[1]对照表!$X$27:$X$48)),IF(B282="高二",IF($E282="男",LOOKUP(Q282,[1]对照表!$V$3:$V$24,[1]对照表!$X$3:$X$24),LOOKUP(Q282,[1]对照表!$V$27:$V$48,[1]对照表!$X$27:$X$48)),IF(B282="高一",IF($E282="男",LOOKUP(Q282,[1]对照表!$U$3:$U$24,[1]对照表!$X$3:$X$24),LOOKUP(Q282,[1]对照表!$U$27:$U$48,[1]对照表!$X$27:$X$48)))))</f>
        <v>100</v>
      </c>
      <c r="S282" s="27">
        <f>ROUND(IF(IF($B282="高三",MIN(IF($E282="男",$Q282-3.2,$Q282-3.2),0),IF($B282="高二",MIN(IF($E282="男",$Q282-3.25,$Q282-3.22),0),IF($B282="高一",MIN(IF($E282="男",$Q282-3.3,$Q282-3.24),0))))&lt;-0.6,IF($B282="高三",MIN(IF($E282="男",$Q282-3.2,$Q282-3.2),0),IF($B282="高二",MIN(IF($E282="男",$Q282-3.25,$Q282-3.22),0),IF($B282="高一",MIN(IF($E282="男",$Q282-3.3,$Q282-3.24),0))))+0.4,IF($B282="高三",MIN(IF($E282="男",$Q282-3.2,$Q282-3.2),0),IF($B282="高二",MIN(IF($E282="男",$Q282-3.25,$Q282-3.22),0),IF($B282="高一",MIN(IF($E282="男",$Q282-3.3,$Q282-3.24),0))))),2)</f>
        <v>-0.11</v>
      </c>
      <c r="T282" s="23">
        <f>IF(E282="男",LOOKUP($S282,[1]对照表!$AB$3:$AB$13,[1]对照表!$AC$3:$AC$13),LOOKUP($S282,[1]对照表!$AB$15:$AB$25,[1]对照表!$AC$15:$AC$25))</f>
        <v>2</v>
      </c>
      <c r="U282" s="26">
        <f>R282+T282</f>
        <v>102</v>
      </c>
      <c r="V282" s="26">
        <f>SUM(I282,K282,M282)/3*0.3+SUM(G282,R282)/2*0.4</f>
        <v>59</v>
      </c>
      <c r="W282" s="27">
        <f>O282+T282</f>
        <v>9</v>
      </c>
      <c r="X282" s="28">
        <f>V282/0.7+W282</f>
        <v>93.285714285714292</v>
      </c>
      <c r="Y282" s="28">
        <f>X282</f>
        <v>93.285714285714292</v>
      </c>
      <c r="Z282" s="38"/>
    </row>
    <row r="283" spans="1:26" ht="15.6" x14ac:dyDescent="0.25">
      <c r="A283" s="48">
        <v>38</v>
      </c>
      <c r="B283" s="17" t="s">
        <v>767</v>
      </c>
      <c r="C283" s="48">
        <v>206</v>
      </c>
      <c r="D283" s="49" t="s">
        <v>970</v>
      </c>
      <c r="E283" s="56" t="s">
        <v>65</v>
      </c>
      <c r="F283" s="50">
        <v>9.07</v>
      </c>
      <c r="G283" s="32">
        <f>IF(B283="高三",IF($E283="男",LOOKUP(F283,[1]对照表!$G$3:$G$24,[1]对照表!$H$3:$H$24),LOOKUP(F283,[1]对照表!$G$27:$G$48,[1]对照表!$H$27:$H$48)),IF(B283="高二",IF($E283="男",LOOKUP(F283,[1]对照表!$F$3:$F$24,[1]对照表!$H$3:$H$24),LOOKUP(F283,[1]对照表!$F$27:$F$48,[1]对照表!$H$27:$H$48)),IF(B283="高一",IF($E283="男",LOOKUP(F283,[1]对照表!$E$3:$E$24,[1]对照表!$H$3:$H$24),LOOKUP(F283,[1]对照表!$E$27:$E$48,[1]对照表!$H$27:$H$48)))))</f>
        <v>74</v>
      </c>
      <c r="H283" s="38">
        <v>23</v>
      </c>
      <c r="I283" s="32">
        <f>IF(B283="高三",IF($E283="男",LOOKUP(H283,[1]对照表!$K$3:$K$24,[1]对照表!$L$3:$L$24),LOOKUP(H283,[1]对照表!$K$27:$K$48,[1]对照表!$L$27:$L$48)),IF(B283="高二",IF($E283="男",LOOKUP(H283,[1]对照表!$J$3:$J$24,[1]对照表!$L$3:$L$24),LOOKUP(H283,[1]对照表!$J$27:$J$48,[1]对照表!$L$27:$L$48)),IF(B283="高一",IF($E283="男",LOOKUP(H283,[1]对照表!$I$3:$I$24,[1]对照表!$L$3:$L$24),LOOKUP(H283,[1]对照表!$I$27:$I$48,[1]对照表!$L$27:$L$48)))))</f>
        <v>90</v>
      </c>
      <c r="J283" s="38">
        <v>195</v>
      </c>
      <c r="K283" s="32">
        <f>IF(B283="高三",IF($E283="男",LOOKUP(J283,[1]对照表!$O$3:$O$24,[1]对照表!$P$3:$P$24),LOOKUP(J283,[1]对照表!$O$27:$O$48,[1]对照表!$P$27:$P$48)),IF(B283="高二",IF($E283="男",LOOKUP(J283,[1]对照表!$N$3:$N$24,[1]对照表!$P$3:$P$24),LOOKUP(J283,[1]对照表!$N$27:$N$48,[1]对照表!$P$27:$P$48)),IF(B283="高一",IF($E283="男",LOOKUP(J283,[1]对照表!$M$3:$M$24,[1]对照表!$P$3:$P$24),LOOKUP(J283,[1]对照表!$M$27:$M$48,[1]对照表!$P$27:$P$48)))))</f>
        <v>90</v>
      </c>
      <c r="L283" s="38">
        <v>55</v>
      </c>
      <c r="M283" s="32">
        <f>IF(B283="高三",IF($E283="男",LOOKUP(L283,[1]对照表!$S$3:$S$24,[1]对照表!$T$3:$T$24),LOOKUP(L283,[1]对照表!$S$27:$S$48,[1]对照表!$T$27:$T$48)),IF(B283="高二",IF($E283="男",LOOKUP(L283,[1]对照表!$R$3:$R$24,[1]对照表!$T$3:$T$24),LOOKUP(L283,[1]对照表!$R$27:$R$48,[1]对照表!$T$27:$T$48)),IF(B283="高一",IF($E283="男",LOOKUP(L283,[1]对照表!$Q$3:$Q$24,[1]对照表!$T$3:$T$24),LOOKUP(L283,[1]对照表!$Q$27:$Q$48,[1]对照表!$T$27:$T$48)))))</f>
        <v>100</v>
      </c>
      <c r="N283" s="33">
        <f>IF(B283="高三",MAX(IF(E283="男",L283-18,L283-55),0),IF(B283="高二",MAX(IF(E283="男",L283-17,L283-54),0),IF(B283="高一",MAX(IF(E283="男",L283-16,L283-53),0))))</f>
        <v>1</v>
      </c>
      <c r="O283" s="23">
        <f>IF(E283="男",LOOKUP($N283,[1]对照表!$Z$3:$Z$13,[1]对照表!$AA$3:$AA$13),LOOKUP($N283,[1]对照表!$Z$15:$Z$25,[1]对照表!$AA$15:$AA$25))</f>
        <v>0</v>
      </c>
      <c r="P283" s="25">
        <f>M283+O283</f>
        <v>100</v>
      </c>
      <c r="Q283" s="50">
        <v>3.47</v>
      </c>
      <c r="R283" s="32">
        <f>IF(B283="高三",IF($E283="男",LOOKUP(Q283,[1]对照表!$W$3:$W$24,[1]对照表!$X$3:$X$24),LOOKUP(Q283,[1]对照表!$W$27:$W$48,[1]对照表!$X$27:$X$48)),IF(B283="高二",IF($E283="男",LOOKUP(Q283,[1]对照表!$V$3:$V$24,[1]对照表!$X$3:$X$24),LOOKUP(Q283,[1]对照表!$V$27:$V$48,[1]对照表!$X$27:$X$48)),IF(B283="高一",IF($E283="男",LOOKUP(Q283,[1]对照表!$U$3:$U$24,[1]对照表!$X$3:$X$24),LOOKUP(Q283,[1]对照表!$U$27:$U$48,[1]对照表!$X$27:$X$48)))))</f>
        <v>80</v>
      </c>
      <c r="S283" s="33">
        <f>ROUND(IF(IF($B283="高三",MIN(IF($E283="男",$Q283-3.2,$Q283-3.2),0),IF($B283="高二",MIN(IF($E283="男",$Q283-3.25,$Q283-3.22),0),IF($B283="高一",MIN(IF($E283="男",$Q283-3.3,$Q283-3.24),0))))&lt;-0.6,IF($B283="高三",MIN(IF($E283="男",$Q283-3.2,$Q283-3.2),0),IF($B283="高二",MIN(IF($E283="男",$Q283-3.25,$Q283-3.22),0),IF($B283="高一",MIN(IF($E283="男",$Q283-3.3,$Q283-3.24),0))))+0.4,IF($B283="高三",MIN(IF($E283="男",$Q283-3.2,$Q283-3.2),0),IF($B283="高二",MIN(IF($E283="男",$Q283-3.25,$Q283-3.22),0),IF($B283="高一",MIN(IF($E283="男",$Q283-3.3,$Q283-3.24),0))))),2)</f>
        <v>0</v>
      </c>
      <c r="T283" s="23">
        <f>IF(E283="男",LOOKUP($S283,[1]对照表!$AB$3:$AB$13,[1]对照表!$AC$3:$AC$13),LOOKUP($S283,[1]对照表!$AB$15:$AB$25,[1]对照表!$AC$15:$AC$25))</f>
        <v>0</v>
      </c>
      <c r="U283" s="26">
        <f>R283+T283</f>
        <v>80</v>
      </c>
      <c r="V283" s="26">
        <f>SUM(I283,K283,M283)/3*0.3+SUM(G283,R283)/2*0.4</f>
        <v>58.8</v>
      </c>
      <c r="W283" s="27">
        <f>O283+T283</f>
        <v>0</v>
      </c>
      <c r="X283" s="28">
        <f>V283/0.7+W283</f>
        <v>84</v>
      </c>
      <c r="Y283" s="28">
        <f>X283</f>
        <v>84</v>
      </c>
      <c r="Z283" s="38"/>
    </row>
    <row r="284" spans="1:26" ht="15.6" x14ac:dyDescent="0.25">
      <c r="A284" s="38">
        <v>20</v>
      </c>
      <c r="B284" s="17" t="s">
        <v>767</v>
      </c>
      <c r="C284" s="48">
        <v>206</v>
      </c>
      <c r="D284" s="49" t="s">
        <v>977</v>
      </c>
      <c r="E284" s="48" t="s">
        <v>23</v>
      </c>
      <c r="F284" s="50">
        <v>7.2</v>
      </c>
      <c r="G284" s="32">
        <f>IF(B284="高三",IF($E284="男",LOOKUP(F284,[1]对照表!$G$3:$G$24,[1]对照表!$H$3:$H$24),LOOKUP(F284,[1]对照表!$G$27:$G$48,[1]对照表!$H$27:$H$48)),IF(B284="高二",IF($E284="男",LOOKUP(F284,[1]对照表!$F$3:$F$24,[1]对照表!$H$3:$H$24),LOOKUP(F284,[1]对照表!$F$27:$F$48,[1]对照表!$H$27:$H$48)),IF(B284="高一",IF($E284="男",LOOKUP(F284,[1]对照表!$E$3:$E$24,[1]对照表!$H$3:$H$24),LOOKUP(F284,[1]对照表!$E$27:$E$48,[1]对照表!$H$27:$H$48)))))</f>
        <v>90</v>
      </c>
      <c r="H284" s="38">
        <v>7</v>
      </c>
      <c r="I284" s="32">
        <f>IF(B284="高三",IF($E284="男",LOOKUP(H284,[1]对照表!$K$3:$K$24,[1]对照表!$L$3:$L$24),LOOKUP(H284,[1]对照表!$K$27:$K$48,[1]对照表!$L$27:$L$48)),IF(B284="高二",IF($E284="男",LOOKUP(H284,[1]对照表!$J$3:$J$24,[1]对照表!$L$3:$L$24),LOOKUP(H284,[1]对照表!$J$27:$J$48,[1]对照表!$L$27:$L$48)),IF(B284="高一",IF($E284="男",LOOKUP(H284,[1]对照表!$I$3:$I$24,[1]对照表!$L$3:$L$24),LOOKUP(H284,[1]对照表!$I$27:$I$48,[1]对照表!$L$27:$L$48)))))</f>
        <v>66</v>
      </c>
      <c r="J284" s="38">
        <v>265</v>
      </c>
      <c r="K284" s="32">
        <f>IF(B284="高三",IF($E284="男",LOOKUP(J284,[1]对照表!$O$3:$O$24,[1]对照表!$P$3:$P$24),LOOKUP(J284,[1]对照表!$O$27:$O$48,[1]对照表!$P$27:$P$48)),IF(B284="高二",IF($E284="男",LOOKUP(J284,[1]对照表!$N$3:$N$24,[1]对照表!$P$3:$P$24),LOOKUP(J284,[1]对照表!$N$27:$N$48,[1]对照表!$P$27:$P$48)),IF(B284="高一",IF($E284="男",LOOKUP(J284,[1]对照表!$M$3:$M$24,[1]对照表!$P$3:$P$24),LOOKUP(J284,[1]对照表!$M$27:$M$48,[1]对照表!$P$27:$P$48)))))</f>
        <v>100</v>
      </c>
      <c r="L284" s="38">
        <v>18</v>
      </c>
      <c r="M284" s="32">
        <f>IF(B284="高三",IF($E284="男",LOOKUP(L284,[1]对照表!$S$3:$S$24,[1]对照表!$T$3:$T$24),LOOKUP(L284,[1]对照表!$S$27:$S$48,[1]对照表!$T$27:$T$48)),IF(B284="高二",IF($E284="男",LOOKUP(L284,[1]对照表!$R$3:$R$24,[1]对照表!$T$3:$T$24),LOOKUP(L284,[1]对照表!$R$27:$R$48,[1]对照表!$T$27:$T$48)),IF(B284="高一",IF($E284="男",LOOKUP(L284,[1]对照表!$Q$3:$Q$24,[1]对照表!$T$3:$T$24),LOOKUP(L284,[1]对照表!$Q$27:$Q$48,[1]对照表!$T$27:$T$48)))))</f>
        <v>100</v>
      </c>
      <c r="N284" s="33">
        <f>IF(B284="高三",MAX(IF(E284="男",L284-18,L284-55),0),IF(B284="高二",MAX(IF(E284="男",L284-17,L284-54),0),IF(B284="高一",MAX(IF(E284="男",L284-16,L284-53),0))))</f>
        <v>1</v>
      </c>
      <c r="O284" s="23">
        <f>IF(E284="男",LOOKUP($N284,[1]对照表!$Z$3:$Z$13,[1]对照表!$AA$3:$AA$13),LOOKUP($N284,[1]对照表!$Z$15:$Z$25,[1]对照表!$AA$15:$AA$25))</f>
        <v>1</v>
      </c>
      <c r="P284" s="25">
        <f>M284+O284</f>
        <v>101</v>
      </c>
      <c r="Q284" s="50">
        <v>3.29</v>
      </c>
      <c r="R284" s="32">
        <f>IF(B284="高三",IF($E284="男",LOOKUP(Q284,[1]对照表!$W$3:$W$24,[1]对照表!$X$3:$X$24),LOOKUP(Q284,[1]对照表!$W$27:$W$48,[1]对照表!$X$27:$X$48)),IF(B284="高二",IF($E284="男",LOOKUP(Q284,[1]对照表!$V$3:$V$24,[1]对照表!$X$3:$X$24),LOOKUP(Q284,[1]对照表!$V$27:$V$48,[1]对照表!$X$27:$X$48)),IF(B284="高一",IF($E284="男",LOOKUP(Q284,[1]对照表!$U$3:$U$24,[1]对照表!$X$3:$X$24),LOOKUP(Q284,[1]对照表!$U$27:$U$48,[1]对照表!$X$27:$X$48)))))</f>
        <v>95</v>
      </c>
      <c r="S284" s="33">
        <f>ROUND(IF(IF($B284="高三",MIN(IF($E284="男",$Q284-3.2,$Q284-3.2),0),IF($B284="高二",MIN(IF($E284="男",$Q284-3.25,$Q284-3.22),0),IF($B284="高一",MIN(IF($E284="男",$Q284-3.3,$Q284-3.24),0))))&lt;-0.6,IF($B284="高三",MIN(IF($E284="男",$Q284-3.2,$Q284-3.2),0),IF($B284="高二",MIN(IF($E284="男",$Q284-3.25,$Q284-3.22),0),IF($B284="高一",MIN(IF($E284="男",$Q284-3.3,$Q284-3.24),0))))+0.4,IF($B284="高三",MIN(IF($E284="男",$Q284-3.2,$Q284-3.2),0),IF($B284="高二",MIN(IF($E284="男",$Q284-3.25,$Q284-3.22),0),IF($B284="高一",MIN(IF($E284="男",$Q284-3.3,$Q284-3.24),0))))),2)</f>
        <v>0</v>
      </c>
      <c r="T284" s="23">
        <f>IF(E284="男",LOOKUP($S284,[1]对照表!$AB$3:$AB$13,[1]对照表!$AC$3:$AC$13),LOOKUP($S284,[1]对照表!$AB$15:$AB$25,[1]对照表!$AC$15:$AC$25))</f>
        <v>0</v>
      </c>
      <c r="U284" s="26">
        <f>R284+T284</f>
        <v>95</v>
      </c>
      <c r="V284" s="26">
        <f>SUM(I284,K284,M284)/3*0.3+SUM(G284,R284)/2*0.4</f>
        <v>63.6</v>
      </c>
      <c r="W284" s="27">
        <f>O284+T284</f>
        <v>1</v>
      </c>
      <c r="X284" s="28">
        <f>V284/0.7+W284</f>
        <v>91.857142857142861</v>
      </c>
      <c r="Y284" s="28">
        <f>X284</f>
        <v>91.857142857142861</v>
      </c>
      <c r="Z284" s="38"/>
    </row>
    <row r="285" spans="1:26" ht="15.6" x14ac:dyDescent="0.25">
      <c r="A285" s="38">
        <v>34</v>
      </c>
      <c r="B285" s="17" t="s">
        <v>767</v>
      </c>
      <c r="C285" s="48">
        <v>206</v>
      </c>
      <c r="D285" s="49" t="s">
        <v>980</v>
      </c>
      <c r="E285" s="56" t="s">
        <v>65</v>
      </c>
      <c r="F285" s="50">
        <v>8.44</v>
      </c>
      <c r="G285" s="32">
        <f>IF(B285="高三",IF($E285="男",LOOKUP(F285,[1]对照表!$G$3:$G$24,[1]对照表!$H$3:$H$24),LOOKUP(F285,[1]对照表!$G$27:$G$48,[1]对照表!$H$27:$H$48)),IF(B285="高二",IF($E285="男",LOOKUP(F285,[1]对照表!$F$3:$F$24,[1]对照表!$H$3:$H$24),LOOKUP(F285,[1]对照表!$F$27:$F$48,[1]对照表!$H$27:$H$48)),IF(B285="高一",IF($E285="男",LOOKUP(F285,[1]对照表!$E$3:$E$24,[1]对照表!$H$3:$H$24),LOOKUP(F285,[1]对照表!$E$27:$E$48,[1]对照表!$H$27:$H$48)))))</f>
        <v>80</v>
      </c>
      <c r="H285" s="38">
        <v>21</v>
      </c>
      <c r="I285" s="32">
        <f>IF(B285="高三",IF($E285="男",LOOKUP(H285,[1]对照表!$K$3:$K$24,[1]对照表!$L$3:$L$24),LOOKUP(H285,[1]对照表!$K$27:$K$48,[1]对照表!$L$27:$L$48)),IF(B285="高二",IF($E285="男",LOOKUP(H285,[1]对照表!$J$3:$J$24,[1]对照表!$L$3:$L$24),LOOKUP(H285,[1]对照表!$J$27:$J$48,[1]对照表!$L$27:$L$48)),IF(B285="高一",IF($E285="男",LOOKUP(H285,[1]对照表!$I$3:$I$24,[1]对照表!$L$3:$L$24),LOOKUP(H285,[1]对照表!$I$27:$I$48,[1]对照表!$L$27:$L$48)))))</f>
        <v>85</v>
      </c>
      <c r="J285" s="38">
        <v>185</v>
      </c>
      <c r="K285" s="32">
        <f>IF(B285="高三",IF($E285="男",LOOKUP(J285,[1]对照表!$O$3:$O$24,[1]对照表!$P$3:$P$24),LOOKUP(J285,[1]对照表!$O$27:$O$48,[1]对照表!$P$27:$P$48)),IF(B285="高二",IF($E285="男",LOOKUP(J285,[1]对照表!$N$3:$N$24,[1]对照表!$P$3:$P$24),LOOKUP(J285,[1]对照表!$N$27:$N$48,[1]对照表!$P$27:$P$48)),IF(B285="高一",IF($E285="男",LOOKUP(J285,[1]对照表!$M$3:$M$24,[1]对照表!$P$3:$P$24),LOOKUP(J285,[1]对照表!$M$27:$M$48,[1]对照表!$P$27:$P$48)))))</f>
        <v>80</v>
      </c>
      <c r="L285" s="38">
        <v>51</v>
      </c>
      <c r="M285" s="32">
        <f>IF(B285="高三",IF($E285="男",LOOKUP(L285,[1]对照表!$S$3:$S$24,[1]对照表!$T$3:$T$24),LOOKUP(L285,[1]对照表!$S$27:$S$48,[1]对照表!$T$27:$T$48)),IF(B285="高二",IF($E285="男",LOOKUP(L285,[1]对照表!$R$3:$R$24,[1]对照表!$T$3:$T$24),LOOKUP(L285,[1]对照表!$R$27:$R$48,[1]对照表!$T$27:$T$48)),IF(B285="高一",IF($E285="男",LOOKUP(L285,[1]对照表!$Q$3:$Q$24,[1]对照表!$T$3:$T$24),LOOKUP(L285,[1]对照表!$Q$27:$Q$48,[1]对照表!$T$27:$T$48)))))</f>
        <v>90</v>
      </c>
      <c r="N285" s="33">
        <f>IF(B285="高三",MAX(IF(E285="男",L285-18,L285-55),0),IF(B285="高二",MAX(IF(E285="男",L285-17,L285-54),0),IF(B285="高一",MAX(IF(E285="男",L285-16,L285-53),0))))</f>
        <v>0</v>
      </c>
      <c r="O285" s="23">
        <f>IF(E285="男",LOOKUP($N285,[1]对照表!$Z$3:$Z$13,[1]对照表!$AA$3:$AA$13),LOOKUP($N285,[1]对照表!$Z$15:$Z$25,[1]对照表!$AA$15:$AA$25))</f>
        <v>0</v>
      </c>
      <c r="P285" s="25">
        <f>M285+O285</f>
        <v>90</v>
      </c>
      <c r="Q285" s="50">
        <v>3.35</v>
      </c>
      <c r="R285" s="32">
        <f>IF(B285="高三",IF($E285="男",LOOKUP(Q285,[1]对照表!$W$3:$W$24,[1]对照表!$X$3:$X$24),LOOKUP(Q285,[1]对照表!$W$27:$W$48,[1]对照表!$X$27:$X$48)),IF(B285="高二",IF($E285="男",LOOKUP(Q285,[1]对照表!$V$3:$V$24,[1]对照表!$X$3:$X$24),LOOKUP(Q285,[1]对照表!$V$27:$V$48,[1]对照表!$X$27:$X$48)),IF(B285="高一",IF($E285="男",LOOKUP(Q285,[1]对照表!$U$3:$U$24,[1]对照表!$X$3:$X$24),LOOKUP(Q285,[1]对照表!$U$27:$U$48,[1]对照表!$X$27:$X$48)))))</f>
        <v>85</v>
      </c>
      <c r="S285" s="33">
        <f>ROUND(IF(IF($B285="高三",MIN(IF($E285="男",$Q285-3.2,$Q285-3.2),0),IF($B285="高二",MIN(IF($E285="男",$Q285-3.25,$Q285-3.22),0),IF($B285="高一",MIN(IF($E285="男",$Q285-3.3,$Q285-3.24),0))))&lt;-0.6,IF($B285="高三",MIN(IF($E285="男",$Q285-3.2,$Q285-3.2),0),IF($B285="高二",MIN(IF($E285="男",$Q285-3.25,$Q285-3.22),0),IF($B285="高一",MIN(IF($E285="男",$Q285-3.3,$Q285-3.24),0))))+0.4,IF($B285="高三",MIN(IF($E285="男",$Q285-3.2,$Q285-3.2),0),IF($B285="高二",MIN(IF($E285="男",$Q285-3.25,$Q285-3.22),0),IF($B285="高一",MIN(IF($E285="男",$Q285-3.3,$Q285-3.24),0))))),2)</f>
        <v>0</v>
      </c>
      <c r="T285" s="23">
        <f>IF(E285="男",LOOKUP($S285,[1]对照表!$AB$3:$AB$13,[1]对照表!$AC$3:$AC$13),LOOKUP($S285,[1]对照表!$AB$15:$AB$25,[1]对照表!$AC$15:$AC$25))</f>
        <v>0</v>
      </c>
      <c r="U285" s="26">
        <f>R285+T285</f>
        <v>85</v>
      </c>
      <c r="V285" s="26">
        <f>SUM(I285,K285,M285)/3*0.3+SUM(G285,R285)/2*0.4</f>
        <v>58.5</v>
      </c>
      <c r="W285" s="27">
        <f>O285+T285</f>
        <v>0</v>
      </c>
      <c r="X285" s="28">
        <f>V285/0.7+W285</f>
        <v>83.571428571428584</v>
      </c>
      <c r="Y285" s="28">
        <f>X285</f>
        <v>83.571428571428584</v>
      </c>
      <c r="Z285" s="38"/>
    </row>
    <row r="286" spans="1:26" ht="15.6" x14ac:dyDescent="0.25">
      <c r="A286" s="48">
        <v>10</v>
      </c>
      <c r="B286" s="17" t="s">
        <v>767</v>
      </c>
      <c r="C286" s="48">
        <v>206</v>
      </c>
      <c r="D286" s="49" t="s">
        <v>992</v>
      </c>
      <c r="E286" s="48" t="s">
        <v>23</v>
      </c>
      <c r="F286" s="50">
        <v>7</v>
      </c>
      <c r="G286" s="32">
        <f>IF(B286="高三",IF($E286="男",LOOKUP(F286,[1]对照表!$G$3:$G$24,[1]对照表!$H$3:$H$24),LOOKUP(F286,[1]对照表!$G$27:$G$48,[1]对照表!$H$27:$H$48)),IF(B286="高二",IF($E286="男",LOOKUP(F286,[1]对照表!$F$3:$F$24,[1]对照表!$H$3:$H$24),LOOKUP(F286,[1]对照表!$F$27:$F$48,[1]对照表!$H$27:$H$48)),IF(B286="高一",IF($E286="男",LOOKUP(F286,[1]对照表!$E$3:$E$24,[1]对照表!$H$3:$H$24),LOOKUP(F286,[1]对照表!$E$27:$E$48,[1]对照表!$H$27:$H$48)))))</f>
        <v>100</v>
      </c>
      <c r="H286" s="38">
        <v>11</v>
      </c>
      <c r="I286" s="32">
        <f>IF(B286="高三",IF($E286="男",LOOKUP(H286,[1]对照表!$K$3:$K$24,[1]对照表!$L$3:$L$24),LOOKUP(H286,[1]对照表!$K$27:$K$48,[1]对照表!$L$27:$L$48)),IF(B286="高二",IF($E286="男",LOOKUP(H286,[1]对照表!$J$3:$J$24,[1]对照表!$L$3:$L$24),LOOKUP(H286,[1]对照表!$J$27:$J$48,[1]对照表!$L$27:$L$48)),IF(B286="高一",IF($E286="男",LOOKUP(H286,[1]对照表!$I$3:$I$24,[1]对照表!$L$3:$L$24),LOOKUP(H286,[1]对照表!$I$27:$I$48,[1]对照表!$L$27:$L$48)))))</f>
        <v>72</v>
      </c>
      <c r="J286" s="38">
        <v>283</v>
      </c>
      <c r="K286" s="32">
        <f>IF(B286="高三",IF($E286="男",LOOKUP(J286,[1]对照表!$O$3:$O$24,[1]对照表!$P$3:$P$24),LOOKUP(J286,[1]对照表!$O$27:$O$48,[1]对照表!$P$27:$P$48)),IF(B286="高二",IF($E286="男",LOOKUP(J286,[1]对照表!$N$3:$N$24,[1]对照表!$P$3:$P$24),LOOKUP(J286,[1]对照表!$N$27:$N$48,[1]对照表!$P$27:$P$48)),IF(B286="高一",IF($E286="男",LOOKUP(J286,[1]对照表!$M$3:$M$24,[1]对照表!$P$3:$P$24),LOOKUP(J286,[1]对照表!$M$27:$M$48,[1]对照表!$P$27:$P$48)))))</f>
        <v>100</v>
      </c>
      <c r="L286" s="38">
        <v>13</v>
      </c>
      <c r="M286" s="32">
        <f>IF(B286="高三",IF($E286="男",LOOKUP(L286,[1]对照表!$S$3:$S$24,[1]对照表!$T$3:$T$24),LOOKUP(L286,[1]对照表!$S$27:$S$48,[1]对照表!$T$27:$T$48)),IF(B286="高二",IF($E286="男",LOOKUP(L286,[1]对照表!$R$3:$R$24,[1]对照表!$T$3:$T$24),LOOKUP(L286,[1]对照表!$R$27:$R$48,[1]对照表!$T$27:$T$48)),IF(B286="高一",IF($E286="男",LOOKUP(L286,[1]对照表!$Q$3:$Q$24,[1]对照表!$T$3:$T$24),LOOKUP(L286,[1]对照表!$Q$27:$Q$48,[1]对照表!$T$27:$T$48)))))</f>
        <v>80</v>
      </c>
      <c r="N286" s="33">
        <f>IF(B286="高三",MAX(IF(E286="男",L286-18,L286-55),0),IF(B286="高二",MAX(IF(E286="男",L286-17,L286-54),0),IF(B286="高一",MAX(IF(E286="男",L286-16,L286-53),0))))</f>
        <v>0</v>
      </c>
      <c r="O286" s="23">
        <f>IF(E286="男",LOOKUP($N286,[1]对照表!$Z$3:$Z$13,[1]对照表!$AA$3:$AA$13),LOOKUP($N286,[1]对照表!$Z$15:$Z$25,[1]对照表!$AA$15:$AA$25))</f>
        <v>0</v>
      </c>
      <c r="P286" s="25">
        <f>M286+O286</f>
        <v>80</v>
      </c>
      <c r="Q286" s="50">
        <v>3.35</v>
      </c>
      <c r="R286" s="32">
        <f>IF(B286="高三",IF($E286="男",LOOKUP(Q286,[1]对照表!$W$3:$W$24,[1]对照表!$X$3:$X$24),LOOKUP(Q286,[1]对照表!$W$27:$W$48,[1]对照表!$X$27:$X$48)),IF(B286="高二",IF($E286="男",LOOKUP(Q286,[1]对照表!$V$3:$V$24,[1]对照表!$X$3:$X$24),LOOKUP(Q286,[1]对照表!$V$27:$V$48,[1]对照表!$X$27:$X$48)),IF(B286="高一",IF($E286="男",LOOKUP(Q286,[1]对照表!$U$3:$U$24,[1]对照表!$X$3:$X$24),LOOKUP(Q286,[1]对照表!$U$27:$U$48,[1]对照表!$X$27:$X$48)))))</f>
        <v>90</v>
      </c>
      <c r="S286" s="27">
        <f>ROUND(IF(IF($B286="高三",MIN(IF($E286="男",$Q286-3.2,$Q286-3.2),0),IF($B286="高二",MIN(IF($E286="男",$Q286-3.25,$Q286-3.22),0),IF($B286="高一",MIN(IF($E286="男",$Q286-3.3,$Q286-3.24),0))))&lt;-0.6,IF($B286="高三",MIN(IF($E286="男",$Q286-3.2,$Q286-3.2),0),IF($B286="高二",MIN(IF($E286="男",$Q286-3.25,$Q286-3.22),0),IF($B286="高一",MIN(IF($E286="男",$Q286-3.3,$Q286-3.24),0))))+0.4,IF($B286="高三",MIN(IF($E286="男",$Q286-3.2,$Q286-3.2),0),IF($B286="高二",MIN(IF($E286="男",$Q286-3.25,$Q286-3.22),0),IF($B286="高一",MIN(IF($E286="男",$Q286-3.3,$Q286-3.24),0))))),2)</f>
        <v>0</v>
      </c>
      <c r="T286" s="23">
        <f>IF(E286="男",LOOKUP($S286,[1]对照表!$AB$3:$AB$13,[1]对照表!$AC$3:$AC$13),LOOKUP($S286,[1]对照表!$AB$15:$AB$25,[1]对照表!$AC$15:$AC$25))</f>
        <v>0</v>
      </c>
      <c r="U286" s="26">
        <f>R286+T286</f>
        <v>90</v>
      </c>
      <c r="V286" s="26">
        <f>SUM(I286,K286,M286)/3*0.3+SUM(G286,R286)/2*0.4</f>
        <v>63.2</v>
      </c>
      <c r="W286" s="27">
        <f>O286+T286</f>
        <v>0</v>
      </c>
      <c r="X286" s="28">
        <f>V286/0.7+W286</f>
        <v>90.285714285714292</v>
      </c>
      <c r="Y286" s="28">
        <f>X286</f>
        <v>90.285714285714292</v>
      </c>
      <c r="Z286" s="38"/>
    </row>
    <row r="287" spans="1:26" ht="15.6" customHeight="1" x14ac:dyDescent="0.25">
      <c r="A287" s="48">
        <v>37</v>
      </c>
      <c r="B287" s="17" t="s">
        <v>767</v>
      </c>
      <c r="C287" s="48">
        <v>206</v>
      </c>
      <c r="D287" s="49" t="s">
        <v>998</v>
      </c>
      <c r="E287" s="56" t="s">
        <v>65</v>
      </c>
      <c r="F287" s="50">
        <v>8.89</v>
      </c>
      <c r="G287" s="32">
        <f>IF(B287="高三",IF($E287="男",LOOKUP(F287,[1]对照表!$G$3:$G$24,[1]对照表!$H$3:$H$24),LOOKUP(F287,[1]对照表!$G$27:$G$48,[1]对照表!$H$27:$H$48)),IF(B287="高二",IF($E287="男",LOOKUP(F287,[1]对照表!$F$3:$F$24,[1]对照表!$H$3:$H$24),LOOKUP(F287,[1]对照表!$F$27:$F$48,[1]对照表!$H$27:$H$48)),IF(B287="高一",IF($E287="男",LOOKUP(F287,[1]对照表!$E$3:$E$24,[1]对照表!$H$3:$H$24),LOOKUP(F287,[1]对照表!$E$27:$E$48,[1]对照表!$H$27:$H$48)))))</f>
        <v>76</v>
      </c>
      <c r="H287" s="38">
        <v>24</v>
      </c>
      <c r="I287" s="32">
        <f>IF(B287="高三",IF($E287="男",LOOKUP(H287,[1]对照表!$K$3:$K$24,[1]对照表!$L$3:$L$24),LOOKUP(H287,[1]对照表!$K$27:$K$48,[1]对照表!$L$27:$L$48)),IF(B287="高二",IF($E287="男",LOOKUP(H287,[1]对照表!$J$3:$J$24,[1]对照表!$L$3:$L$24),LOOKUP(H287,[1]对照表!$J$27:$J$48,[1]对照表!$L$27:$L$48)),IF(B287="高一",IF($E287="男",LOOKUP(H287,[1]对照表!$I$3:$I$24,[1]对照表!$L$3:$L$24),LOOKUP(H287,[1]对照表!$I$27:$I$48,[1]对照表!$L$27:$L$48)))))</f>
        <v>95</v>
      </c>
      <c r="J287" s="38">
        <v>178</v>
      </c>
      <c r="K287" s="32">
        <f>IF(B287="高三",IF($E287="男",LOOKUP(J287,[1]对照表!$O$3:$O$24,[1]对照表!$P$3:$P$24),LOOKUP(J287,[1]对照表!$O$27:$O$48,[1]对照表!$P$27:$P$48)),IF(B287="高二",IF($E287="男",LOOKUP(J287,[1]对照表!$N$3:$N$24,[1]对照表!$P$3:$P$24),LOOKUP(J287,[1]对照表!$N$27:$N$48,[1]对照表!$P$27:$P$48)),IF(B287="高一",IF($E287="男",LOOKUP(J287,[1]对照表!$M$3:$M$24,[1]对照表!$P$3:$P$24),LOOKUP(J287,[1]对照表!$M$27:$M$48,[1]对照表!$P$27:$P$48)))))</f>
        <v>78</v>
      </c>
      <c r="L287" s="38">
        <v>48</v>
      </c>
      <c r="M287" s="32">
        <f>IF(B287="高三",IF($E287="男",LOOKUP(L287,[1]对照表!$S$3:$S$24,[1]对照表!$T$3:$T$24),LOOKUP(L287,[1]对照表!$S$27:$S$48,[1]对照表!$T$27:$T$48)),IF(B287="高二",IF($E287="男",LOOKUP(L287,[1]对照表!$R$3:$R$24,[1]对照表!$T$3:$T$24),LOOKUP(L287,[1]对照表!$R$27:$R$48,[1]对照表!$T$27:$T$48)),IF(B287="高一",IF($E287="男",LOOKUP(L287,[1]对照表!$Q$3:$Q$24,[1]对照表!$T$3:$T$24),LOOKUP(L287,[1]对照表!$Q$27:$Q$48,[1]对照表!$T$27:$T$48)))))</f>
        <v>85</v>
      </c>
      <c r="N287" s="33">
        <f>IF(B287="高三",MAX(IF(E287="男",L287-18,L287-55),0),IF(B287="高二",MAX(IF(E287="男",L287-17,L287-54),0),IF(B287="高一",MAX(IF(E287="男",L287-16,L287-53),0))))</f>
        <v>0</v>
      </c>
      <c r="O287" s="23">
        <f>IF(E287="男",LOOKUP($N287,[1]对照表!$Z$3:$Z$13,[1]对照表!$AA$3:$AA$13),LOOKUP($N287,[1]对照表!$Z$15:$Z$25,[1]对照表!$AA$15:$AA$25))</f>
        <v>0</v>
      </c>
      <c r="P287" s="25">
        <f>M287+O287</f>
        <v>85</v>
      </c>
      <c r="Q287" s="50">
        <v>3.38</v>
      </c>
      <c r="R287" s="32">
        <f>IF(B287="高三",IF($E287="男",LOOKUP(Q287,[1]对照表!$W$3:$W$24,[1]对照表!$X$3:$X$24),LOOKUP(Q287,[1]对照表!$W$27:$W$48,[1]对照表!$X$27:$X$48)),IF(B287="高二",IF($E287="男",LOOKUP(Q287,[1]对照表!$V$3:$V$24,[1]对照表!$X$3:$X$24),LOOKUP(Q287,[1]对照表!$V$27:$V$48,[1]对照表!$X$27:$X$48)),IF(B287="高一",IF($E287="男",LOOKUP(Q287,[1]对照表!$U$3:$U$24,[1]对照表!$X$3:$X$24),LOOKUP(Q287,[1]对照表!$U$27:$U$48,[1]对照表!$X$27:$X$48)))))</f>
        <v>85</v>
      </c>
      <c r="S287" s="27">
        <f>ROUND(IF(IF($B287="高三",MIN(IF($E287="男",$Q287-3.2,$Q287-3.2),0),IF($B287="高二",MIN(IF($E287="男",$Q287-3.25,$Q287-3.22),0),IF($B287="高一",MIN(IF($E287="男",$Q287-3.3,$Q287-3.24),0))))&lt;-0.6,IF($B287="高三",MIN(IF($E287="男",$Q287-3.2,$Q287-3.2),0),IF($B287="高二",MIN(IF($E287="男",$Q287-3.25,$Q287-3.22),0),IF($B287="高一",MIN(IF($E287="男",$Q287-3.3,$Q287-3.24),0))))+0.4,IF($B287="高三",MIN(IF($E287="男",$Q287-3.2,$Q287-3.2),0),IF($B287="高二",MIN(IF($E287="男",$Q287-3.25,$Q287-3.22),0),IF($B287="高一",MIN(IF($E287="男",$Q287-3.3,$Q287-3.24),0))))),2)</f>
        <v>0</v>
      </c>
      <c r="T287" s="23">
        <f>IF(E287="男",LOOKUP($S287,[1]对照表!$AB$3:$AB$13,[1]对照表!$AC$3:$AC$13),LOOKUP($S287,[1]对照表!$AB$15:$AB$25,[1]对照表!$AC$15:$AC$25))</f>
        <v>0</v>
      </c>
      <c r="U287" s="26">
        <f>R287+T287</f>
        <v>85</v>
      </c>
      <c r="V287" s="26">
        <f>SUM(I287,K287,M287)/3*0.3+SUM(G287,R287)/2*0.4</f>
        <v>58</v>
      </c>
      <c r="W287" s="27">
        <f>O287+T287</f>
        <v>0</v>
      </c>
      <c r="X287" s="28">
        <f>V287/0.7+W287</f>
        <v>82.857142857142861</v>
      </c>
      <c r="Y287" s="28">
        <f>X287</f>
        <v>82.857142857142861</v>
      </c>
      <c r="Z287" s="38"/>
    </row>
    <row r="288" spans="1:26" ht="15.6" x14ac:dyDescent="0.25">
      <c r="A288" s="48">
        <v>17</v>
      </c>
      <c r="B288" s="17" t="s">
        <v>767</v>
      </c>
      <c r="C288" s="48">
        <v>206</v>
      </c>
      <c r="D288" s="49" t="s">
        <v>1018</v>
      </c>
      <c r="E288" s="48" t="s">
        <v>23</v>
      </c>
      <c r="F288" s="50">
        <v>7</v>
      </c>
      <c r="G288" s="32">
        <f>IF(B288="高三",IF($E288="男",LOOKUP(F288,[1]对照表!$G$3:$G$24,[1]对照表!$H$3:$H$24),LOOKUP(F288,[1]对照表!$G$27:$G$48,[1]对照表!$H$27:$H$48)),IF(B288="高二",IF($E288="男",LOOKUP(F288,[1]对照表!$F$3:$F$24,[1]对照表!$H$3:$H$24),LOOKUP(F288,[1]对照表!$F$27:$F$48,[1]对照表!$H$27:$H$48)),IF(B288="高一",IF($E288="男",LOOKUP(F288,[1]对照表!$E$3:$E$24,[1]对照表!$H$3:$H$24),LOOKUP(F288,[1]对照表!$E$27:$E$48,[1]对照表!$H$27:$H$48)))))</f>
        <v>100</v>
      </c>
      <c r="H288" s="38">
        <v>16.8</v>
      </c>
      <c r="I288" s="32">
        <f>IF(B288="高三",IF($E288="男",LOOKUP(H288,[1]对照表!$K$3:$K$24,[1]对照表!$L$3:$L$24),LOOKUP(H288,[1]对照表!$K$27:$K$48,[1]对照表!$L$27:$L$48)),IF(B288="高二",IF($E288="男",LOOKUP(H288,[1]对照表!$J$3:$J$24,[1]对照表!$L$3:$L$24),LOOKUP(H288,[1]对照表!$J$27:$J$48,[1]对照表!$L$27:$L$48)),IF(B288="高一",IF($E288="男",LOOKUP(H288,[1]对照表!$I$3:$I$24,[1]对照表!$L$3:$L$24),LOOKUP(H288,[1]对照表!$I$27:$I$48,[1]对照表!$L$27:$L$48)))))</f>
        <v>80</v>
      </c>
      <c r="J288" s="38">
        <v>245</v>
      </c>
      <c r="K288" s="32">
        <f>IF(B288="高三",IF($E288="男",LOOKUP(J288,[1]对照表!$O$3:$O$24,[1]对照表!$P$3:$P$24),LOOKUP(J288,[1]对照表!$O$27:$O$48,[1]对照表!$P$27:$P$48)),IF(B288="高二",IF($E288="男",LOOKUP(J288,[1]对照表!$N$3:$N$24,[1]对照表!$P$3:$P$24),LOOKUP(J288,[1]对照表!$N$27:$N$48,[1]对照表!$P$27:$P$48)),IF(B288="高一",IF($E288="男",LOOKUP(J288,[1]对照表!$M$3:$M$24,[1]对照表!$P$3:$P$24),LOOKUP(J288,[1]对照表!$M$27:$M$48,[1]对照表!$P$27:$P$48)))))</f>
        <v>80</v>
      </c>
      <c r="L288" s="38">
        <v>12</v>
      </c>
      <c r="M288" s="32">
        <f>IF(B288="高三",IF($E288="男",LOOKUP(L288,[1]对照表!$S$3:$S$24,[1]对照表!$T$3:$T$24),LOOKUP(L288,[1]对照表!$S$27:$S$48,[1]对照表!$T$27:$T$48)),IF(B288="高二",IF($E288="男",LOOKUP(L288,[1]对照表!$R$3:$R$24,[1]对照表!$T$3:$T$24),LOOKUP(L288,[1]对照表!$R$27:$R$48,[1]对照表!$T$27:$T$48)),IF(B288="高一",IF($E288="男",LOOKUP(L288,[1]对照表!$Q$3:$Q$24,[1]对照表!$T$3:$T$24),LOOKUP(L288,[1]对照表!$Q$27:$Q$48,[1]对照表!$T$27:$T$48)))))</f>
        <v>76</v>
      </c>
      <c r="N288" s="33">
        <f>IF(B288="高三",MAX(IF(E288="男",L288-18,L288-55),0),IF(B288="高二",MAX(IF(E288="男",L288-17,L288-54),0),IF(B288="高一",MAX(IF(E288="男",L288-16,L288-53),0))))</f>
        <v>0</v>
      </c>
      <c r="O288" s="23">
        <f>IF(E288="男",LOOKUP($N288,[1]对照表!$Z$3:$Z$13,[1]对照表!$AA$3:$AA$13),LOOKUP($N288,[1]对照表!$Z$15:$Z$25,[1]对照表!$AA$15:$AA$25))</f>
        <v>0</v>
      </c>
      <c r="P288" s="25">
        <f>M288+O288</f>
        <v>76</v>
      </c>
      <c r="Q288" s="50">
        <v>3.28</v>
      </c>
      <c r="R288" s="32">
        <f>IF(B288="高三",IF($E288="男",LOOKUP(Q288,[1]对照表!$W$3:$W$24,[1]对照表!$X$3:$X$24),LOOKUP(Q288,[1]对照表!$W$27:$W$48,[1]对照表!$X$27:$X$48)),IF(B288="高二",IF($E288="男",LOOKUP(Q288,[1]对照表!$V$3:$V$24,[1]对照表!$X$3:$X$24),LOOKUP(Q288,[1]对照表!$V$27:$V$48,[1]对照表!$X$27:$X$48)),IF(B288="高一",IF($E288="男",LOOKUP(Q288,[1]对照表!$U$3:$U$24,[1]对照表!$X$3:$X$24),LOOKUP(Q288,[1]对照表!$U$27:$U$48,[1]对照表!$X$27:$X$48)))))</f>
        <v>95</v>
      </c>
      <c r="S288" s="33">
        <f>ROUND(IF(IF($B288="高三",MIN(IF($E288="男",$Q288-3.2,$Q288-3.2),0),IF($B288="高二",MIN(IF($E288="男",$Q288-3.25,$Q288-3.22),0),IF($B288="高一",MIN(IF($E288="男",$Q288-3.3,$Q288-3.24),0))))&lt;-0.6,IF($B288="高三",MIN(IF($E288="男",$Q288-3.2,$Q288-3.2),0),IF($B288="高二",MIN(IF($E288="男",$Q288-3.25,$Q288-3.22),0),IF($B288="高一",MIN(IF($E288="男",$Q288-3.3,$Q288-3.24),0))))+0.4,IF($B288="高三",MIN(IF($E288="男",$Q288-3.2,$Q288-3.2),0),IF($B288="高二",MIN(IF($E288="男",$Q288-3.25,$Q288-3.22),0),IF($B288="高一",MIN(IF($E288="男",$Q288-3.3,$Q288-3.24),0))))),2)</f>
        <v>0</v>
      </c>
      <c r="T288" s="23">
        <f>IF(E288="男",LOOKUP($S288,[1]对照表!$AB$3:$AB$13,[1]对照表!$AC$3:$AC$13),LOOKUP($S288,[1]对照表!$AB$15:$AB$25,[1]对照表!$AC$15:$AC$25))</f>
        <v>0</v>
      </c>
      <c r="U288" s="26">
        <f>R288+T288</f>
        <v>95</v>
      </c>
      <c r="V288" s="26">
        <f>SUM(I288,K288,M288)/3*0.3+SUM(G288,R288)/2*0.4</f>
        <v>62.6</v>
      </c>
      <c r="W288" s="27">
        <f>O288+T288</f>
        <v>0</v>
      </c>
      <c r="X288" s="28">
        <f>V288/0.7+W288</f>
        <v>89.428571428571431</v>
      </c>
      <c r="Y288" s="28">
        <f>X288</f>
        <v>89.428571428571431</v>
      </c>
      <c r="Z288" s="38"/>
    </row>
    <row r="289" spans="1:26" ht="15.6" x14ac:dyDescent="0.25">
      <c r="A289" s="48">
        <v>4</v>
      </c>
      <c r="B289" s="17" t="s">
        <v>767</v>
      </c>
      <c r="C289" s="48">
        <v>206</v>
      </c>
      <c r="D289" s="49" t="s">
        <v>1063</v>
      </c>
      <c r="E289" s="48" t="s">
        <v>23</v>
      </c>
      <c r="F289" s="50">
        <v>7.4</v>
      </c>
      <c r="G289" s="32">
        <f>IF(B289="高三",IF($E289="男",LOOKUP(F289,[1]对照表!$G$3:$G$24,[1]对照表!$H$3:$H$24),LOOKUP(F289,[1]对照表!$G$27:$G$48,[1]对照表!$H$27:$H$48)),IF(B289="高二",IF($E289="男",LOOKUP(F289,[1]对照表!$F$3:$F$24,[1]对照表!$H$3:$H$24),LOOKUP(F289,[1]对照表!$F$27:$F$48,[1]对照表!$H$27:$H$48)),IF(B289="高一",IF($E289="男",LOOKUP(F289,[1]对照表!$E$3:$E$24,[1]对照表!$H$3:$H$24),LOOKUP(F289,[1]对照表!$E$27:$E$48,[1]对照表!$H$27:$H$48)))))</f>
        <v>80</v>
      </c>
      <c r="H289" s="38">
        <v>15</v>
      </c>
      <c r="I289" s="32">
        <f>IF(B289="高三",IF($E289="男",LOOKUP(H289,[1]对照表!$K$3:$K$24,[1]对照表!$L$3:$L$24),LOOKUP(H289,[1]对照表!$K$27:$K$48,[1]对照表!$L$27:$L$48)),IF(B289="高二",IF($E289="男",LOOKUP(H289,[1]对照表!$J$3:$J$24,[1]对照表!$L$3:$L$24),LOOKUP(H289,[1]对照表!$J$27:$J$48,[1]对照表!$L$27:$L$48)),IF(B289="高一",IF($E289="男",LOOKUP(H289,[1]对照表!$I$3:$I$24,[1]对照表!$L$3:$L$24),LOOKUP(H289,[1]对照表!$I$27:$I$48,[1]对照表!$L$27:$L$48)))))</f>
        <v>78</v>
      </c>
      <c r="J289" s="38">
        <v>242</v>
      </c>
      <c r="K289" s="32">
        <f>IF(B289="高三",IF($E289="男",LOOKUP(J289,[1]对照表!$O$3:$O$24,[1]对照表!$P$3:$P$24),LOOKUP(J289,[1]对照表!$O$27:$O$48,[1]对照表!$P$27:$P$48)),IF(B289="高二",IF($E289="男",LOOKUP(J289,[1]对照表!$N$3:$N$24,[1]对照表!$P$3:$P$24),LOOKUP(J289,[1]对照表!$N$27:$N$48,[1]对照表!$P$27:$P$48)),IF(B289="高一",IF($E289="男",LOOKUP(J289,[1]对照表!$M$3:$M$24,[1]对照表!$P$3:$P$24),LOOKUP(J289,[1]对照表!$M$27:$M$48,[1]对照表!$P$27:$P$48)))))</f>
        <v>80</v>
      </c>
      <c r="L289" s="38">
        <v>20</v>
      </c>
      <c r="M289" s="32">
        <f>IF(B289="高三",IF($E289="男",LOOKUP(L289,[1]对照表!$S$3:$S$24,[1]对照表!$T$3:$T$24),LOOKUP(L289,[1]对照表!$S$27:$S$48,[1]对照表!$T$27:$T$48)),IF(B289="高二",IF($E289="男",LOOKUP(L289,[1]对照表!$R$3:$R$24,[1]对照表!$T$3:$T$24),LOOKUP(L289,[1]对照表!$R$27:$R$48,[1]对照表!$T$27:$T$48)),IF(B289="高一",IF($E289="男",LOOKUP(L289,[1]对照表!$Q$3:$Q$24,[1]对照表!$T$3:$T$24),LOOKUP(L289,[1]对照表!$Q$27:$Q$48,[1]对照表!$T$27:$T$48)))))</f>
        <v>100</v>
      </c>
      <c r="N289" s="33">
        <f>IF(B289="高三",MAX(IF(E289="男",L289-18,L289-55),0),IF(B289="高二",MAX(IF(E289="男",L289-17,L289-54),0),IF(B289="高一",MAX(IF(E289="男",L289-16,L289-53),0))))</f>
        <v>3</v>
      </c>
      <c r="O289" s="23">
        <f>IF(E289="男",LOOKUP($N289,[1]对照表!$Z$3:$Z$13,[1]对照表!$AA$3:$AA$13),LOOKUP($N289,[1]对照表!$Z$15:$Z$25,[1]对照表!$AA$15:$AA$25))</f>
        <v>3</v>
      </c>
      <c r="P289" s="25">
        <f>M289+O289</f>
        <v>103</v>
      </c>
      <c r="Q289" s="50">
        <v>3.42</v>
      </c>
      <c r="R289" s="32">
        <f>IF(B289="高三",IF($E289="男",LOOKUP(Q289,[1]对照表!$W$3:$W$24,[1]对照表!$X$3:$X$24),LOOKUP(Q289,[1]对照表!$W$27:$W$48,[1]对照表!$X$27:$X$48)),IF(B289="高二",IF($E289="男",LOOKUP(Q289,[1]对照表!$V$3:$V$24,[1]对照表!$X$3:$X$24),LOOKUP(Q289,[1]对照表!$V$27:$V$48,[1]对照表!$X$27:$X$48)),IF(B289="高一",IF($E289="男",LOOKUP(Q289,[1]对照表!$U$3:$U$24,[1]对照表!$X$3:$X$24),LOOKUP(Q289,[1]对照表!$U$27:$U$48,[1]对照表!$X$27:$X$48)))))</f>
        <v>85</v>
      </c>
      <c r="S289" s="33">
        <f>ROUND(IF(IF($B289="高三",MIN(IF($E289="男",$Q289-3.2,$Q289-3.2),0),IF($B289="高二",MIN(IF($E289="男",$Q289-3.25,$Q289-3.22),0),IF($B289="高一",MIN(IF($E289="男",$Q289-3.3,$Q289-3.24),0))))&lt;-0.6,IF($B289="高三",MIN(IF($E289="男",$Q289-3.2,$Q289-3.2),0),IF($B289="高二",MIN(IF($E289="男",$Q289-3.25,$Q289-3.22),0),IF($B289="高一",MIN(IF($E289="男",$Q289-3.3,$Q289-3.24),0))))+0.4,IF($B289="高三",MIN(IF($E289="男",$Q289-3.2,$Q289-3.2),0),IF($B289="高二",MIN(IF($E289="男",$Q289-3.25,$Q289-3.22),0),IF($B289="高一",MIN(IF($E289="男",$Q289-3.3,$Q289-3.24),0))))),2)</f>
        <v>0</v>
      </c>
      <c r="T289" s="23">
        <f>IF(E289="男",LOOKUP($S289,[1]对照表!$AB$3:$AB$13,[1]对照表!$AC$3:$AC$13),LOOKUP($S289,[1]对照表!$AB$15:$AB$25,[1]对照表!$AC$15:$AC$25))</f>
        <v>0</v>
      </c>
      <c r="U289" s="26">
        <f>R289+T289</f>
        <v>85</v>
      </c>
      <c r="V289" s="26">
        <f>SUM(I289,K289,M289)/3*0.3+SUM(G289,R289)/2*0.4</f>
        <v>58.8</v>
      </c>
      <c r="W289" s="27">
        <f>O289+T289</f>
        <v>3</v>
      </c>
      <c r="X289" s="28">
        <f>V289/0.7+W289</f>
        <v>87</v>
      </c>
      <c r="Y289" s="28">
        <f>X289</f>
        <v>87</v>
      </c>
      <c r="Z289" s="38"/>
    </row>
    <row r="290" spans="1:26" ht="15.6" x14ac:dyDescent="0.25">
      <c r="A290" s="38">
        <v>33</v>
      </c>
      <c r="B290" s="17" t="s">
        <v>767</v>
      </c>
      <c r="C290" s="48">
        <v>206</v>
      </c>
      <c r="D290" s="58" t="s">
        <v>1098</v>
      </c>
      <c r="E290" s="48" t="s">
        <v>23</v>
      </c>
      <c r="F290" s="50">
        <v>7.1</v>
      </c>
      <c r="G290" s="32">
        <f>IF(B290="高三",IF($E290="男",LOOKUP(F290,[1]对照表!$G$3:$G$24,[1]对照表!$H$3:$H$24),LOOKUP(F290,[1]对照表!$G$27:$G$48,[1]对照表!$H$27:$H$48)),IF(B290="高二",IF($E290="男",LOOKUP(F290,[1]对照表!$F$3:$F$24,[1]对照表!$H$3:$H$24),LOOKUP(F290,[1]对照表!$F$27:$F$48,[1]对照表!$H$27:$H$48)),IF(B290="高一",IF($E290="男",LOOKUP(F290,[1]对照表!$E$3:$E$24,[1]对照表!$H$3:$H$24),LOOKUP(F290,[1]对照表!$E$27:$E$48,[1]对照表!$H$27:$H$48)))))</f>
        <v>95</v>
      </c>
      <c r="H290" s="38">
        <v>17.5</v>
      </c>
      <c r="I290" s="32">
        <f>IF(B290="高三",IF($E290="男",LOOKUP(H290,[1]对照表!$K$3:$K$24,[1]对照表!$L$3:$L$24),LOOKUP(H290,[1]对照表!$K$27:$K$48,[1]对照表!$L$27:$L$48)),IF(B290="高二",IF($E290="男",LOOKUP(H290,[1]对照表!$J$3:$J$24,[1]对照表!$L$3:$L$24),LOOKUP(H290,[1]对照表!$J$27:$J$48,[1]对照表!$L$27:$L$48)),IF(B290="高一",IF($E290="男",LOOKUP(H290,[1]对照表!$I$3:$I$24,[1]对照表!$L$3:$L$24),LOOKUP(H290,[1]对照表!$I$27:$I$48,[1]对照表!$L$27:$L$48)))))</f>
        <v>80</v>
      </c>
      <c r="J290" s="38">
        <v>247</v>
      </c>
      <c r="K290" s="32">
        <f>IF(B290="高三",IF($E290="男",LOOKUP(J290,[1]对照表!$O$3:$O$24,[1]对照表!$P$3:$P$24),LOOKUP(J290,[1]对照表!$O$27:$O$48,[1]对照表!$P$27:$P$48)),IF(B290="高二",IF($E290="男",LOOKUP(J290,[1]对照表!$N$3:$N$24,[1]对照表!$P$3:$P$24),LOOKUP(J290,[1]对照表!$N$27:$N$48,[1]对照表!$P$27:$P$48)),IF(B290="高一",IF($E290="男",LOOKUP(J290,[1]对照表!$M$3:$M$24,[1]对照表!$P$3:$P$24),LOOKUP(J290,[1]对照表!$M$27:$M$48,[1]对照表!$P$27:$P$48)))))</f>
        <v>80</v>
      </c>
      <c r="L290" s="38">
        <v>10</v>
      </c>
      <c r="M290" s="32">
        <f>IF(B290="高三",IF($E290="男",LOOKUP(L290,[1]对照表!$S$3:$S$24,[1]对照表!$T$3:$T$24),LOOKUP(L290,[1]对照表!$S$27:$S$48,[1]对照表!$T$27:$T$48)),IF(B290="高二",IF($E290="男",LOOKUP(L290,[1]对照表!$R$3:$R$24,[1]对照表!$T$3:$T$24),LOOKUP(L290,[1]对照表!$R$27:$R$48,[1]对照表!$T$27:$T$48)),IF(B290="高一",IF($E290="男",LOOKUP(L290,[1]对照表!$Q$3:$Q$24,[1]对照表!$T$3:$T$24),LOOKUP(L290,[1]对照表!$Q$27:$Q$48,[1]对照表!$T$27:$T$48)))))</f>
        <v>68</v>
      </c>
      <c r="N290" s="33">
        <f>IF(B290="高三",MAX(IF(E290="男",L290-18,L290-55),0),IF(B290="高二",MAX(IF(E290="男",L290-17,L290-54),0),IF(B290="高一",MAX(IF(E290="男",L290-16,L290-53),0))))</f>
        <v>0</v>
      </c>
      <c r="O290" s="23">
        <f>IF(E290="男",LOOKUP($N290,[1]对照表!$Z$3:$Z$13,[1]对照表!$AA$3:$AA$13),LOOKUP($N290,[1]对照表!$Z$15:$Z$25,[1]对照表!$AA$15:$AA$25))</f>
        <v>0</v>
      </c>
      <c r="P290" s="25">
        <f>M290+O290</f>
        <v>68</v>
      </c>
      <c r="Q290" s="50">
        <v>3.33</v>
      </c>
      <c r="R290" s="32">
        <f>IF(B290="高三",IF($E290="男",LOOKUP(Q290,[1]对照表!$W$3:$W$24,[1]对照表!$X$3:$X$24),LOOKUP(Q290,[1]对照表!$W$27:$W$48,[1]对照表!$X$27:$X$48)),IF(B290="高二",IF($E290="男",LOOKUP(Q290,[1]对照表!$V$3:$V$24,[1]对照表!$X$3:$X$24),LOOKUP(Q290,[1]对照表!$V$27:$V$48,[1]对照表!$X$27:$X$48)),IF(B290="高一",IF($E290="男",LOOKUP(Q290,[1]对照表!$U$3:$U$24,[1]对照表!$X$3:$X$24),LOOKUP(Q290,[1]对照表!$U$27:$U$48,[1]对照表!$X$27:$X$48)))))</f>
        <v>90</v>
      </c>
      <c r="S290" s="33">
        <f>ROUND(IF(IF($B290="高三",MIN(IF($E290="男",$Q290-3.2,$Q290-3.2),0),IF($B290="高二",MIN(IF($E290="男",$Q290-3.25,$Q290-3.22),0),IF($B290="高一",MIN(IF($E290="男",$Q290-3.3,$Q290-3.24),0))))&lt;-0.6,IF($B290="高三",MIN(IF($E290="男",$Q290-3.2,$Q290-3.2),0),IF($B290="高二",MIN(IF($E290="男",$Q290-3.25,$Q290-3.22),0),IF($B290="高一",MIN(IF($E290="男",$Q290-3.3,$Q290-3.24),0))))+0.4,IF($B290="高三",MIN(IF($E290="男",$Q290-3.2,$Q290-3.2),0),IF($B290="高二",MIN(IF($E290="男",$Q290-3.25,$Q290-3.22),0),IF($B290="高一",MIN(IF($E290="男",$Q290-3.3,$Q290-3.24),0))))),2)</f>
        <v>0</v>
      </c>
      <c r="T290" s="23">
        <f>IF(E290="男",LOOKUP($S290,[1]对照表!$AB$3:$AB$13,[1]对照表!$AC$3:$AC$13),LOOKUP($S290,[1]对照表!$AB$15:$AB$25,[1]对照表!$AC$15:$AC$25))</f>
        <v>0</v>
      </c>
      <c r="U290" s="26">
        <f>R290+T290</f>
        <v>90</v>
      </c>
      <c r="V290" s="26">
        <f>SUM(I290,K290,M290)/3*0.3+SUM(G290,R290)/2*0.4</f>
        <v>59.8</v>
      </c>
      <c r="W290" s="27">
        <f>O290+T290</f>
        <v>0</v>
      </c>
      <c r="X290" s="28">
        <f>V290/0.7+W290</f>
        <v>85.428571428571431</v>
      </c>
      <c r="Y290" s="28">
        <f>X290</f>
        <v>85.428571428571431</v>
      </c>
      <c r="Z290" s="38"/>
    </row>
    <row r="291" spans="1:26" ht="15.6" x14ac:dyDescent="0.25">
      <c r="A291" s="48">
        <v>12</v>
      </c>
      <c r="B291" s="17" t="s">
        <v>767</v>
      </c>
      <c r="C291" s="48">
        <v>206</v>
      </c>
      <c r="D291" s="49" t="s">
        <v>1233</v>
      </c>
      <c r="E291" s="48" t="s">
        <v>23</v>
      </c>
      <c r="F291" s="50">
        <v>7.4</v>
      </c>
      <c r="G291" s="32">
        <f>IF(B291="高三",IF($E291="男",LOOKUP(F291,[1]对照表!$G$3:$G$24,[1]对照表!$H$3:$H$24),LOOKUP(F291,[1]对照表!$G$27:$G$48,[1]对照表!$H$27:$H$48)),IF(B291="高二",IF($E291="男",LOOKUP(F291,[1]对照表!$F$3:$F$24,[1]对照表!$H$3:$H$24),LOOKUP(F291,[1]对照表!$F$27:$F$48,[1]对照表!$H$27:$H$48)),IF(B291="高一",IF($E291="男",LOOKUP(F291,[1]对照表!$E$3:$E$24,[1]对照表!$H$3:$H$24),LOOKUP(F291,[1]对照表!$E$27:$E$48,[1]对照表!$H$27:$H$48)))))</f>
        <v>80</v>
      </c>
      <c r="H291" s="38">
        <v>14.3</v>
      </c>
      <c r="I291" s="32">
        <f>IF(B291="高三",IF($E291="男",LOOKUP(H291,[1]对照表!$K$3:$K$24,[1]对照表!$L$3:$L$24),LOOKUP(H291,[1]对照表!$K$27:$K$48,[1]对照表!$L$27:$L$48)),IF(B291="高二",IF($E291="男",LOOKUP(H291,[1]对照表!$J$3:$J$24,[1]对照表!$L$3:$L$24),LOOKUP(H291,[1]对照表!$J$27:$J$48,[1]对照表!$L$27:$L$48)),IF(B291="高一",IF($E291="男",LOOKUP(H291,[1]对照表!$I$3:$I$24,[1]对照表!$L$3:$L$24),LOOKUP(H291,[1]对照表!$I$27:$I$48,[1]对照表!$L$27:$L$48)))))</f>
        <v>76</v>
      </c>
      <c r="J291" s="38">
        <v>215</v>
      </c>
      <c r="K291" s="32">
        <f>IF(B291="高三",IF($E291="男",LOOKUP(J291,[1]对照表!$O$3:$O$24,[1]对照表!$P$3:$P$24),LOOKUP(J291,[1]对照表!$O$27:$O$48,[1]对照表!$P$27:$P$48)),IF(B291="高二",IF($E291="男",LOOKUP(J291,[1]对照表!$N$3:$N$24,[1]对照表!$P$3:$P$24),LOOKUP(J291,[1]对照表!$N$27:$N$48,[1]对照表!$P$27:$P$48)),IF(B291="高一",IF($E291="男",LOOKUP(J291,[1]对照表!$M$3:$M$24,[1]对照表!$P$3:$P$24),LOOKUP(J291,[1]对照表!$M$27:$M$48,[1]对照表!$P$27:$P$48)))))</f>
        <v>66</v>
      </c>
      <c r="L291" s="38">
        <v>11</v>
      </c>
      <c r="M291" s="32">
        <f>IF(B291="高三",IF($E291="男",LOOKUP(L291,[1]对照表!$S$3:$S$24,[1]对照表!$T$3:$T$24),LOOKUP(L291,[1]对照表!$S$27:$S$48,[1]对照表!$T$27:$T$48)),IF(B291="高二",IF($E291="男",LOOKUP(L291,[1]对照表!$R$3:$R$24,[1]对照表!$T$3:$T$24),LOOKUP(L291,[1]对照表!$R$27:$R$48,[1]对照表!$T$27:$T$48)),IF(B291="高一",IF($E291="男",LOOKUP(L291,[1]对照表!$Q$3:$Q$24,[1]对照表!$T$3:$T$24),LOOKUP(L291,[1]对照表!$Q$27:$Q$48,[1]对照表!$T$27:$T$48)))))</f>
        <v>72</v>
      </c>
      <c r="N291" s="33">
        <f>IF(B291="高三",MAX(IF(E291="男",L291-18,L291-55),0),IF(B291="高二",MAX(IF(E291="男",L291-17,L291-54),0),IF(B291="高一",MAX(IF(E291="男",L291-16,L291-53),0))))</f>
        <v>0</v>
      </c>
      <c r="O291" s="23">
        <f>IF(E291="男",LOOKUP($N291,[1]对照表!$Z$3:$Z$13,[1]对照表!$AA$3:$AA$13),LOOKUP($N291,[1]对照表!$Z$15:$Z$25,[1]对照表!$AA$15:$AA$25))</f>
        <v>0</v>
      </c>
      <c r="P291" s="25">
        <f>M291+O291</f>
        <v>72</v>
      </c>
      <c r="Q291" s="50">
        <v>3.31</v>
      </c>
      <c r="R291" s="32">
        <f>IF(B291="高三",IF($E291="男",LOOKUP(Q291,[1]对照表!$W$3:$W$24,[1]对照表!$X$3:$X$24),LOOKUP(Q291,[1]对照表!$W$27:$W$48,[1]对照表!$X$27:$X$48)),IF(B291="高二",IF($E291="男",LOOKUP(Q291,[1]对照表!$V$3:$V$24,[1]对照表!$X$3:$X$24),LOOKUP(Q291,[1]对照表!$V$27:$V$48,[1]对照表!$X$27:$X$48)),IF(B291="高一",IF($E291="男",LOOKUP(Q291,[1]对照表!$U$3:$U$24,[1]对照表!$X$3:$X$24),LOOKUP(Q291,[1]对照表!$U$27:$U$48,[1]对照表!$X$27:$X$48)))))</f>
        <v>90</v>
      </c>
      <c r="S291" s="33">
        <f>ROUND(IF(IF($B291="高三",MIN(IF($E291="男",$Q291-3.2,$Q291-3.2),0),IF($B291="高二",MIN(IF($E291="男",$Q291-3.25,$Q291-3.22),0),IF($B291="高一",MIN(IF($E291="男",$Q291-3.3,$Q291-3.24),0))))&lt;-0.6,IF($B291="高三",MIN(IF($E291="男",$Q291-3.2,$Q291-3.2),0),IF($B291="高二",MIN(IF($E291="男",$Q291-3.25,$Q291-3.22),0),IF($B291="高一",MIN(IF($E291="男",$Q291-3.3,$Q291-3.24),0))))+0.4,IF($B291="高三",MIN(IF($E291="男",$Q291-3.2,$Q291-3.2),0),IF($B291="高二",MIN(IF($E291="男",$Q291-3.25,$Q291-3.22),0),IF($B291="高一",MIN(IF($E291="男",$Q291-3.3,$Q291-3.24),0))))),2)</f>
        <v>0</v>
      </c>
      <c r="T291" s="23">
        <f>IF(E291="男",LOOKUP($S291,[1]对照表!$AB$3:$AB$13,[1]对照表!$AC$3:$AC$13),LOOKUP($S291,[1]对照表!$AB$15:$AB$25,[1]对照表!$AC$15:$AC$25))</f>
        <v>0</v>
      </c>
      <c r="U291" s="26">
        <f>R291+T291</f>
        <v>90</v>
      </c>
      <c r="V291" s="26">
        <f>SUM(I291,K291,M291)/3*0.3+SUM(G291,R291)/2*0.4</f>
        <v>55.4</v>
      </c>
      <c r="W291" s="27">
        <f>O291+T291</f>
        <v>0</v>
      </c>
      <c r="X291" s="28">
        <f>V291/0.7+W291</f>
        <v>79.142857142857139</v>
      </c>
      <c r="Y291" s="28">
        <f>X291</f>
        <v>79.142857142857139</v>
      </c>
      <c r="Z291" s="38"/>
    </row>
    <row r="292" spans="1:26" ht="15.6" x14ac:dyDescent="0.25">
      <c r="A292" s="48">
        <v>22</v>
      </c>
      <c r="B292" s="17" t="s">
        <v>767</v>
      </c>
      <c r="C292" s="48">
        <v>206</v>
      </c>
      <c r="D292" s="49" t="s">
        <v>1236</v>
      </c>
      <c r="E292" s="48" t="s">
        <v>23</v>
      </c>
      <c r="F292" s="50">
        <v>7.7</v>
      </c>
      <c r="G292" s="32">
        <f>IF(B292="高三",IF($E292="男",LOOKUP(F292,[1]对照表!$G$3:$G$24,[1]对照表!$H$3:$H$24),LOOKUP(F292,[1]对照表!$G$27:$G$48,[1]对照表!$H$27:$H$48)),IF(B292="高二",IF($E292="男",LOOKUP(F292,[1]对照表!$F$3:$F$24,[1]对照表!$H$3:$H$24),LOOKUP(F292,[1]对照表!$F$27:$F$48,[1]对照表!$H$27:$H$48)),IF(B292="高一",IF($E292="男",LOOKUP(F292,[1]对照表!$E$3:$E$24,[1]对照表!$H$3:$H$24),LOOKUP(F292,[1]对照表!$E$27:$E$48,[1]对照表!$H$27:$H$48)))))</f>
        <v>76</v>
      </c>
      <c r="H292" s="38">
        <v>13</v>
      </c>
      <c r="I292" s="32">
        <f>IF(B292="高三",IF($E292="男",LOOKUP(H292,[1]对照表!$K$3:$K$24,[1]对照表!$L$3:$L$24),LOOKUP(H292,[1]对照表!$K$27:$K$48,[1]对照表!$L$27:$L$48)),IF(B292="高二",IF($E292="男",LOOKUP(H292,[1]对照表!$J$3:$J$24,[1]对照表!$L$3:$L$24),LOOKUP(H292,[1]对照表!$J$27:$J$48,[1]对照表!$L$27:$L$48)),IF(B292="高一",IF($E292="男",LOOKUP(H292,[1]对照表!$I$3:$I$24,[1]对照表!$L$3:$L$24),LOOKUP(H292,[1]对照表!$I$27:$I$48,[1]对照表!$L$27:$L$48)))))</f>
        <v>74</v>
      </c>
      <c r="J292" s="38">
        <v>233</v>
      </c>
      <c r="K292" s="32">
        <f>IF(B292="高三",IF($E292="男",LOOKUP(J292,[1]对照表!$O$3:$O$24,[1]对照表!$P$3:$P$24),LOOKUP(J292,[1]对照表!$O$27:$O$48,[1]对照表!$P$27:$P$48)),IF(B292="高二",IF($E292="男",LOOKUP(J292,[1]对照表!$N$3:$N$24,[1]对照表!$P$3:$P$24),LOOKUP(J292,[1]对照表!$N$27:$N$48,[1]对照表!$P$27:$P$48)),IF(B292="高一",IF($E292="男",LOOKUP(J292,[1]对照表!$M$3:$M$24,[1]对照表!$P$3:$P$24),LOOKUP(J292,[1]对照表!$M$27:$M$48,[1]对照表!$P$27:$P$48)))))</f>
        <v>76</v>
      </c>
      <c r="L292" s="38">
        <v>17</v>
      </c>
      <c r="M292" s="32">
        <f>IF(B292="高三",IF($E292="男",LOOKUP(L292,[1]对照表!$S$3:$S$24,[1]对照表!$T$3:$T$24),LOOKUP(L292,[1]对照表!$S$27:$S$48,[1]对照表!$T$27:$T$48)),IF(B292="高二",IF($E292="男",LOOKUP(L292,[1]对照表!$R$3:$R$24,[1]对照表!$T$3:$T$24),LOOKUP(L292,[1]对照表!$R$27:$R$48,[1]对照表!$T$27:$T$48)),IF(B292="高一",IF($E292="男",LOOKUP(L292,[1]对照表!$Q$3:$Q$24,[1]对照表!$T$3:$T$24),LOOKUP(L292,[1]对照表!$Q$27:$Q$48,[1]对照表!$T$27:$T$48)))))</f>
        <v>100</v>
      </c>
      <c r="N292" s="33">
        <f>IF(B292="高三",MAX(IF(E292="男",L292-18,L292-55),0),IF(B292="高二",MAX(IF(E292="男",L292-17,L292-54),0),IF(B292="高一",MAX(IF(E292="男",L292-16,L292-53),0))))</f>
        <v>0</v>
      </c>
      <c r="O292" s="23">
        <f>IF(E292="男",LOOKUP($N292,[1]对照表!$Z$3:$Z$13,[1]对照表!$AA$3:$AA$13),LOOKUP($N292,[1]对照表!$Z$15:$Z$25,[1]对照表!$AA$15:$AA$25))</f>
        <v>0</v>
      </c>
      <c r="P292" s="25">
        <f>M292+O292</f>
        <v>100</v>
      </c>
      <c r="Q292" s="50">
        <v>3.57</v>
      </c>
      <c r="R292" s="32">
        <f>IF(B292="高三",IF($E292="男",LOOKUP(Q292,[1]对照表!$W$3:$W$24,[1]对照表!$X$3:$X$24),LOOKUP(Q292,[1]对照表!$W$27:$W$48,[1]对照表!$X$27:$X$48)),IF(B292="高二",IF($E292="男",LOOKUP(Q292,[1]对照表!$V$3:$V$24,[1]对照表!$X$3:$X$24),LOOKUP(Q292,[1]对照表!$V$27:$V$48,[1]对照表!$X$27:$X$48)),IF(B292="高一",IF($E292="男",LOOKUP(Q292,[1]对照表!$U$3:$U$24,[1]对照表!$X$3:$X$24),LOOKUP(Q292,[1]对照表!$U$27:$U$48,[1]对照表!$X$27:$X$48)))))</f>
        <v>76</v>
      </c>
      <c r="S292" s="33">
        <f>ROUND(IF(IF($B292="高三",MIN(IF($E292="男",$Q292-3.2,$Q292-3.2),0),IF($B292="高二",MIN(IF($E292="男",$Q292-3.25,$Q292-3.22),0),IF($B292="高一",MIN(IF($E292="男",$Q292-3.3,$Q292-3.24),0))))&lt;-0.6,IF($B292="高三",MIN(IF($E292="男",$Q292-3.2,$Q292-3.2),0),IF($B292="高二",MIN(IF($E292="男",$Q292-3.25,$Q292-3.22),0),IF($B292="高一",MIN(IF($E292="男",$Q292-3.3,$Q292-3.24),0))))+0.4,IF($B292="高三",MIN(IF($E292="男",$Q292-3.2,$Q292-3.2),0),IF($B292="高二",MIN(IF($E292="男",$Q292-3.25,$Q292-3.22),0),IF($B292="高一",MIN(IF($E292="男",$Q292-3.3,$Q292-3.24),0))))),2)</f>
        <v>0</v>
      </c>
      <c r="T292" s="23">
        <f>IF(E292="男",LOOKUP($S292,[1]对照表!$AB$3:$AB$13,[1]对照表!$AC$3:$AC$13),LOOKUP($S292,[1]对照表!$AB$15:$AB$25,[1]对照表!$AC$15:$AC$25))</f>
        <v>0</v>
      </c>
      <c r="U292" s="26">
        <f>R292+T292</f>
        <v>76</v>
      </c>
      <c r="V292" s="26">
        <f>SUM(I292,K292,M292)/3*0.3+SUM(G292,R292)/2*0.4</f>
        <v>55.4</v>
      </c>
      <c r="W292" s="27">
        <f>O292+T292</f>
        <v>0</v>
      </c>
      <c r="X292" s="28">
        <f>V292/0.7+W292</f>
        <v>79.142857142857139</v>
      </c>
      <c r="Y292" s="28">
        <f>X292</f>
        <v>79.142857142857139</v>
      </c>
      <c r="Z292" s="38"/>
    </row>
    <row r="293" spans="1:26" ht="15.6" customHeight="1" x14ac:dyDescent="0.25">
      <c r="A293" s="38">
        <v>9</v>
      </c>
      <c r="B293" s="17" t="s">
        <v>767</v>
      </c>
      <c r="C293" s="48">
        <v>206</v>
      </c>
      <c r="D293" s="49" t="s">
        <v>1270</v>
      </c>
      <c r="E293" s="48" t="s">
        <v>23</v>
      </c>
      <c r="F293" s="50">
        <v>7.9</v>
      </c>
      <c r="G293" s="32">
        <f>IF(B293="高三",IF($E293="男",LOOKUP(F293,[1]对照表!$G$3:$G$24,[1]对照表!$H$3:$H$24),LOOKUP(F293,[1]对照表!$G$27:$G$48,[1]对照表!$H$27:$H$48)),IF(B293="高二",IF($E293="男",LOOKUP(F293,[1]对照表!$F$3:$F$24,[1]对照表!$H$3:$H$24),LOOKUP(F293,[1]对照表!$F$27:$F$48,[1]对照表!$H$27:$H$48)),IF(B293="高一",IF($E293="男",LOOKUP(F293,[1]对照表!$E$3:$E$24,[1]对照表!$H$3:$H$24),LOOKUP(F293,[1]对照表!$E$27:$E$48,[1]对照表!$H$27:$H$48)))))</f>
        <v>74</v>
      </c>
      <c r="H293" s="38">
        <v>16</v>
      </c>
      <c r="I293" s="32">
        <f>IF(B293="高三",IF($E293="男",LOOKUP(H293,[1]对照表!$K$3:$K$24,[1]对照表!$L$3:$L$24),LOOKUP(H293,[1]对照表!$K$27:$K$48,[1]对照表!$L$27:$L$48)),IF(B293="高二",IF($E293="男",LOOKUP(H293,[1]对照表!$J$3:$J$24,[1]对照表!$L$3:$L$24),LOOKUP(H293,[1]对照表!$J$27:$J$48,[1]对照表!$L$27:$L$48)),IF(B293="高一",IF($E293="男",LOOKUP(H293,[1]对照表!$I$3:$I$24,[1]对照表!$L$3:$L$24),LOOKUP(H293,[1]对照表!$I$27:$I$48,[1]对照表!$L$27:$L$48)))))</f>
        <v>78</v>
      </c>
      <c r="J293" s="38">
        <v>247</v>
      </c>
      <c r="K293" s="32">
        <f>IF(B293="高三",IF($E293="男",LOOKUP(J293,[1]对照表!$O$3:$O$24,[1]对照表!$P$3:$P$24),LOOKUP(J293,[1]对照表!$O$27:$O$48,[1]对照表!$P$27:$P$48)),IF(B293="高二",IF($E293="男",LOOKUP(J293,[1]对照表!$N$3:$N$24,[1]对照表!$P$3:$P$24),LOOKUP(J293,[1]对照表!$N$27:$N$48,[1]对照表!$P$27:$P$48)),IF(B293="高一",IF($E293="男",LOOKUP(J293,[1]对照表!$M$3:$M$24,[1]对照表!$P$3:$P$24),LOOKUP(J293,[1]对照表!$M$27:$M$48,[1]对照表!$P$27:$P$48)))))</f>
        <v>80</v>
      </c>
      <c r="L293" s="38">
        <v>14</v>
      </c>
      <c r="M293" s="32">
        <f>IF(B293="高三",IF($E293="男",LOOKUP(L293,[1]对照表!$S$3:$S$24,[1]对照表!$T$3:$T$24),LOOKUP(L293,[1]对照表!$S$27:$S$48,[1]对照表!$T$27:$T$48)),IF(B293="高二",IF($E293="男",LOOKUP(L293,[1]对照表!$R$3:$R$24,[1]对照表!$T$3:$T$24),LOOKUP(L293,[1]对照表!$R$27:$R$48,[1]对照表!$T$27:$T$48)),IF(B293="高一",IF($E293="男",LOOKUP(L293,[1]对照表!$Q$3:$Q$24,[1]对照表!$T$3:$T$24),LOOKUP(L293,[1]对照表!$Q$27:$Q$48,[1]对照表!$T$27:$T$48)))))</f>
        <v>85</v>
      </c>
      <c r="N293" s="33">
        <f>IF(B293="高三",MAX(IF(E293="男",L293-18,L293-55),0),IF(B293="高二",MAX(IF(E293="男",L293-17,L293-54),0),IF(B293="高一",MAX(IF(E293="男",L293-16,L293-53),0))))</f>
        <v>0</v>
      </c>
      <c r="O293" s="23">
        <f>IF(E293="男",LOOKUP($N293,[1]对照表!$Z$3:$Z$13,[1]对照表!$AA$3:$AA$13),LOOKUP($N293,[1]对照表!$Z$15:$Z$25,[1]对照表!$AA$15:$AA$25))</f>
        <v>0</v>
      </c>
      <c r="P293" s="25">
        <f>M293+O293</f>
        <v>85</v>
      </c>
      <c r="Q293" s="50">
        <v>4.03</v>
      </c>
      <c r="R293" s="32">
        <f>IF(B293="高三",IF($E293="男",LOOKUP(Q293,[1]对照表!$W$3:$W$24,[1]对照表!$X$3:$X$24),LOOKUP(Q293,[1]对照表!$W$27:$W$48,[1]对照表!$X$27:$X$48)),IF(B293="高二",IF($E293="男",LOOKUP(Q293,[1]对照表!$V$3:$V$24,[1]对照表!$X$3:$X$24),LOOKUP(Q293,[1]对照表!$V$27:$V$48,[1]对照表!$X$27:$X$48)),IF(B293="高一",IF($E293="男",LOOKUP(Q293,[1]对照表!$U$3:$U$24,[1]对照表!$X$3:$X$24),LOOKUP(Q293,[1]对照表!$U$27:$U$48,[1]对照表!$X$27:$X$48)))))</f>
        <v>74</v>
      </c>
      <c r="S293" s="33">
        <f>ROUND(IF(IF($B293="高三",MIN(IF($E293="男",$Q293-3.2,$Q293-3.2),0),IF($B293="高二",MIN(IF($E293="男",$Q293-3.25,$Q293-3.22),0),IF($B293="高一",MIN(IF($E293="男",$Q293-3.3,$Q293-3.24),0))))&lt;-0.6,IF($B293="高三",MIN(IF($E293="男",$Q293-3.2,$Q293-3.2),0),IF($B293="高二",MIN(IF($E293="男",$Q293-3.25,$Q293-3.22),0),IF($B293="高一",MIN(IF($E293="男",$Q293-3.3,$Q293-3.24),0))))+0.4,IF($B293="高三",MIN(IF($E293="男",$Q293-3.2,$Q293-3.2),0),IF($B293="高二",MIN(IF($E293="男",$Q293-3.25,$Q293-3.22),0),IF($B293="高一",MIN(IF($E293="男",$Q293-3.3,$Q293-3.24),0))))),2)</f>
        <v>0</v>
      </c>
      <c r="T293" s="23">
        <f>IF(E293="男",LOOKUP($S293,[1]对照表!$AB$3:$AB$13,[1]对照表!$AC$3:$AC$13),LOOKUP($S293,[1]对照表!$AB$15:$AB$25,[1]对照表!$AC$15:$AC$25))</f>
        <v>0</v>
      </c>
      <c r="U293" s="26">
        <f>R293+T293</f>
        <v>74</v>
      </c>
      <c r="V293" s="26">
        <f>SUM(I293,K293,M293)/3*0.3+SUM(G293,R293)/2*0.4</f>
        <v>53.900000000000006</v>
      </c>
      <c r="W293" s="27">
        <f>O293+T293</f>
        <v>0</v>
      </c>
      <c r="X293" s="28">
        <f>V293/0.7+W293</f>
        <v>77.000000000000014</v>
      </c>
      <c r="Y293" s="28">
        <f>X293</f>
        <v>77.000000000000014</v>
      </c>
      <c r="Z293" s="62"/>
    </row>
    <row r="294" spans="1:26" ht="15.6" x14ac:dyDescent="0.25">
      <c r="A294" s="48">
        <v>18</v>
      </c>
      <c r="B294" s="17" t="s">
        <v>767</v>
      </c>
      <c r="C294" s="48">
        <v>206</v>
      </c>
      <c r="D294" s="49" t="s">
        <v>1313</v>
      </c>
      <c r="E294" s="48" t="s">
        <v>23</v>
      </c>
      <c r="F294" s="50">
        <v>7.5</v>
      </c>
      <c r="G294" s="32">
        <f>IF(B294="高三",IF($E294="男",LOOKUP(F294,[1]对照表!$G$3:$G$24,[1]对照表!$H$3:$H$24),LOOKUP(F294,[1]对照表!$G$27:$G$48,[1]对照表!$H$27:$H$48)),IF(B294="高二",IF($E294="男",LOOKUP(F294,[1]对照表!$F$3:$F$24,[1]对照表!$H$3:$H$24),LOOKUP(F294,[1]对照表!$F$27:$F$48,[1]对照表!$H$27:$H$48)),IF(B294="高一",IF($E294="男",LOOKUP(F294,[1]对照表!$E$3:$E$24,[1]对照表!$H$3:$H$24),LOOKUP(F294,[1]对照表!$E$27:$E$48,[1]对照表!$H$27:$H$48)))))</f>
        <v>78</v>
      </c>
      <c r="H294" s="38">
        <v>13.8</v>
      </c>
      <c r="I294" s="32">
        <f>IF(B294="高三",IF($E294="男",LOOKUP(H294,[1]对照表!$K$3:$K$24,[1]对照表!$L$3:$L$24),LOOKUP(H294,[1]对照表!$K$27:$K$48,[1]对照表!$L$27:$L$48)),IF(B294="高二",IF($E294="男",LOOKUP(H294,[1]对照表!$J$3:$J$24,[1]对照表!$L$3:$L$24),LOOKUP(H294,[1]对照表!$J$27:$J$48,[1]对照表!$L$27:$L$48)),IF(B294="高一",IF($E294="男",LOOKUP(H294,[1]对照表!$I$3:$I$24,[1]对照表!$L$3:$L$24),LOOKUP(H294,[1]对照表!$I$27:$I$48,[1]对照表!$L$27:$L$48)))))</f>
        <v>76</v>
      </c>
      <c r="J294" s="38">
        <v>255</v>
      </c>
      <c r="K294" s="32">
        <f>IF(B294="高三",IF($E294="男",LOOKUP(J294,[1]对照表!$O$3:$O$24,[1]对照表!$P$3:$P$24),LOOKUP(J294,[1]对照表!$O$27:$O$48,[1]对照表!$P$27:$P$48)),IF(B294="高二",IF($E294="男",LOOKUP(J294,[1]对照表!$N$3:$N$24,[1]对照表!$P$3:$P$24),LOOKUP(J294,[1]对照表!$N$27:$N$48,[1]对照表!$P$27:$P$48)),IF(B294="高一",IF($E294="男",LOOKUP(J294,[1]对照表!$M$3:$M$24,[1]对照表!$P$3:$P$24),LOOKUP(J294,[1]对照表!$M$27:$M$48,[1]对照表!$P$27:$P$48)))))</f>
        <v>90</v>
      </c>
      <c r="L294" s="38">
        <v>9</v>
      </c>
      <c r="M294" s="32">
        <f>IF(B294="高三",IF($E294="男",LOOKUP(L294,[1]对照表!$S$3:$S$24,[1]对照表!$T$3:$T$24),LOOKUP(L294,[1]对照表!$S$27:$S$48,[1]对照表!$T$27:$T$48)),IF(B294="高二",IF($E294="男",LOOKUP(L294,[1]对照表!$R$3:$R$24,[1]对照表!$T$3:$T$24),LOOKUP(L294,[1]对照表!$R$27:$R$48,[1]对照表!$T$27:$T$48)),IF(B294="高一",IF($E294="男",LOOKUP(L294,[1]对照表!$Q$3:$Q$24,[1]对照表!$T$3:$T$24),LOOKUP(L294,[1]对照表!$Q$27:$Q$48,[1]对照表!$T$27:$T$48)))))</f>
        <v>64</v>
      </c>
      <c r="N294" s="33">
        <f>IF(B294="高三",MAX(IF(E294="男",L294-18,L294-55),0),IF(B294="高二",MAX(IF(E294="男",L294-17,L294-54),0),IF(B294="高一",MAX(IF(E294="男",L294-16,L294-53),0))))</f>
        <v>0</v>
      </c>
      <c r="O294" s="23">
        <f>IF(E294="男",LOOKUP($N294,[1]对照表!$Z$3:$Z$13,[1]对照表!$AA$3:$AA$13),LOOKUP($N294,[1]对照表!$Z$15:$Z$25,[1]对照表!$AA$15:$AA$25))</f>
        <v>0</v>
      </c>
      <c r="P294" s="25">
        <f>M294+O294</f>
        <v>64</v>
      </c>
      <c r="Q294" s="50">
        <v>4.17</v>
      </c>
      <c r="R294" s="32">
        <f>IF(B294="高三",IF($E294="男",LOOKUP(Q294,[1]对照表!$W$3:$W$24,[1]对照表!$X$3:$X$24),LOOKUP(Q294,[1]对照表!$W$27:$W$48,[1]对照表!$X$27:$X$48)),IF(B294="高二",IF($E294="男",LOOKUP(Q294,[1]对照表!$V$3:$V$24,[1]对照表!$X$3:$X$24),LOOKUP(Q294,[1]对照表!$V$27:$V$48,[1]对照表!$X$27:$X$48)),IF(B294="高一",IF($E294="男",LOOKUP(Q294,[1]对照表!$U$3:$U$24,[1]对照表!$X$3:$X$24),LOOKUP(Q294,[1]对照表!$U$27:$U$48,[1]对照表!$X$27:$X$48)))))</f>
        <v>68</v>
      </c>
      <c r="S294" s="33">
        <f>ROUND(IF(IF($B294="高三",MIN(IF($E294="男",$Q294-3.2,$Q294-3.2),0),IF($B294="高二",MIN(IF($E294="男",$Q294-3.25,$Q294-3.22),0),IF($B294="高一",MIN(IF($E294="男",$Q294-3.3,$Q294-3.24),0))))&lt;-0.6,IF($B294="高三",MIN(IF($E294="男",$Q294-3.2,$Q294-3.2),0),IF($B294="高二",MIN(IF($E294="男",$Q294-3.25,$Q294-3.22),0),IF($B294="高一",MIN(IF($E294="男",$Q294-3.3,$Q294-3.24),0))))+0.4,IF($B294="高三",MIN(IF($E294="男",$Q294-3.2,$Q294-3.2),0),IF($B294="高二",MIN(IF($E294="男",$Q294-3.25,$Q294-3.22),0),IF($B294="高一",MIN(IF($E294="男",$Q294-3.3,$Q294-3.24),0))))),2)</f>
        <v>0</v>
      </c>
      <c r="T294" s="23">
        <f>IF(E294="男",LOOKUP($S294,[1]对照表!$AB$3:$AB$13,[1]对照表!$AC$3:$AC$13),LOOKUP($S294,[1]对照表!$AB$15:$AB$25,[1]对照表!$AC$15:$AC$25))</f>
        <v>0</v>
      </c>
      <c r="U294" s="26">
        <f>R294+T294</f>
        <v>68</v>
      </c>
      <c r="V294" s="26">
        <f>SUM(I294,K294,M294)/3*0.3+SUM(G294,R294)/2*0.4</f>
        <v>52.2</v>
      </c>
      <c r="W294" s="27">
        <f>O294+T294</f>
        <v>0</v>
      </c>
      <c r="X294" s="28">
        <f>V294/0.7+W294</f>
        <v>74.571428571428584</v>
      </c>
      <c r="Y294" s="28">
        <f>X294</f>
        <v>74.571428571428584</v>
      </c>
      <c r="Z294" s="38"/>
    </row>
    <row r="295" spans="1:26" ht="15.6" customHeight="1" x14ac:dyDescent="0.25">
      <c r="A295" s="48">
        <v>19</v>
      </c>
      <c r="B295" s="17" t="s">
        <v>767</v>
      </c>
      <c r="C295" s="48">
        <v>206</v>
      </c>
      <c r="D295" s="49" t="s">
        <v>1345</v>
      </c>
      <c r="E295" s="48" t="s">
        <v>23</v>
      </c>
      <c r="F295" s="50">
        <v>8</v>
      </c>
      <c r="G295" s="32">
        <f>IF(B295="高三",IF($E295="男",LOOKUP(F295,[1]对照表!$G$3:$G$24,[1]对照表!$H$3:$H$24),LOOKUP(F295,[1]对照表!$G$27:$G$48,[1]对照表!$H$27:$H$48)),IF(B295="高二",IF($E295="男",LOOKUP(F295,[1]对照表!$F$3:$F$24,[1]对照表!$H$3:$H$24),LOOKUP(F295,[1]对照表!$F$27:$F$48,[1]对照表!$H$27:$H$48)),IF(B295="高一",IF($E295="男",LOOKUP(F295,[1]对照表!$E$3:$E$24,[1]对照表!$H$3:$H$24),LOOKUP(F295,[1]对照表!$E$27:$E$48,[1]对照表!$H$27:$H$48)))))</f>
        <v>74</v>
      </c>
      <c r="H295" s="38">
        <v>10.199999999999999</v>
      </c>
      <c r="I295" s="32">
        <f>IF(B295="高三",IF($E295="男",LOOKUP(H295,[1]对照表!$K$3:$K$24,[1]对照表!$L$3:$L$24),LOOKUP(H295,[1]对照表!$K$27:$K$48,[1]对照表!$L$27:$L$48)),IF(B295="高二",IF($E295="男",LOOKUP(H295,[1]对照表!$J$3:$J$24,[1]对照表!$L$3:$L$24),LOOKUP(H295,[1]对照表!$J$27:$J$48,[1]对照表!$L$27:$L$48)),IF(B295="高一",IF($E295="男",LOOKUP(H295,[1]对照表!$I$3:$I$24,[1]对照表!$L$3:$L$24),LOOKUP(H295,[1]对照表!$I$27:$I$48,[1]对照表!$L$27:$L$48)))))</f>
        <v>70</v>
      </c>
      <c r="J295" s="38">
        <v>215</v>
      </c>
      <c r="K295" s="32">
        <f>IF(B295="高三",IF($E295="男",LOOKUP(J295,[1]对照表!$O$3:$O$24,[1]对照表!$P$3:$P$24),LOOKUP(J295,[1]对照表!$O$27:$O$48,[1]对照表!$P$27:$P$48)),IF(B295="高二",IF($E295="男",LOOKUP(J295,[1]对照表!$N$3:$N$24,[1]对照表!$P$3:$P$24),LOOKUP(J295,[1]对照表!$N$27:$N$48,[1]对照表!$P$27:$P$48)),IF(B295="高一",IF($E295="男",LOOKUP(J295,[1]对照表!$M$3:$M$24,[1]对照表!$P$3:$P$24),LOOKUP(J295,[1]对照表!$M$27:$M$48,[1]对照表!$P$27:$P$48)))))</f>
        <v>66</v>
      </c>
      <c r="L295" s="38">
        <v>9</v>
      </c>
      <c r="M295" s="32">
        <f>IF(B295="高三",IF($E295="男",LOOKUP(L295,[1]对照表!$S$3:$S$24,[1]对照表!$T$3:$T$24),LOOKUP(L295,[1]对照表!$S$27:$S$48,[1]对照表!$T$27:$T$48)),IF(B295="高二",IF($E295="男",LOOKUP(L295,[1]对照表!$R$3:$R$24,[1]对照表!$T$3:$T$24),LOOKUP(L295,[1]对照表!$R$27:$R$48,[1]对照表!$T$27:$T$48)),IF(B295="高一",IF($E295="男",LOOKUP(L295,[1]对照表!$Q$3:$Q$24,[1]对照表!$T$3:$T$24),LOOKUP(L295,[1]对照表!$Q$27:$Q$48,[1]对照表!$T$27:$T$48)))))</f>
        <v>64</v>
      </c>
      <c r="N295" s="33">
        <f>IF(B295="高三",MAX(IF(E295="男",L295-18,L295-55),0),IF(B295="高二",MAX(IF(E295="男",L295-17,L295-54),0),IF(B295="高一",MAX(IF(E295="男",L295-16,L295-53),0))))</f>
        <v>0</v>
      </c>
      <c r="O295" s="23">
        <f>IF(E295="男",LOOKUP($N295,[1]对照表!$Z$3:$Z$13,[1]对照表!$AA$3:$AA$13),LOOKUP($N295,[1]对照表!$Z$15:$Z$25,[1]对照表!$AA$15:$AA$25))</f>
        <v>0</v>
      </c>
      <c r="P295" s="25">
        <f>M295+O295</f>
        <v>64</v>
      </c>
      <c r="Q295" s="50">
        <v>3.53</v>
      </c>
      <c r="R295" s="32">
        <f>IF(B295="高三",IF($E295="男",LOOKUP(Q295,[1]对照表!$W$3:$W$24,[1]对照表!$X$3:$X$24),LOOKUP(Q295,[1]对照表!$W$27:$W$48,[1]对照表!$X$27:$X$48)),IF(B295="高二",IF($E295="男",LOOKUP(Q295,[1]对照表!$V$3:$V$24,[1]对照表!$X$3:$X$24),LOOKUP(Q295,[1]对照表!$V$27:$V$48,[1]对照表!$X$27:$X$48)),IF(B295="高一",IF($E295="男",LOOKUP(Q295,[1]对照表!$U$3:$U$24,[1]对照表!$X$3:$X$24),LOOKUP(Q295,[1]对照表!$U$27:$U$48,[1]对照表!$X$27:$X$48)))))</f>
        <v>78</v>
      </c>
      <c r="S295" s="33">
        <f>ROUND(IF(IF($B295="高三",MIN(IF($E295="男",$Q295-3.2,$Q295-3.2),0),IF($B295="高二",MIN(IF($E295="男",$Q295-3.25,$Q295-3.22),0),IF($B295="高一",MIN(IF($E295="男",$Q295-3.3,$Q295-3.24),0))))&lt;-0.6,IF($B295="高三",MIN(IF($E295="男",$Q295-3.2,$Q295-3.2),0),IF($B295="高二",MIN(IF($E295="男",$Q295-3.25,$Q295-3.22),0),IF($B295="高一",MIN(IF($E295="男",$Q295-3.3,$Q295-3.24),0))))+0.4,IF($B295="高三",MIN(IF($E295="男",$Q295-3.2,$Q295-3.2),0),IF($B295="高二",MIN(IF($E295="男",$Q295-3.25,$Q295-3.22),0),IF($B295="高一",MIN(IF($E295="男",$Q295-3.3,$Q295-3.24),0))))),2)</f>
        <v>0</v>
      </c>
      <c r="T295" s="23">
        <f>IF(E295="男",LOOKUP($S295,[1]对照表!$AB$3:$AB$13,[1]对照表!$AC$3:$AC$13),LOOKUP($S295,[1]对照表!$AB$15:$AB$25,[1]对照表!$AC$15:$AC$25))</f>
        <v>0</v>
      </c>
      <c r="U295" s="26">
        <f>R295+T295</f>
        <v>78</v>
      </c>
      <c r="V295" s="26">
        <f>SUM(I295,K295,M295)/3*0.3+SUM(G295,R295)/2*0.4</f>
        <v>50.400000000000006</v>
      </c>
      <c r="W295" s="27">
        <f>O295+T295</f>
        <v>0</v>
      </c>
      <c r="X295" s="28">
        <f>V295/0.7+W295</f>
        <v>72.000000000000014</v>
      </c>
      <c r="Y295" s="28">
        <f>X295</f>
        <v>72.000000000000014</v>
      </c>
      <c r="Z295" s="38"/>
    </row>
    <row r="296" spans="1:26" ht="15.6" x14ac:dyDescent="0.25">
      <c r="A296" s="48">
        <v>1</v>
      </c>
      <c r="B296" s="17" t="s">
        <v>767</v>
      </c>
      <c r="C296" s="48">
        <v>206</v>
      </c>
      <c r="D296" s="49" t="s">
        <v>1371</v>
      </c>
      <c r="E296" s="48" t="s">
        <v>23</v>
      </c>
      <c r="F296" s="50">
        <v>8.1999999999999993</v>
      </c>
      <c r="G296" s="32">
        <f>IF(B296="高三",IF($E296="男",LOOKUP(F296,[1]对照表!$G$3:$G$24,[1]对照表!$H$3:$H$24),LOOKUP(F296,[1]对照表!$G$27:$G$48,[1]对照表!$H$27:$H$48)),IF(B296="高二",IF($E296="男",LOOKUP(F296,[1]对照表!$F$3:$F$24,[1]对照表!$H$3:$H$24),LOOKUP(F296,[1]对照表!$F$27:$F$48,[1]对照表!$H$27:$H$48)),IF(B296="高一",IF($E296="男",LOOKUP(F296,[1]对照表!$E$3:$E$24,[1]对照表!$H$3:$H$24),LOOKUP(F296,[1]对照表!$E$27:$E$48,[1]对照表!$H$27:$H$48)))))</f>
        <v>72</v>
      </c>
      <c r="H296" s="38">
        <v>6</v>
      </c>
      <c r="I296" s="32">
        <f>IF(B296="高三",IF($E296="男",LOOKUP(H296,[1]对照表!$K$3:$K$24,[1]对照表!$L$3:$L$24),LOOKUP(H296,[1]对照表!$K$27:$K$48,[1]对照表!$L$27:$L$48)),IF(B296="高二",IF($E296="男",LOOKUP(H296,[1]对照表!$J$3:$J$24,[1]对照表!$L$3:$L$24),LOOKUP(H296,[1]对照表!$J$27:$J$48,[1]对照表!$L$27:$L$48)),IF(B296="高一",IF($E296="男",LOOKUP(H296,[1]对照表!$I$3:$I$24,[1]对照表!$L$3:$L$24),LOOKUP(H296,[1]对照表!$I$27:$I$48,[1]对照表!$L$27:$L$48)))))</f>
        <v>64</v>
      </c>
      <c r="J296" s="38">
        <v>208</v>
      </c>
      <c r="K296" s="32">
        <f>IF(B296="高三",IF($E296="男",LOOKUP(J296,[1]对照表!$O$3:$O$24,[1]对照表!$P$3:$P$24),LOOKUP(J296,[1]对照表!$O$27:$O$48,[1]对照表!$P$27:$P$48)),IF(B296="高二",IF($E296="男",LOOKUP(J296,[1]对照表!$N$3:$N$24,[1]对照表!$P$3:$P$24),LOOKUP(J296,[1]对照表!$N$27:$N$48,[1]对照表!$P$27:$P$48)),IF(B296="高一",IF($E296="男",LOOKUP(J296,[1]对照表!$M$3:$M$24,[1]对照表!$P$3:$P$24),LOOKUP(J296,[1]对照表!$M$27:$M$48,[1]对照表!$P$27:$P$48)))))</f>
        <v>64</v>
      </c>
      <c r="L296" s="38">
        <v>8</v>
      </c>
      <c r="M296" s="32">
        <f>IF(B296="高三",IF($E296="男",LOOKUP(L296,[1]对照表!$S$3:$S$24,[1]对照表!$T$3:$T$24),LOOKUP(L296,[1]对照表!$S$27:$S$48,[1]对照表!$T$27:$T$48)),IF(B296="高二",IF($E296="男",LOOKUP(L296,[1]对照表!$R$3:$R$24,[1]对照表!$T$3:$T$24),LOOKUP(L296,[1]对照表!$R$27:$R$48,[1]对照表!$T$27:$T$48)),IF(B296="高一",IF($E296="男",LOOKUP(L296,[1]对照表!$Q$3:$Q$24,[1]对照表!$T$3:$T$24),LOOKUP(L296,[1]对照表!$Q$27:$Q$48,[1]对照表!$T$27:$T$48)))))</f>
        <v>60</v>
      </c>
      <c r="N296" s="33">
        <f>IF(B296="高三",MAX(IF(E296="男",L296-18,L296-55),0),IF(B296="高二",MAX(IF(E296="男",L296-17,L296-54),0),IF(B296="高一",MAX(IF(E296="男",L296-16,L296-53),0))))</f>
        <v>0</v>
      </c>
      <c r="O296" s="23">
        <f>IF(E296="男",LOOKUP($N296,[1]对照表!$Z$3:$Z$13,[1]对照表!$AA$3:$AA$13),LOOKUP($N296,[1]对照表!$Z$15:$Z$25,[1]对照表!$AA$15:$AA$25))</f>
        <v>0</v>
      </c>
      <c r="P296" s="25">
        <f>M296+O296</f>
        <v>60</v>
      </c>
      <c r="Q296" s="50">
        <v>3.55</v>
      </c>
      <c r="R296" s="32">
        <f>IF(B296="高三",IF($E296="男",LOOKUP(Q296,[1]对照表!$W$3:$W$24,[1]对照表!$X$3:$X$24),LOOKUP(Q296,[1]对照表!$W$27:$W$48,[1]对照表!$X$27:$X$48)),IF(B296="高二",IF($E296="男",LOOKUP(Q296,[1]对照表!$V$3:$V$24,[1]对照表!$X$3:$X$24),LOOKUP(Q296,[1]对照表!$V$27:$V$48,[1]对照表!$X$27:$X$48)),IF(B296="高一",IF($E296="男",LOOKUP(Q296,[1]对照表!$U$3:$U$24,[1]对照表!$X$3:$X$24),LOOKUP(Q296,[1]对照表!$U$27:$U$48,[1]对照表!$X$27:$X$48)))))</f>
        <v>78</v>
      </c>
      <c r="S296" s="33">
        <f>ROUND(IF(IF($B296="高三",MIN(IF($E296="男",$Q296-3.2,$Q296-3.2),0),IF($B296="高二",MIN(IF($E296="男",$Q296-3.25,$Q296-3.22),0),IF($B296="高一",MIN(IF($E296="男",$Q296-3.3,$Q296-3.24),0))))&lt;-0.6,IF($B296="高三",MIN(IF($E296="男",$Q296-3.2,$Q296-3.2),0),IF($B296="高二",MIN(IF($E296="男",$Q296-3.25,$Q296-3.22),0),IF($B296="高一",MIN(IF($E296="男",$Q296-3.3,$Q296-3.24),0))))+0.4,IF($B296="高三",MIN(IF($E296="男",$Q296-3.2,$Q296-3.2),0),IF($B296="高二",MIN(IF($E296="男",$Q296-3.25,$Q296-3.22),0),IF($B296="高一",MIN(IF($E296="男",$Q296-3.3,$Q296-3.24),0))))),2)</f>
        <v>0</v>
      </c>
      <c r="T296" s="23">
        <f>IF(E296="男",LOOKUP($S296,[1]对照表!$AB$3:$AB$13,[1]对照表!$AC$3:$AC$13),LOOKUP($S296,[1]对照表!$AB$15:$AB$25,[1]对照表!$AC$15:$AC$25))</f>
        <v>0</v>
      </c>
      <c r="U296" s="26">
        <f>R296+T296</f>
        <v>78</v>
      </c>
      <c r="V296" s="26">
        <f>SUM(I296,K296,M296)/3*0.3+SUM(G296,R296)/2*0.4</f>
        <v>48.8</v>
      </c>
      <c r="W296" s="27">
        <f>O296+T296</f>
        <v>0</v>
      </c>
      <c r="X296" s="28">
        <f>V296/0.7+W296</f>
        <v>69.714285714285708</v>
      </c>
      <c r="Y296" s="28">
        <f>X296</f>
        <v>69.714285714285708</v>
      </c>
      <c r="Z296" s="38"/>
    </row>
    <row r="297" spans="1:26" ht="15.6" customHeight="1" x14ac:dyDescent="0.25">
      <c r="A297" s="48">
        <v>13</v>
      </c>
      <c r="B297" s="17" t="s">
        <v>767</v>
      </c>
      <c r="C297" s="48">
        <v>206</v>
      </c>
      <c r="D297" s="49" t="s">
        <v>1391</v>
      </c>
      <c r="E297" s="48" t="s">
        <v>23</v>
      </c>
      <c r="F297" s="50">
        <v>7.5</v>
      </c>
      <c r="G297" s="32">
        <f>IF(B297="高三",IF($E297="男",LOOKUP(F297,[1]对照表!$G$3:$G$24,[1]对照表!$H$3:$H$24),LOOKUP(F297,[1]对照表!$G$27:$G$48,[1]对照表!$H$27:$H$48)),IF(B297="高二",IF($E297="男",LOOKUP(F297,[1]对照表!$F$3:$F$24,[1]对照表!$H$3:$H$24),LOOKUP(F297,[1]对照表!$F$27:$F$48,[1]对照表!$H$27:$H$48)),IF(B297="高一",IF($E297="男",LOOKUP(F297,[1]对照表!$E$3:$E$24,[1]对照表!$H$3:$H$24),LOOKUP(F297,[1]对照表!$E$27:$E$48,[1]对照表!$H$27:$H$48)))))</f>
        <v>78</v>
      </c>
      <c r="H297" s="38">
        <v>6.1</v>
      </c>
      <c r="I297" s="32">
        <f>IF(B297="高三",IF($E297="男",LOOKUP(H297,[1]对照表!$K$3:$K$24,[1]对照表!$L$3:$L$24),LOOKUP(H297,[1]对照表!$K$27:$K$48,[1]对照表!$L$27:$L$48)),IF(B297="高二",IF($E297="男",LOOKUP(H297,[1]对照表!$J$3:$J$24,[1]对照表!$L$3:$L$24),LOOKUP(H297,[1]对照表!$J$27:$J$48,[1]对照表!$L$27:$L$48)),IF(B297="高一",IF($E297="男",LOOKUP(H297,[1]对照表!$I$3:$I$24,[1]对照表!$L$3:$L$24),LOOKUP(H297,[1]对照表!$I$27:$I$48,[1]对照表!$L$27:$L$48)))))</f>
        <v>64</v>
      </c>
      <c r="J297" s="38">
        <v>200</v>
      </c>
      <c r="K297" s="32">
        <f>IF(B297="高三",IF($E297="男",LOOKUP(J297,[1]对照表!$O$3:$O$24,[1]对照表!$P$3:$P$24),LOOKUP(J297,[1]对照表!$O$27:$O$48,[1]对照表!$P$27:$P$48)),IF(B297="高二",IF($E297="男",LOOKUP(J297,[1]对照表!$N$3:$N$24,[1]对照表!$P$3:$P$24),LOOKUP(J297,[1]对照表!$N$27:$N$48,[1]对照表!$P$27:$P$48)),IF(B297="高一",IF($E297="男",LOOKUP(J297,[1]对照表!$M$3:$M$24,[1]对照表!$P$3:$P$24),LOOKUP(J297,[1]对照表!$M$27:$M$48,[1]对照表!$P$27:$P$48)))))</f>
        <v>60</v>
      </c>
      <c r="L297" s="38">
        <v>0</v>
      </c>
      <c r="M297" s="32">
        <f>IF(B297="高三",IF($E297="男",LOOKUP(L297,[1]对照表!$S$3:$S$24,[1]对照表!$T$3:$T$24),LOOKUP(L297,[1]对照表!$S$27:$S$48,[1]对照表!$T$27:$T$48)),IF(B297="高二",IF($E297="男",LOOKUP(L297,[1]对照表!$R$3:$R$24,[1]对照表!$T$3:$T$24),LOOKUP(L297,[1]对照表!$R$27:$R$48,[1]对照表!$T$27:$T$48)),IF(B297="高一",IF($E297="男",LOOKUP(L297,[1]对照表!$Q$3:$Q$24,[1]对照表!$T$3:$T$24),LOOKUP(L297,[1]对照表!$Q$27:$Q$48,[1]对照表!$T$27:$T$48)))))</f>
        <v>0</v>
      </c>
      <c r="N297" s="33">
        <f>IF(B297="高三",MAX(IF(E297="男",L297-18,L297-55),0),IF(B297="高二",MAX(IF(E297="男",L297-17,L297-54),0),IF(B297="高一",MAX(IF(E297="男",L297-16,L297-53),0))))</f>
        <v>0</v>
      </c>
      <c r="O297" s="23">
        <f>IF(E297="男",LOOKUP($N297,[1]对照表!$Z$3:$Z$13,[1]对照表!$AA$3:$AA$13),LOOKUP($N297,[1]对照表!$Z$15:$Z$25,[1]对照表!$AA$15:$AA$25))</f>
        <v>0</v>
      </c>
      <c r="P297" s="25">
        <f>M297+O297</f>
        <v>0</v>
      </c>
      <c r="Q297" s="50">
        <v>3.33</v>
      </c>
      <c r="R297" s="32">
        <f>IF(B297="高三",IF($E297="男",LOOKUP(Q297,[1]对照表!$W$3:$W$24,[1]对照表!$X$3:$X$24),LOOKUP(Q297,[1]对照表!$W$27:$W$48,[1]对照表!$X$27:$X$48)),IF(B297="高二",IF($E297="男",LOOKUP(Q297,[1]对照表!$V$3:$V$24,[1]对照表!$X$3:$X$24),LOOKUP(Q297,[1]对照表!$V$27:$V$48,[1]对照表!$X$27:$X$48)),IF(B297="高一",IF($E297="男",LOOKUP(Q297,[1]对照表!$U$3:$U$24,[1]对照表!$X$3:$X$24),LOOKUP(Q297,[1]对照表!$U$27:$U$48,[1]对照表!$X$27:$X$48)))))</f>
        <v>90</v>
      </c>
      <c r="S297" s="33">
        <f>ROUND(IF(IF($B297="高三",MIN(IF($E297="男",$Q297-3.2,$Q297-3.2),0),IF($B297="高二",MIN(IF($E297="男",$Q297-3.25,$Q297-3.22),0),IF($B297="高一",MIN(IF($E297="男",$Q297-3.3,$Q297-3.24),0))))&lt;-0.6,IF($B297="高三",MIN(IF($E297="男",$Q297-3.2,$Q297-3.2),0),IF($B297="高二",MIN(IF($E297="男",$Q297-3.25,$Q297-3.22),0),IF($B297="高一",MIN(IF($E297="男",$Q297-3.3,$Q297-3.24),0))))+0.4,IF($B297="高三",MIN(IF($E297="男",$Q297-3.2,$Q297-3.2),0),IF($B297="高二",MIN(IF($E297="男",$Q297-3.25,$Q297-3.22),0),IF($B297="高一",MIN(IF($E297="男",$Q297-3.3,$Q297-3.24),0))))),2)</f>
        <v>0</v>
      </c>
      <c r="T297" s="23">
        <f>IF(E297="男",LOOKUP($S297,[1]对照表!$AB$3:$AB$13,[1]对照表!$AC$3:$AC$13),LOOKUP($S297,[1]对照表!$AB$15:$AB$25,[1]对照表!$AC$15:$AC$25))</f>
        <v>0</v>
      </c>
      <c r="U297" s="26">
        <f>R297+T297</f>
        <v>90</v>
      </c>
      <c r="V297" s="26">
        <f>SUM(I297,K297,M297)/3*0.3+SUM(G297,R297)/2*0.4</f>
        <v>46</v>
      </c>
      <c r="W297" s="27">
        <f>O297+T297</f>
        <v>0</v>
      </c>
      <c r="X297" s="28">
        <f>V297/0.7+W297</f>
        <v>65.714285714285722</v>
      </c>
      <c r="Y297" s="28">
        <f>X297</f>
        <v>65.714285714285722</v>
      </c>
      <c r="Z297" s="38"/>
    </row>
    <row r="298" spans="1:26" ht="15.6" x14ac:dyDescent="0.25">
      <c r="A298" s="48">
        <v>24</v>
      </c>
      <c r="B298" s="17" t="s">
        <v>767</v>
      </c>
      <c r="C298" s="48">
        <v>206</v>
      </c>
      <c r="D298" s="49" t="s">
        <v>1402</v>
      </c>
      <c r="E298" s="48" t="s">
        <v>23</v>
      </c>
      <c r="F298" s="50">
        <v>7.9</v>
      </c>
      <c r="G298" s="32">
        <f>IF(B298="高三",IF($E298="男",LOOKUP(F298,[1]对照表!$G$3:$G$24,[1]对照表!$H$3:$H$24),LOOKUP(F298,[1]对照表!$G$27:$G$48,[1]对照表!$H$27:$H$48)),IF(B298="高二",IF($E298="男",LOOKUP(F298,[1]对照表!$F$3:$F$24,[1]对照表!$H$3:$H$24),LOOKUP(F298,[1]对照表!$F$27:$F$48,[1]对照表!$H$27:$H$48)),IF(B298="高一",IF($E298="男",LOOKUP(F298,[1]对照表!$E$3:$E$24,[1]对照表!$H$3:$H$24),LOOKUP(F298,[1]对照表!$E$27:$E$48,[1]对照表!$H$27:$H$48)))))</f>
        <v>74</v>
      </c>
      <c r="H298" s="38">
        <v>15.3</v>
      </c>
      <c r="I298" s="32">
        <f>IF(B298="高三",IF($E298="男",LOOKUP(H298,[1]对照表!$K$3:$K$24,[1]对照表!$L$3:$L$24),LOOKUP(H298,[1]对照表!$K$27:$K$48,[1]对照表!$L$27:$L$48)),IF(B298="高二",IF($E298="男",LOOKUP(H298,[1]对照表!$J$3:$J$24,[1]对照表!$L$3:$L$24),LOOKUP(H298,[1]对照表!$J$27:$J$48,[1]对照表!$L$27:$L$48)),IF(B298="高一",IF($E298="男",LOOKUP(H298,[1]对照表!$I$3:$I$24,[1]对照表!$L$3:$L$24),LOOKUP(H298,[1]对照表!$I$27:$I$48,[1]对照表!$L$27:$L$48)))))</f>
        <v>78</v>
      </c>
      <c r="J298" s="38">
        <v>217</v>
      </c>
      <c r="K298" s="32">
        <f>IF(B298="高三",IF($E298="男",LOOKUP(J298,[1]对照表!$O$3:$O$24,[1]对照表!$P$3:$P$24),LOOKUP(J298,[1]对照表!$O$27:$O$48,[1]对照表!$P$27:$P$48)),IF(B298="高二",IF($E298="男",LOOKUP(J298,[1]对照表!$N$3:$N$24,[1]对照表!$P$3:$P$24),LOOKUP(J298,[1]对照表!$N$27:$N$48,[1]对照表!$P$27:$P$48)),IF(B298="高一",IF($E298="男",LOOKUP(J298,[1]对照表!$M$3:$M$24,[1]对照表!$P$3:$P$24),LOOKUP(J298,[1]对照表!$M$27:$M$48,[1]对照表!$P$27:$P$48)))))</f>
        <v>68</v>
      </c>
      <c r="L298" s="38">
        <v>6</v>
      </c>
      <c r="M298" s="32">
        <f>IF(B298="高三",IF($E298="男",LOOKUP(L298,[1]对照表!$S$3:$S$24,[1]对照表!$T$3:$T$24),LOOKUP(L298,[1]对照表!$S$27:$S$48,[1]对照表!$T$27:$T$48)),IF(B298="高二",IF($E298="男",LOOKUP(L298,[1]对照表!$R$3:$R$24,[1]对照表!$T$3:$T$24),LOOKUP(L298,[1]对照表!$R$27:$R$48,[1]对照表!$T$27:$T$48)),IF(B298="高一",IF($E298="男",LOOKUP(L298,[1]对照表!$Q$3:$Q$24,[1]对照表!$T$3:$T$24),LOOKUP(L298,[1]对照表!$Q$27:$Q$48,[1]对照表!$T$27:$T$48)))))</f>
        <v>40</v>
      </c>
      <c r="N298" s="33">
        <f>IF(B298="高三",MAX(IF(E298="男",L298-18,L298-55),0),IF(B298="高二",MAX(IF(E298="男",L298-17,L298-54),0),IF(B298="高一",MAX(IF(E298="男",L298-16,L298-53),0))))</f>
        <v>0</v>
      </c>
      <c r="O298" s="23">
        <f>IF(E298="男",LOOKUP($N298,[1]对照表!$Z$3:$Z$13,[1]对照表!$AA$3:$AA$13),LOOKUP($N298,[1]对照表!$Z$15:$Z$25,[1]对照表!$AA$15:$AA$25))</f>
        <v>0</v>
      </c>
      <c r="P298" s="25">
        <f>M298+O298</f>
        <v>40</v>
      </c>
      <c r="Q298" s="50">
        <v>4.4000000000000004</v>
      </c>
      <c r="R298" s="32">
        <f>IF(B298="高三",IF($E298="男",LOOKUP(Q298,[1]对照表!$W$3:$W$24,[1]对照表!$X$3:$X$24),LOOKUP(Q298,[1]对照表!$W$27:$W$48,[1]对照表!$X$27:$X$48)),IF(B298="高二",IF($E298="男",LOOKUP(Q298,[1]对照表!$V$3:$V$24,[1]对照表!$X$3:$X$24),LOOKUP(Q298,[1]对照表!$V$27:$V$48,[1]对照表!$X$27:$X$48)),IF(B298="高一",IF($E298="男",LOOKUP(Q298,[1]对照表!$U$3:$U$24,[1]对照表!$X$3:$X$24),LOOKUP(Q298,[1]对照表!$U$27:$U$48,[1]对照表!$X$27:$X$48)))))</f>
        <v>60</v>
      </c>
      <c r="S298" s="33">
        <f>ROUND(IF(IF($B298="高三",MIN(IF($E298="男",$Q298-3.2,$Q298-3.2),0),IF($B298="高二",MIN(IF($E298="男",$Q298-3.25,$Q298-3.22),0),IF($B298="高一",MIN(IF($E298="男",$Q298-3.3,$Q298-3.24),0))))&lt;-0.6,IF($B298="高三",MIN(IF($E298="男",$Q298-3.2,$Q298-3.2),0),IF($B298="高二",MIN(IF($E298="男",$Q298-3.25,$Q298-3.22),0),IF($B298="高一",MIN(IF($E298="男",$Q298-3.3,$Q298-3.24),0))))+0.4,IF($B298="高三",MIN(IF($E298="男",$Q298-3.2,$Q298-3.2),0),IF($B298="高二",MIN(IF($E298="男",$Q298-3.25,$Q298-3.22),0),IF($B298="高一",MIN(IF($E298="男",$Q298-3.3,$Q298-3.24),0))))),2)</f>
        <v>0</v>
      </c>
      <c r="T298" s="23">
        <f>IF(E298="男",LOOKUP($S298,[1]对照表!$AB$3:$AB$13,[1]对照表!$AC$3:$AC$13),LOOKUP($S298,[1]对照表!$AB$15:$AB$25,[1]对照表!$AC$15:$AC$25))</f>
        <v>0</v>
      </c>
      <c r="U298" s="26">
        <f>R298+T298</f>
        <v>60</v>
      </c>
      <c r="V298" s="26">
        <f>SUM(I298,K298,M298)/3*0.3+SUM(G298,R298)/2*0.4</f>
        <v>45.4</v>
      </c>
      <c r="W298" s="27">
        <f>O298+T298</f>
        <v>0</v>
      </c>
      <c r="X298" s="28">
        <f>V298/0.7+W298</f>
        <v>64.857142857142861</v>
      </c>
      <c r="Y298" s="28">
        <f>X298</f>
        <v>64.857142857142861</v>
      </c>
      <c r="Z298" s="38"/>
    </row>
    <row r="299" spans="1:26" ht="15.6" x14ac:dyDescent="0.25">
      <c r="A299" s="48">
        <v>28</v>
      </c>
      <c r="B299" s="17" t="s">
        <v>767</v>
      </c>
      <c r="C299" s="48">
        <v>206</v>
      </c>
      <c r="D299" s="49" t="s">
        <v>1405</v>
      </c>
      <c r="E299" s="48" t="s">
        <v>23</v>
      </c>
      <c r="F299" s="50">
        <v>8.4</v>
      </c>
      <c r="G299" s="32">
        <f>IF(B299="高三",IF($E299="男",LOOKUP(F299,[1]对照表!$G$3:$G$24,[1]对照表!$H$3:$H$24),LOOKUP(F299,[1]对照表!$G$27:$G$48,[1]对照表!$H$27:$H$48)),IF(B299="高二",IF($E299="男",LOOKUP(F299,[1]对照表!$F$3:$F$24,[1]对照表!$H$3:$H$24),LOOKUP(F299,[1]对照表!$F$27:$F$48,[1]对照表!$H$27:$H$48)),IF(B299="高一",IF($E299="男",LOOKUP(F299,[1]对照表!$E$3:$E$24,[1]对照表!$H$3:$H$24),LOOKUP(F299,[1]对照表!$E$27:$E$48,[1]对照表!$H$27:$H$48)))))</f>
        <v>70</v>
      </c>
      <c r="H299" s="38">
        <v>7.6</v>
      </c>
      <c r="I299" s="32">
        <f>IF(B299="高三",IF($E299="男",LOOKUP(H299,[1]对照表!$K$3:$K$24,[1]对照表!$L$3:$L$24),LOOKUP(H299,[1]对照表!$K$27:$K$48,[1]对照表!$L$27:$L$48)),IF(B299="高二",IF($E299="男",LOOKUP(H299,[1]对照表!$J$3:$J$24,[1]对照表!$L$3:$L$24),LOOKUP(H299,[1]对照表!$J$27:$J$48,[1]对照表!$L$27:$L$48)),IF(B299="高一",IF($E299="男",LOOKUP(H299,[1]对照表!$I$3:$I$24,[1]对照表!$L$3:$L$24),LOOKUP(H299,[1]对照表!$I$27:$I$48,[1]对照表!$L$27:$L$48)))))</f>
        <v>66</v>
      </c>
      <c r="J299" s="38">
        <v>214</v>
      </c>
      <c r="K299" s="32">
        <f>IF(B299="高三",IF($E299="男",LOOKUP(J299,[1]对照表!$O$3:$O$24,[1]对照表!$P$3:$P$24),LOOKUP(J299,[1]对照表!$O$27:$O$48,[1]对照表!$P$27:$P$48)),IF(B299="高二",IF($E299="男",LOOKUP(J299,[1]对照表!$N$3:$N$24,[1]对照表!$P$3:$P$24),LOOKUP(J299,[1]对照表!$N$27:$N$48,[1]对照表!$P$27:$P$48)),IF(B299="高一",IF($E299="男",LOOKUP(J299,[1]对照表!$M$3:$M$24,[1]对照表!$P$3:$P$24),LOOKUP(J299,[1]对照表!$M$27:$M$48,[1]对照表!$P$27:$P$48)))))</f>
        <v>66</v>
      </c>
      <c r="L299" s="38">
        <v>7</v>
      </c>
      <c r="M299" s="32">
        <f>IF(B299="高三",IF($E299="男",LOOKUP(L299,[1]对照表!$S$3:$S$24,[1]对照表!$T$3:$T$24),LOOKUP(L299,[1]对照表!$S$27:$S$48,[1]对照表!$T$27:$T$48)),IF(B299="高二",IF($E299="男",LOOKUP(L299,[1]对照表!$R$3:$R$24,[1]对照表!$T$3:$T$24),LOOKUP(L299,[1]对照表!$R$27:$R$48,[1]对照表!$T$27:$T$48)),IF(B299="高一",IF($E299="男",LOOKUP(L299,[1]对照表!$Q$3:$Q$24,[1]对照表!$T$3:$T$24),LOOKUP(L299,[1]对照表!$Q$27:$Q$48,[1]对照表!$T$27:$T$48)))))</f>
        <v>50</v>
      </c>
      <c r="N299" s="33">
        <f>IF(B299="高三",MAX(IF(E299="男",L299-18,L299-55),0),IF(B299="高二",MAX(IF(E299="男",L299-17,L299-54),0),IF(B299="高一",MAX(IF(E299="男",L299-16,L299-53),0))))</f>
        <v>0</v>
      </c>
      <c r="O299" s="23">
        <f>IF(E299="男",LOOKUP($N299,[1]对照表!$Z$3:$Z$13,[1]对照表!$AA$3:$AA$13),LOOKUP($N299,[1]对照表!$Z$15:$Z$25,[1]对照表!$AA$15:$AA$25))</f>
        <v>0</v>
      </c>
      <c r="P299" s="25">
        <f>M299+O299</f>
        <v>50</v>
      </c>
      <c r="Q299" s="50">
        <v>4.29</v>
      </c>
      <c r="R299" s="32">
        <f>IF(B299="高三",IF($E299="男",LOOKUP(Q299,[1]对照表!$W$3:$W$24,[1]对照表!$X$3:$X$24),LOOKUP(Q299,[1]对照表!$W$27:$W$48,[1]对照表!$X$27:$X$48)),IF(B299="高二",IF($E299="男",LOOKUP(Q299,[1]对照表!$V$3:$V$24,[1]对照表!$X$3:$X$24),LOOKUP(Q299,[1]对照表!$V$27:$V$48,[1]对照表!$X$27:$X$48)),IF(B299="高一",IF($E299="男",LOOKUP(Q299,[1]对照表!$U$3:$U$24,[1]对照表!$X$3:$X$24),LOOKUP(Q299,[1]对照表!$U$27:$U$48,[1]对照表!$X$27:$X$48)))))</f>
        <v>64</v>
      </c>
      <c r="S299" s="33">
        <f>ROUND(IF(IF($B299="高三",MIN(IF($E299="男",$Q299-3.2,$Q299-3.2),0),IF($B299="高二",MIN(IF($E299="男",$Q299-3.25,$Q299-3.22),0),IF($B299="高一",MIN(IF($E299="男",$Q299-3.3,$Q299-3.24),0))))&lt;-0.6,IF($B299="高三",MIN(IF($E299="男",$Q299-3.2,$Q299-3.2),0),IF($B299="高二",MIN(IF($E299="男",$Q299-3.25,$Q299-3.22),0),IF($B299="高一",MIN(IF($E299="男",$Q299-3.3,$Q299-3.24),0))))+0.4,IF($B299="高三",MIN(IF($E299="男",$Q299-3.2,$Q299-3.2),0),IF($B299="高二",MIN(IF($E299="男",$Q299-3.25,$Q299-3.22),0),IF($B299="高一",MIN(IF($E299="男",$Q299-3.3,$Q299-3.24),0))))),2)</f>
        <v>0</v>
      </c>
      <c r="T299" s="23">
        <f>IF(E299="男",LOOKUP($S299,[1]对照表!$AB$3:$AB$13,[1]对照表!$AC$3:$AC$13),LOOKUP($S299,[1]对照表!$AB$15:$AB$25,[1]对照表!$AC$15:$AC$25))</f>
        <v>0</v>
      </c>
      <c r="U299" s="26">
        <f>R299+T299</f>
        <v>64</v>
      </c>
      <c r="V299" s="26">
        <f>SUM(I299,K299,M299)/3*0.3+SUM(G299,R299)/2*0.4</f>
        <v>45</v>
      </c>
      <c r="W299" s="27">
        <f>O299+T299</f>
        <v>0</v>
      </c>
      <c r="X299" s="28">
        <f>V299/0.7+W299</f>
        <v>64.285714285714292</v>
      </c>
      <c r="Y299" s="28">
        <f>X299</f>
        <v>64.285714285714292</v>
      </c>
      <c r="Z299" s="38"/>
    </row>
    <row r="300" spans="1:26" ht="15.6" x14ac:dyDescent="0.25">
      <c r="A300" s="38">
        <v>31</v>
      </c>
      <c r="B300" s="17" t="s">
        <v>767</v>
      </c>
      <c r="C300" s="48">
        <v>206</v>
      </c>
      <c r="D300" s="49" t="s">
        <v>1414</v>
      </c>
      <c r="E300" s="48" t="s">
        <v>23</v>
      </c>
      <c r="F300" s="50">
        <v>7.6</v>
      </c>
      <c r="G300" s="32">
        <f>IF(B300="高三",IF($E300="男",LOOKUP(F300,[1]对照表!$G$3:$G$24,[1]对照表!$H$3:$H$24),LOOKUP(F300,[1]对照表!$G$27:$G$48,[1]对照表!$H$27:$H$48)),IF(B300="高二",IF($E300="男",LOOKUP(F300,[1]对照表!$F$3:$F$24,[1]对照表!$H$3:$H$24),LOOKUP(F300,[1]对照表!$F$27:$F$48,[1]对照表!$H$27:$H$48)),IF(B300="高一",IF($E300="男",LOOKUP(F300,[1]对照表!$E$3:$E$24,[1]对照表!$H$3:$H$24),LOOKUP(F300,[1]对照表!$E$27:$E$48,[1]对照表!$H$27:$H$48)))))</f>
        <v>78</v>
      </c>
      <c r="H300" s="38">
        <v>14.5</v>
      </c>
      <c r="I300" s="32">
        <f>IF(B300="高三",IF($E300="男",LOOKUP(H300,[1]对照表!$K$3:$K$24,[1]对照表!$L$3:$L$24),LOOKUP(H300,[1]对照表!$K$27:$K$48,[1]对照表!$L$27:$L$48)),IF(B300="高二",IF($E300="男",LOOKUP(H300,[1]对照表!$J$3:$J$24,[1]对照表!$L$3:$L$24),LOOKUP(H300,[1]对照表!$J$27:$J$48,[1]对照表!$L$27:$L$48)),IF(B300="高一",IF($E300="男",LOOKUP(H300,[1]对照表!$I$3:$I$24,[1]对照表!$L$3:$L$24),LOOKUP(H300,[1]对照表!$I$27:$I$48,[1]对照表!$L$27:$L$48)))))</f>
        <v>76</v>
      </c>
      <c r="J300" s="38">
        <v>215</v>
      </c>
      <c r="K300" s="32">
        <f>IF(B300="高三",IF($E300="男",LOOKUP(J300,[1]对照表!$O$3:$O$24,[1]对照表!$P$3:$P$24),LOOKUP(J300,[1]对照表!$O$27:$O$48,[1]对照表!$P$27:$P$48)),IF(B300="高二",IF($E300="男",LOOKUP(J300,[1]对照表!$N$3:$N$24,[1]对照表!$P$3:$P$24),LOOKUP(J300,[1]对照表!$N$27:$N$48,[1]对照表!$P$27:$P$48)),IF(B300="高一",IF($E300="男",LOOKUP(J300,[1]对照表!$M$3:$M$24,[1]对照表!$P$3:$P$24),LOOKUP(J300,[1]对照表!$M$27:$M$48,[1]对照表!$P$27:$P$48)))))</f>
        <v>66</v>
      </c>
      <c r="L300" s="38">
        <v>3</v>
      </c>
      <c r="M300" s="32">
        <f>IF(B300="高三",IF($E300="男",LOOKUP(L300,[1]对照表!$S$3:$S$24,[1]对照表!$T$3:$T$24),LOOKUP(L300,[1]对照表!$S$27:$S$48,[1]对照表!$T$27:$T$48)),IF(B300="高二",IF($E300="男",LOOKUP(L300,[1]对照表!$R$3:$R$24,[1]对照表!$T$3:$T$24),LOOKUP(L300,[1]对照表!$R$27:$R$48,[1]对照表!$T$27:$T$48)),IF(B300="高一",IF($E300="男",LOOKUP(L300,[1]对照表!$Q$3:$Q$24,[1]对照表!$T$3:$T$24),LOOKUP(L300,[1]对照表!$Q$27:$Q$48,[1]对照表!$T$27:$T$48)))))</f>
        <v>10</v>
      </c>
      <c r="N300" s="33">
        <f>IF(B300="高三",MAX(IF(E300="男",L300-18,L300-55),0),IF(B300="高二",MAX(IF(E300="男",L300-17,L300-54),0),IF(B300="高一",MAX(IF(E300="男",L300-16,L300-53),0))))</f>
        <v>0</v>
      </c>
      <c r="O300" s="23">
        <f>IF(E300="男",LOOKUP($N300,[1]对照表!$Z$3:$Z$13,[1]对照表!$AA$3:$AA$13),LOOKUP($N300,[1]对照表!$Z$15:$Z$25,[1]对照表!$AA$15:$AA$25))</f>
        <v>0</v>
      </c>
      <c r="P300" s="25">
        <f>M300+O300</f>
        <v>10</v>
      </c>
      <c r="Q300" s="50">
        <v>4.18</v>
      </c>
      <c r="R300" s="32">
        <f>IF(B300="高三",IF($E300="男",LOOKUP(Q300,[1]对照表!$W$3:$W$24,[1]对照表!$X$3:$X$24),LOOKUP(Q300,[1]对照表!$W$27:$W$48,[1]对照表!$X$27:$X$48)),IF(B300="高二",IF($E300="男",LOOKUP(Q300,[1]对照表!$V$3:$V$24,[1]对照表!$X$3:$X$24),LOOKUP(Q300,[1]对照表!$V$27:$V$48,[1]对照表!$X$27:$X$48)),IF(B300="高一",IF($E300="男",LOOKUP(Q300,[1]对照表!$U$3:$U$24,[1]对照表!$X$3:$X$24),LOOKUP(Q300,[1]对照表!$U$27:$U$48,[1]对照表!$X$27:$X$48)))))</f>
        <v>68</v>
      </c>
      <c r="S300" s="33">
        <f>ROUND(IF(IF($B300="高三",MIN(IF($E300="男",$Q300-3.2,$Q300-3.2),0),IF($B300="高二",MIN(IF($E300="男",$Q300-3.25,$Q300-3.22),0),IF($B300="高一",MIN(IF($E300="男",$Q300-3.3,$Q300-3.24),0))))&lt;-0.6,IF($B300="高三",MIN(IF($E300="男",$Q300-3.2,$Q300-3.2),0),IF($B300="高二",MIN(IF($E300="男",$Q300-3.25,$Q300-3.22),0),IF($B300="高一",MIN(IF($E300="男",$Q300-3.3,$Q300-3.24),0))))+0.4,IF($B300="高三",MIN(IF($E300="男",$Q300-3.2,$Q300-3.2),0),IF($B300="高二",MIN(IF($E300="男",$Q300-3.25,$Q300-3.22),0),IF($B300="高一",MIN(IF($E300="男",$Q300-3.3,$Q300-3.24),0))))),2)</f>
        <v>0</v>
      </c>
      <c r="T300" s="23">
        <f>IF(E300="男",LOOKUP($S300,[1]对照表!$AB$3:$AB$13,[1]对照表!$AC$3:$AC$13),LOOKUP($S300,[1]对照表!$AB$15:$AB$25,[1]对照表!$AC$15:$AC$25))</f>
        <v>0</v>
      </c>
      <c r="U300" s="26">
        <f>R300+T300</f>
        <v>68</v>
      </c>
      <c r="V300" s="26">
        <f>SUM(I300,K300,M300)/3*0.3+SUM(G300,R300)/2*0.4</f>
        <v>44.400000000000006</v>
      </c>
      <c r="W300" s="27">
        <f>O300+T300</f>
        <v>0</v>
      </c>
      <c r="X300" s="28">
        <f>V300/0.7+W300</f>
        <v>63.428571428571438</v>
      </c>
      <c r="Y300" s="28">
        <f>X300</f>
        <v>63.428571428571438</v>
      </c>
      <c r="Z300" s="38"/>
    </row>
    <row r="301" spans="1:26" ht="15.6" x14ac:dyDescent="0.25">
      <c r="A301" s="38">
        <v>11</v>
      </c>
      <c r="B301" s="17" t="s">
        <v>767</v>
      </c>
      <c r="C301" s="48">
        <v>206</v>
      </c>
      <c r="D301" s="49" t="s">
        <v>1422</v>
      </c>
      <c r="E301" s="48" t="s">
        <v>23</v>
      </c>
      <c r="F301" s="50">
        <v>7.1</v>
      </c>
      <c r="G301" s="32">
        <f>IF(B301="高三",IF($E301="男",LOOKUP(F301,[1]对照表!$G$3:$G$24,[1]对照表!$H$3:$H$24),LOOKUP(F301,[1]对照表!$G$27:$G$48,[1]对照表!$H$27:$H$48)),IF(B301="高二",IF($E301="男",LOOKUP(F301,[1]对照表!$F$3:$F$24,[1]对照表!$H$3:$H$24),LOOKUP(F301,[1]对照表!$F$27:$F$48,[1]对照表!$H$27:$H$48)),IF(B301="高一",IF($E301="男",LOOKUP(F301,[1]对照表!$E$3:$E$24,[1]对照表!$H$3:$H$24),LOOKUP(F301,[1]对照表!$E$27:$E$48,[1]对照表!$H$27:$H$48)))))</f>
        <v>95</v>
      </c>
      <c r="H301" s="38">
        <v>12</v>
      </c>
      <c r="I301" s="32">
        <f>IF(B301="高三",IF($E301="男",LOOKUP(H301,[1]对照表!$K$3:$K$24,[1]对照表!$L$3:$L$24),LOOKUP(H301,[1]对照表!$K$27:$K$48,[1]对照表!$L$27:$L$48)),IF(B301="高二",IF($E301="男",LOOKUP(H301,[1]对照表!$J$3:$J$24,[1]对照表!$L$3:$L$24),LOOKUP(H301,[1]对照表!$J$27:$J$48,[1]对照表!$L$27:$L$48)),IF(B301="高一",IF($E301="男",LOOKUP(H301,[1]对照表!$I$3:$I$24,[1]对照表!$L$3:$L$24),LOOKUP(H301,[1]对照表!$I$27:$I$48,[1]对照表!$L$27:$L$48)))))</f>
        <v>74</v>
      </c>
      <c r="J301" s="38">
        <v>255</v>
      </c>
      <c r="K301" s="32">
        <f>IF(B301="高三",IF($E301="男",LOOKUP(J301,[1]对照表!$O$3:$O$24,[1]对照表!$P$3:$P$24),LOOKUP(J301,[1]对照表!$O$27:$O$48,[1]对照表!$P$27:$P$48)),IF(B301="高二",IF($E301="男",LOOKUP(J301,[1]对照表!$N$3:$N$24,[1]对照表!$P$3:$P$24),LOOKUP(J301,[1]对照表!$N$27:$N$48,[1]对照表!$P$27:$P$48)),IF(B301="高一",IF($E301="男",LOOKUP(J301,[1]对照表!$M$3:$M$24,[1]对照表!$P$3:$P$24),LOOKUP(J301,[1]对照表!$M$27:$M$48,[1]对照表!$P$27:$P$48)))))</f>
        <v>90</v>
      </c>
      <c r="L301" s="38">
        <v>13</v>
      </c>
      <c r="M301" s="32">
        <f>IF(B301="高三",IF($E301="男",LOOKUP(L301,[1]对照表!$S$3:$S$24,[1]对照表!$T$3:$T$24),LOOKUP(L301,[1]对照表!$S$27:$S$48,[1]对照表!$T$27:$T$48)),IF(B301="高二",IF($E301="男",LOOKUP(L301,[1]对照表!$R$3:$R$24,[1]对照表!$T$3:$T$24),LOOKUP(L301,[1]对照表!$R$27:$R$48,[1]对照表!$T$27:$T$48)),IF(B301="高一",IF($E301="男",LOOKUP(L301,[1]对照表!$Q$3:$Q$24,[1]对照表!$T$3:$T$24),LOOKUP(L301,[1]对照表!$Q$27:$Q$48,[1]对照表!$T$27:$T$48)))))</f>
        <v>80</v>
      </c>
      <c r="N301" s="33">
        <f>IF(B301="高三",MAX(IF(E301="男",L301-18,L301-55),0),IF(B301="高二",MAX(IF(E301="男",L301-17,L301-54),0),IF(B301="高一",MAX(IF(E301="男",L301-16,L301-53),0))))</f>
        <v>0</v>
      </c>
      <c r="O301" s="23">
        <f>IF(E301="男",LOOKUP($N301,[1]对照表!$Z$3:$Z$13,[1]对照表!$AA$3:$AA$13),LOOKUP($N301,[1]对照表!$Z$15:$Z$25,[1]对照表!$AA$15:$AA$25))</f>
        <v>0</v>
      </c>
      <c r="P301" s="25">
        <f>M301+O301</f>
        <v>80</v>
      </c>
      <c r="Q301" s="50"/>
      <c r="R301" s="20">
        <v>0</v>
      </c>
      <c r="S301" s="22">
        <v>0</v>
      </c>
      <c r="T301" s="23">
        <f>IF(E301="男",LOOKUP($S301,[1]对照表!$AB$3:$AB$13,[1]对照表!$AC$3:$AC$13),LOOKUP($S301,[1]对照表!$AB$15:$AB$25,[1]对照表!$AC$15:$AC$25))</f>
        <v>0</v>
      </c>
      <c r="U301" s="26">
        <f>R301+T301</f>
        <v>0</v>
      </c>
      <c r="V301" s="26">
        <f>SUM(I301,K301,M301)/3*0.3+SUM(G301,R301)/2*0.4</f>
        <v>43.4</v>
      </c>
      <c r="W301" s="27">
        <f>O301+T301</f>
        <v>0</v>
      </c>
      <c r="X301" s="28">
        <f>V301/0.7+W301</f>
        <v>62</v>
      </c>
      <c r="Y301" s="28">
        <f>X301</f>
        <v>62</v>
      </c>
      <c r="Z301" s="38" t="s">
        <v>578</v>
      </c>
    </row>
    <row r="302" spans="1:26" ht="15.6" x14ac:dyDescent="0.25">
      <c r="A302" s="38">
        <v>7</v>
      </c>
      <c r="B302" s="17" t="s">
        <v>767</v>
      </c>
      <c r="C302" s="48">
        <v>206</v>
      </c>
      <c r="D302" s="49" t="s">
        <v>477</v>
      </c>
      <c r="E302" s="48" t="s">
        <v>23</v>
      </c>
      <c r="F302" s="50">
        <v>8.6</v>
      </c>
      <c r="G302" s="32">
        <f>IF(B302="高三",IF($E302="男",LOOKUP(F302,[1]对照表!$G$3:$G$24,[1]对照表!$H$3:$H$24),LOOKUP(F302,[1]对照表!$G$27:$G$48,[1]对照表!$H$27:$H$48)),IF(B302="高二",IF($E302="男",LOOKUP(F302,[1]对照表!$F$3:$F$24,[1]对照表!$H$3:$H$24),LOOKUP(F302,[1]对照表!$F$27:$F$48,[1]对照表!$H$27:$H$48)),IF(B302="高一",IF($E302="男",LOOKUP(F302,[1]对照表!$E$3:$E$24,[1]对照表!$H$3:$H$24),LOOKUP(F302,[1]对照表!$E$27:$E$48,[1]对照表!$H$27:$H$48)))))</f>
        <v>68</v>
      </c>
      <c r="H302" s="38">
        <v>18.5</v>
      </c>
      <c r="I302" s="32">
        <f>IF(B302="高三",IF($E302="男",LOOKUP(H302,[1]对照表!$K$3:$K$24,[1]对照表!$L$3:$L$24),LOOKUP(H302,[1]对照表!$K$27:$K$48,[1]对照表!$L$27:$L$48)),IF(B302="高二",IF($E302="男",LOOKUP(H302,[1]对照表!$J$3:$J$24,[1]对照表!$L$3:$L$24),LOOKUP(H302,[1]对照表!$J$27:$J$48,[1]对照表!$L$27:$L$48)),IF(B302="高一",IF($E302="男",LOOKUP(H302,[1]对照表!$I$3:$I$24,[1]对照表!$L$3:$L$24),LOOKUP(H302,[1]对照表!$I$27:$I$48,[1]对照表!$L$27:$L$48)))))</f>
        <v>85</v>
      </c>
      <c r="J302" s="38">
        <v>217</v>
      </c>
      <c r="K302" s="32">
        <f>IF(B302="高三",IF($E302="男",LOOKUP(J302,[1]对照表!$O$3:$O$24,[1]对照表!$P$3:$P$24),LOOKUP(J302,[1]对照表!$O$27:$O$48,[1]对照表!$P$27:$P$48)),IF(B302="高二",IF($E302="男",LOOKUP(J302,[1]对照表!$N$3:$N$24,[1]对照表!$P$3:$P$24),LOOKUP(J302,[1]对照表!$N$27:$N$48,[1]对照表!$P$27:$P$48)),IF(B302="高一",IF($E302="男",LOOKUP(J302,[1]对照表!$M$3:$M$24,[1]对照表!$P$3:$P$24),LOOKUP(J302,[1]对照表!$M$27:$M$48,[1]对照表!$P$27:$P$48)))))</f>
        <v>68</v>
      </c>
      <c r="L302" s="38">
        <v>2</v>
      </c>
      <c r="M302" s="32">
        <f>IF(B302="高三",IF($E302="男",LOOKUP(L302,[1]对照表!$S$3:$S$24,[1]对照表!$T$3:$T$24),LOOKUP(L302,[1]对照表!$S$27:$S$48,[1]对照表!$T$27:$T$48)),IF(B302="高二",IF($E302="男",LOOKUP(L302,[1]对照表!$R$3:$R$24,[1]对照表!$T$3:$T$24),LOOKUP(L302,[1]对照表!$R$27:$R$48,[1]对照表!$T$27:$T$48)),IF(B302="高一",IF($E302="男",LOOKUP(L302,[1]对照表!$Q$3:$Q$24,[1]对照表!$T$3:$T$24),LOOKUP(L302,[1]对照表!$Q$27:$Q$48,[1]对照表!$T$27:$T$48)))))</f>
        <v>0</v>
      </c>
      <c r="N302" s="33">
        <f>IF(B302="高三",MAX(IF(E302="男",L302-18,L302-55),0),IF(B302="高二",MAX(IF(E302="男",L302-17,L302-54),0),IF(B302="高一",MAX(IF(E302="男",L302-16,L302-53),0))))</f>
        <v>0</v>
      </c>
      <c r="O302" s="23">
        <f>IF(E302="男",LOOKUP($N302,[1]对照表!$Z$3:$Z$13,[1]对照表!$AA$3:$AA$13),LOOKUP($N302,[1]对照表!$Z$15:$Z$25,[1]对照表!$AA$15:$AA$25))</f>
        <v>0</v>
      </c>
      <c r="P302" s="25">
        <f>M302+O302</f>
        <v>0</v>
      </c>
      <c r="Q302" s="50">
        <v>4.3</v>
      </c>
      <c r="R302" s="32">
        <f>IF(B302="高三",IF($E302="男",LOOKUP(Q302,[1]对照表!$W$3:$W$24,[1]对照表!$X$3:$X$24),LOOKUP(Q302,[1]对照表!$W$27:$W$48,[1]对照表!$X$27:$X$48)),IF(B302="高二",IF($E302="男",LOOKUP(Q302,[1]对照表!$V$3:$V$24,[1]对照表!$X$3:$X$24),LOOKUP(Q302,[1]对照表!$V$27:$V$48,[1]对照表!$X$27:$X$48)),IF(B302="高一",IF($E302="男",LOOKUP(Q302,[1]对照表!$U$3:$U$24,[1]对照表!$X$3:$X$24),LOOKUP(Q302,[1]对照表!$U$27:$U$48,[1]对照表!$X$27:$X$48)))))</f>
        <v>64</v>
      </c>
      <c r="S302" s="33">
        <f>ROUND(IF(IF($B302="高三",MIN(IF($E302="男",$Q302-3.2,$Q302-3.2),0),IF($B302="高二",MIN(IF($E302="男",$Q302-3.25,$Q302-3.22),0),IF($B302="高一",MIN(IF($E302="男",$Q302-3.3,$Q302-3.24),0))))&lt;-0.6,IF($B302="高三",MIN(IF($E302="男",$Q302-3.2,$Q302-3.2),0),IF($B302="高二",MIN(IF($E302="男",$Q302-3.25,$Q302-3.22),0),IF($B302="高一",MIN(IF($E302="男",$Q302-3.3,$Q302-3.24),0))))+0.4,IF($B302="高三",MIN(IF($E302="男",$Q302-3.2,$Q302-3.2),0),IF($B302="高二",MIN(IF($E302="男",$Q302-3.25,$Q302-3.22),0),IF($B302="高一",MIN(IF($E302="男",$Q302-3.3,$Q302-3.24),0))))),2)</f>
        <v>0</v>
      </c>
      <c r="T302" s="23">
        <f>IF(E302="男",LOOKUP($S302,[1]对照表!$AB$3:$AB$13,[1]对照表!$AC$3:$AC$13),LOOKUP($S302,[1]对照表!$AB$15:$AB$25,[1]对照表!$AC$15:$AC$25))</f>
        <v>0</v>
      </c>
      <c r="U302" s="26">
        <f>R302+T302</f>
        <v>64</v>
      </c>
      <c r="V302" s="26">
        <f>SUM(I302,K302,M302)/3*0.3+SUM(G302,R302)/2*0.4</f>
        <v>41.7</v>
      </c>
      <c r="W302" s="27">
        <f>O302+T302</f>
        <v>0</v>
      </c>
      <c r="X302" s="28">
        <f>V302/0.7+W302</f>
        <v>59.571428571428577</v>
      </c>
      <c r="Y302" s="28">
        <f>X302</f>
        <v>59.571428571428577</v>
      </c>
      <c r="Z302" s="38"/>
    </row>
    <row r="303" spans="1:26" ht="15.6" x14ac:dyDescent="0.25">
      <c r="A303" s="48">
        <v>16</v>
      </c>
      <c r="B303" s="17" t="s">
        <v>767</v>
      </c>
      <c r="C303" s="48">
        <v>206</v>
      </c>
      <c r="D303" s="49" t="s">
        <v>1432</v>
      </c>
      <c r="E303" s="48" t="s">
        <v>23</v>
      </c>
      <c r="F303" s="50">
        <v>7.5</v>
      </c>
      <c r="G303" s="32">
        <f>IF(B303="高三",IF($E303="男",LOOKUP(F303,[1]对照表!$G$3:$G$24,[1]对照表!$H$3:$H$24),LOOKUP(F303,[1]对照表!$G$27:$G$48,[1]对照表!$H$27:$H$48)),IF(B303="高二",IF($E303="男",LOOKUP(F303,[1]对照表!$F$3:$F$24,[1]对照表!$H$3:$H$24),LOOKUP(F303,[1]对照表!$F$27:$F$48,[1]对照表!$H$27:$H$48)),IF(B303="高一",IF($E303="男",LOOKUP(F303,[1]对照表!$E$3:$E$24,[1]对照表!$H$3:$H$24),LOOKUP(F303,[1]对照表!$E$27:$E$48,[1]对照表!$H$27:$H$48)))))</f>
        <v>78</v>
      </c>
      <c r="H303" s="38">
        <v>24.4</v>
      </c>
      <c r="I303" s="32">
        <f>IF(B303="高三",IF($E303="男",LOOKUP(H303,[1]对照表!$K$3:$K$24,[1]对照表!$L$3:$L$24),LOOKUP(H303,[1]对照表!$K$27:$K$48,[1]对照表!$L$27:$L$48)),IF(B303="高二",IF($E303="男",LOOKUP(H303,[1]对照表!$J$3:$J$24,[1]对照表!$L$3:$L$24),LOOKUP(H303,[1]对照表!$J$27:$J$48,[1]对照表!$L$27:$L$48)),IF(B303="高一",IF($E303="男",LOOKUP(H303,[1]对照表!$I$3:$I$24,[1]对照表!$L$3:$L$24),LOOKUP(H303,[1]对照表!$I$27:$I$48,[1]对照表!$L$27:$L$48)))))</f>
        <v>100</v>
      </c>
      <c r="J303" s="38">
        <v>245</v>
      </c>
      <c r="K303" s="32">
        <f>IF(B303="高三",IF($E303="男",LOOKUP(J303,[1]对照表!$O$3:$O$24,[1]对照表!$P$3:$P$24),LOOKUP(J303,[1]对照表!$O$27:$O$48,[1]对照表!$P$27:$P$48)),IF(B303="高二",IF($E303="男",LOOKUP(J303,[1]对照表!$N$3:$N$24,[1]对照表!$P$3:$P$24),LOOKUP(J303,[1]对照表!$N$27:$N$48,[1]对照表!$P$27:$P$48)),IF(B303="高一",IF($E303="男",LOOKUP(J303,[1]对照表!$M$3:$M$24,[1]对照表!$P$3:$P$24),LOOKUP(J303,[1]对照表!$M$27:$M$48,[1]对照表!$P$27:$P$48)))))</f>
        <v>80</v>
      </c>
      <c r="L303" s="38">
        <v>13</v>
      </c>
      <c r="M303" s="32">
        <f>IF(B303="高三",IF($E303="男",LOOKUP(L303,[1]对照表!$S$3:$S$24,[1]对照表!$T$3:$T$24),LOOKUP(L303,[1]对照表!$S$27:$S$48,[1]对照表!$T$27:$T$48)),IF(B303="高二",IF($E303="男",LOOKUP(L303,[1]对照表!$R$3:$R$24,[1]对照表!$T$3:$T$24),LOOKUP(L303,[1]对照表!$R$27:$R$48,[1]对照表!$T$27:$T$48)),IF(B303="高一",IF($E303="男",LOOKUP(L303,[1]对照表!$Q$3:$Q$24,[1]对照表!$T$3:$T$24),LOOKUP(L303,[1]对照表!$Q$27:$Q$48,[1]对照表!$T$27:$T$48)))))</f>
        <v>80</v>
      </c>
      <c r="N303" s="33">
        <f>IF(B303="高三",MAX(IF(E303="男",L303-18,L303-55),0),IF(B303="高二",MAX(IF(E303="男",L303-17,L303-54),0),IF(B303="高一",MAX(IF(E303="男",L303-16,L303-53),0))))</f>
        <v>0</v>
      </c>
      <c r="O303" s="23">
        <f>IF(E303="男",LOOKUP($N303,[1]对照表!$Z$3:$Z$13,[1]对照表!$AA$3:$AA$13),LOOKUP($N303,[1]对照表!$Z$15:$Z$25,[1]对照表!$AA$15:$AA$25))</f>
        <v>0</v>
      </c>
      <c r="P303" s="25">
        <f>M303+O303</f>
        <v>80</v>
      </c>
      <c r="Q303" s="50"/>
      <c r="R303" s="20">
        <v>0</v>
      </c>
      <c r="S303" s="22">
        <v>0</v>
      </c>
      <c r="T303" s="23">
        <f>IF(E303="男",LOOKUP($S303,[1]对照表!$AB$3:$AB$13,[1]对照表!$AC$3:$AC$13),LOOKUP($S303,[1]对照表!$AB$15:$AB$25,[1]对照表!$AC$15:$AC$25))</f>
        <v>0</v>
      </c>
      <c r="U303" s="26">
        <f>R303+T303</f>
        <v>0</v>
      </c>
      <c r="V303" s="26">
        <f>SUM(I303,K303,M303)/3*0.3+SUM(G303,R303)/2*0.4</f>
        <v>41.6</v>
      </c>
      <c r="W303" s="27">
        <f>O303+T303</f>
        <v>0</v>
      </c>
      <c r="X303" s="28">
        <f>V303/0.7+W303</f>
        <v>59.428571428571438</v>
      </c>
      <c r="Y303" s="28">
        <f>X303</f>
        <v>59.428571428571438</v>
      </c>
      <c r="Z303" s="38"/>
    </row>
    <row r="304" spans="1:26" ht="15.6" x14ac:dyDescent="0.25">
      <c r="A304" s="48">
        <v>26</v>
      </c>
      <c r="B304" s="17" t="s">
        <v>767</v>
      </c>
      <c r="C304" s="48">
        <v>206</v>
      </c>
      <c r="D304" s="49" t="s">
        <v>1433</v>
      </c>
      <c r="E304" s="48" t="s">
        <v>23</v>
      </c>
      <c r="F304" s="50">
        <v>8.1</v>
      </c>
      <c r="G304" s="32">
        <f>IF(B304="高三",IF($E304="男",LOOKUP(F304,[1]对照表!$G$3:$G$24,[1]对照表!$H$3:$H$24),LOOKUP(F304,[1]对照表!$G$27:$G$48,[1]对照表!$H$27:$H$48)),IF(B304="高二",IF($E304="男",LOOKUP(F304,[1]对照表!$F$3:$F$24,[1]对照表!$H$3:$H$24),LOOKUP(F304,[1]对照表!$F$27:$F$48,[1]对照表!$H$27:$H$48)),IF(B304="高一",IF($E304="男",LOOKUP(F304,[1]对照表!$E$3:$E$24,[1]对照表!$H$3:$H$24),LOOKUP(F304,[1]对照表!$E$27:$E$48,[1]对照表!$H$27:$H$48)))))</f>
        <v>72</v>
      </c>
      <c r="H304" s="38">
        <v>6</v>
      </c>
      <c r="I304" s="32">
        <f>IF(B304="高三",IF($E304="男",LOOKUP(H304,[1]对照表!$K$3:$K$24,[1]对照表!$L$3:$L$24),LOOKUP(H304,[1]对照表!$K$27:$K$48,[1]对照表!$L$27:$L$48)),IF(B304="高二",IF($E304="男",LOOKUP(H304,[1]对照表!$J$3:$J$24,[1]对照表!$L$3:$L$24),LOOKUP(H304,[1]对照表!$J$27:$J$48,[1]对照表!$L$27:$L$48)),IF(B304="高一",IF($E304="男",LOOKUP(H304,[1]对照表!$I$3:$I$24,[1]对照表!$L$3:$L$24),LOOKUP(H304,[1]对照表!$I$27:$I$48,[1]对照表!$L$27:$L$48)))))</f>
        <v>64</v>
      </c>
      <c r="J304" s="38">
        <v>204</v>
      </c>
      <c r="K304" s="32">
        <f>IF(B304="高三",IF($E304="男",LOOKUP(J304,[1]对照表!$O$3:$O$24,[1]对照表!$P$3:$P$24),LOOKUP(J304,[1]对照表!$O$27:$O$48,[1]对照表!$P$27:$P$48)),IF(B304="高二",IF($E304="男",LOOKUP(J304,[1]对照表!$N$3:$N$24,[1]对照表!$P$3:$P$24),LOOKUP(J304,[1]对照表!$N$27:$N$48,[1]对照表!$P$27:$P$48)),IF(B304="高一",IF($E304="男",LOOKUP(J304,[1]对照表!$M$3:$M$24,[1]对照表!$P$3:$P$24),LOOKUP(J304,[1]对照表!$M$27:$M$48,[1]对照表!$P$27:$P$48)))))</f>
        <v>62</v>
      </c>
      <c r="L304" s="38">
        <v>0</v>
      </c>
      <c r="M304" s="32">
        <f>IF(B304="高三",IF($E304="男",LOOKUP(L304,[1]对照表!$S$3:$S$24,[1]对照表!$T$3:$T$24),LOOKUP(L304,[1]对照表!$S$27:$S$48,[1]对照表!$T$27:$T$48)),IF(B304="高二",IF($E304="男",LOOKUP(L304,[1]对照表!$R$3:$R$24,[1]对照表!$T$3:$T$24),LOOKUP(L304,[1]对照表!$R$27:$R$48,[1]对照表!$T$27:$T$48)),IF(B304="高一",IF($E304="男",LOOKUP(L304,[1]对照表!$Q$3:$Q$24,[1]对照表!$T$3:$T$24),LOOKUP(L304,[1]对照表!$Q$27:$Q$48,[1]对照表!$T$27:$T$48)))))</f>
        <v>0</v>
      </c>
      <c r="N304" s="33">
        <f>IF(B304="高三",MAX(IF(E304="男",L304-18,L304-55),0),IF(B304="高二",MAX(IF(E304="男",L304-17,L304-54),0),IF(B304="高一",MAX(IF(E304="男",L304-16,L304-53),0))))</f>
        <v>0</v>
      </c>
      <c r="O304" s="23">
        <f>IF(E304="男",LOOKUP($N304,[1]对照表!$Z$3:$Z$13,[1]对照表!$AA$3:$AA$13),LOOKUP($N304,[1]对照表!$Z$15:$Z$25,[1]对照表!$AA$15:$AA$25))</f>
        <v>0</v>
      </c>
      <c r="P304" s="25">
        <f>M304+O304</f>
        <v>0</v>
      </c>
      <c r="Q304" s="50">
        <v>4.07</v>
      </c>
      <c r="R304" s="32">
        <f>IF(B304="高三",IF($E304="男",LOOKUP(Q304,[1]对照表!$W$3:$W$24,[1]对照表!$X$3:$X$24),LOOKUP(Q304,[1]对照表!$W$27:$W$48,[1]对照表!$X$27:$X$48)),IF(B304="高二",IF($E304="男",LOOKUP(Q304,[1]对照表!$V$3:$V$24,[1]对照表!$X$3:$X$24),LOOKUP(Q304,[1]对照表!$V$27:$V$48,[1]对照表!$X$27:$X$48)),IF(B304="高一",IF($E304="男",LOOKUP(Q304,[1]对照表!$U$3:$U$24,[1]对照表!$X$3:$X$24),LOOKUP(Q304,[1]对照表!$U$27:$U$48,[1]对照表!$X$27:$X$48)))))</f>
        <v>72</v>
      </c>
      <c r="S304" s="33">
        <f>ROUND(IF(IF($B304="高三",MIN(IF($E304="男",$Q304-3.2,$Q304-3.2),0),IF($B304="高二",MIN(IF($E304="男",$Q304-3.25,$Q304-3.22),0),IF($B304="高一",MIN(IF($E304="男",$Q304-3.3,$Q304-3.24),0))))&lt;-0.6,IF($B304="高三",MIN(IF($E304="男",$Q304-3.2,$Q304-3.2),0),IF($B304="高二",MIN(IF($E304="男",$Q304-3.25,$Q304-3.22),0),IF($B304="高一",MIN(IF($E304="男",$Q304-3.3,$Q304-3.24),0))))+0.4,IF($B304="高三",MIN(IF($E304="男",$Q304-3.2,$Q304-3.2),0),IF($B304="高二",MIN(IF($E304="男",$Q304-3.25,$Q304-3.22),0),IF($B304="高一",MIN(IF($E304="男",$Q304-3.3,$Q304-3.24),0))))),2)</f>
        <v>0</v>
      </c>
      <c r="T304" s="23">
        <f>IF(E304="男",LOOKUP($S304,[1]对照表!$AB$3:$AB$13,[1]对照表!$AC$3:$AC$13),LOOKUP($S304,[1]对照表!$AB$15:$AB$25,[1]对照表!$AC$15:$AC$25))</f>
        <v>0</v>
      </c>
      <c r="U304" s="26">
        <f>R304+T304</f>
        <v>72</v>
      </c>
      <c r="V304" s="26">
        <f>SUM(I304,K304,M304)/3*0.3+SUM(G304,R304)/2*0.4</f>
        <v>41.4</v>
      </c>
      <c r="W304" s="27">
        <f>O304+T304</f>
        <v>0</v>
      </c>
      <c r="X304" s="28">
        <f>V304/0.7+W304</f>
        <v>59.142857142857146</v>
      </c>
      <c r="Y304" s="28">
        <f>X304</f>
        <v>59.142857142857146</v>
      </c>
      <c r="Z304" s="38"/>
    </row>
    <row r="305" spans="1:26" ht="15.6" customHeight="1" x14ac:dyDescent="0.25">
      <c r="A305" s="48">
        <v>29</v>
      </c>
      <c r="B305" s="17" t="s">
        <v>767</v>
      </c>
      <c r="C305" s="48">
        <v>206</v>
      </c>
      <c r="D305" s="49" t="s">
        <v>1444</v>
      </c>
      <c r="E305" s="48" t="s">
        <v>23</v>
      </c>
      <c r="F305" s="50">
        <v>8.5</v>
      </c>
      <c r="G305" s="32">
        <f>IF(B305="高三",IF($E305="男",LOOKUP(F305,[1]对照表!$G$3:$G$24,[1]对照表!$H$3:$H$24),LOOKUP(F305,[1]对照表!$G$27:$G$48,[1]对照表!$H$27:$H$48)),IF(B305="高二",IF($E305="男",LOOKUP(F305,[1]对照表!$F$3:$F$24,[1]对照表!$H$3:$H$24),LOOKUP(F305,[1]对照表!$F$27:$F$48,[1]对照表!$H$27:$H$48)),IF(B305="高一",IF($E305="男",LOOKUP(F305,[1]对照表!$E$3:$E$24,[1]对照表!$H$3:$H$24),LOOKUP(F305,[1]对照表!$E$27:$E$48,[1]对照表!$H$27:$H$48)))))</f>
        <v>68</v>
      </c>
      <c r="H305" s="38">
        <v>5.5</v>
      </c>
      <c r="I305" s="32">
        <f>IF(B305="高三",IF($E305="男",LOOKUP(H305,[1]对照表!$K$3:$K$24,[1]对照表!$L$3:$L$24),LOOKUP(H305,[1]对照表!$K$27:$K$48,[1]对照表!$L$27:$L$48)),IF(B305="高二",IF($E305="男",LOOKUP(H305,[1]对照表!$J$3:$J$24,[1]对照表!$L$3:$L$24),LOOKUP(H305,[1]对照表!$J$27:$J$48,[1]对照表!$L$27:$L$48)),IF(B305="高一",IF($E305="男",LOOKUP(H305,[1]对照表!$I$3:$I$24,[1]对照表!$L$3:$L$24),LOOKUP(H305,[1]对照表!$I$27:$I$48,[1]对照表!$L$27:$L$48)))))</f>
        <v>64</v>
      </c>
      <c r="J305" s="38">
        <v>194</v>
      </c>
      <c r="K305" s="32">
        <f>IF(B305="高三",IF($E305="男",LOOKUP(J305,[1]对照表!$O$3:$O$24,[1]对照表!$P$3:$P$24),LOOKUP(J305,[1]对照表!$O$27:$O$48,[1]对照表!$P$27:$P$48)),IF(B305="高二",IF($E305="男",LOOKUP(J305,[1]对照表!$N$3:$N$24,[1]对照表!$P$3:$P$24),LOOKUP(J305,[1]对照表!$N$27:$N$48,[1]对照表!$P$27:$P$48)),IF(B305="高一",IF($E305="男",LOOKUP(J305,[1]对照表!$M$3:$M$24,[1]对照表!$P$3:$P$24),LOOKUP(J305,[1]对照表!$M$27:$M$48,[1]对照表!$P$27:$P$48)))))</f>
        <v>40</v>
      </c>
      <c r="L305" s="38">
        <v>0</v>
      </c>
      <c r="M305" s="32">
        <f>IF(B305="高三",IF($E305="男",LOOKUP(L305,[1]对照表!$S$3:$S$24,[1]对照表!$T$3:$T$24),LOOKUP(L305,[1]对照表!$S$27:$S$48,[1]对照表!$T$27:$T$48)),IF(B305="高二",IF($E305="男",LOOKUP(L305,[1]对照表!$R$3:$R$24,[1]对照表!$T$3:$T$24),LOOKUP(L305,[1]对照表!$R$27:$R$48,[1]对照表!$T$27:$T$48)),IF(B305="高一",IF($E305="男",LOOKUP(L305,[1]对照表!$Q$3:$Q$24,[1]对照表!$T$3:$T$24),LOOKUP(L305,[1]对照表!$Q$27:$Q$48,[1]对照表!$T$27:$T$48)))))</f>
        <v>0</v>
      </c>
      <c r="N305" s="33">
        <f>IF(B305="高三",MAX(IF(E305="男",L305-18,L305-55),0),IF(B305="高二",MAX(IF(E305="男",L305-17,L305-54),0),IF(B305="高一",MAX(IF(E305="男",L305-16,L305-53),0))))</f>
        <v>0</v>
      </c>
      <c r="O305" s="23">
        <f>IF(E305="男",LOOKUP($N305,[1]对照表!$Z$3:$Z$13,[1]对照表!$AA$3:$AA$13),LOOKUP($N305,[1]对照表!$Z$15:$Z$25,[1]对照表!$AA$15:$AA$25))</f>
        <v>0</v>
      </c>
      <c r="P305" s="25">
        <f>M305+O305</f>
        <v>0</v>
      </c>
      <c r="Q305" s="50">
        <v>4.17</v>
      </c>
      <c r="R305" s="32">
        <f>IF(B305="高三",IF($E305="男",LOOKUP(Q305,[1]对照表!$W$3:$W$24,[1]对照表!$X$3:$X$24),LOOKUP(Q305,[1]对照表!$W$27:$W$48,[1]对照表!$X$27:$X$48)),IF(B305="高二",IF($E305="男",LOOKUP(Q305,[1]对照表!$V$3:$V$24,[1]对照表!$X$3:$X$24),LOOKUP(Q305,[1]对照表!$V$27:$V$48,[1]对照表!$X$27:$X$48)),IF(B305="高一",IF($E305="男",LOOKUP(Q305,[1]对照表!$U$3:$U$24,[1]对照表!$X$3:$X$24),LOOKUP(Q305,[1]对照表!$U$27:$U$48,[1]对照表!$X$27:$X$48)))))</f>
        <v>68</v>
      </c>
      <c r="S305" s="33">
        <f>ROUND(IF(IF($B305="高三",MIN(IF($E305="男",$Q305-3.2,$Q305-3.2),0),IF($B305="高二",MIN(IF($E305="男",$Q305-3.25,$Q305-3.22),0),IF($B305="高一",MIN(IF($E305="男",$Q305-3.3,$Q305-3.24),0))))&lt;-0.6,IF($B305="高三",MIN(IF($E305="男",$Q305-3.2,$Q305-3.2),0),IF($B305="高二",MIN(IF($E305="男",$Q305-3.25,$Q305-3.22),0),IF($B305="高一",MIN(IF($E305="男",$Q305-3.3,$Q305-3.24),0))))+0.4,IF($B305="高三",MIN(IF($E305="男",$Q305-3.2,$Q305-3.2),0),IF($B305="高二",MIN(IF($E305="男",$Q305-3.25,$Q305-3.22),0),IF($B305="高一",MIN(IF($E305="男",$Q305-3.3,$Q305-3.24),0))))),2)</f>
        <v>0</v>
      </c>
      <c r="T305" s="23">
        <f>IF(E305="男",LOOKUP($S305,[1]对照表!$AB$3:$AB$13,[1]对照表!$AC$3:$AC$13),LOOKUP($S305,[1]对照表!$AB$15:$AB$25,[1]对照表!$AC$15:$AC$25))</f>
        <v>0</v>
      </c>
      <c r="U305" s="26">
        <f>R305+T305</f>
        <v>68</v>
      </c>
      <c r="V305" s="26">
        <f>SUM(I305,K305,M305)/3*0.3+SUM(G305,R305)/2*0.4</f>
        <v>37.6</v>
      </c>
      <c r="W305" s="27">
        <f>O305+T305</f>
        <v>0</v>
      </c>
      <c r="X305" s="28">
        <f>V305/0.7+W305</f>
        <v>53.714285714285722</v>
      </c>
      <c r="Y305" s="28">
        <f>X305</f>
        <v>53.714285714285722</v>
      </c>
      <c r="Z305" s="38"/>
    </row>
    <row r="306" spans="1:26" ht="15.6" customHeight="1" x14ac:dyDescent="0.25">
      <c r="A306" s="38">
        <v>32</v>
      </c>
      <c r="B306" s="17" t="s">
        <v>767</v>
      </c>
      <c r="C306" s="48">
        <v>206</v>
      </c>
      <c r="D306" s="49" t="s">
        <v>1446</v>
      </c>
      <c r="E306" s="48" t="s">
        <v>23</v>
      </c>
      <c r="F306" s="50">
        <v>7.7</v>
      </c>
      <c r="G306" s="32">
        <f>IF(B306="高三",IF($E306="男",LOOKUP(F306,[1]对照表!$G$3:$G$24,[1]对照表!$H$3:$H$24),LOOKUP(F306,[1]对照表!$G$27:$G$48,[1]对照表!$H$27:$H$48)),IF(B306="高二",IF($E306="男",LOOKUP(F306,[1]对照表!$F$3:$F$24,[1]对照表!$H$3:$H$24),LOOKUP(F306,[1]对照表!$F$27:$F$48,[1]对照表!$H$27:$H$48)),IF(B306="高一",IF($E306="男",LOOKUP(F306,[1]对照表!$E$3:$E$24,[1]对照表!$H$3:$H$24),LOOKUP(F306,[1]对照表!$E$27:$E$48,[1]对照表!$H$27:$H$48)))))</f>
        <v>76</v>
      </c>
      <c r="H306" s="38">
        <v>5.0999999999999996</v>
      </c>
      <c r="I306" s="32">
        <f>IF(B306="高三",IF($E306="男",LOOKUP(H306,[1]对照表!$K$3:$K$24,[1]对照表!$L$3:$L$24),LOOKUP(H306,[1]对照表!$K$27:$K$48,[1]对照表!$L$27:$L$48)),IF(B306="高二",IF($E306="男",LOOKUP(H306,[1]对照表!$J$3:$J$24,[1]对照表!$L$3:$L$24),LOOKUP(H306,[1]对照表!$J$27:$J$48,[1]对照表!$L$27:$L$48)),IF(B306="高一",IF($E306="男",LOOKUP(H306,[1]对照表!$I$3:$I$24,[1]对照表!$L$3:$L$24),LOOKUP(H306,[1]对照表!$I$27:$I$48,[1]对照表!$L$27:$L$48)))))</f>
        <v>64</v>
      </c>
      <c r="J306" s="38">
        <v>185</v>
      </c>
      <c r="K306" s="32">
        <f>IF(B306="高三",IF($E306="男",LOOKUP(J306,[1]对照表!$O$3:$O$24,[1]对照表!$P$3:$P$24),LOOKUP(J306,[1]对照表!$O$27:$O$48,[1]对照表!$P$27:$P$48)),IF(B306="高二",IF($E306="男",LOOKUP(J306,[1]对照表!$N$3:$N$24,[1]对照表!$P$3:$P$24),LOOKUP(J306,[1]对照表!$N$27:$N$48,[1]对照表!$P$27:$P$48)),IF(B306="高一",IF($E306="男",LOOKUP(J306,[1]对照表!$M$3:$M$24,[1]对照表!$P$3:$P$24),LOOKUP(J306,[1]对照表!$M$27:$M$48,[1]对照表!$P$27:$P$48)))))</f>
        <v>30</v>
      </c>
      <c r="L306" s="38">
        <v>0</v>
      </c>
      <c r="M306" s="32">
        <f>IF(B306="高三",IF($E306="男",LOOKUP(L306,[1]对照表!$S$3:$S$24,[1]对照表!$T$3:$T$24),LOOKUP(L306,[1]对照表!$S$27:$S$48,[1]对照表!$T$27:$T$48)),IF(B306="高二",IF($E306="男",LOOKUP(L306,[1]对照表!$R$3:$R$24,[1]对照表!$T$3:$T$24),LOOKUP(L306,[1]对照表!$R$27:$R$48,[1]对照表!$T$27:$T$48)),IF(B306="高一",IF($E306="男",LOOKUP(L306,[1]对照表!$Q$3:$Q$24,[1]对照表!$T$3:$T$24),LOOKUP(L306,[1]对照表!$Q$27:$Q$48,[1]对照表!$T$27:$T$48)))))</f>
        <v>0</v>
      </c>
      <c r="N306" s="33">
        <f>IF(B306="高三",MAX(IF(E306="男",L306-18,L306-55),0),IF(B306="高二",MAX(IF(E306="男",L306-17,L306-54),0),IF(B306="高一",MAX(IF(E306="男",L306-16,L306-53),0))))</f>
        <v>0</v>
      </c>
      <c r="O306" s="23">
        <f>IF(E306="男",LOOKUP($N306,[1]对照表!$Z$3:$Z$13,[1]对照表!$AA$3:$AA$13),LOOKUP($N306,[1]对照表!$Z$15:$Z$25,[1]对照表!$AA$15:$AA$25))</f>
        <v>0</v>
      </c>
      <c r="P306" s="25">
        <f>M306+O306</f>
        <v>0</v>
      </c>
      <c r="Q306" s="50">
        <v>4.3600000000000003</v>
      </c>
      <c r="R306" s="32">
        <f>IF(B306="高三",IF($E306="男",LOOKUP(Q306,[1]对照表!$W$3:$W$24,[1]对照表!$X$3:$X$24),LOOKUP(Q306,[1]对照表!$W$27:$W$48,[1]对照表!$X$27:$X$48)),IF(B306="高二",IF($E306="男",LOOKUP(Q306,[1]对照表!$V$3:$V$24,[1]对照表!$X$3:$X$24),LOOKUP(Q306,[1]对照表!$V$27:$V$48,[1]对照表!$X$27:$X$48)),IF(B306="高一",IF($E306="男",LOOKUP(Q306,[1]对照表!$U$3:$U$24,[1]对照表!$X$3:$X$24),LOOKUP(Q306,[1]对照表!$U$27:$U$48,[1]对照表!$X$27:$X$48)))))</f>
        <v>60</v>
      </c>
      <c r="S306" s="33">
        <f>ROUND(IF(IF($B306="高三",MIN(IF($E306="男",$Q306-3.2,$Q306-3.2),0),IF($B306="高二",MIN(IF($E306="男",$Q306-3.25,$Q306-3.22),0),IF($B306="高一",MIN(IF($E306="男",$Q306-3.3,$Q306-3.24),0))))&lt;-0.6,IF($B306="高三",MIN(IF($E306="男",$Q306-3.2,$Q306-3.2),0),IF($B306="高二",MIN(IF($E306="男",$Q306-3.25,$Q306-3.22),0),IF($B306="高一",MIN(IF($E306="男",$Q306-3.3,$Q306-3.24),0))))+0.4,IF($B306="高三",MIN(IF($E306="男",$Q306-3.2,$Q306-3.2),0),IF($B306="高二",MIN(IF($E306="男",$Q306-3.25,$Q306-3.22),0),IF($B306="高一",MIN(IF($E306="男",$Q306-3.3,$Q306-3.24),0))))),2)</f>
        <v>0</v>
      </c>
      <c r="T306" s="23">
        <f>IF(E306="男",LOOKUP($S306,[1]对照表!$AB$3:$AB$13,[1]对照表!$AC$3:$AC$13),LOOKUP($S306,[1]对照表!$AB$15:$AB$25,[1]对照表!$AC$15:$AC$25))</f>
        <v>0</v>
      </c>
      <c r="U306" s="26">
        <f>R306+T306</f>
        <v>60</v>
      </c>
      <c r="V306" s="26">
        <f>SUM(I306,K306,M306)/3*0.3+SUM(G306,R306)/2*0.4</f>
        <v>36.6</v>
      </c>
      <c r="W306" s="27">
        <f>O306+T306</f>
        <v>0</v>
      </c>
      <c r="X306" s="28">
        <f>V306/0.7+W306</f>
        <v>52.285714285714292</v>
      </c>
      <c r="Y306" s="28">
        <f>X306</f>
        <v>52.285714285714292</v>
      </c>
      <c r="Z306" s="38"/>
    </row>
    <row r="307" spans="1:26" ht="15.6" customHeight="1" x14ac:dyDescent="0.25">
      <c r="A307" s="48">
        <v>21</v>
      </c>
      <c r="B307" s="17" t="s">
        <v>767</v>
      </c>
      <c r="C307" s="48">
        <v>206</v>
      </c>
      <c r="D307" s="49" t="s">
        <v>1448</v>
      </c>
      <c r="E307" s="48" t="s">
        <v>23</v>
      </c>
      <c r="F307" s="50">
        <v>7.3</v>
      </c>
      <c r="G307" s="32">
        <f>IF(B307="高三",IF($E307="男",LOOKUP(F307,[1]对照表!$G$3:$G$24,[1]对照表!$H$3:$H$24),LOOKUP(F307,[1]对照表!$G$27:$G$48,[1]对照表!$H$27:$H$48)),IF(B307="高二",IF($E307="男",LOOKUP(F307,[1]对照表!$F$3:$F$24,[1]对照表!$H$3:$H$24),LOOKUP(F307,[1]对照表!$F$27:$F$48,[1]对照表!$H$27:$H$48)),IF(B307="高一",IF($E307="男",LOOKUP(F307,[1]对照表!$E$3:$E$24,[1]对照表!$H$3:$H$24),LOOKUP(F307,[1]对照表!$E$27:$E$48,[1]对照表!$H$27:$H$48)))))</f>
        <v>85</v>
      </c>
      <c r="H307" s="38">
        <v>25.5</v>
      </c>
      <c r="I307" s="32">
        <f>IF(B307="高三",IF($E307="男",LOOKUP(H307,[1]对照表!$K$3:$K$24,[1]对照表!$L$3:$L$24),LOOKUP(H307,[1]对照表!$K$27:$K$48,[1]对照表!$L$27:$L$48)),IF(B307="高二",IF($E307="男",LOOKUP(H307,[1]对照表!$J$3:$J$24,[1]对照表!$L$3:$L$24),LOOKUP(H307,[1]对照表!$J$27:$J$48,[1]对照表!$L$27:$L$48)),IF(B307="高一",IF($E307="男",LOOKUP(H307,[1]对照表!$I$3:$I$24,[1]对照表!$L$3:$L$24),LOOKUP(H307,[1]对照表!$I$27:$I$48,[1]对照表!$L$27:$L$48)))))</f>
        <v>100</v>
      </c>
      <c r="J307" s="38">
        <v>260</v>
      </c>
      <c r="K307" s="32">
        <f>IF(B307="高三",IF($E307="男",LOOKUP(J307,[1]对照表!$O$3:$O$24,[1]对照表!$P$3:$P$24),LOOKUP(J307,[1]对照表!$O$27:$O$48,[1]对照表!$P$27:$P$48)),IF(B307="高二",IF($E307="男",LOOKUP(J307,[1]对照表!$N$3:$N$24,[1]对照表!$P$3:$P$24),LOOKUP(J307,[1]对照表!$N$27:$N$48,[1]对照表!$P$27:$P$48)),IF(B307="高一",IF($E307="男",LOOKUP(J307,[1]对照表!$M$3:$M$24,[1]对照表!$P$3:$P$24),LOOKUP(J307,[1]对照表!$M$27:$M$48,[1]对照表!$P$27:$P$48)))))</f>
        <v>95</v>
      </c>
      <c r="L307" s="38" t="s">
        <v>578</v>
      </c>
      <c r="M307" s="32">
        <v>0</v>
      </c>
      <c r="N307" s="33">
        <v>0</v>
      </c>
      <c r="O307" s="23">
        <f>IF(E307="男",LOOKUP($N307,[1]对照表!$Z$3:$Z$13,[1]对照表!$AA$3:$AA$13),LOOKUP($N307,[1]对照表!$Z$15:$Z$25,[1]对照表!$AA$15:$AA$25))</f>
        <v>0</v>
      </c>
      <c r="P307" s="25">
        <f>M307+O307</f>
        <v>0</v>
      </c>
      <c r="Q307" s="50" t="s">
        <v>578</v>
      </c>
      <c r="R307" s="32" t="str">
        <f>IF(B307="高三",IF($E307="男",LOOKUP(Q307,[1]对照表!$W$3:$W$24,[1]对照表!$X$3:$X$24),LOOKUP(Q307,[1]对照表!$W$27:$W$48,[1]对照表!$X$27:$X$48)),IF(B307="高二",IF($E307="男",LOOKUP(Q307,[1]对照表!$V$3:$V$24,[1]对照表!$X$3:$X$24),LOOKUP(Q307,[1]对照表!$V$27:$V$48,[1]对照表!$X$27:$X$48)),IF(B307="高一",IF($E307="男",LOOKUP(Q307,[1]对照表!$U$3:$U$24,[1]对照表!$X$3:$X$24),LOOKUP(Q307,[1]对照表!$U$27:$U$48,[1]对照表!$X$27:$X$48)))))</f>
        <v>/</v>
      </c>
      <c r="S307" s="33">
        <v>0</v>
      </c>
      <c r="T307" s="23">
        <f>IF(E307="男",LOOKUP($S307,[1]对照表!$AB$3:$AB$13,[1]对照表!$AC$3:$AC$13),LOOKUP($S307,[1]对照表!$AB$15:$AB$25,[1]对照表!$AC$15:$AC$25))</f>
        <v>0</v>
      </c>
      <c r="U307" s="26">
        <v>0</v>
      </c>
      <c r="V307" s="26">
        <f>SUM(I307,K307,M307)/3*0.3+SUM(G307,R307)/2*0.4</f>
        <v>36.5</v>
      </c>
      <c r="W307" s="27">
        <f>O307+T307</f>
        <v>0</v>
      </c>
      <c r="X307" s="28">
        <f>V307/0.7+W307</f>
        <v>52.142857142857146</v>
      </c>
      <c r="Y307" s="28">
        <f>X307</f>
        <v>52.142857142857146</v>
      </c>
      <c r="Z307" s="38"/>
    </row>
    <row r="308" spans="1:26" ht="15.6" customHeight="1" x14ac:dyDescent="0.25">
      <c r="A308" s="48">
        <v>14</v>
      </c>
      <c r="B308" s="17" t="s">
        <v>767</v>
      </c>
      <c r="C308" s="48">
        <v>206</v>
      </c>
      <c r="D308" s="49" t="s">
        <v>1450</v>
      </c>
      <c r="E308" s="48" t="s">
        <v>23</v>
      </c>
      <c r="F308" s="50">
        <v>7.7</v>
      </c>
      <c r="G308" s="32">
        <f>IF(B308="高三",IF($E308="男",LOOKUP(F308,[1]对照表!$G$3:$G$24,[1]对照表!$H$3:$H$24),LOOKUP(F308,[1]对照表!$G$27:$G$48,[1]对照表!$H$27:$H$48)),IF(B308="高二",IF($E308="男",LOOKUP(F308,[1]对照表!$F$3:$F$24,[1]对照表!$H$3:$H$24),LOOKUP(F308,[1]对照表!$F$27:$F$48,[1]对照表!$H$27:$H$48)),IF(B308="高一",IF($E308="男",LOOKUP(F308,[1]对照表!$E$3:$E$24,[1]对照表!$H$3:$H$24),LOOKUP(F308,[1]对照表!$E$27:$E$48,[1]对照表!$H$27:$H$48)))))</f>
        <v>76</v>
      </c>
      <c r="H308" s="38">
        <v>7.6</v>
      </c>
      <c r="I308" s="32">
        <f>IF(B308="高三",IF($E308="男",LOOKUP(H308,[1]对照表!$K$3:$K$24,[1]对照表!$L$3:$L$24),LOOKUP(H308,[1]对照表!$K$27:$K$48,[1]对照表!$L$27:$L$48)),IF(B308="高二",IF($E308="男",LOOKUP(H308,[1]对照表!$J$3:$J$24,[1]对照表!$L$3:$L$24),LOOKUP(H308,[1]对照表!$J$27:$J$48,[1]对照表!$L$27:$L$48)),IF(B308="高一",IF($E308="男",LOOKUP(H308,[1]对照表!$I$3:$I$24,[1]对照表!$L$3:$L$24),LOOKUP(H308,[1]对照表!$I$27:$I$48,[1]对照表!$L$27:$L$48)))))</f>
        <v>66</v>
      </c>
      <c r="J308" s="38">
        <v>190</v>
      </c>
      <c r="K308" s="32">
        <f>IF(B308="高三",IF($E308="男",LOOKUP(J308,[1]对照表!$O$3:$O$24,[1]对照表!$P$3:$P$24),LOOKUP(J308,[1]对照表!$O$27:$O$48,[1]对照表!$P$27:$P$48)),IF(B308="高二",IF($E308="男",LOOKUP(J308,[1]对照表!$N$3:$N$24,[1]对照表!$P$3:$P$24),LOOKUP(J308,[1]对照表!$N$27:$N$48,[1]对照表!$P$27:$P$48)),IF(B308="高一",IF($E308="男",LOOKUP(J308,[1]对照表!$M$3:$M$24,[1]对照表!$P$3:$P$24),LOOKUP(J308,[1]对照表!$M$27:$M$48,[1]对照表!$P$27:$P$48)))))</f>
        <v>40</v>
      </c>
      <c r="L308" s="38">
        <v>0</v>
      </c>
      <c r="M308" s="32">
        <f>IF(B308="高三",IF($E308="男",LOOKUP(L308,[1]对照表!$S$3:$S$24,[1]对照表!$T$3:$T$24),LOOKUP(L308,[1]对照表!$S$27:$S$48,[1]对照表!$T$27:$T$48)),IF(B308="高二",IF($E308="男",LOOKUP(L308,[1]对照表!$R$3:$R$24,[1]对照表!$T$3:$T$24),LOOKUP(L308,[1]对照表!$R$27:$R$48,[1]对照表!$T$27:$T$48)),IF(B308="高一",IF($E308="男",LOOKUP(L308,[1]对照表!$Q$3:$Q$24,[1]对照表!$T$3:$T$24),LOOKUP(L308,[1]对照表!$Q$27:$Q$48,[1]对照表!$T$27:$T$48)))))</f>
        <v>0</v>
      </c>
      <c r="N308" s="33">
        <f>IF(B308="高三",MAX(IF(E308="男",L308-18,L308-55),0),IF(B308="高二",MAX(IF(E308="男",L308-17,L308-54),0),IF(B308="高一",MAX(IF(E308="男",L308-16,L308-53),0))))</f>
        <v>0</v>
      </c>
      <c r="O308" s="23">
        <f>IF(E308="男",LOOKUP($N308,[1]对照表!$Z$3:$Z$13,[1]对照表!$AA$3:$AA$13),LOOKUP($N308,[1]对照表!$Z$15:$Z$25,[1]对照表!$AA$15:$AA$25))</f>
        <v>0</v>
      </c>
      <c r="P308" s="25">
        <f>M308+O308</f>
        <v>0</v>
      </c>
      <c r="Q308" s="38">
        <v>4.4400000000000004</v>
      </c>
      <c r="R308" s="32">
        <f>IF(B308="高三",IF($E308="男",LOOKUP(Q308,[1]对照表!$W$3:$W$24,[1]对照表!$X$3:$X$24),LOOKUP(Q308,[1]对照表!$W$27:$W$48,[1]对照表!$X$27:$X$48)),IF(B308="高二",IF($E308="男",LOOKUP(Q308,[1]对照表!$V$3:$V$24,[1]对照表!$X$3:$X$24),LOOKUP(Q308,[1]对照表!$V$27:$V$48,[1]对照表!$X$27:$X$48)),IF(B308="高一",IF($E308="男",LOOKUP(Q308,[1]对照表!$U$3:$U$24,[1]对照表!$X$3:$X$24),LOOKUP(Q308,[1]对照表!$U$27:$U$48,[1]对照表!$X$27:$X$48)))))</f>
        <v>50</v>
      </c>
      <c r="S308" s="33">
        <f>ROUND(IF(IF($B308="高三",MIN(IF($E308="男",$Q308-3.2,$Q308-3.2),0),IF($B308="高二",MIN(IF($E308="男",$Q308-3.25,$Q308-3.22),0),IF($B308="高一",MIN(IF($E308="男",$Q308-3.3,$Q308-3.24),0))))&lt;-0.6,IF($B308="高三",MIN(IF($E308="男",$Q308-3.2,$Q308-3.2),0),IF($B308="高二",MIN(IF($E308="男",$Q308-3.25,$Q308-3.22),0),IF($B308="高一",MIN(IF($E308="男",$Q308-3.3,$Q308-3.24),0))))+0.4,IF($B308="高三",MIN(IF($E308="男",$Q308-3.2,$Q308-3.2),0),IF($B308="高二",MIN(IF($E308="男",$Q308-3.25,$Q308-3.22),0),IF($B308="高一",MIN(IF($E308="男",$Q308-3.3,$Q308-3.24),0))))),2)</f>
        <v>0</v>
      </c>
      <c r="T308" s="23">
        <f>IF(E308="男",LOOKUP($S308,[1]对照表!$AB$3:$AB$13,[1]对照表!$AC$3:$AC$13),LOOKUP($S308,[1]对照表!$AB$15:$AB$25,[1]对照表!$AC$15:$AC$25))</f>
        <v>0</v>
      </c>
      <c r="U308" s="26">
        <f>R308+T308</f>
        <v>50</v>
      </c>
      <c r="V308" s="26">
        <f>SUM(I308,K308,M308)/3*0.3+SUM(G308,R308)/2*0.4</f>
        <v>35.800000000000004</v>
      </c>
      <c r="W308" s="27">
        <f>O308+T308</f>
        <v>0</v>
      </c>
      <c r="X308" s="28">
        <f>V308/0.7+W308</f>
        <v>51.142857142857153</v>
      </c>
      <c r="Y308" s="28">
        <f>X308</f>
        <v>51.142857142857153</v>
      </c>
      <c r="Z308" s="21"/>
    </row>
    <row r="309" spans="1:26" ht="15.6" customHeight="1" x14ac:dyDescent="0.25">
      <c r="A309" s="48">
        <v>23</v>
      </c>
      <c r="B309" s="17" t="s">
        <v>767</v>
      </c>
      <c r="C309" s="48">
        <v>206</v>
      </c>
      <c r="D309" s="49" t="s">
        <v>1452</v>
      </c>
      <c r="E309" s="48" t="s">
        <v>23</v>
      </c>
      <c r="F309" s="50">
        <v>8.5</v>
      </c>
      <c r="G309" s="32">
        <f>IF(B309="高三",IF($E309="男",LOOKUP(F309,[1]对照表!$G$3:$G$24,[1]对照表!$H$3:$H$24),LOOKUP(F309,[1]对照表!$G$27:$G$48,[1]对照表!$H$27:$H$48)),IF(B309="高二",IF($E309="男",LOOKUP(F309,[1]对照表!$F$3:$F$24,[1]对照表!$H$3:$H$24),LOOKUP(F309,[1]对照表!$F$27:$F$48,[1]对照表!$H$27:$H$48)),IF(B309="高一",IF($E309="男",LOOKUP(F309,[1]对照表!$E$3:$E$24,[1]对照表!$H$3:$H$24),LOOKUP(F309,[1]对照表!$E$27:$E$48,[1]对照表!$H$27:$H$48)))))</f>
        <v>68</v>
      </c>
      <c r="H309" s="38">
        <v>22.5</v>
      </c>
      <c r="I309" s="32">
        <f>IF(B309="高三",IF($E309="男",LOOKUP(H309,[1]对照表!$K$3:$K$24,[1]对照表!$L$3:$L$24),LOOKUP(H309,[1]对照表!$K$27:$K$48,[1]对照表!$L$27:$L$48)),IF(B309="高二",IF($E309="男",LOOKUP(H309,[1]对照表!$J$3:$J$24,[1]对照表!$L$3:$L$24),LOOKUP(H309,[1]对照表!$J$27:$J$48,[1]对照表!$L$27:$L$48)),IF(B309="高一",IF($E309="男",LOOKUP(H309,[1]对照表!$I$3:$I$24,[1]对照表!$L$3:$L$24),LOOKUP(H309,[1]对照表!$I$27:$I$48,[1]对照表!$L$27:$L$48)))))</f>
        <v>95</v>
      </c>
      <c r="J309" s="38">
        <v>204</v>
      </c>
      <c r="K309" s="32">
        <f>IF(B309="高三",IF($E309="男",LOOKUP(J309,[1]对照表!$O$3:$O$24,[1]对照表!$P$3:$P$24),LOOKUP(J309,[1]对照表!$O$27:$O$48,[1]对照表!$P$27:$P$48)),IF(B309="高二",IF($E309="男",LOOKUP(J309,[1]对照表!$N$3:$N$24,[1]对照表!$P$3:$P$24),LOOKUP(J309,[1]对照表!$N$27:$N$48,[1]对照表!$P$27:$P$48)),IF(B309="高一",IF($E309="男",LOOKUP(J309,[1]对照表!$M$3:$M$24,[1]对照表!$P$3:$P$24),LOOKUP(J309,[1]对照表!$M$27:$M$48,[1]对照表!$P$27:$P$48)))))</f>
        <v>62</v>
      </c>
      <c r="L309" s="38">
        <v>2</v>
      </c>
      <c r="M309" s="32">
        <f>IF(B309="高三",IF($E309="男",LOOKUP(L309,[1]对照表!$S$3:$S$24,[1]对照表!$T$3:$T$24),LOOKUP(L309,[1]对照表!$S$27:$S$48,[1]对照表!$T$27:$T$48)),IF(B309="高二",IF($E309="男",LOOKUP(L309,[1]对照表!$R$3:$R$24,[1]对照表!$T$3:$T$24),LOOKUP(L309,[1]对照表!$R$27:$R$48,[1]对照表!$T$27:$T$48)),IF(B309="高一",IF($E309="男",LOOKUP(L309,[1]对照表!$Q$3:$Q$24,[1]对照表!$T$3:$T$24),LOOKUP(L309,[1]对照表!$Q$27:$Q$48,[1]对照表!$T$27:$T$48)))))</f>
        <v>0</v>
      </c>
      <c r="N309" s="33">
        <f>IF(B309="高三",MAX(IF(E309="男",L309-18,L309-55),0),IF(B309="高二",MAX(IF(E309="男",L309-17,L309-54),0),IF(B309="高一",MAX(IF(E309="男",L309-16,L309-53),0))))</f>
        <v>0</v>
      </c>
      <c r="O309" s="23">
        <f>IF(E309="男",LOOKUP($N309,[1]对照表!$Z$3:$Z$13,[1]对照表!$AA$3:$AA$13),LOOKUP($N309,[1]对照表!$Z$15:$Z$25,[1]对照表!$AA$15:$AA$25))</f>
        <v>0</v>
      </c>
      <c r="P309" s="25">
        <f>M309+O309</f>
        <v>0</v>
      </c>
      <c r="Q309" s="50">
        <v>5.39</v>
      </c>
      <c r="R309" s="32">
        <f>IF(B309="高三",IF($E309="男",LOOKUP(Q309,[1]对照表!$W$3:$W$24,[1]对照表!$X$3:$X$24),LOOKUP(Q309,[1]对照表!$W$27:$W$48,[1]对照表!$X$27:$X$48)),IF(B309="高二",IF($E309="男",LOOKUP(Q309,[1]对照表!$V$3:$V$24,[1]对照表!$X$3:$X$24),LOOKUP(Q309,[1]对照表!$V$27:$V$48,[1]对照表!$X$27:$X$48)),IF(B309="高一",IF($E309="男",LOOKUP(Q309,[1]对照表!$U$3:$U$24,[1]对照表!$X$3:$X$24),LOOKUP(Q309,[1]对照表!$U$27:$U$48,[1]对照表!$X$27:$X$48)))))</f>
        <v>30</v>
      </c>
      <c r="S309" s="33">
        <f>ROUND(IF(IF($B309="高三",MIN(IF($E309="男",$Q309-3.2,$Q309-3.2),0),IF($B309="高二",MIN(IF($E309="男",$Q309-3.25,$Q309-3.22),0),IF($B309="高一",MIN(IF($E309="男",$Q309-3.3,$Q309-3.24),0))))&lt;-0.6,IF($B309="高三",MIN(IF($E309="男",$Q309-3.2,$Q309-3.2),0),IF($B309="高二",MIN(IF($E309="男",$Q309-3.25,$Q309-3.22),0),IF($B309="高一",MIN(IF($E309="男",$Q309-3.3,$Q309-3.24),0))))+0.4,IF($B309="高三",MIN(IF($E309="男",$Q309-3.2,$Q309-3.2),0),IF($B309="高二",MIN(IF($E309="男",$Q309-3.25,$Q309-3.22),0),IF($B309="高一",MIN(IF($E309="男",$Q309-3.3,$Q309-3.24),0))))),2)</f>
        <v>0</v>
      </c>
      <c r="T309" s="23">
        <f>IF(E309="男",LOOKUP($S309,[1]对照表!$AB$3:$AB$13,[1]对照表!$AC$3:$AC$13),LOOKUP($S309,[1]对照表!$AB$15:$AB$25,[1]对照表!$AC$15:$AC$25))</f>
        <v>0</v>
      </c>
      <c r="U309" s="26">
        <f>R309+T309</f>
        <v>30</v>
      </c>
      <c r="V309" s="26">
        <f>SUM(I309,K309,M309)/3*0.3+SUM(G309,R309)/2*0.4</f>
        <v>35.299999999999997</v>
      </c>
      <c r="W309" s="27">
        <f>O309+T309</f>
        <v>0</v>
      </c>
      <c r="X309" s="28">
        <f>V309/0.7+W309</f>
        <v>50.428571428571431</v>
      </c>
      <c r="Y309" s="28">
        <f>X309</f>
        <v>50.428571428571431</v>
      </c>
      <c r="Z309" s="38"/>
    </row>
    <row r="310" spans="1:26" ht="15.6" customHeight="1" x14ac:dyDescent="0.25">
      <c r="A310" s="38">
        <v>8</v>
      </c>
      <c r="B310" s="17" t="s">
        <v>767</v>
      </c>
      <c r="C310" s="48">
        <v>206</v>
      </c>
      <c r="D310" s="49" t="s">
        <v>1461</v>
      </c>
      <c r="E310" s="48" t="s">
        <v>23</v>
      </c>
      <c r="F310" s="50">
        <v>10.5</v>
      </c>
      <c r="G310" s="32">
        <f>IF(B310="高三",IF($E310="男",LOOKUP(F310,[1]对照表!$G$3:$G$24,[1]对照表!$H$3:$H$24),LOOKUP(F310,[1]对照表!$G$27:$G$48,[1]对照表!$H$27:$H$48)),IF(B310="高二",IF($E310="男",LOOKUP(F310,[1]对照表!$F$3:$F$24,[1]对照表!$H$3:$H$24),LOOKUP(F310,[1]对照表!$F$27:$F$48,[1]对照表!$H$27:$H$48)),IF(B310="高一",IF($E310="男",LOOKUP(F310,[1]对照表!$E$3:$E$24,[1]对照表!$H$3:$H$24),LOOKUP(F310,[1]对照表!$E$27:$E$48,[1]对照表!$H$27:$H$48)))))</f>
        <v>0</v>
      </c>
      <c r="H310" s="38">
        <v>15</v>
      </c>
      <c r="I310" s="32">
        <f>IF(B310="高三",IF($E310="男",LOOKUP(H310,[1]对照表!$K$3:$K$24,[1]对照表!$L$3:$L$24),LOOKUP(H310,[1]对照表!$K$27:$K$48,[1]对照表!$L$27:$L$48)),IF(B310="高二",IF($E310="男",LOOKUP(H310,[1]对照表!$J$3:$J$24,[1]对照表!$L$3:$L$24),LOOKUP(H310,[1]对照表!$J$27:$J$48,[1]对照表!$L$27:$L$48)),IF(B310="高一",IF($E310="男",LOOKUP(H310,[1]对照表!$I$3:$I$24,[1]对照表!$L$3:$L$24),LOOKUP(H310,[1]对照表!$I$27:$I$48,[1]对照表!$L$27:$L$48)))))</f>
        <v>78</v>
      </c>
      <c r="J310" s="38">
        <v>152</v>
      </c>
      <c r="K310" s="32">
        <f>IF(B310="高三",IF($E310="男",LOOKUP(J310,[1]对照表!$O$3:$O$24,[1]对照表!$P$3:$P$24),LOOKUP(J310,[1]对照表!$O$27:$O$48,[1]对照表!$P$27:$P$48)),IF(B310="高二",IF($E310="男",LOOKUP(J310,[1]对照表!$N$3:$N$24,[1]对照表!$P$3:$P$24),LOOKUP(J310,[1]对照表!$N$27:$N$48,[1]对照表!$P$27:$P$48)),IF(B310="高一",IF($E310="男",LOOKUP(J310,[1]对照表!$M$3:$M$24,[1]对照表!$P$3:$P$24),LOOKUP(J310,[1]对照表!$M$27:$M$48,[1]对照表!$P$27:$P$48)))))</f>
        <v>0</v>
      </c>
      <c r="L310" s="38">
        <v>0</v>
      </c>
      <c r="M310" s="32">
        <f>IF(B310="高三",IF($E310="男",LOOKUP(L310,[1]对照表!$S$3:$S$24,[1]对照表!$T$3:$T$24),LOOKUP(L310,[1]对照表!$S$27:$S$48,[1]对照表!$T$27:$T$48)),IF(B310="高二",IF($E310="男",LOOKUP(L310,[1]对照表!$R$3:$R$24,[1]对照表!$T$3:$T$24),LOOKUP(L310,[1]对照表!$R$27:$R$48,[1]对照表!$T$27:$T$48)),IF(B310="高一",IF($E310="男",LOOKUP(L310,[1]对照表!$Q$3:$Q$24,[1]对照表!$T$3:$T$24),LOOKUP(L310,[1]对照表!$Q$27:$Q$48,[1]对照表!$T$27:$T$48)))))</f>
        <v>0</v>
      </c>
      <c r="N310" s="33">
        <f>IF(B310="高三",MAX(IF(E310="男",L310-18,L310-55),0),IF(B310="高二",MAX(IF(E310="男",L310-17,L310-54),0),IF(B310="高一",MAX(IF(E310="男",L310-16,L310-53),0))))</f>
        <v>0</v>
      </c>
      <c r="O310" s="23">
        <f>IF(E310="男",LOOKUP($N310,[1]对照表!$Z$3:$Z$13,[1]对照表!$AA$3:$AA$13),LOOKUP($N310,[1]对照表!$Z$15:$Z$25,[1]对照表!$AA$15:$AA$25))</f>
        <v>0</v>
      </c>
      <c r="P310" s="25">
        <f>M310+O310</f>
        <v>0</v>
      </c>
      <c r="Q310" s="50"/>
      <c r="R310" s="20">
        <v>0</v>
      </c>
      <c r="S310" s="22">
        <v>0</v>
      </c>
      <c r="T310" s="23">
        <f>IF(E310="男",LOOKUP($S310,[1]对照表!$AB$3:$AB$13,[1]对照表!$AC$3:$AC$13),LOOKUP($S310,[1]对照表!$AB$15:$AB$25,[1]对照表!$AC$15:$AC$25))</f>
        <v>0</v>
      </c>
      <c r="U310" s="26">
        <f>R310+T310</f>
        <v>0</v>
      </c>
      <c r="V310" s="26">
        <f>SUM(I310,K310,M310)/3*0.3+SUM(G310,R310)/2*0.4</f>
        <v>7.8</v>
      </c>
      <c r="W310" s="27">
        <f>O310+T310</f>
        <v>0</v>
      </c>
      <c r="X310" s="28">
        <f>V310/0.7+W310</f>
        <v>11.142857142857144</v>
      </c>
      <c r="Y310" s="29">
        <v>50</v>
      </c>
      <c r="Z310" s="38"/>
    </row>
    <row r="311" spans="1:26" ht="15.6" customHeight="1" x14ac:dyDescent="0.25">
      <c r="A311" s="48">
        <v>6</v>
      </c>
      <c r="B311" s="17" t="s">
        <v>767</v>
      </c>
      <c r="C311" s="48">
        <v>206</v>
      </c>
      <c r="D311" s="49" t="s">
        <v>1481</v>
      </c>
      <c r="E311" s="48" t="s">
        <v>23</v>
      </c>
      <c r="F311" s="50"/>
      <c r="G311" s="20">
        <v>0</v>
      </c>
      <c r="H311" s="38"/>
      <c r="I311" s="20">
        <v>0</v>
      </c>
      <c r="J311" s="38"/>
      <c r="K311" s="20">
        <v>0</v>
      </c>
      <c r="L311" s="38"/>
      <c r="M311" s="20">
        <v>0</v>
      </c>
      <c r="N311" s="33">
        <f>IF(B311="高三",MAX(IF(E311="男",L311-18,L311-55),0),IF(B311="高二",MAX(IF(E311="男",L311-17,L311-54),0),IF(B311="高一",MAX(IF(E311="男",L311-16,L311-53),0))))</f>
        <v>0</v>
      </c>
      <c r="O311" s="23">
        <f>IF(E311="男",LOOKUP($N311,[1]对照表!$Z$3:$Z$13,[1]对照表!$AA$3:$AA$13),LOOKUP($N311,[1]对照表!$Z$15:$Z$25,[1]对照表!$AA$15:$AA$25))</f>
        <v>0</v>
      </c>
      <c r="P311" s="25">
        <f>M311+O311</f>
        <v>0</v>
      </c>
      <c r="Q311" s="50"/>
      <c r="R311" s="20">
        <v>0</v>
      </c>
      <c r="S311" s="22">
        <v>0</v>
      </c>
      <c r="T311" s="23">
        <f>IF(E311="男",LOOKUP($S311,[1]对照表!$AB$3:$AB$13,[1]对照表!$AC$3:$AC$13),LOOKUP($S311,[1]对照表!$AB$15:$AB$25,[1]对照表!$AC$15:$AC$25))</f>
        <v>0</v>
      </c>
      <c r="U311" s="26">
        <f>R311+T311</f>
        <v>0</v>
      </c>
      <c r="V311" s="26">
        <f>SUM(I311,K311,M311)/3*0.3+SUM(G311,R311)/2*0.4</f>
        <v>0</v>
      </c>
      <c r="W311" s="27">
        <f>O311+T311</f>
        <v>0</v>
      </c>
      <c r="X311" s="28">
        <f>V311/0.7+W311</f>
        <v>0</v>
      </c>
      <c r="Y311" s="29">
        <v>50</v>
      </c>
      <c r="Z311" s="38" t="s">
        <v>578</v>
      </c>
    </row>
    <row r="312" spans="1:26" ht="15.6" customHeight="1" x14ac:dyDescent="0.25">
      <c r="A312" s="48">
        <v>15</v>
      </c>
      <c r="B312" s="17" t="s">
        <v>767</v>
      </c>
      <c r="C312" s="48">
        <v>206</v>
      </c>
      <c r="D312" s="49" t="s">
        <v>1482</v>
      </c>
      <c r="E312" s="48" t="s">
        <v>23</v>
      </c>
      <c r="F312" s="50"/>
      <c r="G312" s="20">
        <v>0</v>
      </c>
      <c r="H312" s="38"/>
      <c r="I312" s="20">
        <v>0</v>
      </c>
      <c r="J312" s="38"/>
      <c r="K312" s="20">
        <v>0</v>
      </c>
      <c r="L312" s="38"/>
      <c r="M312" s="20">
        <v>0</v>
      </c>
      <c r="N312" s="33">
        <f>IF(B312="高三",MAX(IF(E312="男",L312-18,L312-55),0),IF(B312="高二",MAX(IF(E312="男",L312-17,L312-54),0),IF(B312="高一",MAX(IF(E312="男",L312-16,L312-53),0))))</f>
        <v>0</v>
      </c>
      <c r="O312" s="23">
        <f>IF(E312="男",LOOKUP($N312,[1]对照表!$Z$3:$Z$13,[1]对照表!$AA$3:$AA$13),LOOKUP($N312,[1]对照表!$Z$15:$Z$25,[1]对照表!$AA$15:$AA$25))</f>
        <v>0</v>
      </c>
      <c r="P312" s="25">
        <f>M312+O312</f>
        <v>0</v>
      </c>
      <c r="Q312" s="50"/>
      <c r="R312" s="20">
        <v>0</v>
      </c>
      <c r="S312" s="20">
        <v>0</v>
      </c>
      <c r="T312" s="23">
        <f>IF(E312="男",LOOKUP($S312,[1]对照表!$AB$3:$AB$13,[1]对照表!$AC$3:$AC$13),LOOKUP($S312,[1]对照表!$AB$15:$AB$25,[1]对照表!$AC$15:$AC$25))</f>
        <v>0</v>
      </c>
      <c r="U312" s="26">
        <f>R312+T312</f>
        <v>0</v>
      </c>
      <c r="V312" s="26">
        <f>SUM(I312,K312,M312)/3*0.3+SUM(G312,R312)/2*0.4</f>
        <v>0</v>
      </c>
      <c r="W312" s="27">
        <f>O312+T312</f>
        <v>0</v>
      </c>
      <c r="X312" s="28">
        <f>V312/0.7+W312</f>
        <v>0</v>
      </c>
      <c r="Y312" s="29">
        <v>50</v>
      </c>
      <c r="Z312" s="38" t="s">
        <v>578</v>
      </c>
    </row>
    <row r="313" spans="1:26" ht="15.6" customHeight="1" x14ac:dyDescent="0.25">
      <c r="A313" s="48">
        <v>41</v>
      </c>
      <c r="B313" s="17" t="s">
        <v>767</v>
      </c>
      <c r="C313" s="48">
        <v>206</v>
      </c>
      <c r="D313" s="49" t="s">
        <v>1483</v>
      </c>
      <c r="E313" s="56" t="s">
        <v>65</v>
      </c>
      <c r="F313" s="50"/>
      <c r="G313" s="20">
        <v>0</v>
      </c>
      <c r="H313" s="38"/>
      <c r="I313" s="20">
        <v>0</v>
      </c>
      <c r="J313" s="38"/>
      <c r="K313" s="20">
        <v>0</v>
      </c>
      <c r="L313" s="38"/>
      <c r="M313" s="20">
        <v>0</v>
      </c>
      <c r="N313" s="33">
        <f>IF(B313="高三",MAX(IF(E313="男",L313-18,L313-55),0),IF(B313="高二",MAX(IF(E313="男",L313-17,L313-54),0),IF(B313="高一",MAX(IF(E313="男",L313-16,L313-53),0))))</f>
        <v>0</v>
      </c>
      <c r="O313" s="23">
        <f>IF(E313="男",LOOKUP($N313,[1]对照表!$Z$3:$Z$13,[1]对照表!$AA$3:$AA$13),LOOKUP($N313,[1]对照表!$Z$15:$Z$25,[1]对照表!$AA$15:$AA$25))</f>
        <v>0</v>
      </c>
      <c r="P313" s="25">
        <f>M313+O313</f>
        <v>0</v>
      </c>
      <c r="Q313" s="50"/>
      <c r="R313" s="20">
        <v>0</v>
      </c>
      <c r="S313" s="22">
        <v>0</v>
      </c>
      <c r="T313" s="23">
        <f>IF(E313="男",LOOKUP($S313,[1]对照表!$AB$3:$AB$13,[1]对照表!$AC$3:$AC$13),LOOKUP($S313,[1]对照表!$AB$15:$AB$25,[1]对照表!$AC$15:$AC$25))</f>
        <v>0</v>
      </c>
      <c r="U313" s="26">
        <f>R313+T313</f>
        <v>0</v>
      </c>
      <c r="V313" s="26">
        <f>SUM(I313,K313,M313)/3*0.3+SUM(G313,R313)/2*0.4</f>
        <v>0</v>
      </c>
      <c r="W313" s="27">
        <f>O313+T313</f>
        <v>0</v>
      </c>
      <c r="X313" s="28">
        <f>V313/0.7+W313</f>
        <v>0</v>
      </c>
      <c r="Y313" s="29">
        <v>50</v>
      </c>
      <c r="Z313" s="38" t="s">
        <v>578</v>
      </c>
    </row>
    <row r="314" spans="1:26" ht="15.6" x14ac:dyDescent="0.25">
      <c r="A314" s="48">
        <v>39</v>
      </c>
      <c r="B314" s="17" t="s">
        <v>767</v>
      </c>
      <c r="C314" s="48">
        <v>207</v>
      </c>
      <c r="D314" s="49" t="s">
        <v>784</v>
      </c>
      <c r="E314" s="48" t="s">
        <v>65</v>
      </c>
      <c r="F314" s="50">
        <v>7.94</v>
      </c>
      <c r="G314" s="32">
        <f>IF(B314="高三",IF($E314="男",LOOKUP(F314,[1]对照表!$G$3:$G$24,[1]对照表!$H$3:$H$24),LOOKUP(F314,[1]对照表!$G$27:$G$48,[1]对照表!$H$27:$H$48)),IF(B314="高二",IF($E314="男",LOOKUP(F314,[1]对照表!$F$3:$F$24,[1]对照表!$H$3:$H$24),LOOKUP(F314,[1]对照表!$F$27:$F$48,[1]对照表!$H$27:$H$48)),IF(B314="高一",IF($E314="男",LOOKUP(F314,[1]对照表!$E$3:$E$24,[1]对照表!$H$3:$H$24),LOOKUP(F314,[1]对照表!$E$27:$E$48,[1]对照表!$H$27:$H$48)))))</f>
        <v>85</v>
      </c>
      <c r="H314" s="38">
        <v>21.2</v>
      </c>
      <c r="I314" s="32">
        <f>IF(B314="高三",IF($E314="男",LOOKUP(H314,[1]对照表!$K$3:$K$24,[1]对照表!$L$3:$L$24),LOOKUP(H314,[1]对照表!$K$27:$K$48,[1]对照表!$L$27:$L$48)),IF(B314="高二",IF($E314="男",LOOKUP(H314,[1]对照表!$J$3:$J$24,[1]对照表!$L$3:$L$24),LOOKUP(H314,[1]对照表!$J$27:$J$48,[1]对照表!$L$27:$L$48)),IF(B314="高一",IF($E314="男",LOOKUP(H314,[1]对照表!$I$3:$I$24,[1]对照表!$L$3:$L$24),LOOKUP(H314,[1]对照表!$I$27:$I$48,[1]对照表!$L$27:$L$48)))))</f>
        <v>85</v>
      </c>
      <c r="J314" s="38">
        <v>200</v>
      </c>
      <c r="K314" s="32">
        <f>IF(B314="高三",IF($E314="男",LOOKUP(J314,[1]对照表!$O$3:$O$24,[1]对照表!$P$3:$P$24),LOOKUP(J314,[1]对照表!$O$27:$O$48,[1]对照表!$P$27:$P$48)),IF(B314="高二",IF($E314="男",LOOKUP(J314,[1]对照表!$N$3:$N$24,[1]对照表!$P$3:$P$24),LOOKUP(J314,[1]对照表!$N$27:$N$48,[1]对照表!$P$27:$P$48)),IF(B314="高一",IF($E314="男",LOOKUP(J314,[1]对照表!$M$3:$M$24,[1]对照表!$P$3:$P$24),LOOKUP(J314,[1]对照表!$M$27:$M$48,[1]对照表!$P$27:$P$48)))))</f>
        <v>95</v>
      </c>
      <c r="L314" s="38">
        <v>60</v>
      </c>
      <c r="M314" s="32">
        <f>IF(B314="高三",IF($E314="男",LOOKUP(L314,[1]对照表!$S$3:$S$24,[1]对照表!$T$3:$T$24),LOOKUP(L314,[1]对照表!$S$27:$S$48,[1]对照表!$T$27:$T$48)),IF(B314="高二",IF($E314="男",LOOKUP(L314,[1]对照表!$R$3:$R$24,[1]对照表!$T$3:$T$24),LOOKUP(L314,[1]对照表!$R$27:$R$48,[1]对照表!$T$27:$T$48)),IF(B314="高一",IF($E314="男",LOOKUP(L314,[1]对照表!$Q$3:$Q$24,[1]对照表!$T$3:$T$24),LOOKUP(L314,[1]对照表!$Q$27:$Q$48,[1]对照表!$T$27:$T$48)))))</f>
        <v>100</v>
      </c>
      <c r="N314" s="33">
        <f>IF(B314="高三",MAX(IF(E314="男",L314-18,L314-55),0),IF(B314="高二",MAX(IF(E314="男",L314-17,L314-54),0),IF(B314="高一",MAX(IF(E314="男",L314-16,L314-53),0))))</f>
        <v>6</v>
      </c>
      <c r="O314" s="23">
        <f>IF(E314="男",LOOKUP($N314,[1]对照表!$Z$3:$Z$13,[1]对照表!$AA$3:$AA$13),LOOKUP($N314,[1]对照表!$Z$15:$Z$25,[1]对照表!$AA$15:$AA$25))</f>
        <v>3</v>
      </c>
      <c r="P314" s="25">
        <f>M314+O314</f>
        <v>103</v>
      </c>
      <c r="Q314" s="50">
        <v>3.03</v>
      </c>
      <c r="R314" s="32">
        <f>IF(B314="高三",IF($E314="男",LOOKUP(Q314,[1]对照表!$W$3:$W$24,[1]对照表!$X$3:$X$24),LOOKUP(Q314,[1]对照表!$W$27:$W$48,[1]对照表!$X$27:$X$48)),IF(B314="高二",IF($E314="男",LOOKUP(Q314,[1]对照表!$V$3:$V$24,[1]对照表!$X$3:$X$24),LOOKUP(Q314,[1]对照表!$V$27:$V$48,[1]对照表!$X$27:$X$48)),IF(B314="高一",IF($E314="男",LOOKUP(Q314,[1]对照表!$U$3:$U$24,[1]对照表!$X$3:$X$24),LOOKUP(Q314,[1]对照表!$U$27:$U$48,[1]对照表!$X$27:$X$48)))))</f>
        <v>100</v>
      </c>
      <c r="S314" s="27">
        <f>ROUND(IF(IF($B314="高三",MIN(IF($E314="男",$Q314-3.2,$Q314-3.2),0),IF($B314="高二",MIN(IF($E314="男",$Q314-3.25,$Q314-3.22),0),IF($B314="高一",MIN(IF($E314="男",$Q314-3.3,$Q314-3.24),0))))&lt;-0.6,IF($B314="高三",MIN(IF($E314="男",$Q314-3.2,$Q314-3.2),0),IF($B314="高二",MIN(IF($E314="男",$Q314-3.25,$Q314-3.22),0),IF($B314="高一",MIN(IF($E314="男",$Q314-3.3,$Q314-3.24),0))))+0.4,IF($B314="高三",MIN(IF($E314="男",$Q314-3.2,$Q314-3.2),0),IF($B314="高二",MIN(IF($E314="男",$Q314-3.25,$Q314-3.22),0),IF($B314="高一",MIN(IF($E314="男",$Q314-3.3,$Q314-3.24),0))))),2)</f>
        <v>-0.19</v>
      </c>
      <c r="T314" s="23">
        <f>IF(E314="男",LOOKUP($S314,[1]对照表!$AB$3:$AB$13,[1]对照表!$AC$3:$AC$13),LOOKUP($S314,[1]对照表!$AB$15:$AB$25,[1]对照表!$AC$15:$AC$25))</f>
        <v>3</v>
      </c>
      <c r="U314" s="26">
        <f>R314+T314</f>
        <v>103</v>
      </c>
      <c r="V314" s="26">
        <f>SUM(I314,K314,M314)/3*0.3+SUM(G314,R314)/2*0.4</f>
        <v>65</v>
      </c>
      <c r="W314" s="27">
        <f>O314+T314</f>
        <v>6</v>
      </c>
      <c r="X314" s="28">
        <f>V314/0.7+W314</f>
        <v>98.857142857142861</v>
      </c>
      <c r="Y314" s="28">
        <f>X314</f>
        <v>98.857142857142861</v>
      </c>
      <c r="Z314" s="38"/>
    </row>
    <row r="315" spans="1:26" ht="15.6" customHeight="1" x14ac:dyDescent="0.25">
      <c r="A315" s="48">
        <v>42</v>
      </c>
      <c r="B315" s="17" t="s">
        <v>767</v>
      </c>
      <c r="C315" s="48">
        <v>207</v>
      </c>
      <c r="D315" s="49" t="s">
        <v>809</v>
      </c>
      <c r="E315" s="48" t="s">
        <v>65</v>
      </c>
      <c r="F315" s="50">
        <v>8.2899999999999991</v>
      </c>
      <c r="G315" s="32">
        <f>IF(B315="高三",IF($E315="男",LOOKUP(F315,[1]对照表!$G$3:$G$24,[1]对照表!$H$3:$H$24),LOOKUP(F315,[1]对照表!$G$27:$G$48,[1]对照表!$H$27:$H$48)),IF(B315="高二",IF($E315="男",LOOKUP(F315,[1]对照表!$F$3:$F$24,[1]对照表!$H$3:$H$24),LOOKUP(F315,[1]对照表!$F$27:$F$48,[1]对照表!$H$27:$H$48)),IF(B315="高一",IF($E315="男",LOOKUP(F315,[1]对照表!$E$3:$E$24,[1]对照表!$H$3:$H$24),LOOKUP(F315,[1]对照表!$E$27:$E$48,[1]对照表!$H$27:$H$48)))))</f>
        <v>80</v>
      </c>
      <c r="H315" s="38">
        <v>26.7</v>
      </c>
      <c r="I315" s="32">
        <f>IF(B315="高三",IF($E315="男",LOOKUP(H315,[1]对照表!$K$3:$K$24,[1]对照表!$L$3:$L$24),LOOKUP(H315,[1]对照表!$K$27:$K$48,[1]对照表!$L$27:$L$48)),IF(B315="高二",IF($E315="男",LOOKUP(H315,[1]对照表!$J$3:$J$24,[1]对照表!$L$3:$L$24),LOOKUP(H315,[1]对照表!$J$27:$J$48,[1]对照表!$L$27:$L$48)),IF(B315="高一",IF($E315="男",LOOKUP(H315,[1]对照表!$I$3:$I$24,[1]对照表!$L$3:$L$24),LOOKUP(H315,[1]对照表!$I$27:$I$48,[1]对照表!$L$27:$L$48)))))</f>
        <v>100</v>
      </c>
      <c r="J315" s="38">
        <v>201</v>
      </c>
      <c r="K315" s="32">
        <f>IF(B315="高三",IF($E315="男",LOOKUP(J315,[1]对照表!$O$3:$O$24,[1]对照表!$P$3:$P$24),LOOKUP(J315,[1]对照表!$O$27:$O$48,[1]对照表!$P$27:$P$48)),IF(B315="高二",IF($E315="男",LOOKUP(J315,[1]对照表!$N$3:$N$24,[1]对照表!$P$3:$P$24),LOOKUP(J315,[1]对照表!$N$27:$N$48,[1]对照表!$P$27:$P$48)),IF(B315="高一",IF($E315="男",LOOKUP(J315,[1]对照表!$M$3:$M$24,[1]对照表!$P$3:$P$24),LOOKUP(J315,[1]对照表!$M$27:$M$48,[1]对照表!$P$27:$P$48)))))</f>
        <v>95</v>
      </c>
      <c r="L315" s="38">
        <v>55</v>
      </c>
      <c r="M315" s="32">
        <f>IF(B315="高三",IF($E315="男",LOOKUP(L315,[1]对照表!$S$3:$S$24,[1]对照表!$T$3:$T$24),LOOKUP(L315,[1]对照表!$S$27:$S$48,[1]对照表!$T$27:$T$48)),IF(B315="高二",IF($E315="男",LOOKUP(L315,[1]对照表!$R$3:$R$24,[1]对照表!$T$3:$T$24),LOOKUP(L315,[1]对照表!$R$27:$R$48,[1]对照表!$T$27:$T$48)),IF(B315="高一",IF($E315="男",LOOKUP(L315,[1]对照表!$Q$3:$Q$24,[1]对照表!$T$3:$T$24),LOOKUP(L315,[1]对照表!$Q$27:$Q$48,[1]对照表!$T$27:$T$48)))))</f>
        <v>100</v>
      </c>
      <c r="N315" s="33">
        <f>IF(B315="高三",MAX(IF(E315="男",L315-18,L315-55),0),IF(B315="高二",MAX(IF(E315="男",L315-17,L315-54),0),IF(B315="高一",MAX(IF(E315="男",L315-16,L315-53),0))))</f>
        <v>1</v>
      </c>
      <c r="O315" s="23">
        <f>IF(E315="男",LOOKUP($N315,[1]对照表!$Z$3:$Z$13,[1]对照表!$AA$3:$AA$13),LOOKUP($N315,[1]对照表!$Z$15:$Z$25,[1]对照表!$AA$15:$AA$25))</f>
        <v>0</v>
      </c>
      <c r="P315" s="25">
        <f>M315+O315</f>
        <v>100</v>
      </c>
      <c r="Q315" s="50">
        <v>3.13</v>
      </c>
      <c r="R315" s="32">
        <f>IF(B315="高三",IF($E315="男",LOOKUP(Q315,[1]对照表!$W$3:$W$24,[1]对照表!$X$3:$X$24),LOOKUP(Q315,[1]对照表!$W$27:$W$48,[1]对照表!$X$27:$X$48)),IF(B315="高二",IF($E315="男",LOOKUP(Q315,[1]对照表!$V$3:$V$24,[1]对照表!$X$3:$X$24),LOOKUP(Q315,[1]对照表!$V$27:$V$48,[1]对照表!$X$27:$X$48)),IF(B315="高一",IF($E315="男",LOOKUP(Q315,[1]对照表!$U$3:$U$24,[1]对照表!$X$3:$X$24),LOOKUP(Q315,[1]对照表!$U$27:$U$48,[1]对照表!$X$27:$X$48)))))</f>
        <v>100</v>
      </c>
      <c r="S315" s="33">
        <f>ROUND(IF(IF($B315="高三",MIN(IF($E315="男",$Q315-3.2,$Q315-3.2),0),IF($B315="高二",MIN(IF($E315="男",$Q315-3.25,$Q315-3.22),0),IF($B315="高一",MIN(IF($E315="男",$Q315-3.3,$Q315-3.24),0))))&lt;-0.6,IF($B315="高三",MIN(IF($E315="男",$Q315-3.2,$Q315-3.2),0),IF($B315="高二",MIN(IF($E315="男",$Q315-3.25,$Q315-3.22),0),IF($B315="高一",MIN(IF($E315="男",$Q315-3.3,$Q315-3.24),0))))+0.4,IF($B315="高三",MIN(IF($E315="男",$Q315-3.2,$Q315-3.2),0),IF($B315="高二",MIN(IF($E315="男",$Q315-3.25,$Q315-3.22),0),IF($B315="高一",MIN(IF($E315="男",$Q315-3.3,$Q315-3.24),0))))),2)</f>
        <v>-0.09</v>
      </c>
      <c r="T315" s="23">
        <f>IF(E315="男",LOOKUP($S315,[1]对照表!$AB$3:$AB$13,[1]对照表!$AC$3:$AC$13),LOOKUP($S315,[1]对照表!$AB$15:$AB$25,[1]对照表!$AC$15:$AC$25))</f>
        <v>1</v>
      </c>
      <c r="U315" s="26">
        <f>R315+T315</f>
        <v>101</v>
      </c>
      <c r="V315" s="26">
        <f>SUM(I315,K315,M315)/3*0.3+SUM(G315,R315)/2*0.4</f>
        <v>65.5</v>
      </c>
      <c r="W315" s="27">
        <f>O315+T315</f>
        <v>1</v>
      </c>
      <c r="X315" s="28">
        <f>V315/0.7+W315</f>
        <v>94.571428571428584</v>
      </c>
      <c r="Y315" s="28">
        <f>X315</f>
        <v>94.571428571428584</v>
      </c>
      <c r="Z315" s="38"/>
    </row>
    <row r="316" spans="1:26" ht="15.6" x14ac:dyDescent="0.25">
      <c r="A316" s="48">
        <v>10</v>
      </c>
      <c r="B316" s="17" t="s">
        <v>767</v>
      </c>
      <c r="C316" s="48">
        <v>207</v>
      </c>
      <c r="D316" s="49" t="s">
        <v>826</v>
      </c>
      <c r="E316" s="48" t="s">
        <v>23</v>
      </c>
      <c r="F316" s="50">
        <v>7</v>
      </c>
      <c r="G316" s="32">
        <f>IF(B316="高三",IF($E316="男",LOOKUP(F316,[1]对照表!$G$3:$G$24,[1]对照表!$H$3:$H$24),LOOKUP(F316,[1]对照表!$G$27:$G$48,[1]对照表!$H$27:$H$48)),IF(B316="高二",IF($E316="男",LOOKUP(F316,[1]对照表!$F$3:$F$24,[1]对照表!$H$3:$H$24),LOOKUP(F316,[1]对照表!$F$27:$F$48,[1]对照表!$H$27:$H$48)),IF(B316="高一",IF($E316="男",LOOKUP(F316,[1]对照表!$E$3:$E$24,[1]对照表!$H$3:$H$24),LOOKUP(F316,[1]对照表!$E$27:$E$48,[1]对照表!$H$27:$H$48)))))</f>
        <v>100</v>
      </c>
      <c r="H316" s="38">
        <v>15</v>
      </c>
      <c r="I316" s="32">
        <f>IF(B316="高三",IF($E316="男",LOOKUP(H316,[1]对照表!$K$3:$K$24,[1]对照表!$L$3:$L$24),LOOKUP(H316,[1]对照表!$K$27:$K$48,[1]对照表!$L$27:$L$48)),IF(B316="高二",IF($E316="男",LOOKUP(H316,[1]对照表!$J$3:$J$24,[1]对照表!$L$3:$L$24),LOOKUP(H316,[1]对照表!$J$27:$J$48,[1]对照表!$L$27:$L$48)),IF(B316="高一",IF($E316="男",LOOKUP(H316,[1]对照表!$I$3:$I$24,[1]对照表!$L$3:$L$24),LOOKUP(H316,[1]对照表!$I$27:$I$48,[1]对照表!$L$27:$L$48)))))</f>
        <v>78</v>
      </c>
      <c r="J316" s="38">
        <v>245</v>
      </c>
      <c r="K316" s="32">
        <f>IF(B316="高三",IF($E316="男",LOOKUP(J316,[1]对照表!$O$3:$O$24,[1]对照表!$P$3:$P$24),LOOKUP(J316,[1]对照表!$O$27:$O$48,[1]对照表!$P$27:$P$48)),IF(B316="高二",IF($E316="男",LOOKUP(J316,[1]对照表!$N$3:$N$24,[1]对照表!$P$3:$P$24),LOOKUP(J316,[1]对照表!$N$27:$N$48,[1]对照表!$P$27:$P$48)),IF(B316="高一",IF($E316="男",LOOKUP(J316,[1]对照表!$M$3:$M$24,[1]对照表!$P$3:$P$24),LOOKUP(J316,[1]对照表!$M$27:$M$48,[1]对照表!$P$27:$P$48)))))</f>
        <v>80</v>
      </c>
      <c r="L316" s="38">
        <v>23</v>
      </c>
      <c r="M316" s="32">
        <f>IF(B316="高三",IF($E316="男",LOOKUP(L316,[1]对照表!$S$3:$S$24,[1]对照表!$T$3:$T$24),LOOKUP(L316,[1]对照表!$S$27:$S$48,[1]对照表!$T$27:$T$48)),IF(B316="高二",IF($E316="男",LOOKUP(L316,[1]对照表!$R$3:$R$24,[1]对照表!$T$3:$T$24),LOOKUP(L316,[1]对照表!$R$27:$R$48,[1]对照表!$T$27:$T$48)),IF(B316="高一",IF($E316="男",LOOKUP(L316,[1]对照表!$Q$3:$Q$24,[1]对照表!$T$3:$T$24),LOOKUP(L316,[1]对照表!$Q$27:$Q$48,[1]对照表!$T$27:$T$48)))))</f>
        <v>100</v>
      </c>
      <c r="N316" s="33">
        <f>IF(B316="高三",MAX(IF(E316="男",L316-18,L316-55),0),IF(B316="高二",MAX(IF(E316="男",L316-17,L316-54),0),IF(B316="高一",MAX(IF(E316="男",L316-16,L316-53),0))))</f>
        <v>6</v>
      </c>
      <c r="O316" s="23">
        <f>IF(E316="男",LOOKUP($N316,[1]对照表!$Z$3:$Z$13,[1]对照表!$AA$3:$AA$13),LOOKUP($N316,[1]对照表!$Z$15:$Z$25,[1]对照表!$AA$15:$AA$25))</f>
        <v>6</v>
      </c>
      <c r="P316" s="25">
        <f>M316+O316</f>
        <v>106</v>
      </c>
      <c r="Q316" s="50">
        <v>3.11</v>
      </c>
      <c r="R316" s="32">
        <f>IF(B316="高三",IF($E316="男",LOOKUP(Q316,[1]对照表!$W$3:$W$24,[1]对照表!$X$3:$X$24),LOOKUP(Q316,[1]对照表!$W$27:$W$48,[1]对照表!$X$27:$X$48)),IF(B316="高二",IF($E316="男",LOOKUP(Q316,[1]对照表!$V$3:$V$24,[1]对照表!$X$3:$X$24),LOOKUP(Q316,[1]对照表!$V$27:$V$48,[1]对照表!$X$27:$X$48)),IF(B316="高一",IF($E316="男",LOOKUP(Q316,[1]对照表!$U$3:$U$24,[1]对照表!$X$3:$X$24),LOOKUP(Q316,[1]对照表!$U$27:$U$48,[1]对照表!$X$27:$X$48)))))</f>
        <v>100</v>
      </c>
      <c r="S316" s="33">
        <f>ROUND(IF(IF($B316="高三",MIN(IF($E316="男",$Q316-3.2,$Q316-3.2),0),IF($B316="高二",MIN(IF($E316="男",$Q316-3.25,$Q316-3.22),0),IF($B316="高一",MIN(IF($E316="男",$Q316-3.3,$Q316-3.24),0))))&lt;-0.6,IF($B316="高三",MIN(IF($E316="男",$Q316-3.2,$Q316-3.2),0),IF($B316="高二",MIN(IF($E316="男",$Q316-3.25,$Q316-3.22),0),IF($B316="高一",MIN(IF($E316="男",$Q316-3.3,$Q316-3.24),0))))+0.4,IF($B316="高三",MIN(IF($E316="男",$Q316-3.2,$Q316-3.2),0),IF($B316="高二",MIN(IF($E316="男",$Q316-3.25,$Q316-3.22),0),IF($B316="高一",MIN(IF($E316="男",$Q316-3.3,$Q316-3.24),0))))),2)</f>
        <v>-0.14000000000000001</v>
      </c>
      <c r="T316" s="23">
        <f>IF(E316="男",LOOKUP($S316,[1]对照表!$AB$3:$AB$13,[1]对照表!$AC$3:$AC$13),LOOKUP($S316,[1]对照表!$AB$15:$AB$25,[1]对照表!$AC$15:$AC$25))</f>
        <v>3</v>
      </c>
      <c r="U316" s="26">
        <f>R316+T316</f>
        <v>103</v>
      </c>
      <c r="V316" s="26">
        <f>SUM(I316,K316,M316)/3*0.3+SUM(G316,R316)/2*0.4</f>
        <v>65.8</v>
      </c>
      <c r="W316" s="27">
        <f>O316+T316</f>
        <v>9</v>
      </c>
      <c r="X316" s="28">
        <f>V316/0.7+W316</f>
        <v>103</v>
      </c>
      <c r="Y316" s="28">
        <f>X316</f>
        <v>103</v>
      </c>
      <c r="Z316" s="38"/>
    </row>
    <row r="317" spans="1:26" ht="15.6" x14ac:dyDescent="0.25">
      <c r="A317" s="48">
        <v>38</v>
      </c>
      <c r="B317" s="17" t="s">
        <v>767</v>
      </c>
      <c r="C317" s="48">
        <v>207</v>
      </c>
      <c r="D317" s="49" t="s">
        <v>889</v>
      </c>
      <c r="E317" s="48" t="s">
        <v>65</v>
      </c>
      <c r="F317" s="50">
        <v>8.82</v>
      </c>
      <c r="G317" s="32">
        <f>IF(B317="高三",IF($E317="男",LOOKUP(F317,[1]对照表!$G$3:$G$24,[1]对照表!$H$3:$H$24),LOOKUP(F317,[1]对照表!$G$27:$G$48,[1]对照表!$H$27:$H$48)),IF(B317="高二",IF($E317="男",LOOKUP(F317,[1]对照表!$F$3:$F$24,[1]对照表!$H$3:$H$24),LOOKUP(F317,[1]对照表!$F$27:$F$48,[1]对照表!$H$27:$H$48)),IF(B317="高一",IF($E317="男",LOOKUP(F317,[1]对照表!$E$3:$E$24,[1]对照表!$H$3:$H$24),LOOKUP(F317,[1]对照表!$E$27:$E$48,[1]对照表!$H$27:$H$48)))))</f>
        <v>76</v>
      </c>
      <c r="H317" s="38">
        <v>19.5</v>
      </c>
      <c r="I317" s="32">
        <f>IF(B317="高三",IF($E317="男",LOOKUP(H317,[1]对照表!$K$3:$K$24,[1]对照表!$L$3:$L$24),LOOKUP(H317,[1]对照表!$K$27:$K$48,[1]对照表!$L$27:$L$48)),IF(B317="高二",IF($E317="男",LOOKUP(H317,[1]对照表!$J$3:$J$24,[1]对照表!$L$3:$L$24),LOOKUP(H317,[1]对照表!$J$27:$J$48,[1]对照表!$L$27:$L$48)),IF(B317="高一",IF($E317="男",LOOKUP(H317,[1]对照表!$I$3:$I$24,[1]对照表!$L$3:$L$24),LOOKUP(H317,[1]对照表!$I$27:$I$48,[1]对照表!$L$27:$L$48)))))</f>
        <v>80</v>
      </c>
      <c r="J317" s="38">
        <v>181</v>
      </c>
      <c r="K317" s="32">
        <f>IF(B317="高三",IF($E317="男",LOOKUP(J317,[1]对照表!$O$3:$O$24,[1]对照表!$P$3:$P$24),LOOKUP(J317,[1]对照表!$O$27:$O$48,[1]对照表!$P$27:$P$48)),IF(B317="高二",IF($E317="男",LOOKUP(J317,[1]对照表!$N$3:$N$24,[1]对照表!$P$3:$P$24),LOOKUP(J317,[1]对照表!$N$27:$N$48,[1]对照表!$P$27:$P$48)),IF(B317="高一",IF($E317="男",LOOKUP(J317,[1]对照表!$M$3:$M$24,[1]对照表!$P$3:$P$24),LOOKUP(J317,[1]对照表!$M$27:$M$48,[1]对照表!$P$27:$P$48)))))</f>
        <v>80</v>
      </c>
      <c r="L317" s="38">
        <v>57</v>
      </c>
      <c r="M317" s="32">
        <f>IF(B317="高三",IF($E317="男",LOOKUP(L317,[1]对照表!$S$3:$S$24,[1]对照表!$T$3:$T$24),LOOKUP(L317,[1]对照表!$S$27:$S$48,[1]对照表!$T$27:$T$48)),IF(B317="高二",IF($E317="男",LOOKUP(L317,[1]对照表!$R$3:$R$24,[1]对照表!$T$3:$T$24),LOOKUP(L317,[1]对照表!$R$27:$R$48,[1]对照表!$T$27:$T$48)),IF(B317="高一",IF($E317="男",LOOKUP(L317,[1]对照表!$Q$3:$Q$24,[1]对照表!$T$3:$T$24),LOOKUP(L317,[1]对照表!$Q$27:$Q$48,[1]对照表!$T$27:$T$48)))))</f>
        <v>100</v>
      </c>
      <c r="N317" s="33">
        <f>IF(B317="高三",MAX(IF(E317="男",L317-18,L317-55),0),IF(B317="高二",MAX(IF(E317="男",L317-17,L317-54),0),IF(B317="高一",MAX(IF(E317="男",L317-16,L317-53),0))))</f>
        <v>3</v>
      </c>
      <c r="O317" s="23">
        <f>IF(E317="男",LOOKUP($N317,[1]对照表!$Z$3:$Z$13,[1]对照表!$AA$3:$AA$13),LOOKUP($N317,[1]对照表!$Z$15:$Z$25,[1]对照表!$AA$15:$AA$25))</f>
        <v>1</v>
      </c>
      <c r="P317" s="25">
        <f>M317+O317</f>
        <v>101</v>
      </c>
      <c r="Q317" s="50">
        <v>3.25</v>
      </c>
      <c r="R317" s="32">
        <f>IF(B317="高三",IF($E317="男",LOOKUP(Q317,[1]对照表!$W$3:$W$24,[1]对照表!$X$3:$X$24),LOOKUP(Q317,[1]对照表!$W$27:$W$48,[1]对照表!$X$27:$X$48)),IF(B317="高二",IF($E317="男",LOOKUP(Q317,[1]对照表!$V$3:$V$24,[1]对照表!$X$3:$X$24),LOOKUP(Q317,[1]对照表!$V$27:$V$48,[1]对照表!$X$27:$X$48)),IF(B317="高一",IF($E317="男",LOOKUP(Q317,[1]对照表!$U$3:$U$24,[1]对照表!$X$3:$X$24),LOOKUP(Q317,[1]对照表!$U$27:$U$48,[1]对照表!$X$27:$X$48)))))</f>
        <v>95</v>
      </c>
      <c r="S317" s="33">
        <f>ROUND(IF(IF($B317="高三",MIN(IF($E317="男",$Q317-3.2,$Q317-3.2),0),IF($B317="高二",MIN(IF($E317="男",$Q317-3.25,$Q317-3.22),0),IF($B317="高一",MIN(IF($E317="男",$Q317-3.3,$Q317-3.24),0))))&lt;-0.6,IF($B317="高三",MIN(IF($E317="男",$Q317-3.2,$Q317-3.2),0),IF($B317="高二",MIN(IF($E317="男",$Q317-3.25,$Q317-3.22),0),IF($B317="高一",MIN(IF($E317="男",$Q317-3.3,$Q317-3.24),0))))+0.4,IF($B317="高三",MIN(IF($E317="男",$Q317-3.2,$Q317-3.2),0),IF($B317="高二",MIN(IF($E317="男",$Q317-3.25,$Q317-3.22),0),IF($B317="高一",MIN(IF($E317="男",$Q317-3.3,$Q317-3.24),0))))),2)</f>
        <v>0</v>
      </c>
      <c r="T317" s="23">
        <f>IF(E317="男",LOOKUP($S317,[1]对照表!$AB$3:$AB$13,[1]对照表!$AC$3:$AC$13),LOOKUP($S317,[1]对照表!$AB$15:$AB$25,[1]对照表!$AC$15:$AC$25))</f>
        <v>0</v>
      </c>
      <c r="U317" s="26">
        <f>R317+T317</f>
        <v>95</v>
      </c>
      <c r="V317" s="26">
        <f>SUM(I317,K317,M317)/3*0.3+SUM(G317,R317)/2*0.4</f>
        <v>60.2</v>
      </c>
      <c r="W317" s="27">
        <f>O317+T317</f>
        <v>1</v>
      </c>
      <c r="X317" s="28">
        <f>V317/0.7+W317</f>
        <v>87.000000000000014</v>
      </c>
      <c r="Y317" s="28">
        <f>X317</f>
        <v>87.000000000000014</v>
      </c>
      <c r="Z317" s="38"/>
    </row>
    <row r="318" spans="1:26" ht="15.6" x14ac:dyDescent="0.25">
      <c r="A318" s="48">
        <v>35</v>
      </c>
      <c r="B318" s="17" t="s">
        <v>767</v>
      </c>
      <c r="C318" s="48">
        <v>207</v>
      </c>
      <c r="D318" s="49" t="s">
        <v>891</v>
      </c>
      <c r="E318" s="48" t="s">
        <v>23</v>
      </c>
      <c r="F318" s="50">
        <v>7.1</v>
      </c>
      <c r="G318" s="32">
        <f>IF(B318="高三",IF($E318="男",LOOKUP(F318,[1]对照表!$G$3:$G$24,[1]对照表!$H$3:$H$24),LOOKUP(F318,[1]对照表!$G$27:$G$48,[1]对照表!$H$27:$H$48)),IF(B318="高二",IF($E318="男",LOOKUP(F318,[1]对照表!$F$3:$F$24,[1]对照表!$H$3:$H$24),LOOKUP(F318,[1]对照表!$F$27:$F$48,[1]对照表!$H$27:$H$48)),IF(B318="高一",IF($E318="男",LOOKUP(F318,[1]对照表!$E$3:$E$24,[1]对照表!$H$3:$H$24),LOOKUP(F318,[1]对照表!$E$27:$E$48,[1]对照表!$H$27:$H$48)))))</f>
        <v>95</v>
      </c>
      <c r="H318" s="38">
        <v>19</v>
      </c>
      <c r="I318" s="32">
        <f>IF(B318="高三",IF($E318="男",LOOKUP(H318,[1]对照表!$K$3:$K$24,[1]对照表!$L$3:$L$24),LOOKUP(H318,[1]对照表!$K$27:$K$48,[1]对照表!$L$27:$L$48)),IF(B318="高二",IF($E318="男",LOOKUP(H318,[1]对照表!$J$3:$J$24,[1]对照表!$L$3:$L$24),LOOKUP(H318,[1]对照表!$J$27:$J$48,[1]对照表!$L$27:$L$48)),IF(B318="高一",IF($E318="男",LOOKUP(H318,[1]对照表!$I$3:$I$24,[1]对照表!$L$3:$L$24),LOOKUP(H318,[1]对照表!$I$27:$I$48,[1]对照表!$L$27:$L$48)))))</f>
        <v>85</v>
      </c>
      <c r="J318" s="38">
        <v>256</v>
      </c>
      <c r="K318" s="32">
        <f>IF(B318="高三",IF($E318="男",LOOKUP(J318,[1]对照表!$O$3:$O$24,[1]对照表!$P$3:$P$24),LOOKUP(J318,[1]对照表!$O$27:$O$48,[1]对照表!$P$27:$P$48)),IF(B318="高二",IF($E318="男",LOOKUP(J318,[1]对照表!$N$3:$N$24,[1]对照表!$P$3:$P$24),LOOKUP(J318,[1]对照表!$N$27:$N$48,[1]对照表!$P$27:$P$48)),IF(B318="高一",IF($E318="男",LOOKUP(J318,[1]对照表!$M$3:$M$24,[1]对照表!$P$3:$P$24),LOOKUP(J318,[1]对照表!$M$27:$M$48,[1]对照表!$P$27:$P$48)))))</f>
        <v>90</v>
      </c>
      <c r="L318" s="38">
        <v>27</v>
      </c>
      <c r="M318" s="32">
        <f>IF(B318="高三",IF($E318="男",LOOKUP(L318,[1]对照表!$S$3:$S$24,[1]对照表!$T$3:$T$24),LOOKUP(L318,[1]对照表!$S$27:$S$48,[1]对照表!$T$27:$T$48)),IF(B318="高二",IF($E318="男",LOOKUP(L318,[1]对照表!$R$3:$R$24,[1]对照表!$T$3:$T$24),LOOKUP(L318,[1]对照表!$R$27:$R$48,[1]对照表!$T$27:$T$48)),IF(B318="高一",IF($E318="男",LOOKUP(L318,[1]对照表!$Q$3:$Q$24,[1]对照表!$T$3:$T$24),LOOKUP(L318,[1]对照表!$Q$27:$Q$48,[1]对照表!$T$27:$T$48)))))</f>
        <v>100</v>
      </c>
      <c r="N318" s="33">
        <f>IF(B318="高三",MAX(IF(E318="男",L318-18,L318-55),0),IF(B318="高二",MAX(IF(E318="男",L318-17,L318-54),0),IF(B318="高一",MAX(IF(E318="男",L318-16,L318-53),0))))</f>
        <v>10</v>
      </c>
      <c r="O318" s="23">
        <f>IF(E318="男",LOOKUP($N318,[1]对照表!$Z$3:$Z$13,[1]对照表!$AA$3:$AA$13),LOOKUP($N318,[1]对照表!$Z$15:$Z$25,[1]对照表!$AA$15:$AA$25))</f>
        <v>10</v>
      </c>
      <c r="P318" s="25">
        <f>M318+O318</f>
        <v>110</v>
      </c>
      <c r="Q318" s="50">
        <v>3.43</v>
      </c>
      <c r="R318" s="32">
        <f>IF(B318="高三",IF($E318="男",LOOKUP(Q318,[1]对照表!$W$3:$W$24,[1]对照表!$X$3:$X$24),LOOKUP(Q318,[1]对照表!$W$27:$W$48,[1]对照表!$X$27:$X$48)),IF(B318="高二",IF($E318="男",LOOKUP(Q318,[1]对照表!$V$3:$V$24,[1]对照表!$X$3:$X$24),LOOKUP(Q318,[1]对照表!$V$27:$V$48,[1]对照表!$X$27:$X$48)),IF(B318="高一",IF($E318="男",LOOKUP(Q318,[1]对照表!$U$3:$U$24,[1]对照表!$X$3:$X$24),LOOKUP(Q318,[1]对照表!$U$27:$U$48,[1]对照表!$X$27:$X$48)))))</f>
        <v>80</v>
      </c>
      <c r="S318" s="27">
        <f>ROUND(IF(IF($B318="高三",MIN(IF($E318="男",$Q318-3.2,$Q318-3.2),0),IF($B318="高二",MIN(IF($E318="男",$Q318-3.25,$Q318-3.22),0),IF($B318="高一",MIN(IF($E318="男",$Q318-3.3,$Q318-3.24),0))))&lt;-0.6,IF($B318="高三",MIN(IF($E318="男",$Q318-3.2,$Q318-3.2),0),IF($B318="高二",MIN(IF($E318="男",$Q318-3.25,$Q318-3.22),0),IF($B318="高一",MIN(IF($E318="男",$Q318-3.3,$Q318-3.24),0))))+0.4,IF($B318="高三",MIN(IF($E318="男",$Q318-3.2,$Q318-3.2),0),IF($B318="高二",MIN(IF($E318="男",$Q318-3.25,$Q318-3.22),0),IF($B318="高一",MIN(IF($E318="男",$Q318-3.3,$Q318-3.24),0))))),2)</f>
        <v>0</v>
      </c>
      <c r="T318" s="23">
        <f>IF(E318="男",LOOKUP($S318,[1]对照表!$AB$3:$AB$13,[1]对照表!$AC$3:$AC$13),LOOKUP($S318,[1]对照表!$AB$15:$AB$25,[1]对照表!$AC$15:$AC$25))</f>
        <v>0</v>
      </c>
      <c r="U318" s="26">
        <f>R318+T318</f>
        <v>80</v>
      </c>
      <c r="V318" s="26">
        <f>SUM(I318,K318,M318)/3*0.3+SUM(G318,R318)/2*0.4</f>
        <v>62.5</v>
      </c>
      <c r="W318" s="27">
        <f>O318+T318</f>
        <v>10</v>
      </c>
      <c r="X318" s="28">
        <f>V318/0.7+W318</f>
        <v>99.285714285714292</v>
      </c>
      <c r="Y318" s="28">
        <f>X318</f>
        <v>99.285714285714292</v>
      </c>
      <c r="Z318" s="38"/>
    </row>
    <row r="319" spans="1:26" ht="15.6" x14ac:dyDescent="0.25">
      <c r="A319" s="38">
        <v>13</v>
      </c>
      <c r="B319" s="17" t="s">
        <v>767</v>
      </c>
      <c r="C319" s="48">
        <v>207</v>
      </c>
      <c r="D319" s="49" t="s">
        <v>911</v>
      </c>
      <c r="E319" s="48" t="s">
        <v>23</v>
      </c>
      <c r="F319" s="50">
        <v>6.9</v>
      </c>
      <c r="G319" s="32">
        <f>IF(B319="高三",IF($E319="男",LOOKUP(F319,[1]对照表!$G$3:$G$24,[1]对照表!$H$3:$H$24),LOOKUP(F319,[1]对照表!$G$27:$G$48,[1]对照表!$H$27:$H$48)),IF(B319="高二",IF($E319="男",LOOKUP(F319,[1]对照表!$F$3:$F$24,[1]对照表!$H$3:$H$24),LOOKUP(F319,[1]对照表!$F$27:$F$48,[1]对照表!$H$27:$H$48)),IF(B319="高一",IF($E319="男",LOOKUP(F319,[1]对照表!$E$3:$E$24,[1]对照表!$H$3:$H$24),LOOKUP(F319,[1]对照表!$E$27:$E$48,[1]对照表!$H$27:$H$48)))))</f>
        <v>100</v>
      </c>
      <c r="H319" s="38">
        <v>24</v>
      </c>
      <c r="I319" s="32">
        <f>IF(B319="高三",IF($E319="男",LOOKUP(H319,[1]对照表!$K$3:$K$24,[1]对照表!$L$3:$L$24),LOOKUP(H319,[1]对照表!$K$27:$K$48,[1]对照表!$L$27:$L$48)),IF(B319="高二",IF($E319="男",LOOKUP(H319,[1]对照表!$J$3:$J$24,[1]对照表!$L$3:$L$24),LOOKUP(H319,[1]对照表!$J$27:$J$48,[1]对照表!$L$27:$L$48)),IF(B319="高一",IF($E319="男",LOOKUP(H319,[1]对照表!$I$3:$I$24,[1]对照表!$L$3:$L$24),LOOKUP(H319,[1]对照表!$I$27:$I$48,[1]对照表!$L$27:$L$48)))))</f>
        <v>95</v>
      </c>
      <c r="J319" s="38">
        <v>246</v>
      </c>
      <c r="K319" s="32">
        <f>IF(B319="高三",IF($E319="男",LOOKUP(J319,[1]对照表!$O$3:$O$24,[1]对照表!$P$3:$P$24),LOOKUP(J319,[1]对照表!$O$27:$O$48,[1]对照表!$P$27:$P$48)),IF(B319="高二",IF($E319="男",LOOKUP(J319,[1]对照表!$N$3:$N$24,[1]对照表!$P$3:$P$24),LOOKUP(J319,[1]对照表!$N$27:$N$48,[1]对照表!$P$27:$P$48)),IF(B319="高一",IF($E319="男",LOOKUP(J319,[1]对照表!$M$3:$M$24,[1]对照表!$P$3:$P$24),LOOKUP(J319,[1]对照表!$M$27:$M$48,[1]对照表!$P$27:$P$48)))))</f>
        <v>80</v>
      </c>
      <c r="L319" s="38">
        <v>12</v>
      </c>
      <c r="M319" s="32">
        <f>IF(B319="高三",IF($E319="男",LOOKUP(L319,[1]对照表!$S$3:$S$24,[1]对照表!$T$3:$T$24),LOOKUP(L319,[1]对照表!$S$27:$S$48,[1]对照表!$T$27:$T$48)),IF(B319="高二",IF($E319="男",LOOKUP(L319,[1]对照表!$R$3:$R$24,[1]对照表!$T$3:$T$24),LOOKUP(L319,[1]对照表!$R$27:$R$48,[1]对照表!$T$27:$T$48)),IF(B319="高一",IF($E319="男",LOOKUP(L319,[1]对照表!$Q$3:$Q$24,[1]对照表!$T$3:$T$24),LOOKUP(L319,[1]对照表!$Q$27:$Q$48,[1]对照表!$T$27:$T$48)))))</f>
        <v>76</v>
      </c>
      <c r="N319" s="33">
        <f>IF(B319="高三",MAX(IF(E319="男",L319-18,L319-55),0),IF(B319="高二",MAX(IF(E319="男",L319-17,L319-54),0),IF(B319="高一",MAX(IF(E319="男",L319-16,L319-53),0))))</f>
        <v>0</v>
      </c>
      <c r="O319" s="23">
        <f>IF(E319="男",LOOKUP($N319,[1]对照表!$Z$3:$Z$13,[1]对照表!$AA$3:$AA$13),LOOKUP($N319,[1]对照表!$Z$15:$Z$25,[1]对照表!$AA$15:$AA$25))</f>
        <v>0</v>
      </c>
      <c r="P319" s="25">
        <f>M319+O319</f>
        <v>76</v>
      </c>
      <c r="Q319" s="50">
        <v>3.1</v>
      </c>
      <c r="R319" s="32">
        <f>IF(B319="高三",IF($E319="男",LOOKUP(Q319,[1]对照表!$W$3:$W$24,[1]对照表!$X$3:$X$24),LOOKUP(Q319,[1]对照表!$W$27:$W$48,[1]对照表!$X$27:$X$48)),IF(B319="高二",IF($E319="男",LOOKUP(Q319,[1]对照表!$V$3:$V$24,[1]对照表!$X$3:$X$24),LOOKUP(Q319,[1]对照表!$V$27:$V$48,[1]对照表!$X$27:$X$48)),IF(B319="高一",IF($E319="男",LOOKUP(Q319,[1]对照表!$U$3:$U$24,[1]对照表!$X$3:$X$24),LOOKUP(Q319,[1]对照表!$U$27:$U$48,[1]对照表!$X$27:$X$48)))))</f>
        <v>100</v>
      </c>
      <c r="S319" s="33">
        <f>ROUND(IF(IF($B319="高三",MIN(IF($E319="男",$Q319-3.2,$Q319-3.2),0),IF($B319="高二",MIN(IF($E319="男",$Q319-3.25,$Q319-3.22),0),IF($B319="高一",MIN(IF($E319="男",$Q319-3.3,$Q319-3.24),0))))&lt;-0.6,IF($B319="高三",MIN(IF($E319="男",$Q319-3.2,$Q319-3.2),0),IF($B319="高二",MIN(IF($E319="男",$Q319-3.25,$Q319-3.22),0),IF($B319="高一",MIN(IF($E319="男",$Q319-3.3,$Q319-3.24),0))))+0.4,IF($B319="高三",MIN(IF($E319="男",$Q319-3.2,$Q319-3.2),0),IF($B319="高二",MIN(IF($E319="男",$Q319-3.25,$Q319-3.22),0),IF($B319="高一",MIN(IF($E319="男",$Q319-3.3,$Q319-3.24),0))))),2)</f>
        <v>-0.15</v>
      </c>
      <c r="T319" s="23">
        <f>IF(E319="男",LOOKUP($S319,[1]对照表!$AB$3:$AB$13,[1]对照表!$AC$3:$AC$13),LOOKUP($S319,[1]对照表!$AB$15:$AB$25,[1]对照表!$AC$15:$AC$25))</f>
        <v>3</v>
      </c>
      <c r="U319" s="26">
        <f>R319+T319</f>
        <v>103</v>
      </c>
      <c r="V319" s="26">
        <f>SUM(I319,K319,M319)/3*0.3+SUM(G319,R319)/2*0.4</f>
        <v>65.099999999999994</v>
      </c>
      <c r="W319" s="27">
        <f>O319+T319</f>
        <v>3</v>
      </c>
      <c r="X319" s="28">
        <f>V319/0.7+W319</f>
        <v>96</v>
      </c>
      <c r="Y319" s="28">
        <f>X319</f>
        <v>96</v>
      </c>
      <c r="Z319" s="38"/>
    </row>
    <row r="320" spans="1:26" ht="15.6" x14ac:dyDescent="0.25">
      <c r="A320" s="38">
        <v>32</v>
      </c>
      <c r="B320" s="17" t="s">
        <v>767</v>
      </c>
      <c r="C320" s="48">
        <v>207</v>
      </c>
      <c r="D320" s="49" t="s">
        <v>924</v>
      </c>
      <c r="E320" s="48" t="s">
        <v>23</v>
      </c>
      <c r="F320" s="50">
        <v>7</v>
      </c>
      <c r="G320" s="32">
        <f>IF(B320="高三",IF($E320="男",LOOKUP(F320,[1]对照表!$G$3:$G$24,[1]对照表!$H$3:$H$24),LOOKUP(F320,[1]对照表!$G$27:$G$48,[1]对照表!$H$27:$H$48)),IF(B320="高二",IF($E320="男",LOOKUP(F320,[1]对照表!$F$3:$F$24,[1]对照表!$H$3:$H$24),LOOKUP(F320,[1]对照表!$F$27:$F$48,[1]对照表!$H$27:$H$48)),IF(B320="高一",IF($E320="男",LOOKUP(F320,[1]对照表!$E$3:$E$24,[1]对照表!$H$3:$H$24),LOOKUP(F320,[1]对照表!$E$27:$E$48,[1]对照表!$H$27:$H$48)))))</f>
        <v>100</v>
      </c>
      <c r="H320" s="38">
        <v>21.5</v>
      </c>
      <c r="I320" s="32">
        <f>IF(B320="高三",IF($E320="男",LOOKUP(H320,[1]对照表!$K$3:$K$24,[1]对照表!$L$3:$L$24),LOOKUP(H320,[1]对照表!$K$27:$K$48,[1]对照表!$L$27:$L$48)),IF(B320="高二",IF($E320="男",LOOKUP(H320,[1]对照表!$J$3:$J$24,[1]对照表!$L$3:$L$24),LOOKUP(H320,[1]对照表!$J$27:$J$48,[1]对照表!$L$27:$L$48)),IF(B320="高一",IF($E320="男",LOOKUP(H320,[1]对照表!$I$3:$I$24,[1]对照表!$L$3:$L$24),LOOKUP(H320,[1]对照表!$I$27:$I$48,[1]对照表!$L$27:$L$48)))))</f>
        <v>90</v>
      </c>
      <c r="J320" s="38">
        <v>257</v>
      </c>
      <c r="K320" s="32">
        <f>IF(B320="高三",IF($E320="男",LOOKUP(J320,[1]对照表!$O$3:$O$24,[1]对照表!$P$3:$P$24),LOOKUP(J320,[1]对照表!$O$27:$O$48,[1]对照表!$P$27:$P$48)),IF(B320="高二",IF($E320="男",LOOKUP(J320,[1]对照表!$N$3:$N$24,[1]对照表!$P$3:$P$24),LOOKUP(J320,[1]对照表!$N$27:$N$48,[1]对照表!$P$27:$P$48)),IF(B320="高一",IF($E320="男",LOOKUP(J320,[1]对照表!$M$3:$M$24,[1]对照表!$P$3:$P$24),LOOKUP(J320,[1]对照表!$M$27:$M$48,[1]对照表!$P$27:$P$48)))))</f>
        <v>90</v>
      </c>
      <c r="L320" s="38">
        <v>20</v>
      </c>
      <c r="M320" s="32">
        <f>IF(B320="高三",IF($E320="男",LOOKUP(L320,[1]对照表!$S$3:$S$24,[1]对照表!$T$3:$T$24),LOOKUP(L320,[1]对照表!$S$27:$S$48,[1]对照表!$T$27:$T$48)),IF(B320="高二",IF($E320="男",LOOKUP(L320,[1]对照表!$R$3:$R$24,[1]对照表!$T$3:$T$24),LOOKUP(L320,[1]对照表!$R$27:$R$48,[1]对照表!$T$27:$T$48)),IF(B320="高一",IF($E320="男",LOOKUP(L320,[1]对照表!$Q$3:$Q$24,[1]对照表!$T$3:$T$24),LOOKUP(L320,[1]对照表!$Q$27:$Q$48,[1]对照表!$T$27:$T$48)))))</f>
        <v>100</v>
      </c>
      <c r="N320" s="33">
        <f>IF(B320="高三",MAX(IF(E320="男",L320-18,L320-55),0),IF(B320="高二",MAX(IF(E320="男",L320-17,L320-54),0),IF(B320="高一",MAX(IF(E320="男",L320-16,L320-53),0))))</f>
        <v>3</v>
      </c>
      <c r="O320" s="23">
        <f>IF(E320="男",LOOKUP($N320,[1]对照表!$Z$3:$Z$13,[1]对照表!$AA$3:$AA$13),LOOKUP($N320,[1]对照表!$Z$15:$Z$25,[1]对照表!$AA$15:$AA$25))</f>
        <v>3</v>
      </c>
      <c r="P320" s="25">
        <f>M320+O320</f>
        <v>103</v>
      </c>
      <c r="Q320" s="50">
        <v>3.36</v>
      </c>
      <c r="R320" s="32">
        <f>IF(B320="高三",IF($E320="男",LOOKUP(Q320,[1]对照表!$W$3:$W$24,[1]对照表!$X$3:$X$24),LOOKUP(Q320,[1]对照表!$W$27:$W$48,[1]对照表!$X$27:$X$48)),IF(B320="高二",IF($E320="男",LOOKUP(Q320,[1]对照表!$V$3:$V$24,[1]对照表!$X$3:$X$24),LOOKUP(Q320,[1]对照表!$V$27:$V$48,[1]对照表!$X$27:$X$48)),IF(B320="高一",IF($E320="男",LOOKUP(Q320,[1]对照表!$U$3:$U$24,[1]对照表!$X$3:$X$24),LOOKUP(Q320,[1]对照表!$U$27:$U$48,[1]对照表!$X$27:$X$48)))))</f>
        <v>85</v>
      </c>
      <c r="S320" s="33">
        <f>ROUND(IF(IF($B320="高三",MIN(IF($E320="男",$Q320-3.2,$Q320-3.2),0),IF($B320="高二",MIN(IF($E320="男",$Q320-3.25,$Q320-3.22),0),IF($B320="高一",MIN(IF($E320="男",$Q320-3.3,$Q320-3.24),0))))&lt;-0.6,IF($B320="高三",MIN(IF($E320="男",$Q320-3.2,$Q320-3.2),0),IF($B320="高二",MIN(IF($E320="男",$Q320-3.25,$Q320-3.22),0),IF($B320="高一",MIN(IF($E320="男",$Q320-3.3,$Q320-3.24),0))))+0.4,IF($B320="高三",MIN(IF($E320="男",$Q320-3.2,$Q320-3.2),0),IF($B320="高二",MIN(IF($E320="男",$Q320-3.25,$Q320-3.22),0),IF($B320="高一",MIN(IF($E320="男",$Q320-3.3,$Q320-3.24),0))))),2)</f>
        <v>0</v>
      </c>
      <c r="T320" s="23">
        <f>IF(E320="男",LOOKUP($S320,[1]对照表!$AB$3:$AB$13,[1]对照表!$AC$3:$AC$13),LOOKUP($S320,[1]对照表!$AB$15:$AB$25,[1]对照表!$AC$15:$AC$25))</f>
        <v>0</v>
      </c>
      <c r="U320" s="26">
        <f>R320+T320</f>
        <v>85</v>
      </c>
      <c r="V320" s="26">
        <f>SUM(I320,K320,M320)/3*0.3+SUM(G320,R320)/2*0.4</f>
        <v>65</v>
      </c>
      <c r="W320" s="27">
        <f>O320+T320</f>
        <v>3</v>
      </c>
      <c r="X320" s="28">
        <f>V320/0.7+W320</f>
        <v>95.857142857142861</v>
      </c>
      <c r="Y320" s="28">
        <f>X320</f>
        <v>95.857142857142861</v>
      </c>
      <c r="Z320" s="38"/>
    </row>
    <row r="321" spans="1:26" ht="15.6" x14ac:dyDescent="0.25">
      <c r="A321" s="48">
        <v>25</v>
      </c>
      <c r="B321" s="17" t="s">
        <v>767</v>
      </c>
      <c r="C321" s="48">
        <v>207</v>
      </c>
      <c r="D321" s="49" t="s">
        <v>942</v>
      </c>
      <c r="E321" s="48" t="s">
        <v>23</v>
      </c>
      <c r="F321" s="50">
        <v>6.9</v>
      </c>
      <c r="G321" s="32">
        <f>IF(B321="高三",IF($E321="男",LOOKUP(F321,[1]对照表!$G$3:$G$24,[1]对照表!$H$3:$H$24),LOOKUP(F321,[1]对照表!$G$27:$G$48,[1]对照表!$H$27:$H$48)),IF(B321="高二",IF($E321="男",LOOKUP(F321,[1]对照表!$F$3:$F$24,[1]对照表!$H$3:$H$24),LOOKUP(F321,[1]对照表!$F$27:$F$48,[1]对照表!$H$27:$H$48)),IF(B321="高一",IF($E321="男",LOOKUP(F321,[1]对照表!$E$3:$E$24,[1]对照表!$H$3:$H$24),LOOKUP(F321,[1]对照表!$E$27:$E$48,[1]对照表!$H$27:$H$48)))))</f>
        <v>100</v>
      </c>
      <c r="H321" s="38">
        <v>11.3</v>
      </c>
      <c r="I321" s="32">
        <f>IF(B321="高三",IF($E321="男",LOOKUP(H321,[1]对照表!$K$3:$K$24,[1]对照表!$L$3:$L$24),LOOKUP(H321,[1]对照表!$K$27:$K$48,[1]对照表!$L$27:$L$48)),IF(B321="高二",IF($E321="男",LOOKUP(H321,[1]对照表!$J$3:$J$24,[1]对照表!$L$3:$L$24),LOOKUP(H321,[1]对照表!$J$27:$J$48,[1]对照表!$L$27:$L$48)),IF(B321="高一",IF($E321="男",LOOKUP(H321,[1]对照表!$I$3:$I$24,[1]对照表!$L$3:$L$24),LOOKUP(H321,[1]对照表!$I$27:$I$48,[1]对照表!$L$27:$L$48)))))</f>
        <v>72</v>
      </c>
      <c r="J321" s="38">
        <v>265</v>
      </c>
      <c r="K321" s="32">
        <f>IF(B321="高三",IF($E321="男",LOOKUP(J321,[1]对照表!$O$3:$O$24,[1]对照表!$P$3:$P$24),LOOKUP(J321,[1]对照表!$O$27:$O$48,[1]对照表!$P$27:$P$48)),IF(B321="高二",IF($E321="男",LOOKUP(J321,[1]对照表!$N$3:$N$24,[1]对照表!$P$3:$P$24),LOOKUP(J321,[1]对照表!$N$27:$N$48,[1]对照表!$P$27:$P$48)),IF(B321="高一",IF($E321="男",LOOKUP(J321,[1]对照表!$M$3:$M$24,[1]对照表!$P$3:$P$24),LOOKUP(J321,[1]对照表!$M$27:$M$48,[1]对照表!$P$27:$P$48)))))</f>
        <v>100</v>
      </c>
      <c r="L321" s="38">
        <v>17</v>
      </c>
      <c r="M321" s="32">
        <f>IF(B321="高三",IF($E321="男",LOOKUP(L321,[1]对照表!$S$3:$S$24,[1]对照表!$T$3:$T$24),LOOKUP(L321,[1]对照表!$S$27:$S$48,[1]对照表!$T$27:$T$48)),IF(B321="高二",IF($E321="男",LOOKUP(L321,[1]对照表!$R$3:$R$24,[1]对照表!$T$3:$T$24),LOOKUP(L321,[1]对照表!$R$27:$R$48,[1]对照表!$T$27:$T$48)),IF(B321="高一",IF($E321="男",LOOKUP(L321,[1]对照表!$Q$3:$Q$24,[1]对照表!$T$3:$T$24),LOOKUP(L321,[1]对照表!$Q$27:$Q$48,[1]对照表!$T$27:$T$48)))))</f>
        <v>100</v>
      </c>
      <c r="N321" s="33">
        <f>IF(B321="高三",MAX(IF(E321="男",L321-18,L321-55),0),IF(B321="高二",MAX(IF(E321="男",L321-17,L321-54),0),IF(B321="高一",MAX(IF(E321="男",L321-16,L321-53),0))))</f>
        <v>0</v>
      </c>
      <c r="O321" s="23">
        <f>IF(E321="男",LOOKUP($N321,[1]对照表!$Z$3:$Z$13,[1]对照表!$AA$3:$AA$13),LOOKUP($N321,[1]对照表!$Z$15:$Z$25,[1]对照表!$AA$15:$AA$25))</f>
        <v>0</v>
      </c>
      <c r="P321" s="25">
        <f>M321+O321</f>
        <v>100</v>
      </c>
      <c r="Q321" s="50">
        <v>3.26</v>
      </c>
      <c r="R321" s="32">
        <f>IF(B321="高三",IF($E321="男",LOOKUP(Q321,[1]对照表!$W$3:$W$24,[1]对照表!$X$3:$X$24),LOOKUP(Q321,[1]对照表!$W$27:$W$48,[1]对照表!$X$27:$X$48)),IF(B321="高二",IF($E321="男",LOOKUP(Q321,[1]对照表!$V$3:$V$24,[1]对照表!$X$3:$X$24),LOOKUP(Q321,[1]对照表!$V$27:$V$48,[1]对照表!$X$27:$X$48)),IF(B321="高一",IF($E321="男",LOOKUP(Q321,[1]对照表!$U$3:$U$24,[1]对照表!$X$3:$X$24),LOOKUP(Q321,[1]对照表!$U$27:$U$48,[1]对照表!$X$27:$X$48)))))</f>
        <v>95</v>
      </c>
      <c r="S321" s="33">
        <f>ROUND(IF(IF($B321="高三",MIN(IF($E321="男",$Q321-3.2,$Q321-3.2),0),IF($B321="高二",MIN(IF($E321="男",$Q321-3.25,$Q321-3.22),0),IF($B321="高一",MIN(IF($E321="男",$Q321-3.3,$Q321-3.24),0))))&lt;-0.6,IF($B321="高三",MIN(IF($E321="男",$Q321-3.2,$Q321-3.2),0),IF($B321="高二",MIN(IF($E321="男",$Q321-3.25,$Q321-3.22),0),IF($B321="高一",MIN(IF($E321="男",$Q321-3.3,$Q321-3.24),0))))+0.4,IF($B321="高三",MIN(IF($E321="男",$Q321-3.2,$Q321-3.2),0),IF($B321="高二",MIN(IF($E321="男",$Q321-3.25,$Q321-3.22),0),IF($B321="高一",MIN(IF($E321="男",$Q321-3.3,$Q321-3.24),0))))),2)</f>
        <v>0</v>
      </c>
      <c r="T321" s="23">
        <f>IF(E321="男",LOOKUP($S321,[1]对照表!$AB$3:$AB$13,[1]对照表!$AC$3:$AC$13),LOOKUP($S321,[1]对照表!$AB$15:$AB$25,[1]对照表!$AC$15:$AC$25))</f>
        <v>0</v>
      </c>
      <c r="U321" s="26">
        <f>R321+T321</f>
        <v>95</v>
      </c>
      <c r="V321" s="26">
        <f>SUM(I321,K321,M321)/3*0.3+SUM(G321,R321)/2*0.4</f>
        <v>66.2</v>
      </c>
      <c r="W321" s="27">
        <f>O321+T321</f>
        <v>0</v>
      </c>
      <c r="X321" s="28">
        <f>V321/0.7+W321</f>
        <v>94.571428571428584</v>
      </c>
      <c r="Y321" s="28">
        <f>X321</f>
        <v>94.571428571428584</v>
      </c>
      <c r="Z321" s="38"/>
    </row>
    <row r="322" spans="1:26" ht="15.6" x14ac:dyDescent="0.25">
      <c r="A322" s="48">
        <v>40</v>
      </c>
      <c r="B322" s="17" t="s">
        <v>767</v>
      </c>
      <c r="C322" s="48">
        <v>207</v>
      </c>
      <c r="D322" s="49" t="s">
        <v>944</v>
      </c>
      <c r="E322" s="48" t="s">
        <v>65</v>
      </c>
      <c r="F322" s="50">
        <v>8.1199999999999992</v>
      </c>
      <c r="G322" s="32">
        <f>IF(B322="高三",IF($E322="男",LOOKUP(F322,[1]对照表!$G$3:$G$24,[1]对照表!$H$3:$H$24),LOOKUP(F322,[1]对照表!$G$27:$G$48,[1]对照表!$H$27:$H$48)),IF(B322="高二",IF($E322="男",LOOKUP(F322,[1]对照表!$F$3:$F$24,[1]对照表!$H$3:$H$24),LOOKUP(F322,[1]对照表!$F$27:$F$48,[1]对照表!$H$27:$H$48)),IF(B322="高一",IF($E322="男",LOOKUP(F322,[1]对照表!$E$3:$E$24,[1]对照表!$H$3:$H$24),LOOKUP(F322,[1]对照表!$E$27:$E$48,[1]对照表!$H$27:$H$48)))))</f>
        <v>85</v>
      </c>
      <c r="H322" s="38">
        <v>11.5</v>
      </c>
      <c r="I322" s="32">
        <f>IF(B322="高三",IF($E322="男",LOOKUP(H322,[1]对照表!$K$3:$K$24,[1]对照表!$L$3:$L$24),LOOKUP(H322,[1]对照表!$K$27:$K$48,[1]对照表!$L$27:$L$48)),IF(B322="高二",IF($E322="男",LOOKUP(H322,[1]对照表!$J$3:$J$24,[1]对照表!$L$3:$L$24),LOOKUP(H322,[1]对照表!$J$27:$J$48,[1]对照表!$L$27:$L$48)),IF(B322="高一",IF($E322="男",LOOKUP(H322,[1]对照表!$I$3:$I$24,[1]对照表!$L$3:$L$24),LOOKUP(H322,[1]对照表!$I$27:$I$48,[1]对照表!$L$27:$L$48)))))</f>
        <v>70</v>
      </c>
      <c r="J322" s="38">
        <v>182</v>
      </c>
      <c r="K322" s="32">
        <f>IF(B322="高三",IF($E322="男",LOOKUP(J322,[1]对照表!$O$3:$O$24,[1]对照表!$P$3:$P$24),LOOKUP(J322,[1]对照表!$O$27:$O$48,[1]对照表!$P$27:$P$48)),IF(B322="高二",IF($E322="男",LOOKUP(J322,[1]对照表!$N$3:$N$24,[1]对照表!$P$3:$P$24),LOOKUP(J322,[1]对照表!$N$27:$N$48,[1]对照表!$P$27:$P$48)),IF(B322="高一",IF($E322="男",LOOKUP(J322,[1]对照表!$M$3:$M$24,[1]对照表!$P$3:$P$24),LOOKUP(J322,[1]对照表!$M$27:$M$48,[1]对照表!$P$27:$P$48)))))</f>
        <v>80</v>
      </c>
      <c r="L322" s="38">
        <v>61</v>
      </c>
      <c r="M322" s="32">
        <f>IF(B322="高三",IF($E322="男",LOOKUP(L322,[1]对照表!$S$3:$S$24,[1]对照表!$T$3:$T$24),LOOKUP(L322,[1]对照表!$S$27:$S$48,[1]对照表!$T$27:$T$48)),IF(B322="高二",IF($E322="男",LOOKUP(L322,[1]对照表!$R$3:$R$24,[1]对照表!$T$3:$T$24),LOOKUP(L322,[1]对照表!$R$27:$R$48,[1]对照表!$T$27:$T$48)),IF(B322="高一",IF($E322="男",LOOKUP(L322,[1]对照表!$Q$3:$Q$24,[1]对照表!$T$3:$T$24),LOOKUP(L322,[1]对照表!$Q$27:$Q$48,[1]对照表!$T$27:$T$48)))))</f>
        <v>100</v>
      </c>
      <c r="N322" s="33">
        <f>IF(B322="高三",MAX(IF(E322="男",L322-18,L322-55),0),IF(B322="高二",MAX(IF(E322="男",L322-17,L322-54),0),IF(B322="高一",MAX(IF(E322="男",L322-16,L322-53),0))))</f>
        <v>7</v>
      </c>
      <c r="O322" s="23">
        <f>IF(E322="男",LOOKUP($N322,[1]对照表!$Z$3:$Z$13,[1]对照表!$AA$3:$AA$13),LOOKUP($N322,[1]对照表!$Z$15:$Z$25,[1]对照表!$AA$15:$AA$25))</f>
        <v>4</v>
      </c>
      <c r="P322" s="25">
        <f>M322+O322</f>
        <v>104</v>
      </c>
      <c r="Q322" s="50">
        <v>3.59</v>
      </c>
      <c r="R322" s="32">
        <f>IF(B322="高三",IF($E322="男",LOOKUP(Q322,[1]对照表!$W$3:$W$24,[1]对照表!$X$3:$X$24),LOOKUP(Q322,[1]对照表!$W$27:$W$48,[1]对照表!$X$27:$X$48)),IF(B322="高二",IF($E322="男",LOOKUP(Q322,[1]对照表!$V$3:$V$24,[1]对照表!$X$3:$X$24),LOOKUP(Q322,[1]对照表!$V$27:$V$48,[1]对照表!$X$27:$X$48)),IF(B322="高一",IF($E322="男",LOOKUP(Q322,[1]对照表!$U$3:$U$24,[1]对照表!$X$3:$X$24),LOOKUP(Q322,[1]对照表!$U$27:$U$48,[1]对照表!$X$27:$X$48)))))</f>
        <v>74</v>
      </c>
      <c r="S322" s="33">
        <f>ROUND(IF(IF($B322="高三",MIN(IF($E322="男",$Q322-3.2,$Q322-3.2),0),IF($B322="高二",MIN(IF($E322="男",$Q322-3.25,$Q322-3.22),0),IF($B322="高一",MIN(IF($E322="男",$Q322-3.3,$Q322-3.24),0))))&lt;-0.6,IF($B322="高三",MIN(IF($E322="男",$Q322-3.2,$Q322-3.2),0),IF($B322="高二",MIN(IF($E322="男",$Q322-3.25,$Q322-3.22),0),IF($B322="高一",MIN(IF($E322="男",$Q322-3.3,$Q322-3.24),0))))+0.4,IF($B322="高三",MIN(IF($E322="男",$Q322-3.2,$Q322-3.2),0),IF($B322="高二",MIN(IF($E322="男",$Q322-3.25,$Q322-3.22),0),IF($B322="高一",MIN(IF($E322="男",$Q322-3.3,$Q322-3.24),0))))),2)</f>
        <v>0</v>
      </c>
      <c r="T322" s="23">
        <f>IF(E322="男",LOOKUP($S322,[1]对照表!$AB$3:$AB$13,[1]对照表!$AC$3:$AC$13),LOOKUP($S322,[1]对照表!$AB$15:$AB$25,[1]对照表!$AC$15:$AC$25))</f>
        <v>0</v>
      </c>
      <c r="U322" s="26">
        <f>R322+T322</f>
        <v>74</v>
      </c>
      <c r="V322" s="26">
        <f>SUM(I322,K322,M322)/3*0.3+SUM(G322,R322)/2*0.4</f>
        <v>56.8</v>
      </c>
      <c r="W322" s="27">
        <f>O322+T322</f>
        <v>4</v>
      </c>
      <c r="X322" s="28">
        <f>V322/0.7+W322</f>
        <v>85.142857142857139</v>
      </c>
      <c r="Y322" s="28">
        <f>X322</f>
        <v>85.142857142857139</v>
      </c>
      <c r="Z322" s="38"/>
    </row>
    <row r="323" spans="1:26" ht="15.6" x14ac:dyDescent="0.25">
      <c r="A323" s="48">
        <v>17</v>
      </c>
      <c r="B323" s="17" t="s">
        <v>767</v>
      </c>
      <c r="C323" s="48">
        <v>207</v>
      </c>
      <c r="D323" s="49" t="s">
        <v>974</v>
      </c>
      <c r="E323" s="48" t="s">
        <v>23</v>
      </c>
      <c r="F323" s="50">
        <v>7</v>
      </c>
      <c r="G323" s="32">
        <f>IF(B323="高三",IF($E323="男",LOOKUP(F323,[1]对照表!$G$3:$G$24,[1]对照表!$H$3:$H$24),LOOKUP(F323,[1]对照表!$G$27:$G$48,[1]对照表!$H$27:$H$48)),IF(B323="高二",IF($E323="男",LOOKUP(F323,[1]对照表!$F$3:$F$24,[1]对照表!$H$3:$H$24),LOOKUP(F323,[1]对照表!$F$27:$F$48,[1]对照表!$H$27:$H$48)),IF(B323="高一",IF($E323="男",LOOKUP(F323,[1]对照表!$E$3:$E$24,[1]对照表!$H$3:$H$24),LOOKUP(F323,[1]对照表!$E$27:$E$48,[1]对照表!$H$27:$H$48)))))</f>
        <v>100</v>
      </c>
      <c r="H323" s="38">
        <v>2.7</v>
      </c>
      <c r="I323" s="32">
        <f>IF(B323="高三",IF($E323="男",LOOKUP(H323,[1]对照表!$K$3:$K$24,[1]对照表!$L$3:$L$24),LOOKUP(H323,[1]对照表!$K$27:$K$48,[1]对照表!$L$27:$L$48)),IF(B323="高二",IF($E323="男",LOOKUP(H323,[1]对照表!$J$3:$J$24,[1]对照表!$L$3:$L$24),LOOKUP(H323,[1]对照表!$J$27:$J$48,[1]对照表!$L$27:$L$48)),IF(B323="高一",IF($E323="男",LOOKUP(H323,[1]对照表!$I$3:$I$24,[1]对照表!$L$3:$L$24),LOOKUP(H323,[1]对照表!$I$27:$I$48,[1]对照表!$L$27:$L$48)))))</f>
        <v>60</v>
      </c>
      <c r="J323" s="38">
        <v>247</v>
      </c>
      <c r="K323" s="32">
        <f>IF(B323="高三",IF($E323="男",LOOKUP(J323,[1]对照表!$O$3:$O$24,[1]对照表!$P$3:$P$24),LOOKUP(J323,[1]对照表!$O$27:$O$48,[1]对照表!$P$27:$P$48)),IF(B323="高二",IF($E323="男",LOOKUP(J323,[1]对照表!$N$3:$N$24,[1]对照表!$P$3:$P$24),LOOKUP(J323,[1]对照表!$N$27:$N$48,[1]对照表!$P$27:$P$48)),IF(B323="高一",IF($E323="男",LOOKUP(J323,[1]对照表!$M$3:$M$24,[1]对照表!$P$3:$P$24),LOOKUP(J323,[1]对照表!$M$27:$M$48,[1]对照表!$P$27:$P$48)))))</f>
        <v>80</v>
      </c>
      <c r="L323" s="38">
        <v>19</v>
      </c>
      <c r="M323" s="32">
        <f>IF(B323="高三",IF($E323="男",LOOKUP(L323,[1]对照表!$S$3:$S$24,[1]对照表!$T$3:$T$24),LOOKUP(L323,[1]对照表!$S$27:$S$48,[1]对照表!$T$27:$T$48)),IF(B323="高二",IF($E323="男",LOOKUP(L323,[1]对照表!$R$3:$R$24,[1]对照表!$T$3:$T$24),LOOKUP(L323,[1]对照表!$R$27:$R$48,[1]对照表!$T$27:$T$48)),IF(B323="高一",IF($E323="男",LOOKUP(L323,[1]对照表!$Q$3:$Q$24,[1]对照表!$T$3:$T$24),LOOKUP(L323,[1]对照表!$Q$27:$Q$48,[1]对照表!$T$27:$T$48)))))</f>
        <v>100</v>
      </c>
      <c r="N323" s="33">
        <f>IF(B323="高三",MAX(IF(E323="男",L323-18,L323-55),0),IF(B323="高二",MAX(IF(E323="男",L323-17,L323-54),0),IF(B323="高一",MAX(IF(E323="男",L323-16,L323-53),0))))</f>
        <v>2</v>
      </c>
      <c r="O323" s="23">
        <f>IF(E323="男",LOOKUP($N323,[1]对照表!$Z$3:$Z$13,[1]对照表!$AA$3:$AA$13),LOOKUP($N323,[1]对照表!$Z$15:$Z$25,[1]对照表!$AA$15:$AA$25))</f>
        <v>2</v>
      </c>
      <c r="P323" s="25">
        <f>M323+O323</f>
        <v>102</v>
      </c>
      <c r="Q323" s="50">
        <v>3.29</v>
      </c>
      <c r="R323" s="32">
        <f>IF(B323="高三",IF($E323="男",LOOKUP(Q323,[1]对照表!$W$3:$W$24,[1]对照表!$X$3:$X$24),LOOKUP(Q323,[1]对照表!$W$27:$W$48,[1]对照表!$X$27:$X$48)),IF(B323="高二",IF($E323="男",LOOKUP(Q323,[1]对照表!$V$3:$V$24,[1]对照表!$X$3:$X$24),LOOKUP(Q323,[1]对照表!$V$27:$V$48,[1]对照表!$X$27:$X$48)),IF(B323="高一",IF($E323="男",LOOKUP(Q323,[1]对照表!$U$3:$U$24,[1]对照表!$X$3:$X$24),LOOKUP(Q323,[1]对照表!$U$27:$U$48,[1]对照表!$X$27:$X$48)))))</f>
        <v>95</v>
      </c>
      <c r="S323" s="33">
        <f>ROUND(IF(IF($B323="高三",MIN(IF($E323="男",$Q323-3.2,$Q323-3.2),0),IF($B323="高二",MIN(IF($E323="男",$Q323-3.25,$Q323-3.22),0),IF($B323="高一",MIN(IF($E323="男",$Q323-3.3,$Q323-3.24),0))))&lt;-0.6,IF($B323="高三",MIN(IF($E323="男",$Q323-3.2,$Q323-3.2),0),IF($B323="高二",MIN(IF($E323="男",$Q323-3.25,$Q323-3.22),0),IF($B323="高一",MIN(IF($E323="男",$Q323-3.3,$Q323-3.24),0))))+0.4,IF($B323="高三",MIN(IF($E323="男",$Q323-3.2,$Q323-3.2),0),IF($B323="高二",MIN(IF($E323="男",$Q323-3.25,$Q323-3.22),0),IF($B323="高一",MIN(IF($E323="男",$Q323-3.3,$Q323-3.24),0))))),2)</f>
        <v>0</v>
      </c>
      <c r="T323" s="23">
        <f>IF(E323="男",LOOKUP($S323,[1]对照表!$AB$3:$AB$13,[1]对照表!$AC$3:$AC$13),LOOKUP($S323,[1]对照表!$AB$15:$AB$25,[1]对照表!$AC$15:$AC$25))</f>
        <v>0</v>
      </c>
      <c r="U323" s="26">
        <f>R323+T323</f>
        <v>95</v>
      </c>
      <c r="V323" s="26">
        <f>SUM(I323,K323,M323)/3*0.3+SUM(G323,R323)/2*0.4</f>
        <v>63</v>
      </c>
      <c r="W323" s="27">
        <f>O323+T323</f>
        <v>2</v>
      </c>
      <c r="X323" s="28">
        <f>V323/0.7+W323</f>
        <v>92</v>
      </c>
      <c r="Y323" s="28">
        <f>X323</f>
        <v>92</v>
      </c>
      <c r="Z323" s="38"/>
    </row>
    <row r="324" spans="1:26" ht="15.6" x14ac:dyDescent="0.25">
      <c r="A324" s="48">
        <v>6</v>
      </c>
      <c r="B324" s="17" t="s">
        <v>767</v>
      </c>
      <c r="C324" s="48">
        <v>207</v>
      </c>
      <c r="D324" s="49" t="s">
        <v>996</v>
      </c>
      <c r="E324" s="48" t="s">
        <v>23</v>
      </c>
      <c r="F324" s="50">
        <v>7.2</v>
      </c>
      <c r="G324" s="32">
        <f>IF(B324="高三",IF($E324="男",LOOKUP(F324,[1]对照表!$G$3:$G$24,[1]对照表!$H$3:$H$24),LOOKUP(F324,[1]对照表!$G$27:$G$48,[1]对照表!$H$27:$H$48)),IF(B324="高二",IF($E324="男",LOOKUP(F324,[1]对照表!$F$3:$F$24,[1]对照表!$H$3:$H$24),LOOKUP(F324,[1]对照表!$F$27:$F$48,[1]对照表!$H$27:$H$48)),IF(B324="高一",IF($E324="男",LOOKUP(F324,[1]对照表!$E$3:$E$24,[1]对照表!$H$3:$H$24),LOOKUP(F324,[1]对照表!$E$27:$E$48,[1]对照表!$H$27:$H$48)))))</f>
        <v>90</v>
      </c>
      <c r="H324" s="38">
        <v>17.3</v>
      </c>
      <c r="I324" s="32">
        <f>IF(B324="高三",IF($E324="男",LOOKUP(H324,[1]对照表!$K$3:$K$24,[1]对照表!$L$3:$L$24),LOOKUP(H324,[1]对照表!$K$27:$K$48,[1]对照表!$L$27:$L$48)),IF(B324="高二",IF($E324="男",LOOKUP(H324,[1]对照表!$J$3:$J$24,[1]对照表!$L$3:$L$24),LOOKUP(H324,[1]对照表!$J$27:$J$48,[1]对照表!$L$27:$L$48)),IF(B324="高一",IF($E324="男",LOOKUP(H324,[1]对照表!$I$3:$I$24,[1]对照表!$L$3:$L$24),LOOKUP(H324,[1]对照表!$I$27:$I$48,[1]对照表!$L$27:$L$48)))))</f>
        <v>80</v>
      </c>
      <c r="J324" s="38">
        <v>243</v>
      </c>
      <c r="K324" s="32">
        <f>IF(B324="高三",IF($E324="男",LOOKUP(J324,[1]对照表!$O$3:$O$24,[1]对照表!$P$3:$P$24),LOOKUP(J324,[1]对照表!$O$27:$O$48,[1]对照表!$P$27:$P$48)),IF(B324="高二",IF($E324="男",LOOKUP(J324,[1]对照表!$N$3:$N$24,[1]对照表!$P$3:$P$24),LOOKUP(J324,[1]对照表!$N$27:$N$48,[1]对照表!$P$27:$P$48)),IF(B324="高一",IF($E324="男",LOOKUP(J324,[1]对照表!$M$3:$M$24,[1]对照表!$P$3:$P$24),LOOKUP(J324,[1]对照表!$M$27:$M$48,[1]对照表!$P$27:$P$48)))))</f>
        <v>80</v>
      </c>
      <c r="L324" s="38">
        <v>17</v>
      </c>
      <c r="M324" s="32">
        <f>IF(B324="高三",IF($E324="男",LOOKUP(L324,[1]对照表!$S$3:$S$24,[1]对照表!$T$3:$T$24),LOOKUP(L324,[1]对照表!$S$27:$S$48,[1]对照表!$T$27:$T$48)),IF(B324="高二",IF($E324="男",LOOKUP(L324,[1]对照表!$R$3:$R$24,[1]对照表!$T$3:$T$24),LOOKUP(L324,[1]对照表!$R$27:$R$48,[1]对照表!$T$27:$T$48)),IF(B324="高一",IF($E324="男",LOOKUP(L324,[1]对照表!$Q$3:$Q$24,[1]对照表!$T$3:$T$24),LOOKUP(L324,[1]对照表!$Q$27:$Q$48,[1]对照表!$T$27:$T$48)))))</f>
        <v>100</v>
      </c>
      <c r="N324" s="33">
        <f>IF(B324="高三",MAX(IF(E324="男",L324-18,L324-55),0),IF(B324="高二",MAX(IF(E324="男",L324-17,L324-54),0),IF(B324="高一",MAX(IF(E324="男",L324-16,L324-53),0))))</f>
        <v>0</v>
      </c>
      <c r="O324" s="23">
        <f>IF(E324="男",LOOKUP($N324,[1]对照表!$Z$3:$Z$13,[1]对照表!$AA$3:$AA$13),LOOKUP($N324,[1]对照表!$Z$15:$Z$25,[1]对照表!$AA$15:$AA$25))</f>
        <v>0</v>
      </c>
      <c r="P324" s="25">
        <f>M324+O324</f>
        <v>100</v>
      </c>
      <c r="Q324" s="50">
        <v>3.26</v>
      </c>
      <c r="R324" s="32">
        <f>IF(B324="高三",IF($E324="男",LOOKUP(Q324,[1]对照表!$W$3:$W$24,[1]对照表!$X$3:$X$24),LOOKUP(Q324,[1]对照表!$W$27:$W$48,[1]对照表!$X$27:$X$48)),IF(B324="高二",IF($E324="男",LOOKUP(Q324,[1]对照表!$V$3:$V$24,[1]对照表!$X$3:$X$24),LOOKUP(Q324,[1]对照表!$V$27:$V$48,[1]对照表!$X$27:$X$48)),IF(B324="高一",IF($E324="男",LOOKUP(Q324,[1]对照表!$U$3:$U$24,[1]对照表!$X$3:$X$24),LOOKUP(Q324,[1]对照表!$U$27:$U$48,[1]对照表!$X$27:$X$48)))))</f>
        <v>95</v>
      </c>
      <c r="S324" s="33">
        <f>ROUND(IF(IF($B324="高三",MIN(IF($E324="男",$Q324-3.2,$Q324-3.2),0),IF($B324="高二",MIN(IF($E324="男",$Q324-3.25,$Q324-3.22),0),IF($B324="高一",MIN(IF($E324="男",$Q324-3.3,$Q324-3.24),0))))&lt;-0.6,IF($B324="高三",MIN(IF($E324="男",$Q324-3.2,$Q324-3.2),0),IF($B324="高二",MIN(IF($E324="男",$Q324-3.25,$Q324-3.22),0),IF($B324="高一",MIN(IF($E324="男",$Q324-3.3,$Q324-3.24),0))))+0.4,IF($B324="高三",MIN(IF($E324="男",$Q324-3.2,$Q324-3.2),0),IF($B324="高二",MIN(IF($E324="男",$Q324-3.25,$Q324-3.22),0),IF($B324="高一",MIN(IF($E324="男",$Q324-3.3,$Q324-3.24),0))))),2)</f>
        <v>0</v>
      </c>
      <c r="T324" s="23">
        <f>IF(E324="男",LOOKUP($S324,[1]对照表!$AB$3:$AB$13,[1]对照表!$AC$3:$AC$13),LOOKUP($S324,[1]对照表!$AB$15:$AB$25,[1]对照表!$AC$15:$AC$25))</f>
        <v>0</v>
      </c>
      <c r="U324" s="26">
        <f>R324+T324</f>
        <v>95</v>
      </c>
      <c r="V324" s="26">
        <f>SUM(I324,K324,M324)/3*0.3+SUM(G324,R324)/2*0.4</f>
        <v>63</v>
      </c>
      <c r="W324" s="27">
        <f>O324+T324</f>
        <v>0</v>
      </c>
      <c r="X324" s="28">
        <f>V324/0.7+W324</f>
        <v>90</v>
      </c>
      <c r="Y324" s="28">
        <f>X324</f>
        <v>90</v>
      </c>
      <c r="Z324" s="38"/>
    </row>
    <row r="325" spans="1:26" ht="15.6" x14ac:dyDescent="0.25">
      <c r="A325" s="48">
        <v>41</v>
      </c>
      <c r="B325" s="17" t="s">
        <v>767</v>
      </c>
      <c r="C325" s="48">
        <v>207</v>
      </c>
      <c r="D325" s="49" t="s">
        <v>1017</v>
      </c>
      <c r="E325" s="48" t="s">
        <v>65</v>
      </c>
      <c r="F325" s="50">
        <v>8.43</v>
      </c>
      <c r="G325" s="32">
        <f>IF(B325="高三",IF($E325="男",LOOKUP(F325,[1]对照表!$G$3:$G$24,[1]对照表!$H$3:$H$24),LOOKUP(F325,[1]对照表!$G$27:$G$48,[1]对照表!$H$27:$H$48)),IF(B325="高二",IF($E325="男",LOOKUP(F325,[1]对照表!$F$3:$F$24,[1]对照表!$H$3:$H$24),LOOKUP(F325,[1]对照表!$F$27:$F$48,[1]对照表!$H$27:$H$48)),IF(B325="高一",IF($E325="男",LOOKUP(F325,[1]对照表!$E$3:$E$24,[1]对照表!$H$3:$H$24),LOOKUP(F325,[1]对照表!$E$27:$E$48,[1]对照表!$H$27:$H$48)))))</f>
        <v>80</v>
      </c>
      <c r="H325" s="38">
        <v>8.5</v>
      </c>
      <c r="I325" s="32">
        <f>IF(B325="高三",IF($E325="男",LOOKUP(H325,[1]对照表!$K$3:$K$24,[1]对照表!$L$3:$L$24),LOOKUP(H325,[1]对照表!$K$27:$K$48,[1]对照表!$L$27:$L$48)),IF(B325="高二",IF($E325="男",LOOKUP(H325,[1]对照表!$J$3:$J$24,[1]对照表!$L$3:$L$24),LOOKUP(H325,[1]对照表!$J$27:$J$48,[1]对照表!$L$27:$L$48)),IF(B325="高一",IF($E325="男",LOOKUP(H325,[1]对照表!$I$3:$I$24,[1]对照表!$L$3:$L$24),LOOKUP(H325,[1]对照表!$I$27:$I$48,[1]对照表!$L$27:$L$48)))))</f>
        <v>64</v>
      </c>
      <c r="J325" s="38">
        <v>187</v>
      </c>
      <c r="K325" s="32">
        <f>IF(B325="高三",IF($E325="男",LOOKUP(J325,[1]对照表!$O$3:$O$24,[1]对照表!$P$3:$P$24),LOOKUP(J325,[1]对照表!$O$27:$O$48,[1]对照表!$P$27:$P$48)),IF(B325="高二",IF($E325="男",LOOKUP(J325,[1]对照表!$N$3:$N$24,[1]对照表!$P$3:$P$24),LOOKUP(J325,[1]对照表!$N$27:$N$48,[1]对照表!$P$27:$P$48)),IF(B325="高一",IF($E325="男",LOOKUP(J325,[1]对照表!$M$3:$M$24,[1]对照表!$P$3:$P$24),LOOKUP(J325,[1]对照表!$M$27:$M$48,[1]对照表!$P$27:$P$48)))))</f>
        <v>85</v>
      </c>
      <c r="L325" s="38">
        <v>56</v>
      </c>
      <c r="M325" s="32">
        <f>IF(B325="高三",IF($E325="男",LOOKUP(L325,[1]对照表!$S$3:$S$24,[1]对照表!$T$3:$T$24),LOOKUP(L325,[1]对照表!$S$27:$S$48,[1]对照表!$T$27:$T$48)),IF(B325="高二",IF($E325="男",LOOKUP(L325,[1]对照表!$R$3:$R$24,[1]对照表!$T$3:$T$24),LOOKUP(L325,[1]对照表!$R$27:$R$48,[1]对照表!$T$27:$T$48)),IF(B325="高一",IF($E325="男",LOOKUP(L325,[1]对照表!$Q$3:$Q$24,[1]对照表!$T$3:$T$24),LOOKUP(L325,[1]对照表!$Q$27:$Q$48,[1]对照表!$T$27:$T$48)))))</f>
        <v>100</v>
      </c>
      <c r="N325" s="33">
        <f>IF(B325="高三",MAX(IF(E325="男",L325-18,L325-55),0),IF(B325="高二",MAX(IF(E325="男",L325-17,L325-54),0),IF(B325="高一",MAX(IF(E325="男",L325-16,L325-53),0))))</f>
        <v>2</v>
      </c>
      <c r="O325" s="23">
        <f>IF(E325="男",LOOKUP($N325,[1]对照表!$Z$3:$Z$13,[1]对照表!$AA$3:$AA$13),LOOKUP($N325,[1]对照表!$Z$15:$Z$25,[1]对照表!$AA$15:$AA$25))</f>
        <v>1</v>
      </c>
      <c r="P325" s="25">
        <f>M325+O325</f>
        <v>101</v>
      </c>
      <c r="Q325" s="50">
        <v>3.44</v>
      </c>
      <c r="R325" s="32">
        <f>IF(B325="高三",IF($E325="男",LOOKUP(Q325,[1]对照表!$W$3:$W$24,[1]对照表!$X$3:$X$24),LOOKUP(Q325,[1]对照表!$W$27:$W$48,[1]对照表!$X$27:$X$48)),IF(B325="高二",IF($E325="男",LOOKUP(Q325,[1]对照表!$V$3:$V$24,[1]对照表!$X$3:$X$24),LOOKUP(Q325,[1]对照表!$V$27:$V$48,[1]对照表!$X$27:$X$48)),IF(B325="高一",IF($E325="男",LOOKUP(Q325,[1]对照表!$U$3:$U$24,[1]对照表!$X$3:$X$24),LOOKUP(Q325,[1]对照表!$U$27:$U$48,[1]对照表!$X$27:$X$48)))))</f>
        <v>80</v>
      </c>
      <c r="S325" s="33">
        <f>ROUND(IF(IF($B325="高三",MIN(IF($E325="男",$Q325-3.2,$Q325-3.2),0),IF($B325="高二",MIN(IF($E325="男",$Q325-3.25,$Q325-3.22),0),IF($B325="高一",MIN(IF($E325="男",$Q325-3.3,$Q325-3.24),0))))&lt;-0.6,IF($B325="高三",MIN(IF($E325="男",$Q325-3.2,$Q325-3.2),0),IF($B325="高二",MIN(IF($E325="男",$Q325-3.25,$Q325-3.22),0),IF($B325="高一",MIN(IF($E325="男",$Q325-3.3,$Q325-3.24),0))))+0.4,IF($B325="高三",MIN(IF($E325="男",$Q325-3.2,$Q325-3.2),0),IF($B325="高二",MIN(IF($E325="男",$Q325-3.25,$Q325-3.22),0),IF($B325="高一",MIN(IF($E325="男",$Q325-3.3,$Q325-3.24),0))))),2)</f>
        <v>0</v>
      </c>
      <c r="T325" s="23">
        <f>IF(E325="男",LOOKUP($S325,[1]对照表!$AB$3:$AB$13,[1]对照表!$AC$3:$AC$13),LOOKUP($S325,[1]对照表!$AB$15:$AB$25,[1]对照表!$AC$15:$AC$25))</f>
        <v>0</v>
      </c>
      <c r="U325" s="26">
        <f>R325+T325</f>
        <v>80</v>
      </c>
      <c r="V325" s="26">
        <f>SUM(I325,K325,M325)/3*0.3+SUM(G325,R325)/2*0.4</f>
        <v>56.9</v>
      </c>
      <c r="W325" s="27">
        <f>O325+T325</f>
        <v>1</v>
      </c>
      <c r="X325" s="28">
        <f>V325/0.7+W325</f>
        <v>82.285714285714292</v>
      </c>
      <c r="Y325" s="28">
        <f>X325</f>
        <v>82.285714285714292</v>
      </c>
      <c r="Z325" s="38"/>
    </row>
    <row r="326" spans="1:26" ht="15.6" x14ac:dyDescent="0.25">
      <c r="A326" s="38">
        <v>33</v>
      </c>
      <c r="B326" s="17" t="s">
        <v>767</v>
      </c>
      <c r="C326" s="48">
        <v>207</v>
      </c>
      <c r="D326" s="49" t="s">
        <v>1044</v>
      </c>
      <c r="E326" s="48" t="s">
        <v>23</v>
      </c>
      <c r="F326" s="50">
        <v>7.1</v>
      </c>
      <c r="G326" s="32">
        <f>IF(B326="高三",IF($E326="男",LOOKUP(F326,[1]对照表!$G$3:$G$24,[1]对照表!$H$3:$H$24),LOOKUP(F326,[1]对照表!$G$27:$G$48,[1]对照表!$H$27:$H$48)),IF(B326="高二",IF($E326="男",LOOKUP(F326,[1]对照表!$F$3:$F$24,[1]对照表!$H$3:$H$24),LOOKUP(F326,[1]对照表!$F$27:$F$48,[1]对照表!$H$27:$H$48)),IF(B326="高一",IF($E326="男",LOOKUP(F326,[1]对照表!$E$3:$E$24,[1]对照表!$H$3:$H$24),LOOKUP(F326,[1]对照表!$E$27:$E$48,[1]对照表!$H$27:$H$48)))))</f>
        <v>95</v>
      </c>
      <c r="H326" s="38">
        <v>24</v>
      </c>
      <c r="I326" s="32">
        <f>IF(B326="高三",IF($E326="男",LOOKUP(H326,[1]对照表!$K$3:$K$24,[1]对照表!$L$3:$L$24),LOOKUP(H326,[1]对照表!$K$27:$K$48,[1]对照表!$L$27:$L$48)),IF(B326="高二",IF($E326="男",LOOKUP(H326,[1]对照表!$J$3:$J$24,[1]对照表!$L$3:$L$24),LOOKUP(H326,[1]对照表!$J$27:$J$48,[1]对照表!$L$27:$L$48)),IF(B326="高一",IF($E326="男",LOOKUP(H326,[1]对照表!$I$3:$I$24,[1]对照表!$L$3:$L$24),LOOKUP(H326,[1]对照表!$I$27:$I$48,[1]对照表!$L$27:$L$48)))))</f>
        <v>95</v>
      </c>
      <c r="J326" s="38">
        <v>243</v>
      </c>
      <c r="K326" s="32">
        <f>IF(B326="高三",IF($E326="男",LOOKUP(J326,[1]对照表!$O$3:$O$24,[1]对照表!$P$3:$P$24),LOOKUP(J326,[1]对照表!$O$27:$O$48,[1]对照表!$P$27:$P$48)),IF(B326="高二",IF($E326="男",LOOKUP(J326,[1]对照表!$N$3:$N$24,[1]对照表!$P$3:$P$24),LOOKUP(J326,[1]对照表!$N$27:$N$48,[1]对照表!$P$27:$P$48)),IF(B326="高一",IF($E326="男",LOOKUP(J326,[1]对照表!$M$3:$M$24,[1]对照表!$P$3:$P$24),LOOKUP(J326,[1]对照表!$M$27:$M$48,[1]对照表!$P$27:$P$48)))))</f>
        <v>80</v>
      </c>
      <c r="L326" s="38">
        <v>18</v>
      </c>
      <c r="M326" s="32">
        <f>IF(B326="高三",IF($E326="男",LOOKUP(L326,[1]对照表!$S$3:$S$24,[1]对照表!$T$3:$T$24),LOOKUP(L326,[1]对照表!$S$27:$S$48,[1]对照表!$T$27:$T$48)),IF(B326="高二",IF($E326="男",LOOKUP(L326,[1]对照表!$R$3:$R$24,[1]对照表!$T$3:$T$24),LOOKUP(L326,[1]对照表!$R$27:$R$48,[1]对照表!$T$27:$T$48)),IF(B326="高一",IF($E326="男",LOOKUP(L326,[1]对照表!$Q$3:$Q$24,[1]对照表!$T$3:$T$24),LOOKUP(L326,[1]对照表!$Q$27:$Q$48,[1]对照表!$T$27:$T$48)))))</f>
        <v>100</v>
      </c>
      <c r="N326" s="33">
        <f>IF(B326="高三",MAX(IF(E326="男",L326-18,L326-55),0),IF(B326="高二",MAX(IF(E326="男",L326-17,L326-54),0),IF(B326="高一",MAX(IF(E326="男",L326-16,L326-53),0))))</f>
        <v>1</v>
      </c>
      <c r="O326" s="23">
        <f>IF(E326="男",LOOKUP($N326,[1]对照表!$Z$3:$Z$13,[1]对照表!$AA$3:$AA$13),LOOKUP($N326,[1]对照表!$Z$15:$Z$25,[1]对照表!$AA$15:$AA$25))</f>
        <v>1</v>
      </c>
      <c r="P326" s="25">
        <f>M326+O326</f>
        <v>101</v>
      </c>
      <c r="Q326" s="50">
        <v>4.09</v>
      </c>
      <c r="R326" s="32">
        <f>IF(B326="高三",IF($E326="男",LOOKUP(Q326,[1]对照表!$W$3:$W$24,[1]对照表!$X$3:$X$24),LOOKUP(Q326,[1]对照表!$W$27:$W$48,[1]对照表!$X$27:$X$48)),IF(B326="高二",IF($E326="男",LOOKUP(Q326,[1]对照表!$V$3:$V$24,[1]对照表!$X$3:$X$24),LOOKUP(Q326,[1]对照表!$V$27:$V$48,[1]对照表!$X$27:$X$48)),IF(B326="高一",IF($E326="男",LOOKUP(Q326,[1]对照表!$U$3:$U$24,[1]对照表!$X$3:$X$24),LOOKUP(Q326,[1]对照表!$U$27:$U$48,[1]对照表!$X$27:$X$48)))))</f>
        <v>72</v>
      </c>
      <c r="S326" s="33">
        <f>ROUND(IF(IF($B326="高三",MIN(IF($E326="男",$Q326-3.2,$Q326-3.2),0),IF($B326="高二",MIN(IF($E326="男",$Q326-3.25,$Q326-3.22),0),IF($B326="高一",MIN(IF($E326="男",$Q326-3.3,$Q326-3.24),0))))&lt;-0.6,IF($B326="高三",MIN(IF($E326="男",$Q326-3.2,$Q326-3.2),0),IF($B326="高二",MIN(IF($E326="男",$Q326-3.25,$Q326-3.22),0),IF($B326="高一",MIN(IF($E326="男",$Q326-3.3,$Q326-3.24),0))))+0.4,IF($B326="高三",MIN(IF($E326="男",$Q326-3.2,$Q326-3.2),0),IF($B326="高二",MIN(IF($E326="男",$Q326-3.25,$Q326-3.22),0),IF($B326="高一",MIN(IF($E326="男",$Q326-3.3,$Q326-3.24),0))))),2)</f>
        <v>0</v>
      </c>
      <c r="T326" s="23">
        <f>IF(E326="男",LOOKUP($S326,[1]对照表!$AB$3:$AB$13,[1]对照表!$AC$3:$AC$13),LOOKUP($S326,[1]对照表!$AB$15:$AB$25,[1]对照表!$AC$15:$AC$25))</f>
        <v>0</v>
      </c>
      <c r="U326" s="26">
        <f>R326+T326</f>
        <v>72</v>
      </c>
      <c r="V326" s="26">
        <f>SUM(I326,K326,M326)/3*0.3+SUM(G326,R326)/2*0.4</f>
        <v>60.9</v>
      </c>
      <c r="W326" s="27">
        <f>O326+T326</f>
        <v>1</v>
      </c>
      <c r="X326" s="28">
        <f>V326/0.7+W326</f>
        <v>88</v>
      </c>
      <c r="Y326" s="28">
        <f>X326</f>
        <v>88</v>
      </c>
      <c r="Z326" s="38"/>
    </row>
    <row r="327" spans="1:26" ht="15.6" x14ac:dyDescent="0.25">
      <c r="A327" s="48">
        <v>15</v>
      </c>
      <c r="B327" s="17" t="s">
        <v>767</v>
      </c>
      <c r="C327" s="48">
        <v>207</v>
      </c>
      <c r="D327" s="49" t="s">
        <v>1090</v>
      </c>
      <c r="E327" s="48" t="s">
        <v>23</v>
      </c>
      <c r="F327" s="50">
        <v>7.1</v>
      </c>
      <c r="G327" s="32">
        <f>IF(B327="高三",IF($E327="男",LOOKUP(F327,[1]对照表!$G$3:$G$24,[1]对照表!$H$3:$H$24),LOOKUP(F327,[1]对照表!$G$27:$G$48,[1]对照表!$H$27:$H$48)),IF(B327="高二",IF($E327="男",LOOKUP(F327,[1]对照表!$F$3:$F$24,[1]对照表!$H$3:$H$24),LOOKUP(F327,[1]对照表!$F$27:$F$48,[1]对照表!$H$27:$H$48)),IF(B327="高一",IF($E327="男",LOOKUP(F327,[1]对照表!$E$3:$E$24,[1]对照表!$H$3:$H$24),LOOKUP(F327,[1]对照表!$E$27:$E$48,[1]对照表!$H$27:$H$48)))))</f>
        <v>95</v>
      </c>
      <c r="H327" s="38">
        <v>17</v>
      </c>
      <c r="I327" s="32">
        <f>IF(B327="高三",IF($E327="男",LOOKUP(H327,[1]对照表!$K$3:$K$24,[1]对照表!$L$3:$L$24),LOOKUP(H327,[1]对照表!$K$27:$K$48,[1]对照表!$L$27:$L$48)),IF(B327="高二",IF($E327="男",LOOKUP(H327,[1]对照表!$J$3:$J$24,[1]对照表!$L$3:$L$24),LOOKUP(H327,[1]对照表!$J$27:$J$48,[1]对照表!$L$27:$L$48)),IF(B327="高一",IF($E327="男",LOOKUP(H327,[1]对照表!$I$3:$I$24,[1]对照表!$L$3:$L$24),LOOKUP(H327,[1]对照表!$I$27:$I$48,[1]对照表!$L$27:$L$48)))))</f>
        <v>80</v>
      </c>
      <c r="J327" s="38">
        <v>256</v>
      </c>
      <c r="K327" s="32">
        <f>IF(B327="高三",IF($E327="男",LOOKUP(J327,[1]对照表!$O$3:$O$24,[1]对照表!$P$3:$P$24),LOOKUP(J327,[1]对照表!$O$27:$O$48,[1]对照表!$P$27:$P$48)),IF(B327="高二",IF($E327="男",LOOKUP(J327,[1]对照表!$N$3:$N$24,[1]对照表!$P$3:$P$24),LOOKUP(J327,[1]对照表!$N$27:$N$48,[1]对照表!$P$27:$P$48)),IF(B327="高一",IF($E327="男",LOOKUP(J327,[1]对照表!$M$3:$M$24,[1]对照表!$P$3:$P$24),LOOKUP(J327,[1]对照表!$M$27:$M$48,[1]对照表!$P$27:$P$48)))))</f>
        <v>90</v>
      </c>
      <c r="L327" s="38">
        <v>7</v>
      </c>
      <c r="M327" s="32">
        <f>IF(B327="高三",IF($E327="男",LOOKUP(L327,[1]对照表!$S$3:$S$24,[1]对照表!$T$3:$T$24),LOOKUP(L327,[1]对照表!$S$27:$S$48,[1]对照表!$T$27:$T$48)),IF(B327="高二",IF($E327="男",LOOKUP(L327,[1]对照表!$R$3:$R$24,[1]对照表!$T$3:$T$24),LOOKUP(L327,[1]对照表!$R$27:$R$48,[1]对照表!$T$27:$T$48)),IF(B327="高一",IF($E327="男",LOOKUP(L327,[1]对照表!$Q$3:$Q$24,[1]对照表!$T$3:$T$24),LOOKUP(L327,[1]对照表!$Q$27:$Q$48,[1]对照表!$T$27:$T$48)))))</f>
        <v>50</v>
      </c>
      <c r="N327" s="33">
        <f>IF(B327="高三",MAX(IF(E327="男",L327-18,L327-55),0),IF(B327="高二",MAX(IF(E327="男",L327-17,L327-54),0),IF(B327="高一",MAX(IF(E327="男",L327-16,L327-53),0))))</f>
        <v>0</v>
      </c>
      <c r="O327" s="23">
        <f>IF(E327="男",LOOKUP($N327,[1]对照表!$Z$3:$Z$13,[1]对照表!$AA$3:$AA$13),LOOKUP($N327,[1]对照表!$Z$15:$Z$25,[1]对照表!$AA$15:$AA$25))</f>
        <v>0</v>
      </c>
      <c r="P327" s="25">
        <f>M327+O327</f>
        <v>50</v>
      </c>
      <c r="Q327" s="50">
        <v>3.29</v>
      </c>
      <c r="R327" s="32">
        <f>IF(B327="高三",IF($E327="男",LOOKUP(Q327,[1]对照表!$W$3:$W$24,[1]对照表!$X$3:$X$24),LOOKUP(Q327,[1]对照表!$W$27:$W$48,[1]对照表!$X$27:$X$48)),IF(B327="高二",IF($E327="男",LOOKUP(Q327,[1]对照表!$V$3:$V$24,[1]对照表!$X$3:$X$24),LOOKUP(Q327,[1]对照表!$V$27:$V$48,[1]对照表!$X$27:$X$48)),IF(B327="高一",IF($E327="男",LOOKUP(Q327,[1]对照表!$U$3:$U$24,[1]对照表!$X$3:$X$24),LOOKUP(Q327,[1]对照表!$U$27:$U$48,[1]对照表!$X$27:$X$48)))))</f>
        <v>95</v>
      </c>
      <c r="S327" s="27">
        <f>ROUND(IF(IF($B327="高三",MIN(IF($E327="男",$Q327-3.2,$Q327-3.2),0),IF($B327="高二",MIN(IF($E327="男",$Q327-3.25,$Q327-3.22),0),IF($B327="高一",MIN(IF($E327="男",$Q327-3.3,$Q327-3.24),0))))&lt;-0.6,IF($B327="高三",MIN(IF($E327="男",$Q327-3.2,$Q327-3.2),0),IF($B327="高二",MIN(IF($E327="男",$Q327-3.25,$Q327-3.22),0),IF($B327="高一",MIN(IF($E327="男",$Q327-3.3,$Q327-3.24),0))))+0.4,IF($B327="高三",MIN(IF($E327="男",$Q327-3.2,$Q327-3.2),0),IF($B327="高二",MIN(IF($E327="男",$Q327-3.25,$Q327-3.22),0),IF($B327="高一",MIN(IF($E327="男",$Q327-3.3,$Q327-3.24),0))))),2)</f>
        <v>0</v>
      </c>
      <c r="T327" s="23">
        <f>IF(E327="男",LOOKUP($S327,[1]对照表!$AB$3:$AB$13,[1]对照表!$AC$3:$AC$13),LOOKUP($S327,[1]对照表!$AB$15:$AB$25,[1]对照表!$AC$15:$AC$25))</f>
        <v>0</v>
      </c>
      <c r="U327" s="26">
        <f>R327+T327</f>
        <v>95</v>
      </c>
      <c r="V327" s="26">
        <f>SUM(I327,K327,M327)/3*0.3+SUM(G327,R327)/2*0.4</f>
        <v>60</v>
      </c>
      <c r="W327" s="27">
        <f>O327+T327</f>
        <v>0</v>
      </c>
      <c r="X327" s="28">
        <f>V327/0.7+W327</f>
        <v>85.714285714285722</v>
      </c>
      <c r="Y327" s="28">
        <f>X327</f>
        <v>85.714285714285722</v>
      </c>
      <c r="Z327" s="38"/>
    </row>
    <row r="328" spans="1:26" ht="15.6" customHeight="1" x14ac:dyDescent="0.25">
      <c r="A328" s="48">
        <v>37</v>
      </c>
      <c r="B328" s="17" t="s">
        <v>767</v>
      </c>
      <c r="C328" s="48">
        <v>207</v>
      </c>
      <c r="D328" s="60" t="s">
        <v>1092</v>
      </c>
      <c r="E328" s="48" t="s">
        <v>65</v>
      </c>
      <c r="F328" s="50">
        <v>8.99</v>
      </c>
      <c r="G328" s="32">
        <f>IF(B328="高三",IF($E328="男",LOOKUP(F328,[1]对照表!$G$3:$G$24,[1]对照表!$H$3:$H$24),LOOKUP(F328,[1]对照表!$G$27:$G$48,[1]对照表!$H$27:$H$48)),IF(B328="高二",IF($E328="男",LOOKUP(F328,[1]对照表!$F$3:$F$24,[1]对照表!$H$3:$H$24),LOOKUP(F328,[1]对照表!$F$27:$F$48,[1]对照表!$H$27:$H$48)),IF(B328="高一",IF($E328="男",LOOKUP(F328,[1]对照表!$E$3:$E$24,[1]对照表!$H$3:$H$24),LOOKUP(F328,[1]对照表!$E$27:$E$48,[1]对照表!$H$27:$H$48)))))</f>
        <v>74</v>
      </c>
      <c r="H328" s="38">
        <v>13.7</v>
      </c>
      <c r="I328" s="32">
        <f>IF(B328="高三",IF($E328="男",LOOKUP(H328,[1]对照表!$K$3:$K$24,[1]对照表!$L$3:$L$24),LOOKUP(H328,[1]对照表!$K$27:$K$48,[1]对照表!$L$27:$L$48)),IF(B328="高二",IF($E328="男",LOOKUP(H328,[1]对照表!$J$3:$J$24,[1]对照表!$L$3:$L$24),LOOKUP(H328,[1]对照表!$J$27:$J$48,[1]对照表!$L$27:$L$48)),IF(B328="高一",IF($E328="男",LOOKUP(H328,[1]对照表!$I$3:$I$24,[1]对照表!$L$3:$L$24),LOOKUP(H328,[1]对照表!$I$27:$I$48,[1]对照表!$L$27:$L$48)))))</f>
        <v>72</v>
      </c>
      <c r="J328" s="38">
        <v>171</v>
      </c>
      <c r="K328" s="32">
        <f>IF(B328="高三",IF($E328="男",LOOKUP(J328,[1]对照表!$O$3:$O$24,[1]对照表!$P$3:$P$24),LOOKUP(J328,[1]对照表!$O$27:$O$48,[1]对照表!$P$27:$P$48)),IF(B328="高二",IF($E328="男",LOOKUP(J328,[1]对照表!$N$3:$N$24,[1]对照表!$P$3:$P$24),LOOKUP(J328,[1]对照表!$N$27:$N$48,[1]对照表!$P$27:$P$48)),IF(B328="高一",IF($E328="男",LOOKUP(J328,[1]对照表!$M$3:$M$24,[1]对照表!$P$3:$P$24),LOOKUP(J328,[1]对照表!$M$27:$M$48,[1]对照表!$P$27:$P$48)))))</f>
        <v>74</v>
      </c>
      <c r="L328" s="38">
        <v>45</v>
      </c>
      <c r="M328" s="32">
        <f>IF(B328="高三",IF($E328="男",LOOKUP(L328,[1]对照表!$S$3:$S$24,[1]对照表!$T$3:$T$24),LOOKUP(L328,[1]对照表!$S$27:$S$48,[1]对照表!$T$27:$T$48)),IF(B328="高二",IF($E328="男",LOOKUP(L328,[1]对照表!$R$3:$R$24,[1]对照表!$T$3:$T$24),LOOKUP(L328,[1]对照表!$R$27:$R$48,[1]对照表!$T$27:$T$48)),IF(B328="高一",IF($E328="男",LOOKUP(L328,[1]对照表!$Q$3:$Q$24,[1]对照表!$T$3:$T$24),LOOKUP(L328,[1]对照表!$Q$27:$Q$48,[1]对照表!$T$27:$T$48)))))</f>
        <v>80</v>
      </c>
      <c r="N328" s="33">
        <f>IF(B328="高三",MAX(IF(E328="男",L328-18,L328-55),0),IF(B328="高二",MAX(IF(E328="男",L328-17,L328-54),0),IF(B328="高一",MAX(IF(E328="男",L328-16,L328-53),0))))</f>
        <v>0</v>
      </c>
      <c r="O328" s="23">
        <f>IF(E328="男",LOOKUP($N328,[1]对照表!$Z$3:$Z$13,[1]对照表!$AA$3:$AA$13),LOOKUP($N328,[1]对照表!$Z$15:$Z$25,[1]对照表!$AA$15:$AA$25))</f>
        <v>0</v>
      </c>
      <c r="P328" s="25">
        <f>M328+O328</f>
        <v>80</v>
      </c>
      <c r="Q328" s="50">
        <v>3.29</v>
      </c>
      <c r="R328" s="32">
        <f>IF(B328="高三",IF($E328="男",LOOKUP(Q328,[1]对照表!$W$3:$W$24,[1]对照表!$X$3:$X$24),LOOKUP(Q328,[1]对照表!$W$27:$W$48,[1]对照表!$X$27:$X$48)),IF(B328="高二",IF($E328="男",LOOKUP(Q328,[1]对照表!$V$3:$V$24,[1]对照表!$X$3:$X$24),LOOKUP(Q328,[1]对照表!$V$27:$V$48,[1]对照表!$X$27:$X$48)),IF(B328="高一",IF($E328="男",LOOKUP(Q328,[1]对照表!$U$3:$U$24,[1]对照表!$X$3:$X$24),LOOKUP(Q328,[1]对照表!$U$27:$U$48,[1]对照表!$X$27:$X$48)))))</f>
        <v>90</v>
      </c>
      <c r="S328" s="33">
        <f>ROUND(IF(IF($B328="高三",MIN(IF($E328="男",$Q328-3.2,$Q328-3.2),0),IF($B328="高二",MIN(IF($E328="男",$Q328-3.25,$Q328-3.22),0),IF($B328="高一",MIN(IF($E328="男",$Q328-3.3,$Q328-3.24),0))))&lt;-0.6,IF($B328="高三",MIN(IF($E328="男",$Q328-3.2,$Q328-3.2),0),IF($B328="高二",MIN(IF($E328="男",$Q328-3.25,$Q328-3.22),0),IF($B328="高一",MIN(IF($E328="男",$Q328-3.3,$Q328-3.24),0))))+0.4,IF($B328="高三",MIN(IF($E328="男",$Q328-3.2,$Q328-3.2),0),IF($B328="高二",MIN(IF($E328="男",$Q328-3.25,$Q328-3.22),0),IF($B328="高一",MIN(IF($E328="男",$Q328-3.3,$Q328-3.24),0))))),2)</f>
        <v>0</v>
      </c>
      <c r="T328" s="23">
        <f>IF(E328="男",LOOKUP($S328,[1]对照表!$AB$3:$AB$13,[1]对照表!$AC$3:$AC$13),LOOKUP($S328,[1]对照表!$AB$15:$AB$25,[1]对照表!$AC$15:$AC$25))</f>
        <v>0</v>
      </c>
      <c r="U328" s="26">
        <f>R328+T328</f>
        <v>90</v>
      </c>
      <c r="V328" s="26">
        <f>SUM(I328,K328,M328)/3*0.3+SUM(G328,R328)/2*0.4</f>
        <v>55.400000000000006</v>
      </c>
      <c r="W328" s="27">
        <f>O328+T328</f>
        <v>0</v>
      </c>
      <c r="X328" s="28">
        <f>V328/0.7+W328</f>
        <v>79.142857142857153</v>
      </c>
      <c r="Y328" s="28">
        <f>X328</f>
        <v>79.142857142857153</v>
      </c>
      <c r="Z328" s="38"/>
    </row>
    <row r="329" spans="1:26" ht="15.6" customHeight="1" x14ac:dyDescent="0.25">
      <c r="A329" s="48">
        <v>8</v>
      </c>
      <c r="B329" s="17" t="s">
        <v>767</v>
      </c>
      <c r="C329" s="48">
        <v>207</v>
      </c>
      <c r="D329" s="49" t="s">
        <v>1174</v>
      </c>
      <c r="E329" s="48" t="s">
        <v>23</v>
      </c>
      <c r="F329" s="50">
        <v>7.2</v>
      </c>
      <c r="G329" s="32">
        <f>IF(B329="高三",IF($E329="男",LOOKUP(F329,[1]对照表!$G$3:$G$24,[1]对照表!$H$3:$H$24),LOOKUP(F329,[1]对照表!$G$27:$G$48,[1]对照表!$H$27:$H$48)),IF(B329="高二",IF($E329="男",LOOKUP(F329,[1]对照表!$F$3:$F$24,[1]对照表!$H$3:$H$24),LOOKUP(F329,[1]对照表!$F$27:$F$48,[1]对照表!$H$27:$H$48)),IF(B329="高一",IF($E329="男",LOOKUP(F329,[1]对照表!$E$3:$E$24,[1]对照表!$H$3:$H$24),LOOKUP(F329,[1]对照表!$E$27:$E$48,[1]对照表!$H$27:$H$48)))))</f>
        <v>90</v>
      </c>
      <c r="H329" s="38">
        <v>14</v>
      </c>
      <c r="I329" s="32">
        <f>IF(B329="高三",IF($E329="男",LOOKUP(H329,[1]对照表!$K$3:$K$24,[1]对照表!$L$3:$L$24),LOOKUP(H329,[1]对照表!$K$27:$K$48,[1]对照表!$L$27:$L$48)),IF(B329="高二",IF($E329="男",LOOKUP(H329,[1]对照表!$J$3:$J$24,[1]对照表!$L$3:$L$24),LOOKUP(H329,[1]对照表!$J$27:$J$48,[1]对照表!$L$27:$L$48)),IF(B329="高一",IF($E329="男",LOOKUP(H329,[1]对照表!$I$3:$I$24,[1]对照表!$L$3:$L$24),LOOKUP(H329,[1]对照表!$I$27:$I$48,[1]对照表!$L$27:$L$48)))))</f>
        <v>76</v>
      </c>
      <c r="J329" s="38">
        <v>222</v>
      </c>
      <c r="K329" s="32">
        <f>IF(B329="高三",IF($E329="男",LOOKUP(J329,[1]对照表!$O$3:$O$24,[1]对照表!$P$3:$P$24),LOOKUP(J329,[1]对照表!$O$27:$O$48,[1]对照表!$P$27:$P$48)),IF(B329="高二",IF($E329="男",LOOKUP(J329,[1]对照表!$N$3:$N$24,[1]对照表!$P$3:$P$24),LOOKUP(J329,[1]对照表!$N$27:$N$48,[1]对照表!$P$27:$P$48)),IF(B329="高一",IF($E329="男",LOOKUP(J329,[1]对照表!$M$3:$M$24,[1]对照表!$P$3:$P$24),LOOKUP(J329,[1]对照表!$M$27:$M$48,[1]对照表!$P$27:$P$48)))))</f>
        <v>70</v>
      </c>
      <c r="L329" s="38">
        <v>17</v>
      </c>
      <c r="M329" s="32">
        <f>IF(B329="高三",IF($E329="男",LOOKUP(L329,[1]对照表!$S$3:$S$24,[1]对照表!$T$3:$T$24),LOOKUP(L329,[1]对照表!$S$27:$S$48,[1]对照表!$T$27:$T$48)),IF(B329="高二",IF($E329="男",LOOKUP(L329,[1]对照表!$R$3:$R$24,[1]对照表!$T$3:$T$24),LOOKUP(L329,[1]对照表!$R$27:$R$48,[1]对照表!$T$27:$T$48)),IF(B329="高一",IF($E329="男",LOOKUP(L329,[1]对照表!$Q$3:$Q$24,[1]对照表!$T$3:$T$24),LOOKUP(L329,[1]对照表!$Q$27:$Q$48,[1]对照表!$T$27:$T$48)))))</f>
        <v>100</v>
      </c>
      <c r="N329" s="33">
        <f>IF(B329="高三",MAX(IF(E329="男",L329-18,L329-55),0),IF(B329="高二",MAX(IF(E329="男",L329-17,L329-54),0),IF(B329="高一",MAX(IF(E329="男",L329-16,L329-53),0))))</f>
        <v>0</v>
      </c>
      <c r="O329" s="23">
        <f>IF(E329="男",LOOKUP($N329,[1]对照表!$Z$3:$Z$13,[1]对照表!$AA$3:$AA$13),LOOKUP($N329,[1]对照表!$Z$15:$Z$25,[1]对照表!$AA$15:$AA$25))</f>
        <v>0</v>
      </c>
      <c r="P329" s="25">
        <f>M329+O329</f>
        <v>100</v>
      </c>
      <c r="Q329" s="50">
        <v>3.56</v>
      </c>
      <c r="R329" s="32">
        <f>IF(B329="高三",IF($E329="男",LOOKUP(Q329,[1]对照表!$W$3:$W$24,[1]对照表!$X$3:$X$24),LOOKUP(Q329,[1]对照表!$W$27:$W$48,[1]对照表!$X$27:$X$48)),IF(B329="高二",IF($E329="男",LOOKUP(Q329,[1]对照表!$V$3:$V$24,[1]对照表!$X$3:$X$24),LOOKUP(Q329,[1]对照表!$V$27:$V$48,[1]对照表!$X$27:$X$48)),IF(B329="高一",IF($E329="男",LOOKUP(Q329,[1]对照表!$U$3:$U$24,[1]对照表!$X$3:$X$24),LOOKUP(Q329,[1]对照表!$U$27:$U$48,[1]对照表!$X$27:$X$48)))))</f>
        <v>76</v>
      </c>
      <c r="S329" s="33">
        <f>ROUND(IF(IF($B329="高三",MIN(IF($E329="男",$Q329-3.2,$Q329-3.2),0),IF($B329="高二",MIN(IF($E329="男",$Q329-3.25,$Q329-3.22),0),IF($B329="高一",MIN(IF($E329="男",$Q329-3.3,$Q329-3.24),0))))&lt;-0.6,IF($B329="高三",MIN(IF($E329="男",$Q329-3.2,$Q329-3.2),0),IF($B329="高二",MIN(IF($E329="男",$Q329-3.25,$Q329-3.22),0),IF($B329="高一",MIN(IF($E329="男",$Q329-3.3,$Q329-3.24),0))))+0.4,IF($B329="高三",MIN(IF($E329="男",$Q329-3.2,$Q329-3.2),0),IF($B329="高二",MIN(IF($E329="男",$Q329-3.25,$Q329-3.22),0),IF($B329="高一",MIN(IF($E329="男",$Q329-3.3,$Q329-3.24),0))))),2)</f>
        <v>0</v>
      </c>
      <c r="T329" s="23">
        <f>IF(E329="男",LOOKUP($S329,[1]对照表!$AB$3:$AB$13,[1]对照表!$AC$3:$AC$13),LOOKUP($S329,[1]对照表!$AB$15:$AB$25,[1]对照表!$AC$15:$AC$25))</f>
        <v>0</v>
      </c>
      <c r="U329" s="26">
        <f>R329+T329</f>
        <v>76</v>
      </c>
      <c r="V329" s="26">
        <f>SUM(I329,K329,M329)/3*0.3+SUM(G329,R329)/2*0.4</f>
        <v>57.8</v>
      </c>
      <c r="W329" s="27">
        <f>O329+T329</f>
        <v>0</v>
      </c>
      <c r="X329" s="28">
        <f>V329/0.7+W329</f>
        <v>82.571428571428569</v>
      </c>
      <c r="Y329" s="28">
        <f>X329</f>
        <v>82.571428571428569</v>
      </c>
      <c r="Z329" s="38"/>
    </row>
    <row r="330" spans="1:26" ht="15.6" x14ac:dyDescent="0.25">
      <c r="A330" s="38">
        <v>12</v>
      </c>
      <c r="B330" s="17" t="s">
        <v>767</v>
      </c>
      <c r="C330" s="48">
        <v>207</v>
      </c>
      <c r="D330" s="49" t="s">
        <v>1224</v>
      </c>
      <c r="E330" s="48" t="s">
        <v>23</v>
      </c>
      <c r="F330" s="50">
        <v>7.4</v>
      </c>
      <c r="G330" s="32">
        <f>IF(B330="高三",IF($E330="男",LOOKUP(F330,[1]对照表!$G$3:$G$24,[1]对照表!$H$3:$H$24),LOOKUP(F330,[1]对照表!$G$27:$G$48,[1]对照表!$H$27:$H$48)),IF(B330="高二",IF($E330="男",LOOKUP(F330,[1]对照表!$F$3:$F$24,[1]对照表!$H$3:$H$24),LOOKUP(F330,[1]对照表!$F$27:$F$48,[1]对照表!$H$27:$H$48)),IF(B330="高一",IF($E330="男",LOOKUP(F330,[1]对照表!$E$3:$E$24,[1]对照表!$H$3:$H$24),LOOKUP(F330,[1]对照表!$E$27:$E$48,[1]对照表!$H$27:$H$48)))))</f>
        <v>80</v>
      </c>
      <c r="H330" s="38">
        <v>22</v>
      </c>
      <c r="I330" s="32">
        <f>IF(B330="高三",IF($E330="男",LOOKUP(H330,[1]对照表!$K$3:$K$24,[1]对照表!$L$3:$L$24),LOOKUP(H330,[1]对照表!$K$27:$K$48,[1]对照表!$L$27:$L$48)),IF(B330="高二",IF($E330="男",LOOKUP(H330,[1]对照表!$J$3:$J$24,[1]对照表!$L$3:$L$24),LOOKUP(H330,[1]对照表!$J$27:$J$48,[1]对照表!$L$27:$L$48)),IF(B330="高一",IF($E330="男",LOOKUP(H330,[1]对照表!$I$3:$I$24,[1]对照表!$L$3:$L$24),LOOKUP(H330,[1]对照表!$I$27:$I$48,[1]对照表!$L$27:$L$48)))))</f>
        <v>90</v>
      </c>
      <c r="J330" s="38">
        <v>257</v>
      </c>
      <c r="K330" s="32">
        <f>IF(B330="高三",IF($E330="男",LOOKUP(J330,[1]对照表!$O$3:$O$24,[1]对照表!$P$3:$P$24),LOOKUP(J330,[1]对照表!$O$27:$O$48,[1]对照表!$P$27:$P$48)),IF(B330="高二",IF($E330="男",LOOKUP(J330,[1]对照表!$N$3:$N$24,[1]对照表!$P$3:$P$24),LOOKUP(J330,[1]对照表!$N$27:$N$48,[1]对照表!$P$27:$P$48)),IF(B330="高一",IF($E330="男",LOOKUP(J330,[1]对照表!$M$3:$M$24,[1]对照表!$P$3:$P$24),LOOKUP(J330,[1]对照表!$M$27:$M$48,[1]对照表!$P$27:$P$48)))))</f>
        <v>90</v>
      </c>
      <c r="L330" s="38">
        <v>8</v>
      </c>
      <c r="M330" s="32">
        <f>IF(B330="高三",IF($E330="男",LOOKUP(L330,[1]对照表!$S$3:$S$24,[1]对照表!$T$3:$T$24),LOOKUP(L330,[1]对照表!$S$27:$S$48,[1]对照表!$T$27:$T$48)),IF(B330="高二",IF($E330="男",LOOKUP(L330,[1]对照表!$R$3:$R$24,[1]对照表!$T$3:$T$24),LOOKUP(L330,[1]对照表!$R$27:$R$48,[1]对照表!$T$27:$T$48)),IF(B330="高一",IF($E330="男",LOOKUP(L330,[1]对照表!$Q$3:$Q$24,[1]对照表!$T$3:$T$24),LOOKUP(L330,[1]对照表!$Q$27:$Q$48,[1]对照表!$T$27:$T$48)))))</f>
        <v>60</v>
      </c>
      <c r="N330" s="33">
        <f>IF(B330="高三",MAX(IF(E330="男",L330-18,L330-55),0),IF(B330="高二",MAX(IF(E330="男",L330-17,L330-54),0),IF(B330="高一",MAX(IF(E330="男",L330-16,L330-53),0))))</f>
        <v>0</v>
      </c>
      <c r="O330" s="23">
        <f>IF(E330="男",LOOKUP($N330,[1]对照表!$Z$3:$Z$13,[1]对照表!$AA$3:$AA$13),LOOKUP($N330,[1]对照表!$Z$15:$Z$25,[1]对照表!$AA$15:$AA$25))</f>
        <v>0</v>
      </c>
      <c r="P330" s="25">
        <f>M330+O330</f>
        <v>60</v>
      </c>
      <c r="Q330" s="50">
        <v>3.47</v>
      </c>
      <c r="R330" s="32">
        <f>IF(B330="高三",IF($E330="男",LOOKUP(Q330,[1]对照表!$W$3:$W$24,[1]对照表!$X$3:$X$24),LOOKUP(Q330,[1]对照表!$W$27:$W$48,[1]对照表!$X$27:$X$48)),IF(B330="高二",IF($E330="男",LOOKUP(Q330,[1]对照表!$V$3:$V$24,[1]对照表!$X$3:$X$24),LOOKUP(Q330,[1]对照表!$V$27:$V$48,[1]对照表!$X$27:$X$48)),IF(B330="高一",IF($E330="男",LOOKUP(Q330,[1]对照表!$U$3:$U$24,[1]对照表!$X$3:$X$24),LOOKUP(Q330,[1]对照表!$U$27:$U$48,[1]对照表!$X$27:$X$48)))))</f>
        <v>80</v>
      </c>
      <c r="S330" s="33">
        <f>ROUND(IF(IF($B330="高三",MIN(IF($E330="男",$Q330-3.2,$Q330-3.2),0),IF($B330="高二",MIN(IF($E330="男",$Q330-3.25,$Q330-3.22),0),IF($B330="高一",MIN(IF($E330="男",$Q330-3.3,$Q330-3.24),0))))&lt;-0.6,IF($B330="高三",MIN(IF($E330="男",$Q330-3.2,$Q330-3.2),0),IF($B330="高二",MIN(IF($E330="男",$Q330-3.25,$Q330-3.22),0),IF($B330="高一",MIN(IF($E330="男",$Q330-3.3,$Q330-3.24),0))))+0.4,IF($B330="高三",MIN(IF($E330="男",$Q330-3.2,$Q330-3.2),0),IF($B330="高二",MIN(IF($E330="男",$Q330-3.25,$Q330-3.22),0),IF($B330="高一",MIN(IF($E330="男",$Q330-3.3,$Q330-3.24),0))))),2)</f>
        <v>0</v>
      </c>
      <c r="T330" s="23">
        <f>IF(E330="男",LOOKUP($S330,[1]对照表!$AB$3:$AB$13,[1]对照表!$AC$3:$AC$13),LOOKUP($S330,[1]对照表!$AB$15:$AB$25,[1]对照表!$AC$15:$AC$25))</f>
        <v>0</v>
      </c>
      <c r="U330" s="26">
        <f>R330+T330</f>
        <v>80</v>
      </c>
      <c r="V330" s="26">
        <f>SUM(I330,K330,M330)/3*0.3+SUM(G330,R330)/2*0.4</f>
        <v>56</v>
      </c>
      <c r="W330" s="27">
        <f>O330+T330</f>
        <v>0</v>
      </c>
      <c r="X330" s="28">
        <f>V330/0.7+W330</f>
        <v>80</v>
      </c>
      <c r="Y330" s="28">
        <f>X330</f>
        <v>80</v>
      </c>
      <c r="Z330" s="38"/>
    </row>
    <row r="331" spans="1:26" ht="15.6" x14ac:dyDescent="0.25">
      <c r="A331" s="48">
        <v>27</v>
      </c>
      <c r="B331" s="17" t="s">
        <v>767</v>
      </c>
      <c r="C331" s="48">
        <v>207</v>
      </c>
      <c r="D331" s="49" t="s">
        <v>1230</v>
      </c>
      <c r="E331" s="48" t="s">
        <v>23</v>
      </c>
      <c r="F331" s="50">
        <v>7.1</v>
      </c>
      <c r="G331" s="32">
        <f>IF(B331="高三",IF($E331="男",LOOKUP(F331,[1]对照表!$G$3:$G$24,[1]对照表!$H$3:$H$24),LOOKUP(F331,[1]对照表!$G$27:$G$48,[1]对照表!$H$27:$H$48)),IF(B331="高二",IF($E331="男",LOOKUP(F331,[1]对照表!$F$3:$F$24,[1]对照表!$H$3:$H$24),LOOKUP(F331,[1]对照表!$F$27:$F$48,[1]对照表!$H$27:$H$48)),IF(B331="高一",IF($E331="男",LOOKUP(F331,[1]对照表!$E$3:$E$24,[1]对照表!$H$3:$H$24),LOOKUP(F331,[1]对照表!$E$27:$E$48,[1]对照表!$H$27:$H$48)))))</f>
        <v>95</v>
      </c>
      <c r="H331" s="38">
        <v>20.6</v>
      </c>
      <c r="I331" s="32">
        <f>IF(B331="高三",IF($E331="男",LOOKUP(H331,[1]对照表!$K$3:$K$24,[1]对照表!$L$3:$L$24),LOOKUP(H331,[1]对照表!$K$27:$K$48,[1]对照表!$L$27:$L$48)),IF(B331="高二",IF($E331="男",LOOKUP(H331,[1]对照表!$J$3:$J$24,[1]对照表!$L$3:$L$24),LOOKUP(H331,[1]对照表!$J$27:$J$48,[1]对照表!$L$27:$L$48)),IF(B331="高一",IF($E331="男",LOOKUP(H331,[1]对照表!$I$3:$I$24,[1]对照表!$L$3:$L$24),LOOKUP(H331,[1]对照表!$I$27:$I$48,[1]对照表!$L$27:$L$48)))))</f>
        <v>90</v>
      </c>
      <c r="J331" s="38">
        <v>250</v>
      </c>
      <c r="K331" s="32">
        <f>IF(B331="高三",IF($E331="男",LOOKUP(J331,[1]对照表!$O$3:$O$24,[1]对照表!$P$3:$P$24),LOOKUP(J331,[1]对照表!$O$27:$O$48,[1]对照表!$P$27:$P$48)),IF(B331="高二",IF($E331="男",LOOKUP(J331,[1]对照表!$N$3:$N$24,[1]对照表!$P$3:$P$24),LOOKUP(J331,[1]对照表!$N$27:$N$48,[1]对照表!$P$27:$P$48)),IF(B331="高一",IF($E331="男",LOOKUP(J331,[1]对照表!$M$3:$M$24,[1]对照表!$P$3:$P$24),LOOKUP(J331,[1]对照表!$M$27:$M$48,[1]对照表!$P$27:$P$48)))))</f>
        <v>85</v>
      </c>
      <c r="L331" s="38">
        <v>0</v>
      </c>
      <c r="M331" s="32">
        <f>IF(B331="高三",IF($E331="男",LOOKUP(L331,[1]对照表!$S$3:$S$24,[1]对照表!$T$3:$T$24),LOOKUP(L331,[1]对照表!$S$27:$S$48,[1]对照表!$T$27:$T$48)),IF(B331="高二",IF($E331="男",LOOKUP(L331,[1]对照表!$R$3:$R$24,[1]对照表!$T$3:$T$24),LOOKUP(L331,[1]对照表!$R$27:$R$48,[1]对照表!$T$27:$T$48)),IF(B331="高一",IF($E331="男",LOOKUP(L331,[1]对照表!$Q$3:$Q$24,[1]对照表!$T$3:$T$24),LOOKUP(L331,[1]对照表!$Q$27:$Q$48,[1]对照表!$T$27:$T$48)))))</f>
        <v>0</v>
      </c>
      <c r="N331" s="33">
        <f>IF(B331="高三",MAX(IF(E331="男",L331-18,L331-55),0),IF(B331="高二",MAX(IF(E331="男",L331-17,L331-54),0),IF(B331="高一",MAX(IF(E331="男",L331-16,L331-53),0))))</f>
        <v>0</v>
      </c>
      <c r="O331" s="23">
        <f>IF(E331="男",LOOKUP($N331,[1]对照表!$Z$3:$Z$13,[1]对照表!$AA$3:$AA$13),LOOKUP($N331,[1]对照表!$Z$15:$Z$25,[1]对照表!$AA$15:$AA$25))</f>
        <v>0</v>
      </c>
      <c r="P331" s="25">
        <f>M331+O331</f>
        <v>0</v>
      </c>
      <c r="Q331" s="50">
        <v>3.29</v>
      </c>
      <c r="R331" s="32">
        <f>IF(B331="高三",IF($E331="男",LOOKUP(Q331,[1]对照表!$W$3:$W$24,[1]对照表!$X$3:$X$24),LOOKUP(Q331,[1]对照表!$W$27:$W$48,[1]对照表!$X$27:$X$48)),IF(B331="高二",IF($E331="男",LOOKUP(Q331,[1]对照表!$V$3:$V$24,[1]对照表!$X$3:$X$24),LOOKUP(Q331,[1]对照表!$V$27:$V$48,[1]对照表!$X$27:$X$48)),IF(B331="高一",IF($E331="男",LOOKUP(Q331,[1]对照表!$U$3:$U$24,[1]对照表!$X$3:$X$24),LOOKUP(Q331,[1]对照表!$U$27:$U$48,[1]对照表!$X$27:$X$48)))))</f>
        <v>95</v>
      </c>
      <c r="S331" s="27">
        <f>ROUND(IF(IF($B331="高三",MIN(IF($E331="男",$Q331-3.2,$Q331-3.2),0),IF($B331="高二",MIN(IF($E331="男",$Q331-3.25,$Q331-3.22),0),IF($B331="高一",MIN(IF($E331="男",$Q331-3.3,$Q331-3.24),0))))&lt;-0.6,IF($B331="高三",MIN(IF($E331="男",$Q331-3.2,$Q331-3.2),0),IF($B331="高二",MIN(IF($E331="男",$Q331-3.25,$Q331-3.22),0),IF($B331="高一",MIN(IF($E331="男",$Q331-3.3,$Q331-3.24),0))))+0.4,IF($B331="高三",MIN(IF($E331="男",$Q331-3.2,$Q331-3.2),0),IF($B331="高二",MIN(IF($E331="男",$Q331-3.25,$Q331-3.22),0),IF($B331="高一",MIN(IF($E331="男",$Q331-3.3,$Q331-3.24),0))))),2)</f>
        <v>0</v>
      </c>
      <c r="T331" s="23">
        <f>IF(E331="男",LOOKUP($S331,[1]对照表!$AB$3:$AB$13,[1]对照表!$AC$3:$AC$13),LOOKUP($S331,[1]对照表!$AB$15:$AB$25,[1]对照表!$AC$15:$AC$25))</f>
        <v>0</v>
      </c>
      <c r="U331" s="26">
        <f>R331+T331</f>
        <v>95</v>
      </c>
      <c r="V331" s="26">
        <f>SUM(I331,K331,M331)/3*0.3+SUM(G331,R331)/2*0.4</f>
        <v>55.5</v>
      </c>
      <c r="W331" s="27">
        <f>O331+T331</f>
        <v>0</v>
      </c>
      <c r="X331" s="28">
        <f>V331/0.7+W331</f>
        <v>79.285714285714292</v>
      </c>
      <c r="Y331" s="28">
        <f>X331</f>
        <v>79.285714285714292</v>
      </c>
      <c r="Z331" s="38"/>
    </row>
    <row r="332" spans="1:26" ht="15.6" customHeight="1" x14ac:dyDescent="0.25">
      <c r="A332" s="48">
        <v>34</v>
      </c>
      <c r="B332" s="17" t="s">
        <v>767</v>
      </c>
      <c r="C332" s="48">
        <v>207</v>
      </c>
      <c r="D332" s="49" t="s">
        <v>1234</v>
      </c>
      <c r="E332" s="48" t="s">
        <v>23</v>
      </c>
      <c r="F332" s="50">
        <v>6.9</v>
      </c>
      <c r="G332" s="32">
        <f>IF(B332="高三",IF($E332="男",LOOKUP(F332,[1]对照表!$G$3:$G$24,[1]对照表!$H$3:$H$24),LOOKUP(F332,[1]对照表!$G$27:$G$48,[1]对照表!$H$27:$H$48)),IF(B332="高二",IF($E332="男",LOOKUP(F332,[1]对照表!$F$3:$F$24,[1]对照表!$H$3:$H$24),LOOKUP(F332,[1]对照表!$F$27:$F$48,[1]对照表!$H$27:$H$48)),IF(B332="高一",IF($E332="男",LOOKUP(F332,[1]对照表!$E$3:$E$24,[1]对照表!$H$3:$H$24),LOOKUP(F332,[1]对照表!$E$27:$E$48,[1]对照表!$H$27:$H$48)))))</f>
        <v>100</v>
      </c>
      <c r="H332" s="38">
        <v>2</v>
      </c>
      <c r="I332" s="32">
        <f>IF(B332="高三",IF($E332="男",LOOKUP(H332,[1]对照表!$K$3:$K$24,[1]对照表!$L$3:$L$24),LOOKUP(H332,[1]对照表!$K$27:$K$48,[1]对照表!$L$27:$L$48)),IF(B332="高二",IF($E332="男",LOOKUP(H332,[1]对照表!$J$3:$J$24,[1]对照表!$L$3:$L$24),LOOKUP(H332,[1]对照表!$J$27:$J$48,[1]对照表!$L$27:$L$48)),IF(B332="高一",IF($E332="男",LOOKUP(H332,[1]对照表!$I$3:$I$24,[1]对照表!$L$3:$L$24),LOOKUP(H332,[1]对照表!$I$27:$I$48,[1]对照表!$L$27:$L$48)))))</f>
        <v>50</v>
      </c>
      <c r="J332" s="38">
        <v>215</v>
      </c>
      <c r="K332" s="32">
        <f>IF(B332="高三",IF($E332="男",LOOKUP(J332,[1]对照表!$O$3:$O$24,[1]对照表!$P$3:$P$24),LOOKUP(J332,[1]对照表!$O$27:$O$48,[1]对照表!$P$27:$P$48)),IF(B332="高二",IF($E332="男",LOOKUP(J332,[1]对照表!$N$3:$N$24,[1]对照表!$P$3:$P$24),LOOKUP(J332,[1]对照表!$N$27:$N$48,[1]对照表!$P$27:$P$48)),IF(B332="高一",IF($E332="男",LOOKUP(J332,[1]对照表!$M$3:$M$24,[1]对照表!$P$3:$P$24),LOOKUP(J332,[1]对照表!$M$27:$M$48,[1]对照表!$P$27:$P$48)))))</f>
        <v>66</v>
      </c>
      <c r="L332" s="38">
        <v>10</v>
      </c>
      <c r="M332" s="32">
        <f>IF(B332="高三",IF($E332="男",LOOKUP(L332,[1]对照表!$S$3:$S$24,[1]对照表!$T$3:$T$24),LOOKUP(L332,[1]对照表!$S$27:$S$48,[1]对照表!$T$27:$T$48)),IF(B332="高二",IF($E332="男",LOOKUP(L332,[1]对照表!$R$3:$R$24,[1]对照表!$T$3:$T$24),LOOKUP(L332,[1]对照表!$R$27:$R$48,[1]对照表!$T$27:$T$48)),IF(B332="高一",IF($E332="男",LOOKUP(L332,[1]对照表!$Q$3:$Q$24,[1]对照表!$T$3:$T$24),LOOKUP(L332,[1]对照表!$Q$27:$Q$48,[1]对照表!$T$27:$T$48)))))</f>
        <v>68</v>
      </c>
      <c r="N332" s="33">
        <f>IF(B332="高三",MAX(IF(E332="男",L332-18,L332-55),0),IF(B332="高二",MAX(IF(E332="男",L332-17,L332-54),0),IF(B332="高一",MAX(IF(E332="男",L332-16,L332-53),0))))</f>
        <v>0</v>
      </c>
      <c r="O332" s="23">
        <f>IF(E332="男",LOOKUP($N332,[1]对照表!$Z$3:$Z$13,[1]对照表!$AA$3:$AA$13),LOOKUP($N332,[1]对照表!$Z$15:$Z$25,[1]对照表!$AA$15:$AA$25))</f>
        <v>0</v>
      </c>
      <c r="P332" s="25">
        <f>M332+O332</f>
        <v>68</v>
      </c>
      <c r="Q332" s="50">
        <v>3.41</v>
      </c>
      <c r="R332" s="32">
        <f>IF(B332="高三",IF($E332="男",LOOKUP(Q332,[1]对照表!$W$3:$W$24,[1]对照表!$X$3:$X$24),LOOKUP(Q332,[1]对照表!$W$27:$W$48,[1]对照表!$X$27:$X$48)),IF(B332="高二",IF($E332="男",LOOKUP(Q332,[1]对照表!$V$3:$V$24,[1]对照表!$X$3:$X$24),LOOKUP(Q332,[1]对照表!$V$27:$V$48,[1]对照表!$X$27:$X$48)),IF(B332="高一",IF($E332="男",LOOKUP(Q332,[1]对照表!$U$3:$U$24,[1]对照表!$X$3:$X$24),LOOKUP(Q332,[1]对照表!$U$27:$U$48,[1]对照表!$X$27:$X$48)))))</f>
        <v>85</v>
      </c>
      <c r="S332" s="33">
        <f>ROUND(IF(IF($B332="高三",MIN(IF($E332="男",$Q332-3.2,$Q332-3.2),0),IF($B332="高二",MIN(IF($E332="男",$Q332-3.25,$Q332-3.22),0),IF($B332="高一",MIN(IF($E332="男",$Q332-3.3,$Q332-3.24),0))))&lt;-0.6,IF($B332="高三",MIN(IF($E332="男",$Q332-3.2,$Q332-3.2),0),IF($B332="高二",MIN(IF($E332="男",$Q332-3.25,$Q332-3.22),0),IF($B332="高一",MIN(IF($E332="男",$Q332-3.3,$Q332-3.24),0))))+0.4,IF($B332="高三",MIN(IF($E332="男",$Q332-3.2,$Q332-3.2),0),IF($B332="高二",MIN(IF($E332="男",$Q332-3.25,$Q332-3.22),0),IF($B332="高一",MIN(IF($E332="男",$Q332-3.3,$Q332-3.24),0))))),2)</f>
        <v>0</v>
      </c>
      <c r="T332" s="23">
        <f>IF(E332="男",LOOKUP($S332,[1]对照表!$AB$3:$AB$13,[1]对照表!$AC$3:$AC$13),LOOKUP($S332,[1]对照表!$AB$15:$AB$25,[1]对照表!$AC$15:$AC$25))</f>
        <v>0</v>
      </c>
      <c r="U332" s="26">
        <f>R332+T332</f>
        <v>85</v>
      </c>
      <c r="V332" s="26">
        <f>SUM(I332,K332,M332)/3*0.3+SUM(G332,R332)/2*0.4</f>
        <v>55.4</v>
      </c>
      <c r="W332" s="27">
        <f>O332+T332</f>
        <v>0</v>
      </c>
      <c r="X332" s="28">
        <f>V332/0.7+W332</f>
        <v>79.142857142857139</v>
      </c>
      <c r="Y332" s="28">
        <f>X332</f>
        <v>79.142857142857139</v>
      </c>
      <c r="Z332" s="38"/>
    </row>
    <row r="333" spans="1:26" ht="15.6" x14ac:dyDescent="0.25">
      <c r="A333" s="48">
        <v>44</v>
      </c>
      <c r="B333" s="17" t="s">
        <v>767</v>
      </c>
      <c r="C333" s="48">
        <v>207</v>
      </c>
      <c r="D333" s="49" t="s">
        <v>1253</v>
      </c>
      <c r="E333" s="48" t="s">
        <v>65</v>
      </c>
      <c r="F333" s="50">
        <v>10.31</v>
      </c>
      <c r="G333" s="32">
        <f>IF(B333="高三",IF($E333="男",LOOKUP(F333,[1]对照表!$G$3:$G$24,[1]对照表!$H$3:$H$24),LOOKUP(F333,[1]对照表!$G$27:$G$48,[1]对照表!$H$27:$H$48)),IF(B333="高二",IF($E333="男",LOOKUP(F333,[1]对照表!$F$3:$F$24,[1]对照表!$H$3:$H$24),LOOKUP(F333,[1]对照表!$F$27:$F$48,[1]对照表!$H$27:$H$48)),IF(B333="高一",IF($E333="男",LOOKUP(F333,[1]对照表!$E$3:$E$24,[1]对照表!$H$3:$H$24),LOOKUP(F333,[1]对照表!$E$27:$E$48,[1]对照表!$H$27:$H$48)))))</f>
        <v>60</v>
      </c>
      <c r="H333" s="38">
        <v>34.5</v>
      </c>
      <c r="I333" s="32">
        <f>IF(B333="高三",IF($E333="男",LOOKUP(H333,[1]对照表!$K$3:$K$24,[1]对照表!$L$3:$L$24),LOOKUP(H333,[1]对照表!$K$27:$K$48,[1]对照表!$L$27:$L$48)),IF(B333="高二",IF($E333="男",LOOKUP(H333,[1]对照表!$J$3:$J$24,[1]对照表!$L$3:$L$24),LOOKUP(H333,[1]对照表!$J$27:$J$48,[1]对照表!$L$27:$L$48)),IF(B333="高一",IF($E333="男",LOOKUP(H333,[1]对照表!$I$3:$I$24,[1]对照表!$L$3:$L$24),LOOKUP(H333,[1]对照表!$I$27:$I$48,[1]对照表!$L$27:$L$48)))))</f>
        <v>100</v>
      </c>
      <c r="J333" s="38">
        <v>157</v>
      </c>
      <c r="K333" s="32">
        <f>IF(B333="高三",IF($E333="男",LOOKUP(J333,[1]对照表!$O$3:$O$24,[1]对照表!$P$3:$P$24),LOOKUP(J333,[1]对照表!$O$27:$O$48,[1]对照表!$P$27:$P$48)),IF(B333="高二",IF($E333="男",LOOKUP(J333,[1]对照表!$N$3:$N$24,[1]对照表!$P$3:$P$24),LOOKUP(J333,[1]对照表!$N$27:$N$48,[1]对照表!$P$27:$P$48)),IF(B333="高一",IF($E333="男",LOOKUP(J333,[1]对照表!$M$3:$M$24,[1]对照表!$P$3:$P$24),LOOKUP(J333,[1]对照表!$M$27:$M$48,[1]对照表!$P$27:$P$48)))))</f>
        <v>64</v>
      </c>
      <c r="L333" s="38">
        <v>40</v>
      </c>
      <c r="M333" s="32">
        <f>IF(B333="高三",IF($E333="男",LOOKUP(L333,[1]对照表!$S$3:$S$24,[1]对照表!$T$3:$T$24),LOOKUP(L333,[1]对照表!$S$27:$S$48,[1]对照表!$T$27:$T$48)),IF(B333="高二",IF($E333="男",LOOKUP(L333,[1]对照表!$R$3:$R$24,[1]对照表!$T$3:$T$24),LOOKUP(L333,[1]对照表!$R$27:$R$48,[1]对照表!$T$27:$T$48)),IF(B333="高一",IF($E333="男",LOOKUP(L333,[1]对照表!$Q$3:$Q$24,[1]对照表!$T$3:$T$24),LOOKUP(L333,[1]对照表!$Q$27:$Q$48,[1]对照表!$T$27:$T$48)))))</f>
        <v>76</v>
      </c>
      <c r="N333" s="33">
        <f>IF(B333="高三",MAX(IF(E333="男",L333-18,L333-55),0),IF(B333="高二",MAX(IF(E333="男",L333-17,L333-54),0),IF(B333="高一",MAX(IF(E333="男",L333-16,L333-53),0))))</f>
        <v>0</v>
      </c>
      <c r="O333" s="23">
        <f>IF(E333="男",LOOKUP($N333,[1]对照表!$Z$3:$Z$13,[1]对照表!$AA$3:$AA$13),LOOKUP($N333,[1]对照表!$Z$15:$Z$25,[1]对照表!$AA$15:$AA$25))</f>
        <v>0</v>
      </c>
      <c r="P333" s="25">
        <f>M333+O333</f>
        <v>76</v>
      </c>
      <c r="Q333" s="50">
        <v>4.18</v>
      </c>
      <c r="R333" s="32">
        <f>IF(B333="高三",IF($E333="男",LOOKUP(Q333,[1]对照表!$W$3:$W$24,[1]对照表!$X$3:$X$24),LOOKUP(Q333,[1]对照表!$W$27:$W$48,[1]对照表!$X$27:$X$48)),IF(B333="高二",IF($E333="男",LOOKUP(Q333,[1]对照表!$V$3:$V$24,[1]对照表!$X$3:$X$24),LOOKUP(Q333,[1]对照表!$V$27:$V$48,[1]对照表!$X$27:$X$48)),IF(B333="高一",IF($E333="男",LOOKUP(Q333,[1]对照表!$U$3:$U$24,[1]对照表!$X$3:$X$24),LOOKUP(Q333,[1]对照表!$U$27:$U$48,[1]对照表!$X$27:$X$48)))))</f>
        <v>68</v>
      </c>
      <c r="S333" s="33">
        <f>ROUND(IF(IF($B333="高三",MIN(IF($E333="男",$Q333-3.2,$Q333-3.2),0),IF($B333="高二",MIN(IF($E333="男",$Q333-3.25,$Q333-3.22),0),IF($B333="高一",MIN(IF($E333="男",$Q333-3.3,$Q333-3.24),0))))&lt;-0.6,IF($B333="高三",MIN(IF($E333="男",$Q333-3.2,$Q333-3.2),0),IF($B333="高二",MIN(IF($E333="男",$Q333-3.25,$Q333-3.22),0),IF($B333="高一",MIN(IF($E333="男",$Q333-3.3,$Q333-3.24),0))))+0.4,IF($B333="高三",MIN(IF($E333="男",$Q333-3.2,$Q333-3.2),0),IF($B333="高二",MIN(IF($E333="男",$Q333-3.25,$Q333-3.22),0),IF($B333="高一",MIN(IF($E333="男",$Q333-3.3,$Q333-3.24),0))))),2)</f>
        <v>0</v>
      </c>
      <c r="T333" s="23">
        <f>IF(E333="男",LOOKUP($S333,[1]对照表!$AB$3:$AB$13,[1]对照表!$AC$3:$AC$13),LOOKUP($S333,[1]对照表!$AB$15:$AB$25,[1]对照表!$AC$15:$AC$25))</f>
        <v>0</v>
      </c>
      <c r="U333" s="26">
        <f>R333+T333</f>
        <v>68</v>
      </c>
      <c r="V333" s="26">
        <f>SUM(I333,K333,M333)/3*0.3+SUM(G333,R333)/2*0.4</f>
        <v>49.6</v>
      </c>
      <c r="W333" s="27">
        <f>O333+T333</f>
        <v>0</v>
      </c>
      <c r="X333" s="28">
        <f>V333/0.7+W333</f>
        <v>70.857142857142861</v>
      </c>
      <c r="Y333" s="28">
        <f>X333</f>
        <v>70.857142857142861</v>
      </c>
      <c r="Z333" s="38"/>
    </row>
    <row r="334" spans="1:26" ht="15.6" x14ac:dyDescent="0.25">
      <c r="A334" s="48">
        <v>2</v>
      </c>
      <c r="B334" s="17" t="s">
        <v>767</v>
      </c>
      <c r="C334" s="48">
        <v>207</v>
      </c>
      <c r="D334" s="49" t="s">
        <v>1264</v>
      </c>
      <c r="E334" s="48" t="s">
        <v>23</v>
      </c>
      <c r="F334" s="50">
        <v>7.2</v>
      </c>
      <c r="G334" s="32">
        <f>IF(B334="高三",IF($E334="男",LOOKUP(F334,[1]对照表!$G$3:$G$24,[1]对照表!$H$3:$H$24),LOOKUP(F334,[1]对照表!$G$27:$G$48,[1]对照表!$H$27:$H$48)),IF(B334="高二",IF($E334="男",LOOKUP(F334,[1]对照表!$F$3:$F$24,[1]对照表!$H$3:$H$24),LOOKUP(F334,[1]对照表!$F$27:$F$48,[1]对照表!$H$27:$H$48)),IF(B334="高一",IF($E334="男",LOOKUP(F334,[1]对照表!$E$3:$E$24,[1]对照表!$H$3:$H$24),LOOKUP(F334,[1]对照表!$E$27:$E$48,[1]对照表!$H$27:$H$48)))))</f>
        <v>90</v>
      </c>
      <c r="H334" s="38">
        <v>14.5</v>
      </c>
      <c r="I334" s="32">
        <f>IF(B334="高三",IF($E334="男",LOOKUP(H334,[1]对照表!$K$3:$K$24,[1]对照表!$L$3:$L$24),LOOKUP(H334,[1]对照表!$K$27:$K$48,[1]对照表!$L$27:$L$48)),IF(B334="高二",IF($E334="男",LOOKUP(H334,[1]对照表!$J$3:$J$24,[1]对照表!$L$3:$L$24),LOOKUP(H334,[1]对照表!$J$27:$J$48,[1]对照表!$L$27:$L$48)),IF(B334="高一",IF($E334="男",LOOKUP(H334,[1]对照表!$I$3:$I$24,[1]对照表!$L$3:$L$24),LOOKUP(H334,[1]对照表!$I$27:$I$48,[1]对照表!$L$27:$L$48)))))</f>
        <v>76</v>
      </c>
      <c r="J334" s="38">
        <v>251</v>
      </c>
      <c r="K334" s="32">
        <f>IF(B334="高三",IF($E334="男",LOOKUP(J334,[1]对照表!$O$3:$O$24,[1]对照表!$P$3:$P$24),LOOKUP(J334,[1]对照表!$O$27:$O$48,[1]对照表!$P$27:$P$48)),IF(B334="高二",IF($E334="男",LOOKUP(J334,[1]对照表!$N$3:$N$24,[1]对照表!$P$3:$P$24),LOOKUP(J334,[1]对照表!$N$27:$N$48,[1]对照表!$P$27:$P$48)),IF(B334="高一",IF($E334="男",LOOKUP(J334,[1]对照表!$M$3:$M$24,[1]对照表!$P$3:$P$24),LOOKUP(J334,[1]对照表!$M$27:$M$48,[1]对照表!$P$27:$P$48)))))</f>
        <v>85</v>
      </c>
      <c r="L334" s="38">
        <v>10</v>
      </c>
      <c r="M334" s="32">
        <f>IF(B334="高三",IF($E334="男",LOOKUP(L334,[1]对照表!$S$3:$S$24,[1]对照表!$T$3:$T$24),LOOKUP(L334,[1]对照表!$S$27:$S$48,[1]对照表!$T$27:$T$48)),IF(B334="高二",IF($E334="男",LOOKUP(L334,[1]对照表!$R$3:$R$24,[1]对照表!$T$3:$T$24),LOOKUP(L334,[1]对照表!$R$27:$R$48,[1]对照表!$T$27:$T$48)),IF(B334="高一",IF($E334="男",LOOKUP(L334,[1]对照表!$Q$3:$Q$24,[1]对照表!$T$3:$T$24),LOOKUP(L334,[1]对照表!$Q$27:$Q$48,[1]对照表!$T$27:$T$48)))))</f>
        <v>68</v>
      </c>
      <c r="N334" s="33">
        <f>IF(B334="高三",MAX(IF(E334="男",L334-18,L334-55),0),IF(B334="高二",MAX(IF(E334="男",L334-17,L334-54),0),IF(B334="高一",MAX(IF(E334="男",L334-16,L334-53),0))))</f>
        <v>0</v>
      </c>
      <c r="O334" s="23">
        <f>IF(E334="男",LOOKUP($N334,[1]对照表!$Z$3:$Z$13,[1]对照表!$AA$3:$AA$13),LOOKUP($N334,[1]对照表!$Z$15:$Z$25,[1]对照表!$AA$15:$AA$25))</f>
        <v>0</v>
      </c>
      <c r="P334" s="25">
        <f>M334+O334</f>
        <v>68</v>
      </c>
      <c r="Q334" s="50">
        <v>4.17</v>
      </c>
      <c r="R334" s="32">
        <f>IF(B334="高三",IF($E334="男",LOOKUP(Q334,[1]对照表!$W$3:$W$24,[1]对照表!$X$3:$X$24),LOOKUP(Q334,[1]对照表!$W$27:$W$48,[1]对照表!$X$27:$X$48)),IF(B334="高二",IF($E334="男",LOOKUP(Q334,[1]对照表!$V$3:$V$24,[1]对照表!$X$3:$X$24),LOOKUP(Q334,[1]对照表!$V$27:$V$48,[1]对照表!$X$27:$X$48)),IF(B334="高一",IF($E334="男",LOOKUP(Q334,[1]对照表!$U$3:$U$24,[1]对照表!$X$3:$X$24),LOOKUP(Q334,[1]对照表!$U$27:$U$48,[1]对照表!$X$27:$X$48)))))</f>
        <v>68</v>
      </c>
      <c r="S334" s="33">
        <f>ROUND(IF(IF($B334="高三",MIN(IF($E334="男",$Q334-3.2,$Q334-3.2),0),IF($B334="高二",MIN(IF($E334="男",$Q334-3.25,$Q334-3.22),0),IF($B334="高一",MIN(IF($E334="男",$Q334-3.3,$Q334-3.24),0))))&lt;-0.6,IF($B334="高三",MIN(IF($E334="男",$Q334-3.2,$Q334-3.2),0),IF($B334="高二",MIN(IF($E334="男",$Q334-3.25,$Q334-3.22),0),IF($B334="高一",MIN(IF($E334="男",$Q334-3.3,$Q334-3.24),0))))+0.4,IF($B334="高三",MIN(IF($E334="男",$Q334-3.2,$Q334-3.2),0),IF($B334="高二",MIN(IF($E334="男",$Q334-3.25,$Q334-3.22),0),IF($B334="高一",MIN(IF($E334="男",$Q334-3.3,$Q334-3.24),0))))),2)</f>
        <v>0</v>
      </c>
      <c r="T334" s="23">
        <f>IF(E334="男",LOOKUP($S334,[1]对照表!$AB$3:$AB$13,[1]对照表!$AC$3:$AC$13),LOOKUP($S334,[1]对照表!$AB$15:$AB$25,[1]对照表!$AC$15:$AC$25))</f>
        <v>0</v>
      </c>
      <c r="U334" s="26">
        <f>R334+T334</f>
        <v>68</v>
      </c>
      <c r="V334" s="26">
        <f>SUM(I334,K334,M334)/3*0.3+SUM(G334,R334)/2*0.4</f>
        <v>54.5</v>
      </c>
      <c r="W334" s="27">
        <f>O334+T334</f>
        <v>0</v>
      </c>
      <c r="X334" s="28">
        <f>V334/0.7+W334</f>
        <v>77.857142857142861</v>
      </c>
      <c r="Y334" s="28">
        <f>X334</f>
        <v>77.857142857142861</v>
      </c>
      <c r="Z334" s="38"/>
    </row>
    <row r="335" spans="1:26" ht="15.6" x14ac:dyDescent="0.25">
      <c r="A335" s="48">
        <v>18</v>
      </c>
      <c r="B335" s="17" t="s">
        <v>767</v>
      </c>
      <c r="C335" s="48">
        <v>207</v>
      </c>
      <c r="D335" s="49" t="s">
        <v>1272</v>
      </c>
      <c r="E335" s="48" t="s">
        <v>23</v>
      </c>
      <c r="F335" s="50">
        <v>6.7</v>
      </c>
      <c r="G335" s="32">
        <f>IF(B335="高三",IF($E335="男",LOOKUP(F335,[1]对照表!$G$3:$G$24,[1]对照表!$H$3:$H$24),LOOKUP(F335,[1]对照表!$G$27:$G$48,[1]对照表!$H$27:$H$48)),IF(B335="高二",IF($E335="男",LOOKUP(F335,[1]对照表!$F$3:$F$24,[1]对照表!$H$3:$H$24),LOOKUP(F335,[1]对照表!$F$27:$F$48,[1]对照表!$H$27:$H$48)),IF(B335="高一",IF($E335="男",LOOKUP(F335,[1]对照表!$E$3:$E$24,[1]对照表!$H$3:$H$24),LOOKUP(F335,[1]对照表!$E$27:$E$48,[1]对照表!$H$27:$H$48)))))</f>
        <v>100</v>
      </c>
      <c r="H335" s="38">
        <v>21.6</v>
      </c>
      <c r="I335" s="32">
        <f>IF(B335="高三",IF($E335="男",LOOKUP(H335,[1]对照表!$K$3:$K$24,[1]对照表!$L$3:$L$24),LOOKUP(H335,[1]对照表!$K$27:$K$48,[1]对照表!$L$27:$L$48)),IF(B335="高二",IF($E335="男",LOOKUP(H335,[1]对照表!$J$3:$J$24,[1]对照表!$L$3:$L$24),LOOKUP(H335,[1]对照表!$J$27:$J$48,[1]对照表!$L$27:$L$48)),IF(B335="高一",IF($E335="男",LOOKUP(H335,[1]对照表!$I$3:$I$24,[1]对照表!$L$3:$L$24),LOOKUP(H335,[1]对照表!$I$27:$I$48,[1]对照表!$L$27:$L$48)))))</f>
        <v>90</v>
      </c>
      <c r="J335" s="38">
        <v>305</v>
      </c>
      <c r="K335" s="32">
        <f>IF(B335="高三",IF($E335="男",LOOKUP(J335,[1]对照表!$O$3:$O$24,[1]对照表!$P$3:$P$24),LOOKUP(J335,[1]对照表!$O$27:$O$48,[1]对照表!$P$27:$P$48)),IF(B335="高二",IF($E335="男",LOOKUP(J335,[1]对照表!$N$3:$N$24,[1]对照表!$P$3:$P$24),LOOKUP(J335,[1]对照表!$N$27:$N$48,[1]对照表!$P$27:$P$48)),IF(B335="高一",IF($E335="男",LOOKUP(J335,[1]对照表!$M$3:$M$24,[1]对照表!$P$3:$P$24),LOOKUP(J335,[1]对照表!$M$27:$M$48,[1]对照表!$P$27:$P$48)))))</f>
        <v>100</v>
      </c>
      <c r="L335" s="38">
        <v>24</v>
      </c>
      <c r="M335" s="32">
        <f>IF(B335="高三",IF($E335="男",LOOKUP(L335,[1]对照表!$S$3:$S$24,[1]对照表!$T$3:$T$24),LOOKUP(L335,[1]对照表!$S$27:$S$48,[1]对照表!$T$27:$T$48)),IF(B335="高二",IF($E335="男",LOOKUP(L335,[1]对照表!$R$3:$R$24,[1]对照表!$T$3:$T$24),LOOKUP(L335,[1]对照表!$R$27:$R$48,[1]对照表!$T$27:$T$48)),IF(B335="高一",IF($E335="男",LOOKUP(L335,[1]对照表!$Q$3:$Q$24,[1]对照表!$T$3:$T$24),LOOKUP(L335,[1]对照表!$Q$27:$Q$48,[1]对照表!$T$27:$T$48)))))</f>
        <v>100</v>
      </c>
      <c r="N335" s="33">
        <f>IF(B335="高三",MAX(IF(E335="男",L335-18,L335-55),0),IF(B335="高二",MAX(IF(E335="男",L335-17,L335-54),0),IF(B335="高一",MAX(IF(E335="男",L335-16,L335-53),0))))</f>
        <v>7</v>
      </c>
      <c r="O335" s="23">
        <f>IF(E335="男",LOOKUP($N335,[1]对照表!$Z$3:$Z$13,[1]对照表!$AA$3:$AA$13),LOOKUP($N335,[1]对照表!$Z$15:$Z$25,[1]对照表!$AA$15:$AA$25))</f>
        <v>7</v>
      </c>
      <c r="P335" s="25">
        <f>M335+O335</f>
        <v>107</v>
      </c>
      <c r="Q335" s="50"/>
      <c r="R335" s="20">
        <v>0</v>
      </c>
      <c r="S335" s="22">
        <v>0</v>
      </c>
      <c r="T335" s="23">
        <f>IF(E335="男",LOOKUP($S335,[1]对照表!$AB$3:$AB$13,[1]对照表!$AC$3:$AC$13),LOOKUP($S335,[1]对照表!$AB$15:$AB$25,[1]对照表!$AC$15:$AC$25))</f>
        <v>0</v>
      </c>
      <c r="U335" s="26">
        <f>R335+T335</f>
        <v>0</v>
      </c>
      <c r="V335" s="26">
        <f>SUM(I335,K335,M335)/3*0.3+SUM(G335,R335)/2*0.4</f>
        <v>49</v>
      </c>
      <c r="W335" s="27">
        <f>O335+T335</f>
        <v>7</v>
      </c>
      <c r="X335" s="28">
        <f>V335/0.7+W335</f>
        <v>77</v>
      </c>
      <c r="Y335" s="28">
        <f>X335</f>
        <v>77</v>
      </c>
      <c r="Z335" s="38"/>
    </row>
    <row r="336" spans="1:26" ht="15.6" x14ac:dyDescent="0.25">
      <c r="A336" s="48">
        <v>16</v>
      </c>
      <c r="B336" s="17" t="s">
        <v>767</v>
      </c>
      <c r="C336" s="48">
        <v>207</v>
      </c>
      <c r="D336" s="49" t="s">
        <v>1298</v>
      </c>
      <c r="E336" s="48" t="s">
        <v>23</v>
      </c>
      <c r="F336" s="50">
        <v>7.6</v>
      </c>
      <c r="G336" s="32">
        <f>IF(B336="高三",IF($E336="男",LOOKUP(F336,[1]对照表!$G$3:$G$24,[1]对照表!$H$3:$H$24),LOOKUP(F336,[1]对照表!$G$27:$G$48,[1]对照表!$H$27:$H$48)),IF(B336="高二",IF($E336="男",LOOKUP(F336,[1]对照表!$F$3:$F$24,[1]对照表!$H$3:$H$24),LOOKUP(F336,[1]对照表!$F$27:$F$48,[1]对照表!$H$27:$H$48)),IF(B336="高一",IF($E336="男",LOOKUP(F336,[1]对照表!$E$3:$E$24,[1]对照表!$H$3:$H$24),LOOKUP(F336,[1]对照表!$E$27:$E$48,[1]对照表!$H$27:$H$48)))))</f>
        <v>78</v>
      </c>
      <c r="H336" s="38">
        <v>10.8</v>
      </c>
      <c r="I336" s="32">
        <f>IF(B336="高三",IF($E336="男",LOOKUP(H336,[1]对照表!$K$3:$K$24,[1]对照表!$L$3:$L$24),LOOKUP(H336,[1]对照表!$K$27:$K$48,[1]对照表!$L$27:$L$48)),IF(B336="高二",IF($E336="男",LOOKUP(H336,[1]对照表!$J$3:$J$24,[1]对照表!$L$3:$L$24),LOOKUP(H336,[1]对照表!$J$27:$J$48,[1]对照表!$L$27:$L$48)),IF(B336="高一",IF($E336="男",LOOKUP(H336,[1]对照表!$I$3:$I$24,[1]对照表!$L$3:$L$24),LOOKUP(H336,[1]对照表!$I$27:$I$48,[1]对照表!$L$27:$L$48)))))</f>
        <v>72</v>
      </c>
      <c r="J336" s="38">
        <v>212</v>
      </c>
      <c r="K336" s="32">
        <f>IF(B336="高三",IF($E336="男",LOOKUP(J336,[1]对照表!$O$3:$O$24,[1]对照表!$P$3:$P$24),LOOKUP(J336,[1]对照表!$O$27:$O$48,[1]对照表!$P$27:$P$48)),IF(B336="高二",IF($E336="男",LOOKUP(J336,[1]对照表!$N$3:$N$24,[1]对照表!$P$3:$P$24),LOOKUP(J336,[1]对照表!$N$27:$N$48,[1]对照表!$P$27:$P$48)),IF(B336="高一",IF($E336="男",LOOKUP(J336,[1]对照表!$M$3:$M$24,[1]对照表!$P$3:$P$24),LOOKUP(J336,[1]对照表!$M$27:$M$48,[1]对照表!$P$27:$P$48)))))</f>
        <v>66</v>
      </c>
      <c r="L336" s="38">
        <v>11</v>
      </c>
      <c r="M336" s="32">
        <f>IF(B336="高三",IF($E336="男",LOOKUP(L336,[1]对照表!$S$3:$S$24,[1]对照表!$T$3:$T$24),LOOKUP(L336,[1]对照表!$S$27:$S$48,[1]对照表!$T$27:$T$48)),IF(B336="高二",IF($E336="男",LOOKUP(L336,[1]对照表!$R$3:$R$24,[1]对照表!$T$3:$T$24),LOOKUP(L336,[1]对照表!$R$27:$R$48,[1]对照表!$T$27:$T$48)),IF(B336="高一",IF($E336="男",LOOKUP(L336,[1]对照表!$Q$3:$Q$24,[1]对照表!$T$3:$T$24),LOOKUP(L336,[1]对照表!$Q$27:$Q$48,[1]对照表!$T$27:$T$48)))))</f>
        <v>72</v>
      </c>
      <c r="N336" s="33">
        <f>IF(B336="高三",MAX(IF(E336="男",L336-18,L336-55),0),IF(B336="高二",MAX(IF(E336="男",L336-17,L336-54),0),IF(B336="高一",MAX(IF(E336="男",L336-16,L336-53),0))))</f>
        <v>0</v>
      </c>
      <c r="O336" s="23">
        <f>IF(E336="男",LOOKUP($N336,[1]对照表!$Z$3:$Z$13,[1]对照表!$AA$3:$AA$13),LOOKUP($N336,[1]对照表!$Z$15:$Z$25,[1]对照表!$AA$15:$AA$25))</f>
        <v>0</v>
      </c>
      <c r="P336" s="25">
        <f>M336+O336</f>
        <v>72</v>
      </c>
      <c r="Q336" s="50">
        <v>3.43</v>
      </c>
      <c r="R336" s="32">
        <f>IF(B336="高三",IF($E336="男",LOOKUP(Q336,[1]对照表!$W$3:$W$24,[1]对照表!$X$3:$X$24),LOOKUP(Q336,[1]对照表!$W$27:$W$48,[1]对照表!$X$27:$X$48)),IF(B336="高二",IF($E336="男",LOOKUP(Q336,[1]对照表!$V$3:$V$24,[1]对照表!$X$3:$X$24),LOOKUP(Q336,[1]对照表!$V$27:$V$48,[1]对照表!$X$27:$X$48)),IF(B336="高一",IF($E336="男",LOOKUP(Q336,[1]对照表!$U$3:$U$24,[1]对照表!$X$3:$X$24),LOOKUP(Q336,[1]对照表!$U$27:$U$48,[1]对照表!$X$27:$X$48)))))</f>
        <v>80</v>
      </c>
      <c r="S336" s="33">
        <f>ROUND(IF(IF($B336="高三",MIN(IF($E336="男",$Q336-3.2,$Q336-3.2),0),IF($B336="高二",MIN(IF($E336="男",$Q336-3.25,$Q336-3.22),0),IF($B336="高一",MIN(IF($E336="男",$Q336-3.3,$Q336-3.24),0))))&lt;-0.6,IF($B336="高三",MIN(IF($E336="男",$Q336-3.2,$Q336-3.2),0),IF($B336="高二",MIN(IF($E336="男",$Q336-3.25,$Q336-3.22),0),IF($B336="高一",MIN(IF($E336="男",$Q336-3.3,$Q336-3.24),0))))+0.4,IF($B336="高三",MIN(IF($E336="男",$Q336-3.2,$Q336-3.2),0),IF($B336="高二",MIN(IF($E336="男",$Q336-3.25,$Q336-3.22),0),IF($B336="高一",MIN(IF($E336="男",$Q336-3.3,$Q336-3.24),0))))),2)</f>
        <v>0</v>
      </c>
      <c r="T336" s="23">
        <f>IF(E336="男",LOOKUP($S336,[1]对照表!$AB$3:$AB$13,[1]对照表!$AC$3:$AC$13),LOOKUP($S336,[1]对照表!$AB$15:$AB$25,[1]对照表!$AC$15:$AC$25))</f>
        <v>0</v>
      </c>
      <c r="U336" s="26">
        <f>R336+T336</f>
        <v>80</v>
      </c>
      <c r="V336" s="26">
        <f>SUM(I336,K336,M336)/3*0.3+SUM(G336,R336)/2*0.4</f>
        <v>52.6</v>
      </c>
      <c r="W336" s="27">
        <f>O336+T336</f>
        <v>0</v>
      </c>
      <c r="X336" s="28">
        <f>V336/0.7+W336</f>
        <v>75.142857142857153</v>
      </c>
      <c r="Y336" s="28">
        <f>X336</f>
        <v>75.142857142857153</v>
      </c>
      <c r="Z336" s="38"/>
    </row>
    <row r="337" spans="1:26" ht="15.6" x14ac:dyDescent="0.25">
      <c r="A337" s="38">
        <v>20</v>
      </c>
      <c r="B337" s="17" t="s">
        <v>767</v>
      </c>
      <c r="C337" s="48">
        <v>207</v>
      </c>
      <c r="D337" s="49" t="s">
        <v>1330</v>
      </c>
      <c r="E337" s="48" t="s">
        <v>23</v>
      </c>
      <c r="F337" s="50">
        <v>7.4</v>
      </c>
      <c r="G337" s="32">
        <f>IF(B337="高三",IF($E337="男",LOOKUP(F337,[1]对照表!$G$3:$G$24,[1]对照表!$H$3:$H$24),LOOKUP(F337,[1]对照表!$G$27:$G$48,[1]对照表!$H$27:$H$48)),IF(B337="高二",IF($E337="男",LOOKUP(F337,[1]对照表!$F$3:$F$24,[1]对照表!$H$3:$H$24),LOOKUP(F337,[1]对照表!$F$27:$F$48,[1]对照表!$H$27:$H$48)),IF(B337="高一",IF($E337="男",LOOKUP(F337,[1]对照表!$E$3:$E$24,[1]对照表!$H$3:$H$24),LOOKUP(F337,[1]对照表!$E$27:$E$48,[1]对照表!$H$27:$H$48)))))</f>
        <v>80</v>
      </c>
      <c r="H337" s="38">
        <v>14.6</v>
      </c>
      <c r="I337" s="32">
        <f>IF(B337="高三",IF($E337="男",LOOKUP(H337,[1]对照表!$K$3:$K$24,[1]对照表!$L$3:$L$24),LOOKUP(H337,[1]对照表!$K$27:$K$48,[1]对照表!$L$27:$L$48)),IF(B337="高二",IF($E337="男",LOOKUP(H337,[1]对照表!$J$3:$J$24,[1]对照表!$L$3:$L$24),LOOKUP(H337,[1]对照表!$J$27:$J$48,[1]对照表!$L$27:$L$48)),IF(B337="高一",IF($E337="男",LOOKUP(H337,[1]对照表!$I$3:$I$24,[1]对照表!$L$3:$L$24),LOOKUP(H337,[1]对照表!$I$27:$I$48,[1]对照表!$L$27:$L$48)))))</f>
        <v>76</v>
      </c>
      <c r="J337" s="38">
        <v>208</v>
      </c>
      <c r="K337" s="32">
        <f>IF(B337="高三",IF($E337="男",LOOKUP(J337,[1]对照表!$O$3:$O$24,[1]对照表!$P$3:$P$24),LOOKUP(J337,[1]对照表!$O$27:$O$48,[1]对照表!$P$27:$P$48)),IF(B337="高二",IF($E337="男",LOOKUP(J337,[1]对照表!$N$3:$N$24,[1]对照表!$P$3:$P$24),LOOKUP(J337,[1]对照表!$N$27:$N$48,[1]对照表!$P$27:$P$48)),IF(B337="高一",IF($E337="男",LOOKUP(J337,[1]对照表!$M$3:$M$24,[1]对照表!$P$3:$P$24),LOOKUP(J337,[1]对照表!$M$27:$M$48,[1]对照表!$P$27:$P$48)))))</f>
        <v>64</v>
      </c>
      <c r="L337" s="38">
        <v>8</v>
      </c>
      <c r="M337" s="32">
        <f>IF(B337="高三",IF($E337="男",LOOKUP(L337,[1]对照表!$S$3:$S$24,[1]对照表!$T$3:$T$24),LOOKUP(L337,[1]对照表!$S$27:$S$48,[1]对照表!$T$27:$T$48)),IF(B337="高二",IF($E337="男",LOOKUP(L337,[1]对照表!$R$3:$R$24,[1]对照表!$T$3:$T$24),LOOKUP(L337,[1]对照表!$R$27:$R$48,[1]对照表!$T$27:$T$48)),IF(B337="高一",IF($E337="男",LOOKUP(L337,[1]对照表!$Q$3:$Q$24,[1]对照表!$T$3:$T$24),LOOKUP(L337,[1]对照表!$Q$27:$Q$48,[1]对照表!$T$27:$T$48)))))</f>
        <v>60</v>
      </c>
      <c r="N337" s="33">
        <f>IF(B337="高三",MAX(IF(E337="男",L337-18,L337-55),0),IF(B337="高二",MAX(IF(E337="男",L337-17,L337-54),0),IF(B337="高一",MAX(IF(E337="男",L337-16,L337-53),0))))</f>
        <v>0</v>
      </c>
      <c r="O337" s="23">
        <f>IF(E337="男",LOOKUP($N337,[1]对照表!$Z$3:$Z$13,[1]对照表!$AA$3:$AA$13),LOOKUP($N337,[1]对照表!$Z$15:$Z$25,[1]对照表!$AA$15:$AA$25))</f>
        <v>0</v>
      </c>
      <c r="P337" s="25">
        <f>M337+O337</f>
        <v>60</v>
      </c>
      <c r="Q337" s="50">
        <v>3.54</v>
      </c>
      <c r="R337" s="32">
        <f>IF(B337="高三",IF($E337="男",LOOKUP(Q337,[1]对照表!$W$3:$W$24,[1]对照表!$X$3:$X$24),LOOKUP(Q337,[1]对照表!$W$27:$W$48,[1]对照表!$X$27:$X$48)),IF(B337="高二",IF($E337="男",LOOKUP(Q337,[1]对照表!$V$3:$V$24,[1]对照表!$X$3:$X$24),LOOKUP(Q337,[1]对照表!$V$27:$V$48,[1]对照表!$X$27:$X$48)),IF(B337="高一",IF($E337="男",LOOKUP(Q337,[1]对照表!$U$3:$U$24,[1]对照表!$X$3:$X$24),LOOKUP(Q337,[1]对照表!$U$27:$U$48,[1]对照表!$X$27:$X$48)))))</f>
        <v>78</v>
      </c>
      <c r="S337" s="33">
        <f>ROUND(IF(IF($B337="高三",MIN(IF($E337="男",$Q337-3.2,$Q337-3.2),0),IF($B337="高二",MIN(IF($E337="男",$Q337-3.25,$Q337-3.22),0),IF($B337="高一",MIN(IF($E337="男",$Q337-3.3,$Q337-3.24),0))))&lt;-0.6,IF($B337="高三",MIN(IF($E337="男",$Q337-3.2,$Q337-3.2),0),IF($B337="高二",MIN(IF($E337="男",$Q337-3.25,$Q337-3.22),0),IF($B337="高一",MIN(IF($E337="男",$Q337-3.3,$Q337-3.24),0))))+0.4,IF($B337="高三",MIN(IF($E337="男",$Q337-3.2,$Q337-3.2),0),IF($B337="高二",MIN(IF($E337="男",$Q337-3.25,$Q337-3.22),0),IF($B337="高一",MIN(IF($E337="男",$Q337-3.3,$Q337-3.24),0))))),2)</f>
        <v>0</v>
      </c>
      <c r="T337" s="23">
        <f>IF(E337="男",LOOKUP($S337,[1]对照表!$AB$3:$AB$13,[1]对照表!$AC$3:$AC$13),LOOKUP($S337,[1]对照表!$AB$15:$AB$25,[1]对照表!$AC$15:$AC$25))</f>
        <v>0</v>
      </c>
      <c r="U337" s="26">
        <f>R337+T337</f>
        <v>78</v>
      </c>
      <c r="V337" s="26">
        <f>SUM(I337,K337,M337)/3*0.3+SUM(G337,R337)/2*0.4</f>
        <v>51.6</v>
      </c>
      <c r="W337" s="27">
        <f>O337+T337</f>
        <v>0</v>
      </c>
      <c r="X337" s="28">
        <f>V337/0.7+W337</f>
        <v>73.714285714285722</v>
      </c>
      <c r="Y337" s="28">
        <f>X337</f>
        <v>73.714285714285722</v>
      </c>
      <c r="Z337" s="38"/>
    </row>
    <row r="338" spans="1:26" ht="15.6" x14ac:dyDescent="0.25">
      <c r="A338" s="48">
        <v>22</v>
      </c>
      <c r="B338" s="17" t="s">
        <v>767</v>
      </c>
      <c r="C338" s="48">
        <v>207</v>
      </c>
      <c r="D338" s="49" t="s">
        <v>1331</v>
      </c>
      <c r="E338" s="48" t="s">
        <v>23</v>
      </c>
      <c r="F338" s="50">
        <v>8</v>
      </c>
      <c r="G338" s="32">
        <f>IF(B338="高三",IF($E338="男",LOOKUP(F338,[1]对照表!$G$3:$G$24,[1]对照表!$H$3:$H$24),LOOKUP(F338,[1]对照表!$G$27:$G$48,[1]对照表!$H$27:$H$48)),IF(B338="高二",IF($E338="男",LOOKUP(F338,[1]对照表!$F$3:$F$24,[1]对照表!$H$3:$H$24),LOOKUP(F338,[1]对照表!$F$27:$F$48,[1]对照表!$H$27:$H$48)),IF(B338="高一",IF($E338="男",LOOKUP(F338,[1]对照表!$E$3:$E$24,[1]对照表!$H$3:$H$24),LOOKUP(F338,[1]对照表!$E$27:$E$48,[1]对照表!$H$27:$H$48)))))</f>
        <v>74</v>
      </c>
      <c r="H338" s="38">
        <v>13</v>
      </c>
      <c r="I338" s="32">
        <f>IF(B338="高三",IF($E338="男",LOOKUP(H338,[1]对照表!$K$3:$K$24,[1]对照表!$L$3:$L$24),LOOKUP(H338,[1]对照表!$K$27:$K$48,[1]对照表!$L$27:$L$48)),IF(B338="高二",IF($E338="男",LOOKUP(H338,[1]对照表!$J$3:$J$24,[1]对照表!$L$3:$L$24),LOOKUP(H338,[1]对照表!$J$27:$J$48,[1]对照表!$L$27:$L$48)),IF(B338="高一",IF($E338="男",LOOKUP(H338,[1]对照表!$I$3:$I$24,[1]对照表!$L$3:$L$24),LOOKUP(H338,[1]对照表!$I$27:$I$48,[1]对照表!$L$27:$L$48)))))</f>
        <v>74</v>
      </c>
      <c r="J338" s="38">
        <v>230</v>
      </c>
      <c r="K338" s="32">
        <f>IF(B338="高三",IF($E338="男",LOOKUP(J338,[1]对照表!$O$3:$O$24,[1]对照表!$P$3:$P$24),LOOKUP(J338,[1]对照表!$O$27:$O$48,[1]对照表!$P$27:$P$48)),IF(B338="高二",IF($E338="男",LOOKUP(J338,[1]对照表!$N$3:$N$24,[1]对照表!$P$3:$P$24),LOOKUP(J338,[1]对照表!$N$27:$N$48,[1]对照表!$P$27:$P$48)),IF(B338="高一",IF($E338="男",LOOKUP(J338,[1]对照表!$M$3:$M$24,[1]对照表!$P$3:$P$24),LOOKUP(J338,[1]对照表!$M$27:$M$48,[1]对照表!$P$27:$P$48)))))</f>
        <v>74</v>
      </c>
      <c r="L338" s="38">
        <v>11</v>
      </c>
      <c r="M338" s="32">
        <f>IF(B338="高三",IF($E338="男",LOOKUP(L338,[1]对照表!$S$3:$S$24,[1]对照表!$T$3:$T$24),LOOKUP(L338,[1]对照表!$S$27:$S$48,[1]对照表!$T$27:$T$48)),IF(B338="高二",IF($E338="男",LOOKUP(L338,[1]对照表!$R$3:$R$24,[1]对照表!$T$3:$T$24),LOOKUP(L338,[1]对照表!$R$27:$R$48,[1]对照表!$T$27:$T$48)),IF(B338="高一",IF($E338="男",LOOKUP(L338,[1]对照表!$Q$3:$Q$24,[1]对照表!$T$3:$T$24),LOOKUP(L338,[1]对照表!$Q$27:$Q$48,[1]对照表!$T$27:$T$48)))))</f>
        <v>72</v>
      </c>
      <c r="N338" s="33">
        <f>IF(B338="高三",MAX(IF(E338="男",L338-18,L338-55),0),IF(B338="高二",MAX(IF(E338="男",L338-17,L338-54),0),IF(B338="高一",MAX(IF(E338="男",L338-16,L338-53),0))))</f>
        <v>0</v>
      </c>
      <c r="O338" s="23">
        <f>IF(E338="男",LOOKUP($N338,[1]对照表!$Z$3:$Z$13,[1]对照表!$AA$3:$AA$13),LOOKUP($N338,[1]对照表!$Z$15:$Z$25,[1]对照表!$AA$15:$AA$25))</f>
        <v>0</v>
      </c>
      <c r="P338" s="25">
        <f>M338+O338</f>
        <v>72</v>
      </c>
      <c r="Q338" s="50">
        <v>4.01</v>
      </c>
      <c r="R338" s="32">
        <f>IF(B338="高三",IF($E338="男",LOOKUP(Q338,[1]对照表!$W$3:$W$24,[1]对照表!$X$3:$X$24),LOOKUP(Q338,[1]对照表!$W$27:$W$48,[1]对照表!$X$27:$X$48)),IF(B338="高二",IF($E338="男",LOOKUP(Q338,[1]对照表!$V$3:$V$24,[1]对照表!$X$3:$X$24),LOOKUP(Q338,[1]对照表!$V$27:$V$48,[1]对照表!$X$27:$X$48)),IF(B338="高一",IF($E338="男",LOOKUP(Q338,[1]对照表!$U$3:$U$24,[1]对照表!$X$3:$X$24),LOOKUP(Q338,[1]对照表!$U$27:$U$48,[1]对照表!$X$27:$X$48)))))</f>
        <v>74</v>
      </c>
      <c r="S338" s="33">
        <f>ROUND(IF(IF($B338="高三",MIN(IF($E338="男",$Q338-3.2,$Q338-3.2),0),IF($B338="高二",MIN(IF($E338="男",$Q338-3.25,$Q338-3.22),0),IF($B338="高一",MIN(IF($E338="男",$Q338-3.3,$Q338-3.24),0))))&lt;-0.6,IF($B338="高三",MIN(IF($E338="男",$Q338-3.2,$Q338-3.2),0),IF($B338="高二",MIN(IF($E338="男",$Q338-3.25,$Q338-3.22),0),IF($B338="高一",MIN(IF($E338="男",$Q338-3.3,$Q338-3.24),0))))+0.4,IF($B338="高三",MIN(IF($E338="男",$Q338-3.2,$Q338-3.2),0),IF($B338="高二",MIN(IF($E338="男",$Q338-3.25,$Q338-3.22),0),IF($B338="高一",MIN(IF($E338="男",$Q338-3.3,$Q338-3.24),0))))),2)</f>
        <v>0</v>
      </c>
      <c r="T338" s="23">
        <f>IF(E338="男",LOOKUP($S338,[1]对照表!$AB$3:$AB$13,[1]对照表!$AC$3:$AC$13),LOOKUP($S338,[1]对照表!$AB$15:$AB$25,[1]对照表!$AC$15:$AC$25))</f>
        <v>0</v>
      </c>
      <c r="U338" s="26">
        <f>R338+T338</f>
        <v>74</v>
      </c>
      <c r="V338" s="26">
        <f>SUM(I338,K338,M338)/3*0.3+SUM(G338,R338)/2*0.4</f>
        <v>51.599999999999994</v>
      </c>
      <c r="W338" s="27">
        <f>O338+T338</f>
        <v>0</v>
      </c>
      <c r="X338" s="28">
        <f>V338/0.7+W338</f>
        <v>73.714285714285708</v>
      </c>
      <c r="Y338" s="28">
        <f>X338</f>
        <v>73.714285714285708</v>
      </c>
      <c r="Z338" s="38"/>
    </row>
    <row r="339" spans="1:26" ht="15.6" x14ac:dyDescent="0.25">
      <c r="A339" s="48">
        <v>24</v>
      </c>
      <c r="B339" s="17" t="s">
        <v>767</v>
      </c>
      <c r="C339" s="48">
        <v>207</v>
      </c>
      <c r="D339" s="49" t="s">
        <v>1337</v>
      </c>
      <c r="E339" s="48" t="s">
        <v>23</v>
      </c>
      <c r="F339" s="50">
        <v>7.7</v>
      </c>
      <c r="G339" s="32">
        <f>IF(B339="高三",IF($E339="男",LOOKUP(F339,[1]对照表!$G$3:$G$24,[1]对照表!$H$3:$H$24),LOOKUP(F339,[1]对照表!$G$27:$G$48,[1]对照表!$H$27:$H$48)),IF(B339="高二",IF($E339="男",LOOKUP(F339,[1]对照表!$F$3:$F$24,[1]对照表!$H$3:$H$24),LOOKUP(F339,[1]对照表!$F$27:$F$48,[1]对照表!$H$27:$H$48)),IF(B339="高一",IF($E339="男",LOOKUP(F339,[1]对照表!$E$3:$E$24,[1]对照表!$H$3:$H$24),LOOKUP(F339,[1]对照表!$E$27:$E$48,[1]对照表!$H$27:$H$48)))))</f>
        <v>76</v>
      </c>
      <c r="H339" s="38">
        <v>10.5</v>
      </c>
      <c r="I339" s="32">
        <f>IF(B339="高三",IF($E339="男",LOOKUP(H339,[1]对照表!$K$3:$K$24,[1]对照表!$L$3:$L$24),LOOKUP(H339,[1]对照表!$K$27:$K$48,[1]对照表!$L$27:$L$48)),IF(B339="高二",IF($E339="男",LOOKUP(H339,[1]对照表!$J$3:$J$24,[1]对照表!$L$3:$L$24),LOOKUP(H339,[1]对照表!$J$27:$J$48,[1]对照表!$L$27:$L$48)),IF(B339="高一",IF($E339="男",LOOKUP(H339,[1]对照表!$I$3:$I$24,[1]对照表!$L$3:$L$24),LOOKUP(H339,[1]对照表!$I$27:$I$48,[1]对照表!$L$27:$L$48)))))</f>
        <v>72</v>
      </c>
      <c r="J339" s="38">
        <v>250</v>
      </c>
      <c r="K339" s="32">
        <f>IF(B339="高三",IF($E339="男",LOOKUP(J339,[1]对照表!$O$3:$O$24,[1]对照表!$P$3:$P$24),LOOKUP(J339,[1]对照表!$O$27:$O$48,[1]对照表!$P$27:$P$48)),IF(B339="高二",IF($E339="男",LOOKUP(J339,[1]对照表!$N$3:$N$24,[1]对照表!$P$3:$P$24),LOOKUP(J339,[1]对照表!$N$27:$N$48,[1]对照表!$P$27:$P$48)),IF(B339="高一",IF($E339="男",LOOKUP(J339,[1]对照表!$M$3:$M$24,[1]对照表!$P$3:$P$24),LOOKUP(J339,[1]对照表!$M$27:$M$48,[1]对照表!$P$27:$P$48)))))</f>
        <v>85</v>
      </c>
      <c r="L339" s="38">
        <v>10</v>
      </c>
      <c r="M339" s="32">
        <f>IF(B339="高三",IF($E339="男",LOOKUP(L339,[1]对照表!$S$3:$S$24,[1]对照表!$T$3:$T$24),LOOKUP(L339,[1]对照表!$S$27:$S$48,[1]对照表!$T$27:$T$48)),IF(B339="高二",IF($E339="男",LOOKUP(L339,[1]对照表!$R$3:$R$24,[1]对照表!$T$3:$T$24),LOOKUP(L339,[1]对照表!$R$27:$R$48,[1]对照表!$T$27:$T$48)),IF(B339="高一",IF($E339="男",LOOKUP(L339,[1]对照表!$Q$3:$Q$24,[1]对照表!$T$3:$T$24),LOOKUP(L339,[1]对照表!$Q$27:$Q$48,[1]对照表!$T$27:$T$48)))))</f>
        <v>68</v>
      </c>
      <c r="N339" s="33">
        <f>IF(B339="高三",MAX(IF(E339="男",L339-18,L339-55),0),IF(B339="高二",MAX(IF(E339="男",L339-17,L339-54),0),IF(B339="高一",MAX(IF(E339="男",L339-16,L339-53),0))))</f>
        <v>0</v>
      </c>
      <c r="O339" s="23">
        <f>IF(E339="男",LOOKUP($N339,[1]对照表!$Z$3:$Z$13,[1]对照表!$AA$3:$AA$13),LOOKUP($N339,[1]对照表!$Z$15:$Z$25,[1]对照表!$AA$15:$AA$25))</f>
        <v>0</v>
      </c>
      <c r="P339" s="25">
        <f>M339+O339</f>
        <v>68</v>
      </c>
      <c r="Q339" s="50">
        <v>4.2</v>
      </c>
      <c r="R339" s="32">
        <f>IF(B339="高三",IF($E339="男",LOOKUP(Q339,[1]对照表!$W$3:$W$24,[1]对照表!$X$3:$X$24),LOOKUP(Q339,[1]对照表!$W$27:$W$48,[1]对照表!$X$27:$X$48)),IF(B339="高二",IF($E339="男",LOOKUP(Q339,[1]对照表!$V$3:$V$24,[1]对照表!$X$3:$X$24),LOOKUP(Q339,[1]对照表!$V$27:$V$48,[1]对照表!$X$27:$X$48)),IF(B339="高一",IF($E339="男",LOOKUP(Q339,[1]对照表!$U$3:$U$24,[1]对照表!$X$3:$X$24),LOOKUP(Q339,[1]对照表!$U$27:$U$48,[1]对照表!$X$27:$X$48)))))</f>
        <v>68</v>
      </c>
      <c r="S339" s="33">
        <f>ROUND(IF(IF($B339="高三",MIN(IF($E339="男",$Q339-3.2,$Q339-3.2),0),IF($B339="高二",MIN(IF($E339="男",$Q339-3.25,$Q339-3.22),0),IF($B339="高一",MIN(IF($E339="男",$Q339-3.3,$Q339-3.24),0))))&lt;-0.6,IF($B339="高三",MIN(IF($E339="男",$Q339-3.2,$Q339-3.2),0),IF($B339="高二",MIN(IF($E339="男",$Q339-3.25,$Q339-3.22),0),IF($B339="高一",MIN(IF($E339="男",$Q339-3.3,$Q339-3.24),0))))+0.4,IF($B339="高三",MIN(IF($E339="男",$Q339-3.2,$Q339-3.2),0),IF($B339="高二",MIN(IF($E339="男",$Q339-3.25,$Q339-3.22),0),IF($B339="高一",MIN(IF($E339="男",$Q339-3.3,$Q339-3.24),0))))),2)</f>
        <v>0</v>
      </c>
      <c r="T339" s="23">
        <f>IF(E339="男",LOOKUP($S339,[1]对照表!$AB$3:$AB$13,[1]对照表!$AC$3:$AC$13),LOOKUP($S339,[1]对照表!$AB$15:$AB$25,[1]对照表!$AC$15:$AC$25))</f>
        <v>0</v>
      </c>
      <c r="U339" s="26">
        <f>R339+T339</f>
        <v>68</v>
      </c>
      <c r="V339" s="26">
        <f>SUM(I339,K339,M339)/3*0.3+SUM(G339,R339)/2*0.4</f>
        <v>51.3</v>
      </c>
      <c r="W339" s="27">
        <f>O339+T339</f>
        <v>0</v>
      </c>
      <c r="X339" s="28">
        <f>V339/0.7+W339</f>
        <v>73.285714285714292</v>
      </c>
      <c r="Y339" s="28">
        <f>X339</f>
        <v>73.285714285714292</v>
      </c>
      <c r="Z339" s="38"/>
    </row>
    <row r="340" spans="1:26" ht="15.6" x14ac:dyDescent="0.25">
      <c r="A340" s="38">
        <v>11</v>
      </c>
      <c r="B340" s="17" t="s">
        <v>767</v>
      </c>
      <c r="C340" s="48">
        <v>207</v>
      </c>
      <c r="D340" s="49" t="s">
        <v>1342</v>
      </c>
      <c r="E340" s="48" t="s">
        <v>23</v>
      </c>
      <c r="F340" s="50">
        <v>8</v>
      </c>
      <c r="G340" s="32">
        <f>IF(B340="高三",IF($E340="男",LOOKUP(F340,[1]对照表!$G$3:$G$24,[1]对照表!$H$3:$H$24),LOOKUP(F340,[1]对照表!$G$27:$G$48,[1]对照表!$H$27:$H$48)),IF(B340="高二",IF($E340="男",LOOKUP(F340,[1]对照表!$F$3:$F$24,[1]对照表!$H$3:$H$24),LOOKUP(F340,[1]对照表!$F$27:$F$48,[1]对照表!$H$27:$H$48)),IF(B340="高一",IF($E340="男",LOOKUP(F340,[1]对照表!$E$3:$E$24,[1]对照表!$H$3:$H$24),LOOKUP(F340,[1]对照表!$E$27:$E$48,[1]对照表!$H$27:$H$48)))))</f>
        <v>74</v>
      </c>
      <c r="H340" s="38">
        <v>4</v>
      </c>
      <c r="I340" s="32">
        <f>IF(B340="高三",IF($E340="男",LOOKUP(H340,[1]对照表!$K$3:$K$24,[1]对照表!$L$3:$L$24),LOOKUP(H340,[1]对照表!$K$27:$K$48,[1]对照表!$L$27:$L$48)),IF(B340="高二",IF($E340="男",LOOKUP(H340,[1]对照表!$J$3:$J$24,[1]对照表!$L$3:$L$24),LOOKUP(H340,[1]对照表!$J$27:$J$48,[1]对照表!$L$27:$L$48)),IF(B340="高一",IF($E340="男",LOOKUP(H340,[1]对照表!$I$3:$I$24,[1]对照表!$L$3:$L$24),LOOKUP(H340,[1]对照表!$I$27:$I$48,[1]对照表!$L$27:$L$48)))))</f>
        <v>62</v>
      </c>
      <c r="J340" s="38">
        <v>220</v>
      </c>
      <c r="K340" s="32">
        <f>IF(B340="高三",IF($E340="男",LOOKUP(J340,[1]对照表!$O$3:$O$24,[1]对照表!$P$3:$P$24),LOOKUP(J340,[1]对照表!$O$27:$O$48,[1]对照表!$P$27:$P$48)),IF(B340="高二",IF($E340="男",LOOKUP(J340,[1]对照表!$N$3:$N$24,[1]对照表!$P$3:$P$24),LOOKUP(J340,[1]对照表!$N$27:$N$48,[1]对照表!$P$27:$P$48)),IF(B340="高一",IF($E340="男",LOOKUP(J340,[1]对照表!$M$3:$M$24,[1]对照表!$P$3:$P$24),LOOKUP(J340,[1]对照表!$M$27:$M$48,[1]对照表!$P$27:$P$48)))))</f>
        <v>70</v>
      </c>
      <c r="L340" s="38">
        <v>11</v>
      </c>
      <c r="M340" s="32">
        <f>IF(B340="高三",IF($E340="男",LOOKUP(L340,[1]对照表!$S$3:$S$24,[1]对照表!$T$3:$T$24),LOOKUP(L340,[1]对照表!$S$27:$S$48,[1]对照表!$T$27:$T$48)),IF(B340="高二",IF($E340="男",LOOKUP(L340,[1]对照表!$R$3:$R$24,[1]对照表!$T$3:$T$24),LOOKUP(L340,[1]对照表!$R$27:$R$48,[1]对照表!$T$27:$T$48)),IF(B340="高一",IF($E340="男",LOOKUP(L340,[1]对照表!$Q$3:$Q$24,[1]对照表!$T$3:$T$24),LOOKUP(L340,[1]对照表!$Q$27:$Q$48,[1]对照表!$T$27:$T$48)))))</f>
        <v>72</v>
      </c>
      <c r="N340" s="33">
        <f>IF(B340="高三",MAX(IF(E340="男",L340-18,L340-55),0),IF(B340="高二",MAX(IF(E340="男",L340-17,L340-54),0),IF(B340="高一",MAX(IF(E340="男",L340-16,L340-53),0))))</f>
        <v>0</v>
      </c>
      <c r="O340" s="23">
        <f>IF(E340="男",LOOKUP($N340,[1]对照表!$Z$3:$Z$13,[1]对照表!$AA$3:$AA$13),LOOKUP($N340,[1]对照表!$Z$15:$Z$25,[1]对照表!$AA$15:$AA$25))</f>
        <v>0</v>
      </c>
      <c r="P340" s="25">
        <f>M340+O340</f>
        <v>72</v>
      </c>
      <c r="Q340" s="50">
        <v>3.51</v>
      </c>
      <c r="R340" s="32">
        <f>IF(B340="高三",IF($E340="男",LOOKUP(Q340,[1]对照表!$W$3:$W$24,[1]对照表!$X$3:$X$24),LOOKUP(Q340,[1]对照表!$W$27:$W$48,[1]对照表!$X$27:$X$48)),IF(B340="高二",IF($E340="男",LOOKUP(Q340,[1]对照表!$V$3:$V$24,[1]对照表!$X$3:$X$24),LOOKUP(Q340,[1]对照表!$V$27:$V$48,[1]对照表!$X$27:$X$48)),IF(B340="高一",IF($E340="男",LOOKUP(Q340,[1]对照表!$U$3:$U$24,[1]对照表!$X$3:$X$24),LOOKUP(Q340,[1]对照表!$U$27:$U$48,[1]对照表!$X$27:$X$48)))))</f>
        <v>78</v>
      </c>
      <c r="S340" s="33">
        <f>ROUND(IF(IF($B340="高三",MIN(IF($E340="男",$Q340-3.2,$Q340-3.2),0),IF($B340="高二",MIN(IF($E340="男",$Q340-3.25,$Q340-3.22),0),IF($B340="高一",MIN(IF($E340="男",$Q340-3.3,$Q340-3.24),0))))&lt;-0.6,IF($B340="高三",MIN(IF($E340="男",$Q340-3.2,$Q340-3.2),0),IF($B340="高二",MIN(IF($E340="男",$Q340-3.25,$Q340-3.22),0),IF($B340="高一",MIN(IF($E340="男",$Q340-3.3,$Q340-3.24),0))))+0.4,IF($B340="高三",MIN(IF($E340="男",$Q340-3.2,$Q340-3.2),0),IF($B340="高二",MIN(IF($E340="男",$Q340-3.25,$Q340-3.22),0),IF($B340="高一",MIN(IF($E340="男",$Q340-3.3,$Q340-3.24),0))))),2)</f>
        <v>0</v>
      </c>
      <c r="T340" s="23">
        <f>IF(E340="男",LOOKUP($S340,[1]对照表!$AB$3:$AB$13,[1]对照表!$AC$3:$AC$13),LOOKUP($S340,[1]对照表!$AB$15:$AB$25,[1]对照表!$AC$15:$AC$25))</f>
        <v>0</v>
      </c>
      <c r="U340" s="26">
        <f>R340+T340</f>
        <v>78</v>
      </c>
      <c r="V340" s="26">
        <f>SUM(I340,K340,M340)/3*0.3+SUM(G340,R340)/2*0.4</f>
        <v>50.8</v>
      </c>
      <c r="W340" s="27">
        <f>O340+T340</f>
        <v>0</v>
      </c>
      <c r="X340" s="28">
        <f>V340/0.7+W340</f>
        <v>72.571428571428569</v>
      </c>
      <c r="Y340" s="28">
        <f>X340</f>
        <v>72.571428571428569</v>
      </c>
      <c r="Z340" s="38"/>
    </row>
    <row r="341" spans="1:26" ht="15.6" x14ac:dyDescent="0.25">
      <c r="A341" s="48">
        <v>36</v>
      </c>
      <c r="B341" s="17" t="s">
        <v>767</v>
      </c>
      <c r="C341" s="48">
        <v>207</v>
      </c>
      <c r="D341" s="58" t="s">
        <v>1347</v>
      </c>
      <c r="E341" s="48" t="s">
        <v>23</v>
      </c>
      <c r="F341" s="50">
        <v>7.5</v>
      </c>
      <c r="G341" s="32">
        <f>IF(B341="高三",IF($E341="男",LOOKUP(F341,[1]对照表!$G$3:$G$24,[1]对照表!$H$3:$H$24),LOOKUP(F341,[1]对照表!$G$27:$G$48,[1]对照表!$H$27:$H$48)),IF(B341="高二",IF($E341="男",LOOKUP(F341,[1]对照表!$F$3:$F$24,[1]对照表!$H$3:$H$24),LOOKUP(F341,[1]对照表!$F$27:$F$48,[1]对照表!$H$27:$H$48)),IF(B341="高一",IF($E341="男",LOOKUP(F341,[1]对照表!$E$3:$E$24,[1]对照表!$H$3:$H$24),LOOKUP(F341,[1]对照表!$E$27:$E$48,[1]对照表!$H$27:$H$48)))))</f>
        <v>78</v>
      </c>
      <c r="H341" s="38">
        <v>28</v>
      </c>
      <c r="I341" s="32">
        <f>IF(B341="高三",IF($E341="男",LOOKUP(H341,[1]对照表!$K$3:$K$24,[1]对照表!$L$3:$L$24),LOOKUP(H341,[1]对照表!$K$27:$K$48,[1]对照表!$L$27:$L$48)),IF(B341="高二",IF($E341="男",LOOKUP(H341,[1]对照表!$J$3:$J$24,[1]对照表!$L$3:$L$24),LOOKUP(H341,[1]对照表!$J$27:$J$48,[1]对照表!$L$27:$L$48)),IF(B341="高一",IF($E341="男",LOOKUP(H341,[1]对照表!$I$3:$I$24,[1]对照表!$L$3:$L$24),LOOKUP(H341,[1]对照表!$I$27:$I$48,[1]对照表!$L$27:$L$48)))))</f>
        <v>100</v>
      </c>
      <c r="J341" s="38">
        <v>222</v>
      </c>
      <c r="K341" s="32">
        <f>IF(B341="高三",IF($E341="男",LOOKUP(J341,[1]对照表!$O$3:$O$24,[1]对照表!$P$3:$P$24),LOOKUP(J341,[1]对照表!$O$27:$O$48,[1]对照表!$P$27:$P$48)),IF(B341="高二",IF($E341="男",LOOKUP(J341,[1]对照表!$N$3:$N$24,[1]对照表!$P$3:$P$24),LOOKUP(J341,[1]对照表!$N$27:$N$48,[1]对照表!$P$27:$P$48)),IF(B341="高一",IF($E341="男",LOOKUP(J341,[1]对照表!$M$3:$M$24,[1]对照表!$P$3:$P$24),LOOKUP(J341,[1]对照表!$M$27:$M$48,[1]对照表!$P$27:$P$48)))))</f>
        <v>70</v>
      </c>
      <c r="L341" s="38">
        <v>4</v>
      </c>
      <c r="M341" s="32">
        <f>IF(B341="高三",IF($E341="男",LOOKUP(L341,[1]对照表!$S$3:$S$24,[1]对照表!$T$3:$T$24),LOOKUP(L341,[1]对照表!$S$27:$S$48,[1]对照表!$T$27:$T$48)),IF(B341="高二",IF($E341="男",LOOKUP(L341,[1]对照表!$R$3:$R$24,[1]对照表!$T$3:$T$24),LOOKUP(L341,[1]对照表!$R$27:$R$48,[1]对照表!$T$27:$T$48)),IF(B341="高一",IF($E341="男",LOOKUP(L341,[1]对照表!$Q$3:$Q$24,[1]对照表!$T$3:$T$24),LOOKUP(L341,[1]对照表!$Q$27:$Q$48,[1]对照表!$T$27:$T$48)))))</f>
        <v>20</v>
      </c>
      <c r="N341" s="33">
        <f>IF(B341="高三",MAX(IF(E341="男",L341-18,L341-55),0),IF(B341="高二",MAX(IF(E341="男",L341-17,L341-54),0),IF(B341="高一",MAX(IF(E341="男",L341-16,L341-53),0))))</f>
        <v>0</v>
      </c>
      <c r="O341" s="23">
        <f>IF(E341="男",LOOKUP($N341,[1]对照表!$Z$3:$Z$13,[1]对照表!$AA$3:$AA$13),LOOKUP($N341,[1]对照表!$Z$15:$Z$25,[1]对照表!$AA$15:$AA$25))</f>
        <v>0</v>
      </c>
      <c r="P341" s="25">
        <f>M341+O341</f>
        <v>20</v>
      </c>
      <c r="Q341" s="50">
        <v>3.53</v>
      </c>
      <c r="R341" s="32">
        <f>IF(B341="高三",IF($E341="男",LOOKUP(Q341,[1]对照表!$W$3:$W$24,[1]对照表!$X$3:$X$24),LOOKUP(Q341,[1]对照表!$W$27:$W$48,[1]对照表!$X$27:$X$48)),IF(B341="高二",IF($E341="男",LOOKUP(Q341,[1]对照表!$V$3:$V$24,[1]对照表!$X$3:$X$24),LOOKUP(Q341,[1]对照表!$V$27:$V$48,[1]对照表!$X$27:$X$48)),IF(B341="高一",IF($E341="男",LOOKUP(Q341,[1]对照表!$U$3:$U$24,[1]对照表!$X$3:$X$24),LOOKUP(Q341,[1]对照表!$U$27:$U$48,[1]对照表!$X$27:$X$48)))))</f>
        <v>78</v>
      </c>
      <c r="S341" s="33">
        <f>ROUND(IF(IF($B341="高三",MIN(IF($E341="男",$Q341-3.2,$Q341-3.2),0),IF($B341="高二",MIN(IF($E341="男",$Q341-3.25,$Q341-3.22),0),IF($B341="高一",MIN(IF($E341="男",$Q341-3.3,$Q341-3.24),0))))&lt;-0.6,IF($B341="高三",MIN(IF($E341="男",$Q341-3.2,$Q341-3.2),0),IF($B341="高二",MIN(IF($E341="男",$Q341-3.25,$Q341-3.22),0),IF($B341="高一",MIN(IF($E341="男",$Q341-3.3,$Q341-3.24),0))))+0.4,IF($B341="高三",MIN(IF($E341="男",$Q341-3.2,$Q341-3.2),0),IF($B341="高二",MIN(IF($E341="男",$Q341-3.25,$Q341-3.22),0),IF($B341="高一",MIN(IF($E341="男",$Q341-3.3,$Q341-3.24),0))))),2)</f>
        <v>0</v>
      </c>
      <c r="T341" s="23">
        <f>IF(E341="男",LOOKUP($S341,[1]对照表!$AB$3:$AB$13,[1]对照表!$AC$3:$AC$13),LOOKUP($S341,[1]对照表!$AB$15:$AB$25,[1]对照表!$AC$15:$AC$25))</f>
        <v>0</v>
      </c>
      <c r="U341" s="26">
        <f>R341+T341</f>
        <v>78</v>
      </c>
      <c r="V341" s="26">
        <f>SUM(I341,K341,M341)/3*0.3+SUM(G341,R341)/2*0.4</f>
        <v>50.2</v>
      </c>
      <c r="W341" s="27">
        <f>O341+T341</f>
        <v>0</v>
      </c>
      <c r="X341" s="28">
        <f>V341/0.7+W341</f>
        <v>71.714285714285722</v>
      </c>
      <c r="Y341" s="28">
        <f>X341</f>
        <v>71.714285714285722</v>
      </c>
      <c r="Z341" s="38"/>
    </row>
    <row r="342" spans="1:26" ht="15.6" x14ac:dyDescent="0.25">
      <c r="A342" s="48">
        <v>30</v>
      </c>
      <c r="B342" s="17" t="s">
        <v>767</v>
      </c>
      <c r="C342" s="48">
        <v>207</v>
      </c>
      <c r="D342" s="49" t="s">
        <v>1349</v>
      </c>
      <c r="E342" s="48" t="s">
        <v>23</v>
      </c>
      <c r="F342" s="50">
        <v>7.8</v>
      </c>
      <c r="G342" s="32">
        <f>IF(B342="高三",IF($E342="男",LOOKUP(F342,[1]对照表!$G$3:$G$24,[1]对照表!$H$3:$H$24),LOOKUP(F342,[1]对照表!$G$27:$G$48,[1]对照表!$H$27:$H$48)),IF(B342="高二",IF($E342="男",LOOKUP(F342,[1]对照表!$F$3:$F$24,[1]对照表!$H$3:$H$24),LOOKUP(F342,[1]对照表!$F$27:$F$48,[1]对照表!$H$27:$H$48)),IF(B342="高一",IF($E342="男",LOOKUP(F342,[1]对照表!$E$3:$E$24,[1]对照表!$H$3:$H$24),LOOKUP(F342,[1]对照表!$E$27:$E$48,[1]对照表!$H$27:$H$48)))))</f>
        <v>76</v>
      </c>
      <c r="H342" s="38">
        <v>9.4</v>
      </c>
      <c r="I342" s="32">
        <f>IF(B342="高三",IF($E342="男",LOOKUP(H342,[1]对照表!$K$3:$K$24,[1]对照表!$L$3:$L$24),LOOKUP(H342,[1]对照表!$K$27:$K$48,[1]对照表!$L$27:$L$48)),IF(B342="高二",IF($E342="男",LOOKUP(H342,[1]对照表!$J$3:$J$24,[1]对照表!$L$3:$L$24),LOOKUP(H342,[1]对照表!$J$27:$J$48,[1]对照表!$L$27:$L$48)),IF(B342="高一",IF($E342="男",LOOKUP(H342,[1]对照表!$I$3:$I$24,[1]对照表!$L$3:$L$24),LOOKUP(H342,[1]对照表!$I$27:$I$48,[1]对照表!$L$27:$L$48)))))</f>
        <v>70</v>
      </c>
      <c r="J342" s="38">
        <v>225</v>
      </c>
      <c r="K342" s="32">
        <f>IF(B342="高三",IF($E342="男",LOOKUP(J342,[1]对照表!$O$3:$O$24,[1]对照表!$P$3:$P$24),LOOKUP(J342,[1]对照表!$O$27:$O$48,[1]对照表!$P$27:$P$48)),IF(B342="高二",IF($E342="男",LOOKUP(J342,[1]对照表!$N$3:$N$24,[1]对照表!$P$3:$P$24),LOOKUP(J342,[1]对照表!$N$27:$N$48,[1]对照表!$P$27:$P$48)),IF(B342="高一",IF($E342="男",LOOKUP(J342,[1]对照表!$M$3:$M$24,[1]对照表!$P$3:$P$24),LOOKUP(J342,[1]对照表!$M$27:$M$48,[1]对照表!$P$27:$P$48)))))</f>
        <v>72</v>
      </c>
      <c r="L342" s="38">
        <v>9</v>
      </c>
      <c r="M342" s="32">
        <f>IF(B342="高三",IF($E342="男",LOOKUP(L342,[1]对照表!$S$3:$S$24,[1]对照表!$T$3:$T$24),LOOKUP(L342,[1]对照表!$S$27:$S$48,[1]对照表!$T$27:$T$48)),IF(B342="高二",IF($E342="男",LOOKUP(L342,[1]对照表!$R$3:$R$24,[1]对照表!$T$3:$T$24),LOOKUP(L342,[1]对照表!$R$27:$R$48,[1]对照表!$T$27:$T$48)),IF(B342="高一",IF($E342="男",LOOKUP(L342,[1]对照表!$Q$3:$Q$24,[1]对照表!$T$3:$T$24),LOOKUP(L342,[1]对照表!$Q$27:$Q$48,[1]对照表!$T$27:$T$48)))))</f>
        <v>64</v>
      </c>
      <c r="N342" s="33">
        <f>IF(B342="高三",MAX(IF(E342="男",L342-18,L342-55),0),IF(B342="高二",MAX(IF(E342="男",L342-17,L342-54),0),IF(B342="高一",MAX(IF(E342="男",L342-16,L342-53),0))))</f>
        <v>0</v>
      </c>
      <c r="O342" s="23">
        <f>IF(E342="男",LOOKUP($N342,[1]对照表!$Z$3:$Z$13,[1]对照表!$AA$3:$AA$13),LOOKUP($N342,[1]对照表!$Z$15:$Z$25,[1]对照表!$AA$15:$AA$25))</f>
        <v>0</v>
      </c>
      <c r="P342" s="25">
        <f>M342+O342</f>
        <v>64</v>
      </c>
      <c r="Q342" s="50">
        <v>4.0999999999999996</v>
      </c>
      <c r="R342" s="32">
        <f>IF(B342="高三",IF($E342="男",LOOKUP(Q342,[1]对照表!$W$3:$W$24,[1]对照表!$X$3:$X$24),LOOKUP(Q342,[1]对照表!$W$27:$W$48,[1]对照表!$X$27:$X$48)),IF(B342="高二",IF($E342="男",LOOKUP(Q342,[1]对照表!$V$3:$V$24,[1]对照表!$X$3:$X$24),LOOKUP(Q342,[1]对照表!$V$27:$V$48,[1]对照表!$X$27:$X$48)),IF(B342="高一",IF($E342="男",LOOKUP(Q342,[1]对照表!$U$3:$U$24,[1]对照表!$X$3:$X$24),LOOKUP(Q342,[1]对照表!$U$27:$U$48,[1]对照表!$X$27:$X$48)))))</f>
        <v>72</v>
      </c>
      <c r="S342" s="33">
        <f>ROUND(IF(IF($B342="高三",MIN(IF($E342="男",$Q342-3.2,$Q342-3.2),0),IF($B342="高二",MIN(IF($E342="男",$Q342-3.25,$Q342-3.22),0),IF($B342="高一",MIN(IF($E342="男",$Q342-3.3,$Q342-3.24),0))))&lt;-0.6,IF($B342="高三",MIN(IF($E342="男",$Q342-3.2,$Q342-3.2),0),IF($B342="高二",MIN(IF($E342="男",$Q342-3.25,$Q342-3.22),0),IF($B342="高一",MIN(IF($E342="男",$Q342-3.3,$Q342-3.24),0))))+0.4,IF($B342="高三",MIN(IF($E342="男",$Q342-3.2,$Q342-3.2),0),IF($B342="高二",MIN(IF($E342="男",$Q342-3.25,$Q342-3.22),0),IF($B342="高一",MIN(IF($E342="男",$Q342-3.3,$Q342-3.24),0))))),2)</f>
        <v>0</v>
      </c>
      <c r="T342" s="23">
        <f>IF(E342="男",LOOKUP($S342,[1]对照表!$AB$3:$AB$13,[1]对照表!$AC$3:$AC$13),LOOKUP($S342,[1]对照表!$AB$15:$AB$25,[1]对照表!$AC$15:$AC$25))</f>
        <v>0</v>
      </c>
      <c r="U342" s="26">
        <f>R342+T342</f>
        <v>72</v>
      </c>
      <c r="V342" s="26">
        <f>SUM(I342,K342,M342)/3*0.3+SUM(G342,R342)/2*0.4</f>
        <v>50.2</v>
      </c>
      <c r="W342" s="27">
        <f>O342+T342</f>
        <v>0</v>
      </c>
      <c r="X342" s="28">
        <f>V342/0.7+W342</f>
        <v>71.714285714285722</v>
      </c>
      <c r="Y342" s="28">
        <f>X342</f>
        <v>71.714285714285722</v>
      </c>
      <c r="Z342" s="38"/>
    </row>
    <row r="343" spans="1:26" ht="15.6" x14ac:dyDescent="0.25">
      <c r="A343" s="48">
        <v>4</v>
      </c>
      <c r="B343" s="17" t="s">
        <v>767</v>
      </c>
      <c r="C343" s="48">
        <v>207</v>
      </c>
      <c r="D343" s="49" t="s">
        <v>1352</v>
      </c>
      <c r="E343" s="48" t="s">
        <v>23</v>
      </c>
      <c r="F343" s="50">
        <v>7.7</v>
      </c>
      <c r="G343" s="32">
        <f>IF(B343="高三",IF($E343="男",LOOKUP(F343,[1]对照表!$G$3:$G$24,[1]对照表!$H$3:$H$24),LOOKUP(F343,[1]对照表!$G$27:$G$48,[1]对照表!$H$27:$H$48)),IF(B343="高二",IF($E343="男",LOOKUP(F343,[1]对照表!$F$3:$F$24,[1]对照表!$H$3:$H$24),LOOKUP(F343,[1]对照表!$F$27:$F$48,[1]对照表!$H$27:$H$48)),IF(B343="高一",IF($E343="男",LOOKUP(F343,[1]对照表!$E$3:$E$24,[1]对照表!$H$3:$H$24),LOOKUP(F343,[1]对照表!$E$27:$E$48,[1]对照表!$H$27:$H$48)))))</f>
        <v>76</v>
      </c>
      <c r="H343" s="38">
        <v>15.4</v>
      </c>
      <c r="I343" s="32">
        <f>IF(B343="高三",IF($E343="男",LOOKUP(H343,[1]对照表!$K$3:$K$24,[1]对照表!$L$3:$L$24),LOOKUP(H343,[1]对照表!$K$27:$K$48,[1]对照表!$L$27:$L$48)),IF(B343="高二",IF($E343="男",LOOKUP(H343,[1]对照表!$J$3:$J$24,[1]对照表!$L$3:$L$24),LOOKUP(H343,[1]对照表!$J$27:$J$48,[1]对照表!$L$27:$L$48)),IF(B343="高一",IF($E343="男",LOOKUP(H343,[1]对照表!$I$3:$I$24,[1]对照表!$L$3:$L$24),LOOKUP(H343,[1]对照表!$I$27:$I$48,[1]对照表!$L$27:$L$48)))))</f>
        <v>78</v>
      </c>
      <c r="J343" s="38">
        <v>223</v>
      </c>
      <c r="K343" s="32">
        <f>IF(B343="高三",IF($E343="男",LOOKUP(J343,[1]对照表!$O$3:$O$24,[1]对照表!$P$3:$P$24),LOOKUP(J343,[1]对照表!$O$27:$O$48,[1]对照表!$P$27:$P$48)),IF(B343="高二",IF($E343="男",LOOKUP(J343,[1]对照表!$N$3:$N$24,[1]对照表!$P$3:$P$24),LOOKUP(J343,[1]对照表!$N$27:$N$48,[1]对照表!$P$27:$P$48)),IF(B343="高一",IF($E343="男",LOOKUP(J343,[1]对照表!$M$3:$M$24,[1]对照表!$P$3:$P$24),LOOKUP(J343,[1]对照表!$M$27:$M$48,[1]对照表!$P$27:$P$48)))))</f>
        <v>70</v>
      </c>
      <c r="L343" s="38">
        <v>6</v>
      </c>
      <c r="M343" s="32">
        <f>IF(B343="高三",IF($E343="男",LOOKUP(L343,[1]对照表!$S$3:$S$24,[1]对照表!$T$3:$T$24),LOOKUP(L343,[1]对照表!$S$27:$S$48,[1]对照表!$T$27:$T$48)),IF(B343="高二",IF($E343="男",LOOKUP(L343,[1]对照表!$R$3:$R$24,[1]对照表!$T$3:$T$24),LOOKUP(L343,[1]对照表!$R$27:$R$48,[1]对照表!$T$27:$T$48)),IF(B343="高一",IF($E343="男",LOOKUP(L343,[1]对照表!$Q$3:$Q$24,[1]对照表!$T$3:$T$24),LOOKUP(L343,[1]对照表!$Q$27:$Q$48,[1]对照表!$T$27:$T$48)))))</f>
        <v>40</v>
      </c>
      <c r="N343" s="33">
        <f>IF(B343="高三",MAX(IF(E343="男",L343-18,L343-55),0),IF(B343="高二",MAX(IF(E343="男",L343-17,L343-54),0),IF(B343="高一",MAX(IF(E343="男",L343-16,L343-53),0))))</f>
        <v>0</v>
      </c>
      <c r="O343" s="23">
        <f>IF(E343="男",LOOKUP($N343,[1]对照表!$Z$3:$Z$13,[1]对照表!$AA$3:$AA$13),LOOKUP($N343,[1]对照表!$Z$15:$Z$25,[1]对照表!$AA$15:$AA$25))</f>
        <v>0</v>
      </c>
      <c r="P343" s="25">
        <f>M343+O343</f>
        <v>40</v>
      </c>
      <c r="Q343" s="50">
        <v>3.44</v>
      </c>
      <c r="R343" s="32">
        <f>IF(B343="高三",IF($E343="男",LOOKUP(Q343,[1]对照表!$W$3:$W$24,[1]对照表!$X$3:$X$24),LOOKUP(Q343,[1]对照表!$W$27:$W$48,[1]对照表!$X$27:$X$48)),IF(B343="高二",IF($E343="男",LOOKUP(Q343,[1]对照表!$V$3:$V$24,[1]对照表!$X$3:$X$24),LOOKUP(Q343,[1]对照表!$V$27:$V$48,[1]对照表!$X$27:$X$48)),IF(B343="高一",IF($E343="男",LOOKUP(Q343,[1]对照表!$U$3:$U$24,[1]对照表!$X$3:$X$24),LOOKUP(Q343,[1]对照表!$U$27:$U$48,[1]对照表!$X$27:$X$48)))))</f>
        <v>80</v>
      </c>
      <c r="S343" s="33">
        <f>ROUND(IF(IF($B343="高三",MIN(IF($E343="男",$Q343-3.2,$Q343-3.2),0),IF($B343="高二",MIN(IF($E343="男",$Q343-3.25,$Q343-3.22),0),IF($B343="高一",MIN(IF($E343="男",$Q343-3.3,$Q343-3.24),0))))&lt;-0.6,IF($B343="高三",MIN(IF($E343="男",$Q343-3.2,$Q343-3.2),0),IF($B343="高二",MIN(IF($E343="男",$Q343-3.25,$Q343-3.22),0),IF($B343="高一",MIN(IF($E343="男",$Q343-3.3,$Q343-3.24),0))))+0.4,IF($B343="高三",MIN(IF($E343="男",$Q343-3.2,$Q343-3.2),0),IF($B343="高二",MIN(IF($E343="男",$Q343-3.25,$Q343-3.22),0),IF($B343="高一",MIN(IF($E343="男",$Q343-3.3,$Q343-3.24),0))))),2)</f>
        <v>0</v>
      </c>
      <c r="T343" s="23">
        <f>IF(E343="男",LOOKUP($S343,[1]对照表!$AB$3:$AB$13,[1]对照表!$AC$3:$AC$13),LOOKUP($S343,[1]对照表!$AB$15:$AB$25,[1]对照表!$AC$15:$AC$25))</f>
        <v>0</v>
      </c>
      <c r="U343" s="26">
        <f>R343+T343</f>
        <v>80</v>
      </c>
      <c r="V343" s="26">
        <f>SUM(I343,K343,M343)/3*0.3+SUM(G343,R343)/2*0.4</f>
        <v>50</v>
      </c>
      <c r="W343" s="27">
        <f>O343+T343</f>
        <v>0</v>
      </c>
      <c r="X343" s="28">
        <f>V343/0.7+W343</f>
        <v>71.428571428571431</v>
      </c>
      <c r="Y343" s="28">
        <f>X343</f>
        <v>71.428571428571431</v>
      </c>
      <c r="Z343" s="38"/>
    </row>
    <row r="344" spans="1:26" ht="15.6" x14ac:dyDescent="0.25">
      <c r="A344" s="48">
        <v>28</v>
      </c>
      <c r="B344" s="17" t="s">
        <v>767</v>
      </c>
      <c r="C344" s="48">
        <v>207</v>
      </c>
      <c r="D344" s="49" t="s">
        <v>1363</v>
      </c>
      <c r="E344" s="48" t="s">
        <v>23</v>
      </c>
      <c r="F344" s="50">
        <v>8.3000000000000007</v>
      </c>
      <c r="G344" s="32">
        <f>IF(B344="高三",IF($E344="男",LOOKUP(F344,[1]对照表!$G$3:$G$24,[1]对照表!$H$3:$H$24),LOOKUP(F344,[1]对照表!$G$27:$G$48,[1]对照表!$H$27:$H$48)),IF(B344="高二",IF($E344="男",LOOKUP(F344,[1]对照表!$F$3:$F$24,[1]对照表!$H$3:$H$24),LOOKUP(F344,[1]对照表!$F$27:$F$48,[1]对照表!$H$27:$H$48)),IF(B344="高一",IF($E344="男",LOOKUP(F344,[1]对照表!$E$3:$E$24,[1]对照表!$H$3:$H$24),LOOKUP(F344,[1]对照表!$E$27:$E$48,[1]对照表!$H$27:$H$48)))))</f>
        <v>70</v>
      </c>
      <c r="H344" s="38">
        <v>7</v>
      </c>
      <c r="I344" s="32">
        <f>IF(B344="高三",IF($E344="男",LOOKUP(H344,[1]对照表!$K$3:$K$24,[1]对照表!$L$3:$L$24),LOOKUP(H344,[1]对照表!$K$27:$K$48,[1]对照表!$L$27:$L$48)),IF(B344="高二",IF($E344="男",LOOKUP(H344,[1]对照表!$J$3:$J$24,[1]对照表!$L$3:$L$24),LOOKUP(H344,[1]对照表!$J$27:$J$48,[1]对照表!$L$27:$L$48)),IF(B344="高一",IF($E344="男",LOOKUP(H344,[1]对照表!$I$3:$I$24,[1]对照表!$L$3:$L$24),LOOKUP(H344,[1]对照表!$I$27:$I$48,[1]对照表!$L$27:$L$48)))))</f>
        <v>66</v>
      </c>
      <c r="J344" s="38">
        <v>210</v>
      </c>
      <c r="K344" s="32">
        <f>IF(B344="高三",IF($E344="男",LOOKUP(J344,[1]对照表!$O$3:$O$24,[1]对照表!$P$3:$P$24),LOOKUP(J344,[1]对照表!$O$27:$O$48,[1]对照表!$P$27:$P$48)),IF(B344="高二",IF($E344="男",LOOKUP(J344,[1]对照表!$N$3:$N$24,[1]对照表!$P$3:$P$24),LOOKUP(J344,[1]对照表!$N$27:$N$48,[1]对照表!$P$27:$P$48)),IF(B344="高一",IF($E344="男",LOOKUP(J344,[1]对照表!$M$3:$M$24,[1]对照表!$P$3:$P$24),LOOKUP(J344,[1]对照表!$M$27:$M$48,[1]对照表!$P$27:$P$48)))))</f>
        <v>64</v>
      </c>
      <c r="L344" s="38">
        <v>14</v>
      </c>
      <c r="M344" s="32">
        <f>IF(B344="高三",IF($E344="男",LOOKUP(L344,[1]对照表!$S$3:$S$24,[1]对照表!$T$3:$T$24),LOOKUP(L344,[1]对照表!$S$27:$S$48,[1]对照表!$T$27:$T$48)),IF(B344="高二",IF($E344="男",LOOKUP(L344,[1]对照表!$R$3:$R$24,[1]对照表!$T$3:$T$24),LOOKUP(L344,[1]对照表!$R$27:$R$48,[1]对照表!$T$27:$T$48)),IF(B344="高一",IF($E344="男",LOOKUP(L344,[1]对照表!$Q$3:$Q$24,[1]对照表!$T$3:$T$24),LOOKUP(L344,[1]对照表!$Q$27:$Q$48,[1]对照表!$T$27:$T$48)))))</f>
        <v>85</v>
      </c>
      <c r="N344" s="33">
        <f>IF(B344="高三",MAX(IF(E344="男",L344-18,L344-55),0),IF(B344="高二",MAX(IF(E344="男",L344-17,L344-54),0),IF(B344="高一",MAX(IF(E344="男",L344-16,L344-53),0))))</f>
        <v>0</v>
      </c>
      <c r="O344" s="23">
        <f>IF(E344="男",LOOKUP($N344,[1]对照表!$Z$3:$Z$13,[1]对照表!$AA$3:$AA$13),LOOKUP($N344,[1]对照表!$Z$15:$Z$25,[1]对照表!$AA$15:$AA$25))</f>
        <v>0</v>
      </c>
      <c r="P344" s="25">
        <f>M344+O344</f>
        <v>85</v>
      </c>
      <c r="Q344" s="50">
        <v>4.13</v>
      </c>
      <c r="R344" s="32">
        <f>IF(B344="高三",IF($E344="男",LOOKUP(Q344,[1]对照表!$W$3:$W$24,[1]对照表!$X$3:$X$24),LOOKUP(Q344,[1]对照表!$W$27:$W$48,[1]对照表!$X$27:$X$48)),IF(B344="高二",IF($E344="男",LOOKUP(Q344,[1]对照表!$V$3:$V$24,[1]对照表!$X$3:$X$24),LOOKUP(Q344,[1]对照表!$V$27:$V$48,[1]对照表!$X$27:$X$48)),IF(B344="高一",IF($E344="男",LOOKUP(Q344,[1]对照表!$U$3:$U$24,[1]对照表!$X$3:$X$24),LOOKUP(Q344,[1]对照表!$U$27:$U$48,[1]对照表!$X$27:$X$48)))))</f>
        <v>70</v>
      </c>
      <c r="S344" s="33">
        <f>ROUND(IF(IF($B344="高三",MIN(IF($E344="男",$Q344-3.2,$Q344-3.2),0),IF($B344="高二",MIN(IF($E344="男",$Q344-3.25,$Q344-3.22),0),IF($B344="高一",MIN(IF($E344="男",$Q344-3.3,$Q344-3.24),0))))&lt;-0.6,IF($B344="高三",MIN(IF($E344="男",$Q344-3.2,$Q344-3.2),0),IF($B344="高二",MIN(IF($E344="男",$Q344-3.25,$Q344-3.22),0),IF($B344="高一",MIN(IF($E344="男",$Q344-3.3,$Q344-3.24),0))))+0.4,IF($B344="高三",MIN(IF($E344="男",$Q344-3.2,$Q344-3.2),0),IF($B344="高二",MIN(IF($E344="男",$Q344-3.25,$Q344-3.22),0),IF($B344="高一",MIN(IF($E344="男",$Q344-3.3,$Q344-3.24),0))))),2)</f>
        <v>0</v>
      </c>
      <c r="T344" s="23">
        <f>IF(E344="男",LOOKUP($S344,[1]对照表!$AB$3:$AB$13,[1]对照表!$AC$3:$AC$13),LOOKUP($S344,[1]对照表!$AB$15:$AB$25,[1]对照表!$AC$15:$AC$25))</f>
        <v>0</v>
      </c>
      <c r="U344" s="26">
        <f>R344+T344</f>
        <v>70</v>
      </c>
      <c r="V344" s="26">
        <f>SUM(I344,K344,M344)/3*0.3+SUM(G344,R344)/2*0.4</f>
        <v>49.5</v>
      </c>
      <c r="W344" s="27">
        <f>O344+T344</f>
        <v>0</v>
      </c>
      <c r="X344" s="28">
        <f>V344/0.7+W344</f>
        <v>70.714285714285722</v>
      </c>
      <c r="Y344" s="28">
        <f>X344</f>
        <v>70.714285714285722</v>
      </c>
      <c r="Z344" s="38"/>
    </row>
    <row r="345" spans="1:26" ht="15.6" customHeight="1" x14ac:dyDescent="0.25">
      <c r="A345" s="48">
        <v>31</v>
      </c>
      <c r="B345" s="17" t="s">
        <v>767</v>
      </c>
      <c r="C345" s="48">
        <v>207</v>
      </c>
      <c r="D345" s="49" t="s">
        <v>1366</v>
      </c>
      <c r="E345" s="48" t="s">
        <v>23</v>
      </c>
      <c r="F345" s="50">
        <v>7.3</v>
      </c>
      <c r="G345" s="32">
        <f>IF(B345="高三",IF($E345="男",LOOKUP(F345,[1]对照表!$G$3:$G$24,[1]对照表!$H$3:$H$24),LOOKUP(F345,[1]对照表!$G$27:$G$48,[1]对照表!$H$27:$H$48)),IF(B345="高二",IF($E345="男",LOOKUP(F345,[1]对照表!$F$3:$F$24,[1]对照表!$H$3:$H$24),LOOKUP(F345,[1]对照表!$F$27:$F$48,[1]对照表!$H$27:$H$48)),IF(B345="高一",IF($E345="男",LOOKUP(F345,[1]对照表!$E$3:$E$24,[1]对照表!$H$3:$H$24),LOOKUP(F345,[1]对照表!$E$27:$E$48,[1]对照表!$H$27:$H$48)))))</f>
        <v>85</v>
      </c>
      <c r="H345" s="38">
        <v>19</v>
      </c>
      <c r="I345" s="32">
        <f>IF(B345="高三",IF($E345="男",LOOKUP(H345,[1]对照表!$K$3:$K$24,[1]对照表!$L$3:$L$24),LOOKUP(H345,[1]对照表!$K$27:$K$48,[1]对照表!$L$27:$L$48)),IF(B345="高二",IF($E345="男",LOOKUP(H345,[1]对照表!$J$3:$J$24,[1]对照表!$L$3:$L$24),LOOKUP(H345,[1]对照表!$J$27:$J$48,[1]对照表!$L$27:$L$48)),IF(B345="高一",IF($E345="男",LOOKUP(H345,[1]对照表!$I$3:$I$24,[1]对照表!$L$3:$L$24),LOOKUP(H345,[1]对照表!$I$27:$I$48,[1]对照表!$L$27:$L$48)))))</f>
        <v>85</v>
      </c>
      <c r="J345" s="38">
        <v>235</v>
      </c>
      <c r="K345" s="32">
        <f>IF(B345="高三",IF($E345="男",LOOKUP(J345,[1]对照表!$O$3:$O$24,[1]对照表!$P$3:$P$24),LOOKUP(J345,[1]对照表!$O$27:$O$48,[1]对照表!$P$27:$P$48)),IF(B345="高二",IF($E345="男",LOOKUP(J345,[1]对照表!$N$3:$N$24,[1]对照表!$P$3:$P$24),LOOKUP(J345,[1]对照表!$N$27:$N$48,[1]对照表!$P$27:$P$48)),IF(B345="高一",IF($E345="男",LOOKUP(J345,[1]对照表!$M$3:$M$24,[1]对照表!$P$3:$P$24),LOOKUP(J345,[1]对照表!$M$27:$M$48,[1]对照表!$P$27:$P$48)))))</f>
        <v>76</v>
      </c>
      <c r="L345" s="38">
        <v>2</v>
      </c>
      <c r="M345" s="32">
        <f>IF(B345="高三",IF($E345="男",LOOKUP(L345,[1]对照表!$S$3:$S$24,[1]对照表!$T$3:$T$24),LOOKUP(L345,[1]对照表!$S$27:$S$48,[1]对照表!$T$27:$T$48)),IF(B345="高二",IF($E345="男",LOOKUP(L345,[1]对照表!$R$3:$R$24,[1]对照表!$T$3:$T$24),LOOKUP(L345,[1]对照表!$R$27:$R$48,[1]对照表!$T$27:$T$48)),IF(B345="高一",IF($E345="男",LOOKUP(L345,[1]对照表!$Q$3:$Q$24,[1]对照表!$T$3:$T$24),LOOKUP(L345,[1]对照表!$Q$27:$Q$48,[1]对照表!$T$27:$T$48)))))</f>
        <v>0</v>
      </c>
      <c r="N345" s="33">
        <f>IF(B345="高三",MAX(IF(E345="男",L345-18,L345-55),0),IF(B345="高二",MAX(IF(E345="男",L345-17,L345-54),0),IF(B345="高一",MAX(IF(E345="男",L345-16,L345-53),0))))</f>
        <v>0</v>
      </c>
      <c r="O345" s="23">
        <f>IF(E345="男",LOOKUP($N345,[1]对照表!$Z$3:$Z$13,[1]对照表!$AA$3:$AA$13),LOOKUP($N345,[1]对照表!$Z$15:$Z$25,[1]对照表!$AA$15:$AA$25))</f>
        <v>0</v>
      </c>
      <c r="P345" s="25">
        <f>M345+O345</f>
        <v>0</v>
      </c>
      <c r="Q345" s="50">
        <v>3.44</v>
      </c>
      <c r="R345" s="32">
        <f>IF(B345="高三",IF($E345="男",LOOKUP(Q345,[1]对照表!$W$3:$W$24,[1]对照表!$X$3:$X$24),LOOKUP(Q345,[1]对照表!$W$27:$W$48,[1]对照表!$X$27:$X$48)),IF(B345="高二",IF($E345="男",LOOKUP(Q345,[1]对照表!$V$3:$V$24,[1]对照表!$X$3:$X$24),LOOKUP(Q345,[1]对照表!$V$27:$V$48,[1]对照表!$X$27:$X$48)),IF(B345="高一",IF($E345="男",LOOKUP(Q345,[1]对照表!$U$3:$U$24,[1]对照表!$X$3:$X$24),LOOKUP(Q345,[1]对照表!$U$27:$U$48,[1]对照表!$X$27:$X$48)))))</f>
        <v>80</v>
      </c>
      <c r="S345" s="33">
        <f>ROUND(IF(IF($B345="高三",MIN(IF($E345="男",$Q345-3.2,$Q345-3.2),0),IF($B345="高二",MIN(IF($E345="男",$Q345-3.25,$Q345-3.22),0),IF($B345="高一",MIN(IF($E345="男",$Q345-3.3,$Q345-3.24),0))))&lt;-0.6,IF($B345="高三",MIN(IF($E345="男",$Q345-3.2,$Q345-3.2),0),IF($B345="高二",MIN(IF($E345="男",$Q345-3.25,$Q345-3.22),0),IF($B345="高一",MIN(IF($E345="男",$Q345-3.3,$Q345-3.24),0))))+0.4,IF($B345="高三",MIN(IF($E345="男",$Q345-3.2,$Q345-3.2),0),IF($B345="高二",MIN(IF($E345="男",$Q345-3.25,$Q345-3.22),0),IF($B345="高一",MIN(IF($E345="男",$Q345-3.3,$Q345-3.24),0))))),2)</f>
        <v>0</v>
      </c>
      <c r="T345" s="23">
        <f>IF(E345="男",LOOKUP($S345,[1]对照表!$AB$3:$AB$13,[1]对照表!$AC$3:$AC$13),LOOKUP($S345,[1]对照表!$AB$15:$AB$25,[1]对照表!$AC$15:$AC$25))</f>
        <v>0</v>
      </c>
      <c r="U345" s="26">
        <f>R345+T345</f>
        <v>80</v>
      </c>
      <c r="V345" s="26">
        <f>SUM(I345,K345,M345)/3*0.3+SUM(G345,R345)/2*0.4</f>
        <v>49.099999999999994</v>
      </c>
      <c r="W345" s="27">
        <f>O345+T345</f>
        <v>0</v>
      </c>
      <c r="X345" s="28">
        <f>V345/0.7+W345</f>
        <v>70.142857142857139</v>
      </c>
      <c r="Y345" s="28">
        <f>X345</f>
        <v>70.142857142857139</v>
      </c>
      <c r="Z345" s="38"/>
    </row>
    <row r="346" spans="1:26" ht="15.6" x14ac:dyDescent="0.25">
      <c r="A346" s="48">
        <v>19</v>
      </c>
      <c r="B346" s="17" t="s">
        <v>767</v>
      </c>
      <c r="C346" s="48">
        <v>207</v>
      </c>
      <c r="D346" s="49" t="s">
        <v>1368</v>
      </c>
      <c r="E346" s="48" t="s">
        <v>23</v>
      </c>
      <c r="F346" s="50">
        <v>7.8</v>
      </c>
      <c r="G346" s="32">
        <f>IF(B346="高三",IF($E346="男",LOOKUP(F346,[1]对照表!$G$3:$G$24,[1]对照表!$H$3:$H$24),LOOKUP(F346,[1]对照表!$G$27:$G$48,[1]对照表!$H$27:$H$48)),IF(B346="高二",IF($E346="男",LOOKUP(F346,[1]对照表!$F$3:$F$24,[1]对照表!$H$3:$H$24),LOOKUP(F346,[1]对照表!$F$27:$F$48,[1]对照表!$H$27:$H$48)),IF(B346="高一",IF($E346="男",LOOKUP(F346,[1]对照表!$E$3:$E$24,[1]对照表!$H$3:$H$24),LOOKUP(F346,[1]对照表!$E$27:$E$48,[1]对照表!$H$27:$H$48)))))</f>
        <v>76</v>
      </c>
      <c r="H346" s="38">
        <v>1.1000000000000001</v>
      </c>
      <c r="I346" s="32">
        <f>IF(B346="高三",IF($E346="男",LOOKUP(H346,[1]对照表!$K$3:$K$24,[1]对照表!$L$3:$L$24),LOOKUP(H346,[1]对照表!$K$27:$K$48,[1]对照表!$L$27:$L$48)),IF(B346="高二",IF($E346="男",LOOKUP(H346,[1]对照表!$J$3:$J$24,[1]对照表!$L$3:$L$24),LOOKUP(H346,[1]对照表!$J$27:$J$48,[1]对照表!$L$27:$L$48)),IF(B346="高一",IF($E346="男",LOOKUP(H346,[1]对照表!$I$3:$I$24,[1]对照表!$L$3:$L$24),LOOKUP(H346,[1]对照表!$I$27:$I$48,[1]对照表!$L$27:$L$48)))))</f>
        <v>50</v>
      </c>
      <c r="J346" s="38">
        <v>208</v>
      </c>
      <c r="K346" s="32">
        <f>IF(B346="高三",IF($E346="男",LOOKUP(J346,[1]对照表!$O$3:$O$24,[1]对照表!$P$3:$P$24),LOOKUP(J346,[1]对照表!$O$27:$O$48,[1]对照表!$P$27:$P$48)),IF(B346="高二",IF($E346="男",LOOKUP(J346,[1]对照表!$N$3:$N$24,[1]对照表!$P$3:$P$24),LOOKUP(J346,[1]对照表!$N$27:$N$48,[1]对照表!$P$27:$P$48)),IF(B346="高一",IF($E346="男",LOOKUP(J346,[1]对照表!$M$3:$M$24,[1]对照表!$P$3:$P$24),LOOKUP(J346,[1]对照表!$M$27:$M$48,[1]对照表!$P$27:$P$48)))))</f>
        <v>64</v>
      </c>
      <c r="L346" s="38">
        <v>9</v>
      </c>
      <c r="M346" s="32">
        <f>IF(B346="高三",IF($E346="男",LOOKUP(L346,[1]对照表!$S$3:$S$24,[1]对照表!$T$3:$T$24),LOOKUP(L346,[1]对照表!$S$27:$S$48,[1]对照表!$T$27:$T$48)),IF(B346="高二",IF($E346="男",LOOKUP(L346,[1]对照表!$R$3:$R$24,[1]对照表!$T$3:$T$24),LOOKUP(L346,[1]对照表!$R$27:$R$48,[1]对照表!$T$27:$T$48)),IF(B346="高一",IF($E346="男",LOOKUP(L346,[1]对照表!$Q$3:$Q$24,[1]对照表!$T$3:$T$24),LOOKUP(L346,[1]对照表!$Q$27:$Q$48,[1]对照表!$T$27:$T$48)))))</f>
        <v>64</v>
      </c>
      <c r="N346" s="33">
        <f>IF(B346="高三",MAX(IF(E346="男",L346-18,L346-55),0),IF(B346="高二",MAX(IF(E346="男",L346-17,L346-54),0),IF(B346="高一",MAX(IF(E346="男",L346-16,L346-53),0))))</f>
        <v>0</v>
      </c>
      <c r="O346" s="23">
        <f>IF(E346="男",LOOKUP($N346,[1]对照表!$Z$3:$Z$13,[1]对照表!$AA$3:$AA$13),LOOKUP($N346,[1]对照表!$Z$15:$Z$25,[1]对照表!$AA$15:$AA$25))</f>
        <v>0</v>
      </c>
      <c r="P346" s="25">
        <f>M346+O346</f>
        <v>64</v>
      </c>
      <c r="Q346" s="50">
        <v>3.45</v>
      </c>
      <c r="R346" s="32">
        <f>IF(B346="高三",IF($E346="男",LOOKUP(Q346,[1]对照表!$W$3:$W$24,[1]对照表!$X$3:$X$24),LOOKUP(Q346,[1]对照表!$W$27:$W$48,[1]对照表!$X$27:$X$48)),IF(B346="高二",IF($E346="男",LOOKUP(Q346,[1]对照表!$V$3:$V$24,[1]对照表!$X$3:$X$24),LOOKUP(Q346,[1]对照表!$V$27:$V$48,[1]对照表!$X$27:$X$48)),IF(B346="高一",IF($E346="男",LOOKUP(Q346,[1]对照表!$U$3:$U$24,[1]对照表!$X$3:$X$24),LOOKUP(Q346,[1]对照表!$U$27:$U$48,[1]对照表!$X$27:$X$48)))))</f>
        <v>80</v>
      </c>
      <c r="S346" s="33">
        <f>ROUND(IF(IF($B346="高三",MIN(IF($E346="男",$Q346-3.2,$Q346-3.2),0),IF($B346="高二",MIN(IF($E346="男",$Q346-3.25,$Q346-3.22),0),IF($B346="高一",MIN(IF($E346="男",$Q346-3.3,$Q346-3.24),0))))&lt;-0.6,IF($B346="高三",MIN(IF($E346="男",$Q346-3.2,$Q346-3.2),0),IF($B346="高二",MIN(IF($E346="男",$Q346-3.25,$Q346-3.22),0),IF($B346="高一",MIN(IF($E346="男",$Q346-3.3,$Q346-3.24),0))))+0.4,IF($B346="高三",MIN(IF($E346="男",$Q346-3.2,$Q346-3.2),0),IF($B346="高二",MIN(IF($E346="男",$Q346-3.25,$Q346-3.22),0),IF($B346="高一",MIN(IF($E346="男",$Q346-3.3,$Q346-3.24),0))))),2)</f>
        <v>0</v>
      </c>
      <c r="T346" s="23">
        <f>IF(E346="男",LOOKUP($S346,[1]对照表!$AB$3:$AB$13,[1]对照表!$AC$3:$AC$13),LOOKUP($S346,[1]对照表!$AB$15:$AB$25,[1]对照表!$AC$15:$AC$25))</f>
        <v>0</v>
      </c>
      <c r="U346" s="26">
        <f>R346+T346</f>
        <v>80</v>
      </c>
      <c r="V346" s="26">
        <f>SUM(I346,K346,M346)/3*0.3+SUM(G346,R346)/2*0.4</f>
        <v>49</v>
      </c>
      <c r="W346" s="27">
        <f>O346+T346</f>
        <v>0</v>
      </c>
      <c r="X346" s="28">
        <f>V346/0.7+W346</f>
        <v>70</v>
      </c>
      <c r="Y346" s="28">
        <f>X346</f>
        <v>70</v>
      </c>
      <c r="Z346" s="38"/>
    </row>
    <row r="347" spans="1:26" ht="15.6" x14ac:dyDescent="0.25">
      <c r="A347" s="48">
        <v>7</v>
      </c>
      <c r="B347" s="17" t="s">
        <v>767</v>
      </c>
      <c r="C347" s="48">
        <v>207</v>
      </c>
      <c r="D347" s="49" t="s">
        <v>1372</v>
      </c>
      <c r="E347" s="48" t="s">
        <v>23</v>
      </c>
      <c r="F347" s="50">
        <v>7.3</v>
      </c>
      <c r="G347" s="32">
        <f>IF(B347="高三",IF($E347="男",LOOKUP(F347,[1]对照表!$G$3:$G$24,[1]对照表!$H$3:$H$24),LOOKUP(F347,[1]对照表!$G$27:$G$48,[1]对照表!$H$27:$H$48)),IF(B347="高二",IF($E347="男",LOOKUP(F347,[1]对照表!$F$3:$F$24,[1]对照表!$H$3:$H$24),LOOKUP(F347,[1]对照表!$F$27:$F$48,[1]对照表!$H$27:$H$48)),IF(B347="高一",IF($E347="男",LOOKUP(F347,[1]对照表!$E$3:$E$24,[1]对照表!$H$3:$H$24),LOOKUP(F347,[1]对照表!$E$27:$E$48,[1]对照表!$H$27:$H$48)))))</f>
        <v>85</v>
      </c>
      <c r="H347" s="38">
        <v>8.5</v>
      </c>
      <c r="I347" s="32">
        <f>IF(B347="高三",IF($E347="男",LOOKUP(H347,[1]对照表!$K$3:$K$24,[1]对照表!$L$3:$L$24),LOOKUP(H347,[1]对照表!$K$27:$K$48,[1]对照表!$L$27:$L$48)),IF(B347="高二",IF($E347="男",LOOKUP(H347,[1]对照表!$J$3:$J$24,[1]对照表!$L$3:$L$24),LOOKUP(H347,[1]对照表!$J$27:$J$48,[1]对照表!$L$27:$L$48)),IF(B347="高一",IF($E347="男",LOOKUP(H347,[1]对照表!$I$3:$I$24,[1]对照表!$L$3:$L$24),LOOKUP(H347,[1]对照表!$I$27:$I$48,[1]对照表!$L$27:$L$48)))))</f>
        <v>68</v>
      </c>
      <c r="J347" s="38">
        <v>222</v>
      </c>
      <c r="K347" s="32">
        <f>IF(B347="高三",IF($E347="男",LOOKUP(J347,[1]对照表!$O$3:$O$24,[1]对照表!$P$3:$P$24),LOOKUP(J347,[1]对照表!$O$27:$O$48,[1]对照表!$P$27:$P$48)),IF(B347="高二",IF($E347="男",LOOKUP(J347,[1]对照表!$N$3:$N$24,[1]对照表!$P$3:$P$24),LOOKUP(J347,[1]对照表!$N$27:$N$48,[1]对照表!$P$27:$P$48)),IF(B347="高一",IF($E347="男",LOOKUP(J347,[1]对照表!$M$3:$M$24,[1]对照表!$P$3:$P$24),LOOKUP(J347,[1]对照表!$M$27:$M$48,[1]对照表!$P$27:$P$48)))))</f>
        <v>70</v>
      </c>
      <c r="L347" s="38">
        <v>6</v>
      </c>
      <c r="M347" s="32">
        <f>IF(B347="高三",IF($E347="男",LOOKUP(L347,[1]对照表!$S$3:$S$24,[1]对照表!$T$3:$T$24),LOOKUP(L347,[1]对照表!$S$27:$S$48,[1]对照表!$T$27:$T$48)),IF(B347="高二",IF($E347="男",LOOKUP(L347,[1]对照表!$R$3:$R$24,[1]对照表!$T$3:$T$24),LOOKUP(L347,[1]对照表!$R$27:$R$48,[1]对照表!$T$27:$T$48)),IF(B347="高一",IF($E347="男",LOOKUP(L347,[1]对照表!$Q$3:$Q$24,[1]对照表!$T$3:$T$24),LOOKUP(L347,[1]对照表!$Q$27:$Q$48,[1]对照表!$T$27:$T$48)))))</f>
        <v>40</v>
      </c>
      <c r="N347" s="33">
        <f>IF(B347="高三",MAX(IF(E347="男",L347-18,L347-55),0),IF(B347="高二",MAX(IF(E347="男",L347-17,L347-54),0),IF(B347="高一",MAX(IF(E347="男",L347-16,L347-53),0))))</f>
        <v>0</v>
      </c>
      <c r="O347" s="23">
        <f>IF(E347="男",LOOKUP($N347,[1]对照表!$Z$3:$Z$13,[1]对照表!$AA$3:$AA$13),LOOKUP($N347,[1]对照表!$Z$15:$Z$25,[1]对照表!$AA$15:$AA$25))</f>
        <v>0</v>
      </c>
      <c r="P347" s="25">
        <f>M347+O347</f>
        <v>40</v>
      </c>
      <c r="Q347" s="50">
        <v>4.13</v>
      </c>
      <c r="R347" s="32">
        <f>IF(B347="高三",IF($E347="男",LOOKUP(Q347,[1]对照表!$W$3:$W$24,[1]对照表!$X$3:$X$24),LOOKUP(Q347,[1]对照表!$W$27:$W$48,[1]对照表!$X$27:$X$48)),IF(B347="高二",IF($E347="男",LOOKUP(Q347,[1]对照表!$V$3:$V$24,[1]对照表!$X$3:$X$24),LOOKUP(Q347,[1]对照表!$V$27:$V$48,[1]对照表!$X$27:$X$48)),IF(B347="高一",IF($E347="男",LOOKUP(Q347,[1]对照表!$U$3:$U$24,[1]对照表!$X$3:$X$24),LOOKUP(Q347,[1]对照表!$U$27:$U$48,[1]对照表!$X$27:$X$48)))))</f>
        <v>70</v>
      </c>
      <c r="S347" s="33">
        <f>ROUND(IF(IF($B347="高三",MIN(IF($E347="男",$Q347-3.2,$Q347-3.2),0),IF($B347="高二",MIN(IF($E347="男",$Q347-3.25,$Q347-3.22),0),IF($B347="高一",MIN(IF($E347="男",$Q347-3.3,$Q347-3.24),0))))&lt;-0.6,IF($B347="高三",MIN(IF($E347="男",$Q347-3.2,$Q347-3.2),0),IF($B347="高二",MIN(IF($E347="男",$Q347-3.25,$Q347-3.22),0),IF($B347="高一",MIN(IF($E347="男",$Q347-3.3,$Q347-3.24),0))))+0.4,IF($B347="高三",MIN(IF($E347="男",$Q347-3.2,$Q347-3.2),0),IF($B347="高二",MIN(IF($E347="男",$Q347-3.25,$Q347-3.22),0),IF($B347="高一",MIN(IF($E347="男",$Q347-3.3,$Q347-3.24),0))))),2)</f>
        <v>0</v>
      </c>
      <c r="T347" s="23">
        <f>IF(E347="男",LOOKUP($S347,[1]对照表!$AB$3:$AB$13,[1]对照表!$AC$3:$AC$13),LOOKUP($S347,[1]对照表!$AB$15:$AB$25,[1]对照表!$AC$15:$AC$25))</f>
        <v>0</v>
      </c>
      <c r="U347" s="26">
        <f>R347+T347</f>
        <v>70</v>
      </c>
      <c r="V347" s="26">
        <f>SUM(I347,K347,M347)/3*0.3+SUM(G347,R347)/2*0.4</f>
        <v>48.8</v>
      </c>
      <c r="W347" s="27">
        <f>O347+T347</f>
        <v>0</v>
      </c>
      <c r="X347" s="28">
        <f>V347/0.7+W347</f>
        <v>69.714285714285708</v>
      </c>
      <c r="Y347" s="28">
        <f>X347</f>
        <v>69.714285714285708</v>
      </c>
      <c r="Z347" s="62"/>
    </row>
    <row r="348" spans="1:26" ht="15.6" x14ac:dyDescent="0.25">
      <c r="A348" s="48">
        <v>21</v>
      </c>
      <c r="B348" s="17" t="s">
        <v>767</v>
      </c>
      <c r="C348" s="48">
        <v>207</v>
      </c>
      <c r="D348" s="49" t="s">
        <v>1404</v>
      </c>
      <c r="E348" s="48" t="s">
        <v>23</v>
      </c>
      <c r="F348" s="50">
        <v>8</v>
      </c>
      <c r="G348" s="32">
        <f>IF(B348="高三",IF($E348="男",LOOKUP(F348,[1]对照表!$G$3:$G$24,[1]对照表!$H$3:$H$24),LOOKUP(F348,[1]对照表!$G$27:$G$48,[1]对照表!$H$27:$H$48)),IF(B348="高二",IF($E348="男",LOOKUP(F348,[1]对照表!$F$3:$F$24,[1]对照表!$H$3:$H$24),LOOKUP(F348,[1]对照表!$F$27:$F$48,[1]对照表!$H$27:$H$48)),IF(B348="高一",IF($E348="男",LOOKUP(F348,[1]对照表!$E$3:$E$24,[1]对照表!$H$3:$H$24),LOOKUP(F348,[1]对照表!$E$27:$E$48,[1]对照表!$H$27:$H$48)))))</f>
        <v>74</v>
      </c>
      <c r="H348" s="38">
        <v>12</v>
      </c>
      <c r="I348" s="32">
        <f>IF(B348="高三",IF($E348="男",LOOKUP(H348,[1]对照表!$K$3:$K$24,[1]对照表!$L$3:$L$24),LOOKUP(H348,[1]对照表!$K$27:$K$48,[1]对照表!$L$27:$L$48)),IF(B348="高二",IF($E348="男",LOOKUP(H348,[1]对照表!$J$3:$J$24,[1]对照表!$L$3:$L$24),LOOKUP(H348,[1]对照表!$J$27:$J$48,[1]对照表!$L$27:$L$48)),IF(B348="高一",IF($E348="男",LOOKUP(H348,[1]对照表!$I$3:$I$24,[1]对照表!$L$3:$L$24),LOOKUP(H348,[1]对照表!$I$27:$I$48,[1]对照表!$L$27:$L$48)))))</f>
        <v>74</v>
      </c>
      <c r="J348" s="38">
        <v>227</v>
      </c>
      <c r="K348" s="32">
        <f>IF(B348="高三",IF($E348="男",LOOKUP(J348,[1]对照表!$O$3:$O$24,[1]对照表!$P$3:$P$24),LOOKUP(J348,[1]对照表!$O$27:$O$48,[1]对照表!$P$27:$P$48)),IF(B348="高二",IF($E348="男",LOOKUP(J348,[1]对照表!$N$3:$N$24,[1]对照表!$P$3:$P$24),LOOKUP(J348,[1]对照表!$N$27:$N$48,[1]对照表!$P$27:$P$48)),IF(B348="高一",IF($E348="男",LOOKUP(J348,[1]对照表!$M$3:$M$24,[1]对照表!$P$3:$P$24),LOOKUP(J348,[1]对照表!$M$27:$M$48,[1]对照表!$P$27:$P$48)))))</f>
        <v>72</v>
      </c>
      <c r="L348" s="38">
        <v>1</v>
      </c>
      <c r="M348" s="32">
        <f>IF(B348="高三",IF($E348="男",LOOKUP(L348,[1]对照表!$S$3:$S$24,[1]对照表!$T$3:$T$24),LOOKUP(L348,[1]对照表!$S$27:$S$48,[1]对照表!$T$27:$T$48)),IF(B348="高二",IF($E348="男",LOOKUP(L348,[1]对照表!$R$3:$R$24,[1]对照表!$T$3:$T$24),LOOKUP(L348,[1]对照表!$R$27:$R$48,[1]对照表!$T$27:$T$48)),IF(B348="高一",IF($E348="男",LOOKUP(L348,[1]对照表!$Q$3:$Q$24,[1]对照表!$T$3:$T$24),LOOKUP(L348,[1]对照表!$Q$27:$Q$48,[1]对照表!$T$27:$T$48)))))</f>
        <v>0</v>
      </c>
      <c r="N348" s="33">
        <f>IF(B348="高三",MAX(IF(E348="男",L348-18,L348-55),0),IF(B348="高二",MAX(IF(E348="男",L348-17,L348-54),0),IF(B348="高一",MAX(IF(E348="男",L348-16,L348-53),0))))</f>
        <v>0</v>
      </c>
      <c r="O348" s="23">
        <f>IF(E348="男",LOOKUP($N348,[1]对照表!$Z$3:$Z$13,[1]对照表!$AA$3:$AA$13),LOOKUP($N348,[1]对照表!$Z$15:$Z$25,[1]对照表!$AA$15:$AA$25))</f>
        <v>0</v>
      </c>
      <c r="P348" s="25">
        <f>M348+O348</f>
        <v>0</v>
      </c>
      <c r="Q348" s="50">
        <v>3.52</v>
      </c>
      <c r="R348" s="32">
        <f>IF(B348="高三",IF($E348="男",LOOKUP(Q348,[1]对照表!$W$3:$W$24,[1]对照表!$X$3:$X$24),LOOKUP(Q348,[1]对照表!$W$27:$W$48,[1]对照表!$X$27:$X$48)),IF(B348="高二",IF($E348="男",LOOKUP(Q348,[1]对照表!$V$3:$V$24,[1]对照表!$X$3:$X$24),LOOKUP(Q348,[1]对照表!$V$27:$V$48,[1]对照表!$X$27:$X$48)),IF(B348="高一",IF($E348="男",LOOKUP(Q348,[1]对照表!$U$3:$U$24,[1]对照表!$X$3:$X$24),LOOKUP(Q348,[1]对照表!$U$27:$U$48,[1]对照表!$X$27:$X$48)))))</f>
        <v>78</v>
      </c>
      <c r="S348" s="33">
        <f>ROUND(IF(IF($B348="高三",MIN(IF($E348="男",$Q348-3.2,$Q348-3.2),0),IF($B348="高二",MIN(IF($E348="男",$Q348-3.25,$Q348-3.22),0),IF($B348="高一",MIN(IF($E348="男",$Q348-3.3,$Q348-3.24),0))))&lt;-0.6,IF($B348="高三",MIN(IF($E348="男",$Q348-3.2,$Q348-3.2),0),IF($B348="高二",MIN(IF($E348="男",$Q348-3.25,$Q348-3.22),0),IF($B348="高一",MIN(IF($E348="男",$Q348-3.3,$Q348-3.24),0))))+0.4,IF($B348="高三",MIN(IF($E348="男",$Q348-3.2,$Q348-3.2),0),IF($B348="高二",MIN(IF($E348="男",$Q348-3.25,$Q348-3.22),0),IF($B348="高一",MIN(IF($E348="男",$Q348-3.3,$Q348-3.24),0))))),2)</f>
        <v>0</v>
      </c>
      <c r="T348" s="23">
        <f>IF(E348="男",LOOKUP($S348,[1]对照表!$AB$3:$AB$13,[1]对照表!$AC$3:$AC$13),LOOKUP($S348,[1]对照表!$AB$15:$AB$25,[1]对照表!$AC$15:$AC$25))</f>
        <v>0</v>
      </c>
      <c r="U348" s="26">
        <f>R348+T348</f>
        <v>78</v>
      </c>
      <c r="V348" s="26">
        <f>SUM(I348,K348,M348)/3*0.3+SUM(G348,R348)/2*0.4</f>
        <v>45</v>
      </c>
      <c r="W348" s="27">
        <f>O348+T348</f>
        <v>0</v>
      </c>
      <c r="X348" s="28">
        <f>V348/0.7+W348</f>
        <v>64.285714285714292</v>
      </c>
      <c r="Y348" s="28">
        <f>X348</f>
        <v>64.285714285714292</v>
      </c>
      <c r="Z348" s="38"/>
    </row>
    <row r="349" spans="1:26" ht="15.6" x14ac:dyDescent="0.25">
      <c r="A349" s="48">
        <v>9</v>
      </c>
      <c r="B349" s="17" t="s">
        <v>767</v>
      </c>
      <c r="C349" s="48">
        <v>207</v>
      </c>
      <c r="D349" s="49" t="s">
        <v>1413</v>
      </c>
      <c r="E349" s="48" t="s">
        <v>23</v>
      </c>
      <c r="F349" s="50">
        <v>7.8</v>
      </c>
      <c r="G349" s="32">
        <f>IF(B349="高三",IF($E349="男",LOOKUP(F349,[1]对照表!$G$3:$G$24,[1]对照表!$H$3:$H$24),LOOKUP(F349,[1]对照表!$G$27:$G$48,[1]对照表!$H$27:$H$48)),IF(B349="高二",IF($E349="男",LOOKUP(F349,[1]对照表!$F$3:$F$24,[1]对照表!$H$3:$H$24),LOOKUP(F349,[1]对照表!$F$27:$F$48,[1]对照表!$H$27:$H$48)),IF(B349="高一",IF($E349="男",LOOKUP(F349,[1]对照表!$E$3:$E$24,[1]对照表!$H$3:$H$24),LOOKUP(F349,[1]对照表!$E$27:$E$48,[1]对照表!$H$27:$H$48)))))</f>
        <v>76</v>
      </c>
      <c r="H349" s="38">
        <v>8</v>
      </c>
      <c r="I349" s="32">
        <f>IF(B349="高三",IF($E349="男",LOOKUP(H349,[1]对照表!$K$3:$K$24,[1]对照表!$L$3:$L$24),LOOKUP(H349,[1]对照表!$K$27:$K$48,[1]对照表!$L$27:$L$48)),IF(B349="高二",IF($E349="男",LOOKUP(H349,[1]对照表!$J$3:$J$24,[1]对照表!$L$3:$L$24),LOOKUP(H349,[1]对照表!$J$27:$J$48,[1]对照表!$L$27:$L$48)),IF(B349="高一",IF($E349="男",LOOKUP(H349,[1]对照表!$I$3:$I$24,[1]对照表!$L$3:$L$24),LOOKUP(H349,[1]对照表!$I$27:$I$48,[1]对照表!$L$27:$L$48)))))</f>
        <v>68</v>
      </c>
      <c r="J349" s="38">
        <v>227</v>
      </c>
      <c r="K349" s="32">
        <f>IF(B349="高三",IF($E349="男",LOOKUP(J349,[1]对照表!$O$3:$O$24,[1]对照表!$P$3:$P$24),LOOKUP(J349,[1]对照表!$O$27:$O$48,[1]对照表!$P$27:$P$48)),IF(B349="高二",IF($E349="男",LOOKUP(J349,[1]对照表!$N$3:$N$24,[1]对照表!$P$3:$P$24),LOOKUP(J349,[1]对照表!$N$27:$N$48,[1]对照表!$P$27:$P$48)),IF(B349="高一",IF($E349="男",LOOKUP(J349,[1]对照表!$M$3:$M$24,[1]对照表!$P$3:$P$24),LOOKUP(J349,[1]对照表!$M$27:$M$48,[1]对照表!$P$27:$P$48)))))</f>
        <v>72</v>
      </c>
      <c r="L349" s="38">
        <v>3</v>
      </c>
      <c r="M349" s="32">
        <f>IF(B349="高三",IF($E349="男",LOOKUP(L349,[1]对照表!$S$3:$S$24,[1]对照表!$T$3:$T$24),LOOKUP(L349,[1]对照表!$S$27:$S$48,[1]对照表!$T$27:$T$48)),IF(B349="高二",IF($E349="男",LOOKUP(L349,[1]对照表!$R$3:$R$24,[1]对照表!$T$3:$T$24),LOOKUP(L349,[1]对照表!$R$27:$R$48,[1]对照表!$T$27:$T$48)),IF(B349="高一",IF($E349="男",LOOKUP(L349,[1]对照表!$Q$3:$Q$24,[1]对照表!$T$3:$T$24),LOOKUP(L349,[1]对照表!$Q$27:$Q$48,[1]对照表!$T$27:$T$48)))))</f>
        <v>10</v>
      </c>
      <c r="N349" s="33">
        <f>IF(B349="高三",MAX(IF(E349="男",L349-18,L349-55),0),IF(B349="高二",MAX(IF(E349="男",L349-17,L349-54),0),IF(B349="高一",MAX(IF(E349="男",L349-16,L349-53),0))))</f>
        <v>0</v>
      </c>
      <c r="O349" s="23">
        <f>IF(E349="男",LOOKUP($N349,[1]对照表!$Z$3:$Z$13,[1]对照表!$AA$3:$AA$13),LOOKUP($N349,[1]对照表!$Z$15:$Z$25,[1]对照表!$AA$15:$AA$25))</f>
        <v>0</v>
      </c>
      <c r="P349" s="25">
        <f>M349+O349</f>
        <v>10</v>
      </c>
      <c r="Q349" s="50">
        <v>4.0999999999999996</v>
      </c>
      <c r="R349" s="32">
        <f>IF(B349="高三",IF($E349="男",LOOKUP(Q349,[1]对照表!$W$3:$W$24,[1]对照表!$X$3:$X$24),LOOKUP(Q349,[1]对照表!$W$27:$W$48,[1]对照表!$X$27:$X$48)),IF(B349="高二",IF($E349="男",LOOKUP(Q349,[1]对照表!$V$3:$V$24,[1]对照表!$X$3:$X$24),LOOKUP(Q349,[1]对照表!$V$27:$V$48,[1]对照表!$X$27:$X$48)),IF(B349="高一",IF($E349="男",LOOKUP(Q349,[1]对照表!$U$3:$U$24,[1]对照表!$X$3:$X$24),LOOKUP(Q349,[1]对照表!$U$27:$U$48,[1]对照表!$X$27:$X$48)))))</f>
        <v>72</v>
      </c>
      <c r="S349" s="33">
        <f>ROUND(IF(IF($B349="高三",MIN(IF($E349="男",$Q349-3.2,$Q349-3.2),0),IF($B349="高二",MIN(IF($E349="男",$Q349-3.25,$Q349-3.22),0),IF($B349="高一",MIN(IF($E349="男",$Q349-3.3,$Q349-3.24),0))))&lt;-0.6,IF($B349="高三",MIN(IF($E349="男",$Q349-3.2,$Q349-3.2),0),IF($B349="高二",MIN(IF($E349="男",$Q349-3.25,$Q349-3.22),0),IF($B349="高一",MIN(IF($E349="男",$Q349-3.3,$Q349-3.24),0))))+0.4,IF($B349="高三",MIN(IF($E349="男",$Q349-3.2,$Q349-3.2),0),IF($B349="高二",MIN(IF($E349="男",$Q349-3.25,$Q349-3.22),0),IF($B349="高一",MIN(IF($E349="男",$Q349-3.3,$Q349-3.24),0))))),2)</f>
        <v>0</v>
      </c>
      <c r="T349" s="23">
        <f>IF(E349="男",LOOKUP($S349,[1]对照表!$AB$3:$AB$13,[1]对照表!$AC$3:$AC$13),LOOKUP($S349,[1]对照表!$AB$15:$AB$25,[1]对照表!$AC$15:$AC$25))</f>
        <v>0</v>
      </c>
      <c r="U349" s="26">
        <f>R349+T349</f>
        <v>72</v>
      </c>
      <c r="V349" s="26">
        <f>SUM(I349,K349,M349)/3*0.3+SUM(G349,R349)/2*0.4</f>
        <v>44.6</v>
      </c>
      <c r="W349" s="27">
        <f>O349+T349</f>
        <v>0</v>
      </c>
      <c r="X349" s="28">
        <f>V349/0.7+W349</f>
        <v>63.714285714285722</v>
      </c>
      <c r="Y349" s="28">
        <f>X349</f>
        <v>63.714285714285722</v>
      </c>
      <c r="Z349" s="38"/>
    </row>
    <row r="350" spans="1:26" ht="15.6" x14ac:dyDescent="0.25">
      <c r="A350" s="48">
        <v>26</v>
      </c>
      <c r="B350" s="17" t="s">
        <v>767</v>
      </c>
      <c r="C350" s="48">
        <v>207</v>
      </c>
      <c r="D350" s="49" t="s">
        <v>1426</v>
      </c>
      <c r="E350" s="48" t="s">
        <v>23</v>
      </c>
      <c r="F350" s="50">
        <v>7.9</v>
      </c>
      <c r="G350" s="32">
        <f>IF(B350="高三",IF($E350="男",LOOKUP(F350,[1]对照表!$G$3:$G$24,[1]对照表!$H$3:$H$24),LOOKUP(F350,[1]对照表!$G$27:$G$48,[1]对照表!$H$27:$H$48)),IF(B350="高二",IF($E350="男",LOOKUP(F350,[1]对照表!$F$3:$F$24,[1]对照表!$H$3:$H$24),LOOKUP(F350,[1]对照表!$F$27:$F$48,[1]对照表!$H$27:$H$48)),IF(B350="高一",IF($E350="男",LOOKUP(F350,[1]对照表!$E$3:$E$24,[1]对照表!$H$3:$H$24),LOOKUP(F350,[1]对照表!$E$27:$E$48,[1]对照表!$H$27:$H$48)))))</f>
        <v>74</v>
      </c>
      <c r="H350" s="38">
        <v>6</v>
      </c>
      <c r="I350" s="32">
        <f>IF(B350="高三",IF($E350="男",LOOKUP(H350,[1]对照表!$K$3:$K$24,[1]对照表!$L$3:$L$24),LOOKUP(H350,[1]对照表!$K$27:$K$48,[1]对照表!$L$27:$L$48)),IF(B350="高二",IF($E350="男",LOOKUP(H350,[1]对照表!$J$3:$J$24,[1]对照表!$L$3:$L$24),LOOKUP(H350,[1]对照表!$J$27:$J$48,[1]对照表!$L$27:$L$48)),IF(B350="高一",IF($E350="男",LOOKUP(H350,[1]对照表!$I$3:$I$24,[1]对照表!$L$3:$L$24),LOOKUP(H350,[1]对照表!$I$27:$I$48,[1]对照表!$L$27:$L$48)))))</f>
        <v>64</v>
      </c>
      <c r="J350" s="38">
        <v>217</v>
      </c>
      <c r="K350" s="32">
        <f>IF(B350="高三",IF($E350="男",LOOKUP(J350,[1]对照表!$O$3:$O$24,[1]对照表!$P$3:$P$24),LOOKUP(J350,[1]对照表!$O$27:$O$48,[1]对照表!$P$27:$P$48)),IF(B350="高二",IF($E350="男",LOOKUP(J350,[1]对照表!$N$3:$N$24,[1]对照表!$P$3:$P$24),LOOKUP(J350,[1]对照表!$N$27:$N$48,[1]对照表!$P$27:$P$48)),IF(B350="高一",IF($E350="男",LOOKUP(J350,[1]对照表!$M$3:$M$24,[1]对照表!$P$3:$P$24),LOOKUP(J350,[1]对照表!$M$27:$M$48,[1]对照表!$P$27:$P$48)))))</f>
        <v>68</v>
      </c>
      <c r="L350" s="38">
        <v>4</v>
      </c>
      <c r="M350" s="32">
        <f>IF(B350="高三",IF($E350="男",LOOKUP(L350,[1]对照表!$S$3:$S$24,[1]对照表!$T$3:$T$24),LOOKUP(L350,[1]对照表!$S$27:$S$48,[1]对照表!$T$27:$T$48)),IF(B350="高二",IF($E350="男",LOOKUP(L350,[1]对照表!$R$3:$R$24,[1]对照表!$T$3:$T$24),LOOKUP(L350,[1]对照表!$R$27:$R$48,[1]对照表!$T$27:$T$48)),IF(B350="高一",IF($E350="男",LOOKUP(L350,[1]对照表!$Q$3:$Q$24,[1]对照表!$T$3:$T$24),LOOKUP(L350,[1]对照表!$Q$27:$Q$48,[1]对照表!$T$27:$T$48)))))</f>
        <v>20</v>
      </c>
      <c r="N350" s="33">
        <f>IF(B350="高三",MAX(IF(E350="男",L350-18,L350-55),0),IF(B350="高二",MAX(IF(E350="男",L350-17,L350-54),0),IF(B350="高一",MAX(IF(E350="男",L350-16,L350-53),0))))</f>
        <v>0</v>
      </c>
      <c r="O350" s="23">
        <f>IF(E350="男",LOOKUP($N350,[1]对照表!$Z$3:$Z$13,[1]对照表!$AA$3:$AA$13),LOOKUP($N350,[1]对照表!$Z$15:$Z$25,[1]对照表!$AA$15:$AA$25))</f>
        <v>0</v>
      </c>
      <c r="P350" s="25">
        <f>M350+O350</f>
        <v>20</v>
      </c>
      <c r="Q350" s="50">
        <v>4.28</v>
      </c>
      <c r="R350" s="32">
        <f>IF(B350="高三",IF($E350="男",LOOKUP(Q350,[1]对照表!$W$3:$W$24,[1]对照表!$X$3:$X$24),LOOKUP(Q350,[1]对照表!$W$27:$W$48,[1]对照表!$X$27:$X$48)),IF(B350="高二",IF($E350="男",LOOKUP(Q350,[1]对照表!$V$3:$V$24,[1]对照表!$X$3:$X$24),LOOKUP(Q350,[1]对照表!$V$27:$V$48,[1]对照表!$X$27:$X$48)),IF(B350="高一",IF($E350="男",LOOKUP(Q350,[1]对照表!$U$3:$U$24,[1]对照表!$X$3:$X$24),LOOKUP(Q350,[1]对照表!$U$27:$U$48,[1]对照表!$X$27:$X$48)))))</f>
        <v>64</v>
      </c>
      <c r="S350" s="33">
        <f>ROUND(IF(IF($B350="高三",MIN(IF($E350="男",$Q350-3.2,$Q350-3.2),0),IF($B350="高二",MIN(IF($E350="男",$Q350-3.25,$Q350-3.22),0),IF($B350="高一",MIN(IF($E350="男",$Q350-3.3,$Q350-3.24),0))))&lt;-0.6,IF($B350="高三",MIN(IF($E350="男",$Q350-3.2,$Q350-3.2),0),IF($B350="高二",MIN(IF($E350="男",$Q350-3.25,$Q350-3.22),0),IF($B350="高一",MIN(IF($E350="男",$Q350-3.3,$Q350-3.24),0))))+0.4,IF($B350="高三",MIN(IF($E350="男",$Q350-3.2,$Q350-3.2),0),IF($B350="高二",MIN(IF($E350="男",$Q350-3.25,$Q350-3.22),0),IF($B350="高一",MIN(IF($E350="男",$Q350-3.3,$Q350-3.24),0))))),2)</f>
        <v>0</v>
      </c>
      <c r="T350" s="23">
        <f>IF(E350="男",LOOKUP($S350,[1]对照表!$AB$3:$AB$13,[1]对照表!$AC$3:$AC$13),LOOKUP($S350,[1]对照表!$AB$15:$AB$25,[1]对照表!$AC$15:$AC$25))</f>
        <v>0</v>
      </c>
      <c r="U350" s="26">
        <f>R350+T350</f>
        <v>64</v>
      </c>
      <c r="V350" s="26">
        <f>SUM(I350,K350,M350)/3*0.3+SUM(G350,R350)/2*0.4</f>
        <v>42.8</v>
      </c>
      <c r="W350" s="27">
        <f>O350+T350</f>
        <v>0</v>
      </c>
      <c r="X350" s="28">
        <f>V350/0.7+W350</f>
        <v>61.142857142857146</v>
      </c>
      <c r="Y350" s="28">
        <f>X350</f>
        <v>61.142857142857146</v>
      </c>
      <c r="Z350" s="38"/>
    </row>
    <row r="351" spans="1:26" ht="15.6" x14ac:dyDescent="0.25">
      <c r="A351" s="48">
        <v>29</v>
      </c>
      <c r="B351" s="17" t="s">
        <v>767</v>
      </c>
      <c r="C351" s="48">
        <v>207</v>
      </c>
      <c r="D351" s="49" t="s">
        <v>1427</v>
      </c>
      <c r="E351" s="48" t="s">
        <v>23</v>
      </c>
      <c r="F351" s="50">
        <v>7.9</v>
      </c>
      <c r="G351" s="32">
        <f>IF(B351="高三",IF($E351="男",LOOKUP(F351,[1]对照表!$G$3:$G$24,[1]对照表!$H$3:$H$24),LOOKUP(F351,[1]对照表!$G$27:$G$48,[1]对照表!$H$27:$H$48)),IF(B351="高二",IF($E351="男",LOOKUP(F351,[1]对照表!$F$3:$F$24,[1]对照表!$H$3:$H$24),LOOKUP(F351,[1]对照表!$F$27:$F$48,[1]对照表!$H$27:$H$48)),IF(B351="高一",IF($E351="男",LOOKUP(F351,[1]对照表!$E$3:$E$24,[1]对照表!$H$3:$H$24),LOOKUP(F351,[1]对照表!$E$27:$E$48,[1]对照表!$H$27:$H$48)))))</f>
        <v>74</v>
      </c>
      <c r="H351" s="38">
        <v>1.6</v>
      </c>
      <c r="I351" s="32">
        <f>IF(B351="高三",IF($E351="男",LOOKUP(H351,[1]对照表!$K$3:$K$24,[1]对照表!$L$3:$L$24),LOOKUP(H351,[1]对照表!$K$27:$K$48,[1]对照表!$L$27:$L$48)),IF(B351="高二",IF($E351="男",LOOKUP(H351,[1]对照表!$J$3:$J$24,[1]对照表!$L$3:$L$24),LOOKUP(H351,[1]对照表!$J$27:$J$48,[1]对照表!$L$27:$L$48)),IF(B351="高一",IF($E351="男",LOOKUP(H351,[1]对照表!$I$3:$I$24,[1]对照表!$L$3:$L$24),LOOKUP(H351,[1]对照表!$I$27:$I$48,[1]对照表!$L$27:$L$48)))))</f>
        <v>50</v>
      </c>
      <c r="J351" s="38">
        <v>225</v>
      </c>
      <c r="K351" s="32">
        <f>IF(B351="高三",IF($E351="男",LOOKUP(J351,[1]对照表!$O$3:$O$24,[1]对照表!$P$3:$P$24),LOOKUP(J351,[1]对照表!$O$27:$O$48,[1]对照表!$P$27:$P$48)),IF(B351="高二",IF($E351="男",LOOKUP(J351,[1]对照表!$N$3:$N$24,[1]对照表!$P$3:$P$24),LOOKUP(J351,[1]对照表!$N$27:$N$48,[1]对照表!$P$27:$P$48)),IF(B351="高一",IF($E351="男",LOOKUP(J351,[1]对照表!$M$3:$M$24,[1]对照表!$P$3:$P$24),LOOKUP(J351,[1]对照表!$M$27:$M$48,[1]对照表!$P$27:$P$48)))))</f>
        <v>72</v>
      </c>
      <c r="L351" s="38">
        <v>0</v>
      </c>
      <c r="M351" s="32">
        <f>IF(B351="高三",IF($E351="男",LOOKUP(L351,[1]对照表!$S$3:$S$24,[1]对照表!$T$3:$T$24),LOOKUP(L351,[1]对照表!$S$27:$S$48,[1]对照表!$T$27:$T$48)),IF(B351="高二",IF($E351="男",LOOKUP(L351,[1]对照表!$R$3:$R$24,[1]对照表!$T$3:$T$24),LOOKUP(L351,[1]对照表!$R$27:$R$48,[1]对照表!$T$27:$T$48)),IF(B351="高一",IF($E351="男",LOOKUP(L351,[1]对照表!$Q$3:$Q$24,[1]对照表!$T$3:$T$24),LOOKUP(L351,[1]对照表!$Q$27:$Q$48,[1]对照表!$T$27:$T$48)))))</f>
        <v>0</v>
      </c>
      <c r="N351" s="33">
        <f>IF(B351="高三",MAX(IF(E351="男",L351-18,L351-55),0),IF(B351="高二",MAX(IF(E351="男",L351-17,L351-54),0),IF(B351="高一",MAX(IF(E351="男",L351-16,L351-53),0))))</f>
        <v>0</v>
      </c>
      <c r="O351" s="23">
        <f>IF(E351="男",LOOKUP($N351,[1]对照表!$Z$3:$Z$13,[1]对照表!$AA$3:$AA$13),LOOKUP($N351,[1]对照表!$Z$15:$Z$25,[1]对照表!$AA$15:$AA$25))</f>
        <v>0</v>
      </c>
      <c r="P351" s="25">
        <f>M351+O351</f>
        <v>0</v>
      </c>
      <c r="Q351" s="50">
        <v>3.53</v>
      </c>
      <c r="R351" s="32">
        <f>IF(B351="高三",IF($E351="男",LOOKUP(Q351,[1]对照表!$W$3:$W$24,[1]对照表!$X$3:$X$24),LOOKUP(Q351,[1]对照表!$W$27:$W$48,[1]对照表!$X$27:$X$48)),IF(B351="高二",IF($E351="男",LOOKUP(Q351,[1]对照表!$V$3:$V$24,[1]对照表!$X$3:$X$24),LOOKUP(Q351,[1]对照表!$V$27:$V$48,[1]对照表!$X$27:$X$48)),IF(B351="高一",IF($E351="男",LOOKUP(Q351,[1]对照表!$U$3:$U$24,[1]对照表!$X$3:$X$24),LOOKUP(Q351,[1]对照表!$U$27:$U$48,[1]对照表!$X$27:$X$48)))))</f>
        <v>78</v>
      </c>
      <c r="S351" s="33">
        <f>ROUND(IF(IF($B351="高三",MIN(IF($E351="男",$Q351-3.2,$Q351-3.2),0),IF($B351="高二",MIN(IF($E351="男",$Q351-3.25,$Q351-3.22),0),IF($B351="高一",MIN(IF($E351="男",$Q351-3.3,$Q351-3.24),0))))&lt;-0.6,IF($B351="高三",MIN(IF($E351="男",$Q351-3.2,$Q351-3.2),0),IF($B351="高二",MIN(IF($E351="男",$Q351-3.25,$Q351-3.22),0),IF($B351="高一",MIN(IF($E351="男",$Q351-3.3,$Q351-3.24),0))))+0.4,IF($B351="高三",MIN(IF($E351="男",$Q351-3.2,$Q351-3.2),0),IF($B351="高二",MIN(IF($E351="男",$Q351-3.25,$Q351-3.22),0),IF($B351="高一",MIN(IF($E351="男",$Q351-3.3,$Q351-3.24),0))))),2)</f>
        <v>0</v>
      </c>
      <c r="T351" s="23">
        <f>IF(E351="男",LOOKUP($S351,[1]对照表!$AB$3:$AB$13,[1]对照表!$AC$3:$AC$13),LOOKUP($S351,[1]对照表!$AB$15:$AB$25,[1]对照表!$AC$15:$AC$25))</f>
        <v>0</v>
      </c>
      <c r="U351" s="26">
        <f>R351+T351</f>
        <v>78</v>
      </c>
      <c r="V351" s="26">
        <f>SUM(I351,K351,M351)/3*0.3+SUM(G351,R351)/2*0.4</f>
        <v>42.6</v>
      </c>
      <c r="W351" s="27">
        <f>O351+T351</f>
        <v>0</v>
      </c>
      <c r="X351" s="28">
        <f>V351/0.7+W351</f>
        <v>60.857142857142861</v>
      </c>
      <c r="Y351" s="28">
        <f>X351</f>
        <v>60.857142857142861</v>
      </c>
      <c r="Z351" s="38"/>
    </row>
    <row r="352" spans="1:26" ht="15.6" x14ac:dyDescent="0.25">
      <c r="A352" s="48">
        <v>3</v>
      </c>
      <c r="B352" s="17" t="s">
        <v>767</v>
      </c>
      <c r="C352" s="48">
        <v>207</v>
      </c>
      <c r="D352" s="49" t="s">
        <v>1451</v>
      </c>
      <c r="E352" s="48" t="s">
        <v>23</v>
      </c>
      <c r="F352" s="50">
        <v>9</v>
      </c>
      <c r="G352" s="32">
        <f>IF(B352="高三",IF($E352="男",LOOKUP(F352,[1]对照表!$G$3:$G$24,[1]对照表!$H$3:$H$24),LOOKUP(F352,[1]对照表!$G$27:$G$48,[1]对照表!$H$27:$H$48)),IF(B352="高二",IF($E352="男",LOOKUP(F352,[1]对照表!$F$3:$F$24,[1]对照表!$H$3:$H$24),LOOKUP(F352,[1]对照表!$F$27:$F$48,[1]对照表!$H$27:$H$48)),IF(B352="高一",IF($E352="男",LOOKUP(F352,[1]对照表!$E$3:$E$24,[1]对照表!$H$3:$H$24),LOOKUP(F352,[1]对照表!$E$27:$E$48,[1]对照表!$H$27:$H$48)))))</f>
        <v>64</v>
      </c>
      <c r="H352" s="38">
        <v>20</v>
      </c>
      <c r="I352" s="32">
        <f>IF(B352="高三",IF($E352="男",LOOKUP(H352,[1]对照表!$K$3:$K$24,[1]对照表!$L$3:$L$24),LOOKUP(H352,[1]对照表!$K$27:$K$48,[1]对照表!$L$27:$L$48)),IF(B352="高二",IF($E352="男",LOOKUP(H352,[1]对照表!$J$3:$J$24,[1]对照表!$L$3:$L$24),LOOKUP(H352,[1]对照表!$J$27:$J$48,[1]对照表!$L$27:$L$48)),IF(B352="高一",IF($E352="男",LOOKUP(H352,[1]对照表!$I$3:$I$24,[1]对照表!$L$3:$L$24),LOOKUP(H352,[1]对照表!$I$27:$I$48,[1]对照表!$L$27:$L$48)))))</f>
        <v>85</v>
      </c>
      <c r="J352" s="38">
        <v>194</v>
      </c>
      <c r="K352" s="32">
        <f>IF(B352="高三",IF($E352="男",LOOKUP(J352,[1]对照表!$O$3:$O$24,[1]对照表!$P$3:$P$24),LOOKUP(J352,[1]对照表!$O$27:$O$48,[1]对照表!$P$27:$P$48)),IF(B352="高二",IF($E352="男",LOOKUP(J352,[1]对照表!$N$3:$N$24,[1]对照表!$P$3:$P$24),LOOKUP(J352,[1]对照表!$N$27:$N$48,[1]对照表!$P$27:$P$48)),IF(B352="高一",IF($E352="男",LOOKUP(J352,[1]对照表!$M$3:$M$24,[1]对照表!$P$3:$P$24),LOOKUP(J352,[1]对照表!$M$27:$M$48,[1]对照表!$P$27:$P$48)))))</f>
        <v>40</v>
      </c>
      <c r="L352" s="38">
        <v>1</v>
      </c>
      <c r="M352" s="32">
        <f>IF(B352="高三",IF($E352="男",LOOKUP(L352,[1]对照表!$S$3:$S$24,[1]对照表!$T$3:$T$24),LOOKUP(L352,[1]对照表!$S$27:$S$48,[1]对照表!$T$27:$T$48)),IF(B352="高二",IF($E352="男",LOOKUP(L352,[1]对照表!$R$3:$R$24,[1]对照表!$T$3:$T$24),LOOKUP(L352,[1]对照表!$R$27:$R$48,[1]对照表!$T$27:$T$48)),IF(B352="高一",IF($E352="男",LOOKUP(L352,[1]对照表!$Q$3:$Q$24,[1]对照表!$T$3:$T$24),LOOKUP(L352,[1]对照表!$Q$27:$Q$48,[1]对照表!$T$27:$T$48)))))</f>
        <v>0</v>
      </c>
      <c r="N352" s="33">
        <f>IF(B352="高三",MAX(IF(E352="男",L352-18,L352-55),0),IF(B352="高二",MAX(IF(E352="男",L352-17,L352-54),0),IF(B352="高一",MAX(IF(E352="男",L352-16,L352-53),0))))</f>
        <v>0</v>
      </c>
      <c r="O352" s="23">
        <f>IF(E352="男",LOOKUP($N352,[1]对照表!$Z$3:$Z$13,[1]对照表!$AA$3:$AA$13),LOOKUP($N352,[1]对照表!$Z$15:$Z$25,[1]对照表!$AA$15:$AA$25))</f>
        <v>0</v>
      </c>
      <c r="P352" s="25">
        <f>M352+O352</f>
        <v>0</v>
      </c>
      <c r="Q352" s="50">
        <v>4.57</v>
      </c>
      <c r="R352" s="32">
        <f>IF(B352="高三",IF($E352="男",LOOKUP(Q352,[1]对照表!$W$3:$W$24,[1]对照表!$X$3:$X$24),LOOKUP(Q352,[1]对照表!$W$27:$W$48,[1]对照表!$X$27:$X$48)),IF(B352="高二",IF($E352="男",LOOKUP(Q352,[1]对照表!$V$3:$V$24,[1]对照表!$X$3:$X$24),LOOKUP(Q352,[1]对照表!$V$27:$V$48,[1]对照表!$X$27:$X$48)),IF(B352="高一",IF($E352="男",LOOKUP(Q352,[1]对照表!$U$3:$U$24,[1]对照表!$X$3:$X$24),LOOKUP(Q352,[1]对照表!$U$27:$U$48,[1]对照表!$X$27:$X$48)))))</f>
        <v>50</v>
      </c>
      <c r="S352" s="33">
        <f>ROUND(IF(IF($B352="高三",MIN(IF($E352="男",$Q352-3.2,$Q352-3.2),0),IF($B352="高二",MIN(IF($E352="男",$Q352-3.25,$Q352-3.22),0),IF($B352="高一",MIN(IF($E352="男",$Q352-3.3,$Q352-3.24),0))))&lt;-0.6,IF($B352="高三",MIN(IF($E352="男",$Q352-3.2,$Q352-3.2),0),IF($B352="高二",MIN(IF($E352="男",$Q352-3.25,$Q352-3.22),0),IF($B352="高一",MIN(IF($E352="男",$Q352-3.3,$Q352-3.24),0))))+0.4,IF($B352="高三",MIN(IF($E352="男",$Q352-3.2,$Q352-3.2),0),IF($B352="高二",MIN(IF($E352="男",$Q352-3.25,$Q352-3.22),0),IF($B352="高一",MIN(IF($E352="男",$Q352-3.3,$Q352-3.24),0))))),2)</f>
        <v>0</v>
      </c>
      <c r="T352" s="23">
        <f>IF(E352="男",LOOKUP($S352,[1]对照表!$AB$3:$AB$13,[1]对照表!$AC$3:$AC$13),LOOKUP($S352,[1]对照表!$AB$15:$AB$25,[1]对照表!$AC$15:$AC$25))</f>
        <v>0</v>
      </c>
      <c r="U352" s="26">
        <f>R352+T352</f>
        <v>50</v>
      </c>
      <c r="V352" s="26">
        <f>SUM(I352,K352,M352)/3*0.3+SUM(G352,R352)/2*0.4</f>
        <v>35.299999999999997</v>
      </c>
      <c r="W352" s="27">
        <f>O352+T352</f>
        <v>0</v>
      </c>
      <c r="X352" s="28">
        <f>V352/0.7+W352</f>
        <v>50.428571428571431</v>
      </c>
      <c r="Y352" s="28">
        <f>X352</f>
        <v>50.428571428571431</v>
      </c>
      <c r="Z352" s="38"/>
    </row>
    <row r="353" spans="1:26" ht="15.6" x14ac:dyDescent="0.25">
      <c r="A353" s="48">
        <v>23</v>
      </c>
      <c r="B353" s="17" t="s">
        <v>767</v>
      </c>
      <c r="C353" s="48">
        <v>207</v>
      </c>
      <c r="D353" s="49" t="s">
        <v>1456</v>
      </c>
      <c r="E353" s="48" t="s">
        <v>23</v>
      </c>
      <c r="F353" s="50">
        <v>8.6999999999999993</v>
      </c>
      <c r="G353" s="32">
        <f>IF(B353="高三",IF($E353="男",LOOKUP(F353,[1]对照表!$G$3:$G$24,[1]对照表!$H$3:$H$24),LOOKUP(F353,[1]对照表!$G$27:$G$48,[1]对照表!$H$27:$H$48)),IF(B353="高二",IF($E353="男",LOOKUP(F353,[1]对照表!$F$3:$F$24,[1]对照表!$H$3:$H$24),LOOKUP(F353,[1]对照表!$F$27:$F$48,[1]对照表!$H$27:$H$48)),IF(B353="高一",IF($E353="男",LOOKUP(F353,[1]对照表!$E$3:$E$24,[1]对照表!$H$3:$H$24),LOOKUP(F353,[1]对照表!$E$27:$E$48,[1]对照表!$H$27:$H$48)))))</f>
        <v>66</v>
      </c>
      <c r="H353" s="38">
        <v>7.8</v>
      </c>
      <c r="I353" s="32">
        <f>IF(B353="高三",IF($E353="男",LOOKUP(H353,[1]对照表!$K$3:$K$24,[1]对照表!$L$3:$L$24),LOOKUP(H353,[1]对照表!$K$27:$K$48,[1]对照表!$L$27:$L$48)),IF(B353="高二",IF($E353="男",LOOKUP(H353,[1]对照表!$J$3:$J$24,[1]对照表!$L$3:$L$24),LOOKUP(H353,[1]对照表!$J$27:$J$48,[1]对照表!$L$27:$L$48)),IF(B353="高一",IF($E353="男",LOOKUP(H353,[1]对照表!$I$3:$I$24,[1]对照表!$L$3:$L$24),LOOKUP(H353,[1]对照表!$I$27:$I$48,[1]对照表!$L$27:$L$48)))))</f>
        <v>68</v>
      </c>
      <c r="J353" s="38">
        <v>190</v>
      </c>
      <c r="K353" s="32">
        <f>IF(B353="高三",IF($E353="男",LOOKUP(J353,[1]对照表!$O$3:$O$24,[1]对照表!$P$3:$P$24),LOOKUP(J353,[1]对照表!$O$27:$O$48,[1]对照表!$P$27:$P$48)),IF(B353="高二",IF($E353="男",LOOKUP(J353,[1]对照表!$N$3:$N$24,[1]对照表!$P$3:$P$24),LOOKUP(J353,[1]对照表!$N$27:$N$48,[1]对照表!$P$27:$P$48)),IF(B353="高一",IF($E353="男",LOOKUP(J353,[1]对照表!$M$3:$M$24,[1]对照表!$P$3:$P$24),LOOKUP(J353,[1]对照表!$M$27:$M$48,[1]对照表!$P$27:$P$48)))))</f>
        <v>40</v>
      </c>
      <c r="L353" s="38">
        <v>0</v>
      </c>
      <c r="M353" s="32">
        <f>IF(B353="高三",IF($E353="男",LOOKUP(L353,[1]对照表!$S$3:$S$24,[1]对照表!$T$3:$T$24),LOOKUP(L353,[1]对照表!$S$27:$S$48,[1]对照表!$T$27:$T$48)),IF(B353="高二",IF($E353="男",LOOKUP(L353,[1]对照表!$R$3:$R$24,[1]对照表!$T$3:$T$24),LOOKUP(L353,[1]对照表!$R$27:$R$48,[1]对照表!$T$27:$T$48)),IF(B353="高一",IF($E353="男",LOOKUP(L353,[1]对照表!$Q$3:$Q$24,[1]对照表!$T$3:$T$24),LOOKUP(L353,[1]对照表!$Q$27:$Q$48,[1]对照表!$T$27:$T$48)))))</f>
        <v>0</v>
      </c>
      <c r="N353" s="33">
        <f>IF(B353="高三",MAX(IF(E353="男",L353-18,L353-55),0),IF(B353="高二",MAX(IF(E353="男",L353-17,L353-54),0),IF(B353="高一",MAX(IF(E353="男",L353-16,L353-53),0))))</f>
        <v>0</v>
      </c>
      <c r="O353" s="23">
        <f>IF(E353="男",LOOKUP($N353,[1]对照表!$Z$3:$Z$13,[1]对照表!$AA$3:$AA$13),LOOKUP($N353,[1]对照表!$Z$15:$Z$25,[1]对照表!$AA$15:$AA$25))</f>
        <v>0</v>
      </c>
      <c r="P353" s="25">
        <f>M353+O353</f>
        <v>0</v>
      </c>
      <c r="Q353" s="50">
        <v>4.59</v>
      </c>
      <c r="R353" s="32">
        <f>IF(B353="高三",IF($E353="男",LOOKUP(Q353,[1]对照表!$W$3:$W$24,[1]对照表!$X$3:$X$24),LOOKUP(Q353,[1]对照表!$W$27:$W$48,[1]对照表!$X$27:$X$48)),IF(B353="高二",IF($E353="男",LOOKUP(Q353,[1]对照表!$V$3:$V$24,[1]对照表!$X$3:$X$24),LOOKUP(Q353,[1]对照表!$V$27:$V$48,[1]对照表!$X$27:$X$48)),IF(B353="高一",IF($E353="男",LOOKUP(Q353,[1]对照表!$U$3:$U$24,[1]对照表!$X$3:$X$24),LOOKUP(Q353,[1]对照表!$U$27:$U$48,[1]对照表!$X$27:$X$48)))))</f>
        <v>50</v>
      </c>
      <c r="S353" s="33">
        <f>ROUND(IF(IF($B353="高三",MIN(IF($E353="男",$Q353-3.2,$Q353-3.2),0),IF($B353="高二",MIN(IF($E353="男",$Q353-3.25,$Q353-3.22),0),IF($B353="高一",MIN(IF($E353="男",$Q353-3.3,$Q353-3.24),0))))&lt;-0.6,IF($B353="高三",MIN(IF($E353="男",$Q353-3.2,$Q353-3.2),0),IF($B353="高二",MIN(IF($E353="男",$Q353-3.25,$Q353-3.22),0),IF($B353="高一",MIN(IF($E353="男",$Q353-3.3,$Q353-3.24),0))))+0.4,IF($B353="高三",MIN(IF($E353="男",$Q353-3.2,$Q353-3.2),0),IF($B353="高二",MIN(IF($E353="男",$Q353-3.25,$Q353-3.22),0),IF($B353="高一",MIN(IF($E353="男",$Q353-3.3,$Q353-3.24),0))))),2)</f>
        <v>0</v>
      </c>
      <c r="T353" s="23">
        <f>IF(E353="男",LOOKUP($S353,[1]对照表!$AB$3:$AB$13,[1]对照表!$AC$3:$AC$13),LOOKUP($S353,[1]对照表!$AB$15:$AB$25,[1]对照表!$AC$15:$AC$25))</f>
        <v>0</v>
      </c>
      <c r="U353" s="26">
        <f>R353+T353</f>
        <v>50</v>
      </c>
      <c r="V353" s="26">
        <f>SUM(I353,K353,M353)/3*0.3+SUM(G353,R353)/2*0.4</f>
        <v>34</v>
      </c>
      <c r="W353" s="27">
        <f>O353+T353</f>
        <v>0</v>
      </c>
      <c r="X353" s="28">
        <f>V353/0.7+W353</f>
        <v>48.571428571428577</v>
      </c>
      <c r="Y353" s="29">
        <v>50</v>
      </c>
      <c r="Z353" s="38"/>
    </row>
    <row r="354" spans="1:26" ht="15.6" x14ac:dyDescent="0.25">
      <c r="A354" s="48">
        <v>1</v>
      </c>
      <c r="B354" s="17" t="s">
        <v>767</v>
      </c>
      <c r="C354" s="48">
        <v>207</v>
      </c>
      <c r="D354" s="49" t="s">
        <v>1484</v>
      </c>
      <c r="E354" s="48" t="s">
        <v>23</v>
      </c>
      <c r="F354" s="50"/>
      <c r="G354" s="20">
        <v>0</v>
      </c>
      <c r="H354" s="38"/>
      <c r="I354" s="20">
        <v>0</v>
      </c>
      <c r="J354" s="38"/>
      <c r="K354" s="20">
        <v>0</v>
      </c>
      <c r="L354" s="38"/>
      <c r="M354" s="20">
        <v>0</v>
      </c>
      <c r="N354" s="33">
        <f>IF(B354="高三",MAX(IF(E354="男",L354-18,L354-55),0),IF(B354="高二",MAX(IF(E354="男",L354-17,L354-54),0),IF(B354="高一",MAX(IF(E354="男",L354-16,L354-53),0))))</f>
        <v>0</v>
      </c>
      <c r="O354" s="23">
        <f>IF(E354="男",LOOKUP($N354,[1]对照表!$Z$3:$Z$13,[1]对照表!$AA$3:$AA$13),LOOKUP($N354,[1]对照表!$Z$15:$Z$25,[1]对照表!$AA$15:$AA$25))</f>
        <v>0</v>
      </c>
      <c r="P354" s="25">
        <f>M354+O354</f>
        <v>0</v>
      </c>
      <c r="Q354" s="50"/>
      <c r="R354" s="20">
        <v>0</v>
      </c>
      <c r="S354" s="22">
        <v>0</v>
      </c>
      <c r="T354" s="23">
        <f>IF(E354="男",LOOKUP($S354,[1]对照表!$AB$3:$AB$13,[1]对照表!$AC$3:$AC$13),LOOKUP($S354,[1]对照表!$AB$15:$AB$25,[1]对照表!$AC$15:$AC$25))</f>
        <v>0</v>
      </c>
      <c r="U354" s="26">
        <f>R354+T354</f>
        <v>0</v>
      </c>
      <c r="V354" s="26">
        <f>SUM(I354,K354,M354)/3*0.3+SUM(G354,R354)/2*0.4</f>
        <v>0</v>
      </c>
      <c r="W354" s="27">
        <f>O354+T354</f>
        <v>0</v>
      </c>
      <c r="X354" s="28">
        <f>V354/0.7+W354</f>
        <v>0</v>
      </c>
      <c r="Y354" s="29">
        <v>50</v>
      </c>
      <c r="Z354" s="38" t="s">
        <v>578</v>
      </c>
    </row>
    <row r="355" spans="1:26" ht="15.6" x14ac:dyDescent="0.25">
      <c r="A355" s="48">
        <v>5</v>
      </c>
      <c r="B355" s="17" t="s">
        <v>767</v>
      </c>
      <c r="C355" s="48">
        <v>207</v>
      </c>
      <c r="D355" s="49" t="s">
        <v>1485</v>
      </c>
      <c r="E355" s="48" t="s">
        <v>23</v>
      </c>
      <c r="F355" s="50"/>
      <c r="G355" s="20">
        <v>0</v>
      </c>
      <c r="H355" s="38"/>
      <c r="I355" s="20">
        <v>0</v>
      </c>
      <c r="J355" s="38"/>
      <c r="K355" s="20">
        <v>0</v>
      </c>
      <c r="L355" s="38"/>
      <c r="M355" s="20">
        <v>0</v>
      </c>
      <c r="N355" s="33">
        <f>IF(B355="高三",MAX(IF(E355="男",L355-18,L355-55),0),IF(B355="高二",MAX(IF(E355="男",L355-17,L355-54),0),IF(B355="高一",MAX(IF(E355="男",L355-16,L355-53),0))))</f>
        <v>0</v>
      </c>
      <c r="O355" s="23">
        <f>IF(E355="男",LOOKUP($N355,[1]对照表!$Z$3:$Z$13,[1]对照表!$AA$3:$AA$13),LOOKUP($N355,[1]对照表!$Z$15:$Z$25,[1]对照表!$AA$15:$AA$25))</f>
        <v>0</v>
      </c>
      <c r="P355" s="25">
        <f>M355+O355</f>
        <v>0</v>
      </c>
      <c r="Q355" s="50"/>
      <c r="R355" s="20">
        <v>0</v>
      </c>
      <c r="S355" s="22">
        <v>0</v>
      </c>
      <c r="T355" s="23">
        <f>IF(E355="男",LOOKUP($S355,[1]对照表!$AB$3:$AB$13,[1]对照表!$AC$3:$AC$13),LOOKUP($S355,[1]对照表!$AB$15:$AB$25,[1]对照表!$AC$15:$AC$25))</f>
        <v>0</v>
      </c>
      <c r="U355" s="26">
        <f>R355+T355</f>
        <v>0</v>
      </c>
      <c r="V355" s="26">
        <f>SUM(I355,K355,M355)/3*0.3+SUM(G355,R355)/2*0.4</f>
        <v>0</v>
      </c>
      <c r="W355" s="27">
        <f>O355+T355</f>
        <v>0</v>
      </c>
      <c r="X355" s="28">
        <f>V355/0.7+W355</f>
        <v>0</v>
      </c>
      <c r="Y355" s="29">
        <v>50</v>
      </c>
      <c r="Z355" s="38" t="s">
        <v>578</v>
      </c>
    </row>
    <row r="356" spans="1:26" ht="15.6" x14ac:dyDescent="0.25">
      <c r="A356" s="38">
        <v>14</v>
      </c>
      <c r="B356" s="17" t="s">
        <v>767</v>
      </c>
      <c r="C356" s="48">
        <v>207</v>
      </c>
      <c r="D356" s="49" t="s">
        <v>1486</v>
      </c>
      <c r="E356" s="48" t="s">
        <v>23</v>
      </c>
      <c r="F356" s="50"/>
      <c r="G356" s="20">
        <v>0</v>
      </c>
      <c r="H356" s="38"/>
      <c r="I356" s="20">
        <v>0</v>
      </c>
      <c r="J356" s="38"/>
      <c r="K356" s="20">
        <v>0</v>
      </c>
      <c r="L356" s="38"/>
      <c r="M356" s="20">
        <v>0</v>
      </c>
      <c r="N356" s="33">
        <f>IF(B356="高三",MAX(IF(E356="男",L356-18,L356-55),0),IF(B356="高二",MAX(IF(E356="男",L356-17,L356-54),0),IF(B356="高一",MAX(IF(E356="男",L356-16,L356-53),0))))</f>
        <v>0</v>
      </c>
      <c r="O356" s="23">
        <f>IF(E356="男",LOOKUP($N356,[1]对照表!$Z$3:$Z$13,[1]对照表!$AA$3:$AA$13),LOOKUP($N356,[1]对照表!$Z$15:$Z$25,[1]对照表!$AA$15:$AA$25))</f>
        <v>0</v>
      </c>
      <c r="P356" s="25">
        <f>M356+O356</f>
        <v>0</v>
      </c>
      <c r="Q356" s="50"/>
      <c r="R356" s="20">
        <v>0</v>
      </c>
      <c r="S356" s="20">
        <v>0</v>
      </c>
      <c r="T356" s="23">
        <f>IF(E356="男",LOOKUP($S356,[1]对照表!$AB$3:$AB$13,[1]对照表!$AC$3:$AC$13),LOOKUP($S356,[1]对照表!$AB$15:$AB$25,[1]对照表!$AC$15:$AC$25))</f>
        <v>0</v>
      </c>
      <c r="U356" s="26">
        <f>R356+T356</f>
        <v>0</v>
      </c>
      <c r="V356" s="26">
        <f>SUM(I356,K356,M356)/3*0.3+SUM(G356,R356)/2*0.4</f>
        <v>0</v>
      </c>
      <c r="W356" s="27">
        <f>O356+T356</f>
        <v>0</v>
      </c>
      <c r="X356" s="28">
        <f>V356/0.7+W356</f>
        <v>0</v>
      </c>
      <c r="Y356" s="29">
        <v>50</v>
      </c>
      <c r="Z356" s="38" t="s">
        <v>578</v>
      </c>
    </row>
    <row r="357" spans="1:26" ht="15.6" x14ac:dyDescent="0.25">
      <c r="A357" s="48">
        <v>43</v>
      </c>
      <c r="B357" s="17" t="s">
        <v>767</v>
      </c>
      <c r="C357" s="48">
        <v>207</v>
      </c>
      <c r="D357" s="49" t="s">
        <v>1487</v>
      </c>
      <c r="E357" s="48" t="s">
        <v>65</v>
      </c>
      <c r="F357" s="50"/>
      <c r="G357" s="20">
        <v>0</v>
      </c>
      <c r="H357" s="38"/>
      <c r="I357" s="20">
        <v>0</v>
      </c>
      <c r="J357" s="38"/>
      <c r="K357" s="20">
        <v>0</v>
      </c>
      <c r="L357" s="38"/>
      <c r="M357" s="20">
        <v>0</v>
      </c>
      <c r="N357" s="33">
        <f>IF(B357="高三",MAX(IF(E357="男",L357-18,L357-55),0),IF(B357="高二",MAX(IF(E357="男",L357-17,L357-54),0),IF(B357="高一",MAX(IF(E357="男",L357-16,L357-53),0))))</f>
        <v>0</v>
      </c>
      <c r="O357" s="23">
        <f>IF(E357="男",LOOKUP($N357,[1]对照表!$Z$3:$Z$13,[1]对照表!$AA$3:$AA$13),LOOKUP($N357,[1]对照表!$Z$15:$Z$25,[1]对照表!$AA$15:$AA$25))</f>
        <v>0</v>
      </c>
      <c r="P357" s="25">
        <f>M357+O357</f>
        <v>0</v>
      </c>
      <c r="Q357" s="50"/>
      <c r="R357" s="20">
        <v>0</v>
      </c>
      <c r="S357" s="22">
        <v>0</v>
      </c>
      <c r="T357" s="23">
        <f>IF(E357="男",LOOKUP($S357,[1]对照表!$AB$3:$AB$13,[1]对照表!$AC$3:$AC$13),LOOKUP($S357,[1]对照表!$AB$15:$AB$25,[1]对照表!$AC$15:$AC$25))</f>
        <v>0</v>
      </c>
      <c r="U357" s="26">
        <f>R357+T357</f>
        <v>0</v>
      </c>
      <c r="V357" s="26">
        <f>SUM(I357,K357,M357)/3*0.3+SUM(G357,R357)/2*0.4</f>
        <v>0</v>
      </c>
      <c r="W357" s="27">
        <f>O357+T357</f>
        <v>0</v>
      </c>
      <c r="X357" s="28">
        <f>V357/0.7+W357</f>
        <v>0</v>
      </c>
      <c r="Y357" s="29">
        <v>50</v>
      </c>
      <c r="Z357" s="38" t="s">
        <v>578</v>
      </c>
    </row>
    <row r="358" spans="1:26" ht="15.6" x14ac:dyDescent="0.25">
      <c r="A358" s="48">
        <v>30</v>
      </c>
      <c r="B358" s="17" t="s">
        <v>767</v>
      </c>
      <c r="C358" s="38">
        <v>208</v>
      </c>
      <c r="D358" s="49" t="s">
        <v>770</v>
      </c>
      <c r="E358" s="48" t="s">
        <v>65</v>
      </c>
      <c r="F358" s="50">
        <v>7.91</v>
      </c>
      <c r="G358" s="32">
        <f>IF(B358="高三",IF($E358="男",LOOKUP(F358,[1]对照表!$G$3:$G$24,[1]对照表!$H$3:$H$24),LOOKUP(F358,[1]对照表!$G$27:$G$48,[1]对照表!$H$27:$H$48)),IF(B358="高二",IF($E358="男",LOOKUP(F358,[1]对照表!$F$3:$F$24,[1]对照表!$H$3:$H$24),LOOKUP(F358,[1]对照表!$F$27:$F$48,[1]对照表!$H$27:$H$48)),IF(B358="高一",IF($E358="男",LOOKUP(F358,[1]对照表!$E$3:$E$24,[1]对照表!$H$3:$H$24),LOOKUP(F358,[1]对照表!$E$27:$E$48,[1]对照表!$H$27:$H$48)))))</f>
        <v>85</v>
      </c>
      <c r="H358" s="38">
        <v>25.6</v>
      </c>
      <c r="I358" s="32">
        <f>IF(B358="高三",IF($E358="男",LOOKUP(H358,[1]对照表!$K$3:$K$24,[1]对照表!$L$3:$L$24),LOOKUP(H358,[1]对照表!$K$27:$K$48,[1]对照表!$L$27:$L$48)),IF(B358="高二",IF($E358="男",LOOKUP(H358,[1]对照表!$J$3:$J$24,[1]对照表!$L$3:$L$24),LOOKUP(H358,[1]对照表!$J$27:$J$48,[1]对照表!$L$27:$L$48)),IF(B358="高一",IF($E358="男",LOOKUP(H358,[1]对照表!$I$3:$I$24,[1]对照表!$L$3:$L$24),LOOKUP(H358,[1]对照表!$I$27:$I$48,[1]对照表!$L$27:$L$48)))))</f>
        <v>100</v>
      </c>
      <c r="J358" s="38">
        <v>205</v>
      </c>
      <c r="K358" s="32">
        <f>IF(B358="高三",IF($E358="男",LOOKUP(J358,[1]对照表!$O$3:$O$24,[1]对照表!$P$3:$P$24),LOOKUP(J358,[1]对照表!$O$27:$O$48,[1]对照表!$P$27:$P$48)),IF(B358="高二",IF($E358="男",LOOKUP(J358,[1]对照表!$N$3:$N$24,[1]对照表!$P$3:$P$24),LOOKUP(J358,[1]对照表!$N$27:$N$48,[1]对照表!$P$27:$P$48)),IF(B358="高一",IF($E358="男",LOOKUP(J358,[1]对照表!$M$3:$M$24,[1]对照表!$P$3:$P$24),LOOKUP(J358,[1]对照表!$M$27:$M$48,[1]对照表!$P$27:$P$48)))))</f>
        <v>100</v>
      </c>
      <c r="L358" s="38">
        <v>71</v>
      </c>
      <c r="M358" s="32">
        <f>IF(B358="高三",IF($E358="男",LOOKUP(L358,[1]对照表!$S$3:$S$24,[1]对照表!$T$3:$T$24),LOOKUP(L358,[1]对照表!$S$27:$S$48,[1]对照表!$T$27:$T$48)),IF(B358="高二",IF($E358="男",LOOKUP(L358,[1]对照表!$R$3:$R$24,[1]对照表!$T$3:$T$24),LOOKUP(L358,[1]对照表!$R$27:$R$48,[1]对照表!$T$27:$T$48)),IF(B358="高一",IF($E358="男",LOOKUP(L358,[1]对照表!$Q$3:$Q$24,[1]对照表!$T$3:$T$24),LOOKUP(L358,[1]对照表!$Q$27:$Q$48,[1]对照表!$T$27:$T$48)))))</f>
        <v>100</v>
      </c>
      <c r="N358" s="33">
        <f>IF(B358="高三",MAX(IF(E358="男",L358-18,L358-55),0),IF(B358="高二",MAX(IF(E358="男",L358-17,L358-54),0),IF(B358="高一",MAX(IF(E358="男",L358-16,L358-53),0))))</f>
        <v>17</v>
      </c>
      <c r="O358" s="23">
        <f>IF(E358="男",LOOKUP($N358,[1]对照表!$Z$3:$Z$13,[1]对照表!$AA$3:$AA$13),LOOKUP($N358,[1]对照表!$Z$15:$Z$25,[1]对照表!$AA$15:$AA$25))</f>
        <v>10</v>
      </c>
      <c r="P358" s="25">
        <f>M358+O358</f>
        <v>110</v>
      </c>
      <c r="Q358" s="50">
        <v>3.19</v>
      </c>
      <c r="R358" s="32">
        <f>IF(B358="高三",IF($E358="男",LOOKUP(Q358,[1]对照表!$W$3:$W$24,[1]对照表!$X$3:$X$24),LOOKUP(Q358,[1]对照表!$W$27:$W$48,[1]对照表!$X$27:$X$48)),IF(B358="高二",IF($E358="男",LOOKUP(Q358,[1]对照表!$V$3:$V$24,[1]对照表!$X$3:$X$24),LOOKUP(Q358,[1]对照表!$V$27:$V$48,[1]对照表!$X$27:$X$48)),IF(B358="高一",IF($E358="男",LOOKUP(Q358,[1]对照表!$U$3:$U$24,[1]对照表!$X$3:$X$24),LOOKUP(Q358,[1]对照表!$U$27:$U$48,[1]对照表!$X$27:$X$48)))))</f>
        <v>100</v>
      </c>
      <c r="S358" s="33">
        <f>ROUND(IF(IF($B358="高三",MIN(IF($E358="男",$Q358-3.2,$Q358-3.2),0),IF($B358="高二",MIN(IF($E358="男",$Q358-3.25,$Q358-3.22),0),IF($B358="高一",MIN(IF($E358="男",$Q358-3.3,$Q358-3.24),0))))&lt;-0.6,IF($B358="高三",MIN(IF($E358="男",$Q358-3.2,$Q358-3.2),0),IF($B358="高二",MIN(IF($E358="男",$Q358-3.25,$Q358-3.22),0),IF($B358="高一",MIN(IF($E358="男",$Q358-3.3,$Q358-3.24),0))))+0.4,IF($B358="高三",MIN(IF($E358="男",$Q358-3.2,$Q358-3.2),0),IF($B358="高二",MIN(IF($E358="男",$Q358-3.25,$Q358-3.22),0),IF($B358="高一",MIN(IF($E358="男",$Q358-3.3,$Q358-3.24),0))))),2)</f>
        <v>-0.03</v>
      </c>
      <c r="T358" s="23">
        <f>IF(E358="男",LOOKUP($S358,[1]对照表!$AB$3:$AB$13,[1]对照表!$AC$3:$AC$13),LOOKUP($S358,[1]对照表!$AB$15:$AB$25,[1]对照表!$AC$15:$AC$25))</f>
        <v>0</v>
      </c>
      <c r="U358" s="26">
        <f>R358+T358</f>
        <v>100</v>
      </c>
      <c r="V358" s="26">
        <f>SUM(I358,K358,M358)/3*0.3+SUM(G358,R358)/2*0.4</f>
        <v>67</v>
      </c>
      <c r="W358" s="27">
        <f>O358+T358</f>
        <v>10</v>
      </c>
      <c r="X358" s="28">
        <f>V358/0.7+W358</f>
        <v>105.71428571428572</v>
      </c>
      <c r="Y358" s="28">
        <f>X358</f>
        <v>105.71428571428572</v>
      </c>
      <c r="Z358" s="38"/>
    </row>
    <row r="359" spans="1:26" ht="15.6" x14ac:dyDescent="0.25">
      <c r="A359" s="48">
        <v>23</v>
      </c>
      <c r="B359" s="17" t="s">
        <v>767</v>
      </c>
      <c r="C359" s="38">
        <v>208</v>
      </c>
      <c r="D359" s="49" t="s">
        <v>774</v>
      </c>
      <c r="E359" s="38" t="s">
        <v>23</v>
      </c>
      <c r="F359" s="50">
        <v>6.9</v>
      </c>
      <c r="G359" s="32">
        <f>IF(B359="高三",IF($E359="男",LOOKUP(F359,[1]对照表!$G$3:$G$24,[1]对照表!$H$3:$H$24),LOOKUP(F359,[1]对照表!$G$27:$G$48,[1]对照表!$H$27:$H$48)),IF(B359="高二",IF($E359="男",LOOKUP(F359,[1]对照表!$F$3:$F$24,[1]对照表!$H$3:$H$24),LOOKUP(F359,[1]对照表!$F$27:$F$48,[1]对照表!$H$27:$H$48)),IF(B359="高一",IF($E359="男",LOOKUP(F359,[1]对照表!$E$3:$E$24,[1]对照表!$H$3:$H$24),LOOKUP(F359,[1]对照表!$E$27:$E$48,[1]对照表!$H$27:$H$48)))))</f>
        <v>100</v>
      </c>
      <c r="H359" s="38">
        <v>27</v>
      </c>
      <c r="I359" s="32">
        <f>IF(B359="高三",IF($E359="男",LOOKUP(H359,[1]对照表!$K$3:$K$24,[1]对照表!$L$3:$L$24),LOOKUP(H359,[1]对照表!$K$27:$K$48,[1]对照表!$L$27:$L$48)),IF(B359="高二",IF($E359="男",LOOKUP(H359,[1]对照表!$J$3:$J$24,[1]对照表!$L$3:$L$24),LOOKUP(H359,[1]对照表!$J$27:$J$48,[1]对照表!$L$27:$L$48)),IF(B359="高一",IF($E359="男",LOOKUP(H359,[1]对照表!$I$3:$I$24,[1]对照表!$L$3:$L$24),LOOKUP(H359,[1]对照表!$I$27:$I$48,[1]对照表!$L$27:$L$48)))))</f>
        <v>100</v>
      </c>
      <c r="J359" s="38">
        <v>255</v>
      </c>
      <c r="K359" s="32">
        <f>IF(B359="高三",IF($E359="男",LOOKUP(J359,[1]对照表!$O$3:$O$24,[1]对照表!$P$3:$P$24),LOOKUP(J359,[1]对照表!$O$27:$O$48,[1]对照表!$P$27:$P$48)),IF(B359="高二",IF($E359="男",LOOKUP(J359,[1]对照表!$N$3:$N$24,[1]对照表!$P$3:$P$24),LOOKUP(J359,[1]对照表!$N$27:$N$48,[1]对照表!$P$27:$P$48)),IF(B359="高一",IF($E359="男",LOOKUP(J359,[1]对照表!$M$3:$M$24,[1]对照表!$P$3:$P$24),LOOKUP(J359,[1]对照表!$M$27:$M$48,[1]对照表!$P$27:$P$48)))))</f>
        <v>90</v>
      </c>
      <c r="L359" s="38">
        <v>27</v>
      </c>
      <c r="M359" s="32">
        <f>IF(B359="高三",IF($E359="男",LOOKUP(L359,[1]对照表!$S$3:$S$24,[1]对照表!$T$3:$T$24),LOOKUP(L359,[1]对照表!$S$27:$S$48,[1]对照表!$T$27:$T$48)),IF(B359="高二",IF($E359="男",LOOKUP(L359,[1]对照表!$R$3:$R$24,[1]对照表!$T$3:$T$24),LOOKUP(L359,[1]对照表!$R$27:$R$48,[1]对照表!$T$27:$T$48)),IF(B359="高一",IF($E359="男",LOOKUP(L359,[1]对照表!$Q$3:$Q$24,[1]对照表!$T$3:$T$24),LOOKUP(L359,[1]对照表!$Q$27:$Q$48,[1]对照表!$T$27:$T$48)))))</f>
        <v>100</v>
      </c>
      <c r="N359" s="33">
        <f>IF(B359="高三",MAX(IF(E359="男",L359-18,L359-55),0),IF(B359="高二",MAX(IF(E359="男",L359-17,L359-54),0),IF(B359="高一",MAX(IF(E359="男",L359-16,L359-53),0))))</f>
        <v>10</v>
      </c>
      <c r="O359" s="23">
        <f>IF(E359="男",LOOKUP($N359,[1]对照表!$Z$3:$Z$13,[1]对照表!$AA$3:$AA$13),LOOKUP($N359,[1]对照表!$Z$15:$Z$25,[1]对照表!$AA$15:$AA$25))</f>
        <v>10</v>
      </c>
      <c r="P359" s="25">
        <f>M359+O359</f>
        <v>110</v>
      </c>
      <c r="Q359" s="50">
        <v>3.13</v>
      </c>
      <c r="R359" s="32">
        <f>IF(B359="高三",IF($E359="男",LOOKUP(Q359,[1]对照表!$W$3:$W$24,[1]对照表!$X$3:$X$24),LOOKUP(Q359,[1]对照表!$W$27:$W$48,[1]对照表!$X$27:$X$48)),IF(B359="高二",IF($E359="男",LOOKUP(Q359,[1]对照表!$V$3:$V$24,[1]对照表!$X$3:$X$24),LOOKUP(Q359,[1]对照表!$V$27:$V$48,[1]对照表!$X$27:$X$48)),IF(B359="高一",IF($E359="男",LOOKUP(Q359,[1]对照表!$U$3:$U$24,[1]对照表!$X$3:$X$24),LOOKUP(Q359,[1]对照表!$U$27:$U$48,[1]对照表!$X$27:$X$48)))))</f>
        <v>100</v>
      </c>
      <c r="S359" s="33">
        <f>ROUND(IF(IF($B359="高三",MIN(IF($E359="男",$Q359-3.2,$Q359-3.2),0),IF($B359="高二",MIN(IF($E359="男",$Q359-3.25,$Q359-3.22),0),IF($B359="高一",MIN(IF($E359="男",$Q359-3.3,$Q359-3.24),0))))&lt;-0.6,IF($B359="高三",MIN(IF($E359="男",$Q359-3.2,$Q359-3.2),0),IF($B359="高二",MIN(IF($E359="男",$Q359-3.25,$Q359-3.22),0),IF($B359="高一",MIN(IF($E359="男",$Q359-3.3,$Q359-3.24),0))))+0.4,IF($B359="高三",MIN(IF($E359="男",$Q359-3.2,$Q359-3.2),0),IF($B359="高二",MIN(IF($E359="男",$Q359-3.25,$Q359-3.22),0),IF($B359="高一",MIN(IF($E359="男",$Q359-3.3,$Q359-3.24),0))))),2)</f>
        <v>-0.12</v>
      </c>
      <c r="T359" s="23">
        <f>IF(E359="男",LOOKUP($S359,[1]对照表!$AB$3:$AB$13,[1]对照表!$AC$3:$AC$13),LOOKUP($S359,[1]对照表!$AB$15:$AB$25,[1]对照表!$AC$15:$AC$25))</f>
        <v>3</v>
      </c>
      <c r="U359" s="26">
        <f>R359+T359</f>
        <v>103</v>
      </c>
      <c r="V359" s="26">
        <f>SUM(I359,K359,M359)/3*0.3+SUM(G359,R359)/2*0.4</f>
        <v>69</v>
      </c>
      <c r="W359" s="27">
        <f>O359+T359</f>
        <v>13</v>
      </c>
      <c r="X359" s="28">
        <f>V359/0.7+W359</f>
        <v>111.57142857142858</v>
      </c>
      <c r="Y359" s="28">
        <f>X359</f>
        <v>111.57142857142858</v>
      </c>
      <c r="Z359" s="38"/>
    </row>
    <row r="360" spans="1:26" ht="15.6" x14ac:dyDescent="0.25">
      <c r="A360" s="48">
        <v>13</v>
      </c>
      <c r="B360" s="17" t="s">
        <v>767</v>
      </c>
      <c r="C360" s="38">
        <v>208</v>
      </c>
      <c r="D360" s="49" t="s">
        <v>790</v>
      </c>
      <c r="E360" s="38" t="s">
        <v>23</v>
      </c>
      <c r="F360" s="50">
        <v>6.7</v>
      </c>
      <c r="G360" s="32">
        <f>IF(B360="高三",IF($E360="男",LOOKUP(F360,[1]对照表!$G$3:$G$24,[1]对照表!$H$3:$H$24),LOOKUP(F360,[1]对照表!$G$27:$G$48,[1]对照表!$H$27:$H$48)),IF(B360="高二",IF($E360="男",LOOKUP(F360,[1]对照表!$F$3:$F$24,[1]对照表!$H$3:$H$24),LOOKUP(F360,[1]对照表!$F$27:$F$48,[1]对照表!$H$27:$H$48)),IF(B360="高一",IF($E360="男",LOOKUP(F360,[1]对照表!$E$3:$E$24,[1]对照表!$H$3:$H$24),LOOKUP(F360,[1]对照表!$E$27:$E$48,[1]对照表!$H$27:$H$48)))))</f>
        <v>100</v>
      </c>
      <c r="H360" s="38">
        <v>27.3</v>
      </c>
      <c r="I360" s="32">
        <f>IF(B360="高三",IF($E360="男",LOOKUP(H360,[1]对照表!$K$3:$K$24,[1]对照表!$L$3:$L$24),LOOKUP(H360,[1]对照表!$K$27:$K$48,[1]对照表!$L$27:$L$48)),IF(B360="高二",IF($E360="男",LOOKUP(H360,[1]对照表!$J$3:$J$24,[1]对照表!$L$3:$L$24),LOOKUP(H360,[1]对照表!$J$27:$J$48,[1]对照表!$L$27:$L$48)),IF(B360="高一",IF($E360="男",LOOKUP(H360,[1]对照表!$I$3:$I$24,[1]对照表!$L$3:$L$24),LOOKUP(H360,[1]对照表!$I$27:$I$48,[1]对照表!$L$27:$L$48)))))</f>
        <v>100</v>
      </c>
      <c r="J360" s="38">
        <v>260</v>
      </c>
      <c r="K360" s="32">
        <f>IF(B360="高三",IF($E360="男",LOOKUP(J360,[1]对照表!$O$3:$O$24,[1]对照表!$P$3:$P$24),LOOKUP(J360,[1]对照表!$O$27:$O$48,[1]对照表!$P$27:$P$48)),IF(B360="高二",IF($E360="男",LOOKUP(J360,[1]对照表!$N$3:$N$24,[1]对照表!$P$3:$P$24),LOOKUP(J360,[1]对照表!$N$27:$N$48,[1]对照表!$P$27:$P$48)),IF(B360="高一",IF($E360="男",LOOKUP(J360,[1]对照表!$M$3:$M$24,[1]对照表!$P$3:$P$24),LOOKUP(J360,[1]对照表!$M$27:$M$48,[1]对照表!$P$27:$P$48)))))</f>
        <v>95</v>
      </c>
      <c r="L360" s="38">
        <v>18</v>
      </c>
      <c r="M360" s="32">
        <f>IF(B360="高三",IF($E360="男",LOOKUP(L360,[1]对照表!$S$3:$S$24,[1]对照表!$T$3:$T$24),LOOKUP(L360,[1]对照表!$S$27:$S$48,[1]对照表!$T$27:$T$48)),IF(B360="高二",IF($E360="男",LOOKUP(L360,[1]对照表!$R$3:$R$24,[1]对照表!$T$3:$T$24),LOOKUP(L360,[1]对照表!$R$27:$R$48,[1]对照表!$T$27:$T$48)),IF(B360="高一",IF($E360="男",LOOKUP(L360,[1]对照表!$Q$3:$Q$24,[1]对照表!$T$3:$T$24),LOOKUP(L360,[1]对照表!$Q$27:$Q$48,[1]对照表!$T$27:$T$48)))))</f>
        <v>100</v>
      </c>
      <c r="N360" s="33">
        <f>IF(B360="高三",MAX(IF(E360="男",L360-18,L360-55),0),IF(B360="高二",MAX(IF(E360="男",L360-17,L360-54),0),IF(B360="高一",MAX(IF(E360="男",L360-16,L360-53),0))))</f>
        <v>1</v>
      </c>
      <c r="O360" s="23">
        <f>IF(E360="男",LOOKUP($N360,[1]对照表!$Z$3:$Z$13,[1]对照表!$AA$3:$AA$13),LOOKUP($N360,[1]对照表!$Z$15:$Z$25,[1]对照表!$AA$15:$AA$25))</f>
        <v>1</v>
      </c>
      <c r="P360" s="25">
        <f>M360+O360</f>
        <v>101</v>
      </c>
      <c r="Q360" s="50">
        <v>3.04</v>
      </c>
      <c r="R360" s="32">
        <f>IF(B360="高三",IF($E360="男",LOOKUP(Q360,[1]对照表!$W$3:$W$24,[1]对照表!$X$3:$X$24),LOOKUP(Q360,[1]对照表!$W$27:$W$48,[1]对照表!$X$27:$X$48)),IF(B360="高二",IF($E360="男",LOOKUP(Q360,[1]对照表!$V$3:$V$24,[1]对照表!$X$3:$X$24),LOOKUP(Q360,[1]对照表!$V$27:$V$48,[1]对照表!$X$27:$X$48)),IF(B360="高一",IF($E360="男",LOOKUP(Q360,[1]对照表!$U$3:$U$24,[1]对照表!$X$3:$X$24),LOOKUP(Q360,[1]对照表!$U$27:$U$48,[1]对照表!$X$27:$X$48)))))</f>
        <v>100</v>
      </c>
      <c r="S360" s="33">
        <f>ROUND(IF(IF($B360="高三",MIN(IF($E360="男",$Q360-3.2,$Q360-3.2),0),IF($B360="高二",MIN(IF($E360="男",$Q360-3.25,$Q360-3.22),0),IF($B360="高一",MIN(IF($E360="男",$Q360-3.3,$Q360-3.24),0))))&lt;-0.6,IF($B360="高三",MIN(IF($E360="男",$Q360-3.2,$Q360-3.2),0),IF($B360="高二",MIN(IF($E360="男",$Q360-3.25,$Q360-3.22),0),IF($B360="高一",MIN(IF($E360="男",$Q360-3.3,$Q360-3.24),0))))+0.4,IF($B360="高三",MIN(IF($E360="男",$Q360-3.2,$Q360-3.2),0),IF($B360="高二",MIN(IF($E360="男",$Q360-3.25,$Q360-3.22),0),IF($B360="高一",MIN(IF($E360="男",$Q360-3.3,$Q360-3.24),0))))),2)</f>
        <v>-0.21</v>
      </c>
      <c r="T360" s="23">
        <f>IF(E360="男",LOOKUP($S360,[1]对照表!$AB$3:$AB$13,[1]对照表!$AC$3:$AC$13),LOOKUP($S360,[1]对照表!$AB$15:$AB$25,[1]对照表!$AC$15:$AC$25))</f>
        <v>5</v>
      </c>
      <c r="U360" s="26">
        <f>R360+T360</f>
        <v>105</v>
      </c>
      <c r="V360" s="26">
        <f>SUM(I360,K360,M360)/3*0.3+SUM(G360,R360)/2*0.4</f>
        <v>69.5</v>
      </c>
      <c r="W360" s="27">
        <f>O360+T360</f>
        <v>6</v>
      </c>
      <c r="X360" s="28">
        <f>V360/0.7+W360</f>
        <v>105.28571428571429</v>
      </c>
      <c r="Y360" s="28">
        <f>X360</f>
        <v>105.28571428571429</v>
      </c>
      <c r="Z360" s="38"/>
    </row>
    <row r="361" spans="1:26" ht="15.6" customHeight="1" x14ac:dyDescent="0.25">
      <c r="A361" s="48">
        <v>5</v>
      </c>
      <c r="B361" s="17" t="s">
        <v>767</v>
      </c>
      <c r="C361" s="38">
        <v>208</v>
      </c>
      <c r="D361" s="49" t="s">
        <v>795</v>
      </c>
      <c r="E361" s="38" t="s">
        <v>23</v>
      </c>
      <c r="F361" s="50">
        <v>7</v>
      </c>
      <c r="G361" s="32">
        <f>IF(B361="高三",IF($E361="男",LOOKUP(F361,[1]对照表!$G$3:$G$24,[1]对照表!$H$3:$H$24),LOOKUP(F361,[1]对照表!$G$27:$G$48,[1]对照表!$H$27:$H$48)),IF(B361="高二",IF($E361="男",LOOKUP(F361,[1]对照表!$F$3:$F$24,[1]对照表!$H$3:$H$24),LOOKUP(F361,[1]对照表!$F$27:$F$48,[1]对照表!$H$27:$H$48)),IF(B361="高一",IF($E361="男",LOOKUP(F361,[1]对照表!$E$3:$E$24,[1]对照表!$H$3:$H$24),LOOKUP(F361,[1]对照表!$E$27:$E$48,[1]对照表!$H$27:$H$48)))))</f>
        <v>100</v>
      </c>
      <c r="H361" s="38">
        <v>19.7</v>
      </c>
      <c r="I361" s="32">
        <f>IF(B361="高三",IF($E361="男",LOOKUP(H361,[1]对照表!$K$3:$K$24,[1]对照表!$L$3:$L$24),LOOKUP(H361,[1]对照表!$K$27:$K$48,[1]对照表!$L$27:$L$48)),IF(B361="高二",IF($E361="男",LOOKUP(H361,[1]对照表!$J$3:$J$24,[1]对照表!$L$3:$L$24),LOOKUP(H361,[1]对照表!$J$27:$J$48,[1]对照表!$L$27:$L$48)),IF(B361="高一",IF($E361="男",LOOKUP(H361,[1]对照表!$I$3:$I$24,[1]对照表!$L$3:$L$24),LOOKUP(H361,[1]对照表!$I$27:$I$48,[1]对照表!$L$27:$L$48)))))</f>
        <v>85</v>
      </c>
      <c r="J361" s="38">
        <v>270</v>
      </c>
      <c r="K361" s="32">
        <f>IF(B361="高三",IF($E361="男",LOOKUP(J361,[1]对照表!$O$3:$O$24,[1]对照表!$P$3:$P$24),LOOKUP(J361,[1]对照表!$O$27:$O$48,[1]对照表!$P$27:$P$48)),IF(B361="高二",IF($E361="男",LOOKUP(J361,[1]对照表!$N$3:$N$24,[1]对照表!$P$3:$P$24),LOOKUP(J361,[1]对照表!$N$27:$N$48,[1]对照表!$P$27:$P$48)),IF(B361="高一",IF($E361="男",LOOKUP(J361,[1]对照表!$M$3:$M$24,[1]对照表!$P$3:$P$24),LOOKUP(J361,[1]对照表!$M$27:$M$48,[1]对照表!$P$27:$P$48)))))</f>
        <v>100</v>
      </c>
      <c r="L361" s="38">
        <v>27</v>
      </c>
      <c r="M361" s="32">
        <f>IF(B361="高三",IF($E361="男",LOOKUP(L361,[1]对照表!$S$3:$S$24,[1]对照表!$T$3:$T$24),LOOKUP(L361,[1]对照表!$S$27:$S$48,[1]对照表!$T$27:$T$48)),IF(B361="高二",IF($E361="男",LOOKUP(L361,[1]对照表!$R$3:$R$24,[1]对照表!$T$3:$T$24),LOOKUP(L361,[1]对照表!$R$27:$R$48,[1]对照表!$T$27:$T$48)),IF(B361="高一",IF($E361="男",LOOKUP(L361,[1]对照表!$Q$3:$Q$24,[1]对照表!$T$3:$T$24),LOOKUP(L361,[1]对照表!$Q$27:$Q$48,[1]对照表!$T$27:$T$48)))))</f>
        <v>100</v>
      </c>
      <c r="N361" s="33">
        <f>IF(B361="高三",MAX(IF(E361="男",L361-18,L361-55),0),IF(B361="高二",MAX(IF(E361="男",L361-17,L361-54),0),IF(B361="高一",MAX(IF(E361="男",L361-16,L361-53),0))))</f>
        <v>10</v>
      </c>
      <c r="O361" s="23">
        <f>IF(E361="男",LOOKUP($N361,[1]对照表!$Z$3:$Z$13,[1]对照表!$AA$3:$AA$13),LOOKUP($N361,[1]对照表!$Z$15:$Z$25,[1]对照表!$AA$15:$AA$25))</f>
        <v>10</v>
      </c>
      <c r="P361" s="25">
        <f>M361+O361</f>
        <v>110</v>
      </c>
      <c r="Q361" s="50">
        <v>3.32</v>
      </c>
      <c r="R361" s="32">
        <f>IF(B361="高三",IF($E361="男",LOOKUP(Q361,[1]对照表!$W$3:$W$24,[1]对照表!$X$3:$X$24),LOOKUP(Q361,[1]对照表!$W$27:$W$48,[1]对照表!$X$27:$X$48)),IF(B361="高二",IF($E361="男",LOOKUP(Q361,[1]对照表!$V$3:$V$24,[1]对照表!$X$3:$X$24),LOOKUP(Q361,[1]对照表!$V$27:$V$48,[1]对照表!$X$27:$X$48)),IF(B361="高一",IF($E361="男",LOOKUP(Q361,[1]对照表!$U$3:$U$24,[1]对照表!$X$3:$X$24),LOOKUP(Q361,[1]对照表!$U$27:$U$48,[1]对照表!$X$27:$X$48)))))</f>
        <v>90</v>
      </c>
      <c r="S361" s="33">
        <f>ROUND(IF(IF($B361="高三",MIN(IF($E361="男",$Q361-3.2,$Q361-3.2),0),IF($B361="高二",MIN(IF($E361="男",$Q361-3.25,$Q361-3.22),0),IF($B361="高一",MIN(IF($E361="男",$Q361-3.3,$Q361-3.24),0))))&lt;-0.6,IF($B361="高三",MIN(IF($E361="男",$Q361-3.2,$Q361-3.2),0),IF($B361="高二",MIN(IF($E361="男",$Q361-3.25,$Q361-3.22),0),IF($B361="高一",MIN(IF($E361="男",$Q361-3.3,$Q361-3.24),0))))+0.4,IF($B361="高三",MIN(IF($E361="男",$Q361-3.2,$Q361-3.2),0),IF($B361="高二",MIN(IF($E361="男",$Q361-3.25,$Q361-3.22),0),IF($B361="高一",MIN(IF($E361="男",$Q361-3.3,$Q361-3.24),0))))),2)</f>
        <v>0</v>
      </c>
      <c r="T361" s="23">
        <f>IF(E361="男",LOOKUP($S361,[1]对照表!$AB$3:$AB$13,[1]对照表!$AC$3:$AC$13),LOOKUP($S361,[1]对照表!$AB$15:$AB$25,[1]对照表!$AC$15:$AC$25))</f>
        <v>0</v>
      </c>
      <c r="U361" s="26">
        <f>R361+T361</f>
        <v>90</v>
      </c>
      <c r="V361" s="26">
        <f>SUM(I361,K361,M361)/3*0.3+SUM(G361,R361)/2*0.4</f>
        <v>66.5</v>
      </c>
      <c r="W361" s="27">
        <f>O361+T361</f>
        <v>10</v>
      </c>
      <c r="X361" s="28">
        <f>V361/0.7+W361</f>
        <v>105</v>
      </c>
      <c r="Y361" s="28">
        <f>X361</f>
        <v>105</v>
      </c>
      <c r="Z361" s="38"/>
    </row>
    <row r="362" spans="1:26" ht="15.6" customHeight="1" x14ac:dyDescent="0.25">
      <c r="A362" s="48">
        <v>40</v>
      </c>
      <c r="B362" s="17" t="s">
        <v>767</v>
      </c>
      <c r="C362" s="38">
        <v>208</v>
      </c>
      <c r="D362" s="49" t="s">
        <v>797</v>
      </c>
      <c r="E362" s="48" t="s">
        <v>65</v>
      </c>
      <c r="F362" s="50">
        <v>7.83</v>
      </c>
      <c r="G362" s="32">
        <f>IF(B362="高三",IF($E362="男",LOOKUP(F362,[1]对照表!$G$3:$G$24,[1]对照表!$H$3:$H$24),LOOKUP(F362,[1]对照表!$G$27:$G$48,[1]对照表!$H$27:$H$48)),IF(B362="高二",IF($E362="男",LOOKUP(F362,[1]对照表!$F$3:$F$24,[1]对照表!$H$3:$H$24),LOOKUP(F362,[1]对照表!$F$27:$F$48,[1]对照表!$H$27:$H$48)),IF(B362="高一",IF($E362="男",LOOKUP(F362,[1]对照表!$E$3:$E$24,[1]对照表!$H$3:$H$24),LOOKUP(F362,[1]对照表!$E$27:$E$48,[1]对照表!$H$27:$H$48)))))</f>
        <v>90</v>
      </c>
      <c r="H362" s="38">
        <v>19</v>
      </c>
      <c r="I362" s="32">
        <f>IF(B362="高三",IF($E362="男",LOOKUP(H362,[1]对照表!$K$3:$K$24,[1]对照表!$L$3:$L$24),LOOKUP(H362,[1]对照表!$K$27:$K$48,[1]对照表!$L$27:$L$48)),IF(B362="高二",IF($E362="男",LOOKUP(H362,[1]对照表!$J$3:$J$24,[1]对照表!$L$3:$L$24),LOOKUP(H362,[1]对照表!$J$27:$J$48,[1]对照表!$L$27:$L$48)),IF(B362="高一",IF($E362="男",LOOKUP(H362,[1]对照表!$I$3:$I$24,[1]对照表!$L$3:$L$24),LOOKUP(H362,[1]对照表!$I$27:$I$48,[1]对照表!$L$27:$L$48)))))</f>
        <v>80</v>
      </c>
      <c r="J362" s="38">
        <v>205</v>
      </c>
      <c r="K362" s="32">
        <f>IF(B362="高三",IF($E362="男",LOOKUP(J362,[1]对照表!$O$3:$O$24,[1]对照表!$P$3:$P$24),LOOKUP(J362,[1]对照表!$O$27:$O$48,[1]对照表!$P$27:$P$48)),IF(B362="高二",IF($E362="男",LOOKUP(J362,[1]对照表!$N$3:$N$24,[1]对照表!$P$3:$P$24),LOOKUP(J362,[1]对照表!$N$27:$N$48,[1]对照表!$P$27:$P$48)),IF(B362="高一",IF($E362="男",LOOKUP(J362,[1]对照表!$M$3:$M$24,[1]对照表!$P$3:$P$24),LOOKUP(J362,[1]对照表!$M$27:$M$48,[1]对照表!$P$27:$P$48)))))</f>
        <v>100</v>
      </c>
      <c r="L362" s="38">
        <v>56</v>
      </c>
      <c r="M362" s="32">
        <f>IF(B362="高三",IF($E362="男",LOOKUP(L362,[1]对照表!$S$3:$S$24,[1]对照表!$T$3:$T$24),LOOKUP(L362,[1]对照表!$S$27:$S$48,[1]对照表!$T$27:$T$48)),IF(B362="高二",IF($E362="男",LOOKUP(L362,[1]对照表!$R$3:$R$24,[1]对照表!$T$3:$T$24),LOOKUP(L362,[1]对照表!$R$27:$R$48,[1]对照表!$T$27:$T$48)),IF(B362="高一",IF($E362="男",LOOKUP(L362,[1]对照表!$Q$3:$Q$24,[1]对照表!$T$3:$T$24),LOOKUP(L362,[1]对照表!$Q$27:$Q$48,[1]对照表!$T$27:$T$48)))))</f>
        <v>100</v>
      </c>
      <c r="N362" s="33">
        <f>IF(B362="高三",MAX(IF(E362="男",L362-18,L362-55),0),IF(B362="高二",MAX(IF(E362="男",L362-17,L362-54),0),IF(B362="高一",MAX(IF(E362="男",L362-16,L362-53),0))))</f>
        <v>2</v>
      </c>
      <c r="O362" s="23">
        <f>IF(E362="男",LOOKUP($N362,[1]对照表!$Z$3:$Z$13,[1]对照表!$AA$3:$AA$13),LOOKUP($N362,[1]对照表!$Z$15:$Z$25,[1]对照表!$AA$15:$AA$25))</f>
        <v>1</v>
      </c>
      <c r="P362" s="25">
        <f>M362+O362</f>
        <v>101</v>
      </c>
      <c r="Q362" s="50">
        <v>3.11</v>
      </c>
      <c r="R362" s="32">
        <f>IF(B362="高三",IF($E362="男",LOOKUP(Q362,[1]对照表!$W$3:$W$24,[1]对照表!$X$3:$X$24),LOOKUP(Q362,[1]对照表!$W$27:$W$48,[1]对照表!$X$27:$X$48)),IF(B362="高二",IF($E362="男",LOOKUP(Q362,[1]对照表!$V$3:$V$24,[1]对照表!$X$3:$X$24),LOOKUP(Q362,[1]对照表!$V$27:$V$48,[1]对照表!$X$27:$X$48)),IF(B362="高一",IF($E362="男",LOOKUP(Q362,[1]对照表!$U$3:$U$24,[1]对照表!$X$3:$X$24),LOOKUP(Q362,[1]对照表!$U$27:$U$48,[1]对照表!$X$27:$X$48)))))</f>
        <v>100</v>
      </c>
      <c r="S362" s="33">
        <f>ROUND(IF(IF($B362="高三",MIN(IF($E362="男",$Q362-3.2,$Q362-3.2),0),IF($B362="高二",MIN(IF($E362="男",$Q362-3.25,$Q362-3.22),0),IF($B362="高一",MIN(IF($E362="男",$Q362-3.3,$Q362-3.24),0))))&lt;-0.6,IF($B362="高三",MIN(IF($E362="男",$Q362-3.2,$Q362-3.2),0),IF($B362="高二",MIN(IF($E362="男",$Q362-3.25,$Q362-3.22),0),IF($B362="高一",MIN(IF($E362="男",$Q362-3.3,$Q362-3.24),0))))+0.4,IF($B362="高三",MIN(IF($E362="男",$Q362-3.2,$Q362-3.2),0),IF($B362="高二",MIN(IF($E362="男",$Q362-3.25,$Q362-3.22),0),IF($B362="高一",MIN(IF($E362="男",$Q362-3.3,$Q362-3.24),0))))),2)</f>
        <v>-0.11</v>
      </c>
      <c r="T362" s="23">
        <f>IF(E362="男",LOOKUP($S362,[1]对照表!$AB$3:$AB$13,[1]对照表!$AC$3:$AC$13),LOOKUP($S362,[1]对照表!$AB$15:$AB$25,[1]对照表!$AC$15:$AC$25))</f>
        <v>2</v>
      </c>
      <c r="U362" s="26">
        <f>R362+T362</f>
        <v>102</v>
      </c>
      <c r="V362" s="26">
        <f>SUM(I362,K362,M362)/3*0.3+SUM(G362,R362)/2*0.4</f>
        <v>66</v>
      </c>
      <c r="W362" s="27">
        <f>O362+T362</f>
        <v>3</v>
      </c>
      <c r="X362" s="28">
        <f>V362/0.7+W362</f>
        <v>97.285714285714292</v>
      </c>
      <c r="Y362" s="28">
        <f>X362</f>
        <v>97.285714285714292</v>
      </c>
      <c r="Z362" s="38"/>
    </row>
    <row r="363" spans="1:26" ht="15.6" x14ac:dyDescent="0.25">
      <c r="A363" s="38">
        <v>37</v>
      </c>
      <c r="B363" s="17" t="s">
        <v>767</v>
      </c>
      <c r="C363" s="38">
        <v>208</v>
      </c>
      <c r="D363" s="49" t="s">
        <v>799</v>
      </c>
      <c r="E363" s="48" t="s">
        <v>65</v>
      </c>
      <c r="F363" s="50">
        <v>7.85</v>
      </c>
      <c r="G363" s="32">
        <f>IF(B363="高三",IF($E363="男",LOOKUP(F363,[1]对照表!$G$3:$G$24,[1]对照表!$H$3:$H$24),LOOKUP(F363,[1]对照表!$G$27:$G$48,[1]对照表!$H$27:$H$48)),IF(B363="高二",IF($E363="男",LOOKUP(F363,[1]对照表!$F$3:$F$24,[1]对照表!$H$3:$H$24),LOOKUP(F363,[1]对照表!$F$27:$F$48,[1]对照表!$H$27:$H$48)),IF(B363="高一",IF($E363="男",LOOKUP(F363,[1]对照表!$E$3:$E$24,[1]对照表!$H$3:$H$24),LOOKUP(F363,[1]对照表!$E$27:$E$48,[1]对照表!$H$27:$H$48)))))</f>
        <v>90</v>
      </c>
      <c r="H363" s="38">
        <v>21</v>
      </c>
      <c r="I363" s="32">
        <f>IF(B363="高三",IF($E363="男",LOOKUP(H363,[1]对照表!$K$3:$K$24,[1]对照表!$L$3:$L$24),LOOKUP(H363,[1]对照表!$K$27:$K$48,[1]对照表!$L$27:$L$48)),IF(B363="高二",IF($E363="男",LOOKUP(H363,[1]对照表!$J$3:$J$24,[1]对照表!$L$3:$L$24),LOOKUP(H363,[1]对照表!$J$27:$J$48,[1]对照表!$L$27:$L$48)),IF(B363="高一",IF($E363="男",LOOKUP(H363,[1]对照表!$I$3:$I$24,[1]对照表!$L$3:$L$24),LOOKUP(H363,[1]对照表!$I$27:$I$48,[1]对照表!$L$27:$L$48)))))</f>
        <v>85</v>
      </c>
      <c r="J363" s="38">
        <v>207</v>
      </c>
      <c r="K363" s="32">
        <f>IF(B363="高三",IF($E363="男",LOOKUP(J363,[1]对照表!$O$3:$O$24,[1]对照表!$P$3:$P$24),LOOKUP(J363,[1]对照表!$O$27:$O$48,[1]对照表!$P$27:$P$48)),IF(B363="高二",IF($E363="男",LOOKUP(J363,[1]对照表!$N$3:$N$24,[1]对照表!$P$3:$P$24),LOOKUP(J363,[1]对照表!$N$27:$N$48,[1]对照表!$P$27:$P$48)),IF(B363="高一",IF($E363="男",LOOKUP(J363,[1]对照表!$M$3:$M$24,[1]对照表!$P$3:$P$24),LOOKUP(J363,[1]对照表!$M$27:$M$48,[1]对照表!$P$27:$P$48)))))</f>
        <v>100</v>
      </c>
      <c r="L363" s="38">
        <v>59</v>
      </c>
      <c r="M363" s="32">
        <f>IF(B363="高三",IF($E363="男",LOOKUP(L363,[1]对照表!$S$3:$S$24,[1]对照表!$T$3:$T$24),LOOKUP(L363,[1]对照表!$S$27:$S$48,[1]对照表!$T$27:$T$48)),IF(B363="高二",IF($E363="男",LOOKUP(L363,[1]对照表!$R$3:$R$24,[1]对照表!$T$3:$T$24),LOOKUP(L363,[1]对照表!$R$27:$R$48,[1]对照表!$T$27:$T$48)),IF(B363="高一",IF($E363="男",LOOKUP(L363,[1]对照表!$Q$3:$Q$24,[1]对照表!$T$3:$T$24),LOOKUP(L363,[1]对照表!$Q$27:$Q$48,[1]对照表!$T$27:$T$48)))))</f>
        <v>100</v>
      </c>
      <c r="N363" s="33">
        <f>IF(B363="高三",MAX(IF(E363="男",L363-18,L363-55),0),IF(B363="高二",MAX(IF(E363="男",L363-17,L363-54),0),IF(B363="高一",MAX(IF(E363="男",L363-16,L363-53),0))))</f>
        <v>5</v>
      </c>
      <c r="O363" s="23">
        <f>IF(E363="男",LOOKUP($N363,[1]对照表!$Z$3:$Z$13,[1]对照表!$AA$3:$AA$13),LOOKUP($N363,[1]对照表!$Z$15:$Z$25,[1]对照表!$AA$15:$AA$25))</f>
        <v>2</v>
      </c>
      <c r="P363" s="25">
        <f>M363+O363</f>
        <v>102</v>
      </c>
      <c r="Q363" s="50">
        <v>3.18</v>
      </c>
      <c r="R363" s="32">
        <f>IF(B363="高三",IF($E363="男",LOOKUP(Q363,[1]对照表!$W$3:$W$24,[1]对照表!$X$3:$X$24),LOOKUP(Q363,[1]对照表!$W$27:$W$48,[1]对照表!$X$27:$X$48)),IF(B363="高二",IF($E363="男",LOOKUP(Q363,[1]对照表!$V$3:$V$24,[1]对照表!$X$3:$X$24),LOOKUP(Q363,[1]对照表!$V$27:$V$48,[1]对照表!$X$27:$X$48)),IF(B363="高一",IF($E363="男",LOOKUP(Q363,[1]对照表!$U$3:$U$24,[1]对照表!$X$3:$X$24),LOOKUP(Q363,[1]对照表!$U$27:$U$48,[1]对照表!$X$27:$X$48)))))</f>
        <v>100</v>
      </c>
      <c r="S363" s="33">
        <f>ROUND(IF(IF($B363="高三",MIN(IF($E363="男",$Q363-3.2,$Q363-3.2),0),IF($B363="高二",MIN(IF($E363="男",$Q363-3.25,$Q363-3.22),0),IF($B363="高一",MIN(IF($E363="男",$Q363-3.3,$Q363-3.24),0))))&lt;-0.6,IF($B363="高三",MIN(IF($E363="男",$Q363-3.2,$Q363-3.2),0),IF($B363="高二",MIN(IF($E363="男",$Q363-3.25,$Q363-3.22),0),IF($B363="高一",MIN(IF($E363="男",$Q363-3.3,$Q363-3.24),0))))+0.4,IF($B363="高三",MIN(IF($E363="男",$Q363-3.2,$Q363-3.2),0),IF($B363="高二",MIN(IF($E363="男",$Q363-3.25,$Q363-3.22),0),IF($B363="高一",MIN(IF($E363="男",$Q363-3.3,$Q363-3.24),0))))),2)</f>
        <v>-0.04</v>
      </c>
      <c r="T363" s="23">
        <f>IF(E363="男",LOOKUP($S363,[1]对照表!$AB$3:$AB$13,[1]对照表!$AC$3:$AC$13),LOOKUP($S363,[1]对照表!$AB$15:$AB$25,[1]对照表!$AC$15:$AC$25))</f>
        <v>0</v>
      </c>
      <c r="U363" s="26">
        <f>R363+T363</f>
        <v>100</v>
      </c>
      <c r="V363" s="26">
        <f>SUM(I363,K363,M363)/3*0.3+SUM(G363,R363)/2*0.4</f>
        <v>66.5</v>
      </c>
      <c r="W363" s="27">
        <f>O363+T363</f>
        <v>2</v>
      </c>
      <c r="X363" s="28">
        <f>V363/0.7+W363</f>
        <v>97</v>
      </c>
      <c r="Y363" s="28">
        <f>X363</f>
        <v>97</v>
      </c>
      <c r="Z363" s="38"/>
    </row>
    <row r="364" spans="1:26" ht="15.6" x14ac:dyDescent="0.25">
      <c r="A364" s="48">
        <v>33</v>
      </c>
      <c r="B364" s="17" t="s">
        <v>767</v>
      </c>
      <c r="C364" s="38">
        <v>208</v>
      </c>
      <c r="D364" s="49" t="s">
        <v>801</v>
      </c>
      <c r="E364" s="48" t="s">
        <v>65</v>
      </c>
      <c r="F364" s="50">
        <v>8.5</v>
      </c>
      <c r="G364" s="32">
        <f>IF(B364="高三",IF($E364="男",LOOKUP(F364,[1]对照表!$G$3:$G$24,[1]对照表!$H$3:$H$24),LOOKUP(F364,[1]对照表!$G$27:$G$48,[1]对照表!$H$27:$H$48)),IF(B364="高二",IF($E364="男",LOOKUP(F364,[1]对照表!$F$3:$F$24,[1]对照表!$H$3:$H$24),LOOKUP(F364,[1]对照表!$F$27:$F$48,[1]对照表!$H$27:$H$48)),IF(B364="高一",IF($E364="男",LOOKUP(F364,[1]对照表!$E$3:$E$24,[1]对照表!$H$3:$H$24),LOOKUP(F364,[1]对照表!$E$27:$E$48,[1]对照表!$H$27:$H$48)))))</f>
        <v>80</v>
      </c>
      <c r="H364" s="38">
        <v>27.4</v>
      </c>
      <c r="I364" s="32">
        <f>IF(B364="高三",IF($E364="男",LOOKUP(H364,[1]对照表!$K$3:$K$24,[1]对照表!$L$3:$L$24),LOOKUP(H364,[1]对照表!$K$27:$K$48,[1]对照表!$L$27:$L$48)),IF(B364="高二",IF($E364="男",LOOKUP(H364,[1]对照表!$J$3:$J$24,[1]对照表!$L$3:$L$24),LOOKUP(H364,[1]对照表!$J$27:$J$48,[1]对照表!$L$27:$L$48)),IF(B364="高一",IF($E364="男",LOOKUP(H364,[1]对照表!$I$3:$I$24,[1]对照表!$L$3:$L$24),LOOKUP(H364,[1]对照表!$I$27:$I$48,[1]对照表!$L$27:$L$48)))))</f>
        <v>100</v>
      </c>
      <c r="J364" s="38">
        <v>201</v>
      </c>
      <c r="K364" s="32">
        <f>IF(B364="高三",IF($E364="男",LOOKUP(J364,[1]对照表!$O$3:$O$24,[1]对照表!$P$3:$P$24),LOOKUP(J364,[1]对照表!$O$27:$O$48,[1]对照表!$P$27:$P$48)),IF(B364="高二",IF($E364="男",LOOKUP(J364,[1]对照表!$N$3:$N$24,[1]对照表!$P$3:$P$24),LOOKUP(J364,[1]对照表!$N$27:$N$48,[1]对照表!$P$27:$P$48)),IF(B364="高一",IF($E364="男",LOOKUP(J364,[1]对照表!$M$3:$M$24,[1]对照表!$P$3:$P$24),LOOKUP(J364,[1]对照表!$M$27:$M$48,[1]对照表!$P$27:$P$48)))))</f>
        <v>95</v>
      </c>
      <c r="L364" s="38">
        <v>54</v>
      </c>
      <c r="M364" s="32">
        <f>IF(B364="高三",IF($E364="男",LOOKUP(L364,[1]对照表!$S$3:$S$24,[1]对照表!$T$3:$T$24),LOOKUP(L364,[1]对照表!$S$27:$S$48,[1]对照表!$T$27:$T$48)),IF(B364="高二",IF($E364="男",LOOKUP(L364,[1]对照表!$R$3:$R$24,[1]对照表!$T$3:$T$24),LOOKUP(L364,[1]对照表!$R$27:$R$48,[1]对照表!$T$27:$T$48)),IF(B364="高一",IF($E364="男",LOOKUP(L364,[1]对照表!$Q$3:$Q$24,[1]对照表!$T$3:$T$24),LOOKUP(L364,[1]对照表!$Q$27:$Q$48,[1]对照表!$T$27:$T$48)))))</f>
        <v>100</v>
      </c>
      <c r="N364" s="33">
        <f>IF(B364="高三",MAX(IF(E364="男",L364-18,L364-55),0),IF(B364="高二",MAX(IF(E364="男",L364-17,L364-54),0),IF(B364="高一",MAX(IF(E364="男",L364-16,L364-53),0))))</f>
        <v>0</v>
      </c>
      <c r="O364" s="23">
        <f>IF(E364="男",LOOKUP($N364,[1]对照表!$Z$3:$Z$13,[1]对照表!$AA$3:$AA$13),LOOKUP($N364,[1]对照表!$Z$15:$Z$25,[1]对照表!$AA$15:$AA$25))</f>
        <v>0</v>
      </c>
      <c r="P364" s="25">
        <f>M364+O364</f>
        <v>100</v>
      </c>
      <c r="Q364" s="50">
        <v>3.09</v>
      </c>
      <c r="R364" s="32">
        <f>IF(B364="高三",IF($E364="男",LOOKUP(Q364,[1]对照表!$W$3:$W$24,[1]对照表!$X$3:$X$24),LOOKUP(Q364,[1]对照表!$W$27:$W$48,[1]对照表!$X$27:$X$48)),IF(B364="高二",IF($E364="男",LOOKUP(Q364,[1]对照表!$V$3:$V$24,[1]对照表!$X$3:$X$24),LOOKUP(Q364,[1]对照表!$V$27:$V$48,[1]对照表!$X$27:$X$48)),IF(B364="高一",IF($E364="男",LOOKUP(Q364,[1]对照表!$U$3:$U$24,[1]对照表!$X$3:$X$24),LOOKUP(Q364,[1]对照表!$U$27:$U$48,[1]对照表!$X$27:$X$48)))))</f>
        <v>100</v>
      </c>
      <c r="S364" s="33">
        <f>ROUND(IF(IF($B364="高三",MIN(IF($E364="男",$Q364-3.2,$Q364-3.2),0),IF($B364="高二",MIN(IF($E364="男",$Q364-3.25,$Q364-3.22),0),IF($B364="高一",MIN(IF($E364="男",$Q364-3.3,$Q364-3.24),0))))&lt;-0.6,IF($B364="高三",MIN(IF($E364="男",$Q364-3.2,$Q364-3.2),0),IF($B364="高二",MIN(IF($E364="男",$Q364-3.25,$Q364-3.22),0),IF($B364="高一",MIN(IF($E364="男",$Q364-3.3,$Q364-3.24),0))))+0.4,IF($B364="高三",MIN(IF($E364="男",$Q364-3.2,$Q364-3.2),0),IF($B364="高二",MIN(IF($E364="男",$Q364-3.25,$Q364-3.22),0),IF($B364="高一",MIN(IF($E364="男",$Q364-3.3,$Q364-3.24),0))))),2)</f>
        <v>-0.13</v>
      </c>
      <c r="T364" s="23">
        <f>IF(E364="男",LOOKUP($S364,[1]对照表!$AB$3:$AB$13,[1]对照表!$AC$3:$AC$13),LOOKUP($S364,[1]对照表!$AB$15:$AB$25,[1]对照表!$AC$15:$AC$25))</f>
        <v>2</v>
      </c>
      <c r="U364" s="26">
        <f>R364+T364</f>
        <v>102</v>
      </c>
      <c r="V364" s="26">
        <f>SUM(I364,K364,M364)/3*0.3+SUM(G364,R364)/2*0.4</f>
        <v>65.5</v>
      </c>
      <c r="W364" s="27">
        <f>O364+T364</f>
        <v>2</v>
      </c>
      <c r="X364" s="28">
        <f>V364/0.7+W364</f>
        <v>95.571428571428584</v>
      </c>
      <c r="Y364" s="28">
        <f>X364</f>
        <v>95.571428571428584</v>
      </c>
      <c r="Z364" s="38"/>
    </row>
    <row r="365" spans="1:26" ht="15.6" x14ac:dyDescent="0.25">
      <c r="A365" s="48">
        <v>26</v>
      </c>
      <c r="B365" s="17" t="s">
        <v>767</v>
      </c>
      <c r="C365" s="38">
        <v>208</v>
      </c>
      <c r="D365" s="49" t="s">
        <v>844</v>
      </c>
      <c r="E365" s="48" t="s">
        <v>65</v>
      </c>
      <c r="F365" s="50">
        <v>8.5500000000000007</v>
      </c>
      <c r="G365" s="32">
        <f>IF(B365="高三",IF($E365="男",LOOKUP(F365,[1]对照表!$G$3:$G$24,[1]对照表!$H$3:$H$24),LOOKUP(F365,[1]对照表!$G$27:$G$48,[1]对照表!$H$27:$H$48)),IF(B365="高二",IF($E365="男",LOOKUP(F365,[1]对照表!$F$3:$F$24,[1]对照表!$H$3:$H$24),LOOKUP(F365,[1]对照表!$F$27:$F$48,[1]对照表!$H$27:$H$48)),IF(B365="高一",IF($E365="男",LOOKUP(F365,[1]对照表!$E$3:$E$24,[1]对照表!$H$3:$H$24),LOOKUP(F365,[1]对照表!$E$27:$E$48,[1]对照表!$H$27:$H$48)))))</f>
        <v>78</v>
      </c>
      <c r="H365" s="38">
        <v>19.3</v>
      </c>
      <c r="I365" s="32">
        <f>IF(B365="高三",IF($E365="男",LOOKUP(H365,[1]对照表!$K$3:$K$24,[1]对照表!$L$3:$L$24),LOOKUP(H365,[1]对照表!$K$27:$K$48,[1]对照表!$L$27:$L$48)),IF(B365="高二",IF($E365="男",LOOKUP(H365,[1]对照表!$J$3:$J$24,[1]对照表!$L$3:$L$24),LOOKUP(H365,[1]对照表!$J$27:$J$48,[1]对照表!$L$27:$L$48)),IF(B365="高一",IF($E365="男",LOOKUP(H365,[1]对照表!$I$3:$I$24,[1]对照表!$L$3:$L$24),LOOKUP(H365,[1]对照表!$I$27:$I$48,[1]对照表!$L$27:$L$48)))))</f>
        <v>80</v>
      </c>
      <c r="J365" s="38">
        <v>206</v>
      </c>
      <c r="K365" s="32">
        <f>IF(B365="高三",IF($E365="男",LOOKUP(J365,[1]对照表!$O$3:$O$24,[1]对照表!$P$3:$P$24),LOOKUP(J365,[1]对照表!$O$27:$O$48,[1]对照表!$P$27:$P$48)),IF(B365="高二",IF($E365="男",LOOKUP(J365,[1]对照表!$N$3:$N$24,[1]对照表!$P$3:$P$24),LOOKUP(J365,[1]对照表!$N$27:$N$48,[1]对照表!$P$27:$P$48)),IF(B365="高一",IF($E365="男",LOOKUP(J365,[1]对照表!$M$3:$M$24,[1]对照表!$P$3:$P$24),LOOKUP(J365,[1]对照表!$M$27:$M$48,[1]对照表!$P$27:$P$48)))))</f>
        <v>100</v>
      </c>
      <c r="L365" s="38">
        <v>57</v>
      </c>
      <c r="M365" s="32">
        <f>IF(B365="高三",IF($E365="男",LOOKUP(L365,[1]对照表!$S$3:$S$24,[1]对照表!$T$3:$T$24),LOOKUP(L365,[1]对照表!$S$27:$S$48,[1]对照表!$T$27:$T$48)),IF(B365="高二",IF($E365="男",LOOKUP(L365,[1]对照表!$R$3:$R$24,[1]对照表!$T$3:$T$24),LOOKUP(L365,[1]对照表!$R$27:$R$48,[1]对照表!$T$27:$T$48)),IF(B365="高一",IF($E365="男",LOOKUP(L365,[1]对照表!$Q$3:$Q$24,[1]对照表!$T$3:$T$24),LOOKUP(L365,[1]对照表!$Q$27:$Q$48,[1]对照表!$T$27:$T$48)))))</f>
        <v>100</v>
      </c>
      <c r="N365" s="33">
        <f>IF(B365="高三",MAX(IF(E365="男",L365-18,L365-55),0),IF(B365="高二",MAX(IF(E365="男",L365-17,L365-54),0),IF(B365="高一",MAX(IF(E365="男",L365-16,L365-53),0))))</f>
        <v>3</v>
      </c>
      <c r="O365" s="23">
        <f>IF(E365="男",LOOKUP($N365,[1]对照表!$Z$3:$Z$13,[1]对照表!$AA$3:$AA$13),LOOKUP($N365,[1]对照表!$Z$15:$Z$25,[1]对照表!$AA$15:$AA$25))</f>
        <v>1</v>
      </c>
      <c r="P365" s="25">
        <f>M365+O365</f>
        <v>101</v>
      </c>
      <c r="Q365" s="50">
        <v>3.27</v>
      </c>
      <c r="R365" s="32">
        <f>IF(B365="高三",IF($E365="男",LOOKUP(Q365,[1]对照表!$W$3:$W$24,[1]对照表!$X$3:$X$24),LOOKUP(Q365,[1]对照表!$W$27:$W$48,[1]对照表!$X$27:$X$48)),IF(B365="高二",IF($E365="男",LOOKUP(Q365,[1]对照表!$V$3:$V$24,[1]对照表!$X$3:$X$24),LOOKUP(Q365,[1]对照表!$V$27:$V$48,[1]对照表!$X$27:$X$48)),IF(B365="高一",IF($E365="男",LOOKUP(Q365,[1]对照表!$U$3:$U$24,[1]对照表!$X$3:$X$24),LOOKUP(Q365,[1]对照表!$U$27:$U$48,[1]对照表!$X$27:$X$48)))))</f>
        <v>95</v>
      </c>
      <c r="S365" s="33">
        <f>ROUND(IF(IF($B365="高三",MIN(IF($E365="男",$Q365-3.2,$Q365-3.2),0),IF($B365="高二",MIN(IF($E365="男",$Q365-3.25,$Q365-3.22),0),IF($B365="高一",MIN(IF($E365="男",$Q365-3.3,$Q365-3.24),0))))&lt;-0.6,IF($B365="高三",MIN(IF($E365="男",$Q365-3.2,$Q365-3.2),0),IF($B365="高二",MIN(IF($E365="男",$Q365-3.25,$Q365-3.22),0),IF($B365="高一",MIN(IF($E365="男",$Q365-3.3,$Q365-3.24),0))))+0.4,IF($B365="高三",MIN(IF($E365="男",$Q365-3.2,$Q365-3.2),0),IF($B365="高二",MIN(IF($E365="男",$Q365-3.25,$Q365-3.22),0),IF($B365="高一",MIN(IF($E365="男",$Q365-3.3,$Q365-3.24),0))))),2)</f>
        <v>0</v>
      </c>
      <c r="T365" s="23">
        <f>IF(E365="男",LOOKUP($S365,[1]对照表!$AB$3:$AB$13,[1]对照表!$AC$3:$AC$13),LOOKUP($S365,[1]对照表!$AB$15:$AB$25,[1]对照表!$AC$15:$AC$25))</f>
        <v>0</v>
      </c>
      <c r="U365" s="26">
        <f>R365+T365</f>
        <v>95</v>
      </c>
      <c r="V365" s="26">
        <f>SUM(I365,K365,M365)/3*0.3+SUM(G365,R365)/2*0.4</f>
        <v>62.599999999999994</v>
      </c>
      <c r="W365" s="27">
        <f>O365+T365</f>
        <v>1</v>
      </c>
      <c r="X365" s="28">
        <f>V365/0.7+W365</f>
        <v>90.428571428571431</v>
      </c>
      <c r="Y365" s="28">
        <f>X365</f>
        <v>90.428571428571431</v>
      </c>
      <c r="Z365" s="38"/>
    </row>
    <row r="366" spans="1:26" ht="15.6" x14ac:dyDescent="0.25">
      <c r="A366" s="52">
        <v>44</v>
      </c>
      <c r="B366" s="17" t="s">
        <v>767</v>
      </c>
      <c r="C366" s="38">
        <v>208</v>
      </c>
      <c r="D366" s="49" t="s">
        <v>860</v>
      </c>
      <c r="E366" s="48" t="s">
        <v>65</v>
      </c>
      <c r="F366" s="57">
        <v>9.14</v>
      </c>
      <c r="G366" s="32">
        <f>IF(B366="高三",IF($E366="男",LOOKUP(F366,[1]对照表!$G$3:$G$24,[1]对照表!$H$3:$H$24),LOOKUP(F366,[1]对照表!$G$27:$G$48,[1]对照表!$H$27:$H$48)),IF(B366="高二",IF($E366="男",LOOKUP(F366,[1]对照表!$F$3:$F$24,[1]对照表!$H$3:$H$24),LOOKUP(F366,[1]对照表!$F$27:$F$48,[1]对照表!$H$27:$H$48)),IF(B366="高一",IF($E366="男",LOOKUP(F366,[1]对照表!$E$3:$E$24,[1]对照表!$H$3:$H$24),LOOKUP(F366,[1]对照表!$E$27:$E$48,[1]对照表!$H$27:$H$48)))))</f>
        <v>72</v>
      </c>
      <c r="H366" s="52">
        <v>10.5</v>
      </c>
      <c r="I366" s="32">
        <f>IF(B366="高三",IF($E366="男",LOOKUP(H366,[1]对照表!$K$3:$K$24,[1]对照表!$L$3:$L$24),LOOKUP(H366,[1]对照表!$K$27:$K$48,[1]对照表!$L$27:$L$48)),IF(B366="高二",IF($E366="男",LOOKUP(H366,[1]对照表!$J$3:$J$24,[1]对照表!$L$3:$L$24),LOOKUP(H366,[1]对照表!$J$27:$J$48,[1]对照表!$L$27:$L$48)),IF(B366="高一",IF($E366="男",LOOKUP(H366,[1]对照表!$I$3:$I$24,[1]对照表!$L$3:$L$24),LOOKUP(H366,[1]对照表!$I$27:$I$48,[1]对照表!$L$27:$L$48)))))</f>
        <v>68</v>
      </c>
      <c r="J366" s="52">
        <v>198</v>
      </c>
      <c r="K366" s="32">
        <f>IF(B366="高三",IF($E366="男",LOOKUP(J366,[1]对照表!$O$3:$O$24,[1]对照表!$P$3:$P$24),LOOKUP(J366,[1]对照表!$O$27:$O$48,[1]对照表!$P$27:$P$48)),IF(B366="高二",IF($E366="男",LOOKUP(J366,[1]对照表!$N$3:$N$24,[1]对照表!$P$3:$P$24),LOOKUP(J366,[1]对照表!$N$27:$N$48,[1]对照表!$P$27:$P$48)),IF(B366="高一",IF($E366="男",LOOKUP(J366,[1]对照表!$M$3:$M$24,[1]对照表!$P$3:$P$24),LOOKUP(J366,[1]对照表!$M$27:$M$48,[1]对照表!$P$27:$P$48)))))</f>
        <v>90</v>
      </c>
      <c r="L366" s="52">
        <v>58</v>
      </c>
      <c r="M366" s="32">
        <f>IF(B366="高三",IF($E366="男",LOOKUP(L366,[1]对照表!$S$3:$S$24,[1]对照表!$T$3:$T$24),LOOKUP(L366,[1]对照表!$S$27:$S$48,[1]对照表!$T$27:$T$48)),IF(B366="高二",IF($E366="男",LOOKUP(L366,[1]对照表!$R$3:$R$24,[1]对照表!$T$3:$T$24),LOOKUP(L366,[1]对照表!$R$27:$R$48,[1]对照表!$T$27:$T$48)),IF(B366="高一",IF($E366="男",LOOKUP(L366,[1]对照表!$Q$3:$Q$24,[1]对照表!$T$3:$T$24),LOOKUP(L366,[1]对照表!$Q$27:$Q$48,[1]对照表!$T$27:$T$48)))))</f>
        <v>100</v>
      </c>
      <c r="N366" s="33">
        <f>IF(B366="高三",MAX(IF(E366="男",L366-18,L366-55),0),IF(B366="高二",MAX(IF(E366="男",L366-17,L366-54),0),IF(B366="高一",MAX(IF(E366="男",L366-16,L366-53),0))))</f>
        <v>4</v>
      </c>
      <c r="O366" s="23">
        <f>IF(E366="男",LOOKUP($N366,[1]对照表!$Z$3:$Z$13,[1]对照表!$AA$3:$AA$13),LOOKUP($N366,[1]对照表!$Z$15:$Z$25,[1]对照表!$AA$15:$AA$25))</f>
        <v>2</v>
      </c>
      <c r="P366" s="25">
        <f>M366+O366</f>
        <v>102</v>
      </c>
      <c r="Q366" s="57">
        <v>3.14</v>
      </c>
      <c r="R366" s="32">
        <f>IF(B366="高三",IF($E366="男",LOOKUP(Q366,[1]对照表!$W$3:$W$24,[1]对照表!$X$3:$X$24),LOOKUP(Q366,[1]对照表!$W$27:$W$48,[1]对照表!$X$27:$X$48)),IF(B366="高二",IF($E366="男",LOOKUP(Q366,[1]对照表!$V$3:$V$24,[1]对照表!$X$3:$X$24),LOOKUP(Q366,[1]对照表!$V$27:$V$48,[1]对照表!$X$27:$X$48)),IF(B366="高一",IF($E366="男",LOOKUP(Q366,[1]对照表!$U$3:$U$24,[1]对照表!$X$3:$X$24),LOOKUP(Q366,[1]对照表!$U$27:$U$48,[1]对照表!$X$27:$X$48)))))</f>
        <v>100</v>
      </c>
      <c r="S366" s="33">
        <f>ROUND(IF(IF($B366="高三",MIN(IF($E366="男",$Q366-3.2,$Q366-3.2),0),IF($B366="高二",MIN(IF($E366="男",$Q366-3.25,$Q366-3.22),0),IF($B366="高一",MIN(IF($E366="男",$Q366-3.3,$Q366-3.24),0))))&lt;-0.6,IF($B366="高三",MIN(IF($E366="男",$Q366-3.2,$Q366-3.2),0),IF($B366="高二",MIN(IF($E366="男",$Q366-3.25,$Q366-3.22),0),IF($B366="高一",MIN(IF($E366="男",$Q366-3.3,$Q366-3.24),0))))+0.4,IF($B366="高三",MIN(IF($E366="男",$Q366-3.2,$Q366-3.2),0),IF($B366="高二",MIN(IF($E366="男",$Q366-3.25,$Q366-3.22),0),IF($B366="高一",MIN(IF($E366="男",$Q366-3.3,$Q366-3.24),0))))),2)</f>
        <v>-0.08</v>
      </c>
      <c r="T366" s="23">
        <f>IF(E366="男",LOOKUP($S366,[1]对照表!$AB$3:$AB$13,[1]对照表!$AC$3:$AC$13),LOOKUP($S366,[1]对照表!$AB$15:$AB$25,[1]对照表!$AC$15:$AC$25))</f>
        <v>1</v>
      </c>
      <c r="U366" s="26">
        <f>R366+T366</f>
        <v>101</v>
      </c>
      <c r="V366" s="26">
        <f>SUM(I366,K366,M366)/3*0.3+SUM(G366,R366)/2*0.4</f>
        <v>60.2</v>
      </c>
      <c r="W366" s="27">
        <f>O366+T366</f>
        <v>3</v>
      </c>
      <c r="X366" s="28">
        <f>V366/0.7+W366</f>
        <v>89.000000000000014</v>
      </c>
      <c r="Y366" s="28">
        <f>X366</f>
        <v>89.000000000000014</v>
      </c>
      <c r="Z366" s="52"/>
    </row>
    <row r="367" spans="1:26" ht="15.6" x14ac:dyDescent="0.25">
      <c r="A367" s="48">
        <v>39</v>
      </c>
      <c r="B367" s="17" t="s">
        <v>767</v>
      </c>
      <c r="C367" s="38">
        <v>208</v>
      </c>
      <c r="D367" s="49" t="s">
        <v>861</v>
      </c>
      <c r="E367" s="48" t="s">
        <v>65</v>
      </c>
      <c r="F367" s="50">
        <v>8.9499999999999993</v>
      </c>
      <c r="G367" s="32">
        <f>IF(B367="高三",IF($E367="男",LOOKUP(F367,[1]对照表!$G$3:$G$24,[1]对照表!$H$3:$H$24),LOOKUP(F367,[1]对照表!$G$27:$G$48,[1]对照表!$H$27:$H$48)),IF(B367="高二",IF($E367="男",LOOKUP(F367,[1]对照表!$F$3:$F$24,[1]对照表!$H$3:$H$24),LOOKUP(F367,[1]对照表!$F$27:$F$48,[1]对照表!$H$27:$H$48)),IF(B367="高一",IF($E367="男",LOOKUP(F367,[1]对照表!$E$3:$E$24,[1]对照表!$H$3:$H$24),LOOKUP(F367,[1]对照表!$E$27:$E$48,[1]对照表!$H$27:$H$48)))))</f>
        <v>74</v>
      </c>
      <c r="H367" s="38">
        <v>23</v>
      </c>
      <c r="I367" s="32">
        <f>IF(B367="高三",IF($E367="男",LOOKUP(H367,[1]对照表!$K$3:$K$24,[1]对照表!$L$3:$L$24),LOOKUP(H367,[1]对照表!$K$27:$K$48,[1]对照表!$L$27:$L$48)),IF(B367="高二",IF($E367="男",LOOKUP(H367,[1]对照表!$J$3:$J$24,[1]对照表!$L$3:$L$24),LOOKUP(H367,[1]对照表!$J$27:$J$48,[1]对照表!$L$27:$L$48)),IF(B367="高一",IF($E367="男",LOOKUP(H367,[1]对照表!$I$3:$I$24,[1]对照表!$L$3:$L$24),LOOKUP(H367,[1]对照表!$I$27:$I$48,[1]对照表!$L$27:$L$48)))))</f>
        <v>90</v>
      </c>
      <c r="J367" s="38">
        <v>177</v>
      </c>
      <c r="K367" s="32">
        <f>IF(B367="高三",IF($E367="男",LOOKUP(J367,[1]对照表!$O$3:$O$24,[1]对照表!$P$3:$P$24),LOOKUP(J367,[1]对照表!$O$27:$O$48,[1]对照表!$P$27:$P$48)),IF(B367="高二",IF($E367="男",LOOKUP(J367,[1]对照表!$N$3:$N$24,[1]对照表!$P$3:$P$24),LOOKUP(J367,[1]对照表!$N$27:$N$48,[1]对照表!$P$27:$P$48)),IF(B367="高一",IF($E367="男",LOOKUP(J367,[1]对照表!$M$3:$M$24,[1]对照表!$P$3:$P$24),LOOKUP(J367,[1]对照表!$M$27:$M$48,[1]对照表!$P$27:$P$48)))))</f>
        <v>78</v>
      </c>
      <c r="L367" s="38">
        <v>57</v>
      </c>
      <c r="M367" s="32">
        <f>IF(B367="高三",IF($E367="男",LOOKUP(L367,[1]对照表!$S$3:$S$24,[1]对照表!$T$3:$T$24),LOOKUP(L367,[1]对照表!$S$27:$S$48,[1]对照表!$T$27:$T$48)),IF(B367="高二",IF($E367="男",LOOKUP(L367,[1]对照表!$R$3:$R$24,[1]对照表!$T$3:$T$24),LOOKUP(L367,[1]对照表!$R$27:$R$48,[1]对照表!$T$27:$T$48)),IF(B367="高一",IF($E367="男",LOOKUP(L367,[1]对照表!$Q$3:$Q$24,[1]对照表!$T$3:$T$24),LOOKUP(L367,[1]对照表!$Q$27:$Q$48,[1]对照表!$T$27:$T$48)))))</f>
        <v>100</v>
      </c>
      <c r="N367" s="33">
        <f>IF(B367="高三",MAX(IF(E367="男",L367-18,L367-55),0),IF(B367="高二",MAX(IF(E367="男",L367-17,L367-54),0),IF(B367="高一",MAX(IF(E367="男",L367-16,L367-53),0))))</f>
        <v>3</v>
      </c>
      <c r="O367" s="23">
        <f>IF(E367="男",LOOKUP($N367,[1]对照表!$Z$3:$Z$13,[1]对照表!$AA$3:$AA$13),LOOKUP($N367,[1]对照表!$Z$15:$Z$25,[1]对照表!$AA$15:$AA$25))</f>
        <v>1</v>
      </c>
      <c r="P367" s="25">
        <f>M367+O367</f>
        <v>101</v>
      </c>
      <c r="Q367" s="50">
        <v>3.2</v>
      </c>
      <c r="R367" s="32">
        <f>IF(B367="高三",IF($E367="男",LOOKUP(Q367,[1]对照表!$W$3:$W$24,[1]对照表!$X$3:$X$24),LOOKUP(Q367,[1]对照表!$W$27:$W$48,[1]对照表!$X$27:$X$48)),IF(B367="高二",IF($E367="男",LOOKUP(Q367,[1]对照表!$V$3:$V$24,[1]对照表!$X$3:$X$24),LOOKUP(Q367,[1]对照表!$V$27:$V$48,[1]对照表!$X$27:$X$48)),IF(B367="高一",IF($E367="男",LOOKUP(Q367,[1]对照表!$U$3:$U$24,[1]对照表!$X$3:$X$24),LOOKUP(Q367,[1]对照表!$U$27:$U$48,[1]对照表!$X$27:$X$48)))))</f>
        <v>100</v>
      </c>
      <c r="S367" s="33">
        <f>ROUND(IF(IF($B367="高三",MIN(IF($E367="男",$Q367-3.2,$Q367-3.2),0),IF($B367="高二",MIN(IF($E367="男",$Q367-3.25,$Q367-3.22),0),IF($B367="高一",MIN(IF($E367="男",$Q367-3.3,$Q367-3.24),0))))&lt;-0.6,IF($B367="高三",MIN(IF($E367="男",$Q367-3.2,$Q367-3.2),0),IF($B367="高二",MIN(IF($E367="男",$Q367-3.25,$Q367-3.22),0),IF($B367="高一",MIN(IF($E367="男",$Q367-3.3,$Q367-3.24),0))))+0.4,IF($B367="高三",MIN(IF($E367="男",$Q367-3.2,$Q367-3.2),0),IF($B367="高二",MIN(IF($E367="男",$Q367-3.25,$Q367-3.22),0),IF($B367="高一",MIN(IF($E367="男",$Q367-3.3,$Q367-3.24),0))))),2)</f>
        <v>-0.02</v>
      </c>
      <c r="T367" s="23">
        <f>IF(E367="男",LOOKUP($S367,[1]对照表!$AB$3:$AB$13,[1]对照表!$AC$3:$AC$13),LOOKUP($S367,[1]对照表!$AB$15:$AB$25,[1]对照表!$AC$15:$AC$25))</f>
        <v>0</v>
      </c>
      <c r="U367" s="26">
        <f>R367+T367</f>
        <v>100</v>
      </c>
      <c r="V367" s="26">
        <f>SUM(I367,K367,M367)/3*0.3+SUM(G367,R367)/2*0.4</f>
        <v>61.6</v>
      </c>
      <c r="W367" s="27">
        <f>O367+T367</f>
        <v>1</v>
      </c>
      <c r="X367" s="28">
        <f>V367/0.7+W367</f>
        <v>89.000000000000014</v>
      </c>
      <c r="Y367" s="28">
        <f>X367</f>
        <v>89.000000000000014</v>
      </c>
      <c r="Z367" s="38"/>
    </row>
    <row r="368" spans="1:26" ht="15.6" x14ac:dyDescent="0.25">
      <c r="A368" s="48">
        <v>31</v>
      </c>
      <c r="B368" s="17" t="s">
        <v>767</v>
      </c>
      <c r="C368" s="38">
        <v>208</v>
      </c>
      <c r="D368" s="49" t="s">
        <v>905</v>
      </c>
      <c r="E368" s="48" t="s">
        <v>65</v>
      </c>
      <c r="F368" s="50">
        <v>8.67</v>
      </c>
      <c r="G368" s="32">
        <f>IF(B368="高三",IF($E368="男",LOOKUP(F368,[1]对照表!$G$3:$G$24,[1]对照表!$H$3:$H$24),LOOKUP(F368,[1]对照表!$G$27:$G$48,[1]对照表!$H$27:$H$48)),IF(B368="高二",IF($E368="男",LOOKUP(F368,[1]对照表!$F$3:$F$24,[1]对照表!$H$3:$H$24),LOOKUP(F368,[1]对照表!$F$27:$F$48,[1]对照表!$H$27:$H$48)),IF(B368="高一",IF($E368="男",LOOKUP(F368,[1]对照表!$E$3:$E$24,[1]对照表!$H$3:$H$24),LOOKUP(F368,[1]对照表!$E$27:$E$48,[1]对照表!$H$27:$H$48)))))</f>
        <v>78</v>
      </c>
      <c r="H368" s="38">
        <v>17.399999999999999</v>
      </c>
      <c r="I368" s="32">
        <f>IF(B368="高三",IF($E368="男",LOOKUP(H368,[1]对照表!$K$3:$K$24,[1]对照表!$L$3:$L$24),LOOKUP(H368,[1]对照表!$K$27:$K$48,[1]对照表!$L$27:$L$48)),IF(B368="高二",IF($E368="男",LOOKUP(H368,[1]对照表!$J$3:$J$24,[1]对照表!$L$3:$L$24),LOOKUP(H368,[1]对照表!$J$27:$J$48,[1]对照表!$L$27:$L$48)),IF(B368="高一",IF($E368="男",LOOKUP(H368,[1]对照表!$I$3:$I$24,[1]对照表!$L$3:$L$24),LOOKUP(H368,[1]对照表!$I$27:$I$48,[1]对照表!$L$27:$L$48)))))</f>
        <v>78</v>
      </c>
      <c r="J368" s="38">
        <v>193</v>
      </c>
      <c r="K368" s="32">
        <f>IF(B368="高三",IF($E368="男",LOOKUP(J368,[1]对照表!$O$3:$O$24,[1]对照表!$P$3:$P$24),LOOKUP(J368,[1]对照表!$O$27:$O$48,[1]对照表!$P$27:$P$48)),IF(B368="高二",IF($E368="男",LOOKUP(J368,[1]对照表!$N$3:$N$24,[1]对照表!$P$3:$P$24),LOOKUP(J368,[1]对照表!$N$27:$N$48,[1]对照表!$P$27:$P$48)),IF(B368="高一",IF($E368="男",LOOKUP(J368,[1]对照表!$M$3:$M$24,[1]对照表!$P$3:$P$24),LOOKUP(J368,[1]对照表!$M$27:$M$48,[1]对照表!$P$27:$P$48)))))</f>
        <v>90</v>
      </c>
      <c r="L368" s="38">
        <v>55</v>
      </c>
      <c r="M368" s="32">
        <f>IF(B368="高三",IF($E368="男",LOOKUP(L368,[1]对照表!$S$3:$S$24,[1]对照表!$T$3:$T$24),LOOKUP(L368,[1]对照表!$S$27:$S$48,[1]对照表!$T$27:$T$48)),IF(B368="高二",IF($E368="男",LOOKUP(L368,[1]对照表!$R$3:$R$24,[1]对照表!$T$3:$T$24),LOOKUP(L368,[1]对照表!$R$27:$R$48,[1]对照表!$T$27:$T$48)),IF(B368="高一",IF($E368="男",LOOKUP(L368,[1]对照表!$Q$3:$Q$24,[1]对照表!$T$3:$T$24),LOOKUP(L368,[1]对照表!$Q$27:$Q$48,[1]对照表!$T$27:$T$48)))))</f>
        <v>100</v>
      </c>
      <c r="N368" s="33">
        <f>IF(B368="高三",MAX(IF(E368="男",L368-18,L368-55),0),IF(B368="高二",MAX(IF(E368="男",L368-17,L368-54),0),IF(B368="高一",MAX(IF(E368="男",L368-16,L368-53),0))))</f>
        <v>1</v>
      </c>
      <c r="O368" s="23">
        <f>IF(E368="男",LOOKUP($N368,[1]对照表!$Z$3:$Z$13,[1]对照表!$AA$3:$AA$13),LOOKUP($N368,[1]对照表!$Z$15:$Z$25,[1]对照表!$AA$15:$AA$25))</f>
        <v>0</v>
      </c>
      <c r="P368" s="25">
        <f>M368+O368</f>
        <v>100</v>
      </c>
      <c r="Q368" s="50">
        <v>3.32</v>
      </c>
      <c r="R368" s="32">
        <f>IF(B368="高三",IF($E368="男",LOOKUP(Q368,[1]对照表!$W$3:$W$24,[1]对照表!$X$3:$X$24),LOOKUP(Q368,[1]对照表!$W$27:$W$48,[1]对照表!$X$27:$X$48)),IF(B368="高二",IF($E368="男",LOOKUP(Q368,[1]对照表!$V$3:$V$24,[1]对照表!$X$3:$X$24),LOOKUP(Q368,[1]对照表!$V$27:$V$48,[1]对照表!$X$27:$X$48)),IF(B368="高一",IF($E368="男",LOOKUP(Q368,[1]对照表!$U$3:$U$24,[1]对照表!$X$3:$X$24),LOOKUP(Q368,[1]对照表!$U$27:$U$48,[1]对照表!$X$27:$X$48)))))</f>
        <v>90</v>
      </c>
      <c r="S368" s="33">
        <f>ROUND(IF(IF($B368="高三",MIN(IF($E368="男",$Q368-3.2,$Q368-3.2),0),IF($B368="高二",MIN(IF($E368="男",$Q368-3.25,$Q368-3.22),0),IF($B368="高一",MIN(IF($E368="男",$Q368-3.3,$Q368-3.24),0))))&lt;-0.6,IF($B368="高三",MIN(IF($E368="男",$Q368-3.2,$Q368-3.2),0),IF($B368="高二",MIN(IF($E368="男",$Q368-3.25,$Q368-3.22),0),IF($B368="高一",MIN(IF($E368="男",$Q368-3.3,$Q368-3.24),0))))+0.4,IF($B368="高三",MIN(IF($E368="男",$Q368-3.2,$Q368-3.2),0),IF($B368="高二",MIN(IF($E368="男",$Q368-3.25,$Q368-3.22),0),IF($B368="高一",MIN(IF($E368="男",$Q368-3.3,$Q368-3.24),0))))),2)</f>
        <v>0</v>
      </c>
      <c r="T368" s="23">
        <f>IF(E368="男",LOOKUP($S368,[1]对照表!$AB$3:$AB$13,[1]对照表!$AC$3:$AC$13),LOOKUP($S368,[1]对照表!$AB$15:$AB$25,[1]对照表!$AC$15:$AC$25))</f>
        <v>0</v>
      </c>
      <c r="U368" s="26">
        <f>R368+T368</f>
        <v>90</v>
      </c>
      <c r="V368" s="26">
        <f>SUM(I368,K368,M368)/3*0.3+SUM(G368,R368)/2*0.4</f>
        <v>60.4</v>
      </c>
      <c r="W368" s="27">
        <f>O368+T368</f>
        <v>0</v>
      </c>
      <c r="X368" s="28">
        <f>V368/0.7+W368</f>
        <v>86.285714285714292</v>
      </c>
      <c r="Y368" s="28">
        <f>X368</f>
        <v>86.285714285714292</v>
      </c>
      <c r="Z368" s="38"/>
    </row>
    <row r="369" spans="1:26" ht="15.6" x14ac:dyDescent="0.25">
      <c r="A369" s="48">
        <v>38</v>
      </c>
      <c r="B369" s="17" t="s">
        <v>767</v>
      </c>
      <c r="C369" s="38">
        <v>208</v>
      </c>
      <c r="D369" s="49" t="s">
        <v>907</v>
      </c>
      <c r="E369" s="48" t="s">
        <v>65</v>
      </c>
      <c r="F369" s="50">
        <v>8.73</v>
      </c>
      <c r="G369" s="32">
        <f>IF(B369="高三",IF($E369="男",LOOKUP(F369,[1]对照表!$G$3:$G$24,[1]对照表!$H$3:$H$24),LOOKUP(F369,[1]对照表!$G$27:$G$48,[1]对照表!$H$27:$H$48)),IF(B369="高二",IF($E369="男",LOOKUP(F369,[1]对照表!$F$3:$F$24,[1]对照表!$H$3:$H$24),LOOKUP(F369,[1]对照表!$F$27:$F$48,[1]对照表!$H$27:$H$48)),IF(B369="高一",IF($E369="男",LOOKUP(F369,[1]对照表!$E$3:$E$24,[1]对照表!$H$3:$H$24),LOOKUP(F369,[1]对照表!$E$27:$E$48,[1]对照表!$H$27:$H$48)))))</f>
        <v>76</v>
      </c>
      <c r="H369" s="38">
        <v>22.5</v>
      </c>
      <c r="I369" s="32">
        <f>IF(B369="高三",IF($E369="男",LOOKUP(H369,[1]对照表!$K$3:$K$24,[1]对照表!$L$3:$L$24),LOOKUP(H369,[1]对照表!$K$27:$K$48,[1]对照表!$L$27:$L$48)),IF(B369="高二",IF($E369="男",LOOKUP(H369,[1]对照表!$J$3:$J$24,[1]对照表!$L$3:$L$24),LOOKUP(H369,[1]对照表!$J$27:$J$48,[1]对照表!$L$27:$L$48)),IF(B369="高一",IF($E369="男",LOOKUP(H369,[1]对照表!$I$3:$I$24,[1]对照表!$L$3:$L$24),LOOKUP(H369,[1]对照表!$I$27:$I$48,[1]对照表!$L$27:$L$48)))))</f>
        <v>90</v>
      </c>
      <c r="J369" s="38">
        <v>179</v>
      </c>
      <c r="K369" s="32">
        <f>IF(B369="高三",IF($E369="男",LOOKUP(J369,[1]对照表!$O$3:$O$24,[1]对照表!$P$3:$P$24),LOOKUP(J369,[1]对照表!$O$27:$O$48,[1]对照表!$P$27:$P$48)),IF(B369="高二",IF($E369="男",LOOKUP(J369,[1]对照表!$N$3:$N$24,[1]对照表!$P$3:$P$24),LOOKUP(J369,[1]对照表!$N$27:$N$48,[1]对照表!$P$27:$P$48)),IF(B369="高一",IF($E369="男",LOOKUP(J369,[1]对照表!$M$3:$M$24,[1]对照表!$P$3:$P$24),LOOKUP(J369,[1]对照表!$M$27:$M$48,[1]对照表!$P$27:$P$48)))))</f>
        <v>80</v>
      </c>
      <c r="L369" s="38">
        <v>55</v>
      </c>
      <c r="M369" s="32">
        <f>IF(B369="高三",IF($E369="男",LOOKUP(L369,[1]对照表!$S$3:$S$24,[1]对照表!$T$3:$T$24),LOOKUP(L369,[1]对照表!$S$27:$S$48,[1]对照表!$T$27:$T$48)),IF(B369="高二",IF($E369="男",LOOKUP(L369,[1]对照表!$R$3:$R$24,[1]对照表!$T$3:$T$24),LOOKUP(L369,[1]对照表!$R$27:$R$48,[1]对照表!$T$27:$T$48)),IF(B369="高一",IF($E369="男",LOOKUP(L369,[1]对照表!$Q$3:$Q$24,[1]对照表!$T$3:$T$24),LOOKUP(L369,[1]对照表!$Q$27:$Q$48,[1]对照表!$T$27:$T$48)))))</f>
        <v>100</v>
      </c>
      <c r="N369" s="33">
        <f>IF(B369="高三",MAX(IF(E369="男",L369-18,L369-55),0),IF(B369="高二",MAX(IF(E369="男",L369-17,L369-54),0),IF(B369="高一",MAX(IF(E369="男",L369-16,L369-53),0))))</f>
        <v>1</v>
      </c>
      <c r="O369" s="23">
        <f>IF(E369="男",LOOKUP($N369,[1]对照表!$Z$3:$Z$13,[1]对照表!$AA$3:$AA$13),LOOKUP($N369,[1]对照表!$Z$15:$Z$25,[1]对照表!$AA$15:$AA$25))</f>
        <v>0</v>
      </c>
      <c r="P369" s="25">
        <f>M369+O369</f>
        <v>100</v>
      </c>
      <c r="Q369" s="50">
        <v>3.3</v>
      </c>
      <c r="R369" s="32">
        <f>IF(B369="高三",IF($E369="男",LOOKUP(Q369,[1]对照表!$W$3:$W$24,[1]对照表!$X$3:$X$24),LOOKUP(Q369,[1]对照表!$W$27:$W$48,[1]对照表!$X$27:$X$48)),IF(B369="高二",IF($E369="男",LOOKUP(Q369,[1]对照表!$V$3:$V$24,[1]对照表!$X$3:$X$24),LOOKUP(Q369,[1]对照表!$V$27:$V$48,[1]对照表!$X$27:$X$48)),IF(B369="高一",IF($E369="男",LOOKUP(Q369,[1]对照表!$U$3:$U$24,[1]对照表!$X$3:$X$24),LOOKUP(Q369,[1]对照表!$U$27:$U$48,[1]对照表!$X$27:$X$48)))))</f>
        <v>90</v>
      </c>
      <c r="S369" s="33">
        <f>ROUND(IF(IF($B369="高三",MIN(IF($E369="男",$Q369-3.2,$Q369-3.2),0),IF($B369="高二",MIN(IF($E369="男",$Q369-3.25,$Q369-3.22),0),IF($B369="高一",MIN(IF($E369="男",$Q369-3.3,$Q369-3.24),0))))&lt;-0.6,IF($B369="高三",MIN(IF($E369="男",$Q369-3.2,$Q369-3.2),0),IF($B369="高二",MIN(IF($E369="男",$Q369-3.25,$Q369-3.22),0),IF($B369="高一",MIN(IF($E369="男",$Q369-3.3,$Q369-3.24),0))))+0.4,IF($B369="高三",MIN(IF($E369="男",$Q369-3.2,$Q369-3.2),0),IF($B369="高二",MIN(IF($E369="男",$Q369-3.25,$Q369-3.22),0),IF($B369="高一",MIN(IF($E369="男",$Q369-3.3,$Q369-3.24),0))))),2)</f>
        <v>0</v>
      </c>
      <c r="T369" s="23">
        <f>IF(E369="男",LOOKUP($S369,[1]对照表!$AB$3:$AB$13,[1]对照表!$AC$3:$AC$13),LOOKUP($S369,[1]对照表!$AB$15:$AB$25,[1]对照表!$AC$15:$AC$25))</f>
        <v>0</v>
      </c>
      <c r="U369" s="26">
        <f>R369+T369</f>
        <v>90</v>
      </c>
      <c r="V369" s="26">
        <f>SUM(I369,K369,M369)/3*0.3+SUM(G369,R369)/2*0.4</f>
        <v>60.2</v>
      </c>
      <c r="W369" s="27">
        <f>O369+T369</f>
        <v>0</v>
      </c>
      <c r="X369" s="28">
        <f>V369/0.7+W369</f>
        <v>86.000000000000014</v>
      </c>
      <c r="Y369" s="28">
        <f>X369</f>
        <v>86.000000000000014</v>
      </c>
      <c r="Z369" s="38"/>
    </row>
    <row r="370" spans="1:26" ht="15.6" customHeight="1" x14ac:dyDescent="0.25">
      <c r="A370" s="48">
        <v>9</v>
      </c>
      <c r="B370" s="17" t="s">
        <v>767</v>
      </c>
      <c r="C370" s="38">
        <v>208</v>
      </c>
      <c r="D370" s="49" t="s">
        <v>925</v>
      </c>
      <c r="E370" s="38" t="s">
        <v>23</v>
      </c>
      <c r="F370" s="50">
        <v>7.2</v>
      </c>
      <c r="G370" s="32">
        <f>IF(B370="高三",IF($E370="男",LOOKUP(F370,[1]对照表!$G$3:$G$24,[1]对照表!$H$3:$H$24),LOOKUP(F370,[1]对照表!$G$27:$G$48,[1]对照表!$H$27:$H$48)),IF(B370="高二",IF($E370="男",LOOKUP(F370,[1]对照表!$F$3:$F$24,[1]对照表!$H$3:$H$24),LOOKUP(F370,[1]对照表!$F$27:$F$48,[1]对照表!$H$27:$H$48)),IF(B370="高一",IF($E370="男",LOOKUP(F370,[1]对照表!$E$3:$E$24,[1]对照表!$H$3:$H$24),LOOKUP(F370,[1]对照表!$E$27:$E$48,[1]对照表!$H$27:$H$48)))))</f>
        <v>90</v>
      </c>
      <c r="H370" s="38">
        <v>13</v>
      </c>
      <c r="I370" s="32">
        <f>IF(B370="高三",IF($E370="男",LOOKUP(H370,[1]对照表!$K$3:$K$24,[1]对照表!$L$3:$L$24),LOOKUP(H370,[1]对照表!$K$27:$K$48,[1]对照表!$L$27:$L$48)),IF(B370="高二",IF($E370="男",LOOKUP(H370,[1]对照表!$J$3:$J$24,[1]对照表!$L$3:$L$24),LOOKUP(H370,[1]对照表!$J$27:$J$48,[1]对照表!$L$27:$L$48)),IF(B370="高一",IF($E370="男",LOOKUP(H370,[1]对照表!$I$3:$I$24,[1]对照表!$L$3:$L$24),LOOKUP(H370,[1]对照表!$I$27:$I$48,[1]对照表!$L$27:$L$48)))))</f>
        <v>74</v>
      </c>
      <c r="J370" s="53">
        <v>235</v>
      </c>
      <c r="K370" s="32">
        <f>IF(B370="高三",IF($E370="男",LOOKUP(J370,[1]对照表!$O$3:$O$24,[1]对照表!$P$3:$P$24),LOOKUP(J370,[1]对照表!$O$27:$O$48,[1]对照表!$P$27:$P$48)),IF(B370="高二",IF($E370="男",LOOKUP(J370,[1]对照表!$N$3:$N$24,[1]对照表!$P$3:$P$24),LOOKUP(J370,[1]对照表!$N$27:$N$48,[1]对照表!$P$27:$P$48)),IF(B370="高一",IF($E370="男",LOOKUP(J370,[1]对照表!$M$3:$M$24,[1]对照表!$P$3:$P$24),LOOKUP(J370,[1]对照表!$M$27:$M$48,[1]对照表!$P$27:$P$48)))))</f>
        <v>76</v>
      </c>
      <c r="L370" s="38">
        <v>27</v>
      </c>
      <c r="M370" s="32">
        <f>IF(B370="高三",IF($E370="男",LOOKUP(L370,[1]对照表!$S$3:$S$24,[1]对照表!$T$3:$T$24),LOOKUP(L370,[1]对照表!$S$27:$S$48,[1]对照表!$T$27:$T$48)),IF(B370="高二",IF($E370="男",LOOKUP(L370,[1]对照表!$R$3:$R$24,[1]对照表!$T$3:$T$24),LOOKUP(L370,[1]对照表!$R$27:$R$48,[1]对照表!$T$27:$T$48)),IF(B370="高一",IF($E370="男",LOOKUP(L370,[1]对照表!$Q$3:$Q$24,[1]对照表!$T$3:$T$24),LOOKUP(L370,[1]对照表!$Q$27:$Q$48,[1]对照表!$T$27:$T$48)))))</f>
        <v>100</v>
      </c>
      <c r="N370" s="33">
        <f>IF(B370="高三",MAX(IF(E370="男",L370-18,L370-55),0),IF(B370="高二",MAX(IF(E370="男",L370-17,L370-54),0),IF(B370="高一",MAX(IF(E370="男",L370-16,L370-53),0))))</f>
        <v>10</v>
      </c>
      <c r="O370" s="23">
        <f>IF(E370="男",LOOKUP($N370,[1]对照表!$Z$3:$Z$13,[1]对照表!$AA$3:$AA$13),LOOKUP($N370,[1]对照表!$Z$15:$Z$25,[1]对照表!$AA$15:$AA$25))</f>
        <v>10</v>
      </c>
      <c r="P370" s="25">
        <f>M370+O370</f>
        <v>110</v>
      </c>
      <c r="Q370" s="50">
        <v>3.37</v>
      </c>
      <c r="R370" s="32">
        <f>IF(B370="高三",IF($E370="男",LOOKUP(Q370,[1]对照表!$W$3:$W$24,[1]对照表!$X$3:$X$24),LOOKUP(Q370,[1]对照表!$W$27:$W$48,[1]对照表!$X$27:$X$48)),IF(B370="高二",IF($E370="男",LOOKUP(Q370,[1]对照表!$V$3:$V$24,[1]对照表!$X$3:$X$24),LOOKUP(Q370,[1]对照表!$V$27:$V$48,[1]对照表!$X$27:$X$48)),IF(B370="高一",IF($E370="男",LOOKUP(Q370,[1]对照表!$U$3:$U$24,[1]对照表!$X$3:$X$24),LOOKUP(Q370,[1]对照表!$U$27:$U$48,[1]对照表!$X$27:$X$48)))))</f>
        <v>85</v>
      </c>
      <c r="S370" s="33">
        <f>ROUND(IF(IF($B370="高三",MIN(IF($E370="男",$Q370-3.2,$Q370-3.2),0),IF($B370="高二",MIN(IF($E370="男",$Q370-3.25,$Q370-3.22),0),IF($B370="高一",MIN(IF($E370="男",$Q370-3.3,$Q370-3.24),0))))&lt;-0.6,IF($B370="高三",MIN(IF($E370="男",$Q370-3.2,$Q370-3.2),0),IF($B370="高二",MIN(IF($E370="男",$Q370-3.25,$Q370-3.22),0),IF($B370="高一",MIN(IF($E370="男",$Q370-3.3,$Q370-3.24),0))))+0.4,IF($B370="高三",MIN(IF($E370="男",$Q370-3.2,$Q370-3.2),0),IF($B370="高二",MIN(IF($E370="男",$Q370-3.25,$Q370-3.22),0),IF($B370="高一",MIN(IF($E370="男",$Q370-3.3,$Q370-3.24),0))))),2)</f>
        <v>0</v>
      </c>
      <c r="T370" s="23">
        <f>IF(E370="男",LOOKUP($S370,[1]对照表!$AB$3:$AB$13,[1]对照表!$AC$3:$AC$13),LOOKUP($S370,[1]对照表!$AB$15:$AB$25,[1]对照表!$AC$15:$AC$25))</f>
        <v>0</v>
      </c>
      <c r="U370" s="26">
        <f>R370+T370</f>
        <v>85</v>
      </c>
      <c r="V370" s="26">
        <f>SUM(I370,K370,M370)/3*0.3+SUM(G370,R370)/2*0.4</f>
        <v>60</v>
      </c>
      <c r="W370" s="27">
        <f>O370+T370</f>
        <v>10</v>
      </c>
      <c r="X370" s="28">
        <f>V370/0.7+W370</f>
        <v>95.714285714285722</v>
      </c>
      <c r="Y370" s="28">
        <f>X370</f>
        <v>95.714285714285722</v>
      </c>
      <c r="Z370" s="38"/>
    </row>
    <row r="371" spans="1:26" ht="15.6" x14ac:dyDescent="0.25">
      <c r="A371" s="48">
        <v>36</v>
      </c>
      <c r="B371" s="17" t="s">
        <v>767</v>
      </c>
      <c r="C371" s="38">
        <v>208</v>
      </c>
      <c r="D371" s="49" t="s">
        <v>1035</v>
      </c>
      <c r="E371" s="48" t="s">
        <v>65</v>
      </c>
      <c r="F371" s="50">
        <v>9.4499999999999993</v>
      </c>
      <c r="G371" s="32">
        <f>IF(B371="高三",IF($E371="男",LOOKUP(F371,[1]对照表!$G$3:$G$24,[1]对照表!$H$3:$H$24),LOOKUP(F371,[1]对照表!$G$27:$G$48,[1]对照表!$H$27:$H$48)),IF(B371="高二",IF($E371="男",LOOKUP(F371,[1]对照表!$F$3:$F$24,[1]对照表!$H$3:$H$24),LOOKUP(F371,[1]对照表!$F$27:$F$48,[1]对照表!$H$27:$H$48)),IF(B371="高一",IF($E371="男",LOOKUP(F371,[1]对照表!$E$3:$E$24,[1]对照表!$H$3:$H$24),LOOKUP(F371,[1]对照表!$E$27:$E$48,[1]对照表!$H$27:$H$48)))))</f>
        <v>70</v>
      </c>
      <c r="H371" s="38">
        <v>20.5</v>
      </c>
      <c r="I371" s="32">
        <f>IF(B371="高三",IF($E371="男",LOOKUP(H371,[1]对照表!$K$3:$K$24,[1]对照表!$L$3:$L$24),LOOKUP(H371,[1]对照表!$K$27:$K$48,[1]对照表!$L$27:$L$48)),IF(B371="高二",IF($E371="男",LOOKUP(H371,[1]对照表!$J$3:$J$24,[1]对照表!$L$3:$L$24),LOOKUP(H371,[1]对照表!$J$27:$J$48,[1]对照表!$L$27:$L$48)),IF(B371="高一",IF($E371="男",LOOKUP(H371,[1]对照表!$I$3:$I$24,[1]对照表!$L$3:$L$24),LOOKUP(H371,[1]对照表!$I$27:$I$48,[1]对照表!$L$27:$L$48)))))</f>
        <v>85</v>
      </c>
      <c r="J371" s="38">
        <v>184</v>
      </c>
      <c r="K371" s="32">
        <f>IF(B371="高三",IF($E371="男",LOOKUP(J371,[1]对照表!$O$3:$O$24,[1]对照表!$P$3:$P$24),LOOKUP(J371,[1]对照表!$O$27:$O$48,[1]对照表!$P$27:$P$48)),IF(B371="高二",IF($E371="男",LOOKUP(J371,[1]对照表!$N$3:$N$24,[1]对照表!$P$3:$P$24),LOOKUP(J371,[1]对照表!$N$27:$N$48,[1]对照表!$P$27:$P$48)),IF(B371="高一",IF($E371="男",LOOKUP(J371,[1]对照表!$M$3:$M$24,[1]对照表!$P$3:$P$24),LOOKUP(J371,[1]对照表!$M$27:$M$48,[1]对照表!$P$27:$P$48)))))</f>
        <v>80</v>
      </c>
      <c r="L371" s="38">
        <v>53</v>
      </c>
      <c r="M371" s="32">
        <f>IF(B371="高三",IF($E371="男",LOOKUP(L371,[1]对照表!$S$3:$S$24,[1]对照表!$T$3:$T$24),LOOKUP(L371,[1]对照表!$S$27:$S$48,[1]对照表!$T$27:$T$48)),IF(B371="高二",IF($E371="男",LOOKUP(L371,[1]对照表!$R$3:$R$24,[1]对照表!$T$3:$T$24),LOOKUP(L371,[1]对照表!$R$27:$R$48,[1]对照表!$T$27:$T$48)),IF(B371="高一",IF($E371="男",LOOKUP(L371,[1]对照表!$Q$3:$Q$24,[1]对照表!$T$3:$T$24),LOOKUP(L371,[1]对照表!$Q$27:$Q$48,[1]对照表!$T$27:$T$48)))))</f>
        <v>95</v>
      </c>
      <c r="N371" s="33">
        <f>IF(B371="高三",MAX(IF(E371="男",L371-18,L371-55),0),IF(B371="高二",MAX(IF(E371="男",L371-17,L371-54),0),IF(B371="高一",MAX(IF(E371="男",L371-16,L371-53),0))))</f>
        <v>0</v>
      </c>
      <c r="O371" s="23">
        <f>IF(E371="男",LOOKUP($N371,[1]对照表!$Z$3:$Z$13,[1]对照表!$AA$3:$AA$13),LOOKUP($N371,[1]对照表!$Z$15:$Z$25,[1]对照表!$AA$15:$AA$25))</f>
        <v>0</v>
      </c>
      <c r="P371" s="25">
        <f>M371+O371</f>
        <v>95</v>
      </c>
      <c r="Q371" s="50">
        <v>3.39</v>
      </c>
      <c r="R371" s="32">
        <f>IF(B371="高三",IF($E371="男",LOOKUP(Q371,[1]对照表!$W$3:$W$24,[1]对照表!$X$3:$X$24),LOOKUP(Q371,[1]对照表!$W$27:$W$48,[1]对照表!$X$27:$X$48)),IF(B371="高二",IF($E371="男",LOOKUP(Q371,[1]对照表!$V$3:$V$24,[1]对照表!$X$3:$X$24),LOOKUP(Q371,[1]对照表!$V$27:$V$48,[1]对照表!$X$27:$X$48)),IF(B371="高一",IF($E371="男",LOOKUP(Q371,[1]对照表!$U$3:$U$24,[1]对照表!$X$3:$X$24),LOOKUP(Q371,[1]对照表!$U$27:$U$48,[1]对照表!$X$27:$X$48)))))</f>
        <v>85</v>
      </c>
      <c r="S371" s="33">
        <f>ROUND(IF(IF($B371="高三",MIN(IF($E371="男",$Q371-3.2,$Q371-3.2),0),IF($B371="高二",MIN(IF($E371="男",$Q371-3.25,$Q371-3.22),0),IF($B371="高一",MIN(IF($E371="男",$Q371-3.3,$Q371-3.24),0))))&lt;-0.6,IF($B371="高三",MIN(IF($E371="男",$Q371-3.2,$Q371-3.2),0),IF($B371="高二",MIN(IF($E371="男",$Q371-3.25,$Q371-3.22),0),IF($B371="高一",MIN(IF($E371="男",$Q371-3.3,$Q371-3.24),0))))+0.4,IF($B371="高三",MIN(IF($E371="男",$Q371-3.2,$Q371-3.2),0),IF($B371="高二",MIN(IF($E371="男",$Q371-3.25,$Q371-3.22),0),IF($B371="高一",MIN(IF($E371="男",$Q371-3.3,$Q371-3.24),0))))),2)</f>
        <v>0</v>
      </c>
      <c r="T371" s="23">
        <f>IF(E371="男",LOOKUP($S371,[1]对照表!$AB$3:$AB$13,[1]对照表!$AC$3:$AC$13),LOOKUP($S371,[1]对照表!$AB$15:$AB$25,[1]对照表!$AC$15:$AC$25))</f>
        <v>0</v>
      </c>
      <c r="U371" s="26">
        <f>R371+T371</f>
        <v>85</v>
      </c>
      <c r="V371" s="26">
        <f>SUM(I371,K371,M371)/3*0.3+SUM(G371,R371)/2*0.4</f>
        <v>57</v>
      </c>
      <c r="W371" s="27">
        <f>O371+T371</f>
        <v>0</v>
      </c>
      <c r="X371" s="28">
        <f>V371/0.7+W371</f>
        <v>81.428571428571431</v>
      </c>
      <c r="Y371" s="28">
        <f>X371</f>
        <v>81.428571428571431</v>
      </c>
      <c r="Z371" s="38"/>
    </row>
    <row r="372" spans="1:26" ht="15.6" x14ac:dyDescent="0.25">
      <c r="A372" s="38">
        <v>27</v>
      </c>
      <c r="B372" s="17" t="s">
        <v>767</v>
      </c>
      <c r="C372" s="38">
        <v>208</v>
      </c>
      <c r="D372" s="49" t="s">
        <v>1057</v>
      </c>
      <c r="E372" s="48" t="s">
        <v>65</v>
      </c>
      <c r="F372" s="50">
        <v>9.59</v>
      </c>
      <c r="G372" s="32">
        <f>IF(B372="高三",IF($E372="男",LOOKUP(F372,[1]对照表!$G$3:$G$24,[1]对照表!$H$3:$H$24),LOOKUP(F372,[1]对照表!$G$27:$G$48,[1]对照表!$H$27:$H$48)),IF(B372="高二",IF($E372="男",LOOKUP(F372,[1]对照表!$F$3:$F$24,[1]对照表!$H$3:$H$24),LOOKUP(F372,[1]对照表!$F$27:$F$48,[1]对照表!$H$27:$H$48)),IF(B372="高一",IF($E372="男",LOOKUP(F372,[1]对照表!$E$3:$E$24,[1]对照表!$H$3:$H$24),LOOKUP(F372,[1]对照表!$E$27:$E$48,[1]对照表!$H$27:$H$48)))))</f>
        <v>68</v>
      </c>
      <c r="H372" s="38">
        <v>26.3</v>
      </c>
      <c r="I372" s="32">
        <f>IF(B372="高三",IF($E372="男",LOOKUP(H372,[1]对照表!$K$3:$K$24,[1]对照表!$L$3:$L$24),LOOKUP(H372,[1]对照表!$K$27:$K$48,[1]对照表!$L$27:$L$48)),IF(B372="高二",IF($E372="男",LOOKUP(H372,[1]对照表!$J$3:$J$24,[1]对照表!$L$3:$L$24),LOOKUP(H372,[1]对照表!$J$27:$J$48,[1]对照表!$L$27:$L$48)),IF(B372="高一",IF($E372="男",LOOKUP(H372,[1]对照表!$I$3:$I$24,[1]对照表!$L$3:$L$24),LOOKUP(H372,[1]对照表!$I$27:$I$48,[1]对照表!$L$27:$L$48)))))</f>
        <v>100</v>
      </c>
      <c r="J372" s="38">
        <v>170</v>
      </c>
      <c r="K372" s="32">
        <f>IF(B372="高三",IF($E372="男",LOOKUP(J372,[1]对照表!$O$3:$O$24,[1]对照表!$P$3:$P$24),LOOKUP(J372,[1]对照表!$O$27:$O$48,[1]对照表!$P$27:$P$48)),IF(B372="高二",IF($E372="男",LOOKUP(J372,[1]对照表!$N$3:$N$24,[1]对照表!$P$3:$P$24),LOOKUP(J372,[1]对照表!$N$27:$N$48,[1]对照表!$P$27:$P$48)),IF(B372="高一",IF($E372="男",LOOKUP(J372,[1]对照表!$M$3:$M$24,[1]对照表!$P$3:$P$24),LOOKUP(J372,[1]对照表!$M$27:$M$48,[1]对照表!$P$27:$P$48)))))</f>
        <v>74</v>
      </c>
      <c r="L372" s="38">
        <v>57</v>
      </c>
      <c r="M372" s="32">
        <f>IF(B372="高三",IF($E372="男",LOOKUP(L372,[1]对照表!$S$3:$S$24,[1]对照表!$T$3:$T$24),LOOKUP(L372,[1]对照表!$S$27:$S$48,[1]对照表!$T$27:$T$48)),IF(B372="高二",IF($E372="男",LOOKUP(L372,[1]对照表!$R$3:$R$24,[1]对照表!$T$3:$T$24),LOOKUP(L372,[1]对照表!$R$27:$R$48,[1]对照表!$T$27:$T$48)),IF(B372="高一",IF($E372="男",LOOKUP(L372,[1]对照表!$Q$3:$Q$24,[1]对照表!$T$3:$T$24),LOOKUP(L372,[1]对照表!$Q$27:$Q$48,[1]对照表!$T$27:$T$48)))))</f>
        <v>100</v>
      </c>
      <c r="N372" s="33">
        <f>IF(B372="高三",MAX(IF(E372="男",L372-18,L372-55),0),IF(B372="高二",MAX(IF(E372="男",L372-17,L372-54),0),IF(B372="高一",MAX(IF(E372="男",L372-16,L372-53),0))))</f>
        <v>3</v>
      </c>
      <c r="O372" s="23">
        <f>IF(E372="男",LOOKUP($N372,[1]对照表!$Z$3:$Z$13,[1]对照表!$AA$3:$AA$13),LOOKUP($N372,[1]对照表!$Z$15:$Z$25,[1]对照表!$AA$15:$AA$25))</f>
        <v>1</v>
      </c>
      <c r="P372" s="25">
        <f>M372+O372</f>
        <v>101</v>
      </c>
      <c r="Q372" s="50">
        <v>4.03</v>
      </c>
      <c r="R372" s="32">
        <f>IF(B372="高三",IF($E372="男",LOOKUP(Q372,[1]对照表!$W$3:$W$24,[1]对照表!$X$3:$X$24),LOOKUP(Q372,[1]对照表!$W$27:$W$48,[1]对照表!$X$27:$X$48)),IF(B372="高二",IF($E372="男",LOOKUP(Q372,[1]对照表!$V$3:$V$24,[1]对照表!$X$3:$X$24),LOOKUP(Q372,[1]对照表!$V$27:$V$48,[1]对照表!$X$27:$X$48)),IF(B372="高一",IF($E372="男",LOOKUP(Q372,[1]对照表!$U$3:$U$24,[1]对照表!$X$3:$X$24),LOOKUP(Q372,[1]对照表!$U$27:$U$48,[1]对照表!$X$27:$X$48)))))</f>
        <v>74</v>
      </c>
      <c r="S372" s="33">
        <f>ROUND(IF(IF($B372="高三",MIN(IF($E372="男",$Q372-3.2,$Q372-3.2),0),IF($B372="高二",MIN(IF($E372="男",$Q372-3.25,$Q372-3.22),0),IF($B372="高一",MIN(IF($E372="男",$Q372-3.3,$Q372-3.24),0))))&lt;-0.6,IF($B372="高三",MIN(IF($E372="男",$Q372-3.2,$Q372-3.2),0),IF($B372="高二",MIN(IF($E372="男",$Q372-3.25,$Q372-3.22),0),IF($B372="高一",MIN(IF($E372="男",$Q372-3.3,$Q372-3.24),0))))+0.4,IF($B372="高三",MIN(IF($E372="男",$Q372-3.2,$Q372-3.2),0),IF($B372="高二",MIN(IF($E372="男",$Q372-3.25,$Q372-3.22),0),IF($B372="高一",MIN(IF($E372="男",$Q372-3.3,$Q372-3.24),0))))),2)</f>
        <v>0</v>
      </c>
      <c r="T372" s="23">
        <f>IF(E372="男",LOOKUP($S372,[1]对照表!$AB$3:$AB$13,[1]对照表!$AC$3:$AC$13),LOOKUP($S372,[1]对照表!$AB$15:$AB$25,[1]对照表!$AC$15:$AC$25))</f>
        <v>0</v>
      </c>
      <c r="U372" s="26">
        <f>R372+T372</f>
        <v>74</v>
      </c>
      <c r="V372" s="26">
        <f>SUM(I372,K372,M372)/3*0.3+SUM(G372,R372)/2*0.4</f>
        <v>55.8</v>
      </c>
      <c r="W372" s="27">
        <f>O372+T372</f>
        <v>1</v>
      </c>
      <c r="X372" s="28">
        <f>V372/0.7+W372</f>
        <v>80.714285714285708</v>
      </c>
      <c r="Y372" s="28">
        <f>X372</f>
        <v>80.714285714285708</v>
      </c>
      <c r="Z372" s="38"/>
    </row>
    <row r="373" spans="1:26" ht="15.6" x14ac:dyDescent="0.25">
      <c r="A373" s="48">
        <v>48</v>
      </c>
      <c r="B373" s="17" t="s">
        <v>767</v>
      </c>
      <c r="C373" s="38">
        <v>208</v>
      </c>
      <c r="D373" s="49" t="s">
        <v>1076</v>
      </c>
      <c r="E373" s="48" t="s">
        <v>65</v>
      </c>
      <c r="F373" s="50">
        <v>9.26</v>
      </c>
      <c r="G373" s="32">
        <f>IF(B373="高三",IF($E373="男",LOOKUP(F373,[1]对照表!$G$3:$G$24,[1]对照表!$H$3:$H$24),LOOKUP(F373,[1]对照表!$G$27:$G$48,[1]对照表!$H$27:$H$48)),IF(B373="高二",IF($E373="男",LOOKUP(F373,[1]对照表!$F$3:$F$24,[1]对照表!$H$3:$H$24),LOOKUP(F373,[1]对照表!$F$27:$F$48,[1]对照表!$H$27:$H$48)),IF(B373="高一",IF($E373="男",LOOKUP(F373,[1]对照表!$E$3:$E$24,[1]对照表!$H$3:$H$24),LOOKUP(F373,[1]对照表!$E$27:$E$48,[1]对照表!$H$27:$H$48)))))</f>
        <v>72</v>
      </c>
      <c r="H373" s="38">
        <v>28</v>
      </c>
      <c r="I373" s="32">
        <f>IF(B373="高三",IF($E373="男",LOOKUP(H373,[1]对照表!$K$3:$K$24,[1]对照表!$L$3:$L$24),LOOKUP(H373,[1]对照表!$K$27:$K$48,[1]对照表!$L$27:$L$48)),IF(B373="高二",IF($E373="男",LOOKUP(H373,[1]对照表!$J$3:$J$24,[1]对照表!$L$3:$L$24),LOOKUP(H373,[1]对照表!$J$27:$J$48,[1]对照表!$L$27:$L$48)),IF(B373="高一",IF($E373="男",LOOKUP(H373,[1]对照表!$I$3:$I$24,[1]对照表!$L$3:$L$24),LOOKUP(H373,[1]对照表!$I$27:$I$48,[1]对照表!$L$27:$L$48)))))</f>
        <v>100</v>
      </c>
      <c r="J373" s="38">
        <v>172</v>
      </c>
      <c r="K373" s="32">
        <f>IF(B373="高三",IF($E373="男",LOOKUP(J373,[1]对照表!$O$3:$O$24,[1]对照表!$P$3:$P$24),LOOKUP(J373,[1]对照表!$O$27:$O$48,[1]对照表!$P$27:$P$48)),IF(B373="高二",IF($E373="男",LOOKUP(J373,[1]对照表!$N$3:$N$24,[1]对照表!$P$3:$P$24),LOOKUP(J373,[1]对照表!$N$27:$N$48,[1]对照表!$P$27:$P$48)),IF(B373="高一",IF($E373="男",LOOKUP(J373,[1]对照表!$M$3:$M$24,[1]对照表!$P$3:$P$24),LOOKUP(J373,[1]对照表!$M$27:$M$48,[1]对照表!$P$27:$P$48)))))</f>
        <v>74</v>
      </c>
      <c r="L373" s="38">
        <v>47</v>
      </c>
      <c r="M373" s="32">
        <f>IF(B373="高三",IF($E373="男",LOOKUP(L373,[1]对照表!$S$3:$S$24,[1]对照表!$T$3:$T$24),LOOKUP(L373,[1]对照表!$S$27:$S$48,[1]对照表!$T$27:$T$48)),IF(B373="高二",IF($E373="男",LOOKUP(L373,[1]对照表!$R$3:$R$24,[1]对照表!$T$3:$T$24),LOOKUP(L373,[1]对照表!$R$27:$R$48,[1]对照表!$T$27:$T$48)),IF(B373="高一",IF($E373="男",LOOKUP(L373,[1]对照表!$Q$3:$Q$24,[1]对照表!$T$3:$T$24),LOOKUP(L373,[1]对照表!$Q$27:$Q$48,[1]对照表!$T$27:$T$48)))))</f>
        <v>85</v>
      </c>
      <c r="N373" s="33">
        <f>IF(B373="高三",MAX(IF(E373="男",L373-18,L373-55),0),IF(B373="高二",MAX(IF(E373="男",L373-17,L373-54),0),IF(B373="高一",MAX(IF(E373="男",L373-16,L373-53),0))))</f>
        <v>0</v>
      </c>
      <c r="O373" s="23">
        <f>IF(E373="男",LOOKUP($N373,[1]对照表!$Z$3:$Z$13,[1]对照表!$AA$3:$AA$13),LOOKUP($N373,[1]对照表!$Z$15:$Z$25,[1]对照表!$AA$15:$AA$25))</f>
        <v>0</v>
      </c>
      <c r="P373" s="25">
        <f>M373+O373</f>
        <v>85</v>
      </c>
      <c r="Q373" s="50">
        <v>3.49</v>
      </c>
      <c r="R373" s="32">
        <f>IF(B373="高三",IF($E373="男",LOOKUP(Q373,[1]对照表!$W$3:$W$24,[1]对照表!$X$3:$X$24),LOOKUP(Q373,[1]对照表!$W$27:$W$48,[1]对照表!$X$27:$X$48)),IF(B373="高二",IF($E373="男",LOOKUP(Q373,[1]对照表!$V$3:$V$24,[1]对照表!$X$3:$X$24),LOOKUP(Q373,[1]对照表!$V$27:$V$48,[1]对照表!$X$27:$X$48)),IF(B373="高一",IF($E373="男",LOOKUP(Q373,[1]对照表!$U$3:$U$24,[1]对照表!$X$3:$X$24),LOOKUP(Q373,[1]对照表!$U$27:$U$48,[1]对照表!$X$27:$X$48)))))</f>
        <v>78</v>
      </c>
      <c r="S373" s="33">
        <f>ROUND(IF(IF($B373="高三",MIN(IF($E373="男",$Q373-3.2,$Q373-3.2),0),IF($B373="高二",MIN(IF($E373="男",$Q373-3.25,$Q373-3.22),0),IF($B373="高一",MIN(IF($E373="男",$Q373-3.3,$Q373-3.24),0))))&lt;-0.6,IF($B373="高三",MIN(IF($E373="男",$Q373-3.2,$Q373-3.2),0),IF($B373="高二",MIN(IF($E373="男",$Q373-3.25,$Q373-3.22),0),IF($B373="高一",MIN(IF($E373="男",$Q373-3.3,$Q373-3.24),0))))+0.4,IF($B373="高三",MIN(IF($E373="男",$Q373-3.2,$Q373-3.2),0),IF($B373="高二",MIN(IF($E373="男",$Q373-3.25,$Q373-3.22),0),IF($B373="高一",MIN(IF($E373="男",$Q373-3.3,$Q373-3.24),0))))),2)</f>
        <v>0</v>
      </c>
      <c r="T373" s="23">
        <f>IF(E373="男",LOOKUP($S373,[1]对照表!$AB$3:$AB$13,[1]对照表!$AC$3:$AC$13),LOOKUP($S373,[1]对照表!$AB$15:$AB$25,[1]对照表!$AC$15:$AC$25))</f>
        <v>0</v>
      </c>
      <c r="U373" s="26">
        <f>R373+T373</f>
        <v>78</v>
      </c>
      <c r="V373" s="26">
        <f>SUM(I373,K373,M373)/3*0.3+SUM(G373,R373)/2*0.4</f>
        <v>55.9</v>
      </c>
      <c r="W373" s="27">
        <f>O373+T373</f>
        <v>0</v>
      </c>
      <c r="X373" s="28">
        <f>V373/0.7+W373</f>
        <v>79.857142857142861</v>
      </c>
      <c r="Y373" s="28">
        <f>X373</f>
        <v>79.857142857142861</v>
      </c>
      <c r="Z373" s="38"/>
    </row>
    <row r="374" spans="1:26" ht="15.6" customHeight="1" x14ac:dyDescent="0.15">
      <c r="A374" s="38">
        <v>1</v>
      </c>
      <c r="B374" s="17" t="s">
        <v>767</v>
      </c>
      <c r="C374" s="38">
        <v>208</v>
      </c>
      <c r="D374" s="49" t="s">
        <v>1112</v>
      </c>
      <c r="E374" s="38" t="s">
        <v>23</v>
      </c>
      <c r="F374" s="50">
        <v>7.9</v>
      </c>
      <c r="G374" s="32">
        <f>IF(B374="高三",IF($E374="男",LOOKUP(F374,[1]对照表!$G$3:$G$24,[1]对照表!$H$3:$H$24),LOOKUP(F374,[1]对照表!$G$27:$G$48,[1]对照表!$H$27:$H$48)),IF(B374="高二",IF($E374="男",LOOKUP(F374,[1]对照表!$F$3:$F$24,[1]对照表!$H$3:$H$24),LOOKUP(F374,[1]对照表!$F$27:$F$48,[1]对照表!$H$27:$H$48)),IF(B374="高一",IF($E374="男",LOOKUP(F374,[1]对照表!$E$3:$E$24,[1]对照表!$H$3:$H$24),LOOKUP(F374,[1]对照表!$E$27:$E$48,[1]对照表!$H$27:$H$48)))))</f>
        <v>74</v>
      </c>
      <c r="H374" s="38">
        <v>17.399999999999999</v>
      </c>
      <c r="I374" s="32">
        <f>IF(B374="高三",IF($E374="男",LOOKUP(H374,[1]对照表!$K$3:$K$24,[1]对照表!$L$3:$L$24),LOOKUP(H374,[1]对照表!$K$27:$K$48,[1]对照表!$L$27:$L$48)),IF(B374="高二",IF($E374="男",LOOKUP(H374,[1]对照表!$J$3:$J$24,[1]对照表!$L$3:$L$24),LOOKUP(H374,[1]对照表!$J$27:$J$48,[1]对照表!$L$27:$L$48)),IF(B374="高一",IF($E374="男",LOOKUP(H374,[1]对照表!$I$3:$I$24,[1]对照表!$L$3:$L$24),LOOKUP(H374,[1]对照表!$I$27:$I$48,[1]对照表!$L$27:$L$48)))))</f>
        <v>80</v>
      </c>
      <c r="J374" s="38">
        <v>254</v>
      </c>
      <c r="K374" s="32">
        <f>IF(B374="高三",IF($E374="男",LOOKUP(J374,[1]对照表!$O$3:$O$24,[1]对照表!$P$3:$P$24),LOOKUP(J374,[1]对照表!$O$27:$O$48,[1]对照表!$P$27:$P$48)),IF(B374="高二",IF($E374="男",LOOKUP(J374,[1]对照表!$N$3:$N$24,[1]对照表!$P$3:$P$24),LOOKUP(J374,[1]对照表!$N$27:$N$48,[1]对照表!$P$27:$P$48)),IF(B374="高一",IF($E374="男",LOOKUP(J374,[1]对照表!$M$3:$M$24,[1]对照表!$P$3:$P$24),LOOKUP(J374,[1]对照表!$M$27:$M$48,[1]对照表!$P$27:$P$48)))))</f>
        <v>85</v>
      </c>
      <c r="L374" s="38">
        <v>20</v>
      </c>
      <c r="M374" s="32">
        <f>IF(B374="高三",IF($E374="男",LOOKUP(L374,[1]对照表!$S$3:$S$24,[1]对照表!$T$3:$T$24),LOOKUP(L374,[1]对照表!$S$27:$S$48,[1]对照表!$T$27:$T$48)),IF(B374="高二",IF($E374="男",LOOKUP(L374,[1]对照表!$R$3:$R$24,[1]对照表!$T$3:$T$24),LOOKUP(L374,[1]对照表!$R$27:$R$48,[1]对照表!$T$27:$T$48)),IF(B374="高一",IF($E374="男",LOOKUP(L374,[1]对照表!$Q$3:$Q$24,[1]对照表!$T$3:$T$24),LOOKUP(L374,[1]对照表!$Q$27:$Q$48,[1]对照表!$T$27:$T$48)))))</f>
        <v>100</v>
      </c>
      <c r="N374" s="33">
        <f>IF(B374="高三",MAX(IF(E374="男",L374-18,L374-55),0),IF(B374="高二",MAX(IF(E374="男",L374-17,L374-54),0),IF(B374="高一",MAX(IF(E374="男",L374-16,L374-53),0))))</f>
        <v>3</v>
      </c>
      <c r="O374" s="23">
        <f>IF(E374="男",LOOKUP($N374,[1]对照表!$Z$3:$Z$13,[1]对照表!$AA$3:$AA$13),LOOKUP($N374,[1]对照表!$Z$15:$Z$25,[1]对照表!$AA$15:$AA$25))</f>
        <v>3</v>
      </c>
      <c r="P374" s="25">
        <f>M374+O374</f>
        <v>103</v>
      </c>
      <c r="Q374" s="50">
        <v>3.44</v>
      </c>
      <c r="R374" s="32">
        <f>IF(B374="高三",IF($E374="男",LOOKUP(Q374,[1]对照表!$W$3:$W$24,[1]对照表!$X$3:$X$24),LOOKUP(Q374,[1]对照表!$W$27:$W$48,[1]对照表!$X$27:$X$48)),IF(B374="高二",IF($E374="男",LOOKUP(Q374,[1]对照表!$V$3:$V$24,[1]对照表!$X$3:$X$24),LOOKUP(Q374,[1]对照表!$V$27:$V$48,[1]对照表!$X$27:$X$48)),IF(B374="高一",IF($E374="男",LOOKUP(Q374,[1]对照表!$U$3:$U$24,[1]对照表!$X$3:$X$24),LOOKUP(Q374,[1]对照表!$U$27:$U$48,[1]对照表!$X$27:$X$48)))))</f>
        <v>80</v>
      </c>
      <c r="S374" s="33">
        <f>ROUND(IF(IF($B374="高三",MIN(IF($E374="男",$Q374-3.2,$Q374-3.2),0),IF($B374="高二",MIN(IF($E374="男",$Q374-3.25,$Q374-3.22),0),IF($B374="高一",MIN(IF($E374="男",$Q374-3.3,$Q374-3.24),0))))&lt;-0.6,IF($B374="高三",MIN(IF($E374="男",$Q374-3.2,$Q374-3.2),0),IF($B374="高二",MIN(IF($E374="男",$Q374-3.25,$Q374-3.22),0),IF($B374="高一",MIN(IF($E374="男",$Q374-3.3,$Q374-3.24),0))))+0.4,IF($B374="高三",MIN(IF($E374="男",$Q374-3.2,$Q374-3.2),0),IF($B374="高二",MIN(IF($E374="男",$Q374-3.25,$Q374-3.22),0),IF($B374="高一",MIN(IF($E374="男",$Q374-3.3,$Q374-3.24),0))))),2)</f>
        <v>0</v>
      </c>
      <c r="T374" s="23">
        <f>IF(E374="男",LOOKUP($S374,[1]对照表!$AB$3:$AB$13,[1]对照表!$AC$3:$AC$13),LOOKUP($S374,[1]对照表!$AB$15:$AB$25,[1]对照表!$AC$15:$AC$25))</f>
        <v>0</v>
      </c>
      <c r="U374" s="26">
        <f>R374+T374</f>
        <v>80</v>
      </c>
      <c r="V374" s="26">
        <f>SUM(I374,K374,M374)/3*0.3+SUM(G374,R374)/2*0.4</f>
        <v>57.3</v>
      </c>
      <c r="W374" s="27">
        <f>O374+T374</f>
        <v>3</v>
      </c>
      <c r="X374" s="28">
        <f>V374/0.7+W374</f>
        <v>84.857142857142861</v>
      </c>
      <c r="Y374" s="28">
        <f>X374</f>
        <v>84.857142857142861</v>
      </c>
      <c r="Z374" s="38"/>
    </row>
    <row r="375" spans="1:26" ht="15.6" x14ac:dyDescent="0.25">
      <c r="A375" s="48">
        <v>46</v>
      </c>
      <c r="B375" s="17" t="s">
        <v>767</v>
      </c>
      <c r="C375" s="38">
        <v>208</v>
      </c>
      <c r="D375" s="49" t="s">
        <v>1115</v>
      </c>
      <c r="E375" s="48" t="s">
        <v>65</v>
      </c>
      <c r="F375" s="50">
        <v>8.73</v>
      </c>
      <c r="G375" s="32">
        <f>IF(B375="高三",IF($E375="男",LOOKUP(F375,[1]对照表!$G$3:$G$24,[1]对照表!$H$3:$H$24),LOOKUP(F375,[1]对照表!$G$27:$G$48,[1]对照表!$H$27:$H$48)),IF(B375="高二",IF($E375="男",LOOKUP(F375,[1]对照表!$F$3:$F$24,[1]对照表!$H$3:$H$24),LOOKUP(F375,[1]对照表!$F$27:$F$48,[1]对照表!$H$27:$H$48)),IF(B375="高一",IF($E375="男",LOOKUP(F375,[1]对照表!$E$3:$E$24,[1]对照表!$H$3:$H$24),LOOKUP(F375,[1]对照表!$E$27:$E$48,[1]对照表!$H$27:$H$48)))))</f>
        <v>76</v>
      </c>
      <c r="H375" s="38">
        <v>22</v>
      </c>
      <c r="I375" s="32">
        <f>IF(B375="高三",IF($E375="男",LOOKUP(H375,[1]对照表!$K$3:$K$24,[1]对照表!$L$3:$L$24),LOOKUP(H375,[1]对照表!$K$27:$K$48,[1]对照表!$L$27:$L$48)),IF(B375="高二",IF($E375="男",LOOKUP(H375,[1]对照表!$J$3:$J$24,[1]对照表!$L$3:$L$24),LOOKUP(H375,[1]对照表!$J$27:$J$48,[1]对照表!$L$27:$L$48)),IF(B375="高一",IF($E375="男",LOOKUP(H375,[1]对照表!$I$3:$I$24,[1]对照表!$L$3:$L$24),LOOKUP(H375,[1]对照表!$I$27:$I$48,[1]对照表!$L$27:$L$48)))))</f>
        <v>90</v>
      </c>
      <c r="J375" s="38">
        <v>171</v>
      </c>
      <c r="K375" s="32">
        <f>IF(B375="高三",IF($E375="男",LOOKUP(J375,[1]对照表!$O$3:$O$24,[1]对照表!$P$3:$P$24),LOOKUP(J375,[1]对照表!$O$27:$O$48,[1]对照表!$P$27:$P$48)),IF(B375="高二",IF($E375="男",LOOKUP(J375,[1]对照表!$N$3:$N$24,[1]对照表!$P$3:$P$24),LOOKUP(J375,[1]对照表!$N$27:$N$48,[1]对照表!$P$27:$P$48)),IF(B375="高一",IF($E375="男",LOOKUP(J375,[1]对照表!$M$3:$M$24,[1]对照表!$P$3:$P$24),LOOKUP(J375,[1]对照表!$M$27:$M$48,[1]对照表!$P$27:$P$48)))))</f>
        <v>74</v>
      </c>
      <c r="L375" s="38">
        <v>47</v>
      </c>
      <c r="M375" s="32">
        <f>IF(B375="高三",IF($E375="男",LOOKUP(L375,[1]对照表!$S$3:$S$24,[1]对照表!$T$3:$T$24),LOOKUP(L375,[1]对照表!$S$27:$S$48,[1]对照表!$T$27:$T$48)),IF(B375="高二",IF($E375="男",LOOKUP(L375,[1]对照表!$R$3:$R$24,[1]对照表!$T$3:$T$24),LOOKUP(L375,[1]对照表!$R$27:$R$48,[1]对照表!$T$27:$T$48)),IF(B375="高一",IF($E375="男",LOOKUP(L375,[1]对照表!$Q$3:$Q$24,[1]对照表!$T$3:$T$24),LOOKUP(L375,[1]对照表!$Q$27:$Q$48,[1]对照表!$T$27:$T$48)))))</f>
        <v>85</v>
      </c>
      <c r="N375" s="33">
        <f>IF(B375="高三",MAX(IF(E375="男",L375-18,L375-55),0),IF(B375="高二",MAX(IF(E375="男",L375-17,L375-54),0),IF(B375="高一",MAX(IF(E375="男",L375-16,L375-53),0))))</f>
        <v>0</v>
      </c>
      <c r="O375" s="23">
        <f>IF(E375="男",LOOKUP($N375,[1]对照表!$Z$3:$Z$13,[1]对照表!$AA$3:$AA$13),LOOKUP($N375,[1]对照表!$Z$15:$Z$25,[1]对照表!$AA$15:$AA$25))</f>
        <v>0</v>
      </c>
      <c r="P375" s="25">
        <f>M375+O375</f>
        <v>85</v>
      </c>
      <c r="Q375" s="50">
        <v>4.0199999999999996</v>
      </c>
      <c r="R375" s="32">
        <f>IF(B375="高三",IF($E375="男",LOOKUP(Q375,[1]对照表!$W$3:$W$24,[1]对照表!$X$3:$X$24),LOOKUP(Q375,[1]对照表!$W$27:$W$48,[1]对照表!$X$27:$X$48)),IF(B375="高二",IF($E375="男",LOOKUP(Q375,[1]对照表!$V$3:$V$24,[1]对照表!$X$3:$X$24),LOOKUP(Q375,[1]对照表!$V$27:$V$48,[1]对照表!$X$27:$X$48)),IF(B375="高一",IF($E375="男",LOOKUP(Q375,[1]对照表!$U$3:$U$24,[1]对照表!$X$3:$X$24),LOOKUP(Q375,[1]对照表!$U$27:$U$48,[1]对照表!$X$27:$X$48)))))</f>
        <v>74</v>
      </c>
      <c r="S375" s="33">
        <f>ROUND(IF(IF($B375="高三",MIN(IF($E375="男",$Q375-3.2,$Q375-3.2),0),IF($B375="高二",MIN(IF($E375="男",$Q375-3.25,$Q375-3.22),0),IF($B375="高一",MIN(IF($E375="男",$Q375-3.3,$Q375-3.24),0))))&lt;-0.6,IF($B375="高三",MIN(IF($E375="男",$Q375-3.2,$Q375-3.2),0),IF($B375="高二",MIN(IF($E375="男",$Q375-3.25,$Q375-3.22),0),IF($B375="高一",MIN(IF($E375="男",$Q375-3.3,$Q375-3.24),0))))+0.4,IF($B375="高三",MIN(IF($E375="男",$Q375-3.2,$Q375-3.2),0),IF($B375="高二",MIN(IF($E375="男",$Q375-3.25,$Q375-3.22),0),IF($B375="高一",MIN(IF($E375="男",$Q375-3.3,$Q375-3.24),0))))),2)</f>
        <v>0</v>
      </c>
      <c r="T375" s="23">
        <f>IF(E375="男",LOOKUP($S375,[1]对照表!$AB$3:$AB$13,[1]对照表!$AC$3:$AC$13),LOOKUP($S375,[1]对照表!$AB$15:$AB$25,[1]对照表!$AC$15:$AC$25))</f>
        <v>0</v>
      </c>
      <c r="U375" s="26">
        <f>R375+T375</f>
        <v>74</v>
      </c>
      <c r="V375" s="26">
        <f>SUM(I375,K375,M375)/3*0.3+SUM(G375,R375)/2*0.4</f>
        <v>54.9</v>
      </c>
      <c r="W375" s="27">
        <f>O375+T375</f>
        <v>0</v>
      </c>
      <c r="X375" s="28">
        <f>V375/0.7+W375</f>
        <v>78.428571428571431</v>
      </c>
      <c r="Y375" s="28">
        <f>X375</f>
        <v>78.428571428571431</v>
      </c>
      <c r="Z375" s="38"/>
    </row>
    <row r="376" spans="1:26" ht="15.6" x14ac:dyDescent="0.25">
      <c r="A376" s="48">
        <v>12</v>
      </c>
      <c r="B376" s="17" t="s">
        <v>767</v>
      </c>
      <c r="C376" s="38">
        <v>208</v>
      </c>
      <c r="D376" s="49" t="s">
        <v>1121</v>
      </c>
      <c r="E376" s="38" t="s">
        <v>23</v>
      </c>
      <c r="F376" s="50">
        <v>7.3</v>
      </c>
      <c r="G376" s="32">
        <f>IF(B376="高三",IF($E376="男",LOOKUP(F376,[1]对照表!$G$3:$G$24,[1]对照表!$H$3:$H$24),LOOKUP(F376,[1]对照表!$G$27:$G$48,[1]对照表!$H$27:$H$48)),IF(B376="高二",IF($E376="男",LOOKUP(F376,[1]对照表!$F$3:$F$24,[1]对照表!$H$3:$H$24),LOOKUP(F376,[1]对照表!$F$27:$F$48,[1]对照表!$H$27:$H$48)),IF(B376="高一",IF($E376="男",LOOKUP(F376,[1]对照表!$E$3:$E$24,[1]对照表!$H$3:$H$24),LOOKUP(F376,[1]对照表!$E$27:$E$48,[1]对照表!$H$27:$H$48)))))</f>
        <v>85</v>
      </c>
      <c r="H376" s="38">
        <v>19.5</v>
      </c>
      <c r="I376" s="32">
        <f>IF(B376="高三",IF($E376="男",LOOKUP(H376,[1]对照表!$K$3:$K$24,[1]对照表!$L$3:$L$24),LOOKUP(H376,[1]对照表!$K$27:$K$48,[1]对照表!$L$27:$L$48)),IF(B376="高二",IF($E376="男",LOOKUP(H376,[1]对照表!$J$3:$J$24,[1]对照表!$L$3:$L$24),LOOKUP(H376,[1]对照表!$J$27:$J$48,[1]对照表!$L$27:$L$48)),IF(B376="高一",IF($E376="男",LOOKUP(H376,[1]对照表!$I$3:$I$24,[1]对照表!$L$3:$L$24),LOOKUP(H376,[1]对照表!$I$27:$I$48,[1]对照表!$L$27:$L$48)))))</f>
        <v>85</v>
      </c>
      <c r="J376" s="38">
        <v>253</v>
      </c>
      <c r="K376" s="32">
        <f>IF(B376="高三",IF($E376="男",LOOKUP(J376,[1]对照表!$O$3:$O$24,[1]对照表!$P$3:$P$24),LOOKUP(J376,[1]对照表!$O$27:$O$48,[1]对照表!$P$27:$P$48)),IF(B376="高二",IF($E376="男",LOOKUP(J376,[1]对照表!$N$3:$N$24,[1]对照表!$P$3:$P$24),LOOKUP(J376,[1]对照表!$N$27:$N$48,[1]对照表!$P$27:$P$48)),IF(B376="高一",IF($E376="男",LOOKUP(J376,[1]对照表!$M$3:$M$24,[1]对照表!$P$3:$P$24),LOOKUP(J376,[1]对照表!$M$27:$M$48,[1]对照表!$P$27:$P$48)))))</f>
        <v>85</v>
      </c>
      <c r="L376" s="38">
        <v>5</v>
      </c>
      <c r="M376" s="32">
        <f>IF(B376="高三",IF($E376="男",LOOKUP(L376,[1]对照表!$S$3:$S$24,[1]对照表!$T$3:$T$24),LOOKUP(L376,[1]对照表!$S$27:$S$48,[1]对照表!$T$27:$T$48)),IF(B376="高二",IF($E376="男",LOOKUP(L376,[1]对照表!$R$3:$R$24,[1]对照表!$T$3:$T$24),LOOKUP(L376,[1]对照表!$R$27:$R$48,[1]对照表!$T$27:$T$48)),IF(B376="高一",IF($E376="男",LOOKUP(L376,[1]对照表!$Q$3:$Q$24,[1]对照表!$T$3:$T$24),LOOKUP(L376,[1]对照表!$Q$27:$Q$48,[1]对照表!$T$27:$T$48)))))</f>
        <v>30</v>
      </c>
      <c r="N376" s="33">
        <f>IF(B376="高三",MAX(IF(E376="男",L376-18,L376-55),0),IF(B376="高二",MAX(IF(E376="男",L376-17,L376-54),0),IF(B376="高一",MAX(IF(E376="男",L376-16,L376-53),0))))</f>
        <v>0</v>
      </c>
      <c r="O376" s="23">
        <f>IF(E376="男",LOOKUP($N376,[1]对照表!$Z$3:$Z$13,[1]对照表!$AA$3:$AA$13),LOOKUP($N376,[1]对照表!$Z$15:$Z$25,[1]对照表!$AA$15:$AA$25))</f>
        <v>0</v>
      </c>
      <c r="P376" s="25">
        <f>M376+O376</f>
        <v>30</v>
      </c>
      <c r="Q376" s="50">
        <v>3.13</v>
      </c>
      <c r="R376" s="32">
        <f>IF(B376="高三",IF($E376="男",LOOKUP(Q376,[1]对照表!$W$3:$W$24,[1]对照表!$X$3:$X$24),LOOKUP(Q376,[1]对照表!$W$27:$W$48,[1]对照表!$X$27:$X$48)),IF(B376="高二",IF($E376="男",LOOKUP(Q376,[1]对照表!$V$3:$V$24,[1]对照表!$X$3:$X$24),LOOKUP(Q376,[1]对照表!$V$27:$V$48,[1]对照表!$X$27:$X$48)),IF(B376="高一",IF($E376="男",LOOKUP(Q376,[1]对照表!$U$3:$U$24,[1]对照表!$X$3:$X$24),LOOKUP(Q376,[1]对照表!$U$27:$U$48,[1]对照表!$X$27:$X$48)))))</f>
        <v>100</v>
      </c>
      <c r="S376" s="33">
        <f>ROUND(IF(IF($B376="高三",MIN(IF($E376="男",$Q376-3.2,$Q376-3.2),0),IF($B376="高二",MIN(IF($E376="男",$Q376-3.25,$Q376-3.22),0),IF($B376="高一",MIN(IF($E376="男",$Q376-3.3,$Q376-3.24),0))))&lt;-0.6,IF($B376="高三",MIN(IF($E376="男",$Q376-3.2,$Q376-3.2),0),IF($B376="高二",MIN(IF($E376="男",$Q376-3.25,$Q376-3.22),0),IF($B376="高一",MIN(IF($E376="男",$Q376-3.3,$Q376-3.24),0))))+0.4,IF($B376="高三",MIN(IF($E376="男",$Q376-3.2,$Q376-3.2),0),IF($B376="高二",MIN(IF($E376="男",$Q376-3.25,$Q376-3.22),0),IF($B376="高一",MIN(IF($E376="男",$Q376-3.3,$Q376-3.24),0))))),2)</f>
        <v>-0.12</v>
      </c>
      <c r="T376" s="23">
        <f>IF(E376="男",LOOKUP($S376,[1]对照表!$AB$3:$AB$13,[1]对照表!$AC$3:$AC$13),LOOKUP($S376,[1]对照表!$AB$15:$AB$25,[1]对照表!$AC$15:$AC$25))</f>
        <v>3</v>
      </c>
      <c r="U376" s="26">
        <f>R376+T376</f>
        <v>103</v>
      </c>
      <c r="V376" s="26">
        <f>SUM(I376,K376,M376)/3*0.3+SUM(G376,R376)/2*0.4</f>
        <v>57</v>
      </c>
      <c r="W376" s="27">
        <f>O376+T376</f>
        <v>3</v>
      </c>
      <c r="X376" s="28">
        <f>V376/0.7+W376</f>
        <v>84.428571428571431</v>
      </c>
      <c r="Y376" s="28">
        <f>X376</f>
        <v>84.428571428571431</v>
      </c>
      <c r="Z376" s="38"/>
    </row>
    <row r="377" spans="1:26" ht="15.6" x14ac:dyDescent="0.25">
      <c r="A377" s="48">
        <v>35</v>
      </c>
      <c r="B377" s="17" t="s">
        <v>767</v>
      </c>
      <c r="C377" s="38">
        <v>208</v>
      </c>
      <c r="D377" s="49" t="s">
        <v>1122</v>
      </c>
      <c r="E377" s="48" t="s">
        <v>65</v>
      </c>
      <c r="F377" s="50">
        <v>9.4499999999999993</v>
      </c>
      <c r="G377" s="32">
        <f>IF(B377="高三",IF($E377="男",LOOKUP(F377,[1]对照表!$G$3:$G$24,[1]对照表!$H$3:$H$24),LOOKUP(F377,[1]对照表!$G$27:$G$48,[1]对照表!$H$27:$H$48)),IF(B377="高二",IF($E377="男",LOOKUP(F377,[1]对照表!$F$3:$F$24,[1]对照表!$H$3:$H$24),LOOKUP(F377,[1]对照表!$F$27:$F$48,[1]对照表!$H$27:$H$48)),IF(B377="高一",IF($E377="男",LOOKUP(F377,[1]对照表!$E$3:$E$24,[1]对照表!$H$3:$H$24),LOOKUP(F377,[1]对照表!$E$27:$E$48,[1]对照表!$H$27:$H$48)))))</f>
        <v>70</v>
      </c>
      <c r="H377" s="38">
        <v>14.7</v>
      </c>
      <c r="I377" s="32">
        <f>IF(B377="高三",IF($E377="男",LOOKUP(H377,[1]对照表!$K$3:$K$24,[1]对照表!$L$3:$L$24),LOOKUP(H377,[1]对照表!$K$27:$K$48,[1]对照表!$L$27:$L$48)),IF(B377="高二",IF($E377="男",LOOKUP(H377,[1]对照表!$J$3:$J$24,[1]对照表!$L$3:$L$24),LOOKUP(H377,[1]对照表!$J$27:$J$48,[1]对照表!$L$27:$L$48)),IF(B377="高一",IF($E377="男",LOOKUP(H377,[1]对照表!$I$3:$I$24,[1]对照表!$L$3:$L$24),LOOKUP(H377,[1]对照表!$I$27:$I$48,[1]对照表!$L$27:$L$48)))))</f>
        <v>74</v>
      </c>
      <c r="J377" s="38">
        <v>173</v>
      </c>
      <c r="K377" s="32">
        <f>IF(B377="高三",IF($E377="男",LOOKUP(J377,[1]对照表!$O$3:$O$24,[1]对照表!$P$3:$P$24),LOOKUP(J377,[1]对照表!$O$27:$O$48,[1]对照表!$P$27:$P$48)),IF(B377="高二",IF($E377="男",LOOKUP(J377,[1]对照表!$N$3:$N$24,[1]对照表!$P$3:$P$24),LOOKUP(J377,[1]对照表!$N$27:$N$48,[1]对照表!$P$27:$P$48)),IF(B377="高一",IF($E377="男",LOOKUP(J377,[1]对照表!$M$3:$M$24,[1]对照表!$P$3:$P$24),LOOKUP(J377,[1]对照表!$M$27:$M$48,[1]对照表!$P$27:$P$48)))))</f>
        <v>76</v>
      </c>
      <c r="L377" s="53">
        <v>54</v>
      </c>
      <c r="M377" s="32">
        <f>IF(B377="高三",IF($E377="男",LOOKUP(L377,[1]对照表!$S$3:$S$24,[1]对照表!$T$3:$T$24),LOOKUP(L377,[1]对照表!$S$27:$S$48,[1]对照表!$T$27:$T$48)),IF(B377="高二",IF($E377="男",LOOKUP(L377,[1]对照表!$R$3:$R$24,[1]对照表!$T$3:$T$24),LOOKUP(L377,[1]对照表!$R$27:$R$48,[1]对照表!$T$27:$T$48)),IF(B377="高一",IF($E377="男",LOOKUP(L377,[1]对照表!$Q$3:$Q$24,[1]对照表!$T$3:$T$24),LOOKUP(L377,[1]对照表!$Q$27:$Q$48,[1]对照表!$T$27:$T$48)))))</f>
        <v>100</v>
      </c>
      <c r="N377" s="33">
        <f>IF(B377="高三",MAX(IF(E377="男",L377-18,L377-55),0),IF(B377="高二",MAX(IF(E377="男",L377-17,L377-54),0),IF(B377="高一",MAX(IF(E377="男",L377-16,L377-53),0))))</f>
        <v>0</v>
      </c>
      <c r="O377" s="23">
        <f>IF(E377="男",LOOKUP($N377,[1]对照表!$Z$3:$Z$13,[1]对照表!$AA$3:$AA$13),LOOKUP($N377,[1]对照表!$Z$15:$Z$25,[1]对照表!$AA$15:$AA$25))</f>
        <v>0</v>
      </c>
      <c r="P377" s="25">
        <f>M377+O377</f>
        <v>100</v>
      </c>
      <c r="Q377" s="50">
        <v>3.52</v>
      </c>
      <c r="R377" s="32">
        <f>IF(B377="高三",IF($E377="男",LOOKUP(Q377,[1]对照表!$W$3:$W$24,[1]对照表!$X$3:$X$24),LOOKUP(Q377,[1]对照表!$W$27:$W$48,[1]对照表!$X$27:$X$48)),IF(B377="高二",IF($E377="男",LOOKUP(Q377,[1]对照表!$V$3:$V$24,[1]对照表!$X$3:$X$24),LOOKUP(Q377,[1]对照表!$V$27:$V$48,[1]对照表!$X$27:$X$48)),IF(B377="高一",IF($E377="男",LOOKUP(Q377,[1]对照表!$U$3:$U$24,[1]对照表!$X$3:$X$24),LOOKUP(Q377,[1]对照表!$U$27:$U$48,[1]对照表!$X$27:$X$48)))))</f>
        <v>78</v>
      </c>
      <c r="S377" s="33">
        <f>ROUND(IF(IF($B377="高三",MIN(IF($E377="男",$Q377-3.2,$Q377-3.2),0),IF($B377="高二",MIN(IF($E377="男",$Q377-3.25,$Q377-3.22),0),IF($B377="高一",MIN(IF($E377="男",$Q377-3.3,$Q377-3.24),0))))&lt;-0.6,IF($B377="高三",MIN(IF($E377="男",$Q377-3.2,$Q377-3.2),0),IF($B377="高二",MIN(IF($E377="男",$Q377-3.25,$Q377-3.22),0),IF($B377="高一",MIN(IF($E377="男",$Q377-3.3,$Q377-3.24),0))))+0.4,IF($B377="高三",MIN(IF($E377="男",$Q377-3.2,$Q377-3.2),0),IF($B377="高二",MIN(IF($E377="男",$Q377-3.25,$Q377-3.22),0),IF($B377="高一",MIN(IF($E377="男",$Q377-3.3,$Q377-3.24),0))))),2)</f>
        <v>0</v>
      </c>
      <c r="T377" s="23">
        <f>IF(E377="男",LOOKUP($S377,[1]对照表!$AB$3:$AB$13,[1]对照表!$AC$3:$AC$13),LOOKUP($S377,[1]对照表!$AB$15:$AB$25,[1]对照表!$AC$15:$AC$25))</f>
        <v>0</v>
      </c>
      <c r="U377" s="26">
        <f>R377+T377</f>
        <v>78</v>
      </c>
      <c r="V377" s="26">
        <f>SUM(I377,K377,M377)/3*0.3+SUM(G377,R377)/2*0.4</f>
        <v>54.599999999999994</v>
      </c>
      <c r="W377" s="27">
        <f>O377+T377</f>
        <v>0</v>
      </c>
      <c r="X377" s="28">
        <f>V377/0.7+W377</f>
        <v>78</v>
      </c>
      <c r="Y377" s="28">
        <f>X377</f>
        <v>78</v>
      </c>
      <c r="Z377" s="38"/>
    </row>
    <row r="378" spans="1:26" ht="15.6" x14ac:dyDescent="0.25">
      <c r="A378" s="48">
        <v>2</v>
      </c>
      <c r="B378" s="17" t="s">
        <v>767</v>
      </c>
      <c r="C378" s="38">
        <v>208</v>
      </c>
      <c r="D378" s="49" t="s">
        <v>1131</v>
      </c>
      <c r="E378" s="38" t="s">
        <v>23</v>
      </c>
      <c r="F378" s="50">
        <v>7</v>
      </c>
      <c r="G378" s="32">
        <f>IF(B378="高三",IF($E378="男",LOOKUP(F378,[1]对照表!$G$3:$G$24,[1]对照表!$H$3:$H$24),LOOKUP(F378,[1]对照表!$G$27:$G$48,[1]对照表!$H$27:$H$48)),IF(B378="高二",IF($E378="男",LOOKUP(F378,[1]对照表!$F$3:$F$24,[1]对照表!$H$3:$H$24),LOOKUP(F378,[1]对照表!$F$27:$F$48,[1]对照表!$H$27:$H$48)),IF(B378="高一",IF($E378="男",LOOKUP(F378,[1]对照表!$E$3:$E$24,[1]对照表!$H$3:$H$24),LOOKUP(F378,[1]对照表!$E$27:$E$48,[1]对照表!$H$27:$H$48)))))</f>
        <v>100</v>
      </c>
      <c r="H378" s="38">
        <v>16</v>
      </c>
      <c r="I378" s="32">
        <f>IF(B378="高三",IF($E378="男",LOOKUP(H378,[1]对照表!$K$3:$K$24,[1]对照表!$L$3:$L$24),LOOKUP(H378,[1]对照表!$K$27:$K$48,[1]对照表!$L$27:$L$48)),IF(B378="高二",IF($E378="男",LOOKUP(H378,[1]对照表!$J$3:$J$24,[1]对照表!$L$3:$L$24),LOOKUP(H378,[1]对照表!$J$27:$J$48,[1]对照表!$L$27:$L$48)),IF(B378="高一",IF($E378="男",LOOKUP(H378,[1]对照表!$I$3:$I$24,[1]对照表!$L$3:$L$24),LOOKUP(H378,[1]对照表!$I$27:$I$48,[1]对照表!$L$27:$L$48)))))</f>
        <v>78</v>
      </c>
      <c r="J378" s="38">
        <v>230</v>
      </c>
      <c r="K378" s="32">
        <f>IF(B378="高三",IF($E378="男",LOOKUP(J378,[1]对照表!$O$3:$O$24,[1]对照表!$P$3:$P$24),LOOKUP(J378,[1]对照表!$O$27:$O$48,[1]对照表!$P$27:$P$48)),IF(B378="高二",IF($E378="男",LOOKUP(J378,[1]对照表!$N$3:$N$24,[1]对照表!$P$3:$P$24),LOOKUP(J378,[1]对照表!$N$27:$N$48,[1]对照表!$P$27:$P$48)),IF(B378="高一",IF($E378="男",LOOKUP(J378,[1]对照表!$M$3:$M$24,[1]对照表!$P$3:$P$24),LOOKUP(J378,[1]对照表!$M$27:$M$48,[1]对照表!$P$27:$P$48)))))</f>
        <v>74</v>
      </c>
      <c r="L378" s="38">
        <v>10</v>
      </c>
      <c r="M378" s="32">
        <f>IF(B378="高三",IF($E378="男",LOOKUP(L378,[1]对照表!$S$3:$S$24,[1]对照表!$T$3:$T$24),LOOKUP(L378,[1]对照表!$S$27:$S$48,[1]对照表!$T$27:$T$48)),IF(B378="高二",IF($E378="男",LOOKUP(L378,[1]对照表!$R$3:$R$24,[1]对照表!$T$3:$T$24),LOOKUP(L378,[1]对照表!$R$27:$R$48,[1]对照表!$T$27:$T$48)),IF(B378="高一",IF($E378="男",LOOKUP(L378,[1]对照表!$Q$3:$Q$24,[1]对照表!$T$3:$T$24),LOOKUP(L378,[1]对照表!$Q$27:$Q$48,[1]对照表!$T$27:$T$48)))))</f>
        <v>68</v>
      </c>
      <c r="N378" s="33">
        <f>IF(B378="高三",MAX(IF(E378="男",L378-18,L378-55),0),IF(B378="高二",MAX(IF(E378="男",L378-17,L378-54),0),IF(B378="高一",MAX(IF(E378="男",L378-16,L378-53),0))))</f>
        <v>0</v>
      </c>
      <c r="O378" s="23">
        <f>IF(E378="男",LOOKUP($N378,[1]对照表!$Z$3:$Z$13,[1]对照表!$AA$3:$AA$13),LOOKUP($N378,[1]对照表!$Z$15:$Z$25,[1]对照表!$AA$15:$AA$25))</f>
        <v>0</v>
      </c>
      <c r="P378" s="25">
        <f>M378+O378</f>
        <v>68</v>
      </c>
      <c r="Q378" s="50">
        <v>3.38</v>
      </c>
      <c r="R378" s="32">
        <f>IF(B378="高三",IF($E378="男",LOOKUP(Q378,[1]对照表!$W$3:$W$24,[1]对照表!$X$3:$X$24),LOOKUP(Q378,[1]对照表!$W$27:$W$48,[1]对照表!$X$27:$X$48)),IF(B378="高二",IF($E378="男",LOOKUP(Q378,[1]对照表!$V$3:$V$24,[1]对照表!$X$3:$X$24),LOOKUP(Q378,[1]对照表!$V$27:$V$48,[1]对照表!$X$27:$X$48)),IF(B378="高一",IF($E378="男",LOOKUP(Q378,[1]对照表!$U$3:$U$24,[1]对照表!$X$3:$X$24),LOOKUP(Q378,[1]对照表!$U$27:$U$48,[1]对照表!$X$27:$X$48)))))</f>
        <v>85</v>
      </c>
      <c r="S378" s="33">
        <f>ROUND(IF(IF($B378="高三",MIN(IF($E378="男",$Q378-3.2,$Q378-3.2),0),IF($B378="高二",MIN(IF($E378="男",$Q378-3.25,$Q378-3.22),0),IF($B378="高一",MIN(IF($E378="男",$Q378-3.3,$Q378-3.24),0))))&lt;-0.6,IF($B378="高三",MIN(IF($E378="男",$Q378-3.2,$Q378-3.2),0),IF($B378="高二",MIN(IF($E378="男",$Q378-3.25,$Q378-3.22),0),IF($B378="高一",MIN(IF($E378="男",$Q378-3.3,$Q378-3.24),0))))+0.4,IF($B378="高三",MIN(IF($E378="男",$Q378-3.2,$Q378-3.2),0),IF($B378="高二",MIN(IF($E378="男",$Q378-3.25,$Q378-3.22),0),IF($B378="高一",MIN(IF($E378="男",$Q378-3.3,$Q378-3.24),0))))),2)</f>
        <v>0</v>
      </c>
      <c r="T378" s="23">
        <f>IF(E378="男",LOOKUP($S378,[1]对照表!$AB$3:$AB$13,[1]对照表!$AC$3:$AC$13),LOOKUP($S378,[1]对照表!$AB$15:$AB$25,[1]对照表!$AC$15:$AC$25))</f>
        <v>0</v>
      </c>
      <c r="U378" s="26">
        <f>R378+T378</f>
        <v>85</v>
      </c>
      <c r="V378" s="26">
        <f>SUM(I378,K378,M378)/3*0.3+SUM(G378,R378)/2*0.4</f>
        <v>59</v>
      </c>
      <c r="W378" s="27">
        <f>O378+T378</f>
        <v>0</v>
      </c>
      <c r="X378" s="28">
        <f>V378/0.7+W378</f>
        <v>84.285714285714292</v>
      </c>
      <c r="Y378" s="28">
        <f>X378</f>
        <v>84.285714285714292</v>
      </c>
      <c r="Z378" s="38"/>
    </row>
    <row r="379" spans="1:26" ht="15.6" x14ac:dyDescent="0.25">
      <c r="A379" s="48">
        <v>8</v>
      </c>
      <c r="B379" s="17" t="s">
        <v>767</v>
      </c>
      <c r="C379" s="38">
        <v>208</v>
      </c>
      <c r="D379" s="49" t="s">
        <v>1134</v>
      </c>
      <c r="E379" s="38" t="s">
        <v>23</v>
      </c>
      <c r="F379" s="50">
        <v>7.1</v>
      </c>
      <c r="G379" s="32">
        <f>IF(B379="高三",IF($E379="男",LOOKUP(F379,[1]对照表!$G$3:$G$24,[1]对照表!$H$3:$H$24),LOOKUP(F379,[1]对照表!$G$27:$G$48,[1]对照表!$H$27:$H$48)),IF(B379="高二",IF($E379="男",LOOKUP(F379,[1]对照表!$F$3:$F$24,[1]对照表!$H$3:$H$24),LOOKUP(F379,[1]对照表!$F$27:$F$48,[1]对照表!$H$27:$H$48)),IF(B379="高一",IF($E379="男",LOOKUP(F379,[1]对照表!$E$3:$E$24,[1]对照表!$H$3:$H$24),LOOKUP(F379,[1]对照表!$E$27:$E$48,[1]对照表!$H$27:$H$48)))))</f>
        <v>95</v>
      </c>
      <c r="H379" s="38">
        <v>19.3</v>
      </c>
      <c r="I379" s="32">
        <f>IF(B379="高三",IF($E379="男",LOOKUP(H379,[1]对照表!$K$3:$K$24,[1]对照表!$L$3:$L$24),LOOKUP(H379,[1]对照表!$K$27:$K$48,[1]对照表!$L$27:$L$48)),IF(B379="高二",IF($E379="男",LOOKUP(H379,[1]对照表!$J$3:$J$24,[1]对照表!$L$3:$L$24),LOOKUP(H379,[1]对照表!$J$27:$J$48,[1]对照表!$L$27:$L$48)),IF(B379="高一",IF($E379="男",LOOKUP(H379,[1]对照表!$I$3:$I$24,[1]对照表!$L$3:$L$24),LOOKUP(H379,[1]对照表!$I$27:$I$48,[1]对照表!$L$27:$L$48)))))</f>
        <v>85</v>
      </c>
      <c r="J379" s="38">
        <v>236</v>
      </c>
      <c r="K379" s="32">
        <f>IF(B379="高三",IF($E379="男",LOOKUP(J379,[1]对照表!$O$3:$O$24,[1]对照表!$P$3:$P$24),LOOKUP(J379,[1]对照表!$O$27:$O$48,[1]对照表!$P$27:$P$48)),IF(B379="高二",IF($E379="男",LOOKUP(J379,[1]对照表!$N$3:$N$24,[1]对照表!$P$3:$P$24),LOOKUP(J379,[1]对照表!$N$27:$N$48,[1]对照表!$P$27:$P$48)),IF(B379="高一",IF($E379="男",LOOKUP(J379,[1]对照表!$M$3:$M$24,[1]对照表!$P$3:$P$24),LOOKUP(J379,[1]对照表!$M$27:$M$48,[1]对照表!$P$27:$P$48)))))</f>
        <v>78</v>
      </c>
      <c r="L379" s="38">
        <v>12</v>
      </c>
      <c r="M379" s="32">
        <f>IF(B379="高三",IF($E379="男",LOOKUP(L379,[1]对照表!$S$3:$S$24,[1]对照表!$T$3:$T$24),LOOKUP(L379,[1]对照表!$S$27:$S$48,[1]对照表!$T$27:$T$48)),IF(B379="高二",IF($E379="男",LOOKUP(L379,[1]对照表!$R$3:$R$24,[1]对照表!$T$3:$T$24),LOOKUP(L379,[1]对照表!$R$27:$R$48,[1]对照表!$T$27:$T$48)),IF(B379="高一",IF($E379="男",LOOKUP(L379,[1]对照表!$Q$3:$Q$24,[1]对照表!$T$3:$T$24),LOOKUP(L379,[1]对照表!$Q$27:$Q$48,[1]对照表!$T$27:$T$48)))))</f>
        <v>76</v>
      </c>
      <c r="N379" s="33">
        <f>IF(B379="高三",MAX(IF(E379="男",L379-18,L379-55),0),IF(B379="高二",MAX(IF(E379="男",L379-17,L379-54),0),IF(B379="高一",MAX(IF(E379="男",L379-16,L379-53),0))))</f>
        <v>0</v>
      </c>
      <c r="O379" s="23">
        <f>IF(E379="男",LOOKUP($N379,[1]对照表!$Z$3:$Z$13,[1]对照表!$AA$3:$AA$13),LOOKUP($N379,[1]对照表!$Z$15:$Z$25,[1]对照表!$AA$15:$AA$25))</f>
        <v>0</v>
      </c>
      <c r="P379" s="25">
        <f>M379+O379</f>
        <v>76</v>
      </c>
      <c r="Q379" s="50">
        <v>3.45</v>
      </c>
      <c r="R379" s="32">
        <f>IF(B379="高三",IF($E379="男",LOOKUP(Q379,[1]对照表!$W$3:$W$24,[1]对照表!$X$3:$X$24),LOOKUP(Q379,[1]对照表!$W$27:$W$48,[1]对照表!$X$27:$X$48)),IF(B379="高二",IF($E379="男",LOOKUP(Q379,[1]对照表!$V$3:$V$24,[1]对照表!$X$3:$X$24),LOOKUP(Q379,[1]对照表!$V$27:$V$48,[1]对照表!$X$27:$X$48)),IF(B379="高一",IF($E379="男",LOOKUP(Q379,[1]对照表!$U$3:$U$24,[1]对照表!$X$3:$X$24),LOOKUP(Q379,[1]对照表!$U$27:$U$48,[1]对照表!$X$27:$X$48)))))</f>
        <v>80</v>
      </c>
      <c r="S379" s="33">
        <f>ROUND(IF(IF($B379="高三",MIN(IF($E379="男",$Q379-3.2,$Q379-3.2),0),IF($B379="高二",MIN(IF($E379="男",$Q379-3.25,$Q379-3.22),0),IF($B379="高一",MIN(IF($E379="男",$Q379-3.3,$Q379-3.24),0))))&lt;-0.6,IF($B379="高三",MIN(IF($E379="男",$Q379-3.2,$Q379-3.2),0),IF($B379="高二",MIN(IF($E379="男",$Q379-3.25,$Q379-3.22),0),IF($B379="高一",MIN(IF($E379="男",$Q379-3.3,$Q379-3.24),0))))+0.4,IF($B379="高三",MIN(IF($E379="男",$Q379-3.2,$Q379-3.2),0),IF($B379="高二",MIN(IF($E379="男",$Q379-3.25,$Q379-3.22),0),IF($B379="高一",MIN(IF($E379="男",$Q379-3.3,$Q379-3.24),0))))),2)</f>
        <v>0</v>
      </c>
      <c r="T379" s="23">
        <f>IF(E379="男",LOOKUP($S379,[1]对照表!$AB$3:$AB$13,[1]对照表!$AC$3:$AC$13),LOOKUP($S379,[1]对照表!$AB$15:$AB$25,[1]对照表!$AC$15:$AC$25))</f>
        <v>0</v>
      </c>
      <c r="U379" s="26">
        <f>R379+T379</f>
        <v>80</v>
      </c>
      <c r="V379" s="26">
        <f>SUM(I379,K379,M379)/3*0.3+SUM(G379,R379)/2*0.4</f>
        <v>58.900000000000006</v>
      </c>
      <c r="W379" s="27">
        <f>O379+T379</f>
        <v>0</v>
      </c>
      <c r="X379" s="28">
        <f>V379/0.7+W379</f>
        <v>84.142857142857153</v>
      </c>
      <c r="Y379" s="28">
        <f>X379</f>
        <v>84.142857142857153</v>
      </c>
      <c r="Z379" s="38"/>
    </row>
    <row r="380" spans="1:26" ht="15.6" x14ac:dyDescent="0.25">
      <c r="A380" s="48">
        <v>18</v>
      </c>
      <c r="B380" s="17" t="s">
        <v>767</v>
      </c>
      <c r="C380" s="38">
        <v>208</v>
      </c>
      <c r="D380" s="49" t="s">
        <v>1157</v>
      </c>
      <c r="E380" s="38" t="s">
        <v>23</v>
      </c>
      <c r="F380" s="50">
        <v>7.2</v>
      </c>
      <c r="G380" s="32">
        <f>IF(B380="高三",IF($E380="男",LOOKUP(F380,[1]对照表!$G$3:$G$24,[1]对照表!$H$3:$H$24),LOOKUP(F380,[1]对照表!$G$27:$G$48,[1]对照表!$H$27:$H$48)),IF(B380="高二",IF($E380="男",LOOKUP(F380,[1]对照表!$F$3:$F$24,[1]对照表!$H$3:$H$24),LOOKUP(F380,[1]对照表!$F$27:$F$48,[1]对照表!$H$27:$H$48)),IF(B380="高一",IF($E380="男",LOOKUP(F380,[1]对照表!$E$3:$E$24,[1]对照表!$H$3:$H$24),LOOKUP(F380,[1]对照表!$E$27:$E$48,[1]对照表!$H$27:$H$48)))))</f>
        <v>90</v>
      </c>
      <c r="H380" s="38">
        <v>11.3</v>
      </c>
      <c r="I380" s="32">
        <f>IF(B380="高三",IF($E380="男",LOOKUP(H380,[1]对照表!$K$3:$K$24,[1]对照表!$L$3:$L$24),LOOKUP(H380,[1]对照表!$K$27:$K$48,[1]对照表!$L$27:$L$48)),IF(B380="高二",IF($E380="男",LOOKUP(H380,[1]对照表!$J$3:$J$24,[1]对照表!$L$3:$L$24),LOOKUP(H380,[1]对照表!$J$27:$J$48,[1]对照表!$L$27:$L$48)),IF(B380="高一",IF($E380="男",LOOKUP(H380,[1]对照表!$I$3:$I$24,[1]对照表!$L$3:$L$24),LOOKUP(H380,[1]对照表!$I$27:$I$48,[1]对照表!$L$27:$L$48)))))</f>
        <v>72</v>
      </c>
      <c r="J380" s="38">
        <v>240</v>
      </c>
      <c r="K380" s="32">
        <f>IF(B380="高三",IF($E380="男",LOOKUP(J380,[1]对照表!$O$3:$O$24,[1]对照表!$P$3:$P$24),LOOKUP(J380,[1]对照表!$O$27:$O$48,[1]对照表!$P$27:$P$48)),IF(B380="高二",IF($E380="男",LOOKUP(J380,[1]对照表!$N$3:$N$24,[1]对照表!$P$3:$P$24),LOOKUP(J380,[1]对照表!$N$27:$N$48,[1]对照表!$P$27:$P$48)),IF(B380="高一",IF($E380="男",LOOKUP(J380,[1]对照表!$M$3:$M$24,[1]对照表!$P$3:$P$24),LOOKUP(J380,[1]对照表!$M$27:$M$48,[1]对照表!$P$27:$P$48)))))</f>
        <v>80</v>
      </c>
      <c r="L380" s="38">
        <v>7</v>
      </c>
      <c r="M380" s="32">
        <f>IF(B380="高三",IF($E380="男",LOOKUP(L380,[1]对照表!$S$3:$S$24,[1]对照表!$T$3:$T$24),LOOKUP(L380,[1]对照表!$S$27:$S$48,[1]对照表!$T$27:$T$48)),IF(B380="高二",IF($E380="男",LOOKUP(L380,[1]对照表!$R$3:$R$24,[1]对照表!$T$3:$T$24),LOOKUP(L380,[1]对照表!$R$27:$R$48,[1]对照表!$T$27:$T$48)),IF(B380="高一",IF($E380="男",LOOKUP(L380,[1]对照表!$Q$3:$Q$24,[1]对照表!$T$3:$T$24),LOOKUP(L380,[1]对照表!$Q$27:$Q$48,[1]对照表!$T$27:$T$48)))))</f>
        <v>50</v>
      </c>
      <c r="N380" s="33">
        <f>IF(B380="高三",MAX(IF(E380="男",L380-18,L380-55),0),IF(B380="高二",MAX(IF(E380="男",L380-17,L380-54),0),IF(B380="高一",MAX(IF(E380="男",L380-16,L380-53),0))))</f>
        <v>0</v>
      </c>
      <c r="O380" s="23">
        <f>IF(E380="男",LOOKUP($N380,[1]对照表!$Z$3:$Z$13,[1]对照表!$AA$3:$AA$13),LOOKUP($N380,[1]对照表!$Z$15:$Z$25,[1]对照表!$AA$15:$AA$25))</f>
        <v>0</v>
      </c>
      <c r="P380" s="25">
        <f>M380+O380</f>
        <v>50</v>
      </c>
      <c r="Q380" s="50">
        <v>3.25</v>
      </c>
      <c r="R380" s="32">
        <f>IF(B380="高三",IF($E380="男",LOOKUP(Q380,[1]对照表!$W$3:$W$24,[1]对照表!$X$3:$X$24),LOOKUP(Q380,[1]对照表!$W$27:$W$48,[1]对照表!$X$27:$X$48)),IF(B380="高二",IF($E380="男",LOOKUP(Q380,[1]对照表!$V$3:$V$24,[1]对照表!$X$3:$X$24),LOOKUP(Q380,[1]对照表!$V$27:$V$48,[1]对照表!$X$27:$X$48)),IF(B380="高一",IF($E380="男",LOOKUP(Q380,[1]对照表!$U$3:$U$24,[1]对照表!$X$3:$X$24),LOOKUP(Q380,[1]对照表!$U$27:$U$48,[1]对照表!$X$27:$X$48)))))</f>
        <v>100</v>
      </c>
      <c r="S380" s="33">
        <f>ROUND(IF(IF($B380="高三",MIN(IF($E380="男",$Q380-3.2,$Q380-3.2),0),IF($B380="高二",MIN(IF($E380="男",$Q380-3.25,$Q380-3.22),0),IF($B380="高一",MIN(IF($E380="男",$Q380-3.3,$Q380-3.24),0))))&lt;-0.6,IF($B380="高三",MIN(IF($E380="男",$Q380-3.2,$Q380-3.2),0),IF($B380="高二",MIN(IF($E380="男",$Q380-3.25,$Q380-3.22),0),IF($B380="高一",MIN(IF($E380="男",$Q380-3.3,$Q380-3.24),0))))+0.4,IF($B380="高三",MIN(IF($E380="男",$Q380-3.2,$Q380-3.2),0),IF($B380="高二",MIN(IF($E380="男",$Q380-3.25,$Q380-3.22),0),IF($B380="高一",MIN(IF($E380="男",$Q380-3.3,$Q380-3.24),0))))),2)</f>
        <v>0</v>
      </c>
      <c r="T380" s="23">
        <f>IF(E380="男",LOOKUP($S380,[1]对照表!$AB$3:$AB$13,[1]对照表!$AC$3:$AC$13),LOOKUP($S380,[1]对照表!$AB$15:$AB$25,[1]对照表!$AC$15:$AC$25))</f>
        <v>0</v>
      </c>
      <c r="U380" s="26">
        <f>R380+T380</f>
        <v>100</v>
      </c>
      <c r="V380" s="26">
        <f>SUM(I380,K380,M380)/3*0.3+SUM(G380,R380)/2*0.4</f>
        <v>58.2</v>
      </c>
      <c r="W380" s="27">
        <f>O380+T380</f>
        <v>0</v>
      </c>
      <c r="X380" s="28">
        <f>V380/0.7+W380</f>
        <v>83.142857142857153</v>
      </c>
      <c r="Y380" s="28">
        <f>X380</f>
        <v>83.142857142857153</v>
      </c>
      <c r="Z380" s="38"/>
    </row>
    <row r="381" spans="1:26" ht="15.6" x14ac:dyDescent="0.25">
      <c r="A381" s="48">
        <v>29</v>
      </c>
      <c r="B381" s="17" t="s">
        <v>767</v>
      </c>
      <c r="C381" s="38">
        <v>208</v>
      </c>
      <c r="D381" s="49" t="s">
        <v>1180</v>
      </c>
      <c r="E381" s="48" t="s">
        <v>65</v>
      </c>
      <c r="F381" s="50">
        <v>9.59</v>
      </c>
      <c r="G381" s="32">
        <f>IF(B381="高三",IF($E381="男",LOOKUP(F381,[1]对照表!$G$3:$G$24,[1]对照表!$H$3:$H$24),LOOKUP(F381,[1]对照表!$G$27:$G$48,[1]对照表!$H$27:$H$48)),IF(B381="高二",IF($E381="男",LOOKUP(F381,[1]对照表!$F$3:$F$24,[1]对照表!$H$3:$H$24),LOOKUP(F381,[1]对照表!$F$27:$F$48,[1]对照表!$H$27:$H$48)),IF(B381="高一",IF($E381="男",LOOKUP(F381,[1]对照表!$E$3:$E$24,[1]对照表!$H$3:$H$24),LOOKUP(F381,[1]对照表!$E$27:$E$48,[1]对照表!$H$27:$H$48)))))</f>
        <v>68</v>
      </c>
      <c r="H381" s="38">
        <v>19.7</v>
      </c>
      <c r="I381" s="32">
        <f>IF(B381="高三",IF($E381="男",LOOKUP(H381,[1]对照表!$K$3:$K$24,[1]对照表!$L$3:$L$24),LOOKUP(H381,[1]对照表!$K$27:$K$48,[1]对照表!$L$27:$L$48)),IF(B381="高二",IF($E381="男",LOOKUP(H381,[1]对照表!$J$3:$J$24,[1]对照表!$L$3:$L$24),LOOKUP(H381,[1]对照表!$J$27:$J$48,[1]对照表!$L$27:$L$48)),IF(B381="高一",IF($E381="男",LOOKUP(H381,[1]对照表!$I$3:$I$24,[1]对照表!$L$3:$L$24),LOOKUP(H381,[1]对照表!$I$27:$I$48,[1]对照表!$L$27:$L$48)))))</f>
        <v>85</v>
      </c>
      <c r="J381" s="38">
        <v>176</v>
      </c>
      <c r="K381" s="32">
        <f>IF(B381="高三",IF($E381="男",LOOKUP(J381,[1]对照表!$O$3:$O$24,[1]对照表!$P$3:$P$24),LOOKUP(J381,[1]对照表!$O$27:$O$48,[1]对照表!$P$27:$P$48)),IF(B381="高二",IF($E381="男",LOOKUP(J381,[1]对照表!$N$3:$N$24,[1]对照表!$P$3:$P$24),LOOKUP(J381,[1]对照表!$N$27:$N$48,[1]对照表!$P$27:$P$48)),IF(B381="高一",IF($E381="男",LOOKUP(J381,[1]对照表!$M$3:$M$24,[1]对照表!$P$3:$P$24),LOOKUP(J381,[1]对照表!$M$27:$M$48,[1]对照表!$P$27:$P$48)))))</f>
        <v>78</v>
      </c>
      <c r="L381" s="38">
        <v>40</v>
      </c>
      <c r="M381" s="32">
        <f>IF(B381="高三",IF($E381="男",LOOKUP(L381,[1]对照表!$S$3:$S$24,[1]对照表!$T$3:$T$24),LOOKUP(L381,[1]对照表!$S$27:$S$48,[1]对照表!$T$27:$T$48)),IF(B381="高二",IF($E381="男",LOOKUP(L381,[1]对照表!$R$3:$R$24,[1]对照表!$T$3:$T$24),LOOKUP(L381,[1]对照表!$R$27:$R$48,[1]对照表!$T$27:$T$48)),IF(B381="高一",IF($E381="男",LOOKUP(L381,[1]对照表!$Q$3:$Q$24,[1]对照表!$T$3:$T$24),LOOKUP(L381,[1]对照表!$Q$27:$Q$48,[1]对照表!$T$27:$T$48)))))</f>
        <v>76</v>
      </c>
      <c r="N381" s="33">
        <f>IF(B381="高三",MAX(IF(E381="男",L381-18,L381-55),0),IF(B381="高二",MAX(IF(E381="男",L381-17,L381-54),0),IF(B381="高一",MAX(IF(E381="男",L381-16,L381-53),0))))</f>
        <v>0</v>
      </c>
      <c r="O381" s="23">
        <f>IF(E381="男",LOOKUP($N381,[1]对照表!$Z$3:$Z$13,[1]对照表!$AA$3:$AA$13),LOOKUP($N381,[1]对照表!$Z$15:$Z$25,[1]对照表!$AA$15:$AA$25))</f>
        <v>0</v>
      </c>
      <c r="P381" s="25">
        <f>M381+O381</f>
        <v>76</v>
      </c>
      <c r="Q381" s="50">
        <v>4.01</v>
      </c>
      <c r="R381" s="32">
        <f>IF(B381="高三",IF($E381="男",LOOKUP(Q381,[1]对照表!$W$3:$W$24,[1]对照表!$X$3:$X$24),LOOKUP(Q381,[1]对照表!$W$27:$W$48,[1]对照表!$X$27:$X$48)),IF(B381="高二",IF($E381="男",LOOKUP(Q381,[1]对照表!$V$3:$V$24,[1]对照表!$X$3:$X$24),LOOKUP(Q381,[1]对照表!$V$27:$V$48,[1]对照表!$X$27:$X$48)),IF(B381="高一",IF($E381="男",LOOKUP(Q381,[1]对照表!$U$3:$U$24,[1]对照表!$X$3:$X$24),LOOKUP(Q381,[1]对照表!$U$27:$U$48,[1]对照表!$X$27:$X$48)))))</f>
        <v>74</v>
      </c>
      <c r="S381" s="33">
        <f>ROUND(IF(IF($B381="高三",MIN(IF($E381="男",$Q381-3.2,$Q381-3.2),0),IF($B381="高二",MIN(IF($E381="男",$Q381-3.25,$Q381-3.22),0),IF($B381="高一",MIN(IF($E381="男",$Q381-3.3,$Q381-3.24),0))))&lt;-0.6,IF($B381="高三",MIN(IF($E381="男",$Q381-3.2,$Q381-3.2),0),IF($B381="高二",MIN(IF($E381="男",$Q381-3.25,$Q381-3.22),0),IF($B381="高一",MIN(IF($E381="男",$Q381-3.3,$Q381-3.24),0))))+0.4,IF($B381="高三",MIN(IF($E381="男",$Q381-3.2,$Q381-3.2),0),IF($B381="高二",MIN(IF($E381="男",$Q381-3.25,$Q381-3.22),0),IF($B381="高一",MIN(IF($E381="男",$Q381-3.3,$Q381-3.24),0))))),2)</f>
        <v>0</v>
      </c>
      <c r="T381" s="23">
        <f>IF(E381="男",LOOKUP($S381,[1]对照表!$AB$3:$AB$13,[1]对照表!$AC$3:$AC$13),LOOKUP($S381,[1]对照表!$AB$15:$AB$25,[1]对照表!$AC$15:$AC$25))</f>
        <v>0</v>
      </c>
      <c r="U381" s="26">
        <f>R381+T381</f>
        <v>74</v>
      </c>
      <c r="V381" s="26">
        <f>SUM(I381,K381,M381)/3*0.3+SUM(G381,R381)/2*0.4</f>
        <v>52.300000000000004</v>
      </c>
      <c r="W381" s="27">
        <f>O381+T381</f>
        <v>0</v>
      </c>
      <c r="X381" s="28">
        <f>V381/0.7+W381</f>
        <v>74.714285714285722</v>
      </c>
      <c r="Y381" s="28">
        <f>X381</f>
        <v>74.714285714285722</v>
      </c>
      <c r="Z381" s="38"/>
    </row>
    <row r="382" spans="1:26" ht="15.6" x14ac:dyDescent="0.25">
      <c r="A382" s="48">
        <v>20</v>
      </c>
      <c r="B382" s="17" t="s">
        <v>767</v>
      </c>
      <c r="C382" s="38">
        <v>208</v>
      </c>
      <c r="D382" s="49" t="s">
        <v>1193</v>
      </c>
      <c r="E382" s="38" t="s">
        <v>23</v>
      </c>
      <c r="F382" s="50">
        <v>7.2</v>
      </c>
      <c r="G382" s="32">
        <f>IF(B382="高三",IF($E382="男",LOOKUP(F382,[1]对照表!$G$3:$G$24,[1]对照表!$H$3:$H$24),LOOKUP(F382,[1]对照表!$G$27:$G$48,[1]对照表!$H$27:$H$48)),IF(B382="高二",IF($E382="男",LOOKUP(F382,[1]对照表!$F$3:$F$24,[1]对照表!$H$3:$H$24),LOOKUP(F382,[1]对照表!$F$27:$F$48,[1]对照表!$H$27:$H$48)),IF(B382="高一",IF($E382="男",LOOKUP(F382,[1]对照表!$E$3:$E$24,[1]对照表!$H$3:$H$24),LOOKUP(F382,[1]对照表!$E$27:$E$48,[1]对照表!$H$27:$H$48)))))</f>
        <v>90</v>
      </c>
      <c r="H382" s="38">
        <v>15.2</v>
      </c>
      <c r="I382" s="32">
        <f>IF(B382="高三",IF($E382="男",LOOKUP(H382,[1]对照表!$K$3:$K$24,[1]对照表!$L$3:$L$24),LOOKUP(H382,[1]对照表!$K$27:$K$48,[1]对照表!$L$27:$L$48)),IF(B382="高二",IF($E382="男",LOOKUP(H382,[1]对照表!$J$3:$J$24,[1]对照表!$L$3:$L$24),LOOKUP(H382,[1]对照表!$J$27:$J$48,[1]对照表!$L$27:$L$48)),IF(B382="高一",IF($E382="男",LOOKUP(H382,[1]对照表!$I$3:$I$24,[1]对照表!$L$3:$L$24),LOOKUP(H382,[1]对照表!$I$27:$I$48,[1]对照表!$L$27:$L$48)))))</f>
        <v>78</v>
      </c>
      <c r="J382" s="38">
        <v>225</v>
      </c>
      <c r="K382" s="32">
        <f>IF(B382="高三",IF($E382="男",LOOKUP(J382,[1]对照表!$O$3:$O$24,[1]对照表!$P$3:$P$24),LOOKUP(J382,[1]对照表!$O$27:$O$48,[1]对照表!$P$27:$P$48)),IF(B382="高二",IF($E382="男",LOOKUP(J382,[1]对照表!$N$3:$N$24,[1]对照表!$P$3:$P$24),LOOKUP(J382,[1]对照表!$N$27:$N$48,[1]对照表!$P$27:$P$48)),IF(B382="高一",IF($E382="男",LOOKUP(J382,[1]对照表!$M$3:$M$24,[1]对照表!$P$3:$P$24),LOOKUP(J382,[1]对照表!$M$27:$M$48,[1]对照表!$P$27:$P$48)))))</f>
        <v>72</v>
      </c>
      <c r="L382" s="38">
        <v>14</v>
      </c>
      <c r="M382" s="32">
        <f>IF(B382="高三",IF($E382="男",LOOKUP(L382,[1]对照表!$S$3:$S$24,[1]对照表!$T$3:$T$24),LOOKUP(L382,[1]对照表!$S$27:$S$48,[1]对照表!$T$27:$T$48)),IF(B382="高二",IF($E382="男",LOOKUP(L382,[1]对照表!$R$3:$R$24,[1]对照表!$T$3:$T$24),LOOKUP(L382,[1]对照表!$R$27:$R$48,[1]对照表!$T$27:$T$48)),IF(B382="高一",IF($E382="男",LOOKUP(L382,[1]对照表!$Q$3:$Q$24,[1]对照表!$T$3:$T$24),LOOKUP(L382,[1]对照表!$Q$27:$Q$48,[1]对照表!$T$27:$T$48)))))</f>
        <v>85</v>
      </c>
      <c r="N382" s="33">
        <f>IF(B382="高三",MAX(IF(E382="男",L382-18,L382-55),0),IF(B382="高二",MAX(IF(E382="男",L382-17,L382-54),0),IF(B382="高一",MAX(IF(E382="男",L382-16,L382-53),0))))</f>
        <v>0</v>
      </c>
      <c r="O382" s="23">
        <f>IF(E382="男",LOOKUP($N382,[1]对照表!$Z$3:$Z$13,[1]对照表!$AA$3:$AA$13),LOOKUP($N382,[1]对照表!$Z$15:$Z$25,[1]对照表!$AA$15:$AA$25))</f>
        <v>0</v>
      </c>
      <c r="P382" s="25">
        <f>M382+O382</f>
        <v>85</v>
      </c>
      <c r="Q382" s="50">
        <v>3.51</v>
      </c>
      <c r="R382" s="32">
        <f>IF(B382="高三",IF($E382="男",LOOKUP(Q382,[1]对照表!$W$3:$W$24,[1]对照表!$X$3:$X$24),LOOKUP(Q382,[1]对照表!$W$27:$W$48,[1]对照表!$X$27:$X$48)),IF(B382="高二",IF($E382="男",LOOKUP(Q382,[1]对照表!$V$3:$V$24,[1]对照表!$X$3:$X$24),LOOKUP(Q382,[1]对照表!$V$27:$V$48,[1]对照表!$X$27:$X$48)),IF(B382="高一",IF($E382="男",LOOKUP(Q382,[1]对照表!$U$3:$U$24,[1]对照表!$X$3:$X$24),LOOKUP(Q382,[1]对照表!$U$27:$U$48,[1]对照表!$X$27:$X$48)))))</f>
        <v>78</v>
      </c>
      <c r="S382" s="27">
        <f>ROUND(IF(IF($B382="高三",MIN(IF($E382="男",$Q382-3.2,$Q382-3.2),0),IF($B382="高二",MIN(IF($E382="男",$Q382-3.25,$Q382-3.22),0),IF($B382="高一",MIN(IF($E382="男",$Q382-3.3,$Q382-3.24),0))))&lt;-0.6,IF($B382="高三",MIN(IF($E382="男",$Q382-3.2,$Q382-3.2),0),IF($B382="高二",MIN(IF($E382="男",$Q382-3.25,$Q382-3.22),0),IF($B382="高一",MIN(IF($E382="男",$Q382-3.3,$Q382-3.24),0))))+0.4,IF($B382="高三",MIN(IF($E382="男",$Q382-3.2,$Q382-3.2),0),IF($B382="高二",MIN(IF($E382="男",$Q382-3.25,$Q382-3.22),0),IF($B382="高一",MIN(IF($E382="男",$Q382-3.3,$Q382-3.24),0))))),2)</f>
        <v>0</v>
      </c>
      <c r="T382" s="23">
        <f>IF(E382="男",LOOKUP($S382,[1]对照表!$AB$3:$AB$13,[1]对照表!$AC$3:$AC$13),LOOKUP($S382,[1]对照表!$AB$15:$AB$25,[1]对照表!$AC$15:$AC$25))</f>
        <v>0</v>
      </c>
      <c r="U382" s="26">
        <f>R382+T382</f>
        <v>78</v>
      </c>
      <c r="V382" s="26">
        <f>SUM(I382,K382,M382)/3*0.3+SUM(G382,R382)/2*0.4</f>
        <v>57.099999999999994</v>
      </c>
      <c r="W382" s="27">
        <f>O382+T382</f>
        <v>0</v>
      </c>
      <c r="X382" s="28">
        <f>V382/0.7+W382</f>
        <v>81.571428571428569</v>
      </c>
      <c r="Y382" s="28">
        <f>X382</f>
        <v>81.571428571428569</v>
      </c>
      <c r="Z382" s="38"/>
    </row>
    <row r="383" spans="1:26" ht="15.6" customHeight="1" x14ac:dyDescent="0.15">
      <c r="A383" s="38">
        <v>14</v>
      </c>
      <c r="B383" s="17" t="s">
        <v>767</v>
      </c>
      <c r="C383" s="38">
        <v>208</v>
      </c>
      <c r="D383" s="49" t="s">
        <v>1219</v>
      </c>
      <c r="E383" s="38" t="s">
        <v>23</v>
      </c>
      <c r="F383" s="50">
        <v>7.5</v>
      </c>
      <c r="G383" s="32">
        <f>IF(B383="高三",IF($E383="男",LOOKUP(F383,[1]对照表!$G$3:$G$24,[1]对照表!$H$3:$H$24),LOOKUP(F383,[1]对照表!$G$27:$G$48,[1]对照表!$H$27:$H$48)),IF(B383="高二",IF($E383="男",LOOKUP(F383,[1]对照表!$F$3:$F$24,[1]对照表!$H$3:$H$24),LOOKUP(F383,[1]对照表!$F$27:$F$48,[1]对照表!$H$27:$H$48)),IF(B383="高一",IF($E383="男",LOOKUP(F383,[1]对照表!$E$3:$E$24,[1]对照表!$H$3:$H$24),LOOKUP(F383,[1]对照表!$E$27:$E$48,[1]对照表!$H$27:$H$48)))))</f>
        <v>78</v>
      </c>
      <c r="H383" s="38">
        <v>13.7</v>
      </c>
      <c r="I383" s="32">
        <f>IF(B383="高三",IF($E383="男",LOOKUP(H383,[1]对照表!$K$3:$K$24,[1]对照表!$L$3:$L$24),LOOKUP(H383,[1]对照表!$K$27:$K$48,[1]对照表!$L$27:$L$48)),IF(B383="高二",IF($E383="男",LOOKUP(H383,[1]对照表!$J$3:$J$24,[1]对照表!$L$3:$L$24),LOOKUP(H383,[1]对照表!$J$27:$J$48,[1]对照表!$L$27:$L$48)),IF(B383="高一",IF($E383="男",LOOKUP(H383,[1]对照表!$I$3:$I$24,[1]对照表!$L$3:$L$24),LOOKUP(H383,[1]对照表!$I$27:$I$48,[1]对照表!$L$27:$L$48)))))</f>
        <v>76</v>
      </c>
      <c r="J383" s="38">
        <v>226</v>
      </c>
      <c r="K383" s="32">
        <f>IF(B383="高三",IF($E383="男",LOOKUP(J383,[1]对照表!$O$3:$O$24,[1]对照表!$P$3:$P$24),LOOKUP(J383,[1]对照表!$O$27:$O$48,[1]对照表!$P$27:$P$48)),IF(B383="高二",IF($E383="男",LOOKUP(J383,[1]对照表!$N$3:$N$24,[1]对照表!$P$3:$P$24),LOOKUP(J383,[1]对照表!$N$27:$N$48,[1]对照表!$P$27:$P$48)),IF(B383="高一",IF($E383="男",LOOKUP(J383,[1]对照表!$M$3:$M$24,[1]对照表!$P$3:$P$24),LOOKUP(J383,[1]对照表!$M$27:$M$48,[1]对照表!$P$27:$P$48)))))</f>
        <v>72</v>
      </c>
      <c r="L383" s="38">
        <v>12</v>
      </c>
      <c r="M383" s="32">
        <f>IF(B383="高三",IF($E383="男",LOOKUP(L383,[1]对照表!$S$3:$S$24,[1]对照表!$T$3:$T$24),LOOKUP(L383,[1]对照表!$S$27:$S$48,[1]对照表!$T$27:$T$48)),IF(B383="高二",IF($E383="男",LOOKUP(L383,[1]对照表!$R$3:$R$24,[1]对照表!$T$3:$T$24),LOOKUP(L383,[1]对照表!$R$27:$R$48,[1]对照表!$T$27:$T$48)),IF(B383="高一",IF($E383="男",LOOKUP(L383,[1]对照表!$Q$3:$Q$24,[1]对照表!$T$3:$T$24),LOOKUP(L383,[1]对照表!$Q$27:$Q$48,[1]对照表!$T$27:$T$48)))))</f>
        <v>76</v>
      </c>
      <c r="N383" s="33">
        <f>IF(B383="高三",MAX(IF(E383="男",L383-18,L383-55),0),IF(B383="高二",MAX(IF(E383="男",L383-17,L383-54),0),IF(B383="高一",MAX(IF(E383="男",L383-16,L383-53),0))))</f>
        <v>0</v>
      </c>
      <c r="O383" s="23">
        <f>IF(E383="男",LOOKUP($N383,[1]对照表!$Z$3:$Z$13,[1]对照表!$AA$3:$AA$13),LOOKUP($N383,[1]对照表!$Z$15:$Z$25,[1]对照表!$AA$15:$AA$25))</f>
        <v>0</v>
      </c>
      <c r="P383" s="25">
        <f>M383+O383</f>
        <v>76</v>
      </c>
      <c r="Q383" s="50">
        <v>3.34</v>
      </c>
      <c r="R383" s="32">
        <f>IF(B383="高三",IF($E383="男",LOOKUP(Q383,[1]对照表!$W$3:$W$24,[1]对照表!$X$3:$X$24),LOOKUP(Q383,[1]对照表!$W$27:$W$48,[1]对照表!$X$27:$X$48)),IF(B383="高二",IF($E383="男",LOOKUP(Q383,[1]对照表!$V$3:$V$24,[1]对照表!$X$3:$X$24),LOOKUP(Q383,[1]对照表!$V$27:$V$48,[1]对照表!$X$27:$X$48)),IF(B383="高一",IF($E383="男",LOOKUP(Q383,[1]对照表!$U$3:$U$24,[1]对照表!$X$3:$X$24),LOOKUP(Q383,[1]对照表!$U$27:$U$48,[1]对照表!$X$27:$X$48)))))</f>
        <v>90</v>
      </c>
      <c r="S383" s="33">
        <f>ROUND(IF(IF($B383="高三",MIN(IF($E383="男",$Q383-3.2,$Q383-3.2),0),IF($B383="高二",MIN(IF($E383="男",$Q383-3.25,$Q383-3.22),0),IF($B383="高一",MIN(IF($E383="男",$Q383-3.3,$Q383-3.24),0))))&lt;-0.6,IF($B383="高三",MIN(IF($E383="男",$Q383-3.2,$Q383-3.2),0),IF($B383="高二",MIN(IF($E383="男",$Q383-3.25,$Q383-3.22),0),IF($B383="高一",MIN(IF($E383="男",$Q383-3.3,$Q383-3.24),0))))+0.4,IF($B383="高三",MIN(IF($E383="男",$Q383-3.2,$Q383-3.2),0),IF($B383="高二",MIN(IF($E383="男",$Q383-3.25,$Q383-3.22),0),IF($B383="高一",MIN(IF($E383="男",$Q383-3.3,$Q383-3.24),0))))),2)</f>
        <v>0</v>
      </c>
      <c r="T383" s="23">
        <f>IF(E383="男",LOOKUP($S383,[1]对照表!$AB$3:$AB$13,[1]对照表!$AC$3:$AC$13),LOOKUP($S383,[1]对照表!$AB$15:$AB$25,[1]对照表!$AC$15:$AC$25))</f>
        <v>0</v>
      </c>
      <c r="U383" s="26">
        <f>R383+T383</f>
        <v>90</v>
      </c>
      <c r="V383" s="26">
        <f>SUM(I383,K383,M383)/3*0.3+SUM(G383,R383)/2*0.4</f>
        <v>56</v>
      </c>
      <c r="W383" s="27">
        <f>O383+T383</f>
        <v>0</v>
      </c>
      <c r="X383" s="28">
        <f>V383/0.7+W383</f>
        <v>80</v>
      </c>
      <c r="Y383" s="28">
        <f>X383</f>
        <v>80</v>
      </c>
      <c r="Z383" s="38"/>
    </row>
    <row r="384" spans="1:26" ht="15.6" x14ac:dyDescent="0.25">
      <c r="A384" s="48">
        <v>4</v>
      </c>
      <c r="B384" s="17" t="s">
        <v>767</v>
      </c>
      <c r="C384" s="38">
        <v>208</v>
      </c>
      <c r="D384" s="49" t="s">
        <v>1231</v>
      </c>
      <c r="E384" s="38" t="s">
        <v>23</v>
      </c>
      <c r="F384" s="50">
        <v>7.5</v>
      </c>
      <c r="G384" s="32">
        <f>IF(B384="高三",IF($E384="男",LOOKUP(F384,[1]对照表!$G$3:$G$24,[1]对照表!$H$3:$H$24),LOOKUP(F384,[1]对照表!$G$27:$G$48,[1]对照表!$H$27:$H$48)),IF(B384="高二",IF($E384="男",LOOKUP(F384,[1]对照表!$F$3:$F$24,[1]对照表!$H$3:$H$24),LOOKUP(F384,[1]对照表!$F$27:$F$48,[1]对照表!$H$27:$H$48)),IF(B384="高一",IF($E384="男",LOOKUP(F384,[1]对照表!$E$3:$E$24,[1]对照表!$H$3:$H$24),LOOKUP(F384,[1]对照表!$E$27:$E$48,[1]对照表!$H$27:$H$48)))))</f>
        <v>78</v>
      </c>
      <c r="H384" s="38">
        <v>13.1</v>
      </c>
      <c r="I384" s="32">
        <f>IF(B384="高三",IF($E384="男",LOOKUP(H384,[1]对照表!$K$3:$K$24,[1]对照表!$L$3:$L$24),LOOKUP(H384,[1]对照表!$K$27:$K$48,[1]对照表!$L$27:$L$48)),IF(B384="高二",IF($E384="男",LOOKUP(H384,[1]对照表!$J$3:$J$24,[1]对照表!$L$3:$L$24),LOOKUP(H384,[1]对照表!$J$27:$J$48,[1]对照表!$L$27:$L$48)),IF(B384="高一",IF($E384="男",LOOKUP(H384,[1]对照表!$I$3:$I$24,[1]对照表!$L$3:$L$24),LOOKUP(H384,[1]对照表!$I$27:$I$48,[1]对照表!$L$27:$L$48)))))</f>
        <v>74</v>
      </c>
      <c r="J384" s="38">
        <v>240</v>
      </c>
      <c r="K384" s="32">
        <f>IF(B384="高三",IF($E384="男",LOOKUP(J384,[1]对照表!$O$3:$O$24,[1]对照表!$P$3:$P$24),LOOKUP(J384,[1]对照表!$O$27:$O$48,[1]对照表!$P$27:$P$48)),IF(B384="高二",IF($E384="男",LOOKUP(J384,[1]对照表!$N$3:$N$24,[1]对照表!$P$3:$P$24),LOOKUP(J384,[1]对照表!$N$27:$N$48,[1]对照表!$P$27:$P$48)),IF(B384="高一",IF($E384="男",LOOKUP(J384,[1]对照表!$M$3:$M$24,[1]对照表!$P$3:$P$24),LOOKUP(J384,[1]对照表!$M$27:$M$48,[1]对照表!$P$27:$P$48)))))</f>
        <v>80</v>
      </c>
      <c r="L384" s="38">
        <v>14</v>
      </c>
      <c r="M384" s="32">
        <f>IF(B384="高三",IF($E384="男",LOOKUP(L384,[1]对照表!$S$3:$S$24,[1]对照表!$T$3:$T$24),LOOKUP(L384,[1]对照表!$S$27:$S$48,[1]对照表!$T$27:$T$48)),IF(B384="高二",IF($E384="男",LOOKUP(L384,[1]对照表!$R$3:$R$24,[1]对照表!$T$3:$T$24),LOOKUP(L384,[1]对照表!$R$27:$R$48,[1]对照表!$T$27:$T$48)),IF(B384="高一",IF($E384="男",LOOKUP(L384,[1]对照表!$Q$3:$Q$24,[1]对照表!$T$3:$T$24),LOOKUP(L384,[1]对照表!$Q$27:$Q$48,[1]对照表!$T$27:$T$48)))))</f>
        <v>85</v>
      </c>
      <c r="N384" s="33">
        <f>IF(B384="高三",MAX(IF(E384="男",L384-18,L384-55),0),IF(B384="高二",MAX(IF(E384="男",L384-17,L384-54),0),IF(B384="高一",MAX(IF(E384="男",L384-16,L384-53),0))))</f>
        <v>0</v>
      </c>
      <c r="O384" s="23">
        <f>IF(E384="男",LOOKUP($N384,[1]对照表!$Z$3:$Z$13,[1]对照表!$AA$3:$AA$13),LOOKUP($N384,[1]对照表!$Z$15:$Z$25,[1]对照表!$AA$15:$AA$25))</f>
        <v>0</v>
      </c>
      <c r="P384" s="25">
        <f>M384+O384</f>
        <v>85</v>
      </c>
      <c r="Q384" s="50">
        <v>3.47</v>
      </c>
      <c r="R384" s="32">
        <f>IF(B384="高三",IF($E384="男",LOOKUP(Q384,[1]对照表!$W$3:$W$24,[1]对照表!$X$3:$X$24),LOOKUP(Q384,[1]对照表!$W$27:$W$48,[1]对照表!$X$27:$X$48)),IF(B384="高二",IF($E384="男",LOOKUP(Q384,[1]对照表!$V$3:$V$24,[1]对照表!$X$3:$X$24),LOOKUP(Q384,[1]对照表!$V$27:$V$48,[1]对照表!$X$27:$X$48)),IF(B384="高一",IF($E384="男",LOOKUP(Q384,[1]对照表!$U$3:$U$24,[1]对照表!$X$3:$X$24),LOOKUP(Q384,[1]对照表!$U$27:$U$48,[1]对照表!$X$27:$X$48)))))</f>
        <v>80</v>
      </c>
      <c r="S384" s="33">
        <f>ROUND(IF(IF($B384="高三",MIN(IF($E384="男",$Q384-3.2,$Q384-3.2),0),IF($B384="高二",MIN(IF($E384="男",$Q384-3.25,$Q384-3.22),0),IF($B384="高一",MIN(IF($E384="男",$Q384-3.3,$Q384-3.24),0))))&lt;-0.6,IF($B384="高三",MIN(IF($E384="男",$Q384-3.2,$Q384-3.2),0),IF($B384="高二",MIN(IF($E384="男",$Q384-3.25,$Q384-3.22),0),IF($B384="高一",MIN(IF($E384="男",$Q384-3.3,$Q384-3.24),0))))+0.4,IF($B384="高三",MIN(IF($E384="男",$Q384-3.2,$Q384-3.2),0),IF($B384="高二",MIN(IF($E384="男",$Q384-3.25,$Q384-3.22),0),IF($B384="高一",MIN(IF($E384="男",$Q384-3.3,$Q384-3.24),0))))),2)</f>
        <v>0</v>
      </c>
      <c r="T384" s="23">
        <f>IF(E384="男",LOOKUP($S384,[1]对照表!$AB$3:$AB$13,[1]对照表!$AC$3:$AC$13),LOOKUP($S384,[1]对照表!$AB$15:$AB$25,[1]对照表!$AC$15:$AC$25))</f>
        <v>0</v>
      </c>
      <c r="U384" s="26">
        <f>R384+T384</f>
        <v>80</v>
      </c>
      <c r="V384" s="26">
        <f>SUM(I384,K384,M384)/3*0.3+SUM(G384,R384)/2*0.4</f>
        <v>55.5</v>
      </c>
      <c r="W384" s="27">
        <f>O384+T384</f>
        <v>0</v>
      </c>
      <c r="X384" s="28">
        <f>V384/0.7+W384</f>
        <v>79.285714285714292</v>
      </c>
      <c r="Y384" s="28">
        <f>X384</f>
        <v>79.285714285714292</v>
      </c>
      <c r="Z384" s="38"/>
    </row>
    <row r="385" spans="1:26" ht="15.6" customHeight="1" x14ac:dyDescent="0.25">
      <c r="A385" s="48">
        <v>41</v>
      </c>
      <c r="B385" s="17" t="s">
        <v>767</v>
      </c>
      <c r="C385" s="38">
        <v>208</v>
      </c>
      <c r="D385" s="49" t="s">
        <v>1237</v>
      </c>
      <c r="E385" s="48" t="s">
        <v>65</v>
      </c>
      <c r="F385" s="50">
        <v>9.7100000000000009</v>
      </c>
      <c r="G385" s="32">
        <f>IF(B385="高三",IF($E385="男",LOOKUP(F385,[1]对照表!$G$3:$G$24,[1]对照表!$H$3:$H$24),LOOKUP(F385,[1]对照表!$G$27:$G$48,[1]对照表!$H$27:$H$48)),IF(B385="高二",IF($E385="男",LOOKUP(F385,[1]对照表!$F$3:$F$24,[1]对照表!$H$3:$H$24),LOOKUP(F385,[1]对照表!$F$27:$F$48,[1]对照表!$H$27:$H$48)),IF(B385="高一",IF($E385="男",LOOKUP(F385,[1]对照表!$E$3:$E$24,[1]对照表!$H$3:$H$24),LOOKUP(F385,[1]对照表!$E$27:$E$48,[1]对照表!$H$27:$H$48)))))</f>
        <v>66</v>
      </c>
      <c r="H385" s="38">
        <v>24.5</v>
      </c>
      <c r="I385" s="32">
        <f>IF(B385="高三",IF($E385="男",LOOKUP(H385,[1]对照表!$K$3:$K$24,[1]对照表!$L$3:$L$24),LOOKUP(H385,[1]对照表!$K$27:$K$48,[1]对照表!$L$27:$L$48)),IF(B385="高二",IF($E385="男",LOOKUP(H385,[1]对照表!$J$3:$J$24,[1]对照表!$L$3:$L$24),LOOKUP(H385,[1]对照表!$J$27:$J$48,[1]对照表!$L$27:$L$48)),IF(B385="高一",IF($E385="男",LOOKUP(H385,[1]对照表!$I$3:$I$24,[1]对照表!$L$3:$L$24),LOOKUP(H385,[1]对照表!$I$27:$I$48,[1]对照表!$L$27:$L$48)))))</f>
        <v>95</v>
      </c>
      <c r="J385" s="38">
        <v>156</v>
      </c>
      <c r="K385" s="32">
        <f>IF(B385="高三",IF($E385="男",LOOKUP(J385,[1]对照表!$O$3:$O$24,[1]对照表!$P$3:$P$24),LOOKUP(J385,[1]对照表!$O$27:$O$48,[1]对照表!$P$27:$P$48)),IF(B385="高二",IF($E385="男",LOOKUP(J385,[1]对照表!$N$3:$N$24,[1]对照表!$P$3:$P$24),LOOKUP(J385,[1]对照表!$N$27:$N$48,[1]对照表!$P$27:$P$48)),IF(B385="高一",IF($E385="男",LOOKUP(J385,[1]对照表!$M$3:$M$24,[1]对照表!$P$3:$P$24),LOOKUP(J385,[1]对照表!$M$27:$M$48,[1]对照表!$P$27:$P$48)))))</f>
        <v>64</v>
      </c>
      <c r="L385" s="38">
        <v>52</v>
      </c>
      <c r="M385" s="32">
        <f>IF(B385="高三",IF($E385="男",LOOKUP(L385,[1]对照表!$S$3:$S$24,[1]对照表!$T$3:$T$24),LOOKUP(L385,[1]对照表!$S$27:$S$48,[1]对照表!$T$27:$T$48)),IF(B385="高二",IF($E385="男",LOOKUP(L385,[1]对照表!$R$3:$R$24,[1]对照表!$T$3:$T$24),LOOKUP(L385,[1]对照表!$R$27:$R$48,[1]对照表!$T$27:$T$48)),IF(B385="高一",IF($E385="男",LOOKUP(L385,[1]对照表!$Q$3:$Q$24,[1]对照表!$T$3:$T$24),LOOKUP(L385,[1]对照表!$Q$27:$Q$48,[1]对照表!$T$27:$T$48)))))</f>
        <v>95</v>
      </c>
      <c r="N385" s="33">
        <f>IF(B385="高三",MAX(IF(E385="男",L385-18,L385-55),0),IF(B385="高二",MAX(IF(E385="男",L385-17,L385-54),0),IF(B385="高一",MAX(IF(E385="男",L385-16,L385-53),0))))</f>
        <v>0</v>
      </c>
      <c r="O385" s="23">
        <f>IF(E385="男",LOOKUP($N385,[1]对照表!$Z$3:$Z$13,[1]对照表!$AA$3:$AA$13),LOOKUP($N385,[1]对照表!$Z$15:$Z$25,[1]对照表!$AA$15:$AA$25))</f>
        <v>0</v>
      </c>
      <c r="P385" s="25">
        <f>M385+O385</f>
        <v>95</v>
      </c>
      <c r="Q385" s="50">
        <v>4.37</v>
      </c>
      <c r="R385" s="32">
        <f>IF(B385="高三",IF($E385="男",LOOKUP(Q385,[1]对照表!$W$3:$W$24,[1]对照表!$X$3:$X$24),LOOKUP(Q385,[1]对照表!$W$27:$W$48,[1]对照表!$X$27:$X$48)),IF(B385="高二",IF($E385="男",LOOKUP(Q385,[1]对照表!$V$3:$V$24,[1]对照表!$X$3:$X$24),LOOKUP(Q385,[1]对照表!$V$27:$V$48,[1]对照表!$X$27:$X$48)),IF(B385="高一",IF($E385="男",LOOKUP(Q385,[1]对照表!$U$3:$U$24,[1]对照表!$X$3:$X$24),LOOKUP(Q385,[1]对照表!$U$27:$U$48,[1]对照表!$X$27:$X$48)))))</f>
        <v>60</v>
      </c>
      <c r="S385" s="33">
        <f>ROUND(IF(IF($B385="高三",MIN(IF($E385="男",$Q385-3.2,$Q385-3.2),0),IF($B385="高二",MIN(IF($E385="男",$Q385-3.25,$Q385-3.22),0),IF($B385="高一",MIN(IF($E385="男",$Q385-3.3,$Q385-3.24),0))))&lt;-0.6,IF($B385="高三",MIN(IF($E385="男",$Q385-3.2,$Q385-3.2),0),IF($B385="高二",MIN(IF($E385="男",$Q385-3.25,$Q385-3.22),0),IF($B385="高一",MIN(IF($E385="男",$Q385-3.3,$Q385-3.24),0))))+0.4,IF($B385="高三",MIN(IF($E385="男",$Q385-3.2,$Q385-3.2),0),IF($B385="高二",MIN(IF($E385="男",$Q385-3.25,$Q385-3.22),0),IF($B385="高一",MIN(IF($E385="男",$Q385-3.3,$Q385-3.24),0))))),2)</f>
        <v>0</v>
      </c>
      <c r="T385" s="23">
        <f>IF(E385="男",LOOKUP($S385,[1]对照表!$AB$3:$AB$13,[1]对照表!$AC$3:$AC$13),LOOKUP($S385,[1]对照表!$AB$15:$AB$25,[1]对照表!$AC$15:$AC$25))</f>
        <v>0</v>
      </c>
      <c r="U385" s="26">
        <f>R385+T385</f>
        <v>60</v>
      </c>
      <c r="V385" s="26">
        <f>SUM(I385,K385,M385)/3*0.3+SUM(G385,R385)/2*0.4</f>
        <v>50.600000000000009</v>
      </c>
      <c r="W385" s="27">
        <f>O385+T385</f>
        <v>0</v>
      </c>
      <c r="X385" s="28">
        <f>V385/0.7+W385</f>
        <v>72.285714285714306</v>
      </c>
      <c r="Y385" s="28">
        <f>X385</f>
        <v>72.285714285714306</v>
      </c>
      <c r="Z385" s="38"/>
    </row>
    <row r="386" spans="1:26" ht="15.6" x14ac:dyDescent="0.25">
      <c r="A386" s="48">
        <v>28</v>
      </c>
      <c r="B386" s="17" t="s">
        <v>767</v>
      </c>
      <c r="C386" s="38">
        <v>208</v>
      </c>
      <c r="D386" s="49" t="s">
        <v>1239</v>
      </c>
      <c r="E386" s="48" t="s">
        <v>65</v>
      </c>
      <c r="F386" s="50">
        <v>9.92</v>
      </c>
      <c r="G386" s="32">
        <f>IF(B386="高三",IF($E386="男",LOOKUP(F386,[1]对照表!$G$3:$G$24,[1]对照表!$H$3:$H$24),LOOKUP(F386,[1]对照表!$G$27:$G$48,[1]对照表!$H$27:$H$48)),IF(B386="高二",IF($E386="男",LOOKUP(F386,[1]对照表!$F$3:$F$24,[1]对照表!$H$3:$H$24),LOOKUP(F386,[1]对照表!$F$27:$F$48,[1]对照表!$H$27:$H$48)),IF(B386="高一",IF($E386="男",LOOKUP(F386,[1]对照表!$E$3:$E$24,[1]对照表!$H$3:$H$24),LOOKUP(F386,[1]对照表!$E$27:$E$48,[1]对照表!$H$27:$H$48)))))</f>
        <v>64</v>
      </c>
      <c r="H386" s="38">
        <v>19</v>
      </c>
      <c r="I386" s="32">
        <f>IF(B386="高三",IF($E386="男",LOOKUP(H386,[1]对照表!$K$3:$K$24,[1]对照表!$L$3:$L$24),LOOKUP(H386,[1]对照表!$K$27:$K$48,[1]对照表!$L$27:$L$48)),IF(B386="高二",IF($E386="男",LOOKUP(H386,[1]对照表!$J$3:$J$24,[1]对照表!$L$3:$L$24),LOOKUP(H386,[1]对照表!$J$27:$J$48,[1]对照表!$L$27:$L$48)),IF(B386="高一",IF($E386="男",LOOKUP(H386,[1]对照表!$I$3:$I$24,[1]对照表!$L$3:$L$24),LOOKUP(H386,[1]对照表!$I$27:$I$48,[1]对照表!$L$27:$L$48)))))</f>
        <v>80</v>
      </c>
      <c r="J386" s="38">
        <v>167</v>
      </c>
      <c r="K386" s="32">
        <f>IF(B386="高三",IF($E386="男",LOOKUP(J386,[1]对照表!$O$3:$O$24,[1]对照表!$P$3:$P$24),LOOKUP(J386,[1]对照表!$O$27:$O$48,[1]对照表!$P$27:$P$48)),IF(B386="高二",IF($E386="男",LOOKUP(J386,[1]对照表!$N$3:$N$24,[1]对照表!$P$3:$P$24),LOOKUP(J386,[1]对照表!$N$27:$N$48,[1]对照表!$P$27:$P$48)),IF(B386="高一",IF($E386="男",LOOKUP(J386,[1]对照表!$M$3:$M$24,[1]对照表!$P$3:$P$24),LOOKUP(J386,[1]对照表!$M$27:$M$48,[1]对照表!$P$27:$P$48)))))</f>
        <v>72</v>
      </c>
      <c r="L386" s="38">
        <v>47</v>
      </c>
      <c r="M386" s="32">
        <f>IF(B386="高三",IF($E386="男",LOOKUP(L386,[1]对照表!$S$3:$S$24,[1]对照表!$T$3:$T$24),LOOKUP(L386,[1]对照表!$S$27:$S$48,[1]对照表!$T$27:$T$48)),IF(B386="高二",IF($E386="男",LOOKUP(L386,[1]对照表!$R$3:$R$24,[1]对照表!$T$3:$T$24),LOOKUP(L386,[1]对照表!$R$27:$R$48,[1]对照表!$T$27:$T$48)),IF(B386="高一",IF($E386="男",LOOKUP(L386,[1]对照表!$Q$3:$Q$24,[1]对照表!$T$3:$T$24),LOOKUP(L386,[1]对照表!$Q$27:$Q$48,[1]对照表!$T$27:$T$48)))))</f>
        <v>85</v>
      </c>
      <c r="N386" s="33">
        <f>IF(B386="高三",MAX(IF(E386="男",L386-18,L386-55),0),IF(B386="高二",MAX(IF(E386="男",L386-17,L386-54),0),IF(B386="高一",MAX(IF(E386="男",L386-16,L386-53),0))))</f>
        <v>0</v>
      </c>
      <c r="O386" s="23">
        <f>IF(E386="男",LOOKUP($N386,[1]对照表!$Z$3:$Z$13,[1]对照表!$AA$3:$AA$13),LOOKUP($N386,[1]对照表!$Z$15:$Z$25,[1]对照表!$AA$15:$AA$25))</f>
        <v>0</v>
      </c>
      <c r="P386" s="25">
        <f>M386+O386</f>
        <v>85</v>
      </c>
      <c r="Q386" s="50">
        <v>4.09</v>
      </c>
      <c r="R386" s="32">
        <f>IF(B386="高三",IF($E386="男",LOOKUP(Q386,[1]对照表!$W$3:$W$24,[1]对照表!$X$3:$X$24),LOOKUP(Q386,[1]对照表!$W$27:$W$48,[1]对照表!$X$27:$X$48)),IF(B386="高二",IF($E386="男",LOOKUP(Q386,[1]对照表!$V$3:$V$24,[1]对照表!$X$3:$X$24),LOOKUP(Q386,[1]对照表!$V$27:$V$48,[1]对照表!$X$27:$X$48)),IF(B386="高一",IF($E386="男",LOOKUP(Q386,[1]对照表!$U$3:$U$24,[1]对照表!$X$3:$X$24),LOOKUP(Q386,[1]对照表!$U$27:$U$48,[1]对照表!$X$27:$X$48)))))</f>
        <v>70</v>
      </c>
      <c r="S386" s="33">
        <f>ROUND(IF(IF($B386="高三",MIN(IF($E386="男",$Q386-3.2,$Q386-3.2),0),IF($B386="高二",MIN(IF($E386="男",$Q386-3.25,$Q386-3.22),0),IF($B386="高一",MIN(IF($E386="男",$Q386-3.3,$Q386-3.24),0))))&lt;-0.6,IF($B386="高三",MIN(IF($E386="男",$Q386-3.2,$Q386-3.2),0),IF($B386="高二",MIN(IF($E386="男",$Q386-3.25,$Q386-3.22),0),IF($B386="高一",MIN(IF($E386="男",$Q386-3.3,$Q386-3.24),0))))+0.4,IF($B386="高三",MIN(IF($E386="男",$Q386-3.2,$Q386-3.2),0),IF($B386="高二",MIN(IF($E386="男",$Q386-3.25,$Q386-3.22),0),IF($B386="高一",MIN(IF($E386="男",$Q386-3.3,$Q386-3.24),0))))),2)</f>
        <v>0</v>
      </c>
      <c r="T386" s="23">
        <f>IF(E386="男",LOOKUP($S386,[1]对照表!$AB$3:$AB$13,[1]对照表!$AC$3:$AC$13),LOOKUP($S386,[1]对照表!$AB$15:$AB$25,[1]对照表!$AC$15:$AC$25))</f>
        <v>0</v>
      </c>
      <c r="U386" s="26">
        <f>R386+T386</f>
        <v>70</v>
      </c>
      <c r="V386" s="26">
        <f>SUM(I386,K386,M386)/3*0.3+SUM(G386,R386)/2*0.4</f>
        <v>50.5</v>
      </c>
      <c r="W386" s="27">
        <f>O386+T386</f>
        <v>0</v>
      </c>
      <c r="X386" s="28">
        <f>V386/0.7+W386</f>
        <v>72.142857142857153</v>
      </c>
      <c r="Y386" s="28">
        <f>X386</f>
        <v>72.142857142857153</v>
      </c>
      <c r="Z386" s="38"/>
    </row>
    <row r="387" spans="1:26" ht="15.6" customHeight="1" x14ac:dyDescent="0.15">
      <c r="A387" s="38">
        <v>15</v>
      </c>
      <c r="B387" s="17" t="s">
        <v>767</v>
      </c>
      <c r="C387" s="38">
        <v>208</v>
      </c>
      <c r="D387" s="49" t="s">
        <v>1241</v>
      </c>
      <c r="E387" s="38" t="s">
        <v>23</v>
      </c>
      <c r="F387" s="50">
        <v>7.1</v>
      </c>
      <c r="G387" s="32">
        <f>IF(B387="高三",IF($E387="男",LOOKUP(F387,[1]对照表!$G$3:$G$24,[1]对照表!$H$3:$H$24),LOOKUP(F387,[1]对照表!$G$27:$G$48,[1]对照表!$H$27:$H$48)),IF(B387="高二",IF($E387="男",LOOKUP(F387,[1]对照表!$F$3:$F$24,[1]对照表!$H$3:$H$24),LOOKUP(F387,[1]对照表!$F$27:$F$48,[1]对照表!$H$27:$H$48)),IF(B387="高一",IF($E387="男",LOOKUP(F387,[1]对照表!$E$3:$E$24,[1]对照表!$H$3:$H$24),LOOKUP(F387,[1]对照表!$E$27:$E$48,[1]对照表!$H$27:$H$48)))))</f>
        <v>95</v>
      </c>
      <c r="H387" s="38">
        <v>16</v>
      </c>
      <c r="I387" s="32">
        <f>IF(B387="高三",IF($E387="男",LOOKUP(H387,[1]对照表!$K$3:$K$24,[1]对照表!$L$3:$L$24),LOOKUP(H387,[1]对照表!$K$27:$K$48,[1]对照表!$L$27:$L$48)),IF(B387="高二",IF($E387="男",LOOKUP(H387,[1]对照表!$J$3:$J$24,[1]对照表!$L$3:$L$24),LOOKUP(H387,[1]对照表!$J$27:$J$48,[1]对照表!$L$27:$L$48)),IF(B387="高一",IF($E387="男",LOOKUP(H387,[1]对照表!$I$3:$I$24,[1]对照表!$L$3:$L$24),LOOKUP(H387,[1]对照表!$I$27:$I$48,[1]对照表!$L$27:$L$48)))))</f>
        <v>78</v>
      </c>
      <c r="J387" s="38">
        <v>250</v>
      </c>
      <c r="K387" s="32">
        <f>IF(B387="高三",IF($E387="男",LOOKUP(J387,[1]对照表!$O$3:$O$24,[1]对照表!$P$3:$P$24),LOOKUP(J387,[1]对照表!$O$27:$O$48,[1]对照表!$P$27:$P$48)),IF(B387="高二",IF($E387="男",LOOKUP(J387,[1]对照表!$N$3:$N$24,[1]对照表!$P$3:$P$24),LOOKUP(J387,[1]对照表!$N$27:$N$48,[1]对照表!$P$27:$P$48)),IF(B387="高一",IF($E387="男",LOOKUP(J387,[1]对照表!$M$3:$M$24,[1]对照表!$P$3:$P$24),LOOKUP(J387,[1]对照表!$M$27:$M$48,[1]对照表!$P$27:$P$48)))))</f>
        <v>85</v>
      </c>
      <c r="L387" s="38">
        <v>5</v>
      </c>
      <c r="M387" s="32">
        <f>IF(B387="高三",IF($E387="男",LOOKUP(L387,[1]对照表!$S$3:$S$24,[1]对照表!$T$3:$T$24),LOOKUP(L387,[1]对照表!$S$27:$S$48,[1]对照表!$T$27:$T$48)),IF(B387="高二",IF($E387="男",LOOKUP(L387,[1]对照表!$R$3:$R$24,[1]对照表!$T$3:$T$24),LOOKUP(L387,[1]对照表!$R$27:$R$48,[1]对照表!$T$27:$T$48)),IF(B387="高一",IF($E387="男",LOOKUP(L387,[1]对照表!$Q$3:$Q$24,[1]对照表!$T$3:$T$24),LOOKUP(L387,[1]对照表!$Q$27:$Q$48,[1]对照表!$T$27:$T$48)))))</f>
        <v>30</v>
      </c>
      <c r="N387" s="33">
        <f>IF(B387="高三",MAX(IF(E387="男",L387-18,L387-55),0),IF(B387="高二",MAX(IF(E387="男",L387-17,L387-54),0),IF(B387="高一",MAX(IF(E387="男",L387-16,L387-53),0))))</f>
        <v>0</v>
      </c>
      <c r="O387" s="23">
        <f>IF(E387="男",LOOKUP($N387,[1]对照表!$Z$3:$Z$13,[1]对照表!$AA$3:$AA$13),LOOKUP($N387,[1]对照表!$Z$15:$Z$25,[1]对照表!$AA$15:$AA$25))</f>
        <v>0</v>
      </c>
      <c r="P387" s="25">
        <f>M387+O387</f>
        <v>30</v>
      </c>
      <c r="Q387" s="50">
        <v>3.36</v>
      </c>
      <c r="R387" s="32">
        <f>IF(B387="高三",IF($E387="男",LOOKUP(Q387,[1]对照表!$W$3:$W$24,[1]对照表!$X$3:$X$24),LOOKUP(Q387,[1]对照表!$W$27:$W$48,[1]对照表!$X$27:$X$48)),IF(B387="高二",IF($E387="男",LOOKUP(Q387,[1]对照表!$V$3:$V$24,[1]对照表!$X$3:$X$24),LOOKUP(Q387,[1]对照表!$V$27:$V$48,[1]对照表!$X$27:$X$48)),IF(B387="高一",IF($E387="男",LOOKUP(Q387,[1]对照表!$U$3:$U$24,[1]对照表!$X$3:$X$24),LOOKUP(Q387,[1]对照表!$U$27:$U$48,[1]对照表!$X$27:$X$48)))))</f>
        <v>85</v>
      </c>
      <c r="S387" s="33">
        <f>ROUND(IF(IF($B387="高三",MIN(IF($E387="男",$Q387-3.2,$Q387-3.2),0),IF($B387="高二",MIN(IF($E387="男",$Q387-3.25,$Q387-3.22),0),IF($B387="高一",MIN(IF($E387="男",$Q387-3.3,$Q387-3.24),0))))&lt;-0.6,IF($B387="高三",MIN(IF($E387="男",$Q387-3.2,$Q387-3.2),0),IF($B387="高二",MIN(IF($E387="男",$Q387-3.25,$Q387-3.22),0),IF($B387="高一",MIN(IF($E387="男",$Q387-3.3,$Q387-3.24),0))))+0.4,IF($B387="高三",MIN(IF($E387="男",$Q387-3.2,$Q387-3.2),0),IF($B387="高二",MIN(IF($E387="男",$Q387-3.25,$Q387-3.22),0),IF($B387="高一",MIN(IF($E387="男",$Q387-3.3,$Q387-3.24),0))))),2)</f>
        <v>0</v>
      </c>
      <c r="T387" s="23">
        <f>IF(E387="男",LOOKUP($S387,[1]对照表!$AB$3:$AB$13,[1]对照表!$AC$3:$AC$13),LOOKUP($S387,[1]对照表!$AB$15:$AB$25,[1]对照表!$AC$15:$AC$25))</f>
        <v>0</v>
      </c>
      <c r="U387" s="26">
        <f>R387+T387</f>
        <v>85</v>
      </c>
      <c r="V387" s="26">
        <f>SUM(I387,K387,M387)/3*0.3+SUM(G387,R387)/2*0.4</f>
        <v>55.3</v>
      </c>
      <c r="W387" s="27">
        <f>O387+T387</f>
        <v>0</v>
      </c>
      <c r="X387" s="28">
        <f>V387/0.7+W387</f>
        <v>79</v>
      </c>
      <c r="Y387" s="28">
        <f>X387</f>
        <v>79</v>
      </c>
      <c r="Z387" s="38"/>
    </row>
    <row r="388" spans="1:26" ht="15.6" x14ac:dyDescent="0.25">
      <c r="A388" s="48">
        <v>19</v>
      </c>
      <c r="B388" s="17" t="s">
        <v>767</v>
      </c>
      <c r="C388" s="38">
        <v>208</v>
      </c>
      <c r="D388" s="49" t="s">
        <v>1260</v>
      </c>
      <c r="E388" s="38" t="s">
        <v>23</v>
      </c>
      <c r="F388" s="50">
        <v>7.4</v>
      </c>
      <c r="G388" s="32">
        <f>IF(B388="高三",IF($E388="男",LOOKUP(F388,[1]对照表!$G$3:$G$24,[1]对照表!$H$3:$H$24),LOOKUP(F388,[1]对照表!$G$27:$G$48,[1]对照表!$H$27:$H$48)),IF(B388="高二",IF($E388="男",LOOKUP(F388,[1]对照表!$F$3:$F$24,[1]对照表!$H$3:$H$24),LOOKUP(F388,[1]对照表!$F$27:$F$48,[1]对照表!$H$27:$H$48)),IF(B388="高一",IF($E388="男",LOOKUP(F388,[1]对照表!$E$3:$E$24,[1]对照表!$H$3:$H$24),LOOKUP(F388,[1]对照表!$E$27:$E$48,[1]对照表!$H$27:$H$48)))))</f>
        <v>80</v>
      </c>
      <c r="H388" s="38">
        <v>12.7</v>
      </c>
      <c r="I388" s="32">
        <f>IF(B388="高三",IF($E388="男",LOOKUP(H388,[1]对照表!$K$3:$K$24,[1]对照表!$L$3:$L$24),LOOKUP(H388,[1]对照表!$K$27:$K$48,[1]对照表!$L$27:$L$48)),IF(B388="高二",IF($E388="男",LOOKUP(H388,[1]对照表!$J$3:$J$24,[1]对照表!$L$3:$L$24),LOOKUP(H388,[1]对照表!$J$27:$J$48,[1]对照表!$L$27:$L$48)),IF(B388="高一",IF($E388="男",LOOKUP(H388,[1]对照表!$I$3:$I$24,[1]对照表!$L$3:$L$24),LOOKUP(H388,[1]对照表!$I$27:$I$48,[1]对照表!$L$27:$L$48)))))</f>
        <v>74</v>
      </c>
      <c r="J388" s="38">
        <v>217</v>
      </c>
      <c r="K388" s="32">
        <f>IF(B388="高三",IF($E388="男",LOOKUP(J388,[1]对照表!$O$3:$O$24,[1]对照表!$P$3:$P$24),LOOKUP(J388,[1]对照表!$O$27:$O$48,[1]对照表!$P$27:$P$48)),IF(B388="高二",IF($E388="男",LOOKUP(J388,[1]对照表!$N$3:$N$24,[1]对照表!$P$3:$P$24),LOOKUP(J388,[1]对照表!$N$27:$N$48,[1]对照表!$P$27:$P$48)),IF(B388="高一",IF($E388="男",LOOKUP(J388,[1]对照表!$M$3:$M$24,[1]对照表!$P$3:$P$24),LOOKUP(J388,[1]对照表!$M$27:$M$48,[1]对照表!$P$27:$P$48)))))</f>
        <v>68</v>
      </c>
      <c r="L388" s="38">
        <v>3</v>
      </c>
      <c r="M388" s="32">
        <f>IF(B388="高三",IF($E388="男",LOOKUP(L388,[1]对照表!$S$3:$S$24,[1]对照表!$T$3:$T$24),LOOKUP(L388,[1]对照表!$S$27:$S$48,[1]对照表!$T$27:$T$48)),IF(B388="高二",IF($E388="男",LOOKUP(L388,[1]对照表!$R$3:$R$24,[1]对照表!$T$3:$T$24),LOOKUP(L388,[1]对照表!$R$27:$R$48,[1]对照表!$T$27:$T$48)),IF(B388="高一",IF($E388="男",LOOKUP(L388,[1]对照表!$Q$3:$Q$24,[1]对照表!$T$3:$T$24),LOOKUP(L388,[1]对照表!$Q$27:$Q$48,[1]对照表!$T$27:$T$48)))))</f>
        <v>10</v>
      </c>
      <c r="N388" s="33">
        <f>IF(B388="高三",MAX(IF(E388="男",L388-18,L388-55),0),IF(B388="高二",MAX(IF(E388="男",L388-17,L388-54),0),IF(B388="高一",MAX(IF(E388="男",L388-16,L388-53),0))))</f>
        <v>0</v>
      </c>
      <c r="O388" s="23">
        <f>IF(E388="男",LOOKUP($N388,[1]对照表!$Z$3:$Z$13,[1]对照表!$AA$3:$AA$13),LOOKUP($N388,[1]对照表!$Z$15:$Z$25,[1]对照表!$AA$15:$AA$25))</f>
        <v>0</v>
      </c>
      <c r="P388" s="25">
        <f>M388+O388</f>
        <v>10</v>
      </c>
      <c r="Q388" s="50">
        <v>3.04</v>
      </c>
      <c r="R388" s="32">
        <f>IF(B388="高三",IF($E388="男",LOOKUP(Q388,[1]对照表!$W$3:$W$24,[1]对照表!$X$3:$X$24),LOOKUP(Q388,[1]对照表!$W$27:$W$48,[1]对照表!$X$27:$X$48)),IF(B388="高二",IF($E388="男",LOOKUP(Q388,[1]对照表!$V$3:$V$24,[1]对照表!$X$3:$X$24),LOOKUP(Q388,[1]对照表!$V$27:$V$48,[1]对照表!$X$27:$X$48)),IF(B388="高一",IF($E388="男",LOOKUP(Q388,[1]对照表!$U$3:$U$24,[1]对照表!$X$3:$X$24),LOOKUP(Q388,[1]对照表!$U$27:$U$48,[1]对照表!$X$27:$X$48)))))</f>
        <v>100</v>
      </c>
      <c r="S388" s="33">
        <f>ROUND(IF(IF($B388="高三",MIN(IF($E388="男",$Q388-3.2,$Q388-3.2),0),IF($B388="高二",MIN(IF($E388="男",$Q388-3.25,$Q388-3.22),0),IF($B388="高一",MIN(IF($E388="男",$Q388-3.3,$Q388-3.24),0))))&lt;-0.6,IF($B388="高三",MIN(IF($E388="男",$Q388-3.2,$Q388-3.2),0),IF($B388="高二",MIN(IF($E388="男",$Q388-3.25,$Q388-3.22),0),IF($B388="高一",MIN(IF($E388="男",$Q388-3.3,$Q388-3.24),0))))+0.4,IF($B388="高三",MIN(IF($E388="男",$Q388-3.2,$Q388-3.2),0),IF($B388="高二",MIN(IF($E388="男",$Q388-3.25,$Q388-3.22),0),IF($B388="高一",MIN(IF($E388="男",$Q388-3.3,$Q388-3.24),0))))),2)</f>
        <v>-0.21</v>
      </c>
      <c r="T388" s="23">
        <f>IF(E388="男",LOOKUP($S388,[1]对照表!$AB$3:$AB$13,[1]对照表!$AC$3:$AC$13),LOOKUP($S388,[1]对照表!$AB$15:$AB$25,[1]对照表!$AC$15:$AC$25))</f>
        <v>5</v>
      </c>
      <c r="U388" s="26">
        <f>R388+T388</f>
        <v>105</v>
      </c>
      <c r="V388" s="26">
        <f>SUM(I388,K388,M388)/3*0.3+SUM(G388,R388)/2*0.4</f>
        <v>51.2</v>
      </c>
      <c r="W388" s="27">
        <f>O388+T388</f>
        <v>5</v>
      </c>
      <c r="X388" s="28">
        <f>V388/0.7+W388</f>
        <v>78.142857142857153</v>
      </c>
      <c r="Y388" s="28">
        <f>X388</f>
        <v>78.142857142857153</v>
      </c>
      <c r="Z388" s="38"/>
    </row>
    <row r="389" spans="1:26" ht="15.6" customHeight="1" x14ac:dyDescent="0.15">
      <c r="A389" s="38">
        <v>16</v>
      </c>
      <c r="B389" s="17" t="s">
        <v>767</v>
      </c>
      <c r="C389" s="38">
        <v>208</v>
      </c>
      <c r="D389" s="49" t="s">
        <v>1276</v>
      </c>
      <c r="E389" s="38" t="s">
        <v>23</v>
      </c>
      <c r="F389" s="50">
        <v>7.7</v>
      </c>
      <c r="G389" s="32">
        <f>IF(B389="高三",IF($E389="男",LOOKUP(F389,[1]对照表!$G$3:$G$24,[1]对照表!$H$3:$H$24),LOOKUP(F389,[1]对照表!$G$27:$G$48,[1]对照表!$H$27:$H$48)),IF(B389="高二",IF($E389="男",LOOKUP(F389,[1]对照表!$F$3:$F$24,[1]对照表!$H$3:$H$24),LOOKUP(F389,[1]对照表!$F$27:$F$48,[1]对照表!$H$27:$H$48)),IF(B389="高一",IF($E389="男",LOOKUP(F389,[1]对照表!$E$3:$E$24,[1]对照表!$H$3:$H$24),LOOKUP(F389,[1]对照表!$E$27:$E$48,[1]对照表!$H$27:$H$48)))))</f>
        <v>76</v>
      </c>
      <c r="H389" s="38">
        <v>12.2</v>
      </c>
      <c r="I389" s="32">
        <f>IF(B389="高三",IF($E389="男",LOOKUP(H389,[1]对照表!$K$3:$K$24,[1]对照表!$L$3:$L$24),LOOKUP(H389,[1]对照表!$K$27:$K$48,[1]对照表!$L$27:$L$48)),IF(B389="高二",IF($E389="男",LOOKUP(H389,[1]对照表!$J$3:$J$24,[1]对照表!$L$3:$L$24),LOOKUP(H389,[1]对照表!$J$27:$J$48,[1]对照表!$L$27:$L$48)),IF(B389="高一",IF($E389="男",LOOKUP(H389,[1]对照表!$I$3:$I$24,[1]对照表!$L$3:$L$24),LOOKUP(H389,[1]对照表!$I$27:$I$48,[1]对照表!$L$27:$L$48)))))</f>
        <v>74</v>
      </c>
      <c r="J389" s="38">
        <v>235</v>
      </c>
      <c r="K389" s="32">
        <f>IF(B389="高三",IF($E389="男",LOOKUP(J389,[1]对照表!$O$3:$O$24,[1]对照表!$P$3:$P$24),LOOKUP(J389,[1]对照表!$O$27:$O$48,[1]对照表!$P$27:$P$48)),IF(B389="高二",IF($E389="男",LOOKUP(J389,[1]对照表!$N$3:$N$24,[1]对照表!$P$3:$P$24),LOOKUP(J389,[1]对照表!$N$27:$N$48,[1]对照表!$P$27:$P$48)),IF(B389="高一",IF($E389="男",LOOKUP(J389,[1]对照表!$M$3:$M$24,[1]对照表!$P$3:$P$24),LOOKUP(J389,[1]对照表!$M$27:$M$48,[1]对照表!$P$27:$P$48)))))</f>
        <v>76</v>
      </c>
      <c r="L389" s="38">
        <v>17</v>
      </c>
      <c r="M389" s="32">
        <f>IF(B389="高三",IF($E389="男",LOOKUP(L389,[1]对照表!$S$3:$S$24,[1]对照表!$T$3:$T$24),LOOKUP(L389,[1]对照表!$S$27:$S$48,[1]对照表!$T$27:$T$48)),IF(B389="高二",IF($E389="男",LOOKUP(L389,[1]对照表!$R$3:$R$24,[1]对照表!$T$3:$T$24),LOOKUP(L389,[1]对照表!$R$27:$R$48,[1]对照表!$T$27:$T$48)),IF(B389="高一",IF($E389="男",LOOKUP(L389,[1]对照表!$Q$3:$Q$24,[1]对照表!$T$3:$T$24),LOOKUP(L389,[1]对照表!$Q$27:$Q$48,[1]对照表!$T$27:$T$48)))))</f>
        <v>100</v>
      </c>
      <c r="N389" s="33">
        <f>IF(B389="高三",MAX(IF(E389="男",L389-18,L389-55),0),IF(B389="高二",MAX(IF(E389="男",L389-17,L389-54),0),IF(B389="高一",MAX(IF(E389="男",L389-16,L389-53),0))))</f>
        <v>0</v>
      </c>
      <c r="O389" s="23">
        <f>IF(E389="男",LOOKUP($N389,[1]对照表!$Z$3:$Z$13,[1]对照表!$AA$3:$AA$13),LOOKUP($N389,[1]对照表!$Z$15:$Z$25,[1]对照表!$AA$15:$AA$25))</f>
        <v>0</v>
      </c>
      <c r="P389" s="25">
        <f>M389+O389</f>
        <v>100</v>
      </c>
      <c r="Q389" s="50">
        <v>4.2</v>
      </c>
      <c r="R389" s="32">
        <f>IF(B389="高三",IF($E389="男",LOOKUP(Q389,[1]对照表!$W$3:$W$24,[1]对照表!$X$3:$X$24),LOOKUP(Q389,[1]对照表!$W$27:$W$48,[1]对照表!$X$27:$X$48)),IF(B389="高二",IF($E389="男",LOOKUP(Q389,[1]对照表!$V$3:$V$24,[1]对照表!$X$3:$X$24),LOOKUP(Q389,[1]对照表!$V$27:$V$48,[1]对照表!$X$27:$X$48)),IF(B389="高一",IF($E389="男",LOOKUP(Q389,[1]对照表!$U$3:$U$24,[1]对照表!$X$3:$X$24),LOOKUP(Q389,[1]对照表!$U$27:$U$48,[1]对照表!$X$27:$X$48)))))</f>
        <v>68</v>
      </c>
      <c r="S389" s="27">
        <f>ROUND(IF(IF($B389="高三",MIN(IF($E389="男",$Q389-3.2,$Q389-3.2),0),IF($B389="高二",MIN(IF($E389="男",$Q389-3.25,$Q389-3.22),0),IF($B389="高一",MIN(IF($E389="男",$Q389-3.3,$Q389-3.24),0))))&lt;-0.6,IF($B389="高三",MIN(IF($E389="男",$Q389-3.2,$Q389-3.2),0),IF($B389="高二",MIN(IF($E389="男",$Q389-3.25,$Q389-3.22),0),IF($B389="高一",MIN(IF($E389="男",$Q389-3.3,$Q389-3.24),0))))+0.4,IF($B389="高三",MIN(IF($E389="男",$Q389-3.2,$Q389-3.2),0),IF($B389="高二",MIN(IF($E389="男",$Q389-3.25,$Q389-3.22),0),IF($B389="高一",MIN(IF($E389="男",$Q389-3.3,$Q389-3.24),0))))),2)</f>
        <v>0</v>
      </c>
      <c r="T389" s="23">
        <f>IF(E389="男",LOOKUP($S389,[1]对照表!$AB$3:$AB$13,[1]对照表!$AC$3:$AC$13),LOOKUP($S389,[1]对照表!$AB$15:$AB$25,[1]对照表!$AC$15:$AC$25))</f>
        <v>0</v>
      </c>
      <c r="U389" s="26">
        <f>R389+T389</f>
        <v>68</v>
      </c>
      <c r="V389" s="26">
        <f>SUM(I389,K389,M389)/3*0.3+SUM(G389,R389)/2*0.4</f>
        <v>53.8</v>
      </c>
      <c r="W389" s="27">
        <f>O389+T389</f>
        <v>0</v>
      </c>
      <c r="X389" s="28">
        <f>V389/0.7+W389</f>
        <v>76.857142857142861</v>
      </c>
      <c r="Y389" s="28">
        <f>X389</f>
        <v>76.857142857142861</v>
      </c>
      <c r="Z389" s="38"/>
    </row>
    <row r="390" spans="1:26" ht="15.6" x14ac:dyDescent="0.25">
      <c r="A390" s="48">
        <v>10</v>
      </c>
      <c r="B390" s="17" t="s">
        <v>767</v>
      </c>
      <c r="C390" s="38">
        <v>208</v>
      </c>
      <c r="D390" s="49" t="s">
        <v>1284</v>
      </c>
      <c r="E390" s="38" t="s">
        <v>23</v>
      </c>
      <c r="F390" s="50">
        <v>7.5</v>
      </c>
      <c r="G390" s="32">
        <f>IF(B390="高三",IF($E390="男",LOOKUP(F390,[1]对照表!$G$3:$G$24,[1]对照表!$H$3:$H$24),LOOKUP(F390,[1]对照表!$G$27:$G$48,[1]对照表!$H$27:$H$48)),IF(B390="高二",IF($E390="男",LOOKUP(F390,[1]对照表!$F$3:$F$24,[1]对照表!$H$3:$H$24),LOOKUP(F390,[1]对照表!$F$27:$F$48,[1]对照表!$H$27:$H$48)),IF(B390="高一",IF($E390="男",LOOKUP(F390,[1]对照表!$E$3:$E$24,[1]对照表!$H$3:$H$24),LOOKUP(F390,[1]对照表!$E$27:$E$48,[1]对照表!$H$27:$H$48)))))</f>
        <v>78</v>
      </c>
      <c r="H390" s="38">
        <v>20</v>
      </c>
      <c r="I390" s="32">
        <f>IF(B390="高三",IF($E390="男",LOOKUP(H390,[1]对照表!$K$3:$K$24,[1]对照表!$L$3:$L$24),LOOKUP(H390,[1]对照表!$K$27:$K$48,[1]对照表!$L$27:$L$48)),IF(B390="高二",IF($E390="男",LOOKUP(H390,[1]对照表!$J$3:$J$24,[1]对照表!$L$3:$L$24),LOOKUP(H390,[1]对照表!$J$27:$J$48,[1]对照表!$L$27:$L$48)),IF(B390="高一",IF($E390="男",LOOKUP(H390,[1]对照表!$I$3:$I$24,[1]对照表!$L$3:$L$24),LOOKUP(H390,[1]对照表!$I$27:$I$48,[1]对照表!$L$27:$L$48)))))</f>
        <v>85</v>
      </c>
      <c r="J390" s="38">
        <v>235</v>
      </c>
      <c r="K390" s="32">
        <f>IF(B390="高三",IF($E390="男",LOOKUP(J390,[1]对照表!$O$3:$O$24,[1]对照表!$P$3:$P$24),LOOKUP(J390,[1]对照表!$O$27:$O$48,[1]对照表!$P$27:$P$48)),IF(B390="高二",IF($E390="男",LOOKUP(J390,[1]对照表!$N$3:$N$24,[1]对照表!$P$3:$P$24),LOOKUP(J390,[1]对照表!$N$27:$N$48,[1]对照表!$P$27:$P$48)),IF(B390="高一",IF($E390="男",LOOKUP(J390,[1]对照表!$M$3:$M$24,[1]对照表!$P$3:$P$24),LOOKUP(J390,[1]对照表!$M$27:$M$48,[1]对照表!$P$27:$P$48)))))</f>
        <v>76</v>
      </c>
      <c r="L390" s="38">
        <v>12</v>
      </c>
      <c r="M390" s="32">
        <f>IF(B390="高三",IF($E390="男",LOOKUP(L390,[1]对照表!$S$3:$S$24,[1]对照表!$T$3:$T$24),LOOKUP(L390,[1]对照表!$S$27:$S$48,[1]对照表!$T$27:$T$48)),IF(B390="高二",IF($E390="男",LOOKUP(L390,[1]对照表!$R$3:$R$24,[1]对照表!$T$3:$T$24),LOOKUP(L390,[1]对照表!$R$27:$R$48,[1]对照表!$T$27:$T$48)),IF(B390="高一",IF($E390="男",LOOKUP(L390,[1]对照表!$Q$3:$Q$24,[1]对照表!$T$3:$T$24),LOOKUP(L390,[1]对照表!$Q$27:$Q$48,[1]对照表!$T$27:$T$48)))))</f>
        <v>76</v>
      </c>
      <c r="N390" s="33">
        <f>IF(B390="高三",MAX(IF(E390="男",L390-18,L390-55),0),IF(B390="高二",MAX(IF(E390="男",L390-17,L390-54),0),IF(B390="高一",MAX(IF(E390="男",L390-16,L390-53),0))))</f>
        <v>0</v>
      </c>
      <c r="O390" s="23">
        <f>IF(E390="男",LOOKUP($N390,[1]对照表!$Z$3:$Z$13,[1]对照表!$AA$3:$AA$13),LOOKUP($N390,[1]对照表!$Z$15:$Z$25,[1]对照表!$AA$15:$AA$25))</f>
        <v>0</v>
      </c>
      <c r="P390" s="25">
        <f>M390+O390</f>
        <v>76</v>
      </c>
      <c r="Q390" s="50">
        <v>4.1100000000000003</v>
      </c>
      <c r="R390" s="32">
        <f>IF(B390="高三",IF($E390="男",LOOKUP(Q390,[1]对照表!$W$3:$W$24,[1]对照表!$X$3:$X$24),LOOKUP(Q390,[1]对照表!$W$27:$W$48,[1]对照表!$X$27:$X$48)),IF(B390="高二",IF($E390="男",LOOKUP(Q390,[1]对照表!$V$3:$V$24,[1]对照表!$X$3:$X$24),LOOKUP(Q390,[1]对照表!$V$27:$V$48,[1]对照表!$X$27:$X$48)),IF(B390="高一",IF($E390="男",LOOKUP(Q390,[1]对照表!$U$3:$U$24,[1]对照表!$X$3:$X$24),LOOKUP(Q390,[1]对照表!$U$27:$U$48,[1]对照表!$X$27:$X$48)))))</f>
        <v>70</v>
      </c>
      <c r="S390" s="33">
        <f>ROUND(IF(IF($B390="高三",MIN(IF($E390="男",$Q390-3.2,$Q390-3.2),0),IF($B390="高二",MIN(IF($E390="男",$Q390-3.25,$Q390-3.22),0),IF($B390="高一",MIN(IF($E390="男",$Q390-3.3,$Q390-3.24),0))))&lt;-0.6,IF($B390="高三",MIN(IF($E390="男",$Q390-3.2,$Q390-3.2),0),IF($B390="高二",MIN(IF($E390="男",$Q390-3.25,$Q390-3.22),0),IF($B390="高一",MIN(IF($E390="男",$Q390-3.3,$Q390-3.24),0))))+0.4,IF($B390="高三",MIN(IF($E390="男",$Q390-3.2,$Q390-3.2),0),IF($B390="高二",MIN(IF($E390="男",$Q390-3.25,$Q390-3.22),0),IF($B390="高一",MIN(IF($E390="男",$Q390-3.3,$Q390-3.24),0))))),2)</f>
        <v>0</v>
      </c>
      <c r="T390" s="23">
        <f>IF(E390="男",LOOKUP($S390,[1]对照表!$AB$3:$AB$13,[1]对照表!$AC$3:$AC$13),LOOKUP($S390,[1]对照表!$AB$15:$AB$25,[1]对照表!$AC$15:$AC$25))</f>
        <v>0</v>
      </c>
      <c r="U390" s="26">
        <f>R390+T390</f>
        <v>70</v>
      </c>
      <c r="V390" s="26">
        <f>SUM(I390,K390,M390)/3*0.3+SUM(G390,R390)/2*0.4</f>
        <v>53.3</v>
      </c>
      <c r="W390" s="27">
        <f>O390+T390</f>
        <v>0</v>
      </c>
      <c r="X390" s="28">
        <f>V390/0.7+W390</f>
        <v>76.142857142857139</v>
      </c>
      <c r="Y390" s="28">
        <f>X390</f>
        <v>76.142857142857139</v>
      </c>
      <c r="Z390" s="38"/>
    </row>
    <row r="391" spans="1:26" ht="15.6" x14ac:dyDescent="0.25">
      <c r="A391" s="48">
        <v>7</v>
      </c>
      <c r="B391" s="17" t="s">
        <v>767</v>
      </c>
      <c r="C391" s="38">
        <v>208</v>
      </c>
      <c r="D391" s="49" t="s">
        <v>1287</v>
      </c>
      <c r="E391" s="38" t="s">
        <v>23</v>
      </c>
      <c r="F391" s="50">
        <v>7.5</v>
      </c>
      <c r="G391" s="32">
        <f>IF(B391="高三",IF($E391="男",LOOKUP(F391,[1]对照表!$G$3:$G$24,[1]对照表!$H$3:$H$24),LOOKUP(F391,[1]对照表!$G$27:$G$48,[1]对照表!$H$27:$H$48)),IF(B391="高二",IF($E391="男",LOOKUP(F391,[1]对照表!$F$3:$F$24,[1]对照表!$H$3:$H$24),LOOKUP(F391,[1]对照表!$F$27:$F$48,[1]对照表!$H$27:$H$48)),IF(B391="高一",IF($E391="男",LOOKUP(F391,[1]对照表!$E$3:$E$24,[1]对照表!$H$3:$H$24),LOOKUP(F391,[1]对照表!$E$27:$E$48,[1]对照表!$H$27:$H$48)))))</f>
        <v>78</v>
      </c>
      <c r="H391" s="38">
        <v>6.7</v>
      </c>
      <c r="I391" s="32">
        <f>IF(B391="高三",IF($E391="男",LOOKUP(H391,[1]对照表!$K$3:$K$24,[1]对照表!$L$3:$L$24),LOOKUP(H391,[1]对照表!$K$27:$K$48,[1]对照表!$L$27:$L$48)),IF(B391="高二",IF($E391="男",LOOKUP(H391,[1]对照表!$J$3:$J$24,[1]对照表!$L$3:$L$24),LOOKUP(H391,[1]对照表!$J$27:$J$48,[1]对照表!$L$27:$L$48)),IF(B391="高一",IF($E391="男",LOOKUP(H391,[1]对照表!$I$3:$I$24,[1]对照表!$L$3:$L$24),LOOKUP(H391,[1]对照表!$I$27:$I$48,[1]对照表!$L$27:$L$48)))))</f>
        <v>66</v>
      </c>
      <c r="J391" s="38">
        <v>240</v>
      </c>
      <c r="K391" s="32">
        <f>IF(B391="高三",IF($E391="男",LOOKUP(J391,[1]对照表!$O$3:$O$24,[1]对照表!$P$3:$P$24),LOOKUP(J391,[1]对照表!$O$27:$O$48,[1]对照表!$P$27:$P$48)),IF(B391="高二",IF($E391="男",LOOKUP(J391,[1]对照表!$N$3:$N$24,[1]对照表!$P$3:$P$24),LOOKUP(J391,[1]对照表!$N$27:$N$48,[1]对照表!$P$27:$P$48)),IF(B391="高一",IF($E391="男",LOOKUP(J391,[1]对照表!$M$3:$M$24,[1]对照表!$P$3:$P$24),LOOKUP(J391,[1]对照表!$M$27:$M$48,[1]对照表!$P$27:$P$48)))))</f>
        <v>80</v>
      </c>
      <c r="L391" s="38">
        <v>16</v>
      </c>
      <c r="M391" s="32">
        <f>IF(B391="高三",IF($E391="男",LOOKUP(L391,[1]对照表!$S$3:$S$24,[1]对照表!$T$3:$T$24),LOOKUP(L391,[1]对照表!$S$27:$S$48,[1]对照表!$T$27:$T$48)),IF(B391="高二",IF($E391="男",LOOKUP(L391,[1]对照表!$R$3:$R$24,[1]对照表!$T$3:$T$24),LOOKUP(L391,[1]对照表!$R$27:$R$48,[1]对照表!$T$27:$T$48)),IF(B391="高一",IF($E391="男",LOOKUP(L391,[1]对照表!$Q$3:$Q$24,[1]对照表!$T$3:$T$24),LOOKUP(L391,[1]对照表!$Q$27:$Q$48,[1]对照表!$T$27:$T$48)))))</f>
        <v>95</v>
      </c>
      <c r="N391" s="33">
        <f>IF(B391="高三",MAX(IF(E391="男",L391-18,L391-55),0),IF(B391="高二",MAX(IF(E391="男",L391-17,L391-54),0),IF(B391="高一",MAX(IF(E391="男",L391-16,L391-53),0))))</f>
        <v>0</v>
      </c>
      <c r="O391" s="23">
        <f>IF(E391="男",LOOKUP($N391,[1]对照表!$Z$3:$Z$13,[1]对照表!$AA$3:$AA$13),LOOKUP($N391,[1]对照表!$Z$15:$Z$25,[1]对照表!$AA$15:$AA$25))</f>
        <v>0</v>
      </c>
      <c r="P391" s="25">
        <f>M391+O391</f>
        <v>95</v>
      </c>
      <c r="Q391" s="50">
        <v>4.2</v>
      </c>
      <c r="R391" s="32">
        <f>IF(B391="高三",IF($E391="男",LOOKUP(Q391,[1]对照表!$W$3:$W$24,[1]对照表!$X$3:$X$24),LOOKUP(Q391,[1]对照表!$W$27:$W$48,[1]对照表!$X$27:$X$48)),IF(B391="高二",IF($E391="男",LOOKUP(Q391,[1]对照表!$V$3:$V$24,[1]对照表!$X$3:$X$24),LOOKUP(Q391,[1]对照表!$V$27:$V$48,[1]对照表!$X$27:$X$48)),IF(B391="高一",IF($E391="男",LOOKUP(Q391,[1]对照表!$U$3:$U$24,[1]对照表!$X$3:$X$24),LOOKUP(Q391,[1]对照表!$U$27:$U$48,[1]对照表!$X$27:$X$48)))))</f>
        <v>68</v>
      </c>
      <c r="S391" s="33">
        <f>ROUND(IF(IF($B391="高三",MIN(IF($E391="男",$Q391-3.2,$Q391-3.2),0),IF($B391="高二",MIN(IF($E391="男",$Q391-3.25,$Q391-3.22),0),IF($B391="高一",MIN(IF($E391="男",$Q391-3.3,$Q391-3.24),0))))&lt;-0.6,IF($B391="高三",MIN(IF($E391="男",$Q391-3.2,$Q391-3.2),0),IF($B391="高二",MIN(IF($E391="男",$Q391-3.25,$Q391-3.22),0),IF($B391="高一",MIN(IF($E391="男",$Q391-3.3,$Q391-3.24),0))))+0.4,IF($B391="高三",MIN(IF($E391="男",$Q391-3.2,$Q391-3.2),0),IF($B391="高二",MIN(IF($E391="男",$Q391-3.25,$Q391-3.22),0),IF($B391="高一",MIN(IF($E391="男",$Q391-3.3,$Q391-3.24),0))))),2)</f>
        <v>0</v>
      </c>
      <c r="T391" s="23">
        <f>IF(E391="男",LOOKUP($S391,[1]对照表!$AB$3:$AB$13,[1]对照表!$AC$3:$AC$13),LOOKUP($S391,[1]对照表!$AB$15:$AB$25,[1]对照表!$AC$15:$AC$25))</f>
        <v>0</v>
      </c>
      <c r="U391" s="26">
        <f>R391+T391</f>
        <v>68</v>
      </c>
      <c r="V391" s="26">
        <f>SUM(I391,K391,M391)/3*0.3+SUM(G391,R391)/2*0.4</f>
        <v>53.3</v>
      </c>
      <c r="W391" s="27">
        <f>O391+T391</f>
        <v>0</v>
      </c>
      <c r="X391" s="28">
        <f>V391/0.7+W391</f>
        <v>76.142857142857139</v>
      </c>
      <c r="Y391" s="28">
        <f>X391</f>
        <v>76.142857142857139</v>
      </c>
      <c r="Z391" s="38"/>
    </row>
    <row r="392" spans="1:26" ht="15.6" x14ac:dyDescent="0.25">
      <c r="A392" s="48">
        <v>3</v>
      </c>
      <c r="B392" s="17" t="s">
        <v>767</v>
      </c>
      <c r="C392" s="38">
        <v>208</v>
      </c>
      <c r="D392" s="49" t="s">
        <v>1288</v>
      </c>
      <c r="E392" s="38" t="s">
        <v>23</v>
      </c>
      <c r="F392" s="50">
        <v>7.2</v>
      </c>
      <c r="G392" s="32">
        <f>IF(B392="高三",IF($E392="男",LOOKUP(F392,[1]对照表!$G$3:$G$24,[1]对照表!$H$3:$H$24),LOOKUP(F392,[1]对照表!$G$27:$G$48,[1]对照表!$H$27:$H$48)),IF(B392="高二",IF($E392="男",LOOKUP(F392,[1]对照表!$F$3:$F$24,[1]对照表!$H$3:$H$24),LOOKUP(F392,[1]对照表!$F$27:$F$48,[1]对照表!$H$27:$H$48)),IF(B392="高一",IF($E392="男",LOOKUP(F392,[1]对照表!$E$3:$E$24,[1]对照表!$H$3:$H$24),LOOKUP(F392,[1]对照表!$E$27:$E$48,[1]对照表!$H$27:$H$48)))))</f>
        <v>90</v>
      </c>
      <c r="H392" s="38">
        <v>13</v>
      </c>
      <c r="I392" s="32">
        <f>IF(B392="高三",IF($E392="男",LOOKUP(H392,[1]对照表!$K$3:$K$24,[1]对照表!$L$3:$L$24),LOOKUP(H392,[1]对照表!$K$27:$K$48,[1]对照表!$L$27:$L$48)),IF(B392="高二",IF($E392="男",LOOKUP(H392,[1]对照表!$J$3:$J$24,[1]对照表!$L$3:$L$24),LOOKUP(H392,[1]对照表!$J$27:$J$48,[1]对照表!$L$27:$L$48)),IF(B392="高一",IF($E392="男",LOOKUP(H392,[1]对照表!$I$3:$I$24,[1]对照表!$L$3:$L$24),LOOKUP(H392,[1]对照表!$I$27:$I$48,[1]对照表!$L$27:$L$48)))))</f>
        <v>74</v>
      </c>
      <c r="J392" s="38">
        <v>236</v>
      </c>
      <c r="K392" s="32">
        <f>IF(B392="高三",IF($E392="男",LOOKUP(J392,[1]对照表!$O$3:$O$24,[1]对照表!$P$3:$P$24),LOOKUP(J392,[1]对照表!$O$27:$O$48,[1]对照表!$P$27:$P$48)),IF(B392="高二",IF($E392="男",LOOKUP(J392,[1]对照表!$N$3:$N$24,[1]对照表!$P$3:$P$24),LOOKUP(J392,[1]对照表!$N$27:$N$48,[1]对照表!$P$27:$P$48)),IF(B392="高一",IF($E392="男",LOOKUP(J392,[1]对照表!$M$3:$M$24,[1]对照表!$P$3:$P$24),LOOKUP(J392,[1]对照表!$M$27:$M$48,[1]对照表!$P$27:$P$48)))))</f>
        <v>78</v>
      </c>
      <c r="L392" s="38">
        <v>6</v>
      </c>
      <c r="M392" s="32">
        <f>IF(B392="高三",IF($E392="男",LOOKUP(L392,[1]对照表!$S$3:$S$24,[1]对照表!$T$3:$T$24),LOOKUP(L392,[1]对照表!$S$27:$S$48,[1]对照表!$T$27:$T$48)),IF(B392="高二",IF($E392="男",LOOKUP(L392,[1]对照表!$R$3:$R$24,[1]对照表!$T$3:$T$24),LOOKUP(L392,[1]对照表!$R$27:$R$48,[1]对照表!$T$27:$T$48)),IF(B392="高一",IF($E392="男",LOOKUP(L392,[1]对照表!$Q$3:$Q$24,[1]对照表!$T$3:$T$24),LOOKUP(L392,[1]对照表!$Q$27:$Q$48,[1]对照表!$T$27:$T$48)))))</f>
        <v>40</v>
      </c>
      <c r="N392" s="33">
        <f>IF(B392="高三",MAX(IF(E392="男",L392-18,L392-55),0),IF(B392="高二",MAX(IF(E392="男",L392-17,L392-54),0),IF(B392="高一",MAX(IF(E392="男",L392-16,L392-53),0))))</f>
        <v>0</v>
      </c>
      <c r="O392" s="23">
        <f>IF(E392="男",LOOKUP($N392,[1]对照表!$Z$3:$Z$13,[1]对照表!$AA$3:$AA$13),LOOKUP($N392,[1]对照表!$Z$15:$Z$25,[1]对照表!$AA$15:$AA$25))</f>
        <v>0</v>
      </c>
      <c r="P392" s="25">
        <f>M392+O392</f>
        <v>40</v>
      </c>
      <c r="Q392" s="50">
        <v>3.48</v>
      </c>
      <c r="R392" s="32">
        <f>IF(B392="高三",IF($E392="男",LOOKUP(Q392,[1]对照表!$W$3:$W$24,[1]对照表!$X$3:$X$24),LOOKUP(Q392,[1]对照表!$W$27:$W$48,[1]对照表!$X$27:$X$48)),IF(B392="高二",IF($E392="男",LOOKUP(Q392,[1]对照表!$V$3:$V$24,[1]对照表!$X$3:$X$24),LOOKUP(Q392,[1]对照表!$V$27:$V$48,[1]对照表!$X$27:$X$48)),IF(B392="高一",IF($E392="男",LOOKUP(Q392,[1]对照表!$U$3:$U$24,[1]对照表!$X$3:$X$24),LOOKUP(Q392,[1]对照表!$U$27:$U$48,[1]对照表!$X$27:$X$48)))))</f>
        <v>80</v>
      </c>
      <c r="S392" s="33">
        <f>ROUND(IF(IF($B392="高三",MIN(IF($E392="男",$Q392-3.2,$Q392-3.2),0),IF($B392="高二",MIN(IF($E392="男",$Q392-3.25,$Q392-3.22),0),IF($B392="高一",MIN(IF($E392="男",$Q392-3.3,$Q392-3.24),0))))&lt;-0.6,IF($B392="高三",MIN(IF($E392="男",$Q392-3.2,$Q392-3.2),0),IF($B392="高二",MIN(IF($E392="男",$Q392-3.25,$Q392-3.22),0),IF($B392="高一",MIN(IF($E392="男",$Q392-3.3,$Q392-3.24),0))))+0.4,IF($B392="高三",MIN(IF($E392="男",$Q392-3.2,$Q392-3.2),0),IF($B392="高二",MIN(IF($E392="男",$Q392-3.25,$Q392-3.22),0),IF($B392="高一",MIN(IF($E392="男",$Q392-3.3,$Q392-3.24),0))))),2)</f>
        <v>0</v>
      </c>
      <c r="T392" s="23">
        <f>IF(E392="男",LOOKUP($S392,[1]对照表!$AB$3:$AB$13,[1]对照表!$AC$3:$AC$13),LOOKUP($S392,[1]对照表!$AB$15:$AB$25,[1]对照表!$AC$15:$AC$25))</f>
        <v>0</v>
      </c>
      <c r="U392" s="26">
        <f>R392+T392</f>
        <v>80</v>
      </c>
      <c r="V392" s="26">
        <f>SUM(I392,K392,M392)/3*0.3+SUM(G392,R392)/2*0.4</f>
        <v>53.2</v>
      </c>
      <c r="W392" s="27">
        <f>O392+T392</f>
        <v>0</v>
      </c>
      <c r="X392" s="28">
        <f>V392/0.7+W392</f>
        <v>76.000000000000014</v>
      </c>
      <c r="Y392" s="28">
        <f>X392</f>
        <v>76.000000000000014</v>
      </c>
      <c r="Z392" s="38"/>
    </row>
    <row r="393" spans="1:26" ht="15.6" x14ac:dyDescent="0.25">
      <c r="A393" s="48">
        <v>32</v>
      </c>
      <c r="B393" s="17" t="s">
        <v>767</v>
      </c>
      <c r="C393" s="38">
        <v>208</v>
      </c>
      <c r="D393" s="49" t="s">
        <v>1291</v>
      </c>
      <c r="E393" s="48" t="s">
        <v>65</v>
      </c>
      <c r="F393" s="50">
        <v>8.67</v>
      </c>
      <c r="G393" s="32">
        <f>IF(B393="高三",IF($E393="男",LOOKUP(F393,[1]对照表!$G$3:$G$24,[1]对照表!$H$3:$H$24),LOOKUP(F393,[1]对照表!$G$27:$G$48,[1]对照表!$H$27:$H$48)),IF(B393="高二",IF($E393="男",LOOKUP(F393,[1]对照表!$F$3:$F$24,[1]对照表!$H$3:$H$24),LOOKUP(F393,[1]对照表!$F$27:$F$48,[1]对照表!$H$27:$H$48)),IF(B393="高一",IF($E393="男",LOOKUP(F393,[1]对照表!$E$3:$E$24,[1]对照表!$H$3:$H$24),LOOKUP(F393,[1]对照表!$E$27:$E$48,[1]对照表!$H$27:$H$48)))))</f>
        <v>78</v>
      </c>
      <c r="H393" s="38">
        <v>25.2</v>
      </c>
      <c r="I393" s="32">
        <f>IF(B393="高三",IF($E393="男",LOOKUP(H393,[1]对照表!$K$3:$K$24,[1]对照表!$L$3:$L$24),LOOKUP(H393,[1]对照表!$K$27:$K$48,[1]对照表!$L$27:$L$48)),IF(B393="高二",IF($E393="男",LOOKUP(H393,[1]对照表!$J$3:$J$24,[1]对照表!$L$3:$L$24),LOOKUP(H393,[1]对照表!$J$27:$J$48,[1]对照表!$L$27:$L$48)),IF(B393="高一",IF($E393="男",LOOKUP(H393,[1]对照表!$I$3:$I$24,[1]对照表!$L$3:$L$24),LOOKUP(H393,[1]对照表!$I$27:$I$48,[1]对照表!$L$27:$L$48)))))</f>
        <v>100</v>
      </c>
      <c r="J393" s="38">
        <v>215</v>
      </c>
      <c r="K393" s="32">
        <f>IF(B393="高三",IF($E393="男",LOOKUP(J393,[1]对照表!$O$3:$O$24,[1]对照表!$P$3:$P$24),LOOKUP(J393,[1]对照表!$O$27:$O$48,[1]对照表!$P$27:$P$48)),IF(B393="高二",IF($E393="男",LOOKUP(J393,[1]对照表!$N$3:$N$24,[1]对照表!$P$3:$P$24),LOOKUP(J393,[1]对照表!$N$27:$N$48,[1]对照表!$P$27:$P$48)),IF(B393="高一",IF($E393="男",LOOKUP(J393,[1]对照表!$M$3:$M$24,[1]对照表!$P$3:$P$24),LOOKUP(J393,[1]对照表!$M$27:$M$48,[1]对照表!$P$27:$P$48)))))</f>
        <v>100</v>
      </c>
      <c r="L393" s="38">
        <v>50</v>
      </c>
      <c r="M393" s="32">
        <f>IF(B393="高三",IF($E393="男",LOOKUP(L393,[1]对照表!$S$3:$S$24,[1]对照表!$T$3:$T$24),LOOKUP(L393,[1]对照表!$S$27:$S$48,[1]对照表!$T$27:$T$48)),IF(B393="高二",IF($E393="男",LOOKUP(L393,[1]对照表!$R$3:$R$24,[1]对照表!$T$3:$T$24),LOOKUP(L393,[1]对照表!$R$27:$R$48,[1]对照表!$T$27:$T$48)),IF(B393="高一",IF($E393="男",LOOKUP(L393,[1]对照表!$Q$3:$Q$24,[1]对照表!$T$3:$T$24),LOOKUP(L393,[1]对照表!$Q$27:$Q$48,[1]对照表!$T$27:$T$48)))))</f>
        <v>90</v>
      </c>
      <c r="N393" s="33">
        <f>IF(B393="高三",MAX(IF(E393="男",L393-18,L393-55),0),IF(B393="高二",MAX(IF(E393="男",L393-17,L393-54),0),IF(B393="高一",MAX(IF(E393="男",L393-16,L393-53),0))))</f>
        <v>0</v>
      </c>
      <c r="O393" s="23">
        <f>IF(E393="男",LOOKUP($N393,[1]对照表!$Z$3:$Z$13,[1]对照表!$AA$3:$AA$13),LOOKUP($N393,[1]对照表!$Z$15:$Z$25,[1]对照表!$AA$15:$AA$25))</f>
        <v>0</v>
      </c>
      <c r="P393" s="25">
        <f>M393+O393</f>
        <v>90</v>
      </c>
      <c r="Q393" s="50"/>
      <c r="R393" s="20">
        <v>0</v>
      </c>
      <c r="S393" s="22">
        <v>0</v>
      </c>
      <c r="T393" s="23">
        <f>IF(E393="男",LOOKUP($S393,[1]对照表!$AB$3:$AB$13,[1]对照表!$AC$3:$AC$13),LOOKUP($S393,[1]对照表!$AB$15:$AB$25,[1]对照表!$AC$15:$AC$25))</f>
        <v>0</v>
      </c>
      <c r="U393" s="26">
        <f>R393+T393</f>
        <v>0</v>
      </c>
      <c r="V393" s="26">
        <f>SUM(I393,K393,M393)/3*0.3+SUM(G393,R393)/2*0.4</f>
        <v>44.6</v>
      </c>
      <c r="W393" s="27">
        <f>O393+T393</f>
        <v>0</v>
      </c>
      <c r="X393" s="28">
        <f>V393/0.7+W393</f>
        <v>63.714285714285722</v>
      </c>
      <c r="Y393" s="28">
        <f>X393</f>
        <v>63.714285714285722</v>
      </c>
      <c r="Z393" s="38"/>
    </row>
    <row r="394" spans="1:26" ht="15.6" x14ac:dyDescent="0.25">
      <c r="A394" s="48">
        <v>42</v>
      </c>
      <c r="B394" s="17" t="s">
        <v>767</v>
      </c>
      <c r="C394" s="38">
        <v>208</v>
      </c>
      <c r="D394" s="49" t="s">
        <v>1308</v>
      </c>
      <c r="E394" s="48" t="s">
        <v>65</v>
      </c>
      <c r="F394" s="50">
        <v>8.4600000000000009</v>
      </c>
      <c r="G394" s="32">
        <f>IF(B394="高三",IF($E394="男",LOOKUP(F394,[1]对照表!$G$3:$G$24,[1]对照表!$H$3:$H$24),LOOKUP(F394,[1]对照表!$G$27:$G$48,[1]对照表!$H$27:$H$48)),IF(B394="高二",IF($E394="男",LOOKUP(F394,[1]对照表!$F$3:$F$24,[1]对照表!$H$3:$H$24),LOOKUP(F394,[1]对照表!$F$27:$F$48,[1]对照表!$H$27:$H$48)),IF(B394="高一",IF($E394="男",LOOKUP(F394,[1]对照表!$E$3:$E$24,[1]对照表!$H$3:$H$24),LOOKUP(F394,[1]对照表!$E$27:$E$48,[1]对照表!$H$27:$H$48)))))</f>
        <v>80</v>
      </c>
      <c r="H394" s="38">
        <v>26</v>
      </c>
      <c r="I394" s="32">
        <f>IF(B394="高三",IF($E394="男",LOOKUP(H394,[1]对照表!$K$3:$K$24,[1]对照表!$L$3:$L$24),LOOKUP(H394,[1]对照表!$K$27:$K$48,[1]对照表!$L$27:$L$48)),IF(B394="高二",IF($E394="男",LOOKUP(H394,[1]对照表!$J$3:$J$24,[1]对照表!$L$3:$L$24),LOOKUP(H394,[1]对照表!$J$27:$J$48,[1]对照表!$L$27:$L$48)),IF(B394="高一",IF($E394="男",LOOKUP(H394,[1]对照表!$I$3:$I$24,[1]对照表!$L$3:$L$24),LOOKUP(H394,[1]对照表!$I$27:$I$48,[1]对照表!$L$27:$L$48)))))</f>
        <v>100</v>
      </c>
      <c r="J394" s="38">
        <v>177</v>
      </c>
      <c r="K394" s="32">
        <f>IF(B394="高三",IF($E394="男",LOOKUP(J394,[1]对照表!$O$3:$O$24,[1]对照表!$P$3:$P$24),LOOKUP(J394,[1]对照表!$O$27:$O$48,[1]对照表!$P$27:$P$48)),IF(B394="高二",IF($E394="男",LOOKUP(J394,[1]对照表!$N$3:$N$24,[1]对照表!$P$3:$P$24),LOOKUP(J394,[1]对照表!$N$27:$N$48,[1]对照表!$P$27:$P$48)),IF(B394="高一",IF($E394="男",LOOKUP(J394,[1]对照表!$M$3:$M$24,[1]对照表!$P$3:$P$24),LOOKUP(J394,[1]对照表!$M$27:$M$48,[1]对照表!$P$27:$P$48)))))</f>
        <v>78</v>
      </c>
      <c r="L394" s="38">
        <v>52</v>
      </c>
      <c r="M394" s="32">
        <f>IF(B394="高三",IF($E394="男",LOOKUP(L394,[1]对照表!$S$3:$S$24,[1]对照表!$T$3:$T$24),LOOKUP(L394,[1]对照表!$S$27:$S$48,[1]对照表!$T$27:$T$48)),IF(B394="高二",IF($E394="男",LOOKUP(L394,[1]对照表!$R$3:$R$24,[1]对照表!$T$3:$T$24),LOOKUP(L394,[1]对照表!$R$27:$R$48,[1]对照表!$T$27:$T$48)),IF(B394="高一",IF($E394="男",LOOKUP(L394,[1]对照表!$Q$3:$Q$24,[1]对照表!$T$3:$T$24),LOOKUP(L394,[1]对照表!$Q$27:$Q$48,[1]对照表!$T$27:$T$48)))))</f>
        <v>95</v>
      </c>
      <c r="N394" s="33">
        <f>IF(B394="高三",MAX(IF(E394="男",L394-18,L394-55),0),IF(B394="高二",MAX(IF(E394="男",L394-17,L394-54),0),IF(B394="高一",MAX(IF(E394="男",L394-16,L394-53),0))))</f>
        <v>0</v>
      </c>
      <c r="O394" s="23">
        <f>IF(E394="男",LOOKUP($N394,[1]对照表!$Z$3:$Z$13,[1]对照表!$AA$3:$AA$13),LOOKUP($N394,[1]对照表!$Z$15:$Z$25,[1]对照表!$AA$15:$AA$25))</f>
        <v>0</v>
      </c>
      <c r="P394" s="25">
        <f>M394+O394</f>
        <v>95</v>
      </c>
      <c r="Q394" s="50"/>
      <c r="R394" s="20">
        <v>0</v>
      </c>
      <c r="S394" s="22">
        <v>0</v>
      </c>
      <c r="T394" s="23">
        <f>IF(E394="男",LOOKUP($S394,[1]对照表!$AB$3:$AB$13,[1]对照表!$AC$3:$AC$13),LOOKUP($S394,[1]对照表!$AB$15:$AB$25,[1]对照表!$AC$15:$AC$25))</f>
        <v>0</v>
      </c>
      <c r="U394" s="26">
        <f>R394+T394</f>
        <v>0</v>
      </c>
      <c r="V394" s="26">
        <f>SUM(I394,K394,M394)/3*0.3+SUM(G394,R394)/2*0.4</f>
        <v>43.3</v>
      </c>
      <c r="W394" s="27">
        <f>O394+T394</f>
        <v>0</v>
      </c>
      <c r="X394" s="28">
        <f>V394/0.7+W394</f>
        <v>61.857142857142854</v>
      </c>
      <c r="Y394" s="28">
        <f>X394</f>
        <v>61.857142857142854</v>
      </c>
      <c r="Z394" s="38"/>
    </row>
    <row r="395" spans="1:26" ht="15.6" x14ac:dyDescent="0.25">
      <c r="A395" s="48">
        <v>21</v>
      </c>
      <c r="B395" s="17" t="s">
        <v>767</v>
      </c>
      <c r="C395" s="38">
        <v>208</v>
      </c>
      <c r="D395" s="49" t="s">
        <v>1312</v>
      </c>
      <c r="E395" s="38" t="s">
        <v>23</v>
      </c>
      <c r="F395" s="50">
        <v>7.5</v>
      </c>
      <c r="G395" s="32">
        <f>IF(B395="高三",IF($E395="男",LOOKUP(F395,[1]对照表!$G$3:$G$24,[1]对照表!$H$3:$H$24),LOOKUP(F395,[1]对照表!$G$27:$G$48,[1]对照表!$H$27:$H$48)),IF(B395="高二",IF($E395="男",LOOKUP(F395,[1]对照表!$F$3:$F$24,[1]对照表!$H$3:$H$24),LOOKUP(F395,[1]对照表!$F$27:$F$48,[1]对照表!$H$27:$H$48)),IF(B395="高一",IF($E395="男",LOOKUP(F395,[1]对照表!$E$3:$E$24,[1]对照表!$H$3:$H$24),LOOKUP(F395,[1]对照表!$E$27:$E$48,[1]对照表!$H$27:$H$48)))))</f>
        <v>78</v>
      </c>
      <c r="H395" s="38">
        <v>15</v>
      </c>
      <c r="I395" s="32">
        <f>IF(B395="高三",IF($E395="男",LOOKUP(H395,[1]对照表!$K$3:$K$24,[1]对照表!$L$3:$L$24),LOOKUP(H395,[1]对照表!$K$27:$K$48,[1]对照表!$L$27:$L$48)),IF(B395="高二",IF($E395="男",LOOKUP(H395,[1]对照表!$J$3:$J$24,[1]对照表!$L$3:$L$24),LOOKUP(H395,[1]对照表!$J$27:$J$48,[1]对照表!$L$27:$L$48)),IF(B395="高一",IF($E395="男",LOOKUP(H395,[1]对照表!$I$3:$I$24,[1]对照表!$L$3:$L$24),LOOKUP(H395,[1]对照表!$I$27:$I$48,[1]对照表!$L$27:$L$48)))))</f>
        <v>78</v>
      </c>
      <c r="J395" s="38">
        <v>226</v>
      </c>
      <c r="K395" s="32">
        <f>IF(B395="高三",IF($E395="男",LOOKUP(J395,[1]对照表!$O$3:$O$24,[1]对照表!$P$3:$P$24),LOOKUP(J395,[1]对照表!$O$27:$O$48,[1]对照表!$P$27:$P$48)),IF(B395="高二",IF($E395="男",LOOKUP(J395,[1]对照表!$N$3:$N$24,[1]对照表!$P$3:$P$24),LOOKUP(J395,[1]对照表!$N$27:$N$48,[1]对照表!$P$27:$P$48)),IF(B395="高一",IF($E395="男",LOOKUP(J395,[1]对照表!$M$3:$M$24,[1]对照表!$P$3:$P$24),LOOKUP(J395,[1]对照表!$M$27:$M$48,[1]对照表!$P$27:$P$48)))))</f>
        <v>72</v>
      </c>
      <c r="L395" s="38">
        <v>8</v>
      </c>
      <c r="M395" s="32">
        <f>IF(B395="高三",IF($E395="男",LOOKUP(L395,[1]对照表!$S$3:$S$24,[1]对照表!$T$3:$T$24),LOOKUP(L395,[1]对照表!$S$27:$S$48,[1]对照表!$T$27:$T$48)),IF(B395="高二",IF($E395="男",LOOKUP(L395,[1]对照表!$R$3:$R$24,[1]对照表!$T$3:$T$24),LOOKUP(L395,[1]对照表!$R$27:$R$48,[1]对照表!$T$27:$T$48)),IF(B395="高一",IF($E395="男",LOOKUP(L395,[1]对照表!$Q$3:$Q$24,[1]对照表!$T$3:$T$24),LOOKUP(L395,[1]对照表!$Q$27:$Q$48,[1]对照表!$T$27:$T$48)))))</f>
        <v>60</v>
      </c>
      <c r="N395" s="33">
        <f>IF(B395="高三",MAX(IF(E395="男",L395-18,L395-55),0),IF(B395="高二",MAX(IF(E395="男",L395-17,L395-54),0),IF(B395="高一",MAX(IF(E395="男",L395-16,L395-53),0))))</f>
        <v>0</v>
      </c>
      <c r="O395" s="23">
        <f>IF(E395="男",LOOKUP($N395,[1]对照表!$Z$3:$Z$13,[1]对照表!$AA$3:$AA$13),LOOKUP($N395,[1]对照表!$Z$15:$Z$25,[1]对照表!$AA$15:$AA$25))</f>
        <v>0</v>
      </c>
      <c r="P395" s="25">
        <f>M395+O395</f>
        <v>60</v>
      </c>
      <c r="Q395" s="50">
        <v>3.51</v>
      </c>
      <c r="R395" s="32">
        <f>IF(B395="高三",IF($E395="男",LOOKUP(Q395,[1]对照表!$W$3:$W$24,[1]对照表!$X$3:$X$24),LOOKUP(Q395,[1]对照表!$W$27:$W$48,[1]对照表!$X$27:$X$48)),IF(B395="高二",IF($E395="男",LOOKUP(Q395,[1]对照表!$V$3:$V$24,[1]对照表!$X$3:$X$24),LOOKUP(Q395,[1]对照表!$V$27:$V$48,[1]对照表!$X$27:$X$48)),IF(B395="高一",IF($E395="男",LOOKUP(Q395,[1]对照表!$U$3:$U$24,[1]对照表!$X$3:$X$24),LOOKUP(Q395,[1]对照表!$U$27:$U$48,[1]对照表!$X$27:$X$48)))))</f>
        <v>78</v>
      </c>
      <c r="S395" s="33">
        <f>ROUND(IF(IF($B395="高三",MIN(IF($E395="男",$Q395-3.2,$Q395-3.2),0),IF($B395="高二",MIN(IF($E395="男",$Q395-3.25,$Q395-3.22),0),IF($B395="高一",MIN(IF($E395="男",$Q395-3.3,$Q395-3.24),0))))&lt;-0.6,IF($B395="高三",MIN(IF($E395="男",$Q395-3.2,$Q395-3.2),0),IF($B395="高二",MIN(IF($E395="男",$Q395-3.25,$Q395-3.22),0),IF($B395="高一",MIN(IF($E395="男",$Q395-3.3,$Q395-3.24),0))))+0.4,IF($B395="高三",MIN(IF($E395="男",$Q395-3.2,$Q395-3.2),0),IF($B395="高二",MIN(IF($E395="男",$Q395-3.25,$Q395-3.22),0),IF($B395="高一",MIN(IF($E395="男",$Q395-3.3,$Q395-3.24),0))))),2)</f>
        <v>0</v>
      </c>
      <c r="T395" s="23">
        <f>IF(E395="男",LOOKUP($S395,[1]对照表!$AB$3:$AB$13,[1]对照表!$AC$3:$AC$13),LOOKUP($S395,[1]对照表!$AB$15:$AB$25,[1]对照表!$AC$15:$AC$25))</f>
        <v>0</v>
      </c>
      <c r="U395" s="26">
        <f>R395+T395</f>
        <v>78</v>
      </c>
      <c r="V395" s="26">
        <f>SUM(I395,K395,M395)/3*0.3+SUM(G395,R395)/2*0.4</f>
        <v>52.2</v>
      </c>
      <c r="W395" s="27">
        <f>O395+T395</f>
        <v>0</v>
      </c>
      <c r="X395" s="28">
        <f>V395/0.7+W395</f>
        <v>74.571428571428584</v>
      </c>
      <c r="Y395" s="28">
        <f>X395</f>
        <v>74.571428571428584</v>
      </c>
      <c r="Z395" s="38"/>
    </row>
    <row r="396" spans="1:26" ht="15.6" x14ac:dyDescent="0.25">
      <c r="A396" s="48">
        <v>45</v>
      </c>
      <c r="B396" s="17" t="s">
        <v>767</v>
      </c>
      <c r="C396" s="38">
        <v>208</v>
      </c>
      <c r="D396" s="49" t="s">
        <v>1322</v>
      </c>
      <c r="E396" s="48" t="s">
        <v>65</v>
      </c>
      <c r="F396" s="50">
        <v>8.4600000000000009</v>
      </c>
      <c r="G396" s="32">
        <f>IF(B396="高三",IF($E396="男",LOOKUP(F396,[1]对照表!$G$3:$G$24,[1]对照表!$H$3:$H$24),LOOKUP(F396,[1]对照表!$G$27:$G$48,[1]对照表!$H$27:$H$48)),IF(B396="高二",IF($E396="男",LOOKUP(F396,[1]对照表!$F$3:$F$24,[1]对照表!$H$3:$H$24),LOOKUP(F396,[1]对照表!$F$27:$F$48,[1]对照表!$H$27:$H$48)),IF(B396="高一",IF($E396="男",LOOKUP(F396,[1]对照表!$E$3:$E$24,[1]对照表!$H$3:$H$24),LOOKUP(F396,[1]对照表!$E$27:$E$48,[1]对照表!$H$27:$H$48)))))</f>
        <v>80</v>
      </c>
      <c r="H396" s="38">
        <v>21.5</v>
      </c>
      <c r="I396" s="32">
        <f>IF(B396="高三",IF($E396="男",LOOKUP(H396,[1]对照表!$K$3:$K$24,[1]对照表!$L$3:$L$24),LOOKUP(H396,[1]对照表!$K$27:$K$48,[1]对照表!$L$27:$L$48)),IF(B396="高二",IF($E396="男",LOOKUP(H396,[1]对照表!$J$3:$J$24,[1]对照表!$L$3:$L$24),LOOKUP(H396,[1]对照表!$J$27:$J$48,[1]对照表!$L$27:$L$48)),IF(B396="高一",IF($E396="男",LOOKUP(H396,[1]对照表!$I$3:$I$24,[1]对照表!$L$3:$L$24),LOOKUP(H396,[1]对照表!$I$27:$I$48,[1]对照表!$L$27:$L$48)))))</f>
        <v>90</v>
      </c>
      <c r="J396" s="38">
        <v>196</v>
      </c>
      <c r="K396" s="32">
        <f>IF(B396="高三",IF($E396="男",LOOKUP(J396,[1]对照表!$O$3:$O$24,[1]对照表!$P$3:$P$24),LOOKUP(J396,[1]对照表!$O$27:$O$48,[1]对照表!$P$27:$P$48)),IF(B396="高二",IF($E396="男",LOOKUP(J396,[1]对照表!$N$3:$N$24,[1]对照表!$P$3:$P$24),LOOKUP(J396,[1]对照表!$N$27:$N$48,[1]对照表!$P$27:$P$48)),IF(B396="高一",IF($E396="男",LOOKUP(J396,[1]对照表!$M$3:$M$24,[1]对照表!$P$3:$P$24),LOOKUP(J396,[1]对照表!$M$27:$M$48,[1]对照表!$P$27:$P$48)))))</f>
        <v>90</v>
      </c>
      <c r="L396" s="38">
        <v>45</v>
      </c>
      <c r="M396" s="32">
        <f>IF(B396="高三",IF($E396="男",LOOKUP(L396,[1]对照表!$S$3:$S$24,[1]对照表!$T$3:$T$24),LOOKUP(L396,[1]对照表!$S$27:$S$48,[1]对照表!$T$27:$T$48)),IF(B396="高二",IF($E396="男",LOOKUP(L396,[1]对照表!$R$3:$R$24,[1]对照表!$T$3:$T$24),LOOKUP(L396,[1]对照表!$R$27:$R$48,[1]对照表!$T$27:$T$48)),IF(B396="高一",IF($E396="男",LOOKUP(L396,[1]对照表!$Q$3:$Q$24,[1]对照表!$T$3:$T$24),LOOKUP(L396,[1]对照表!$Q$27:$Q$48,[1]对照表!$T$27:$T$48)))))</f>
        <v>80</v>
      </c>
      <c r="N396" s="33">
        <f>IF(B396="高三",MAX(IF(E396="男",L396-18,L396-55),0),IF(B396="高二",MAX(IF(E396="男",L396-17,L396-54),0),IF(B396="高一",MAX(IF(E396="男",L396-16,L396-53),0))))</f>
        <v>0</v>
      </c>
      <c r="O396" s="23">
        <f>IF(E396="男",LOOKUP($N396,[1]对照表!$Z$3:$Z$13,[1]对照表!$AA$3:$AA$13),LOOKUP($N396,[1]对照表!$Z$15:$Z$25,[1]对照表!$AA$15:$AA$25))</f>
        <v>0</v>
      </c>
      <c r="P396" s="25">
        <f>M396+O396</f>
        <v>80</v>
      </c>
      <c r="Q396" s="50"/>
      <c r="R396" s="20">
        <v>0</v>
      </c>
      <c r="S396" s="22">
        <v>0</v>
      </c>
      <c r="T396" s="23">
        <f>IF(E396="男",LOOKUP($S396,[1]对照表!$AB$3:$AB$13,[1]对照表!$AC$3:$AC$13),LOOKUP($S396,[1]对照表!$AB$15:$AB$25,[1]对照表!$AC$15:$AC$25))</f>
        <v>0</v>
      </c>
      <c r="U396" s="26">
        <f>R396+T396</f>
        <v>0</v>
      </c>
      <c r="V396" s="26">
        <f>SUM(I396,K396,M396)/3*0.3+SUM(G396,R396)/2*0.4</f>
        <v>42</v>
      </c>
      <c r="W396" s="27">
        <f>O396+T396</f>
        <v>0</v>
      </c>
      <c r="X396" s="28">
        <f>V396/0.7+W396</f>
        <v>60.000000000000007</v>
      </c>
      <c r="Y396" s="28">
        <f>X396</f>
        <v>60.000000000000007</v>
      </c>
      <c r="Z396" s="38"/>
    </row>
    <row r="397" spans="1:26" ht="15.6" x14ac:dyDescent="0.25">
      <c r="A397" s="38">
        <v>43</v>
      </c>
      <c r="B397" s="17" t="s">
        <v>767</v>
      </c>
      <c r="C397" s="38">
        <v>208</v>
      </c>
      <c r="D397" s="49" t="s">
        <v>1332</v>
      </c>
      <c r="E397" s="48" t="s">
        <v>65</v>
      </c>
      <c r="F397" s="50">
        <v>9.14</v>
      </c>
      <c r="G397" s="32">
        <f>IF(B397="高三",IF($E397="男",LOOKUP(F397,[1]对照表!$G$3:$G$24,[1]对照表!$H$3:$H$24),LOOKUP(F397,[1]对照表!$G$27:$G$48,[1]对照表!$H$27:$H$48)),IF(B397="高二",IF($E397="男",LOOKUP(F397,[1]对照表!$F$3:$F$24,[1]对照表!$H$3:$H$24),LOOKUP(F397,[1]对照表!$F$27:$F$48,[1]对照表!$H$27:$H$48)),IF(B397="高一",IF($E397="男",LOOKUP(F397,[1]对照表!$E$3:$E$24,[1]对照表!$H$3:$H$24),LOOKUP(F397,[1]对照表!$E$27:$E$48,[1]对照表!$H$27:$H$48)))))</f>
        <v>72</v>
      </c>
      <c r="H397" s="38">
        <v>24.5</v>
      </c>
      <c r="I397" s="32">
        <f>IF(B397="高三",IF($E397="男",LOOKUP(H397,[1]对照表!$K$3:$K$24,[1]对照表!$L$3:$L$24),LOOKUP(H397,[1]对照表!$K$27:$K$48,[1]对照表!$L$27:$L$48)),IF(B397="高二",IF($E397="男",LOOKUP(H397,[1]对照表!$J$3:$J$24,[1]对照表!$L$3:$L$24),LOOKUP(H397,[1]对照表!$J$27:$J$48,[1]对照表!$L$27:$L$48)),IF(B397="高一",IF($E397="男",LOOKUP(H397,[1]对照表!$I$3:$I$24,[1]对照表!$L$3:$L$24),LOOKUP(H397,[1]对照表!$I$27:$I$48,[1]对照表!$L$27:$L$48)))))</f>
        <v>95</v>
      </c>
      <c r="J397" s="38">
        <v>162</v>
      </c>
      <c r="K397" s="32">
        <f>IF(B397="高三",IF($E397="男",LOOKUP(J397,[1]对照表!$O$3:$O$24,[1]对照表!$P$3:$P$24),LOOKUP(J397,[1]对照表!$O$27:$O$48,[1]对照表!$P$27:$P$48)),IF(B397="高二",IF($E397="男",LOOKUP(J397,[1]对照表!$N$3:$N$24,[1]对照表!$P$3:$P$24),LOOKUP(J397,[1]对照表!$N$27:$N$48,[1]对照表!$P$27:$P$48)),IF(B397="高一",IF($E397="男",LOOKUP(J397,[1]对照表!$M$3:$M$24,[1]对照表!$P$3:$P$24),LOOKUP(J397,[1]对照表!$M$27:$M$48,[1]对照表!$P$27:$P$48)))))</f>
        <v>68</v>
      </c>
      <c r="L397" s="38">
        <v>52</v>
      </c>
      <c r="M397" s="32">
        <f>IF(B397="高三",IF($E397="男",LOOKUP(L397,[1]对照表!$S$3:$S$24,[1]对照表!$T$3:$T$24),LOOKUP(L397,[1]对照表!$S$27:$S$48,[1]对照表!$T$27:$T$48)),IF(B397="高二",IF($E397="男",LOOKUP(L397,[1]对照表!$R$3:$R$24,[1]对照表!$T$3:$T$24),LOOKUP(L397,[1]对照表!$R$27:$R$48,[1]对照表!$T$27:$T$48)),IF(B397="高一",IF($E397="男",LOOKUP(L397,[1]对照表!$Q$3:$Q$24,[1]对照表!$T$3:$T$24),LOOKUP(L397,[1]对照表!$Q$27:$Q$48,[1]对照表!$T$27:$T$48)))))</f>
        <v>95</v>
      </c>
      <c r="N397" s="33">
        <f>IF(B397="高三",MAX(IF(E397="男",L397-18,L397-55),0),IF(B397="高二",MAX(IF(E397="男",L397-17,L397-54),0),IF(B397="高一",MAX(IF(E397="男",L397-16,L397-53),0))))</f>
        <v>0</v>
      </c>
      <c r="O397" s="23">
        <f>IF(E397="男",LOOKUP($N397,[1]对照表!$Z$3:$Z$13,[1]对照表!$AA$3:$AA$13),LOOKUP($N397,[1]对照表!$Z$15:$Z$25,[1]对照表!$AA$15:$AA$25))</f>
        <v>0</v>
      </c>
      <c r="P397" s="25">
        <f>M397+O397</f>
        <v>95</v>
      </c>
      <c r="Q397" s="50"/>
      <c r="R397" s="20">
        <v>0</v>
      </c>
      <c r="S397" s="22">
        <v>0</v>
      </c>
      <c r="T397" s="23">
        <f>IF(E397="男",LOOKUP($S397,[1]对照表!$AB$3:$AB$13,[1]对照表!$AC$3:$AC$13),LOOKUP($S397,[1]对照表!$AB$15:$AB$25,[1]对照表!$AC$15:$AC$25))</f>
        <v>0</v>
      </c>
      <c r="U397" s="26">
        <f>R397+T397</f>
        <v>0</v>
      </c>
      <c r="V397" s="26">
        <f>SUM(I397,K397,M397)/3*0.3+SUM(G397,R397)/2*0.4</f>
        <v>40.200000000000003</v>
      </c>
      <c r="W397" s="27">
        <f>O397+T397</f>
        <v>0</v>
      </c>
      <c r="X397" s="28">
        <f>V397/0.7+W397</f>
        <v>57.428571428571438</v>
      </c>
      <c r="Y397" s="28">
        <f>X397</f>
        <v>57.428571428571438</v>
      </c>
      <c r="Z397" s="38"/>
    </row>
    <row r="398" spans="1:26" ht="15.6" x14ac:dyDescent="0.25">
      <c r="A398" s="48">
        <v>47</v>
      </c>
      <c r="B398" s="17" t="s">
        <v>767</v>
      </c>
      <c r="C398" s="38">
        <v>208</v>
      </c>
      <c r="D398" s="49" t="s">
        <v>1343</v>
      </c>
      <c r="E398" s="48" t="s">
        <v>65</v>
      </c>
      <c r="F398" s="50">
        <v>8.73</v>
      </c>
      <c r="G398" s="32">
        <f>IF(B398="高三",IF($E398="男",LOOKUP(F398,[1]对照表!$G$3:$G$24,[1]对照表!$H$3:$H$24),LOOKUP(F398,[1]对照表!$G$27:$G$48,[1]对照表!$H$27:$H$48)),IF(B398="高二",IF($E398="男",LOOKUP(F398,[1]对照表!$F$3:$F$24,[1]对照表!$H$3:$H$24),LOOKUP(F398,[1]对照表!$F$27:$F$48,[1]对照表!$H$27:$H$48)),IF(B398="高一",IF($E398="男",LOOKUP(F398,[1]对照表!$E$3:$E$24,[1]对照表!$H$3:$H$24),LOOKUP(F398,[1]对照表!$E$27:$E$48,[1]对照表!$H$27:$H$48)))))</f>
        <v>76</v>
      </c>
      <c r="H398" s="38">
        <v>17.5</v>
      </c>
      <c r="I398" s="32">
        <f>IF(B398="高三",IF($E398="男",LOOKUP(H398,[1]对照表!$K$3:$K$24,[1]对照表!$L$3:$L$24),LOOKUP(H398,[1]对照表!$K$27:$K$48,[1]对照表!$L$27:$L$48)),IF(B398="高二",IF($E398="男",LOOKUP(H398,[1]对照表!$J$3:$J$24,[1]对照表!$L$3:$L$24),LOOKUP(H398,[1]对照表!$J$27:$J$48,[1]对照表!$L$27:$L$48)),IF(B398="高一",IF($E398="男",LOOKUP(H398,[1]对照表!$I$3:$I$24,[1]对照表!$L$3:$L$24),LOOKUP(H398,[1]对照表!$I$27:$I$48,[1]对照表!$L$27:$L$48)))))</f>
        <v>78</v>
      </c>
      <c r="J398" s="38">
        <v>181</v>
      </c>
      <c r="K398" s="32">
        <f>IF(B398="高三",IF($E398="男",LOOKUP(J398,[1]对照表!$O$3:$O$24,[1]对照表!$P$3:$P$24),LOOKUP(J398,[1]对照表!$O$27:$O$48,[1]对照表!$P$27:$P$48)),IF(B398="高二",IF($E398="男",LOOKUP(J398,[1]对照表!$N$3:$N$24,[1]对照表!$P$3:$P$24),LOOKUP(J398,[1]对照表!$N$27:$N$48,[1]对照表!$P$27:$P$48)),IF(B398="高一",IF($E398="男",LOOKUP(J398,[1]对照表!$M$3:$M$24,[1]对照表!$P$3:$P$24),LOOKUP(J398,[1]对照表!$M$27:$M$48,[1]对照表!$P$27:$P$48)))))</f>
        <v>80</v>
      </c>
      <c r="L398" s="38">
        <v>46</v>
      </c>
      <c r="M398" s="32">
        <f>IF(B398="高三",IF($E398="男",LOOKUP(L398,[1]对照表!$S$3:$S$24,[1]对照表!$T$3:$T$24),LOOKUP(L398,[1]对照表!$S$27:$S$48,[1]对照表!$T$27:$T$48)),IF(B398="高二",IF($E398="男",LOOKUP(L398,[1]对照表!$R$3:$R$24,[1]对照表!$T$3:$T$24),LOOKUP(L398,[1]对照表!$R$27:$R$48,[1]对照表!$T$27:$T$48)),IF(B398="高一",IF($E398="男",LOOKUP(L398,[1]对照表!$Q$3:$Q$24,[1]对照表!$T$3:$T$24),LOOKUP(L398,[1]对照表!$Q$27:$Q$48,[1]对照表!$T$27:$T$48)))))</f>
        <v>80</v>
      </c>
      <c r="N398" s="33">
        <f>IF(B398="高三",MAX(IF(E398="男",L398-18,L398-55),0),IF(B398="高二",MAX(IF(E398="男",L398-17,L398-54),0),IF(B398="高一",MAX(IF(E398="男",L398-16,L398-53),0))))</f>
        <v>0</v>
      </c>
      <c r="O398" s="23">
        <f>IF(E398="男",LOOKUP($N398,[1]对照表!$Z$3:$Z$13,[1]对照表!$AA$3:$AA$13),LOOKUP($N398,[1]对照表!$Z$15:$Z$25,[1]对照表!$AA$15:$AA$25))</f>
        <v>0</v>
      </c>
      <c r="P398" s="25">
        <f>M398+O398</f>
        <v>80</v>
      </c>
      <c r="Q398" s="50"/>
      <c r="R398" s="20">
        <v>0</v>
      </c>
      <c r="S398" s="22">
        <v>0</v>
      </c>
      <c r="T398" s="23">
        <f>IF(E398="男",LOOKUP($S398,[1]对照表!$AB$3:$AB$13,[1]对照表!$AC$3:$AC$13),LOOKUP($S398,[1]对照表!$AB$15:$AB$25,[1]对照表!$AC$15:$AC$25))</f>
        <v>0</v>
      </c>
      <c r="U398" s="26">
        <f>R398+T398</f>
        <v>0</v>
      </c>
      <c r="V398" s="26">
        <f>SUM(I398,K398,M398)/3*0.3+SUM(G398,R398)/2*0.4</f>
        <v>39</v>
      </c>
      <c r="W398" s="27">
        <f>O398+T398</f>
        <v>0</v>
      </c>
      <c r="X398" s="28">
        <f>V398/0.7+W398</f>
        <v>55.714285714285715</v>
      </c>
      <c r="Y398" s="28">
        <f>X398</f>
        <v>55.714285714285715</v>
      </c>
      <c r="Z398" s="38"/>
    </row>
    <row r="399" spans="1:26" ht="15.6" x14ac:dyDescent="0.25">
      <c r="A399" s="48">
        <v>34</v>
      </c>
      <c r="B399" s="17" t="s">
        <v>767</v>
      </c>
      <c r="C399" s="38">
        <v>208</v>
      </c>
      <c r="D399" s="49" t="s">
        <v>1381</v>
      </c>
      <c r="E399" s="48" t="s">
        <v>65</v>
      </c>
      <c r="F399" s="50">
        <v>10.050000000000001</v>
      </c>
      <c r="G399" s="32">
        <f>IF(B399="高三",IF($E399="男",LOOKUP(F399,[1]对照表!$G$3:$G$24,[1]对照表!$H$3:$H$24),LOOKUP(F399,[1]对照表!$G$27:$G$48,[1]对照表!$H$27:$H$48)),IF(B399="高二",IF($E399="男",LOOKUP(F399,[1]对照表!$F$3:$F$24,[1]对照表!$H$3:$H$24),LOOKUP(F399,[1]对照表!$F$27:$F$48,[1]对照表!$H$27:$H$48)),IF(B399="高一",IF($E399="男",LOOKUP(F399,[1]对照表!$E$3:$E$24,[1]对照表!$H$3:$H$24),LOOKUP(F399,[1]对照表!$E$27:$E$48,[1]对照表!$H$27:$H$48)))))</f>
        <v>64</v>
      </c>
      <c r="H399" s="38">
        <v>28.1</v>
      </c>
      <c r="I399" s="32">
        <f>IF(B399="高三",IF($E399="男",LOOKUP(H399,[1]对照表!$K$3:$K$24,[1]对照表!$L$3:$L$24),LOOKUP(H399,[1]对照表!$K$27:$K$48,[1]对照表!$L$27:$L$48)),IF(B399="高二",IF($E399="男",LOOKUP(H399,[1]对照表!$J$3:$J$24,[1]对照表!$L$3:$L$24),LOOKUP(H399,[1]对照表!$J$27:$J$48,[1]对照表!$L$27:$L$48)),IF(B399="高一",IF($E399="男",LOOKUP(H399,[1]对照表!$I$3:$I$24,[1]对照表!$L$3:$L$24),LOOKUP(H399,[1]对照表!$I$27:$I$48,[1]对照表!$L$27:$L$48)))))</f>
        <v>100</v>
      </c>
      <c r="J399" s="38">
        <v>147</v>
      </c>
      <c r="K399" s="32">
        <f>IF(B399="高三",IF($E399="男",LOOKUP(J399,[1]对照表!$O$3:$O$24,[1]对照表!$P$3:$P$24),LOOKUP(J399,[1]对照表!$O$27:$O$48,[1]对照表!$P$27:$P$48)),IF(B399="高二",IF($E399="男",LOOKUP(J399,[1]对照表!$N$3:$N$24,[1]对照表!$P$3:$P$24),LOOKUP(J399,[1]对照表!$N$27:$N$48,[1]对照表!$P$27:$P$48)),IF(B399="高一",IF($E399="男",LOOKUP(J399,[1]对照表!$M$3:$M$24,[1]对照表!$P$3:$P$24),LOOKUP(J399,[1]对照表!$M$27:$M$48,[1]对照表!$P$27:$P$48)))))</f>
        <v>50</v>
      </c>
      <c r="L399" s="38">
        <v>35</v>
      </c>
      <c r="M399" s="32">
        <f>IF(B399="高三",IF($E399="男",LOOKUP(L399,[1]对照表!$S$3:$S$24,[1]对照表!$T$3:$T$24),LOOKUP(L399,[1]对照表!$S$27:$S$48,[1]对照表!$T$27:$T$48)),IF(B399="高二",IF($E399="男",LOOKUP(L399,[1]对照表!$R$3:$R$24,[1]对照表!$T$3:$T$24),LOOKUP(L399,[1]对照表!$R$27:$R$48,[1]对照表!$T$27:$T$48)),IF(B399="高一",IF($E399="男",LOOKUP(L399,[1]对照表!$Q$3:$Q$24,[1]对照表!$T$3:$T$24),LOOKUP(L399,[1]对照表!$Q$27:$Q$48,[1]对照表!$T$27:$T$48)))))</f>
        <v>70</v>
      </c>
      <c r="N399" s="33">
        <f>IF(B399="高三",MAX(IF(E399="男",L399-18,L399-55),0),IF(B399="高二",MAX(IF(E399="男",L399-17,L399-54),0),IF(B399="高一",MAX(IF(E399="男",L399-16,L399-53),0))))</f>
        <v>0</v>
      </c>
      <c r="O399" s="23">
        <f>IF(E399="男",LOOKUP($N399,[1]对照表!$Z$3:$Z$13,[1]对照表!$AA$3:$AA$13),LOOKUP($N399,[1]对照表!$Z$15:$Z$25,[1]对照表!$AA$15:$AA$25))</f>
        <v>0</v>
      </c>
      <c r="P399" s="25">
        <f>M399+O399</f>
        <v>70</v>
      </c>
      <c r="Q399" s="50" t="s">
        <v>578</v>
      </c>
      <c r="R399" s="32" t="str">
        <f>IF(B399="高三",IF($E399="男",LOOKUP(Q399,[1]对照表!$W$3:$W$24,[1]对照表!$X$3:$X$24),LOOKUP(Q399,[1]对照表!$W$27:$W$48,[1]对照表!$X$27:$X$48)),IF(B399="高二",IF($E399="男",LOOKUP(Q399,[1]对照表!$V$3:$V$24,[1]对照表!$X$3:$X$24),LOOKUP(Q399,[1]对照表!$V$27:$V$48,[1]对照表!$X$27:$X$48)),IF(B399="高一",IF($E399="男",LOOKUP(Q399,[1]对照表!$U$3:$U$24,[1]对照表!$X$3:$X$24),LOOKUP(Q399,[1]对照表!$U$27:$U$48,[1]对照表!$X$27:$X$48)))))</f>
        <v>/</v>
      </c>
      <c r="S399" s="27">
        <v>0</v>
      </c>
      <c r="T399" s="23">
        <f>IF(E399="男",LOOKUP($S399,[1]对照表!$AB$3:$AB$13,[1]对照表!$AC$3:$AC$13),LOOKUP($S399,[1]对照表!$AB$15:$AB$25,[1]对照表!$AC$15:$AC$25))</f>
        <v>0</v>
      </c>
      <c r="U399" s="26">
        <v>0</v>
      </c>
      <c r="V399" s="26">
        <f>SUM(I399,K399,M399)/3*0.3+SUM(G399,R399)/2*0.4</f>
        <v>34.799999999999997</v>
      </c>
      <c r="W399" s="27">
        <f>O399+T399</f>
        <v>0</v>
      </c>
      <c r="X399" s="28">
        <f>V399/0.7+W399</f>
        <v>49.714285714285715</v>
      </c>
      <c r="Y399" s="29">
        <v>50</v>
      </c>
      <c r="Z399" s="38"/>
    </row>
    <row r="400" spans="1:26" ht="15.6" customHeight="1" x14ac:dyDescent="0.25">
      <c r="A400" s="48">
        <v>22</v>
      </c>
      <c r="B400" s="17" t="s">
        <v>767</v>
      </c>
      <c r="C400" s="38">
        <v>208</v>
      </c>
      <c r="D400" s="49" t="s">
        <v>1385</v>
      </c>
      <c r="E400" s="38" t="s">
        <v>23</v>
      </c>
      <c r="F400" s="50">
        <v>8.5</v>
      </c>
      <c r="G400" s="32">
        <f>IF(B400="高三",IF($E400="男",LOOKUP(F400,[1]对照表!$G$3:$G$24,[1]对照表!$H$3:$H$24),LOOKUP(F400,[1]对照表!$G$27:$G$48,[1]对照表!$H$27:$H$48)),IF(B400="高二",IF($E400="男",LOOKUP(F400,[1]对照表!$F$3:$F$24,[1]对照表!$H$3:$H$24),LOOKUP(F400,[1]对照表!$F$27:$F$48,[1]对照表!$H$27:$H$48)),IF(B400="高一",IF($E400="男",LOOKUP(F400,[1]对照表!$E$3:$E$24,[1]对照表!$H$3:$H$24),LOOKUP(F400,[1]对照表!$E$27:$E$48,[1]对照表!$H$27:$H$48)))))</f>
        <v>68</v>
      </c>
      <c r="H400" s="38">
        <v>14</v>
      </c>
      <c r="I400" s="32">
        <f>IF(B400="高三",IF($E400="男",LOOKUP(H400,[1]对照表!$K$3:$K$24,[1]对照表!$L$3:$L$24),LOOKUP(H400,[1]对照表!$K$27:$K$48,[1]对照表!$L$27:$L$48)),IF(B400="高二",IF($E400="男",LOOKUP(H400,[1]对照表!$J$3:$J$24,[1]对照表!$L$3:$L$24),LOOKUP(H400,[1]对照表!$J$27:$J$48,[1]对照表!$L$27:$L$48)),IF(B400="高一",IF($E400="男",LOOKUP(H400,[1]对照表!$I$3:$I$24,[1]对照表!$L$3:$L$24),LOOKUP(H400,[1]对照表!$I$27:$I$48,[1]对照表!$L$27:$L$48)))))</f>
        <v>76</v>
      </c>
      <c r="J400" s="38">
        <v>217</v>
      </c>
      <c r="K400" s="32">
        <f>IF(B400="高三",IF($E400="男",LOOKUP(J400,[1]对照表!$O$3:$O$24,[1]对照表!$P$3:$P$24),LOOKUP(J400,[1]对照表!$O$27:$O$48,[1]对照表!$P$27:$P$48)),IF(B400="高二",IF($E400="男",LOOKUP(J400,[1]对照表!$N$3:$N$24,[1]对照表!$P$3:$P$24),LOOKUP(J400,[1]对照表!$N$27:$N$48,[1]对照表!$P$27:$P$48)),IF(B400="高一",IF($E400="男",LOOKUP(J400,[1]对照表!$M$3:$M$24,[1]对照表!$P$3:$P$24),LOOKUP(J400,[1]对照表!$M$27:$M$48,[1]对照表!$P$27:$P$48)))))</f>
        <v>68</v>
      </c>
      <c r="L400" s="38">
        <v>5</v>
      </c>
      <c r="M400" s="32">
        <f>IF(B400="高三",IF($E400="男",LOOKUP(L400,[1]对照表!$S$3:$S$24,[1]对照表!$T$3:$T$24),LOOKUP(L400,[1]对照表!$S$27:$S$48,[1]对照表!$T$27:$T$48)),IF(B400="高二",IF($E400="男",LOOKUP(L400,[1]对照表!$R$3:$R$24,[1]对照表!$T$3:$T$24),LOOKUP(L400,[1]对照表!$R$27:$R$48,[1]对照表!$T$27:$T$48)),IF(B400="高一",IF($E400="男",LOOKUP(L400,[1]对照表!$Q$3:$Q$24,[1]对照表!$T$3:$T$24),LOOKUP(L400,[1]对照表!$Q$27:$Q$48,[1]对照表!$T$27:$T$48)))))</f>
        <v>30</v>
      </c>
      <c r="N400" s="33">
        <f>IF(B400="高三",MAX(IF(E400="男",L400-18,L400-55),0),IF(B400="高二",MAX(IF(E400="男",L400-17,L400-54),0),IF(B400="高一",MAX(IF(E400="男",L400-16,L400-53),0))))</f>
        <v>0</v>
      </c>
      <c r="O400" s="23">
        <f>IF(E400="男",LOOKUP($N400,[1]对照表!$Z$3:$Z$13,[1]对照表!$AA$3:$AA$13),LOOKUP($N400,[1]对照表!$Z$15:$Z$25,[1]对照表!$AA$15:$AA$25))</f>
        <v>0</v>
      </c>
      <c r="P400" s="25">
        <f>M400+O400</f>
        <v>30</v>
      </c>
      <c r="Q400" s="50">
        <v>3.46</v>
      </c>
      <c r="R400" s="32">
        <f>IF(B400="高三",IF($E400="男",LOOKUP(Q400,[1]对照表!$W$3:$W$24,[1]对照表!$X$3:$X$24),LOOKUP(Q400,[1]对照表!$W$27:$W$48,[1]对照表!$X$27:$X$48)),IF(B400="高二",IF($E400="男",LOOKUP(Q400,[1]对照表!$V$3:$V$24,[1]对照表!$X$3:$X$24),LOOKUP(Q400,[1]对照表!$V$27:$V$48,[1]对照表!$X$27:$X$48)),IF(B400="高一",IF($E400="男",LOOKUP(Q400,[1]对照表!$U$3:$U$24,[1]对照表!$X$3:$X$24),LOOKUP(Q400,[1]对照表!$U$27:$U$48,[1]对照表!$X$27:$X$48)))))</f>
        <v>80</v>
      </c>
      <c r="S400" s="27">
        <f>ROUND(IF(IF($B400="高三",MIN(IF($E400="男",$Q400-3.2,$Q400-3.2),0),IF($B400="高二",MIN(IF($E400="男",$Q400-3.25,$Q400-3.22),0),IF($B400="高一",MIN(IF($E400="男",$Q400-3.3,$Q400-3.24),0))))&lt;-0.6,IF($B400="高三",MIN(IF($E400="男",$Q400-3.2,$Q400-3.2),0),IF($B400="高二",MIN(IF($E400="男",$Q400-3.25,$Q400-3.22),0),IF($B400="高一",MIN(IF($E400="男",$Q400-3.3,$Q400-3.24),0))))+0.4,IF($B400="高三",MIN(IF($E400="男",$Q400-3.2,$Q400-3.2),0),IF($B400="高二",MIN(IF($E400="男",$Q400-3.25,$Q400-3.22),0),IF($B400="高一",MIN(IF($E400="男",$Q400-3.3,$Q400-3.24),0))))),2)</f>
        <v>0</v>
      </c>
      <c r="T400" s="23">
        <f>IF(E400="男",LOOKUP($S400,[1]对照表!$AB$3:$AB$13,[1]对照表!$AC$3:$AC$13),LOOKUP($S400,[1]对照表!$AB$15:$AB$25,[1]对照表!$AC$15:$AC$25))</f>
        <v>0</v>
      </c>
      <c r="U400" s="26">
        <f>R400+T400</f>
        <v>80</v>
      </c>
      <c r="V400" s="26">
        <f>SUM(I400,K400,M400)/3*0.3+SUM(G400,R400)/2*0.4</f>
        <v>47</v>
      </c>
      <c r="W400" s="27">
        <f>O400+T400</f>
        <v>0</v>
      </c>
      <c r="X400" s="28">
        <f>V400/0.7+W400</f>
        <v>67.142857142857153</v>
      </c>
      <c r="Y400" s="28">
        <f>X400</f>
        <v>67.142857142857153</v>
      </c>
      <c r="Z400" s="38"/>
    </row>
    <row r="401" spans="1:26" ht="15.6" x14ac:dyDescent="0.25">
      <c r="A401" s="48">
        <v>24</v>
      </c>
      <c r="B401" s="17" t="s">
        <v>767</v>
      </c>
      <c r="C401" s="38">
        <v>208</v>
      </c>
      <c r="D401" s="49" t="s">
        <v>1400</v>
      </c>
      <c r="E401" s="38" t="s">
        <v>23</v>
      </c>
      <c r="F401" s="50">
        <v>7.8</v>
      </c>
      <c r="G401" s="32">
        <f>IF(B401="高三",IF($E401="男",LOOKUP(F401,[1]对照表!$G$3:$G$24,[1]对照表!$H$3:$H$24),LOOKUP(F401,[1]对照表!$G$27:$G$48,[1]对照表!$H$27:$H$48)),IF(B401="高二",IF($E401="男",LOOKUP(F401,[1]对照表!$F$3:$F$24,[1]对照表!$H$3:$H$24),LOOKUP(F401,[1]对照表!$F$27:$F$48,[1]对照表!$H$27:$H$48)),IF(B401="高一",IF($E401="男",LOOKUP(F401,[1]对照表!$E$3:$E$24,[1]对照表!$H$3:$H$24),LOOKUP(F401,[1]对照表!$E$27:$E$48,[1]对照表!$H$27:$H$48)))))</f>
        <v>76</v>
      </c>
      <c r="H401" s="38">
        <v>13</v>
      </c>
      <c r="I401" s="32">
        <f>IF(B401="高三",IF($E401="男",LOOKUP(H401,[1]对照表!$K$3:$K$24,[1]对照表!$L$3:$L$24),LOOKUP(H401,[1]对照表!$K$27:$K$48,[1]对照表!$L$27:$L$48)),IF(B401="高二",IF($E401="男",LOOKUP(H401,[1]对照表!$J$3:$J$24,[1]对照表!$L$3:$L$24),LOOKUP(H401,[1]对照表!$J$27:$J$48,[1]对照表!$L$27:$L$48)),IF(B401="高一",IF($E401="男",LOOKUP(H401,[1]对照表!$I$3:$I$24,[1]对照表!$L$3:$L$24),LOOKUP(H401,[1]对照表!$I$27:$I$48,[1]对照表!$L$27:$L$48)))))</f>
        <v>74</v>
      </c>
      <c r="J401" s="38">
        <v>232</v>
      </c>
      <c r="K401" s="32">
        <f>IF(B401="高三",IF($E401="男",LOOKUP(J401,[1]对照表!$O$3:$O$24,[1]对照表!$P$3:$P$24),LOOKUP(J401,[1]对照表!$O$27:$O$48,[1]对照表!$P$27:$P$48)),IF(B401="高二",IF($E401="男",LOOKUP(J401,[1]对照表!$N$3:$N$24,[1]对照表!$P$3:$P$24),LOOKUP(J401,[1]对照表!$N$27:$N$48,[1]对照表!$P$27:$P$48)),IF(B401="高一",IF($E401="男",LOOKUP(J401,[1]对照表!$M$3:$M$24,[1]对照表!$P$3:$P$24),LOOKUP(J401,[1]对照表!$M$27:$M$48,[1]对照表!$P$27:$P$48)))))</f>
        <v>76</v>
      </c>
      <c r="L401" s="38">
        <v>4</v>
      </c>
      <c r="M401" s="32">
        <f>IF(B401="高三",IF($E401="男",LOOKUP(L401,[1]对照表!$S$3:$S$24,[1]对照表!$T$3:$T$24),LOOKUP(L401,[1]对照表!$S$27:$S$48,[1]对照表!$T$27:$T$48)),IF(B401="高二",IF($E401="男",LOOKUP(L401,[1]对照表!$R$3:$R$24,[1]对照表!$T$3:$T$24),LOOKUP(L401,[1]对照表!$R$27:$R$48,[1]对照表!$T$27:$T$48)),IF(B401="高一",IF($E401="男",LOOKUP(L401,[1]对照表!$Q$3:$Q$24,[1]对照表!$T$3:$T$24),LOOKUP(L401,[1]对照表!$Q$27:$Q$48,[1]对照表!$T$27:$T$48)))))</f>
        <v>20</v>
      </c>
      <c r="N401" s="33">
        <f>IF(B401="高三",MAX(IF(E401="男",L401-18,L401-55),0),IF(B401="高二",MAX(IF(E401="男",L401-17,L401-54),0),IF(B401="高一",MAX(IF(E401="男",L401-16,L401-53),0))))</f>
        <v>0</v>
      </c>
      <c r="O401" s="23">
        <f>IF(E401="男",LOOKUP($N401,[1]对照表!$Z$3:$Z$13,[1]对照表!$AA$3:$AA$13),LOOKUP($N401,[1]对照表!$Z$15:$Z$25,[1]对照表!$AA$15:$AA$25))</f>
        <v>0</v>
      </c>
      <c r="P401" s="25">
        <f>M401+O401</f>
        <v>20</v>
      </c>
      <c r="Q401" s="50">
        <v>4.22</v>
      </c>
      <c r="R401" s="32">
        <f>IF(B401="高三",IF($E401="男",LOOKUP(Q401,[1]对照表!$W$3:$W$24,[1]对照表!$X$3:$X$24),LOOKUP(Q401,[1]对照表!$W$27:$W$48,[1]对照表!$X$27:$X$48)),IF(B401="高二",IF($E401="男",LOOKUP(Q401,[1]对照表!$V$3:$V$24,[1]对照表!$X$3:$X$24),LOOKUP(Q401,[1]对照表!$V$27:$V$48,[1]对照表!$X$27:$X$48)),IF(B401="高一",IF($E401="男",LOOKUP(Q401,[1]对照表!$U$3:$U$24,[1]对照表!$X$3:$X$24),LOOKUP(Q401,[1]对照表!$U$27:$U$48,[1]对照表!$X$27:$X$48)))))</f>
        <v>66</v>
      </c>
      <c r="S401" s="33">
        <f>ROUND(IF(IF($B401="高三",MIN(IF($E401="男",$Q401-3.2,$Q401-3.2),0),IF($B401="高二",MIN(IF($E401="男",$Q401-3.25,$Q401-3.22),0),IF($B401="高一",MIN(IF($E401="男",$Q401-3.3,$Q401-3.24),0))))&lt;-0.6,IF($B401="高三",MIN(IF($E401="男",$Q401-3.2,$Q401-3.2),0),IF($B401="高二",MIN(IF($E401="男",$Q401-3.25,$Q401-3.22),0),IF($B401="高一",MIN(IF($E401="男",$Q401-3.3,$Q401-3.24),0))))+0.4,IF($B401="高三",MIN(IF($E401="男",$Q401-3.2,$Q401-3.2),0),IF($B401="高二",MIN(IF($E401="男",$Q401-3.25,$Q401-3.22),0),IF($B401="高一",MIN(IF($E401="男",$Q401-3.3,$Q401-3.24),0))))),2)</f>
        <v>0</v>
      </c>
      <c r="T401" s="23">
        <f>IF(E401="男",LOOKUP($S401,[1]对照表!$AB$3:$AB$13,[1]对照表!$AC$3:$AC$13),LOOKUP($S401,[1]对照表!$AB$15:$AB$25,[1]对照表!$AC$15:$AC$25))</f>
        <v>0</v>
      </c>
      <c r="U401" s="26">
        <f>R401+T401</f>
        <v>66</v>
      </c>
      <c r="V401" s="26">
        <f>SUM(I401,K401,M401)/3*0.3+SUM(G401,R401)/2*0.4</f>
        <v>45.400000000000006</v>
      </c>
      <c r="W401" s="27">
        <f>O401+T401</f>
        <v>0</v>
      </c>
      <c r="X401" s="28">
        <f>V401/0.7+W401</f>
        <v>64.857142857142875</v>
      </c>
      <c r="Y401" s="28">
        <f>X401</f>
        <v>64.857142857142875</v>
      </c>
      <c r="Z401" s="38"/>
    </row>
    <row r="402" spans="1:26" ht="15.6" customHeight="1" x14ac:dyDescent="0.25">
      <c r="A402" s="48">
        <v>11</v>
      </c>
      <c r="B402" s="17" t="s">
        <v>767</v>
      </c>
      <c r="C402" s="38">
        <v>208</v>
      </c>
      <c r="D402" s="49" t="s">
        <v>1406</v>
      </c>
      <c r="E402" s="38" t="s">
        <v>23</v>
      </c>
      <c r="F402" s="50">
        <v>7.9</v>
      </c>
      <c r="G402" s="32">
        <f>IF(B402="高三",IF($E402="男",LOOKUP(F402,[1]对照表!$G$3:$G$24,[1]对照表!$H$3:$H$24),LOOKUP(F402,[1]对照表!$G$27:$G$48,[1]对照表!$H$27:$H$48)),IF(B402="高二",IF($E402="男",LOOKUP(F402,[1]对照表!$F$3:$F$24,[1]对照表!$H$3:$H$24),LOOKUP(F402,[1]对照表!$F$27:$F$48,[1]对照表!$H$27:$H$48)),IF(B402="高一",IF($E402="男",LOOKUP(F402,[1]对照表!$E$3:$E$24,[1]对照表!$H$3:$H$24),LOOKUP(F402,[1]对照表!$E$27:$E$48,[1]对照表!$H$27:$H$48)))))</f>
        <v>74</v>
      </c>
      <c r="H402" s="38">
        <v>18.2</v>
      </c>
      <c r="I402" s="32">
        <f>IF(B402="高三",IF($E402="男",LOOKUP(H402,[1]对照表!$K$3:$K$24,[1]对照表!$L$3:$L$24),LOOKUP(H402,[1]对照表!$K$27:$K$48,[1]对照表!$L$27:$L$48)),IF(B402="高二",IF($E402="男",LOOKUP(H402,[1]对照表!$J$3:$J$24,[1]对照表!$L$3:$L$24),LOOKUP(H402,[1]对照表!$J$27:$J$48,[1]对照表!$L$27:$L$48)),IF(B402="高一",IF($E402="男",LOOKUP(H402,[1]对照表!$I$3:$I$24,[1]对照表!$L$3:$L$24),LOOKUP(H402,[1]对照表!$I$27:$I$48,[1]对照表!$L$27:$L$48)))))</f>
        <v>80</v>
      </c>
      <c r="J402" s="38">
        <v>230</v>
      </c>
      <c r="K402" s="32">
        <f>IF(B402="高三",IF($E402="男",LOOKUP(J402,[1]对照表!$O$3:$O$24,[1]对照表!$P$3:$P$24),LOOKUP(J402,[1]对照表!$O$27:$O$48,[1]对照表!$P$27:$P$48)),IF(B402="高二",IF($E402="男",LOOKUP(J402,[1]对照表!$N$3:$N$24,[1]对照表!$P$3:$P$24),LOOKUP(J402,[1]对照表!$N$27:$N$48,[1]对照表!$P$27:$P$48)),IF(B402="高一",IF($E402="男",LOOKUP(J402,[1]对照表!$M$3:$M$24,[1]对照表!$P$3:$P$24),LOOKUP(J402,[1]对照表!$M$27:$M$48,[1]对照表!$P$27:$P$48)))))</f>
        <v>74</v>
      </c>
      <c r="L402" s="38">
        <v>10</v>
      </c>
      <c r="M402" s="32">
        <f>IF(B402="高三",IF($E402="男",LOOKUP(L402,[1]对照表!$S$3:$S$24,[1]对照表!$T$3:$T$24),LOOKUP(L402,[1]对照表!$S$27:$S$48,[1]对照表!$T$27:$T$48)),IF(B402="高二",IF($E402="男",LOOKUP(L402,[1]对照表!$R$3:$R$24,[1]对照表!$T$3:$T$24),LOOKUP(L402,[1]对照表!$R$27:$R$48,[1]对照表!$T$27:$T$48)),IF(B402="高一",IF($E402="男",LOOKUP(L402,[1]对照表!$Q$3:$Q$24,[1]对照表!$T$3:$T$24),LOOKUP(L402,[1]对照表!$Q$27:$Q$48,[1]对照表!$T$27:$T$48)))))</f>
        <v>68</v>
      </c>
      <c r="N402" s="33">
        <f>IF(B402="高三",MAX(IF(E402="男",L402-18,L402-55),0),IF(B402="高二",MAX(IF(E402="男",L402-17,L402-54),0),IF(B402="高一",MAX(IF(E402="男",L402-16,L402-53),0))))</f>
        <v>0</v>
      </c>
      <c r="O402" s="23">
        <f>IF(E402="男",LOOKUP($N402,[1]对照表!$Z$3:$Z$13,[1]对照表!$AA$3:$AA$13),LOOKUP($N402,[1]对照表!$Z$15:$Z$25,[1]对照表!$AA$15:$AA$25))</f>
        <v>0</v>
      </c>
      <c r="P402" s="25">
        <f>M402+O402</f>
        <v>68</v>
      </c>
      <c r="Q402" s="50">
        <v>5.04</v>
      </c>
      <c r="R402" s="32">
        <f>IF(B402="高三",IF($E402="男",LOOKUP(Q402,[1]对照表!$W$3:$W$24,[1]对照表!$X$3:$X$24),LOOKUP(Q402,[1]对照表!$W$27:$W$48,[1]对照表!$X$27:$X$48)),IF(B402="高二",IF($E402="男",LOOKUP(Q402,[1]对照表!$V$3:$V$24,[1]对照表!$X$3:$X$24),LOOKUP(Q402,[1]对照表!$V$27:$V$48,[1]对照表!$X$27:$X$48)),IF(B402="高一",IF($E402="男",LOOKUP(Q402,[1]对照表!$U$3:$U$24,[1]对照表!$X$3:$X$24),LOOKUP(Q402,[1]对照表!$U$27:$U$48,[1]对照表!$X$27:$X$48)))))</f>
        <v>40</v>
      </c>
      <c r="S402" s="27">
        <f>ROUND(IF(IF($B402="高三",MIN(IF($E402="男",$Q402-3.2,$Q402-3.2),0),IF($B402="高二",MIN(IF($E402="男",$Q402-3.25,$Q402-3.22),0),IF($B402="高一",MIN(IF($E402="男",$Q402-3.3,$Q402-3.24),0))))&lt;-0.6,IF($B402="高三",MIN(IF($E402="男",$Q402-3.2,$Q402-3.2),0),IF($B402="高二",MIN(IF($E402="男",$Q402-3.25,$Q402-3.22),0),IF($B402="高一",MIN(IF($E402="男",$Q402-3.3,$Q402-3.24),0))))+0.4,IF($B402="高三",MIN(IF($E402="男",$Q402-3.2,$Q402-3.2),0),IF($B402="高二",MIN(IF($E402="男",$Q402-3.25,$Q402-3.22),0),IF($B402="高一",MIN(IF($E402="男",$Q402-3.3,$Q402-3.24),0))))),2)</f>
        <v>0</v>
      </c>
      <c r="T402" s="23">
        <f>IF(E402="男",LOOKUP($S402,[1]对照表!$AB$3:$AB$13,[1]对照表!$AC$3:$AC$13),LOOKUP($S402,[1]对照表!$AB$15:$AB$25,[1]对照表!$AC$15:$AC$25))</f>
        <v>0</v>
      </c>
      <c r="U402" s="26">
        <f>R402+T402</f>
        <v>40</v>
      </c>
      <c r="V402" s="26">
        <f>SUM(I402,K402,M402)/3*0.3+SUM(G402,R402)/2*0.4</f>
        <v>45</v>
      </c>
      <c r="W402" s="27">
        <f>O402+T402</f>
        <v>0</v>
      </c>
      <c r="X402" s="28">
        <f>V402/0.7+W402</f>
        <v>64.285714285714292</v>
      </c>
      <c r="Y402" s="28">
        <f>X402</f>
        <v>64.285714285714292</v>
      </c>
      <c r="Z402" s="38"/>
    </row>
    <row r="403" spans="1:26" ht="15.6" x14ac:dyDescent="0.25">
      <c r="A403" s="48">
        <v>17</v>
      </c>
      <c r="B403" s="17" t="s">
        <v>767</v>
      </c>
      <c r="C403" s="38">
        <v>208</v>
      </c>
      <c r="D403" s="49" t="s">
        <v>1438</v>
      </c>
      <c r="E403" s="38" t="s">
        <v>23</v>
      </c>
      <c r="F403" s="50">
        <v>8.6999999999999993</v>
      </c>
      <c r="G403" s="32">
        <f>IF(B403="高三",IF($E403="男",LOOKUP(F403,[1]对照表!$G$3:$G$24,[1]对照表!$H$3:$H$24),LOOKUP(F403,[1]对照表!$G$27:$G$48,[1]对照表!$H$27:$H$48)),IF(B403="高二",IF($E403="男",LOOKUP(F403,[1]对照表!$F$3:$F$24,[1]对照表!$H$3:$H$24),LOOKUP(F403,[1]对照表!$F$27:$F$48,[1]对照表!$H$27:$H$48)),IF(B403="高一",IF($E403="男",LOOKUP(F403,[1]对照表!$E$3:$E$24,[1]对照表!$H$3:$H$24),LOOKUP(F403,[1]对照表!$E$27:$E$48,[1]对照表!$H$27:$H$48)))))</f>
        <v>66</v>
      </c>
      <c r="H403" s="38">
        <v>9.4</v>
      </c>
      <c r="I403" s="32">
        <f>IF(B403="高三",IF($E403="男",LOOKUP(H403,[1]对照表!$K$3:$K$24,[1]对照表!$L$3:$L$24),LOOKUP(H403,[1]对照表!$K$27:$K$48,[1]对照表!$L$27:$L$48)),IF(B403="高二",IF($E403="男",LOOKUP(H403,[1]对照表!$J$3:$J$24,[1]对照表!$L$3:$L$24),LOOKUP(H403,[1]对照表!$J$27:$J$48,[1]对照表!$L$27:$L$48)),IF(B403="高一",IF($E403="男",LOOKUP(H403,[1]对照表!$I$3:$I$24,[1]对照表!$L$3:$L$24),LOOKUP(H403,[1]对照表!$I$27:$I$48,[1]对照表!$L$27:$L$48)))))</f>
        <v>70</v>
      </c>
      <c r="J403" s="38">
        <v>220</v>
      </c>
      <c r="K403" s="32">
        <f>IF(B403="高三",IF($E403="男",LOOKUP(J403,[1]对照表!$O$3:$O$24,[1]对照表!$P$3:$P$24),LOOKUP(J403,[1]对照表!$O$27:$O$48,[1]对照表!$P$27:$P$48)),IF(B403="高二",IF($E403="男",LOOKUP(J403,[1]对照表!$N$3:$N$24,[1]对照表!$P$3:$P$24),LOOKUP(J403,[1]对照表!$N$27:$N$48,[1]对照表!$P$27:$P$48)),IF(B403="高一",IF($E403="男",LOOKUP(J403,[1]对照表!$M$3:$M$24,[1]对照表!$P$3:$P$24),LOOKUP(J403,[1]对照表!$M$27:$M$48,[1]对照表!$P$27:$P$48)))))</f>
        <v>70</v>
      </c>
      <c r="L403" s="38">
        <v>1</v>
      </c>
      <c r="M403" s="32">
        <f>IF(B403="高三",IF($E403="男",LOOKUP(L403,[1]对照表!$S$3:$S$24,[1]对照表!$T$3:$T$24),LOOKUP(L403,[1]对照表!$S$27:$S$48,[1]对照表!$T$27:$T$48)),IF(B403="高二",IF($E403="男",LOOKUP(L403,[1]对照表!$R$3:$R$24,[1]对照表!$T$3:$T$24),LOOKUP(L403,[1]对照表!$R$27:$R$48,[1]对照表!$T$27:$T$48)),IF(B403="高一",IF($E403="男",LOOKUP(L403,[1]对照表!$Q$3:$Q$24,[1]对照表!$T$3:$T$24),LOOKUP(L403,[1]对照表!$Q$27:$Q$48,[1]对照表!$T$27:$T$48)))))</f>
        <v>0</v>
      </c>
      <c r="N403" s="33">
        <f>IF(B403="高三",MAX(IF(E403="男",L403-18,L403-55),0),IF(B403="高二",MAX(IF(E403="男",L403-17,L403-54),0),IF(B403="高一",MAX(IF(E403="男",L403-16,L403-53),0))))</f>
        <v>0</v>
      </c>
      <c r="O403" s="23">
        <f>IF(E403="男",LOOKUP($N403,[1]对照表!$Z$3:$Z$13,[1]对照表!$AA$3:$AA$13),LOOKUP($N403,[1]对照表!$Z$15:$Z$25,[1]对照表!$AA$15:$AA$25))</f>
        <v>0</v>
      </c>
      <c r="P403" s="25">
        <f>M403+O403</f>
        <v>0</v>
      </c>
      <c r="Q403" s="50">
        <v>4.21</v>
      </c>
      <c r="R403" s="32">
        <f>IF(B403="高三",IF($E403="男",LOOKUP(Q403,[1]对照表!$W$3:$W$24,[1]对照表!$X$3:$X$24),LOOKUP(Q403,[1]对照表!$W$27:$W$48,[1]对照表!$X$27:$X$48)),IF(B403="高二",IF($E403="男",LOOKUP(Q403,[1]对照表!$V$3:$V$24,[1]对照表!$X$3:$X$24),LOOKUP(Q403,[1]对照表!$V$27:$V$48,[1]对照表!$X$27:$X$48)),IF(B403="高一",IF($E403="男",LOOKUP(Q403,[1]对照表!$U$3:$U$24,[1]对照表!$X$3:$X$24),LOOKUP(Q403,[1]对照表!$U$27:$U$48,[1]对照表!$X$27:$X$48)))))</f>
        <v>66</v>
      </c>
      <c r="S403" s="33">
        <f>ROUND(IF(IF($B403="高三",MIN(IF($E403="男",$Q403-3.2,$Q403-3.2),0),IF($B403="高二",MIN(IF($E403="男",$Q403-3.25,$Q403-3.22),0),IF($B403="高一",MIN(IF($E403="男",$Q403-3.3,$Q403-3.24),0))))&lt;-0.6,IF($B403="高三",MIN(IF($E403="男",$Q403-3.2,$Q403-3.2),0),IF($B403="高二",MIN(IF($E403="男",$Q403-3.25,$Q403-3.22),0),IF($B403="高一",MIN(IF($E403="男",$Q403-3.3,$Q403-3.24),0))))+0.4,IF($B403="高三",MIN(IF($E403="男",$Q403-3.2,$Q403-3.2),0),IF($B403="高二",MIN(IF($E403="男",$Q403-3.25,$Q403-3.22),0),IF($B403="高一",MIN(IF($E403="男",$Q403-3.3,$Q403-3.24),0))))),2)</f>
        <v>0</v>
      </c>
      <c r="T403" s="23">
        <f>IF(E403="男",LOOKUP($S403,[1]对照表!$AB$3:$AB$13,[1]对照表!$AC$3:$AC$13),LOOKUP($S403,[1]对照表!$AB$15:$AB$25,[1]对照表!$AC$15:$AC$25))</f>
        <v>0</v>
      </c>
      <c r="U403" s="26">
        <f>R403+T403</f>
        <v>66</v>
      </c>
      <c r="V403" s="26">
        <f>SUM(I403,K403,M403)/3*0.3+SUM(G403,R403)/2*0.4</f>
        <v>40.4</v>
      </c>
      <c r="W403" s="27">
        <f>O403+T403</f>
        <v>0</v>
      </c>
      <c r="X403" s="28">
        <f>V403/0.7+W403</f>
        <v>57.714285714285715</v>
      </c>
      <c r="Y403" s="28">
        <f>X403</f>
        <v>57.714285714285715</v>
      </c>
      <c r="Z403" s="38"/>
    </row>
    <row r="404" spans="1:26" ht="15.6" x14ac:dyDescent="0.25">
      <c r="A404" s="48">
        <v>6</v>
      </c>
      <c r="B404" s="17" t="s">
        <v>767</v>
      </c>
      <c r="C404" s="38">
        <v>208</v>
      </c>
      <c r="D404" s="49" t="s">
        <v>1457</v>
      </c>
      <c r="E404" s="38" t="s">
        <v>23</v>
      </c>
      <c r="F404" s="50">
        <v>9</v>
      </c>
      <c r="G404" s="32">
        <f>IF(B404="高三",IF($E404="男",LOOKUP(F404,[1]对照表!$G$3:$G$24,[1]对照表!$H$3:$H$24),LOOKUP(F404,[1]对照表!$G$27:$G$48,[1]对照表!$H$27:$H$48)),IF(B404="高二",IF($E404="男",LOOKUP(F404,[1]对照表!$F$3:$F$24,[1]对照表!$H$3:$H$24),LOOKUP(F404,[1]对照表!$F$27:$F$48,[1]对照表!$H$27:$H$48)),IF(B404="高一",IF($E404="男",LOOKUP(F404,[1]对照表!$E$3:$E$24,[1]对照表!$H$3:$H$24),LOOKUP(F404,[1]对照表!$E$27:$E$48,[1]对照表!$H$27:$H$48)))))</f>
        <v>64</v>
      </c>
      <c r="H404" s="38">
        <v>15.2</v>
      </c>
      <c r="I404" s="32">
        <f>IF(B404="高三",IF($E404="男",LOOKUP(H404,[1]对照表!$K$3:$K$24,[1]对照表!$L$3:$L$24),LOOKUP(H404,[1]对照表!$K$27:$K$48,[1]对照表!$L$27:$L$48)),IF(B404="高二",IF($E404="男",LOOKUP(H404,[1]对照表!$J$3:$J$24,[1]对照表!$L$3:$L$24),LOOKUP(H404,[1]对照表!$J$27:$J$48,[1]对照表!$L$27:$L$48)),IF(B404="高一",IF($E404="男",LOOKUP(H404,[1]对照表!$I$3:$I$24,[1]对照表!$L$3:$L$24),LOOKUP(H404,[1]对照表!$I$27:$I$48,[1]对照表!$L$27:$L$48)))))</f>
        <v>78</v>
      </c>
      <c r="J404" s="38">
        <v>162</v>
      </c>
      <c r="K404" s="32">
        <f>IF(B404="高三",IF($E404="男",LOOKUP(J404,[1]对照表!$O$3:$O$24,[1]对照表!$P$3:$P$24),LOOKUP(J404,[1]对照表!$O$27:$O$48,[1]对照表!$P$27:$P$48)),IF(B404="高二",IF($E404="男",LOOKUP(J404,[1]对照表!$N$3:$N$24,[1]对照表!$P$3:$P$24),LOOKUP(J404,[1]对照表!$N$27:$N$48,[1]对照表!$P$27:$P$48)),IF(B404="高一",IF($E404="男",LOOKUP(J404,[1]对照表!$M$3:$M$24,[1]对照表!$P$3:$P$24),LOOKUP(J404,[1]对照表!$M$27:$M$48,[1]对照表!$P$27:$P$48)))))</f>
        <v>0</v>
      </c>
      <c r="L404" s="38">
        <v>0</v>
      </c>
      <c r="M404" s="32">
        <f>IF(B404="高三",IF($E404="男",LOOKUP(L404,[1]对照表!$S$3:$S$24,[1]对照表!$T$3:$T$24),LOOKUP(L404,[1]对照表!$S$27:$S$48,[1]对照表!$T$27:$T$48)),IF(B404="高二",IF($E404="男",LOOKUP(L404,[1]对照表!$R$3:$R$24,[1]对照表!$T$3:$T$24),LOOKUP(L404,[1]对照表!$R$27:$R$48,[1]对照表!$T$27:$T$48)),IF(B404="高一",IF($E404="男",LOOKUP(L404,[1]对照表!$Q$3:$Q$24,[1]对照表!$T$3:$T$24),LOOKUP(L404,[1]对照表!$Q$27:$Q$48,[1]对照表!$T$27:$T$48)))))</f>
        <v>0</v>
      </c>
      <c r="N404" s="33">
        <f>IF(B404="高三",MAX(IF(E404="男",L404-18,L404-55),0),IF(B404="高二",MAX(IF(E404="男",L404-17,L404-54),0),IF(B404="高一",MAX(IF(E404="男",L404-16,L404-53),0))))</f>
        <v>0</v>
      </c>
      <c r="O404" s="23">
        <f>IF(E404="男",LOOKUP($N404,[1]对照表!$Z$3:$Z$13,[1]对照表!$AA$3:$AA$13),LOOKUP($N404,[1]对照表!$Z$15:$Z$25,[1]对照表!$AA$15:$AA$25))</f>
        <v>0</v>
      </c>
      <c r="P404" s="25">
        <f>M404+O404</f>
        <v>0</v>
      </c>
      <c r="Q404" s="50">
        <v>5.0599999999999996</v>
      </c>
      <c r="R404" s="32">
        <f>IF(B404="高三",IF($E404="男",LOOKUP(Q404,[1]对照表!$W$3:$W$24,[1]对照表!$X$3:$X$24),LOOKUP(Q404,[1]对照表!$W$27:$W$48,[1]对照表!$X$27:$X$48)),IF(B404="高二",IF($E404="男",LOOKUP(Q404,[1]对照表!$V$3:$V$24,[1]对照表!$X$3:$X$24),LOOKUP(Q404,[1]对照表!$V$27:$V$48,[1]对照表!$X$27:$X$48)),IF(B404="高一",IF($E404="男",LOOKUP(Q404,[1]对照表!$U$3:$U$24,[1]对照表!$X$3:$X$24),LOOKUP(Q404,[1]对照表!$U$27:$U$48,[1]对照表!$X$27:$X$48)))))</f>
        <v>40</v>
      </c>
      <c r="S404" s="27">
        <f>ROUND(IF(IF($B404="高三",MIN(IF($E404="男",$Q404-3.2,$Q404-3.2),0),IF($B404="高二",MIN(IF($E404="男",$Q404-3.25,$Q404-3.22),0),IF($B404="高一",MIN(IF($E404="男",$Q404-3.3,$Q404-3.24),0))))&lt;-0.6,IF($B404="高三",MIN(IF($E404="男",$Q404-3.2,$Q404-3.2),0),IF($B404="高二",MIN(IF($E404="男",$Q404-3.25,$Q404-3.22),0),IF($B404="高一",MIN(IF($E404="男",$Q404-3.3,$Q404-3.24),0))))+0.4,IF($B404="高三",MIN(IF($E404="男",$Q404-3.2,$Q404-3.2),0),IF($B404="高二",MIN(IF($E404="男",$Q404-3.25,$Q404-3.22),0),IF($B404="高一",MIN(IF($E404="男",$Q404-3.3,$Q404-3.24),0))))),2)</f>
        <v>0</v>
      </c>
      <c r="T404" s="23">
        <f>IF(E404="男",LOOKUP($S404,[1]对照表!$AB$3:$AB$13,[1]对照表!$AC$3:$AC$13),LOOKUP($S404,[1]对照表!$AB$15:$AB$25,[1]对照表!$AC$15:$AC$25))</f>
        <v>0</v>
      </c>
      <c r="U404" s="26">
        <f>R404+T404</f>
        <v>40</v>
      </c>
      <c r="V404" s="26">
        <f>SUM(I404,K404,M404)/3*0.3+SUM(G404,R404)/2*0.4</f>
        <v>28.6</v>
      </c>
      <c r="W404" s="27">
        <f>O404+T404</f>
        <v>0</v>
      </c>
      <c r="X404" s="28">
        <f>V404/0.7+W404</f>
        <v>40.857142857142861</v>
      </c>
      <c r="Y404" s="29">
        <v>50</v>
      </c>
      <c r="Z404" s="38"/>
    </row>
    <row r="405" spans="1:26" ht="15.6" x14ac:dyDescent="0.25">
      <c r="A405" s="48">
        <v>25</v>
      </c>
      <c r="B405" s="17" t="s">
        <v>767</v>
      </c>
      <c r="C405" s="38">
        <v>208</v>
      </c>
      <c r="D405" s="58" t="s">
        <v>1488</v>
      </c>
      <c r="E405" s="38" t="s">
        <v>23</v>
      </c>
      <c r="F405" s="50"/>
      <c r="G405" s="20">
        <v>0</v>
      </c>
      <c r="H405" s="38"/>
      <c r="I405" s="20">
        <v>0</v>
      </c>
      <c r="J405" s="38"/>
      <c r="K405" s="20">
        <v>0</v>
      </c>
      <c r="L405" s="38"/>
      <c r="M405" s="20">
        <v>0</v>
      </c>
      <c r="N405" s="33">
        <f>IF(B405="高三",MAX(IF(E405="男",L405-18,L405-55),0),IF(B405="高二",MAX(IF(E405="男",L405-17,L405-54),0),IF(B405="高一",MAX(IF(E405="男",L405-16,L405-53),0))))</f>
        <v>0</v>
      </c>
      <c r="O405" s="23">
        <f>IF(E405="男",LOOKUP($N405,[1]对照表!$Z$3:$Z$13,[1]对照表!$AA$3:$AA$13),LOOKUP($N405,[1]对照表!$Z$15:$Z$25,[1]对照表!$AA$15:$AA$25))</f>
        <v>0</v>
      </c>
      <c r="P405" s="25">
        <f>M405+O405</f>
        <v>0</v>
      </c>
      <c r="Q405" s="50"/>
      <c r="R405" s="20">
        <v>0</v>
      </c>
      <c r="S405" s="22">
        <v>0</v>
      </c>
      <c r="T405" s="23">
        <f>IF(E405="男",LOOKUP($S405,[1]对照表!$AB$3:$AB$13,[1]对照表!$AC$3:$AC$13),LOOKUP($S405,[1]对照表!$AB$15:$AB$25,[1]对照表!$AC$15:$AC$25))</f>
        <v>0</v>
      </c>
      <c r="U405" s="26">
        <f>R405+T405</f>
        <v>0</v>
      </c>
      <c r="V405" s="26">
        <f>SUM(I405,K405,M405)/3*0.3+SUM(G405,R405)/2*0.4</f>
        <v>0</v>
      </c>
      <c r="W405" s="27">
        <f>O405+T405</f>
        <v>0</v>
      </c>
      <c r="X405" s="28">
        <f>V405/0.7+W405</f>
        <v>0</v>
      </c>
      <c r="Y405" s="29">
        <v>50</v>
      </c>
      <c r="Z405" s="38" t="s">
        <v>578</v>
      </c>
    </row>
    <row r="406" spans="1:26" ht="15.6" x14ac:dyDescent="0.25">
      <c r="A406" s="48">
        <v>45</v>
      </c>
      <c r="B406" s="17" t="s">
        <v>767</v>
      </c>
      <c r="C406" s="48">
        <v>209</v>
      </c>
      <c r="D406" s="49" t="s">
        <v>769</v>
      </c>
      <c r="E406" s="48" t="s">
        <v>65</v>
      </c>
      <c r="F406" s="50">
        <v>7.6</v>
      </c>
      <c r="G406" s="32">
        <f>IF(B406="高三",IF($E406="男",LOOKUP(F406,[1]对照表!$G$3:$G$24,[1]对照表!$H$3:$H$24),LOOKUP(F406,[1]对照表!$G$27:$G$48,[1]对照表!$H$27:$H$48)),IF(B406="高二",IF($E406="男",LOOKUP(F406,[1]对照表!$F$3:$F$24,[1]对照表!$H$3:$H$24),LOOKUP(F406,[1]对照表!$F$27:$F$48,[1]对照表!$H$27:$H$48)),IF(B406="高一",IF($E406="男",LOOKUP(F406,[1]对照表!$E$3:$E$24,[1]对照表!$H$3:$H$24),LOOKUP(F406,[1]对照表!$E$27:$E$48,[1]对照表!$H$27:$H$48)))))</f>
        <v>100</v>
      </c>
      <c r="H406" s="38">
        <v>26.5</v>
      </c>
      <c r="I406" s="32">
        <f>IF(B406="高三",IF($E406="男",LOOKUP(H406,[1]对照表!$K$3:$K$24,[1]对照表!$L$3:$L$24),LOOKUP(H406,[1]对照表!$K$27:$K$48,[1]对照表!$L$27:$L$48)),IF(B406="高二",IF($E406="男",LOOKUP(H406,[1]对照表!$J$3:$J$24,[1]对照表!$L$3:$L$24),LOOKUP(H406,[1]对照表!$J$27:$J$48,[1]对照表!$L$27:$L$48)),IF(B406="高一",IF($E406="男",LOOKUP(H406,[1]对照表!$I$3:$I$24,[1]对照表!$L$3:$L$24),LOOKUP(H406,[1]对照表!$I$27:$I$48,[1]对照表!$L$27:$L$48)))))</f>
        <v>100</v>
      </c>
      <c r="J406" s="38">
        <v>208</v>
      </c>
      <c r="K406" s="32">
        <f>IF(B406="高三",IF($E406="男",LOOKUP(J406,[1]对照表!$O$3:$O$24,[1]对照表!$P$3:$P$24),LOOKUP(J406,[1]对照表!$O$27:$O$48,[1]对照表!$P$27:$P$48)),IF(B406="高二",IF($E406="男",LOOKUP(J406,[1]对照表!$N$3:$N$24,[1]对照表!$P$3:$P$24),LOOKUP(J406,[1]对照表!$N$27:$N$48,[1]对照表!$P$27:$P$48)),IF(B406="高一",IF($E406="男",LOOKUP(J406,[1]对照表!$M$3:$M$24,[1]对照表!$P$3:$P$24),LOOKUP(J406,[1]对照表!$M$27:$M$48,[1]对照表!$P$27:$P$48)))))</f>
        <v>100</v>
      </c>
      <c r="L406" s="38">
        <v>63</v>
      </c>
      <c r="M406" s="32">
        <f>IF(B406="高三",IF($E406="男",LOOKUP(L406,[1]对照表!$S$3:$S$24,[1]对照表!$T$3:$T$24),LOOKUP(L406,[1]对照表!$S$27:$S$48,[1]对照表!$T$27:$T$48)),IF(B406="高二",IF($E406="男",LOOKUP(L406,[1]对照表!$R$3:$R$24,[1]对照表!$T$3:$T$24),LOOKUP(L406,[1]对照表!$R$27:$R$48,[1]对照表!$T$27:$T$48)),IF(B406="高一",IF($E406="男",LOOKUP(L406,[1]对照表!$Q$3:$Q$24,[1]对照表!$T$3:$T$24),LOOKUP(L406,[1]对照表!$Q$27:$Q$48,[1]对照表!$T$27:$T$48)))))</f>
        <v>100</v>
      </c>
      <c r="N406" s="33">
        <f>IF(B406="高三",MAX(IF(E406="男",L406-18,L406-55),0),IF(B406="高二",MAX(IF(E406="男",L406-17,L406-54),0),IF(B406="高一",MAX(IF(E406="男",L406-16,L406-53),0))))</f>
        <v>9</v>
      </c>
      <c r="O406" s="23">
        <f>IF(E406="男",LOOKUP($N406,[1]对照表!$Z$3:$Z$13,[1]对照表!$AA$3:$AA$13),LOOKUP($N406,[1]对照表!$Z$15:$Z$25,[1]对照表!$AA$15:$AA$25))</f>
        <v>6</v>
      </c>
      <c r="P406" s="25">
        <f>M406+O406</f>
        <v>106</v>
      </c>
      <c r="Q406" s="50">
        <v>3.12</v>
      </c>
      <c r="R406" s="32">
        <f>IF(B406="高三",IF($E406="男",LOOKUP(Q406,[1]对照表!$W$3:$W$24,[1]对照表!$X$3:$X$24),LOOKUP(Q406,[1]对照表!$W$27:$W$48,[1]对照表!$X$27:$X$48)),IF(B406="高二",IF($E406="男",LOOKUP(Q406,[1]对照表!$V$3:$V$24,[1]对照表!$X$3:$X$24),LOOKUP(Q406,[1]对照表!$V$27:$V$48,[1]对照表!$X$27:$X$48)),IF(B406="高一",IF($E406="男",LOOKUP(Q406,[1]对照表!$U$3:$U$24,[1]对照表!$X$3:$X$24),LOOKUP(Q406,[1]对照表!$U$27:$U$48,[1]对照表!$X$27:$X$48)))))</f>
        <v>100</v>
      </c>
      <c r="S406" s="33">
        <f>ROUND(IF(IF($B406="高三",MIN(IF($E406="男",$Q406-3.2,$Q406-3.2),0),IF($B406="高二",MIN(IF($E406="男",$Q406-3.25,$Q406-3.22),0),IF($B406="高一",MIN(IF($E406="男",$Q406-3.3,$Q406-3.24),0))))&lt;-0.6,IF($B406="高三",MIN(IF($E406="男",$Q406-3.2,$Q406-3.2),0),IF($B406="高二",MIN(IF($E406="男",$Q406-3.25,$Q406-3.22),0),IF($B406="高一",MIN(IF($E406="男",$Q406-3.3,$Q406-3.24),0))))+0.4,IF($B406="高三",MIN(IF($E406="男",$Q406-3.2,$Q406-3.2),0),IF($B406="高二",MIN(IF($E406="男",$Q406-3.25,$Q406-3.22),0),IF($B406="高一",MIN(IF($E406="男",$Q406-3.3,$Q406-3.24),0))))),2)</f>
        <v>-0.1</v>
      </c>
      <c r="T406" s="23">
        <f>IF(E406="男",LOOKUP($S406,[1]对照表!$AB$3:$AB$13,[1]对照表!$AC$3:$AC$13),LOOKUP($S406,[1]对照表!$AB$15:$AB$25,[1]对照表!$AC$15:$AC$25))</f>
        <v>2</v>
      </c>
      <c r="U406" s="26">
        <f>R406+T406</f>
        <v>102</v>
      </c>
      <c r="V406" s="26">
        <f>SUM(I406,K406,M406)/3*0.3+SUM(G406,R406)/2*0.4</f>
        <v>70</v>
      </c>
      <c r="W406" s="27">
        <f>O406+T406</f>
        <v>8</v>
      </c>
      <c r="X406" s="28">
        <f>V406/0.7+W406</f>
        <v>108</v>
      </c>
      <c r="Y406" s="28">
        <f>X406</f>
        <v>108</v>
      </c>
      <c r="Z406" s="38"/>
    </row>
    <row r="407" spans="1:26" ht="15.6" x14ac:dyDescent="0.25">
      <c r="A407" s="48">
        <v>28</v>
      </c>
      <c r="B407" s="17" t="s">
        <v>767</v>
      </c>
      <c r="C407" s="48">
        <v>209</v>
      </c>
      <c r="D407" s="49" t="s">
        <v>778</v>
      </c>
      <c r="E407" s="48" t="s">
        <v>65</v>
      </c>
      <c r="F407" s="50">
        <v>7.66</v>
      </c>
      <c r="G407" s="32">
        <f>IF(B407="高三",IF($E407="男",LOOKUP(F407,[1]对照表!$G$3:$G$24,[1]对照表!$H$3:$H$24),LOOKUP(F407,[1]对照表!$G$27:$G$48,[1]对照表!$H$27:$H$48)),IF(B407="高二",IF($E407="男",LOOKUP(F407,[1]对照表!$F$3:$F$24,[1]对照表!$H$3:$H$24),LOOKUP(F407,[1]对照表!$F$27:$F$48,[1]对照表!$H$27:$H$48)),IF(B407="高一",IF($E407="男",LOOKUP(F407,[1]对照表!$E$3:$E$24,[1]对照表!$H$3:$H$24),LOOKUP(F407,[1]对照表!$E$27:$E$48,[1]对照表!$H$27:$H$48)))))</f>
        <v>100</v>
      </c>
      <c r="H407" s="38">
        <v>8.5</v>
      </c>
      <c r="I407" s="32">
        <f>IF(B407="高三",IF($E407="男",LOOKUP(H407,[1]对照表!$K$3:$K$24,[1]对照表!$L$3:$L$24),LOOKUP(H407,[1]对照表!$K$27:$K$48,[1]对照表!$L$27:$L$48)),IF(B407="高二",IF($E407="男",LOOKUP(H407,[1]对照表!$J$3:$J$24,[1]对照表!$L$3:$L$24),LOOKUP(H407,[1]对照表!$J$27:$J$48,[1]对照表!$L$27:$L$48)),IF(B407="高一",IF($E407="男",LOOKUP(H407,[1]对照表!$I$3:$I$24,[1]对照表!$L$3:$L$24),LOOKUP(H407,[1]对照表!$I$27:$I$48,[1]对照表!$L$27:$L$48)))))</f>
        <v>64</v>
      </c>
      <c r="J407" s="38">
        <v>207</v>
      </c>
      <c r="K407" s="32">
        <f>IF(B407="高三",IF($E407="男",LOOKUP(J407,[1]对照表!$O$3:$O$24,[1]对照表!$P$3:$P$24),LOOKUP(J407,[1]对照表!$O$27:$O$48,[1]对照表!$P$27:$P$48)),IF(B407="高二",IF($E407="男",LOOKUP(J407,[1]对照表!$N$3:$N$24,[1]对照表!$P$3:$P$24),LOOKUP(J407,[1]对照表!$N$27:$N$48,[1]对照表!$P$27:$P$48)),IF(B407="高一",IF($E407="男",LOOKUP(J407,[1]对照表!$M$3:$M$24,[1]对照表!$P$3:$P$24),LOOKUP(J407,[1]对照表!$M$27:$M$48,[1]对照表!$P$27:$P$48)))))</f>
        <v>100</v>
      </c>
      <c r="L407" s="38">
        <v>61</v>
      </c>
      <c r="M407" s="32">
        <f>IF(B407="高三",IF($E407="男",LOOKUP(L407,[1]对照表!$S$3:$S$24,[1]对照表!$T$3:$T$24),LOOKUP(L407,[1]对照表!$S$27:$S$48,[1]对照表!$T$27:$T$48)),IF(B407="高二",IF($E407="男",LOOKUP(L407,[1]对照表!$R$3:$R$24,[1]对照表!$T$3:$T$24),LOOKUP(L407,[1]对照表!$R$27:$R$48,[1]对照表!$T$27:$T$48)),IF(B407="高一",IF($E407="男",LOOKUP(L407,[1]对照表!$Q$3:$Q$24,[1]对照表!$T$3:$T$24),LOOKUP(L407,[1]对照表!$Q$27:$Q$48,[1]对照表!$T$27:$T$48)))))</f>
        <v>100</v>
      </c>
      <c r="N407" s="33">
        <f>IF(B407="高三",MAX(IF(E407="男",L407-18,L407-55),0),IF(B407="高二",MAX(IF(E407="男",L407-17,L407-54),0),IF(B407="高一",MAX(IF(E407="男",L407-16,L407-53),0))))</f>
        <v>7</v>
      </c>
      <c r="O407" s="23">
        <f>IF(E407="男",LOOKUP($N407,[1]对照表!$Z$3:$Z$13,[1]对照表!$AA$3:$AA$13),LOOKUP($N407,[1]对照表!$Z$15:$Z$25,[1]对照表!$AA$15:$AA$25))</f>
        <v>4</v>
      </c>
      <c r="P407" s="25">
        <f>M407+O407</f>
        <v>104</v>
      </c>
      <c r="Q407" s="50">
        <v>3.15</v>
      </c>
      <c r="R407" s="32">
        <f>IF(B407="高三",IF($E407="男",LOOKUP(Q407,[1]对照表!$W$3:$W$24,[1]对照表!$X$3:$X$24),LOOKUP(Q407,[1]对照表!$W$27:$W$48,[1]对照表!$X$27:$X$48)),IF(B407="高二",IF($E407="男",LOOKUP(Q407,[1]对照表!$V$3:$V$24,[1]对照表!$X$3:$X$24),LOOKUP(Q407,[1]对照表!$V$27:$V$48,[1]对照表!$X$27:$X$48)),IF(B407="高一",IF($E407="男",LOOKUP(Q407,[1]对照表!$U$3:$U$24,[1]对照表!$X$3:$X$24),LOOKUP(Q407,[1]对照表!$U$27:$U$48,[1]对照表!$X$27:$X$48)))))</f>
        <v>100</v>
      </c>
      <c r="S407" s="33">
        <f>ROUND(IF(IF($B407="高三",MIN(IF($E407="男",$Q407-3.2,$Q407-3.2),0),IF($B407="高二",MIN(IF($E407="男",$Q407-3.25,$Q407-3.22),0),IF($B407="高一",MIN(IF($E407="男",$Q407-3.3,$Q407-3.24),0))))&lt;-0.6,IF($B407="高三",MIN(IF($E407="男",$Q407-3.2,$Q407-3.2),0),IF($B407="高二",MIN(IF($E407="男",$Q407-3.25,$Q407-3.22),0),IF($B407="高一",MIN(IF($E407="男",$Q407-3.3,$Q407-3.24),0))))+0.4,IF($B407="高三",MIN(IF($E407="男",$Q407-3.2,$Q407-3.2),0),IF($B407="高二",MIN(IF($E407="男",$Q407-3.25,$Q407-3.22),0),IF($B407="高一",MIN(IF($E407="男",$Q407-3.3,$Q407-3.24),0))))),2)</f>
        <v>-7.0000000000000007E-2</v>
      </c>
      <c r="T407" s="23">
        <f>IF(E407="男",LOOKUP($S407,[1]对照表!$AB$3:$AB$13,[1]对照表!$AC$3:$AC$13),LOOKUP($S407,[1]对照表!$AB$15:$AB$25,[1]对照表!$AC$15:$AC$25))</f>
        <v>1</v>
      </c>
      <c r="U407" s="26">
        <f>R407+T407</f>
        <v>101</v>
      </c>
      <c r="V407" s="26">
        <f>SUM(I407,K407,M407)/3*0.3+SUM(G407,R407)/2*0.4</f>
        <v>66.400000000000006</v>
      </c>
      <c r="W407" s="27">
        <f>O407+T407</f>
        <v>5</v>
      </c>
      <c r="X407" s="28">
        <f>V407/0.7+W407</f>
        <v>99.857142857142875</v>
      </c>
      <c r="Y407" s="28">
        <f>X407</f>
        <v>99.857142857142875</v>
      </c>
      <c r="Z407" s="38"/>
    </row>
    <row r="408" spans="1:26" ht="15.6" x14ac:dyDescent="0.25">
      <c r="A408" s="48">
        <v>37</v>
      </c>
      <c r="B408" s="17" t="s">
        <v>767</v>
      </c>
      <c r="C408" s="48">
        <v>209</v>
      </c>
      <c r="D408" s="49" t="s">
        <v>779</v>
      </c>
      <c r="E408" s="48" t="s">
        <v>65</v>
      </c>
      <c r="F408" s="50">
        <v>7.98</v>
      </c>
      <c r="G408" s="32">
        <f>IF(B408="高三",IF($E408="男",LOOKUP(F408,[1]对照表!$G$3:$G$24,[1]对照表!$H$3:$H$24),LOOKUP(F408,[1]对照表!$G$27:$G$48,[1]对照表!$H$27:$H$48)),IF(B408="高二",IF($E408="男",LOOKUP(F408,[1]对照表!$F$3:$F$24,[1]对照表!$H$3:$H$24),LOOKUP(F408,[1]对照表!$F$27:$F$48,[1]对照表!$H$27:$H$48)),IF(B408="高一",IF($E408="男",LOOKUP(F408,[1]对照表!$E$3:$E$24,[1]对照表!$H$3:$H$24),LOOKUP(F408,[1]对照表!$E$27:$E$48,[1]对照表!$H$27:$H$48)))))</f>
        <v>85</v>
      </c>
      <c r="H408" s="38">
        <v>29</v>
      </c>
      <c r="I408" s="32">
        <f>IF(B408="高三",IF($E408="男",LOOKUP(H408,[1]对照表!$K$3:$K$24,[1]对照表!$L$3:$L$24),LOOKUP(H408,[1]对照表!$K$27:$K$48,[1]对照表!$L$27:$L$48)),IF(B408="高二",IF($E408="男",LOOKUP(H408,[1]对照表!$J$3:$J$24,[1]对照表!$L$3:$L$24),LOOKUP(H408,[1]对照表!$J$27:$J$48,[1]对照表!$L$27:$L$48)),IF(B408="高一",IF($E408="男",LOOKUP(H408,[1]对照表!$I$3:$I$24,[1]对照表!$L$3:$L$24),LOOKUP(H408,[1]对照表!$I$27:$I$48,[1]对照表!$L$27:$L$48)))))</f>
        <v>100</v>
      </c>
      <c r="J408" s="38">
        <v>215</v>
      </c>
      <c r="K408" s="32">
        <f>IF(B408="高三",IF($E408="男",LOOKUP(J408,[1]对照表!$O$3:$O$24,[1]对照表!$P$3:$P$24),LOOKUP(J408,[1]对照表!$O$27:$O$48,[1]对照表!$P$27:$P$48)),IF(B408="高二",IF($E408="男",LOOKUP(J408,[1]对照表!$N$3:$N$24,[1]对照表!$P$3:$P$24),LOOKUP(J408,[1]对照表!$N$27:$N$48,[1]对照表!$P$27:$P$48)),IF(B408="高一",IF($E408="男",LOOKUP(J408,[1]对照表!$M$3:$M$24,[1]对照表!$P$3:$P$24),LOOKUP(J408,[1]对照表!$M$27:$M$48,[1]对照表!$P$27:$P$48)))))</f>
        <v>100</v>
      </c>
      <c r="L408" s="38">
        <v>55</v>
      </c>
      <c r="M408" s="32">
        <f>IF(B408="高三",IF($E408="男",LOOKUP(L408,[1]对照表!$S$3:$S$24,[1]对照表!$T$3:$T$24),LOOKUP(L408,[1]对照表!$S$27:$S$48,[1]对照表!$T$27:$T$48)),IF(B408="高二",IF($E408="男",LOOKUP(L408,[1]对照表!$R$3:$R$24,[1]对照表!$T$3:$T$24),LOOKUP(L408,[1]对照表!$R$27:$R$48,[1]对照表!$T$27:$T$48)),IF(B408="高一",IF($E408="男",LOOKUP(L408,[1]对照表!$Q$3:$Q$24,[1]对照表!$T$3:$T$24),LOOKUP(L408,[1]对照表!$Q$27:$Q$48,[1]对照表!$T$27:$T$48)))))</f>
        <v>100</v>
      </c>
      <c r="N408" s="33">
        <f>IF(B408="高三",MAX(IF(E408="男",L408-18,L408-55),0),IF(B408="高二",MAX(IF(E408="男",L408-17,L408-54),0),IF(B408="高一",MAX(IF(E408="男",L408-16,L408-53),0))))</f>
        <v>1</v>
      </c>
      <c r="O408" s="23">
        <f>IF(E408="男",LOOKUP($N408,[1]对照表!$Z$3:$Z$13,[1]对照表!$AA$3:$AA$13),LOOKUP($N408,[1]对照表!$Z$15:$Z$25,[1]对照表!$AA$15:$AA$25))</f>
        <v>0</v>
      </c>
      <c r="P408" s="25">
        <f>M408+O408</f>
        <v>100</v>
      </c>
      <c r="Q408" s="50">
        <v>2.58</v>
      </c>
      <c r="R408" s="32">
        <f>IF(B408="高三",IF($E408="男",LOOKUP(Q408,[1]对照表!$W$3:$W$24,[1]对照表!$X$3:$X$24),LOOKUP(Q408,[1]对照表!$W$27:$W$48,[1]对照表!$X$27:$X$48)),IF(B408="高二",IF($E408="男",LOOKUP(Q408,[1]对照表!$V$3:$V$24,[1]对照表!$X$3:$X$24),LOOKUP(Q408,[1]对照表!$V$27:$V$48,[1]对照表!$X$27:$X$48)),IF(B408="高一",IF($E408="男",LOOKUP(Q408,[1]对照表!$U$3:$U$24,[1]对照表!$X$3:$X$24),LOOKUP(Q408,[1]对照表!$U$27:$U$48,[1]对照表!$X$27:$X$48)))))</f>
        <v>100</v>
      </c>
      <c r="S408" s="33">
        <f>ROUND(IF(IF($B408="高三",MIN(IF($E408="男",$Q408-3.2,$Q408-3.2),0),IF($B408="高二",MIN(IF($E408="男",$Q408-3.25,$Q408-3.22),0),IF($B408="高一",MIN(IF($E408="男",$Q408-3.3,$Q408-3.24),0))))&lt;-0.6,IF($B408="高三",MIN(IF($E408="男",$Q408-3.2,$Q408-3.2),0),IF($B408="高二",MIN(IF($E408="男",$Q408-3.25,$Q408-3.22),0),IF($B408="高一",MIN(IF($E408="男",$Q408-3.3,$Q408-3.24),0))))+0.4,IF($B408="高三",MIN(IF($E408="男",$Q408-3.2,$Q408-3.2),0),IF($B408="高二",MIN(IF($E408="男",$Q408-3.25,$Q408-3.22),0),IF($B408="高一",MIN(IF($E408="男",$Q408-3.3,$Q408-3.24),0))))),2)</f>
        <v>-0.24</v>
      </c>
      <c r="T408" s="23">
        <f>IF(E408="男",LOOKUP($S408,[1]对照表!$AB$3:$AB$13,[1]对照表!$AC$3:$AC$13),LOOKUP($S408,[1]对照表!$AB$15:$AB$25,[1]对照表!$AC$15:$AC$25))</f>
        <v>4</v>
      </c>
      <c r="U408" s="26">
        <f>R408+T408</f>
        <v>104</v>
      </c>
      <c r="V408" s="26">
        <f>SUM(I408,K408,M408)/3*0.3+SUM(G408,R408)/2*0.4</f>
        <v>67</v>
      </c>
      <c r="W408" s="27">
        <f>O408+T408</f>
        <v>4</v>
      </c>
      <c r="X408" s="28">
        <f>V408/0.7+W408</f>
        <v>99.714285714285722</v>
      </c>
      <c r="Y408" s="28">
        <f>X408</f>
        <v>99.714285714285722</v>
      </c>
      <c r="Z408" s="38"/>
    </row>
    <row r="409" spans="1:26" ht="15.6" x14ac:dyDescent="0.25">
      <c r="A409" s="48">
        <v>34</v>
      </c>
      <c r="B409" s="17" t="s">
        <v>767</v>
      </c>
      <c r="C409" s="48">
        <v>209</v>
      </c>
      <c r="D409" s="49" t="s">
        <v>780</v>
      </c>
      <c r="E409" s="48" t="s">
        <v>65</v>
      </c>
      <c r="F409" s="50">
        <v>8.17</v>
      </c>
      <c r="G409" s="32">
        <f>IF(B409="高三",IF($E409="男",LOOKUP(F409,[1]对照表!$G$3:$G$24,[1]对照表!$H$3:$H$24),LOOKUP(F409,[1]对照表!$G$27:$G$48,[1]对照表!$H$27:$H$48)),IF(B409="高二",IF($E409="男",LOOKUP(F409,[1]对照表!$F$3:$F$24,[1]对照表!$H$3:$H$24),LOOKUP(F409,[1]对照表!$F$27:$F$48,[1]对照表!$H$27:$H$48)),IF(B409="高一",IF($E409="男",LOOKUP(F409,[1]对照表!$E$3:$E$24,[1]对照表!$H$3:$H$24),LOOKUP(F409,[1]对照表!$E$27:$E$48,[1]对照表!$H$27:$H$48)))))</f>
        <v>85</v>
      </c>
      <c r="H409" s="38">
        <v>23</v>
      </c>
      <c r="I409" s="32">
        <f>IF(B409="高三",IF($E409="男",LOOKUP(H409,[1]对照表!$K$3:$K$24,[1]对照表!$L$3:$L$24),LOOKUP(H409,[1]对照表!$K$27:$K$48,[1]对照表!$L$27:$L$48)),IF(B409="高二",IF($E409="男",LOOKUP(H409,[1]对照表!$J$3:$J$24,[1]对照表!$L$3:$L$24),LOOKUP(H409,[1]对照表!$J$27:$J$48,[1]对照表!$L$27:$L$48)),IF(B409="高一",IF($E409="男",LOOKUP(H409,[1]对照表!$I$3:$I$24,[1]对照表!$L$3:$L$24),LOOKUP(H409,[1]对照表!$I$27:$I$48,[1]对照表!$L$27:$L$48)))))</f>
        <v>90</v>
      </c>
      <c r="J409" s="38">
        <v>205</v>
      </c>
      <c r="K409" s="32">
        <f>IF(B409="高三",IF($E409="男",LOOKUP(J409,[1]对照表!$O$3:$O$24,[1]对照表!$P$3:$P$24),LOOKUP(J409,[1]对照表!$O$27:$O$48,[1]对照表!$P$27:$P$48)),IF(B409="高二",IF($E409="男",LOOKUP(J409,[1]对照表!$N$3:$N$24,[1]对照表!$P$3:$P$24),LOOKUP(J409,[1]对照表!$N$27:$N$48,[1]对照表!$P$27:$P$48)),IF(B409="高一",IF($E409="男",LOOKUP(J409,[1]对照表!$M$3:$M$24,[1]对照表!$P$3:$P$24),LOOKUP(J409,[1]对照表!$M$27:$M$48,[1]对照表!$P$27:$P$48)))))</f>
        <v>100</v>
      </c>
      <c r="L409" s="38">
        <v>54</v>
      </c>
      <c r="M409" s="32">
        <f>IF(B409="高三",IF($E409="男",LOOKUP(L409,[1]对照表!$S$3:$S$24,[1]对照表!$T$3:$T$24),LOOKUP(L409,[1]对照表!$S$27:$S$48,[1]对照表!$T$27:$T$48)),IF(B409="高二",IF($E409="男",LOOKUP(L409,[1]对照表!$R$3:$R$24,[1]对照表!$T$3:$T$24),LOOKUP(L409,[1]对照表!$R$27:$R$48,[1]对照表!$T$27:$T$48)),IF(B409="高一",IF($E409="男",LOOKUP(L409,[1]对照表!$Q$3:$Q$24,[1]对照表!$T$3:$T$24),LOOKUP(L409,[1]对照表!$Q$27:$Q$48,[1]对照表!$T$27:$T$48)))))</f>
        <v>100</v>
      </c>
      <c r="N409" s="33">
        <f>IF(B409="高三",MAX(IF(E409="男",L409-18,L409-55),0),IF(B409="高二",MAX(IF(E409="男",L409-17,L409-54),0),IF(B409="高一",MAX(IF(E409="男",L409-16,L409-53),0))))</f>
        <v>0</v>
      </c>
      <c r="O409" s="23">
        <f>IF(E409="男",LOOKUP($N409,[1]对照表!$Z$3:$Z$13,[1]对照表!$AA$3:$AA$13),LOOKUP($N409,[1]对照表!$Z$15:$Z$25,[1]对照表!$AA$15:$AA$25))</f>
        <v>0</v>
      </c>
      <c r="P409" s="25">
        <f>M409+O409</f>
        <v>100</v>
      </c>
      <c r="Q409" s="50">
        <v>2.56</v>
      </c>
      <c r="R409" s="32">
        <f>IF(B409="高三",IF($E409="男",LOOKUP(Q409,[1]对照表!$W$3:$W$24,[1]对照表!$X$3:$X$24),LOOKUP(Q409,[1]对照表!$W$27:$W$48,[1]对照表!$X$27:$X$48)),IF(B409="高二",IF($E409="男",LOOKUP(Q409,[1]对照表!$V$3:$V$24,[1]对照表!$X$3:$X$24),LOOKUP(Q409,[1]对照表!$V$27:$V$48,[1]对照表!$X$27:$X$48)),IF(B409="高一",IF($E409="男",LOOKUP(Q409,[1]对照表!$U$3:$U$24,[1]对照表!$X$3:$X$24),LOOKUP(Q409,[1]对照表!$U$27:$U$48,[1]对照表!$X$27:$X$48)))))</f>
        <v>100</v>
      </c>
      <c r="S409" s="33">
        <f>ROUND(IF(IF($B409="高三",MIN(IF($E409="男",$Q409-3.2,$Q409-3.2),0),IF($B409="高二",MIN(IF($E409="男",$Q409-3.25,$Q409-3.22),0),IF($B409="高一",MIN(IF($E409="男",$Q409-3.3,$Q409-3.24),0))))&lt;-0.6,IF($B409="高三",MIN(IF($E409="男",$Q409-3.2,$Q409-3.2),0),IF($B409="高二",MIN(IF($E409="男",$Q409-3.25,$Q409-3.22),0),IF($B409="高一",MIN(IF($E409="男",$Q409-3.3,$Q409-3.24),0))))+0.4,IF($B409="高三",MIN(IF($E409="男",$Q409-3.2,$Q409-3.2),0),IF($B409="高二",MIN(IF($E409="男",$Q409-3.25,$Q409-3.22),0),IF($B409="高一",MIN(IF($E409="男",$Q409-3.3,$Q409-3.24),0))))),2)</f>
        <v>-0.26</v>
      </c>
      <c r="T409" s="23">
        <f>IF(E409="男",LOOKUP($S409,[1]对照表!$AB$3:$AB$13,[1]对照表!$AC$3:$AC$13),LOOKUP($S409,[1]对照表!$AB$15:$AB$25,[1]对照表!$AC$15:$AC$25))</f>
        <v>5</v>
      </c>
      <c r="U409" s="26">
        <f>R409+T409</f>
        <v>105</v>
      </c>
      <c r="V409" s="26">
        <f>SUM(I409,K409,M409)/3*0.3+SUM(G409,R409)/2*0.4</f>
        <v>66</v>
      </c>
      <c r="W409" s="27">
        <f>O409+T409</f>
        <v>5</v>
      </c>
      <c r="X409" s="28">
        <f>V409/0.7+W409</f>
        <v>99.285714285714292</v>
      </c>
      <c r="Y409" s="28">
        <f>X409</f>
        <v>99.285714285714292</v>
      </c>
      <c r="Z409" s="38"/>
    </row>
    <row r="410" spans="1:26" ht="15.6" x14ac:dyDescent="0.25">
      <c r="A410" s="48">
        <v>38</v>
      </c>
      <c r="B410" s="17" t="s">
        <v>767</v>
      </c>
      <c r="C410" s="48">
        <v>209</v>
      </c>
      <c r="D410" s="49" t="s">
        <v>839</v>
      </c>
      <c r="E410" s="48" t="s">
        <v>65</v>
      </c>
      <c r="F410" s="50">
        <v>7.82</v>
      </c>
      <c r="G410" s="32">
        <f>IF(B410="高三",IF($E410="男",LOOKUP(F410,[1]对照表!$G$3:$G$24,[1]对照表!$H$3:$H$24),LOOKUP(F410,[1]对照表!$G$27:$G$48,[1]对照表!$H$27:$H$48)),IF(B410="高二",IF($E410="男",LOOKUP(F410,[1]对照表!$F$3:$F$24,[1]对照表!$H$3:$H$24),LOOKUP(F410,[1]对照表!$F$27:$F$48,[1]对照表!$H$27:$H$48)),IF(B410="高一",IF($E410="男",LOOKUP(F410,[1]对照表!$E$3:$E$24,[1]对照表!$H$3:$H$24),LOOKUP(F410,[1]对照表!$E$27:$E$48,[1]对照表!$H$27:$H$48)))))</f>
        <v>90</v>
      </c>
      <c r="H410" s="38">
        <v>21</v>
      </c>
      <c r="I410" s="32">
        <f>IF(B410="高三",IF($E410="男",LOOKUP(H410,[1]对照表!$K$3:$K$24,[1]对照表!$L$3:$L$24),LOOKUP(H410,[1]对照表!$K$27:$K$48,[1]对照表!$L$27:$L$48)),IF(B410="高二",IF($E410="男",LOOKUP(H410,[1]对照表!$J$3:$J$24,[1]对照表!$L$3:$L$24),LOOKUP(H410,[1]对照表!$J$27:$J$48,[1]对照表!$L$27:$L$48)),IF(B410="高一",IF($E410="男",LOOKUP(H410,[1]对照表!$I$3:$I$24,[1]对照表!$L$3:$L$24),LOOKUP(H410,[1]对照表!$I$27:$I$48,[1]对照表!$L$27:$L$48)))))</f>
        <v>85</v>
      </c>
      <c r="J410" s="38">
        <v>185</v>
      </c>
      <c r="K410" s="32">
        <f>IF(B410="高三",IF($E410="男",LOOKUP(J410,[1]对照表!$O$3:$O$24,[1]对照表!$P$3:$P$24),LOOKUP(J410,[1]对照表!$O$27:$O$48,[1]对照表!$P$27:$P$48)),IF(B410="高二",IF($E410="男",LOOKUP(J410,[1]对照表!$N$3:$N$24,[1]对照表!$P$3:$P$24),LOOKUP(J410,[1]对照表!$N$27:$N$48,[1]对照表!$P$27:$P$48)),IF(B410="高一",IF($E410="男",LOOKUP(J410,[1]对照表!$M$3:$M$24,[1]对照表!$P$3:$P$24),LOOKUP(J410,[1]对照表!$M$27:$M$48,[1]对照表!$P$27:$P$48)))))</f>
        <v>80</v>
      </c>
      <c r="L410" s="38">
        <v>50</v>
      </c>
      <c r="M410" s="32">
        <f>IF(B410="高三",IF($E410="男",LOOKUP(L410,[1]对照表!$S$3:$S$24,[1]对照表!$T$3:$T$24),LOOKUP(L410,[1]对照表!$S$27:$S$48,[1]对照表!$T$27:$T$48)),IF(B410="高二",IF($E410="男",LOOKUP(L410,[1]对照表!$R$3:$R$24,[1]对照表!$T$3:$T$24),LOOKUP(L410,[1]对照表!$R$27:$R$48,[1]对照表!$T$27:$T$48)),IF(B410="高一",IF($E410="男",LOOKUP(L410,[1]对照表!$Q$3:$Q$24,[1]对照表!$T$3:$T$24),LOOKUP(L410,[1]对照表!$Q$27:$Q$48,[1]对照表!$T$27:$T$48)))))</f>
        <v>90</v>
      </c>
      <c r="N410" s="33">
        <f>IF(B410="高三",MAX(IF(E410="男",L410-18,L410-55),0),IF(B410="高二",MAX(IF(E410="男",L410-17,L410-54),0),IF(B410="高一",MAX(IF(E410="男",L410-16,L410-53),0))))</f>
        <v>0</v>
      </c>
      <c r="O410" s="23">
        <f>IF(E410="男",LOOKUP($N410,[1]对照表!$Z$3:$Z$13,[1]对照表!$AA$3:$AA$13),LOOKUP($N410,[1]对照表!$Z$15:$Z$25,[1]对照表!$AA$15:$AA$25))</f>
        <v>0</v>
      </c>
      <c r="P410" s="25">
        <f>M410+O410</f>
        <v>90</v>
      </c>
      <c r="Q410" s="50">
        <v>3.2</v>
      </c>
      <c r="R410" s="32">
        <f>IF(B410="高三",IF($E410="男",LOOKUP(Q410,[1]对照表!$W$3:$W$24,[1]对照表!$X$3:$X$24),LOOKUP(Q410,[1]对照表!$W$27:$W$48,[1]对照表!$X$27:$X$48)),IF(B410="高二",IF($E410="男",LOOKUP(Q410,[1]对照表!$V$3:$V$24,[1]对照表!$X$3:$X$24),LOOKUP(Q410,[1]对照表!$V$27:$V$48,[1]对照表!$X$27:$X$48)),IF(B410="高一",IF($E410="男",LOOKUP(Q410,[1]对照表!$U$3:$U$24,[1]对照表!$X$3:$X$24),LOOKUP(Q410,[1]对照表!$U$27:$U$48,[1]对照表!$X$27:$X$48)))))</f>
        <v>100</v>
      </c>
      <c r="S410" s="33">
        <f>ROUND(IF(IF($B410="高三",MIN(IF($E410="男",$Q410-3.2,$Q410-3.2),0),IF($B410="高二",MIN(IF($E410="男",$Q410-3.25,$Q410-3.22),0),IF($B410="高一",MIN(IF($E410="男",$Q410-3.3,$Q410-3.24),0))))&lt;-0.6,IF($B410="高三",MIN(IF($E410="男",$Q410-3.2,$Q410-3.2),0),IF($B410="高二",MIN(IF($E410="男",$Q410-3.25,$Q410-3.22),0),IF($B410="高一",MIN(IF($E410="男",$Q410-3.3,$Q410-3.24),0))))+0.4,IF($B410="高三",MIN(IF($E410="男",$Q410-3.2,$Q410-3.2),0),IF($B410="高二",MIN(IF($E410="男",$Q410-3.25,$Q410-3.22),0),IF($B410="高一",MIN(IF($E410="男",$Q410-3.3,$Q410-3.24),0))))),2)</f>
        <v>-0.02</v>
      </c>
      <c r="T410" s="23">
        <f>IF(E410="男",LOOKUP($S410,[1]对照表!$AB$3:$AB$13,[1]对照表!$AC$3:$AC$13),LOOKUP($S410,[1]对照表!$AB$15:$AB$25,[1]对照表!$AC$15:$AC$25))</f>
        <v>0</v>
      </c>
      <c r="U410" s="26">
        <f>R410+T410</f>
        <v>100</v>
      </c>
      <c r="V410" s="26">
        <f>SUM(I410,K410,M410)/3*0.3+SUM(G410,R410)/2*0.4</f>
        <v>63.5</v>
      </c>
      <c r="W410" s="27">
        <f>O410+T410</f>
        <v>0</v>
      </c>
      <c r="X410" s="28">
        <f>V410/0.7+W410</f>
        <v>90.714285714285722</v>
      </c>
      <c r="Y410" s="28">
        <f>X410</f>
        <v>90.714285714285722</v>
      </c>
      <c r="Z410" s="38"/>
    </row>
    <row r="411" spans="1:26" ht="15.6" x14ac:dyDescent="0.25">
      <c r="A411" s="48">
        <v>32</v>
      </c>
      <c r="B411" s="17" t="s">
        <v>767</v>
      </c>
      <c r="C411" s="48">
        <v>209</v>
      </c>
      <c r="D411" s="49" t="s">
        <v>842</v>
      </c>
      <c r="E411" s="48" t="s">
        <v>65</v>
      </c>
      <c r="F411" s="50">
        <v>8.17</v>
      </c>
      <c r="G411" s="32">
        <f>IF(B411="高三",IF($E411="男",LOOKUP(F411,[1]对照表!$G$3:$G$24,[1]对照表!$H$3:$H$24),LOOKUP(F411,[1]对照表!$G$27:$G$48,[1]对照表!$H$27:$H$48)),IF(B411="高二",IF($E411="男",LOOKUP(F411,[1]对照表!$F$3:$F$24,[1]对照表!$H$3:$H$24),LOOKUP(F411,[1]对照表!$F$27:$F$48,[1]对照表!$H$27:$H$48)),IF(B411="高一",IF($E411="男",LOOKUP(F411,[1]对照表!$E$3:$E$24,[1]对照表!$H$3:$H$24),LOOKUP(F411,[1]对照表!$E$27:$E$48,[1]对照表!$H$27:$H$48)))))</f>
        <v>85</v>
      </c>
      <c r="H411" s="38">
        <v>16</v>
      </c>
      <c r="I411" s="32">
        <f>IF(B411="高三",IF($E411="男",LOOKUP(H411,[1]对照表!$K$3:$K$24,[1]对照表!$L$3:$L$24),LOOKUP(H411,[1]对照表!$K$27:$K$48,[1]对照表!$L$27:$L$48)),IF(B411="高二",IF($E411="男",LOOKUP(H411,[1]对照表!$J$3:$J$24,[1]对照表!$L$3:$L$24),LOOKUP(H411,[1]对照表!$J$27:$J$48,[1]对照表!$L$27:$L$48)),IF(B411="高一",IF($E411="男",LOOKUP(H411,[1]对照表!$I$3:$I$24,[1]对照表!$L$3:$L$24),LOOKUP(H411,[1]对照表!$I$27:$I$48,[1]对照表!$L$27:$L$48)))))</f>
        <v>76</v>
      </c>
      <c r="J411" s="38">
        <v>198</v>
      </c>
      <c r="K411" s="32">
        <f>IF(B411="高三",IF($E411="男",LOOKUP(J411,[1]对照表!$O$3:$O$24,[1]对照表!$P$3:$P$24),LOOKUP(J411,[1]对照表!$O$27:$O$48,[1]对照表!$P$27:$P$48)),IF(B411="高二",IF($E411="男",LOOKUP(J411,[1]对照表!$N$3:$N$24,[1]对照表!$P$3:$P$24),LOOKUP(J411,[1]对照表!$N$27:$N$48,[1]对照表!$P$27:$P$48)),IF(B411="高一",IF($E411="男",LOOKUP(J411,[1]对照表!$M$3:$M$24,[1]对照表!$P$3:$P$24),LOOKUP(J411,[1]对照表!$M$27:$M$48,[1]对照表!$P$27:$P$48)))))</f>
        <v>90</v>
      </c>
      <c r="L411" s="38">
        <v>57</v>
      </c>
      <c r="M411" s="32">
        <f>IF(B411="高三",IF($E411="男",LOOKUP(L411,[1]对照表!$S$3:$S$24,[1]对照表!$T$3:$T$24),LOOKUP(L411,[1]对照表!$S$27:$S$48,[1]对照表!$T$27:$T$48)),IF(B411="高二",IF($E411="男",LOOKUP(L411,[1]对照表!$R$3:$R$24,[1]对照表!$T$3:$T$24),LOOKUP(L411,[1]对照表!$R$27:$R$48,[1]对照表!$T$27:$T$48)),IF(B411="高一",IF($E411="男",LOOKUP(L411,[1]对照表!$Q$3:$Q$24,[1]对照表!$T$3:$T$24),LOOKUP(L411,[1]对照表!$Q$27:$Q$48,[1]对照表!$T$27:$T$48)))))</f>
        <v>100</v>
      </c>
      <c r="N411" s="33">
        <f>IF(B411="高三",MAX(IF(E411="男",L411-18,L411-55),0),IF(B411="高二",MAX(IF(E411="男",L411-17,L411-54),0),IF(B411="高一",MAX(IF(E411="男",L411-16,L411-53),0))))</f>
        <v>3</v>
      </c>
      <c r="O411" s="23">
        <f>IF(E411="男",LOOKUP($N411,[1]对照表!$Z$3:$Z$13,[1]对照表!$AA$3:$AA$13),LOOKUP($N411,[1]对照表!$Z$15:$Z$25,[1]对照表!$AA$15:$AA$25))</f>
        <v>1</v>
      </c>
      <c r="P411" s="25">
        <f>M411+O411</f>
        <v>101</v>
      </c>
      <c r="Q411" s="50">
        <v>3.23</v>
      </c>
      <c r="R411" s="32">
        <f>IF(B411="高三",IF($E411="男",LOOKUP(Q411,[1]对照表!$W$3:$W$24,[1]对照表!$X$3:$X$24),LOOKUP(Q411,[1]对照表!$W$27:$W$48,[1]对照表!$X$27:$X$48)),IF(B411="高二",IF($E411="男",LOOKUP(Q411,[1]对照表!$V$3:$V$24,[1]对照表!$X$3:$X$24),LOOKUP(Q411,[1]对照表!$V$27:$V$48,[1]对照表!$X$27:$X$48)),IF(B411="高一",IF($E411="男",LOOKUP(Q411,[1]对照表!$U$3:$U$24,[1]对照表!$X$3:$X$24),LOOKUP(Q411,[1]对照表!$U$27:$U$48,[1]对照表!$X$27:$X$48)))))</f>
        <v>95</v>
      </c>
      <c r="S411" s="33">
        <f>ROUND(IF(IF($B411="高三",MIN(IF($E411="男",$Q411-3.2,$Q411-3.2),0),IF($B411="高二",MIN(IF($E411="男",$Q411-3.25,$Q411-3.22),0),IF($B411="高一",MIN(IF($E411="男",$Q411-3.3,$Q411-3.24),0))))&lt;-0.6,IF($B411="高三",MIN(IF($E411="男",$Q411-3.2,$Q411-3.2),0),IF($B411="高二",MIN(IF($E411="男",$Q411-3.25,$Q411-3.22),0),IF($B411="高一",MIN(IF($E411="男",$Q411-3.3,$Q411-3.24),0))))+0.4,IF($B411="高三",MIN(IF($E411="男",$Q411-3.2,$Q411-3.2),0),IF($B411="高二",MIN(IF($E411="男",$Q411-3.25,$Q411-3.22),0),IF($B411="高一",MIN(IF($E411="男",$Q411-3.3,$Q411-3.24),0))))),2)</f>
        <v>0</v>
      </c>
      <c r="T411" s="23">
        <f>IF(E411="男",LOOKUP($S411,[1]对照表!$AB$3:$AB$13,[1]对照表!$AC$3:$AC$13),LOOKUP($S411,[1]对照表!$AB$15:$AB$25,[1]对照表!$AC$15:$AC$25))</f>
        <v>0</v>
      </c>
      <c r="U411" s="26">
        <f>R411+T411</f>
        <v>95</v>
      </c>
      <c r="V411" s="26">
        <f>SUM(I411,K411,M411)/3*0.3+SUM(G411,R411)/2*0.4</f>
        <v>62.6</v>
      </c>
      <c r="W411" s="27">
        <f>O411+T411</f>
        <v>1</v>
      </c>
      <c r="X411" s="28">
        <f>V411/0.7+W411</f>
        <v>90.428571428571431</v>
      </c>
      <c r="Y411" s="28">
        <f>X411</f>
        <v>90.428571428571431</v>
      </c>
      <c r="Z411" s="38"/>
    </row>
    <row r="412" spans="1:26" ht="15.6" x14ac:dyDescent="0.25">
      <c r="A412" s="48">
        <v>41</v>
      </c>
      <c r="B412" s="17" t="s">
        <v>767</v>
      </c>
      <c r="C412" s="48">
        <v>209</v>
      </c>
      <c r="D412" s="49" t="s">
        <v>863</v>
      </c>
      <c r="E412" s="48" t="s">
        <v>65</v>
      </c>
      <c r="F412" s="50">
        <v>8.49</v>
      </c>
      <c r="G412" s="32">
        <f>IF(B412="高三",IF($E412="男",LOOKUP(F412,[1]对照表!$G$3:$G$24,[1]对照表!$H$3:$H$24),LOOKUP(F412,[1]对照表!$G$27:$G$48,[1]对照表!$H$27:$H$48)),IF(B412="高二",IF($E412="男",LOOKUP(F412,[1]对照表!$F$3:$F$24,[1]对照表!$H$3:$H$24),LOOKUP(F412,[1]对照表!$F$27:$F$48,[1]对照表!$H$27:$H$48)),IF(B412="高一",IF($E412="男",LOOKUP(F412,[1]对照表!$E$3:$E$24,[1]对照表!$H$3:$H$24),LOOKUP(F412,[1]对照表!$E$27:$E$48,[1]对照表!$H$27:$H$48)))))</f>
        <v>80</v>
      </c>
      <c r="H412" s="38">
        <v>15.2</v>
      </c>
      <c r="I412" s="32">
        <f>IF(B412="高三",IF($E412="男",LOOKUP(H412,[1]对照表!$K$3:$K$24,[1]对照表!$L$3:$L$24),LOOKUP(H412,[1]对照表!$K$27:$K$48,[1]对照表!$L$27:$L$48)),IF(B412="高二",IF($E412="男",LOOKUP(H412,[1]对照表!$J$3:$J$24,[1]对照表!$L$3:$L$24),LOOKUP(H412,[1]对照表!$J$27:$J$48,[1]对照表!$L$27:$L$48)),IF(B412="高一",IF($E412="男",LOOKUP(H412,[1]对照表!$I$3:$I$24,[1]对照表!$L$3:$L$24),LOOKUP(H412,[1]对照表!$I$27:$I$48,[1]对照表!$L$27:$L$48)))))</f>
        <v>74</v>
      </c>
      <c r="J412" s="38">
        <v>210</v>
      </c>
      <c r="K412" s="32">
        <f>IF(B412="高三",IF($E412="男",LOOKUP(J412,[1]对照表!$O$3:$O$24,[1]对照表!$P$3:$P$24),LOOKUP(J412,[1]对照表!$O$27:$O$48,[1]对照表!$P$27:$P$48)),IF(B412="高二",IF($E412="男",LOOKUP(J412,[1]对照表!$N$3:$N$24,[1]对照表!$P$3:$P$24),LOOKUP(J412,[1]对照表!$N$27:$N$48,[1]对照表!$P$27:$P$48)),IF(B412="高一",IF($E412="男",LOOKUP(J412,[1]对照表!$M$3:$M$24,[1]对照表!$P$3:$P$24),LOOKUP(J412,[1]对照表!$M$27:$M$48,[1]对照表!$P$27:$P$48)))))</f>
        <v>100</v>
      </c>
      <c r="L412" s="38">
        <v>45</v>
      </c>
      <c r="M412" s="32">
        <f>IF(B412="高三",IF($E412="男",LOOKUP(L412,[1]对照表!$S$3:$S$24,[1]对照表!$T$3:$T$24),LOOKUP(L412,[1]对照表!$S$27:$S$48,[1]对照表!$T$27:$T$48)),IF(B412="高二",IF($E412="男",LOOKUP(L412,[1]对照表!$R$3:$R$24,[1]对照表!$T$3:$T$24),LOOKUP(L412,[1]对照表!$R$27:$R$48,[1]对照表!$T$27:$T$48)),IF(B412="高一",IF($E412="男",LOOKUP(L412,[1]对照表!$Q$3:$Q$24,[1]对照表!$T$3:$T$24),LOOKUP(L412,[1]对照表!$Q$27:$Q$48,[1]对照表!$T$27:$T$48)))))</f>
        <v>80</v>
      </c>
      <c r="N412" s="33">
        <f>IF(B412="高三",MAX(IF(E412="男",L412-18,L412-55),0),IF(B412="高二",MAX(IF(E412="男",L412-17,L412-54),0),IF(B412="高一",MAX(IF(E412="男",L412-16,L412-53),0))))</f>
        <v>0</v>
      </c>
      <c r="O412" s="23">
        <f>IF(E412="男",LOOKUP($N412,[1]对照表!$Z$3:$Z$13,[1]对照表!$AA$3:$AA$13),LOOKUP($N412,[1]对照表!$Z$15:$Z$25,[1]对照表!$AA$15:$AA$25))</f>
        <v>0</v>
      </c>
      <c r="P412" s="25">
        <f>M412+O412</f>
        <v>80</v>
      </c>
      <c r="Q412" s="50">
        <v>3.17</v>
      </c>
      <c r="R412" s="32">
        <f>IF(B412="高三",IF($E412="男",LOOKUP(Q412,[1]对照表!$W$3:$W$24,[1]对照表!$X$3:$X$24),LOOKUP(Q412,[1]对照表!$W$27:$W$48,[1]对照表!$X$27:$X$48)),IF(B412="高二",IF($E412="男",LOOKUP(Q412,[1]对照表!$V$3:$V$24,[1]对照表!$X$3:$X$24),LOOKUP(Q412,[1]对照表!$V$27:$V$48,[1]对照表!$X$27:$X$48)),IF(B412="高一",IF($E412="男",LOOKUP(Q412,[1]对照表!$U$3:$U$24,[1]对照表!$X$3:$X$24),LOOKUP(Q412,[1]对照表!$U$27:$U$48,[1]对照表!$X$27:$X$48)))))</f>
        <v>100</v>
      </c>
      <c r="S412" s="33">
        <f>ROUND(IF(IF($B412="高三",MIN(IF($E412="男",$Q412-3.2,$Q412-3.2),0),IF($B412="高二",MIN(IF($E412="男",$Q412-3.25,$Q412-3.22),0),IF($B412="高一",MIN(IF($E412="男",$Q412-3.3,$Q412-3.24),0))))&lt;-0.6,IF($B412="高三",MIN(IF($E412="男",$Q412-3.2,$Q412-3.2),0),IF($B412="高二",MIN(IF($E412="男",$Q412-3.25,$Q412-3.22),0),IF($B412="高一",MIN(IF($E412="男",$Q412-3.3,$Q412-3.24),0))))+0.4,IF($B412="高三",MIN(IF($E412="男",$Q412-3.2,$Q412-3.2),0),IF($B412="高二",MIN(IF($E412="男",$Q412-3.25,$Q412-3.22),0),IF($B412="高一",MIN(IF($E412="男",$Q412-3.3,$Q412-3.24),0))))),2)</f>
        <v>-0.05</v>
      </c>
      <c r="T412" s="23">
        <f>IF(E412="男",LOOKUP($S412,[1]对照表!$AB$3:$AB$13,[1]对照表!$AC$3:$AC$13),LOOKUP($S412,[1]对照表!$AB$15:$AB$25,[1]对照表!$AC$15:$AC$25))</f>
        <v>1</v>
      </c>
      <c r="U412" s="26">
        <f>R412+T412</f>
        <v>101</v>
      </c>
      <c r="V412" s="26">
        <f>SUM(I412,K412,M412)/3*0.3+SUM(G412,R412)/2*0.4</f>
        <v>61.400000000000006</v>
      </c>
      <c r="W412" s="27">
        <f>O412+T412</f>
        <v>1</v>
      </c>
      <c r="X412" s="28">
        <f>V412/0.7+W412</f>
        <v>88.714285714285722</v>
      </c>
      <c r="Y412" s="28">
        <f>X412</f>
        <v>88.714285714285722</v>
      </c>
      <c r="Z412" s="38"/>
    </row>
    <row r="413" spans="1:26" ht="15.6" x14ac:dyDescent="0.25">
      <c r="A413" s="48">
        <v>40</v>
      </c>
      <c r="B413" s="17" t="s">
        <v>767</v>
      </c>
      <c r="C413" s="48">
        <v>209</v>
      </c>
      <c r="D413" s="49" t="s">
        <v>864</v>
      </c>
      <c r="E413" s="48" t="s">
        <v>65</v>
      </c>
      <c r="F413" s="50">
        <v>8.01</v>
      </c>
      <c r="G413" s="32">
        <f>IF(B413="高三",IF($E413="男",LOOKUP(F413,[1]对照表!$G$3:$G$24,[1]对照表!$H$3:$H$24),LOOKUP(F413,[1]对照表!$G$27:$G$48,[1]对照表!$H$27:$H$48)),IF(B413="高二",IF($E413="男",LOOKUP(F413,[1]对照表!$F$3:$F$24,[1]对照表!$H$3:$H$24),LOOKUP(F413,[1]对照表!$F$27:$F$48,[1]对照表!$H$27:$H$48)),IF(B413="高一",IF($E413="男",LOOKUP(F413,[1]对照表!$E$3:$E$24,[1]对照表!$H$3:$H$24),LOOKUP(F413,[1]对照表!$E$27:$E$48,[1]对照表!$H$27:$H$48)))))</f>
        <v>85</v>
      </c>
      <c r="H413" s="38">
        <v>19.5</v>
      </c>
      <c r="I413" s="32">
        <f>IF(B413="高三",IF($E413="男",LOOKUP(H413,[1]对照表!$K$3:$K$24,[1]对照表!$L$3:$L$24),LOOKUP(H413,[1]对照表!$K$27:$K$48,[1]对照表!$L$27:$L$48)),IF(B413="高二",IF($E413="男",LOOKUP(H413,[1]对照表!$J$3:$J$24,[1]对照表!$L$3:$L$24),LOOKUP(H413,[1]对照表!$J$27:$J$48,[1]对照表!$L$27:$L$48)),IF(B413="高一",IF($E413="男",LOOKUP(H413,[1]对照表!$I$3:$I$24,[1]对照表!$L$3:$L$24),LOOKUP(H413,[1]对照表!$I$27:$I$48,[1]对照表!$L$27:$L$48)))))</f>
        <v>80</v>
      </c>
      <c r="J413" s="38">
        <v>187</v>
      </c>
      <c r="K413" s="32">
        <f>IF(B413="高三",IF($E413="男",LOOKUP(J413,[1]对照表!$O$3:$O$24,[1]对照表!$P$3:$P$24),LOOKUP(J413,[1]对照表!$O$27:$O$48,[1]对照表!$P$27:$P$48)),IF(B413="高二",IF($E413="男",LOOKUP(J413,[1]对照表!$N$3:$N$24,[1]对照表!$P$3:$P$24),LOOKUP(J413,[1]对照表!$N$27:$N$48,[1]对照表!$P$27:$P$48)),IF(B413="高一",IF($E413="男",LOOKUP(J413,[1]对照表!$M$3:$M$24,[1]对照表!$P$3:$P$24),LOOKUP(J413,[1]对照表!$M$27:$M$48,[1]对照表!$P$27:$P$48)))))</f>
        <v>85</v>
      </c>
      <c r="L413" s="38">
        <v>52</v>
      </c>
      <c r="M413" s="32">
        <f>IF(B413="高三",IF($E413="男",LOOKUP(L413,[1]对照表!$S$3:$S$24,[1]对照表!$T$3:$T$24),LOOKUP(L413,[1]对照表!$S$27:$S$48,[1]对照表!$T$27:$T$48)),IF(B413="高二",IF($E413="男",LOOKUP(L413,[1]对照表!$R$3:$R$24,[1]对照表!$T$3:$T$24),LOOKUP(L413,[1]对照表!$R$27:$R$48,[1]对照表!$T$27:$T$48)),IF(B413="高一",IF($E413="男",LOOKUP(L413,[1]对照表!$Q$3:$Q$24,[1]对照表!$T$3:$T$24),LOOKUP(L413,[1]对照表!$Q$27:$Q$48,[1]对照表!$T$27:$T$48)))))</f>
        <v>95</v>
      </c>
      <c r="N413" s="33">
        <f>IF(B413="高三",MAX(IF(E413="男",L413-18,L413-55),0),IF(B413="高二",MAX(IF(E413="男",L413-17,L413-54),0),IF(B413="高一",MAX(IF(E413="男",L413-16,L413-53),0))))</f>
        <v>0</v>
      </c>
      <c r="O413" s="23">
        <f>IF(E413="男",LOOKUP($N413,[1]对照表!$Z$3:$Z$13,[1]对照表!$AA$3:$AA$13),LOOKUP($N413,[1]对照表!$Z$15:$Z$25,[1]对照表!$AA$15:$AA$25))</f>
        <v>0</v>
      </c>
      <c r="P413" s="25">
        <f>M413+O413</f>
        <v>95</v>
      </c>
      <c r="Q413" s="50">
        <v>3.26</v>
      </c>
      <c r="R413" s="32">
        <f>IF(B413="高三",IF($E413="男",LOOKUP(Q413,[1]对照表!$W$3:$W$24,[1]对照表!$X$3:$X$24),LOOKUP(Q413,[1]对照表!$W$27:$W$48,[1]对照表!$X$27:$X$48)),IF(B413="高二",IF($E413="男",LOOKUP(Q413,[1]对照表!$V$3:$V$24,[1]对照表!$X$3:$X$24),LOOKUP(Q413,[1]对照表!$V$27:$V$48,[1]对照表!$X$27:$X$48)),IF(B413="高一",IF($E413="男",LOOKUP(Q413,[1]对照表!$U$3:$U$24,[1]对照表!$X$3:$X$24),LOOKUP(Q413,[1]对照表!$U$27:$U$48,[1]对照表!$X$27:$X$48)))))</f>
        <v>95</v>
      </c>
      <c r="S413" s="33">
        <f>ROUND(IF(IF($B413="高三",MIN(IF($E413="男",$Q413-3.2,$Q413-3.2),0),IF($B413="高二",MIN(IF($E413="男",$Q413-3.25,$Q413-3.22),0),IF($B413="高一",MIN(IF($E413="男",$Q413-3.3,$Q413-3.24),0))))&lt;-0.6,IF($B413="高三",MIN(IF($E413="男",$Q413-3.2,$Q413-3.2),0),IF($B413="高二",MIN(IF($E413="男",$Q413-3.25,$Q413-3.22),0),IF($B413="高一",MIN(IF($E413="男",$Q413-3.3,$Q413-3.24),0))))+0.4,IF($B413="高三",MIN(IF($E413="男",$Q413-3.2,$Q413-3.2),0),IF($B413="高二",MIN(IF($E413="男",$Q413-3.25,$Q413-3.22),0),IF($B413="高一",MIN(IF($E413="男",$Q413-3.3,$Q413-3.24),0))))),2)</f>
        <v>0</v>
      </c>
      <c r="T413" s="23">
        <f>IF(E413="男",LOOKUP($S413,[1]对照表!$AB$3:$AB$13,[1]对照表!$AC$3:$AC$13),LOOKUP($S413,[1]对照表!$AB$15:$AB$25,[1]对照表!$AC$15:$AC$25))</f>
        <v>0</v>
      </c>
      <c r="U413" s="26">
        <f>R413+T413</f>
        <v>95</v>
      </c>
      <c r="V413" s="26">
        <f>SUM(I413,K413,M413)/3*0.3+SUM(G413,R413)/2*0.4</f>
        <v>62</v>
      </c>
      <c r="W413" s="27">
        <f>O413+T413</f>
        <v>0</v>
      </c>
      <c r="X413" s="28">
        <f>V413/0.7+W413</f>
        <v>88.571428571428584</v>
      </c>
      <c r="Y413" s="28">
        <f>X413</f>
        <v>88.571428571428584</v>
      </c>
      <c r="Z413" s="38"/>
    </row>
    <row r="414" spans="1:26" ht="15.6" x14ac:dyDescent="0.25">
      <c r="A414" s="48">
        <v>43</v>
      </c>
      <c r="B414" s="17" t="s">
        <v>767</v>
      </c>
      <c r="C414" s="48">
        <v>209</v>
      </c>
      <c r="D414" s="49" t="s">
        <v>872</v>
      </c>
      <c r="E414" s="48" t="s">
        <v>65</v>
      </c>
      <c r="F414" s="50">
        <v>9.43</v>
      </c>
      <c r="G414" s="32">
        <f>IF(B414="高三",IF($E414="男",LOOKUP(F414,[1]对照表!$G$3:$G$24,[1]对照表!$H$3:$H$24),LOOKUP(F414,[1]对照表!$G$27:$G$48,[1]对照表!$H$27:$H$48)),IF(B414="高二",IF($E414="男",LOOKUP(F414,[1]对照表!$F$3:$F$24,[1]对照表!$H$3:$H$24),LOOKUP(F414,[1]对照表!$F$27:$F$48,[1]对照表!$H$27:$H$48)),IF(B414="高一",IF($E414="男",LOOKUP(F414,[1]对照表!$E$3:$E$24,[1]对照表!$H$3:$H$24),LOOKUP(F414,[1]对照表!$E$27:$E$48,[1]对照表!$H$27:$H$48)))))</f>
        <v>70</v>
      </c>
      <c r="H414" s="38">
        <v>22</v>
      </c>
      <c r="I414" s="32">
        <f>IF(B414="高三",IF($E414="男",LOOKUP(H414,[1]对照表!$K$3:$K$24,[1]对照表!$L$3:$L$24),LOOKUP(H414,[1]对照表!$K$27:$K$48,[1]对照表!$L$27:$L$48)),IF(B414="高二",IF($E414="男",LOOKUP(H414,[1]对照表!$J$3:$J$24,[1]对照表!$L$3:$L$24),LOOKUP(H414,[1]对照表!$J$27:$J$48,[1]对照表!$L$27:$L$48)),IF(B414="高一",IF($E414="男",LOOKUP(H414,[1]对照表!$I$3:$I$24,[1]对照表!$L$3:$L$24),LOOKUP(H414,[1]对照表!$I$27:$I$48,[1]对照表!$L$27:$L$48)))))</f>
        <v>90</v>
      </c>
      <c r="J414" s="38">
        <v>195</v>
      </c>
      <c r="K414" s="32">
        <f>IF(B414="高三",IF($E414="男",LOOKUP(J414,[1]对照表!$O$3:$O$24,[1]对照表!$P$3:$P$24),LOOKUP(J414,[1]对照表!$O$27:$O$48,[1]对照表!$P$27:$P$48)),IF(B414="高二",IF($E414="男",LOOKUP(J414,[1]对照表!$N$3:$N$24,[1]对照表!$P$3:$P$24),LOOKUP(J414,[1]对照表!$N$27:$N$48,[1]对照表!$P$27:$P$48)),IF(B414="高一",IF($E414="男",LOOKUP(J414,[1]对照表!$M$3:$M$24,[1]对照表!$P$3:$P$24),LOOKUP(J414,[1]对照表!$M$27:$M$48,[1]对照表!$P$27:$P$48)))))</f>
        <v>90</v>
      </c>
      <c r="L414" s="38">
        <v>53</v>
      </c>
      <c r="M414" s="32">
        <f>IF(B414="高三",IF($E414="男",LOOKUP(L414,[1]对照表!$S$3:$S$24,[1]对照表!$T$3:$T$24),LOOKUP(L414,[1]对照表!$S$27:$S$48,[1]对照表!$T$27:$T$48)),IF(B414="高二",IF($E414="男",LOOKUP(L414,[1]对照表!$R$3:$R$24,[1]对照表!$T$3:$T$24),LOOKUP(L414,[1]对照表!$R$27:$R$48,[1]对照表!$T$27:$T$48)),IF(B414="高一",IF($E414="男",LOOKUP(L414,[1]对照表!$Q$3:$Q$24,[1]对照表!$T$3:$T$24),LOOKUP(L414,[1]对照表!$Q$27:$Q$48,[1]对照表!$T$27:$T$48)))))</f>
        <v>95</v>
      </c>
      <c r="N414" s="33">
        <f>IF(B414="高三",MAX(IF(E414="男",L414-18,L414-55),0),IF(B414="高二",MAX(IF(E414="男",L414-17,L414-54),0),IF(B414="高一",MAX(IF(E414="男",L414-16,L414-53),0))))</f>
        <v>0</v>
      </c>
      <c r="O414" s="23">
        <f>IF(E414="男",LOOKUP($N414,[1]对照表!$Z$3:$Z$13,[1]对照表!$AA$3:$AA$13),LOOKUP($N414,[1]对照表!$Z$15:$Z$25,[1]对照表!$AA$15:$AA$25))</f>
        <v>0</v>
      </c>
      <c r="P414" s="25">
        <f>M414+O414</f>
        <v>95</v>
      </c>
      <c r="Q414" s="50">
        <v>3.22</v>
      </c>
      <c r="R414" s="32">
        <f>IF(B414="高三",IF($E414="男",LOOKUP(Q414,[1]对照表!$W$3:$W$24,[1]对照表!$X$3:$X$24),LOOKUP(Q414,[1]对照表!$W$27:$W$48,[1]对照表!$X$27:$X$48)),IF(B414="高二",IF($E414="男",LOOKUP(Q414,[1]对照表!$V$3:$V$24,[1]对照表!$X$3:$X$24),LOOKUP(Q414,[1]对照表!$V$27:$V$48,[1]对照表!$X$27:$X$48)),IF(B414="高一",IF($E414="男",LOOKUP(Q414,[1]对照表!$U$3:$U$24,[1]对照表!$X$3:$X$24),LOOKUP(Q414,[1]对照表!$U$27:$U$48,[1]对照表!$X$27:$X$48)))))</f>
        <v>100</v>
      </c>
      <c r="S414" s="33">
        <f>ROUND(IF(IF($B414="高三",MIN(IF($E414="男",$Q414-3.2,$Q414-3.2),0),IF($B414="高二",MIN(IF($E414="男",$Q414-3.25,$Q414-3.22),0),IF($B414="高一",MIN(IF($E414="男",$Q414-3.3,$Q414-3.24),0))))&lt;-0.6,IF($B414="高三",MIN(IF($E414="男",$Q414-3.2,$Q414-3.2),0),IF($B414="高二",MIN(IF($E414="男",$Q414-3.25,$Q414-3.22),0),IF($B414="高一",MIN(IF($E414="男",$Q414-3.3,$Q414-3.24),0))))+0.4,IF($B414="高三",MIN(IF($E414="男",$Q414-3.2,$Q414-3.2),0),IF($B414="高二",MIN(IF($E414="男",$Q414-3.25,$Q414-3.22),0),IF($B414="高一",MIN(IF($E414="男",$Q414-3.3,$Q414-3.24),0))))),2)</f>
        <v>0</v>
      </c>
      <c r="T414" s="23">
        <f>IF(E414="男",LOOKUP($S414,[1]对照表!$AB$3:$AB$13,[1]对照表!$AC$3:$AC$13),LOOKUP($S414,[1]对照表!$AB$15:$AB$25,[1]对照表!$AC$15:$AC$25))</f>
        <v>0</v>
      </c>
      <c r="U414" s="26">
        <f>R414+T414</f>
        <v>100</v>
      </c>
      <c r="V414" s="26">
        <f>SUM(I414,K414,M414)/3*0.3+SUM(G414,R414)/2*0.4</f>
        <v>61.5</v>
      </c>
      <c r="W414" s="27">
        <f>O414+T414</f>
        <v>0</v>
      </c>
      <c r="X414" s="28">
        <f>V414/0.7+W414</f>
        <v>87.857142857142861</v>
      </c>
      <c r="Y414" s="28">
        <f>X414</f>
        <v>87.857142857142861</v>
      </c>
      <c r="Z414" s="38"/>
    </row>
    <row r="415" spans="1:26" ht="15.6" customHeight="1" x14ac:dyDescent="0.25">
      <c r="A415" s="48">
        <v>46</v>
      </c>
      <c r="B415" s="17" t="s">
        <v>767</v>
      </c>
      <c r="C415" s="48">
        <v>209</v>
      </c>
      <c r="D415" s="49" t="s">
        <v>881</v>
      </c>
      <c r="E415" s="48" t="s">
        <v>65</v>
      </c>
      <c r="F415" s="50">
        <v>8.23</v>
      </c>
      <c r="G415" s="32">
        <f>IF(B415="高三",IF($E415="男",LOOKUP(F415,[1]对照表!$G$3:$G$24,[1]对照表!$H$3:$H$24),LOOKUP(F415,[1]对照表!$G$27:$G$48,[1]对照表!$H$27:$H$48)),IF(B415="高二",IF($E415="男",LOOKUP(F415,[1]对照表!$F$3:$F$24,[1]对照表!$H$3:$H$24),LOOKUP(F415,[1]对照表!$F$27:$F$48,[1]对照表!$H$27:$H$48)),IF(B415="高一",IF($E415="男",LOOKUP(F415,[1]对照表!$E$3:$E$24,[1]对照表!$H$3:$H$24),LOOKUP(F415,[1]对照表!$E$27:$E$48,[1]对照表!$H$27:$H$48)))))</f>
        <v>80</v>
      </c>
      <c r="H415" s="38">
        <v>17.399999999999999</v>
      </c>
      <c r="I415" s="32">
        <f>IF(B415="高三",IF($E415="男",LOOKUP(H415,[1]对照表!$K$3:$K$24,[1]对照表!$L$3:$L$24),LOOKUP(H415,[1]对照表!$K$27:$K$48,[1]对照表!$L$27:$L$48)),IF(B415="高二",IF($E415="男",LOOKUP(H415,[1]对照表!$J$3:$J$24,[1]对照表!$L$3:$L$24),LOOKUP(H415,[1]对照表!$J$27:$J$48,[1]对照表!$L$27:$L$48)),IF(B415="高一",IF($E415="男",LOOKUP(H415,[1]对照表!$I$3:$I$24,[1]对照表!$L$3:$L$24),LOOKUP(H415,[1]对照表!$I$27:$I$48,[1]对照表!$L$27:$L$48)))))</f>
        <v>78</v>
      </c>
      <c r="J415" s="38">
        <v>208</v>
      </c>
      <c r="K415" s="32">
        <f>IF(B415="高三",IF($E415="男",LOOKUP(J415,[1]对照表!$O$3:$O$24,[1]对照表!$P$3:$P$24),LOOKUP(J415,[1]对照表!$O$27:$O$48,[1]对照表!$P$27:$P$48)),IF(B415="高二",IF($E415="男",LOOKUP(J415,[1]对照表!$N$3:$N$24,[1]对照表!$P$3:$P$24),LOOKUP(J415,[1]对照表!$N$27:$N$48,[1]对照表!$P$27:$P$48)),IF(B415="高一",IF($E415="男",LOOKUP(J415,[1]对照表!$M$3:$M$24,[1]对照表!$P$3:$P$24),LOOKUP(J415,[1]对照表!$M$27:$M$48,[1]对照表!$P$27:$P$48)))))</f>
        <v>100</v>
      </c>
      <c r="L415" s="38">
        <v>48</v>
      </c>
      <c r="M415" s="32">
        <f>IF(B415="高三",IF($E415="男",LOOKUP(L415,[1]对照表!$S$3:$S$24,[1]对照表!$T$3:$T$24),LOOKUP(L415,[1]对照表!$S$27:$S$48,[1]对照表!$T$27:$T$48)),IF(B415="高二",IF($E415="男",LOOKUP(L415,[1]对照表!$R$3:$R$24,[1]对照表!$T$3:$T$24),LOOKUP(L415,[1]对照表!$R$27:$R$48,[1]对照表!$T$27:$T$48)),IF(B415="高一",IF($E415="男",LOOKUP(L415,[1]对照表!$Q$3:$Q$24,[1]对照表!$T$3:$T$24),LOOKUP(L415,[1]对照表!$Q$27:$Q$48,[1]对照表!$T$27:$T$48)))))</f>
        <v>85</v>
      </c>
      <c r="N415" s="33">
        <f>IF(B415="高三",MAX(IF(E415="男",L415-18,L415-55),0),IF(B415="高二",MAX(IF(E415="男",L415-17,L415-54),0),IF(B415="高一",MAX(IF(E415="男",L415-16,L415-53),0))))</f>
        <v>0</v>
      </c>
      <c r="O415" s="23">
        <f>IF(E415="男",LOOKUP($N415,[1]对照表!$Z$3:$Z$13,[1]对照表!$AA$3:$AA$13),LOOKUP($N415,[1]对照表!$Z$15:$Z$25,[1]对照表!$AA$15:$AA$25))</f>
        <v>0</v>
      </c>
      <c r="P415" s="25">
        <f>M415+O415</f>
        <v>85</v>
      </c>
      <c r="Q415" s="50">
        <v>3.25</v>
      </c>
      <c r="R415" s="32">
        <f>IF(B415="高三",IF($E415="男",LOOKUP(Q415,[1]对照表!$W$3:$W$24,[1]对照表!$X$3:$X$24),LOOKUP(Q415,[1]对照表!$W$27:$W$48,[1]对照表!$X$27:$X$48)),IF(B415="高二",IF($E415="男",LOOKUP(Q415,[1]对照表!$V$3:$V$24,[1]对照表!$X$3:$X$24),LOOKUP(Q415,[1]对照表!$V$27:$V$48,[1]对照表!$X$27:$X$48)),IF(B415="高一",IF($E415="男",LOOKUP(Q415,[1]对照表!$U$3:$U$24,[1]对照表!$X$3:$X$24),LOOKUP(Q415,[1]对照表!$U$27:$U$48,[1]对照表!$X$27:$X$48)))))</f>
        <v>95</v>
      </c>
      <c r="S415" s="33">
        <f>ROUND(IF(IF($B415="高三",MIN(IF($E415="男",$Q415-3.2,$Q415-3.2),0),IF($B415="高二",MIN(IF($E415="男",$Q415-3.25,$Q415-3.22),0),IF($B415="高一",MIN(IF($E415="男",$Q415-3.3,$Q415-3.24),0))))&lt;-0.6,IF($B415="高三",MIN(IF($E415="男",$Q415-3.2,$Q415-3.2),0),IF($B415="高二",MIN(IF($E415="男",$Q415-3.25,$Q415-3.22),0),IF($B415="高一",MIN(IF($E415="男",$Q415-3.3,$Q415-3.24),0))))+0.4,IF($B415="高三",MIN(IF($E415="男",$Q415-3.2,$Q415-3.2),0),IF($B415="高二",MIN(IF($E415="男",$Q415-3.25,$Q415-3.22),0),IF($B415="高一",MIN(IF($E415="男",$Q415-3.3,$Q415-3.24),0))))),2)</f>
        <v>0</v>
      </c>
      <c r="T415" s="23">
        <f>IF(E415="男",LOOKUP($S415,[1]对照表!$AB$3:$AB$13,[1]对照表!$AC$3:$AC$13),LOOKUP($S415,[1]对照表!$AB$15:$AB$25,[1]对照表!$AC$15:$AC$25))</f>
        <v>0</v>
      </c>
      <c r="U415" s="26">
        <f>R415+T415</f>
        <v>95</v>
      </c>
      <c r="V415" s="26">
        <f>SUM(I415,K415,M415)/3*0.3+SUM(G415,R415)/2*0.4</f>
        <v>61.3</v>
      </c>
      <c r="W415" s="27">
        <f>O415+T415</f>
        <v>0</v>
      </c>
      <c r="X415" s="28">
        <f>V415/0.7+W415</f>
        <v>87.571428571428569</v>
      </c>
      <c r="Y415" s="28">
        <f>X415</f>
        <v>87.571428571428569</v>
      </c>
      <c r="Z415" s="38"/>
    </row>
    <row r="416" spans="1:26" ht="15.6" customHeight="1" x14ac:dyDescent="0.25">
      <c r="A416" s="38">
        <v>8</v>
      </c>
      <c r="B416" s="17" t="s">
        <v>767</v>
      </c>
      <c r="C416" s="48">
        <v>209</v>
      </c>
      <c r="D416" s="49" t="s">
        <v>899</v>
      </c>
      <c r="E416" s="48" t="s">
        <v>23</v>
      </c>
      <c r="F416" s="50">
        <v>7.1</v>
      </c>
      <c r="G416" s="32">
        <f>IF(B416="高三",IF($E416="男",LOOKUP(F416,[1]对照表!$G$3:$G$24,[1]对照表!$H$3:$H$24),LOOKUP(F416,[1]对照表!$G$27:$G$48,[1]对照表!$H$27:$H$48)),IF(B416="高二",IF($E416="男",LOOKUP(F416,[1]对照表!$F$3:$F$24,[1]对照表!$H$3:$H$24),LOOKUP(F416,[1]对照表!$F$27:$F$48,[1]对照表!$H$27:$H$48)),IF(B416="高一",IF($E416="男",LOOKUP(F416,[1]对照表!$E$3:$E$24,[1]对照表!$H$3:$H$24),LOOKUP(F416,[1]对照表!$E$27:$E$48,[1]对照表!$H$27:$H$48)))))</f>
        <v>95</v>
      </c>
      <c r="H416" s="38">
        <v>21</v>
      </c>
      <c r="I416" s="32">
        <f>IF(B416="高三",IF($E416="男",LOOKUP(H416,[1]对照表!$K$3:$K$24,[1]对照表!$L$3:$L$24),LOOKUP(H416,[1]对照表!$K$27:$K$48,[1]对照表!$L$27:$L$48)),IF(B416="高二",IF($E416="男",LOOKUP(H416,[1]对照表!$J$3:$J$24,[1]对照表!$L$3:$L$24),LOOKUP(H416,[1]对照表!$J$27:$J$48,[1]对照表!$L$27:$L$48)),IF(B416="高一",IF($E416="男",LOOKUP(H416,[1]对照表!$I$3:$I$24,[1]对照表!$L$3:$L$24),LOOKUP(H416,[1]对照表!$I$27:$I$48,[1]对照表!$L$27:$L$48)))))</f>
        <v>90</v>
      </c>
      <c r="J416" s="38">
        <v>268</v>
      </c>
      <c r="K416" s="32">
        <f>IF(B416="高三",IF($E416="男",LOOKUP(J416,[1]对照表!$O$3:$O$24,[1]对照表!$P$3:$P$24),LOOKUP(J416,[1]对照表!$O$27:$O$48,[1]对照表!$P$27:$P$48)),IF(B416="高二",IF($E416="男",LOOKUP(J416,[1]对照表!$N$3:$N$24,[1]对照表!$P$3:$P$24),LOOKUP(J416,[1]对照表!$N$27:$N$48,[1]对照表!$P$27:$P$48)),IF(B416="高一",IF($E416="男",LOOKUP(J416,[1]对照表!$M$3:$M$24,[1]对照表!$P$3:$P$24),LOOKUP(J416,[1]对照表!$M$27:$M$48,[1]对照表!$P$27:$P$48)))))</f>
        <v>100</v>
      </c>
      <c r="L416" s="38">
        <v>17</v>
      </c>
      <c r="M416" s="32">
        <f>IF(B416="高三",IF($E416="男",LOOKUP(L416,[1]对照表!$S$3:$S$24,[1]对照表!$T$3:$T$24),LOOKUP(L416,[1]对照表!$S$27:$S$48,[1]对照表!$T$27:$T$48)),IF(B416="高二",IF($E416="男",LOOKUP(L416,[1]对照表!$R$3:$R$24,[1]对照表!$T$3:$T$24),LOOKUP(L416,[1]对照表!$R$27:$R$48,[1]对照表!$T$27:$T$48)),IF(B416="高一",IF($E416="男",LOOKUP(L416,[1]对照表!$Q$3:$Q$24,[1]对照表!$T$3:$T$24),LOOKUP(L416,[1]对照表!$Q$27:$Q$48,[1]对照表!$T$27:$T$48)))))</f>
        <v>100</v>
      </c>
      <c r="N416" s="33">
        <f>IF(B416="高三",MAX(IF(E416="男",L416-18,L416-55),0),IF(B416="高二",MAX(IF(E416="男",L416-17,L416-54),0),IF(B416="高一",MAX(IF(E416="男",L416-16,L416-53),0))))</f>
        <v>0</v>
      </c>
      <c r="O416" s="23">
        <f>IF(E416="男",LOOKUP($N416,[1]对照表!$Z$3:$Z$13,[1]对照表!$AA$3:$AA$13),LOOKUP($N416,[1]对照表!$Z$15:$Z$25,[1]对照表!$AA$15:$AA$25))</f>
        <v>0</v>
      </c>
      <c r="P416" s="25">
        <f>M416+O416</f>
        <v>100</v>
      </c>
      <c r="Q416" s="50">
        <v>3.25</v>
      </c>
      <c r="R416" s="32">
        <f>IF(B416="高三",IF($E416="男",LOOKUP(Q416,[1]对照表!$W$3:$W$24,[1]对照表!$X$3:$X$24),LOOKUP(Q416,[1]对照表!$W$27:$W$48,[1]对照表!$X$27:$X$48)),IF(B416="高二",IF($E416="男",LOOKUP(Q416,[1]对照表!$V$3:$V$24,[1]对照表!$X$3:$X$24),LOOKUP(Q416,[1]对照表!$V$27:$V$48,[1]对照表!$X$27:$X$48)),IF(B416="高一",IF($E416="男",LOOKUP(Q416,[1]对照表!$U$3:$U$24,[1]对照表!$X$3:$X$24),LOOKUP(Q416,[1]对照表!$U$27:$U$48,[1]对照表!$X$27:$X$48)))))</f>
        <v>100</v>
      </c>
      <c r="S416" s="33">
        <f>ROUND(IF(IF($B416="高三",MIN(IF($E416="男",$Q416-3.2,$Q416-3.2),0),IF($B416="高二",MIN(IF($E416="男",$Q416-3.25,$Q416-3.22),0),IF($B416="高一",MIN(IF($E416="男",$Q416-3.3,$Q416-3.24),0))))&lt;-0.6,IF($B416="高三",MIN(IF($E416="男",$Q416-3.2,$Q416-3.2),0),IF($B416="高二",MIN(IF($E416="男",$Q416-3.25,$Q416-3.22),0),IF($B416="高一",MIN(IF($E416="男",$Q416-3.3,$Q416-3.24),0))))+0.4,IF($B416="高三",MIN(IF($E416="男",$Q416-3.2,$Q416-3.2),0),IF($B416="高二",MIN(IF($E416="男",$Q416-3.25,$Q416-3.22),0),IF($B416="高一",MIN(IF($E416="男",$Q416-3.3,$Q416-3.24),0))))),2)</f>
        <v>0</v>
      </c>
      <c r="T416" s="23">
        <f>IF(E416="男",LOOKUP($S416,[1]对照表!$AB$3:$AB$13,[1]对照表!$AC$3:$AC$13),LOOKUP($S416,[1]对照表!$AB$15:$AB$25,[1]对照表!$AC$15:$AC$25))</f>
        <v>0</v>
      </c>
      <c r="U416" s="26">
        <f>R416+T416</f>
        <v>100</v>
      </c>
      <c r="V416" s="26">
        <f>SUM(I416,K416,M416)/3*0.3+SUM(G416,R416)/2*0.4</f>
        <v>68</v>
      </c>
      <c r="W416" s="27">
        <f>O416+T416</f>
        <v>0</v>
      </c>
      <c r="X416" s="28">
        <f>V416/0.7+W416</f>
        <v>97.142857142857153</v>
      </c>
      <c r="Y416" s="28">
        <f>X416</f>
        <v>97.142857142857153</v>
      </c>
      <c r="Z416" s="38"/>
    </row>
    <row r="417" spans="1:26" ht="15.6" x14ac:dyDescent="0.25">
      <c r="A417" s="52">
        <v>22</v>
      </c>
      <c r="B417" s="17" t="s">
        <v>767</v>
      </c>
      <c r="C417" s="48">
        <v>209</v>
      </c>
      <c r="D417" s="49" t="s">
        <v>908</v>
      </c>
      <c r="E417" s="48" t="s">
        <v>23</v>
      </c>
      <c r="F417" s="57">
        <v>6.9</v>
      </c>
      <c r="G417" s="32">
        <f>IF(B417="高三",IF($E417="男",LOOKUP(F417,[1]对照表!$G$3:$G$24,[1]对照表!$H$3:$H$24),LOOKUP(F417,[1]对照表!$G$27:$G$48,[1]对照表!$H$27:$H$48)),IF(B417="高二",IF($E417="男",LOOKUP(F417,[1]对照表!$F$3:$F$24,[1]对照表!$H$3:$H$24),LOOKUP(F417,[1]对照表!$F$27:$F$48,[1]对照表!$H$27:$H$48)),IF(B417="高一",IF($E417="男",LOOKUP(F417,[1]对照表!$E$3:$E$24,[1]对照表!$H$3:$H$24),LOOKUP(F417,[1]对照表!$E$27:$E$48,[1]对照表!$H$27:$H$48)))))</f>
        <v>100</v>
      </c>
      <c r="H417" s="52">
        <v>16.7</v>
      </c>
      <c r="I417" s="32">
        <f>IF(B417="高三",IF($E417="男",LOOKUP(H417,[1]对照表!$K$3:$K$24,[1]对照表!$L$3:$L$24),LOOKUP(H417,[1]对照表!$K$27:$K$48,[1]对照表!$L$27:$L$48)),IF(B417="高二",IF($E417="男",LOOKUP(H417,[1]对照表!$J$3:$J$24,[1]对照表!$L$3:$L$24),LOOKUP(H417,[1]对照表!$J$27:$J$48,[1]对照表!$L$27:$L$48)),IF(B417="高一",IF($E417="男",LOOKUP(H417,[1]对照表!$I$3:$I$24,[1]对照表!$L$3:$L$24),LOOKUP(H417,[1]对照表!$I$27:$I$48,[1]对照表!$L$27:$L$48)))))</f>
        <v>80</v>
      </c>
      <c r="J417" s="52">
        <v>265</v>
      </c>
      <c r="K417" s="32">
        <f>IF(B417="高三",IF($E417="男",LOOKUP(J417,[1]对照表!$O$3:$O$24,[1]对照表!$P$3:$P$24),LOOKUP(J417,[1]对照表!$O$27:$O$48,[1]对照表!$P$27:$P$48)),IF(B417="高二",IF($E417="男",LOOKUP(J417,[1]对照表!$N$3:$N$24,[1]对照表!$P$3:$P$24),LOOKUP(J417,[1]对照表!$N$27:$N$48,[1]对照表!$P$27:$P$48)),IF(B417="高一",IF($E417="男",LOOKUP(J417,[1]对照表!$M$3:$M$24,[1]对照表!$P$3:$P$24),LOOKUP(J417,[1]对照表!$M$27:$M$48,[1]对照表!$P$27:$P$48)))))</f>
        <v>100</v>
      </c>
      <c r="L417" s="52">
        <v>10</v>
      </c>
      <c r="M417" s="32">
        <f>IF(B417="高三",IF($E417="男",LOOKUP(L417,[1]对照表!$S$3:$S$24,[1]对照表!$T$3:$T$24),LOOKUP(L417,[1]对照表!$S$27:$S$48,[1]对照表!$T$27:$T$48)),IF(B417="高二",IF($E417="男",LOOKUP(L417,[1]对照表!$R$3:$R$24,[1]对照表!$T$3:$T$24),LOOKUP(L417,[1]对照表!$R$27:$R$48,[1]对照表!$T$27:$T$48)),IF(B417="高一",IF($E417="男",LOOKUP(L417,[1]对照表!$Q$3:$Q$24,[1]对照表!$T$3:$T$24),LOOKUP(L417,[1]对照表!$Q$27:$Q$48,[1]对照表!$T$27:$T$48)))))</f>
        <v>68</v>
      </c>
      <c r="N417" s="33">
        <f>IF(B417="高三",MAX(IF(E417="男",L417-18,L417-55),0),IF(B417="高二",MAX(IF(E417="男",L417-17,L417-54),0),IF(B417="高一",MAX(IF(E417="男",L417-16,L417-53),0))))</f>
        <v>0</v>
      </c>
      <c r="O417" s="23">
        <f>IF(E417="男",LOOKUP($N417,[1]对照表!$Z$3:$Z$13,[1]对照表!$AA$3:$AA$13),LOOKUP($N417,[1]对照表!$Z$15:$Z$25,[1]对照表!$AA$15:$AA$25))</f>
        <v>0</v>
      </c>
      <c r="P417" s="25">
        <f>M417+O417</f>
        <v>68</v>
      </c>
      <c r="Q417" s="57">
        <v>3.08</v>
      </c>
      <c r="R417" s="32">
        <f>IF(B417="高三",IF($E417="男",LOOKUP(Q417,[1]对照表!$W$3:$W$24,[1]对照表!$X$3:$X$24),LOOKUP(Q417,[1]对照表!$W$27:$W$48,[1]对照表!$X$27:$X$48)),IF(B417="高二",IF($E417="男",LOOKUP(Q417,[1]对照表!$V$3:$V$24,[1]对照表!$X$3:$X$24),LOOKUP(Q417,[1]对照表!$V$27:$V$48,[1]对照表!$X$27:$X$48)),IF(B417="高一",IF($E417="男",LOOKUP(Q417,[1]对照表!$U$3:$U$24,[1]对照表!$X$3:$X$24),LOOKUP(Q417,[1]对照表!$U$27:$U$48,[1]对照表!$X$27:$X$48)))))</f>
        <v>100</v>
      </c>
      <c r="S417" s="33">
        <f>ROUND(IF(IF($B417="高三",MIN(IF($E417="男",$Q417-3.2,$Q417-3.2),0),IF($B417="高二",MIN(IF($E417="男",$Q417-3.25,$Q417-3.22),0),IF($B417="高一",MIN(IF($E417="男",$Q417-3.3,$Q417-3.24),0))))&lt;-0.6,IF($B417="高三",MIN(IF($E417="男",$Q417-3.2,$Q417-3.2),0),IF($B417="高二",MIN(IF($E417="男",$Q417-3.25,$Q417-3.22),0),IF($B417="高一",MIN(IF($E417="男",$Q417-3.3,$Q417-3.24),0))))+0.4,IF($B417="高三",MIN(IF($E417="男",$Q417-3.2,$Q417-3.2),0),IF($B417="高二",MIN(IF($E417="男",$Q417-3.25,$Q417-3.22),0),IF($B417="高一",MIN(IF($E417="男",$Q417-3.3,$Q417-3.24),0))))),2)</f>
        <v>-0.17</v>
      </c>
      <c r="T417" s="23">
        <f>IF(E417="男",LOOKUP($S417,[1]对照表!$AB$3:$AB$13,[1]对照表!$AC$3:$AC$13),LOOKUP($S417,[1]对照表!$AB$15:$AB$25,[1]对照表!$AC$15:$AC$25))</f>
        <v>4</v>
      </c>
      <c r="U417" s="26">
        <f>R417+T417</f>
        <v>104</v>
      </c>
      <c r="V417" s="26">
        <f>SUM(I417,K417,M417)/3*0.3+SUM(G417,R417)/2*0.4</f>
        <v>64.8</v>
      </c>
      <c r="W417" s="27">
        <f>O417+T417</f>
        <v>4</v>
      </c>
      <c r="X417" s="28">
        <f>V417/0.7+W417</f>
        <v>96.571428571428569</v>
      </c>
      <c r="Y417" s="28">
        <f>X417</f>
        <v>96.571428571428569</v>
      </c>
      <c r="Z417" s="52"/>
    </row>
    <row r="418" spans="1:26" ht="15.6" customHeight="1" x14ac:dyDescent="0.25">
      <c r="A418" s="48">
        <v>33</v>
      </c>
      <c r="B418" s="17" t="s">
        <v>767</v>
      </c>
      <c r="C418" s="48">
        <v>209</v>
      </c>
      <c r="D418" s="49" t="s">
        <v>915</v>
      </c>
      <c r="E418" s="48" t="s">
        <v>65</v>
      </c>
      <c r="F418" s="50">
        <v>8.15</v>
      </c>
      <c r="G418" s="32">
        <f>IF(B418="高三",IF($E418="男",LOOKUP(F418,[1]对照表!$G$3:$G$24,[1]对照表!$H$3:$H$24),LOOKUP(F418,[1]对照表!$G$27:$G$48,[1]对照表!$H$27:$H$48)),IF(B418="高二",IF($E418="男",LOOKUP(F418,[1]对照表!$F$3:$F$24,[1]对照表!$H$3:$H$24),LOOKUP(F418,[1]对照表!$F$27:$F$48,[1]对照表!$H$27:$H$48)),IF(B418="高一",IF($E418="男",LOOKUP(F418,[1]对照表!$E$3:$E$24,[1]对照表!$H$3:$H$24),LOOKUP(F418,[1]对照表!$E$27:$E$48,[1]对照表!$H$27:$H$48)))))</f>
        <v>85</v>
      </c>
      <c r="H418" s="38">
        <v>21</v>
      </c>
      <c r="I418" s="32">
        <f>IF(B418="高三",IF($E418="男",LOOKUP(H418,[1]对照表!$K$3:$K$24,[1]对照表!$L$3:$L$24),LOOKUP(H418,[1]对照表!$K$27:$K$48,[1]对照表!$L$27:$L$48)),IF(B418="高二",IF($E418="男",LOOKUP(H418,[1]对照表!$J$3:$J$24,[1]对照表!$L$3:$L$24),LOOKUP(H418,[1]对照表!$J$27:$J$48,[1]对照表!$L$27:$L$48)),IF(B418="高一",IF($E418="男",LOOKUP(H418,[1]对照表!$I$3:$I$24,[1]对照表!$L$3:$L$24),LOOKUP(H418,[1]对照表!$I$27:$I$48,[1]对照表!$L$27:$L$48)))))</f>
        <v>85</v>
      </c>
      <c r="J418" s="38">
        <v>175</v>
      </c>
      <c r="K418" s="32">
        <f>IF(B418="高三",IF($E418="男",LOOKUP(J418,[1]对照表!$O$3:$O$24,[1]对照表!$P$3:$P$24),LOOKUP(J418,[1]对照表!$O$27:$O$48,[1]对照表!$P$27:$P$48)),IF(B418="高二",IF($E418="男",LOOKUP(J418,[1]对照表!$N$3:$N$24,[1]对照表!$P$3:$P$24),LOOKUP(J418,[1]对照表!$N$27:$N$48,[1]对照表!$P$27:$P$48)),IF(B418="高一",IF($E418="男",LOOKUP(J418,[1]对照表!$M$3:$M$24,[1]对照表!$P$3:$P$24),LOOKUP(J418,[1]对照表!$M$27:$M$48,[1]对照表!$P$27:$P$48)))))</f>
        <v>76</v>
      </c>
      <c r="L418" s="38">
        <v>50</v>
      </c>
      <c r="M418" s="32">
        <f>IF(B418="高三",IF($E418="男",LOOKUP(L418,[1]对照表!$S$3:$S$24,[1]对照表!$T$3:$T$24),LOOKUP(L418,[1]对照表!$S$27:$S$48,[1]对照表!$T$27:$T$48)),IF(B418="高二",IF($E418="男",LOOKUP(L418,[1]对照表!$R$3:$R$24,[1]对照表!$T$3:$T$24),LOOKUP(L418,[1]对照表!$R$27:$R$48,[1]对照表!$T$27:$T$48)),IF(B418="高一",IF($E418="男",LOOKUP(L418,[1]对照表!$Q$3:$Q$24,[1]对照表!$T$3:$T$24),LOOKUP(L418,[1]对照表!$Q$27:$Q$48,[1]对照表!$T$27:$T$48)))))</f>
        <v>90</v>
      </c>
      <c r="N418" s="33">
        <f>IF(B418="高三",MAX(IF(E418="男",L418-18,L418-55),0),IF(B418="高二",MAX(IF(E418="男",L418-17,L418-54),0),IF(B418="高一",MAX(IF(E418="男",L418-16,L418-53),0))))</f>
        <v>0</v>
      </c>
      <c r="O418" s="23">
        <f>IF(E418="男",LOOKUP($N418,[1]对照表!$Z$3:$Z$13,[1]对照表!$AA$3:$AA$13),LOOKUP($N418,[1]对照表!$Z$15:$Z$25,[1]对照表!$AA$15:$AA$25))</f>
        <v>0</v>
      </c>
      <c r="P418" s="25">
        <f>M418+O418</f>
        <v>90</v>
      </c>
      <c r="Q418" s="50">
        <v>3.3</v>
      </c>
      <c r="R418" s="32">
        <f>IF(B418="高三",IF($E418="男",LOOKUP(Q418,[1]对照表!$W$3:$W$24,[1]对照表!$X$3:$X$24),LOOKUP(Q418,[1]对照表!$W$27:$W$48,[1]对照表!$X$27:$X$48)),IF(B418="高二",IF($E418="男",LOOKUP(Q418,[1]对照表!$V$3:$V$24,[1]对照表!$X$3:$X$24),LOOKUP(Q418,[1]对照表!$V$27:$V$48,[1]对照表!$X$27:$X$48)),IF(B418="高一",IF($E418="男",LOOKUP(Q418,[1]对照表!$U$3:$U$24,[1]对照表!$X$3:$X$24),LOOKUP(Q418,[1]对照表!$U$27:$U$48,[1]对照表!$X$27:$X$48)))))</f>
        <v>90</v>
      </c>
      <c r="S418" s="33">
        <f>ROUND(IF(IF($B418="高三",MIN(IF($E418="男",$Q418-3.2,$Q418-3.2),0),IF($B418="高二",MIN(IF($E418="男",$Q418-3.25,$Q418-3.22),0),IF($B418="高一",MIN(IF($E418="男",$Q418-3.3,$Q418-3.24),0))))&lt;-0.6,IF($B418="高三",MIN(IF($E418="男",$Q418-3.2,$Q418-3.2),0),IF($B418="高二",MIN(IF($E418="男",$Q418-3.25,$Q418-3.22),0),IF($B418="高一",MIN(IF($E418="男",$Q418-3.3,$Q418-3.24),0))))+0.4,IF($B418="高三",MIN(IF($E418="男",$Q418-3.2,$Q418-3.2),0),IF($B418="高二",MIN(IF($E418="男",$Q418-3.25,$Q418-3.22),0),IF($B418="高一",MIN(IF($E418="男",$Q418-3.3,$Q418-3.24),0))))),2)</f>
        <v>0</v>
      </c>
      <c r="T418" s="23">
        <f>IF(E418="男",LOOKUP($S418,[1]对照表!$AB$3:$AB$13,[1]对照表!$AC$3:$AC$13),LOOKUP($S418,[1]对照表!$AB$15:$AB$25,[1]对照表!$AC$15:$AC$25))</f>
        <v>0</v>
      </c>
      <c r="U418" s="26">
        <f>R418+T418</f>
        <v>90</v>
      </c>
      <c r="V418" s="26">
        <f>SUM(I418,K418,M418)/3*0.3+SUM(G418,R418)/2*0.4</f>
        <v>60.1</v>
      </c>
      <c r="W418" s="27">
        <f>O418+T418</f>
        <v>0</v>
      </c>
      <c r="X418" s="28">
        <f>V418/0.7+W418</f>
        <v>85.857142857142861</v>
      </c>
      <c r="Y418" s="28">
        <f>X418</f>
        <v>85.857142857142861</v>
      </c>
      <c r="Z418" s="38"/>
    </row>
    <row r="419" spans="1:26" ht="15.6" x14ac:dyDescent="0.25">
      <c r="A419" s="48">
        <v>29</v>
      </c>
      <c r="B419" s="17" t="s">
        <v>767</v>
      </c>
      <c r="C419" s="48">
        <v>209</v>
      </c>
      <c r="D419" s="49" t="s">
        <v>921</v>
      </c>
      <c r="E419" s="48" t="s">
        <v>65</v>
      </c>
      <c r="F419" s="50">
        <v>8.56</v>
      </c>
      <c r="G419" s="32">
        <f>IF(B419="高三",IF($E419="男",LOOKUP(F419,[1]对照表!$G$3:$G$24,[1]对照表!$H$3:$H$24),LOOKUP(F419,[1]对照表!$G$27:$G$48,[1]对照表!$H$27:$H$48)),IF(B419="高二",IF($E419="男",LOOKUP(F419,[1]对照表!$F$3:$F$24,[1]对照表!$H$3:$H$24),LOOKUP(F419,[1]对照表!$F$27:$F$48,[1]对照表!$H$27:$H$48)),IF(B419="高一",IF($E419="男",LOOKUP(F419,[1]对照表!$E$3:$E$24,[1]对照表!$H$3:$H$24),LOOKUP(F419,[1]对照表!$E$27:$E$48,[1]对照表!$H$27:$H$48)))))</f>
        <v>78</v>
      </c>
      <c r="H419" s="38">
        <v>17.5</v>
      </c>
      <c r="I419" s="32">
        <f>IF(B419="高三",IF($E419="男",LOOKUP(H419,[1]对照表!$K$3:$K$24,[1]对照表!$L$3:$L$24),LOOKUP(H419,[1]对照表!$K$27:$K$48,[1]对照表!$L$27:$L$48)),IF(B419="高二",IF($E419="男",LOOKUP(H419,[1]对照表!$J$3:$J$24,[1]对照表!$L$3:$L$24),LOOKUP(H419,[1]对照表!$J$27:$J$48,[1]对照表!$L$27:$L$48)),IF(B419="高一",IF($E419="男",LOOKUP(H419,[1]对照表!$I$3:$I$24,[1]对照表!$L$3:$L$24),LOOKUP(H419,[1]对照表!$I$27:$I$48,[1]对照表!$L$27:$L$48)))))</f>
        <v>78</v>
      </c>
      <c r="J419" s="38">
        <v>196</v>
      </c>
      <c r="K419" s="32">
        <f>IF(B419="高三",IF($E419="男",LOOKUP(J419,[1]对照表!$O$3:$O$24,[1]对照表!$P$3:$P$24),LOOKUP(J419,[1]对照表!$O$27:$O$48,[1]对照表!$P$27:$P$48)),IF(B419="高二",IF($E419="男",LOOKUP(J419,[1]对照表!$N$3:$N$24,[1]对照表!$P$3:$P$24),LOOKUP(J419,[1]对照表!$N$27:$N$48,[1]对照表!$P$27:$P$48)),IF(B419="高一",IF($E419="男",LOOKUP(J419,[1]对照表!$M$3:$M$24,[1]对照表!$P$3:$P$24),LOOKUP(J419,[1]对照表!$M$27:$M$48,[1]对照表!$P$27:$P$48)))))</f>
        <v>90</v>
      </c>
      <c r="L419" s="38">
        <v>53</v>
      </c>
      <c r="M419" s="32">
        <f>IF(B419="高三",IF($E419="男",LOOKUP(L419,[1]对照表!$S$3:$S$24,[1]对照表!$T$3:$T$24),LOOKUP(L419,[1]对照表!$S$27:$S$48,[1]对照表!$T$27:$T$48)),IF(B419="高二",IF($E419="男",LOOKUP(L419,[1]对照表!$R$3:$R$24,[1]对照表!$T$3:$T$24),LOOKUP(L419,[1]对照表!$R$27:$R$48,[1]对照表!$T$27:$T$48)),IF(B419="高一",IF($E419="男",LOOKUP(L419,[1]对照表!$Q$3:$Q$24,[1]对照表!$T$3:$T$24),LOOKUP(L419,[1]对照表!$Q$27:$Q$48,[1]对照表!$T$27:$T$48)))))</f>
        <v>95</v>
      </c>
      <c r="N419" s="33">
        <f>IF(B419="高三",MAX(IF(E419="男",L419-18,L419-55),0),IF(B419="高二",MAX(IF(E419="男",L419-17,L419-54),0),IF(B419="高一",MAX(IF(E419="男",L419-16,L419-53),0))))</f>
        <v>0</v>
      </c>
      <c r="O419" s="23">
        <f>IF(E419="男",LOOKUP($N419,[1]对照表!$Z$3:$Z$13,[1]对照表!$AA$3:$AA$13),LOOKUP($N419,[1]对照表!$Z$15:$Z$25,[1]对照表!$AA$15:$AA$25))</f>
        <v>0</v>
      </c>
      <c r="P419" s="25">
        <f>M419+O419</f>
        <v>95</v>
      </c>
      <c r="Q419" s="50">
        <v>3.33</v>
      </c>
      <c r="R419" s="32">
        <f>IF(B419="高三",IF($E419="男",LOOKUP(Q419,[1]对照表!$W$3:$W$24,[1]对照表!$X$3:$X$24),LOOKUP(Q419,[1]对照表!$W$27:$W$48,[1]对照表!$X$27:$X$48)),IF(B419="高二",IF($E419="男",LOOKUP(Q419,[1]对照表!$V$3:$V$24,[1]对照表!$X$3:$X$24),LOOKUP(Q419,[1]对照表!$V$27:$V$48,[1]对照表!$X$27:$X$48)),IF(B419="高一",IF($E419="男",LOOKUP(Q419,[1]对照表!$U$3:$U$24,[1]对照表!$X$3:$X$24),LOOKUP(Q419,[1]对照表!$U$27:$U$48,[1]对照表!$X$27:$X$48)))))</f>
        <v>90</v>
      </c>
      <c r="S419" s="33">
        <f>ROUND(IF(IF($B419="高三",MIN(IF($E419="男",$Q419-3.2,$Q419-3.2),0),IF($B419="高二",MIN(IF($E419="男",$Q419-3.25,$Q419-3.22),0),IF($B419="高一",MIN(IF($E419="男",$Q419-3.3,$Q419-3.24),0))))&lt;-0.6,IF($B419="高三",MIN(IF($E419="男",$Q419-3.2,$Q419-3.2),0),IF($B419="高二",MIN(IF($E419="男",$Q419-3.25,$Q419-3.22),0),IF($B419="高一",MIN(IF($E419="男",$Q419-3.3,$Q419-3.24),0))))+0.4,IF($B419="高三",MIN(IF($E419="男",$Q419-3.2,$Q419-3.2),0),IF($B419="高二",MIN(IF($E419="男",$Q419-3.25,$Q419-3.22),0),IF($B419="高一",MIN(IF($E419="男",$Q419-3.3,$Q419-3.24),0))))),2)</f>
        <v>0</v>
      </c>
      <c r="T419" s="23">
        <f>IF(E419="男",LOOKUP($S419,[1]对照表!$AB$3:$AB$13,[1]对照表!$AC$3:$AC$13),LOOKUP($S419,[1]对照表!$AB$15:$AB$25,[1]对照表!$AC$15:$AC$25))</f>
        <v>0</v>
      </c>
      <c r="U419" s="26">
        <f>R419+T419</f>
        <v>90</v>
      </c>
      <c r="V419" s="26">
        <f>SUM(I419,K419,M419)/3*0.3+SUM(G419,R419)/2*0.4</f>
        <v>59.900000000000006</v>
      </c>
      <c r="W419" s="27">
        <f>O419+T419</f>
        <v>0</v>
      </c>
      <c r="X419" s="28">
        <f>V419/0.7+W419</f>
        <v>85.571428571428584</v>
      </c>
      <c r="Y419" s="28">
        <f>X419</f>
        <v>85.571428571428584</v>
      </c>
      <c r="Z419" s="38"/>
    </row>
    <row r="420" spans="1:26" ht="15.6" customHeight="1" x14ac:dyDescent="0.25">
      <c r="A420" s="38">
        <v>20</v>
      </c>
      <c r="B420" s="17" t="s">
        <v>767</v>
      </c>
      <c r="C420" s="48">
        <v>209</v>
      </c>
      <c r="D420" s="49" t="s">
        <v>935</v>
      </c>
      <c r="E420" s="48" t="s">
        <v>23</v>
      </c>
      <c r="F420" s="50">
        <v>7.1</v>
      </c>
      <c r="G420" s="32">
        <f>IF(B420="高三",IF($E420="男",LOOKUP(F420,[1]对照表!$G$3:$G$24,[1]对照表!$H$3:$H$24),LOOKUP(F420,[1]对照表!$G$27:$G$48,[1]对照表!$H$27:$H$48)),IF(B420="高二",IF($E420="男",LOOKUP(F420,[1]对照表!$F$3:$F$24,[1]对照表!$H$3:$H$24),LOOKUP(F420,[1]对照表!$F$27:$F$48,[1]对照表!$H$27:$H$48)),IF(B420="高一",IF($E420="男",LOOKUP(F420,[1]对照表!$E$3:$E$24,[1]对照表!$H$3:$H$24),LOOKUP(F420,[1]对照表!$E$27:$E$48,[1]对照表!$H$27:$H$48)))))</f>
        <v>95</v>
      </c>
      <c r="H420" s="38">
        <v>15.5</v>
      </c>
      <c r="I420" s="32">
        <f>IF(B420="高三",IF($E420="男",LOOKUP(H420,[1]对照表!$K$3:$K$24,[1]对照表!$L$3:$L$24),LOOKUP(H420,[1]对照表!$K$27:$K$48,[1]对照表!$L$27:$L$48)),IF(B420="高二",IF($E420="男",LOOKUP(H420,[1]对照表!$J$3:$J$24,[1]对照表!$L$3:$L$24),LOOKUP(H420,[1]对照表!$J$27:$J$48,[1]对照表!$L$27:$L$48)),IF(B420="高一",IF($E420="男",LOOKUP(H420,[1]对照表!$I$3:$I$24,[1]对照表!$L$3:$L$24),LOOKUP(H420,[1]对照表!$I$27:$I$48,[1]对照表!$L$27:$L$48)))))</f>
        <v>78</v>
      </c>
      <c r="J420" s="38">
        <v>255</v>
      </c>
      <c r="K420" s="32">
        <f>IF(B420="高三",IF($E420="男",LOOKUP(J420,[1]对照表!$O$3:$O$24,[1]对照表!$P$3:$P$24),LOOKUP(J420,[1]对照表!$O$27:$O$48,[1]对照表!$P$27:$P$48)),IF(B420="高二",IF($E420="男",LOOKUP(J420,[1]对照表!$N$3:$N$24,[1]对照表!$P$3:$P$24),LOOKUP(J420,[1]对照表!$N$27:$N$48,[1]对照表!$P$27:$P$48)),IF(B420="高一",IF($E420="男",LOOKUP(J420,[1]对照表!$M$3:$M$24,[1]对照表!$P$3:$P$24),LOOKUP(J420,[1]对照表!$M$27:$M$48,[1]对照表!$P$27:$P$48)))))</f>
        <v>90</v>
      </c>
      <c r="L420" s="38">
        <v>17</v>
      </c>
      <c r="M420" s="32">
        <f>IF(B420="高三",IF($E420="男",LOOKUP(L420,[1]对照表!$S$3:$S$24,[1]对照表!$T$3:$T$24),LOOKUP(L420,[1]对照表!$S$27:$S$48,[1]对照表!$T$27:$T$48)),IF(B420="高二",IF($E420="男",LOOKUP(L420,[1]对照表!$R$3:$R$24,[1]对照表!$T$3:$T$24),LOOKUP(L420,[1]对照表!$R$27:$R$48,[1]对照表!$T$27:$T$48)),IF(B420="高一",IF($E420="男",LOOKUP(L420,[1]对照表!$Q$3:$Q$24,[1]对照表!$T$3:$T$24),LOOKUP(L420,[1]对照表!$Q$27:$Q$48,[1]对照表!$T$27:$T$48)))))</f>
        <v>100</v>
      </c>
      <c r="N420" s="33">
        <f>IF(B420="高三",MAX(IF(E420="男",L420-18,L420-55),0),IF(B420="高二",MAX(IF(E420="男",L420-17,L420-54),0),IF(B420="高一",MAX(IF(E420="男",L420-16,L420-53),0))))</f>
        <v>0</v>
      </c>
      <c r="O420" s="23">
        <f>IF(E420="男",LOOKUP($N420,[1]对照表!$Z$3:$Z$13,[1]对照表!$AA$3:$AA$13),LOOKUP($N420,[1]对照表!$Z$15:$Z$25,[1]对照表!$AA$15:$AA$25))</f>
        <v>0</v>
      </c>
      <c r="P420" s="25">
        <f>M420+O420</f>
        <v>100</v>
      </c>
      <c r="Q420" s="50">
        <v>3.2</v>
      </c>
      <c r="R420" s="32">
        <f>IF(B420="高三",IF($E420="男",LOOKUP(Q420,[1]对照表!$W$3:$W$24,[1]对照表!$X$3:$X$24),LOOKUP(Q420,[1]对照表!$W$27:$W$48,[1]对照表!$X$27:$X$48)),IF(B420="高二",IF($E420="男",LOOKUP(Q420,[1]对照表!$V$3:$V$24,[1]对照表!$X$3:$X$24),LOOKUP(Q420,[1]对照表!$V$27:$V$48,[1]对照表!$X$27:$X$48)),IF(B420="高一",IF($E420="男",LOOKUP(Q420,[1]对照表!$U$3:$U$24,[1]对照表!$X$3:$X$24),LOOKUP(Q420,[1]对照表!$U$27:$U$48,[1]对照表!$X$27:$X$48)))))</f>
        <v>100</v>
      </c>
      <c r="S420" s="33">
        <f>ROUND(IF(IF($B420="高三",MIN(IF($E420="男",$Q420-3.2,$Q420-3.2),0),IF($B420="高二",MIN(IF($E420="男",$Q420-3.25,$Q420-3.22),0),IF($B420="高一",MIN(IF($E420="男",$Q420-3.3,$Q420-3.24),0))))&lt;-0.6,IF($B420="高三",MIN(IF($E420="男",$Q420-3.2,$Q420-3.2),0),IF($B420="高二",MIN(IF($E420="男",$Q420-3.25,$Q420-3.22),0),IF($B420="高一",MIN(IF($E420="男",$Q420-3.3,$Q420-3.24),0))))+0.4,IF($B420="高三",MIN(IF($E420="男",$Q420-3.2,$Q420-3.2),0),IF($B420="高二",MIN(IF($E420="男",$Q420-3.25,$Q420-3.22),0),IF($B420="高一",MIN(IF($E420="男",$Q420-3.3,$Q420-3.24),0))))),2)</f>
        <v>-0.05</v>
      </c>
      <c r="T420" s="23">
        <f>IF(E420="男",LOOKUP($S420,[1]对照表!$AB$3:$AB$13,[1]对照表!$AC$3:$AC$13),LOOKUP($S420,[1]对照表!$AB$15:$AB$25,[1]对照表!$AC$15:$AC$25))</f>
        <v>1</v>
      </c>
      <c r="U420" s="26">
        <f>R420+T420</f>
        <v>101</v>
      </c>
      <c r="V420" s="26">
        <f>SUM(I420,K420,M420)/3*0.3+SUM(G420,R420)/2*0.4</f>
        <v>65.8</v>
      </c>
      <c r="W420" s="27">
        <f>O420+T420</f>
        <v>1</v>
      </c>
      <c r="X420" s="28">
        <f>V420/0.7+W420</f>
        <v>95</v>
      </c>
      <c r="Y420" s="28">
        <f>X420</f>
        <v>95</v>
      </c>
      <c r="Z420" s="38"/>
    </row>
    <row r="421" spans="1:26" ht="15.6" x14ac:dyDescent="0.25">
      <c r="A421" s="48">
        <v>36</v>
      </c>
      <c r="B421" s="17" t="s">
        <v>767</v>
      </c>
      <c r="C421" s="48">
        <v>209</v>
      </c>
      <c r="D421" s="49" t="s">
        <v>945</v>
      </c>
      <c r="E421" s="48" t="s">
        <v>65</v>
      </c>
      <c r="F421" s="57">
        <v>8.93</v>
      </c>
      <c r="G421" s="32">
        <f>IF(B421="高三",IF($E421="男",LOOKUP(F421,[1]对照表!$G$3:$G$24,[1]对照表!$H$3:$H$24),LOOKUP(F421,[1]对照表!$G$27:$G$48,[1]对照表!$H$27:$H$48)),IF(B421="高二",IF($E421="男",LOOKUP(F421,[1]对照表!$F$3:$F$24,[1]对照表!$H$3:$H$24),LOOKUP(F421,[1]对照表!$F$27:$F$48,[1]对照表!$H$27:$H$48)),IF(B421="高一",IF($E421="男",LOOKUP(F421,[1]对照表!$E$3:$E$24,[1]对照表!$H$3:$H$24),LOOKUP(F421,[1]对照表!$E$27:$E$48,[1]对照表!$H$27:$H$48)))))</f>
        <v>74</v>
      </c>
      <c r="H421" s="52">
        <v>23</v>
      </c>
      <c r="I421" s="32">
        <f>IF(B421="高三",IF($E421="男",LOOKUP(H421,[1]对照表!$K$3:$K$24,[1]对照表!$L$3:$L$24),LOOKUP(H421,[1]对照表!$K$27:$K$48,[1]对照表!$L$27:$L$48)),IF(B421="高二",IF($E421="男",LOOKUP(H421,[1]对照表!$J$3:$J$24,[1]对照表!$L$3:$L$24),LOOKUP(H421,[1]对照表!$J$27:$J$48,[1]对照表!$L$27:$L$48)),IF(B421="高一",IF($E421="男",LOOKUP(H421,[1]对照表!$I$3:$I$24,[1]对照表!$L$3:$L$24),LOOKUP(H421,[1]对照表!$I$27:$I$48,[1]对照表!$L$27:$L$48)))))</f>
        <v>90</v>
      </c>
      <c r="J421" s="52">
        <v>166</v>
      </c>
      <c r="K421" s="32">
        <f>IF(B421="高三",IF($E421="男",LOOKUP(J421,[1]对照表!$O$3:$O$24,[1]对照表!$P$3:$P$24),LOOKUP(J421,[1]对照表!$O$27:$O$48,[1]对照表!$P$27:$P$48)),IF(B421="高二",IF($E421="男",LOOKUP(J421,[1]对照表!$N$3:$N$24,[1]对照表!$P$3:$P$24),LOOKUP(J421,[1]对照表!$N$27:$N$48,[1]对照表!$P$27:$P$48)),IF(B421="高一",IF($E421="男",LOOKUP(J421,[1]对照表!$M$3:$M$24,[1]对照表!$P$3:$P$24),LOOKUP(J421,[1]对照表!$M$27:$M$48,[1]对照表!$P$27:$P$48)))))</f>
        <v>70</v>
      </c>
      <c r="L421" s="52">
        <v>56</v>
      </c>
      <c r="M421" s="32">
        <f>IF(B421="高三",IF($E421="男",LOOKUP(L421,[1]对照表!$S$3:$S$24,[1]对照表!$T$3:$T$24),LOOKUP(L421,[1]对照表!$S$27:$S$48,[1]对照表!$T$27:$T$48)),IF(B421="高二",IF($E421="男",LOOKUP(L421,[1]对照表!$R$3:$R$24,[1]对照表!$T$3:$T$24),LOOKUP(L421,[1]对照表!$R$27:$R$48,[1]对照表!$T$27:$T$48)),IF(B421="高一",IF($E421="男",LOOKUP(L421,[1]对照表!$Q$3:$Q$24,[1]对照表!$T$3:$T$24),LOOKUP(L421,[1]对照表!$Q$27:$Q$48,[1]对照表!$T$27:$T$48)))))</f>
        <v>100</v>
      </c>
      <c r="N421" s="33">
        <f>IF(B421="高三",MAX(IF(E421="男",L421-18,L421-55),0),IF(B421="高二",MAX(IF(E421="男",L421-17,L421-54),0),IF(B421="高一",MAX(IF(E421="男",L421-16,L421-53),0))))</f>
        <v>2</v>
      </c>
      <c r="O421" s="23">
        <f>IF(E421="男",LOOKUP($N421,[1]对照表!$Z$3:$Z$13,[1]对照表!$AA$3:$AA$13),LOOKUP($N421,[1]对照表!$Z$15:$Z$25,[1]对照表!$AA$15:$AA$25))</f>
        <v>1</v>
      </c>
      <c r="P421" s="25">
        <f>M421+O421</f>
        <v>101</v>
      </c>
      <c r="Q421" s="57">
        <v>3.34</v>
      </c>
      <c r="R421" s="32">
        <f>IF(B421="高三",IF($E421="男",LOOKUP(Q421,[1]对照表!$W$3:$W$24,[1]对照表!$X$3:$X$24),LOOKUP(Q421,[1]对照表!$W$27:$W$48,[1]对照表!$X$27:$X$48)),IF(B421="高二",IF($E421="男",LOOKUP(Q421,[1]对照表!$V$3:$V$24,[1]对照表!$X$3:$X$24),LOOKUP(Q421,[1]对照表!$V$27:$V$48,[1]对照表!$X$27:$X$48)),IF(B421="高一",IF($E421="男",LOOKUP(Q421,[1]对照表!$U$3:$U$24,[1]对照表!$X$3:$X$24),LOOKUP(Q421,[1]对照表!$U$27:$U$48,[1]对照表!$X$27:$X$48)))))</f>
        <v>90</v>
      </c>
      <c r="S421" s="33">
        <f>ROUND(IF(IF($B421="高三",MIN(IF($E421="男",$Q421-3.2,$Q421-3.2),0),IF($B421="高二",MIN(IF($E421="男",$Q421-3.25,$Q421-3.22),0),IF($B421="高一",MIN(IF($E421="男",$Q421-3.3,$Q421-3.24),0))))&lt;-0.6,IF($B421="高三",MIN(IF($E421="男",$Q421-3.2,$Q421-3.2),0),IF($B421="高二",MIN(IF($E421="男",$Q421-3.25,$Q421-3.22),0),IF($B421="高一",MIN(IF($E421="男",$Q421-3.3,$Q421-3.24),0))))+0.4,IF($B421="高三",MIN(IF($E421="男",$Q421-3.2,$Q421-3.2),0),IF($B421="高二",MIN(IF($E421="男",$Q421-3.25,$Q421-3.22),0),IF($B421="高一",MIN(IF($E421="男",$Q421-3.3,$Q421-3.24),0))))),2)</f>
        <v>0</v>
      </c>
      <c r="T421" s="23">
        <f>IF(E421="男",LOOKUP($S421,[1]对照表!$AB$3:$AB$13,[1]对照表!$AC$3:$AC$13),LOOKUP($S421,[1]对照表!$AB$15:$AB$25,[1]对照表!$AC$15:$AC$25))</f>
        <v>0</v>
      </c>
      <c r="U421" s="26">
        <f>R421+T421</f>
        <v>90</v>
      </c>
      <c r="V421" s="26">
        <f>SUM(I421,K421,M421)/3*0.3+SUM(G421,R421)/2*0.4</f>
        <v>58.800000000000004</v>
      </c>
      <c r="W421" s="27">
        <f>O421+T421</f>
        <v>1</v>
      </c>
      <c r="X421" s="28">
        <f>V421/0.7+W421</f>
        <v>85.000000000000014</v>
      </c>
      <c r="Y421" s="28">
        <f>X421</f>
        <v>85.000000000000014</v>
      </c>
      <c r="Z421" s="52"/>
    </row>
    <row r="422" spans="1:26" ht="15.6" x14ac:dyDescent="0.25">
      <c r="A422" s="48">
        <v>35</v>
      </c>
      <c r="B422" s="17" t="s">
        <v>767</v>
      </c>
      <c r="C422" s="48">
        <v>209</v>
      </c>
      <c r="D422" s="49" t="s">
        <v>763</v>
      </c>
      <c r="E422" s="48" t="s">
        <v>65</v>
      </c>
      <c r="F422" s="50">
        <v>8.57</v>
      </c>
      <c r="G422" s="32">
        <f>IF(B422="高三",IF($E422="男",LOOKUP(F422,[1]对照表!$G$3:$G$24,[1]对照表!$H$3:$H$24),LOOKUP(F422,[1]对照表!$G$27:$G$48,[1]对照表!$H$27:$H$48)),IF(B422="高二",IF($E422="男",LOOKUP(F422,[1]对照表!$F$3:$F$24,[1]对照表!$H$3:$H$24),LOOKUP(F422,[1]对照表!$F$27:$F$48,[1]对照表!$H$27:$H$48)),IF(B422="高一",IF($E422="男",LOOKUP(F422,[1]对照表!$E$3:$E$24,[1]对照表!$H$3:$H$24),LOOKUP(F422,[1]对照表!$E$27:$E$48,[1]对照表!$H$27:$H$48)))))</f>
        <v>78</v>
      </c>
      <c r="H422" s="38">
        <v>20</v>
      </c>
      <c r="I422" s="32">
        <f>IF(B422="高三",IF($E422="男",LOOKUP(H422,[1]对照表!$K$3:$K$24,[1]对照表!$L$3:$L$24),LOOKUP(H422,[1]对照表!$K$27:$K$48,[1]对照表!$L$27:$L$48)),IF(B422="高二",IF($E422="男",LOOKUP(H422,[1]对照表!$J$3:$J$24,[1]对照表!$L$3:$L$24),LOOKUP(H422,[1]对照表!$J$27:$J$48,[1]对照表!$L$27:$L$48)),IF(B422="高一",IF($E422="男",LOOKUP(H422,[1]对照表!$I$3:$I$24,[1]对照表!$L$3:$L$24),LOOKUP(H422,[1]对照表!$I$27:$I$48,[1]对照表!$L$27:$L$48)))))</f>
        <v>85</v>
      </c>
      <c r="J422" s="38">
        <v>192</v>
      </c>
      <c r="K422" s="32">
        <f>IF(B422="高三",IF($E422="男",LOOKUP(J422,[1]对照表!$O$3:$O$24,[1]对照表!$P$3:$P$24),LOOKUP(J422,[1]对照表!$O$27:$O$48,[1]对照表!$P$27:$P$48)),IF(B422="高二",IF($E422="男",LOOKUP(J422,[1]对照表!$N$3:$N$24,[1]对照表!$P$3:$P$24),LOOKUP(J422,[1]对照表!$N$27:$N$48,[1]对照表!$P$27:$P$48)),IF(B422="高一",IF($E422="男",LOOKUP(J422,[1]对照表!$M$3:$M$24,[1]对照表!$P$3:$P$24),LOOKUP(J422,[1]对照表!$M$27:$M$48,[1]对照表!$P$27:$P$48)))))</f>
        <v>85</v>
      </c>
      <c r="L422" s="38">
        <v>56</v>
      </c>
      <c r="M422" s="32">
        <f>IF(B422="高三",IF($E422="男",LOOKUP(L422,[1]对照表!$S$3:$S$24,[1]对照表!$T$3:$T$24),LOOKUP(L422,[1]对照表!$S$27:$S$48,[1]对照表!$T$27:$T$48)),IF(B422="高二",IF($E422="男",LOOKUP(L422,[1]对照表!$R$3:$R$24,[1]对照表!$T$3:$T$24),LOOKUP(L422,[1]对照表!$R$27:$R$48,[1]对照表!$T$27:$T$48)),IF(B422="高一",IF($E422="男",LOOKUP(L422,[1]对照表!$Q$3:$Q$24,[1]对照表!$T$3:$T$24),LOOKUP(L422,[1]对照表!$Q$27:$Q$48,[1]对照表!$T$27:$T$48)))))</f>
        <v>100</v>
      </c>
      <c r="N422" s="33">
        <f>IF(B422="高三",MAX(IF(E422="男",L422-18,L422-55),0),IF(B422="高二",MAX(IF(E422="男",L422-17,L422-54),0),IF(B422="高一",MAX(IF(E422="男",L422-16,L422-53),0))))</f>
        <v>2</v>
      </c>
      <c r="O422" s="23">
        <f>IF(E422="男",LOOKUP($N422,[1]对照表!$Z$3:$Z$13,[1]对照表!$AA$3:$AA$13),LOOKUP($N422,[1]对照表!$Z$15:$Z$25,[1]对照表!$AA$15:$AA$25))</f>
        <v>1</v>
      </c>
      <c r="P422" s="25">
        <f>M422+O422</f>
        <v>101</v>
      </c>
      <c r="Q422" s="50">
        <v>3.42</v>
      </c>
      <c r="R422" s="32">
        <f>IF(B422="高三",IF($E422="男",LOOKUP(Q422,[1]对照表!$W$3:$W$24,[1]对照表!$X$3:$X$24),LOOKUP(Q422,[1]对照表!$W$27:$W$48,[1]对照表!$X$27:$X$48)),IF(B422="高二",IF($E422="男",LOOKUP(Q422,[1]对照表!$V$3:$V$24,[1]对照表!$X$3:$X$24),LOOKUP(Q422,[1]对照表!$V$27:$V$48,[1]对照表!$X$27:$X$48)),IF(B422="高一",IF($E422="男",LOOKUP(Q422,[1]对照表!$U$3:$U$24,[1]对照表!$X$3:$X$24),LOOKUP(Q422,[1]对照表!$U$27:$U$48,[1]对照表!$X$27:$X$48)))))</f>
        <v>80</v>
      </c>
      <c r="S422" s="33">
        <f>ROUND(IF(IF($B422="高三",MIN(IF($E422="男",$Q422-3.2,$Q422-3.2),0),IF($B422="高二",MIN(IF($E422="男",$Q422-3.25,$Q422-3.22),0),IF($B422="高一",MIN(IF($E422="男",$Q422-3.3,$Q422-3.24),0))))&lt;-0.6,IF($B422="高三",MIN(IF($E422="男",$Q422-3.2,$Q422-3.2),0),IF($B422="高二",MIN(IF($E422="男",$Q422-3.25,$Q422-3.22),0),IF($B422="高一",MIN(IF($E422="男",$Q422-3.3,$Q422-3.24),0))))+0.4,IF($B422="高三",MIN(IF($E422="男",$Q422-3.2,$Q422-3.2),0),IF($B422="高二",MIN(IF($E422="男",$Q422-3.25,$Q422-3.22),0),IF($B422="高一",MIN(IF($E422="男",$Q422-3.3,$Q422-3.24),0))))),2)</f>
        <v>0</v>
      </c>
      <c r="T422" s="23">
        <f>IF(E422="男",LOOKUP($S422,[1]对照表!$AB$3:$AB$13,[1]对照表!$AC$3:$AC$13),LOOKUP($S422,[1]对照表!$AB$15:$AB$25,[1]对照表!$AC$15:$AC$25))</f>
        <v>0</v>
      </c>
      <c r="U422" s="26">
        <f>R422+T422</f>
        <v>80</v>
      </c>
      <c r="V422" s="26">
        <f>SUM(I422,K422,M422)/3*0.3+SUM(G422,R422)/2*0.4</f>
        <v>58.6</v>
      </c>
      <c r="W422" s="27">
        <f>O422+T422</f>
        <v>1</v>
      </c>
      <c r="X422" s="28">
        <f>V422/0.7+W422</f>
        <v>84.714285714285722</v>
      </c>
      <c r="Y422" s="28">
        <f>X422</f>
        <v>84.714285714285722</v>
      </c>
      <c r="Z422" s="38"/>
    </row>
    <row r="423" spans="1:26" ht="15.6" x14ac:dyDescent="0.25">
      <c r="A423" s="48">
        <v>30</v>
      </c>
      <c r="B423" s="17" t="s">
        <v>767</v>
      </c>
      <c r="C423" s="48">
        <v>209</v>
      </c>
      <c r="D423" s="49" t="s">
        <v>953</v>
      </c>
      <c r="E423" s="48" t="s">
        <v>65</v>
      </c>
      <c r="F423" s="50">
        <v>8.56</v>
      </c>
      <c r="G423" s="32">
        <f>IF(B423="高三",IF($E423="男",LOOKUP(F423,[1]对照表!$G$3:$G$24,[1]对照表!$H$3:$H$24),LOOKUP(F423,[1]对照表!$G$27:$G$48,[1]对照表!$H$27:$H$48)),IF(B423="高二",IF($E423="男",LOOKUP(F423,[1]对照表!$F$3:$F$24,[1]对照表!$H$3:$H$24),LOOKUP(F423,[1]对照表!$F$27:$F$48,[1]对照表!$H$27:$H$48)),IF(B423="高一",IF($E423="男",LOOKUP(F423,[1]对照表!$E$3:$E$24,[1]对照表!$H$3:$H$24),LOOKUP(F423,[1]对照表!$E$27:$E$48,[1]对照表!$H$27:$H$48)))))</f>
        <v>78</v>
      </c>
      <c r="H423" s="38">
        <v>20.5</v>
      </c>
      <c r="I423" s="32">
        <f>IF(B423="高三",IF($E423="男",LOOKUP(H423,[1]对照表!$K$3:$K$24,[1]对照表!$L$3:$L$24),LOOKUP(H423,[1]对照表!$K$27:$K$48,[1]对照表!$L$27:$L$48)),IF(B423="高二",IF($E423="男",LOOKUP(H423,[1]对照表!$J$3:$J$24,[1]对照表!$L$3:$L$24),LOOKUP(H423,[1]对照表!$J$27:$J$48,[1]对照表!$L$27:$L$48)),IF(B423="高一",IF($E423="男",LOOKUP(H423,[1]对照表!$I$3:$I$24,[1]对照表!$L$3:$L$24),LOOKUP(H423,[1]对照表!$I$27:$I$48,[1]对照表!$L$27:$L$48)))))</f>
        <v>85</v>
      </c>
      <c r="J423" s="38">
        <v>190</v>
      </c>
      <c r="K423" s="32">
        <f>IF(B423="高三",IF($E423="男",LOOKUP(J423,[1]对照表!$O$3:$O$24,[1]对照表!$P$3:$P$24),LOOKUP(J423,[1]对照表!$O$27:$O$48,[1]对照表!$P$27:$P$48)),IF(B423="高二",IF($E423="男",LOOKUP(J423,[1]对照表!$N$3:$N$24,[1]对照表!$P$3:$P$24),LOOKUP(J423,[1]对照表!$N$27:$N$48,[1]对照表!$P$27:$P$48)),IF(B423="高一",IF($E423="男",LOOKUP(J423,[1]对照表!$M$3:$M$24,[1]对照表!$P$3:$P$24),LOOKUP(J423,[1]对照表!$M$27:$M$48,[1]对照表!$P$27:$P$48)))))</f>
        <v>85</v>
      </c>
      <c r="L423" s="38">
        <v>53</v>
      </c>
      <c r="M423" s="32">
        <f>IF(B423="高三",IF($E423="男",LOOKUP(L423,[1]对照表!$S$3:$S$24,[1]对照表!$T$3:$T$24),LOOKUP(L423,[1]对照表!$S$27:$S$48,[1]对照表!$T$27:$T$48)),IF(B423="高二",IF($E423="男",LOOKUP(L423,[1]对照表!$R$3:$R$24,[1]对照表!$T$3:$T$24),LOOKUP(L423,[1]对照表!$R$27:$R$48,[1]对照表!$T$27:$T$48)),IF(B423="高一",IF($E423="男",LOOKUP(L423,[1]对照表!$Q$3:$Q$24,[1]对照表!$T$3:$T$24),LOOKUP(L423,[1]对照表!$Q$27:$Q$48,[1]对照表!$T$27:$T$48)))))</f>
        <v>95</v>
      </c>
      <c r="N423" s="33">
        <f>IF(B423="高三",MAX(IF(E423="男",L423-18,L423-55),0),IF(B423="高二",MAX(IF(E423="男",L423-17,L423-54),0),IF(B423="高一",MAX(IF(E423="男",L423-16,L423-53),0))))</f>
        <v>0</v>
      </c>
      <c r="O423" s="23">
        <f>IF(E423="男",LOOKUP($N423,[1]对照表!$Z$3:$Z$13,[1]对照表!$AA$3:$AA$13),LOOKUP($N423,[1]对照表!$Z$15:$Z$25,[1]对照表!$AA$15:$AA$25))</f>
        <v>0</v>
      </c>
      <c r="P423" s="25">
        <f>M423+O423</f>
        <v>95</v>
      </c>
      <c r="Q423" s="50">
        <v>3.4</v>
      </c>
      <c r="R423" s="32">
        <f>IF(B423="高三",IF($E423="男",LOOKUP(Q423,[1]对照表!$W$3:$W$24,[1]对照表!$X$3:$X$24),LOOKUP(Q423,[1]对照表!$W$27:$W$48,[1]对照表!$X$27:$X$48)),IF(B423="高二",IF($E423="男",LOOKUP(Q423,[1]对照表!$V$3:$V$24,[1]对照表!$X$3:$X$24),LOOKUP(Q423,[1]对照表!$V$27:$V$48,[1]对照表!$X$27:$X$48)),IF(B423="高一",IF($E423="男",LOOKUP(Q423,[1]对照表!$U$3:$U$24,[1]对照表!$X$3:$X$24),LOOKUP(Q423,[1]对照表!$U$27:$U$48,[1]对照表!$X$27:$X$48)))))</f>
        <v>85</v>
      </c>
      <c r="S423" s="33">
        <f>ROUND(IF(IF($B423="高三",MIN(IF($E423="男",$Q423-3.2,$Q423-3.2),0),IF($B423="高二",MIN(IF($E423="男",$Q423-3.25,$Q423-3.22),0),IF($B423="高一",MIN(IF($E423="男",$Q423-3.3,$Q423-3.24),0))))&lt;-0.6,IF($B423="高三",MIN(IF($E423="男",$Q423-3.2,$Q423-3.2),0),IF($B423="高二",MIN(IF($E423="男",$Q423-3.25,$Q423-3.22),0),IF($B423="高一",MIN(IF($E423="男",$Q423-3.3,$Q423-3.24),0))))+0.4,IF($B423="高三",MIN(IF($E423="男",$Q423-3.2,$Q423-3.2),0),IF($B423="高二",MIN(IF($E423="男",$Q423-3.25,$Q423-3.22),0),IF($B423="高一",MIN(IF($E423="男",$Q423-3.3,$Q423-3.24),0))))),2)</f>
        <v>0</v>
      </c>
      <c r="T423" s="23">
        <f>IF(E423="男",LOOKUP($S423,[1]对照表!$AB$3:$AB$13,[1]对照表!$AC$3:$AC$13),LOOKUP($S423,[1]对照表!$AB$15:$AB$25,[1]对照表!$AC$15:$AC$25))</f>
        <v>0</v>
      </c>
      <c r="U423" s="26">
        <f>R423+T423</f>
        <v>85</v>
      </c>
      <c r="V423" s="26">
        <f>SUM(I423,K423,M423)/3*0.3+SUM(G423,R423)/2*0.4</f>
        <v>59.099999999999994</v>
      </c>
      <c r="W423" s="27">
        <f>O423+T423</f>
        <v>0</v>
      </c>
      <c r="X423" s="28">
        <f>V423/0.7+W423</f>
        <v>84.428571428571431</v>
      </c>
      <c r="Y423" s="28">
        <f>X423</f>
        <v>84.428571428571431</v>
      </c>
      <c r="Z423" s="38"/>
    </row>
    <row r="424" spans="1:26" ht="15.6" customHeight="1" x14ac:dyDescent="0.25">
      <c r="A424" s="38">
        <v>4</v>
      </c>
      <c r="B424" s="17" t="s">
        <v>767</v>
      </c>
      <c r="C424" s="48">
        <v>209</v>
      </c>
      <c r="D424" s="49" t="s">
        <v>1011</v>
      </c>
      <c r="E424" s="48" t="s">
        <v>23</v>
      </c>
      <c r="F424" s="50">
        <v>7</v>
      </c>
      <c r="G424" s="32">
        <f>IF(B424="高三",IF($E424="男",LOOKUP(F424,[1]对照表!$G$3:$G$24,[1]对照表!$H$3:$H$24),LOOKUP(F424,[1]对照表!$G$27:$G$48,[1]对照表!$H$27:$H$48)),IF(B424="高二",IF($E424="男",LOOKUP(F424,[1]对照表!$F$3:$F$24,[1]对照表!$H$3:$H$24),LOOKUP(F424,[1]对照表!$F$27:$F$48,[1]对照表!$H$27:$H$48)),IF(B424="高一",IF($E424="男",LOOKUP(F424,[1]对照表!$E$3:$E$24,[1]对照表!$H$3:$H$24),LOOKUP(F424,[1]对照表!$E$27:$E$48,[1]对照表!$H$27:$H$48)))))</f>
        <v>100</v>
      </c>
      <c r="H424" s="38">
        <v>20</v>
      </c>
      <c r="I424" s="32">
        <f>IF(B424="高三",IF($E424="男",LOOKUP(H424,[1]对照表!$K$3:$K$24,[1]对照表!$L$3:$L$24),LOOKUP(H424,[1]对照表!$K$27:$K$48,[1]对照表!$L$27:$L$48)),IF(B424="高二",IF($E424="男",LOOKUP(H424,[1]对照表!$J$3:$J$24,[1]对照表!$L$3:$L$24),LOOKUP(H424,[1]对照表!$J$27:$J$48,[1]对照表!$L$27:$L$48)),IF(B424="高一",IF($E424="男",LOOKUP(H424,[1]对照表!$I$3:$I$24,[1]对照表!$L$3:$L$24),LOOKUP(H424,[1]对照表!$I$27:$I$48,[1]对照表!$L$27:$L$48)))))</f>
        <v>85</v>
      </c>
      <c r="J424" s="38">
        <v>230</v>
      </c>
      <c r="K424" s="32">
        <f>IF(B424="高三",IF($E424="男",LOOKUP(J424,[1]对照表!$O$3:$O$24,[1]对照表!$P$3:$P$24),LOOKUP(J424,[1]对照表!$O$27:$O$48,[1]对照表!$P$27:$P$48)),IF(B424="高二",IF($E424="男",LOOKUP(J424,[1]对照表!$N$3:$N$24,[1]对照表!$P$3:$P$24),LOOKUP(J424,[1]对照表!$N$27:$N$48,[1]对照表!$P$27:$P$48)),IF(B424="高一",IF($E424="男",LOOKUP(J424,[1]对照表!$M$3:$M$24,[1]对照表!$P$3:$P$24),LOOKUP(J424,[1]对照表!$M$27:$M$48,[1]对照表!$P$27:$P$48)))))</f>
        <v>74</v>
      </c>
      <c r="L424" s="38">
        <v>17</v>
      </c>
      <c r="M424" s="32">
        <f>IF(B424="高三",IF($E424="男",LOOKUP(L424,[1]对照表!$S$3:$S$24,[1]对照表!$T$3:$T$24),LOOKUP(L424,[1]对照表!$S$27:$S$48,[1]对照表!$T$27:$T$48)),IF(B424="高二",IF($E424="男",LOOKUP(L424,[1]对照表!$R$3:$R$24,[1]对照表!$T$3:$T$24),LOOKUP(L424,[1]对照表!$R$27:$R$48,[1]对照表!$T$27:$T$48)),IF(B424="高一",IF($E424="男",LOOKUP(L424,[1]对照表!$Q$3:$Q$24,[1]对照表!$T$3:$T$24),LOOKUP(L424,[1]对照表!$Q$27:$Q$48,[1]对照表!$T$27:$T$48)))))</f>
        <v>100</v>
      </c>
      <c r="N424" s="33">
        <f>IF(B424="高三",MAX(IF(E424="男",L424-18,L424-55),0),IF(B424="高二",MAX(IF(E424="男",L424-17,L424-54),0),IF(B424="高一",MAX(IF(E424="男",L424-16,L424-53),0))))</f>
        <v>0</v>
      </c>
      <c r="O424" s="23">
        <f>IF(E424="男",LOOKUP($N424,[1]对照表!$Z$3:$Z$13,[1]对照表!$AA$3:$AA$13),LOOKUP($N424,[1]对照表!$Z$15:$Z$25,[1]对照表!$AA$15:$AA$25))</f>
        <v>0</v>
      </c>
      <c r="P424" s="25">
        <f>M424+O424</f>
        <v>100</v>
      </c>
      <c r="Q424" s="50">
        <v>3.39</v>
      </c>
      <c r="R424" s="32">
        <f>IF(B424="高三",IF($E424="男",LOOKUP(Q424,[1]对照表!$W$3:$W$24,[1]对照表!$X$3:$X$24),LOOKUP(Q424,[1]对照表!$W$27:$W$48,[1]对照表!$X$27:$X$48)),IF(B424="高二",IF($E424="男",LOOKUP(Q424,[1]对照表!$V$3:$V$24,[1]对照表!$X$3:$X$24),LOOKUP(Q424,[1]对照表!$V$27:$V$48,[1]对照表!$X$27:$X$48)),IF(B424="高一",IF($E424="男",LOOKUP(Q424,[1]对照表!$U$3:$U$24,[1]对照表!$X$3:$X$24),LOOKUP(Q424,[1]对照表!$U$27:$U$48,[1]对照表!$X$27:$X$48)))))</f>
        <v>85</v>
      </c>
      <c r="S424" s="33">
        <f>ROUND(IF(IF($B424="高三",MIN(IF($E424="男",$Q424-3.2,$Q424-3.2),0),IF($B424="高二",MIN(IF($E424="男",$Q424-3.25,$Q424-3.22),0),IF($B424="高一",MIN(IF($E424="男",$Q424-3.3,$Q424-3.24),0))))&lt;-0.6,IF($B424="高三",MIN(IF($E424="男",$Q424-3.2,$Q424-3.2),0),IF($B424="高二",MIN(IF($E424="男",$Q424-3.25,$Q424-3.22),0),IF($B424="高一",MIN(IF($E424="男",$Q424-3.3,$Q424-3.24),0))))+0.4,IF($B424="高三",MIN(IF($E424="男",$Q424-3.2,$Q424-3.2),0),IF($B424="高二",MIN(IF($E424="男",$Q424-3.25,$Q424-3.22),0),IF($B424="高一",MIN(IF($E424="男",$Q424-3.3,$Q424-3.24),0))))),2)</f>
        <v>0</v>
      </c>
      <c r="T424" s="23">
        <f>IF(E424="男",LOOKUP($S424,[1]对照表!$AB$3:$AB$13,[1]对照表!$AC$3:$AC$13),LOOKUP($S424,[1]对照表!$AB$15:$AB$25,[1]对照表!$AC$15:$AC$25))</f>
        <v>0</v>
      </c>
      <c r="U424" s="26">
        <f>R424+T424</f>
        <v>85</v>
      </c>
      <c r="V424" s="26">
        <f>SUM(I424,K424,M424)/3*0.3+SUM(G424,R424)/2*0.4</f>
        <v>62.9</v>
      </c>
      <c r="W424" s="27">
        <f>O424+T424</f>
        <v>0</v>
      </c>
      <c r="X424" s="28">
        <f>V424/0.7+W424</f>
        <v>89.857142857142861</v>
      </c>
      <c r="Y424" s="28">
        <f>X424</f>
        <v>89.857142857142861</v>
      </c>
      <c r="Z424" s="38"/>
    </row>
    <row r="425" spans="1:26" ht="15.6" customHeight="1" x14ac:dyDescent="0.25">
      <c r="A425" s="48">
        <v>39</v>
      </c>
      <c r="B425" s="17" t="s">
        <v>767</v>
      </c>
      <c r="C425" s="48">
        <v>209</v>
      </c>
      <c r="D425" s="49" t="s">
        <v>1026</v>
      </c>
      <c r="E425" s="48" t="s">
        <v>65</v>
      </c>
      <c r="F425" s="50">
        <v>8.49</v>
      </c>
      <c r="G425" s="32">
        <f>IF(B425="高三",IF($E425="男",LOOKUP(F425,[1]对照表!$G$3:$G$24,[1]对照表!$H$3:$H$24),LOOKUP(F425,[1]对照表!$G$27:$G$48,[1]对照表!$H$27:$H$48)),IF(B425="高二",IF($E425="男",LOOKUP(F425,[1]对照表!$F$3:$F$24,[1]对照表!$H$3:$H$24),LOOKUP(F425,[1]对照表!$F$27:$F$48,[1]对照表!$H$27:$H$48)),IF(B425="高一",IF($E425="男",LOOKUP(F425,[1]对照表!$E$3:$E$24,[1]对照表!$H$3:$H$24),LOOKUP(F425,[1]对照表!$E$27:$E$48,[1]对照表!$H$27:$H$48)))))</f>
        <v>80</v>
      </c>
      <c r="H425" s="38">
        <v>19.8</v>
      </c>
      <c r="I425" s="32">
        <f>IF(B425="高三",IF($E425="男",LOOKUP(H425,[1]对照表!$K$3:$K$24,[1]对照表!$L$3:$L$24),LOOKUP(H425,[1]对照表!$K$27:$K$48,[1]对照表!$L$27:$L$48)),IF(B425="高二",IF($E425="男",LOOKUP(H425,[1]对照表!$J$3:$J$24,[1]对照表!$L$3:$L$24),LOOKUP(H425,[1]对照表!$J$27:$J$48,[1]对照表!$L$27:$L$48)),IF(B425="高一",IF($E425="男",LOOKUP(H425,[1]对照表!$I$3:$I$24,[1]对照表!$L$3:$L$24),LOOKUP(H425,[1]对照表!$I$27:$I$48,[1]对照表!$L$27:$L$48)))))</f>
        <v>85</v>
      </c>
      <c r="J425" s="38">
        <v>185</v>
      </c>
      <c r="K425" s="32">
        <f>IF(B425="高三",IF($E425="男",LOOKUP(J425,[1]对照表!$O$3:$O$24,[1]对照表!$P$3:$P$24),LOOKUP(J425,[1]对照表!$O$27:$O$48,[1]对照表!$P$27:$P$48)),IF(B425="高二",IF($E425="男",LOOKUP(J425,[1]对照表!$N$3:$N$24,[1]对照表!$P$3:$P$24),LOOKUP(J425,[1]对照表!$N$27:$N$48,[1]对照表!$P$27:$P$48)),IF(B425="高一",IF($E425="男",LOOKUP(J425,[1]对照表!$M$3:$M$24,[1]对照表!$P$3:$P$24),LOOKUP(J425,[1]对照表!$M$27:$M$48,[1]对照表!$P$27:$P$48)))))</f>
        <v>80</v>
      </c>
      <c r="L425" s="38">
        <v>35</v>
      </c>
      <c r="M425" s="32">
        <f>IF(B425="高三",IF($E425="男",LOOKUP(L425,[1]对照表!$S$3:$S$24,[1]对照表!$T$3:$T$24),LOOKUP(L425,[1]对照表!$S$27:$S$48,[1]对照表!$T$27:$T$48)),IF(B425="高二",IF($E425="男",LOOKUP(L425,[1]对照表!$R$3:$R$24,[1]对照表!$T$3:$T$24),LOOKUP(L425,[1]对照表!$R$27:$R$48,[1]对照表!$T$27:$T$48)),IF(B425="高一",IF($E425="男",LOOKUP(L425,[1]对照表!$Q$3:$Q$24,[1]对照表!$T$3:$T$24),LOOKUP(L425,[1]对照表!$Q$27:$Q$48,[1]对照表!$T$27:$T$48)))))</f>
        <v>70</v>
      </c>
      <c r="N425" s="33">
        <f>IF(B425="高三",MAX(IF(E425="男",L425-18,L425-55),0),IF(B425="高二",MAX(IF(E425="男",L425-17,L425-54),0),IF(B425="高一",MAX(IF(E425="男",L425-16,L425-53),0))))</f>
        <v>0</v>
      </c>
      <c r="O425" s="23">
        <f>IF(E425="男",LOOKUP($N425,[1]对照表!$Z$3:$Z$13,[1]对照表!$AA$3:$AA$13),LOOKUP($N425,[1]对照表!$Z$15:$Z$25,[1]对照表!$AA$15:$AA$25))</f>
        <v>0</v>
      </c>
      <c r="P425" s="25">
        <f>M425+O425</f>
        <v>70</v>
      </c>
      <c r="Q425" s="50">
        <v>3.31</v>
      </c>
      <c r="R425" s="32">
        <f>IF(B425="高三",IF($E425="男",LOOKUP(Q425,[1]对照表!$W$3:$W$24,[1]对照表!$X$3:$X$24),LOOKUP(Q425,[1]对照表!$W$27:$W$48,[1]对照表!$X$27:$X$48)),IF(B425="高二",IF($E425="男",LOOKUP(Q425,[1]对照表!$V$3:$V$24,[1]对照表!$X$3:$X$24),LOOKUP(Q425,[1]对照表!$V$27:$V$48,[1]对照表!$X$27:$X$48)),IF(B425="高一",IF($E425="男",LOOKUP(Q425,[1]对照表!$U$3:$U$24,[1]对照表!$X$3:$X$24),LOOKUP(Q425,[1]对照表!$U$27:$U$48,[1]对照表!$X$27:$X$48)))))</f>
        <v>90</v>
      </c>
      <c r="S425" s="33">
        <f>ROUND(IF(IF($B425="高三",MIN(IF($E425="男",$Q425-3.2,$Q425-3.2),0),IF($B425="高二",MIN(IF($E425="男",$Q425-3.25,$Q425-3.22),0),IF($B425="高一",MIN(IF($E425="男",$Q425-3.3,$Q425-3.24),0))))&lt;-0.6,IF($B425="高三",MIN(IF($E425="男",$Q425-3.2,$Q425-3.2),0),IF($B425="高二",MIN(IF($E425="男",$Q425-3.25,$Q425-3.22),0),IF($B425="高一",MIN(IF($E425="男",$Q425-3.3,$Q425-3.24),0))))+0.4,IF($B425="高三",MIN(IF($E425="男",$Q425-3.2,$Q425-3.2),0),IF($B425="高二",MIN(IF($E425="男",$Q425-3.25,$Q425-3.22),0),IF($B425="高一",MIN(IF($E425="男",$Q425-3.3,$Q425-3.24),0))))),2)</f>
        <v>0</v>
      </c>
      <c r="T425" s="23">
        <f>IF(E425="男",LOOKUP($S425,[1]对照表!$AB$3:$AB$13,[1]对照表!$AC$3:$AC$13),LOOKUP($S425,[1]对照表!$AB$15:$AB$25,[1]对照表!$AC$15:$AC$25))</f>
        <v>0</v>
      </c>
      <c r="U425" s="26">
        <f>R425+T425</f>
        <v>90</v>
      </c>
      <c r="V425" s="26">
        <f>SUM(I425,K425,M425)/3*0.3+SUM(G425,R425)/2*0.4</f>
        <v>57.5</v>
      </c>
      <c r="W425" s="27">
        <f>O425+T425</f>
        <v>0</v>
      </c>
      <c r="X425" s="28">
        <f>V425/0.7+W425</f>
        <v>82.142857142857153</v>
      </c>
      <c r="Y425" s="28">
        <f>X425</f>
        <v>82.142857142857153</v>
      </c>
      <c r="Z425" s="38"/>
    </row>
    <row r="426" spans="1:26" ht="15.6" x14ac:dyDescent="0.25">
      <c r="A426" s="38">
        <v>19</v>
      </c>
      <c r="B426" s="17" t="s">
        <v>767</v>
      </c>
      <c r="C426" s="48">
        <v>209</v>
      </c>
      <c r="D426" s="49" t="s">
        <v>1037</v>
      </c>
      <c r="E426" s="48" t="s">
        <v>23</v>
      </c>
      <c r="F426" s="50">
        <v>7.1</v>
      </c>
      <c r="G426" s="32">
        <f>IF(B426="高三",IF($E426="男",LOOKUP(F426,[1]对照表!$G$3:$G$24,[1]对照表!$H$3:$H$24),LOOKUP(F426,[1]对照表!$G$27:$G$48,[1]对照表!$H$27:$H$48)),IF(B426="高二",IF($E426="男",LOOKUP(F426,[1]对照表!$F$3:$F$24,[1]对照表!$H$3:$H$24),LOOKUP(F426,[1]对照表!$F$27:$F$48,[1]对照表!$H$27:$H$48)),IF(B426="高一",IF($E426="男",LOOKUP(F426,[1]对照表!$E$3:$E$24,[1]对照表!$H$3:$H$24),LOOKUP(F426,[1]对照表!$E$27:$E$48,[1]对照表!$H$27:$H$48)))))</f>
        <v>95</v>
      </c>
      <c r="H426" s="38">
        <v>10</v>
      </c>
      <c r="I426" s="32">
        <f>IF(B426="高三",IF($E426="男",LOOKUP(H426,[1]对照表!$K$3:$K$24,[1]对照表!$L$3:$L$24),LOOKUP(H426,[1]对照表!$K$27:$K$48,[1]对照表!$L$27:$L$48)),IF(B426="高二",IF($E426="男",LOOKUP(H426,[1]对照表!$J$3:$J$24,[1]对照表!$L$3:$L$24),LOOKUP(H426,[1]对照表!$J$27:$J$48,[1]对照表!$L$27:$L$48)),IF(B426="高一",IF($E426="男",LOOKUP(H426,[1]对照表!$I$3:$I$24,[1]对照表!$L$3:$L$24),LOOKUP(H426,[1]对照表!$I$27:$I$48,[1]对照表!$L$27:$L$48)))))</f>
        <v>70</v>
      </c>
      <c r="J426" s="38">
        <v>230</v>
      </c>
      <c r="K426" s="32">
        <f>IF(B426="高三",IF($E426="男",LOOKUP(J426,[1]对照表!$O$3:$O$24,[1]对照表!$P$3:$P$24),LOOKUP(J426,[1]对照表!$O$27:$O$48,[1]对照表!$P$27:$P$48)),IF(B426="高二",IF($E426="男",LOOKUP(J426,[1]对照表!$N$3:$N$24,[1]对照表!$P$3:$P$24),LOOKUP(J426,[1]对照表!$N$27:$N$48,[1]对照表!$P$27:$P$48)),IF(B426="高一",IF($E426="男",LOOKUP(J426,[1]对照表!$M$3:$M$24,[1]对照表!$P$3:$P$24),LOOKUP(J426,[1]对照表!$M$27:$M$48,[1]对照表!$P$27:$P$48)))))</f>
        <v>74</v>
      </c>
      <c r="L426" s="38">
        <v>12</v>
      </c>
      <c r="M426" s="32">
        <f>IF(B426="高三",IF($E426="男",LOOKUP(L426,[1]对照表!$S$3:$S$24,[1]对照表!$T$3:$T$24),LOOKUP(L426,[1]对照表!$S$27:$S$48,[1]对照表!$T$27:$T$48)),IF(B426="高二",IF($E426="男",LOOKUP(L426,[1]对照表!$R$3:$R$24,[1]对照表!$T$3:$T$24),LOOKUP(L426,[1]对照表!$R$27:$R$48,[1]对照表!$T$27:$T$48)),IF(B426="高一",IF($E426="男",LOOKUP(L426,[1]对照表!$Q$3:$Q$24,[1]对照表!$T$3:$T$24),LOOKUP(L426,[1]对照表!$Q$27:$Q$48,[1]对照表!$T$27:$T$48)))))</f>
        <v>76</v>
      </c>
      <c r="N426" s="33">
        <f>IF(B426="高三",MAX(IF(E426="男",L426-18,L426-55),0),IF(B426="高二",MAX(IF(E426="男",L426-17,L426-54),0),IF(B426="高一",MAX(IF(E426="男",L426-16,L426-53),0))))</f>
        <v>0</v>
      </c>
      <c r="O426" s="23">
        <f>IF(E426="男",LOOKUP($N426,[1]对照表!$Z$3:$Z$13,[1]对照表!$AA$3:$AA$13),LOOKUP($N426,[1]对照表!$Z$15:$Z$25,[1]对照表!$AA$15:$AA$25))</f>
        <v>0</v>
      </c>
      <c r="P426" s="25">
        <f>M426+O426</f>
        <v>76</v>
      </c>
      <c r="Q426" s="50">
        <v>3.21</v>
      </c>
      <c r="R426" s="32">
        <f>IF(B426="高三",IF($E426="男",LOOKUP(Q426,[1]对照表!$W$3:$W$24,[1]对照表!$X$3:$X$24),LOOKUP(Q426,[1]对照表!$W$27:$W$48,[1]对照表!$X$27:$X$48)),IF(B426="高二",IF($E426="男",LOOKUP(Q426,[1]对照表!$V$3:$V$24,[1]对照表!$X$3:$X$24),LOOKUP(Q426,[1]对照表!$V$27:$V$48,[1]对照表!$X$27:$X$48)),IF(B426="高一",IF($E426="男",LOOKUP(Q426,[1]对照表!$U$3:$U$24,[1]对照表!$X$3:$X$24),LOOKUP(Q426,[1]对照表!$U$27:$U$48,[1]对照表!$X$27:$X$48)))))</f>
        <v>100</v>
      </c>
      <c r="S426" s="33">
        <f>ROUND(IF(IF($B426="高三",MIN(IF($E426="男",$Q426-3.2,$Q426-3.2),0),IF($B426="高二",MIN(IF($E426="男",$Q426-3.25,$Q426-3.22),0),IF($B426="高一",MIN(IF($E426="男",$Q426-3.3,$Q426-3.24),0))))&lt;-0.6,IF($B426="高三",MIN(IF($E426="男",$Q426-3.2,$Q426-3.2),0),IF($B426="高二",MIN(IF($E426="男",$Q426-3.25,$Q426-3.22),0),IF($B426="高一",MIN(IF($E426="男",$Q426-3.3,$Q426-3.24),0))))+0.4,IF($B426="高三",MIN(IF($E426="男",$Q426-3.2,$Q426-3.2),0),IF($B426="高二",MIN(IF($E426="男",$Q426-3.25,$Q426-3.22),0),IF($B426="高一",MIN(IF($E426="男",$Q426-3.3,$Q426-3.24),0))))),2)</f>
        <v>-0.04</v>
      </c>
      <c r="T426" s="23">
        <f>IF(E426="男",LOOKUP($S426,[1]对照表!$AB$3:$AB$13,[1]对照表!$AC$3:$AC$13),LOOKUP($S426,[1]对照表!$AB$15:$AB$25,[1]对照表!$AC$15:$AC$25))</f>
        <v>1</v>
      </c>
      <c r="U426" s="26">
        <f>R426+T426</f>
        <v>101</v>
      </c>
      <c r="V426" s="26">
        <f>SUM(I426,K426,M426)/3*0.3+SUM(G426,R426)/2*0.4</f>
        <v>61</v>
      </c>
      <c r="W426" s="27">
        <f>O426+T426</f>
        <v>1</v>
      </c>
      <c r="X426" s="28">
        <f>V426/0.7+W426</f>
        <v>88.142857142857153</v>
      </c>
      <c r="Y426" s="28">
        <f>X426</f>
        <v>88.142857142857153</v>
      </c>
      <c r="Z426" s="38"/>
    </row>
    <row r="427" spans="1:26" ht="15.6" x14ac:dyDescent="0.25">
      <c r="A427" s="38">
        <v>5</v>
      </c>
      <c r="B427" s="17" t="s">
        <v>767</v>
      </c>
      <c r="C427" s="48">
        <v>209</v>
      </c>
      <c r="D427" s="49" t="s">
        <v>1038</v>
      </c>
      <c r="E427" s="48" t="s">
        <v>23</v>
      </c>
      <c r="F427" s="50">
        <v>7</v>
      </c>
      <c r="G427" s="32">
        <f>IF(B427="高三",IF($E427="男",LOOKUP(F427,[1]对照表!$G$3:$G$24,[1]对照表!$H$3:$H$24),LOOKUP(F427,[1]对照表!$G$27:$G$48,[1]对照表!$H$27:$H$48)),IF(B427="高二",IF($E427="男",LOOKUP(F427,[1]对照表!$F$3:$F$24,[1]对照表!$H$3:$H$24),LOOKUP(F427,[1]对照表!$F$27:$F$48,[1]对照表!$H$27:$H$48)),IF(B427="高一",IF($E427="男",LOOKUP(F427,[1]对照表!$E$3:$E$24,[1]对照表!$H$3:$H$24),LOOKUP(F427,[1]对照表!$E$27:$E$48,[1]对照表!$H$27:$H$48)))))</f>
        <v>100</v>
      </c>
      <c r="H427" s="38">
        <v>15.5</v>
      </c>
      <c r="I427" s="32">
        <f>IF(B427="高三",IF($E427="男",LOOKUP(H427,[1]对照表!$K$3:$K$24,[1]对照表!$L$3:$L$24),LOOKUP(H427,[1]对照表!$K$27:$K$48,[1]对照表!$L$27:$L$48)),IF(B427="高二",IF($E427="男",LOOKUP(H427,[1]对照表!$J$3:$J$24,[1]对照表!$L$3:$L$24),LOOKUP(H427,[1]对照表!$J$27:$J$48,[1]对照表!$L$27:$L$48)),IF(B427="高一",IF($E427="男",LOOKUP(H427,[1]对照表!$I$3:$I$24,[1]对照表!$L$3:$L$24),LOOKUP(H427,[1]对照表!$I$27:$I$48,[1]对照表!$L$27:$L$48)))))</f>
        <v>78</v>
      </c>
      <c r="J427" s="38">
        <v>265</v>
      </c>
      <c r="K427" s="32">
        <f>IF(B427="高三",IF($E427="男",LOOKUP(J427,[1]对照表!$O$3:$O$24,[1]对照表!$P$3:$P$24),LOOKUP(J427,[1]对照表!$O$27:$O$48,[1]对照表!$P$27:$P$48)),IF(B427="高二",IF($E427="男",LOOKUP(J427,[1]对照表!$N$3:$N$24,[1]对照表!$P$3:$P$24),LOOKUP(J427,[1]对照表!$N$27:$N$48,[1]对照表!$P$27:$P$48)),IF(B427="高一",IF($E427="男",LOOKUP(J427,[1]对照表!$M$3:$M$24,[1]对照表!$P$3:$P$24),LOOKUP(J427,[1]对照表!$M$27:$M$48,[1]对照表!$P$27:$P$48)))))</f>
        <v>100</v>
      </c>
      <c r="L427" s="38">
        <v>10</v>
      </c>
      <c r="M427" s="32">
        <f>IF(B427="高三",IF($E427="男",LOOKUP(L427,[1]对照表!$S$3:$S$24,[1]对照表!$T$3:$T$24),LOOKUP(L427,[1]对照表!$S$27:$S$48,[1]对照表!$T$27:$T$48)),IF(B427="高二",IF($E427="男",LOOKUP(L427,[1]对照表!$R$3:$R$24,[1]对照表!$T$3:$T$24),LOOKUP(L427,[1]对照表!$R$27:$R$48,[1]对照表!$T$27:$T$48)),IF(B427="高一",IF($E427="男",LOOKUP(L427,[1]对照表!$Q$3:$Q$24,[1]对照表!$T$3:$T$24),LOOKUP(L427,[1]对照表!$Q$27:$Q$48,[1]对照表!$T$27:$T$48)))))</f>
        <v>68</v>
      </c>
      <c r="N427" s="33">
        <f>IF(B427="高三",MAX(IF(E427="男",L427-18,L427-55),0),IF(B427="高二",MAX(IF(E427="男",L427-17,L427-54),0),IF(B427="高一",MAX(IF(E427="男",L427-16,L427-53),0))))</f>
        <v>0</v>
      </c>
      <c r="O427" s="23">
        <f>IF(E427="男",LOOKUP($N427,[1]对照表!$Z$3:$Z$13,[1]对照表!$AA$3:$AA$13),LOOKUP($N427,[1]对照表!$Z$15:$Z$25,[1]对照表!$AA$15:$AA$25))</f>
        <v>0</v>
      </c>
      <c r="P427" s="25">
        <f>M427+O427</f>
        <v>68</v>
      </c>
      <c r="Q427" s="50">
        <v>3.37</v>
      </c>
      <c r="R427" s="32">
        <f>IF(B427="高三",IF($E427="男",LOOKUP(Q427,[1]对照表!$W$3:$W$24,[1]对照表!$X$3:$X$24),LOOKUP(Q427,[1]对照表!$W$27:$W$48,[1]对照表!$X$27:$X$48)),IF(B427="高二",IF($E427="男",LOOKUP(Q427,[1]对照表!$V$3:$V$24,[1]对照表!$X$3:$X$24),LOOKUP(Q427,[1]对照表!$V$27:$V$48,[1]对照表!$X$27:$X$48)),IF(B427="高一",IF($E427="男",LOOKUP(Q427,[1]对照表!$U$3:$U$24,[1]对照表!$X$3:$X$24),LOOKUP(Q427,[1]对照表!$U$27:$U$48,[1]对照表!$X$27:$X$48)))))</f>
        <v>85</v>
      </c>
      <c r="S427" s="33">
        <f>ROUND(IF(IF($B427="高三",MIN(IF($E427="男",$Q427-3.2,$Q427-3.2),0),IF($B427="高二",MIN(IF($E427="男",$Q427-3.25,$Q427-3.22),0),IF($B427="高一",MIN(IF($E427="男",$Q427-3.3,$Q427-3.24),0))))&lt;-0.6,IF($B427="高三",MIN(IF($E427="男",$Q427-3.2,$Q427-3.2),0),IF($B427="高二",MIN(IF($E427="男",$Q427-3.25,$Q427-3.22),0),IF($B427="高一",MIN(IF($E427="男",$Q427-3.3,$Q427-3.24),0))))+0.4,IF($B427="高三",MIN(IF($E427="男",$Q427-3.2,$Q427-3.2),0),IF($B427="高二",MIN(IF($E427="男",$Q427-3.25,$Q427-3.22),0),IF($B427="高一",MIN(IF($E427="男",$Q427-3.3,$Q427-3.24),0))))),2)</f>
        <v>0</v>
      </c>
      <c r="T427" s="23">
        <f>IF(E427="男",LOOKUP($S427,[1]对照表!$AB$3:$AB$13,[1]对照表!$AC$3:$AC$13),LOOKUP($S427,[1]对照表!$AB$15:$AB$25,[1]对照表!$AC$15:$AC$25))</f>
        <v>0</v>
      </c>
      <c r="U427" s="26">
        <f>R427+T427</f>
        <v>85</v>
      </c>
      <c r="V427" s="26">
        <f>SUM(I427,K427,M427)/3*0.3+SUM(G427,R427)/2*0.4</f>
        <v>61.599999999999994</v>
      </c>
      <c r="W427" s="27">
        <f>O427+T427</f>
        <v>0</v>
      </c>
      <c r="X427" s="28">
        <f>V427/0.7+W427</f>
        <v>88</v>
      </c>
      <c r="Y427" s="28">
        <f>X427</f>
        <v>88</v>
      </c>
      <c r="Z427" s="38"/>
    </row>
    <row r="428" spans="1:26" ht="15.6" x14ac:dyDescent="0.25">
      <c r="A428" s="48">
        <v>31</v>
      </c>
      <c r="B428" s="17" t="s">
        <v>767</v>
      </c>
      <c r="C428" s="48">
        <v>209</v>
      </c>
      <c r="D428" s="49" t="s">
        <v>1041</v>
      </c>
      <c r="E428" s="48" t="s">
        <v>65</v>
      </c>
      <c r="F428" s="50">
        <v>8.4700000000000006</v>
      </c>
      <c r="G428" s="32">
        <f>IF(B428="高三",IF($E428="男",LOOKUP(F428,[1]对照表!$G$3:$G$24,[1]对照表!$H$3:$H$24),LOOKUP(F428,[1]对照表!$G$27:$G$48,[1]对照表!$H$27:$H$48)),IF(B428="高二",IF($E428="男",LOOKUP(F428,[1]对照表!$F$3:$F$24,[1]对照表!$H$3:$H$24),LOOKUP(F428,[1]对照表!$F$27:$F$48,[1]对照表!$H$27:$H$48)),IF(B428="高一",IF($E428="男",LOOKUP(F428,[1]对照表!$E$3:$E$24,[1]对照表!$H$3:$H$24),LOOKUP(F428,[1]对照表!$E$27:$E$48,[1]对照表!$H$27:$H$48)))))</f>
        <v>80</v>
      </c>
      <c r="H428" s="38">
        <v>15</v>
      </c>
      <c r="I428" s="32">
        <f>IF(B428="高三",IF($E428="男",LOOKUP(H428,[1]对照表!$K$3:$K$24,[1]对照表!$L$3:$L$24),LOOKUP(H428,[1]对照表!$K$27:$K$48,[1]对照表!$L$27:$L$48)),IF(B428="高二",IF($E428="男",LOOKUP(H428,[1]对照表!$J$3:$J$24,[1]对照表!$L$3:$L$24),LOOKUP(H428,[1]对照表!$J$27:$J$48,[1]对照表!$L$27:$L$48)),IF(B428="高一",IF($E428="男",LOOKUP(H428,[1]对照表!$I$3:$I$24,[1]对照表!$L$3:$L$24),LOOKUP(H428,[1]对照表!$I$27:$I$48,[1]对照表!$L$27:$L$48)))))</f>
        <v>74</v>
      </c>
      <c r="J428" s="38">
        <v>182</v>
      </c>
      <c r="K428" s="32">
        <f>IF(B428="高三",IF($E428="男",LOOKUP(J428,[1]对照表!$O$3:$O$24,[1]对照表!$P$3:$P$24),LOOKUP(J428,[1]对照表!$O$27:$O$48,[1]对照表!$P$27:$P$48)),IF(B428="高二",IF($E428="男",LOOKUP(J428,[1]对照表!$N$3:$N$24,[1]对照表!$P$3:$P$24),LOOKUP(J428,[1]对照表!$N$27:$N$48,[1]对照表!$P$27:$P$48)),IF(B428="高一",IF($E428="男",LOOKUP(J428,[1]对照表!$M$3:$M$24,[1]对照表!$P$3:$P$24),LOOKUP(J428,[1]对照表!$M$27:$M$48,[1]对照表!$P$27:$P$48)))))</f>
        <v>80</v>
      </c>
      <c r="L428" s="38">
        <v>54</v>
      </c>
      <c r="M428" s="32">
        <f>IF(B428="高三",IF($E428="男",LOOKUP(L428,[1]对照表!$S$3:$S$24,[1]对照表!$T$3:$T$24),LOOKUP(L428,[1]对照表!$S$27:$S$48,[1]对照表!$T$27:$T$48)),IF(B428="高二",IF($E428="男",LOOKUP(L428,[1]对照表!$R$3:$R$24,[1]对照表!$T$3:$T$24),LOOKUP(L428,[1]对照表!$R$27:$R$48,[1]对照表!$T$27:$T$48)),IF(B428="高一",IF($E428="男",LOOKUP(L428,[1]对照表!$Q$3:$Q$24,[1]对照表!$T$3:$T$24),LOOKUP(L428,[1]对照表!$Q$27:$Q$48,[1]对照表!$T$27:$T$48)))))</f>
        <v>100</v>
      </c>
      <c r="N428" s="33">
        <f>IF(B428="高三",MAX(IF(E428="男",L428-18,L428-55),0),IF(B428="高二",MAX(IF(E428="男",L428-17,L428-54),0),IF(B428="高一",MAX(IF(E428="男",L428-16,L428-53),0))))</f>
        <v>0</v>
      </c>
      <c r="O428" s="23">
        <f>IF(E428="男",LOOKUP($N428,[1]对照表!$Z$3:$Z$13,[1]对照表!$AA$3:$AA$13),LOOKUP($N428,[1]对照表!$Z$15:$Z$25,[1]对照表!$AA$15:$AA$25))</f>
        <v>0</v>
      </c>
      <c r="P428" s="25">
        <f>M428+O428</f>
        <v>100</v>
      </c>
      <c r="Q428" s="50">
        <v>3.51</v>
      </c>
      <c r="R428" s="32">
        <f>IF(B428="高三",IF($E428="男",LOOKUP(Q428,[1]对照表!$W$3:$W$24,[1]对照表!$X$3:$X$24),LOOKUP(Q428,[1]对照表!$W$27:$W$48,[1]对照表!$X$27:$X$48)),IF(B428="高二",IF($E428="男",LOOKUP(Q428,[1]对照表!$V$3:$V$24,[1]对照表!$X$3:$X$24),LOOKUP(Q428,[1]对照表!$V$27:$V$48,[1]对照表!$X$27:$X$48)),IF(B428="高一",IF($E428="男",LOOKUP(Q428,[1]对照表!$U$3:$U$24,[1]对照表!$X$3:$X$24),LOOKUP(Q428,[1]对照表!$U$27:$U$48,[1]对照表!$X$27:$X$48)))))</f>
        <v>78</v>
      </c>
      <c r="S428" s="33">
        <f>ROUND(IF(IF($B428="高三",MIN(IF($E428="男",$Q428-3.2,$Q428-3.2),0),IF($B428="高二",MIN(IF($E428="男",$Q428-3.25,$Q428-3.22),0),IF($B428="高一",MIN(IF($E428="男",$Q428-3.3,$Q428-3.24),0))))&lt;-0.6,IF($B428="高三",MIN(IF($E428="男",$Q428-3.2,$Q428-3.2),0),IF($B428="高二",MIN(IF($E428="男",$Q428-3.25,$Q428-3.22),0),IF($B428="高一",MIN(IF($E428="男",$Q428-3.3,$Q428-3.24),0))))+0.4,IF($B428="高三",MIN(IF($E428="男",$Q428-3.2,$Q428-3.2),0),IF($B428="高二",MIN(IF($E428="男",$Q428-3.25,$Q428-3.22),0),IF($B428="高一",MIN(IF($E428="男",$Q428-3.3,$Q428-3.24),0))))),2)</f>
        <v>0</v>
      </c>
      <c r="T428" s="23">
        <f>IF(E428="男",LOOKUP($S428,[1]对照表!$AB$3:$AB$13,[1]对照表!$AC$3:$AC$13),LOOKUP($S428,[1]对照表!$AB$15:$AB$25,[1]对照表!$AC$15:$AC$25))</f>
        <v>0</v>
      </c>
      <c r="U428" s="26">
        <f>R428+T428</f>
        <v>78</v>
      </c>
      <c r="V428" s="26">
        <f>SUM(I428,K428,M428)/3*0.3+SUM(G428,R428)/2*0.4</f>
        <v>57</v>
      </c>
      <c r="W428" s="27">
        <f>O428+T428</f>
        <v>0</v>
      </c>
      <c r="X428" s="28">
        <f>V428/0.7+W428</f>
        <v>81.428571428571431</v>
      </c>
      <c r="Y428" s="28">
        <f>X428</f>
        <v>81.428571428571431</v>
      </c>
      <c r="Z428" s="38"/>
    </row>
    <row r="429" spans="1:26" ht="15.6" x14ac:dyDescent="0.25">
      <c r="A429" s="48">
        <v>47</v>
      </c>
      <c r="B429" s="17" t="s">
        <v>767</v>
      </c>
      <c r="C429" s="48">
        <v>209</v>
      </c>
      <c r="D429" s="49" t="s">
        <v>1075</v>
      </c>
      <c r="E429" s="48" t="s">
        <v>65</v>
      </c>
      <c r="F429" s="50">
        <v>9.36</v>
      </c>
      <c r="G429" s="32">
        <f>IF(B429="高三",IF($E429="男",LOOKUP(F429,[1]对照表!$G$3:$G$24,[1]对照表!$H$3:$H$24),LOOKUP(F429,[1]对照表!$G$27:$G$48,[1]对照表!$H$27:$H$48)),IF(B429="高二",IF($E429="男",LOOKUP(F429,[1]对照表!$F$3:$F$24,[1]对照表!$H$3:$H$24),LOOKUP(F429,[1]对照表!$F$27:$F$48,[1]对照表!$H$27:$H$48)),IF(B429="高一",IF($E429="男",LOOKUP(F429,[1]对照表!$E$3:$E$24,[1]对照表!$H$3:$H$24),LOOKUP(F429,[1]对照表!$E$27:$E$48,[1]对照表!$H$27:$H$48)))))</f>
        <v>70</v>
      </c>
      <c r="H429" s="38">
        <v>20.5</v>
      </c>
      <c r="I429" s="32">
        <f>IF(B429="高三",IF($E429="男",LOOKUP(H429,[1]对照表!$K$3:$K$24,[1]对照表!$L$3:$L$24),LOOKUP(H429,[1]对照表!$K$27:$K$48,[1]对照表!$L$27:$L$48)),IF(B429="高二",IF($E429="男",LOOKUP(H429,[1]对照表!$J$3:$J$24,[1]对照表!$L$3:$L$24),LOOKUP(H429,[1]对照表!$J$27:$J$48,[1]对照表!$L$27:$L$48)),IF(B429="高一",IF($E429="男",LOOKUP(H429,[1]对照表!$I$3:$I$24,[1]对照表!$L$3:$L$24),LOOKUP(H429,[1]对照表!$I$27:$I$48,[1]对照表!$L$27:$L$48)))))</f>
        <v>85</v>
      </c>
      <c r="J429" s="38">
        <v>171</v>
      </c>
      <c r="K429" s="32">
        <f>IF(B429="高三",IF($E429="男",LOOKUP(J429,[1]对照表!$O$3:$O$24,[1]对照表!$P$3:$P$24),LOOKUP(J429,[1]对照表!$O$27:$O$48,[1]对照表!$P$27:$P$48)),IF(B429="高二",IF($E429="男",LOOKUP(J429,[1]对照表!$N$3:$N$24,[1]对照表!$P$3:$P$24),LOOKUP(J429,[1]对照表!$N$27:$N$48,[1]对照表!$P$27:$P$48)),IF(B429="高一",IF($E429="男",LOOKUP(J429,[1]对照表!$M$3:$M$24,[1]对照表!$P$3:$P$24),LOOKUP(J429,[1]对照表!$M$27:$M$48,[1]对照表!$P$27:$P$48)))))</f>
        <v>74</v>
      </c>
      <c r="L429" s="38">
        <v>50</v>
      </c>
      <c r="M429" s="32">
        <f>IF(B429="高三",IF($E429="男",LOOKUP(L429,[1]对照表!$S$3:$S$24,[1]对照表!$T$3:$T$24),LOOKUP(L429,[1]对照表!$S$27:$S$48,[1]对照表!$T$27:$T$48)),IF(B429="高二",IF($E429="男",LOOKUP(L429,[1]对照表!$R$3:$R$24,[1]对照表!$T$3:$T$24),LOOKUP(L429,[1]对照表!$R$27:$R$48,[1]对照表!$T$27:$T$48)),IF(B429="高一",IF($E429="男",LOOKUP(L429,[1]对照表!$Q$3:$Q$24,[1]对照表!$T$3:$T$24),LOOKUP(L429,[1]对照表!$Q$27:$Q$48,[1]对照表!$T$27:$T$48)))))</f>
        <v>90</v>
      </c>
      <c r="N429" s="33">
        <f>IF(B429="高三",MAX(IF(E429="男",L429-18,L429-55),0),IF(B429="高二",MAX(IF(E429="男",L429-17,L429-54),0),IF(B429="高一",MAX(IF(E429="男",L429-16,L429-53),0))))</f>
        <v>0</v>
      </c>
      <c r="O429" s="23">
        <f>IF(E429="男",LOOKUP($N429,[1]对照表!$Z$3:$Z$13,[1]对照表!$AA$3:$AA$13),LOOKUP($N429,[1]对照表!$Z$15:$Z$25,[1]对照表!$AA$15:$AA$25))</f>
        <v>0</v>
      </c>
      <c r="P429" s="25">
        <f>M429+O429</f>
        <v>90</v>
      </c>
      <c r="Q429" s="50">
        <v>3.39</v>
      </c>
      <c r="R429" s="32">
        <f>IF(B429="高三",IF($E429="男",LOOKUP(Q429,[1]对照表!$W$3:$W$24,[1]对照表!$X$3:$X$24),LOOKUP(Q429,[1]对照表!$W$27:$W$48,[1]对照表!$X$27:$X$48)),IF(B429="高二",IF($E429="男",LOOKUP(Q429,[1]对照表!$V$3:$V$24,[1]对照表!$X$3:$X$24),LOOKUP(Q429,[1]对照表!$V$27:$V$48,[1]对照表!$X$27:$X$48)),IF(B429="高一",IF($E429="男",LOOKUP(Q429,[1]对照表!$U$3:$U$24,[1]对照表!$X$3:$X$24),LOOKUP(Q429,[1]对照表!$U$27:$U$48,[1]对照表!$X$27:$X$48)))))</f>
        <v>85</v>
      </c>
      <c r="S429" s="33">
        <f>ROUND(IF(IF($B429="高三",MIN(IF($E429="男",$Q429-3.2,$Q429-3.2),0),IF($B429="高二",MIN(IF($E429="男",$Q429-3.25,$Q429-3.22),0),IF($B429="高一",MIN(IF($E429="男",$Q429-3.3,$Q429-3.24),0))))&lt;-0.6,IF($B429="高三",MIN(IF($E429="男",$Q429-3.2,$Q429-3.2),0),IF($B429="高二",MIN(IF($E429="男",$Q429-3.25,$Q429-3.22),0),IF($B429="高一",MIN(IF($E429="男",$Q429-3.3,$Q429-3.24),0))))+0.4,IF($B429="高三",MIN(IF($E429="男",$Q429-3.2,$Q429-3.2),0),IF($B429="高二",MIN(IF($E429="男",$Q429-3.25,$Q429-3.22),0),IF($B429="高一",MIN(IF($E429="男",$Q429-3.3,$Q429-3.24),0))))),2)</f>
        <v>0</v>
      </c>
      <c r="T429" s="23">
        <f>IF(E429="男",LOOKUP($S429,[1]对照表!$AB$3:$AB$13,[1]对照表!$AC$3:$AC$13),LOOKUP($S429,[1]对照表!$AB$15:$AB$25,[1]对照表!$AC$15:$AC$25))</f>
        <v>0</v>
      </c>
      <c r="U429" s="26">
        <f>R429+T429</f>
        <v>85</v>
      </c>
      <c r="V429" s="26">
        <f>SUM(I429,K429,M429)/3*0.3+SUM(G429,R429)/2*0.4</f>
        <v>55.9</v>
      </c>
      <c r="W429" s="27">
        <f>O429+T429</f>
        <v>0</v>
      </c>
      <c r="X429" s="28">
        <f>V429/0.7+W429</f>
        <v>79.857142857142861</v>
      </c>
      <c r="Y429" s="28">
        <f>X429</f>
        <v>79.857142857142861</v>
      </c>
      <c r="Z429" s="38"/>
    </row>
    <row r="430" spans="1:26" ht="15.6" x14ac:dyDescent="0.25">
      <c r="A430" s="38">
        <v>9</v>
      </c>
      <c r="B430" s="17" t="s">
        <v>767</v>
      </c>
      <c r="C430" s="48">
        <v>209</v>
      </c>
      <c r="D430" s="49" t="s">
        <v>1091</v>
      </c>
      <c r="E430" s="48" t="s">
        <v>23</v>
      </c>
      <c r="F430" s="50">
        <v>7.1</v>
      </c>
      <c r="G430" s="32">
        <f>IF(B430="高三",IF($E430="男",LOOKUP(F430,[1]对照表!$G$3:$G$24,[1]对照表!$H$3:$H$24),LOOKUP(F430,[1]对照表!$G$27:$G$48,[1]对照表!$H$27:$H$48)),IF(B430="高二",IF($E430="男",LOOKUP(F430,[1]对照表!$F$3:$F$24,[1]对照表!$H$3:$H$24),LOOKUP(F430,[1]对照表!$F$27:$F$48,[1]对照表!$H$27:$H$48)),IF(B430="高一",IF($E430="男",LOOKUP(F430,[1]对照表!$E$3:$E$24,[1]对照表!$H$3:$H$24),LOOKUP(F430,[1]对照表!$E$27:$E$48,[1]对照表!$H$27:$H$48)))))</f>
        <v>95</v>
      </c>
      <c r="H430" s="38">
        <v>6</v>
      </c>
      <c r="I430" s="32">
        <f>IF(B430="高三",IF($E430="男",LOOKUP(H430,[1]对照表!$K$3:$K$24,[1]对照表!$L$3:$L$24),LOOKUP(H430,[1]对照表!$K$27:$K$48,[1]对照表!$L$27:$L$48)),IF(B430="高二",IF($E430="男",LOOKUP(H430,[1]对照表!$J$3:$J$24,[1]对照表!$L$3:$L$24),LOOKUP(H430,[1]对照表!$J$27:$J$48,[1]对照表!$L$27:$L$48)),IF(B430="高一",IF($E430="男",LOOKUP(H430,[1]对照表!$I$3:$I$24,[1]对照表!$L$3:$L$24),LOOKUP(H430,[1]对照表!$I$27:$I$48,[1]对照表!$L$27:$L$48)))))</f>
        <v>64</v>
      </c>
      <c r="J430" s="38">
        <v>257</v>
      </c>
      <c r="K430" s="32">
        <f>IF(B430="高三",IF($E430="男",LOOKUP(J430,[1]对照表!$O$3:$O$24,[1]对照表!$P$3:$P$24),LOOKUP(J430,[1]对照表!$O$27:$O$48,[1]对照表!$P$27:$P$48)),IF(B430="高二",IF($E430="男",LOOKUP(J430,[1]对照表!$N$3:$N$24,[1]对照表!$P$3:$P$24),LOOKUP(J430,[1]对照表!$N$27:$N$48,[1]对照表!$P$27:$P$48)),IF(B430="高一",IF($E430="男",LOOKUP(J430,[1]对照表!$M$3:$M$24,[1]对照表!$P$3:$P$24),LOOKUP(J430,[1]对照表!$M$27:$M$48,[1]对照表!$P$27:$P$48)))))</f>
        <v>90</v>
      </c>
      <c r="L430" s="38">
        <v>14</v>
      </c>
      <c r="M430" s="32">
        <f>IF(B430="高三",IF($E430="男",LOOKUP(L430,[1]对照表!$S$3:$S$24,[1]对照表!$T$3:$T$24),LOOKUP(L430,[1]对照表!$S$27:$S$48,[1]对照表!$T$27:$T$48)),IF(B430="高二",IF($E430="男",LOOKUP(L430,[1]对照表!$R$3:$R$24,[1]对照表!$T$3:$T$24),LOOKUP(L430,[1]对照表!$R$27:$R$48,[1]对照表!$T$27:$T$48)),IF(B430="高一",IF($E430="男",LOOKUP(L430,[1]对照表!$Q$3:$Q$24,[1]对照表!$T$3:$T$24),LOOKUP(L430,[1]对照表!$Q$27:$Q$48,[1]对照表!$T$27:$T$48)))))</f>
        <v>85</v>
      </c>
      <c r="N430" s="33">
        <f>IF(B430="高三",MAX(IF(E430="男",L430-18,L430-55),0),IF(B430="高二",MAX(IF(E430="男",L430-17,L430-54),0),IF(B430="高一",MAX(IF(E430="男",L430-16,L430-53),0))))</f>
        <v>0</v>
      </c>
      <c r="O430" s="23">
        <f>IF(E430="男",LOOKUP($N430,[1]对照表!$Z$3:$Z$13,[1]对照表!$AA$3:$AA$13),LOOKUP($N430,[1]对照表!$Z$15:$Z$25,[1]对照表!$AA$15:$AA$25))</f>
        <v>0</v>
      </c>
      <c r="P430" s="25">
        <f>M430+O430</f>
        <v>85</v>
      </c>
      <c r="Q430" s="50">
        <v>3.38</v>
      </c>
      <c r="R430" s="32">
        <f>IF(B430="高三",IF($E430="男",LOOKUP(Q430,[1]对照表!$W$3:$W$24,[1]对照表!$X$3:$X$24),LOOKUP(Q430,[1]对照表!$W$27:$W$48,[1]对照表!$X$27:$X$48)),IF(B430="高二",IF($E430="男",LOOKUP(Q430,[1]对照表!$V$3:$V$24,[1]对照表!$X$3:$X$24),LOOKUP(Q430,[1]对照表!$V$27:$V$48,[1]对照表!$X$27:$X$48)),IF(B430="高一",IF($E430="男",LOOKUP(Q430,[1]对照表!$U$3:$U$24,[1]对照表!$X$3:$X$24),LOOKUP(Q430,[1]对照表!$U$27:$U$48,[1]对照表!$X$27:$X$48)))))</f>
        <v>85</v>
      </c>
      <c r="S430" s="33">
        <f>ROUND(IF(IF($B430="高三",MIN(IF($E430="男",$Q430-3.2,$Q430-3.2),0),IF($B430="高二",MIN(IF($E430="男",$Q430-3.25,$Q430-3.22),0),IF($B430="高一",MIN(IF($E430="男",$Q430-3.3,$Q430-3.24),0))))&lt;-0.6,IF($B430="高三",MIN(IF($E430="男",$Q430-3.2,$Q430-3.2),0),IF($B430="高二",MIN(IF($E430="男",$Q430-3.25,$Q430-3.22),0),IF($B430="高一",MIN(IF($E430="男",$Q430-3.3,$Q430-3.24),0))))+0.4,IF($B430="高三",MIN(IF($E430="男",$Q430-3.2,$Q430-3.2),0),IF($B430="高二",MIN(IF($E430="男",$Q430-3.25,$Q430-3.22),0),IF($B430="高一",MIN(IF($E430="男",$Q430-3.3,$Q430-3.24),0))))),2)</f>
        <v>0</v>
      </c>
      <c r="T430" s="23">
        <f>IF(E430="男",LOOKUP($S430,[1]对照表!$AB$3:$AB$13,[1]对照表!$AC$3:$AC$13),LOOKUP($S430,[1]对照表!$AB$15:$AB$25,[1]对照表!$AC$15:$AC$25))</f>
        <v>0</v>
      </c>
      <c r="U430" s="26">
        <f>R430+T430</f>
        <v>85</v>
      </c>
      <c r="V430" s="26">
        <f>SUM(I430,K430,M430)/3*0.3+SUM(G430,R430)/2*0.4</f>
        <v>59.900000000000006</v>
      </c>
      <c r="W430" s="27">
        <f>O430+T430</f>
        <v>0</v>
      </c>
      <c r="X430" s="28">
        <f>V430/0.7+W430</f>
        <v>85.571428571428584</v>
      </c>
      <c r="Y430" s="28">
        <f>X430</f>
        <v>85.571428571428584</v>
      </c>
      <c r="Z430" s="38"/>
    </row>
    <row r="431" spans="1:26" ht="15.6" x14ac:dyDescent="0.25">
      <c r="A431" s="48">
        <v>24</v>
      </c>
      <c r="B431" s="17" t="s">
        <v>767</v>
      </c>
      <c r="C431" s="48">
        <v>209</v>
      </c>
      <c r="D431" s="49" t="s">
        <v>1104</v>
      </c>
      <c r="E431" s="48" t="s">
        <v>23</v>
      </c>
      <c r="F431" s="50">
        <v>6.9</v>
      </c>
      <c r="G431" s="32">
        <f>IF(B431="高三",IF($E431="男",LOOKUP(F431,[1]对照表!$G$3:$G$24,[1]对照表!$H$3:$H$24),LOOKUP(F431,[1]对照表!$G$27:$G$48,[1]对照表!$H$27:$H$48)),IF(B431="高二",IF($E431="男",LOOKUP(F431,[1]对照表!$F$3:$F$24,[1]对照表!$H$3:$H$24),LOOKUP(F431,[1]对照表!$F$27:$F$48,[1]对照表!$H$27:$H$48)),IF(B431="高一",IF($E431="男",LOOKUP(F431,[1]对照表!$E$3:$E$24,[1]对照表!$H$3:$H$24),LOOKUP(F431,[1]对照表!$E$27:$E$48,[1]对照表!$H$27:$H$48)))))</f>
        <v>100</v>
      </c>
      <c r="H431" s="38">
        <v>23.3</v>
      </c>
      <c r="I431" s="32">
        <f>IF(B431="高三",IF($E431="男",LOOKUP(H431,[1]对照表!$K$3:$K$24,[1]对照表!$L$3:$L$24),LOOKUP(H431,[1]对照表!$K$27:$K$48,[1]对照表!$L$27:$L$48)),IF(B431="高二",IF($E431="男",LOOKUP(H431,[1]对照表!$J$3:$J$24,[1]对照表!$L$3:$L$24),LOOKUP(H431,[1]对照表!$J$27:$J$48,[1]对照表!$L$27:$L$48)),IF(B431="高一",IF($E431="男",LOOKUP(H431,[1]对照表!$I$3:$I$24,[1]对照表!$L$3:$L$24),LOOKUP(H431,[1]对照表!$I$27:$I$48,[1]对照表!$L$27:$L$48)))))</f>
        <v>95</v>
      </c>
      <c r="J431" s="38">
        <v>215</v>
      </c>
      <c r="K431" s="32">
        <f>IF(B431="高三",IF($E431="男",LOOKUP(J431,[1]对照表!$O$3:$O$24,[1]对照表!$P$3:$P$24),LOOKUP(J431,[1]对照表!$O$27:$O$48,[1]对照表!$P$27:$P$48)),IF(B431="高二",IF($E431="男",LOOKUP(J431,[1]对照表!$N$3:$N$24,[1]对照表!$P$3:$P$24),LOOKUP(J431,[1]对照表!$N$27:$N$48,[1]对照表!$P$27:$P$48)),IF(B431="高一",IF($E431="男",LOOKUP(J431,[1]对照表!$M$3:$M$24,[1]对照表!$P$3:$P$24),LOOKUP(J431,[1]对照表!$M$27:$M$48,[1]对照表!$P$27:$P$48)))))</f>
        <v>66</v>
      </c>
      <c r="L431" s="38">
        <v>13</v>
      </c>
      <c r="M431" s="32">
        <f>IF(B431="高三",IF($E431="男",LOOKUP(L431,[1]对照表!$S$3:$S$24,[1]对照表!$T$3:$T$24),LOOKUP(L431,[1]对照表!$S$27:$S$48,[1]对照表!$T$27:$T$48)),IF(B431="高二",IF($E431="男",LOOKUP(L431,[1]对照表!$R$3:$R$24,[1]对照表!$T$3:$T$24),LOOKUP(L431,[1]对照表!$R$27:$R$48,[1]对照表!$T$27:$T$48)),IF(B431="高一",IF($E431="男",LOOKUP(L431,[1]对照表!$Q$3:$Q$24,[1]对照表!$T$3:$T$24),LOOKUP(L431,[1]对照表!$Q$27:$Q$48,[1]对照表!$T$27:$T$48)))))</f>
        <v>80</v>
      </c>
      <c r="N431" s="33">
        <f>IF(B431="高三",MAX(IF(E431="男",L431-18,L431-55),0),IF(B431="高二",MAX(IF(E431="男",L431-17,L431-54),0),IF(B431="高一",MAX(IF(E431="男",L431-16,L431-53),0))))</f>
        <v>0</v>
      </c>
      <c r="O431" s="23">
        <f>IF(E431="男",LOOKUP($N431,[1]对照表!$Z$3:$Z$13,[1]对照表!$AA$3:$AA$13),LOOKUP($N431,[1]对照表!$Z$15:$Z$25,[1]对照表!$AA$15:$AA$25))</f>
        <v>0</v>
      </c>
      <c r="P431" s="25">
        <f>M431+O431</f>
        <v>80</v>
      </c>
      <c r="Q431" s="50">
        <v>3.53</v>
      </c>
      <c r="R431" s="32">
        <f>IF(B431="高三",IF($E431="男",LOOKUP(Q431,[1]对照表!$W$3:$W$24,[1]对照表!$X$3:$X$24),LOOKUP(Q431,[1]对照表!$W$27:$W$48,[1]对照表!$X$27:$X$48)),IF(B431="高二",IF($E431="男",LOOKUP(Q431,[1]对照表!$V$3:$V$24,[1]对照表!$X$3:$X$24),LOOKUP(Q431,[1]对照表!$V$27:$V$48,[1]对照表!$X$27:$X$48)),IF(B431="高一",IF($E431="男",LOOKUP(Q431,[1]对照表!$U$3:$U$24,[1]对照表!$X$3:$X$24),LOOKUP(Q431,[1]对照表!$U$27:$U$48,[1]对照表!$X$27:$X$48)))))</f>
        <v>78</v>
      </c>
      <c r="S431" s="33">
        <f>ROUND(IF(IF($B431="高三",MIN(IF($E431="男",$Q431-3.2,$Q431-3.2),0),IF($B431="高二",MIN(IF($E431="男",$Q431-3.25,$Q431-3.22),0),IF($B431="高一",MIN(IF($E431="男",$Q431-3.3,$Q431-3.24),0))))&lt;-0.6,IF($B431="高三",MIN(IF($E431="男",$Q431-3.2,$Q431-3.2),0),IF($B431="高二",MIN(IF($E431="男",$Q431-3.25,$Q431-3.22),0),IF($B431="高一",MIN(IF($E431="男",$Q431-3.3,$Q431-3.24),0))))+0.4,IF($B431="高三",MIN(IF($E431="男",$Q431-3.2,$Q431-3.2),0),IF($B431="高二",MIN(IF($E431="男",$Q431-3.25,$Q431-3.22),0),IF($B431="高一",MIN(IF($E431="男",$Q431-3.3,$Q431-3.24),0))))),2)</f>
        <v>0</v>
      </c>
      <c r="T431" s="23">
        <f>IF(E431="男",LOOKUP($S431,[1]对照表!$AB$3:$AB$13,[1]对照表!$AC$3:$AC$13),LOOKUP($S431,[1]对照表!$AB$15:$AB$25,[1]对照表!$AC$15:$AC$25))</f>
        <v>0</v>
      </c>
      <c r="U431" s="26">
        <f>R431+T431</f>
        <v>78</v>
      </c>
      <c r="V431" s="26">
        <f>SUM(I431,K431,M431)/3*0.3+SUM(G431,R431)/2*0.4</f>
        <v>59.7</v>
      </c>
      <c r="W431" s="27">
        <f>O431+T431</f>
        <v>0</v>
      </c>
      <c r="X431" s="28">
        <f>V431/0.7+W431</f>
        <v>85.285714285714292</v>
      </c>
      <c r="Y431" s="28">
        <f>X431</f>
        <v>85.285714285714292</v>
      </c>
      <c r="Z431" s="38"/>
    </row>
    <row r="432" spans="1:26" ht="15.6" x14ac:dyDescent="0.25">
      <c r="A432" s="48">
        <v>44</v>
      </c>
      <c r="B432" s="17" t="s">
        <v>767</v>
      </c>
      <c r="C432" s="48">
        <v>209</v>
      </c>
      <c r="D432" s="49" t="s">
        <v>1106</v>
      </c>
      <c r="E432" s="48" t="s">
        <v>65</v>
      </c>
      <c r="F432" s="50">
        <v>8.86</v>
      </c>
      <c r="G432" s="32">
        <f>IF(B432="高三",IF($E432="男",LOOKUP(F432,[1]对照表!$G$3:$G$24,[1]对照表!$H$3:$H$24),LOOKUP(F432,[1]对照表!$G$27:$G$48,[1]对照表!$H$27:$H$48)),IF(B432="高二",IF($E432="男",LOOKUP(F432,[1]对照表!$F$3:$F$24,[1]对照表!$H$3:$H$24),LOOKUP(F432,[1]对照表!$F$27:$F$48,[1]对照表!$H$27:$H$48)),IF(B432="高一",IF($E432="男",LOOKUP(F432,[1]对照表!$E$3:$E$24,[1]对照表!$H$3:$H$24),LOOKUP(F432,[1]对照表!$E$27:$E$48,[1]对照表!$H$27:$H$48)))))</f>
        <v>76</v>
      </c>
      <c r="H432" s="38">
        <v>13.6</v>
      </c>
      <c r="I432" s="32">
        <f>IF(B432="高三",IF($E432="男",LOOKUP(H432,[1]对照表!$K$3:$K$24,[1]对照表!$L$3:$L$24),LOOKUP(H432,[1]对照表!$K$27:$K$48,[1]对照表!$L$27:$L$48)),IF(B432="高二",IF($E432="男",LOOKUP(H432,[1]对照表!$J$3:$J$24,[1]对照表!$L$3:$L$24),LOOKUP(H432,[1]对照表!$J$27:$J$48,[1]对照表!$L$27:$L$48)),IF(B432="高一",IF($E432="男",LOOKUP(H432,[1]对照表!$I$3:$I$24,[1]对照表!$L$3:$L$24),LOOKUP(H432,[1]对照表!$I$27:$I$48,[1]对照表!$L$27:$L$48)))))</f>
        <v>72</v>
      </c>
      <c r="J432" s="38">
        <v>188</v>
      </c>
      <c r="K432" s="32">
        <f>IF(B432="高三",IF($E432="男",LOOKUP(J432,[1]对照表!$O$3:$O$24,[1]对照表!$P$3:$P$24),LOOKUP(J432,[1]对照表!$O$27:$O$48,[1]对照表!$P$27:$P$48)),IF(B432="高二",IF($E432="男",LOOKUP(J432,[1]对照表!$N$3:$N$24,[1]对照表!$P$3:$P$24),LOOKUP(J432,[1]对照表!$N$27:$N$48,[1]对照表!$P$27:$P$48)),IF(B432="高一",IF($E432="男",LOOKUP(J432,[1]对照表!$M$3:$M$24,[1]对照表!$P$3:$P$24),LOOKUP(J432,[1]对照表!$M$27:$M$48,[1]对照表!$P$27:$P$48)))))</f>
        <v>85</v>
      </c>
      <c r="L432" s="38">
        <v>55</v>
      </c>
      <c r="M432" s="32">
        <f>IF(B432="高三",IF($E432="男",LOOKUP(L432,[1]对照表!$S$3:$S$24,[1]对照表!$T$3:$T$24),LOOKUP(L432,[1]对照表!$S$27:$S$48,[1]对照表!$T$27:$T$48)),IF(B432="高二",IF($E432="男",LOOKUP(L432,[1]对照表!$R$3:$R$24,[1]对照表!$T$3:$T$24),LOOKUP(L432,[1]对照表!$R$27:$R$48,[1]对照表!$T$27:$T$48)),IF(B432="高一",IF($E432="男",LOOKUP(L432,[1]对照表!$Q$3:$Q$24,[1]对照表!$T$3:$T$24),LOOKUP(L432,[1]对照表!$Q$27:$Q$48,[1]对照表!$T$27:$T$48)))))</f>
        <v>100</v>
      </c>
      <c r="N432" s="33">
        <f>IF(B432="高三",MAX(IF(E432="男",L432-18,L432-55),0),IF(B432="高二",MAX(IF(E432="男",L432-17,L432-54),0),IF(B432="高一",MAX(IF(E432="男",L432-16,L432-53),0))))</f>
        <v>1</v>
      </c>
      <c r="O432" s="23">
        <f>IF(E432="男",LOOKUP($N432,[1]对照表!$Z$3:$Z$13,[1]对照表!$AA$3:$AA$13),LOOKUP($N432,[1]对照表!$Z$15:$Z$25,[1]对照表!$AA$15:$AA$25))</f>
        <v>0</v>
      </c>
      <c r="P432" s="25">
        <f>M432+O432</f>
        <v>100</v>
      </c>
      <c r="Q432" s="50">
        <v>4.1100000000000003</v>
      </c>
      <c r="R432" s="32">
        <f>IF(B432="高三",IF($E432="男",LOOKUP(Q432,[1]对照表!$W$3:$W$24,[1]对照表!$X$3:$X$24),LOOKUP(Q432,[1]对照表!$W$27:$W$48,[1]对照表!$X$27:$X$48)),IF(B432="高二",IF($E432="男",LOOKUP(Q432,[1]对照表!$V$3:$V$24,[1]对照表!$X$3:$X$24),LOOKUP(Q432,[1]对照表!$V$27:$V$48,[1]对照表!$X$27:$X$48)),IF(B432="高一",IF($E432="男",LOOKUP(Q432,[1]对照表!$U$3:$U$24,[1]对照表!$X$3:$X$24),LOOKUP(Q432,[1]对照表!$U$27:$U$48,[1]对照表!$X$27:$X$48)))))</f>
        <v>70</v>
      </c>
      <c r="S432" s="33">
        <f>ROUND(IF(IF($B432="高三",MIN(IF($E432="男",$Q432-3.2,$Q432-3.2),0),IF($B432="高二",MIN(IF($E432="男",$Q432-3.25,$Q432-3.22),0),IF($B432="高一",MIN(IF($E432="男",$Q432-3.3,$Q432-3.24),0))))&lt;-0.6,IF($B432="高三",MIN(IF($E432="男",$Q432-3.2,$Q432-3.2),0),IF($B432="高二",MIN(IF($E432="男",$Q432-3.25,$Q432-3.22),0),IF($B432="高一",MIN(IF($E432="男",$Q432-3.3,$Q432-3.24),0))))+0.4,IF($B432="高三",MIN(IF($E432="男",$Q432-3.2,$Q432-3.2),0),IF($B432="高二",MIN(IF($E432="男",$Q432-3.25,$Q432-3.22),0),IF($B432="高一",MIN(IF($E432="男",$Q432-3.3,$Q432-3.24),0))))),2)</f>
        <v>0</v>
      </c>
      <c r="T432" s="23">
        <f>IF(E432="男",LOOKUP($S432,[1]对照表!$AB$3:$AB$13,[1]对照表!$AC$3:$AC$13),LOOKUP($S432,[1]对照表!$AB$15:$AB$25,[1]对照表!$AC$15:$AC$25))</f>
        <v>0</v>
      </c>
      <c r="U432" s="26">
        <f>R432+T432</f>
        <v>70</v>
      </c>
      <c r="V432" s="26">
        <f>SUM(I432,K432,M432)/3*0.3+SUM(G432,R432)/2*0.4</f>
        <v>54.900000000000006</v>
      </c>
      <c r="W432" s="27">
        <f>O432+T432</f>
        <v>0</v>
      </c>
      <c r="X432" s="28">
        <f>V432/0.7+W432</f>
        <v>78.428571428571445</v>
      </c>
      <c r="Y432" s="28">
        <f>X432</f>
        <v>78.428571428571445</v>
      </c>
      <c r="Z432" s="38"/>
    </row>
    <row r="433" spans="1:26" ht="15.6" x14ac:dyDescent="0.25">
      <c r="A433" s="38">
        <v>21</v>
      </c>
      <c r="B433" s="17" t="s">
        <v>767</v>
      </c>
      <c r="C433" s="48">
        <v>209</v>
      </c>
      <c r="D433" s="49" t="s">
        <v>1108</v>
      </c>
      <c r="E433" s="48" t="s">
        <v>23</v>
      </c>
      <c r="F433" s="50">
        <v>7.3</v>
      </c>
      <c r="G433" s="32">
        <f>IF(B433="高三",IF($E433="男",LOOKUP(F433,[1]对照表!$G$3:$G$24,[1]对照表!$H$3:$H$24),LOOKUP(F433,[1]对照表!$G$27:$G$48,[1]对照表!$H$27:$H$48)),IF(B433="高二",IF($E433="男",LOOKUP(F433,[1]对照表!$F$3:$F$24,[1]对照表!$H$3:$H$24),LOOKUP(F433,[1]对照表!$F$27:$F$48,[1]对照表!$H$27:$H$48)),IF(B433="高一",IF($E433="男",LOOKUP(F433,[1]对照表!$E$3:$E$24,[1]对照表!$H$3:$H$24),LOOKUP(F433,[1]对照表!$E$27:$E$48,[1]对照表!$H$27:$H$48)))))</f>
        <v>85</v>
      </c>
      <c r="H433" s="38">
        <v>20.3</v>
      </c>
      <c r="I433" s="32">
        <f>IF(B433="高三",IF($E433="男",LOOKUP(H433,[1]对照表!$K$3:$K$24,[1]对照表!$L$3:$L$24),LOOKUP(H433,[1]对照表!$K$27:$K$48,[1]对照表!$L$27:$L$48)),IF(B433="高二",IF($E433="男",LOOKUP(H433,[1]对照表!$J$3:$J$24,[1]对照表!$L$3:$L$24),LOOKUP(H433,[1]对照表!$J$27:$J$48,[1]对照表!$L$27:$L$48)),IF(B433="高一",IF($E433="男",LOOKUP(H433,[1]对照表!$I$3:$I$24,[1]对照表!$L$3:$L$24),LOOKUP(H433,[1]对照表!$I$27:$I$48,[1]对照表!$L$27:$L$48)))))</f>
        <v>85</v>
      </c>
      <c r="J433" s="38">
        <v>260</v>
      </c>
      <c r="K433" s="32">
        <f>IF(B433="高三",IF($E433="男",LOOKUP(J433,[1]对照表!$O$3:$O$24,[1]对照表!$P$3:$P$24),LOOKUP(J433,[1]对照表!$O$27:$O$48,[1]对照表!$P$27:$P$48)),IF(B433="高二",IF($E433="男",LOOKUP(J433,[1]对照表!$N$3:$N$24,[1]对照表!$P$3:$P$24),LOOKUP(J433,[1]对照表!$N$27:$N$48,[1]对照表!$P$27:$P$48)),IF(B433="高一",IF($E433="男",LOOKUP(J433,[1]对照表!$M$3:$M$24,[1]对照表!$P$3:$P$24),LOOKUP(J433,[1]对照表!$M$27:$M$48,[1]对照表!$P$27:$P$48)))))</f>
        <v>95</v>
      </c>
      <c r="L433" s="38">
        <v>14</v>
      </c>
      <c r="M433" s="32">
        <f>IF(B433="高三",IF($E433="男",LOOKUP(L433,[1]对照表!$S$3:$S$24,[1]对照表!$T$3:$T$24),LOOKUP(L433,[1]对照表!$S$27:$S$48,[1]对照表!$T$27:$T$48)),IF(B433="高二",IF($E433="男",LOOKUP(L433,[1]对照表!$R$3:$R$24,[1]对照表!$T$3:$T$24),LOOKUP(L433,[1]对照表!$R$27:$R$48,[1]对照表!$T$27:$T$48)),IF(B433="高一",IF($E433="男",LOOKUP(L433,[1]对照表!$Q$3:$Q$24,[1]对照表!$T$3:$T$24),LOOKUP(L433,[1]对照表!$Q$27:$Q$48,[1]对照表!$T$27:$T$48)))))</f>
        <v>85</v>
      </c>
      <c r="N433" s="33">
        <f>IF(B433="高三",MAX(IF(E433="男",L433-18,L433-55),0),IF(B433="高二",MAX(IF(E433="男",L433-17,L433-54),0),IF(B433="高一",MAX(IF(E433="男",L433-16,L433-53),0))))</f>
        <v>0</v>
      </c>
      <c r="O433" s="23">
        <f>IF(E433="男",LOOKUP($N433,[1]对照表!$Z$3:$Z$13,[1]对照表!$AA$3:$AA$13),LOOKUP($N433,[1]对照表!$Z$15:$Z$25,[1]对照表!$AA$15:$AA$25))</f>
        <v>0</v>
      </c>
      <c r="P433" s="25">
        <f>M433+O433</f>
        <v>85</v>
      </c>
      <c r="Q433" s="50">
        <v>3.44</v>
      </c>
      <c r="R433" s="32">
        <f>IF(B433="高三",IF($E433="男",LOOKUP(Q433,[1]对照表!$W$3:$W$24,[1]对照表!$X$3:$X$24),LOOKUP(Q433,[1]对照表!$W$27:$W$48,[1]对照表!$X$27:$X$48)),IF(B433="高二",IF($E433="男",LOOKUP(Q433,[1]对照表!$V$3:$V$24,[1]对照表!$X$3:$X$24),LOOKUP(Q433,[1]对照表!$V$27:$V$48,[1]对照表!$X$27:$X$48)),IF(B433="高一",IF($E433="男",LOOKUP(Q433,[1]对照表!$U$3:$U$24,[1]对照表!$X$3:$X$24),LOOKUP(Q433,[1]对照表!$U$27:$U$48,[1]对照表!$X$27:$X$48)))))</f>
        <v>80</v>
      </c>
      <c r="S433" s="33">
        <f>ROUND(IF(IF($B433="高三",MIN(IF($E433="男",$Q433-3.2,$Q433-3.2),0),IF($B433="高二",MIN(IF($E433="男",$Q433-3.25,$Q433-3.22),0),IF($B433="高一",MIN(IF($E433="男",$Q433-3.3,$Q433-3.24),0))))&lt;-0.6,IF($B433="高三",MIN(IF($E433="男",$Q433-3.2,$Q433-3.2),0),IF($B433="高二",MIN(IF($E433="男",$Q433-3.25,$Q433-3.22),0),IF($B433="高一",MIN(IF($E433="男",$Q433-3.3,$Q433-3.24),0))))+0.4,IF($B433="高三",MIN(IF($E433="男",$Q433-3.2,$Q433-3.2),0),IF($B433="高二",MIN(IF($E433="男",$Q433-3.25,$Q433-3.22),0),IF($B433="高一",MIN(IF($E433="男",$Q433-3.3,$Q433-3.24),0))))),2)</f>
        <v>0</v>
      </c>
      <c r="T433" s="23">
        <f>IF(E433="男",LOOKUP($S433,[1]对照表!$AB$3:$AB$13,[1]对照表!$AC$3:$AC$13),LOOKUP($S433,[1]对照表!$AB$15:$AB$25,[1]对照表!$AC$15:$AC$25))</f>
        <v>0</v>
      </c>
      <c r="U433" s="26">
        <f>R433+T433</f>
        <v>80</v>
      </c>
      <c r="V433" s="26">
        <f>SUM(I433,K433,M433)/3*0.3+SUM(G433,R433)/2*0.4</f>
        <v>59.5</v>
      </c>
      <c r="W433" s="27">
        <f>O433+T433</f>
        <v>0</v>
      </c>
      <c r="X433" s="28">
        <f>V433/0.7+W433</f>
        <v>85</v>
      </c>
      <c r="Y433" s="28">
        <f>X433</f>
        <v>85</v>
      </c>
      <c r="Z433" s="38"/>
    </row>
    <row r="434" spans="1:26" ht="15.6" x14ac:dyDescent="0.25">
      <c r="A434" s="52">
        <v>10</v>
      </c>
      <c r="B434" s="17" t="s">
        <v>767</v>
      </c>
      <c r="C434" s="48">
        <v>209</v>
      </c>
      <c r="D434" s="49" t="s">
        <v>1111</v>
      </c>
      <c r="E434" s="48" t="s">
        <v>23</v>
      </c>
      <c r="F434" s="57">
        <v>7.3</v>
      </c>
      <c r="G434" s="32">
        <f>IF(B434="高三",IF($E434="男",LOOKUP(F434,[1]对照表!$G$3:$G$24,[1]对照表!$H$3:$H$24),LOOKUP(F434,[1]对照表!$G$27:$G$48,[1]对照表!$H$27:$H$48)),IF(B434="高二",IF($E434="男",LOOKUP(F434,[1]对照表!$F$3:$F$24,[1]对照表!$H$3:$H$24),LOOKUP(F434,[1]对照表!$F$27:$F$48,[1]对照表!$H$27:$H$48)),IF(B434="高一",IF($E434="男",LOOKUP(F434,[1]对照表!$E$3:$E$24,[1]对照表!$H$3:$H$24),LOOKUP(F434,[1]对照表!$E$27:$E$48,[1]对照表!$H$27:$H$48)))))</f>
        <v>85</v>
      </c>
      <c r="H434" s="52">
        <v>13</v>
      </c>
      <c r="I434" s="32">
        <f>IF(B434="高三",IF($E434="男",LOOKUP(H434,[1]对照表!$K$3:$K$24,[1]对照表!$L$3:$L$24),LOOKUP(H434,[1]对照表!$K$27:$K$48,[1]对照表!$L$27:$L$48)),IF(B434="高二",IF($E434="男",LOOKUP(H434,[1]对照表!$J$3:$J$24,[1]对照表!$L$3:$L$24),LOOKUP(H434,[1]对照表!$J$27:$J$48,[1]对照表!$L$27:$L$48)),IF(B434="高一",IF($E434="男",LOOKUP(H434,[1]对照表!$I$3:$I$24,[1]对照表!$L$3:$L$24),LOOKUP(H434,[1]对照表!$I$27:$I$48,[1]对照表!$L$27:$L$48)))))</f>
        <v>74</v>
      </c>
      <c r="J434" s="52">
        <v>253</v>
      </c>
      <c r="K434" s="32">
        <f>IF(B434="高三",IF($E434="男",LOOKUP(J434,[1]对照表!$O$3:$O$24,[1]对照表!$P$3:$P$24),LOOKUP(J434,[1]对照表!$O$27:$O$48,[1]对照表!$P$27:$P$48)),IF(B434="高二",IF($E434="男",LOOKUP(J434,[1]对照表!$N$3:$N$24,[1]对照表!$P$3:$P$24),LOOKUP(J434,[1]对照表!$N$27:$N$48,[1]对照表!$P$27:$P$48)),IF(B434="高一",IF($E434="男",LOOKUP(J434,[1]对照表!$M$3:$M$24,[1]对照表!$P$3:$P$24),LOOKUP(J434,[1]对照表!$M$27:$M$48,[1]对照表!$P$27:$P$48)))))</f>
        <v>85</v>
      </c>
      <c r="L434" s="52">
        <v>14</v>
      </c>
      <c r="M434" s="32">
        <f>IF(B434="高三",IF($E434="男",LOOKUP(L434,[1]对照表!$S$3:$S$24,[1]对照表!$T$3:$T$24),LOOKUP(L434,[1]对照表!$S$27:$S$48,[1]对照表!$T$27:$T$48)),IF(B434="高二",IF($E434="男",LOOKUP(L434,[1]对照表!$R$3:$R$24,[1]对照表!$T$3:$T$24),LOOKUP(L434,[1]对照表!$R$27:$R$48,[1]对照表!$T$27:$T$48)),IF(B434="高一",IF($E434="男",LOOKUP(L434,[1]对照表!$Q$3:$Q$24,[1]对照表!$T$3:$T$24),LOOKUP(L434,[1]对照表!$Q$27:$Q$48,[1]对照表!$T$27:$T$48)))))</f>
        <v>85</v>
      </c>
      <c r="N434" s="33">
        <f>IF(B434="高三",MAX(IF(E434="男",L434-18,L434-55),0),IF(B434="高二",MAX(IF(E434="男",L434-17,L434-54),0),IF(B434="高一",MAX(IF(E434="男",L434-16,L434-53),0))))</f>
        <v>0</v>
      </c>
      <c r="O434" s="23">
        <f>IF(E434="男",LOOKUP($N434,[1]对照表!$Z$3:$Z$13,[1]对照表!$AA$3:$AA$13),LOOKUP($N434,[1]对照表!$Z$15:$Z$25,[1]对照表!$AA$15:$AA$25))</f>
        <v>0</v>
      </c>
      <c r="P434" s="25">
        <f>M434+O434</f>
        <v>85</v>
      </c>
      <c r="Q434" s="57">
        <v>3.33</v>
      </c>
      <c r="R434" s="32">
        <f>IF(B434="高三",IF($E434="男",LOOKUP(Q434,[1]对照表!$W$3:$W$24,[1]对照表!$X$3:$X$24),LOOKUP(Q434,[1]对照表!$W$27:$W$48,[1]对照表!$X$27:$X$48)),IF(B434="高二",IF($E434="男",LOOKUP(Q434,[1]对照表!$V$3:$V$24,[1]对照表!$X$3:$X$24),LOOKUP(Q434,[1]对照表!$V$27:$V$48,[1]对照表!$X$27:$X$48)),IF(B434="高一",IF($E434="男",LOOKUP(Q434,[1]对照表!$U$3:$U$24,[1]对照表!$X$3:$X$24),LOOKUP(Q434,[1]对照表!$U$27:$U$48,[1]对照表!$X$27:$X$48)))))</f>
        <v>90</v>
      </c>
      <c r="S434" s="33">
        <f>ROUND(IF(IF($B434="高三",MIN(IF($E434="男",$Q434-3.2,$Q434-3.2),0),IF($B434="高二",MIN(IF($E434="男",$Q434-3.25,$Q434-3.22),0),IF($B434="高一",MIN(IF($E434="男",$Q434-3.3,$Q434-3.24),0))))&lt;-0.6,IF($B434="高三",MIN(IF($E434="男",$Q434-3.2,$Q434-3.2),0),IF($B434="高二",MIN(IF($E434="男",$Q434-3.25,$Q434-3.22),0),IF($B434="高一",MIN(IF($E434="男",$Q434-3.3,$Q434-3.24),0))))+0.4,IF($B434="高三",MIN(IF($E434="男",$Q434-3.2,$Q434-3.2),0),IF($B434="高二",MIN(IF($E434="男",$Q434-3.25,$Q434-3.22),0),IF($B434="高一",MIN(IF($E434="男",$Q434-3.3,$Q434-3.24),0))))),2)</f>
        <v>0</v>
      </c>
      <c r="T434" s="23">
        <f>IF(E434="男",LOOKUP($S434,[1]对照表!$AB$3:$AB$13,[1]对照表!$AC$3:$AC$13),LOOKUP($S434,[1]对照表!$AB$15:$AB$25,[1]对照表!$AC$15:$AC$25))</f>
        <v>0</v>
      </c>
      <c r="U434" s="26">
        <f>R434+T434</f>
        <v>90</v>
      </c>
      <c r="V434" s="26">
        <f>SUM(I434,K434,M434)/3*0.3+SUM(G434,R434)/2*0.4</f>
        <v>59.4</v>
      </c>
      <c r="W434" s="27">
        <f>O434+T434</f>
        <v>0</v>
      </c>
      <c r="X434" s="28">
        <f>V434/0.7+W434</f>
        <v>84.857142857142861</v>
      </c>
      <c r="Y434" s="28">
        <f>X434</f>
        <v>84.857142857142861</v>
      </c>
      <c r="Z434" s="52"/>
    </row>
    <row r="435" spans="1:26" ht="15.6" x14ac:dyDescent="0.25">
      <c r="A435" s="38">
        <v>7</v>
      </c>
      <c r="B435" s="17" t="s">
        <v>767</v>
      </c>
      <c r="C435" s="48">
        <v>209</v>
      </c>
      <c r="D435" s="49" t="s">
        <v>1114</v>
      </c>
      <c r="E435" s="48" t="s">
        <v>23</v>
      </c>
      <c r="F435" s="50">
        <v>7.2</v>
      </c>
      <c r="G435" s="32">
        <f>IF(B435="高三",IF($E435="男",LOOKUP(F435,[1]对照表!$G$3:$G$24,[1]对照表!$H$3:$H$24),LOOKUP(F435,[1]对照表!$G$27:$G$48,[1]对照表!$H$27:$H$48)),IF(B435="高二",IF($E435="男",LOOKUP(F435,[1]对照表!$F$3:$F$24,[1]对照表!$H$3:$H$24),LOOKUP(F435,[1]对照表!$F$27:$F$48,[1]对照表!$H$27:$H$48)),IF(B435="高一",IF($E435="男",LOOKUP(F435,[1]对照表!$E$3:$E$24,[1]对照表!$H$3:$H$24),LOOKUP(F435,[1]对照表!$E$27:$E$48,[1]对照表!$H$27:$H$48)))))</f>
        <v>90</v>
      </c>
      <c r="H435" s="38">
        <v>9</v>
      </c>
      <c r="I435" s="32">
        <f>IF(B435="高三",IF($E435="男",LOOKUP(H435,[1]对照表!$K$3:$K$24,[1]对照表!$L$3:$L$24),LOOKUP(H435,[1]对照表!$K$27:$K$48,[1]对照表!$L$27:$L$48)),IF(B435="高二",IF($E435="男",LOOKUP(H435,[1]对照表!$J$3:$J$24,[1]对照表!$L$3:$L$24),LOOKUP(H435,[1]对照表!$J$27:$J$48,[1]对照表!$L$27:$L$48)),IF(B435="高一",IF($E435="男",LOOKUP(H435,[1]对照表!$I$3:$I$24,[1]对照表!$L$3:$L$24),LOOKUP(H435,[1]对照表!$I$27:$I$48,[1]对照表!$L$27:$L$48)))))</f>
        <v>68</v>
      </c>
      <c r="J435" s="38">
        <v>250</v>
      </c>
      <c r="K435" s="32">
        <f>IF(B435="高三",IF($E435="男",LOOKUP(J435,[1]对照表!$O$3:$O$24,[1]对照表!$P$3:$P$24),LOOKUP(J435,[1]对照表!$O$27:$O$48,[1]对照表!$P$27:$P$48)),IF(B435="高二",IF($E435="男",LOOKUP(J435,[1]对照表!$N$3:$N$24,[1]对照表!$P$3:$P$24),LOOKUP(J435,[1]对照表!$N$27:$N$48,[1]对照表!$P$27:$P$48)),IF(B435="高一",IF($E435="男",LOOKUP(J435,[1]对照表!$M$3:$M$24,[1]对照表!$P$3:$P$24),LOOKUP(J435,[1]对照表!$M$27:$M$48,[1]对照表!$P$27:$P$48)))))</f>
        <v>85</v>
      </c>
      <c r="L435" s="38">
        <v>15</v>
      </c>
      <c r="M435" s="32">
        <f>IF(B435="高三",IF($E435="男",LOOKUP(L435,[1]对照表!$S$3:$S$24,[1]对照表!$T$3:$T$24),LOOKUP(L435,[1]对照表!$S$27:$S$48,[1]对照表!$T$27:$T$48)),IF(B435="高二",IF($E435="男",LOOKUP(L435,[1]对照表!$R$3:$R$24,[1]对照表!$T$3:$T$24),LOOKUP(L435,[1]对照表!$R$27:$R$48,[1]对照表!$T$27:$T$48)),IF(B435="高一",IF($E435="男",LOOKUP(L435,[1]对照表!$Q$3:$Q$24,[1]对照表!$T$3:$T$24),LOOKUP(L435,[1]对照表!$Q$27:$Q$48,[1]对照表!$T$27:$T$48)))))</f>
        <v>90</v>
      </c>
      <c r="N435" s="33">
        <f>IF(B435="高三",MAX(IF(E435="男",L435-18,L435-55),0),IF(B435="高二",MAX(IF(E435="男",L435-17,L435-54),0),IF(B435="高一",MAX(IF(E435="男",L435-16,L435-53),0))))</f>
        <v>0</v>
      </c>
      <c r="O435" s="23">
        <f>IF(E435="男",LOOKUP($N435,[1]对照表!$Z$3:$Z$13,[1]对照表!$AA$3:$AA$13),LOOKUP($N435,[1]对照表!$Z$15:$Z$25,[1]对照表!$AA$15:$AA$25))</f>
        <v>0</v>
      </c>
      <c r="P435" s="25">
        <f>M435+O435</f>
        <v>90</v>
      </c>
      <c r="Q435" s="50">
        <v>3.42</v>
      </c>
      <c r="R435" s="32">
        <f>IF(B435="高三",IF($E435="男",LOOKUP(Q435,[1]对照表!$W$3:$W$24,[1]对照表!$X$3:$X$24),LOOKUP(Q435,[1]对照表!$W$27:$W$48,[1]对照表!$X$27:$X$48)),IF(B435="高二",IF($E435="男",LOOKUP(Q435,[1]对照表!$V$3:$V$24,[1]对照表!$X$3:$X$24),LOOKUP(Q435,[1]对照表!$V$27:$V$48,[1]对照表!$X$27:$X$48)),IF(B435="高一",IF($E435="男",LOOKUP(Q435,[1]对照表!$U$3:$U$24,[1]对照表!$X$3:$X$24),LOOKUP(Q435,[1]对照表!$U$27:$U$48,[1]对照表!$X$27:$X$48)))))</f>
        <v>85</v>
      </c>
      <c r="S435" s="33">
        <f>ROUND(IF(IF($B435="高三",MIN(IF($E435="男",$Q435-3.2,$Q435-3.2),0),IF($B435="高二",MIN(IF($E435="男",$Q435-3.25,$Q435-3.22),0),IF($B435="高一",MIN(IF($E435="男",$Q435-3.3,$Q435-3.24),0))))&lt;-0.6,IF($B435="高三",MIN(IF($E435="男",$Q435-3.2,$Q435-3.2),0),IF($B435="高二",MIN(IF($E435="男",$Q435-3.25,$Q435-3.22),0),IF($B435="高一",MIN(IF($E435="男",$Q435-3.3,$Q435-3.24),0))))+0.4,IF($B435="高三",MIN(IF($E435="男",$Q435-3.2,$Q435-3.2),0),IF($B435="高二",MIN(IF($E435="男",$Q435-3.25,$Q435-3.22),0),IF($B435="高一",MIN(IF($E435="男",$Q435-3.3,$Q435-3.24),0))))),2)</f>
        <v>0</v>
      </c>
      <c r="T435" s="23">
        <f>IF(E435="男",LOOKUP($S435,[1]对照表!$AB$3:$AB$13,[1]对照表!$AC$3:$AC$13),LOOKUP($S435,[1]对照表!$AB$15:$AB$25,[1]对照表!$AC$15:$AC$25))</f>
        <v>0</v>
      </c>
      <c r="U435" s="26">
        <f>R435+T435</f>
        <v>85</v>
      </c>
      <c r="V435" s="26">
        <f>SUM(I435,K435,M435)/3*0.3+SUM(G435,R435)/2*0.4</f>
        <v>59.3</v>
      </c>
      <c r="W435" s="27">
        <f>O435+T435</f>
        <v>0</v>
      </c>
      <c r="X435" s="28">
        <f>V435/0.7+W435</f>
        <v>84.714285714285722</v>
      </c>
      <c r="Y435" s="28">
        <f>X435</f>
        <v>84.714285714285722</v>
      </c>
      <c r="Z435" s="38"/>
    </row>
    <row r="436" spans="1:26" ht="15.6" x14ac:dyDescent="0.25">
      <c r="A436" s="48">
        <v>26</v>
      </c>
      <c r="B436" s="17" t="s">
        <v>767</v>
      </c>
      <c r="C436" s="48">
        <v>209</v>
      </c>
      <c r="D436" s="49" t="s">
        <v>1146</v>
      </c>
      <c r="E436" s="48" t="s">
        <v>23</v>
      </c>
      <c r="F436" s="50">
        <v>7.2</v>
      </c>
      <c r="G436" s="32">
        <f>IF(B436="高三",IF($E436="男",LOOKUP(F436,[1]对照表!$G$3:$G$24,[1]对照表!$H$3:$H$24),LOOKUP(F436,[1]对照表!$G$27:$G$48,[1]对照表!$H$27:$H$48)),IF(B436="高二",IF($E436="男",LOOKUP(F436,[1]对照表!$F$3:$F$24,[1]对照表!$H$3:$H$24),LOOKUP(F436,[1]对照表!$F$27:$F$48,[1]对照表!$H$27:$H$48)),IF(B436="高一",IF($E436="男",LOOKUP(F436,[1]对照表!$E$3:$E$24,[1]对照表!$H$3:$H$24),LOOKUP(F436,[1]对照表!$E$27:$E$48,[1]对照表!$H$27:$H$48)))))</f>
        <v>90</v>
      </c>
      <c r="H436" s="38">
        <v>16.399999999999999</v>
      </c>
      <c r="I436" s="32">
        <f>IF(B436="高三",IF($E436="男",LOOKUP(H436,[1]对照表!$K$3:$K$24,[1]对照表!$L$3:$L$24),LOOKUP(H436,[1]对照表!$K$27:$K$48,[1]对照表!$L$27:$L$48)),IF(B436="高二",IF($E436="男",LOOKUP(H436,[1]对照表!$J$3:$J$24,[1]对照表!$L$3:$L$24),LOOKUP(H436,[1]对照表!$J$27:$J$48,[1]对照表!$L$27:$L$48)),IF(B436="高一",IF($E436="男",LOOKUP(H436,[1]对照表!$I$3:$I$24,[1]对照表!$L$3:$L$24),LOOKUP(H436,[1]对照表!$I$27:$I$48,[1]对照表!$L$27:$L$48)))))</f>
        <v>80</v>
      </c>
      <c r="J436" s="38">
        <v>248</v>
      </c>
      <c r="K436" s="32">
        <f>IF(B436="高三",IF($E436="男",LOOKUP(J436,[1]对照表!$O$3:$O$24,[1]对照表!$P$3:$P$24),LOOKUP(J436,[1]对照表!$O$27:$O$48,[1]对照表!$P$27:$P$48)),IF(B436="高二",IF($E436="男",LOOKUP(J436,[1]对照表!$N$3:$N$24,[1]对照表!$P$3:$P$24),LOOKUP(J436,[1]对照表!$N$27:$N$48,[1]对照表!$P$27:$P$48)),IF(B436="高一",IF($E436="男",LOOKUP(J436,[1]对照表!$M$3:$M$24,[1]对照表!$P$3:$P$24),LOOKUP(J436,[1]对照表!$M$27:$M$48,[1]对照表!$P$27:$P$48)))))</f>
        <v>85</v>
      </c>
      <c r="L436" s="38">
        <v>11</v>
      </c>
      <c r="M436" s="32">
        <f>IF(B436="高三",IF($E436="男",LOOKUP(L436,[1]对照表!$S$3:$S$24,[1]对照表!$T$3:$T$24),LOOKUP(L436,[1]对照表!$S$27:$S$48,[1]对照表!$T$27:$T$48)),IF(B436="高二",IF($E436="男",LOOKUP(L436,[1]对照表!$R$3:$R$24,[1]对照表!$T$3:$T$24),LOOKUP(L436,[1]对照表!$R$27:$R$48,[1]对照表!$T$27:$T$48)),IF(B436="高一",IF($E436="男",LOOKUP(L436,[1]对照表!$Q$3:$Q$24,[1]对照表!$T$3:$T$24),LOOKUP(L436,[1]对照表!$Q$27:$Q$48,[1]对照表!$T$27:$T$48)))))</f>
        <v>72</v>
      </c>
      <c r="N436" s="33">
        <f>IF(B436="高三",MAX(IF(E436="男",L436-18,L436-55),0),IF(B436="高二",MAX(IF(E436="男",L436-17,L436-54),0),IF(B436="高一",MAX(IF(E436="男",L436-16,L436-53),0))))</f>
        <v>0</v>
      </c>
      <c r="O436" s="23">
        <f>IF(E436="男",LOOKUP($N436,[1]对照表!$Z$3:$Z$13,[1]对照表!$AA$3:$AA$13),LOOKUP($N436,[1]对照表!$Z$15:$Z$25,[1]对照表!$AA$15:$AA$25))</f>
        <v>0</v>
      </c>
      <c r="P436" s="25">
        <f>M436+O436</f>
        <v>72</v>
      </c>
      <c r="Q436" s="50">
        <v>3.4</v>
      </c>
      <c r="R436" s="32">
        <f>IF(B436="高三",IF($E436="男",LOOKUP(Q436,[1]对照表!$W$3:$W$24,[1]对照表!$X$3:$X$24),LOOKUP(Q436,[1]对照表!$W$27:$W$48,[1]对照表!$X$27:$X$48)),IF(B436="高二",IF($E436="男",LOOKUP(Q436,[1]对照表!$V$3:$V$24,[1]对照表!$X$3:$X$24),LOOKUP(Q436,[1]对照表!$V$27:$V$48,[1]对照表!$X$27:$X$48)),IF(B436="高一",IF($E436="男",LOOKUP(Q436,[1]对照表!$U$3:$U$24,[1]对照表!$X$3:$X$24),LOOKUP(Q436,[1]对照表!$U$27:$U$48,[1]对照表!$X$27:$X$48)))))</f>
        <v>85</v>
      </c>
      <c r="S436" s="33">
        <f>ROUND(IF(IF($B436="高三",MIN(IF($E436="男",$Q436-3.2,$Q436-3.2),0),IF($B436="高二",MIN(IF($E436="男",$Q436-3.25,$Q436-3.22),0),IF($B436="高一",MIN(IF($E436="男",$Q436-3.3,$Q436-3.24),0))))&lt;-0.6,IF($B436="高三",MIN(IF($E436="男",$Q436-3.2,$Q436-3.2),0),IF($B436="高二",MIN(IF($E436="男",$Q436-3.25,$Q436-3.22),0),IF($B436="高一",MIN(IF($E436="男",$Q436-3.3,$Q436-3.24),0))))+0.4,IF($B436="高三",MIN(IF($E436="男",$Q436-3.2,$Q436-3.2),0),IF($B436="高二",MIN(IF($E436="男",$Q436-3.25,$Q436-3.22),0),IF($B436="高一",MIN(IF($E436="男",$Q436-3.3,$Q436-3.24),0))))),2)</f>
        <v>0</v>
      </c>
      <c r="T436" s="23">
        <f>IF(E436="男",LOOKUP($S436,[1]对照表!$AB$3:$AB$13,[1]对照表!$AC$3:$AC$13),LOOKUP($S436,[1]对照表!$AB$15:$AB$25,[1]对照表!$AC$15:$AC$25))</f>
        <v>0</v>
      </c>
      <c r="U436" s="26">
        <f>R436+T436</f>
        <v>85</v>
      </c>
      <c r="V436" s="26">
        <f>SUM(I436,K436,M436)/3*0.3+SUM(G436,R436)/2*0.4</f>
        <v>58.7</v>
      </c>
      <c r="W436" s="27">
        <f>O436+T436</f>
        <v>0</v>
      </c>
      <c r="X436" s="28">
        <f>V436/0.7+W436</f>
        <v>83.857142857142861</v>
      </c>
      <c r="Y436" s="28">
        <f>X436</f>
        <v>83.857142857142861</v>
      </c>
      <c r="Z436" s="38"/>
    </row>
    <row r="437" spans="1:26" ht="15.6" x14ac:dyDescent="0.25">
      <c r="A437" s="48">
        <v>27</v>
      </c>
      <c r="B437" s="17" t="s">
        <v>767</v>
      </c>
      <c r="C437" s="48">
        <v>209</v>
      </c>
      <c r="D437" s="49" t="s">
        <v>1155</v>
      </c>
      <c r="E437" s="48" t="s">
        <v>65</v>
      </c>
      <c r="F437" s="50">
        <v>9.01</v>
      </c>
      <c r="G437" s="32">
        <f>IF(B437="高三",IF($E437="男",LOOKUP(F437,[1]对照表!$G$3:$G$24,[1]对照表!$H$3:$H$24),LOOKUP(F437,[1]对照表!$G$27:$G$48,[1]对照表!$H$27:$H$48)),IF(B437="高二",IF($E437="男",LOOKUP(F437,[1]对照表!$F$3:$F$24,[1]对照表!$H$3:$H$24),LOOKUP(F437,[1]对照表!$F$27:$F$48,[1]对照表!$H$27:$H$48)),IF(B437="高一",IF($E437="男",LOOKUP(F437,[1]对照表!$E$3:$E$24,[1]对照表!$H$3:$H$24),LOOKUP(F437,[1]对照表!$E$27:$E$48,[1]对照表!$H$27:$H$48)))))</f>
        <v>74</v>
      </c>
      <c r="H437" s="38">
        <v>19</v>
      </c>
      <c r="I437" s="32">
        <f>IF(B437="高三",IF($E437="男",LOOKUP(H437,[1]对照表!$K$3:$K$24,[1]对照表!$L$3:$L$24),LOOKUP(H437,[1]对照表!$K$27:$K$48,[1]对照表!$L$27:$L$48)),IF(B437="高二",IF($E437="男",LOOKUP(H437,[1]对照表!$J$3:$J$24,[1]对照表!$L$3:$L$24),LOOKUP(H437,[1]对照表!$J$27:$J$48,[1]对照表!$L$27:$L$48)),IF(B437="高一",IF($E437="男",LOOKUP(H437,[1]对照表!$I$3:$I$24,[1]对照表!$L$3:$L$24),LOOKUP(H437,[1]对照表!$I$27:$I$48,[1]对照表!$L$27:$L$48)))))</f>
        <v>80</v>
      </c>
      <c r="J437" s="38">
        <v>166</v>
      </c>
      <c r="K437" s="32">
        <f>IF(B437="高三",IF($E437="男",LOOKUP(J437,[1]对照表!$O$3:$O$24,[1]对照表!$P$3:$P$24),LOOKUP(J437,[1]对照表!$O$27:$O$48,[1]对照表!$P$27:$P$48)),IF(B437="高二",IF($E437="男",LOOKUP(J437,[1]对照表!$N$3:$N$24,[1]对照表!$P$3:$P$24),LOOKUP(J437,[1]对照表!$N$27:$N$48,[1]对照表!$P$27:$P$48)),IF(B437="高一",IF($E437="男",LOOKUP(J437,[1]对照表!$M$3:$M$24,[1]对照表!$P$3:$P$24),LOOKUP(J437,[1]对照表!$M$27:$M$48,[1]对照表!$P$27:$P$48)))))</f>
        <v>70</v>
      </c>
      <c r="L437" s="38">
        <v>54</v>
      </c>
      <c r="M437" s="32">
        <f>IF(B437="高三",IF($E437="男",LOOKUP(L437,[1]对照表!$S$3:$S$24,[1]对照表!$T$3:$T$24),LOOKUP(L437,[1]对照表!$S$27:$S$48,[1]对照表!$T$27:$T$48)),IF(B437="高二",IF($E437="男",LOOKUP(L437,[1]对照表!$R$3:$R$24,[1]对照表!$T$3:$T$24),LOOKUP(L437,[1]对照表!$R$27:$R$48,[1]对照表!$T$27:$T$48)),IF(B437="高一",IF($E437="男",LOOKUP(L437,[1]对照表!$Q$3:$Q$24,[1]对照表!$T$3:$T$24),LOOKUP(L437,[1]对照表!$Q$27:$Q$48,[1]对照表!$T$27:$T$48)))))</f>
        <v>100</v>
      </c>
      <c r="N437" s="33">
        <f>IF(B437="高三",MAX(IF(E437="男",L437-18,L437-55),0),IF(B437="高二",MAX(IF(E437="男",L437-17,L437-54),0),IF(B437="高一",MAX(IF(E437="男",L437-16,L437-53),0))))</f>
        <v>0</v>
      </c>
      <c r="O437" s="23">
        <f>IF(E437="男",LOOKUP($N437,[1]对照表!$Z$3:$Z$13,[1]对照表!$AA$3:$AA$13),LOOKUP($N437,[1]对照表!$Z$15:$Z$25,[1]对照表!$AA$15:$AA$25))</f>
        <v>0</v>
      </c>
      <c r="P437" s="25">
        <f>M437+O437</f>
        <v>100</v>
      </c>
      <c r="Q437" s="50">
        <v>4.1399999999999997</v>
      </c>
      <c r="R437" s="32">
        <f>IF(B437="高三",IF($E437="男",LOOKUP(Q437,[1]对照表!$W$3:$W$24,[1]对照表!$X$3:$X$24),LOOKUP(Q437,[1]对照表!$W$27:$W$48,[1]对照表!$X$27:$X$48)),IF(B437="高二",IF($E437="男",LOOKUP(Q437,[1]对照表!$V$3:$V$24,[1]对照表!$X$3:$X$24),LOOKUP(Q437,[1]对照表!$V$27:$V$48,[1]对照表!$X$27:$X$48)),IF(B437="高一",IF($E437="男",LOOKUP(Q437,[1]对照表!$U$3:$U$24,[1]对照表!$X$3:$X$24),LOOKUP(Q437,[1]对照表!$U$27:$U$48,[1]对照表!$X$27:$X$48)))))</f>
        <v>68</v>
      </c>
      <c r="S437" s="33">
        <f>ROUND(IF(IF($B437="高三",MIN(IF($E437="男",$Q437-3.2,$Q437-3.2),0),IF($B437="高二",MIN(IF($E437="男",$Q437-3.25,$Q437-3.22),0),IF($B437="高一",MIN(IF($E437="男",$Q437-3.3,$Q437-3.24),0))))&lt;-0.6,IF($B437="高三",MIN(IF($E437="男",$Q437-3.2,$Q437-3.2),0),IF($B437="高二",MIN(IF($E437="男",$Q437-3.25,$Q437-3.22),0),IF($B437="高一",MIN(IF($E437="男",$Q437-3.3,$Q437-3.24),0))))+0.4,IF($B437="高三",MIN(IF($E437="男",$Q437-3.2,$Q437-3.2),0),IF($B437="高二",MIN(IF($E437="男",$Q437-3.25,$Q437-3.22),0),IF($B437="高一",MIN(IF($E437="男",$Q437-3.3,$Q437-3.24),0))))),2)</f>
        <v>0</v>
      </c>
      <c r="T437" s="23">
        <f>IF(E437="男",LOOKUP($S437,[1]对照表!$AB$3:$AB$13,[1]对照表!$AC$3:$AC$13),LOOKUP($S437,[1]对照表!$AB$15:$AB$25,[1]对照表!$AC$15:$AC$25))</f>
        <v>0</v>
      </c>
      <c r="U437" s="26">
        <f>R437+T437</f>
        <v>68</v>
      </c>
      <c r="V437" s="26">
        <f>SUM(I437,K437,M437)/3*0.3+SUM(G437,R437)/2*0.4</f>
        <v>53.4</v>
      </c>
      <c r="W437" s="27">
        <f>O437+T437</f>
        <v>0</v>
      </c>
      <c r="X437" s="28">
        <f>V437/0.7+W437</f>
        <v>76.285714285714292</v>
      </c>
      <c r="Y437" s="28">
        <f>X437</f>
        <v>76.285714285714292</v>
      </c>
      <c r="Z437" s="38"/>
    </row>
    <row r="438" spans="1:26" ht="15.6" x14ac:dyDescent="0.25">
      <c r="A438" s="48">
        <v>16</v>
      </c>
      <c r="B438" s="17" t="s">
        <v>767</v>
      </c>
      <c r="C438" s="48">
        <v>209</v>
      </c>
      <c r="D438" s="49" t="s">
        <v>1197</v>
      </c>
      <c r="E438" s="48" t="s">
        <v>23</v>
      </c>
      <c r="F438" s="50">
        <v>6.9</v>
      </c>
      <c r="G438" s="32">
        <f>IF(B438="高三",IF($E438="男",LOOKUP(F438,[1]对照表!$G$3:$G$24,[1]对照表!$H$3:$H$24),LOOKUP(F438,[1]对照表!$G$27:$G$48,[1]对照表!$H$27:$H$48)),IF(B438="高二",IF($E438="男",LOOKUP(F438,[1]对照表!$F$3:$F$24,[1]对照表!$H$3:$H$24),LOOKUP(F438,[1]对照表!$F$27:$F$48,[1]对照表!$H$27:$H$48)),IF(B438="高一",IF($E438="男",LOOKUP(F438,[1]对照表!$E$3:$E$24,[1]对照表!$H$3:$H$24),LOOKUP(F438,[1]对照表!$E$27:$E$48,[1]对照表!$H$27:$H$48)))))</f>
        <v>100</v>
      </c>
      <c r="H438" s="38">
        <v>16</v>
      </c>
      <c r="I438" s="32">
        <f>IF(B438="高三",IF($E438="男",LOOKUP(H438,[1]对照表!$K$3:$K$24,[1]对照表!$L$3:$L$24),LOOKUP(H438,[1]对照表!$K$27:$K$48,[1]对照表!$L$27:$L$48)),IF(B438="高二",IF($E438="男",LOOKUP(H438,[1]对照表!$J$3:$J$24,[1]对照表!$L$3:$L$24),LOOKUP(H438,[1]对照表!$J$27:$J$48,[1]对照表!$L$27:$L$48)),IF(B438="高一",IF($E438="男",LOOKUP(H438,[1]对照表!$I$3:$I$24,[1]对照表!$L$3:$L$24),LOOKUP(H438,[1]对照表!$I$27:$I$48,[1]对照表!$L$27:$L$48)))))</f>
        <v>78</v>
      </c>
      <c r="J438" s="38">
        <v>285</v>
      </c>
      <c r="K438" s="32">
        <f>IF(B438="高三",IF($E438="男",LOOKUP(J438,[1]对照表!$O$3:$O$24,[1]对照表!$P$3:$P$24),LOOKUP(J438,[1]对照表!$O$27:$O$48,[1]对照表!$P$27:$P$48)),IF(B438="高二",IF($E438="男",LOOKUP(J438,[1]对照表!$N$3:$N$24,[1]对照表!$P$3:$P$24),LOOKUP(J438,[1]对照表!$N$27:$N$48,[1]对照表!$P$27:$P$48)),IF(B438="高一",IF($E438="男",LOOKUP(J438,[1]对照表!$M$3:$M$24,[1]对照表!$P$3:$P$24),LOOKUP(J438,[1]对照表!$M$27:$M$48,[1]对照表!$P$27:$P$48)))))</f>
        <v>100</v>
      </c>
      <c r="L438" s="38">
        <v>6</v>
      </c>
      <c r="M438" s="32">
        <f>IF(B438="高三",IF($E438="男",LOOKUP(L438,[1]对照表!$S$3:$S$24,[1]对照表!$T$3:$T$24),LOOKUP(L438,[1]对照表!$S$27:$S$48,[1]对照表!$T$27:$T$48)),IF(B438="高二",IF($E438="男",LOOKUP(L438,[1]对照表!$R$3:$R$24,[1]对照表!$T$3:$T$24),LOOKUP(L438,[1]对照表!$R$27:$R$48,[1]对照表!$T$27:$T$48)),IF(B438="高一",IF($E438="男",LOOKUP(L438,[1]对照表!$Q$3:$Q$24,[1]对照表!$T$3:$T$24),LOOKUP(L438,[1]对照表!$Q$27:$Q$48,[1]对照表!$T$27:$T$48)))))</f>
        <v>40</v>
      </c>
      <c r="N438" s="33">
        <f>IF(B438="高三",MAX(IF(E438="男",L438-18,L438-55),0),IF(B438="高二",MAX(IF(E438="男",L438-17,L438-54),0),IF(B438="高一",MAX(IF(E438="男",L438-16,L438-53),0))))</f>
        <v>0</v>
      </c>
      <c r="O438" s="23">
        <f>IF(E438="男",LOOKUP($N438,[1]对照表!$Z$3:$Z$13,[1]对照表!$AA$3:$AA$13),LOOKUP($N438,[1]对照表!$Z$15:$Z$25,[1]对照表!$AA$15:$AA$25))</f>
        <v>0</v>
      </c>
      <c r="P438" s="25">
        <f>M438+O438</f>
        <v>40</v>
      </c>
      <c r="Q438" s="50">
        <v>3.59</v>
      </c>
      <c r="R438" s="32">
        <f>IF(B438="高三",IF($E438="男",LOOKUP(Q438,[1]对照表!$W$3:$W$24,[1]对照表!$X$3:$X$24),LOOKUP(Q438,[1]对照表!$W$27:$W$48,[1]对照表!$X$27:$X$48)),IF(B438="高二",IF($E438="男",LOOKUP(Q438,[1]对照表!$V$3:$V$24,[1]对照表!$X$3:$X$24),LOOKUP(Q438,[1]对照表!$V$27:$V$48,[1]对照表!$X$27:$X$48)),IF(B438="高一",IF($E438="男",LOOKUP(Q438,[1]对照表!$U$3:$U$24,[1]对照表!$X$3:$X$24),LOOKUP(Q438,[1]对照表!$U$27:$U$48,[1]对照表!$X$27:$X$48)))))</f>
        <v>76</v>
      </c>
      <c r="S438" s="33">
        <f>ROUND(IF(IF($B438="高三",MIN(IF($E438="男",$Q438-3.2,$Q438-3.2),0),IF($B438="高二",MIN(IF($E438="男",$Q438-3.25,$Q438-3.22),0),IF($B438="高一",MIN(IF($E438="男",$Q438-3.3,$Q438-3.24),0))))&lt;-0.6,IF($B438="高三",MIN(IF($E438="男",$Q438-3.2,$Q438-3.2),0),IF($B438="高二",MIN(IF($E438="男",$Q438-3.25,$Q438-3.22),0),IF($B438="高一",MIN(IF($E438="男",$Q438-3.3,$Q438-3.24),0))))+0.4,IF($B438="高三",MIN(IF($E438="男",$Q438-3.2,$Q438-3.2),0),IF($B438="高二",MIN(IF($E438="男",$Q438-3.25,$Q438-3.22),0),IF($B438="高一",MIN(IF($E438="男",$Q438-3.3,$Q438-3.24),0))))),2)</f>
        <v>0</v>
      </c>
      <c r="T438" s="23">
        <f>IF(E438="男",LOOKUP($S438,[1]对照表!$AB$3:$AB$13,[1]对照表!$AC$3:$AC$13),LOOKUP($S438,[1]对照表!$AB$15:$AB$25,[1]对照表!$AC$15:$AC$25))</f>
        <v>0</v>
      </c>
      <c r="U438" s="26">
        <f>R438+T438</f>
        <v>76</v>
      </c>
      <c r="V438" s="26">
        <f>SUM(I438,K438,M438)/3*0.3+SUM(G438,R438)/2*0.4</f>
        <v>57</v>
      </c>
      <c r="W438" s="27">
        <f>O438+T438</f>
        <v>0</v>
      </c>
      <c r="X438" s="28">
        <f>V438/0.7+W438</f>
        <v>81.428571428571431</v>
      </c>
      <c r="Y438" s="28">
        <f>X438</f>
        <v>81.428571428571431</v>
      </c>
      <c r="Z438" s="38"/>
    </row>
    <row r="439" spans="1:26" ht="15.6" x14ac:dyDescent="0.25">
      <c r="A439" s="48">
        <v>11</v>
      </c>
      <c r="B439" s="17" t="s">
        <v>767</v>
      </c>
      <c r="C439" s="48">
        <v>209</v>
      </c>
      <c r="D439" s="49" t="s">
        <v>1210</v>
      </c>
      <c r="E439" s="48" t="s">
        <v>23</v>
      </c>
      <c r="F439" s="50">
        <v>7.8</v>
      </c>
      <c r="G439" s="32">
        <f>IF(B439="高三",IF($E439="男",LOOKUP(F439,[1]对照表!$G$3:$G$24,[1]对照表!$H$3:$H$24),LOOKUP(F439,[1]对照表!$G$27:$G$48,[1]对照表!$H$27:$H$48)),IF(B439="高二",IF($E439="男",LOOKUP(F439,[1]对照表!$F$3:$F$24,[1]对照表!$H$3:$H$24),LOOKUP(F439,[1]对照表!$F$27:$F$48,[1]对照表!$H$27:$H$48)),IF(B439="高一",IF($E439="男",LOOKUP(F439,[1]对照表!$E$3:$E$24,[1]对照表!$H$3:$H$24),LOOKUP(F439,[1]对照表!$E$27:$E$48,[1]对照表!$H$27:$H$48)))))</f>
        <v>76</v>
      </c>
      <c r="H439" s="38">
        <v>15</v>
      </c>
      <c r="I439" s="32">
        <f>IF(B439="高三",IF($E439="男",LOOKUP(H439,[1]对照表!$K$3:$K$24,[1]对照表!$L$3:$L$24),LOOKUP(H439,[1]对照表!$K$27:$K$48,[1]对照表!$L$27:$L$48)),IF(B439="高二",IF($E439="男",LOOKUP(H439,[1]对照表!$J$3:$J$24,[1]对照表!$L$3:$L$24),LOOKUP(H439,[1]对照表!$J$27:$J$48,[1]对照表!$L$27:$L$48)),IF(B439="高一",IF($E439="男",LOOKUP(H439,[1]对照表!$I$3:$I$24,[1]对照表!$L$3:$L$24),LOOKUP(H439,[1]对照表!$I$27:$I$48,[1]对照表!$L$27:$L$48)))))</f>
        <v>78</v>
      </c>
      <c r="J439" s="38">
        <v>240</v>
      </c>
      <c r="K439" s="32">
        <f>IF(B439="高三",IF($E439="男",LOOKUP(J439,[1]对照表!$O$3:$O$24,[1]对照表!$P$3:$P$24),LOOKUP(J439,[1]对照表!$O$27:$O$48,[1]对照表!$P$27:$P$48)),IF(B439="高二",IF($E439="男",LOOKUP(J439,[1]对照表!$N$3:$N$24,[1]对照表!$P$3:$P$24),LOOKUP(J439,[1]对照表!$N$27:$N$48,[1]对照表!$P$27:$P$48)),IF(B439="高一",IF($E439="男",LOOKUP(J439,[1]对照表!$M$3:$M$24,[1]对照表!$P$3:$P$24),LOOKUP(J439,[1]对照表!$M$27:$M$48,[1]对照表!$P$27:$P$48)))))</f>
        <v>80</v>
      </c>
      <c r="L439" s="38">
        <v>14</v>
      </c>
      <c r="M439" s="32">
        <f>IF(B439="高三",IF($E439="男",LOOKUP(L439,[1]对照表!$S$3:$S$24,[1]对照表!$T$3:$T$24),LOOKUP(L439,[1]对照表!$S$27:$S$48,[1]对照表!$T$27:$T$48)),IF(B439="高二",IF($E439="男",LOOKUP(L439,[1]对照表!$R$3:$R$24,[1]对照表!$T$3:$T$24),LOOKUP(L439,[1]对照表!$R$27:$R$48,[1]对照表!$T$27:$T$48)),IF(B439="高一",IF($E439="男",LOOKUP(L439,[1]对照表!$Q$3:$Q$24,[1]对照表!$T$3:$T$24),LOOKUP(L439,[1]对照表!$Q$27:$Q$48,[1]对照表!$T$27:$T$48)))))</f>
        <v>85</v>
      </c>
      <c r="N439" s="33">
        <f>IF(B439="高三",MAX(IF(E439="男",L439-18,L439-55),0),IF(B439="高二",MAX(IF(E439="男",L439-17,L439-54),0),IF(B439="高一",MAX(IF(E439="男",L439-16,L439-53),0))))</f>
        <v>0</v>
      </c>
      <c r="O439" s="23">
        <f>IF(E439="男",LOOKUP($N439,[1]对照表!$Z$3:$Z$13,[1]对照表!$AA$3:$AA$13),LOOKUP($N439,[1]对照表!$Z$15:$Z$25,[1]对照表!$AA$15:$AA$25))</f>
        <v>0</v>
      </c>
      <c r="P439" s="25">
        <f>M439+O439</f>
        <v>85</v>
      </c>
      <c r="Q439" s="50">
        <v>3.41</v>
      </c>
      <c r="R439" s="32">
        <f>IF(B439="高三",IF($E439="男",LOOKUP(Q439,[1]对照表!$W$3:$W$24,[1]对照表!$X$3:$X$24),LOOKUP(Q439,[1]对照表!$W$27:$W$48,[1]对照表!$X$27:$X$48)),IF(B439="高二",IF($E439="男",LOOKUP(Q439,[1]对照表!$V$3:$V$24,[1]对照表!$X$3:$X$24),LOOKUP(Q439,[1]对照表!$V$27:$V$48,[1]对照表!$X$27:$X$48)),IF(B439="高一",IF($E439="男",LOOKUP(Q439,[1]对照表!$U$3:$U$24,[1]对照表!$X$3:$X$24),LOOKUP(Q439,[1]对照表!$U$27:$U$48,[1]对照表!$X$27:$X$48)))))</f>
        <v>85</v>
      </c>
      <c r="S439" s="33">
        <f>ROUND(IF(IF($B439="高三",MIN(IF($E439="男",$Q439-3.2,$Q439-3.2),0),IF($B439="高二",MIN(IF($E439="男",$Q439-3.25,$Q439-3.22),0),IF($B439="高一",MIN(IF($E439="男",$Q439-3.3,$Q439-3.24),0))))&lt;-0.6,IF($B439="高三",MIN(IF($E439="男",$Q439-3.2,$Q439-3.2),0),IF($B439="高二",MIN(IF($E439="男",$Q439-3.25,$Q439-3.22),0),IF($B439="高一",MIN(IF($E439="男",$Q439-3.3,$Q439-3.24),0))))+0.4,IF($B439="高三",MIN(IF($E439="男",$Q439-3.2,$Q439-3.2),0),IF($B439="高二",MIN(IF($E439="男",$Q439-3.25,$Q439-3.22),0),IF($B439="高一",MIN(IF($E439="男",$Q439-3.3,$Q439-3.24),0))))),2)</f>
        <v>0</v>
      </c>
      <c r="T439" s="23">
        <f>IF(E439="男",LOOKUP($S439,[1]对照表!$AB$3:$AB$13,[1]对照表!$AC$3:$AC$13),LOOKUP($S439,[1]对照表!$AB$15:$AB$25,[1]对照表!$AC$15:$AC$25))</f>
        <v>0</v>
      </c>
      <c r="U439" s="26">
        <f>R439+T439</f>
        <v>85</v>
      </c>
      <c r="V439" s="26">
        <f>SUM(I439,K439,M439)/3*0.3+SUM(G439,R439)/2*0.4</f>
        <v>56.5</v>
      </c>
      <c r="W439" s="27">
        <f>O439+T439</f>
        <v>0</v>
      </c>
      <c r="X439" s="28">
        <f>V439/0.7+W439</f>
        <v>80.714285714285722</v>
      </c>
      <c r="Y439" s="28">
        <f>X439</f>
        <v>80.714285714285722</v>
      </c>
      <c r="Z439" s="38"/>
    </row>
    <row r="440" spans="1:26" ht="15.6" x14ac:dyDescent="0.25">
      <c r="A440" s="48">
        <v>13</v>
      </c>
      <c r="B440" s="17" t="s">
        <v>767</v>
      </c>
      <c r="C440" s="48">
        <v>209</v>
      </c>
      <c r="D440" s="49" t="s">
        <v>1218</v>
      </c>
      <c r="E440" s="48" t="s">
        <v>23</v>
      </c>
      <c r="F440" s="50">
        <v>7.7</v>
      </c>
      <c r="G440" s="32">
        <f>IF(B440="高三",IF($E440="男",LOOKUP(F440,[1]对照表!$G$3:$G$24,[1]对照表!$H$3:$H$24),LOOKUP(F440,[1]对照表!$G$27:$G$48,[1]对照表!$H$27:$H$48)),IF(B440="高二",IF($E440="男",LOOKUP(F440,[1]对照表!$F$3:$F$24,[1]对照表!$H$3:$H$24),LOOKUP(F440,[1]对照表!$F$27:$F$48,[1]对照表!$H$27:$H$48)),IF(B440="高一",IF($E440="男",LOOKUP(F440,[1]对照表!$E$3:$E$24,[1]对照表!$H$3:$H$24),LOOKUP(F440,[1]对照表!$E$27:$E$48,[1]对照表!$H$27:$H$48)))))</f>
        <v>76</v>
      </c>
      <c r="H440" s="38">
        <v>26</v>
      </c>
      <c r="I440" s="32">
        <f>IF(B440="高三",IF($E440="男",LOOKUP(H440,[1]对照表!$K$3:$K$24,[1]对照表!$L$3:$L$24),LOOKUP(H440,[1]对照表!$K$27:$K$48,[1]对照表!$L$27:$L$48)),IF(B440="高二",IF($E440="男",LOOKUP(H440,[1]对照表!$J$3:$J$24,[1]对照表!$L$3:$L$24),LOOKUP(H440,[1]对照表!$J$27:$J$48,[1]对照表!$L$27:$L$48)),IF(B440="高一",IF($E440="男",LOOKUP(H440,[1]对照表!$I$3:$I$24,[1]对照表!$L$3:$L$24),LOOKUP(H440,[1]对照表!$I$27:$I$48,[1]对照表!$L$27:$L$48)))))</f>
        <v>100</v>
      </c>
      <c r="J440" s="38">
        <v>240</v>
      </c>
      <c r="K440" s="32">
        <f>IF(B440="高三",IF($E440="男",LOOKUP(J440,[1]对照表!$O$3:$O$24,[1]对照表!$P$3:$P$24),LOOKUP(J440,[1]对照表!$O$27:$O$48,[1]对照表!$P$27:$P$48)),IF(B440="高二",IF($E440="男",LOOKUP(J440,[1]对照表!$N$3:$N$24,[1]对照表!$P$3:$P$24),LOOKUP(J440,[1]对照表!$N$27:$N$48,[1]对照表!$P$27:$P$48)),IF(B440="高一",IF($E440="男",LOOKUP(J440,[1]对照表!$M$3:$M$24,[1]对照表!$P$3:$P$24),LOOKUP(J440,[1]对照表!$M$27:$M$48,[1]对照表!$P$27:$P$48)))))</f>
        <v>80</v>
      </c>
      <c r="L440" s="38">
        <v>14</v>
      </c>
      <c r="M440" s="32">
        <f>IF(B440="高三",IF($E440="男",LOOKUP(L440,[1]对照表!$S$3:$S$24,[1]对照表!$T$3:$T$24),LOOKUP(L440,[1]对照表!$S$27:$S$48,[1]对照表!$T$27:$T$48)),IF(B440="高二",IF($E440="男",LOOKUP(L440,[1]对照表!$R$3:$R$24,[1]对照表!$T$3:$T$24),LOOKUP(L440,[1]对照表!$R$27:$R$48,[1]对照表!$T$27:$T$48)),IF(B440="高一",IF($E440="男",LOOKUP(L440,[1]对照表!$Q$3:$Q$24,[1]对照表!$T$3:$T$24),LOOKUP(L440,[1]对照表!$Q$27:$Q$48,[1]对照表!$T$27:$T$48)))))</f>
        <v>85</v>
      </c>
      <c r="N440" s="33">
        <f>IF(B440="高三",MAX(IF(E440="男",L440-18,L440-55),0),IF(B440="高二",MAX(IF(E440="男",L440-17,L440-54),0),IF(B440="高一",MAX(IF(E440="男",L440-16,L440-53),0))))</f>
        <v>0</v>
      </c>
      <c r="O440" s="23">
        <f>IF(E440="男",LOOKUP($N440,[1]对照表!$Z$3:$Z$13,[1]对照表!$AA$3:$AA$13),LOOKUP($N440,[1]对照表!$Z$15:$Z$25,[1]对照表!$AA$15:$AA$25))</f>
        <v>0</v>
      </c>
      <c r="P440" s="25">
        <f>M440+O440</f>
        <v>85</v>
      </c>
      <c r="Q440" s="50">
        <v>4.0599999999999996</v>
      </c>
      <c r="R440" s="32">
        <f>IF(B440="高三",IF($E440="男",LOOKUP(Q440,[1]对照表!$W$3:$W$24,[1]对照表!$X$3:$X$24),LOOKUP(Q440,[1]对照表!$W$27:$W$48,[1]对照表!$X$27:$X$48)),IF(B440="高二",IF($E440="男",LOOKUP(Q440,[1]对照表!$V$3:$V$24,[1]对照表!$X$3:$X$24),LOOKUP(Q440,[1]对照表!$V$27:$V$48,[1]对照表!$X$27:$X$48)),IF(B440="高一",IF($E440="男",LOOKUP(Q440,[1]对照表!$U$3:$U$24,[1]对照表!$X$3:$X$24),LOOKUP(Q440,[1]对照表!$U$27:$U$48,[1]对照表!$X$27:$X$48)))))</f>
        <v>72</v>
      </c>
      <c r="S440" s="33">
        <f>ROUND(IF(IF($B440="高三",MIN(IF($E440="男",$Q440-3.2,$Q440-3.2),0),IF($B440="高二",MIN(IF($E440="男",$Q440-3.25,$Q440-3.22),0),IF($B440="高一",MIN(IF($E440="男",$Q440-3.3,$Q440-3.24),0))))&lt;-0.6,IF($B440="高三",MIN(IF($E440="男",$Q440-3.2,$Q440-3.2),0),IF($B440="高二",MIN(IF($E440="男",$Q440-3.25,$Q440-3.22),0),IF($B440="高一",MIN(IF($E440="男",$Q440-3.3,$Q440-3.24),0))))+0.4,IF($B440="高三",MIN(IF($E440="男",$Q440-3.2,$Q440-3.2),0),IF($B440="高二",MIN(IF($E440="男",$Q440-3.25,$Q440-3.22),0),IF($B440="高一",MIN(IF($E440="男",$Q440-3.3,$Q440-3.24),0))))),2)</f>
        <v>0</v>
      </c>
      <c r="T440" s="23">
        <f>IF(E440="男",LOOKUP($S440,[1]对照表!$AB$3:$AB$13,[1]对照表!$AC$3:$AC$13),LOOKUP($S440,[1]对照表!$AB$15:$AB$25,[1]对照表!$AC$15:$AC$25))</f>
        <v>0</v>
      </c>
      <c r="U440" s="26">
        <f>R440+T440</f>
        <v>72</v>
      </c>
      <c r="V440" s="26">
        <f>SUM(I440,K440,M440)/3*0.3+SUM(G440,R440)/2*0.4</f>
        <v>56.099999999999994</v>
      </c>
      <c r="W440" s="27">
        <f>O440+T440</f>
        <v>0</v>
      </c>
      <c r="X440" s="28">
        <f>V440/0.7+W440</f>
        <v>80.142857142857139</v>
      </c>
      <c r="Y440" s="28">
        <f>X440</f>
        <v>80.142857142857139</v>
      </c>
      <c r="Z440" s="38"/>
    </row>
    <row r="441" spans="1:26" ht="15.6" x14ac:dyDescent="0.25">
      <c r="A441" s="48">
        <v>42</v>
      </c>
      <c r="B441" s="17" t="s">
        <v>767</v>
      </c>
      <c r="C441" s="48">
        <v>209</v>
      </c>
      <c r="D441" s="49" t="s">
        <v>1263</v>
      </c>
      <c r="E441" s="48" t="s">
        <v>65</v>
      </c>
      <c r="F441" s="50">
        <v>9.9600000000000009</v>
      </c>
      <c r="G441" s="32">
        <f>IF(B441="高三",IF($E441="男",LOOKUP(F441,[1]对照表!$G$3:$G$24,[1]对照表!$H$3:$H$24),LOOKUP(F441,[1]对照表!$G$27:$G$48,[1]对照表!$H$27:$H$48)),IF(B441="高二",IF($E441="男",LOOKUP(F441,[1]对照表!$F$3:$F$24,[1]对照表!$H$3:$H$24),LOOKUP(F441,[1]对照表!$F$27:$F$48,[1]对照表!$H$27:$H$48)),IF(B441="高一",IF($E441="男",LOOKUP(F441,[1]对照表!$E$3:$E$24,[1]对照表!$H$3:$H$24),LOOKUP(F441,[1]对照表!$E$27:$E$48,[1]对照表!$H$27:$H$48)))))</f>
        <v>64</v>
      </c>
      <c r="H441" s="38">
        <v>20</v>
      </c>
      <c r="I441" s="32">
        <f>IF(B441="高三",IF($E441="男",LOOKUP(H441,[1]对照表!$K$3:$K$24,[1]对照表!$L$3:$L$24),LOOKUP(H441,[1]对照表!$K$27:$K$48,[1]对照表!$L$27:$L$48)),IF(B441="高二",IF($E441="男",LOOKUP(H441,[1]对照表!$J$3:$J$24,[1]对照表!$L$3:$L$24),LOOKUP(H441,[1]对照表!$J$27:$J$48,[1]对照表!$L$27:$L$48)),IF(B441="高一",IF($E441="男",LOOKUP(H441,[1]对照表!$I$3:$I$24,[1]对照表!$L$3:$L$24),LOOKUP(H441,[1]对照表!$I$27:$I$48,[1]对照表!$L$27:$L$48)))))</f>
        <v>85</v>
      </c>
      <c r="J441" s="38">
        <v>155</v>
      </c>
      <c r="K441" s="32">
        <f>IF(B441="高三",IF($E441="男",LOOKUP(J441,[1]对照表!$O$3:$O$24,[1]对照表!$P$3:$P$24),LOOKUP(J441,[1]对照表!$O$27:$O$48,[1]对照表!$P$27:$P$48)),IF(B441="高二",IF($E441="男",LOOKUP(J441,[1]对照表!$N$3:$N$24,[1]对照表!$P$3:$P$24),LOOKUP(J441,[1]对照表!$N$27:$N$48,[1]对照表!$P$27:$P$48)),IF(B441="高一",IF($E441="男",LOOKUP(J441,[1]对照表!$M$3:$M$24,[1]对照表!$P$3:$P$24),LOOKUP(J441,[1]对照表!$M$27:$M$48,[1]对照表!$P$27:$P$48)))))</f>
        <v>64</v>
      </c>
      <c r="L441" s="38">
        <v>40</v>
      </c>
      <c r="M441" s="32">
        <f>IF(B441="高三",IF($E441="男",LOOKUP(L441,[1]对照表!$S$3:$S$24,[1]对照表!$T$3:$T$24),LOOKUP(L441,[1]对照表!$S$27:$S$48,[1]对照表!$T$27:$T$48)),IF(B441="高二",IF($E441="男",LOOKUP(L441,[1]对照表!$R$3:$R$24,[1]对照表!$T$3:$T$24),LOOKUP(L441,[1]对照表!$R$27:$R$48,[1]对照表!$T$27:$T$48)),IF(B441="高一",IF($E441="男",LOOKUP(L441,[1]对照表!$Q$3:$Q$24,[1]对照表!$T$3:$T$24),LOOKUP(L441,[1]对照表!$Q$27:$Q$48,[1]对照表!$T$27:$T$48)))))</f>
        <v>76</v>
      </c>
      <c r="N441" s="33">
        <f>IF(B441="高三",MAX(IF(E441="男",L441-18,L441-55),0),IF(B441="高二",MAX(IF(E441="男",L441-17,L441-54),0),IF(B441="高一",MAX(IF(E441="男",L441-16,L441-53),0))))</f>
        <v>0</v>
      </c>
      <c r="O441" s="23">
        <f>IF(E441="男",LOOKUP($N441,[1]对照表!$Z$3:$Z$13,[1]对照表!$AA$3:$AA$13),LOOKUP($N441,[1]对照表!$Z$15:$Z$25,[1]对照表!$AA$15:$AA$25))</f>
        <v>0</v>
      </c>
      <c r="P441" s="25">
        <f>M441+O441</f>
        <v>76</v>
      </c>
      <c r="Q441" s="50">
        <v>4.18</v>
      </c>
      <c r="R441" s="32">
        <f>IF(B441="高三",IF($E441="男",LOOKUP(Q441,[1]对照表!$W$3:$W$24,[1]对照表!$X$3:$X$24),LOOKUP(Q441,[1]对照表!$W$27:$W$48,[1]对照表!$X$27:$X$48)),IF(B441="高二",IF($E441="男",LOOKUP(Q441,[1]对照表!$V$3:$V$24,[1]对照表!$X$3:$X$24),LOOKUP(Q441,[1]对照表!$V$27:$V$48,[1]对照表!$X$27:$X$48)),IF(B441="高一",IF($E441="男",LOOKUP(Q441,[1]对照表!$U$3:$U$24,[1]对照表!$X$3:$X$24),LOOKUP(Q441,[1]对照表!$U$27:$U$48,[1]对照表!$X$27:$X$48)))))</f>
        <v>68</v>
      </c>
      <c r="S441" s="33">
        <f>ROUND(IF(IF($B441="高三",MIN(IF($E441="男",$Q441-3.2,$Q441-3.2),0),IF($B441="高二",MIN(IF($E441="男",$Q441-3.25,$Q441-3.22),0),IF($B441="高一",MIN(IF($E441="男",$Q441-3.3,$Q441-3.24),0))))&lt;-0.6,IF($B441="高三",MIN(IF($E441="男",$Q441-3.2,$Q441-3.2),0),IF($B441="高二",MIN(IF($E441="男",$Q441-3.25,$Q441-3.22),0),IF($B441="高一",MIN(IF($E441="男",$Q441-3.3,$Q441-3.24),0))))+0.4,IF($B441="高三",MIN(IF($E441="男",$Q441-3.2,$Q441-3.2),0),IF($B441="高二",MIN(IF($E441="男",$Q441-3.25,$Q441-3.22),0),IF($B441="高一",MIN(IF($E441="男",$Q441-3.3,$Q441-3.24),0))))),2)</f>
        <v>0</v>
      </c>
      <c r="T441" s="23">
        <f>IF(E441="男",LOOKUP($S441,[1]对照表!$AB$3:$AB$13,[1]对照表!$AC$3:$AC$13),LOOKUP($S441,[1]对照表!$AB$15:$AB$25,[1]对照表!$AC$15:$AC$25))</f>
        <v>0</v>
      </c>
      <c r="U441" s="26">
        <f>R441+T441</f>
        <v>68</v>
      </c>
      <c r="V441" s="26">
        <f>SUM(I441,K441,M441)/3*0.3+SUM(G441,R441)/2*0.4</f>
        <v>48.900000000000006</v>
      </c>
      <c r="W441" s="27">
        <f>O441+T441</f>
        <v>0</v>
      </c>
      <c r="X441" s="28">
        <f>V441/0.7+W441</f>
        <v>69.857142857142875</v>
      </c>
      <c r="Y441" s="28">
        <f>X441</f>
        <v>69.857142857142875</v>
      </c>
      <c r="Z441" s="38"/>
    </row>
    <row r="442" spans="1:26" ht="15.6" x14ac:dyDescent="0.25">
      <c r="A442" s="38">
        <v>6</v>
      </c>
      <c r="B442" s="17" t="s">
        <v>767</v>
      </c>
      <c r="C442" s="48">
        <v>209</v>
      </c>
      <c r="D442" s="49" t="s">
        <v>1306</v>
      </c>
      <c r="E442" s="48" t="s">
        <v>23</v>
      </c>
      <c r="F442" s="50">
        <v>7.3</v>
      </c>
      <c r="G442" s="32">
        <f>IF(B442="高三",IF($E442="男",LOOKUP(F442,[1]对照表!$G$3:$G$24,[1]对照表!$H$3:$H$24),LOOKUP(F442,[1]对照表!$G$27:$G$48,[1]对照表!$H$27:$H$48)),IF(B442="高二",IF($E442="男",LOOKUP(F442,[1]对照表!$F$3:$F$24,[1]对照表!$H$3:$H$24),LOOKUP(F442,[1]对照表!$F$27:$F$48,[1]对照表!$H$27:$H$48)),IF(B442="高一",IF($E442="男",LOOKUP(F442,[1]对照表!$E$3:$E$24,[1]对照表!$H$3:$H$24),LOOKUP(F442,[1]对照表!$E$27:$E$48,[1]对照表!$H$27:$H$48)))))</f>
        <v>85</v>
      </c>
      <c r="H442" s="38">
        <v>8</v>
      </c>
      <c r="I442" s="32">
        <f>IF(B442="高三",IF($E442="男",LOOKUP(H442,[1]对照表!$K$3:$K$24,[1]对照表!$L$3:$L$24),LOOKUP(H442,[1]对照表!$K$27:$K$48,[1]对照表!$L$27:$L$48)),IF(B442="高二",IF($E442="男",LOOKUP(H442,[1]对照表!$J$3:$J$24,[1]对照表!$L$3:$L$24),LOOKUP(H442,[1]对照表!$J$27:$J$48,[1]对照表!$L$27:$L$48)),IF(B442="高一",IF($E442="男",LOOKUP(H442,[1]对照表!$I$3:$I$24,[1]对照表!$L$3:$L$24),LOOKUP(H442,[1]对照表!$I$27:$I$48,[1]对照表!$L$27:$L$48)))))</f>
        <v>68</v>
      </c>
      <c r="J442" s="38">
        <v>221</v>
      </c>
      <c r="K442" s="32">
        <f>IF(B442="高三",IF($E442="男",LOOKUP(J442,[1]对照表!$O$3:$O$24,[1]对照表!$P$3:$P$24),LOOKUP(J442,[1]对照表!$O$27:$O$48,[1]对照表!$P$27:$P$48)),IF(B442="高二",IF($E442="男",LOOKUP(J442,[1]对照表!$N$3:$N$24,[1]对照表!$P$3:$P$24),LOOKUP(J442,[1]对照表!$N$27:$N$48,[1]对照表!$P$27:$P$48)),IF(B442="高一",IF($E442="男",LOOKUP(J442,[1]对照表!$M$3:$M$24,[1]对照表!$P$3:$P$24),LOOKUP(J442,[1]对照表!$M$27:$M$48,[1]对照表!$P$27:$P$48)))))</f>
        <v>70</v>
      </c>
      <c r="L442" s="38">
        <v>9</v>
      </c>
      <c r="M442" s="32">
        <f>IF(B442="高三",IF($E442="男",LOOKUP(L442,[1]对照表!$S$3:$S$24,[1]对照表!$T$3:$T$24),LOOKUP(L442,[1]对照表!$S$27:$S$48,[1]对照表!$T$27:$T$48)),IF(B442="高二",IF($E442="男",LOOKUP(L442,[1]对照表!$R$3:$R$24,[1]对照表!$T$3:$T$24),LOOKUP(L442,[1]对照表!$R$27:$R$48,[1]对照表!$T$27:$T$48)),IF(B442="高一",IF($E442="男",LOOKUP(L442,[1]对照表!$Q$3:$Q$24,[1]对照表!$T$3:$T$24),LOOKUP(L442,[1]对照表!$Q$27:$Q$48,[1]对照表!$T$27:$T$48)))))</f>
        <v>64</v>
      </c>
      <c r="N442" s="33">
        <f>IF(B442="高三",MAX(IF(E442="男",L442-18,L442-55),0),IF(B442="高二",MAX(IF(E442="男",L442-17,L442-54),0),IF(B442="高一",MAX(IF(E442="男",L442-16,L442-53),0))))</f>
        <v>0</v>
      </c>
      <c r="O442" s="23">
        <f>IF(E442="男",LOOKUP($N442,[1]对照表!$Z$3:$Z$13,[1]对照表!$AA$3:$AA$13),LOOKUP($N442,[1]对照表!$Z$15:$Z$25,[1]对照表!$AA$15:$AA$25))</f>
        <v>0</v>
      </c>
      <c r="P442" s="25">
        <f>M442+O442</f>
        <v>64</v>
      </c>
      <c r="Q442" s="50">
        <v>3.57</v>
      </c>
      <c r="R442" s="32">
        <f>IF(B442="高三",IF($E442="男",LOOKUP(Q442,[1]对照表!$W$3:$W$24,[1]对照表!$X$3:$X$24),LOOKUP(Q442,[1]对照表!$W$27:$W$48,[1]对照表!$X$27:$X$48)),IF(B442="高二",IF($E442="男",LOOKUP(Q442,[1]对照表!$V$3:$V$24,[1]对照表!$X$3:$X$24),LOOKUP(Q442,[1]对照表!$V$27:$V$48,[1]对照表!$X$27:$X$48)),IF(B442="高一",IF($E442="男",LOOKUP(Q442,[1]对照表!$U$3:$U$24,[1]对照表!$X$3:$X$24),LOOKUP(Q442,[1]对照表!$U$27:$U$48,[1]对照表!$X$27:$X$48)))))</f>
        <v>76</v>
      </c>
      <c r="S442" s="33">
        <f>ROUND(IF(IF($B442="高三",MIN(IF($E442="男",$Q442-3.2,$Q442-3.2),0),IF($B442="高二",MIN(IF($E442="男",$Q442-3.25,$Q442-3.22),0),IF($B442="高一",MIN(IF($E442="男",$Q442-3.3,$Q442-3.24),0))))&lt;-0.6,IF($B442="高三",MIN(IF($E442="男",$Q442-3.2,$Q442-3.2),0),IF($B442="高二",MIN(IF($E442="男",$Q442-3.25,$Q442-3.22),0),IF($B442="高一",MIN(IF($E442="男",$Q442-3.3,$Q442-3.24),0))))+0.4,IF($B442="高三",MIN(IF($E442="男",$Q442-3.2,$Q442-3.2),0),IF($B442="高二",MIN(IF($E442="男",$Q442-3.25,$Q442-3.22),0),IF($B442="高一",MIN(IF($E442="男",$Q442-3.3,$Q442-3.24),0))))),2)</f>
        <v>0</v>
      </c>
      <c r="T442" s="23">
        <f>IF(E442="男",LOOKUP($S442,[1]对照表!$AB$3:$AB$13,[1]对照表!$AC$3:$AC$13),LOOKUP($S442,[1]对照表!$AB$15:$AB$25,[1]对照表!$AC$15:$AC$25))</f>
        <v>0</v>
      </c>
      <c r="U442" s="26">
        <f>R442+T442</f>
        <v>76</v>
      </c>
      <c r="V442" s="26">
        <f>SUM(I442,K442,M442)/3*0.3+SUM(G442,R442)/2*0.4</f>
        <v>52.400000000000006</v>
      </c>
      <c r="W442" s="27">
        <f>O442+T442</f>
        <v>0</v>
      </c>
      <c r="X442" s="28">
        <f>V442/0.7+W442</f>
        <v>74.857142857142875</v>
      </c>
      <c r="Y442" s="28">
        <f>X442</f>
        <v>74.857142857142875</v>
      </c>
      <c r="Z442" s="38"/>
    </row>
    <row r="443" spans="1:26" ht="15.6" x14ac:dyDescent="0.25">
      <c r="A443" s="48">
        <v>18</v>
      </c>
      <c r="B443" s="17" t="s">
        <v>767</v>
      </c>
      <c r="C443" s="48">
        <v>209</v>
      </c>
      <c r="D443" s="49" t="s">
        <v>1324</v>
      </c>
      <c r="E443" s="48" t="s">
        <v>23</v>
      </c>
      <c r="F443" s="50">
        <v>7.4</v>
      </c>
      <c r="G443" s="32">
        <f>IF(B443="高三",IF($E443="男",LOOKUP(F443,[1]对照表!$G$3:$G$24,[1]对照表!$H$3:$H$24),LOOKUP(F443,[1]对照表!$G$27:$G$48,[1]对照表!$H$27:$H$48)),IF(B443="高二",IF($E443="男",LOOKUP(F443,[1]对照表!$F$3:$F$24,[1]对照表!$H$3:$H$24),LOOKUP(F443,[1]对照表!$F$27:$F$48,[1]对照表!$H$27:$H$48)),IF(B443="高一",IF($E443="男",LOOKUP(F443,[1]对照表!$E$3:$E$24,[1]对照表!$H$3:$H$24),LOOKUP(F443,[1]对照表!$E$27:$E$48,[1]对照表!$H$27:$H$48)))))</f>
        <v>80</v>
      </c>
      <c r="H443" s="38">
        <v>22</v>
      </c>
      <c r="I443" s="32">
        <f>IF(B443="高三",IF($E443="男",LOOKUP(H443,[1]对照表!$K$3:$K$24,[1]对照表!$L$3:$L$24),LOOKUP(H443,[1]对照表!$K$27:$K$48,[1]对照表!$L$27:$L$48)),IF(B443="高二",IF($E443="男",LOOKUP(H443,[1]对照表!$J$3:$J$24,[1]对照表!$L$3:$L$24),LOOKUP(H443,[1]对照表!$J$27:$J$48,[1]对照表!$L$27:$L$48)),IF(B443="高一",IF($E443="男",LOOKUP(H443,[1]对照表!$I$3:$I$24,[1]对照表!$L$3:$L$24),LOOKUP(H443,[1]对照表!$I$27:$I$48,[1]对照表!$L$27:$L$48)))))</f>
        <v>90</v>
      </c>
      <c r="J443" s="38">
        <v>235</v>
      </c>
      <c r="K443" s="32">
        <f>IF(B443="高三",IF($E443="男",LOOKUP(J443,[1]对照表!$O$3:$O$24,[1]对照表!$P$3:$P$24),LOOKUP(J443,[1]对照表!$O$27:$O$48,[1]对照表!$P$27:$P$48)),IF(B443="高二",IF($E443="男",LOOKUP(J443,[1]对照表!$N$3:$N$24,[1]对照表!$P$3:$P$24),LOOKUP(J443,[1]对照表!$N$27:$N$48,[1]对照表!$P$27:$P$48)),IF(B443="高一",IF($E443="男",LOOKUP(J443,[1]对照表!$M$3:$M$24,[1]对照表!$P$3:$P$24),LOOKUP(J443,[1]对照表!$M$27:$M$48,[1]对照表!$P$27:$P$48)))))</f>
        <v>76</v>
      </c>
      <c r="L443" s="38">
        <v>6</v>
      </c>
      <c r="M443" s="32">
        <f>IF(B443="高三",IF($E443="男",LOOKUP(L443,[1]对照表!$S$3:$S$24,[1]对照表!$T$3:$T$24),LOOKUP(L443,[1]对照表!$S$27:$S$48,[1]对照表!$T$27:$T$48)),IF(B443="高二",IF($E443="男",LOOKUP(L443,[1]对照表!$R$3:$R$24,[1]对照表!$T$3:$T$24),LOOKUP(L443,[1]对照表!$R$27:$R$48,[1]对照表!$T$27:$T$48)),IF(B443="高一",IF($E443="男",LOOKUP(L443,[1]对照表!$Q$3:$Q$24,[1]对照表!$T$3:$T$24),LOOKUP(L443,[1]对照表!$Q$27:$Q$48,[1]对照表!$T$27:$T$48)))))</f>
        <v>40</v>
      </c>
      <c r="N443" s="33">
        <f>IF(B443="高三",MAX(IF(E443="男",L443-18,L443-55),0),IF(B443="高二",MAX(IF(E443="男",L443-17,L443-54),0),IF(B443="高一",MAX(IF(E443="男",L443-16,L443-53),0))))</f>
        <v>0</v>
      </c>
      <c r="O443" s="23">
        <f>IF(E443="男",LOOKUP($N443,[1]对照表!$Z$3:$Z$13,[1]对照表!$AA$3:$AA$13),LOOKUP($N443,[1]对照表!$Z$15:$Z$25,[1]对照表!$AA$15:$AA$25))</f>
        <v>0</v>
      </c>
      <c r="P443" s="25">
        <f>M443+O443</f>
        <v>40</v>
      </c>
      <c r="Q443" s="50">
        <v>3.56</v>
      </c>
      <c r="R443" s="32">
        <f>IF(B443="高三",IF($E443="男",LOOKUP(Q443,[1]对照表!$W$3:$W$24,[1]对照表!$X$3:$X$24),LOOKUP(Q443,[1]对照表!$W$27:$W$48,[1]对照表!$X$27:$X$48)),IF(B443="高二",IF($E443="男",LOOKUP(Q443,[1]对照表!$V$3:$V$24,[1]对照表!$X$3:$X$24),LOOKUP(Q443,[1]对照表!$V$27:$V$48,[1]对照表!$X$27:$X$48)),IF(B443="高一",IF($E443="男",LOOKUP(Q443,[1]对照表!$U$3:$U$24,[1]对照表!$X$3:$X$24),LOOKUP(Q443,[1]对照表!$U$27:$U$48,[1]对照表!$X$27:$X$48)))))</f>
        <v>76</v>
      </c>
      <c r="S443" s="33">
        <f>ROUND(IF(IF($B443="高三",MIN(IF($E443="男",$Q443-3.2,$Q443-3.2),0),IF($B443="高二",MIN(IF($E443="男",$Q443-3.25,$Q443-3.22),0),IF($B443="高一",MIN(IF($E443="男",$Q443-3.3,$Q443-3.24),0))))&lt;-0.6,IF($B443="高三",MIN(IF($E443="男",$Q443-3.2,$Q443-3.2),0),IF($B443="高二",MIN(IF($E443="男",$Q443-3.25,$Q443-3.22),0),IF($B443="高一",MIN(IF($E443="男",$Q443-3.3,$Q443-3.24),0))))+0.4,IF($B443="高三",MIN(IF($E443="男",$Q443-3.2,$Q443-3.2),0),IF($B443="高二",MIN(IF($E443="男",$Q443-3.25,$Q443-3.22),0),IF($B443="高一",MIN(IF($E443="男",$Q443-3.3,$Q443-3.24),0))))),2)</f>
        <v>0</v>
      </c>
      <c r="T443" s="23">
        <f>IF(E443="男",LOOKUP($S443,[1]对照表!$AB$3:$AB$13,[1]对照表!$AC$3:$AC$13),LOOKUP($S443,[1]对照表!$AB$15:$AB$25,[1]对照表!$AC$15:$AC$25))</f>
        <v>0</v>
      </c>
      <c r="U443" s="26">
        <f>R443+T443</f>
        <v>76</v>
      </c>
      <c r="V443" s="26">
        <f>SUM(I443,K443,M443)/3*0.3+SUM(G443,R443)/2*0.4</f>
        <v>51.800000000000004</v>
      </c>
      <c r="W443" s="27">
        <f>O443+T443</f>
        <v>0</v>
      </c>
      <c r="X443" s="28">
        <f>V443/0.7+W443</f>
        <v>74.000000000000014</v>
      </c>
      <c r="Y443" s="28">
        <f>X443</f>
        <v>74.000000000000014</v>
      </c>
      <c r="Z443" s="38"/>
    </row>
    <row r="444" spans="1:26" ht="15.6" x14ac:dyDescent="0.25">
      <c r="A444" s="48">
        <v>15</v>
      </c>
      <c r="B444" s="17" t="s">
        <v>767</v>
      </c>
      <c r="C444" s="48">
        <v>209</v>
      </c>
      <c r="D444" s="49" t="s">
        <v>1333</v>
      </c>
      <c r="E444" s="48" t="s">
        <v>23</v>
      </c>
      <c r="F444" s="50">
        <v>7.4</v>
      </c>
      <c r="G444" s="32">
        <f>IF(B444="高三",IF($E444="男",LOOKUP(F444,[1]对照表!$G$3:$G$24,[1]对照表!$H$3:$H$24),LOOKUP(F444,[1]对照表!$G$27:$G$48,[1]对照表!$H$27:$H$48)),IF(B444="高二",IF($E444="男",LOOKUP(F444,[1]对照表!$F$3:$F$24,[1]对照表!$H$3:$H$24),LOOKUP(F444,[1]对照表!$F$27:$F$48,[1]对照表!$H$27:$H$48)),IF(B444="高一",IF($E444="男",LOOKUP(F444,[1]对照表!$E$3:$E$24,[1]对照表!$H$3:$H$24),LOOKUP(F444,[1]对照表!$E$27:$E$48,[1]对照表!$H$27:$H$48)))))</f>
        <v>80</v>
      </c>
      <c r="H444" s="38">
        <v>20</v>
      </c>
      <c r="I444" s="32">
        <f>IF(B444="高三",IF($E444="男",LOOKUP(H444,[1]对照表!$K$3:$K$24,[1]对照表!$L$3:$L$24),LOOKUP(H444,[1]对照表!$K$27:$K$48,[1]对照表!$L$27:$L$48)),IF(B444="高二",IF($E444="男",LOOKUP(H444,[1]对照表!$J$3:$J$24,[1]对照表!$L$3:$L$24),LOOKUP(H444,[1]对照表!$J$27:$J$48,[1]对照表!$L$27:$L$48)),IF(B444="高一",IF($E444="男",LOOKUP(H444,[1]对照表!$I$3:$I$24,[1]对照表!$L$3:$L$24),LOOKUP(H444,[1]对照表!$I$27:$I$48,[1]对照表!$L$27:$L$48)))))</f>
        <v>85</v>
      </c>
      <c r="J444" s="38">
        <v>260</v>
      </c>
      <c r="K444" s="32">
        <f>IF(B444="高三",IF($E444="男",LOOKUP(J444,[1]对照表!$O$3:$O$24,[1]对照表!$P$3:$P$24),LOOKUP(J444,[1]对照表!$O$27:$O$48,[1]对照表!$P$27:$P$48)),IF(B444="高二",IF($E444="男",LOOKUP(J444,[1]对照表!$N$3:$N$24,[1]对照表!$P$3:$P$24),LOOKUP(J444,[1]对照表!$N$27:$N$48,[1]对照表!$P$27:$P$48)),IF(B444="高一",IF($E444="男",LOOKUP(J444,[1]对照表!$M$3:$M$24,[1]对照表!$P$3:$P$24),LOOKUP(J444,[1]对照表!$M$27:$M$48,[1]对照表!$P$27:$P$48)))))</f>
        <v>95</v>
      </c>
      <c r="L444" s="38">
        <v>6</v>
      </c>
      <c r="M444" s="32">
        <f>IF(B444="高三",IF($E444="男",LOOKUP(L444,[1]对照表!$S$3:$S$24,[1]对照表!$T$3:$T$24),LOOKUP(L444,[1]对照表!$S$27:$S$48,[1]对照表!$T$27:$T$48)),IF(B444="高二",IF($E444="男",LOOKUP(L444,[1]对照表!$R$3:$R$24,[1]对照表!$T$3:$T$24),LOOKUP(L444,[1]对照表!$R$27:$R$48,[1]对照表!$T$27:$T$48)),IF(B444="高一",IF($E444="男",LOOKUP(L444,[1]对照表!$Q$3:$Q$24,[1]对照表!$T$3:$T$24),LOOKUP(L444,[1]对照表!$Q$27:$Q$48,[1]对照表!$T$27:$T$48)))))</f>
        <v>40</v>
      </c>
      <c r="N444" s="33">
        <f>IF(B444="高三",MAX(IF(E444="男",L444-18,L444-55),0),IF(B444="高二",MAX(IF(E444="男",L444-17,L444-54),0),IF(B444="高一",MAX(IF(E444="男",L444-16,L444-53),0))))</f>
        <v>0</v>
      </c>
      <c r="O444" s="23">
        <f>IF(E444="男",LOOKUP($N444,[1]对照表!$Z$3:$Z$13,[1]对照表!$AA$3:$AA$13),LOOKUP($N444,[1]对照表!$Z$15:$Z$25,[1]对照表!$AA$15:$AA$25))</f>
        <v>0</v>
      </c>
      <c r="P444" s="25">
        <f>M444+O444</f>
        <v>40</v>
      </c>
      <c r="Q444" s="50">
        <v>4.17</v>
      </c>
      <c r="R444" s="32">
        <f>IF(B444="高三",IF($E444="男",LOOKUP(Q444,[1]对照表!$W$3:$W$24,[1]对照表!$X$3:$X$24),LOOKUP(Q444,[1]对照表!$W$27:$W$48,[1]对照表!$X$27:$X$48)),IF(B444="高二",IF($E444="男",LOOKUP(Q444,[1]对照表!$V$3:$V$24,[1]对照表!$X$3:$X$24),LOOKUP(Q444,[1]对照表!$V$27:$V$48,[1]对照表!$X$27:$X$48)),IF(B444="高一",IF($E444="男",LOOKUP(Q444,[1]对照表!$U$3:$U$24,[1]对照表!$X$3:$X$24),LOOKUP(Q444,[1]对照表!$U$27:$U$48,[1]对照表!$X$27:$X$48)))))</f>
        <v>68</v>
      </c>
      <c r="S444" s="33">
        <f>ROUND(IF(IF($B444="高三",MIN(IF($E444="男",$Q444-3.2,$Q444-3.2),0),IF($B444="高二",MIN(IF($E444="男",$Q444-3.25,$Q444-3.22),0),IF($B444="高一",MIN(IF($E444="男",$Q444-3.3,$Q444-3.24),0))))&lt;-0.6,IF($B444="高三",MIN(IF($E444="男",$Q444-3.2,$Q444-3.2),0),IF($B444="高二",MIN(IF($E444="男",$Q444-3.25,$Q444-3.22),0),IF($B444="高一",MIN(IF($E444="男",$Q444-3.3,$Q444-3.24),0))))+0.4,IF($B444="高三",MIN(IF($E444="男",$Q444-3.2,$Q444-3.2),0),IF($B444="高二",MIN(IF($E444="男",$Q444-3.25,$Q444-3.22),0),IF($B444="高一",MIN(IF($E444="男",$Q444-3.3,$Q444-3.24),0))))),2)</f>
        <v>0</v>
      </c>
      <c r="T444" s="23">
        <f>IF(E444="男",LOOKUP($S444,[1]对照表!$AB$3:$AB$13,[1]对照表!$AC$3:$AC$13),LOOKUP($S444,[1]对照表!$AB$15:$AB$25,[1]对照表!$AC$15:$AC$25))</f>
        <v>0</v>
      </c>
      <c r="U444" s="26">
        <f>R444+T444</f>
        <v>68</v>
      </c>
      <c r="V444" s="26">
        <f>SUM(I444,K444,M444)/3*0.3+SUM(G444,R444)/2*0.4</f>
        <v>51.599999999999994</v>
      </c>
      <c r="W444" s="27">
        <f>O444+T444</f>
        <v>0</v>
      </c>
      <c r="X444" s="28">
        <f>V444/0.7+W444</f>
        <v>73.714285714285708</v>
      </c>
      <c r="Y444" s="28">
        <f>X444</f>
        <v>73.714285714285708</v>
      </c>
      <c r="Z444" s="38"/>
    </row>
    <row r="445" spans="1:26" ht="15.6" customHeight="1" x14ac:dyDescent="0.25">
      <c r="A445" s="48">
        <v>48</v>
      </c>
      <c r="B445" s="17" t="s">
        <v>767</v>
      </c>
      <c r="C445" s="48">
        <v>209</v>
      </c>
      <c r="D445" s="49" t="s">
        <v>1338</v>
      </c>
      <c r="E445" s="48" t="s">
        <v>65</v>
      </c>
      <c r="F445" s="50">
        <v>8.84</v>
      </c>
      <c r="G445" s="32">
        <f>IF(B445="高三",IF($E445="男",LOOKUP(F445,[1]对照表!$G$3:$G$24,[1]对照表!$H$3:$H$24),LOOKUP(F445,[1]对照表!$G$27:$G$48,[1]对照表!$H$27:$H$48)),IF(B445="高二",IF($E445="男",LOOKUP(F445,[1]对照表!$F$3:$F$24,[1]对照表!$H$3:$H$24),LOOKUP(F445,[1]对照表!$F$27:$F$48,[1]对照表!$H$27:$H$48)),IF(B445="高一",IF($E445="男",LOOKUP(F445,[1]对照表!$E$3:$E$24,[1]对照表!$H$3:$H$24),LOOKUP(F445,[1]对照表!$E$27:$E$48,[1]对照表!$H$27:$H$48)))))</f>
        <v>76</v>
      </c>
      <c r="H445" s="38">
        <v>12.2</v>
      </c>
      <c r="I445" s="32">
        <f>IF(B445="高三",IF($E445="男",LOOKUP(H445,[1]对照表!$K$3:$K$24,[1]对照表!$L$3:$L$24),LOOKUP(H445,[1]对照表!$K$27:$K$48,[1]对照表!$L$27:$L$48)),IF(B445="高二",IF($E445="男",LOOKUP(H445,[1]对照表!$J$3:$J$24,[1]对照表!$L$3:$L$24),LOOKUP(H445,[1]对照表!$J$27:$J$48,[1]对照表!$L$27:$L$48)),IF(B445="高一",IF($E445="男",LOOKUP(H445,[1]对照表!$I$3:$I$24,[1]对照表!$L$3:$L$24),LOOKUP(H445,[1]对照表!$I$27:$I$48,[1]对照表!$L$27:$L$48)))))</f>
        <v>70</v>
      </c>
      <c r="J445" s="38">
        <v>197</v>
      </c>
      <c r="K445" s="32">
        <f>IF(B445="高三",IF($E445="男",LOOKUP(J445,[1]对照表!$O$3:$O$24,[1]对照表!$P$3:$P$24),LOOKUP(J445,[1]对照表!$O$27:$O$48,[1]对照表!$P$27:$P$48)),IF(B445="高二",IF($E445="男",LOOKUP(J445,[1]对照表!$N$3:$N$24,[1]对照表!$P$3:$P$24),LOOKUP(J445,[1]对照表!$N$27:$N$48,[1]对照表!$P$27:$P$48)),IF(B445="高一",IF($E445="男",LOOKUP(J445,[1]对照表!$M$3:$M$24,[1]对照表!$P$3:$P$24),LOOKUP(J445,[1]对照表!$M$27:$M$48,[1]对照表!$P$27:$P$48)))))</f>
        <v>90</v>
      </c>
      <c r="L445" s="38">
        <v>48</v>
      </c>
      <c r="M445" s="32">
        <f>IF(B445="高三",IF($E445="男",LOOKUP(L445,[1]对照表!$S$3:$S$24,[1]对照表!$T$3:$T$24),LOOKUP(L445,[1]对照表!$S$27:$S$48,[1]对照表!$T$27:$T$48)),IF(B445="高二",IF($E445="男",LOOKUP(L445,[1]对照表!$R$3:$R$24,[1]对照表!$T$3:$T$24),LOOKUP(L445,[1]对照表!$R$27:$R$48,[1]对照表!$T$27:$T$48)),IF(B445="高一",IF($E445="男",LOOKUP(L445,[1]对照表!$Q$3:$Q$24,[1]对照表!$T$3:$T$24),LOOKUP(L445,[1]对照表!$Q$27:$Q$48,[1]对照表!$T$27:$T$48)))))</f>
        <v>85</v>
      </c>
      <c r="N445" s="33">
        <f>IF(B445="高三",MAX(IF(E445="男",L445-18,L445-55),0),IF(B445="高二",MAX(IF(E445="男",L445-17,L445-54),0),IF(B445="高一",MAX(IF(E445="男",L445-16,L445-53),0))))</f>
        <v>0</v>
      </c>
      <c r="O445" s="23">
        <f>IF(E445="男",LOOKUP($N445,[1]对照表!$Z$3:$Z$13,[1]对照表!$AA$3:$AA$13),LOOKUP($N445,[1]对照表!$Z$15:$Z$25,[1]对照表!$AA$15:$AA$25))</f>
        <v>0</v>
      </c>
      <c r="P445" s="25">
        <f>M445+O445</f>
        <v>85</v>
      </c>
      <c r="Q445" s="50" t="s">
        <v>578</v>
      </c>
      <c r="R445" s="32" t="str">
        <f>IF(B445="高三",IF($E445="男",LOOKUP(Q445,[1]对照表!$W$3:$W$24,[1]对照表!$X$3:$X$24),LOOKUP(Q445,[1]对照表!$W$27:$W$48,[1]对照表!$X$27:$X$48)),IF(B445="高二",IF($E445="男",LOOKUP(Q445,[1]对照表!$V$3:$V$24,[1]对照表!$X$3:$X$24),LOOKUP(Q445,[1]对照表!$V$27:$V$48,[1]对照表!$X$27:$X$48)),IF(B445="高一",IF($E445="男",LOOKUP(Q445,[1]对照表!$U$3:$U$24,[1]对照表!$X$3:$X$24),LOOKUP(Q445,[1]对照表!$U$27:$U$48,[1]对照表!$X$27:$X$48)))))</f>
        <v>/</v>
      </c>
      <c r="S445" s="33">
        <v>0</v>
      </c>
      <c r="T445" s="23">
        <f>IF(E445="男",LOOKUP($S445,[1]对照表!$AB$3:$AB$13,[1]对照表!$AC$3:$AC$13),LOOKUP($S445,[1]对照表!$AB$15:$AB$25,[1]对照表!$AC$15:$AC$25))</f>
        <v>0</v>
      </c>
      <c r="U445" s="26">
        <v>0</v>
      </c>
      <c r="V445" s="26">
        <f>SUM(I445,K445,M445)/3*0.3+SUM(G445,R445)/2*0.4</f>
        <v>39.700000000000003</v>
      </c>
      <c r="W445" s="27">
        <f>O445+T445</f>
        <v>0</v>
      </c>
      <c r="X445" s="28">
        <f>V445/0.7+W445</f>
        <v>56.714285714285722</v>
      </c>
      <c r="Y445" s="28">
        <f>X445</f>
        <v>56.714285714285722</v>
      </c>
      <c r="Z445" s="38"/>
    </row>
    <row r="446" spans="1:26" ht="15.6" x14ac:dyDescent="0.25">
      <c r="A446" s="48">
        <v>25</v>
      </c>
      <c r="B446" s="17" t="s">
        <v>767</v>
      </c>
      <c r="C446" s="48">
        <v>209</v>
      </c>
      <c r="D446" s="49" t="s">
        <v>1361</v>
      </c>
      <c r="E446" s="48" t="s">
        <v>23</v>
      </c>
      <c r="F446" s="50">
        <v>7.7</v>
      </c>
      <c r="G446" s="32">
        <f>IF(B446="高三",IF($E446="男",LOOKUP(F446,[1]对照表!$G$3:$G$24,[1]对照表!$H$3:$H$24),LOOKUP(F446,[1]对照表!$G$27:$G$48,[1]对照表!$H$27:$H$48)),IF(B446="高二",IF($E446="男",LOOKUP(F446,[1]对照表!$F$3:$F$24,[1]对照表!$H$3:$H$24),LOOKUP(F446,[1]对照表!$F$27:$F$48,[1]对照表!$H$27:$H$48)),IF(B446="高一",IF($E446="男",LOOKUP(F446,[1]对照表!$E$3:$E$24,[1]对照表!$H$3:$H$24),LOOKUP(F446,[1]对照表!$E$27:$E$48,[1]对照表!$H$27:$H$48)))))</f>
        <v>76</v>
      </c>
      <c r="H446" s="38">
        <v>8.5</v>
      </c>
      <c r="I446" s="32">
        <f>IF(B446="高三",IF($E446="男",LOOKUP(H446,[1]对照表!$K$3:$K$24,[1]对照表!$L$3:$L$24),LOOKUP(H446,[1]对照表!$K$27:$K$48,[1]对照表!$L$27:$L$48)),IF(B446="高二",IF($E446="男",LOOKUP(H446,[1]对照表!$J$3:$J$24,[1]对照表!$L$3:$L$24),LOOKUP(H446,[1]对照表!$J$27:$J$48,[1]对照表!$L$27:$L$48)),IF(B446="高一",IF($E446="男",LOOKUP(H446,[1]对照表!$I$3:$I$24,[1]对照表!$L$3:$L$24),LOOKUP(H446,[1]对照表!$I$27:$I$48,[1]对照表!$L$27:$L$48)))))</f>
        <v>68</v>
      </c>
      <c r="J446" s="38">
        <v>200</v>
      </c>
      <c r="K446" s="32">
        <f>IF(B446="高三",IF($E446="男",LOOKUP(J446,[1]对照表!$O$3:$O$24,[1]对照表!$P$3:$P$24),LOOKUP(J446,[1]对照表!$O$27:$O$48,[1]对照表!$P$27:$P$48)),IF(B446="高二",IF($E446="男",LOOKUP(J446,[1]对照表!$N$3:$N$24,[1]对照表!$P$3:$P$24),LOOKUP(J446,[1]对照表!$N$27:$N$48,[1]对照表!$P$27:$P$48)),IF(B446="高一",IF($E446="男",LOOKUP(J446,[1]对照表!$M$3:$M$24,[1]对照表!$P$3:$P$24),LOOKUP(J446,[1]对照表!$M$27:$M$48,[1]对照表!$P$27:$P$48)))))</f>
        <v>60</v>
      </c>
      <c r="L446" s="38">
        <v>10</v>
      </c>
      <c r="M446" s="32">
        <f>IF(B446="高三",IF($E446="男",LOOKUP(L446,[1]对照表!$S$3:$S$24,[1]对照表!$T$3:$T$24),LOOKUP(L446,[1]对照表!$S$27:$S$48,[1]对照表!$T$27:$T$48)),IF(B446="高二",IF($E446="男",LOOKUP(L446,[1]对照表!$R$3:$R$24,[1]对照表!$T$3:$T$24),LOOKUP(L446,[1]对照表!$R$27:$R$48,[1]对照表!$T$27:$T$48)),IF(B446="高一",IF($E446="男",LOOKUP(L446,[1]对照表!$Q$3:$Q$24,[1]对照表!$T$3:$T$24),LOOKUP(L446,[1]对照表!$Q$27:$Q$48,[1]对照表!$T$27:$T$48)))))</f>
        <v>68</v>
      </c>
      <c r="N446" s="33">
        <f>IF(B446="高三",MAX(IF(E446="男",L446-18,L446-55),0),IF(B446="高二",MAX(IF(E446="男",L446-17,L446-54),0),IF(B446="高一",MAX(IF(E446="男",L446-16,L446-53),0))))</f>
        <v>0</v>
      </c>
      <c r="O446" s="23">
        <f>IF(E446="男",LOOKUP($N446,[1]对照表!$Z$3:$Z$13,[1]对照表!$AA$3:$AA$13),LOOKUP($N446,[1]对照表!$Z$15:$Z$25,[1]对照表!$AA$15:$AA$25))</f>
        <v>0</v>
      </c>
      <c r="P446" s="25">
        <f>M446+O446</f>
        <v>68</v>
      </c>
      <c r="Q446" s="50">
        <v>4.03</v>
      </c>
      <c r="R446" s="32">
        <f>IF(B446="高三",IF($E446="男",LOOKUP(Q446,[1]对照表!$W$3:$W$24,[1]对照表!$X$3:$X$24),LOOKUP(Q446,[1]对照表!$W$27:$W$48,[1]对照表!$X$27:$X$48)),IF(B446="高二",IF($E446="男",LOOKUP(Q446,[1]对照表!$V$3:$V$24,[1]对照表!$X$3:$X$24),LOOKUP(Q446,[1]对照表!$V$27:$V$48,[1]对照表!$X$27:$X$48)),IF(B446="高一",IF($E446="男",LOOKUP(Q446,[1]对照表!$U$3:$U$24,[1]对照表!$X$3:$X$24),LOOKUP(Q446,[1]对照表!$U$27:$U$48,[1]对照表!$X$27:$X$48)))))</f>
        <v>74</v>
      </c>
      <c r="S446" s="33">
        <f>ROUND(IF(IF($B446="高三",MIN(IF($E446="男",$Q446-3.2,$Q446-3.2),0),IF($B446="高二",MIN(IF($E446="男",$Q446-3.25,$Q446-3.22),0),IF($B446="高一",MIN(IF($E446="男",$Q446-3.3,$Q446-3.24),0))))&lt;-0.6,IF($B446="高三",MIN(IF($E446="男",$Q446-3.2,$Q446-3.2),0),IF($B446="高二",MIN(IF($E446="男",$Q446-3.25,$Q446-3.22),0),IF($B446="高一",MIN(IF($E446="男",$Q446-3.3,$Q446-3.24),0))))+0.4,IF($B446="高三",MIN(IF($E446="男",$Q446-3.2,$Q446-3.2),0),IF($B446="高二",MIN(IF($E446="男",$Q446-3.25,$Q446-3.22),0),IF($B446="高一",MIN(IF($E446="男",$Q446-3.3,$Q446-3.24),0))))),2)</f>
        <v>0</v>
      </c>
      <c r="T446" s="23">
        <f>IF(E446="男",LOOKUP($S446,[1]对照表!$AB$3:$AB$13,[1]对照表!$AC$3:$AC$13),LOOKUP($S446,[1]对照表!$AB$15:$AB$25,[1]对照表!$AC$15:$AC$25))</f>
        <v>0</v>
      </c>
      <c r="U446" s="26">
        <f>R446+T446</f>
        <v>74</v>
      </c>
      <c r="V446" s="26">
        <f>SUM(I446,K446,M446)/3*0.3+SUM(G446,R446)/2*0.4</f>
        <v>49.599999999999994</v>
      </c>
      <c r="W446" s="27">
        <f>O446+T446</f>
        <v>0</v>
      </c>
      <c r="X446" s="28">
        <f>V446/0.7+W446</f>
        <v>70.857142857142847</v>
      </c>
      <c r="Y446" s="28">
        <f>X446</f>
        <v>70.857142857142847</v>
      </c>
      <c r="Z446" s="38"/>
    </row>
    <row r="447" spans="1:26" ht="15.6" x14ac:dyDescent="0.25">
      <c r="A447" s="48">
        <v>23</v>
      </c>
      <c r="B447" s="17" t="s">
        <v>767</v>
      </c>
      <c r="C447" s="48">
        <v>209</v>
      </c>
      <c r="D447" s="49" t="s">
        <v>1364</v>
      </c>
      <c r="E447" s="48" t="s">
        <v>23</v>
      </c>
      <c r="F447" s="50">
        <v>7.5</v>
      </c>
      <c r="G447" s="32">
        <f>IF(B447="高三",IF($E447="男",LOOKUP(F447,[1]对照表!$G$3:$G$24,[1]对照表!$H$3:$H$24),LOOKUP(F447,[1]对照表!$G$27:$G$48,[1]对照表!$H$27:$H$48)),IF(B447="高二",IF($E447="男",LOOKUP(F447,[1]对照表!$F$3:$F$24,[1]对照表!$H$3:$H$24),LOOKUP(F447,[1]对照表!$F$27:$F$48,[1]对照表!$H$27:$H$48)),IF(B447="高一",IF($E447="男",LOOKUP(F447,[1]对照表!$E$3:$E$24,[1]对照表!$H$3:$H$24),LOOKUP(F447,[1]对照表!$E$27:$E$48,[1]对照表!$H$27:$H$48)))))</f>
        <v>78</v>
      </c>
      <c r="H447" s="38">
        <v>-0.3</v>
      </c>
      <c r="I447" s="32">
        <f>IF(B447="高三",IF($E447="男",LOOKUP(H447,[1]对照表!$K$3:$K$24,[1]对照表!$L$3:$L$24),LOOKUP(H447,[1]对照表!$K$27:$K$48,[1]对照表!$L$27:$L$48)),IF(B447="高二",IF($E447="男",LOOKUP(H447,[1]对照表!$J$3:$J$24,[1]对照表!$L$3:$L$24),LOOKUP(H447,[1]对照表!$J$27:$J$48,[1]对照表!$L$27:$L$48)),IF(B447="高一",IF($E447="男",LOOKUP(H447,[1]对照表!$I$3:$I$24,[1]对照表!$L$3:$L$24),LOOKUP(H447,[1]对照表!$I$27:$I$48,[1]对照表!$L$27:$L$48)))))</f>
        <v>30</v>
      </c>
      <c r="J447" s="53">
        <v>228</v>
      </c>
      <c r="K447" s="32">
        <f>IF(B447="高三",IF($E447="男",LOOKUP(J447,[1]对照表!$O$3:$O$24,[1]对照表!$P$3:$P$24),LOOKUP(J447,[1]对照表!$O$27:$O$48,[1]对照表!$P$27:$P$48)),IF(B447="高二",IF($E447="男",LOOKUP(J447,[1]对照表!$N$3:$N$24,[1]对照表!$P$3:$P$24),LOOKUP(J447,[1]对照表!$N$27:$N$48,[1]对照表!$P$27:$P$48)),IF(B447="高一",IF($E447="男",LOOKUP(J447,[1]对照表!$M$3:$M$24,[1]对照表!$P$3:$P$24),LOOKUP(J447,[1]对照表!$M$27:$M$48,[1]对照表!$P$27:$P$48)))))</f>
        <v>74</v>
      </c>
      <c r="L447" s="38">
        <v>9</v>
      </c>
      <c r="M447" s="32">
        <f>IF(B447="高三",IF($E447="男",LOOKUP(L447,[1]对照表!$S$3:$S$24,[1]对照表!$T$3:$T$24),LOOKUP(L447,[1]对照表!$S$27:$S$48,[1]对照表!$T$27:$T$48)),IF(B447="高二",IF($E447="男",LOOKUP(L447,[1]对照表!$R$3:$R$24,[1]对照表!$T$3:$T$24),LOOKUP(L447,[1]对照表!$R$27:$R$48,[1]对照表!$T$27:$T$48)),IF(B447="高一",IF($E447="男",LOOKUP(L447,[1]对照表!$Q$3:$Q$24,[1]对照表!$T$3:$T$24),LOOKUP(L447,[1]对照表!$Q$27:$Q$48,[1]对照表!$T$27:$T$48)))))</f>
        <v>64</v>
      </c>
      <c r="N447" s="33">
        <f>IF(B447="高三",MAX(IF(E447="男",L447-18,L447-55),0),IF(B447="高二",MAX(IF(E447="男",L447-17,L447-54),0),IF(B447="高一",MAX(IF(E447="男",L447-16,L447-53),0))))</f>
        <v>0</v>
      </c>
      <c r="O447" s="23">
        <f>IF(E447="男",LOOKUP($N447,[1]对照表!$Z$3:$Z$13,[1]对照表!$AA$3:$AA$13),LOOKUP($N447,[1]对照表!$Z$15:$Z$25,[1]对照表!$AA$15:$AA$25))</f>
        <v>0</v>
      </c>
      <c r="P447" s="25">
        <f>M447+O447</f>
        <v>64</v>
      </c>
      <c r="Q447" s="50">
        <v>3.42</v>
      </c>
      <c r="R447" s="32">
        <f>IF(B447="高三",IF($E447="男",LOOKUP(Q447,[1]对照表!$W$3:$W$24,[1]对照表!$X$3:$X$24),LOOKUP(Q447,[1]对照表!$W$27:$W$48,[1]对照表!$X$27:$X$48)),IF(B447="高二",IF($E447="男",LOOKUP(Q447,[1]对照表!$V$3:$V$24,[1]对照表!$X$3:$X$24),LOOKUP(Q447,[1]对照表!$V$27:$V$48,[1]对照表!$X$27:$X$48)),IF(B447="高一",IF($E447="男",LOOKUP(Q447,[1]对照表!$U$3:$U$24,[1]对照表!$X$3:$X$24),LOOKUP(Q447,[1]对照表!$U$27:$U$48,[1]对照表!$X$27:$X$48)))))</f>
        <v>85</v>
      </c>
      <c r="S447" s="33">
        <f>ROUND(IF(IF($B447="高三",MIN(IF($E447="男",$Q447-3.2,$Q447-3.2),0),IF($B447="高二",MIN(IF($E447="男",$Q447-3.25,$Q447-3.22),0),IF($B447="高一",MIN(IF($E447="男",$Q447-3.3,$Q447-3.24),0))))&lt;-0.6,IF($B447="高三",MIN(IF($E447="男",$Q447-3.2,$Q447-3.2),0),IF($B447="高二",MIN(IF($E447="男",$Q447-3.25,$Q447-3.22),0),IF($B447="高一",MIN(IF($E447="男",$Q447-3.3,$Q447-3.24),0))))+0.4,IF($B447="高三",MIN(IF($E447="男",$Q447-3.2,$Q447-3.2),0),IF($B447="高二",MIN(IF($E447="男",$Q447-3.25,$Q447-3.22),0),IF($B447="高一",MIN(IF($E447="男",$Q447-3.3,$Q447-3.24),0))))),2)</f>
        <v>0</v>
      </c>
      <c r="T447" s="23">
        <f>IF(E447="男",LOOKUP($S447,[1]对照表!$AB$3:$AB$13,[1]对照表!$AC$3:$AC$13),LOOKUP($S447,[1]对照表!$AB$15:$AB$25,[1]对照表!$AC$15:$AC$25))</f>
        <v>0</v>
      </c>
      <c r="U447" s="26">
        <f>R447+T447</f>
        <v>85</v>
      </c>
      <c r="V447" s="26">
        <f>SUM(I447,K447,M447)/3*0.3+SUM(G447,R447)/2*0.4</f>
        <v>49.400000000000006</v>
      </c>
      <c r="W447" s="27">
        <f>O447+T447</f>
        <v>0</v>
      </c>
      <c r="X447" s="28">
        <f>V447/0.7+W447</f>
        <v>70.571428571428584</v>
      </c>
      <c r="Y447" s="28">
        <f>X447</f>
        <v>70.571428571428584</v>
      </c>
      <c r="Z447" s="38"/>
    </row>
    <row r="448" spans="1:26" ht="15.6" x14ac:dyDescent="0.25">
      <c r="A448" s="48">
        <v>14</v>
      </c>
      <c r="B448" s="17" t="s">
        <v>767</v>
      </c>
      <c r="C448" s="48">
        <v>209</v>
      </c>
      <c r="D448" s="49" t="s">
        <v>1365</v>
      </c>
      <c r="E448" s="48" t="s">
        <v>23</v>
      </c>
      <c r="F448" s="50">
        <v>7.2</v>
      </c>
      <c r="G448" s="32">
        <f>IF(B448="高三",IF($E448="男",LOOKUP(F448,[1]对照表!$G$3:$G$24,[1]对照表!$H$3:$H$24),LOOKUP(F448,[1]对照表!$G$27:$G$48,[1]对照表!$H$27:$H$48)),IF(B448="高二",IF($E448="男",LOOKUP(F448,[1]对照表!$F$3:$F$24,[1]对照表!$H$3:$H$24),LOOKUP(F448,[1]对照表!$F$27:$F$48,[1]对照表!$H$27:$H$48)),IF(B448="高一",IF($E448="男",LOOKUP(F448,[1]对照表!$E$3:$E$24,[1]对照表!$H$3:$H$24),LOOKUP(F448,[1]对照表!$E$27:$E$48,[1]对照表!$H$27:$H$48)))))</f>
        <v>90</v>
      </c>
      <c r="H448" s="38">
        <v>11</v>
      </c>
      <c r="I448" s="32">
        <f>IF(B448="高三",IF($E448="男",LOOKUP(H448,[1]对照表!$K$3:$K$24,[1]对照表!$L$3:$L$24),LOOKUP(H448,[1]对照表!$K$27:$K$48,[1]对照表!$L$27:$L$48)),IF(B448="高二",IF($E448="男",LOOKUP(H448,[1]对照表!$J$3:$J$24,[1]对照表!$L$3:$L$24),LOOKUP(H448,[1]对照表!$J$27:$J$48,[1]对照表!$L$27:$L$48)),IF(B448="高一",IF($E448="男",LOOKUP(H448,[1]对照表!$I$3:$I$24,[1]对照表!$L$3:$L$24),LOOKUP(H448,[1]对照表!$I$27:$I$48,[1]对照表!$L$27:$L$48)))))</f>
        <v>72</v>
      </c>
      <c r="J448" s="38">
        <v>220</v>
      </c>
      <c r="K448" s="32">
        <f>IF(B448="高三",IF($E448="男",LOOKUP(J448,[1]对照表!$O$3:$O$24,[1]对照表!$P$3:$P$24),LOOKUP(J448,[1]对照表!$O$27:$O$48,[1]对照表!$P$27:$P$48)),IF(B448="高二",IF($E448="男",LOOKUP(J448,[1]对照表!$N$3:$N$24,[1]对照表!$P$3:$P$24),LOOKUP(J448,[1]对照表!$N$27:$N$48,[1]对照表!$P$27:$P$48)),IF(B448="高一",IF($E448="男",LOOKUP(J448,[1]对照表!$M$3:$M$24,[1]对照表!$P$3:$P$24),LOOKUP(J448,[1]对照表!$M$27:$M$48,[1]对照表!$P$27:$P$48)))))</f>
        <v>70</v>
      </c>
      <c r="L448" s="38">
        <v>3</v>
      </c>
      <c r="M448" s="32">
        <f>IF(B448="高三",IF($E448="男",LOOKUP(L448,[1]对照表!$S$3:$S$24,[1]对照表!$T$3:$T$24),LOOKUP(L448,[1]对照表!$S$27:$S$48,[1]对照表!$T$27:$T$48)),IF(B448="高二",IF($E448="男",LOOKUP(L448,[1]对照表!$R$3:$R$24,[1]对照表!$T$3:$T$24),LOOKUP(L448,[1]对照表!$R$27:$R$48,[1]对照表!$T$27:$T$48)),IF(B448="高一",IF($E448="男",LOOKUP(L448,[1]对照表!$Q$3:$Q$24,[1]对照表!$T$3:$T$24),LOOKUP(L448,[1]对照表!$Q$27:$Q$48,[1]对照表!$T$27:$T$48)))))</f>
        <v>10</v>
      </c>
      <c r="N448" s="33">
        <f>IF(B448="高三",MAX(IF(E448="男",L448-18,L448-55),0),IF(B448="高二",MAX(IF(E448="男",L448-17,L448-54),0),IF(B448="高一",MAX(IF(E448="男",L448-16,L448-53),0))))</f>
        <v>0</v>
      </c>
      <c r="O448" s="23">
        <f>IF(E448="男",LOOKUP($N448,[1]对照表!$Z$3:$Z$13,[1]对照表!$AA$3:$AA$13),LOOKUP($N448,[1]对照表!$Z$15:$Z$25,[1]对照表!$AA$15:$AA$25))</f>
        <v>0</v>
      </c>
      <c r="P448" s="25">
        <f>M448+O448</f>
        <v>10</v>
      </c>
      <c r="Q448" s="50">
        <v>3.45</v>
      </c>
      <c r="R448" s="32">
        <f>IF(B448="高三",IF($E448="男",LOOKUP(Q448,[1]对照表!$W$3:$W$24,[1]对照表!$X$3:$X$24),LOOKUP(Q448,[1]对照表!$W$27:$W$48,[1]对照表!$X$27:$X$48)),IF(B448="高二",IF($E448="男",LOOKUP(Q448,[1]对照表!$V$3:$V$24,[1]对照表!$X$3:$X$24),LOOKUP(Q448,[1]对照表!$V$27:$V$48,[1]对照表!$X$27:$X$48)),IF(B448="高一",IF($E448="男",LOOKUP(Q448,[1]对照表!$U$3:$U$24,[1]对照表!$X$3:$X$24),LOOKUP(Q448,[1]对照表!$U$27:$U$48,[1]对照表!$X$27:$X$48)))))</f>
        <v>80</v>
      </c>
      <c r="S448" s="33">
        <f>ROUND(IF(IF($B448="高三",MIN(IF($E448="男",$Q448-3.2,$Q448-3.2),0),IF($B448="高二",MIN(IF($E448="男",$Q448-3.25,$Q448-3.22),0),IF($B448="高一",MIN(IF($E448="男",$Q448-3.3,$Q448-3.24),0))))&lt;-0.6,IF($B448="高三",MIN(IF($E448="男",$Q448-3.2,$Q448-3.2),0),IF($B448="高二",MIN(IF($E448="男",$Q448-3.25,$Q448-3.22),0),IF($B448="高一",MIN(IF($E448="男",$Q448-3.3,$Q448-3.24),0))))+0.4,IF($B448="高三",MIN(IF($E448="男",$Q448-3.2,$Q448-3.2),0),IF($B448="高二",MIN(IF($E448="男",$Q448-3.25,$Q448-3.22),0),IF($B448="高一",MIN(IF($E448="男",$Q448-3.3,$Q448-3.24),0))))),2)</f>
        <v>0</v>
      </c>
      <c r="T448" s="23">
        <f>IF(E448="男",LOOKUP($S448,[1]对照表!$AB$3:$AB$13,[1]对照表!$AC$3:$AC$13),LOOKUP($S448,[1]对照表!$AB$15:$AB$25,[1]对照表!$AC$15:$AC$25))</f>
        <v>0</v>
      </c>
      <c r="U448" s="26">
        <f>R448+T448</f>
        <v>80</v>
      </c>
      <c r="V448" s="26">
        <f>SUM(I448,K448,M448)/3*0.3+SUM(G448,R448)/2*0.4</f>
        <v>49.2</v>
      </c>
      <c r="W448" s="27">
        <f>O448+T448</f>
        <v>0</v>
      </c>
      <c r="X448" s="28">
        <f>V448/0.7+W448</f>
        <v>70.285714285714292</v>
      </c>
      <c r="Y448" s="28">
        <f>X448</f>
        <v>70.285714285714292</v>
      </c>
      <c r="Z448" s="38"/>
    </row>
    <row r="449" spans="1:26" ht="15.6" customHeight="1" x14ac:dyDescent="0.25">
      <c r="A449" s="48">
        <v>12</v>
      </c>
      <c r="B449" s="17" t="s">
        <v>767</v>
      </c>
      <c r="C449" s="48">
        <v>209</v>
      </c>
      <c r="D449" s="49" t="s">
        <v>1382</v>
      </c>
      <c r="E449" s="48" t="s">
        <v>23</v>
      </c>
      <c r="F449" s="50">
        <v>7.4</v>
      </c>
      <c r="G449" s="32">
        <f>IF(B449="高三",IF($E449="男",LOOKUP(F449,[1]对照表!$G$3:$G$24,[1]对照表!$H$3:$H$24),LOOKUP(F449,[1]对照表!$G$27:$G$48,[1]对照表!$H$27:$H$48)),IF(B449="高二",IF($E449="男",LOOKUP(F449,[1]对照表!$F$3:$F$24,[1]对照表!$H$3:$H$24),LOOKUP(F449,[1]对照表!$F$27:$F$48,[1]对照表!$H$27:$H$48)),IF(B449="高一",IF($E449="男",LOOKUP(F449,[1]对照表!$E$3:$E$24,[1]对照表!$H$3:$H$24),LOOKUP(F449,[1]对照表!$E$27:$E$48,[1]对照表!$H$27:$H$48)))))</f>
        <v>80</v>
      </c>
      <c r="H449" s="38">
        <v>11.5</v>
      </c>
      <c r="I449" s="32">
        <f>IF(B449="高三",IF($E449="男",LOOKUP(H449,[1]对照表!$K$3:$K$24,[1]对照表!$L$3:$L$24),LOOKUP(H449,[1]对照表!$K$27:$K$48,[1]对照表!$L$27:$L$48)),IF(B449="高二",IF($E449="男",LOOKUP(H449,[1]对照表!$J$3:$J$24,[1]对照表!$L$3:$L$24),LOOKUP(H449,[1]对照表!$J$27:$J$48,[1]对照表!$L$27:$L$48)),IF(B449="高一",IF($E449="男",LOOKUP(H449,[1]对照表!$I$3:$I$24,[1]对照表!$L$3:$L$24),LOOKUP(H449,[1]对照表!$I$27:$I$48,[1]对照表!$L$27:$L$48)))))</f>
        <v>72</v>
      </c>
      <c r="J449" s="38">
        <v>235</v>
      </c>
      <c r="K449" s="32">
        <f>IF(B449="高三",IF($E449="男",LOOKUP(J449,[1]对照表!$O$3:$O$24,[1]对照表!$P$3:$P$24),LOOKUP(J449,[1]对照表!$O$27:$O$48,[1]对照表!$P$27:$P$48)),IF(B449="高二",IF($E449="男",LOOKUP(J449,[1]对照表!$N$3:$N$24,[1]对照表!$P$3:$P$24),LOOKUP(J449,[1]对照表!$N$27:$N$48,[1]对照表!$P$27:$P$48)),IF(B449="高一",IF($E449="男",LOOKUP(J449,[1]对照表!$M$3:$M$24,[1]对照表!$P$3:$P$24),LOOKUP(J449,[1]对照表!$M$27:$M$48,[1]对照表!$P$27:$P$48)))))</f>
        <v>76</v>
      </c>
      <c r="L449" s="38">
        <v>3</v>
      </c>
      <c r="M449" s="32">
        <f>IF(B449="高三",IF($E449="男",LOOKUP(L449,[1]对照表!$S$3:$S$24,[1]对照表!$T$3:$T$24),LOOKUP(L449,[1]对照表!$S$27:$S$48,[1]对照表!$T$27:$T$48)),IF(B449="高二",IF($E449="男",LOOKUP(L449,[1]对照表!$R$3:$R$24,[1]对照表!$T$3:$T$24),LOOKUP(L449,[1]对照表!$R$27:$R$48,[1]对照表!$T$27:$T$48)),IF(B449="高一",IF($E449="男",LOOKUP(L449,[1]对照表!$Q$3:$Q$24,[1]对照表!$T$3:$T$24),LOOKUP(L449,[1]对照表!$Q$27:$Q$48,[1]对照表!$T$27:$T$48)))))</f>
        <v>10</v>
      </c>
      <c r="N449" s="33">
        <f>IF(B449="高三",MAX(IF(E449="男",L449-18,L449-55),0),IF(B449="高二",MAX(IF(E449="男",L449-17,L449-54),0),IF(B449="高一",MAX(IF(E449="男",L449-16,L449-53),0))))</f>
        <v>0</v>
      </c>
      <c r="O449" s="23">
        <f>IF(E449="男",LOOKUP($N449,[1]对照表!$Z$3:$Z$13,[1]对照表!$AA$3:$AA$13),LOOKUP($N449,[1]对照表!$Z$15:$Z$25,[1]对照表!$AA$15:$AA$25))</f>
        <v>0</v>
      </c>
      <c r="P449" s="25">
        <f>M449+O449</f>
        <v>10</v>
      </c>
      <c r="Q449" s="50">
        <v>3.55</v>
      </c>
      <c r="R449" s="32">
        <f>IF(B449="高三",IF($E449="男",LOOKUP(Q449,[1]对照表!$W$3:$W$24,[1]对照表!$X$3:$X$24),LOOKUP(Q449,[1]对照表!$W$27:$W$48,[1]对照表!$X$27:$X$48)),IF(B449="高二",IF($E449="男",LOOKUP(Q449,[1]对照表!$V$3:$V$24,[1]对照表!$X$3:$X$24),LOOKUP(Q449,[1]对照表!$V$27:$V$48,[1]对照表!$X$27:$X$48)),IF(B449="高一",IF($E449="男",LOOKUP(Q449,[1]对照表!$U$3:$U$24,[1]对照表!$X$3:$X$24),LOOKUP(Q449,[1]对照表!$U$27:$U$48,[1]对照表!$X$27:$X$48)))))</f>
        <v>78</v>
      </c>
      <c r="S449" s="33">
        <f>ROUND(IF(IF($B449="高三",MIN(IF($E449="男",$Q449-3.2,$Q449-3.2),0),IF($B449="高二",MIN(IF($E449="男",$Q449-3.25,$Q449-3.22),0),IF($B449="高一",MIN(IF($E449="男",$Q449-3.3,$Q449-3.24),0))))&lt;-0.6,IF($B449="高三",MIN(IF($E449="男",$Q449-3.2,$Q449-3.2),0),IF($B449="高二",MIN(IF($E449="男",$Q449-3.25,$Q449-3.22),0),IF($B449="高一",MIN(IF($E449="男",$Q449-3.3,$Q449-3.24),0))))+0.4,IF($B449="高三",MIN(IF($E449="男",$Q449-3.2,$Q449-3.2),0),IF($B449="高二",MIN(IF($E449="男",$Q449-3.25,$Q449-3.22),0),IF($B449="高一",MIN(IF($E449="男",$Q449-3.3,$Q449-3.24),0))))),2)</f>
        <v>0</v>
      </c>
      <c r="T449" s="23">
        <f>IF(E449="男",LOOKUP($S449,[1]对照表!$AB$3:$AB$13,[1]对照表!$AC$3:$AC$13),LOOKUP($S449,[1]对照表!$AB$15:$AB$25,[1]对照表!$AC$15:$AC$25))</f>
        <v>0</v>
      </c>
      <c r="U449" s="26">
        <f>R449+T449</f>
        <v>78</v>
      </c>
      <c r="V449" s="26">
        <f>SUM(I449,K449,M449)/3*0.3+SUM(G449,R449)/2*0.4</f>
        <v>47.4</v>
      </c>
      <c r="W449" s="27">
        <f>O449+T449</f>
        <v>0</v>
      </c>
      <c r="X449" s="28">
        <f>V449/0.7+W449</f>
        <v>67.714285714285722</v>
      </c>
      <c r="Y449" s="28">
        <f>X449</f>
        <v>67.714285714285722</v>
      </c>
      <c r="Z449" s="38"/>
    </row>
    <row r="450" spans="1:26" ht="15.6" x14ac:dyDescent="0.25">
      <c r="A450" s="48">
        <v>17</v>
      </c>
      <c r="B450" s="17" t="s">
        <v>767</v>
      </c>
      <c r="C450" s="48">
        <v>209</v>
      </c>
      <c r="D450" s="49" t="s">
        <v>1408</v>
      </c>
      <c r="E450" s="48" t="s">
        <v>23</v>
      </c>
      <c r="F450" s="50">
        <v>7.9</v>
      </c>
      <c r="G450" s="32">
        <f>IF(B450="高三",IF($E450="男",LOOKUP(F450,[1]对照表!$G$3:$G$24,[1]对照表!$H$3:$H$24),LOOKUP(F450,[1]对照表!$G$27:$G$48,[1]对照表!$H$27:$H$48)),IF(B450="高二",IF($E450="男",LOOKUP(F450,[1]对照表!$F$3:$F$24,[1]对照表!$H$3:$H$24),LOOKUP(F450,[1]对照表!$F$27:$F$48,[1]对照表!$H$27:$H$48)),IF(B450="高一",IF($E450="男",LOOKUP(F450,[1]对照表!$E$3:$E$24,[1]对照表!$H$3:$H$24),LOOKUP(F450,[1]对照表!$E$27:$E$48,[1]对照表!$H$27:$H$48)))))</f>
        <v>74</v>
      </c>
      <c r="H450" s="38">
        <v>21</v>
      </c>
      <c r="I450" s="32">
        <f>IF(B450="高三",IF($E450="男",LOOKUP(H450,[1]对照表!$K$3:$K$24,[1]对照表!$L$3:$L$24),LOOKUP(H450,[1]对照表!$K$27:$K$48,[1]对照表!$L$27:$L$48)),IF(B450="高二",IF($E450="男",LOOKUP(H450,[1]对照表!$J$3:$J$24,[1]对照表!$L$3:$L$24),LOOKUP(H450,[1]对照表!$J$27:$J$48,[1]对照表!$L$27:$L$48)),IF(B450="高一",IF($E450="男",LOOKUP(H450,[1]对照表!$I$3:$I$24,[1]对照表!$L$3:$L$24),LOOKUP(H450,[1]对照表!$I$27:$I$48,[1]对照表!$L$27:$L$48)))))</f>
        <v>90</v>
      </c>
      <c r="J450" s="38">
        <v>215</v>
      </c>
      <c r="K450" s="32">
        <f>IF(B450="高三",IF($E450="男",LOOKUP(J450,[1]对照表!$O$3:$O$24,[1]对照表!$P$3:$P$24),LOOKUP(J450,[1]对照表!$O$27:$O$48,[1]对照表!$P$27:$P$48)),IF(B450="高二",IF($E450="男",LOOKUP(J450,[1]对照表!$N$3:$N$24,[1]对照表!$P$3:$P$24),LOOKUP(J450,[1]对照表!$N$27:$N$48,[1]对照表!$P$27:$P$48)),IF(B450="高一",IF($E450="男",LOOKUP(J450,[1]对照表!$M$3:$M$24,[1]对照表!$P$3:$P$24),LOOKUP(J450,[1]对照表!$M$27:$M$48,[1]对照表!$P$27:$P$48)))))</f>
        <v>66</v>
      </c>
      <c r="L450" s="38">
        <v>2</v>
      </c>
      <c r="M450" s="32">
        <f>IF(B450="高三",IF($E450="男",LOOKUP(L450,[1]对照表!$S$3:$S$24,[1]对照表!$T$3:$T$24),LOOKUP(L450,[1]对照表!$S$27:$S$48,[1]对照表!$T$27:$T$48)),IF(B450="高二",IF($E450="男",LOOKUP(L450,[1]对照表!$R$3:$R$24,[1]对照表!$T$3:$T$24),LOOKUP(L450,[1]对照表!$R$27:$R$48,[1]对照表!$T$27:$T$48)),IF(B450="高一",IF($E450="男",LOOKUP(L450,[1]对照表!$Q$3:$Q$24,[1]对照表!$T$3:$T$24),LOOKUP(L450,[1]对照表!$Q$27:$Q$48,[1]对照表!$T$27:$T$48)))))</f>
        <v>0</v>
      </c>
      <c r="N450" s="33">
        <f>IF(B450="高三",MAX(IF(E450="男",L450-18,L450-55),0),IF(B450="高二",MAX(IF(E450="男",L450-17,L450-54),0),IF(B450="高一",MAX(IF(E450="男",L450-16,L450-53),0))))</f>
        <v>0</v>
      </c>
      <c r="O450" s="23">
        <f>IF(E450="男",LOOKUP($N450,[1]对照表!$Z$3:$Z$13,[1]对照表!$AA$3:$AA$13),LOOKUP($N450,[1]对照表!$Z$15:$Z$25,[1]对照表!$AA$15:$AA$25))</f>
        <v>0</v>
      </c>
      <c r="P450" s="25">
        <f>M450+O450</f>
        <v>0</v>
      </c>
      <c r="Q450" s="50">
        <v>4.08</v>
      </c>
      <c r="R450" s="32">
        <f>IF(B450="高三",IF($E450="男",LOOKUP(Q450,[1]对照表!$W$3:$W$24,[1]对照表!$X$3:$X$24),LOOKUP(Q450,[1]对照表!$W$27:$W$48,[1]对照表!$X$27:$X$48)),IF(B450="高二",IF($E450="男",LOOKUP(Q450,[1]对照表!$V$3:$V$24,[1]对照表!$X$3:$X$24),LOOKUP(Q450,[1]对照表!$V$27:$V$48,[1]对照表!$X$27:$X$48)),IF(B450="高一",IF($E450="男",LOOKUP(Q450,[1]对照表!$U$3:$U$24,[1]对照表!$X$3:$X$24),LOOKUP(Q450,[1]对照表!$U$27:$U$48,[1]对照表!$X$27:$X$48)))))</f>
        <v>72</v>
      </c>
      <c r="S450" s="33">
        <f>ROUND(IF(IF($B450="高三",MIN(IF($E450="男",$Q450-3.2,$Q450-3.2),0),IF($B450="高二",MIN(IF($E450="男",$Q450-3.25,$Q450-3.22),0),IF($B450="高一",MIN(IF($E450="男",$Q450-3.3,$Q450-3.24),0))))&lt;-0.6,IF($B450="高三",MIN(IF($E450="男",$Q450-3.2,$Q450-3.2),0),IF($B450="高二",MIN(IF($E450="男",$Q450-3.25,$Q450-3.22),0),IF($B450="高一",MIN(IF($E450="男",$Q450-3.3,$Q450-3.24),0))))+0.4,IF($B450="高三",MIN(IF($E450="男",$Q450-3.2,$Q450-3.2),0),IF($B450="高二",MIN(IF($E450="男",$Q450-3.25,$Q450-3.22),0),IF($B450="高一",MIN(IF($E450="男",$Q450-3.3,$Q450-3.24),0))))),2)</f>
        <v>0</v>
      </c>
      <c r="T450" s="23">
        <f>IF(E450="男",LOOKUP($S450,[1]对照表!$AB$3:$AB$13,[1]对照表!$AC$3:$AC$13),LOOKUP($S450,[1]对照表!$AB$15:$AB$25,[1]对照表!$AC$15:$AC$25))</f>
        <v>0</v>
      </c>
      <c r="U450" s="26">
        <f>R450+T450</f>
        <v>72</v>
      </c>
      <c r="V450" s="26">
        <f>SUM(I450,K450,M450)/3*0.3+SUM(G450,R450)/2*0.4</f>
        <v>44.800000000000004</v>
      </c>
      <c r="W450" s="27">
        <f>O450+T450</f>
        <v>0</v>
      </c>
      <c r="X450" s="28">
        <f>V450/0.7+W450</f>
        <v>64.000000000000014</v>
      </c>
      <c r="Y450" s="28">
        <f>X450</f>
        <v>64.000000000000014</v>
      </c>
      <c r="Z450" s="38"/>
    </row>
    <row r="451" spans="1:26" ht="15.6" x14ac:dyDescent="0.25">
      <c r="A451" s="48">
        <v>2</v>
      </c>
      <c r="B451" s="17" t="s">
        <v>767</v>
      </c>
      <c r="C451" s="48">
        <v>209</v>
      </c>
      <c r="D451" s="49" t="s">
        <v>1425</v>
      </c>
      <c r="E451" s="48" t="s">
        <v>23</v>
      </c>
      <c r="F451" s="50">
        <v>8</v>
      </c>
      <c r="G451" s="32">
        <f>IF(B451="高三",IF($E451="男",LOOKUP(F451,[1]对照表!$G$3:$G$24,[1]对照表!$H$3:$H$24),LOOKUP(F451,[1]对照表!$G$27:$G$48,[1]对照表!$H$27:$H$48)),IF(B451="高二",IF($E451="男",LOOKUP(F451,[1]对照表!$F$3:$F$24,[1]对照表!$H$3:$H$24),LOOKUP(F451,[1]对照表!$F$27:$F$48,[1]对照表!$H$27:$H$48)),IF(B451="高一",IF($E451="男",LOOKUP(F451,[1]对照表!$E$3:$E$24,[1]对照表!$H$3:$H$24),LOOKUP(F451,[1]对照表!$E$27:$E$48,[1]对照表!$H$27:$H$48)))))</f>
        <v>74</v>
      </c>
      <c r="H451" s="38">
        <v>12</v>
      </c>
      <c r="I451" s="32">
        <f>IF(B451="高三",IF($E451="男",LOOKUP(H451,[1]对照表!$K$3:$K$24,[1]对照表!$L$3:$L$24),LOOKUP(H451,[1]对照表!$K$27:$K$48,[1]对照表!$L$27:$L$48)),IF(B451="高二",IF($E451="男",LOOKUP(H451,[1]对照表!$J$3:$J$24,[1]对照表!$L$3:$L$24),LOOKUP(H451,[1]对照表!$J$27:$J$48,[1]对照表!$L$27:$L$48)),IF(B451="高一",IF($E451="男",LOOKUP(H451,[1]对照表!$I$3:$I$24,[1]对照表!$L$3:$L$24),LOOKUP(H451,[1]对照表!$I$27:$I$48,[1]对照表!$L$27:$L$48)))))</f>
        <v>74</v>
      </c>
      <c r="J451" s="38">
        <v>211</v>
      </c>
      <c r="K451" s="32">
        <f>IF(B451="高三",IF($E451="男",LOOKUP(J451,[1]对照表!$O$3:$O$24,[1]对照表!$P$3:$P$24),LOOKUP(J451,[1]对照表!$O$27:$O$48,[1]对照表!$P$27:$P$48)),IF(B451="高二",IF($E451="男",LOOKUP(J451,[1]对照表!$N$3:$N$24,[1]对照表!$P$3:$P$24),LOOKUP(J451,[1]对照表!$N$27:$N$48,[1]对照表!$P$27:$P$48)),IF(B451="高一",IF($E451="男",LOOKUP(J451,[1]对照表!$M$3:$M$24,[1]对照表!$P$3:$P$24),LOOKUP(J451,[1]对照表!$M$27:$M$48,[1]对照表!$P$27:$P$48)))))</f>
        <v>64</v>
      </c>
      <c r="L451" s="38">
        <v>0</v>
      </c>
      <c r="M451" s="32">
        <f>IF(B451="高三",IF($E451="男",LOOKUP(L451,[1]对照表!$S$3:$S$24,[1]对照表!$T$3:$T$24),LOOKUP(L451,[1]对照表!$S$27:$S$48,[1]对照表!$T$27:$T$48)),IF(B451="高二",IF($E451="男",LOOKUP(L451,[1]对照表!$R$3:$R$24,[1]对照表!$T$3:$T$24),LOOKUP(L451,[1]对照表!$R$27:$R$48,[1]对照表!$T$27:$T$48)),IF(B451="高一",IF($E451="男",LOOKUP(L451,[1]对照表!$Q$3:$Q$24,[1]对照表!$T$3:$T$24),LOOKUP(L451,[1]对照表!$Q$27:$Q$48,[1]对照表!$T$27:$T$48)))))</f>
        <v>0</v>
      </c>
      <c r="N451" s="33">
        <f>IF(B451="高三",MAX(IF(E451="男",L451-18,L451-55),0),IF(B451="高二",MAX(IF(E451="男",L451-17,L451-54),0),IF(B451="高一",MAX(IF(E451="男",L451-16,L451-53),0))))</f>
        <v>0</v>
      </c>
      <c r="O451" s="23">
        <f>IF(E451="男",LOOKUP($N451,[1]对照表!$Z$3:$Z$13,[1]对照表!$AA$3:$AA$13),LOOKUP($N451,[1]对照表!$Z$15:$Z$25,[1]对照表!$AA$15:$AA$25))</f>
        <v>0</v>
      </c>
      <c r="P451" s="25">
        <f>M451+O451</f>
        <v>0</v>
      </c>
      <c r="Q451" s="50">
        <v>4.07</v>
      </c>
      <c r="R451" s="32">
        <f>IF(B451="高三",IF($E451="男",LOOKUP(Q451,[1]对照表!$W$3:$W$24,[1]对照表!$X$3:$X$24),LOOKUP(Q451,[1]对照表!$W$27:$W$48,[1]对照表!$X$27:$X$48)),IF(B451="高二",IF($E451="男",LOOKUP(Q451,[1]对照表!$V$3:$V$24,[1]对照表!$X$3:$X$24),LOOKUP(Q451,[1]对照表!$V$27:$V$48,[1]对照表!$X$27:$X$48)),IF(B451="高一",IF($E451="男",LOOKUP(Q451,[1]对照表!$U$3:$U$24,[1]对照表!$X$3:$X$24),LOOKUP(Q451,[1]对照表!$U$27:$U$48,[1]对照表!$X$27:$X$48)))))</f>
        <v>72</v>
      </c>
      <c r="S451" s="33">
        <f>ROUND(IF(IF($B451="高三",MIN(IF($E451="男",$Q451-3.2,$Q451-3.2),0),IF($B451="高二",MIN(IF($E451="男",$Q451-3.25,$Q451-3.22),0),IF($B451="高一",MIN(IF($E451="男",$Q451-3.3,$Q451-3.24),0))))&lt;-0.6,IF($B451="高三",MIN(IF($E451="男",$Q451-3.2,$Q451-3.2),0),IF($B451="高二",MIN(IF($E451="男",$Q451-3.25,$Q451-3.22),0),IF($B451="高一",MIN(IF($E451="男",$Q451-3.3,$Q451-3.24),0))))+0.4,IF($B451="高三",MIN(IF($E451="男",$Q451-3.2,$Q451-3.2),0),IF($B451="高二",MIN(IF($E451="男",$Q451-3.25,$Q451-3.22),0),IF($B451="高一",MIN(IF($E451="男",$Q451-3.3,$Q451-3.24),0))))),2)</f>
        <v>0</v>
      </c>
      <c r="T451" s="23">
        <f>IF(E451="男",LOOKUP($S451,[1]对照表!$AB$3:$AB$13,[1]对照表!$AC$3:$AC$13),LOOKUP($S451,[1]对照表!$AB$15:$AB$25,[1]对照表!$AC$15:$AC$25))</f>
        <v>0</v>
      </c>
      <c r="U451" s="26">
        <f>R451+T451</f>
        <v>72</v>
      </c>
      <c r="V451" s="26">
        <f>SUM(I451,K451,M451)/3*0.3+SUM(G451,R451)/2*0.4</f>
        <v>43</v>
      </c>
      <c r="W451" s="27">
        <f>O451+T451</f>
        <v>0</v>
      </c>
      <c r="X451" s="28">
        <f>V451/0.7+W451</f>
        <v>61.428571428571431</v>
      </c>
      <c r="Y451" s="28">
        <f>X451</f>
        <v>61.428571428571431</v>
      </c>
      <c r="Z451" s="38"/>
    </row>
    <row r="452" spans="1:26" ht="15.6" customHeight="1" x14ac:dyDescent="0.25">
      <c r="A452" s="48">
        <v>3</v>
      </c>
      <c r="B452" s="17" t="s">
        <v>767</v>
      </c>
      <c r="C452" s="48">
        <v>209</v>
      </c>
      <c r="D452" s="49" t="s">
        <v>1436</v>
      </c>
      <c r="E452" s="48" t="s">
        <v>23</v>
      </c>
      <c r="F452" s="50">
        <v>7.4</v>
      </c>
      <c r="G452" s="32">
        <f>IF(B452="高三",IF($E452="男",LOOKUP(F452,[1]对照表!$G$3:$G$24,[1]对照表!$H$3:$H$24),LOOKUP(F452,[1]对照表!$G$27:$G$48,[1]对照表!$H$27:$H$48)),IF(B452="高二",IF($E452="男",LOOKUP(F452,[1]对照表!$F$3:$F$24,[1]对照表!$H$3:$H$24),LOOKUP(F452,[1]对照表!$F$27:$F$48,[1]对照表!$H$27:$H$48)),IF(B452="高一",IF($E452="男",LOOKUP(F452,[1]对照表!$E$3:$E$24,[1]对照表!$H$3:$H$24),LOOKUP(F452,[1]对照表!$E$27:$E$48,[1]对照表!$H$27:$H$48)))))</f>
        <v>80</v>
      </c>
      <c r="H452" s="38">
        <v>7</v>
      </c>
      <c r="I452" s="32">
        <f>IF(B452="高三",IF($E452="男",LOOKUP(H452,[1]对照表!$K$3:$K$24,[1]对照表!$L$3:$L$24),LOOKUP(H452,[1]对照表!$K$27:$K$48,[1]对照表!$L$27:$L$48)),IF(B452="高二",IF($E452="男",LOOKUP(H452,[1]对照表!$J$3:$J$24,[1]对照表!$L$3:$L$24),LOOKUP(H452,[1]对照表!$J$27:$J$48,[1]对照表!$L$27:$L$48)),IF(B452="高一",IF($E452="男",LOOKUP(H452,[1]对照表!$I$3:$I$24,[1]对照表!$L$3:$L$24),LOOKUP(H452,[1]对照表!$I$27:$I$48,[1]对照表!$L$27:$L$48)))))</f>
        <v>66</v>
      </c>
      <c r="J452" s="38">
        <v>220</v>
      </c>
      <c r="K452" s="32">
        <f>IF(B452="高三",IF($E452="男",LOOKUP(J452,[1]对照表!$O$3:$O$24,[1]对照表!$P$3:$P$24),LOOKUP(J452,[1]对照表!$O$27:$O$48,[1]对照表!$P$27:$P$48)),IF(B452="高二",IF($E452="男",LOOKUP(J452,[1]对照表!$N$3:$N$24,[1]对照表!$P$3:$P$24),LOOKUP(J452,[1]对照表!$N$27:$N$48,[1]对照表!$P$27:$P$48)),IF(B452="高一",IF($E452="男",LOOKUP(J452,[1]对照表!$M$3:$M$24,[1]对照表!$P$3:$P$24),LOOKUP(J452,[1]对照表!$M$27:$M$48,[1]对照表!$P$27:$P$48)))))</f>
        <v>70</v>
      </c>
      <c r="L452" s="38">
        <v>7</v>
      </c>
      <c r="M452" s="32">
        <f>IF(B452="高三",IF($E452="男",LOOKUP(L452,[1]对照表!$S$3:$S$24,[1]对照表!$T$3:$T$24),LOOKUP(L452,[1]对照表!$S$27:$S$48,[1]对照表!$T$27:$T$48)),IF(B452="高二",IF($E452="男",LOOKUP(L452,[1]对照表!$R$3:$R$24,[1]对照表!$T$3:$T$24),LOOKUP(L452,[1]对照表!$R$27:$R$48,[1]对照表!$T$27:$T$48)),IF(B452="高一",IF($E452="男",LOOKUP(L452,[1]对照表!$Q$3:$Q$24,[1]对照表!$T$3:$T$24),LOOKUP(L452,[1]对照表!$Q$27:$Q$48,[1]对照表!$T$27:$T$48)))))</f>
        <v>50</v>
      </c>
      <c r="N452" s="33">
        <f>IF(B452="高三",MAX(IF(E452="男",L452-18,L452-55),0),IF(B452="高二",MAX(IF(E452="男",L452-17,L452-54),0),IF(B452="高一",MAX(IF(E452="男",L452-16,L452-53),0))))</f>
        <v>0</v>
      </c>
      <c r="O452" s="23">
        <f>IF(E452="男",LOOKUP($N452,[1]对照表!$Z$3:$Z$13,[1]对照表!$AA$3:$AA$13),LOOKUP($N452,[1]对照表!$Z$15:$Z$25,[1]对照表!$AA$15:$AA$25))</f>
        <v>0</v>
      </c>
      <c r="P452" s="25">
        <f>M452+O452</f>
        <v>50</v>
      </c>
      <c r="Q452" s="50">
        <v>5.27</v>
      </c>
      <c r="R452" s="32">
        <f>IF(B452="高三",IF($E452="男",LOOKUP(Q452,[1]对照表!$W$3:$W$24,[1]对照表!$X$3:$X$24),LOOKUP(Q452,[1]对照表!$W$27:$W$48,[1]对照表!$X$27:$X$48)),IF(B452="高二",IF($E452="男",LOOKUP(Q452,[1]对照表!$V$3:$V$24,[1]对照表!$X$3:$X$24),LOOKUP(Q452,[1]对照表!$V$27:$V$48,[1]对照表!$X$27:$X$48)),IF(B452="高一",IF($E452="男",LOOKUP(Q452,[1]对照表!$U$3:$U$24,[1]对照表!$X$3:$X$24),LOOKUP(Q452,[1]对照表!$U$27:$U$48,[1]对照表!$X$27:$X$48)))))</f>
        <v>30</v>
      </c>
      <c r="S452" s="33">
        <f>ROUND(IF(IF($B452="高三",MIN(IF($E452="男",$Q452-3.2,$Q452-3.2),0),IF($B452="高二",MIN(IF($E452="男",$Q452-3.25,$Q452-3.22),0),IF($B452="高一",MIN(IF($E452="男",$Q452-3.3,$Q452-3.24),0))))&lt;-0.6,IF($B452="高三",MIN(IF($E452="男",$Q452-3.2,$Q452-3.2),0),IF($B452="高二",MIN(IF($E452="男",$Q452-3.25,$Q452-3.22),0),IF($B452="高一",MIN(IF($E452="男",$Q452-3.3,$Q452-3.24),0))))+0.4,IF($B452="高三",MIN(IF($E452="男",$Q452-3.2,$Q452-3.2),0),IF($B452="高二",MIN(IF($E452="男",$Q452-3.25,$Q452-3.22),0),IF($B452="高一",MIN(IF($E452="男",$Q452-3.3,$Q452-3.24),0))))),2)</f>
        <v>0</v>
      </c>
      <c r="T452" s="23">
        <f>IF(E452="男",LOOKUP($S452,[1]对照表!$AB$3:$AB$13,[1]对照表!$AC$3:$AC$13),LOOKUP($S452,[1]对照表!$AB$15:$AB$25,[1]对照表!$AC$15:$AC$25))</f>
        <v>0</v>
      </c>
      <c r="U452" s="26">
        <f>R452+T452</f>
        <v>30</v>
      </c>
      <c r="V452" s="26">
        <f>SUM(I452,K452,M452)/3*0.3+SUM(G452,R452)/2*0.4</f>
        <v>40.599999999999994</v>
      </c>
      <c r="W452" s="27">
        <f>O452+T452</f>
        <v>0</v>
      </c>
      <c r="X452" s="28">
        <f>V452/0.7+W452</f>
        <v>57.999999999999993</v>
      </c>
      <c r="Y452" s="28">
        <f>X452</f>
        <v>57.999999999999993</v>
      </c>
      <c r="Z452" s="38"/>
    </row>
    <row r="453" spans="1:26" ht="15.6" x14ac:dyDescent="0.25">
      <c r="A453" s="48">
        <v>1</v>
      </c>
      <c r="B453" s="17" t="s">
        <v>767</v>
      </c>
      <c r="C453" s="48">
        <v>209</v>
      </c>
      <c r="D453" s="49" t="s">
        <v>1449</v>
      </c>
      <c r="E453" s="48" t="s">
        <v>23</v>
      </c>
      <c r="F453" s="50">
        <v>8.3000000000000007</v>
      </c>
      <c r="G453" s="32">
        <f>IF(B453="高三",IF($E453="男",LOOKUP(F453,[1]对照表!$G$3:$G$24,[1]对照表!$H$3:$H$24),LOOKUP(F453,[1]对照表!$G$27:$G$48,[1]对照表!$H$27:$H$48)),IF(B453="高二",IF($E453="男",LOOKUP(F453,[1]对照表!$F$3:$F$24,[1]对照表!$H$3:$H$24),LOOKUP(F453,[1]对照表!$F$27:$F$48,[1]对照表!$H$27:$H$48)),IF(B453="高一",IF($E453="男",LOOKUP(F453,[1]对照表!$E$3:$E$24,[1]对照表!$H$3:$H$24),LOOKUP(F453,[1]对照表!$E$27:$E$48,[1]对照表!$H$27:$H$48)))))</f>
        <v>70</v>
      </c>
      <c r="H453" s="38">
        <v>18</v>
      </c>
      <c r="I453" s="32">
        <f>IF(B453="高三",IF($E453="男",LOOKUP(H453,[1]对照表!$K$3:$K$24,[1]对照表!$L$3:$L$24),LOOKUP(H453,[1]对照表!$K$27:$K$48,[1]对照表!$L$27:$L$48)),IF(B453="高二",IF($E453="男",LOOKUP(H453,[1]对照表!$J$3:$J$24,[1]对照表!$L$3:$L$24),LOOKUP(H453,[1]对照表!$J$27:$J$48,[1]对照表!$L$27:$L$48)),IF(B453="高一",IF($E453="男",LOOKUP(H453,[1]对照表!$I$3:$I$24,[1]对照表!$L$3:$L$24),LOOKUP(H453,[1]对照表!$I$27:$I$48,[1]对照表!$L$27:$L$48)))))</f>
        <v>80</v>
      </c>
      <c r="J453" s="38">
        <v>184</v>
      </c>
      <c r="K453" s="32">
        <f>IF(B453="高三",IF($E453="男",LOOKUP(J453,[1]对照表!$O$3:$O$24,[1]对照表!$P$3:$P$24),LOOKUP(J453,[1]对照表!$O$27:$O$48,[1]对照表!$P$27:$P$48)),IF(B453="高二",IF($E453="男",LOOKUP(J453,[1]对照表!$N$3:$N$24,[1]对照表!$P$3:$P$24),LOOKUP(J453,[1]对照表!$N$27:$N$48,[1]对照表!$P$27:$P$48)),IF(B453="高一",IF($E453="男",LOOKUP(J453,[1]对照表!$M$3:$M$24,[1]对照表!$P$3:$P$24),LOOKUP(J453,[1]对照表!$M$27:$M$48,[1]对照表!$P$27:$P$48)))))</f>
        <v>20</v>
      </c>
      <c r="L453" s="38">
        <v>0</v>
      </c>
      <c r="M453" s="32">
        <f>IF(B453="高三",IF($E453="男",LOOKUP(L453,[1]对照表!$S$3:$S$24,[1]对照表!$T$3:$T$24),LOOKUP(L453,[1]对照表!$S$27:$S$48,[1]对照表!$T$27:$T$48)),IF(B453="高二",IF($E453="男",LOOKUP(L453,[1]对照表!$R$3:$R$24,[1]对照表!$T$3:$T$24),LOOKUP(L453,[1]对照表!$R$27:$R$48,[1]对照表!$T$27:$T$48)),IF(B453="高一",IF($E453="男",LOOKUP(L453,[1]对照表!$Q$3:$Q$24,[1]对照表!$T$3:$T$24),LOOKUP(L453,[1]对照表!$Q$27:$Q$48,[1]对照表!$T$27:$T$48)))))</f>
        <v>0</v>
      </c>
      <c r="N453" s="33">
        <f>IF(B453="高三",MAX(IF(E453="男",L453-18,L453-55),0),IF(B453="高二",MAX(IF(E453="男",L453-17,L453-54),0),IF(B453="高一",MAX(IF(E453="男",L453-16,L453-53),0))))</f>
        <v>0</v>
      </c>
      <c r="O453" s="23">
        <f>IF(E453="男",LOOKUP($N453,[1]对照表!$Z$3:$Z$13,[1]对照表!$AA$3:$AA$13),LOOKUP($N453,[1]对照表!$Z$15:$Z$25,[1]对照表!$AA$15:$AA$25))</f>
        <v>0</v>
      </c>
      <c r="P453" s="25">
        <f>M453+O453</f>
        <v>0</v>
      </c>
      <c r="Q453" s="50">
        <v>4.37</v>
      </c>
      <c r="R453" s="32">
        <f>IF(B453="高三",IF($E453="男",LOOKUP(Q453,[1]对照表!$W$3:$W$24,[1]对照表!$X$3:$X$24),LOOKUP(Q453,[1]对照表!$W$27:$W$48,[1]对照表!$X$27:$X$48)),IF(B453="高二",IF($E453="男",LOOKUP(Q453,[1]对照表!$V$3:$V$24,[1]对照表!$X$3:$X$24),LOOKUP(Q453,[1]对照表!$V$27:$V$48,[1]对照表!$X$27:$X$48)),IF(B453="高一",IF($E453="男",LOOKUP(Q453,[1]对照表!$U$3:$U$24,[1]对照表!$X$3:$X$24),LOOKUP(Q453,[1]对照表!$U$27:$U$48,[1]对照表!$X$27:$X$48)))))</f>
        <v>60</v>
      </c>
      <c r="S453" s="33">
        <f>ROUND(IF(IF($B453="高三",MIN(IF($E453="男",$Q453-3.2,$Q453-3.2),0),IF($B453="高二",MIN(IF($E453="男",$Q453-3.25,$Q453-3.22),0),IF($B453="高一",MIN(IF($E453="男",$Q453-3.3,$Q453-3.24),0))))&lt;-0.6,IF($B453="高三",MIN(IF($E453="男",$Q453-3.2,$Q453-3.2),0),IF($B453="高二",MIN(IF($E453="男",$Q453-3.25,$Q453-3.22),0),IF($B453="高一",MIN(IF($E453="男",$Q453-3.3,$Q453-3.24),0))))+0.4,IF($B453="高三",MIN(IF($E453="男",$Q453-3.2,$Q453-3.2),0),IF($B453="高二",MIN(IF($E453="男",$Q453-3.25,$Q453-3.22),0),IF($B453="高一",MIN(IF($E453="男",$Q453-3.3,$Q453-3.24),0))))),2)</f>
        <v>0</v>
      </c>
      <c r="T453" s="23">
        <f>IF(E453="男",LOOKUP($S453,[1]对照表!$AB$3:$AB$13,[1]对照表!$AC$3:$AC$13),LOOKUP($S453,[1]对照表!$AB$15:$AB$25,[1]对照表!$AC$15:$AC$25))</f>
        <v>0</v>
      </c>
      <c r="U453" s="26">
        <f>R453+T453</f>
        <v>60</v>
      </c>
      <c r="V453" s="26">
        <f>SUM(I453,K453,M453)/3*0.3+SUM(G453,R453)/2*0.4</f>
        <v>36</v>
      </c>
      <c r="W453" s="27">
        <f>O453+T453</f>
        <v>0</v>
      </c>
      <c r="X453" s="28">
        <f>V453/0.7+W453</f>
        <v>51.428571428571431</v>
      </c>
      <c r="Y453" s="28">
        <f>X453</f>
        <v>51.428571428571431</v>
      </c>
      <c r="Z453" s="38"/>
    </row>
    <row r="454" spans="1:26" ht="15.6" x14ac:dyDescent="0.25">
      <c r="A454" s="48">
        <v>18</v>
      </c>
      <c r="B454" s="17" t="s">
        <v>767</v>
      </c>
      <c r="C454" s="48">
        <v>211</v>
      </c>
      <c r="D454" s="49" t="s">
        <v>776</v>
      </c>
      <c r="E454" s="48" t="s">
        <v>23</v>
      </c>
      <c r="F454" s="38">
        <v>6.7</v>
      </c>
      <c r="G454" s="32">
        <f>IF(B454="高三",IF($E454="男",LOOKUP(F454,[1]对照表!$G$3:$G$24,[1]对照表!$H$3:$H$24),LOOKUP(F454,[1]对照表!$G$27:$G$48,[1]对照表!$H$27:$H$48)),IF(B454="高二",IF($E454="男",LOOKUP(F454,[1]对照表!$F$3:$F$24,[1]对照表!$H$3:$H$24),LOOKUP(F454,[1]对照表!$F$27:$F$48,[1]对照表!$H$27:$H$48)),IF(B454="高一",IF($E454="男",LOOKUP(F454,[1]对照表!$E$3:$E$24,[1]对照表!$H$3:$H$24),LOOKUP(F454,[1]对照表!$E$27:$E$48,[1]对照表!$H$27:$H$48)))))</f>
        <v>100</v>
      </c>
      <c r="H454" s="38">
        <v>24</v>
      </c>
      <c r="I454" s="32">
        <f>IF(B454="高三",IF($E454="男",LOOKUP(H454,[1]对照表!$K$3:$K$24,[1]对照表!$L$3:$L$24),LOOKUP(H454,[1]对照表!$K$27:$K$48,[1]对照表!$L$27:$L$48)),IF(B454="高二",IF($E454="男",LOOKUP(H454,[1]对照表!$J$3:$J$24,[1]对照表!$L$3:$L$24),LOOKUP(H454,[1]对照表!$J$27:$J$48,[1]对照表!$L$27:$L$48)),IF(B454="高一",IF($E454="男",LOOKUP(H454,[1]对照表!$I$3:$I$24,[1]对照表!$L$3:$L$24),LOOKUP(H454,[1]对照表!$I$27:$I$48,[1]对照表!$L$27:$L$48)))))</f>
        <v>95</v>
      </c>
      <c r="J454" s="38">
        <v>290</v>
      </c>
      <c r="K454" s="32">
        <f>IF(B454="高三",IF($E454="男",LOOKUP(J454,[1]对照表!$O$3:$O$24,[1]对照表!$P$3:$P$24),LOOKUP(J454,[1]对照表!$O$27:$O$48,[1]对照表!$P$27:$P$48)),IF(B454="高二",IF($E454="男",LOOKUP(J454,[1]对照表!$N$3:$N$24,[1]对照表!$P$3:$P$24),LOOKUP(J454,[1]对照表!$N$27:$N$48,[1]对照表!$P$27:$P$48)),IF(B454="高一",IF($E454="男",LOOKUP(J454,[1]对照表!$M$3:$M$24,[1]对照表!$P$3:$P$24),LOOKUP(J454,[1]对照表!$M$27:$M$48,[1]对照表!$P$27:$P$48)))))</f>
        <v>100</v>
      </c>
      <c r="L454" s="38">
        <v>17</v>
      </c>
      <c r="M454" s="32">
        <f>IF(B454="高三",IF($E454="男",LOOKUP(L454,[1]对照表!$S$3:$S$24,[1]对照表!$T$3:$T$24),LOOKUP(L454,[1]对照表!$S$27:$S$48,[1]对照表!$T$27:$T$48)),IF(B454="高二",IF($E454="男",LOOKUP(L454,[1]对照表!$R$3:$R$24,[1]对照表!$T$3:$T$24),LOOKUP(L454,[1]对照表!$R$27:$R$48,[1]对照表!$T$27:$T$48)),IF(B454="高一",IF($E454="男",LOOKUP(L454,[1]对照表!$Q$3:$Q$24,[1]对照表!$T$3:$T$24),LOOKUP(L454,[1]对照表!$Q$27:$Q$48,[1]对照表!$T$27:$T$48)))))</f>
        <v>100</v>
      </c>
      <c r="N454" s="33">
        <f>IF(B454="高三",MAX(IF(E454="男",L454-18,L454-55),0),IF(B454="高二",MAX(IF(E454="男",L454-17,L454-54),0),IF(B454="高一",MAX(IF(E454="男",L454-16,L454-53),0))))</f>
        <v>0</v>
      </c>
      <c r="O454" s="23">
        <f>IF(E454="男",LOOKUP($N454,[1]对照表!$Z$3:$Z$13,[1]对照表!$AA$3:$AA$13),LOOKUP($N454,[1]对照表!$Z$15:$Z$25,[1]对照表!$AA$15:$AA$25))</f>
        <v>0</v>
      </c>
      <c r="P454" s="25">
        <f>M454+O454</f>
        <v>100</v>
      </c>
      <c r="Q454" s="38">
        <v>2.44</v>
      </c>
      <c r="R454" s="32">
        <f>IF(B454="高三",IF($E454="男",LOOKUP(Q454,[1]对照表!$W$3:$W$24,[1]对照表!$X$3:$X$24),LOOKUP(Q454,[1]对照表!$W$27:$W$48,[1]对照表!$X$27:$X$48)),IF(B454="高二",IF($E454="男",LOOKUP(Q454,[1]对照表!$V$3:$V$24,[1]对照表!$X$3:$X$24),LOOKUP(Q454,[1]对照表!$V$27:$V$48,[1]对照表!$X$27:$X$48)),IF(B454="高一",IF($E454="男",LOOKUP(Q454,[1]对照表!$U$3:$U$24,[1]对照表!$X$3:$X$24),LOOKUP(Q454,[1]对照表!$U$27:$U$48,[1]对照表!$X$27:$X$48)))))</f>
        <v>100</v>
      </c>
      <c r="S454" s="33">
        <f>ROUND(IF(IF($B454="高三",MIN(IF($E454="男",$Q454-3.2,$Q454-3.2),0),IF($B454="高二",MIN(IF($E454="男",$Q454-3.25,$Q454-3.22),0),IF($B454="高一",MIN(IF($E454="男",$Q454-3.3,$Q454-3.24),0))))&lt;-0.6,IF($B454="高三",MIN(IF($E454="男",$Q454-3.2,$Q454-3.2),0),IF($B454="高二",MIN(IF($E454="男",$Q454-3.25,$Q454-3.22),0),IF($B454="高一",MIN(IF($E454="男",$Q454-3.3,$Q454-3.24),0))))+0.4,IF($B454="高三",MIN(IF($E454="男",$Q454-3.2,$Q454-3.2),0),IF($B454="高二",MIN(IF($E454="男",$Q454-3.25,$Q454-3.22),0),IF($B454="高一",MIN(IF($E454="男",$Q454-3.3,$Q454-3.24),0))))),2)</f>
        <v>-0.41</v>
      </c>
      <c r="T454" s="23">
        <f>IF(E454="男",LOOKUP($S454,[1]对照表!$AB$3:$AB$13,[1]对照表!$AC$3:$AC$13),LOOKUP($S454,[1]对照表!$AB$15:$AB$25,[1]对照表!$AC$15:$AC$25))</f>
        <v>10</v>
      </c>
      <c r="U454" s="26">
        <f>R454+T454</f>
        <v>110</v>
      </c>
      <c r="V454" s="26">
        <f>SUM(I454,K454,M454)/3*0.3+SUM(G454,R454)/2*0.4</f>
        <v>69.5</v>
      </c>
      <c r="W454" s="27">
        <f>O454+T454</f>
        <v>10</v>
      </c>
      <c r="X454" s="28">
        <f>V454/0.7+W454</f>
        <v>109.28571428571429</v>
      </c>
      <c r="Y454" s="28">
        <f>X454</f>
        <v>109.28571428571429</v>
      </c>
      <c r="Z454" s="38"/>
    </row>
    <row r="455" spans="1:26" ht="15.6" x14ac:dyDescent="0.25">
      <c r="A455" s="48">
        <v>45</v>
      </c>
      <c r="B455" s="17" t="s">
        <v>767</v>
      </c>
      <c r="C455" s="48">
        <v>211</v>
      </c>
      <c r="D455" s="49" t="s">
        <v>783</v>
      </c>
      <c r="E455" s="48" t="s">
        <v>65</v>
      </c>
      <c r="F455" s="38">
        <v>7.83</v>
      </c>
      <c r="G455" s="32">
        <f>IF(B455="高三",IF($E455="男",LOOKUP(F455,[1]对照表!$G$3:$G$24,[1]对照表!$H$3:$H$24),LOOKUP(F455,[1]对照表!$G$27:$G$48,[1]对照表!$H$27:$H$48)),IF(B455="高二",IF($E455="男",LOOKUP(F455,[1]对照表!$F$3:$F$24,[1]对照表!$H$3:$H$24),LOOKUP(F455,[1]对照表!$F$27:$F$48,[1]对照表!$H$27:$H$48)),IF(B455="高一",IF($E455="男",LOOKUP(F455,[1]对照表!$E$3:$E$24,[1]对照表!$H$3:$H$24),LOOKUP(F455,[1]对照表!$E$27:$E$48,[1]对照表!$H$27:$H$48)))))</f>
        <v>90</v>
      </c>
      <c r="H455" s="38">
        <v>20.6</v>
      </c>
      <c r="I455" s="32">
        <f>IF(B455="高三",IF($E455="男",LOOKUP(H455,[1]对照表!$K$3:$K$24,[1]对照表!$L$3:$L$24),LOOKUP(H455,[1]对照表!$K$27:$K$48,[1]对照表!$L$27:$L$48)),IF(B455="高二",IF($E455="男",LOOKUP(H455,[1]对照表!$J$3:$J$24,[1]对照表!$L$3:$L$24),LOOKUP(H455,[1]对照表!$J$27:$J$48,[1]对照表!$L$27:$L$48)),IF(B455="高一",IF($E455="男",LOOKUP(H455,[1]对照表!$I$3:$I$24,[1]对照表!$L$3:$L$24),LOOKUP(H455,[1]对照表!$I$27:$I$48,[1]对照表!$L$27:$L$48)))))</f>
        <v>85</v>
      </c>
      <c r="J455" s="38">
        <v>202</v>
      </c>
      <c r="K455" s="32">
        <f>IF(B455="高三",IF($E455="男",LOOKUP(J455,[1]对照表!$O$3:$O$24,[1]对照表!$P$3:$P$24),LOOKUP(J455,[1]对照表!$O$27:$O$48,[1]对照表!$P$27:$P$48)),IF(B455="高二",IF($E455="男",LOOKUP(J455,[1]对照表!$N$3:$N$24,[1]对照表!$P$3:$P$24),LOOKUP(J455,[1]对照表!$N$27:$N$48,[1]对照表!$P$27:$P$48)),IF(B455="高一",IF($E455="男",LOOKUP(J455,[1]对照表!$M$3:$M$24,[1]对照表!$P$3:$P$24),LOOKUP(J455,[1]对照表!$M$27:$M$48,[1]对照表!$P$27:$P$48)))))</f>
        <v>95</v>
      </c>
      <c r="L455" s="38">
        <v>58</v>
      </c>
      <c r="M455" s="32">
        <f>IF(B455="高三",IF($E455="男",LOOKUP(L455,[1]对照表!$S$3:$S$24,[1]对照表!$T$3:$T$24),LOOKUP(L455,[1]对照表!$S$27:$S$48,[1]对照表!$T$27:$T$48)),IF(B455="高二",IF($E455="男",LOOKUP(L455,[1]对照表!$R$3:$R$24,[1]对照表!$T$3:$T$24),LOOKUP(L455,[1]对照表!$R$27:$R$48,[1]对照表!$T$27:$T$48)),IF(B455="高一",IF($E455="男",LOOKUP(L455,[1]对照表!$Q$3:$Q$24,[1]对照表!$T$3:$T$24),LOOKUP(L455,[1]对照表!$Q$27:$Q$48,[1]对照表!$T$27:$T$48)))))</f>
        <v>100</v>
      </c>
      <c r="N455" s="33">
        <f>IF(B455="高三",MAX(IF(E455="男",L455-18,L455-55),0),IF(B455="高二",MAX(IF(E455="男",L455-17,L455-54),0),IF(B455="高一",MAX(IF(E455="男",L455-16,L455-53),0))))</f>
        <v>4</v>
      </c>
      <c r="O455" s="23">
        <f>IF(E455="男",LOOKUP($N455,[1]对照表!$Z$3:$Z$13,[1]对照表!$AA$3:$AA$13),LOOKUP($N455,[1]对照表!$Z$15:$Z$25,[1]对照表!$AA$15:$AA$25))</f>
        <v>2</v>
      </c>
      <c r="P455" s="25">
        <f>M455+O455</f>
        <v>102</v>
      </c>
      <c r="Q455" s="38">
        <v>3.07</v>
      </c>
      <c r="R455" s="32">
        <f>IF(B455="高三",IF($E455="男",LOOKUP(Q455,[1]对照表!$W$3:$W$24,[1]对照表!$X$3:$X$24),LOOKUP(Q455,[1]对照表!$W$27:$W$48,[1]对照表!$X$27:$X$48)),IF(B455="高二",IF($E455="男",LOOKUP(Q455,[1]对照表!$V$3:$V$24,[1]对照表!$X$3:$X$24),LOOKUP(Q455,[1]对照表!$V$27:$V$48,[1]对照表!$X$27:$X$48)),IF(B455="高一",IF($E455="男",LOOKUP(Q455,[1]对照表!$U$3:$U$24,[1]对照表!$X$3:$X$24),LOOKUP(Q455,[1]对照表!$U$27:$U$48,[1]对照表!$X$27:$X$48)))))</f>
        <v>100</v>
      </c>
      <c r="S455" s="33">
        <f>ROUND(IF(IF($B455="高三",MIN(IF($E455="男",$Q455-3.2,$Q455-3.2),0),IF($B455="高二",MIN(IF($E455="男",$Q455-3.25,$Q455-3.22),0),IF($B455="高一",MIN(IF($E455="男",$Q455-3.3,$Q455-3.24),0))))&lt;-0.6,IF($B455="高三",MIN(IF($E455="男",$Q455-3.2,$Q455-3.2),0),IF($B455="高二",MIN(IF($E455="男",$Q455-3.25,$Q455-3.22),0),IF($B455="高一",MIN(IF($E455="男",$Q455-3.3,$Q455-3.24),0))))+0.4,IF($B455="高三",MIN(IF($E455="男",$Q455-3.2,$Q455-3.2),0),IF($B455="高二",MIN(IF($E455="男",$Q455-3.25,$Q455-3.22),0),IF($B455="高一",MIN(IF($E455="男",$Q455-3.3,$Q455-3.24),0))))),2)</f>
        <v>-0.15</v>
      </c>
      <c r="T455" s="23">
        <f>IF(E455="男",LOOKUP($S455,[1]对照表!$AB$3:$AB$13,[1]对照表!$AC$3:$AC$13),LOOKUP($S455,[1]对照表!$AB$15:$AB$25,[1]对照表!$AC$15:$AC$25))</f>
        <v>3</v>
      </c>
      <c r="U455" s="26">
        <f>R455+T455</f>
        <v>103</v>
      </c>
      <c r="V455" s="26">
        <f>SUM(I455,K455,M455)/3*0.3+SUM(G455,R455)/2*0.4</f>
        <v>66</v>
      </c>
      <c r="W455" s="27">
        <f>O455+T455</f>
        <v>5</v>
      </c>
      <c r="X455" s="28">
        <f>V455/0.7+W455</f>
        <v>99.285714285714292</v>
      </c>
      <c r="Y455" s="28">
        <f>X455</f>
        <v>99.285714285714292</v>
      </c>
      <c r="Z455" s="38"/>
    </row>
    <row r="456" spans="1:26" ht="15.6" x14ac:dyDescent="0.25">
      <c r="A456" s="48">
        <v>37</v>
      </c>
      <c r="B456" s="17" t="s">
        <v>767</v>
      </c>
      <c r="C456" s="48">
        <v>211</v>
      </c>
      <c r="D456" s="49" t="s">
        <v>824</v>
      </c>
      <c r="E456" s="48" t="s">
        <v>65</v>
      </c>
      <c r="F456" s="38">
        <v>7.98</v>
      </c>
      <c r="G456" s="32">
        <f>IF(B456="高三",IF($E456="男",LOOKUP(F456,[1]对照表!$G$3:$G$24,[1]对照表!$H$3:$H$24),LOOKUP(F456,[1]对照表!$G$27:$G$48,[1]对照表!$H$27:$H$48)),IF(B456="高二",IF($E456="男",LOOKUP(F456,[1]对照表!$F$3:$F$24,[1]对照表!$H$3:$H$24),LOOKUP(F456,[1]对照表!$F$27:$F$48,[1]对照表!$H$27:$H$48)),IF(B456="高一",IF($E456="男",LOOKUP(F456,[1]对照表!$E$3:$E$24,[1]对照表!$H$3:$H$24),LOOKUP(F456,[1]对照表!$E$27:$E$48,[1]对照表!$H$27:$H$48)))))</f>
        <v>85</v>
      </c>
      <c r="H456" s="38">
        <v>20</v>
      </c>
      <c r="I456" s="32">
        <f>IF(B456="高三",IF($E456="男",LOOKUP(H456,[1]对照表!$K$3:$K$24,[1]对照表!$L$3:$L$24),LOOKUP(H456,[1]对照表!$K$27:$K$48,[1]对照表!$L$27:$L$48)),IF(B456="高二",IF($E456="男",LOOKUP(H456,[1]对照表!$J$3:$J$24,[1]对照表!$L$3:$L$24),LOOKUP(H456,[1]对照表!$J$27:$J$48,[1]对照表!$L$27:$L$48)),IF(B456="高一",IF($E456="男",LOOKUP(H456,[1]对照表!$I$3:$I$24,[1]对照表!$L$3:$L$24),LOOKUP(H456,[1]对照表!$I$27:$I$48,[1]对照表!$L$27:$L$48)))))</f>
        <v>85</v>
      </c>
      <c r="J456" s="38">
        <v>205</v>
      </c>
      <c r="K456" s="32">
        <f>IF(B456="高三",IF($E456="男",LOOKUP(J456,[1]对照表!$O$3:$O$24,[1]对照表!$P$3:$P$24),LOOKUP(J456,[1]对照表!$O$27:$O$48,[1]对照表!$P$27:$P$48)),IF(B456="高二",IF($E456="男",LOOKUP(J456,[1]对照表!$N$3:$N$24,[1]对照表!$P$3:$P$24),LOOKUP(J456,[1]对照表!$N$27:$N$48,[1]对照表!$P$27:$P$48)),IF(B456="高一",IF($E456="男",LOOKUP(J456,[1]对照表!$M$3:$M$24,[1]对照表!$P$3:$P$24),LOOKUP(J456,[1]对照表!$M$27:$M$48,[1]对照表!$P$27:$P$48)))))</f>
        <v>100</v>
      </c>
      <c r="L456" s="38">
        <v>50</v>
      </c>
      <c r="M456" s="32">
        <f>IF(B456="高三",IF($E456="男",LOOKUP(L456,[1]对照表!$S$3:$S$24,[1]对照表!$T$3:$T$24),LOOKUP(L456,[1]对照表!$S$27:$S$48,[1]对照表!$T$27:$T$48)),IF(B456="高二",IF($E456="男",LOOKUP(L456,[1]对照表!$R$3:$R$24,[1]对照表!$T$3:$T$24),LOOKUP(L456,[1]对照表!$R$27:$R$48,[1]对照表!$T$27:$T$48)),IF(B456="高一",IF($E456="男",LOOKUP(L456,[1]对照表!$Q$3:$Q$24,[1]对照表!$T$3:$T$24),LOOKUP(L456,[1]对照表!$Q$27:$Q$48,[1]对照表!$T$27:$T$48)))))</f>
        <v>90</v>
      </c>
      <c r="N456" s="33">
        <f>IF(B456="高三",MAX(IF(E456="男",L456-18,L456-55),0),IF(B456="高二",MAX(IF(E456="男",L456-17,L456-54),0),IF(B456="高一",MAX(IF(E456="男",L456-16,L456-53),0))))</f>
        <v>0</v>
      </c>
      <c r="O456" s="23">
        <f>IF(E456="男",LOOKUP($N456,[1]对照表!$Z$3:$Z$13,[1]对照表!$AA$3:$AA$13),LOOKUP($N456,[1]对照表!$Z$15:$Z$25,[1]对照表!$AA$15:$AA$25))</f>
        <v>0</v>
      </c>
      <c r="P456" s="25">
        <f>M456+O456</f>
        <v>90</v>
      </c>
      <c r="Q456" s="38">
        <v>3.13</v>
      </c>
      <c r="R456" s="32">
        <f>IF(B456="高三",IF($E456="男",LOOKUP(Q456,[1]对照表!$W$3:$W$24,[1]对照表!$X$3:$X$24),LOOKUP(Q456,[1]对照表!$W$27:$W$48,[1]对照表!$X$27:$X$48)),IF(B456="高二",IF($E456="男",LOOKUP(Q456,[1]对照表!$V$3:$V$24,[1]对照表!$X$3:$X$24),LOOKUP(Q456,[1]对照表!$V$27:$V$48,[1]对照表!$X$27:$X$48)),IF(B456="高一",IF($E456="男",LOOKUP(Q456,[1]对照表!$U$3:$U$24,[1]对照表!$X$3:$X$24),LOOKUP(Q456,[1]对照表!$U$27:$U$48,[1]对照表!$X$27:$X$48)))))</f>
        <v>100</v>
      </c>
      <c r="S456" s="33">
        <f>ROUND(IF(IF($B456="高三",MIN(IF($E456="男",$Q456-3.2,$Q456-3.2),0),IF($B456="高二",MIN(IF($E456="男",$Q456-3.25,$Q456-3.22),0),IF($B456="高一",MIN(IF($E456="男",$Q456-3.3,$Q456-3.24),0))))&lt;-0.6,IF($B456="高三",MIN(IF($E456="男",$Q456-3.2,$Q456-3.2),0),IF($B456="高二",MIN(IF($E456="男",$Q456-3.25,$Q456-3.22),0),IF($B456="高一",MIN(IF($E456="男",$Q456-3.3,$Q456-3.24),0))))+0.4,IF($B456="高三",MIN(IF($E456="男",$Q456-3.2,$Q456-3.2),0),IF($B456="高二",MIN(IF($E456="男",$Q456-3.25,$Q456-3.22),0),IF($B456="高一",MIN(IF($E456="男",$Q456-3.3,$Q456-3.24),0))))),2)</f>
        <v>-0.09</v>
      </c>
      <c r="T456" s="23">
        <f>IF(E456="男",LOOKUP($S456,[1]对照表!$AB$3:$AB$13,[1]对照表!$AC$3:$AC$13),LOOKUP($S456,[1]对照表!$AB$15:$AB$25,[1]对照表!$AC$15:$AC$25))</f>
        <v>1</v>
      </c>
      <c r="U456" s="26">
        <f>R456+T456</f>
        <v>101</v>
      </c>
      <c r="V456" s="26">
        <f>SUM(I456,K456,M456)/3*0.3+SUM(G456,R456)/2*0.4</f>
        <v>64.5</v>
      </c>
      <c r="W456" s="27">
        <f>O456+T456</f>
        <v>1</v>
      </c>
      <c r="X456" s="28">
        <f>V456/0.7+W456</f>
        <v>93.142857142857153</v>
      </c>
      <c r="Y456" s="28">
        <f>X456</f>
        <v>93.142857142857153</v>
      </c>
      <c r="Z456" s="38"/>
    </row>
    <row r="457" spans="1:26" ht="15.6" x14ac:dyDescent="0.25">
      <c r="A457" s="48">
        <v>35</v>
      </c>
      <c r="B457" s="17" t="s">
        <v>767</v>
      </c>
      <c r="C457" s="48">
        <v>211</v>
      </c>
      <c r="D457" s="49" t="s">
        <v>834</v>
      </c>
      <c r="E457" s="48" t="s">
        <v>65</v>
      </c>
      <c r="F457" s="52">
        <v>8.41</v>
      </c>
      <c r="G457" s="32">
        <f>IF(B457="高三",IF($E457="男",LOOKUP(F457,[1]对照表!$G$3:$G$24,[1]对照表!$H$3:$H$24),LOOKUP(F457,[1]对照表!$G$27:$G$48,[1]对照表!$H$27:$H$48)),IF(B457="高二",IF($E457="男",LOOKUP(F457,[1]对照表!$F$3:$F$24,[1]对照表!$H$3:$H$24),LOOKUP(F457,[1]对照表!$F$27:$F$48,[1]对照表!$H$27:$H$48)),IF(B457="高一",IF($E457="男",LOOKUP(F457,[1]对照表!$E$3:$E$24,[1]对照表!$H$3:$H$24),LOOKUP(F457,[1]对照表!$E$27:$E$48,[1]对照表!$H$27:$H$48)))))</f>
        <v>80</v>
      </c>
      <c r="H457" s="52">
        <v>22</v>
      </c>
      <c r="I457" s="32">
        <f>IF(B457="高三",IF($E457="男",LOOKUP(H457,[1]对照表!$K$3:$K$24,[1]对照表!$L$3:$L$24),LOOKUP(H457,[1]对照表!$K$27:$K$48,[1]对照表!$L$27:$L$48)),IF(B457="高二",IF($E457="男",LOOKUP(H457,[1]对照表!$J$3:$J$24,[1]对照表!$L$3:$L$24),LOOKUP(H457,[1]对照表!$J$27:$J$48,[1]对照表!$L$27:$L$48)),IF(B457="高一",IF($E457="男",LOOKUP(H457,[1]对照表!$I$3:$I$24,[1]对照表!$L$3:$L$24),LOOKUP(H457,[1]对照表!$I$27:$I$48,[1]对照表!$L$27:$L$48)))))</f>
        <v>90</v>
      </c>
      <c r="J457" s="52">
        <v>195</v>
      </c>
      <c r="K457" s="32">
        <f>IF(B457="高三",IF($E457="男",LOOKUP(J457,[1]对照表!$O$3:$O$24,[1]对照表!$P$3:$P$24),LOOKUP(J457,[1]对照表!$O$27:$O$48,[1]对照表!$P$27:$P$48)),IF(B457="高二",IF($E457="男",LOOKUP(J457,[1]对照表!$N$3:$N$24,[1]对照表!$P$3:$P$24),LOOKUP(J457,[1]对照表!$N$27:$N$48,[1]对照表!$P$27:$P$48)),IF(B457="高一",IF($E457="男",LOOKUP(J457,[1]对照表!$M$3:$M$24,[1]对照表!$P$3:$P$24),LOOKUP(J457,[1]对照表!$M$27:$M$48,[1]对照表!$P$27:$P$48)))))</f>
        <v>90</v>
      </c>
      <c r="L457" s="52">
        <v>52</v>
      </c>
      <c r="M457" s="32">
        <f>IF(B457="高三",IF($E457="男",LOOKUP(L457,[1]对照表!$S$3:$S$24,[1]对照表!$T$3:$T$24),LOOKUP(L457,[1]对照表!$S$27:$S$48,[1]对照表!$T$27:$T$48)),IF(B457="高二",IF($E457="男",LOOKUP(L457,[1]对照表!$R$3:$R$24,[1]对照表!$T$3:$T$24),LOOKUP(L457,[1]对照表!$R$27:$R$48,[1]对照表!$T$27:$T$48)),IF(B457="高一",IF($E457="男",LOOKUP(L457,[1]对照表!$Q$3:$Q$24,[1]对照表!$T$3:$T$24),LOOKUP(L457,[1]对照表!$Q$27:$Q$48,[1]对照表!$T$27:$T$48)))))</f>
        <v>95</v>
      </c>
      <c r="N457" s="33">
        <f>IF(B457="高三",MAX(IF(E457="男",L457-18,L457-55),0),IF(B457="高二",MAX(IF(E457="男",L457-17,L457-54),0),IF(B457="高一",MAX(IF(E457="男",L457-16,L457-53),0))))</f>
        <v>0</v>
      </c>
      <c r="O457" s="23">
        <f>IF(E457="男",LOOKUP($N457,[1]对照表!$Z$3:$Z$13,[1]对照表!$AA$3:$AA$13),LOOKUP($N457,[1]对照表!$Z$15:$Z$25,[1]对照表!$AA$15:$AA$25))</f>
        <v>0</v>
      </c>
      <c r="P457" s="25">
        <f>M457+O457</f>
        <v>95</v>
      </c>
      <c r="Q457" s="52">
        <v>3.17</v>
      </c>
      <c r="R457" s="32">
        <f>IF(B457="高三",IF($E457="男",LOOKUP(Q457,[1]对照表!$W$3:$W$24,[1]对照表!$X$3:$X$24),LOOKUP(Q457,[1]对照表!$W$27:$W$48,[1]对照表!$X$27:$X$48)),IF(B457="高二",IF($E457="男",LOOKUP(Q457,[1]对照表!$V$3:$V$24,[1]对照表!$X$3:$X$24),LOOKUP(Q457,[1]对照表!$V$27:$V$48,[1]对照表!$X$27:$X$48)),IF(B457="高一",IF($E457="男",LOOKUP(Q457,[1]对照表!$U$3:$U$24,[1]对照表!$X$3:$X$24),LOOKUP(Q457,[1]对照表!$U$27:$U$48,[1]对照表!$X$27:$X$48)))))</f>
        <v>100</v>
      </c>
      <c r="S457" s="33">
        <f>ROUND(IF(IF($B457="高三",MIN(IF($E457="男",$Q457-3.2,$Q457-3.2),0),IF($B457="高二",MIN(IF($E457="男",$Q457-3.25,$Q457-3.22),0),IF($B457="高一",MIN(IF($E457="男",$Q457-3.3,$Q457-3.24),0))))&lt;-0.6,IF($B457="高三",MIN(IF($E457="男",$Q457-3.2,$Q457-3.2),0),IF($B457="高二",MIN(IF($E457="男",$Q457-3.25,$Q457-3.22),0),IF($B457="高一",MIN(IF($E457="男",$Q457-3.3,$Q457-3.24),0))))+0.4,IF($B457="高三",MIN(IF($E457="男",$Q457-3.2,$Q457-3.2),0),IF($B457="高二",MIN(IF($E457="男",$Q457-3.25,$Q457-3.22),0),IF($B457="高一",MIN(IF($E457="男",$Q457-3.3,$Q457-3.24),0))))),2)</f>
        <v>-0.05</v>
      </c>
      <c r="T457" s="23">
        <f>IF(E457="男",LOOKUP($S457,[1]对照表!$AB$3:$AB$13,[1]对照表!$AC$3:$AC$13),LOOKUP($S457,[1]对照表!$AB$15:$AB$25,[1]对照表!$AC$15:$AC$25))</f>
        <v>1</v>
      </c>
      <c r="U457" s="26">
        <f>R457+T457</f>
        <v>101</v>
      </c>
      <c r="V457" s="26">
        <f>SUM(I457,K457,M457)/3*0.3+SUM(G457,R457)/2*0.4</f>
        <v>63.5</v>
      </c>
      <c r="W457" s="27">
        <f>O457+T457</f>
        <v>1</v>
      </c>
      <c r="X457" s="28">
        <f>V457/0.7+W457</f>
        <v>91.714285714285722</v>
      </c>
      <c r="Y457" s="28">
        <f>X457</f>
        <v>91.714285714285722</v>
      </c>
      <c r="Z457" s="52"/>
    </row>
    <row r="458" spans="1:26" ht="15.6" x14ac:dyDescent="0.25">
      <c r="A458" s="48">
        <v>30</v>
      </c>
      <c r="B458" s="17" t="s">
        <v>767</v>
      </c>
      <c r="C458" s="48">
        <v>211</v>
      </c>
      <c r="D458" s="49" t="s">
        <v>845</v>
      </c>
      <c r="E458" s="48" t="s">
        <v>65</v>
      </c>
      <c r="F458" s="38">
        <v>8.34</v>
      </c>
      <c r="G458" s="32">
        <f>IF(B458="高三",IF($E458="男",LOOKUP(F458,[1]对照表!$G$3:$G$24,[1]对照表!$H$3:$H$24),LOOKUP(F458,[1]对照表!$G$27:$G$48,[1]对照表!$H$27:$H$48)),IF(B458="高二",IF($E458="男",LOOKUP(F458,[1]对照表!$F$3:$F$24,[1]对照表!$H$3:$H$24),LOOKUP(F458,[1]对照表!$F$27:$F$48,[1]对照表!$H$27:$H$48)),IF(B458="高一",IF($E458="男",LOOKUP(F458,[1]对照表!$E$3:$E$24,[1]对照表!$H$3:$H$24),LOOKUP(F458,[1]对照表!$E$27:$E$48,[1]对照表!$H$27:$H$48)))))</f>
        <v>80</v>
      </c>
      <c r="H458" s="38">
        <v>17</v>
      </c>
      <c r="I458" s="32">
        <f>IF(B458="高三",IF($E458="男",LOOKUP(H458,[1]对照表!$K$3:$K$24,[1]对照表!$L$3:$L$24),LOOKUP(H458,[1]对照表!$K$27:$K$48,[1]对照表!$L$27:$L$48)),IF(B458="高二",IF($E458="男",LOOKUP(H458,[1]对照表!$J$3:$J$24,[1]对照表!$L$3:$L$24),LOOKUP(H458,[1]对照表!$J$27:$J$48,[1]对照表!$L$27:$L$48)),IF(B458="高一",IF($E458="男",LOOKUP(H458,[1]对照表!$I$3:$I$24,[1]对照表!$L$3:$L$24),LOOKUP(H458,[1]对照表!$I$27:$I$48,[1]对照表!$L$27:$L$48)))))</f>
        <v>78</v>
      </c>
      <c r="J458" s="38">
        <v>182</v>
      </c>
      <c r="K458" s="32">
        <f>IF(B458="高三",IF($E458="男",LOOKUP(J458,[1]对照表!$O$3:$O$24,[1]对照表!$P$3:$P$24),LOOKUP(J458,[1]对照表!$O$27:$O$48,[1]对照表!$P$27:$P$48)),IF(B458="高二",IF($E458="男",LOOKUP(J458,[1]对照表!$N$3:$N$24,[1]对照表!$P$3:$P$24),LOOKUP(J458,[1]对照表!$N$27:$N$48,[1]对照表!$P$27:$P$48)),IF(B458="高一",IF($E458="男",LOOKUP(J458,[1]对照表!$M$3:$M$24,[1]对照表!$P$3:$P$24),LOOKUP(J458,[1]对照表!$M$27:$M$48,[1]对照表!$P$27:$P$48)))))</f>
        <v>80</v>
      </c>
      <c r="L458" s="38">
        <v>58</v>
      </c>
      <c r="M458" s="32">
        <f>IF(B458="高三",IF($E458="男",LOOKUP(L458,[1]对照表!$S$3:$S$24,[1]对照表!$T$3:$T$24),LOOKUP(L458,[1]对照表!$S$27:$S$48,[1]对照表!$T$27:$T$48)),IF(B458="高二",IF($E458="男",LOOKUP(L458,[1]对照表!$R$3:$R$24,[1]对照表!$T$3:$T$24),LOOKUP(L458,[1]对照表!$R$27:$R$48,[1]对照表!$T$27:$T$48)),IF(B458="高一",IF($E458="男",LOOKUP(L458,[1]对照表!$Q$3:$Q$24,[1]对照表!$T$3:$T$24),LOOKUP(L458,[1]对照表!$Q$27:$Q$48,[1]对照表!$T$27:$T$48)))))</f>
        <v>100</v>
      </c>
      <c r="N458" s="33">
        <f>IF(B458="高三",MAX(IF(E458="男",L458-18,L458-55),0),IF(B458="高二",MAX(IF(E458="男",L458-17,L458-54),0),IF(B458="高一",MAX(IF(E458="男",L458-16,L458-53),0))))</f>
        <v>4</v>
      </c>
      <c r="O458" s="23">
        <f>IF(E458="男",LOOKUP($N458,[1]对照表!$Z$3:$Z$13,[1]对照表!$AA$3:$AA$13),LOOKUP($N458,[1]对照表!$Z$15:$Z$25,[1]对照表!$AA$15:$AA$25))</f>
        <v>2</v>
      </c>
      <c r="P458" s="25">
        <f>M458+O458</f>
        <v>102</v>
      </c>
      <c r="Q458" s="38">
        <v>3.18</v>
      </c>
      <c r="R458" s="32">
        <f>IF(B458="高三",IF($E458="男",LOOKUP(Q458,[1]对照表!$W$3:$W$24,[1]对照表!$X$3:$X$24),LOOKUP(Q458,[1]对照表!$W$27:$W$48,[1]对照表!$X$27:$X$48)),IF(B458="高二",IF($E458="男",LOOKUP(Q458,[1]对照表!$V$3:$V$24,[1]对照表!$X$3:$X$24),LOOKUP(Q458,[1]对照表!$V$27:$V$48,[1]对照表!$X$27:$X$48)),IF(B458="高一",IF($E458="男",LOOKUP(Q458,[1]对照表!$U$3:$U$24,[1]对照表!$X$3:$X$24),LOOKUP(Q458,[1]对照表!$U$27:$U$48,[1]对照表!$X$27:$X$48)))))</f>
        <v>100</v>
      </c>
      <c r="S458" s="33">
        <f>ROUND(IF(IF($B458="高三",MIN(IF($E458="男",$Q458-3.2,$Q458-3.2),0),IF($B458="高二",MIN(IF($E458="男",$Q458-3.25,$Q458-3.22),0),IF($B458="高一",MIN(IF($E458="男",$Q458-3.3,$Q458-3.24),0))))&lt;-0.6,IF($B458="高三",MIN(IF($E458="男",$Q458-3.2,$Q458-3.2),0),IF($B458="高二",MIN(IF($E458="男",$Q458-3.25,$Q458-3.22),0),IF($B458="高一",MIN(IF($E458="男",$Q458-3.3,$Q458-3.24),0))))+0.4,IF($B458="高三",MIN(IF($E458="男",$Q458-3.2,$Q458-3.2),0),IF($B458="高二",MIN(IF($E458="男",$Q458-3.25,$Q458-3.22),0),IF($B458="高一",MIN(IF($E458="男",$Q458-3.3,$Q458-3.24),0))))),2)</f>
        <v>-0.04</v>
      </c>
      <c r="T458" s="23">
        <f>IF(E458="男",LOOKUP($S458,[1]对照表!$AB$3:$AB$13,[1]对照表!$AC$3:$AC$13),LOOKUP($S458,[1]对照表!$AB$15:$AB$25,[1]对照表!$AC$15:$AC$25))</f>
        <v>0</v>
      </c>
      <c r="U458" s="26">
        <f>R458+T458</f>
        <v>100</v>
      </c>
      <c r="V458" s="26">
        <f>SUM(I458,K458,M458)/3*0.3+SUM(G458,R458)/2*0.4</f>
        <v>61.8</v>
      </c>
      <c r="W458" s="27">
        <f>O458+T458</f>
        <v>2</v>
      </c>
      <c r="X458" s="28">
        <f>V458/0.7+W458</f>
        <v>90.285714285714292</v>
      </c>
      <c r="Y458" s="28">
        <f>X458</f>
        <v>90.285714285714292</v>
      </c>
      <c r="Z458" s="38"/>
    </row>
    <row r="459" spans="1:26" ht="15.6" x14ac:dyDescent="0.25">
      <c r="A459" s="48">
        <v>36</v>
      </c>
      <c r="B459" s="17" t="s">
        <v>767</v>
      </c>
      <c r="C459" s="48">
        <v>211</v>
      </c>
      <c r="D459" s="49" t="s">
        <v>867</v>
      </c>
      <c r="E459" s="48" t="s">
        <v>65</v>
      </c>
      <c r="F459" s="38">
        <v>8.65</v>
      </c>
      <c r="G459" s="32">
        <f>IF(B459="高三",IF($E459="男",LOOKUP(F459,[1]对照表!$G$3:$G$24,[1]对照表!$H$3:$H$24),LOOKUP(F459,[1]对照表!$G$27:$G$48,[1]对照表!$H$27:$H$48)),IF(B459="高二",IF($E459="男",LOOKUP(F459,[1]对照表!$F$3:$F$24,[1]对照表!$H$3:$H$24),LOOKUP(F459,[1]对照表!$F$27:$F$48,[1]对照表!$H$27:$H$48)),IF(B459="高一",IF($E459="男",LOOKUP(F459,[1]对照表!$E$3:$E$24,[1]对照表!$H$3:$H$24),LOOKUP(F459,[1]对照表!$E$27:$E$48,[1]对照表!$H$27:$H$48)))))</f>
        <v>78</v>
      </c>
      <c r="H459" s="38">
        <v>22</v>
      </c>
      <c r="I459" s="32">
        <f>IF(B459="高三",IF($E459="男",LOOKUP(H459,[1]对照表!$K$3:$K$24,[1]对照表!$L$3:$L$24),LOOKUP(H459,[1]对照表!$K$27:$K$48,[1]对照表!$L$27:$L$48)),IF(B459="高二",IF($E459="男",LOOKUP(H459,[1]对照表!$J$3:$J$24,[1]对照表!$L$3:$L$24),LOOKUP(H459,[1]对照表!$J$27:$J$48,[1]对照表!$L$27:$L$48)),IF(B459="高一",IF($E459="男",LOOKUP(H459,[1]对照表!$I$3:$I$24,[1]对照表!$L$3:$L$24),LOOKUP(H459,[1]对照表!$I$27:$I$48,[1]对照表!$L$27:$L$48)))))</f>
        <v>90</v>
      </c>
      <c r="J459" s="38">
        <v>200</v>
      </c>
      <c r="K459" s="32">
        <f>IF(B459="高三",IF($E459="男",LOOKUP(J459,[1]对照表!$O$3:$O$24,[1]对照表!$P$3:$P$24),LOOKUP(J459,[1]对照表!$O$27:$O$48,[1]对照表!$P$27:$P$48)),IF(B459="高二",IF($E459="男",LOOKUP(J459,[1]对照表!$N$3:$N$24,[1]对照表!$P$3:$P$24),LOOKUP(J459,[1]对照表!$N$27:$N$48,[1]对照表!$P$27:$P$48)),IF(B459="高一",IF($E459="男",LOOKUP(J459,[1]对照表!$M$3:$M$24,[1]对照表!$P$3:$P$24),LOOKUP(J459,[1]对照表!$M$27:$M$48,[1]对照表!$P$27:$P$48)))))</f>
        <v>95</v>
      </c>
      <c r="L459" s="38">
        <v>60</v>
      </c>
      <c r="M459" s="32">
        <f>IF(B459="高三",IF($E459="男",LOOKUP(L459,[1]对照表!$S$3:$S$24,[1]对照表!$T$3:$T$24),LOOKUP(L459,[1]对照表!$S$27:$S$48,[1]对照表!$T$27:$T$48)),IF(B459="高二",IF($E459="男",LOOKUP(L459,[1]对照表!$R$3:$R$24,[1]对照表!$T$3:$T$24),LOOKUP(L459,[1]对照表!$R$27:$R$48,[1]对照表!$T$27:$T$48)),IF(B459="高一",IF($E459="男",LOOKUP(L459,[1]对照表!$Q$3:$Q$24,[1]对照表!$T$3:$T$24),LOOKUP(L459,[1]对照表!$Q$27:$Q$48,[1]对照表!$T$27:$T$48)))))</f>
        <v>100</v>
      </c>
      <c r="N459" s="33">
        <f>IF(B459="高三",MAX(IF(E459="男",L459-18,L459-55),0),IF(B459="高二",MAX(IF(E459="男",L459-17,L459-54),0),IF(B459="高一",MAX(IF(E459="男",L459-16,L459-53),0))))</f>
        <v>6</v>
      </c>
      <c r="O459" s="23">
        <f>IF(E459="男",LOOKUP($N459,[1]对照表!$Z$3:$Z$13,[1]对照表!$AA$3:$AA$13),LOOKUP($N459,[1]对照表!$Z$15:$Z$25,[1]对照表!$AA$15:$AA$25))</f>
        <v>3</v>
      </c>
      <c r="P459" s="25">
        <f>M459+O459</f>
        <v>103</v>
      </c>
      <c r="Q459" s="38">
        <v>3.5</v>
      </c>
      <c r="R459" s="32">
        <f>IF(B459="高三",IF($E459="男",LOOKUP(Q459,[1]对照表!$W$3:$W$24,[1]对照表!$X$3:$X$24),LOOKUP(Q459,[1]对照表!$W$27:$W$48,[1]对照表!$X$27:$X$48)),IF(B459="高二",IF($E459="男",LOOKUP(Q459,[1]对照表!$V$3:$V$24,[1]对照表!$X$3:$X$24),LOOKUP(Q459,[1]对照表!$V$27:$V$48,[1]对照表!$X$27:$X$48)),IF(B459="高一",IF($E459="男",LOOKUP(Q459,[1]对照表!$U$3:$U$24,[1]对照表!$X$3:$X$24),LOOKUP(Q459,[1]对照表!$U$27:$U$48,[1]对照表!$X$27:$X$48)))))</f>
        <v>78</v>
      </c>
      <c r="S459" s="33">
        <f>ROUND(IF(IF($B459="高三",MIN(IF($E459="男",$Q459-3.2,$Q459-3.2),0),IF($B459="高二",MIN(IF($E459="男",$Q459-3.25,$Q459-3.22),0),IF($B459="高一",MIN(IF($E459="男",$Q459-3.3,$Q459-3.24),0))))&lt;-0.6,IF($B459="高三",MIN(IF($E459="男",$Q459-3.2,$Q459-3.2),0),IF($B459="高二",MIN(IF($E459="男",$Q459-3.25,$Q459-3.22),0),IF($B459="高一",MIN(IF($E459="男",$Q459-3.3,$Q459-3.24),0))))+0.4,IF($B459="高三",MIN(IF($E459="男",$Q459-3.2,$Q459-3.2),0),IF($B459="高二",MIN(IF($E459="男",$Q459-3.25,$Q459-3.22),0),IF($B459="高一",MIN(IF($E459="男",$Q459-3.3,$Q459-3.24),0))))),2)</f>
        <v>0</v>
      </c>
      <c r="T459" s="23">
        <f>IF(E459="男",LOOKUP($S459,[1]对照表!$AB$3:$AB$13,[1]对照表!$AC$3:$AC$13),LOOKUP($S459,[1]对照表!$AB$15:$AB$25,[1]对照表!$AC$15:$AC$25))</f>
        <v>0</v>
      </c>
      <c r="U459" s="26">
        <f>R459+T459</f>
        <v>78</v>
      </c>
      <c r="V459" s="26">
        <f>SUM(I459,K459,M459)/3*0.3+SUM(G459,R459)/2*0.4</f>
        <v>59.7</v>
      </c>
      <c r="W459" s="27">
        <f>O459+T459</f>
        <v>3</v>
      </c>
      <c r="X459" s="28">
        <f>V459/0.7+W459</f>
        <v>88.285714285714292</v>
      </c>
      <c r="Y459" s="28">
        <f>X459</f>
        <v>88.285714285714292</v>
      </c>
      <c r="Z459" s="38"/>
    </row>
    <row r="460" spans="1:26" ht="15.6" x14ac:dyDescent="0.25">
      <c r="A460" s="48">
        <v>16</v>
      </c>
      <c r="B460" s="17" t="s">
        <v>767</v>
      </c>
      <c r="C460" s="48">
        <v>211</v>
      </c>
      <c r="D460" s="49" t="s">
        <v>873</v>
      </c>
      <c r="E460" s="48" t="s">
        <v>23</v>
      </c>
      <c r="F460" s="38">
        <v>7.3</v>
      </c>
      <c r="G460" s="32">
        <f>IF(B460="高三",IF($E460="男",LOOKUP(F460,[1]对照表!$G$3:$G$24,[1]对照表!$H$3:$H$24),LOOKUP(F460,[1]对照表!$G$27:$G$48,[1]对照表!$H$27:$H$48)),IF(B460="高二",IF($E460="男",LOOKUP(F460,[1]对照表!$F$3:$F$24,[1]对照表!$H$3:$H$24),LOOKUP(F460,[1]对照表!$F$27:$F$48,[1]对照表!$H$27:$H$48)),IF(B460="高一",IF($E460="男",LOOKUP(F460,[1]对照表!$E$3:$E$24,[1]对照表!$H$3:$H$24),LOOKUP(F460,[1]对照表!$E$27:$E$48,[1]对照表!$H$27:$H$48)))))</f>
        <v>85</v>
      </c>
      <c r="H460" s="38">
        <v>24</v>
      </c>
      <c r="I460" s="32">
        <f>IF(B460="高三",IF($E460="男",LOOKUP(H460,[1]对照表!$K$3:$K$24,[1]对照表!$L$3:$L$24),LOOKUP(H460,[1]对照表!$K$27:$K$48,[1]对照表!$L$27:$L$48)),IF(B460="高二",IF($E460="男",LOOKUP(H460,[1]对照表!$J$3:$J$24,[1]对照表!$L$3:$L$24),LOOKUP(H460,[1]对照表!$J$27:$J$48,[1]对照表!$L$27:$L$48)),IF(B460="高一",IF($E460="男",LOOKUP(H460,[1]对照表!$I$3:$I$24,[1]对照表!$L$3:$L$24),LOOKUP(H460,[1]对照表!$I$27:$I$48,[1]对照表!$L$27:$L$48)))))</f>
        <v>95</v>
      </c>
      <c r="J460" s="38">
        <v>264</v>
      </c>
      <c r="K460" s="32">
        <f>IF(B460="高三",IF($E460="男",LOOKUP(J460,[1]对照表!$O$3:$O$24,[1]对照表!$P$3:$P$24),LOOKUP(J460,[1]对照表!$O$27:$O$48,[1]对照表!$P$27:$P$48)),IF(B460="高二",IF($E460="男",LOOKUP(J460,[1]对照表!$N$3:$N$24,[1]对照表!$P$3:$P$24),LOOKUP(J460,[1]对照表!$N$27:$N$48,[1]对照表!$P$27:$P$48)),IF(B460="高一",IF($E460="男",LOOKUP(J460,[1]对照表!$M$3:$M$24,[1]对照表!$P$3:$P$24),LOOKUP(J460,[1]对照表!$M$27:$M$48,[1]对照表!$P$27:$P$48)))))</f>
        <v>95</v>
      </c>
      <c r="L460" s="38">
        <v>21</v>
      </c>
      <c r="M460" s="32">
        <f>IF(B460="高三",IF($E460="男",LOOKUP(L460,[1]对照表!$S$3:$S$24,[1]对照表!$T$3:$T$24),LOOKUP(L460,[1]对照表!$S$27:$S$48,[1]对照表!$T$27:$T$48)),IF(B460="高二",IF($E460="男",LOOKUP(L460,[1]对照表!$R$3:$R$24,[1]对照表!$T$3:$T$24),LOOKUP(L460,[1]对照表!$R$27:$R$48,[1]对照表!$T$27:$T$48)),IF(B460="高一",IF($E460="男",LOOKUP(L460,[1]对照表!$Q$3:$Q$24,[1]对照表!$T$3:$T$24),LOOKUP(L460,[1]对照表!$Q$27:$Q$48,[1]对照表!$T$27:$T$48)))))</f>
        <v>100</v>
      </c>
      <c r="N460" s="33">
        <f>IF(B460="高三",MAX(IF(E460="男",L460-18,L460-55),0),IF(B460="高二",MAX(IF(E460="男",L460-17,L460-54),0),IF(B460="高一",MAX(IF(E460="男",L460-16,L460-53),0))))</f>
        <v>4</v>
      </c>
      <c r="O460" s="23">
        <f>IF(E460="男",LOOKUP($N460,[1]对照表!$Z$3:$Z$13,[1]对照表!$AA$3:$AA$13),LOOKUP($N460,[1]对照表!$Z$15:$Z$25,[1]对照表!$AA$15:$AA$25))</f>
        <v>4</v>
      </c>
      <c r="P460" s="25">
        <f>M460+O460</f>
        <v>104</v>
      </c>
      <c r="Q460" s="38">
        <v>3.16</v>
      </c>
      <c r="R460" s="32">
        <f>IF(B460="高三",IF($E460="男",LOOKUP(Q460,[1]对照表!$W$3:$W$24,[1]对照表!$X$3:$X$24),LOOKUP(Q460,[1]对照表!$W$27:$W$48,[1]对照表!$X$27:$X$48)),IF(B460="高二",IF($E460="男",LOOKUP(Q460,[1]对照表!$V$3:$V$24,[1]对照表!$X$3:$X$24),LOOKUP(Q460,[1]对照表!$V$27:$V$48,[1]对照表!$X$27:$X$48)),IF(B460="高一",IF($E460="男",LOOKUP(Q460,[1]对照表!$U$3:$U$24,[1]对照表!$X$3:$X$24),LOOKUP(Q460,[1]对照表!$U$27:$U$48,[1]对照表!$X$27:$X$48)))))</f>
        <v>100</v>
      </c>
      <c r="S460" s="33">
        <f>ROUND(IF(IF($B460="高三",MIN(IF($E460="男",$Q460-3.2,$Q460-3.2),0),IF($B460="高二",MIN(IF($E460="男",$Q460-3.25,$Q460-3.22),0),IF($B460="高一",MIN(IF($E460="男",$Q460-3.3,$Q460-3.24),0))))&lt;-0.6,IF($B460="高三",MIN(IF($E460="男",$Q460-3.2,$Q460-3.2),0),IF($B460="高二",MIN(IF($E460="男",$Q460-3.25,$Q460-3.22),0),IF($B460="高一",MIN(IF($E460="男",$Q460-3.3,$Q460-3.24),0))))+0.4,IF($B460="高三",MIN(IF($E460="男",$Q460-3.2,$Q460-3.2),0),IF($B460="高二",MIN(IF($E460="男",$Q460-3.25,$Q460-3.22),0),IF($B460="高一",MIN(IF($E460="男",$Q460-3.3,$Q460-3.24),0))))),2)</f>
        <v>-0.09</v>
      </c>
      <c r="T460" s="23">
        <f>IF(E460="男",LOOKUP($S460,[1]对照表!$AB$3:$AB$13,[1]对照表!$AC$3:$AC$13),LOOKUP($S460,[1]对照表!$AB$15:$AB$25,[1]对照表!$AC$15:$AC$25))</f>
        <v>2</v>
      </c>
      <c r="U460" s="26">
        <f>R460+T460</f>
        <v>102</v>
      </c>
      <c r="V460" s="26">
        <f>SUM(I460,K460,M460)/3*0.3+SUM(G460,R460)/2*0.4</f>
        <v>66</v>
      </c>
      <c r="W460" s="27">
        <f>O460+T460</f>
        <v>6</v>
      </c>
      <c r="X460" s="28">
        <f>V460/0.7+W460</f>
        <v>100.28571428571429</v>
      </c>
      <c r="Y460" s="28">
        <f>X460</f>
        <v>100.28571428571429</v>
      </c>
      <c r="Z460" s="38"/>
    </row>
    <row r="461" spans="1:26" ht="15.6" x14ac:dyDescent="0.25">
      <c r="A461" s="48">
        <v>42</v>
      </c>
      <c r="B461" s="17" t="s">
        <v>767</v>
      </c>
      <c r="C461" s="48">
        <v>211</v>
      </c>
      <c r="D461" s="49" t="s">
        <v>938</v>
      </c>
      <c r="E461" s="48" t="s">
        <v>65</v>
      </c>
      <c r="F461" s="38">
        <v>8.5500000000000007</v>
      </c>
      <c r="G461" s="32">
        <f>IF(B461="高三",IF($E461="男",LOOKUP(F461,[1]对照表!$G$3:$G$24,[1]对照表!$H$3:$H$24),LOOKUP(F461,[1]对照表!$G$27:$G$48,[1]对照表!$H$27:$H$48)),IF(B461="高二",IF($E461="男",LOOKUP(F461,[1]对照表!$F$3:$F$24,[1]对照表!$H$3:$H$24),LOOKUP(F461,[1]对照表!$F$27:$F$48,[1]对照表!$H$27:$H$48)),IF(B461="高一",IF($E461="男",LOOKUP(F461,[1]对照表!$E$3:$E$24,[1]对照表!$H$3:$H$24),LOOKUP(F461,[1]对照表!$E$27:$E$48,[1]对照表!$H$27:$H$48)))))</f>
        <v>78</v>
      </c>
      <c r="H461" s="38">
        <v>18.3</v>
      </c>
      <c r="I461" s="32">
        <f>IF(B461="高三",IF($E461="男",LOOKUP(H461,[1]对照表!$K$3:$K$24,[1]对照表!$L$3:$L$24),LOOKUP(H461,[1]对照表!$K$27:$K$48,[1]对照表!$L$27:$L$48)),IF(B461="高二",IF($E461="男",LOOKUP(H461,[1]对照表!$J$3:$J$24,[1]对照表!$L$3:$L$24),LOOKUP(H461,[1]对照表!$J$27:$J$48,[1]对照表!$L$27:$L$48)),IF(B461="高一",IF($E461="男",LOOKUP(H461,[1]对照表!$I$3:$I$24,[1]对照表!$L$3:$L$24),LOOKUP(H461,[1]对照表!$I$27:$I$48,[1]对照表!$L$27:$L$48)))))</f>
        <v>80</v>
      </c>
      <c r="J461" s="38">
        <v>180</v>
      </c>
      <c r="K461" s="32">
        <f>IF(B461="高三",IF($E461="男",LOOKUP(J461,[1]对照表!$O$3:$O$24,[1]对照表!$P$3:$P$24),LOOKUP(J461,[1]对照表!$O$27:$O$48,[1]对照表!$P$27:$P$48)),IF(B461="高二",IF($E461="男",LOOKUP(J461,[1]对照表!$N$3:$N$24,[1]对照表!$P$3:$P$24),LOOKUP(J461,[1]对照表!$N$27:$N$48,[1]对照表!$P$27:$P$48)),IF(B461="高一",IF($E461="男",LOOKUP(J461,[1]对照表!$M$3:$M$24,[1]对照表!$P$3:$P$24),LOOKUP(J461,[1]对照表!$M$27:$M$48,[1]对照表!$P$27:$P$48)))))</f>
        <v>80</v>
      </c>
      <c r="L461" s="38">
        <v>50</v>
      </c>
      <c r="M461" s="32">
        <f>IF(B461="高三",IF($E461="男",LOOKUP(L461,[1]对照表!$S$3:$S$24,[1]对照表!$T$3:$T$24),LOOKUP(L461,[1]对照表!$S$27:$S$48,[1]对照表!$T$27:$T$48)),IF(B461="高二",IF($E461="男",LOOKUP(L461,[1]对照表!$R$3:$R$24,[1]对照表!$T$3:$T$24),LOOKUP(L461,[1]对照表!$R$27:$R$48,[1]对照表!$T$27:$T$48)),IF(B461="高一",IF($E461="男",LOOKUP(L461,[1]对照表!$Q$3:$Q$24,[1]对照表!$T$3:$T$24),LOOKUP(L461,[1]对照表!$Q$27:$Q$48,[1]对照表!$T$27:$T$48)))))</f>
        <v>90</v>
      </c>
      <c r="N461" s="33">
        <f>IF(B461="高三",MAX(IF(E461="男",L461-18,L461-55),0),IF(B461="高二",MAX(IF(E461="男",L461-17,L461-54),0),IF(B461="高一",MAX(IF(E461="男",L461-16,L461-53),0))))</f>
        <v>0</v>
      </c>
      <c r="O461" s="23">
        <f>IF(E461="男",LOOKUP($N461,[1]对照表!$Z$3:$Z$13,[1]对照表!$AA$3:$AA$13),LOOKUP($N461,[1]对照表!$Z$15:$Z$25,[1]对照表!$AA$15:$AA$25))</f>
        <v>0</v>
      </c>
      <c r="P461" s="25">
        <f>M461+O461</f>
        <v>90</v>
      </c>
      <c r="Q461" s="38">
        <v>3.24</v>
      </c>
      <c r="R461" s="32">
        <f>IF(B461="高三",IF($E461="男",LOOKUP(Q461,[1]对照表!$W$3:$W$24,[1]对照表!$X$3:$X$24),LOOKUP(Q461,[1]对照表!$W$27:$W$48,[1]对照表!$X$27:$X$48)),IF(B461="高二",IF($E461="男",LOOKUP(Q461,[1]对照表!$V$3:$V$24,[1]对照表!$X$3:$X$24),LOOKUP(Q461,[1]对照表!$V$27:$V$48,[1]对照表!$X$27:$X$48)),IF(B461="高一",IF($E461="男",LOOKUP(Q461,[1]对照表!$U$3:$U$24,[1]对照表!$X$3:$X$24),LOOKUP(Q461,[1]对照表!$U$27:$U$48,[1]对照表!$X$27:$X$48)))))</f>
        <v>95</v>
      </c>
      <c r="S461" s="33">
        <f>ROUND(IF(IF($B461="高三",MIN(IF($E461="男",$Q461-3.2,$Q461-3.2),0),IF($B461="高二",MIN(IF($E461="男",$Q461-3.25,$Q461-3.22),0),IF($B461="高一",MIN(IF($E461="男",$Q461-3.3,$Q461-3.24),0))))&lt;-0.6,IF($B461="高三",MIN(IF($E461="男",$Q461-3.2,$Q461-3.2),0),IF($B461="高二",MIN(IF($E461="男",$Q461-3.25,$Q461-3.22),0),IF($B461="高一",MIN(IF($E461="男",$Q461-3.3,$Q461-3.24),0))))+0.4,IF($B461="高三",MIN(IF($E461="男",$Q461-3.2,$Q461-3.2),0),IF($B461="高二",MIN(IF($E461="男",$Q461-3.25,$Q461-3.22),0),IF($B461="高一",MIN(IF($E461="男",$Q461-3.3,$Q461-3.24),0))))),2)</f>
        <v>0</v>
      </c>
      <c r="T461" s="23">
        <f>IF(E461="男",LOOKUP($S461,[1]对照表!$AB$3:$AB$13,[1]对照表!$AC$3:$AC$13),LOOKUP($S461,[1]对照表!$AB$15:$AB$25,[1]对照表!$AC$15:$AC$25))</f>
        <v>0</v>
      </c>
      <c r="U461" s="26">
        <f>R461+T461</f>
        <v>95</v>
      </c>
      <c r="V461" s="26">
        <f>SUM(I461,K461,M461)/3*0.3+SUM(G461,R461)/2*0.4</f>
        <v>59.599999999999994</v>
      </c>
      <c r="W461" s="27">
        <f>O461+T461</f>
        <v>0</v>
      </c>
      <c r="X461" s="28">
        <f>V461/0.7+W461</f>
        <v>85.142857142857139</v>
      </c>
      <c r="Y461" s="28">
        <f>X461</f>
        <v>85.142857142857139</v>
      </c>
      <c r="Z461" s="38"/>
    </row>
    <row r="462" spans="1:26" ht="15.6" x14ac:dyDescent="0.25">
      <c r="A462" s="38">
        <v>5</v>
      </c>
      <c r="B462" s="17" t="s">
        <v>767</v>
      </c>
      <c r="C462" s="48">
        <v>211</v>
      </c>
      <c r="D462" s="49" t="s">
        <v>950</v>
      </c>
      <c r="E462" s="48" t="s">
        <v>23</v>
      </c>
      <c r="F462" s="38">
        <v>7</v>
      </c>
      <c r="G462" s="32">
        <f>IF(B462="高三",IF($E462="男",LOOKUP(F462,[1]对照表!$G$3:$G$24,[1]对照表!$H$3:$H$24),LOOKUP(F462,[1]对照表!$G$27:$G$48,[1]对照表!$H$27:$H$48)),IF(B462="高二",IF($E462="男",LOOKUP(F462,[1]对照表!$F$3:$F$24,[1]对照表!$H$3:$H$24),LOOKUP(F462,[1]对照表!$F$27:$F$48,[1]对照表!$H$27:$H$48)),IF(B462="高一",IF($E462="男",LOOKUP(F462,[1]对照表!$E$3:$E$24,[1]对照表!$H$3:$H$24),LOOKUP(F462,[1]对照表!$E$27:$E$48,[1]对照表!$H$27:$H$48)))))</f>
        <v>100</v>
      </c>
      <c r="H462" s="38">
        <v>19.600000000000001</v>
      </c>
      <c r="I462" s="32">
        <f>IF(B462="高三",IF($E462="男",LOOKUP(H462,[1]对照表!$K$3:$K$24,[1]对照表!$L$3:$L$24),LOOKUP(H462,[1]对照表!$K$27:$K$48,[1]对照表!$L$27:$L$48)),IF(B462="高二",IF($E462="男",LOOKUP(H462,[1]对照表!$J$3:$J$24,[1]对照表!$L$3:$L$24),LOOKUP(H462,[1]对照表!$J$27:$J$48,[1]对照表!$L$27:$L$48)),IF(B462="高一",IF($E462="男",LOOKUP(H462,[1]对照表!$I$3:$I$24,[1]对照表!$L$3:$L$24),LOOKUP(H462,[1]对照表!$I$27:$I$48,[1]对照表!$L$27:$L$48)))))</f>
        <v>85</v>
      </c>
      <c r="J462" s="38">
        <v>249</v>
      </c>
      <c r="K462" s="32">
        <f>IF(B462="高三",IF($E462="男",LOOKUP(J462,[1]对照表!$O$3:$O$24,[1]对照表!$P$3:$P$24),LOOKUP(J462,[1]对照表!$O$27:$O$48,[1]对照表!$P$27:$P$48)),IF(B462="高二",IF($E462="男",LOOKUP(J462,[1]对照表!$N$3:$N$24,[1]对照表!$P$3:$P$24),LOOKUP(J462,[1]对照表!$N$27:$N$48,[1]对照表!$P$27:$P$48)),IF(B462="高一",IF($E462="男",LOOKUP(J462,[1]对照表!$M$3:$M$24,[1]对照表!$P$3:$P$24),LOOKUP(J462,[1]对照表!$M$27:$M$48,[1]对照表!$P$27:$P$48)))))</f>
        <v>85</v>
      </c>
      <c r="L462" s="38">
        <v>18</v>
      </c>
      <c r="M462" s="32">
        <f>IF(B462="高三",IF($E462="男",LOOKUP(L462,[1]对照表!$S$3:$S$24,[1]对照表!$T$3:$T$24),LOOKUP(L462,[1]对照表!$S$27:$S$48,[1]对照表!$T$27:$T$48)),IF(B462="高二",IF($E462="男",LOOKUP(L462,[1]对照表!$R$3:$R$24,[1]对照表!$T$3:$T$24),LOOKUP(L462,[1]对照表!$R$27:$R$48,[1]对照表!$T$27:$T$48)),IF(B462="高一",IF($E462="男",LOOKUP(L462,[1]对照表!$Q$3:$Q$24,[1]对照表!$T$3:$T$24),LOOKUP(L462,[1]对照表!$Q$27:$Q$48,[1]对照表!$T$27:$T$48)))))</f>
        <v>100</v>
      </c>
      <c r="N462" s="33">
        <f>IF(B462="高三",MAX(IF(E462="男",L462-18,L462-55),0),IF(B462="高二",MAX(IF(E462="男",L462-17,L462-54),0),IF(B462="高一",MAX(IF(E462="男",L462-16,L462-53),0))))</f>
        <v>1</v>
      </c>
      <c r="O462" s="23">
        <f>IF(E462="男",LOOKUP($N462,[1]对照表!$Z$3:$Z$13,[1]对照表!$AA$3:$AA$13),LOOKUP($N462,[1]对照表!$Z$15:$Z$25,[1]对照表!$AA$15:$AA$25))</f>
        <v>1</v>
      </c>
      <c r="P462" s="25">
        <f>M462+O462</f>
        <v>101</v>
      </c>
      <c r="Q462" s="38">
        <v>3.32</v>
      </c>
      <c r="R462" s="32">
        <f>IF(B462="高三",IF($E462="男",LOOKUP(Q462,[1]对照表!$W$3:$W$24,[1]对照表!$X$3:$X$24),LOOKUP(Q462,[1]对照表!$W$27:$W$48,[1]对照表!$X$27:$X$48)),IF(B462="高二",IF($E462="男",LOOKUP(Q462,[1]对照表!$V$3:$V$24,[1]对照表!$X$3:$X$24),LOOKUP(Q462,[1]对照表!$V$27:$V$48,[1]对照表!$X$27:$X$48)),IF(B462="高一",IF($E462="男",LOOKUP(Q462,[1]对照表!$U$3:$U$24,[1]对照表!$X$3:$X$24),LOOKUP(Q462,[1]对照表!$U$27:$U$48,[1]对照表!$X$27:$X$48)))))</f>
        <v>90</v>
      </c>
      <c r="S462" s="33">
        <f>ROUND(IF(IF($B462="高三",MIN(IF($E462="男",$Q462-3.2,$Q462-3.2),0),IF($B462="高二",MIN(IF($E462="男",$Q462-3.25,$Q462-3.22),0),IF($B462="高一",MIN(IF($E462="男",$Q462-3.3,$Q462-3.24),0))))&lt;-0.6,IF($B462="高三",MIN(IF($E462="男",$Q462-3.2,$Q462-3.2),0),IF($B462="高二",MIN(IF($E462="男",$Q462-3.25,$Q462-3.22),0),IF($B462="高一",MIN(IF($E462="男",$Q462-3.3,$Q462-3.24),0))))+0.4,IF($B462="高三",MIN(IF($E462="男",$Q462-3.2,$Q462-3.2),0),IF($B462="高二",MIN(IF($E462="男",$Q462-3.25,$Q462-3.22),0),IF($B462="高一",MIN(IF($E462="男",$Q462-3.3,$Q462-3.24),0))))),2)</f>
        <v>0</v>
      </c>
      <c r="T462" s="23">
        <f>IF(E462="男",LOOKUP($S462,[1]对照表!$AB$3:$AB$13,[1]对照表!$AC$3:$AC$13),LOOKUP($S462,[1]对照表!$AB$15:$AB$25,[1]对照表!$AC$15:$AC$25))</f>
        <v>0</v>
      </c>
      <c r="U462" s="26">
        <f>R462+T462</f>
        <v>90</v>
      </c>
      <c r="V462" s="26">
        <f>SUM(I462,K462,M462)/3*0.3+SUM(G462,R462)/2*0.4</f>
        <v>65</v>
      </c>
      <c r="W462" s="27">
        <f>O462+T462</f>
        <v>1</v>
      </c>
      <c r="X462" s="28">
        <f>V462/0.7+W462</f>
        <v>93.857142857142861</v>
      </c>
      <c r="Y462" s="28">
        <f>X462</f>
        <v>93.857142857142861</v>
      </c>
      <c r="Z462" s="38"/>
    </row>
    <row r="463" spans="1:26" ht="15.6" x14ac:dyDescent="0.25">
      <c r="A463" s="48">
        <v>33</v>
      </c>
      <c r="B463" s="17" t="s">
        <v>767</v>
      </c>
      <c r="C463" s="48">
        <v>211</v>
      </c>
      <c r="D463" s="49" t="s">
        <v>959</v>
      </c>
      <c r="E463" s="48" t="s">
        <v>65</v>
      </c>
      <c r="F463" s="38">
        <v>8.41</v>
      </c>
      <c r="G463" s="32">
        <f>IF(B463="高三",IF($E463="男",LOOKUP(F463,[1]对照表!$G$3:$G$24,[1]对照表!$H$3:$H$24),LOOKUP(F463,[1]对照表!$G$27:$G$48,[1]对照表!$H$27:$H$48)),IF(B463="高二",IF($E463="男",LOOKUP(F463,[1]对照表!$F$3:$F$24,[1]对照表!$H$3:$H$24),LOOKUP(F463,[1]对照表!$F$27:$F$48,[1]对照表!$H$27:$H$48)),IF(B463="高一",IF($E463="男",LOOKUP(F463,[1]对照表!$E$3:$E$24,[1]对照表!$H$3:$H$24),LOOKUP(F463,[1]对照表!$E$27:$E$48,[1]对照表!$H$27:$H$48)))))</f>
        <v>80</v>
      </c>
      <c r="H463" s="38">
        <v>24</v>
      </c>
      <c r="I463" s="32">
        <f>IF(B463="高三",IF($E463="男",LOOKUP(H463,[1]对照表!$K$3:$K$24,[1]对照表!$L$3:$L$24),LOOKUP(H463,[1]对照表!$K$27:$K$48,[1]对照表!$L$27:$L$48)),IF(B463="高二",IF($E463="男",LOOKUP(H463,[1]对照表!$J$3:$J$24,[1]对照表!$L$3:$L$24),LOOKUP(H463,[1]对照表!$J$27:$J$48,[1]对照表!$L$27:$L$48)),IF(B463="高一",IF($E463="男",LOOKUP(H463,[1]对照表!$I$3:$I$24,[1]对照表!$L$3:$L$24),LOOKUP(H463,[1]对照表!$I$27:$I$48,[1]对照表!$L$27:$L$48)))))</f>
        <v>95</v>
      </c>
      <c r="J463" s="38">
        <v>181</v>
      </c>
      <c r="K463" s="32">
        <f>IF(B463="高三",IF($E463="男",LOOKUP(J463,[1]对照表!$O$3:$O$24,[1]对照表!$P$3:$P$24),LOOKUP(J463,[1]对照表!$O$27:$O$48,[1]对照表!$P$27:$P$48)),IF(B463="高二",IF($E463="男",LOOKUP(J463,[1]对照表!$N$3:$N$24,[1]对照表!$P$3:$P$24),LOOKUP(J463,[1]对照表!$N$27:$N$48,[1]对照表!$P$27:$P$48)),IF(B463="高一",IF($E463="男",LOOKUP(J463,[1]对照表!$M$3:$M$24,[1]对照表!$P$3:$P$24),LOOKUP(J463,[1]对照表!$M$27:$M$48,[1]对照表!$P$27:$P$48)))))</f>
        <v>80</v>
      </c>
      <c r="L463" s="38">
        <v>48</v>
      </c>
      <c r="M463" s="32">
        <f>IF(B463="高三",IF($E463="男",LOOKUP(L463,[1]对照表!$S$3:$S$24,[1]对照表!$T$3:$T$24),LOOKUP(L463,[1]对照表!$S$27:$S$48,[1]对照表!$T$27:$T$48)),IF(B463="高二",IF($E463="男",LOOKUP(L463,[1]对照表!$R$3:$R$24,[1]对照表!$T$3:$T$24),LOOKUP(L463,[1]对照表!$R$27:$R$48,[1]对照表!$T$27:$T$48)),IF(B463="高一",IF($E463="男",LOOKUP(L463,[1]对照表!$Q$3:$Q$24,[1]对照表!$T$3:$T$24),LOOKUP(L463,[1]对照表!$Q$27:$Q$48,[1]对照表!$T$27:$T$48)))))</f>
        <v>85</v>
      </c>
      <c r="N463" s="33">
        <f>IF(B463="高三",MAX(IF(E463="男",L463-18,L463-55),0),IF(B463="高二",MAX(IF(E463="男",L463-17,L463-54),0),IF(B463="高一",MAX(IF(E463="男",L463-16,L463-53),0))))</f>
        <v>0</v>
      </c>
      <c r="O463" s="23">
        <f>IF(E463="男",LOOKUP($N463,[1]对照表!$Z$3:$Z$13,[1]对照表!$AA$3:$AA$13),LOOKUP($N463,[1]对照表!$Z$15:$Z$25,[1]对照表!$AA$15:$AA$25))</f>
        <v>0</v>
      </c>
      <c r="P463" s="25">
        <f>M463+O463</f>
        <v>85</v>
      </c>
      <c r="Q463" s="38">
        <v>3.35</v>
      </c>
      <c r="R463" s="32">
        <f>IF(B463="高三",IF($E463="男",LOOKUP(Q463,[1]对照表!$W$3:$W$24,[1]对照表!$X$3:$X$24),LOOKUP(Q463,[1]对照表!$W$27:$W$48,[1]对照表!$X$27:$X$48)),IF(B463="高二",IF($E463="男",LOOKUP(Q463,[1]对照表!$V$3:$V$24,[1]对照表!$X$3:$X$24),LOOKUP(Q463,[1]对照表!$V$27:$V$48,[1]对照表!$X$27:$X$48)),IF(B463="高一",IF($E463="男",LOOKUP(Q463,[1]对照表!$U$3:$U$24,[1]对照表!$X$3:$X$24),LOOKUP(Q463,[1]对照表!$U$27:$U$48,[1]对照表!$X$27:$X$48)))))</f>
        <v>85</v>
      </c>
      <c r="S463" s="33">
        <f>ROUND(IF(IF($B463="高三",MIN(IF($E463="男",$Q463-3.2,$Q463-3.2),0),IF($B463="高二",MIN(IF($E463="男",$Q463-3.25,$Q463-3.22),0),IF($B463="高一",MIN(IF($E463="男",$Q463-3.3,$Q463-3.24),0))))&lt;-0.6,IF($B463="高三",MIN(IF($E463="男",$Q463-3.2,$Q463-3.2),0),IF($B463="高二",MIN(IF($E463="男",$Q463-3.25,$Q463-3.22),0),IF($B463="高一",MIN(IF($E463="男",$Q463-3.3,$Q463-3.24),0))))+0.4,IF($B463="高三",MIN(IF($E463="男",$Q463-3.2,$Q463-3.2),0),IF($B463="高二",MIN(IF($E463="男",$Q463-3.25,$Q463-3.22),0),IF($B463="高一",MIN(IF($E463="男",$Q463-3.3,$Q463-3.24),0))))),2)</f>
        <v>0</v>
      </c>
      <c r="T463" s="23">
        <f>IF(E463="男",LOOKUP($S463,[1]对照表!$AB$3:$AB$13,[1]对照表!$AC$3:$AC$13),LOOKUP($S463,[1]对照表!$AB$15:$AB$25,[1]对照表!$AC$15:$AC$25))</f>
        <v>0</v>
      </c>
      <c r="U463" s="26">
        <f>R463+T463</f>
        <v>85</v>
      </c>
      <c r="V463" s="26">
        <f>SUM(I463,K463,M463)/3*0.3+SUM(G463,R463)/2*0.4</f>
        <v>59</v>
      </c>
      <c r="W463" s="27">
        <f>O463+T463</f>
        <v>0</v>
      </c>
      <c r="X463" s="28">
        <f>V463/0.7+W463</f>
        <v>84.285714285714292</v>
      </c>
      <c r="Y463" s="28">
        <f>X463</f>
        <v>84.285714285714292</v>
      </c>
      <c r="Z463" s="38"/>
    </row>
    <row r="464" spans="1:26" ht="15.6" x14ac:dyDescent="0.25">
      <c r="A464" s="38">
        <v>10</v>
      </c>
      <c r="B464" s="17" t="s">
        <v>767</v>
      </c>
      <c r="C464" s="48">
        <v>211</v>
      </c>
      <c r="D464" s="49" t="s">
        <v>978</v>
      </c>
      <c r="E464" s="48" t="s">
        <v>23</v>
      </c>
      <c r="F464" s="38">
        <v>7.3</v>
      </c>
      <c r="G464" s="32">
        <f>IF(B464="高三",IF($E464="男",LOOKUP(F464,[1]对照表!$G$3:$G$24,[1]对照表!$H$3:$H$24),LOOKUP(F464,[1]对照表!$G$27:$G$48,[1]对照表!$H$27:$H$48)),IF(B464="高二",IF($E464="男",LOOKUP(F464,[1]对照表!$F$3:$F$24,[1]对照表!$H$3:$H$24),LOOKUP(F464,[1]对照表!$F$27:$F$48,[1]对照表!$H$27:$H$48)),IF(B464="高一",IF($E464="男",LOOKUP(F464,[1]对照表!$E$3:$E$24,[1]对照表!$H$3:$H$24),LOOKUP(F464,[1]对照表!$E$27:$E$48,[1]对照表!$H$27:$H$48)))))</f>
        <v>85</v>
      </c>
      <c r="H464" s="38">
        <v>9.4</v>
      </c>
      <c r="I464" s="32">
        <f>IF(B464="高三",IF($E464="男",LOOKUP(H464,[1]对照表!$K$3:$K$24,[1]对照表!$L$3:$L$24),LOOKUP(H464,[1]对照表!$K$27:$K$48,[1]对照表!$L$27:$L$48)),IF(B464="高二",IF($E464="男",LOOKUP(H464,[1]对照表!$J$3:$J$24,[1]对照表!$L$3:$L$24),LOOKUP(H464,[1]对照表!$J$27:$J$48,[1]对照表!$L$27:$L$48)),IF(B464="高一",IF($E464="男",LOOKUP(H464,[1]对照表!$I$3:$I$24,[1]对照表!$L$3:$L$24),LOOKUP(H464,[1]对照表!$I$27:$I$48,[1]对照表!$L$27:$L$48)))))</f>
        <v>70</v>
      </c>
      <c r="J464" s="38">
        <v>243</v>
      </c>
      <c r="K464" s="32">
        <f>IF(B464="高三",IF($E464="男",LOOKUP(J464,[1]对照表!$O$3:$O$24,[1]对照表!$P$3:$P$24),LOOKUP(J464,[1]对照表!$O$27:$O$48,[1]对照表!$P$27:$P$48)),IF(B464="高二",IF($E464="男",LOOKUP(J464,[1]对照表!$N$3:$N$24,[1]对照表!$P$3:$P$24),LOOKUP(J464,[1]对照表!$N$27:$N$48,[1]对照表!$P$27:$P$48)),IF(B464="高一",IF($E464="男",LOOKUP(J464,[1]对照表!$M$3:$M$24,[1]对照表!$P$3:$P$24),LOOKUP(J464,[1]对照表!$M$27:$M$48,[1]对照表!$P$27:$P$48)))))</f>
        <v>80</v>
      </c>
      <c r="L464" s="38">
        <v>20</v>
      </c>
      <c r="M464" s="32">
        <f>IF(B464="高三",IF($E464="男",LOOKUP(L464,[1]对照表!$S$3:$S$24,[1]对照表!$T$3:$T$24),LOOKUP(L464,[1]对照表!$S$27:$S$48,[1]对照表!$T$27:$T$48)),IF(B464="高二",IF($E464="男",LOOKUP(L464,[1]对照表!$R$3:$R$24,[1]对照表!$T$3:$T$24),LOOKUP(L464,[1]对照表!$R$27:$R$48,[1]对照表!$T$27:$T$48)),IF(B464="高一",IF($E464="男",LOOKUP(L464,[1]对照表!$Q$3:$Q$24,[1]对照表!$T$3:$T$24),LOOKUP(L464,[1]对照表!$Q$27:$Q$48,[1]对照表!$T$27:$T$48)))))</f>
        <v>100</v>
      </c>
      <c r="N464" s="33">
        <f>IF(B464="高三",MAX(IF(E464="男",L464-18,L464-55),0),IF(B464="高二",MAX(IF(E464="男",L464-17,L464-54),0),IF(B464="高一",MAX(IF(E464="男",L464-16,L464-53),0))))</f>
        <v>3</v>
      </c>
      <c r="O464" s="23">
        <f>IF(E464="男",LOOKUP($N464,[1]对照表!$Z$3:$Z$13,[1]对照表!$AA$3:$AA$13),LOOKUP($N464,[1]对照表!$Z$15:$Z$25,[1]对照表!$AA$15:$AA$25))</f>
        <v>3</v>
      </c>
      <c r="P464" s="25">
        <f>M464+O464</f>
        <v>103</v>
      </c>
      <c r="Q464" s="38">
        <v>3.22</v>
      </c>
      <c r="R464" s="32">
        <f>IF(B464="高三",IF($E464="男",LOOKUP(Q464,[1]对照表!$W$3:$W$24,[1]对照表!$X$3:$X$24),LOOKUP(Q464,[1]对照表!$W$27:$W$48,[1]对照表!$X$27:$X$48)),IF(B464="高二",IF($E464="男",LOOKUP(Q464,[1]对照表!$V$3:$V$24,[1]对照表!$X$3:$X$24),LOOKUP(Q464,[1]对照表!$V$27:$V$48,[1]对照表!$X$27:$X$48)),IF(B464="高一",IF($E464="男",LOOKUP(Q464,[1]对照表!$U$3:$U$24,[1]对照表!$X$3:$X$24),LOOKUP(Q464,[1]对照表!$U$27:$U$48,[1]对照表!$X$27:$X$48)))))</f>
        <v>100</v>
      </c>
      <c r="S464" s="33">
        <f>ROUND(IF(IF($B464="高三",MIN(IF($E464="男",$Q464-3.2,$Q464-3.2),0),IF($B464="高二",MIN(IF($E464="男",$Q464-3.25,$Q464-3.22),0),IF($B464="高一",MIN(IF($E464="男",$Q464-3.3,$Q464-3.24),0))))&lt;-0.6,IF($B464="高三",MIN(IF($E464="男",$Q464-3.2,$Q464-3.2),0),IF($B464="高二",MIN(IF($E464="男",$Q464-3.25,$Q464-3.22),0),IF($B464="高一",MIN(IF($E464="男",$Q464-3.3,$Q464-3.24),0))))+0.4,IF($B464="高三",MIN(IF($E464="男",$Q464-3.2,$Q464-3.2),0),IF($B464="高二",MIN(IF($E464="男",$Q464-3.25,$Q464-3.22),0),IF($B464="高一",MIN(IF($E464="男",$Q464-3.3,$Q464-3.24),0))))),2)</f>
        <v>-0.03</v>
      </c>
      <c r="T464" s="23">
        <f>IF(E464="男",LOOKUP($S464,[1]对照表!$AB$3:$AB$13,[1]对照表!$AC$3:$AC$13),LOOKUP($S464,[1]对照表!$AB$15:$AB$25,[1]对照表!$AC$15:$AC$25))</f>
        <v>0</v>
      </c>
      <c r="U464" s="26">
        <f>R464+T464</f>
        <v>100</v>
      </c>
      <c r="V464" s="26">
        <f>SUM(I464,K464,M464)/3*0.3+SUM(G464,R464)/2*0.4</f>
        <v>62</v>
      </c>
      <c r="W464" s="27">
        <f>O464+T464</f>
        <v>3</v>
      </c>
      <c r="X464" s="28">
        <f>V464/0.7+W464</f>
        <v>91.571428571428584</v>
      </c>
      <c r="Y464" s="28">
        <f>X464</f>
        <v>91.571428571428584</v>
      </c>
      <c r="Z464" s="38"/>
    </row>
    <row r="465" spans="1:26" ht="15.6" x14ac:dyDescent="0.25">
      <c r="A465" s="48">
        <v>28</v>
      </c>
      <c r="B465" s="17" t="s">
        <v>767</v>
      </c>
      <c r="C465" s="48">
        <v>211</v>
      </c>
      <c r="D465" s="49" t="s">
        <v>994</v>
      </c>
      <c r="E465" s="48" t="s">
        <v>65</v>
      </c>
      <c r="F465" s="38">
        <v>8.5299999999999994</v>
      </c>
      <c r="G465" s="32">
        <f>IF(B465="高三",IF($E465="男",LOOKUP(F465,[1]对照表!$G$3:$G$24,[1]对照表!$H$3:$H$24),LOOKUP(F465,[1]对照表!$G$27:$G$48,[1]对照表!$H$27:$H$48)),IF(B465="高二",IF($E465="男",LOOKUP(F465,[1]对照表!$F$3:$F$24,[1]对照表!$H$3:$H$24),LOOKUP(F465,[1]对照表!$F$27:$F$48,[1]对照表!$H$27:$H$48)),IF(B465="高一",IF($E465="男",LOOKUP(F465,[1]对照表!$E$3:$E$24,[1]对照表!$H$3:$H$24),LOOKUP(F465,[1]对照表!$E$27:$E$48,[1]对照表!$H$27:$H$48)))))</f>
        <v>78</v>
      </c>
      <c r="H465" s="38">
        <v>20.6</v>
      </c>
      <c r="I465" s="32">
        <f>IF(B465="高三",IF($E465="男",LOOKUP(H465,[1]对照表!$K$3:$K$24,[1]对照表!$L$3:$L$24),LOOKUP(H465,[1]对照表!$K$27:$K$48,[1]对照表!$L$27:$L$48)),IF(B465="高二",IF($E465="男",LOOKUP(H465,[1]对照表!$J$3:$J$24,[1]对照表!$L$3:$L$24),LOOKUP(H465,[1]对照表!$J$27:$J$48,[1]对照表!$L$27:$L$48)),IF(B465="高一",IF($E465="男",LOOKUP(H465,[1]对照表!$I$3:$I$24,[1]对照表!$L$3:$L$24),LOOKUP(H465,[1]对照表!$I$27:$I$48,[1]对照表!$L$27:$L$48)))))</f>
        <v>85</v>
      </c>
      <c r="J465" s="38">
        <v>180</v>
      </c>
      <c r="K465" s="32">
        <f>IF(B465="高三",IF($E465="男",LOOKUP(J465,[1]对照表!$O$3:$O$24,[1]对照表!$P$3:$P$24),LOOKUP(J465,[1]对照表!$O$27:$O$48,[1]对照表!$P$27:$P$48)),IF(B465="高二",IF($E465="男",LOOKUP(J465,[1]对照表!$N$3:$N$24,[1]对照表!$P$3:$P$24),LOOKUP(J465,[1]对照表!$N$27:$N$48,[1]对照表!$P$27:$P$48)),IF(B465="高一",IF($E465="男",LOOKUP(J465,[1]对照表!$M$3:$M$24,[1]对照表!$P$3:$P$24),LOOKUP(J465,[1]对照表!$M$27:$M$48,[1]对照表!$P$27:$P$48)))))</f>
        <v>80</v>
      </c>
      <c r="L465" s="38">
        <v>50</v>
      </c>
      <c r="M465" s="32">
        <f>IF(B465="高三",IF($E465="男",LOOKUP(L465,[1]对照表!$S$3:$S$24,[1]对照表!$T$3:$T$24),LOOKUP(L465,[1]对照表!$S$27:$S$48,[1]对照表!$T$27:$T$48)),IF(B465="高二",IF($E465="男",LOOKUP(L465,[1]对照表!$R$3:$R$24,[1]对照表!$T$3:$T$24),LOOKUP(L465,[1]对照表!$R$27:$R$48,[1]对照表!$T$27:$T$48)),IF(B465="高一",IF($E465="男",LOOKUP(L465,[1]对照表!$Q$3:$Q$24,[1]对照表!$T$3:$T$24),LOOKUP(L465,[1]对照表!$Q$27:$Q$48,[1]对照表!$T$27:$T$48)))))</f>
        <v>90</v>
      </c>
      <c r="N465" s="33">
        <f>IF(B465="高三",MAX(IF(E465="男",L465-18,L465-55),0),IF(B465="高二",MAX(IF(E465="男",L465-17,L465-54),0),IF(B465="高一",MAX(IF(E465="男",L465-16,L465-53),0))))</f>
        <v>0</v>
      </c>
      <c r="O465" s="23">
        <f>IF(E465="男",LOOKUP($N465,[1]对照表!$Z$3:$Z$13,[1]对照表!$AA$3:$AA$13),LOOKUP($N465,[1]对照表!$Z$15:$Z$25,[1]对照表!$AA$15:$AA$25))</f>
        <v>0</v>
      </c>
      <c r="P465" s="25">
        <f>M465+O465</f>
        <v>90</v>
      </c>
      <c r="Q465" s="38">
        <v>3.38</v>
      </c>
      <c r="R465" s="32">
        <f>IF(B465="高三",IF($E465="男",LOOKUP(Q465,[1]对照表!$W$3:$W$24,[1]对照表!$X$3:$X$24),LOOKUP(Q465,[1]对照表!$W$27:$W$48,[1]对照表!$X$27:$X$48)),IF(B465="高二",IF($E465="男",LOOKUP(Q465,[1]对照表!$V$3:$V$24,[1]对照表!$X$3:$X$24),LOOKUP(Q465,[1]对照表!$V$27:$V$48,[1]对照表!$X$27:$X$48)),IF(B465="高一",IF($E465="男",LOOKUP(Q465,[1]对照表!$U$3:$U$24,[1]对照表!$X$3:$X$24),LOOKUP(Q465,[1]对照表!$U$27:$U$48,[1]对照表!$X$27:$X$48)))))</f>
        <v>85</v>
      </c>
      <c r="S465" s="33">
        <f>ROUND(IF(IF($B465="高三",MIN(IF($E465="男",$Q465-3.2,$Q465-3.2),0),IF($B465="高二",MIN(IF($E465="男",$Q465-3.25,$Q465-3.22),0),IF($B465="高一",MIN(IF($E465="男",$Q465-3.3,$Q465-3.24),0))))&lt;-0.6,IF($B465="高三",MIN(IF($E465="男",$Q465-3.2,$Q465-3.2),0),IF($B465="高二",MIN(IF($E465="男",$Q465-3.25,$Q465-3.22),0),IF($B465="高一",MIN(IF($E465="男",$Q465-3.3,$Q465-3.24),0))))+0.4,IF($B465="高三",MIN(IF($E465="男",$Q465-3.2,$Q465-3.2),0),IF($B465="高二",MIN(IF($E465="男",$Q465-3.25,$Q465-3.22),0),IF($B465="高一",MIN(IF($E465="男",$Q465-3.3,$Q465-3.24),0))))),2)</f>
        <v>0</v>
      </c>
      <c r="T465" s="23">
        <f>IF(E465="男",LOOKUP($S465,[1]对照表!$AB$3:$AB$13,[1]对照表!$AC$3:$AC$13),LOOKUP($S465,[1]对照表!$AB$15:$AB$25,[1]对照表!$AC$15:$AC$25))</f>
        <v>0</v>
      </c>
      <c r="U465" s="26">
        <f>R465+T465</f>
        <v>85</v>
      </c>
      <c r="V465" s="26">
        <f>SUM(I465,K465,M465)/3*0.3+SUM(G465,R465)/2*0.4</f>
        <v>58.1</v>
      </c>
      <c r="W465" s="27">
        <f>O465+T465</f>
        <v>0</v>
      </c>
      <c r="X465" s="28">
        <f>V465/0.7+W465</f>
        <v>83.000000000000014</v>
      </c>
      <c r="Y465" s="28">
        <f>X465</f>
        <v>83.000000000000014</v>
      </c>
      <c r="Z465" s="38"/>
    </row>
    <row r="466" spans="1:26" ht="15.6" x14ac:dyDescent="0.25">
      <c r="A466" s="48">
        <v>31</v>
      </c>
      <c r="B466" s="17" t="s">
        <v>767</v>
      </c>
      <c r="C466" s="48">
        <v>211</v>
      </c>
      <c r="D466" s="49" t="s">
        <v>1012</v>
      </c>
      <c r="E466" s="48" t="s">
        <v>65</v>
      </c>
      <c r="F466" s="38">
        <v>8.41</v>
      </c>
      <c r="G466" s="32">
        <f>IF(B466="高三",IF($E466="男",LOOKUP(F466,[1]对照表!$G$3:$G$24,[1]对照表!$H$3:$H$24),LOOKUP(F466,[1]对照表!$G$27:$G$48,[1]对照表!$H$27:$H$48)),IF(B466="高二",IF($E466="男",LOOKUP(F466,[1]对照表!$F$3:$F$24,[1]对照表!$H$3:$H$24),LOOKUP(F466,[1]对照表!$F$27:$F$48,[1]对照表!$H$27:$H$48)),IF(B466="高一",IF($E466="男",LOOKUP(F466,[1]对照表!$E$3:$E$24,[1]对照表!$H$3:$H$24),LOOKUP(F466,[1]对照表!$E$27:$E$48,[1]对照表!$H$27:$H$48)))))</f>
        <v>80</v>
      </c>
      <c r="H466" s="38">
        <v>16</v>
      </c>
      <c r="I466" s="32">
        <f>IF(B466="高三",IF($E466="男",LOOKUP(H466,[1]对照表!$K$3:$K$24,[1]对照表!$L$3:$L$24),LOOKUP(H466,[1]对照表!$K$27:$K$48,[1]对照表!$L$27:$L$48)),IF(B466="高二",IF($E466="男",LOOKUP(H466,[1]对照表!$J$3:$J$24,[1]对照表!$L$3:$L$24),LOOKUP(H466,[1]对照表!$J$27:$J$48,[1]对照表!$L$27:$L$48)),IF(B466="高一",IF($E466="男",LOOKUP(H466,[1]对照表!$I$3:$I$24,[1]对照表!$L$3:$L$24),LOOKUP(H466,[1]对照表!$I$27:$I$48,[1]对照表!$L$27:$L$48)))))</f>
        <v>76</v>
      </c>
      <c r="J466" s="38">
        <v>205</v>
      </c>
      <c r="K466" s="32">
        <f>IF(B466="高三",IF($E466="男",LOOKUP(J466,[1]对照表!$O$3:$O$24,[1]对照表!$P$3:$P$24),LOOKUP(J466,[1]对照表!$O$27:$O$48,[1]对照表!$P$27:$P$48)),IF(B466="高二",IF($E466="男",LOOKUP(J466,[1]对照表!$N$3:$N$24,[1]对照表!$P$3:$P$24),LOOKUP(J466,[1]对照表!$N$27:$N$48,[1]对照表!$P$27:$P$48)),IF(B466="高一",IF($E466="男",LOOKUP(J466,[1]对照表!$M$3:$M$24,[1]对照表!$P$3:$P$24),LOOKUP(J466,[1]对照表!$M$27:$M$48,[1]对照表!$P$27:$P$48)))))</f>
        <v>100</v>
      </c>
      <c r="L466" s="38">
        <v>47</v>
      </c>
      <c r="M466" s="32">
        <f>IF(B466="高三",IF($E466="男",LOOKUP(L466,[1]对照表!$S$3:$S$24,[1]对照表!$T$3:$T$24),LOOKUP(L466,[1]对照表!$S$27:$S$48,[1]对照表!$T$27:$T$48)),IF(B466="高二",IF($E466="男",LOOKUP(L466,[1]对照表!$R$3:$R$24,[1]对照表!$T$3:$T$24),LOOKUP(L466,[1]对照表!$R$27:$R$48,[1]对照表!$T$27:$T$48)),IF(B466="高一",IF($E466="男",LOOKUP(L466,[1]对照表!$Q$3:$Q$24,[1]对照表!$T$3:$T$24),LOOKUP(L466,[1]对照表!$Q$27:$Q$48,[1]对照表!$T$27:$T$48)))))</f>
        <v>85</v>
      </c>
      <c r="N466" s="33">
        <f>IF(B466="高三",MAX(IF(E466="男",L466-18,L466-55),0),IF(B466="高二",MAX(IF(E466="男",L466-17,L466-54),0),IF(B466="高一",MAX(IF(E466="男",L466-16,L466-53),0))))</f>
        <v>0</v>
      </c>
      <c r="O466" s="23">
        <f>IF(E466="男",LOOKUP($N466,[1]对照表!$Z$3:$Z$13,[1]对照表!$AA$3:$AA$13),LOOKUP($N466,[1]对照表!$Z$15:$Z$25,[1]对照表!$AA$15:$AA$25))</f>
        <v>0</v>
      </c>
      <c r="P466" s="25">
        <f>M466+O466</f>
        <v>85</v>
      </c>
      <c r="Q466" s="38">
        <v>3.52</v>
      </c>
      <c r="R466" s="32">
        <f>IF(B466="高三",IF($E466="男",LOOKUP(Q466,[1]对照表!$W$3:$W$24,[1]对照表!$X$3:$X$24),LOOKUP(Q466,[1]对照表!$W$27:$W$48,[1]对照表!$X$27:$X$48)),IF(B466="高二",IF($E466="男",LOOKUP(Q466,[1]对照表!$V$3:$V$24,[1]对照表!$X$3:$X$24),LOOKUP(Q466,[1]对照表!$V$27:$V$48,[1]对照表!$X$27:$X$48)),IF(B466="高一",IF($E466="男",LOOKUP(Q466,[1]对照表!$U$3:$U$24,[1]对照表!$X$3:$X$24),LOOKUP(Q466,[1]对照表!$U$27:$U$48,[1]对照表!$X$27:$X$48)))))</f>
        <v>78</v>
      </c>
      <c r="S466" s="33">
        <f>ROUND(IF(IF($B466="高三",MIN(IF($E466="男",$Q466-3.2,$Q466-3.2),0),IF($B466="高二",MIN(IF($E466="男",$Q466-3.25,$Q466-3.22),0),IF($B466="高一",MIN(IF($E466="男",$Q466-3.3,$Q466-3.24),0))))&lt;-0.6,IF($B466="高三",MIN(IF($E466="男",$Q466-3.2,$Q466-3.2),0),IF($B466="高二",MIN(IF($E466="男",$Q466-3.25,$Q466-3.22),0),IF($B466="高一",MIN(IF($E466="男",$Q466-3.3,$Q466-3.24),0))))+0.4,IF($B466="高三",MIN(IF($E466="男",$Q466-3.2,$Q466-3.2),0),IF($B466="高二",MIN(IF($E466="男",$Q466-3.25,$Q466-3.22),0),IF($B466="高一",MIN(IF($E466="男",$Q466-3.3,$Q466-3.24),0))))),2)</f>
        <v>0</v>
      </c>
      <c r="T466" s="23">
        <f>IF(E466="男",LOOKUP($S466,[1]对照表!$AB$3:$AB$13,[1]对照表!$AC$3:$AC$13),LOOKUP($S466,[1]对照表!$AB$15:$AB$25,[1]对照表!$AC$15:$AC$25))</f>
        <v>0</v>
      </c>
      <c r="U466" s="26">
        <f>R466+T466</f>
        <v>78</v>
      </c>
      <c r="V466" s="26">
        <f>SUM(I466,K466,M466)/3*0.3+SUM(G466,R466)/2*0.4</f>
        <v>57.7</v>
      </c>
      <c r="W466" s="27">
        <f>O466+T466</f>
        <v>0</v>
      </c>
      <c r="X466" s="28">
        <f>V466/0.7+W466</f>
        <v>82.428571428571445</v>
      </c>
      <c r="Y466" s="28">
        <f>X466</f>
        <v>82.428571428571445</v>
      </c>
      <c r="Z466" s="38"/>
    </row>
    <row r="467" spans="1:26" ht="15.6" x14ac:dyDescent="0.25">
      <c r="A467" s="38">
        <v>7</v>
      </c>
      <c r="B467" s="17" t="s">
        <v>767</v>
      </c>
      <c r="C467" s="48">
        <v>211</v>
      </c>
      <c r="D467" s="49" t="s">
        <v>1034</v>
      </c>
      <c r="E467" s="48" t="s">
        <v>23</v>
      </c>
      <c r="F467" s="38">
        <v>7.1</v>
      </c>
      <c r="G467" s="32">
        <f>IF(B467="高三",IF($E467="男",LOOKUP(F467,[1]对照表!$G$3:$G$24,[1]对照表!$H$3:$H$24),LOOKUP(F467,[1]对照表!$G$27:$G$48,[1]对照表!$H$27:$H$48)),IF(B467="高二",IF($E467="男",LOOKUP(F467,[1]对照表!$F$3:$F$24,[1]对照表!$H$3:$H$24),LOOKUP(F467,[1]对照表!$F$27:$F$48,[1]对照表!$H$27:$H$48)),IF(B467="高一",IF($E467="男",LOOKUP(F467,[1]对照表!$E$3:$E$24,[1]对照表!$H$3:$H$24),LOOKUP(F467,[1]对照表!$E$27:$E$48,[1]对照表!$H$27:$H$48)))))</f>
        <v>95</v>
      </c>
      <c r="H467" s="38">
        <v>27.4</v>
      </c>
      <c r="I467" s="32">
        <f>IF(B467="高三",IF($E467="男",LOOKUP(H467,[1]对照表!$K$3:$K$24,[1]对照表!$L$3:$L$24),LOOKUP(H467,[1]对照表!$K$27:$K$48,[1]对照表!$L$27:$L$48)),IF(B467="高二",IF($E467="男",LOOKUP(H467,[1]对照表!$J$3:$J$24,[1]对照表!$L$3:$L$24),LOOKUP(H467,[1]对照表!$J$27:$J$48,[1]对照表!$L$27:$L$48)),IF(B467="高一",IF($E467="男",LOOKUP(H467,[1]对照表!$I$3:$I$24,[1]对照表!$L$3:$L$24),LOOKUP(H467,[1]对照表!$I$27:$I$48,[1]对照表!$L$27:$L$48)))))</f>
        <v>100</v>
      </c>
      <c r="J467" s="38">
        <v>265</v>
      </c>
      <c r="K467" s="32">
        <f>IF(B467="高三",IF($E467="男",LOOKUP(J467,[1]对照表!$O$3:$O$24,[1]对照表!$P$3:$P$24),LOOKUP(J467,[1]对照表!$O$27:$O$48,[1]对照表!$P$27:$P$48)),IF(B467="高二",IF($E467="男",LOOKUP(J467,[1]对照表!$N$3:$N$24,[1]对照表!$P$3:$P$24),LOOKUP(J467,[1]对照表!$N$27:$N$48,[1]对照表!$P$27:$P$48)),IF(B467="高一",IF($E467="男",LOOKUP(J467,[1]对照表!$M$3:$M$24,[1]对照表!$P$3:$P$24),LOOKUP(J467,[1]对照表!$M$27:$M$48,[1]对照表!$P$27:$P$48)))))</f>
        <v>100</v>
      </c>
      <c r="L467" s="38">
        <v>10</v>
      </c>
      <c r="M467" s="32">
        <f>IF(B467="高三",IF($E467="男",LOOKUP(L467,[1]对照表!$S$3:$S$24,[1]对照表!$T$3:$T$24),LOOKUP(L467,[1]对照表!$S$27:$S$48,[1]对照表!$T$27:$T$48)),IF(B467="高二",IF($E467="男",LOOKUP(L467,[1]对照表!$R$3:$R$24,[1]对照表!$T$3:$T$24),LOOKUP(L467,[1]对照表!$R$27:$R$48,[1]对照表!$T$27:$T$48)),IF(B467="高一",IF($E467="男",LOOKUP(L467,[1]对照表!$Q$3:$Q$24,[1]对照表!$T$3:$T$24),LOOKUP(L467,[1]对照表!$Q$27:$Q$48,[1]对照表!$T$27:$T$48)))))</f>
        <v>68</v>
      </c>
      <c r="N467" s="33">
        <f>IF(B467="高三",MAX(IF(E467="男",L467-18,L467-55),0),IF(B467="高二",MAX(IF(E467="男",L467-17,L467-54),0),IF(B467="高一",MAX(IF(E467="男",L467-16,L467-53),0))))</f>
        <v>0</v>
      </c>
      <c r="O467" s="23">
        <f>IF(E467="男",LOOKUP($N467,[1]对照表!$Z$3:$Z$13,[1]对照表!$AA$3:$AA$13),LOOKUP($N467,[1]对照表!$Z$15:$Z$25,[1]对照表!$AA$15:$AA$25))</f>
        <v>0</v>
      </c>
      <c r="P467" s="25">
        <f>M467+O467</f>
        <v>68</v>
      </c>
      <c r="Q467" s="38">
        <v>3.47</v>
      </c>
      <c r="R467" s="32">
        <f>IF(B467="高三",IF($E467="男",LOOKUP(Q467,[1]对照表!$W$3:$W$24,[1]对照表!$X$3:$X$24),LOOKUP(Q467,[1]对照表!$W$27:$W$48,[1]对照表!$X$27:$X$48)),IF(B467="高二",IF($E467="男",LOOKUP(Q467,[1]对照表!$V$3:$V$24,[1]对照表!$X$3:$X$24),LOOKUP(Q467,[1]对照表!$V$27:$V$48,[1]对照表!$X$27:$X$48)),IF(B467="高一",IF($E467="男",LOOKUP(Q467,[1]对照表!$U$3:$U$24,[1]对照表!$X$3:$X$24),LOOKUP(Q467,[1]对照表!$U$27:$U$48,[1]对照表!$X$27:$X$48)))))</f>
        <v>80</v>
      </c>
      <c r="S467" s="33">
        <f>ROUND(IF(IF($B467="高三",MIN(IF($E467="男",$Q467-3.2,$Q467-3.2),0),IF($B467="高二",MIN(IF($E467="男",$Q467-3.25,$Q467-3.22),0),IF($B467="高一",MIN(IF($E467="男",$Q467-3.3,$Q467-3.24),0))))&lt;-0.6,IF($B467="高三",MIN(IF($E467="男",$Q467-3.2,$Q467-3.2),0),IF($B467="高二",MIN(IF($E467="男",$Q467-3.25,$Q467-3.22),0),IF($B467="高一",MIN(IF($E467="男",$Q467-3.3,$Q467-3.24),0))))+0.4,IF($B467="高三",MIN(IF($E467="男",$Q467-3.2,$Q467-3.2),0),IF($B467="高二",MIN(IF($E467="男",$Q467-3.25,$Q467-3.22),0),IF($B467="高一",MIN(IF($E467="男",$Q467-3.3,$Q467-3.24),0))))),2)</f>
        <v>0</v>
      </c>
      <c r="T467" s="23">
        <f>IF(E467="男",LOOKUP($S467,[1]对照表!$AB$3:$AB$13,[1]对照表!$AC$3:$AC$13),LOOKUP($S467,[1]对照表!$AB$15:$AB$25,[1]对照表!$AC$15:$AC$25))</f>
        <v>0</v>
      </c>
      <c r="U467" s="26">
        <f>R467+T467</f>
        <v>80</v>
      </c>
      <c r="V467" s="26">
        <f>SUM(I467,K467,M467)/3*0.3+SUM(G467,R467)/2*0.4</f>
        <v>61.8</v>
      </c>
      <c r="W467" s="27">
        <f>O467+T467</f>
        <v>0</v>
      </c>
      <c r="X467" s="28">
        <f>V467/0.7+W467</f>
        <v>88.285714285714292</v>
      </c>
      <c r="Y467" s="28">
        <f>X467</f>
        <v>88.285714285714292</v>
      </c>
      <c r="Z467" s="38"/>
    </row>
    <row r="468" spans="1:26" ht="15.6" x14ac:dyDescent="0.25">
      <c r="A468" s="48">
        <v>12</v>
      </c>
      <c r="B468" s="17" t="s">
        <v>767</v>
      </c>
      <c r="C468" s="48">
        <v>211</v>
      </c>
      <c r="D468" s="49" t="s">
        <v>1049</v>
      </c>
      <c r="E468" s="48" t="s">
        <v>23</v>
      </c>
      <c r="F468" s="38">
        <v>7.1</v>
      </c>
      <c r="G468" s="32">
        <f>IF(B468="高三",IF($E468="男",LOOKUP(F468,[1]对照表!$G$3:$G$24,[1]对照表!$H$3:$H$24),LOOKUP(F468,[1]对照表!$G$27:$G$48,[1]对照表!$H$27:$H$48)),IF(B468="高二",IF($E468="男",LOOKUP(F468,[1]对照表!$F$3:$F$24,[1]对照表!$H$3:$H$24),LOOKUP(F468,[1]对照表!$F$27:$F$48,[1]对照表!$H$27:$H$48)),IF(B468="高一",IF($E468="男",LOOKUP(F468,[1]对照表!$E$3:$E$24,[1]对照表!$H$3:$H$24),LOOKUP(F468,[1]对照表!$E$27:$E$48,[1]对照表!$H$27:$H$48)))))</f>
        <v>95</v>
      </c>
      <c r="H468" s="38">
        <v>24</v>
      </c>
      <c r="I468" s="32">
        <f>IF(B468="高三",IF($E468="男",LOOKUP(H468,[1]对照表!$K$3:$K$24,[1]对照表!$L$3:$L$24),LOOKUP(H468,[1]对照表!$K$27:$K$48,[1]对照表!$L$27:$L$48)),IF(B468="高二",IF($E468="男",LOOKUP(H468,[1]对照表!$J$3:$J$24,[1]对照表!$L$3:$L$24),LOOKUP(H468,[1]对照表!$J$27:$J$48,[1]对照表!$L$27:$L$48)),IF(B468="高一",IF($E468="男",LOOKUP(H468,[1]对照表!$I$3:$I$24,[1]对照表!$L$3:$L$24),LOOKUP(H468,[1]对照表!$I$27:$I$48,[1]对照表!$L$27:$L$48)))))</f>
        <v>95</v>
      </c>
      <c r="J468" s="38">
        <v>260</v>
      </c>
      <c r="K468" s="32">
        <f>IF(B468="高三",IF($E468="男",LOOKUP(J468,[1]对照表!$O$3:$O$24,[1]对照表!$P$3:$P$24),LOOKUP(J468,[1]对照表!$O$27:$O$48,[1]对照表!$P$27:$P$48)),IF(B468="高二",IF($E468="男",LOOKUP(J468,[1]对照表!$N$3:$N$24,[1]对照表!$P$3:$P$24),LOOKUP(J468,[1]对照表!$N$27:$N$48,[1]对照表!$P$27:$P$48)),IF(B468="高一",IF($E468="男",LOOKUP(J468,[1]对照表!$M$3:$M$24,[1]对照表!$P$3:$P$24),LOOKUP(J468,[1]对照表!$M$27:$M$48,[1]对照表!$P$27:$P$48)))))</f>
        <v>95</v>
      </c>
      <c r="L468" s="38">
        <v>3</v>
      </c>
      <c r="M468" s="32">
        <f>IF(B468="高三",IF($E468="男",LOOKUP(L468,[1]对照表!$S$3:$S$24,[1]对照表!$T$3:$T$24),LOOKUP(L468,[1]对照表!$S$27:$S$48,[1]对照表!$T$27:$T$48)),IF(B468="高二",IF($E468="男",LOOKUP(L468,[1]对照表!$R$3:$R$24,[1]对照表!$T$3:$T$24),LOOKUP(L468,[1]对照表!$R$27:$R$48,[1]对照表!$T$27:$T$48)),IF(B468="高一",IF($E468="男",LOOKUP(L468,[1]对照表!$Q$3:$Q$24,[1]对照表!$T$3:$T$24),LOOKUP(L468,[1]对照表!$Q$27:$Q$48,[1]对照表!$T$27:$T$48)))))</f>
        <v>10</v>
      </c>
      <c r="N468" s="33">
        <f>IF(B468="高三",MAX(IF(E468="男",L468-18,L468-55),0),IF(B468="高二",MAX(IF(E468="男",L468-17,L468-54),0),IF(B468="高一",MAX(IF(E468="男",L468-16,L468-53),0))))</f>
        <v>0</v>
      </c>
      <c r="O468" s="23">
        <f>IF(E468="男",LOOKUP($N468,[1]对照表!$Z$3:$Z$13,[1]对照表!$AA$3:$AA$13),LOOKUP($N468,[1]对照表!$Z$15:$Z$25,[1]对照表!$AA$15:$AA$25))</f>
        <v>0</v>
      </c>
      <c r="P468" s="25">
        <f>M468+O468</f>
        <v>10</v>
      </c>
      <c r="Q468" s="38">
        <v>3.13</v>
      </c>
      <c r="R468" s="32">
        <f>IF(B468="高三",IF($E468="男",LOOKUP(Q468,[1]对照表!$W$3:$W$24,[1]对照表!$X$3:$X$24),LOOKUP(Q468,[1]对照表!$W$27:$W$48,[1]对照表!$X$27:$X$48)),IF(B468="高二",IF($E468="男",LOOKUP(Q468,[1]对照表!$V$3:$V$24,[1]对照表!$X$3:$X$24),LOOKUP(Q468,[1]对照表!$V$27:$V$48,[1]对照表!$X$27:$X$48)),IF(B468="高一",IF($E468="男",LOOKUP(Q468,[1]对照表!$U$3:$U$24,[1]对照表!$X$3:$X$24),LOOKUP(Q468,[1]对照表!$U$27:$U$48,[1]对照表!$X$27:$X$48)))))</f>
        <v>100</v>
      </c>
      <c r="S468" s="33">
        <f>ROUND(IF(IF($B468="高三",MIN(IF($E468="男",$Q468-3.2,$Q468-3.2),0),IF($B468="高二",MIN(IF($E468="男",$Q468-3.25,$Q468-3.22),0),IF($B468="高一",MIN(IF($E468="男",$Q468-3.3,$Q468-3.24),0))))&lt;-0.6,IF($B468="高三",MIN(IF($E468="男",$Q468-3.2,$Q468-3.2),0),IF($B468="高二",MIN(IF($E468="男",$Q468-3.25,$Q468-3.22),0),IF($B468="高一",MIN(IF($E468="男",$Q468-3.3,$Q468-3.24),0))))+0.4,IF($B468="高三",MIN(IF($E468="男",$Q468-3.2,$Q468-3.2),0),IF($B468="高二",MIN(IF($E468="男",$Q468-3.25,$Q468-3.22),0),IF($B468="高一",MIN(IF($E468="男",$Q468-3.3,$Q468-3.24),0))))),2)</f>
        <v>-0.12</v>
      </c>
      <c r="T468" s="23">
        <f>IF(E468="男",LOOKUP($S468,[1]对照表!$AB$3:$AB$13,[1]对照表!$AC$3:$AC$13),LOOKUP($S468,[1]对照表!$AB$15:$AB$25,[1]对照表!$AC$15:$AC$25))</f>
        <v>3</v>
      </c>
      <c r="U468" s="26">
        <f>R468+T468</f>
        <v>103</v>
      </c>
      <c r="V468" s="26">
        <f>SUM(I468,K468,M468)/3*0.3+SUM(G468,R468)/2*0.4</f>
        <v>59</v>
      </c>
      <c r="W468" s="27">
        <f>O468+T468</f>
        <v>3</v>
      </c>
      <c r="X468" s="28">
        <f>V468/0.7+W468</f>
        <v>87.285714285714292</v>
      </c>
      <c r="Y468" s="28">
        <f>X468</f>
        <v>87.285714285714292</v>
      </c>
      <c r="Z468" s="38"/>
    </row>
    <row r="469" spans="1:26" ht="15.6" x14ac:dyDescent="0.25">
      <c r="A469" s="48">
        <v>15</v>
      </c>
      <c r="B469" s="17" t="s">
        <v>767</v>
      </c>
      <c r="C469" s="48">
        <v>211</v>
      </c>
      <c r="D469" s="49" t="s">
        <v>1067</v>
      </c>
      <c r="E469" s="48" t="s">
        <v>23</v>
      </c>
      <c r="F469" s="38">
        <v>7.4</v>
      </c>
      <c r="G469" s="32">
        <f>IF(B469="高三",IF($E469="男",LOOKUP(F469,[1]对照表!$G$3:$G$24,[1]对照表!$H$3:$H$24),LOOKUP(F469,[1]对照表!$G$27:$G$48,[1]对照表!$H$27:$H$48)),IF(B469="高二",IF($E469="男",LOOKUP(F469,[1]对照表!$F$3:$F$24,[1]对照表!$H$3:$H$24),LOOKUP(F469,[1]对照表!$F$27:$F$48,[1]对照表!$H$27:$H$48)),IF(B469="高一",IF($E469="男",LOOKUP(F469,[1]对照表!$E$3:$E$24,[1]对照表!$H$3:$H$24),LOOKUP(F469,[1]对照表!$E$27:$E$48,[1]对照表!$H$27:$H$48)))))</f>
        <v>80</v>
      </c>
      <c r="H469" s="38">
        <v>13.5</v>
      </c>
      <c r="I469" s="32">
        <f>IF(B469="高三",IF($E469="男",LOOKUP(H469,[1]对照表!$K$3:$K$24,[1]对照表!$L$3:$L$24),LOOKUP(H469,[1]对照表!$K$27:$K$48,[1]对照表!$L$27:$L$48)),IF(B469="高二",IF($E469="男",LOOKUP(H469,[1]对照表!$J$3:$J$24,[1]对照表!$L$3:$L$24),LOOKUP(H469,[1]对照表!$J$27:$J$48,[1]对照表!$L$27:$L$48)),IF(B469="高一",IF($E469="男",LOOKUP(H469,[1]对照表!$I$3:$I$24,[1]对照表!$L$3:$L$24),LOOKUP(H469,[1]对照表!$I$27:$I$48,[1]对照表!$L$27:$L$48)))))</f>
        <v>76</v>
      </c>
      <c r="J469" s="38">
        <v>257</v>
      </c>
      <c r="K469" s="32">
        <f>IF(B469="高三",IF($E469="男",LOOKUP(J469,[1]对照表!$O$3:$O$24,[1]对照表!$P$3:$P$24),LOOKUP(J469,[1]对照表!$O$27:$O$48,[1]对照表!$P$27:$P$48)),IF(B469="高二",IF($E469="男",LOOKUP(J469,[1]对照表!$N$3:$N$24,[1]对照表!$P$3:$P$24),LOOKUP(J469,[1]对照表!$N$27:$N$48,[1]对照表!$P$27:$P$48)),IF(B469="高一",IF($E469="男",LOOKUP(J469,[1]对照表!$M$3:$M$24,[1]对照表!$P$3:$P$24),LOOKUP(J469,[1]对照表!$M$27:$M$48,[1]对照表!$P$27:$P$48)))))</f>
        <v>90</v>
      </c>
      <c r="L469" s="38">
        <v>11</v>
      </c>
      <c r="M469" s="32">
        <f>IF(B469="高三",IF($E469="男",LOOKUP(L469,[1]对照表!$S$3:$S$24,[1]对照表!$T$3:$T$24),LOOKUP(L469,[1]对照表!$S$27:$S$48,[1]对照表!$T$27:$T$48)),IF(B469="高二",IF($E469="男",LOOKUP(L469,[1]对照表!$R$3:$R$24,[1]对照表!$T$3:$T$24),LOOKUP(L469,[1]对照表!$R$27:$R$48,[1]对照表!$T$27:$T$48)),IF(B469="高一",IF($E469="男",LOOKUP(L469,[1]对照表!$Q$3:$Q$24,[1]对照表!$T$3:$T$24),LOOKUP(L469,[1]对照表!$Q$27:$Q$48,[1]对照表!$T$27:$T$48)))))</f>
        <v>72</v>
      </c>
      <c r="N469" s="33">
        <f>IF(B469="高三",MAX(IF(E469="男",L469-18,L469-55),0),IF(B469="高二",MAX(IF(E469="男",L469-17,L469-54),0),IF(B469="高一",MAX(IF(E469="男",L469-16,L469-53),0))))</f>
        <v>0</v>
      </c>
      <c r="O469" s="23">
        <f>IF(E469="男",LOOKUP($N469,[1]对照表!$Z$3:$Z$13,[1]对照表!$AA$3:$AA$13),LOOKUP($N469,[1]对照表!$Z$15:$Z$25,[1]对照表!$AA$15:$AA$25))</f>
        <v>0</v>
      </c>
      <c r="P469" s="25">
        <f>M469+O469</f>
        <v>72</v>
      </c>
      <c r="Q469" s="38">
        <v>3.2</v>
      </c>
      <c r="R469" s="32">
        <f>IF(B469="高三",IF($E469="男",LOOKUP(Q469,[1]对照表!$W$3:$W$24,[1]对照表!$X$3:$X$24),LOOKUP(Q469,[1]对照表!$W$27:$W$48,[1]对照表!$X$27:$X$48)),IF(B469="高二",IF($E469="男",LOOKUP(Q469,[1]对照表!$V$3:$V$24,[1]对照表!$X$3:$X$24),LOOKUP(Q469,[1]对照表!$V$27:$V$48,[1]对照表!$X$27:$X$48)),IF(B469="高一",IF($E469="男",LOOKUP(Q469,[1]对照表!$U$3:$U$24,[1]对照表!$X$3:$X$24),LOOKUP(Q469,[1]对照表!$U$27:$U$48,[1]对照表!$X$27:$X$48)))))</f>
        <v>100</v>
      </c>
      <c r="S469" s="33">
        <f>ROUND(IF(IF($B469="高三",MIN(IF($E469="男",$Q469-3.2,$Q469-3.2),0),IF($B469="高二",MIN(IF($E469="男",$Q469-3.25,$Q469-3.22),0),IF($B469="高一",MIN(IF($E469="男",$Q469-3.3,$Q469-3.24),0))))&lt;-0.6,IF($B469="高三",MIN(IF($E469="男",$Q469-3.2,$Q469-3.2),0),IF($B469="高二",MIN(IF($E469="男",$Q469-3.25,$Q469-3.22),0),IF($B469="高一",MIN(IF($E469="男",$Q469-3.3,$Q469-3.24),0))))+0.4,IF($B469="高三",MIN(IF($E469="男",$Q469-3.2,$Q469-3.2),0),IF($B469="高二",MIN(IF($E469="男",$Q469-3.25,$Q469-3.22),0),IF($B469="高一",MIN(IF($E469="男",$Q469-3.3,$Q469-3.24),0))))),2)</f>
        <v>-0.05</v>
      </c>
      <c r="T469" s="23">
        <f>IF(E469="男",LOOKUP($S469,[1]对照表!$AB$3:$AB$13,[1]对照表!$AC$3:$AC$13),LOOKUP($S469,[1]对照表!$AB$15:$AB$25,[1]对照表!$AC$15:$AC$25))</f>
        <v>1</v>
      </c>
      <c r="U469" s="26">
        <f>R469+T469</f>
        <v>101</v>
      </c>
      <c r="V469" s="26">
        <f>SUM(I469,K469,M469)/3*0.3+SUM(G469,R469)/2*0.4</f>
        <v>59.8</v>
      </c>
      <c r="W469" s="27">
        <f>O469+T469</f>
        <v>1</v>
      </c>
      <c r="X469" s="28">
        <f>V469/0.7+W469</f>
        <v>86.428571428571431</v>
      </c>
      <c r="Y469" s="28">
        <f>X469</f>
        <v>86.428571428571431</v>
      </c>
      <c r="Z469" s="38"/>
    </row>
    <row r="470" spans="1:26" ht="15.6" x14ac:dyDescent="0.25">
      <c r="A470" s="48">
        <v>21</v>
      </c>
      <c r="B470" s="17" t="s">
        <v>767</v>
      </c>
      <c r="C470" s="48">
        <v>211</v>
      </c>
      <c r="D470" s="49" t="s">
        <v>1097</v>
      </c>
      <c r="E470" s="48" t="s">
        <v>23</v>
      </c>
      <c r="F470" s="38">
        <v>7.1</v>
      </c>
      <c r="G470" s="32">
        <f>IF(B470="高三",IF($E470="男",LOOKUP(F470,[1]对照表!$G$3:$G$24,[1]对照表!$H$3:$H$24),LOOKUP(F470,[1]对照表!$G$27:$G$48,[1]对照表!$H$27:$H$48)),IF(B470="高二",IF($E470="男",LOOKUP(F470,[1]对照表!$F$3:$F$24,[1]对照表!$H$3:$H$24),LOOKUP(F470,[1]对照表!$F$27:$F$48,[1]对照表!$H$27:$H$48)),IF(B470="高一",IF($E470="男",LOOKUP(F470,[1]对照表!$E$3:$E$24,[1]对照表!$H$3:$H$24),LOOKUP(F470,[1]对照表!$E$27:$E$48,[1]对照表!$H$27:$H$48)))))</f>
        <v>95</v>
      </c>
      <c r="H470" s="38">
        <v>20.5</v>
      </c>
      <c r="I470" s="32">
        <f>IF(B470="高三",IF($E470="男",LOOKUP(H470,[1]对照表!$K$3:$K$24,[1]对照表!$L$3:$L$24),LOOKUP(H470,[1]对照表!$K$27:$K$48,[1]对照表!$L$27:$L$48)),IF(B470="高二",IF($E470="男",LOOKUP(H470,[1]对照表!$J$3:$J$24,[1]对照表!$L$3:$L$24),LOOKUP(H470,[1]对照表!$J$27:$J$48,[1]对照表!$L$27:$L$48)),IF(B470="高一",IF($E470="男",LOOKUP(H470,[1]对照表!$I$3:$I$24,[1]对照表!$L$3:$L$24),LOOKUP(H470,[1]对照表!$I$27:$I$48,[1]对照表!$L$27:$L$48)))))</f>
        <v>90</v>
      </c>
      <c r="J470" s="38">
        <v>260</v>
      </c>
      <c r="K470" s="32">
        <f>IF(B470="高三",IF($E470="男",LOOKUP(J470,[1]对照表!$O$3:$O$24,[1]对照表!$P$3:$P$24),LOOKUP(J470,[1]对照表!$O$27:$O$48,[1]对照表!$P$27:$P$48)),IF(B470="高二",IF($E470="男",LOOKUP(J470,[1]对照表!$N$3:$N$24,[1]对照表!$P$3:$P$24),LOOKUP(J470,[1]对照表!$N$27:$N$48,[1]对照表!$P$27:$P$48)),IF(B470="高一",IF($E470="男",LOOKUP(J470,[1]对照表!$M$3:$M$24,[1]对照表!$P$3:$P$24),LOOKUP(J470,[1]对照表!$M$27:$M$48,[1]对照表!$P$27:$P$48)))))</f>
        <v>95</v>
      </c>
      <c r="L470" s="38">
        <v>9</v>
      </c>
      <c r="M470" s="32">
        <f>IF(B470="高三",IF($E470="男",LOOKUP(L470,[1]对照表!$S$3:$S$24,[1]对照表!$T$3:$T$24),LOOKUP(L470,[1]对照表!$S$27:$S$48,[1]对照表!$T$27:$T$48)),IF(B470="高二",IF($E470="男",LOOKUP(L470,[1]对照表!$R$3:$R$24,[1]对照表!$T$3:$T$24),LOOKUP(L470,[1]对照表!$R$27:$R$48,[1]对照表!$T$27:$T$48)),IF(B470="高一",IF($E470="男",LOOKUP(L470,[1]对照表!$Q$3:$Q$24,[1]对照表!$T$3:$T$24),LOOKUP(L470,[1]对照表!$Q$27:$Q$48,[1]对照表!$T$27:$T$48)))))</f>
        <v>64</v>
      </c>
      <c r="N470" s="33">
        <f>IF(B470="高三",MAX(IF(E470="男",L470-18,L470-55),0),IF(B470="高二",MAX(IF(E470="男",L470-17,L470-54),0),IF(B470="高一",MAX(IF(E470="男",L470-16,L470-53),0))))</f>
        <v>0</v>
      </c>
      <c r="O470" s="23">
        <f>IF(E470="男",LOOKUP($N470,[1]对照表!$Z$3:$Z$13,[1]对照表!$AA$3:$AA$13),LOOKUP($N470,[1]对照表!$Z$15:$Z$25,[1]对照表!$AA$15:$AA$25))</f>
        <v>0</v>
      </c>
      <c r="P470" s="25">
        <f>M470+O470</f>
        <v>64</v>
      </c>
      <c r="Q470" s="38">
        <v>3.48</v>
      </c>
      <c r="R470" s="32">
        <f>IF(B470="高三",IF($E470="男",LOOKUP(Q470,[1]对照表!$W$3:$W$24,[1]对照表!$X$3:$X$24),LOOKUP(Q470,[1]对照表!$W$27:$W$48,[1]对照表!$X$27:$X$48)),IF(B470="高二",IF($E470="男",LOOKUP(Q470,[1]对照表!$V$3:$V$24,[1]对照表!$X$3:$X$24),LOOKUP(Q470,[1]对照表!$V$27:$V$48,[1]对照表!$X$27:$X$48)),IF(B470="高一",IF($E470="男",LOOKUP(Q470,[1]对照表!$U$3:$U$24,[1]对照表!$X$3:$X$24),LOOKUP(Q470,[1]对照表!$U$27:$U$48,[1]对照表!$X$27:$X$48)))))</f>
        <v>80</v>
      </c>
      <c r="S470" s="27">
        <f>ROUND(IF(IF($B470="高三",MIN(IF($E470="男",$Q470-3.2,$Q470-3.2),0),IF($B470="高二",MIN(IF($E470="男",$Q470-3.25,$Q470-3.22),0),IF($B470="高一",MIN(IF($E470="男",$Q470-3.3,$Q470-3.24),0))))&lt;-0.6,IF($B470="高三",MIN(IF($E470="男",$Q470-3.2,$Q470-3.2),0),IF($B470="高二",MIN(IF($E470="男",$Q470-3.25,$Q470-3.22),0),IF($B470="高一",MIN(IF($E470="男",$Q470-3.3,$Q470-3.24),0))))+0.4,IF($B470="高三",MIN(IF($E470="男",$Q470-3.2,$Q470-3.2),0),IF($B470="高二",MIN(IF($E470="男",$Q470-3.25,$Q470-3.22),0),IF($B470="高一",MIN(IF($E470="男",$Q470-3.3,$Q470-3.24),0))))),2)</f>
        <v>0</v>
      </c>
      <c r="T470" s="23">
        <f>IF(E470="男",LOOKUP($S470,[1]对照表!$AB$3:$AB$13,[1]对照表!$AC$3:$AC$13),LOOKUP($S470,[1]对照表!$AB$15:$AB$25,[1]对照表!$AC$15:$AC$25))</f>
        <v>0</v>
      </c>
      <c r="U470" s="26">
        <f>R470+T470</f>
        <v>80</v>
      </c>
      <c r="V470" s="26">
        <f>SUM(I470,K470,M470)/3*0.3+SUM(G470,R470)/2*0.4</f>
        <v>59.9</v>
      </c>
      <c r="W470" s="27">
        <f>O470+T470</f>
        <v>0</v>
      </c>
      <c r="X470" s="28">
        <f>V470/0.7+W470</f>
        <v>85.571428571428569</v>
      </c>
      <c r="Y470" s="28">
        <f>X470</f>
        <v>85.571428571428569</v>
      </c>
      <c r="Z470" s="38"/>
    </row>
    <row r="471" spans="1:26" ht="15.6" x14ac:dyDescent="0.25">
      <c r="A471" s="48">
        <v>32</v>
      </c>
      <c r="B471" s="17" t="s">
        <v>767</v>
      </c>
      <c r="C471" s="48">
        <v>211</v>
      </c>
      <c r="D471" s="49" t="s">
        <v>1099</v>
      </c>
      <c r="E471" s="48" t="s">
        <v>65</v>
      </c>
      <c r="F471" s="38">
        <v>9.2200000000000006</v>
      </c>
      <c r="G471" s="32">
        <f>IF(B471="高三",IF($E471="男",LOOKUP(F471,[1]对照表!$G$3:$G$24,[1]对照表!$H$3:$H$24),LOOKUP(F471,[1]对照表!$G$27:$G$48,[1]对照表!$H$27:$H$48)),IF(B471="高二",IF($E471="男",LOOKUP(F471,[1]对照表!$F$3:$F$24,[1]对照表!$H$3:$H$24),LOOKUP(F471,[1]对照表!$F$27:$F$48,[1]对照表!$H$27:$H$48)),IF(B471="高一",IF($E471="男",LOOKUP(F471,[1]对照表!$E$3:$E$24,[1]对照表!$H$3:$H$24),LOOKUP(F471,[1]对照表!$E$27:$E$48,[1]对照表!$H$27:$H$48)))))</f>
        <v>72</v>
      </c>
      <c r="H471" s="38">
        <v>14.5</v>
      </c>
      <c r="I471" s="32">
        <f>IF(B471="高三",IF($E471="男",LOOKUP(H471,[1]对照表!$K$3:$K$24,[1]对照表!$L$3:$L$24),LOOKUP(H471,[1]对照表!$K$27:$K$48,[1]对照表!$L$27:$L$48)),IF(B471="高二",IF($E471="男",LOOKUP(H471,[1]对照表!$J$3:$J$24,[1]对照表!$L$3:$L$24),LOOKUP(H471,[1]对照表!$J$27:$J$48,[1]对照表!$L$27:$L$48)),IF(B471="高一",IF($E471="男",LOOKUP(H471,[1]对照表!$I$3:$I$24,[1]对照表!$L$3:$L$24),LOOKUP(H471,[1]对照表!$I$27:$I$48,[1]对照表!$L$27:$L$48)))))</f>
        <v>74</v>
      </c>
      <c r="J471" s="38">
        <v>170</v>
      </c>
      <c r="K471" s="32">
        <f>IF(B471="高三",IF($E471="男",LOOKUP(J471,[1]对照表!$O$3:$O$24,[1]对照表!$P$3:$P$24),LOOKUP(J471,[1]对照表!$O$27:$O$48,[1]对照表!$P$27:$P$48)),IF(B471="高二",IF($E471="男",LOOKUP(J471,[1]对照表!$N$3:$N$24,[1]对照表!$P$3:$P$24),LOOKUP(J471,[1]对照表!$N$27:$N$48,[1]对照表!$P$27:$P$48)),IF(B471="高一",IF($E471="男",LOOKUP(J471,[1]对照表!$M$3:$M$24,[1]对照表!$P$3:$P$24),LOOKUP(J471,[1]对照表!$M$27:$M$48,[1]对照表!$P$27:$P$48)))))</f>
        <v>74</v>
      </c>
      <c r="L471" s="38">
        <v>54</v>
      </c>
      <c r="M471" s="32">
        <f>IF(B471="高三",IF($E471="男",LOOKUP(L471,[1]对照表!$S$3:$S$24,[1]对照表!$T$3:$T$24),LOOKUP(L471,[1]对照表!$S$27:$S$48,[1]对照表!$T$27:$T$48)),IF(B471="高二",IF($E471="男",LOOKUP(L471,[1]对照表!$R$3:$R$24,[1]对照表!$T$3:$T$24),LOOKUP(L471,[1]对照表!$R$27:$R$48,[1]对照表!$T$27:$T$48)),IF(B471="高一",IF($E471="男",LOOKUP(L471,[1]对照表!$Q$3:$Q$24,[1]对照表!$T$3:$T$24),LOOKUP(L471,[1]对照表!$Q$27:$Q$48,[1]对照表!$T$27:$T$48)))))</f>
        <v>100</v>
      </c>
      <c r="N471" s="33">
        <f>IF(B471="高三",MAX(IF(E471="男",L471-18,L471-55),0),IF(B471="高二",MAX(IF(E471="男",L471-17,L471-54),0),IF(B471="高一",MAX(IF(E471="男",L471-16,L471-53),0))))</f>
        <v>0</v>
      </c>
      <c r="O471" s="23">
        <f>IF(E471="男",LOOKUP($N471,[1]对照表!$Z$3:$Z$13,[1]对照表!$AA$3:$AA$13),LOOKUP($N471,[1]对照表!$Z$15:$Z$25,[1]对照表!$AA$15:$AA$25))</f>
        <v>0</v>
      </c>
      <c r="P471" s="25">
        <f>M471+O471</f>
        <v>100</v>
      </c>
      <c r="Q471" s="38">
        <v>3.44</v>
      </c>
      <c r="R471" s="32">
        <f>IF(B471="高三",IF($E471="男",LOOKUP(Q471,[1]对照表!$W$3:$W$24,[1]对照表!$X$3:$X$24),LOOKUP(Q471,[1]对照表!$W$27:$W$48,[1]对照表!$X$27:$X$48)),IF(B471="高二",IF($E471="男",LOOKUP(Q471,[1]对照表!$V$3:$V$24,[1]对照表!$X$3:$X$24),LOOKUP(Q471,[1]对照表!$V$27:$V$48,[1]对照表!$X$27:$X$48)),IF(B471="高一",IF($E471="男",LOOKUP(Q471,[1]对照表!$U$3:$U$24,[1]对照表!$X$3:$X$24),LOOKUP(Q471,[1]对照表!$U$27:$U$48,[1]对照表!$X$27:$X$48)))))</f>
        <v>80</v>
      </c>
      <c r="S471" s="33">
        <f>ROUND(IF(IF($B471="高三",MIN(IF($E471="男",$Q471-3.2,$Q471-3.2),0),IF($B471="高二",MIN(IF($E471="男",$Q471-3.25,$Q471-3.22),0),IF($B471="高一",MIN(IF($E471="男",$Q471-3.3,$Q471-3.24),0))))&lt;-0.6,IF($B471="高三",MIN(IF($E471="男",$Q471-3.2,$Q471-3.2),0),IF($B471="高二",MIN(IF($E471="男",$Q471-3.25,$Q471-3.22),0),IF($B471="高一",MIN(IF($E471="男",$Q471-3.3,$Q471-3.24),0))))+0.4,IF($B471="高三",MIN(IF($E471="男",$Q471-3.2,$Q471-3.2),0),IF($B471="高二",MIN(IF($E471="男",$Q471-3.25,$Q471-3.22),0),IF($B471="高一",MIN(IF($E471="男",$Q471-3.3,$Q471-3.24),0))))),2)</f>
        <v>0</v>
      </c>
      <c r="T471" s="23">
        <f>IF(E471="男",LOOKUP($S471,[1]对照表!$AB$3:$AB$13,[1]对照表!$AC$3:$AC$13),LOOKUP($S471,[1]对照表!$AB$15:$AB$25,[1]对照表!$AC$15:$AC$25))</f>
        <v>0</v>
      </c>
      <c r="U471" s="26">
        <f>R471+T471</f>
        <v>80</v>
      </c>
      <c r="V471" s="26">
        <f>SUM(I471,K471,M471)/3*0.3+SUM(G471,R471)/2*0.4</f>
        <v>55.2</v>
      </c>
      <c r="W471" s="27">
        <f>O471+T471</f>
        <v>0</v>
      </c>
      <c r="X471" s="28">
        <f>V471/0.7+W471</f>
        <v>78.857142857142861</v>
      </c>
      <c r="Y471" s="28">
        <f>X471</f>
        <v>78.857142857142861</v>
      </c>
      <c r="Z471" s="38"/>
    </row>
    <row r="472" spans="1:26" ht="15.6" x14ac:dyDescent="0.25">
      <c r="A472" s="38">
        <v>1</v>
      </c>
      <c r="B472" s="17" t="s">
        <v>767</v>
      </c>
      <c r="C472" s="48">
        <v>211</v>
      </c>
      <c r="D472" s="49" t="s">
        <v>1109</v>
      </c>
      <c r="E472" s="48" t="s">
        <v>23</v>
      </c>
      <c r="F472" s="38">
        <v>7</v>
      </c>
      <c r="G472" s="32">
        <f>IF(B472="高三",IF($E472="男",LOOKUP(F472,[1]对照表!$G$3:$G$24,[1]对照表!$H$3:$H$24),LOOKUP(F472,[1]对照表!$G$27:$G$48,[1]对照表!$H$27:$H$48)),IF(B472="高二",IF($E472="男",LOOKUP(F472,[1]对照表!$F$3:$F$24,[1]对照表!$H$3:$H$24),LOOKUP(F472,[1]对照表!$F$27:$F$48,[1]对照表!$H$27:$H$48)),IF(B472="高一",IF($E472="男",LOOKUP(F472,[1]对照表!$E$3:$E$24,[1]对照表!$H$3:$H$24),LOOKUP(F472,[1]对照表!$E$27:$E$48,[1]对照表!$H$27:$H$48)))))</f>
        <v>100</v>
      </c>
      <c r="H472" s="38">
        <v>8.5</v>
      </c>
      <c r="I472" s="32">
        <f>IF(B472="高三",IF($E472="男",LOOKUP(H472,[1]对照表!$K$3:$K$24,[1]对照表!$L$3:$L$24),LOOKUP(H472,[1]对照表!$K$27:$K$48,[1]对照表!$L$27:$L$48)),IF(B472="高二",IF($E472="男",LOOKUP(H472,[1]对照表!$J$3:$J$24,[1]对照表!$L$3:$L$24),LOOKUP(H472,[1]对照表!$J$27:$J$48,[1]对照表!$L$27:$L$48)),IF(B472="高一",IF($E472="男",LOOKUP(H472,[1]对照表!$I$3:$I$24,[1]对照表!$L$3:$L$24),LOOKUP(H472,[1]对照表!$I$27:$I$48,[1]对照表!$L$27:$L$48)))))</f>
        <v>68</v>
      </c>
      <c r="J472" s="38">
        <v>260</v>
      </c>
      <c r="K472" s="32">
        <f>IF(B472="高三",IF($E472="男",LOOKUP(J472,[1]对照表!$O$3:$O$24,[1]对照表!$P$3:$P$24),LOOKUP(J472,[1]对照表!$O$27:$O$48,[1]对照表!$P$27:$P$48)),IF(B472="高二",IF($E472="男",LOOKUP(J472,[1]对照表!$N$3:$N$24,[1]对照表!$P$3:$P$24),LOOKUP(J472,[1]对照表!$N$27:$N$48,[1]对照表!$P$27:$P$48)),IF(B472="高一",IF($E472="男",LOOKUP(J472,[1]对照表!$M$3:$M$24,[1]对照表!$P$3:$P$24),LOOKUP(J472,[1]对照表!$M$27:$M$48,[1]对照表!$P$27:$P$48)))))</f>
        <v>95</v>
      </c>
      <c r="L472" s="38">
        <v>11</v>
      </c>
      <c r="M472" s="32">
        <f>IF(B472="高三",IF($E472="男",LOOKUP(L472,[1]对照表!$S$3:$S$24,[1]对照表!$T$3:$T$24),LOOKUP(L472,[1]对照表!$S$27:$S$48,[1]对照表!$T$27:$T$48)),IF(B472="高二",IF($E472="男",LOOKUP(L472,[1]对照表!$R$3:$R$24,[1]对照表!$T$3:$T$24),LOOKUP(L472,[1]对照表!$R$27:$R$48,[1]对照表!$T$27:$T$48)),IF(B472="高一",IF($E472="男",LOOKUP(L472,[1]对照表!$Q$3:$Q$24,[1]对照表!$T$3:$T$24),LOOKUP(L472,[1]对照表!$Q$27:$Q$48,[1]对照表!$T$27:$T$48)))))</f>
        <v>72</v>
      </c>
      <c r="N472" s="33">
        <f>IF(B472="高三",MAX(IF(E472="男",L472-18,L472-55),0),IF(B472="高二",MAX(IF(E472="男",L472-17,L472-54),0),IF(B472="高一",MAX(IF(E472="男",L472-16,L472-53),0))))</f>
        <v>0</v>
      </c>
      <c r="O472" s="23">
        <f>IF(E472="男",LOOKUP($N472,[1]对照表!$Z$3:$Z$13,[1]对照表!$AA$3:$AA$13),LOOKUP($N472,[1]对照表!$Z$15:$Z$25,[1]对照表!$AA$15:$AA$25))</f>
        <v>0</v>
      </c>
      <c r="P472" s="25">
        <f>M472+O472</f>
        <v>72</v>
      </c>
      <c r="Q472" s="38">
        <v>3.45</v>
      </c>
      <c r="R472" s="32">
        <f>IF(B472="高三",IF($E472="男",LOOKUP(Q472,[1]对照表!$W$3:$W$24,[1]对照表!$X$3:$X$24),LOOKUP(Q472,[1]对照表!$W$27:$W$48,[1]对照表!$X$27:$X$48)),IF(B472="高二",IF($E472="男",LOOKUP(Q472,[1]对照表!$V$3:$V$24,[1]对照表!$X$3:$X$24),LOOKUP(Q472,[1]对照表!$V$27:$V$48,[1]对照表!$X$27:$X$48)),IF(B472="高一",IF($E472="男",LOOKUP(Q472,[1]对照表!$U$3:$U$24,[1]对照表!$X$3:$X$24),LOOKUP(Q472,[1]对照表!$U$27:$U$48,[1]对照表!$X$27:$X$48)))))</f>
        <v>80</v>
      </c>
      <c r="S472" s="27">
        <f>ROUND(IF(IF($B472="高三",MIN(IF($E472="男",$Q472-3.2,$Q472-3.2),0),IF($B472="高二",MIN(IF($E472="男",$Q472-3.25,$Q472-3.22),0),IF($B472="高一",MIN(IF($E472="男",$Q472-3.3,$Q472-3.24),0))))&lt;-0.6,IF($B472="高三",MIN(IF($E472="男",$Q472-3.2,$Q472-3.2),0),IF($B472="高二",MIN(IF($E472="男",$Q472-3.25,$Q472-3.22),0),IF($B472="高一",MIN(IF($E472="男",$Q472-3.3,$Q472-3.24),0))))+0.4,IF($B472="高三",MIN(IF($E472="男",$Q472-3.2,$Q472-3.2),0),IF($B472="高二",MIN(IF($E472="男",$Q472-3.25,$Q472-3.22),0),IF($B472="高一",MIN(IF($E472="男",$Q472-3.3,$Q472-3.24),0))))),2)</f>
        <v>0</v>
      </c>
      <c r="T472" s="23">
        <f>IF(E472="男",LOOKUP($S472,[1]对照表!$AB$3:$AB$13,[1]对照表!$AC$3:$AC$13),LOOKUP($S472,[1]对照表!$AB$15:$AB$25,[1]对照表!$AC$15:$AC$25))</f>
        <v>0</v>
      </c>
      <c r="U472" s="26">
        <f>R472+T472</f>
        <v>80</v>
      </c>
      <c r="V472" s="26">
        <f>SUM(I472,K472,M472)/3*0.3+SUM(G472,R472)/2*0.4</f>
        <v>59.5</v>
      </c>
      <c r="W472" s="27">
        <f>O472+T472</f>
        <v>0</v>
      </c>
      <c r="X472" s="28">
        <f>V472/0.7+W472</f>
        <v>85</v>
      </c>
      <c r="Y472" s="28">
        <f>X472</f>
        <v>85</v>
      </c>
      <c r="Z472" s="38"/>
    </row>
    <row r="473" spans="1:26" ht="15.6" x14ac:dyDescent="0.25">
      <c r="A473" s="38">
        <v>9</v>
      </c>
      <c r="B473" s="17" t="s">
        <v>767</v>
      </c>
      <c r="C473" s="48">
        <v>211</v>
      </c>
      <c r="D473" s="49" t="s">
        <v>1110</v>
      </c>
      <c r="E473" s="48" t="s">
        <v>23</v>
      </c>
      <c r="F473" s="38">
        <v>7.2</v>
      </c>
      <c r="G473" s="32">
        <f>IF(B473="高三",IF($E473="男",LOOKUP(F473,[1]对照表!$G$3:$G$24,[1]对照表!$H$3:$H$24),LOOKUP(F473,[1]对照表!$G$27:$G$48,[1]对照表!$H$27:$H$48)),IF(B473="高二",IF($E473="男",LOOKUP(F473,[1]对照表!$F$3:$F$24,[1]对照表!$H$3:$H$24),LOOKUP(F473,[1]对照表!$F$27:$F$48,[1]对照表!$H$27:$H$48)),IF(B473="高一",IF($E473="男",LOOKUP(F473,[1]对照表!$E$3:$E$24,[1]对照表!$H$3:$H$24),LOOKUP(F473,[1]对照表!$E$27:$E$48,[1]对照表!$H$27:$H$48)))))</f>
        <v>90</v>
      </c>
      <c r="H473" s="38">
        <v>22.5</v>
      </c>
      <c r="I473" s="32">
        <f>IF(B473="高三",IF($E473="男",LOOKUP(H473,[1]对照表!$K$3:$K$24,[1]对照表!$L$3:$L$24),LOOKUP(H473,[1]对照表!$K$27:$K$48,[1]对照表!$L$27:$L$48)),IF(B473="高二",IF($E473="男",LOOKUP(H473,[1]对照表!$J$3:$J$24,[1]对照表!$L$3:$L$24),LOOKUP(H473,[1]对照表!$J$27:$J$48,[1]对照表!$L$27:$L$48)),IF(B473="高一",IF($E473="男",LOOKUP(H473,[1]对照表!$I$3:$I$24,[1]对照表!$L$3:$L$24),LOOKUP(H473,[1]对照表!$I$27:$I$48,[1]对照表!$L$27:$L$48)))))</f>
        <v>95</v>
      </c>
      <c r="J473" s="38">
        <v>235</v>
      </c>
      <c r="K473" s="32">
        <f>IF(B473="高三",IF($E473="男",LOOKUP(J473,[1]对照表!$O$3:$O$24,[1]对照表!$P$3:$P$24),LOOKUP(J473,[1]对照表!$O$27:$O$48,[1]对照表!$P$27:$P$48)),IF(B473="高二",IF($E473="男",LOOKUP(J473,[1]对照表!$N$3:$N$24,[1]对照表!$P$3:$P$24),LOOKUP(J473,[1]对照表!$N$27:$N$48,[1]对照表!$P$27:$P$48)),IF(B473="高一",IF($E473="男",LOOKUP(J473,[1]对照表!$M$3:$M$24,[1]对照表!$P$3:$P$24),LOOKUP(J473,[1]对照表!$M$27:$M$48,[1]对照表!$P$27:$P$48)))))</f>
        <v>76</v>
      </c>
      <c r="L473" s="38">
        <v>17</v>
      </c>
      <c r="M473" s="32">
        <f>IF(B473="高三",IF($E473="男",LOOKUP(L473,[1]对照表!$S$3:$S$24,[1]对照表!$T$3:$T$24),LOOKUP(L473,[1]对照表!$S$27:$S$48,[1]对照表!$T$27:$T$48)),IF(B473="高二",IF($E473="男",LOOKUP(L473,[1]对照表!$R$3:$R$24,[1]对照表!$T$3:$T$24),LOOKUP(L473,[1]对照表!$R$27:$R$48,[1]对照表!$T$27:$T$48)),IF(B473="高一",IF($E473="男",LOOKUP(L473,[1]对照表!$Q$3:$Q$24,[1]对照表!$T$3:$T$24),LOOKUP(L473,[1]对照表!$Q$27:$Q$48,[1]对照表!$T$27:$T$48)))))</f>
        <v>100</v>
      </c>
      <c r="N473" s="33">
        <f>IF(B473="高三",MAX(IF(E473="男",L473-18,L473-55),0),IF(B473="高二",MAX(IF(E473="男",L473-17,L473-54),0),IF(B473="高一",MAX(IF(E473="男",L473-16,L473-53),0))))</f>
        <v>0</v>
      </c>
      <c r="O473" s="23">
        <f>IF(E473="男",LOOKUP($N473,[1]对照表!$Z$3:$Z$13,[1]对照表!$AA$3:$AA$13),LOOKUP($N473,[1]对照表!$Z$15:$Z$25,[1]对照表!$AA$15:$AA$25))</f>
        <v>0</v>
      </c>
      <c r="P473" s="25">
        <f>M473+O473</f>
        <v>100</v>
      </c>
      <c r="Q473" s="38">
        <v>4.0599999999999996</v>
      </c>
      <c r="R473" s="32">
        <f>IF(B473="高三",IF($E473="男",LOOKUP(Q473,[1]对照表!$W$3:$W$24,[1]对照表!$X$3:$X$24),LOOKUP(Q473,[1]对照表!$W$27:$W$48,[1]对照表!$X$27:$X$48)),IF(B473="高二",IF($E473="男",LOOKUP(Q473,[1]对照表!$V$3:$V$24,[1]对照表!$X$3:$X$24),LOOKUP(Q473,[1]对照表!$V$27:$V$48,[1]对照表!$X$27:$X$48)),IF(B473="高一",IF($E473="男",LOOKUP(Q473,[1]对照表!$U$3:$U$24,[1]对照表!$X$3:$X$24),LOOKUP(Q473,[1]对照表!$U$27:$U$48,[1]对照表!$X$27:$X$48)))))</f>
        <v>72</v>
      </c>
      <c r="S473" s="33">
        <f>ROUND(IF(IF($B473="高三",MIN(IF($E473="男",$Q473-3.2,$Q473-3.2),0),IF($B473="高二",MIN(IF($E473="男",$Q473-3.25,$Q473-3.22),0),IF($B473="高一",MIN(IF($E473="男",$Q473-3.3,$Q473-3.24),0))))&lt;-0.6,IF($B473="高三",MIN(IF($E473="男",$Q473-3.2,$Q473-3.2),0),IF($B473="高二",MIN(IF($E473="男",$Q473-3.25,$Q473-3.22),0),IF($B473="高一",MIN(IF($E473="男",$Q473-3.3,$Q473-3.24),0))))+0.4,IF($B473="高三",MIN(IF($E473="男",$Q473-3.2,$Q473-3.2),0),IF($B473="高二",MIN(IF($E473="男",$Q473-3.25,$Q473-3.22),0),IF($B473="高一",MIN(IF($E473="男",$Q473-3.3,$Q473-3.24),0))))),2)</f>
        <v>0</v>
      </c>
      <c r="T473" s="23">
        <f>IF(E473="男",LOOKUP($S473,[1]对照表!$AB$3:$AB$13,[1]对照表!$AC$3:$AC$13),LOOKUP($S473,[1]对照表!$AB$15:$AB$25,[1]对照表!$AC$15:$AC$25))</f>
        <v>0</v>
      </c>
      <c r="U473" s="26">
        <f>R473+T473</f>
        <v>72</v>
      </c>
      <c r="V473" s="26">
        <f>SUM(I473,K473,M473)/3*0.3+SUM(G473,R473)/2*0.4</f>
        <v>59.5</v>
      </c>
      <c r="W473" s="27">
        <f>O473+T473</f>
        <v>0</v>
      </c>
      <c r="X473" s="28">
        <f>V473/0.7+W473</f>
        <v>85</v>
      </c>
      <c r="Y473" s="28">
        <f>X473</f>
        <v>85</v>
      </c>
      <c r="Z473" s="38"/>
    </row>
    <row r="474" spans="1:26" ht="15.6" customHeight="1" x14ac:dyDescent="0.25">
      <c r="A474" s="48">
        <v>39</v>
      </c>
      <c r="B474" s="17" t="s">
        <v>767</v>
      </c>
      <c r="C474" s="48">
        <v>211</v>
      </c>
      <c r="D474" s="49" t="s">
        <v>1119</v>
      </c>
      <c r="E474" s="48" t="s">
        <v>65</v>
      </c>
      <c r="F474" s="38">
        <v>9.24</v>
      </c>
      <c r="G474" s="32">
        <f>IF(B474="高三",IF($E474="男",LOOKUP(F474,[1]对照表!$G$3:$G$24,[1]对照表!$H$3:$H$24),LOOKUP(F474,[1]对照表!$G$27:$G$48,[1]对照表!$H$27:$H$48)),IF(B474="高二",IF($E474="男",LOOKUP(F474,[1]对照表!$F$3:$F$24,[1]对照表!$H$3:$H$24),LOOKUP(F474,[1]对照表!$F$27:$F$48,[1]对照表!$H$27:$H$48)),IF(B474="高一",IF($E474="男",LOOKUP(F474,[1]对照表!$E$3:$E$24,[1]对照表!$H$3:$H$24),LOOKUP(F474,[1]对照表!$E$27:$E$48,[1]对照表!$H$27:$H$48)))))</f>
        <v>72</v>
      </c>
      <c r="H474" s="38">
        <v>20</v>
      </c>
      <c r="I474" s="32">
        <f>IF(B474="高三",IF($E474="男",LOOKUP(H474,[1]对照表!$K$3:$K$24,[1]对照表!$L$3:$L$24),LOOKUP(H474,[1]对照表!$K$27:$K$48,[1]对照表!$L$27:$L$48)),IF(B474="高二",IF($E474="男",LOOKUP(H474,[1]对照表!$J$3:$J$24,[1]对照表!$L$3:$L$24),LOOKUP(H474,[1]对照表!$J$27:$J$48,[1]对照表!$L$27:$L$48)),IF(B474="高一",IF($E474="男",LOOKUP(H474,[1]对照表!$I$3:$I$24,[1]对照表!$L$3:$L$24),LOOKUP(H474,[1]对照表!$I$27:$I$48,[1]对照表!$L$27:$L$48)))))</f>
        <v>85</v>
      </c>
      <c r="J474" s="38">
        <v>175</v>
      </c>
      <c r="K474" s="32">
        <f>IF(B474="高三",IF($E474="男",LOOKUP(J474,[1]对照表!$O$3:$O$24,[1]对照表!$P$3:$P$24),LOOKUP(J474,[1]对照表!$O$27:$O$48,[1]对照表!$P$27:$P$48)),IF(B474="高二",IF($E474="男",LOOKUP(J474,[1]对照表!$N$3:$N$24,[1]对照表!$P$3:$P$24),LOOKUP(J474,[1]对照表!$N$27:$N$48,[1]对照表!$P$27:$P$48)),IF(B474="高一",IF($E474="男",LOOKUP(J474,[1]对照表!$M$3:$M$24,[1]对照表!$P$3:$P$24),LOOKUP(J474,[1]对照表!$M$27:$M$48,[1]对照表!$P$27:$P$48)))))</f>
        <v>76</v>
      </c>
      <c r="L474" s="38">
        <v>47</v>
      </c>
      <c r="M474" s="32">
        <f>IF(B474="高三",IF($E474="男",LOOKUP(L474,[1]对照表!$S$3:$S$24,[1]对照表!$T$3:$T$24),LOOKUP(L474,[1]对照表!$S$27:$S$48,[1]对照表!$T$27:$T$48)),IF(B474="高二",IF($E474="男",LOOKUP(L474,[1]对照表!$R$3:$R$24,[1]对照表!$T$3:$T$24),LOOKUP(L474,[1]对照表!$R$27:$R$48,[1]对照表!$T$27:$T$48)),IF(B474="高一",IF($E474="男",LOOKUP(L474,[1]对照表!$Q$3:$Q$24,[1]对照表!$T$3:$T$24),LOOKUP(L474,[1]对照表!$Q$27:$Q$48,[1]对照表!$T$27:$T$48)))))</f>
        <v>85</v>
      </c>
      <c r="N474" s="33">
        <f>IF(B474="高三",MAX(IF(E474="男",L474-18,L474-55),0),IF(B474="高二",MAX(IF(E474="男",L474-17,L474-54),0),IF(B474="高一",MAX(IF(E474="男",L474-16,L474-53),0))))</f>
        <v>0</v>
      </c>
      <c r="O474" s="23">
        <f>IF(E474="男",LOOKUP($N474,[1]对照表!$Z$3:$Z$13,[1]对照表!$AA$3:$AA$13),LOOKUP($N474,[1]对照表!$Z$15:$Z$25,[1]对照表!$AA$15:$AA$25))</f>
        <v>0</v>
      </c>
      <c r="P474" s="25">
        <f>M474+O474</f>
        <v>85</v>
      </c>
      <c r="Q474" s="38">
        <v>3.51</v>
      </c>
      <c r="R474" s="32">
        <f>IF(B474="高三",IF($E474="男",LOOKUP(Q474,[1]对照表!$W$3:$W$24,[1]对照表!$X$3:$X$24),LOOKUP(Q474,[1]对照表!$W$27:$W$48,[1]对照表!$X$27:$X$48)),IF(B474="高二",IF($E474="男",LOOKUP(Q474,[1]对照表!$V$3:$V$24,[1]对照表!$X$3:$X$24),LOOKUP(Q474,[1]对照表!$V$27:$V$48,[1]对照表!$X$27:$X$48)),IF(B474="高一",IF($E474="男",LOOKUP(Q474,[1]对照表!$U$3:$U$24,[1]对照表!$X$3:$X$24),LOOKUP(Q474,[1]对照表!$U$27:$U$48,[1]对照表!$X$27:$X$48)))))</f>
        <v>78</v>
      </c>
      <c r="S474" s="33">
        <f>ROUND(IF(IF($B474="高三",MIN(IF($E474="男",$Q474-3.2,$Q474-3.2),0),IF($B474="高二",MIN(IF($E474="男",$Q474-3.25,$Q474-3.22),0),IF($B474="高一",MIN(IF($E474="男",$Q474-3.3,$Q474-3.24),0))))&lt;-0.6,IF($B474="高三",MIN(IF($E474="男",$Q474-3.2,$Q474-3.2),0),IF($B474="高二",MIN(IF($E474="男",$Q474-3.25,$Q474-3.22),0),IF($B474="高一",MIN(IF($E474="男",$Q474-3.3,$Q474-3.24),0))))+0.4,IF($B474="高三",MIN(IF($E474="男",$Q474-3.2,$Q474-3.2),0),IF($B474="高二",MIN(IF($E474="男",$Q474-3.25,$Q474-3.22),0),IF($B474="高一",MIN(IF($E474="男",$Q474-3.3,$Q474-3.24),0))))),2)</f>
        <v>0</v>
      </c>
      <c r="T474" s="23">
        <f>IF(E474="男",LOOKUP($S474,[1]对照表!$AB$3:$AB$13,[1]对照表!$AC$3:$AC$13),LOOKUP($S474,[1]对照表!$AB$15:$AB$25,[1]对照表!$AC$15:$AC$25))</f>
        <v>0</v>
      </c>
      <c r="U474" s="26">
        <f>R474+T474</f>
        <v>78</v>
      </c>
      <c r="V474" s="26">
        <f>SUM(I474,K474,M474)/3*0.3+SUM(G474,R474)/2*0.4</f>
        <v>54.599999999999994</v>
      </c>
      <c r="W474" s="27">
        <f>O474+T474</f>
        <v>0</v>
      </c>
      <c r="X474" s="28">
        <f>V474/0.7+W474</f>
        <v>78</v>
      </c>
      <c r="Y474" s="28">
        <f>X474</f>
        <v>78</v>
      </c>
      <c r="Z474" s="38"/>
    </row>
    <row r="475" spans="1:26" ht="15.6" x14ac:dyDescent="0.25">
      <c r="A475" s="48">
        <v>11</v>
      </c>
      <c r="B475" s="17" t="s">
        <v>767</v>
      </c>
      <c r="C475" s="48">
        <v>211</v>
      </c>
      <c r="D475" s="49" t="s">
        <v>1138</v>
      </c>
      <c r="E475" s="48" t="s">
        <v>23</v>
      </c>
      <c r="F475" s="38">
        <v>7.7</v>
      </c>
      <c r="G475" s="32">
        <f>IF(B475="高三",IF($E475="男",LOOKUP(F475,[1]对照表!$G$3:$G$24,[1]对照表!$H$3:$H$24),LOOKUP(F475,[1]对照表!$G$27:$G$48,[1]对照表!$H$27:$H$48)),IF(B475="高二",IF($E475="男",LOOKUP(F475,[1]对照表!$F$3:$F$24,[1]对照表!$H$3:$H$24),LOOKUP(F475,[1]对照表!$F$27:$F$48,[1]对照表!$H$27:$H$48)),IF(B475="高一",IF($E475="男",LOOKUP(F475,[1]对照表!$E$3:$E$24,[1]对照表!$H$3:$H$24),LOOKUP(F475,[1]对照表!$E$27:$E$48,[1]对照表!$H$27:$H$48)))))</f>
        <v>76</v>
      </c>
      <c r="H475" s="38">
        <v>28</v>
      </c>
      <c r="I475" s="32">
        <f>IF(B475="高三",IF($E475="男",LOOKUP(H475,[1]对照表!$K$3:$K$24,[1]对照表!$L$3:$L$24),LOOKUP(H475,[1]对照表!$K$27:$K$48,[1]对照表!$L$27:$L$48)),IF(B475="高二",IF($E475="男",LOOKUP(H475,[1]对照表!$J$3:$J$24,[1]对照表!$L$3:$L$24),LOOKUP(H475,[1]对照表!$J$27:$J$48,[1]对照表!$L$27:$L$48)),IF(B475="高一",IF($E475="男",LOOKUP(H475,[1]对照表!$I$3:$I$24,[1]对照表!$L$3:$L$24),LOOKUP(H475,[1]对照表!$I$27:$I$48,[1]对照表!$L$27:$L$48)))))</f>
        <v>100</v>
      </c>
      <c r="J475" s="38">
        <v>235</v>
      </c>
      <c r="K475" s="32">
        <f>IF(B475="高三",IF($E475="男",LOOKUP(J475,[1]对照表!$O$3:$O$24,[1]对照表!$P$3:$P$24),LOOKUP(J475,[1]对照表!$O$27:$O$48,[1]对照表!$P$27:$P$48)),IF(B475="高二",IF($E475="男",LOOKUP(J475,[1]对照表!$N$3:$N$24,[1]对照表!$P$3:$P$24),LOOKUP(J475,[1]对照表!$N$27:$N$48,[1]对照表!$P$27:$P$48)),IF(B475="高一",IF($E475="男",LOOKUP(J475,[1]对照表!$M$3:$M$24,[1]对照表!$P$3:$P$24),LOOKUP(J475,[1]对照表!$M$27:$M$48,[1]对照表!$P$27:$P$48)))))</f>
        <v>76</v>
      </c>
      <c r="L475" s="38">
        <v>13</v>
      </c>
      <c r="M475" s="32">
        <f>IF(B475="高三",IF($E475="男",LOOKUP(L475,[1]对照表!$S$3:$S$24,[1]对照表!$T$3:$T$24),LOOKUP(L475,[1]对照表!$S$27:$S$48,[1]对照表!$T$27:$T$48)),IF(B475="高二",IF($E475="男",LOOKUP(L475,[1]对照表!$R$3:$R$24,[1]对照表!$T$3:$T$24),LOOKUP(L475,[1]对照表!$R$27:$R$48,[1]对照表!$T$27:$T$48)),IF(B475="高一",IF($E475="男",LOOKUP(L475,[1]对照表!$Q$3:$Q$24,[1]对照表!$T$3:$T$24),LOOKUP(L475,[1]对照表!$Q$27:$Q$48,[1]对照表!$T$27:$T$48)))))</f>
        <v>80</v>
      </c>
      <c r="N475" s="33">
        <f>IF(B475="高三",MAX(IF(E475="男",L475-18,L475-55),0),IF(B475="高二",MAX(IF(E475="男",L475-17,L475-54),0),IF(B475="高一",MAX(IF(E475="男",L475-16,L475-53),0))))</f>
        <v>0</v>
      </c>
      <c r="O475" s="23">
        <f>IF(E475="男",LOOKUP($N475,[1]对照表!$Z$3:$Z$13,[1]对照表!$AA$3:$AA$13),LOOKUP($N475,[1]对照表!$Z$15:$Z$25,[1]对照表!$AA$15:$AA$25))</f>
        <v>0</v>
      </c>
      <c r="P475" s="25">
        <f>M475+O475</f>
        <v>80</v>
      </c>
      <c r="Q475" s="38">
        <v>3.33</v>
      </c>
      <c r="R475" s="32">
        <f>IF(B475="高三",IF($E475="男",LOOKUP(Q475,[1]对照表!$W$3:$W$24,[1]对照表!$X$3:$X$24),LOOKUP(Q475,[1]对照表!$W$27:$W$48,[1]对照表!$X$27:$X$48)),IF(B475="高二",IF($E475="男",LOOKUP(Q475,[1]对照表!$V$3:$V$24,[1]对照表!$X$3:$X$24),LOOKUP(Q475,[1]对照表!$V$27:$V$48,[1]对照表!$X$27:$X$48)),IF(B475="高一",IF($E475="男",LOOKUP(Q475,[1]对照表!$U$3:$U$24,[1]对照表!$X$3:$X$24),LOOKUP(Q475,[1]对照表!$U$27:$U$48,[1]对照表!$X$27:$X$48)))))</f>
        <v>90</v>
      </c>
      <c r="S475" s="33">
        <f>ROUND(IF(IF($B475="高三",MIN(IF($E475="男",$Q475-3.2,$Q475-3.2),0),IF($B475="高二",MIN(IF($E475="男",$Q475-3.25,$Q475-3.22),0),IF($B475="高一",MIN(IF($E475="男",$Q475-3.3,$Q475-3.24),0))))&lt;-0.6,IF($B475="高三",MIN(IF($E475="男",$Q475-3.2,$Q475-3.2),0),IF($B475="高二",MIN(IF($E475="男",$Q475-3.25,$Q475-3.22),0),IF($B475="高一",MIN(IF($E475="男",$Q475-3.3,$Q475-3.24),0))))+0.4,IF($B475="高三",MIN(IF($E475="男",$Q475-3.2,$Q475-3.2),0),IF($B475="高二",MIN(IF($E475="男",$Q475-3.25,$Q475-3.22),0),IF($B475="高一",MIN(IF($E475="男",$Q475-3.3,$Q475-3.24),0))))),2)</f>
        <v>0</v>
      </c>
      <c r="T475" s="23">
        <f>IF(E475="男",LOOKUP($S475,[1]对照表!$AB$3:$AB$13,[1]对照表!$AC$3:$AC$13),LOOKUP($S475,[1]对照表!$AB$15:$AB$25,[1]对照表!$AC$15:$AC$25))</f>
        <v>0</v>
      </c>
      <c r="U475" s="26">
        <f>R475+T475</f>
        <v>90</v>
      </c>
      <c r="V475" s="26">
        <f>SUM(I475,K475,M475)/3*0.3+SUM(G475,R475)/2*0.4</f>
        <v>58.8</v>
      </c>
      <c r="W475" s="27">
        <f>O475+T475</f>
        <v>0</v>
      </c>
      <c r="X475" s="28">
        <f>V475/0.7+W475</f>
        <v>84</v>
      </c>
      <c r="Y475" s="28">
        <f>X475</f>
        <v>84</v>
      </c>
      <c r="Z475" s="38"/>
    </row>
    <row r="476" spans="1:26" ht="15.6" x14ac:dyDescent="0.25">
      <c r="A476" s="48">
        <v>40</v>
      </c>
      <c r="B476" s="17" t="s">
        <v>767</v>
      </c>
      <c r="C476" s="48">
        <v>211</v>
      </c>
      <c r="D476" s="49" t="s">
        <v>1150</v>
      </c>
      <c r="E476" s="48" t="s">
        <v>65</v>
      </c>
      <c r="F476" s="38">
        <v>10.25</v>
      </c>
      <c r="G476" s="32">
        <f>IF(B476="高三",IF($E476="男",LOOKUP(F476,[1]对照表!$G$3:$G$24,[1]对照表!$H$3:$H$24),LOOKUP(F476,[1]对照表!$G$27:$G$48,[1]对照表!$H$27:$H$48)),IF(B476="高二",IF($E476="男",LOOKUP(F476,[1]对照表!$F$3:$F$24,[1]对照表!$H$3:$H$24),LOOKUP(F476,[1]对照表!$F$27:$F$48,[1]对照表!$H$27:$H$48)),IF(B476="高一",IF($E476="男",LOOKUP(F476,[1]对照表!$E$3:$E$24,[1]对照表!$H$3:$H$24),LOOKUP(F476,[1]对照表!$E$27:$E$48,[1]对照表!$H$27:$H$48)))))</f>
        <v>62</v>
      </c>
      <c r="H476" s="38">
        <v>24.5</v>
      </c>
      <c r="I476" s="32">
        <f>IF(B476="高三",IF($E476="男",LOOKUP(H476,[1]对照表!$K$3:$K$24,[1]对照表!$L$3:$L$24),LOOKUP(H476,[1]对照表!$K$27:$K$48,[1]对照表!$L$27:$L$48)),IF(B476="高二",IF($E476="男",LOOKUP(H476,[1]对照表!$J$3:$J$24,[1]对照表!$L$3:$L$24),LOOKUP(H476,[1]对照表!$J$27:$J$48,[1]对照表!$L$27:$L$48)),IF(B476="高一",IF($E476="男",LOOKUP(H476,[1]对照表!$I$3:$I$24,[1]对照表!$L$3:$L$24),LOOKUP(H476,[1]对照表!$I$27:$I$48,[1]对照表!$L$27:$L$48)))))</f>
        <v>95</v>
      </c>
      <c r="J476" s="38">
        <v>155</v>
      </c>
      <c r="K476" s="32">
        <f>IF(B476="高三",IF($E476="男",LOOKUP(J476,[1]对照表!$O$3:$O$24,[1]对照表!$P$3:$P$24),LOOKUP(J476,[1]对照表!$O$27:$O$48,[1]对照表!$P$27:$P$48)),IF(B476="高二",IF($E476="男",LOOKUP(J476,[1]对照表!$N$3:$N$24,[1]对照表!$P$3:$P$24),LOOKUP(J476,[1]对照表!$N$27:$N$48,[1]对照表!$P$27:$P$48)),IF(B476="高一",IF($E476="男",LOOKUP(J476,[1]对照表!$M$3:$M$24,[1]对照表!$P$3:$P$24),LOOKUP(J476,[1]对照表!$M$27:$M$48,[1]对照表!$P$27:$P$48)))))</f>
        <v>64</v>
      </c>
      <c r="L476" s="38">
        <v>54</v>
      </c>
      <c r="M476" s="32">
        <f>IF(B476="高三",IF($E476="男",LOOKUP(L476,[1]对照表!$S$3:$S$24,[1]对照表!$T$3:$T$24),LOOKUP(L476,[1]对照表!$S$27:$S$48,[1]对照表!$T$27:$T$48)),IF(B476="高二",IF($E476="男",LOOKUP(L476,[1]对照表!$R$3:$R$24,[1]对照表!$T$3:$T$24),LOOKUP(L476,[1]对照表!$R$27:$R$48,[1]对照表!$T$27:$T$48)),IF(B476="高一",IF($E476="男",LOOKUP(L476,[1]对照表!$Q$3:$Q$24,[1]对照表!$T$3:$T$24),LOOKUP(L476,[1]对照表!$Q$27:$Q$48,[1]对照表!$T$27:$T$48)))))</f>
        <v>100</v>
      </c>
      <c r="N476" s="33">
        <f>IF(B476="高三",MAX(IF(E476="男",L476-18,L476-55),0),IF(B476="高二",MAX(IF(E476="男",L476-17,L476-54),0),IF(B476="高一",MAX(IF(E476="男",L476-16,L476-53),0))))</f>
        <v>0</v>
      </c>
      <c r="O476" s="23">
        <f>IF(E476="男",LOOKUP($N476,[1]对照表!$Z$3:$Z$13,[1]对照表!$AA$3:$AA$13),LOOKUP($N476,[1]对照表!$Z$15:$Z$25,[1]对照表!$AA$15:$AA$25))</f>
        <v>0</v>
      </c>
      <c r="P476" s="25">
        <f>M476+O476</f>
        <v>100</v>
      </c>
      <c r="Q476" s="38">
        <v>3.55</v>
      </c>
      <c r="R476" s="32">
        <f>IF(B476="高三",IF($E476="男",LOOKUP(Q476,[1]对照表!$W$3:$W$24,[1]对照表!$X$3:$X$24),LOOKUP(Q476,[1]对照表!$W$27:$W$48,[1]对照表!$X$27:$X$48)),IF(B476="高二",IF($E476="男",LOOKUP(Q476,[1]对照表!$V$3:$V$24,[1]对照表!$X$3:$X$24),LOOKUP(Q476,[1]对照表!$V$27:$V$48,[1]对照表!$X$27:$X$48)),IF(B476="高一",IF($E476="男",LOOKUP(Q476,[1]对照表!$U$3:$U$24,[1]对照表!$X$3:$X$24),LOOKUP(Q476,[1]对照表!$U$27:$U$48,[1]对照表!$X$27:$X$48)))))</f>
        <v>76</v>
      </c>
      <c r="S476" s="27">
        <f>ROUND(IF(IF($B476="高三",MIN(IF($E476="男",$Q476-3.2,$Q476-3.2),0),IF($B476="高二",MIN(IF($E476="男",$Q476-3.25,$Q476-3.22),0),IF($B476="高一",MIN(IF($E476="男",$Q476-3.3,$Q476-3.24),0))))&lt;-0.6,IF($B476="高三",MIN(IF($E476="男",$Q476-3.2,$Q476-3.2),0),IF($B476="高二",MIN(IF($E476="男",$Q476-3.25,$Q476-3.22),0),IF($B476="高一",MIN(IF($E476="男",$Q476-3.3,$Q476-3.24),0))))+0.4,IF($B476="高三",MIN(IF($E476="男",$Q476-3.2,$Q476-3.2),0),IF($B476="高二",MIN(IF($E476="男",$Q476-3.25,$Q476-3.22),0),IF($B476="高一",MIN(IF($E476="男",$Q476-3.3,$Q476-3.24),0))))),2)</f>
        <v>0</v>
      </c>
      <c r="T476" s="23">
        <f>IF(E476="男",LOOKUP($S476,[1]对照表!$AB$3:$AB$13,[1]对照表!$AC$3:$AC$13),LOOKUP($S476,[1]对照表!$AB$15:$AB$25,[1]对照表!$AC$15:$AC$25))</f>
        <v>0</v>
      </c>
      <c r="U476" s="26">
        <f>R476+T476</f>
        <v>76</v>
      </c>
      <c r="V476" s="26">
        <f>SUM(I476,K476,M476)/3*0.3+SUM(G476,R476)/2*0.4</f>
        <v>53.5</v>
      </c>
      <c r="W476" s="27">
        <f>O476+T476</f>
        <v>0</v>
      </c>
      <c r="X476" s="28">
        <f>V476/0.7+W476</f>
        <v>76.428571428571431</v>
      </c>
      <c r="Y476" s="28">
        <f>X476</f>
        <v>76.428571428571431</v>
      </c>
      <c r="Z476" s="38"/>
    </row>
    <row r="477" spans="1:26" ht="15.6" x14ac:dyDescent="0.25">
      <c r="A477" s="48">
        <v>43</v>
      </c>
      <c r="B477" s="17" t="s">
        <v>767</v>
      </c>
      <c r="C477" s="48">
        <v>211</v>
      </c>
      <c r="D477" s="49" t="s">
        <v>1160</v>
      </c>
      <c r="E477" s="48" t="s">
        <v>65</v>
      </c>
      <c r="F477" s="38">
        <v>8.86</v>
      </c>
      <c r="G477" s="32">
        <f>IF(B477="高三",IF($E477="男",LOOKUP(F477,[1]对照表!$G$3:$G$24,[1]对照表!$H$3:$H$24),LOOKUP(F477,[1]对照表!$G$27:$G$48,[1]对照表!$H$27:$H$48)),IF(B477="高二",IF($E477="男",LOOKUP(F477,[1]对照表!$F$3:$F$24,[1]对照表!$H$3:$H$24),LOOKUP(F477,[1]对照表!$F$27:$F$48,[1]对照表!$H$27:$H$48)),IF(B477="高一",IF($E477="男",LOOKUP(F477,[1]对照表!$E$3:$E$24,[1]对照表!$H$3:$H$24),LOOKUP(F477,[1]对照表!$E$27:$E$48,[1]对照表!$H$27:$H$48)))))</f>
        <v>76</v>
      </c>
      <c r="H477" s="38">
        <v>13.5</v>
      </c>
      <c r="I477" s="32">
        <f>IF(B477="高三",IF($E477="男",LOOKUP(H477,[1]对照表!$K$3:$K$24,[1]对照表!$L$3:$L$24),LOOKUP(H477,[1]对照表!$K$27:$K$48,[1]对照表!$L$27:$L$48)),IF(B477="高二",IF($E477="男",LOOKUP(H477,[1]对照表!$J$3:$J$24,[1]对照表!$L$3:$L$24),LOOKUP(H477,[1]对照表!$J$27:$J$48,[1]对照表!$L$27:$L$48)),IF(B477="高一",IF($E477="男",LOOKUP(H477,[1]对照表!$I$3:$I$24,[1]对照表!$L$3:$L$24),LOOKUP(H477,[1]对照表!$I$27:$I$48,[1]对照表!$L$27:$L$48)))))</f>
        <v>72</v>
      </c>
      <c r="J477" s="38">
        <v>180</v>
      </c>
      <c r="K477" s="32">
        <f>IF(B477="高三",IF($E477="男",LOOKUP(J477,[1]对照表!$O$3:$O$24,[1]对照表!$P$3:$P$24),LOOKUP(J477,[1]对照表!$O$27:$O$48,[1]对照表!$P$27:$P$48)),IF(B477="高二",IF($E477="男",LOOKUP(J477,[1]对照表!$N$3:$N$24,[1]对照表!$P$3:$P$24),LOOKUP(J477,[1]对照表!$N$27:$N$48,[1]对照表!$P$27:$P$48)),IF(B477="高一",IF($E477="男",LOOKUP(J477,[1]对照表!$M$3:$M$24,[1]对照表!$P$3:$P$24),LOOKUP(J477,[1]对照表!$M$27:$M$48,[1]对照表!$P$27:$P$48)))))</f>
        <v>80</v>
      </c>
      <c r="L477" s="38">
        <v>46</v>
      </c>
      <c r="M477" s="32">
        <f>IF(B477="高三",IF($E477="男",LOOKUP(L477,[1]对照表!$S$3:$S$24,[1]对照表!$T$3:$T$24),LOOKUP(L477,[1]对照表!$S$27:$S$48,[1]对照表!$T$27:$T$48)),IF(B477="高二",IF($E477="男",LOOKUP(L477,[1]对照表!$R$3:$R$24,[1]对照表!$T$3:$T$24),LOOKUP(L477,[1]对照表!$R$27:$R$48,[1]对照表!$T$27:$T$48)),IF(B477="高一",IF($E477="男",LOOKUP(L477,[1]对照表!$Q$3:$Q$24,[1]对照表!$T$3:$T$24),LOOKUP(L477,[1]对照表!$Q$27:$Q$48,[1]对照表!$T$27:$T$48)))))</f>
        <v>80</v>
      </c>
      <c r="N477" s="33">
        <f>IF(B477="高三",MAX(IF(E477="男",L477-18,L477-55),0),IF(B477="高二",MAX(IF(E477="男",L477-17,L477-54),0),IF(B477="高一",MAX(IF(E477="男",L477-16,L477-53),0))))</f>
        <v>0</v>
      </c>
      <c r="O477" s="23">
        <f>IF(E477="男",LOOKUP($N477,[1]对照表!$Z$3:$Z$13,[1]对照表!$AA$3:$AA$13),LOOKUP($N477,[1]对照表!$Z$15:$Z$25,[1]对照表!$AA$15:$AA$25))</f>
        <v>0</v>
      </c>
      <c r="P477" s="25">
        <f>M477+O477</f>
        <v>80</v>
      </c>
      <c r="Q477" s="38">
        <v>3.59</v>
      </c>
      <c r="R477" s="32">
        <f>IF(B477="高三",IF($E477="男",LOOKUP(Q477,[1]对照表!$W$3:$W$24,[1]对照表!$X$3:$X$24),LOOKUP(Q477,[1]对照表!$W$27:$W$48,[1]对照表!$X$27:$X$48)),IF(B477="高二",IF($E477="男",LOOKUP(Q477,[1]对照表!$V$3:$V$24,[1]对照表!$X$3:$X$24),LOOKUP(Q477,[1]对照表!$V$27:$V$48,[1]对照表!$X$27:$X$48)),IF(B477="高一",IF($E477="男",LOOKUP(Q477,[1]对照表!$U$3:$U$24,[1]对照表!$X$3:$X$24),LOOKUP(Q477,[1]对照表!$U$27:$U$48,[1]对照表!$X$27:$X$48)))))</f>
        <v>74</v>
      </c>
      <c r="S477" s="33">
        <f>ROUND(IF(IF($B477="高三",MIN(IF($E477="男",$Q477-3.2,$Q477-3.2),0),IF($B477="高二",MIN(IF($E477="男",$Q477-3.25,$Q477-3.22),0),IF($B477="高一",MIN(IF($E477="男",$Q477-3.3,$Q477-3.24),0))))&lt;-0.6,IF($B477="高三",MIN(IF($E477="男",$Q477-3.2,$Q477-3.2),0),IF($B477="高二",MIN(IF($E477="男",$Q477-3.25,$Q477-3.22),0),IF($B477="高一",MIN(IF($E477="男",$Q477-3.3,$Q477-3.24),0))))+0.4,IF($B477="高三",MIN(IF($E477="男",$Q477-3.2,$Q477-3.2),0),IF($B477="高二",MIN(IF($E477="男",$Q477-3.25,$Q477-3.22),0),IF($B477="高一",MIN(IF($E477="男",$Q477-3.3,$Q477-3.24),0))))),2)</f>
        <v>0</v>
      </c>
      <c r="T477" s="23">
        <f>IF(E477="男",LOOKUP($S477,[1]对照表!$AB$3:$AB$13,[1]对照表!$AC$3:$AC$13),LOOKUP($S477,[1]对照表!$AB$15:$AB$25,[1]对照表!$AC$15:$AC$25))</f>
        <v>0</v>
      </c>
      <c r="U477" s="26">
        <f>R477+T477</f>
        <v>74</v>
      </c>
      <c r="V477" s="26">
        <f>SUM(I477,K477,M477)/3*0.3+SUM(G477,R477)/2*0.4</f>
        <v>53.2</v>
      </c>
      <c r="W477" s="27">
        <f>O477+T477</f>
        <v>0</v>
      </c>
      <c r="X477" s="28">
        <f>V477/0.7+W477</f>
        <v>76.000000000000014</v>
      </c>
      <c r="Y477" s="28">
        <f>X477</f>
        <v>76.000000000000014</v>
      </c>
      <c r="Z477" s="38"/>
    </row>
    <row r="478" spans="1:26" ht="15.6" x14ac:dyDescent="0.25">
      <c r="A478" s="48">
        <v>13</v>
      </c>
      <c r="B478" s="17" t="s">
        <v>767</v>
      </c>
      <c r="C478" s="48">
        <v>211</v>
      </c>
      <c r="D478" s="49" t="s">
        <v>1164</v>
      </c>
      <c r="E478" s="48" t="s">
        <v>23</v>
      </c>
      <c r="F478" s="38">
        <v>8</v>
      </c>
      <c r="G478" s="32">
        <f>IF(B478="高三",IF($E478="男",LOOKUP(F478,[1]对照表!$G$3:$G$24,[1]对照表!$H$3:$H$24),LOOKUP(F478,[1]对照表!$G$27:$G$48,[1]对照表!$H$27:$H$48)),IF(B478="高二",IF($E478="男",LOOKUP(F478,[1]对照表!$F$3:$F$24,[1]对照表!$H$3:$H$24),LOOKUP(F478,[1]对照表!$F$27:$F$48,[1]对照表!$H$27:$H$48)),IF(B478="高一",IF($E478="男",LOOKUP(F478,[1]对照表!$E$3:$E$24,[1]对照表!$H$3:$H$24),LOOKUP(F478,[1]对照表!$E$27:$E$48,[1]对照表!$H$27:$H$48)))))</f>
        <v>74</v>
      </c>
      <c r="H478" s="38">
        <v>25</v>
      </c>
      <c r="I478" s="32">
        <f>IF(B478="高三",IF($E478="男",LOOKUP(H478,[1]对照表!$K$3:$K$24,[1]对照表!$L$3:$L$24),LOOKUP(H478,[1]对照表!$K$27:$K$48,[1]对照表!$L$27:$L$48)),IF(B478="高二",IF($E478="男",LOOKUP(H478,[1]对照表!$J$3:$J$24,[1]对照表!$L$3:$L$24),LOOKUP(H478,[1]对照表!$J$27:$J$48,[1]对照表!$L$27:$L$48)),IF(B478="高一",IF($E478="男",LOOKUP(H478,[1]对照表!$I$3:$I$24,[1]对照表!$L$3:$L$24),LOOKUP(H478,[1]对照表!$I$27:$I$48,[1]对照表!$L$27:$L$48)))))</f>
        <v>100</v>
      </c>
      <c r="J478" s="38">
        <v>236</v>
      </c>
      <c r="K478" s="32">
        <f>IF(B478="高三",IF($E478="男",LOOKUP(J478,[1]对照表!$O$3:$O$24,[1]对照表!$P$3:$P$24),LOOKUP(J478,[1]对照表!$O$27:$O$48,[1]对照表!$P$27:$P$48)),IF(B478="高二",IF($E478="男",LOOKUP(J478,[1]对照表!$N$3:$N$24,[1]对照表!$P$3:$P$24),LOOKUP(J478,[1]对照表!$N$27:$N$48,[1]对照表!$P$27:$P$48)),IF(B478="高一",IF($E478="男",LOOKUP(J478,[1]对照表!$M$3:$M$24,[1]对照表!$P$3:$P$24),LOOKUP(J478,[1]对照表!$M$27:$M$48,[1]对照表!$P$27:$P$48)))))</f>
        <v>78</v>
      </c>
      <c r="L478" s="38">
        <v>12</v>
      </c>
      <c r="M478" s="32">
        <f>IF(B478="高三",IF($E478="男",LOOKUP(L478,[1]对照表!$S$3:$S$24,[1]对照表!$T$3:$T$24),LOOKUP(L478,[1]对照表!$S$27:$S$48,[1]对照表!$T$27:$T$48)),IF(B478="高二",IF($E478="男",LOOKUP(L478,[1]对照表!$R$3:$R$24,[1]对照表!$T$3:$T$24),LOOKUP(L478,[1]对照表!$R$27:$R$48,[1]对照表!$T$27:$T$48)),IF(B478="高一",IF($E478="男",LOOKUP(L478,[1]对照表!$Q$3:$Q$24,[1]对照表!$T$3:$T$24),LOOKUP(L478,[1]对照表!$Q$27:$Q$48,[1]对照表!$T$27:$T$48)))))</f>
        <v>76</v>
      </c>
      <c r="N478" s="33">
        <f>IF(B478="高三",MAX(IF(E478="男",L478-18,L478-55),0),IF(B478="高二",MAX(IF(E478="男",L478-17,L478-54),0),IF(B478="高一",MAX(IF(E478="男",L478-16,L478-53),0))))</f>
        <v>0</v>
      </c>
      <c r="O478" s="23">
        <f>IF(E478="男",LOOKUP($N478,[1]对照表!$Z$3:$Z$13,[1]对照表!$AA$3:$AA$13),LOOKUP($N478,[1]对照表!$Z$15:$Z$25,[1]对照表!$AA$15:$AA$25))</f>
        <v>0</v>
      </c>
      <c r="P478" s="25">
        <f>M478+O478</f>
        <v>76</v>
      </c>
      <c r="Q478" s="38">
        <v>3.31</v>
      </c>
      <c r="R478" s="32">
        <f>IF(B478="高三",IF($E478="男",LOOKUP(Q478,[1]对照表!$W$3:$W$24,[1]对照表!$X$3:$X$24),LOOKUP(Q478,[1]对照表!$W$27:$W$48,[1]对照表!$X$27:$X$48)),IF(B478="高二",IF($E478="男",LOOKUP(Q478,[1]对照表!$V$3:$V$24,[1]对照表!$X$3:$X$24),LOOKUP(Q478,[1]对照表!$V$27:$V$48,[1]对照表!$X$27:$X$48)),IF(B478="高一",IF($E478="男",LOOKUP(Q478,[1]对照表!$U$3:$U$24,[1]对照表!$X$3:$X$24),LOOKUP(Q478,[1]对照表!$U$27:$U$48,[1]对照表!$X$27:$X$48)))))</f>
        <v>90</v>
      </c>
      <c r="S478" s="33">
        <f>ROUND(IF(IF($B478="高三",MIN(IF($E478="男",$Q478-3.2,$Q478-3.2),0),IF($B478="高二",MIN(IF($E478="男",$Q478-3.25,$Q478-3.22),0),IF($B478="高一",MIN(IF($E478="男",$Q478-3.3,$Q478-3.24),0))))&lt;-0.6,IF($B478="高三",MIN(IF($E478="男",$Q478-3.2,$Q478-3.2),0),IF($B478="高二",MIN(IF($E478="男",$Q478-3.25,$Q478-3.22),0),IF($B478="高一",MIN(IF($E478="男",$Q478-3.3,$Q478-3.24),0))))+0.4,IF($B478="高三",MIN(IF($E478="男",$Q478-3.2,$Q478-3.2),0),IF($B478="高二",MIN(IF($E478="男",$Q478-3.25,$Q478-3.22),0),IF($B478="高一",MIN(IF($E478="男",$Q478-3.3,$Q478-3.24),0))))),2)</f>
        <v>0</v>
      </c>
      <c r="T478" s="23">
        <f>IF(E478="男",LOOKUP($S478,[1]对照表!$AB$3:$AB$13,[1]对照表!$AC$3:$AC$13),LOOKUP($S478,[1]对照表!$AB$15:$AB$25,[1]对照表!$AC$15:$AC$25))</f>
        <v>0</v>
      </c>
      <c r="U478" s="26">
        <f>R478+T478</f>
        <v>90</v>
      </c>
      <c r="V478" s="26">
        <f>SUM(I478,K478,M478)/3*0.3+SUM(G478,R478)/2*0.4</f>
        <v>58.2</v>
      </c>
      <c r="W478" s="27">
        <f>O478+T478</f>
        <v>0</v>
      </c>
      <c r="X478" s="28">
        <f>V478/0.7+W478</f>
        <v>83.142857142857153</v>
      </c>
      <c r="Y478" s="28">
        <f>X478</f>
        <v>83.142857142857153</v>
      </c>
      <c r="Z478" s="38"/>
    </row>
    <row r="479" spans="1:26" ht="15.6" x14ac:dyDescent="0.25">
      <c r="A479" s="48">
        <v>20</v>
      </c>
      <c r="B479" s="17" t="s">
        <v>767</v>
      </c>
      <c r="C479" s="48">
        <v>211</v>
      </c>
      <c r="D479" s="49" t="s">
        <v>1194</v>
      </c>
      <c r="E479" s="48" t="s">
        <v>23</v>
      </c>
      <c r="F479" s="38">
        <v>7.5</v>
      </c>
      <c r="G479" s="32">
        <f>IF(B479="高三",IF($E479="男",LOOKUP(F479,[1]对照表!$G$3:$G$24,[1]对照表!$H$3:$H$24),LOOKUP(F479,[1]对照表!$G$27:$G$48,[1]对照表!$H$27:$H$48)),IF(B479="高二",IF($E479="男",LOOKUP(F479,[1]对照表!$F$3:$F$24,[1]对照表!$H$3:$H$24),LOOKUP(F479,[1]对照表!$F$27:$F$48,[1]对照表!$H$27:$H$48)),IF(B479="高一",IF($E479="男",LOOKUP(F479,[1]对照表!$E$3:$E$24,[1]对照表!$H$3:$H$24),LOOKUP(F479,[1]对照表!$E$27:$E$48,[1]对照表!$H$27:$H$48)))))</f>
        <v>78</v>
      </c>
      <c r="H479" s="38">
        <v>25</v>
      </c>
      <c r="I479" s="32">
        <f>IF(B479="高三",IF($E479="男",LOOKUP(H479,[1]对照表!$K$3:$K$24,[1]对照表!$L$3:$L$24),LOOKUP(H479,[1]对照表!$K$27:$K$48,[1]对照表!$L$27:$L$48)),IF(B479="高二",IF($E479="男",LOOKUP(H479,[1]对照表!$J$3:$J$24,[1]对照表!$L$3:$L$24),LOOKUP(H479,[1]对照表!$J$27:$J$48,[1]对照表!$L$27:$L$48)),IF(B479="高一",IF($E479="男",LOOKUP(H479,[1]对照表!$I$3:$I$24,[1]对照表!$L$3:$L$24),LOOKUP(H479,[1]对照表!$I$27:$I$48,[1]对照表!$L$27:$L$48)))))</f>
        <v>100</v>
      </c>
      <c r="J479" s="38">
        <v>255</v>
      </c>
      <c r="K479" s="32">
        <f>IF(B479="高三",IF($E479="男",LOOKUP(J479,[1]对照表!$O$3:$O$24,[1]对照表!$P$3:$P$24),LOOKUP(J479,[1]对照表!$O$27:$O$48,[1]对照表!$P$27:$P$48)),IF(B479="高二",IF($E479="男",LOOKUP(J479,[1]对照表!$N$3:$N$24,[1]对照表!$P$3:$P$24),LOOKUP(J479,[1]对照表!$N$27:$N$48,[1]对照表!$P$27:$P$48)),IF(B479="高一",IF($E479="男",LOOKUP(J479,[1]对照表!$M$3:$M$24,[1]对照表!$P$3:$P$24),LOOKUP(J479,[1]对照表!$M$27:$M$48,[1]对照表!$P$27:$P$48)))))</f>
        <v>90</v>
      </c>
      <c r="L479" s="38">
        <v>9</v>
      </c>
      <c r="M479" s="32">
        <f>IF(B479="高三",IF($E479="男",LOOKUP(L479,[1]对照表!$S$3:$S$24,[1]对照表!$T$3:$T$24),LOOKUP(L479,[1]对照表!$S$27:$S$48,[1]对照表!$T$27:$T$48)),IF(B479="高二",IF($E479="男",LOOKUP(L479,[1]对照表!$R$3:$R$24,[1]对照表!$T$3:$T$24),LOOKUP(L479,[1]对照表!$R$27:$R$48,[1]对照表!$T$27:$T$48)),IF(B479="高一",IF($E479="男",LOOKUP(L479,[1]对照表!$Q$3:$Q$24,[1]对照表!$T$3:$T$24),LOOKUP(L479,[1]对照表!$Q$27:$Q$48,[1]对照表!$T$27:$T$48)))))</f>
        <v>64</v>
      </c>
      <c r="N479" s="33">
        <f>IF(B479="高三",MAX(IF(E479="男",L479-18,L479-55),0),IF(B479="高二",MAX(IF(E479="男",L479-17,L479-54),0),IF(B479="高一",MAX(IF(E479="男",L479-16,L479-53),0))))</f>
        <v>0</v>
      </c>
      <c r="O479" s="23">
        <f>IF(E479="男",LOOKUP($N479,[1]对照表!$Z$3:$Z$13,[1]对照表!$AA$3:$AA$13),LOOKUP($N479,[1]对照表!$Z$15:$Z$25,[1]对照表!$AA$15:$AA$25))</f>
        <v>0</v>
      </c>
      <c r="P479" s="25">
        <f>M479+O479</f>
        <v>64</v>
      </c>
      <c r="Q479" s="38">
        <v>3.45</v>
      </c>
      <c r="R479" s="32">
        <f>IF(B479="高三",IF($E479="男",LOOKUP(Q479,[1]对照表!$W$3:$W$24,[1]对照表!$X$3:$X$24),LOOKUP(Q479,[1]对照表!$W$27:$W$48,[1]对照表!$X$27:$X$48)),IF(B479="高二",IF($E479="男",LOOKUP(Q479,[1]对照表!$V$3:$V$24,[1]对照表!$X$3:$X$24),LOOKUP(Q479,[1]对照表!$V$27:$V$48,[1]对照表!$X$27:$X$48)),IF(B479="高一",IF($E479="男",LOOKUP(Q479,[1]对照表!$U$3:$U$24,[1]对照表!$X$3:$X$24),LOOKUP(Q479,[1]对照表!$U$27:$U$48,[1]对照表!$X$27:$X$48)))))</f>
        <v>80</v>
      </c>
      <c r="S479" s="33">
        <f>ROUND(IF(IF($B479="高三",MIN(IF($E479="男",$Q479-3.2,$Q479-3.2),0),IF($B479="高二",MIN(IF($E479="男",$Q479-3.25,$Q479-3.22),0),IF($B479="高一",MIN(IF($E479="男",$Q479-3.3,$Q479-3.24),0))))&lt;-0.6,IF($B479="高三",MIN(IF($E479="男",$Q479-3.2,$Q479-3.2),0),IF($B479="高二",MIN(IF($E479="男",$Q479-3.25,$Q479-3.22),0),IF($B479="高一",MIN(IF($E479="男",$Q479-3.3,$Q479-3.24),0))))+0.4,IF($B479="高三",MIN(IF($E479="男",$Q479-3.2,$Q479-3.2),0),IF($B479="高二",MIN(IF($E479="男",$Q479-3.25,$Q479-3.22),0),IF($B479="高一",MIN(IF($E479="男",$Q479-3.3,$Q479-3.24),0))))),2)</f>
        <v>0</v>
      </c>
      <c r="T479" s="23">
        <f>IF(E479="男",LOOKUP($S479,[1]对照表!$AB$3:$AB$13,[1]对照表!$AC$3:$AC$13),LOOKUP($S479,[1]对照表!$AB$15:$AB$25,[1]对照表!$AC$15:$AC$25))</f>
        <v>0</v>
      </c>
      <c r="U479" s="26">
        <f>R479+T479</f>
        <v>80</v>
      </c>
      <c r="V479" s="26">
        <f>SUM(I479,K479,M479)/3*0.3+SUM(G479,R479)/2*0.4</f>
        <v>57</v>
      </c>
      <c r="W479" s="27">
        <f>O479+T479</f>
        <v>0</v>
      </c>
      <c r="X479" s="28">
        <f>V479/0.7+W479</f>
        <v>81.428571428571431</v>
      </c>
      <c r="Y479" s="28">
        <f>X479</f>
        <v>81.428571428571431</v>
      </c>
      <c r="Z479" s="38"/>
    </row>
    <row r="480" spans="1:26" ht="15.6" x14ac:dyDescent="0.25">
      <c r="A480" s="48">
        <v>41</v>
      </c>
      <c r="B480" s="17" t="s">
        <v>767</v>
      </c>
      <c r="C480" s="48">
        <v>211</v>
      </c>
      <c r="D480" s="49" t="s">
        <v>1201</v>
      </c>
      <c r="E480" s="48" t="s">
        <v>65</v>
      </c>
      <c r="F480" s="38">
        <v>9.31</v>
      </c>
      <c r="G480" s="32">
        <f>IF(B480="高三",IF($E480="男",LOOKUP(F480,[1]对照表!$G$3:$G$24,[1]对照表!$H$3:$H$24),LOOKUP(F480,[1]对照表!$G$27:$G$48,[1]对照表!$H$27:$H$48)),IF(B480="高二",IF($E480="男",LOOKUP(F480,[1]对照表!$F$3:$F$24,[1]对照表!$H$3:$H$24),LOOKUP(F480,[1]对照表!$F$27:$F$48,[1]对照表!$H$27:$H$48)),IF(B480="高一",IF($E480="男",LOOKUP(F480,[1]对照表!$E$3:$E$24,[1]对照表!$H$3:$H$24),LOOKUP(F480,[1]对照表!$E$27:$E$48,[1]对照表!$H$27:$H$48)))))</f>
        <v>70</v>
      </c>
      <c r="H480" s="38">
        <v>16.2</v>
      </c>
      <c r="I480" s="32">
        <f>IF(B480="高三",IF($E480="男",LOOKUP(H480,[1]对照表!$K$3:$K$24,[1]对照表!$L$3:$L$24),LOOKUP(H480,[1]对照表!$K$27:$K$48,[1]对照表!$L$27:$L$48)),IF(B480="高二",IF($E480="男",LOOKUP(H480,[1]对照表!$J$3:$J$24,[1]对照表!$L$3:$L$24),LOOKUP(H480,[1]对照表!$J$27:$J$48,[1]对照表!$L$27:$L$48)),IF(B480="高一",IF($E480="男",LOOKUP(H480,[1]对照表!$I$3:$I$24,[1]对照表!$L$3:$L$24),LOOKUP(H480,[1]对照表!$I$27:$I$48,[1]对照表!$L$27:$L$48)))))</f>
        <v>76</v>
      </c>
      <c r="J480" s="38">
        <v>147</v>
      </c>
      <c r="K480" s="32">
        <f>IF(B480="高三",IF($E480="男",LOOKUP(J480,[1]对照表!$O$3:$O$24,[1]对照表!$P$3:$P$24),LOOKUP(J480,[1]对照表!$O$27:$O$48,[1]对照表!$P$27:$P$48)),IF(B480="高二",IF($E480="男",LOOKUP(J480,[1]对照表!$N$3:$N$24,[1]对照表!$P$3:$P$24),LOOKUP(J480,[1]对照表!$N$27:$N$48,[1]对照表!$P$27:$P$48)),IF(B480="高一",IF($E480="男",LOOKUP(J480,[1]对照表!$M$3:$M$24,[1]对照表!$P$3:$P$24),LOOKUP(J480,[1]对照表!$M$27:$M$48,[1]对照表!$P$27:$P$48)))))</f>
        <v>50</v>
      </c>
      <c r="L480" s="38">
        <v>46</v>
      </c>
      <c r="M480" s="32">
        <f>IF(B480="高三",IF($E480="男",LOOKUP(L480,[1]对照表!$S$3:$S$24,[1]对照表!$T$3:$T$24),LOOKUP(L480,[1]对照表!$S$27:$S$48,[1]对照表!$T$27:$T$48)),IF(B480="高二",IF($E480="男",LOOKUP(L480,[1]对照表!$R$3:$R$24,[1]对照表!$T$3:$T$24),LOOKUP(L480,[1]对照表!$R$27:$R$48,[1]对照表!$T$27:$T$48)),IF(B480="高一",IF($E480="男",LOOKUP(L480,[1]对照表!$Q$3:$Q$24,[1]对照表!$T$3:$T$24),LOOKUP(L480,[1]对照表!$Q$27:$Q$48,[1]对照表!$T$27:$T$48)))))</f>
        <v>80</v>
      </c>
      <c r="N480" s="33">
        <f>IF(B480="高三",MAX(IF(E480="男",L480-18,L480-55),0),IF(B480="高二",MAX(IF(E480="男",L480-17,L480-54),0),IF(B480="高一",MAX(IF(E480="男",L480-16,L480-53),0))))</f>
        <v>0</v>
      </c>
      <c r="O480" s="23">
        <f>IF(E480="男",LOOKUP($N480,[1]对照表!$Z$3:$Z$13,[1]对照表!$AA$3:$AA$13),LOOKUP($N480,[1]对照表!$Z$15:$Z$25,[1]对照表!$AA$15:$AA$25))</f>
        <v>0</v>
      </c>
      <c r="P480" s="25">
        <f>M480+O480</f>
        <v>80</v>
      </c>
      <c r="Q480" s="38">
        <v>3.4</v>
      </c>
      <c r="R480" s="32">
        <f>IF(B480="高三",IF($E480="男",LOOKUP(Q480,[1]对照表!$W$3:$W$24,[1]对照表!$X$3:$X$24),LOOKUP(Q480,[1]对照表!$W$27:$W$48,[1]对照表!$X$27:$X$48)),IF(B480="高二",IF($E480="男",LOOKUP(Q480,[1]对照表!$V$3:$V$24,[1]对照表!$X$3:$X$24),LOOKUP(Q480,[1]对照表!$V$27:$V$48,[1]对照表!$X$27:$X$48)),IF(B480="高一",IF($E480="男",LOOKUP(Q480,[1]对照表!$U$3:$U$24,[1]对照表!$X$3:$X$24),LOOKUP(Q480,[1]对照表!$U$27:$U$48,[1]对照表!$X$27:$X$48)))))</f>
        <v>85</v>
      </c>
      <c r="S480" s="33">
        <f>ROUND(IF(IF($B480="高三",MIN(IF($E480="男",$Q480-3.2,$Q480-3.2),0),IF($B480="高二",MIN(IF($E480="男",$Q480-3.25,$Q480-3.22),0),IF($B480="高一",MIN(IF($E480="男",$Q480-3.3,$Q480-3.24),0))))&lt;-0.6,IF($B480="高三",MIN(IF($E480="男",$Q480-3.2,$Q480-3.2),0),IF($B480="高二",MIN(IF($E480="男",$Q480-3.25,$Q480-3.22),0),IF($B480="高一",MIN(IF($E480="男",$Q480-3.3,$Q480-3.24),0))))+0.4,IF($B480="高三",MIN(IF($E480="男",$Q480-3.2,$Q480-3.2),0),IF($B480="高二",MIN(IF($E480="男",$Q480-3.25,$Q480-3.22),0),IF($B480="高一",MIN(IF($E480="男",$Q480-3.3,$Q480-3.24),0))))),2)</f>
        <v>0</v>
      </c>
      <c r="T480" s="23">
        <f>IF(E480="男",LOOKUP($S480,[1]对照表!$AB$3:$AB$13,[1]对照表!$AC$3:$AC$13),LOOKUP($S480,[1]对照表!$AB$15:$AB$25,[1]对照表!$AC$15:$AC$25))</f>
        <v>0</v>
      </c>
      <c r="U480" s="26">
        <f>R480+T480</f>
        <v>85</v>
      </c>
      <c r="V480" s="26">
        <f>SUM(I480,K480,M480)/3*0.3+SUM(G480,R480)/2*0.4</f>
        <v>51.6</v>
      </c>
      <c r="W480" s="27">
        <f>O480+T480</f>
        <v>0</v>
      </c>
      <c r="X480" s="28">
        <f>V480/0.7+W480</f>
        <v>73.714285714285722</v>
      </c>
      <c r="Y480" s="28">
        <f>X480</f>
        <v>73.714285714285722</v>
      </c>
      <c r="Z480" s="38"/>
    </row>
    <row r="481" spans="1:26" ht="15.6" x14ac:dyDescent="0.25">
      <c r="A481" s="48">
        <v>22</v>
      </c>
      <c r="B481" s="17" t="s">
        <v>767</v>
      </c>
      <c r="C481" s="48">
        <v>211</v>
      </c>
      <c r="D481" s="49" t="s">
        <v>1247</v>
      </c>
      <c r="E481" s="48" t="s">
        <v>23</v>
      </c>
      <c r="F481" s="38">
        <v>7.4</v>
      </c>
      <c r="G481" s="32">
        <f>IF(B481="高三",IF($E481="男",LOOKUP(F481,[1]对照表!$G$3:$G$24,[1]对照表!$H$3:$H$24),LOOKUP(F481,[1]对照表!$G$27:$G$48,[1]对照表!$H$27:$H$48)),IF(B481="高二",IF($E481="男",LOOKUP(F481,[1]对照表!$F$3:$F$24,[1]对照表!$H$3:$H$24),LOOKUP(F481,[1]对照表!$F$27:$F$48,[1]对照表!$H$27:$H$48)),IF(B481="高一",IF($E481="男",LOOKUP(F481,[1]对照表!$E$3:$E$24,[1]对照表!$H$3:$H$24),LOOKUP(F481,[1]对照表!$E$27:$E$48,[1]对照表!$H$27:$H$48)))))</f>
        <v>80</v>
      </c>
      <c r="H481" s="38">
        <v>13</v>
      </c>
      <c r="I481" s="32">
        <f>IF(B481="高三",IF($E481="男",LOOKUP(H481,[1]对照表!$K$3:$K$24,[1]对照表!$L$3:$L$24),LOOKUP(H481,[1]对照表!$K$27:$K$48,[1]对照表!$L$27:$L$48)),IF(B481="高二",IF($E481="男",LOOKUP(H481,[1]对照表!$J$3:$J$24,[1]对照表!$L$3:$L$24),LOOKUP(H481,[1]对照表!$J$27:$J$48,[1]对照表!$L$27:$L$48)),IF(B481="高一",IF($E481="男",LOOKUP(H481,[1]对照表!$I$3:$I$24,[1]对照表!$L$3:$L$24),LOOKUP(H481,[1]对照表!$I$27:$I$48,[1]对照表!$L$27:$L$48)))))</f>
        <v>74</v>
      </c>
      <c r="J481" s="38">
        <v>225</v>
      </c>
      <c r="K481" s="32">
        <f>IF(B481="高三",IF($E481="男",LOOKUP(J481,[1]对照表!$O$3:$O$24,[1]对照表!$P$3:$P$24),LOOKUP(J481,[1]对照表!$O$27:$O$48,[1]对照表!$P$27:$P$48)),IF(B481="高二",IF($E481="男",LOOKUP(J481,[1]对照表!$N$3:$N$24,[1]对照表!$P$3:$P$24),LOOKUP(J481,[1]对照表!$N$27:$N$48,[1]对照表!$P$27:$P$48)),IF(B481="高一",IF($E481="男",LOOKUP(J481,[1]对照表!$M$3:$M$24,[1]对照表!$P$3:$P$24),LOOKUP(J481,[1]对照表!$M$27:$M$48,[1]对照表!$P$27:$P$48)))))</f>
        <v>72</v>
      </c>
      <c r="L481" s="38">
        <v>9</v>
      </c>
      <c r="M481" s="32">
        <f>IF(B481="高三",IF($E481="男",LOOKUP(L481,[1]对照表!$S$3:$S$24,[1]对照表!$T$3:$T$24),LOOKUP(L481,[1]对照表!$S$27:$S$48,[1]对照表!$T$27:$T$48)),IF(B481="高二",IF($E481="男",LOOKUP(L481,[1]对照表!$R$3:$R$24,[1]对照表!$T$3:$T$24),LOOKUP(L481,[1]对照表!$R$27:$R$48,[1]对照表!$T$27:$T$48)),IF(B481="高一",IF($E481="男",LOOKUP(L481,[1]对照表!$Q$3:$Q$24,[1]对照表!$T$3:$T$24),LOOKUP(L481,[1]对照表!$Q$27:$Q$48,[1]对照表!$T$27:$T$48)))))</f>
        <v>64</v>
      </c>
      <c r="N481" s="33">
        <f>IF(B481="高三",MAX(IF(E481="男",L481-18,L481-55),0),IF(B481="高二",MAX(IF(E481="男",L481-17,L481-54),0),IF(B481="高一",MAX(IF(E481="男",L481-16,L481-53),0))))</f>
        <v>0</v>
      </c>
      <c r="O481" s="23">
        <f>IF(E481="男",LOOKUP($N481,[1]对照表!$Z$3:$Z$13,[1]对照表!$AA$3:$AA$13),LOOKUP($N481,[1]对照表!$Z$15:$Z$25,[1]对照表!$AA$15:$AA$25))</f>
        <v>0</v>
      </c>
      <c r="P481" s="25">
        <f>M481+O481</f>
        <v>64</v>
      </c>
      <c r="Q481" s="38">
        <v>3.33</v>
      </c>
      <c r="R481" s="32">
        <f>IF(B481="高三",IF($E481="男",LOOKUP(Q481,[1]对照表!$W$3:$W$24,[1]对照表!$X$3:$X$24),LOOKUP(Q481,[1]对照表!$W$27:$W$48,[1]对照表!$X$27:$X$48)),IF(B481="高二",IF($E481="男",LOOKUP(Q481,[1]对照表!$V$3:$V$24,[1]对照表!$X$3:$X$24),LOOKUP(Q481,[1]对照表!$V$27:$V$48,[1]对照表!$X$27:$X$48)),IF(B481="高一",IF($E481="男",LOOKUP(Q481,[1]对照表!$U$3:$U$24,[1]对照表!$X$3:$X$24),LOOKUP(Q481,[1]对照表!$U$27:$U$48,[1]对照表!$X$27:$X$48)))))</f>
        <v>90</v>
      </c>
      <c r="S481" s="33">
        <f>ROUND(IF(IF($B481="高三",MIN(IF($E481="男",$Q481-3.2,$Q481-3.2),0),IF($B481="高二",MIN(IF($E481="男",$Q481-3.25,$Q481-3.22),0),IF($B481="高一",MIN(IF($E481="男",$Q481-3.3,$Q481-3.24),0))))&lt;-0.6,IF($B481="高三",MIN(IF($E481="男",$Q481-3.2,$Q481-3.2),0),IF($B481="高二",MIN(IF($E481="男",$Q481-3.25,$Q481-3.22),0),IF($B481="高一",MIN(IF($E481="男",$Q481-3.3,$Q481-3.24),0))))+0.4,IF($B481="高三",MIN(IF($E481="男",$Q481-3.2,$Q481-3.2),0),IF($B481="高二",MIN(IF($E481="男",$Q481-3.25,$Q481-3.22),0),IF($B481="高一",MIN(IF($E481="男",$Q481-3.3,$Q481-3.24),0))))),2)</f>
        <v>0</v>
      </c>
      <c r="T481" s="23">
        <f>IF(E481="男",LOOKUP($S481,[1]对照表!$AB$3:$AB$13,[1]对照表!$AC$3:$AC$13),LOOKUP($S481,[1]对照表!$AB$15:$AB$25,[1]对照表!$AC$15:$AC$25))</f>
        <v>0</v>
      </c>
      <c r="U481" s="26">
        <f>R481+T481</f>
        <v>90</v>
      </c>
      <c r="V481" s="26">
        <f>SUM(I481,K481,M481)/3*0.3+SUM(G481,R481)/2*0.4</f>
        <v>55</v>
      </c>
      <c r="W481" s="27">
        <f>O481+T481</f>
        <v>0</v>
      </c>
      <c r="X481" s="28">
        <f>V481/0.7+W481</f>
        <v>78.571428571428569</v>
      </c>
      <c r="Y481" s="28">
        <f>X481</f>
        <v>78.571428571428569</v>
      </c>
      <c r="Z481" s="38"/>
    </row>
    <row r="482" spans="1:26" ht="15.6" x14ac:dyDescent="0.25">
      <c r="A482" s="48">
        <v>29</v>
      </c>
      <c r="B482" s="17" t="s">
        <v>767</v>
      </c>
      <c r="C482" s="48">
        <v>211</v>
      </c>
      <c r="D482" s="49" t="s">
        <v>1252</v>
      </c>
      <c r="E482" s="48" t="s">
        <v>65</v>
      </c>
      <c r="F482" s="38">
        <v>10.01</v>
      </c>
      <c r="G482" s="32">
        <f>IF(B482="高三",IF($E482="男",LOOKUP(F482,[1]对照表!$G$3:$G$24,[1]对照表!$H$3:$H$24),LOOKUP(F482,[1]对照表!$G$27:$G$48,[1]对照表!$H$27:$H$48)),IF(B482="高二",IF($E482="男",LOOKUP(F482,[1]对照表!$F$3:$F$24,[1]对照表!$H$3:$H$24),LOOKUP(F482,[1]对照表!$F$27:$F$48,[1]对照表!$H$27:$H$48)),IF(B482="高一",IF($E482="男",LOOKUP(F482,[1]对照表!$E$3:$E$24,[1]对照表!$H$3:$H$24),LOOKUP(F482,[1]对照表!$E$27:$E$48,[1]对照表!$H$27:$H$48)))))</f>
        <v>64</v>
      </c>
      <c r="H482" s="38">
        <v>18</v>
      </c>
      <c r="I482" s="32">
        <f>IF(B482="高三",IF($E482="男",LOOKUP(H482,[1]对照表!$K$3:$K$24,[1]对照表!$L$3:$L$24),LOOKUP(H482,[1]对照表!$K$27:$K$48,[1]对照表!$L$27:$L$48)),IF(B482="高二",IF($E482="男",LOOKUP(H482,[1]对照表!$J$3:$J$24,[1]对照表!$L$3:$L$24),LOOKUP(H482,[1]对照表!$J$27:$J$48,[1]对照表!$L$27:$L$48)),IF(B482="高一",IF($E482="男",LOOKUP(H482,[1]对照表!$I$3:$I$24,[1]对照表!$L$3:$L$24),LOOKUP(H482,[1]对照表!$I$27:$I$48,[1]对照表!$L$27:$L$48)))))</f>
        <v>80</v>
      </c>
      <c r="J482" s="38">
        <v>144</v>
      </c>
      <c r="K482" s="32">
        <f>IF(B482="高三",IF($E482="男",LOOKUP(J482,[1]对照表!$O$3:$O$24,[1]对照表!$P$3:$P$24),LOOKUP(J482,[1]对照表!$O$27:$O$48,[1]对照表!$P$27:$P$48)),IF(B482="高二",IF($E482="男",LOOKUP(J482,[1]对照表!$N$3:$N$24,[1]对照表!$P$3:$P$24),LOOKUP(J482,[1]对照表!$N$27:$N$48,[1]对照表!$P$27:$P$48)),IF(B482="高一",IF($E482="男",LOOKUP(J482,[1]对照表!$M$3:$M$24,[1]对照表!$P$3:$P$24),LOOKUP(J482,[1]对照表!$M$27:$M$48,[1]对照表!$P$27:$P$48)))))</f>
        <v>50</v>
      </c>
      <c r="L482" s="38">
        <v>53</v>
      </c>
      <c r="M482" s="32">
        <f>IF(B482="高三",IF($E482="男",LOOKUP(L482,[1]对照表!$S$3:$S$24,[1]对照表!$T$3:$T$24),LOOKUP(L482,[1]对照表!$S$27:$S$48,[1]对照表!$T$27:$T$48)),IF(B482="高二",IF($E482="男",LOOKUP(L482,[1]对照表!$R$3:$R$24,[1]对照表!$T$3:$T$24),LOOKUP(L482,[1]对照表!$R$27:$R$48,[1]对照表!$T$27:$T$48)),IF(B482="高一",IF($E482="男",LOOKUP(L482,[1]对照表!$Q$3:$Q$24,[1]对照表!$T$3:$T$24),LOOKUP(L482,[1]对照表!$Q$27:$Q$48,[1]对照表!$T$27:$T$48)))))</f>
        <v>95</v>
      </c>
      <c r="N482" s="33">
        <f>IF(B482="高三",MAX(IF(E482="男",L482-18,L482-55),0),IF(B482="高二",MAX(IF(E482="男",L482-17,L482-54),0),IF(B482="高一",MAX(IF(E482="男",L482-16,L482-53),0))))</f>
        <v>0</v>
      </c>
      <c r="O482" s="23">
        <f>IF(E482="男",LOOKUP($N482,[1]对照表!$Z$3:$Z$13,[1]对照表!$AA$3:$AA$13),LOOKUP($N482,[1]对照表!$Z$15:$Z$25,[1]对照表!$AA$15:$AA$25))</f>
        <v>0</v>
      </c>
      <c r="P482" s="25">
        <f>M482+O482</f>
        <v>95</v>
      </c>
      <c r="Q482" s="38">
        <v>4.0599999999999996</v>
      </c>
      <c r="R482" s="32">
        <f>IF(B482="高三",IF($E482="男",LOOKUP(Q482,[1]对照表!$W$3:$W$24,[1]对照表!$X$3:$X$24),LOOKUP(Q482,[1]对照表!$W$27:$W$48,[1]对照表!$X$27:$X$48)),IF(B482="高二",IF($E482="男",LOOKUP(Q482,[1]对照表!$V$3:$V$24,[1]对照表!$X$3:$X$24),LOOKUP(Q482,[1]对照表!$V$27:$V$48,[1]对照表!$X$27:$X$48)),IF(B482="高一",IF($E482="男",LOOKUP(Q482,[1]对照表!$U$3:$U$24,[1]对照表!$X$3:$X$24),LOOKUP(Q482,[1]对照表!$U$27:$U$48,[1]对照表!$X$27:$X$48)))))</f>
        <v>72</v>
      </c>
      <c r="S482" s="33">
        <f>ROUND(IF(IF($B482="高三",MIN(IF($E482="男",$Q482-3.2,$Q482-3.2),0),IF($B482="高二",MIN(IF($E482="男",$Q482-3.25,$Q482-3.22),0),IF($B482="高一",MIN(IF($E482="男",$Q482-3.3,$Q482-3.24),0))))&lt;-0.6,IF($B482="高三",MIN(IF($E482="男",$Q482-3.2,$Q482-3.2),0),IF($B482="高二",MIN(IF($E482="男",$Q482-3.25,$Q482-3.22),0),IF($B482="高一",MIN(IF($E482="男",$Q482-3.3,$Q482-3.24),0))))+0.4,IF($B482="高三",MIN(IF($E482="男",$Q482-3.2,$Q482-3.2),0),IF($B482="高二",MIN(IF($E482="男",$Q482-3.25,$Q482-3.22),0),IF($B482="高一",MIN(IF($E482="男",$Q482-3.3,$Q482-3.24),0))))),2)</f>
        <v>0</v>
      </c>
      <c r="T482" s="23">
        <f>IF(E482="男",LOOKUP($S482,[1]对照表!$AB$3:$AB$13,[1]对照表!$AC$3:$AC$13),LOOKUP($S482,[1]对照表!$AB$15:$AB$25,[1]对照表!$AC$15:$AC$25))</f>
        <v>0</v>
      </c>
      <c r="U482" s="26">
        <f>R482+T482</f>
        <v>72</v>
      </c>
      <c r="V482" s="26">
        <f>SUM(I482,K482,M482)/3*0.3+SUM(G482,R482)/2*0.4</f>
        <v>49.7</v>
      </c>
      <c r="W482" s="27">
        <f>O482+T482</f>
        <v>0</v>
      </c>
      <c r="X482" s="28">
        <f>V482/0.7+W482</f>
        <v>71.000000000000014</v>
      </c>
      <c r="Y482" s="28">
        <f>X482</f>
        <v>71.000000000000014</v>
      </c>
      <c r="Z482" s="38"/>
    </row>
    <row r="483" spans="1:26" ht="15.6" x14ac:dyDescent="0.25">
      <c r="A483" s="48">
        <v>27</v>
      </c>
      <c r="B483" s="17" t="s">
        <v>767</v>
      </c>
      <c r="C483" s="48">
        <v>211</v>
      </c>
      <c r="D483" s="49" t="s">
        <v>1258</v>
      </c>
      <c r="E483" s="48" t="s">
        <v>65</v>
      </c>
      <c r="F483" s="38">
        <v>9.3000000000000007</v>
      </c>
      <c r="G483" s="32">
        <f>IF(B483="高三",IF($E483="男",LOOKUP(F483,[1]对照表!$G$3:$G$24,[1]对照表!$H$3:$H$24),LOOKUP(F483,[1]对照表!$G$27:$G$48,[1]对照表!$H$27:$H$48)),IF(B483="高二",IF($E483="男",LOOKUP(F483,[1]对照表!$F$3:$F$24,[1]对照表!$H$3:$H$24),LOOKUP(F483,[1]对照表!$F$27:$F$48,[1]对照表!$H$27:$H$48)),IF(B483="高一",IF($E483="男",LOOKUP(F483,[1]对照表!$E$3:$E$24,[1]对照表!$H$3:$H$24),LOOKUP(F483,[1]对照表!$E$27:$E$48,[1]对照表!$H$27:$H$48)))))</f>
        <v>72</v>
      </c>
      <c r="H483" s="38">
        <v>14</v>
      </c>
      <c r="I483" s="32">
        <f>IF(B483="高三",IF($E483="男",LOOKUP(H483,[1]对照表!$K$3:$K$24,[1]对照表!$L$3:$L$24),LOOKUP(H483,[1]对照表!$K$27:$K$48,[1]对照表!$L$27:$L$48)),IF(B483="高二",IF($E483="男",LOOKUP(H483,[1]对照表!$J$3:$J$24,[1]对照表!$L$3:$L$24),LOOKUP(H483,[1]对照表!$J$27:$J$48,[1]对照表!$L$27:$L$48)),IF(B483="高一",IF($E483="男",LOOKUP(H483,[1]对照表!$I$3:$I$24,[1]对照表!$L$3:$L$24),LOOKUP(H483,[1]对照表!$I$27:$I$48,[1]对照表!$L$27:$L$48)))))</f>
        <v>72</v>
      </c>
      <c r="J483" s="38">
        <v>174</v>
      </c>
      <c r="K483" s="32">
        <f>IF(B483="高三",IF($E483="男",LOOKUP(J483,[1]对照表!$O$3:$O$24,[1]对照表!$P$3:$P$24),LOOKUP(J483,[1]对照表!$O$27:$O$48,[1]对照表!$P$27:$P$48)),IF(B483="高二",IF($E483="男",LOOKUP(J483,[1]对照表!$N$3:$N$24,[1]对照表!$P$3:$P$24),LOOKUP(J483,[1]对照表!$N$27:$N$48,[1]对照表!$P$27:$P$48)),IF(B483="高一",IF($E483="男",LOOKUP(J483,[1]对照表!$M$3:$M$24,[1]对照表!$P$3:$P$24),LOOKUP(J483,[1]对照表!$M$27:$M$48,[1]对照表!$P$27:$P$48)))))</f>
        <v>76</v>
      </c>
      <c r="L483" s="38">
        <v>32</v>
      </c>
      <c r="M483" s="32">
        <f>IF(B483="高三",IF($E483="男",LOOKUP(L483,[1]对照表!$S$3:$S$24,[1]对照表!$T$3:$T$24),LOOKUP(L483,[1]对照表!$S$27:$S$48,[1]对照表!$T$27:$T$48)),IF(B483="高二",IF($E483="男",LOOKUP(L483,[1]对照表!$R$3:$R$24,[1]对照表!$T$3:$T$24),LOOKUP(L483,[1]对照表!$R$27:$R$48,[1]对照表!$T$27:$T$48)),IF(B483="高一",IF($E483="男",LOOKUP(L483,[1]对照表!$Q$3:$Q$24,[1]对照表!$T$3:$T$24),LOOKUP(L483,[1]对照表!$Q$27:$Q$48,[1]对照表!$T$27:$T$48)))))</f>
        <v>68</v>
      </c>
      <c r="N483" s="33">
        <f>IF(B483="高三",MAX(IF(E483="男",L483-18,L483-55),0),IF(B483="高二",MAX(IF(E483="男",L483-17,L483-54),0),IF(B483="高一",MAX(IF(E483="男",L483-16,L483-53),0))))</f>
        <v>0</v>
      </c>
      <c r="O483" s="23">
        <f>IF(E483="男",LOOKUP($N483,[1]对照表!$Z$3:$Z$13,[1]对照表!$AA$3:$AA$13),LOOKUP($N483,[1]对照表!$Z$15:$Z$25,[1]对照表!$AA$15:$AA$25))</f>
        <v>0</v>
      </c>
      <c r="P483" s="25">
        <f>M483+O483</f>
        <v>68</v>
      </c>
      <c r="Q483" s="38">
        <v>4.2</v>
      </c>
      <c r="R483" s="32">
        <f>IF(B483="高三",IF($E483="男",LOOKUP(Q483,[1]对照表!$W$3:$W$24,[1]对照表!$X$3:$X$24),LOOKUP(Q483,[1]对照表!$W$27:$W$48,[1]对照表!$X$27:$X$48)),IF(B483="高二",IF($E483="男",LOOKUP(Q483,[1]对照表!$V$3:$V$24,[1]对照表!$X$3:$X$24),LOOKUP(Q483,[1]对照表!$V$27:$V$48,[1]对照表!$X$27:$X$48)),IF(B483="高一",IF($E483="男",LOOKUP(Q483,[1]对照表!$U$3:$U$24,[1]对照表!$X$3:$X$24),LOOKUP(Q483,[1]对照表!$U$27:$U$48,[1]对照表!$X$27:$X$48)))))</f>
        <v>66</v>
      </c>
      <c r="S483" s="33">
        <f>ROUND(IF(IF($B483="高三",MIN(IF($E483="男",$Q483-3.2,$Q483-3.2),0),IF($B483="高二",MIN(IF($E483="男",$Q483-3.25,$Q483-3.22),0),IF($B483="高一",MIN(IF($E483="男",$Q483-3.3,$Q483-3.24),0))))&lt;-0.6,IF($B483="高三",MIN(IF($E483="男",$Q483-3.2,$Q483-3.2),0),IF($B483="高二",MIN(IF($E483="男",$Q483-3.25,$Q483-3.22),0),IF($B483="高一",MIN(IF($E483="男",$Q483-3.3,$Q483-3.24),0))))+0.4,IF($B483="高三",MIN(IF($E483="男",$Q483-3.2,$Q483-3.2),0),IF($B483="高二",MIN(IF($E483="男",$Q483-3.25,$Q483-3.22),0),IF($B483="高一",MIN(IF($E483="男",$Q483-3.3,$Q483-3.24),0))))),2)</f>
        <v>0</v>
      </c>
      <c r="T483" s="23">
        <f>IF(E483="男",LOOKUP($S483,[1]对照表!$AB$3:$AB$13,[1]对照表!$AC$3:$AC$13),LOOKUP($S483,[1]对照表!$AB$15:$AB$25,[1]对照表!$AC$15:$AC$25))</f>
        <v>0</v>
      </c>
      <c r="U483" s="26">
        <f>R483+T483</f>
        <v>66</v>
      </c>
      <c r="V483" s="26">
        <f>SUM(I483,K483,M483)/3*0.3+SUM(G483,R483)/2*0.4</f>
        <v>49.2</v>
      </c>
      <c r="W483" s="27">
        <f>O483+T483</f>
        <v>0</v>
      </c>
      <c r="X483" s="28">
        <f>V483/0.7+W483</f>
        <v>70.285714285714292</v>
      </c>
      <c r="Y483" s="28">
        <f>X483</f>
        <v>70.285714285714292</v>
      </c>
      <c r="Z483" s="38"/>
    </row>
    <row r="484" spans="1:26" ht="15.6" x14ac:dyDescent="0.25">
      <c r="A484" s="48">
        <v>44</v>
      </c>
      <c r="B484" s="17" t="s">
        <v>767</v>
      </c>
      <c r="C484" s="48">
        <v>211</v>
      </c>
      <c r="D484" s="49" t="s">
        <v>1266</v>
      </c>
      <c r="E484" s="48" t="s">
        <v>65</v>
      </c>
      <c r="F484" s="38">
        <v>8.17</v>
      </c>
      <c r="G484" s="32">
        <f>IF(B484="高三",IF($E484="男",LOOKUP(F484,[1]对照表!$G$3:$G$24,[1]对照表!$H$3:$H$24),LOOKUP(F484,[1]对照表!$G$27:$G$48,[1]对照表!$H$27:$H$48)),IF(B484="高二",IF($E484="男",LOOKUP(F484,[1]对照表!$F$3:$F$24,[1]对照表!$H$3:$H$24),LOOKUP(F484,[1]对照表!$F$27:$F$48,[1]对照表!$H$27:$H$48)),IF(B484="高一",IF($E484="男",LOOKUP(F484,[1]对照表!$E$3:$E$24,[1]对照表!$H$3:$H$24),LOOKUP(F484,[1]对照表!$E$27:$E$48,[1]对照表!$H$27:$H$48)))))</f>
        <v>85</v>
      </c>
      <c r="H484" s="38">
        <v>25.7</v>
      </c>
      <c r="I484" s="32">
        <f>IF(B484="高三",IF($E484="男",LOOKUP(H484,[1]对照表!$K$3:$K$24,[1]对照表!$L$3:$L$24),LOOKUP(H484,[1]对照表!$K$27:$K$48,[1]对照表!$L$27:$L$48)),IF(B484="高二",IF($E484="男",LOOKUP(H484,[1]对照表!$J$3:$J$24,[1]对照表!$L$3:$L$24),LOOKUP(H484,[1]对照表!$J$27:$J$48,[1]对照表!$L$27:$L$48)),IF(B484="高一",IF($E484="男",LOOKUP(H484,[1]对照表!$I$3:$I$24,[1]对照表!$L$3:$L$24),LOOKUP(H484,[1]对照表!$I$27:$I$48,[1]对照表!$L$27:$L$48)))))</f>
        <v>100</v>
      </c>
      <c r="J484" s="38">
        <v>200</v>
      </c>
      <c r="K484" s="32">
        <f>IF(B484="高三",IF($E484="男",LOOKUP(J484,[1]对照表!$O$3:$O$24,[1]对照表!$P$3:$P$24),LOOKUP(J484,[1]对照表!$O$27:$O$48,[1]对照表!$P$27:$P$48)),IF(B484="高二",IF($E484="男",LOOKUP(J484,[1]对照表!$N$3:$N$24,[1]对照表!$P$3:$P$24),LOOKUP(J484,[1]对照表!$N$27:$N$48,[1]对照表!$P$27:$P$48)),IF(B484="高一",IF($E484="男",LOOKUP(J484,[1]对照表!$M$3:$M$24,[1]对照表!$P$3:$P$24),LOOKUP(J484,[1]对照表!$M$27:$M$48,[1]对照表!$P$27:$P$48)))))</f>
        <v>95</v>
      </c>
      <c r="L484" s="38">
        <v>60</v>
      </c>
      <c r="M484" s="32">
        <f>IF(B484="高三",IF($E484="男",LOOKUP(L484,[1]对照表!$S$3:$S$24,[1]对照表!$T$3:$T$24),LOOKUP(L484,[1]对照表!$S$27:$S$48,[1]对照表!$T$27:$T$48)),IF(B484="高二",IF($E484="男",LOOKUP(L484,[1]对照表!$R$3:$R$24,[1]对照表!$T$3:$T$24),LOOKUP(L484,[1]对照表!$R$27:$R$48,[1]对照表!$T$27:$T$48)),IF(B484="高一",IF($E484="男",LOOKUP(L484,[1]对照表!$Q$3:$Q$24,[1]对照表!$T$3:$T$24),LOOKUP(L484,[1]对照表!$Q$27:$Q$48,[1]对照表!$T$27:$T$48)))))</f>
        <v>100</v>
      </c>
      <c r="N484" s="33">
        <f>IF(B484="高三",MAX(IF(E484="男",L484-18,L484-55),0),IF(B484="高二",MAX(IF(E484="男",L484-17,L484-54),0),IF(B484="高一",MAX(IF(E484="男",L484-16,L484-53),0))))</f>
        <v>6</v>
      </c>
      <c r="O484" s="23">
        <f>IF(E484="男",LOOKUP($N484,[1]对照表!$Z$3:$Z$13,[1]对照表!$AA$3:$AA$13),LOOKUP($N484,[1]对照表!$Z$15:$Z$25,[1]对照表!$AA$15:$AA$25))</f>
        <v>3</v>
      </c>
      <c r="P484" s="25">
        <f>M484+O484</f>
        <v>103</v>
      </c>
      <c r="Q484" s="38"/>
      <c r="R484" s="20">
        <v>0</v>
      </c>
      <c r="S484" s="22">
        <v>0</v>
      </c>
      <c r="T484" s="23">
        <f>IF(E484="男",LOOKUP($S484,[1]对照表!$AB$3:$AB$13,[1]对照表!$AC$3:$AC$13),LOOKUP($S484,[1]对照表!$AB$15:$AB$25,[1]对照表!$AC$15:$AC$25))</f>
        <v>0</v>
      </c>
      <c r="U484" s="26">
        <f>R484+T484</f>
        <v>0</v>
      </c>
      <c r="V484" s="26">
        <f>SUM(I484,K484,M484)/3*0.3+SUM(G484,R484)/2*0.4</f>
        <v>46.5</v>
      </c>
      <c r="W484" s="27">
        <f>O484+T484</f>
        <v>3</v>
      </c>
      <c r="X484" s="28">
        <f>V484/0.7+W484</f>
        <v>69.428571428571431</v>
      </c>
      <c r="Y484" s="28">
        <f>X484</f>
        <v>69.428571428571431</v>
      </c>
      <c r="Z484" s="38"/>
    </row>
    <row r="485" spans="1:26" ht="15.6" x14ac:dyDescent="0.25">
      <c r="A485" s="38">
        <v>8</v>
      </c>
      <c r="B485" s="17" t="s">
        <v>767</v>
      </c>
      <c r="C485" s="48">
        <v>211</v>
      </c>
      <c r="D485" s="49" t="s">
        <v>1269</v>
      </c>
      <c r="E485" s="48" t="s">
        <v>23</v>
      </c>
      <c r="F485" s="52">
        <v>7.6</v>
      </c>
      <c r="G485" s="32">
        <f>IF(B485="高三",IF($E485="男",LOOKUP(F485,[1]对照表!$G$3:$G$24,[1]对照表!$H$3:$H$24),LOOKUP(F485,[1]对照表!$G$27:$G$48,[1]对照表!$H$27:$H$48)),IF(B485="高二",IF($E485="男",LOOKUP(F485,[1]对照表!$F$3:$F$24,[1]对照表!$H$3:$H$24),LOOKUP(F485,[1]对照表!$F$27:$F$48,[1]对照表!$H$27:$H$48)),IF(B485="高一",IF($E485="男",LOOKUP(F485,[1]对照表!$E$3:$E$24,[1]对照表!$H$3:$H$24),LOOKUP(F485,[1]对照表!$E$27:$E$48,[1]对照表!$H$27:$H$48)))))</f>
        <v>78</v>
      </c>
      <c r="H485" s="52">
        <v>18.5</v>
      </c>
      <c r="I485" s="32">
        <f>IF(B485="高三",IF($E485="男",LOOKUP(H485,[1]对照表!$K$3:$K$24,[1]对照表!$L$3:$L$24),LOOKUP(H485,[1]对照表!$K$27:$K$48,[1]对照表!$L$27:$L$48)),IF(B485="高二",IF($E485="男",LOOKUP(H485,[1]对照表!$J$3:$J$24,[1]对照表!$L$3:$L$24),LOOKUP(H485,[1]对照表!$J$27:$J$48,[1]对照表!$L$27:$L$48)),IF(B485="高一",IF($E485="男",LOOKUP(H485,[1]对照表!$I$3:$I$24,[1]对照表!$L$3:$L$24),LOOKUP(H485,[1]对照表!$I$27:$I$48,[1]对照表!$L$27:$L$48)))))</f>
        <v>85</v>
      </c>
      <c r="J485" s="52">
        <v>214</v>
      </c>
      <c r="K485" s="32">
        <f>IF(B485="高三",IF($E485="男",LOOKUP(J485,[1]对照表!$O$3:$O$24,[1]对照表!$P$3:$P$24),LOOKUP(J485,[1]对照表!$O$27:$O$48,[1]对照表!$P$27:$P$48)),IF(B485="高二",IF($E485="男",LOOKUP(J485,[1]对照表!$N$3:$N$24,[1]对照表!$P$3:$P$24),LOOKUP(J485,[1]对照表!$N$27:$N$48,[1]对照表!$P$27:$P$48)),IF(B485="高一",IF($E485="男",LOOKUP(J485,[1]对照表!$M$3:$M$24,[1]对照表!$P$3:$P$24),LOOKUP(J485,[1]对照表!$M$27:$M$48,[1]对照表!$P$27:$P$48)))))</f>
        <v>66</v>
      </c>
      <c r="L485" s="52">
        <v>12</v>
      </c>
      <c r="M485" s="32">
        <f>IF(B485="高三",IF($E485="男",LOOKUP(L485,[1]对照表!$S$3:$S$24,[1]对照表!$T$3:$T$24),LOOKUP(L485,[1]对照表!$S$27:$S$48,[1]对照表!$T$27:$T$48)),IF(B485="高二",IF($E485="男",LOOKUP(L485,[1]对照表!$R$3:$R$24,[1]对照表!$T$3:$T$24),LOOKUP(L485,[1]对照表!$R$27:$R$48,[1]对照表!$T$27:$T$48)),IF(B485="高一",IF($E485="男",LOOKUP(L485,[1]对照表!$Q$3:$Q$24,[1]对照表!$T$3:$T$24),LOOKUP(L485,[1]对照表!$Q$27:$Q$48,[1]对照表!$T$27:$T$48)))))</f>
        <v>76</v>
      </c>
      <c r="N485" s="33">
        <f>IF(B485="高三",MAX(IF(E485="男",L485-18,L485-55),0),IF(B485="高二",MAX(IF(E485="男",L485-17,L485-54),0),IF(B485="高一",MAX(IF(E485="男",L485-16,L485-53),0))))</f>
        <v>0</v>
      </c>
      <c r="O485" s="23">
        <f>IF(E485="男",LOOKUP($N485,[1]对照表!$Z$3:$Z$13,[1]对照表!$AA$3:$AA$13),LOOKUP($N485,[1]对照表!$Z$15:$Z$25,[1]对照表!$AA$15:$AA$25))</f>
        <v>0</v>
      </c>
      <c r="P485" s="25">
        <f>M485+O485</f>
        <v>76</v>
      </c>
      <c r="Q485" s="52">
        <v>3.54</v>
      </c>
      <c r="R485" s="32">
        <f>IF(B485="高三",IF($E485="男",LOOKUP(Q485,[1]对照表!$W$3:$W$24,[1]对照表!$X$3:$X$24),LOOKUP(Q485,[1]对照表!$W$27:$W$48,[1]对照表!$X$27:$X$48)),IF(B485="高二",IF($E485="男",LOOKUP(Q485,[1]对照表!$V$3:$V$24,[1]对照表!$X$3:$X$24),LOOKUP(Q485,[1]对照表!$V$27:$V$48,[1]对照表!$X$27:$X$48)),IF(B485="高一",IF($E485="男",LOOKUP(Q485,[1]对照表!$U$3:$U$24,[1]对照表!$X$3:$X$24),LOOKUP(Q485,[1]对照表!$U$27:$U$48,[1]对照表!$X$27:$X$48)))))</f>
        <v>78</v>
      </c>
      <c r="S485" s="33">
        <f>ROUND(IF(IF($B485="高三",MIN(IF($E485="男",$Q485-3.2,$Q485-3.2),0),IF($B485="高二",MIN(IF($E485="男",$Q485-3.25,$Q485-3.22),0),IF($B485="高一",MIN(IF($E485="男",$Q485-3.3,$Q485-3.24),0))))&lt;-0.6,IF($B485="高三",MIN(IF($E485="男",$Q485-3.2,$Q485-3.2),0),IF($B485="高二",MIN(IF($E485="男",$Q485-3.25,$Q485-3.22),0),IF($B485="高一",MIN(IF($E485="男",$Q485-3.3,$Q485-3.24),0))))+0.4,IF($B485="高三",MIN(IF($E485="男",$Q485-3.2,$Q485-3.2),0),IF($B485="高二",MIN(IF($E485="男",$Q485-3.25,$Q485-3.22),0),IF($B485="高一",MIN(IF($E485="男",$Q485-3.3,$Q485-3.24),0))))),2)</f>
        <v>0</v>
      </c>
      <c r="T485" s="23">
        <f>IF(E485="男",LOOKUP($S485,[1]对照表!$AB$3:$AB$13,[1]对照表!$AC$3:$AC$13),LOOKUP($S485,[1]对照表!$AB$15:$AB$25,[1]对照表!$AC$15:$AC$25))</f>
        <v>0</v>
      </c>
      <c r="U485" s="26">
        <f>R485+T485</f>
        <v>78</v>
      </c>
      <c r="V485" s="26">
        <f>SUM(I485,K485,M485)/3*0.3+SUM(G485,R485)/2*0.4</f>
        <v>53.900000000000006</v>
      </c>
      <c r="W485" s="27">
        <f>O485+T485</f>
        <v>0</v>
      </c>
      <c r="X485" s="28">
        <f>V485/0.7+W485</f>
        <v>77.000000000000014</v>
      </c>
      <c r="Y485" s="28">
        <f>X485</f>
        <v>77.000000000000014</v>
      </c>
      <c r="Z485" s="52"/>
    </row>
    <row r="486" spans="1:26" ht="15.6" x14ac:dyDescent="0.25">
      <c r="A486" s="48">
        <v>38</v>
      </c>
      <c r="B486" s="17" t="s">
        <v>767</v>
      </c>
      <c r="C486" s="48">
        <v>211</v>
      </c>
      <c r="D486" s="49" t="s">
        <v>1271</v>
      </c>
      <c r="E486" s="48" t="s">
        <v>65</v>
      </c>
      <c r="F486" s="38">
        <v>10.1</v>
      </c>
      <c r="G486" s="32">
        <f>IF(B486="高三",IF($E486="男",LOOKUP(F486,[1]对照表!$G$3:$G$24,[1]对照表!$H$3:$H$24),LOOKUP(F486,[1]对照表!$G$27:$G$48,[1]对照表!$H$27:$H$48)),IF(B486="高二",IF($E486="男",LOOKUP(F486,[1]对照表!$F$3:$F$24,[1]对照表!$H$3:$H$24),LOOKUP(F486,[1]对照表!$F$27:$F$48,[1]对照表!$H$27:$H$48)),IF(B486="高一",IF($E486="男",LOOKUP(F486,[1]对照表!$E$3:$E$24,[1]对照表!$H$3:$H$24),LOOKUP(F486,[1]对照表!$E$27:$E$48,[1]对照表!$H$27:$H$48)))))</f>
        <v>64</v>
      </c>
      <c r="H486" s="38">
        <v>16.5</v>
      </c>
      <c r="I486" s="32">
        <f>IF(B486="高三",IF($E486="男",LOOKUP(H486,[1]对照表!$K$3:$K$24,[1]对照表!$L$3:$L$24),LOOKUP(H486,[1]对照表!$K$27:$K$48,[1]对照表!$L$27:$L$48)),IF(B486="高二",IF($E486="男",LOOKUP(H486,[1]对照表!$J$3:$J$24,[1]对照表!$L$3:$L$24),LOOKUP(H486,[1]对照表!$J$27:$J$48,[1]对照表!$L$27:$L$48)),IF(B486="高一",IF($E486="男",LOOKUP(H486,[1]对照表!$I$3:$I$24,[1]对照表!$L$3:$L$24),LOOKUP(H486,[1]对照表!$I$27:$I$48,[1]对照表!$L$27:$L$48)))))</f>
        <v>76</v>
      </c>
      <c r="J486" s="38">
        <v>168</v>
      </c>
      <c r="K486" s="32">
        <f>IF(B486="高三",IF($E486="男",LOOKUP(J486,[1]对照表!$O$3:$O$24,[1]对照表!$P$3:$P$24),LOOKUP(J486,[1]对照表!$O$27:$O$48,[1]对照表!$P$27:$P$48)),IF(B486="高二",IF($E486="男",LOOKUP(J486,[1]对照表!$N$3:$N$24,[1]对照表!$P$3:$P$24),LOOKUP(J486,[1]对照表!$N$27:$N$48,[1]对照表!$P$27:$P$48)),IF(B486="高一",IF($E486="男",LOOKUP(J486,[1]对照表!$M$3:$M$24,[1]对照表!$P$3:$P$24),LOOKUP(J486,[1]对照表!$M$27:$M$48,[1]对照表!$P$27:$P$48)))))</f>
        <v>72</v>
      </c>
      <c r="L486" s="38">
        <v>44</v>
      </c>
      <c r="M486" s="32">
        <f>IF(B486="高三",IF($E486="男",LOOKUP(L486,[1]对照表!$S$3:$S$24,[1]对照表!$T$3:$T$24),LOOKUP(L486,[1]对照表!$S$27:$S$48,[1]对照表!$T$27:$T$48)),IF(B486="高二",IF($E486="男",LOOKUP(L486,[1]对照表!$R$3:$R$24,[1]对照表!$T$3:$T$24),LOOKUP(L486,[1]对照表!$R$27:$R$48,[1]对照表!$T$27:$T$48)),IF(B486="高一",IF($E486="男",LOOKUP(L486,[1]对照表!$Q$3:$Q$24,[1]对照表!$T$3:$T$24),LOOKUP(L486,[1]对照表!$Q$27:$Q$48,[1]对照表!$T$27:$T$48)))))</f>
        <v>80</v>
      </c>
      <c r="N486" s="33">
        <f>IF(B486="高三",MAX(IF(E486="男",L486-18,L486-55),0),IF(B486="高二",MAX(IF(E486="男",L486-17,L486-54),0),IF(B486="高一",MAX(IF(E486="男",L486-16,L486-53),0))))</f>
        <v>0</v>
      </c>
      <c r="O486" s="23">
        <f>IF(E486="男",LOOKUP($N486,[1]对照表!$Z$3:$Z$13,[1]对照表!$AA$3:$AA$13),LOOKUP($N486,[1]对照表!$Z$15:$Z$25,[1]对照表!$AA$15:$AA$25))</f>
        <v>0</v>
      </c>
      <c r="P486" s="25">
        <f>M486+O486</f>
        <v>80</v>
      </c>
      <c r="Q486" s="38">
        <v>4.29</v>
      </c>
      <c r="R486" s="32">
        <f>IF(B486="高三",IF($E486="男",LOOKUP(Q486,[1]对照表!$W$3:$W$24,[1]对照表!$X$3:$X$24),LOOKUP(Q486,[1]对照表!$W$27:$W$48,[1]对照表!$X$27:$X$48)),IF(B486="高二",IF($E486="男",LOOKUP(Q486,[1]对照表!$V$3:$V$24,[1]对照表!$X$3:$X$24),LOOKUP(Q486,[1]对照表!$V$27:$V$48,[1]对照表!$X$27:$X$48)),IF(B486="高一",IF($E486="男",LOOKUP(Q486,[1]对照表!$U$3:$U$24,[1]对照表!$X$3:$X$24),LOOKUP(Q486,[1]对照表!$U$27:$U$48,[1]对照表!$X$27:$X$48)))))</f>
        <v>62</v>
      </c>
      <c r="S486" s="33">
        <f>ROUND(IF(IF($B486="高三",MIN(IF($E486="男",$Q486-3.2,$Q486-3.2),0),IF($B486="高二",MIN(IF($E486="男",$Q486-3.25,$Q486-3.22),0),IF($B486="高一",MIN(IF($E486="男",$Q486-3.3,$Q486-3.24),0))))&lt;-0.6,IF($B486="高三",MIN(IF($E486="男",$Q486-3.2,$Q486-3.2),0),IF($B486="高二",MIN(IF($E486="男",$Q486-3.25,$Q486-3.22),0),IF($B486="高一",MIN(IF($E486="男",$Q486-3.3,$Q486-3.24),0))))+0.4,IF($B486="高三",MIN(IF($E486="男",$Q486-3.2,$Q486-3.2),0),IF($B486="高二",MIN(IF($E486="男",$Q486-3.25,$Q486-3.22),0),IF($B486="高一",MIN(IF($E486="男",$Q486-3.3,$Q486-3.24),0))))),2)</f>
        <v>0</v>
      </c>
      <c r="T486" s="23">
        <f>IF(E486="男",LOOKUP($S486,[1]对照表!$AB$3:$AB$13,[1]对照表!$AC$3:$AC$13),LOOKUP($S486,[1]对照表!$AB$15:$AB$25,[1]对照表!$AC$15:$AC$25))</f>
        <v>0</v>
      </c>
      <c r="U486" s="26">
        <f>R486+T486</f>
        <v>62</v>
      </c>
      <c r="V486" s="26">
        <f>SUM(I486,K486,M486)/3*0.3+SUM(G486,R486)/2*0.4</f>
        <v>48</v>
      </c>
      <c r="W486" s="27">
        <f>O486+T486</f>
        <v>0</v>
      </c>
      <c r="X486" s="28">
        <f>V486/0.7+W486</f>
        <v>68.571428571428569</v>
      </c>
      <c r="Y486" s="28">
        <f>X486</f>
        <v>68.571428571428569</v>
      </c>
      <c r="Z486" s="38"/>
    </row>
    <row r="487" spans="1:26" ht="15.6" x14ac:dyDescent="0.25">
      <c r="A487" s="48">
        <v>25</v>
      </c>
      <c r="B487" s="17" t="s">
        <v>767</v>
      </c>
      <c r="C487" s="48">
        <v>211</v>
      </c>
      <c r="D487" s="49" t="s">
        <v>1278</v>
      </c>
      <c r="E487" s="48" t="s">
        <v>23</v>
      </c>
      <c r="F487" s="38">
        <v>7.8</v>
      </c>
      <c r="G487" s="32">
        <f>IF(B487="高三",IF($E487="男",LOOKUP(F487,[1]对照表!$G$3:$G$24,[1]对照表!$H$3:$H$24),LOOKUP(F487,[1]对照表!$G$27:$G$48,[1]对照表!$H$27:$H$48)),IF(B487="高二",IF($E487="男",LOOKUP(F487,[1]对照表!$F$3:$F$24,[1]对照表!$H$3:$H$24),LOOKUP(F487,[1]对照表!$F$27:$F$48,[1]对照表!$H$27:$H$48)),IF(B487="高一",IF($E487="男",LOOKUP(F487,[1]对照表!$E$3:$E$24,[1]对照表!$H$3:$H$24),LOOKUP(F487,[1]对照表!$E$27:$E$48,[1]对照表!$H$27:$H$48)))))</f>
        <v>76</v>
      </c>
      <c r="H487" s="38">
        <v>10</v>
      </c>
      <c r="I487" s="32">
        <f>IF(B487="高三",IF($E487="男",LOOKUP(H487,[1]对照表!$K$3:$K$24,[1]对照表!$L$3:$L$24),LOOKUP(H487,[1]对照表!$K$27:$K$48,[1]对照表!$L$27:$L$48)),IF(B487="高二",IF($E487="男",LOOKUP(H487,[1]对照表!$J$3:$J$24,[1]对照表!$L$3:$L$24),LOOKUP(H487,[1]对照表!$J$27:$J$48,[1]对照表!$L$27:$L$48)),IF(B487="高一",IF($E487="男",LOOKUP(H487,[1]对照表!$I$3:$I$24,[1]对照表!$L$3:$L$24),LOOKUP(H487,[1]对照表!$I$27:$I$48,[1]对照表!$L$27:$L$48)))))</f>
        <v>70</v>
      </c>
      <c r="J487" s="38">
        <v>220</v>
      </c>
      <c r="K487" s="32">
        <f>IF(B487="高三",IF($E487="男",LOOKUP(J487,[1]对照表!$O$3:$O$24,[1]对照表!$P$3:$P$24),LOOKUP(J487,[1]对照表!$O$27:$O$48,[1]对照表!$P$27:$P$48)),IF(B487="高二",IF($E487="男",LOOKUP(J487,[1]对照表!$N$3:$N$24,[1]对照表!$P$3:$P$24),LOOKUP(J487,[1]对照表!$N$27:$N$48,[1]对照表!$P$27:$P$48)),IF(B487="高一",IF($E487="男",LOOKUP(J487,[1]对照表!$M$3:$M$24,[1]对照表!$P$3:$P$24),LOOKUP(J487,[1]对照表!$M$27:$M$48,[1]对照表!$P$27:$P$48)))))</f>
        <v>70</v>
      </c>
      <c r="L487" s="38">
        <v>14</v>
      </c>
      <c r="M487" s="32">
        <f>IF(B487="高三",IF($E487="男",LOOKUP(L487,[1]对照表!$S$3:$S$24,[1]对照表!$T$3:$T$24),LOOKUP(L487,[1]对照表!$S$27:$S$48,[1]对照表!$T$27:$T$48)),IF(B487="高二",IF($E487="男",LOOKUP(L487,[1]对照表!$R$3:$R$24,[1]对照表!$T$3:$T$24),LOOKUP(L487,[1]对照表!$R$27:$R$48,[1]对照表!$T$27:$T$48)),IF(B487="高一",IF($E487="男",LOOKUP(L487,[1]对照表!$Q$3:$Q$24,[1]对照表!$T$3:$T$24),LOOKUP(L487,[1]对照表!$Q$27:$Q$48,[1]对照表!$T$27:$T$48)))))</f>
        <v>85</v>
      </c>
      <c r="N487" s="33">
        <f>IF(B487="高三",MAX(IF(E487="男",L487-18,L487-55),0),IF(B487="高二",MAX(IF(E487="男",L487-17,L487-54),0),IF(B487="高一",MAX(IF(E487="男",L487-16,L487-53),0))))</f>
        <v>0</v>
      </c>
      <c r="O487" s="23">
        <f>IF(E487="男",LOOKUP($N487,[1]对照表!$Z$3:$Z$13,[1]对照表!$AA$3:$AA$13),LOOKUP($N487,[1]对照表!$Z$15:$Z$25,[1]对照表!$AA$15:$AA$25))</f>
        <v>0</v>
      </c>
      <c r="P487" s="25">
        <f>M487+O487</f>
        <v>85</v>
      </c>
      <c r="Q487" s="38">
        <v>3.48</v>
      </c>
      <c r="R487" s="32">
        <f>IF(B487="高三",IF($E487="男",LOOKUP(Q487,[1]对照表!$W$3:$W$24,[1]对照表!$X$3:$X$24),LOOKUP(Q487,[1]对照表!$W$27:$W$48,[1]对照表!$X$27:$X$48)),IF(B487="高二",IF($E487="男",LOOKUP(Q487,[1]对照表!$V$3:$V$24,[1]对照表!$X$3:$X$24),LOOKUP(Q487,[1]对照表!$V$27:$V$48,[1]对照表!$X$27:$X$48)),IF(B487="高一",IF($E487="男",LOOKUP(Q487,[1]对照表!$U$3:$U$24,[1]对照表!$X$3:$X$24),LOOKUP(Q487,[1]对照表!$U$27:$U$48,[1]对照表!$X$27:$X$48)))))</f>
        <v>80</v>
      </c>
      <c r="S487" s="27">
        <f>ROUND(IF(IF($B487="高三",MIN(IF($E487="男",$Q487-3.2,$Q487-3.2),0),IF($B487="高二",MIN(IF($E487="男",$Q487-3.25,$Q487-3.22),0),IF($B487="高一",MIN(IF($E487="男",$Q487-3.3,$Q487-3.24),0))))&lt;-0.6,IF($B487="高三",MIN(IF($E487="男",$Q487-3.2,$Q487-3.2),0),IF($B487="高二",MIN(IF($E487="男",$Q487-3.25,$Q487-3.22),0),IF($B487="高一",MIN(IF($E487="男",$Q487-3.3,$Q487-3.24),0))))+0.4,IF($B487="高三",MIN(IF($E487="男",$Q487-3.2,$Q487-3.2),0),IF($B487="高二",MIN(IF($E487="男",$Q487-3.25,$Q487-3.22),0),IF($B487="高一",MIN(IF($E487="男",$Q487-3.3,$Q487-3.24),0))))),2)</f>
        <v>0</v>
      </c>
      <c r="T487" s="23">
        <f>IF(E487="男",LOOKUP($S487,[1]对照表!$AB$3:$AB$13,[1]对照表!$AC$3:$AC$13),LOOKUP($S487,[1]对照表!$AB$15:$AB$25,[1]对照表!$AC$15:$AC$25))</f>
        <v>0</v>
      </c>
      <c r="U487" s="26">
        <f>R487+T487</f>
        <v>80</v>
      </c>
      <c r="V487" s="26">
        <f>SUM(I487,K487,M487)/3*0.3+SUM(G487,R487)/2*0.4</f>
        <v>53.7</v>
      </c>
      <c r="W487" s="27">
        <f>O487+T487</f>
        <v>0</v>
      </c>
      <c r="X487" s="28">
        <f>V487/0.7+W487</f>
        <v>76.714285714285722</v>
      </c>
      <c r="Y487" s="28">
        <f>X487</f>
        <v>76.714285714285722</v>
      </c>
      <c r="Z487" s="38"/>
    </row>
    <row r="488" spans="1:26" ht="15.6" x14ac:dyDescent="0.25">
      <c r="A488" s="38">
        <v>4</v>
      </c>
      <c r="B488" s="17" t="s">
        <v>767</v>
      </c>
      <c r="C488" s="48">
        <v>211</v>
      </c>
      <c r="D488" s="49" t="s">
        <v>1283</v>
      </c>
      <c r="E488" s="48" t="s">
        <v>23</v>
      </c>
      <c r="F488" s="38">
        <v>7.4</v>
      </c>
      <c r="G488" s="32">
        <f>IF(B488="高三",IF($E488="男",LOOKUP(F488,[1]对照表!$G$3:$G$24,[1]对照表!$H$3:$H$24),LOOKUP(F488,[1]对照表!$G$27:$G$48,[1]对照表!$H$27:$H$48)),IF(B488="高二",IF($E488="男",LOOKUP(F488,[1]对照表!$F$3:$F$24,[1]对照表!$H$3:$H$24),LOOKUP(F488,[1]对照表!$F$27:$F$48,[1]对照表!$H$27:$H$48)),IF(B488="高一",IF($E488="男",LOOKUP(F488,[1]对照表!$E$3:$E$24,[1]对照表!$H$3:$H$24),LOOKUP(F488,[1]对照表!$E$27:$E$48,[1]对照表!$H$27:$H$48)))))</f>
        <v>80</v>
      </c>
      <c r="H488" s="38">
        <v>13.6</v>
      </c>
      <c r="I488" s="32">
        <f>IF(B488="高三",IF($E488="男",LOOKUP(H488,[1]对照表!$K$3:$K$24,[1]对照表!$L$3:$L$24),LOOKUP(H488,[1]对照表!$K$27:$K$48,[1]对照表!$L$27:$L$48)),IF(B488="高二",IF($E488="男",LOOKUP(H488,[1]对照表!$J$3:$J$24,[1]对照表!$L$3:$L$24),LOOKUP(H488,[1]对照表!$J$27:$J$48,[1]对照表!$L$27:$L$48)),IF(B488="高一",IF($E488="男",LOOKUP(H488,[1]对照表!$I$3:$I$24,[1]对照表!$L$3:$L$24),LOOKUP(H488,[1]对照表!$I$27:$I$48,[1]对照表!$L$27:$L$48)))))</f>
        <v>76</v>
      </c>
      <c r="J488" s="38">
        <v>256</v>
      </c>
      <c r="K488" s="32">
        <f>IF(B488="高三",IF($E488="男",LOOKUP(J488,[1]对照表!$O$3:$O$24,[1]对照表!$P$3:$P$24),LOOKUP(J488,[1]对照表!$O$27:$O$48,[1]对照表!$P$27:$P$48)),IF(B488="高二",IF($E488="男",LOOKUP(J488,[1]对照表!$N$3:$N$24,[1]对照表!$P$3:$P$24),LOOKUP(J488,[1]对照表!$N$27:$N$48,[1]对照表!$P$27:$P$48)),IF(B488="高一",IF($E488="男",LOOKUP(J488,[1]对照表!$M$3:$M$24,[1]对照表!$P$3:$P$24),LOOKUP(J488,[1]对照表!$M$27:$M$48,[1]对照表!$P$27:$P$48)))))</f>
        <v>90</v>
      </c>
      <c r="L488" s="38">
        <v>8</v>
      </c>
      <c r="M488" s="32">
        <f>IF(B488="高三",IF($E488="男",LOOKUP(L488,[1]对照表!$S$3:$S$24,[1]对照表!$T$3:$T$24),LOOKUP(L488,[1]对照表!$S$27:$S$48,[1]对照表!$T$27:$T$48)),IF(B488="高二",IF($E488="男",LOOKUP(L488,[1]对照表!$R$3:$R$24,[1]对照表!$T$3:$T$24),LOOKUP(L488,[1]对照表!$R$27:$R$48,[1]对照表!$T$27:$T$48)),IF(B488="高一",IF($E488="男",LOOKUP(L488,[1]对照表!$Q$3:$Q$24,[1]对照表!$T$3:$T$24),LOOKUP(L488,[1]对照表!$Q$27:$Q$48,[1]对照表!$T$27:$T$48)))))</f>
        <v>60</v>
      </c>
      <c r="N488" s="33">
        <f>IF(B488="高三",MAX(IF(E488="男",L488-18,L488-55),0),IF(B488="高二",MAX(IF(E488="男",L488-17,L488-54),0),IF(B488="高一",MAX(IF(E488="男",L488-16,L488-53),0))))</f>
        <v>0</v>
      </c>
      <c r="O488" s="23">
        <f>IF(E488="男",LOOKUP($N488,[1]对照表!$Z$3:$Z$13,[1]对照表!$AA$3:$AA$13),LOOKUP($N488,[1]对照表!$Z$15:$Z$25,[1]对照表!$AA$15:$AA$25))</f>
        <v>0</v>
      </c>
      <c r="P488" s="25">
        <f>M488+O488</f>
        <v>60</v>
      </c>
      <c r="Q488" s="38">
        <v>4.0199999999999996</v>
      </c>
      <c r="R488" s="32">
        <f>IF(B488="高三",IF($E488="男",LOOKUP(Q488,[1]对照表!$W$3:$W$24,[1]对照表!$X$3:$X$24),LOOKUP(Q488,[1]对照表!$W$27:$W$48,[1]对照表!$X$27:$X$48)),IF(B488="高二",IF($E488="男",LOOKUP(Q488,[1]对照表!$V$3:$V$24,[1]对照表!$X$3:$X$24),LOOKUP(Q488,[1]对照表!$V$27:$V$48,[1]对照表!$X$27:$X$48)),IF(B488="高一",IF($E488="男",LOOKUP(Q488,[1]对照表!$U$3:$U$24,[1]对照表!$X$3:$X$24),LOOKUP(Q488,[1]对照表!$U$27:$U$48,[1]对照表!$X$27:$X$48)))))</f>
        <v>74</v>
      </c>
      <c r="S488" s="33">
        <f>ROUND(IF(IF($B488="高三",MIN(IF($E488="男",$Q488-3.2,$Q488-3.2),0),IF($B488="高二",MIN(IF($E488="男",$Q488-3.25,$Q488-3.22),0),IF($B488="高一",MIN(IF($E488="男",$Q488-3.3,$Q488-3.24),0))))&lt;-0.6,IF($B488="高三",MIN(IF($E488="男",$Q488-3.2,$Q488-3.2),0),IF($B488="高二",MIN(IF($E488="男",$Q488-3.25,$Q488-3.22),0),IF($B488="高一",MIN(IF($E488="男",$Q488-3.3,$Q488-3.24),0))))+0.4,IF($B488="高三",MIN(IF($E488="男",$Q488-3.2,$Q488-3.2),0),IF($B488="高二",MIN(IF($E488="男",$Q488-3.25,$Q488-3.22),0),IF($B488="高一",MIN(IF($E488="男",$Q488-3.3,$Q488-3.24),0))))),2)</f>
        <v>0</v>
      </c>
      <c r="T488" s="23">
        <f>IF(E488="男",LOOKUP($S488,[1]对照表!$AB$3:$AB$13,[1]对照表!$AC$3:$AC$13),LOOKUP($S488,[1]对照表!$AB$15:$AB$25,[1]对照表!$AC$15:$AC$25))</f>
        <v>0</v>
      </c>
      <c r="U488" s="26">
        <f>R488+T488</f>
        <v>74</v>
      </c>
      <c r="V488" s="26">
        <f>SUM(I488,K488,M488)/3*0.3+SUM(G488,R488)/2*0.4</f>
        <v>53.4</v>
      </c>
      <c r="W488" s="27">
        <f>O488+T488</f>
        <v>0</v>
      </c>
      <c r="X488" s="28">
        <f>V488/0.7+W488</f>
        <v>76.285714285714292</v>
      </c>
      <c r="Y488" s="28">
        <f>X488</f>
        <v>76.285714285714292</v>
      </c>
      <c r="Z488" s="38"/>
    </row>
    <row r="489" spans="1:26" ht="15.6" x14ac:dyDescent="0.25">
      <c r="A489" s="38">
        <v>3</v>
      </c>
      <c r="B489" s="17" t="s">
        <v>767</v>
      </c>
      <c r="C489" s="48">
        <v>211</v>
      </c>
      <c r="D489" s="49" t="s">
        <v>1297</v>
      </c>
      <c r="E489" s="48" t="s">
        <v>23</v>
      </c>
      <c r="F489" s="38">
        <v>7.6</v>
      </c>
      <c r="G489" s="32">
        <f>IF(B489="高三",IF($E489="男",LOOKUP(F489,[1]对照表!$G$3:$G$24,[1]对照表!$H$3:$H$24),LOOKUP(F489,[1]对照表!$G$27:$G$48,[1]对照表!$H$27:$H$48)),IF(B489="高二",IF($E489="男",LOOKUP(F489,[1]对照表!$F$3:$F$24,[1]对照表!$H$3:$H$24),LOOKUP(F489,[1]对照表!$F$27:$F$48,[1]对照表!$H$27:$H$48)),IF(B489="高一",IF($E489="男",LOOKUP(F489,[1]对照表!$E$3:$E$24,[1]对照表!$H$3:$H$24),LOOKUP(F489,[1]对照表!$E$27:$E$48,[1]对照表!$H$27:$H$48)))))</f>
        <v>78</v>
      </c>
      <c r="H489" s="38">
        <v>17.399999999999999</v>
      </c>
      <c r="I489" s="32">
        <f>IF(B489="高三",IF($E489="男",LOOKUP(H489,[1]对照表!$K$3:$K$24,[1]对照表!$L$3:$L$24),LOOKUP(H489,[1]对照表!$K$27:$K$48,[1]对照表!$L$27:$L$48)),IF(B489="高二",IF($E489="男",LOOKUP(H489,[1]对照表!$J$3:$J$24,[1]对照表!$L$3:$L$24),LOOKUP(H489,[1]对照表!$J$27:$J$48,[1]对照表!$L$27:$L$48)),IF(B489="高一",IF($E489="男",LOOKUP(H489,[1]对照表!$I$3:$I$24,[1]对照表!$L$3:$L$24),LOOKUP(H489,[1]对照表!$I$27:$I$48,[1]对照表!$L$27:$L$48)))))</f>
        <v>80</v>
      </c>
      <c r="J489" s="38">
        <v>240</v>
      </c>
      <c r="K489" s="32">
        <f>IF(B489="高三",IF($E489="男",LOOKUP(J489,[1]对照表!$O$3:$O$24,[1]对照表!$P$3:$P$24),LOOKUP(J489,[1]对照表!$O$27:$O$48,[1]对照表!$P$27:$P$48)),IF(B489="高二",IF($E489="男",LOOKUP(J489,[1]对照表!$N$3:$N$24,[1]对照表!$P$3:$P$24),LOOKUP(J489,[1]对照表!$N$27:$N$48,[1]对照表!$P$27:$P$48)),IF(B489="高一",IF($E489="男",LOOKUP(J489,[1]对照表!$M$3:$M$24,[1]对照表!$P$3:$P$24),LOOKUP(J489,[1]对照表!$M$27:$M$48,[1]对照表!$P$27:$P$48)))))</f>
        <v>80</v>
      </c>
      <c r="L489" s="38">
        <v>3</v>
      </c>
      <c r="M489" s="32">
        <f>IF(B489="高三",IF($E489="男",LOOKUP(L489,[1]对照表!$S$3:$S$24,[1]对照表!$T$3:$T$24),LOOKUP(L489,[1]对照表!$S$27:$S$48,[1]对照表!$T$27:$T$48)),IF(B489="高二",IF($E489="男",LOOKUP(L489,[1]对照表!$R$3:$R$24,[1]对照表!$T$3:$T$24),LOOKUP(L489,[1]对照表!$R$27:$R$48,[1]对照表!$T$27:$T$48)),IF(B489="高一",IF($E489="男",LOOKUP(L489,[1]对照表!$Q$3:$Q$24,[1]对照表!$T$3:$T$24),LOOKUP(L489,[1]对照表!$Q$27:$Q$48,[1]对照表!$T$27:$T$48)))))</f>
        <v>10</v>
      </c>
      <c r="N489" s="33">
        <f>IF(B489="高三",MAX(IF(E489="男",L489-18,L489-55),0),IF(B489="高二",MAX(IF(E489="男",L489-17,L489-54),0),IF(B489="高一",MAX(IF(E489="男",L489-16,L489-53),0))))</f>
        <v>0</v>
      </c>
      <c r="O489" s="23">
        <f>IF(E489="男",LOOKUP($N489,[1]对照表!$Z$3:$Z$13,[1]对照表!$AA$3:$AA$13),LOOKUP($N489,[1]对照表!$Z$15:$Z$25,[1]对照表!$AA$15:$AA$25))</f>
        <v>0</v>
      </c>
      <c r="P489" s="25">
        <f>M489+O489</f>
        <v>10</v>
      </c>
      <c r="Q489" s="38">
        <v>3.25</v>
      </c>
      <c r="R489" s="32">
        <f>IF(B489="高三",IF($E489="男",LOOKUP(Q489,[1]对照表!$W$3:$W$24,[1]对照表!$X$3:$X$24),LOOKUP(Q489,[1]对照表!$W$27:$W$48,[1]对照表!$X$27:$X$48)),IF(B489="高二",IF($E489="男",LOOKUP(Q489,[1]对照表!$V$3:$V$24,[1]对照表!$X$3:$X$24),LOOKUP(Q489,[1]对照表!$V$27:$V$48,[1]对照表!$X$27:$X$48)),IF(B489="高一",IF($E489="男",LOOKUP(Q489,[1]对照表!$U$3:$U$24,[1]对照表!$X$3:$X$24),LOOKUP(Q489,[1]对照表!$U$27:$U$48,[1]对照表!$X$27:$X$48)))))</f>
        <v>100</v>
      </c>
      <c r="S489" s="33">
        <f>ROUND(IF(IF($B489="高三",MIN(IF($E489="男",$Q489-3.2,$Q489-3.2),0),IF($B489="高二",MIN(IF($E489="男",$Q489-3.25,$Q489-3.22),0),IF($B489="高一",MIN(IF($E489="男",$Q489-3.3,$Q489-3.24),0))))&lt;-0.6,IF($B489="高三",MIN(IF($E489="男",$Q489-3.2,$Q489-3.2),0),IF($B489="高二",MIN(IF($E489="男",$Q489-3.25,$Q489-3.22),0),IF($B489="高一",MIN(IF($E489="男",$Q489-3.3,$Q489-3.24),0))))+0.4,IF($B489="高三",MIN(IF($E489="男",$Q489-3.2,$Q489-3.2),0),IF($B489="高二",MIN(IF($E489="男",$Q489-3.25,$Q489-3.22),0),IF($B489="高一",MIN(IF($E489="男",$Q489-3.3,$Q489-3.24),0))))),2)</f>
        <v>0</v>
      </c>
      <c r="T489" s="23">
        <f>IF(E489="男",LOOKUP($S489,[1]对照表!$AB$3:$AB$13,[1]对照表!$AC$3:$AC$13),LOOKUP($S489,[1]对照表!$AB$15:$AB$25,[1]对照表!$AC$15:$AC$25))</f>
        <v>0</v>
      </c>
      <c r="U489" s="26">
        <f>R489+T489</f>
        <v>100</v>
      </c>
      <c r="V489" s="26">
        <f>SUM(I489,K489,M489)/3*0.3+SUM(G489,R489)/2*0.4</f>
        <v>52.6</v>
      </c>
      <c r="W489" s="27">
        <f>O489+T489</f>
        <v>0</v>
      </c>
      <c r="X489" s="28">
        <f>V489/0.7+W489</f>
        <v>75.142857142857153</v>
      </c>
      <c r="Y489" s="28">
        <f>X489</f>
        <v>75.142857142857153</v>
      </c>
      <c r="Z489" s="38"/>
    </row>
    <row r="490" spans="1:26" ht="15.6" x14ac:dyDescent="0.25">
      <c r="A490" s="48">
        <v>26</v>
      </c>
      <c r="B490" s="17" t="s">
        <v>767</v>
      </c>
      <c r="C490" s="48">
        <v>211</v>
      </c>
      <c r="D490" s="49" t="s">
        <v>1344</v>
      </c>
      <c r="E490" s="48" t="s">
        <v>23</v>
      </c>
      <c r="F490" s="38">
        <v>7.2</v>
      </c>
      <c r="G490" s="32">
        <f>IF(B490="高三",IF($E490="男",LOOKUP(F490,[1]对照表!$G$3:$G$24,[1]对照表!$H$3:$H$24),LOOKUP(F490,[1]对照表!$G$27:$G$48,[1]对照表!$H$27:$H$48)),IF(B490="高二",IF($E490="男",LOOKUP(F490,[1]对照表!$F$3:$F$24,[1]对照表!$H$3:$H$24),LOOKUP(F490,[1]对照表!$F$27:$F$48,[1]对照表!$H$27:$H$48)),IF(B490="高一",IF($E490="男",LOOKUP(F490,[1]对照表!$E$3:$E$24,[1]对照表!$H$3:$H$24),LOOKUP(F490,[1]对照表!$E$27:$E$48,[1]对照表!$H$27:$H$48)))))</f>
        <v>90</v>
      </c>
      <c r="H490" s="38">
        <v>12</v>
      </c>
      <c r="I490" s="32">
        <f>IF(B490="高三",IF($E490="男",LOOKUP(H490,[1]对照表!$K$3:$K$24,[1]对照表!$L$3:$L$24),LOOKUP(H490,[1]对照表!$K$27:$K$48,[1]对照表!$L$27:$L$48)),IF(B490="高二",IF($E490="男",LOOKUP(H490,[1]对照表!$J$3:$J$24,[1]对照表!$L$3:$L$24),LOOKUP(H490,[1]对照表!$J$27:$J$48,[1]对照表!$L$27:$L$48)),IF(B490="高一",IF($E490="男",LOOKUP(H490,[1]对照表!$I$3:$I$24,[1]对照表!$L$3:$L$24),LOOKUP(H490,[1]对照表!$I$27:$I$48,[1]对照表!$L$27:$L$48)))))</f>
        <v>74</v>
      </c>
      <c r="J490" s="38">
        <v>225</v>
      </c>
      <c r="K490" s="32">
        <f>IF(B490="高三",IF($E490="男",LOOKUP(J490,[1]对照表!$O$3:$O$24,[1]对照表!$P$3:$P$24),LOOKUP(J490,[1]对照表!$O$27:$O$48,[1]对照表!$P$27:$P$48)),IF(B490="高二",IF($E490="男",LOOKUP(J490,[1]对照表!$N$3:$N$24,[1]对照表!$P$3:$P$24),LOOKUP(J490,[1]对照表!$N$27:$N$48,[1]对照表!$P$27:$P$48)),IF(B490="高一",IF($E490="男",LOOKUP(J490,[1]对照表!$M$3:$M$24,[1]对照表!$P$3:$P$24),LOOKUP(J490,[1]对照表!$M$27:$M$48,[1]对照表!$P$27:$P$48)))))</f>
        <v>72</v>
      </c>
      <c r="L490" s="38">
        <v>5</v>
      </c>
      <c r="M490" s="32">
        <f>IF(B490="高三",IF($E490="男",LOOKUP(L490,[1]对照表!$S$3:$S$24,[1]对照表!$T$3:$T$24),LOOKUP(L490,[1]对照表!$S$27:$S$48,[1]对照表!$T$27:$T$48)),IF(B490="高二",IF($E490="男",LOOKUP(L490,[1]对照表!$R$3:$R$24,[1]对照表!$T$3:$T$24),LOOKUP(L490,[1]对照表!$R$27:$R$48,[1]对照表!$T$27:$T$48)),IF(B490="高一",IF($E490="男",LOOKUP(L490,[1]对照表!$Q$3:$Q$24,[1]对照表!$T$3:$T$24),LOOKUP(L490,[1]对照表!$Q$27:$Q$48,[1]对照表!$T$27:$T$48)))))</f>
        <v>30</v>
      </c>
      <c r="N490" s="33">
        <f>IF(B490="高三",MAX(IF(E490="男",L490-18,L490-55),0),IF(B490="高二",MAX(IF(E490="男",L490-17,L490-54),0),IF(B490="高一",MAX(IF(E490="男",L490-16,L490-53),0))))</f>
        <v>0</v>
      </c>
      <c r="O490" s="23">
        <f>IF(E490="男",LOOKUP($N490,[1]对照表!$Z$3:$Z$13,[1]对照表!$AA$3:$AA$13),LOOKUP($N490,[1]对照表!$Z$15:$Z$25,[1]对照表!$AA$15:$AA$25))</f>
        <v>0</v>
      </c>
      <c r="P490" s="25">
        <f>M490+O490</f>
        <v>30</v>
      </c>
      <c r="Q490" s="38">
        <v>3.57</v>
      </c>
      <c r="R490" s="32">
        <f>IF(B490="高三",IF($E490="男",LOOKUP(Q490,[1]对照表!$W$3:$W$24,[1]对照表!$X$3:$X$24),LOOKUP(Q490,[1]对照表!$W$27:$W$48,[1]对照表!$X$27:$X$48)),IF(B490="高二",IF($E490="男",LOOKUP(Q490,[1]对照表!$V$3:$V$24,[1]对照表!$X$3:$X$24),LOOKUP(Q490,[1]对照表!$V$27:$V$48,[1]对照表!$X$27:$X$48)),IF(B490="高一",IF($E490="男",LOOKUP(Q490,[1]对照表!$U$3:$U$24,[1]对照表!$X$3:$X$24),LOOKUP(Q490,[1]对照表!$U$27:$U$48,[1]对照表!$X$27:$X$48)))))</f>
        <v>76</v>
      </c>
      <c r="S490" s="33">
        <f>ROUND(IF(IF($B490="高三",MIN(IF($E490="男",$Q490-3.2,$Q490-3.2),0),IF($B490="高二",MIN(IF($E490="男",$Q490-3.25,$Q490-3.22),0),IF($B490="高一",MIN(IF($E490="男",$Q490-3.3,$Q490-3.24),0))))&lt;-0.6,IF($B490="高三",MIN(IF($E490="男",$Q490-3.2,$Q490-3.2),0),IF($B490="高二",MIN(IF($E490="男",$Q490-3.25,$Q490-3.22),0),IF($B490="高一",MIN(IF($E490="男",$Q490-3.3,$Q490-3.24),0))))+0.4,IF($B490="高三",MIN(IF($E490="男",$Q490-3.2,$Q490-3.2),0),IF($B490="高二",MIN(IF($E490="男",$Q490-3.25,$Q490-3.22),0),IF($B490="高一",MIN(IF($E490="男",$Q490-3.3,$Q490-3.24),0))))),2)</f>
        <v>0</v>
      </c>
      <c r="T490" s="23">
        <f>IF(E490="男",LOOKUP($S490,[1]对照表!$AB$3:$AB$13,[1]对照表!$AC$3:$AC$13),LOOKUP($S490,[1]对照表!$AB$15:$AB$25,[1]对照表!$AC$15:$AC$25))</f>
        <v>0</v>
      </c>
      <c r="U490" s="26">
        <f>R490+T490</f>
        <v>76</v>
      </c>
      <c r="V490" s="26">
        <f>SUM(I490,K490,M490)/3*0.3+SUM(G490,R490)/2*0.4</f>
        <v>50.8</v>
      </c>
      <c r="W490" s="27">
        <f>O490+T490</f>
        <v>0</v>
      </c>
      <c r="X490" s="28">
        <f>V490/0.7+W490</f>
        <v>72.571428571428569</v>
      </c>
      <c r="Y490" s="28">
        <f>X490</f>
        <v>72.571428571428569</v>
      </c>
      <c r="Z490" s="38"/>
    </row>
    <row r="491" spans="1:26" ht="15.6" x14ac:dyDescent="0.25">
      <c r="A491" s="38">
        <v>2</v>
      </c>
      <c r="B491" s="17" t="s">
        <v>767</v>
      </c>
      <c r="C491" s="48">
        <v>211</v>
      </c>
      <c r="D491" s="49" t="s">
        <v>1376</v>
      </c>
      <c r="E491" s="48" t="s">
        <v>23</v>
      </c>
      <c r="F491" s="38">
        <v>7</v>
      </c>
      <c r="G491" s="32">
        <f>IF(B491="高三",IF($E491="男",LOOKUP(F491,[1]对照表!$G$3:$G$24,[1]对照表!$H$3:$H$24),LOOKUP(F491,[1]对照表!$G$27:$G$48,[1]对照表!$H$27:$H$48)),IF(B491="高二",IF($E491="男",LOOKUP(F491,[1]对照表!$F$3:$F$24,[1]对照表!$H$3:$H$24),LOOKUP(F491,[1]对照表!$F$27:$F$48,[1]对照表!$H$27:$H$48)),IF(B491="高一",IF($E491="男",LOOKUP(F491,[1]对照表!$E$3:$E$24,[1]对照表!$H$3:$H$24),LOOKUP(F491,[1]对照表!$E$27:$E$48,[1]对照表!$H$27:$H$48)))))</f>
        <v>100</v>
      </c>
      <c r="H491" s="38" t="s">
        <v>1377</v>
      </c>
      <c r="I491" s="32" t="str">
        <f>IF(B491="高三",IF($E491="男",LOOKUP(H491,[1]对照表!$K$3:$K$24,[1]对照表!$L$3:$L$24),LOOKUP(H491,[1]对照表!$K$27:$K$48,[1]对照表!$L$27:$L$48)),IF(B491="高二",IF($E491="男",LOOKUP(H491,[1]对照表!$J$3:$J$24,[1]对照表!$L$3:$L$24),LOOKUP(H491,[1]对照表!$J$27:$J$48,[1]对照表!$L$27:$L$48)),IF(B491="高一",IF($E491="男",LOOKUP(H491,[1]对照表!$I$3:$I$24,[1]对照表!$L$3:$L$24),LOOKUP(H491,[1]对照表!$I$27:$I$48,[1]对照表!$L$27:$L$48)))))</f>
        <v>/</v>
      </c>
      <c r="J491" s="38">
        <v>257</v>
      </c>
      <c r="K491" s="32">
        <f>IF(B491="高三",IF($E491="男",LOOKUP(J491,[1]对照表!$O$3:$O$24,[1]对照表!$P$3:$P$24),LOOKUP(J491,[1]对照表!$O$27:$O$48,[1]对照表!$P$27:$P$48)),IF(B491="高二",IF($E491="男",LOOKUP(J491,[1]对照表!$N$3:$N$24,[1]对照表!$P$3:$P$24),LOOKUP(J491,[1]对照表!$N$27:$N$48,[1]对照表!$P$27:$P$48)),IF(B491="高一",IF($E491="男",LOOKUP(J491,[1]对照表!$M$3:$M$24,[1]对照表!$P$3:$P$24),LOOKUP(J491,[1]对照表!$M$27:$M$48,[1]对照表!$P$27:$P$48)))))</f>
        <v>90</v>
      </c>
      <c r="L491" s="38">
        <v>2</v>
      </c>
      <c r="M491" s="32">
        <f>IF(B491="高三",IF($E491="男",LOOKUP(L491,[1]对照表!$S$3:$S$24,[1]对照表!$T$3:$T$24),LOOKUP(L491,[1]对照表!$S$27:$S$48,[1]对照表!$T$27:$T$48)),IF(B491="高二",IF($E491="男",LOOKUP(L491,[1]对照表!$R$3:$R$24,[1]对照表!$T$3:$T$24),LOOKUP(L491,[1]对照表!$R$27:$R$48,[1]对照表!$T$27:$T$48)),IF(B491="高一",IF($E491="男",LOOKUP(L491,[1]对照表!$Q$3:$Q$24,[1]对照表!$T$3:$T$24),LOOKUP(L491,[1]对照表!$Q$27:$Q$48,[1]对照表!$T$27:$T$48)))))</f>
        <v>0</v>
      </c>
      <c r="N491" s="33">
        <f>IF(B491="高三",MAX(IF(E491="男",L491-18,L491-55),0),IF(B491="高二",MAX(IF(E491="男",L491-17,L491-54),0),IF(B491="高一",MAX(IF(E491="男",L491-16,L491-53),0))))</f>
        <v>0</v>
      </c>
      <c r="O491" s="23">
        <f>IF(E491="男",LOOKUP($N491,[1]对照表!$Z$3:$Z$13,[1]对照表!$AA$3:$AA$13),LOOKUP($N491,[1]对照表!$Z$15:$Z$25,[1]对照表!$AA$15:$AA$25))</f>
        <v>0</v>
      </c>
      <c r="P491" s="25">
        <f>M491+O491</f>
        <v>0</v>
      </c>
      <c r="Q491" s="38">
        <v>3.29</v>
      </c>
      <c r="R491" s="32">
        <f>IF(B491="高三",IF($E491="男",LOOKUP(Q491,[1]对照表!$W$3:$W$24,[1]对照表!$X$3:$X$24),LOOKUP(Q491,[1]对照表!$W$27:$W$48,[1]对照表!$X$27:$X$48)),IF(B491="高二",IF($E491="男",LOOKUP(Q491,[1]对照表!$V$3:$V$24,[1]对照表!$X$3:$X$24),LOOKUP(Q491,[1]对照表!$V$27:$V$48,[1]对照表!$X$27:$X$48)),IF(B491="高一",IF($E491="男",LOOKUP(Q491,[1]对照表!$U$3:$U$24,[1]对照表!$X$3:$X$24),LOOKUP(Q491,[1]对照表!$U$27:$U$48,[1]对照表!$X$27:$X$48)))))</f>
        <v>95</v>
      </c>
      <c r="S491" s="33">
        <f>ROUND(IF(IF($B491="高三",MIN(IF($E491="男",$Q491-3.2,$Q491-3.2),0),IF($B491="高二",MIN(IF($E491="男",$Q491-3.25,$Q491-3.22),0),IF($B491="高一",MIN(IF($E491="男",$Q491-3.3,$Q491-3.24),0))))&lt;-0.6,IF($B491="高三",MIN(IF($E491="男",$Q491-3.2,$Q491-3.2),0),IF($B491="高二",MIN(IF($E491="男",$Q491-3.25,$Q491-3.22),0),IF($B491="高一",MIN(IF($E491="男",$Q491-3.3,$Q491-3.24),0))))+0.4,IF($B491="高三",MIN(IF($E491="男",$Q491-3.2,$Q491-3.2),0),IF($B491="高二",MIN(IF($E491="男",$Q491-3.25,$Q491-3.22),0),IF($B491="高一",MIN(IF($E491="男",$Q491-3.3,$Q491-3.24),0))))),2)</f>
        <v>0</v>
      </c>
      <c r="T491" s="23">
        <f>IF(E491="男",LOOKUP($S491,[1]对照表!$AB$3:$AB$13,[1]对照表!$AC$3:$AC$13),LOOKUP($S491,[1]对照表!$AB$15:$AB$25,[1]对照表!$AC$15:$AC$25))</f>
        <v>0</v>
      </c>
      <c r="U491" s="26">
        <f>R491+T491</f>
        <v>95</v>
      </c>
      <c r="V491" s="26">
        <f>SUM(I491,K491,M491)/3*0.3+SUM(G491,R491)/2*0.4</f>
        <v>48</v>
      </c>
      <c r="W491" s="27">
        <f>O491+T491</f>
        <v>0</v>
      </c>
      <c r="X491" s="28">
        <f>V491/0.7+W491</f>
        <v>68.571428571428569</v>
      </c>
      <c r="Y491" s="28">
        <f>X491</f>
        <v>68.571428571428569</v>
      </c>
      <c r="Z491" s="38"/>
    </row>
    <row r="492" spans="1:26" ht="15.6" x14ac:dyDescent="0.25">
      <c r="A492" s="48">
        <v>14</v>
      </c>
      <c r="B492" s="17" t="s">
        <v>767</v>
      </c>
      <c r="C492" s="48">
        <v>211</v>
      </c>
      <c r="D492" s="49" t="s">
        <v>1378</v>
      </c>
      <c r="E492" s="48" t="s">
        <v>23</v>
      </c>
      <c r="F492" s="38">
        <v>7.7</v>
      </c>
      <c r="G492" s="32">
        <f>IF(B492="高三",IF($E492="男",LOOKUP(F492,[1]对照表!$G$3:$G$24,[1]对照表!$H$3:$H$24),LOOKUP(F492,[1]对照表!$G$27:$G$48,[1]对照表!$H$27:$H$48)),IF(B492="高二",IF($E492="男",LOOKUP(F492,[1]对照表!$F$3:$F$24,[1]对照表!$H$3:$H$24),LOOKUP(F492,[1]对照表!$F$27:$F$48,[1]对照表!$H$27:$H$48)),IF(B492="高一",IF($E492="男",LOOKUP(F492,[1]对照表!$E$3:$E$24,[1]对照表!$H$3:$H$24),LOOKUP(F492,[1]对照表!$E$27:$E$48,[1]对照表!$H$27:$H$48)))))</f>
        <v>76</v>
      </c>
      <c r="H492" s="38">
        <v>14</v>
      </c>
      <c r="I492" s="32">
        <f>IF(B492="高三",IF($E492="男",LOOKUP(H492,[1]对照表!$K$3:$K$24,[1]对照表!$L$3:$L$24),LOOKUP(H492,[1]对照表!$K$27:$K$48,[1]对照表!$L$27:$L$48)),IF(B492="高二",IF($E492="男",LOOKUP(H492,[1]对照表!$J$3:$J$24,[1]对照表!$L$3:$L$24),LOOKUP(H492,[1]对照表!$J$27:$J$48,[1]对照表!$L$27:$L$48)),IF(B492="高一",IF($E492="男",LOOKUP(H492,[1]对照表!$I$3:$I$24,[1]对照表!$L$3:$L$24),LOOKUP(H492,[1]对照表!$I$27:$I$48,[1]对照表!$L$27:$L$48)))))</f>
        <v>76</v>
      </c>
      <c r="J492" s="38">
        <v>215</v>
      </c>
      <c r="K492" s="32">
        <f>IF(B492="高三",IF($E492="男",LOOKUP(J492,[1]对照表!$O$3:$O$24,[1]对照表!$P$3:$P$24),LOOKUP(J492,[1]对照表!$O$27:$O$48,[1]对照表!$P$27:$P$48)),IF(B492="高二",IF($E492="男",LOOKUP(J492,[1]对照表!$N$3:$N$24,[1]对照表!$P$3:$P$24),LOOKUP(J492,[1]对照表!$N$27:$N$48,[1]对照表!$P$27:$P$48)),IF(B492="高一",IF($E492="男",LOOKUP(J492,[1]对照表!$M$3:$M$24,[1]对照表!$P$3:$P$24),LOOKUP(J492,[1]对照表!$M$27:$M$48,[1]对照表!$P$27:$P$48)))))</f>
        <v>66</v>
      </c>
      <c r="L492" s="38">
        <v>5</v>
      </c>
      <c r="M492" s="32">
        <f>IF(B492="高三",IF($E492="男",LOOKUP(L492,[1]对照表!$S$3:$S$24,[1]对照表!$T$3:$T$24),LOOKUP(L492,[1]对照表!$S$27:$S$48,[1]对照表!$T$27:$T$48)),IF(B492="高二",IF($E492="男",LOOKUP(L492,[1]对照表!$R$3:$R$24,[1]对照表!$T$3:$T$24),LOOKUP(L492,[1]对照表!$R$27:$R$48,[1]对照表!$T$27:$T$48)),IF(B492="高一",IF($E492="男",LOOKUP(L492,[1]对照表!$Q$3:$Q$24,[1]对照表!$T$3:$T$24),LOOKUP(L492,[1]对照表!$Q$27:$Q$48,[1]对照表!$T$27:$T$48)))))</f>
        <v>30</v>
      </c>
      <c r="N492" s="33">
        <f>IF(B492="高三",MAX(IF(E492="男",L492-18,L492-55),0),IF(B492="高二",MAX(IF(E492="男",L492-17,L492-54),0),IF(B492="高一",MAX(IF(E492="男",L492-16,L492-53),0))))</f>
        <v>0</v>
      </c>
      <c r="O492" s="23">
        <f>IF(E492="男",LOOKUP($N492,[1]对照表!$Z$3:$Z$13,[1]对照表!$AA$3:$AA$13),LOOKUP($N492,[1]对照表!$Z$15:$Z$25,[1]对照表!$AA$15:$AA$25))</f>
        <v>0</v>
      </c>
      <c r="P492" s="25">
        <f>M492+O492</f>
        <v>30</v>
      </c>
      <c r="Q492" s="38">
        <v>3.53</v>
      </c>
      <c r="R492" s="32">
        <f>IF(B492="高三",IF($E492="男",LOOKUP(Q492,[1]对照表!$W$3:$W$24,[1]对照表!$X$3:$X$24),LOOKUP(Q492,[1]对照表!$W$27:$W$48,[1]对照表!$X$27:$X$48)),IF(B492="高二",IF($E492="男",LOOKUP(Q492,[1]对照表!$V$3:$V$24,[1]对照表!$X$3:$X$24),LOOKUP(Q492,[1]对照表!$V$27:$V$48,[1]对照表!$X$27:$X$48)),IF(B492="高一",IF($E492="男",LOOKUP(Q492,[1]对照表!$U$3:$U$24,[1]对照表!$X$3:$X$24),LOOKUP(Q492,[1]对照表!$U$27:$U$48,[1]对照表!$X$27:$X$48)))))</f>
        <v>78</v>
      </c>
      <c r="S492" s="33">
        <f>ROUND(IF(IF($B492="高三",MIN(IF($E492="男",$Q492-3.2,$Q492-3.2),0),IF($B492="高二",MIN(IF($E492="男",$Q492-3.25,$Q492-3.22),0),IF($B492="高一",MIN(IF($E492="男",$Q492-3.3,$Q492-3.24),0))))&lt;-0.6,IF($B492="高三",MIN(IF($E492="男",$Q492-3.2,$Q492-3.2),0),IF($B492="高二",MIN(IF($E492="男",$Q492-3.25,$Q492-3.22),0),IF($B492="高一",MIN(IF($E492="男",$Q492-3.3,$Q492-3.24),0))))+0.4,IF($B492="高三",MIN(IF($E492="男",$Q492-3.2,$Q492-3.2),0),IF($B492="高二",MIN(IF($E492="男",$Q492-3.25,$Q492-3.22),0),IF($B492="高一",MIN(IF($E492="男",$Q492-3.3,$Q492-3.24),0))))),2)</f>
        <v>0</v>
      </c>
      <c r="T492" s="23">
        <f>IF(E492="男",LOOKUP($S492,[1]对照表!$AB$3:$AB$13,[1]对照表!$AC$3:$AC$13),LOOKUP($S492,[1]对照表!$AB$15:$AB$25,[1]对照表!$AC$15:$AC$25))</f>
        <v>0</v>
      </c>
      <c r="U492" s="26">
        <f>R492+T492</f>
        <v>78</v>
      </c>
      <c r="V492" s="26">
        <f>SUM(I492,K492,M492)/3*0.3+SUM(G492,R492)/2*0.4</f>
        <v>48</v>
      </c>
      <c r="W492" s="27">
        <f>O492+T492</f>
        <v>0</v>
      </c>
      <c r="X492" s="28">
        <f>V492/0.7+W492</f>
        <v>68.571428571428569</v>
      </c>
      <c r="Y492" s="28">
        <f>X492</f>
        <v>68.571428571428569</v>
      </c>
      <c r="Z492" s="38"/>
    </row>
    <row r="493" spans="1:26" ht="15.6" x14ac:dyDescent="0.25">
      <c r="A493" s="48">
        <v>24</v>
      </c>
      <c r="B493" s="17" t="s">
        <v>767</v>
      </c>
      <c r="C493" s="48">
        <v>211</v>
      </c>
      <c r="D493" s="49" t="s">
        <v>1415</v>
      </c>
      <c r="E493" s="48" t="s">
        <v>23</v>
      </c>
      <c r="F493" s="38">
        <v>7.8</v>
      </c>
      <c r="G493" s="32">
        <f>IF(B493="高三",IF($E493="男",LOOKUP(F493,[1]对照表!$G$3:$G$24,[1]对照表!$H$3:$H$24),LOOKUP(F493,[1]对照表!$G$27:$G$48,[1]对照表!$H$27:$H$48)),IF(B493="高二",IF($E493="男",LOOKUP(F493,[1]对照表!$F$3:$F$24,[1]对照表!$H$3:$H$24),LOOKUP(F493,[1]对照表!$F$27:$F$48,[1]对照表!$H$27:$H$48)),IF(B493="高一",IF($E493="男",LOOKUP(F493,[1]对照表!$E$3:$E$24,[1]对照表!$H$3:$H$24),LOOKUP(F493,[1]对照表!$E$27:$E$48,[1]对照表!$H$27:$H$48)))))</f>
        <v>76</v>
      </c>
      <c r="H493" s="38">
        <v>10</v>
      </c>
      <c r="I493" s="32">
        <f>IF(B493="高三",IF($E493="男",LOOKUP(H493,[1]对照表!$K$3:$K$24,[1]对照表!$L$3:$L$24),LOOKUP(H493,[1]对照表!$K$27:$K$48,[1]对照表!$L$27:$L$48)),IF(B493="高二",IF($E493="男",LOOKUP(H493,[1]对照表!$J$3:$J$24,[1]对照表!$L$3:$L$24),LOOKUP(H493,[1]对照表!$J$27:$J$48,[1]对照表!$L$27:$L$48)),IF(B493="高一",IF($E493="男",LOOKUP(H493,[1]对照表!$I$3:$I$24,[1]对照表!$L$3:$L$24),LOOKUP(H493,[1]对照表!$I$27:$I$48,[1]对照表!$L$27:$L$48)))))</f>
        <v>70</v>
      </c>
      <c r="J493" s="38">
        <v>215</v>
      </c>
      <c r="K493" s="32">
        <f>IF(B493="高三",IF($E493="男",LOOKUP(J493,[1]对照表!$O$3:$O$24,[1]对照表!$P$3:$P$24),LOOKUP(J493,[1]对照表!$O$27:$O$48,[1]对照表!$P$27:$P$48)),IF(B493="高二",IF($E493="男",LOOKUP(J493,[1]对照表!$N$3:$N$24,[1]对照表!$P$3:$P$24),LOOKUP(J493,[1]对照表!$N$27:$N$48,[1]对照表!$P$27:$P$48)),IF(B493="高一",IF($E493="男",LOOKUP(J493,[1]对照表!$M$3:$M$24,[1]对照表!$P$3:$P$24),LOOKUP(J493,[1]对照表!$M$27:$M$48,[1]对照表!$P$27:$P$48)))))</f>
        <v>66</v>
      </c>
      <c r="L493" s="38">
        <v>2</v>
      </c>
      <c r="M493" s="32">
        <f>IF(B493="高三",IF($E493="男",LOOKUP(L493,[1]对照表!$S$3:$S$24,[1]对照表!$T$3:$T$24),LOOKUP(L493,[1]对照表!$S$27:$S$48,[1]对照表!$T$27:$T$48)),IF(B493="高二",IF($E493="男",LOOKUP(L493,[1]对照表!$R$3:$R$24,[1]对照表!$T$3:$T$24),LOOKUP(L493,[1]对照表!$R$27:$R$48,[1]对照表!$T$27:$T$48)),IF(B493="高一",IF($E493="男",LOOKUP(L493,[1]对照表!$Q$3:$Q$24,[1]对照表!$T$3:$T$24),LOOKUP(L493,[1]对照表!$Q$27:$Q$48,[1]对照表!$T$27:$T$48)))))</f>
        <v>0</v>
      </c>
      <c r="N493" s="33">
        <f>IF(B493="高三",MAX(IF(E493="男",L493-18,L493-55),0),IF(B493="高二",MAX(IF(E493="男",L493-17,L493-54),0),IF(B493="高一",MAX(IF(E493="男",L493-16,L493-53),0))))</f>
        <v>0</v>
      </c>
      <c r="O493" s="23">
        <f>IF(E493="男",LOOKUP($N493,[1]对照表!$Z$3:$Z$13,[1]对照表!$AA$3:$AA$13),LOOKUP($N493,[1]对照表!$Z$15:$Z$25,[1]对照表!$AA$15:$AA$25))</f>
        <v>0</v>
      </c>
      <c r="P493" s="25">
        <f>M493+O493</f>
        <v>0</v>
      </c>
      <c r="Q493" s="38">
        <v>3.53</v>
      </c>
      <c r="R493" s="32">
        <f>IF(B493="高三",IF($E493="男",LOOKUP(Q493,[1]对照表!$W$3:$W$24,[1]对照表!$X$3:$X$24),LOOKUP(Q493,[1]对照表!$W$27:$W$48,[1]对照表!$X$27:$X$48)),IF(B493="高二",IF($E493="男",LOOKUP(Q493,[1]对照表!$V$3:$V$24,[1]对照表!$X$3:$X$24),LOOKUP(Q493,[1]对照表!$V$27:$V$48,[1]对照表!$X$27:$X$48)),IF(B493="高一",IF($E493="男",LOOKUP(Q493,[1]对照表!$U$3:$U$24,[1]对照表!$X$3:$X$24),LOOKUP(Q493,[1]对照表!$U$27:$U$48,[1]对照表!$X$27:$X$48)))))</f>
        <v>78</v>
      </c>
      <c r="S493" s="33">
        <f>ROUND(IF(IF($B493="高三",MIN(IF($E493="男",$Q493-3.2,$Q493-3.2),0),IF($B493="高二",MIN(IF($E493="男",$Q493-3.25,$Q493-3.22),0),IF($B493="高一",MIN(IF($E493="男",$Q493-3.3,$Q493-3.24),0))))&lt;-0.6,IF($B493="高三",MIN(IF($E493="男",$Q493-3.2,$Q493-3.2),0),IF($B493="高二",MIN(IF($E493="男",$Q493-3.25,$Q493-3.22),0),IF($B493="高一",MIN(IF($E493="男",$Q493-3.3,$Q493-3.24),0))))+0.4,IF($B493="高三",MIN(IF($E493="男",$Q493-3.2,$Q493-3.2),0),IF($B493="高二",MIN(IF($E493="男",$Q493-3.25,$Q493-3.22),0),IF($B493="高一",MIN(IF($E493="男",$Q493-3.3,$Q493-3.24),0))))),2)</f>
        <v>0</v>
      </c>
      <c r="T493" s="23">
        <f>IF(E493="男",LOOKUP($S493,[1]对照表!$AB$3:$AB$13,[1]对照表!$AC$3:$AC$13),LOOKUP($S493,[1]对照表!$AB$15:$AB$25,[1]对照表!$AC$15:$AC$25))</f>
        <v>0</v>
      </c>
      <c r="U493" s="26">
        <f>R493+T493</f>
        <v>78</v>
      </c>
      <c r="V493" s="26">
        <f>SUM(I493,K493,M493)/3*0.3+SUM(G493,R493)/2*0.4</f>
        <v>44.4</v>
      </c>
      <c r="W493" s="27">
        <f>O493+T493</f>
        <v>0</v>
      </c>
      <c r="X493" s="28">
        <f>V493/0.7+W493</f>
        <v>63.428571428571431</v>
      </c>
      <c r="Y493" s="28">
        <f>X493</f>
        <v>63.428571428571431</v>
      </c>
      <c r="Z493" s="38"/>
    </row>
    <row r="494" spans="1:26" ht="15.6" x14ac:dyDescent="0.25">
      <c r="A494" s="48">
        <v>34</v>
      </c>
      <c r="B494" s="17" t="s">
        <v>767</v>
      </c>
      <c r="C494" s="48">
        <v>211</v>
      </c>
      <c r="D494" s="49" t="s">
        <v>1434</v>
      </c>
      <c r="E494" s="48" t="s">
        <v>65</v>
      </c>
      <c r="F494" s="38"/>
      <c r="G494" s="20">
        <v>0</v>
      </c>
      <c r="H494" s="38">
        <v>19</v>
      </c>
      <c r="I494" s="32">
        <f>IF(B494="高三",IF($E494="男",LOOKUP(H494,[1]对照表!$K$3:$K$24,[1]对照表!$L$3:$L$24),LOOKUP(H494,[1]对照表!$K$27:$K$48,[1]对照表!$L$27:$L$48)),IF(B494="高二",IF($E494="男",LOOKUP(H494,[1]对照表!$J$3:$J$24,[1]对照表!$L$3:$L$24),LOOKUP(H494,[1]对照表!$J$27:$J$48,[1]对照表!$L$27:$L$48)),IF(B494="高一",IF($E494="男",LOOKUP(H494,[1]对照表!$I$3:$I$24,[1]对照表!$L$3:$L$24),LOOKUP(H494,[1]对照表!$I$27:$I$48,[1]对照表!$L$27:$L$48)))))</f>
        <v>80</v>
      </c>
      <c r="J494" s="38"/>
      <c r="K494" s="20">
        <v>0</v>
      </c>
      <c r="L494" s="38"/>
      <c r="M494" s="20">
        <v>0</v>
      </c>
      <c r="N494" s="33">
        <f>IF(B494="高三",MAX(IF(E494="男",L494-18,L494-55),0),IF(B494="高二",MAX(IF(E494="男",L494-17,L494-54),0),IF(B494="高一",MAX(IF(E494="男",L494-16,L494-53),0))))</f>
        <v>0</v>
      </c>
      <c r="O494" s="23">
        <f>IF(E494="男",LOOKUP($N494,[1]对照表!$Z$3:$Z$13,[1]对照表!$AA$3:$AA$13),LOOKUP($N494,[1]对照表!$Z$15:$Z$25,[1]对照表!$AA$15:$AA$25))</f>
        <v>0</v>
      </c>
      <c r="P494" s="25">
        <f>M494+O494</f>
        <v>0</v>
      </c>
      <c r="Q494" s="38"/>
      <c r="R494" s="20">
        <v>0</v>
      </c>
      <c r="S494" s="22">
        <v>0</v>
      </c>
      <c r="T494" s="23">
        <f>IF(E494="男",LOOKUP($S494,[1]对照表!$AB$3:$AB$13,[1]对照表!$AC$3:$AC$13),LOOKUP($S494,[1]对照表!$AB$15:$AB$25,[1]对照表!$AC$15:$AC$25))</f>
        <v>0</v>
      </c>
      <c r="U494" s="26">
        <f>R494+T494</f>
        <v>0</v>
      </c>
      <c r="V494" s="26">
        <f>SUM(I494,K494,M494)/3*0.3+SUM(G494,R494)/2*0.4</f>
        <v>8</v>
      </c>
      <c r="W494" s="27">
        <f>O494+T494</f>
        <v>0</v>
      </c>
      <c r="X494" s="28">
        <f>V494/0.7+W494</f>
        <v>11.428571428571429</v>
      </c>
      <c r="Y494" s="29">
        <v>50</v>
      </c>
      <c r="Z494" s="38"/>
    </row>
    <row r="495" spans="1:26" ht="15.6" x14ac:dyDescent="0.25">
      <c r="A495" s="38">
        <v>6</v>
      </c>
      <c r="B495" s="17" t="s">
        <v>767</v>
      </c>
      <c r="C495" s="48">
        <v>211</v>
      </c>
      <c r="D495" s="49" t="s">
        <v>1454</v>
      </c>
      <c r="E495" s="48" t="s">
        <v>23</v>
      </c>
      <c r="F495" s="38">
        <v>8.6</v>
      </c>
      <c r="G495" s="32">
        <f>IF(B495="高三",IF($E495="男",LOOKUP(F495,[1]对照表!$G$3:$G$24,[1]对照表!$H$3:$H$24),LOOKUP(F495,[1]对照表!$G$27:$G$48,[1]对照表!$H$27:$H$48)),IF(B495="高二",IF($E495="男",LOOKUP(F495,[1]对照表!$F$3:$F$24,[1]对照表!$H$3:$H$24),LOOKUP(F495,[1]对照表!$F$27:$F$48,[1]对照表!$H$27:$H$48)),IF(B495="高一",IF($E495="男",LOOKUP(F495,[1]对照表!$E$3:$E$24,[1]对照表!$H$3:$H$24),LOOKUP(F495,[1]对照表!$E$27:$E$48,[1]对照表!$H$27:$H$48)))))</f>
        <v>68</v>
      </c>
      <c r="H495" s="38">
        <v>-4</v>
      </c>
      <c r="I495" s="32">
        <f>IF(B495="高三",IF($E495="男",LOOKUP(H495,[1]对照表!$K$3:$K$24,[1]对照表!$L$3:$L$24),LOOKUP(H495,[1]对照表!$K$27:$K$48,[1]对照表!$L$27:$L$48)),IF(B495="高二",IF($E495="男",LOOKUP(H495,[1]对照表!$J$3:$J$24,[1]对照表!$L$3:$L$24),LOOKUP(H495,[1]对照表!$J$27:$J$48,[1]对照表!$L$27:$L$48)),IF(B495="高一",IF($E495="男",LOOKUP(H495,[1]对照表!$I$3:$I$24,[1]对照表!$L$3:$L$24),LOOKUP(H495,[1]对照表!$I$27:$I$48,[1]对照表!$L$27:$L$48)))))</f>
        <v>0</v>
      </c>
      <c r="J495" s="38">
        <v>215</v>
      </c>
      <c r="K495" s="32">
        <f>IF(B495="高三",IF($E495="男",LOOKUP(J495,[1]对照表!$O$3:$O$24,[1]对照表!$P$3:$P$24),LOOKUP(J495,[1]对照表!$O$27:$O$48,[1]对照表!$P$27:$P$48)),IF(B495="高二",IF($E495="男",LOOKUP(J495,[1]对照表!$N$3:$N$24,[1]对照表!$P$3:$P$24),LOOKUP(J495,[1]对照表!$N$27:$N$48,[1]对照表!$P$27:$P$48)),IF(B495="高一",IF($E495="男",LOOKUP(J495,[1]对照表!$M$3:$M$24,[1]对照表!$P$3:$P$24),LOOKUP(J495,[1]对照表!$M$27:$M$48,[1]对照表!$P$27:$P$48)))))</f>
        <v>66</v>
      </c>
      <c r="L495" s="38">
        <v>2</v>
      </c>
      <c r="M495" s="32">
        <f>IF(B495="高三",IF($E495="男",LOOKUP(L495,[1]对照表!$S$3:$S$24,[1]对照表!$T$3:$T$24),LOOKUP(L495,[1]对照表!$S$27:$S$48,[1]对照表!$T$27:$T$48)),IF(B495="高二",IF($E495="男",LOOKUP(L495,[1]对照表!$R$3:$R$24,[1]对照表!$T$3:$T$24),LOOKUP(L495,[1]对照表!$R$27:$R$48,[1]对照表!$T$27:$T$48)),IF(B495="高一",IF($E495="男",LOOKUP(L495,[1]对照表!$Q$3:$Q$24,[1]对照表!$T$3:$T$24),LOOKUP(L495,[1]对照表!$Q$27:$Q$48,[1]对照表!$T$27:$T$48)))))</f>
        <v>0</v>
      </c>
      <c r="N495" s="33">
        <f>IF(B495="高三",MAX(IF(E495="男",L495-18,L495-55),0),IF(B495="高二",MAX(IF(E495="男",L495-17,L495-54),0),IF(B495="高一",MAX(IF(E495="男",L495-16,L495-53),0))))</f>
        <v>0</v>
      </c>
      <c r="O495" s="23">
        <f>IF(E495="男",LOOKUP($N495,[1]对照表!$Z$3:$Z$13,[1]对照表!$AA$3:$AA$13),LOOKUP($N495,[1]对照表!$Z$15:$Z$25,[1]对照表!$AA$15:$AA$25))</f>
        <v>0</v>
      </c>
      <c r="P495" s="25">
        <f>M495+O495</f>
        <v>0</v>
      </c>
      <c r="Q495" s="38">
        <v>4.21</v>
      </c>
      <c r="R495" s="32">
        <f>IF(B495="高三",IF($E495="男",LOOKUP(Q495,[1]对照表!$W$3:$W$24,[1]对照表!$X$3:$X$24),LOOKUP(Q495,[1]对照表!$W$27:$W$48,[1]对照表!$X$27:$X$48)),IF(B495="高二",IF($E495="男",LOOKUP(Q495,[1]对照表!$V$3:$V$24,[1]对照表!$X$3:$X$24),LOOKUP(Q495,[1]对照表!$V$27:$V$48,[1]对照表!$X$27:$X$48)),IF(B495="高一",IF($E495="男",LOOKUP(Q495,[1]对照表!$U$3:$U$24,[1]对照表!$X$3:$X$24),LOOKUP(Q495,[1]对照表!$U$27:$U$48,[1]对照表!$X$27:$X$48)))))</f>
        <v>66</v>
      </c>
      <c r="S495" s="33">
        <f>ROUND(IF(IF($B495="高三",MIN(IF($E495="男",$Q495-3.2,$Q495-3.2),0),IF($B495="高二",MIN(IF($E495="男",$Q495-3.25,$Q495-3.22),0),IF($B495="高一",MIN(IF($E495="男",$Q495-3.3,$Q495-3.24),0))))&lt;-0.6,IF($B495="高三",MIN(IF($E495="男",$Q495-3.2,$Q495-3.2),0),IF($B495="高二",MIN(IF($E495="男",$Q495-3.25,$Q495-3.22),0),IF($B495="高一",MIN(IF($E495="男",$Q495-3.3,$Q495-3.24),0))))+0.4,IF($B495="高三",MIN(IF($E495="男",$Q495-3.2,$Q495-3.2),0),IF($B495="高二",MIN(IF($E495="男",$Q495-3.25,$Q495-3.22),0),IF($B495="高一",MIN(IF($E495="男",$Q495-3.3,$Q495-3.24),0))))),2)</f>
        <v>0</v>
      </c>
      <c r="T495" s="23">
        <f>IF(E495="男",LOOKUP($S495,[1]对照表!$AB$3:$AB$13,[1]对照表!$AC$3:$AC$13),LOOKUP($S495,[1]对照表!$AB$15:$AB$25,[1]对照表!$AC$15:$AC$25))</f>
        <v>0</v>
      </c>
      <c r="U495" s="26">
        <f>R495+T495</f>
        <v>66</v>
      </c>
      <c r="V495" s="26">
        <f>SUM(I495,K495,M495)/3*0.3+SUM(G495,R495)/2*0.4</f>
        <v>33.4</v>
      </c>
      <c r="W495" s="27">
        <f>O495+T495</f>
        <v>0</v>
      </c>
      <c r="X495" s="28">
        <f>V495/0.7+W495</f>
        <v>47.714285714285715</v>
      </c>
      <c r="Y495" s="29">
        <v>50</v>
      </c>
      <c r="Z495" s="38"/>
    </row>
    <row r="496" spans="1:26" ht="15.6" x14ac:dyDescent="0.25">
      <c r="A496" s="48">
        <v>17</v>
      </c>
      <c r="B496" s="17" t="s">
        <v>767</v>
      </c>
      <c r="C496" s="48">
        <v>211</v>
      </c>
      <c r="D496" s="49" t="s">
        <v>1489</v>
      </c>
      <c r="E496" s="48" t="s">
        <v>23</v>
      </c>
      <c r="F496" s="38"/>
      <c r="G496" s="20">
        <v>0</v>
      </c>
      <c r="H496" s="38"/>
      <c r="I496" s="20">
        <v>0</v>
      </c>
      <c r="J496" s="38"/>
      <c r="K496" s="20">
        <v>0</v>
      </c>
      <c r="L496" s="38"/>
      <c r="M496" s="20">
        <v>0</v>
      </c>
      <c r="N496" s="33">
        <f>IF(B496="高三",MAX(IF(E496="男",L496-18,L496-55),0),IF(B496="高二",MAX(IF(E496="男",L496-17,L496-54),0),IF(B496="高一",MAX(IF(E496="男",L496-16,L496-53),0))))</f>
        <v>0</v>
      </c>
      <c r="O496" s="23">
        <f>IF(E496="男",LOOKUP($N496,[1]对照表!$Z$3:$Z$13,[1]对照表!$AA$3:$AA$13),LOOKUP($N496,[1]对照表!$Z$15:$Z$25,[1]对照表!$AA$15:$AA$25))</f>
        <v>0</v>
      </c>
      <c r="P496" s="25">
        <f>M496+O496</f>
        <v>0</v>
      </c>
      <c r="Q496" s="38"/>
      <c r="R496" s="20">
        <v>0</v>
      </c>
      <c r="S496" s="22">
        <v>0</v>
      </c>
      <c r="T496" s="23">
        <f>IF(E496="男",LOOKUP($S496,[1]对照表!$AB$3:$AB$13,[1]对照表!$AC$3:$AC$13),LOOKUP($S496,[1]对照表!$AB$15:$AB$25,[1]对照表!$AC$15:$AC$25))</f>
        <v>0</v>
      </c>
      <c r="U496" s="26">
        <f>R496+T496</f>
        <v>0</v>
      </c>
      <c r="V496" s="26">
        <f>SUM(I496,K496,M496)/3*0.3+SUM(G496,R496)/2*0.4</f>
        <v>0</v>
      </c>
      <c r="W496" s="27">
        <f>O496+T496</f>
        <v>0</v>
      </c>
      <c r="X496" s="28">
        <f>V496/0.7+W496</f>
        <v>0</v>
      </c>
      <c r="Y496" s="29">
        <v>50</v>
      </c>
      <c r="Z496" s="38"/>
    </row>
    <row r="497" spans="1:26" ht="15.6" x14ac:dyDescent="0.25">
      <c r="A497" s="48">
        <v>19</v>
      </c>
      <c r="B497" s="17" t="s">
        <v>767</v>
      </c>
      <c r="C497" s="48">
        <v>211</v>
      </c>
      <c r="D497" s="49" t="s">
        <v>1490</v>
      </c>
      <c r="E497" s="48" t="s">
        <v>23</v>
      </c>
      <c r="F497" s="52"/>
      <c r="G497" s="20">
        <v>0</v>
      </c>
      <c r="H497" s="52"/>
      <c r="I497" s="20">
        <v>0</v>
      </c>
      <c r="J497" s="52"/>
      <c r="K497" s="20">
        <v>0</v>
      </c>
      <c r="L497" s="52"/>
      <c r="M497" s="20">
        <v>0</v>
      </c>
      <c r="N497" s="33">
        <f>IF(B497="高三",MAX(IF(E497="男",L497-18,L497-55),0),IF(B497="高二",MAX(IF(E497="男",L497-17,L497-54),0),IF(B497="高一",MAX(IF(E497="男",L497-16,L497-53),0))))</f>
        <v>0</v>
      </c>
      <c r="O497" s="23">
        <f>IF(E497="男",LOOKUP($N497,[1]对照表!$Z$3:$Z$13,[1]对照表!$AA$3:$AA$13),LOOKUP($N497,[1]对照表!$Z$15:$Z$25,[1]对照表!$AA$15:$AA$25))</f>
        <v>0</v>
      </c>
      <c r="P497" s="25">
        <f>M497+O497</f>
        <v>0</v>
      </c>
      <c r="Q497" s="52"/>
      <c r="R497" s="20">
        <v>0</v>
      </c>
      <c r="S497" s="20">
        <v>0</v>
      </c>
      <c r="T497" s="23">
        <f>IF(E497="男",LOOKUP($S497,[1]对照表!$AB$3:$AB$13,[1]对照表!$AC$3:$AC$13),LOOKUP($S497,[1]对照表!$AB$15:$AB$25,[1]对照表!$AC$15:$AC$25))</f>
        <v>0</v>
      </c>
      <c r="U497" s="26">
        <f>R497+T497</f>
        <v>0</v>
      </c>
      <c r="V497" s="26">
        <f>SUM(I497,K497,M497)/3*0.3+SUM(G497,R497)/2*0.4</f>
        <v>0</v>
      </c>
      <c r="W497" s="27">
        <f>O497+T497</f>
        <v>0</v>
      </c>
      <c r="X497" s="28">
        <f>V497/0.7+W497</f>
        <v>0</v>
      </c>
      <c r="Y497" s="29">
        <v>50</v>
      </c>
      <c r="Z497" s="52"/>
    </row>
    <row r="498" spans="1:26" ht="15.6" customHeight="1" x14ac:dyDescent="0.25">
      <c r="A498" s="48">
        <v>23</v>
      </c>
      <c r="B498" s="17" t="s">
        <v>767</v>
      </c>
      <c r="C498" s="48">
        <v>211</v>
      </c>
      <c r="D498" s="49" t="s">
        <v>1491</v>
      </c>
      <c r="E498" s="48" t="s">
        <v>23</v>
      </c>
      <c r="F498" s="38"/>
      <c r="G498" s="20">
        <v>0</v>
      </c>
      <c r="H498" s="38"/>
      <c r="I498" s="20">
        <v>0</v>
      </c>
      <c r="J498" s="38"/>
      <c r="K498" s="20">
        <v>0</v>
      </c>
      <c r="L498" s="38"/>
      <c r="M498" s="20">
        <v>0</v>
      </c>
      <c r="N498" s="33">
        <f>IF(B498="高三",MAX(IF(E498="男",L498-18,L498-55),0),IF(B498="高二",MAX(IF(E498="男",L498-17,L498-54),0),IF(B498="高一",MAX(IF(E498="男",L498-16,L498-53),0))))</f>
        <v>0</v>
      </c>
      <c r="O498" s="23">
        <f>IF(E498="男",LOOKUP($N498,[1]对照表!$Z$3:$Z$13,[1]对照表!$AA$3:$AA$13),LOOKUP($N498,[1]对照表!$Z$15:$Z$25,[1]对照表!$AA$15:$AA$25))</f>
        <v>0</v>
      </c>
      <c r="P498" s="25">
        <f>M498+O498</f>
        <v>0</v>
      </c>
      <c r="Q498" s="38"/>
      <c r="R498" s="20">
        <v>0</v>
      </c>
      <c r="S498" s="22">
        <v>0</v>
      </c>
      <c r="T498" s="23">
        <f>IF(E498="男",LOOKUP($S498,[1]对照表!$AB$3:$AB$13,[1]对照表!$AC$3:$AC$13),LOOKUP($S498,[1]对照表!$AB$15:$AB$25,[1]对照表!$AC$15:$AC$25))</f>
        <v>0</v>
      </c>
      <c r="U498" s="26">
        <f>R498+T498</f>
        <v>0</v>
      </c>
      <c r="V498" s="26">
        <f>SUM(I498,K498,M498)/3*0.3+SUM(G498,R498)/2*0.4</f>
        <v>0</v>
      </c>
      <c r="W498" s="27">
        <f>O498+T498</f>
        <v>0</v>
      </c>
      <c r="X498" s="28">
        <f>V498/0.7+W498</f>
        <v>0</v>
      </c>
      <c r="Y498" s="29">
        <v>50</v>
      </c>
      <c r="Z498" s="38"/>
    </row>
    <row r="499" spans="1:26" ht="15.6" customHeight="1" x14ac:dyDescent="0.15">
      <c r="A499" s="38">
        <v>27</v>
      </c>
      <c r="B499" s="17" t="s">
        <v>767</v>
      </c>
      <c r="C499" s="38">
        <v>212</v>
      </c>
      <c r="D499" s="38" t="s">
        <v>1137</v>
      </c>
      <c r="E499" s="55" t="s">
        <v>23</v>
      </c>
      <c r="F499" s="38">
        <v>6.9</v>
      </c>
      <c r="G499" s="32">
        <f>IF(B499="高三",IF($E499="男",LOOKUP(F499,[1]对照表!$G$3:$G$24,[1]对照表!$H$3:$H$24),LOOKUP(F499,[1]对照表!$G$27:$G$48,[1]对照表!$H$27:$H$48)),IF(B499="高二",IF($E499="男",LOOKUP(F499,[1]对照表!$F$3:$F$24,[1]对照表!$H$3:$H$24),LOOKUP(F499,[1]对照表!$F$27:$F$48,[1]对照表!$H$27:$H$48)),IF(B499="高一",IF($E499="男",LOOKUP(F499,[1]对照表!$E$3:$E$24,[1]对照表!$H$3:$H$24),LOOKUP(F499,[1]对照表!$E$27:$E$48,[1]对照表!$H$27:$H$48)))))</f>
        <v>100</v>
      </c>
      <c r="H499" s="38">
        <v>23.5</v>
      </c>
      <c r="I499" s="32">
        <f>IF(B499="高三",IF($E499="男",LOOKUP(H499,[1]对照表!$K$3:$K$24,[1]对照表!$L$3:$L$24),LOOKUP(H499,[1]对照表!$K$27:$K$48,[1]对照表!$L$27:$L$48)),IF(B499="高二",IF($E499="男",LOOKUP(H499,[1]对照表!$J$3:$J$24,[1]对照表!$L$3:$L$24),LOOKUP(H499,[1]对照表!$J$27:$J$48,[1]对照表!$L$27:$L$48)),IF(B499="高一",IF($E499="男",LOOKUP(H499,[1]对照表!$I$3:$I$24,[1]对照表!$L$3:$L$24),LOOKUP(H499,[1]对照表!$I$27:$I$48,[1]对照表!$L$27:$L$48)))))</f>
        <v>95</v>
      </c>
      <c r="J499" s="38">
        <v>240</v>
      </c>
      <c r="K499" s="32">
        <f>IF(B499="高三",IF($E499="男",LOOKUP(J499,[1]对照表!$O$3:$O$24,[1]对照表!$P$3:$P$24),LOOKUP(J499,[1]对照表!$O$27:$O$48,[1]对照表!$P$27:$P$48)),IF(B499="高二",IF($E499="男",LOOKUP(J499,[1]对照表!$N$3:$N$24,[1]对照表!$P$3:$P$24),LOOKUP(J499,[1]对照表!$N$27:$N$48,[1]对照表!$P$27:$P$48)),IF(B499="高一",IF($E499="男",LOOKUP(J499,[1]对照表!$M$3:$M$24,[1]对照表!$P$3:$P$24),LOOKUP(J499,[1]对照表!$M$27:$M$48,[1]对照表!$P$27:$P$48)))))</f>
        <v>80</v>
      </c>
      <c r="L499" s="38">
        <v>15</v>
      </c>
      <c r="M499" s="32">
        <f>IF(B499="高三",IF($E499="男",LOOKUP(L499,[1]对照表!$S$3:$S$24,[1]对照表!$T$3:$T$24),LOOKUP(L499,[1]对照表!$S$27:$S$48,[1]对照表!$T$27:$T$48)),IF(B499="高二",IF($E499="男",LOOKUP(L499,[1]对照表!$R$3:$R$24,[1]对照表!$T$3:$T$24),LOOKUP(L499,[1]对照表!$R$27:$R$48,[1]对照表!$T$27:$T$48)),IF(B499="高一",IF($E499="男",LOOKUP(L499,[1]对照表!$Q$3:$Q$24,[1]对照表!$T$3:$T$24),LOOKUP(L499,[1]对照表!$Q$27:$Q$48,[1]对照表!$T$27:$T$48)))))</f>
        <v>90</v>
      </c>
      <c r="N499" s="33">
        <f>IF(B499="高三",MAX(IF(E499="男",L499-18,L499-55),0),IF(B499="高二",MAX(IF(E499="男",L499-17,L499-54),0),IF(B499="高一",MAX(IF(E499="男",L499-16,L499-53),0))))</f>
        <v>0</v>
      </c>
      <c r="O499" s="23">
        <f>IF(E499="男",LOOKUP($N499,[1]对照表!$Z$3:$Z$13,[1]对照表!$AA$3:$AA$13),LOOKUP($N499,[1]对照表!$Z$15:$Z$25,[1]对照表!$AA$15:$AA$25))</f>
        <v>0</v>
      </c>
      <c r="P499" s="25">
        <f>M499+O499</f>
        <v>90</v>
      </c>
      <c r="Q499" s="38">
        <v>4.3499999999999996</v>
      </c>
      <c r="R499" s="32">
        <f>IF(B499="高三",IF($E499="男",LOOKUP(Q499,[1]对照表!$W$3:$W$24,[1]对照表!$X$3:$X$24),LOOKUP(Q499,[1]对照表!$W$27:$W$48,[1]对照表!$X$27:$X$48)),IF(B499="高二",IF($E499="男",LOOKUP(Q499,[1]对照表!$V$3:$V$24,[1]对照表!$X$3:$X$24),LOOKUP(Q499,[1]对照表!$V$27:$V$48,[1]对照表!$X$27:$X$48)),IF(B499="高一",IF($E499="男",LOOKUP(Q499,[1]对照表!$U$3:$U$24,[1]对照表!$X$3:$X$24),LOOKUP(Q499,[1]对照表!$U$27:$U$48,[1]对照表!$X$27:$X$48)))))</f>
        <v>62</v>
      </c>
      <c r="S499" s="33">
        <f>ROUND(IF(IF($B499="高三",MIN(IF($E499="男",$Q499-3.2,$Q499-3.2),0),IF($B499="高二",MIN(IF($E499="男",$Q499-3.25,$Q499-3.22),0),IF($B499="高一",MIN(IF($E499="男",$Q499-3.3,$Q499-3.24),0))))&lt;-0.6,IF($B499="高三",MIN(IF($E499="男",$Q499-3.2,$Q499-3.2),0),IF($B499="高二",MIN(IF($E499="男",$Q499-3.25,$Q499-3.22),0),IF($B499="高一",MIN(IF($E499="男",$Q499-3.3,$Q499-3.24),0))))+0.4,IF($B499="高三",MIN(IF($E499="男",$Q499-3.2,$Q499-3.2),0),IF($B499="高二",MIN(IF($E499="男",$Q499-3.25,$Q499-3.22),0),IF($B499="高一",MIN(IF($E499="男",$Q499-3.3,$Q499-3.24),0))))),2)</f>
        <v>0</v>
      </c>
      <c r="T499" s="23">
        <f>IF(E499="男",LOOKUP($S499,[1]对照表!$AB$3:$AB$13,[1]对照表!$AC$3:$AC$13),LOOKUP($S499,[1]对照表!$AB$15:$AB$25,[1]对照表!$AC$15:$AC$25))</f>
        <v>0</v>
      </c>
      <c r="U499" s="26">
        <f>R499+T499</f>
        <v>62</v>
      </c>
      <c r="V499" s="26">
        <f>SUM(I499,K499,M499)/3*0.3+SUM(G499,R499)/2*0.4</f>
        <v>58.899999999999991</v>
      </c>
      <c r="W499" s="27">
        <f>O499+T499</f>
        <v>0</v>
      </c>
      <c r="X499" s="28">
        <f>V499/0.7+W499</f>
        <v>84.142857142857139</v>
      </c>
      <c r="Y499" s="28">
        <f>X499</f>
        <v>84.142857142857139</v>
      </c>
      <c r="Z499" s="38"/>
    </row>
    <row r="500" spans="1:26" ht="15.6" x14ac:dyDescent="0.25">
      <c r="A500" s="52">
        <v>21</v>
      </c>
      <c r="B500" s="17" t="s">
        <v>767</v>
      </c>
      <c r="C500" s="48">
        <v>213</v>
      </c>
      <c r="D500" s="49" t="s">
        <v>775</v>
      </c>
      <c r="E500" s="48" t="s">
        <v>23</v>
      </c>
      <c r="F500" s="52">
        <v>6.7</v>
      </c>
      <c r="G500" s="32">
        <f>IF(B500="高三",IF($E500="男",LOOKUP(F500,[1]对照表!$G$3:$G$24,[1]对照表!$H$3:$H$24),LOOKUP(F500,[1]对照表!$G$27:$G$48,[1]对照表!$H$27:$H$48)),IF(B500="高二",IF($E500="男",LOOKUP(F500,[1]对照表!$F$3:$F$24,[1]对照表!$H$3:$H$24),LOOKUP(F500,[1]对照表!$F$27:$F$48,[1]对照表!$H$27:$H$48)),IF(B500="高一",IF($E500="男",LOOKUP(F500,[1]对照表!$E$3:$E$24,[1]对照表!$H$3:$H$24),LOOKUP(F500,[1]对照表!$E$27:$E$48,[1]对照表!$H$27:$H$48)))))</f>
        <v>100</v>
      </c>
      <c r="H500" s="52">
        <v>28</v>
      </c>
      <c r="I500" s="32">
        <f>IF(B500="高三",IF($E500="男",LOOKUP(H500,[1]对照表!$K$3:$K$24,[1]对照表!$L$3:$L$24),LOOKUP(H500,[1]对照表!$K$27:$K$48,[1]对照表!$L$27:$L$48)),IF(B500="高二",IF($E500="男",LOOKUP(H500,[1]对照表!$J$3:$J$24,[1]对照表!$L$3:$L$24),LOOKUP(H500,[1]对照表!$J$27:$J$48,[1]对照表!$L$27:$L$48)),IF(B500="高一",IF($E500="男",LOOKUP(H500,[1]对照表!$I$3:$I$24,[1]对照表!$L$3:$L$24),LOOKUP(H500,[1]对照表!$I$27:$I$48,[1]对照表!$L$27:$L$48)))))</f>
        <v>100</v>
      </c>
      <c r="J500" s="52">
        <v>270</v>
      </c>
      <c r="K500" s="32">
        <f>IF(B500="高三",IF($E500="男",LOOKUP(J500,[1]对照表!$O$3:$O$24,[1]对照表!$P$3:$P$24),LOOKUP(J500,[1]对照表!$O$27:$O$48,[1]对照表!$P$27:$P$48)),IF(B500="高二",IF($E500="男",LOOKUP(J500,[1]对照表!$N$3:$N$24,[1]对照表!$P$3:$P$24),LOOKUP(J500,[1]对照表!$N$27:$N$48,[1]对照表!$P$27:$P$48)),IF(B500="高一",IF($E500="男",LOOKUP(J500,[1]对照表!$M$3:$M$24,[1]对照表!$P$3:$P$24),LOOKUP(J500,[1]对照表!$M$27:$M$48,[1]对照表!$P$27:$P$48)))))</f>
        <v>100</v>
      </c>
      <c r="L500" s="52">
        <v>27</v>
      </c>
      <c r="M500" s="32">
        <f>IF(B500="高三",IF($E500="男",LOOKUP(L500,[1]对照表!$S$3:$S$24,[1]对照表!$T$3:$T$24),LOOKUP(L500,[1]对照表!$S$27:$S$48,[1]对照表!$T$27:$T$48)),IF(B500="高二",IF($E500="男",LOOKUP(L500,[1]对照表!$R$3:$R$24,[1]对照表!$T$3:$T$24),LOOKUP(L500,[1]对照表!$R$27:$R$48,[1]对照表!$T$27:$T$48)),IF(B500="高一",IF($E500="男",LOOKUP(L500,[1]对照表!$Q$3:$Q$24,[1]对照表!$T$3:$T$24),LOOKUP(L500,[1]对照表!$Q$27:$Q$48,[1]对照表!$T$27:$T$48)))))</f>
        <v>100</v>
      </c>
      <c r="N500" s="33">
        <f>IF(B500="高三",MAX(IF(E500="男",L500-18,L500-55),0),IF(B500="高二",MAX(IF(E500="男",L500-17,L500-54),0),IF(B500="高一",MAX(IF(E500="男",L500-16,L500-53),0))))</f>
        <v>10</v>
      </c>
      <c r="O500" s="23">
        <f>IF(E500="男",LOOKUP($N500,[1]对照表!$Z$3:$Z$13,[1]对照表!$AA$3:$AA$13),LOOKUP($N500,[1]对照表!$Z$15:$Z$25,[1]对照表!$AA$15:$AA$25))</f>
        <v>10</v>
      </c>
      <c r="P500" s="25">
        <f>M500+O500</f>
        <v>110</v>
      </c>
      <c r="Q500" s="52">
        <v>3.2</v>
      </c>
      <c r="R500" s="32">
        <f>IF(B500="高三",IF($E500="男",LOOKUP(Q500,[1]对照表!$W$3:$W$24,[1]对照表!$X$3:$X$24),LOOKUP(Q500,[1]对照表!$W$27:$W$48,[1]对照表!$X$27:$X$48)),IF(B500="高二",IF($E500="男",LOOKUP(Q500,[1]对照表!$V$3:$V$24,[1]对照表!$X$3:$X$24),LOOKUP(Q500,[1]对照表!$V$27:$V$48,[1]对照表!$X$27:$X$48)),IF(B500="高一",IF($E500="男",LOOKUP(Q500,[1]对照表!$U$3:$U$24,[1]对照表!$X$3:$X$24),LOOKUP(Q500,[1]对照表!$U$27:$U$48,[1]对照表!$X$27:$X$48)))))</f>
        <v>100</v>
      </c>
      <c r="S500" s="33">
        <f>ROUND(IF(IF($B500="高三",MIN(IF($E500="男",$Q500-3.2,$Q500-3.2),0),IF($B500="高二",MIN(IF($E500="男",$Q500-3.25,$Q500-3.22),0),IF($B500="高一",MIN(IF($E500="男",$Q500-3.3,$Q500-3.24),0))))&lt;-0.6,IF($B500="高三",MIN(IF($E500="男",$Q500-3.2,$Q500-3.2),0),IF($B500="高二",MIN(IF($E500="男",$Q500-3.25,$Q500-3.22),0),IF($B500="高一",MIN(IF($E500="男",$Q500-3.3,$Q500-3.24),0))))+0.4,IF($B500="高三",MIN(IF($E500="男",$Q500-3.2,$Q500-3.2),0),IF($B500="高二",MIN(IF($E500="男",$Q500-3.25,$Q500-3.22),0),IF($B500="高一",MIN(IF($E500="男",$Q500-3.3,$Q500-3.24),0))))),2)</f>
        <v>-0.05</v>
      </c>
      <c r="T500" s="23">
        <f>IF(E500="男",LOOKUP($S500,[1]对照表!$AB$3:$AB$13,[1]对照表!$AC$3:$AC$13),LOOKUP($S500,[1]对照表!$AB$15:$AB$25,[1]对照表!$AC$15:$AC$25))</f>
        <v>1</v>
      </c>
      <c r="U500" s="26">
        <f>R500+T500</f>
        <v>101</v>
      </c>
      <c r="V500" s="26">
        <f>SUM(I500,K500,M500)/3*0.3+SUM(G500,R500)/2*0.4</f>
        <v>70</v>
      </c>
      <c r="W500" s="27">
        <f>O500+T500</f>
        <v>11</v>
      </c>
      <c r="X500" s="28">
        <f>V500/0.7+W500</f>
        <v>111</v>
      </c>
      <c r="Y500" s="28">
        <f>X500</f>
        <v>111</v>
      </c>
      <c r="Z500" s="52"/>
    </row>
    <row r="501" spans="1:26" ht="15.6" x14ac:dyDescent="0.25">
      <c r="A501" s="48">
        <v>33</v>
      </c>
      <c r="B501" s="17" t="s">
        <v>767</v>
      </c>
      <c r="C501" s="48">
        <v>213</v>
      </c>
      <c r="D501" s="49" t="s">
        <v>787</v>
      </c>
      <c r="E501" s="48" t="s">
        <v>65</v>
      </c>
      <c r="F501" s="38">
        <v>8.16</v>
      </c>
      <c r="G501" s="32">
        <f>IF(B501="高三",IF($E501="男",LOOKUP(F501,[1]对照表!$G$3:$G$24,[1]对照表!$H$3:$H$24),LOOKUP(F501,[1]对照表!$G$27:$G$48,[1]对照表!$H$27:$H$48)),IF(B501="高二",IF($E501="男",LOOKUP(F501,[1]对照表!$F$3:$F$24,[1]对照表!$H$3:$H$24),LOOKUP(F501,[1]对照表!$F$27:$F$48,[1]对照表!$H$27:$H$48)),IF(B501="高一",IF($E501="男",LOOKUP(F501,[1]对照表!$E$3:$E$24,[1]对照表!$H$3:$H$24),LOOKUP(F501,[1]对照表!$E$27:$E$48,[1]对照表!$H$27:$H$48)))))</f>
        <v>85</v>
      </c>
      <c r="H501" s="38">
        <v>21.5</v>
      </c>
      <c r="I501" s="32">
        <f>IF(B501="高三",IF($E501="男",LOOKUP(H501,[1]对照表!$K$3:$K$24,[1]对照表!$L$3:$L$24),LOOKUP(H501,[1]对照表!$K$27:$K$48,[1]对照表!$L$27:$L$48)),IF(B501="高二",IF($E501="男",LOOKUP(H501,[1]对照表!$J$3:$J$24,[1]对照表!$L$3:$L$24),LOOKUP(H501,[1]对照表!$J$27:$J$48,[1]对照表!$L$27:$L$48)),IF(B501="高一",IF($E501="男",LOOKUP(H501,[1]对照表!$I$3:$I$24,[1]对照表!$L$3:$L$24),LOOKUP(H501,[1]对照表!$I$27:$I$48,[1]对照表!$L$27:$L$48)))))</f>
        <v>90</v>
      </c>
      <c r="J501" s="38">
        <v>205</v>
      </c>
      <c r="K501" s="32">
        <f>IF(B501="高三",IF($E501="男",LOOKUP(J501,[1]对照表!$O$3:$O$24,[1]对照表!$P$3:$P$24),LOOKUP(J501,[1]对照表!$O$27:$O$48,[1]对照表!$P$27:$P$48)),IF(B501="高二",IF($E501="男",LOOKUP(J501,[1]对照表!$N$3:$N$24,[1]对照表!$P$3:$P$24),LOOKUP(J501,[1]对照表!$N$27:$N$48,[1]对照表!$P$27:$P$48)),IF(B501="高一",IF($E501="男",LOOKUP(J501,[1]对照表!$M$3:$M$24,[1]对照表!$P$3:$P$24),LOOKUP(J501,[1]对照表!$M$27:$M$48,[1]对照表!$P$27:$P$48)))))</f>
        <v>100</v>
      </c>
      <c r="L501" s="38">
        <v>60</v>
      </c>
      <c r="M501" s="32">
        <f>IF(B501="高三",IF($E501="男",LOOKUP(L501,[1]对照表!$S$3:$S$24,[1]对照表!$T$3:$T$24),LOOKUP(L501,[1]对照表!$S$27:$S$48,[1]对照表!$T$27:$T$48)),IF(B501="高二",IF($E501="男",LOOKUP(L501,[1]对照表!$R$3:$R$24,[1]对照表!$T$3:$T$24),LOOKUP(L501,[1]对照表!$R$27:$R$48,[1]对照表!$T$27:$T$48)),IF(B501="高一",IF($E501="男",LOOKUP(L501,[1]对照表!$Q$3:$Q$24,[1]对照表!$T$3:$T$24),LOOKUP(L501,[1]对照表!$Q$27:$Q$48,[1]对照表!$T$27:$T$48)))))</f>
        <v>100</v>
      </c>
      <c r="N501" s="33">
        <f>IF(B501="高三",MAX(IF(E501="男",L501-18,L501-55),0),IF(B501="高二",MAX(IF(E501="男",L501-17,L501-54),0),IF(B501="高一",MAX(IF(E501="男",L501-16,L501-53),0))))</f>
        <v>6</v>
      </c>
      <c r="O501" s="23">
        <f>IF(E501="男",LOOKUP($N501,[1]对照表!$Z$3:$Z$13,[1]对照表!$AA$3:$AA$13),LOOKUP($N501,[1]对照表!$Z$15:$Z$25,[1]对照表!$AA$15:$AA$25))</f>
        <v>3</v>
      </c>
      <c r="P501" s="25">
        <f>M501+O501</f>
        <v>103</v>
      </c>
      <c r="Q501" s="38">
        <v>3.15</v>
      </c>
      <c r="R501" s="32">
        <f>IF(B501="高三",IF($E501="男",LOOKUP(Q501,[1]对照表!$W$3:$W$24,[1]对照表!$X$3:$X$24),LOOKUP(Q501,[1]对照表!$W$27:$W$48,[1]对照表!$X$27:$X$48)),IF(B501="高二",IF($E501="男",LOOKUP(Q501,[1]对照表!$V$3:$V$24,[1]对照表!$X$3:$X$24),LOOKUP(Q501,[1]对照表!$V$27:$V$48,[1]对照表!$X$27:$X$48)),IF(B501="高一",IF($E501="男",LOOKUP(Q501,[1]对照表!$U$3:$U$24,[1]对照表!$X$3:$X$24),LOOKUP(Q501,[1]对照表!$U$27:$U$48,[1]对照表!$X$27:$X$48)))))</f>
        <v>100</v>
      </c>
      <c r="S501" s="33">
        <f>ROUND(IF(IF($B501="高三",MIN(IF($E501="男",$Q501-3.2,$Q501-3.2),0),IF($B501="高二",MIN(IF($E501="男",$Q501-3.25,$Q501-3.22),0),IF($B501="高一",MIN(IF($E501="男",$Q501-3.3,$Q501-3.24),0))))&lt;-0.6,IF($B501="高三",MIN(IF($E501="男",$Q501-3.2,$Q501-3.2),0),IF($B501="高二",MIN(IF($E501="男",$Q501-3.25,$Q501-3.22),0),IF($B501="高一",MIN(IF($E501="男",$Q501-3.3,$Q501-3.24),0))))+0.4,IF($B501="高三",MIN(IF($E501="男",$Q501-3.2,$Q501-3.2),0),IF($B501="高二",MIN(IF($E501="男",$Q501-3.25,$Q501-3.22),0),IF($B501="高一",MIN(IF($E501="男",$Q501-3.3,$Q501-3.24),0))))),2)</f>
        <v>-7.0000000000000007E-2</v>
      </c>
      <c r="T501" s="23">
        <f>IF(E501="男",LOOKUP($S501,[1]对照表!$AB$3:$AB$13,[1]对照表!$AC$3:$AC$13),LOOKUP($S501,[1]对照表!$AB$15:$AB$25,[1]对照表!$AC$15:$AC$25))</f>
        <v>1</v>
      </c>
      <c r="U501" s="26">
        <f>R501+T501</f>
        <v>101</v>
      </c>
      <c r="V501" s="26">
        <f>SUM(I501,K501,M501)/3*0.3+SUM(G501,R501)/2*0.4</f>
        <v>66</v>
      </c>
      <c r="W501" s="27">
        <f>O501+T501</f>
        <v>4</v>
      </c>
      <c r="X501" s="28">
        <f>V501/0.7+W501</f>
        <v>98.285714285714292</v>
      </c>
      <c r="Y501" s="28">
        <f>X501</f>
        <v>98.285714285714292</v>
      </c>
      <c r="Z501" s="38"/>
    </row>
    <row r="502" spans="1:26" ht="15.6" x14ac:dyDescent="0.25">
      <c r="A502" s="48">
        <v>18</v>
      </c>
      <c r="B502" s="17" t="s">
        <v>767</v>
      </c>
      <c r="C502" s="48">
        <v>213</v>
      </c>
      <c r="D502" s="49" t="s">
        <v>788</v>
      </c>
      <c r="E502" s="48" t="s">
        <v>23</v>
      </c>
      <c r="F502" s="38">
        <v>6.9</v>
      </c>
      <c r="G502" s="32">
        <f>IF(B502="高三",IF($E502="男",LOOKUP(F502,[1]对照表!$G$3:$G$24,[1]对照表!$H$3:$H$24),LOOKUP(F502,[1]对照表!$G$27:$G$48,[1]对照表!$H$27:$H$48)),IF(B502="高二",IF($E502="男",LOOKUP(F502,[1]对照表!$F$3:$F$24,[1]对照表!$H$3:$H$24),LOOKUP(F502,[1]对照表!$F$27:$F$48,[1]对照表!$H$27:$H$48)),IF(B502="高一",IF($E502="男",LOOKUP(F502,[1]对照表!$E$3:$E$24,[1]对照表!$H$3:$H$24),LOOKUP(F502,[1]对照表!$E$27:$E$48,[1]对照表!$H$27:$H$48)))))</f>
        <v>100</v>
      </c>
      <c r="H502" s="38">
        <v>25</v>
      </c>
      <c r="I502" s="32">
        <f>IF(B502="高三",IF($E502="男",LOOKUP(H502,[1]对照表!$K$3:$K$24,[1]对照表!$L$3:$L$24),LOOKUP(H502,[1]对照表!$K$27:$K$48,[1]对照表!$L$27:$L$48)),IF(B502="高二",IF($E502="男",LOOKUP(H502,[1]对照表!$J$3:$J$24,[1]对照表!$L$3:$L$24),LOOKUP(H502,[1]对照表!$J$27:$J$48,[1]对照表!$L$27:$L$48)),IF(B502="高一",IF($E502="男",LOOKUP(H502,[1]对照表!$I$3:$I$24,[1]对照表!$L$3:$L$24),LOOKUP(H502,[1]对照表!$I$27:$I$48,[1]对照表!$L$27:$L$48)))))</f>
        <v>100</v>
      </c>
      <c r="J502" s="38">
        <v>280</v>
      </c>
      <c r="K502" s="32">
        <f>IF(B502="高三",IF($E502="男",LOOKUP(J502,[1]对照表!$O$3:$O$24,[1]对照表!$P$3:$P$24),LOOKUP(J502,[1]对照表!$O$27:$O$48,[1]对照表!$P$27:$P$48)),IF(B502="高二",IF($E502="男",LOOKUP(J502,[1]对照表!$N$3:$N$24,[1]对照表!$P$3:$P$24),LOOKUP(J502,[1]对照表!$N$27:$N$48,[1]对照表!$P$27:$P$48)),IF(B502="高一",IF($E502="男",LOOKUP(J502,[1]对照表!$M$3:$M$24,[1]对照表!$P$3:$P$24),LOOKUP(J502,[1]对照表!$M$27:$M$48,[1]对照表!$P$27:$P$48)))))</f>
        <v>100</v>
      </c>
      <c r="L502" s="38">
        <v>23</v>
      </c>
      <c r="M502" s="32">
        <f>IF(B502="高三",IF($E502="男",LOOKUP(L502,[1]对照表!$S$3:$S$24,[1]对照表!$T$3:$T$24),LOOKUP(L502,[1]对照表!$S$27:$S$48,[1]对照表!$T$27:$T$48)),IF(B502="高二",IF($E502="男",LOOKUP(L502,[1]对照表!$R$3:$R$24,[1]对照表!$T$3:$T$24),LOOKUP(L502,[1]对照表!$R$27:$R$48,[1]对照表!$T$27:$T$48)),IF(B502="高一",IF($E502="男",LOOKUP(L502,[1]对照表!$Q$3:$Q$24,[1]对照表!$T$3:$T$24),LOOKUP(L502,[1]对照表!$Q$27:$Q$48,[1]对照表!$T$27:$T$48)))))</f>
        <v>100</v>
      </c>
      <c r="N502" s="33">
        <f>IF(B502="高三",MAX(IF(E502="男",L502-18,L502-55),0),IF(B502="高二",MAX(IF(E502="男",L502-17,L502-54),0),IF(B502="高一",MAX(IF(E502="男",L502-16,L502-53),0))))</f>
        <v>6</v>
      </c>
      <c r="O502" s="23">
        <f>IF(E502="男",LOOKUP($N502,[1]对照表!$Z$3:$Z$13,[1]对照表!$AA$3:$AA$13),LOOKUP($N502,[1]对照表!$Z$15:$Z$25,[1]对照表!$AA$15:$AA$25))</f>
        <v>6</v>
      </c>
      <c r="P502" s="25">
        <f>M502+O502</f>
        <v>106</v>
      </c>
      <c r="Q502" s="38">
        <v>3.2</v>
      </c>
      <c r="R502" s="32">
        <f>IF(B502="高三",IF($E502="男",LOOKUP(Q502,[1]对照表!$W$3:$W$24,[1]对照表!$X$3:$X$24),LOOKUP(Q502,[1]对照表!$W$27:$W$48,[1]对照表!$X$27:$X$48)),IF(B502="高二",IF($E502="男",LOOKUP(Q502,[1]对照表!$V$3:$V$24,[1]对照表!$X$3:$X$24),LOOKUP(Q502,[1]对照表!$V$27:$V$48,[1]对照表!$X$27:$X$48)),IF(B502="高一",IF($E502="男",LOOKUP(Q502,[1]对照表!$U$3:$U$24,[1]对照表!$X$3:$X$24),LOOKUP(Q502,[1]对照表!$U$27:$U$48,[1]对照表!$X$27:$X$48)))))</f>
        <v>100</v>
      </c>
      <c r="S502" s="33">
        <f>ROUND(IF(IF($B502="高三",MIN(IF($E502="男",$Q502-3.2,$Q502-3.2),0),IF($B502="高二",MIN(IF($E502="男",$Q502-3.25,$Q502-3.22),0),IF($B502="高一",MIN(IF($E502="男",$Q502-3.3,$Q502-3.24),0))))&lt;-0.6,IF($B502="高三",MIN(IF($E502="男",$Q502-3.2,$Q502-3.2),0),IF($B502="高二",MIN(IF($E502="男",$Q502-3.25,$Q502-3.22),0),IF($B502="高一",MIN(IF($E502="男",$Q502-3.3,$Q502-3.24),0))))+0.4,IF($B502="高三",MIN(IF($E502="男",$Q502-3.2,$Q502-3.2),0),IF($B502="高二",MIN(IF($E502="男",$Q502-3.25,$Q502-3.22),0),IF($B502="高一",MIN(IF($E502="男",$Q502-3.3,$Q502-3.24),0))))),2)</f>
        <v>-0.05</v>
      </c>
      <c r="T502" s="23">
        <f>IF(E502="男",LOOKUP($S502,[1]对照表!$AB$3:$AB$13,[1]对照表!$AC$3:$AC$13),LOOKUP($S502,[1]对照表!$AB$15:$AB$25,[1]对照表!$AC$15:$AC$25))</f>
        <v>1</v>
      </c>
      <c r="U502" s="26">
        <f>R502+T502</f>
        <v>101</v>
      </c>
      <c r="V502" s="26">
        <f>SUM(I502,K502,M502)/3*0.3+SUM(G502,R502)/2*0.4</f>
        <v>70</v>
      </c>
      <c r="W502" s="27">
        <f>O502+T502</f>
        <v>7</v>
      </c>
      <c r="X502" s="28">
        <f>V502/0.7+W502</f>
        <v>107</v>
      </c>
      <c r="Y502" s="28">
        <f>X502</f>
        <v>107</v>
      </c>
      <c r="Z502" s="38"/>
    </row>
    <row r="503" spans="1:26" ht="15.6" x14ac:dyDescent="0.25">
      <c r="A503" s="48">
        <v>10</v>
      </c>
      <c r="B503" s="17" t="s">
        <v>767</v>
      </c>
      <c r="C503" s="48">
        <v>213</v>
      </c>
      <c r="D503" s="49" t="s">
        <v>804</v>
      </c>
      <c r="E503" s="48" t="s">
        <v>23</v>
      </c>
      <c r="F503" s="38">
        <v>6.9</v>
      </c>
      <c r="G503" s="32">
        <f>IF(B503="高三",IF($E503="男",LOOKUP(F503,[1]对照表!$G$3:$G$24,[1]对照表!$H$3:$H$24),LOOKUP(F503,[1]对照表!$G$27:$G$48,[1]对照表!$H$27:$H$48)),IF(B503="高二",IF($E503="男",LOOKUP(F503,[1]对照表!$F$3:$F$24,[1]对照表!$H$3:$H$24),LOOKUP(F503,[1]对照表!$F$27:$F$48,[1]对照表!$H$27:$H$48)),IF(B503="高一",IF($E503="男",LOOKUP(F503,[1]对照表!$E$3:$E$24,[1]对照表!$H$3:$H$24),LOOKUP(F503,[1]对照表!$E$27:$E$48,[1]对照表!$H$27:$H$48)))))</f>
        <v>100</v>
      </c>
      <c r="H503" s="38">
        <v>22</v>
      </c>
      <c r="I503" s="32">
        <f>IF(B503="高三",IF($E503="男",LOOKUP(H503,[1]对照表!$K$3:$K$24,[1]对照表!$L$3:$L$24),LOOKUP(H503,[1]对照表!$K$27:$K$48,[1]对照表!$L$27:$L$48)),IF(B503="高二",IF($E503="男",LOOKUP(H503,[1]对照表!$J$3:$J$24,[1]对照表!$L$3:$L$24),LOOKUP(H503,[1]对照表!$J$27:$J$48,[1]对照表!$L$27:$L$48)),IF(B503="高一",IF($E503="男",LOOKUP(H503,[1]对照表!$I$3:$I$24,[1]对照表!$L$3:$L$24),LOOKUP(H503,[1]对照表!$I$27:$I$48,[1]对照表!$L$27:$L$48)))))</f>
        <v>90</v>
      </c>
      <c r="J503" s="38">
        <v>265</v>
      </c>
      <c r="K503" s="32">
        <f>IF(B503="高三",IF($E503="男",LOOKUP(J503,[1]对照表!$O$3:$O$24,[1]对照表!$P$3:$P$24),LOOKUP(J503,[1]对照表!$O$27:$O$48,[1]对照表!$P$27:$P$48)),IF(B503="高二",IF($E503="男",LOOKUP(J503,[1]对照表!$N$3:$N$24,[1]对照表!$P$3:$P$24),LOOKUP(J503,[1]对照表!$N$27:$N$48,[1]对照表!$P$27:$P$48)),IF(B503="高一",IF($E503="男",LOOKUP(J503,[1]对照表!$M$3:$M$24,[1]对照表!$P$3:$P$24),LOOKUP(J503,[1]对照表!$M$27:$M$48,[1]对照表!$P$27:$P$48)))))</f>
        <v>100</v>
      </c>
      <c r="L503" s="38">
        <v>19</v>
      </c>
      <c r="M503" s="32">
        <f>IF(B503="高三",IF($E503="男",LOOKUP(L503,[1]对照表!$S$3:$S$24,[1]对照表!$T$3:$T$24),LOOKUP(L503,[1]对照表!$S$27:$S$48,[1]对照表!$T$27:$T$48)),IF(B503="高二",IF($E503="男",LOOKUP(L503,[1]对照表!$R$3:$R$24,[1]对照表!$T$3:$T$24),LOOKUP(L503,[1]对照表!$R$27:$R$48,[1]对照表!$T$27:$T$48)),IF(B503="高一",IF($E503="男",LOOKUP(L503,[1]对照表!$Q$3:$Q$24,[1]对照表!$T$3:$T$24),LOOKUP(L503,[1]对照表!$Q$27:$Q$48,[1]对照表!$T$27:$T$48)))))</f>
        <v>100</v>
      </c>
      <c r="N503" s="33">
        <f>IF(B503="高三",MAX(IF(E503="男",L503-18,L503-55),0),IF(B503="高二",MAX(IF(E503="男",L503-17,L503-54),0),IF(B503="高一",MAX(IF(E503="男",L503-16,L503-53),0))))</f>
        <v>2</v>
      </c>
      <c r="O503" s="23">
        <f>IF(E503="男",LOOKUP($N503,[1]对照表!$Z$3:$Z$13,[1]对照表!$AA$3:$AA$13),LOOKUP($N503,[1]对照表!$Z$15:$Z$25,[1]对照表!$AA$15:$AA$25))</f>
        <v>2</v>
      </c>
      <c r="P503" s="25">
        <f>M503+O503</f>
        <v>102</v>
      </c>
      <c r="Q503" s="38">
        <v>3.12</v>
      </c>
      <c r="R503" s="32">
        <f>IF(B503="高三",IF($E503="男",LOOKUP(Q503,[1]对照表!$W$3:$W$24,[1]对照表!$X$3:$X$24),LOOKUP(Q503,[1]对照表!$W$27:$W$48,[1]对照表!$X$27:$X$48)),IF(B503="高二",IF($E503="男",LOOKUP(Q503,[1]对照表!$V$3:$V$24,[1]对照表!$X$3:$X$24),LOOKUP(Q503,[1]对照表!$V$27:$V$48,[1]对照表!$X$27:$X$48)),IF(B503="高一",IF($E503="男",LOOKUP(Q503,[1]对照表!$U$3:$U$24,[1]对照表!$X$3:$X$24),LOOKUP(Q503,[1]对照表!$U$27:$U$48,[1]对照表!$X$27:$X$48)))))</f>
        <v>100</v>
      </c>
      <c r="S503" s="33">
        <f>ROUND(IF(IF($B503="高三",MIN(IF($E503="男",$Q503-3.2,$Q503-3.2),0),IF($B503="高二",MIN(IF($E503="男",$Q503-3.25,$Q503-3.22),0),IF($B503="高一",MIN(IF($E503="男",$Q503-3.3,$Q503-3.24),0))))&lt;-0.6,IF($B503="高三",MIN(IF($E503="男",$Q503-3.2,$Q503-3.2),0),IF($B503="高二",MIN(IF($E503="男",$Q503-3.25,$Q503-3.22),0),IF($B503="高一",MIN(IF($E503="男",$Q503-3.3,$Q503-3.24),0))))+0.4,IF($B503="高三",MIN(IF($E503="男",$Q503-3.2,$Q503-3.2),0),IF($B503="高二",MIN(IF($E503="男",$Q503-3.25,$Q503-3.22),0),IF($B503="高一",MIN(IF($E503="男",$Q503-3.3,$Q503-3.24),0))))),2)</f>
        <v>-0.13</v>
      </c>
      <c r="T503" s="23">
        <f>IF(E503="男",LOOKUP($S503,[1]对照表!$AB$3:$AB$13,[1]对照表!$AC$3:$AC$13),LOOKUP($S503,[1]对照表!$AB$15:$AB$25,[1]对照表!$AC$15:$AC$25))</f>
        <v>3</v>
      </c>
      <c r="U503" s="26">
        <f>R503+T503</f>
        <v>103</v>
      </c>
      <c r="V503" s="26">
        <f>SUM(I503,K503,M503)/3*0.3+SUM(G503,R503)/2*0.4</f>
        <v>69</v>
      </c>
      <c r="W503" s="27">
        <f>O503+T503</f>
        <v>5</v>
      </c>
      <c r="X503" s="28">
        <f>V503/0.7+W503</f>
        <v>103.57142857142858</v>
      </c>
      <c r="Y503" s="28">
        <f>X503</f>
        <v>103.57142857142858</v>
      </c>
      <c r="Z503" s="38"/>
    </row>
    <row r="504" spans="1:26" ht="15.6" x14ac:dyDescent="0.25">
      <c r="A504" s="48">
        <v>12</v>
      </c>
      <c r="B504" s="17" t="s">
        <v>767</v>
      </c>
      <c r="C504" s="48">
        <v>213</v>
      </c>
      <c r="D504" s="49" t="s">
        <v>811</v>
      </c>
      <c r="E504" s="48" t="s">
        <v>23</v>
      </c>
      <c r="F504" s="38">
        <v>6.9</v>
      </c>
      <c r="G504" s="32">
        <f>IF(B504="高三",IF($E504="男",LOOKUP(F504,[1]对照表!$G$3:$G$24,[1]对照表!$H$3:$H$24),LOOKUP(F504,[1]对照表!$G$27:$G$48,[1]对照表!$H$27:$H$48)),IF(B504="高二",IF($E504="男",LOOKUP(F504,[1]对照表!$F$3:$F$24,[1]对照表!$H$3:$H$24),LOOKUP(F504,[1]对照表!$F$27:$F$48,[1]对照表!$H$27:$H$48)),IF(B504="高一",IF($E504="男",LOOKUP(F504,[1]对照表!$E$3:$E$24,[1]对照表!$H$3:$H$24),LOOKUP(F504,[1]对照表!$E$27:$E$48,[1]对照表!$H$27:$H$48)))))</f>
        <v>100</v>
      </c>
      <c r="H504" s="38">
        <v>20</v>
      </c>
      <c r="I504" s="32">
        <f>IF(B504="高三",IF($E504="男",LOOKUP(H504,[1]对照表!$K$3:$K$24,[1]对照表!$L$3:$L$24),LOOKUP(H504,[1]对照表!$K$27:$K$48,[1]对照表!$L$27:$L$48)),IF(B504="高二",IF($E504="男",LOOKUP(H504,[1]对照表!$J$3:$J$24,[1]对照表!$L$3:$L$24),LOOKUP(H504,[1]对照表!$J$27:$J$48,[1]对照表!$L$27:$L$48)),IF(B504="高一",IF($E504="男",LOOKUP(H504,[1]对照表!$I$3:$I$24,[1]对照表!$L$3:$L$24),LOOKUP(H504,[1]对照表!$I$27:$I$48,[1]对照表!$L$27:$L$48)))))</f>
        <v>85</v>
      </c>
      <c r="J504" s="38">
        <v>270</v>
      </c>
      <c r="K504" s="32">
        <f>IF(B504="高三",IF($E504="男",LOOKUP(J504,[1]对照表!$O$3:$O$24,[1]对照表!$P$3:$P$24),LOOKUP(J504,[1]对照表!$O$27:$O$48,[1]对照表!$P$27:$P$48)),IF(B504="高二",IF($E504="男",LOOKUP(J504,[1]对照表!$N$3:$N$24,[1]对照表!$P$3:$P$24),LOOKUP(J504,[1]对照表!$N$27:$N$48,[1]对照表!$P$27:$P$48)),IF(B504="高一",IF($E504="男",LOOKUP(J504,[1]对照表!$M$3:$M$24,[1]对照表!$P$3:$P$24),LOOKUP(J504,[1]对照表!$M$27:$M$48,[1]对照表!$P$27:$P$48)))))</f>
        <v>100</v>
      </c>
      <c r="L504" s="38">
        <v>28</v>
      </c>
      <c r="M504" s="32">
        <f>IF(B504="高三",IF($E504="男",LOOKUP(L504,[1]对照表!$S$3:$S$24,[1]对照表!$T$3:$T$24),LOOKUP(L504,[1]对照表!$S$27:$S$48,[1]对照表!$T$27:$T$48)),IF(B504="高二",IF($E504="男",LOOKUP(L504,[1]对照表!$R$3:$R$24,[1]对照表!$T$3:$T$24),LOOKUP(L504,[1]对照表!$R$27:$R$48,[1]对照表!$T$27:$T$48)),IF(B504="高一",IF($E504="男",LOOKUP(L504,[1]对照表!$Q$3:$Q$24,[1]对照表!$T$3:$T$24),LOOKUP(L504,[1]对照表!$Q$27:$Q$48,[1]对照表!$T$27:$T$48)))))</f>
        <v>100</v>
      </c>
      <c r="N504" s="33">
        <f>IF(B504="高三",MAX(IF(E504="男",L504-18,L504-55),0),IF(B504="高二",MAX(IF(E504="男",L504-17,L504-54),0),IF(B504="高一",MAX(IF(E504="男",L504-16,L504-53),0))))</f>
        <v>11</v>
      </c>
      <c r="O504" s="23">
        <f>IF(E504="男",LOOKUP($N504,[1]对照表!$Z$3:$Z$13,[1]对照表!$AA$3:$AA$13),LOOKUP($N504,[1]对照表!$Z$15:$Z$25,[1]对照表!$AA$15:$AA$25))</f>
        <v>10</v>
      </c>
      <c r="P504" s="25">
        <f>M504+O504</f>
        <v>110</v>
      </c>
      <c r="Q504" s="38">
        <v>3.39</v>
      </c>
      <c r="R504" s="32">
        <f>IF(B504="高三",IF($E504="男",LOOKUP(Q504,[1]对照表!$W$3:$W$24,[1]对照表!$X$3:$X$24),LOOKUP(Q504,[1]对照表!$W$27:$W$48,[1]对照表!$X$27:$X$48)),IF(B504="高二",IF($E504="男",LOOKUP(Q504,[1]对照表!$V$3:$V$24,[1]对照表!$X$3:$X$24),LOOKUP(Q504,[1]对照表!$V$27:$V$48,[1]对照表!$X$27:$X$48)),IF(B504="高一",IF($E504="男",LOOKUP(Q504,[1]对照表!$U$3:$U$24,[1]对照表!$X$3:$X$24),LOOKUP(Q504,[1]对照表!$U$27:$U$48,[1]对照表!$X$27:$X$48)))))</f>
        <v>85</v>
      </c>
      <c r="S504" s="33">
        <f>ROUND(IF(IF($B504="高三",MIN(IF($E504="男",$Q504-3.2,$Q504-3.2),0),IF($B504="高二",MIN(IF($E504="男",$Q504-3.25,$Q504-3.22),0),IF($B504="高一",MIN(IF($E504="男",$Q504-3.3,$Q504-3.24),0))))&lt;-0.6,IF($B504="高三",MIN(IF($E504="男",$Q504-3.2,$Q504-3.2),0),IF($B504="高二",MIN(IF($E504="男",$Q504-3.25,$Q504-3.22),0),IF($B504="高一",MIN(IF($E504="男",$Q504-3.3,$Q504-3.24),0))))+0.4,IF($B504="高三",MIN(IF($E504="男",$Q504-3.2,$Q504-3.2),0),IF($B504="高二",MIN(IF($E504="男",$Q504-3.25,$Q504-3.22),0),IF($B504="高一",MIN(IF($E504="男",$Q504-3.3,$Q504-3.24),0))))),2)</f>
        <v>0</v>
      </c>
      <c r="T504" s="23">
        <f>IF(E504="男",LOOKUP($S504,[1]对照表!$AB$3:$AB$13,[1]对照表!$AC$3:$AC$13),LOOKUP($S504,[1]对照表!$AB$15:$AB$25,[1]对照表!$AC$15:$AC$25))</f>
        <v>0</v>
      </c>
      <c r="U504" s="26">
        <f>R504+T504</f>
        <v>85</v>
      </c>
      <c r="V504" s="26">
        <f>SUM(I504,K504,M504)/3*0.3+SUM(G504,R504)/2*0.4</f>
        <v>65.5</v>
      </c>
      <c r="W504" s="27">
        <f>O504+T504</f>
        <v>10</v>
      </c>
      <c r="X504" s="28">
        <f>V504/0.7+W504</f>
        <v>103.57142857142858</v>
      </c>
      <c r="Y504" s="28">
        <f>X504</f>
        <v>103.57142857142858</v>
      </c>
      <c r="Z504" s="38"/>
    </row>
    <row r="505" spans="1:26" ht="15.6" x14ac:dyDescent="0.25">
      <c r="A505" s="48">
        <v>7</v>
      </c>
      <c r="B505" s="17" t="s">
        <v>767</v>
      </c>
      <c r="C505" s="48">
        <v>213</v>
      </c>
      <c r="D505" s="49" t="s">
        <v>825</v>
      </c>
      <c r="E505" s="48" t="s">
        <v>23</v>
      </c>
      <c r="F505" s="38">
        <v>7</v>
      </c>
      <c r="G505" s="32">
        <f>IF(B505="高三",IF($E505="男",LOOKUP(F505,[1]对照表!$G$3:$G$24,[1]对照表!$H$3:$H$24),LOOKUP(F505,[1]对照表!$G$27:$G$48,[1]对照表!$H$27:$H$48)),IF(B505="高二",IF($E505="男",LOOKUP(F505,[1]对照表!$F$3:$F$24,[1]对照表!$H$3:$H$24),LOOKUP(F505,[1]对照表!$F$27:$F$48,[1]对照表!$H$27:$H$48)),IF(B505="高一",IF($E505="男",LOOKUP(F505,[1]对照表!$E$3:$E$24,[1]对照表!$H$3:$H$24),LOOKUP(F505,[1]对照表!$E$27:$E$48,[1]对照表!$H$27:$H$48)))))</f>
        <v>100</v>
      </c>
      <c r="H505" s="38">
        <v>19</v>
      </c>
      <c r="I505" s="32">
        <f>IF(B505="高三",IF($E505="男",LOOKUP(H505,[1]对照表!$K$3:$K$24,[1]对照表!$L$3:$L$24),LOOKUP(H505,[1]对照表!$K$27:$K$48,[1]对照表!$L$27:$L$48)),IF(B505="高二",IF($E505="男",LOOKUP(H505,[1]对照表!$J$3:$J$24,[1]对照表!$L$3:$L$24),LOOKUP(H505,[1]对照表!$J$27:$J$48,[1]对照表!$L$27:$L$48)),IF(B505="高一",IF($E505="男",LOOKUP(H505,[1]对照表!$I$3:$I$24,[1]对照表!$L$3:$L$24),LOOKUP(H505,[1]对照表!$I$27:$I$48,[1]对照表!$L$27:$L$48)))))</f>
        <v>85</v>
      </c>
      <c r="J505" s="38">
        <v>270</v>
      </c>
      <c r="K505" s="32">
        <f>IF(B505="高三",IF($E505="男",LOOKUP(J505,[1]对照表!$O$3:$O$24,[1]对照表!$P$3:$P$24),LOOKUP(J505,[1]对照表!$O$27:$O$48,[1]对照表!$P$27:$P$48)),IF(B505="高二",IF($E505="男",LOOKUP(J505,[1]对照表!$N$3:$N$24,[1]对照表!$P$3:$P$24),LOOKUP(J505,[1]对照表!$N$27:$N$48,[1]对照表!$P$27:$P$48)),IF(B505="高一",IF($E505="男",LOOKUP(J505,[1]对照表!$M$3:$M$24,[1]对照表!$P$3:$P$24),LOOKUP(J505,[1]对照表!$M$27:$M$48,[1]对照表!$P$27:$P$48)))))</f>
        <v>100</v>
      </c>
      <c r="L505" s="38">
        <v>24</v>
      </c>
      <c r="M505" s="32">
        <f>IF(B505="高三",IF($E505="男",LOOKUP(L505,[1]对照表!$S$3:$S$24,[1]对照表!$T$3:$T$24),LOOKUP(L505,[1]对照表!$S$27:$S$48,[1]对照表!$T$27:$T$48)),IF(B505="高二",IF($E505="男",LOOKUP(L505,[1]对照表!$R$3:$R$24,[1]对照表!$T$3:$T$24),LOOKUP(L505,[1]对照表!$R$27:$R$48,[1]对照表!$T$27:$T$48)),IF(B505="高一",IF($E505="男",LOOKUP(L505,[1]对照表!$Q$3:$Q$24,[1]对照表!$T$3:$T$24),LOOKUP(L505,[1]对照表!$Q$27:$Q$48,[1]对照表!$T$27:$T$48)))))</f>
        <v>100</v>
      </c>
      <c r="N505" s="33">
        <f>IF(B505="高三",MAX(IF(E505="男",L505-18,L505-55),0),IF(B505="高二",MAX(IF(E505="男",L505-17,L505-54),0),IF(B505="高一",MAX(IF(E505="男",L505-16,L505-53),0))))</f>
        <v>7</v>
      </c>
      <c r="O505" s="23">
        <f>IF(E505="男",LOOKUP($N505,[1]对照表!$Z$3:$Z$13,[1]对照表!$AA$3:$AA$13),LOOKUP($N505,[1]对照表!$Z$15:$Z$25,[1]对照表!$AA$15:$AA$25))</f>
        <v>7</v>
      </c>
      <c r="P505" s="25">
        <f>M505+O505</f>
        <v>107</v>
      </c>
      <c r="Q505" s="38">
        <v>3.3</v>
      </c>
      <c r="R505" s="32">
        <f>IF(B505="高三",IF($E505="男",LOOKUP(Q505,[1]对照表!$W$3:$W$24,[1]对照表!$X$3:$X$24),LOOKUP(Q505,[1]对照表!$W$27:$W$48,[1]对照表!$X$27:$X$48)),IF(B505="高二",IF($E505="男",LOOKUP(Q505,[1]对照表!$V$3:$V$24,[1]对照表!$X$3:$X$24),LOOKUP(Q505,[1]对照表!$V$27:$V$48,[1]对照表!$X$27:$X$48)),IF(B505="高一",IF($E505="男",LOOKUP(Q505,[1]对照表!$U$3:$U$24,[1]对照表!$X$3:$X$24),LOOKUP(Q505,[1]对照表!$U$27:$U$48,[1]对照表!$X$27:$X$48)))))</f>
        <v>95</v>
      </c>
      <c r="S505" s="33">
        <f>ROUND(IF(IF($B505="高三",MIN(IF($E505="男",$Q505-3.2,$Q505-3.2),0),IF($B505="高二",MIN(IF($E505="男",$Q505-3.25,$Q505-3.22),0),IF($B505="高一",MIN(IF($E505="男",$Q505-3.3,$Q505-3.24),0))))&lt;-0.6,IF($B505="高三",MIN(IF($E505="男",$Q505-3.2,$Q505-3.2),0),IF($B505="高二",MIN(IF($E505="男",$Q505-3.25,$Q505-3.22),0),IF($B505="高一",MIN(IF($E505="男",$Q505-3.3,$Q505-3.24),0))))+0.4,IF($B505="高三",MIN(IF($E505="男",$Q505-3.2,$Q505-3.2),0),IF($B505="高二",MIN(IF($E505="男",$Q505-3.25,$Q505-3.22),0),IF($B505="高一",MIN(IF($E505="男",$Q505-3.3,$Q505-3.24),0))))),2)</f>
        <v>0</v>
      </c>
      <c r="T505" s="23">
        <f>IF(E505="男",LOOKUP($S505,[1]对照表!$AB$3:$AB$13,[1]对照表!$AC$3:$AC$13),LOOKUP($S505,[1]对照表!$AB$15:$AB$25,[1]对照表!$AC$15:$AC$25))</f>
        <v>0</v>
      </c>
      <c r="U505" s="26">
        <f>R505+T505</f>
        <v>95</v>
      </c>
      <c r="V505" s="26">
        <f>SUM(I505,K505,M505)/3*0.3+SUM(G505,R505)/2*0.4</f>
        <v>67.5</v>
      </c>
      <c r="W505" s="27">
        <f>O505+T505</f>
        <v>7</v>
      </c>
      <c r="X505" s="28">
        <f>V505/0.7+W505</f>
        <v>103.42857142857143</v>
      </c>
      <c r="Y505" s="28">
        <f>X505</f>
        <v>103.42857142857143</v>
      </c>
      <c r="Z505" s="38"/>
    </row>
    <row r="506" spans="1:26" ht="15.6" x14ac:dyDescent="0.25">
      <c r="A506" s="48">
        <v>1</v>
      </c>
      <c r="B506" s="17" t="s">
        <v>767</v>
      </c>
      <c r="C506" s="48">
        <v>213</v>
      </c>
      <c r="D506" s="49" t="s">
        <v>828</v>
      </c>
      <c r="E506" s="48" t="s">
        <v>23</v>
      </c>
      <c r="F506" s="38">
        <v>7</v>
      </c>
      <c r="G506" s="32">
        <f>IF(B506="高三",IF($E506="男",LOOKUP(F506,[1]对照表!$G$3:$G$24,[1]对照表!$H$3:$H$24),LOOKUP(F506,[1]对照表!$G$27:$G$48,[1]对照表!$H$27:$H$48)),IF(B506="高二",IF($E506="男",LOOKUP(F506,[1]对照表!$F$3:$F$24,[1]对照表!$H$3:$H$24),LOOKUP(F506,[1]对照表!$F$27:$F$48,[1]对照表!$H$27:$H$48)),IF(B506="高一",IF($E506="男",LOOKUP(F506,[1]对照表!$E$3:$E$24,[1]对照表!$H$3:$H$24),LOOKUP(F506,[1]对照表!$E$27:$E$48,[1]对照表!$H$27:$H$48)))))</f>
        <v>100</v>
      </c>
      <c r="H506" s="38">
        <v>26.5</v>
      </c>
      <c r="I506" s="32">
        <f>IF(B506="高三",IF($E506="男",LOOKUP(H506,[1]对照表!$K$3:$K$24,[1]对照表!$L$3:$L$24),LOOKUP(H506,[1]对照表!$K$27:$K$48,[1]对照表!$L$27:$L$48)),IF(B506="高二",IF($E506="男",LOOKUP(H506,[1]对照表!$J$3:$J$24,[1]对照表!$L$3:$L$24),LOOKUP(H506,[1]对照表!$J$27:$J$48,[1]对照表!$L$27:$L$48)),IF(B506="高一",IF($E506="男",LOOKUP(H506,[1]对照表!$I$3:$I$24,[1]对照表!$L$3:$L$24),LOOKUP(H506,[1]对照表!$I$27:$I$48,[1]对照表!$L$27:$L$48)))))</f>
        <v>100</v>
      </c>
      <c r="J506" s="38">
        <v>270</v>
      </c>
      <c r="K506" s="32">
        <f>IF(B506="高三",IF($E506="男",LOOKUP(J506,[1]对照表!$O$3:$O$24,[1]对照表!$P$3:$P$24),LOOKUP(J506,[1]对照表!$O$27:$O$48,[1]对照表!$P$27:$P$48)),IF(B506="高二",IF($E506="男",LOOKUP(J506,[1]对照表!$N$3:$N$24,[1]对照表!$P$3:$P$24),LOOKUP(J506,[1]对照表!$N$27:$N$48,[1]对照表!$P$27:$P$48)),IF(B506="高一",IF($E506="男",LOOKUP(J506,[1]对照表!$M$3:$M$24,[1]对照表!$P$3:$P$24),LOOKUP(J506,[1]对照表!$M$27:$M$48,[1]对照表!$P$27:$P$48)))))</f>
        <v>100</v>
      </c>
      <c r="L506" s="38">
        <v>18</v>
      </c>
      <c r="M506" s="32">
        <f>IF(B506="高三",IF($E506="男",LOOKUP(L506,[1]对照表!$S$3:$S$24,[1]对照表!$T$3:$T$24),LOOKUP(L506,[1]对照表!$S$27:$S$48,[1]对照表!$T$27:$T$48)),IF(B506="高二",IF($E506="男",LOOKUP(L506,[1]对照表!$R$3:$R$24,[1]对照表!$T$3:$T$24),LOOKUP(L506,[1]对照表!$R$27:$R$48,[1]对照表!$T$27:$T$48)),IF(B506="高一",IF($E506="男",LOOKUP(L506,[1]对照表!$Q$3:$Q$24,[1]对照表!$T$3:$T$24),LOOKUP(L506,[1]对照表!$Q$27:$Q$48,[1]对照表!$T$27:$T$48)))))</f>
        <v>100</v>
      </c>
      <c r="N506" s="33">
        <f>IF(B506="高三",MAX(IF(E506="男",L506-18,L506-55),0),IF(B506="高二",MAX(IF(E506="男",L506-17,L506-54),0),IF(B506="高一",MAX(IF(E506="男",L506-16,L506-53),0))))</f>
        <v>1</v>
      </c>
      <c r="O506" s="23">
        <f>IF(E506="男",LOOKUP($N506,[1]对照表!$Z$3:$Z$13,[1]对照表!$AA$3:$AA$13),LOOKUP($N506,[1]对照表!$Z$15:$Z$25,[1]对照表!$AA$15:$AA$25))</f>
        <v>1</v>
      </c>
      <c r="P506" s="25">
        <f>M506+O506</f>
        <v>101</v>
      </c>
      <c r="Q506" s="38">
        <v>3.16</v>
      </c>
      <c r="R506" s="32">
        <f>IF(B506="高三",IF($E506="男",LOOKUP(Q506,[1]对照表!$W$3:$W$24,[1]对照表!$X$3:$X$24),LOOKUP(Q506,[1]对照表!$W$27:$W$48,[1]对照表!$X$27:$X$48)),IF(B506="高二",IF($E506="男",LOOKUP(Q506,[1]对照表!$V$3:$V$24,[1]对照表!$X$3:$X$24),LOOKUP(Q506,[1]对照表!$V$27:$V$48,[1]对照表!$X$27:$X$48)),IF(B506="高一",IF($E506="男",LOOKUP(Q506,[1]对照表!$U$3:$U$24,[1]对照表!$X$3:$X$24),LOOKUP(Q506,[1]对照表!$U$27:$U$48,[1]对照表!$X$27:$X$48)))))</f>
        <v>100</v>
      </c>
      <c r="S506" s="33">
        <f>ROUND(IF(IF($B506="高三",MIN(IF($E506="男",$Q506-3.2,$Q506-3.2),0),IF($B506="高二",MIN(IF($E506="男",$Q506-3.25,$Q506-3.22),0),IF($B506="高一",MIN(IF($E506="男",$Q506-3.3,$Q506-3.24),0))))&lt;-0.6,IF($B506="高三",MIN(IF($E506="男",$Q506-3.2,$Q506-3.2),0),IF($B506="高二",MIN(IF($E506="男",$Q506-3.25,$Q506-3.22),0),IF($B506="高一",MIN(IF($E506="男",$Q506-3.3,$Q506-3.24),0))))+0.4,IF($B506="高三",MIN(IF($E506="男",$Q506-3.2,$Q506-3.2),0),IF($B506="高二",MIN(IF($E506="男",$Q506-3.25,$Q506-3.22),0),IF($B506="高一",MIN(IF($E506="男",$Q506-3.3,$Q506-3.24),0))))),2)</f>
        <v>-0.09</v>
      </c>
      <c r="T506" s="23">
        <f>IF(E506="男",LOOKUP($S506,[1]对照表!$AB$3:$AB$13,[1]对照表!$AC$3:$AC$13),LOOKUP($S506,[1]对照表!$AB$15:$AB$25,[1]对照表!$AC$15:$AC$25))</f>
        <v>2</v>
      </c>
      <c r="U506" s="26">
        <f>R506+T506</f>
        <v>102</v>
      </c>
      <c r="V506" s="26">
        <f>SUM(I506,K506,M506)/3*0.3+SUM(G506,R506)/2*0.4</f>
        <v>70</v>
      </c>
      <c r="W506" s="27">
        <f>O506+T506</f>
        <v>3</v>
      </c>
      <c r="X506" s="28">
        <f>V506/0.7+W506</f>
        <v>103</v>
      </c>
      <c r="Y506" s="28">
        <f>X506</f>
        <v>103</v>
      </c>
      <c r="Z506" s="38"/>
    </row>
    <row r="507" spans="1:26" ht="15.6" customHeight="1" x14ac:dyDescent="0.25">
      <c r="A507" s="48">
        <v>14</v>
      </c>
      <c r="B507" s="17" t="s">
        <v>767</v>
      </c>
      <c r="C507" s="48">
        <v>213</v>
      </c>
      <c r="D507" s="49" t="s">
        <v>851</v>
      </c>
      <c r="E507" s="48" t="s">
        <v>23</v>
      </c>
      <c r="F507" s="38">
        <v>6.9</v>
      </c>
      <c r="G507" s="32">
        <f>IF(B507="高三",IF($E507="男",LOOKUP(F507,[1]对照表!$G$3:$G$24,[1]对照表!$H$3:$H$24),LOOKUP(F507,[1]对照表!$G$27:$G$48,[1]对照表!$H$27:$H$48)),IF(B507="高二",IF($E507="男",LOOKUP(F507,[1]对照表!$F$3:$F$24,[1]对照表!$H$3:$H$24),LOOKUP(F507,[1]对照表!$F$27:$F$48,[1]对照表!$H$27:$H$48)),IF(B507="高一",IF($E507="男",LOOKUP(F507,[1]对照表!$E$3:$E$24,[1]对照表!$H$3:$H$24),LOOKUP(F507,[1]对照表!$E$27:$E$48,[1]对照表!$H$27:$H$48)))))</f>
        <v>100</v>
      </c>
      <c r="H507" s="38">
        <v>19.5</v>
      </c>
      <c r="I507" s="32">
        <f>IF(B507="高三",IF($E507="男",LOOKUP(H507,[1]对照表!$K$3:$K$24,[1]对照表!$L$3:$L$24),LOOKUP(H507,[1]对照表!$K$27:$K$48,[1]对照表!$L$27:$L$48)),IF(B507="高二",IF($E507="男",LOOKUP(H507,[1]对照表!$J$3:$J$24,[1]对照表!$L$3:$L$24),LOOKUP(H507,[1]对照表!$J$27:$J$48,[1]对照表!$L$27:$L$48)),IF(B507="高一",IF($E507="男",LOOKUP(H507,[1]对照表!$I$3:$I$24,[1]对照表!$L$3:$L$24),LOOKUP(H507,[1]对照表!$I$27:$I$48,[1]对照表!$L$27:$L$48)))))</f>
        <v>85</v>
      </c>
      <c r="J507" s="38">
        <v>265</v>
      </c>
      <c r="K507" s="32">
        <f>IF(B507="高三",IF($E507="男",LOOKUP(J507,[1]对照表!$O$3:$O$24,[1]对照表!$P$3:$P$24),LOOKUP(J507,[1]对照表!$O$27:$O$48,[1]对照表!$P$27:$P$48)),IF(B507="高二",IF($E507="男",LOOKUP(J507,[1]对照表!$N$3:$N$24,[1]对照表!$P$3:$P$24),LOOKUP(J507,[1]对照表!$N$27:$N$48,[1]对照表!$P$27:$P$48)),IF(B507="高一",IF($E507="男",LOOKUP(J507,[1]对照表!$M$3:$M$24,[1]对照表!$P$3:$P$24),LOOKUP(J507,[1]对照表!$M$27:$M$48,[1]对照表!$P$27:$P$48)))))</f>
        <v>100</v>
      </c>
      <c r="L507" s="38">
        <v>28</v>
      </c>
      <c r="M507" s="32">
        <f>IF(B507="高三",IF($E507="男",LOOKUP(L507,[1]对照表!$S$3:$S$24,[1]对照表!$T$3:$T$24),LOOKUP(L507,[1]对照表!$S$27:$S$48,[1]对照表!$T$27:$T$48)),IF(B507="高二",IF($E507="男",LOOKUP(L507,[1]对照表!$R$3:$R$24,[1]对照表!$T$3:$T$24),LOOKUP(L507,[1]对照表!$R$27:$R$48,[1]对照表!$T$27:$T$48)),IF(B507="高一",IF($E507="男",LOOKUP(L507,[1]对照表!$Q$3:$Q$24,[1]对照表!$T$3:$T$24),LOOKUP(L507,[1]对照表!$Q$27:$Q$48,[1]对照表!$T$27:$T$48)))))</f>
        <v>100</v>
      </c>
      <c r="N507" s="33">
        <f>IF(B507="高三",MAX(IF(E507="男",L507-18,L507-55),0),IF(B507="高二",MAX(IF(E507="男",L507-17,L507-54),0),IF(B507="高一",MAX(IF(E507="男",L507-16,L507-53),0))))</f>
        <v>11</v>
      </c>
      <c r="O507" s="23">
        <f>IF(E507="男",LOOKUP($N507,[1]对照表!$Z$3:$Z$13,[1]对照表!$AA$3:$AA$13),LOOKUP($N507,[1]对照表!$Z$15:$Z$25,[1]对照表!$AA$15:$AA$25))</f>
        <v>10</v>
      </c>
      <c r="P507" s="25">
        <f>M507+O507</f>
        <v>110</v>
      </c>
      <c r="Q507" s="38">
        <v>3.53</v>
      </c>
      <c r="R507" s="32">
        <f>IF(B507="高三",IF($E507="男",LOOKUP(Q507,[1]对照表!$W$3:$W$24,[1]对照表!$X$3:$X$24),LOOKUP(Q507,[1]对照表!$W$27:$W$48,[1]对照表!$X$27:$X$48)),IF(B507="高二",IF($E507="男",LOOKUP(Q507,[1]对照表!$V$3:$V$24,[1]对照表!$X$3:$X$24),LOOKUP(Q507,[1]对照表!$V$27:$V$48,[1]对照表!$X$27:$X$48)),IF(B507="高一",IF($E507="男",LOOKUP(Q507,[1]对照表!$U$3:$U$24,[1]对照表!$X$3:$X$24),LOOKUP(Q507,[1]对照表!$U$27:$U$48,[1]对照表!$X$27:$X$48)))))</f>
        <v>78</v>
      </c>
      <c r="S507" s="33">
        <f>ROUND(IF(IF($B507="高三",MIN(IF($E507="男",$Q507-3.2,$Q507-3.2),0),IF($B507="高二",MIN(IF($E507="男",$Q507-3.25,$Q507-3.22),0),IF($B507="高一",MIN(IF($E507="男",$Q507-3.3,$Q507-3.24),0))))&lt;-0.6,IF($B507="高三",MIN(IF($E507="男",$Q507-3.2,$Q507-3.2),0),IF($B507="高二",MIN(IF($E507="男",$Q507-3.25,$Q507-3.22),0),IF($B507="高一",MIN(IF($E507="男",$Q507-3.3,$Q507-3.24),0))))+0.4,IF($B507="高三",MIN(IF($E507="男",$Q507-3.2,$Q507-3.2),0),IF($B507="高二",MIN(IF($E507="男",$Q507-3.25,$Q507-3.22),0),IF($B507="高一",MIN(IF($E507="男",$Q507-3.3,$Q507-3.24),0))))),2)</f>
        <v>0</v>
      </c>
      <c r="T507" s="23">
        <f>IF(E507="男",LOOKUP($S507,[1]对照表!$AB$3:$AB$13,[1]对照表!$AC$3:$AC$13),LOOKUP($S507,[1]对照表!$AB$15:$AB$25,[1]对照表!$AC$15:$AC$25))</f>
        <v>0</v>
      </c>
      <c r="U507" s="26">
        <f>R507+T507</f>
        <v>78</v>
      </c>
      <c r="V507" s="26">
        <f>SUM(I507,K507,M507)/3*0.3+SUM(G507,R507)/2*0.4</f>
        <v>64.099999999999994</v>
      </c>
      <c r="W507" s="27">
        <f>O507+T507</f>
        <v>10</v>
      </c>
      <c r="X507" s="28">
        <f>V507/0.7+W507</f>
        <v>101.57142857142857</v>
      </c>
      <c r="Y507" s="28">
        <f>X507</f>
        <v>101.57142857142857</v>
      </c>
      <c r="Z507" s="38"/>
    </row>
    <row r="508" spans="1:26" ht="15.6" x14ac:dyDescent="0.25">
      <c r="A508" s="48">
        <v>31</v>
      </c>
      <c r="B508" s="17" t="s">
        <v>767</v>
      </c>
      <c r="C508" s="48">
        <v>213</v>
      </c>
      <c r="D508" s="49" t="s">
        <v>878</v>
      </c>
      <c r="E508" s="48" t="s">
        <v>65</v>
      </c>
      <c r="F508" s="38">
        <v>8.5299999999999994</v>
      </c>
      <c r="G508" s="32">
        <f>IF(B508="高三",IF($E508="男",LOOKUP(F508,[1]对照表!$G$3:$G$24,[1]对照表!$H$3:$H$24),LOOKUP(F508,[1]对照表!$G$27:$G$48,[1]对照表!$H$27:$H$48)),IF(B508="高二",IF($E508="男",LOOKUP(F508,[1]对照表!$F$3:$F$24,[1]对照表!$H$3:$H$24),LOOKUP(F508,[1]对照表!$F$27:$F$48,[1]对照表!$H$27:$H$48)),IF(B508="高一",IF($E508="男",LOOKUP(F508,[1]对照表!$E$3:$E$24,[1]对照表!$H$3:$H$24),LOOKUP(F508,[1]对照表!$E$27:$E$48,[1]对照表!$H$27:$H$48)))))</f>
        <v>78</v>
      </c>
      <c r="H508" s="52">
        <v>21</v>
      </c>
      <c r="I508" s="32">
        <f>IF(B508="高三",IF($E508="男",LOOKUP(H508,[1]对照表!$K$3:$K$24,[1]对照表!$L$3:$L$24),LOOKUP(H508,[1]对照表!$K$27:$K$48,[1]对照表!$L$27:$L$48)),IF(B508="高二",IF($E508="男",LOOKUP(H508,[1]对照表!$J$3:$J$24,[1]对照表!$L$3:$L$24),LOOKUP(H508,[1]对照表!$J$27:$J$48,[1]对照表!$L$27:$L$48)),IF(B508="高一",IF($E508="男",LOOKUP(H508,[1]对照表!$I$3:$I$24,[1]对照表!$L$3:$L$24),LOOKUP(H508,[1]对照表!$I$27:$I$48,[1]对照表!$L$27:$L$48)))))</f>
        <v>85</v>
      </c>
      <c r="J508" s="52">
        <v>205</v>
      </c>
      <c r="K508" s="32">
        <f>IF(B508="高三",IF($E508="男",LOOKUP(J508,[1]对照表!$O$3:$O$24,[1]对照表!$P$3:$P$24),LOOKUP(J508,[1]对照表!$O$27:$O$48,[1]对照表!$P$27:$P$48)),IF(B508="高二",IF($E508="男",LOOKUP(J508,[1]对照表!$N$3:$N$24,[1]对照表!$P$3:$P$24),LOOKUP(J508,[1]对照表!$N$27:$N$48,[1]对照表!$P$27:$P$48)),IF(B508="高一",IF($E508="男",LOOKUP(J508,[1]对照表!$M$3:$M$24,[1]对照表!$P$3:$P$24),LOOKUP(J508,[1]对照表!$M$27:$M$48,[1]对照表!$P$27:$P$48)))))</f>
        <v>100</v>
      </c>
      <c r="L508" s="52">
        <v>58</v>
      </c>
      <c r="M508" s="32">
        <f>IF(B508="高三",IF($E508="男",LOOKUP(L508,[1]对照表!$S$3:$S$24,[1]对照表!$T$3:$T$24),LOOKUP(L508,[1]对照表!$S$27:$S$48,[1]对照表!$T$27:$T$48)),IF(B508="高二",IF($E508="男",LOOKUP(L508,[1]对照表!$R$3:$R$24,[1]对照表!$T$3:$T$24),LOOKUP(L508,[1]对照表!$R$27:$R$48,[1]对照表!$T$27:$T$48)),IF(B508="高一",IF($E508="男",LOOKUP(L508,[1]对照表!$Q$3:$Q$24,[1]对照表!$T$3:$T$24),LOOKUP(L508,[1]对照表!$Q$27:$Q$48,[1]对照表!$T$27:$T$48)))))</f>
        <v>100</v>
      </c>
      <c r="N508" s="33">
        <f>IF(B508="高三",MAX(IF(E508="男",L508-18,L508-55),0),IF(B508="高二",MAX(IF(E508="男",L508-17,L508-54),0),IF(B508="高一",MAX(IF(E508="男",L508-16,L508-53),0))))</f>
        <v>4</v>
      </c>
      <c r="O508" s="23">
        <f>IF(E508="男",LOOKUP($N508,[1]对照表!$Z$3:$Z$13,[1]对照表!$AA$3:$AA$13),LOOKUP($N508,[1]对照表!$Z$15:$Z$25,[1]对照表!$AA$15:$AA$25))</f>
        <v>2</v>
      </c>
      <c r="P508" s="25">
        <f>M508+O508</f>
        <v>102</v>
      </c>
      <c r="Q508" s="52">
        <v>3.48</v>
      </c>
      <c r="R508" s="32">
        <f>IF(B508="高三",IF($E508="男",LOOKUP(Q508,[1]对照表!$W$3:$W$24,[1]对照表!$X$3:$X$24),LOOKUP(Q508,[1]对照表!$W$27:$W$48,[1]对照表!$X$27:$X$48)),IF(B508="高二",IF($E508="男",LOOKUP(Q508,[1]对照表!$V$3:$V$24,[1]对照表!$X$3:$X$24),LOOKUP(Q508,[1]对照表!$V$27:$V$48,[1]对照表!$X$27:$X$48)),IF(B508="高一",IF($E508="男",LOOKUP(Q508,[1]对照表!$U$3:$U$24,[1]对照表!$X$3:$X$24),LOOKUP(Q508,[1]对照表!$U$27:$U$48,[1]对照表!$X$27:$X$48)))))</f>
        <v>80</v>
      </c>
      <c r="S508" s="33">
        <f>ROUND(IF(IF($B508="高三",MIN(IF($E508="男",$Q508-3.2,$Q508-3.2),0),IF($B508="高二",MIN(IF($E508="男",$Q508-3.25,$Q508-3.22),0),IF($B508="高一",MIN(IF($E508="男",$Q508-3.3,$Q508-3.24),0))))&lt;-0.6,IF($B508="高三",MIN(IF($E508="男",$Q508-3.2,$Q508-3.2),0),IF($B508="高二",MIN(IF($E508="男",$Q508-3.25,$Q508-3.22),0),IF($B508="高一",MIN(IF($E508="男",$Q508-3.3,$Q508-3.24),0))))+0.4,IF($B508="高三",MIN(IF($E508="男",$Q508-3.2,$Q508-3.2),0),IF($B508="高二",MIN(IF($E508="男",$Q508-3.25,$Q508-3.22),0),IF($B508="高一",MIN(IF($E508="男",$Q508-3.3,$Q508-3.24),0))))),2)</f>
        <v>0</v>
      </c>
      <c r="T508" s="23">
        <f>IF(E508="男",LOOKUP($S508,[1]对照表!$AB$3:$AB$13,[1]对照表!$AC$3:$AC$13),LOOKUP($S508,[1]对照表!$AB$15:$AB$25,[1]对照表!$AC$15:$AC$25))</f>
        <v>0</v>
      </c>
      <c r="U508" s="26">
        <f>R508+T508</f>
        <v>80</v>
      </c>
      <c r="V508" s="26">
        <f>SUM(I508,K508,M508)/3*0.3+SUM(G508,R508)/2*0.4</f>
        <v>60.1</v>
      </c>
      <c r="W508" s="27">
        <f>O508+T508</f>
        <v>2</v>
      </c>
      <c r="X508" s="28">
        <f>V508/0.7+W508</f>
        <v>87.857142857142861</v>
      </c>
      <c r="Y508" s="28">
        <f>X508</f>
        <v>87.857142857142861</v>
      </c>
      <c r="Z508" s="52"/>
    </row>
    <row r="509" spans="1:26" ht="15.6" customHeight="1" x14ac:dyDescent="0.25">
      <c r="A509" s="38">
        <v>36</v>
      </c>
      <c r="B509" s="17" t="s">
        <v>767</v>
      </c>
      <c r="C509" s="48">
        <v>213</v>
      </c>
      <c r="D509" s="49" t="s">
        <v>888</v>
      </c>
      <c r="E509" s="48" t="s">
        <v>65</v>
      </c>
      <c r="F509" s="38">
        <v>8.0500000000000007</v>
      </c>
      <c r="G509" s="32">
        <f>IF(B509="高三",IF($E509="男",LOOKUP(F509,[1]对照表!$G$3:$G$24,[1]对照表!$H$3:$H$24),LOOKUP(F509,[1]对照表!$G$27:$G$48,[1]对照表!$H$27:$H$48)),IF(B509="高二",IF($E509="男",LOOKUP(F509,[1]对照表!$F$3:$F$24,[1]对照表!$H$3:$H$24),LOOKUP(F509,[1]对照表!$F$27:$F$48,[1]对照表!$H$27:$H$48)),IF(B509="高一",IF($E509="男",LOOKUP(F509,[1]对照表!$E$3:$E$24,[1]对照表!$H$3:$H$24),LOOKUP(F509,[1]对照表!$E$27:$E$48,[1]对照表!$H$27:$H$48)))))</f>
        <v>85</v>
      </c>
      <c r="H509" s="38">
        <v>12.2</v>
      </c>
      <c r="I509" s="32">
        <f>IF(B509="高三",IF($E509="男",LOOKUP(H509,[1]对照表!$K$3:$K$24,[1]对照表!$L$3:$L$24),LOOKUP(H509,[1]对照表!$K$27:$K$48,[1]对照表!$L$27:$L$48)),IF(B509="高二",IF($E509="男",LOOKUP(H509,[1]对照表!$J$3:$J$24,[1]对照表!$L$3:$L$24),LOOKUP(H509,[1]对照表!$J$27:$J$48,[1]对照表!$L$27:$L$48)),IF(B509="高一",IF($E509="男",LOOKUP(H509,[1]对照表!$I$3:$I$24,[1]对照表!$L$3:$L$24),LOOKUP(H509,[1]对照表!$I$27:$I$48,[1]对照表!$L$27:$L$48)))))</f>
        <v>70</v>
      </c>
      <c r="J509" s="38">
        <v>175</v>
      </c>
      <c r="K509" s="32">
        <f>IF(B509="高三",IF($E509="男",LOOKUP(J509,[1]对照表!$O$3:$O$24,[1]对照表!$P$3:$P$24),LOOKUP(J509,[1]对照表!$O$27:$O$48,[1]对照表!$P$27:$P$48)),IF(B509="高二",IF($E509="男",LOOKUP(J509,[1]对照表!$N$3:$N$24,[1]对照表!$P$3:$P$24),LOOKUP(J509,[1]对照表!$N$27:$N$48,[1]对照表!$P$27:$P$48)),IF(B509="高一",IF($E509="男",LOOKUP(J509,[1]对照表!$M$3:$M$24,[1]对照表!$P$3:$P$24),LOOKUP(J509,[1]对照表!$M$27:$M$48,[1]对照表!$P$27:$P$48)))))</f>
        <v>76</v>
      </c>
      <c r="L509" s="38">
        <v>59</v>
      </c>
      <c r="M509" s="32">
        <f>IF(B509="高三",IF($E509="男",LOOKUP(L509,[1]对照表!$S$3:$S$24,[1]对照表!$T$3:$T$24),LOOKUP(L509,[1]对照表!$S$27:$S$48,[1]对照表!$T$27:$T$48)),IF(B509="高二",IF($E509="男",LOOKUP(L509,[1]对照表!$R$3:$R$24,[1]对照表!$T$3:$T$24),LOOKUP(L509,[1]对照表!$R$27:$R$48,[1]对照表!$T$27:$T$48)),IF(B509="高一",IF($E509="男",LOOKUP(L509,[1]对照表!$Q$3:$Q$24,[1]对照表!$T$3:$T$24),LOOKUP(L509,[1]对照表!$Q$27:$Q$48,[1]对照表!$T$27:$T$48)))))</f>
        <v>100</v>
      </c>
      <c r="N509" s="33">
        <f>IF(B509="高三",MAX(IF(E509="男",L509-18,L509-55),0),IF(B509="高二",MAX(IF(E509="男",L509-17,L509-54),0),IF(B509="高一",MAX(IF(E509="男",L509-16,L509-53),0))))</f>
        <v>5</v>
      </c>
      <c r="O509" s="23">
        <f>IF(E509="男",LOOKUP($N509,[1]对照表!$Z$3:$Z$13,[1]对照表!$AA$3:$AA$13),LOOKUP($N509,[1]对照表!$Z$15:$Z$25,[1]对照表!$AA$15:$AA$25))</f>
        <v>2</v>
      </c>
      <c r="P509" s="25">
        <f>M509+O509</f>
        <v>102</v>
      </c>
      <c r="Q509" s="38">
        <v>3.31</v>
      </c>
      <c r="R509" s="32">
        <f>IF(B509="高三",IF($E509="男",LOOKUP(Q509,[1]对照表!$W$3:$W$24,[1]对照表!$X$3:$X$24),LOOKUP(Q509,[1]对照表!$W$27:$W$48,[1]对照表!$X$27:$X$48)),IF(B509="高二",IF($E509="男",LOOKUP(Q509,[1]对照表!$V$3:$V$24,[1]对照表!$X$3:$X$24),LOOKUP(Q509,[1]对照表!$V$27:$V$48,[1]对照表!$X$27:$X$48)),IF(B509="高一",IF($E509="男",LOOKUP(Q509,[1]对照表!$U$3:$U$24,[1]对照表!$X$3:$X$24),LOOKUP(Q509,[1]对照表!$U$27:$U$48,[1]对照表!$X$27:$X$48)))))</f>
        <v>90</v>
      </c>
      <c r="S509" s="33">
        <f>ROUND(IF(IF($B509="高三",MIN(IF($E509="男",$Q509-3.2,$Q509-3.2),0),IF($B509="高二",MIN(IF($E509="男",$Q509-3.25,$Q509-3.22),0),IF($B509="高一",MIN(IF($E509="男",$Q509-3.3,$Q509-3.24),0))))&lt;-0.6,IF($B509="高三",MIN(IF($E509="男",$Q509-3.2,$Q509-3.2),0),IF($B509="高二",MIN(IF($E509="男",$Q509-3.25,$Q509-3.22),0),IF($B509="高一",MIN(IF($E509="男",$Q509-3.3,$Q509-3.24),0))))+0.4,IF($B509="高三",MIN(IF($E509="男",$Q509-3.2,$Q509-3.2),0),IF($B509="高二",MIN(IF($E509="男",$Q509-3.25,$Q509-3.22),0),IF($B509="高一",MIN(IF($E509="男",$Q509-3.3,$Q509-3.24),0))))),2)</f>
        <v>0</v>
      </c>
      <c r="T509" s="23">
        <f>IF(E509="男",LOOKUP($S509,[1]对照表!$AB$3:$AB$13,[1]对照表!$AC$3:$AC$13),LOOKUP($S509,[1]对照表!$AB$15:$AB$25,[1]对照表!$AC$15:$AC$25))</f>
        <v>0</v>
      </c>
      <c r="U509" s="26">
        <f>R509+T509</f>
        <v>90</v>
      </c>
      <c r="V509" s="26">
        <f>SUM(I509,K509,M509)/3*0.3+SUM(G509,R509)/2*0.4</f>
        <v>59.599999999999994</v>
      </c>
      <c r="W509" s="27">
        <f>O509+T509</f>
        <v>2</v>
      </c>
      <c r="X509" s="28">
        <f>V509/0.7+W509</f>
        <v>87.142857142857139</v>
      </c>
      <c r="Y509" s="28">
        <f>X509</f>
        <v>87.142857142857139</v>
      </c>
      <c r="Z509" s="38"/>
    </row>
    <row r="510" spans="1:26" ht="15.6" x14ac:dyDescent="0.25">
      <c r="A510" s="48">
        <v>2</v>
      </c>
      <c r="B510" s="17" t="s">
        <v>767</v>
      </c>
      <c r="C510" s="48">
        <v>213</v>
      </c>
      <c r="D510" s="49" t="s">
        <v>892</v>
      </c>
      <c r="E510" s="48" t="s">
        <v>23</v>
      </c>
      <c r="F510" s="38">
        <v>7</v>
      </c>
      <c r="G510" s="32">
        <f>IF(B510="高三",IF($E510="男",LOOKUP(F510,[1]对照表!$G$3:$G$24,[1]对照表!$H$3:$H$24),LOOKUP(F510,[1]对照表!$G$27:$G$48,[1]对照表!$H$27:$H$48)),IF(B510="高二",IF($E510="男",LOOKUP(F510,[1]对照表!$F$3:$F$24,[1]对照表!$H$3:$H$24),LOOKUP(F510,[1]对照表!$F$27:$F$48,[1]对照表!$H$27:$H$48)),IF(B510="高一",IF($E510="男",LOOKUP(F510,[1]对照表!$E$3:$E$24,[1]对照表!$H$3:$H$24),LOOKUP(F510,[1]对照表!$E$27:$E$48,[1]对照表!$H$27:$H$48)))))</f>
        <v>100</v>
      </c>
      <c r="H510" s="38">
        <v>19.5</v>
      </c>
      <c r="I510" s="32">
        <f>IF(B510="高三",IF($E510="男",LOOKUP(H510,[1]对照表!$K$3:$K$24,[1]对照表!$L$3:$L$24),LOOKUP(H510,[1]对照表!$K$27:$K$48,[1]对照表!$L$27:$L$48)),IF(B510="高二",IF($E510="男",LOOKUP(H510,[1]对照表!$J$3:$J$24,[1]对照表!$L$3:$L$24),LOOKUP(H510,[1]对照表!$J$27:$J$48,[1]对照表!$L$27:$L$48)),IF(B510="高一",IF($E510="男",LOOKUP(H510,[1]对照表!$I$3:$I$24,[1]对照表!$L$3:$L$24),LOOKUP(H510,[1]对照表!$I$27:$I$48,[1]对照表!$L$27:$L$48)))))</f>
        <v>85</v>
      </c>
      <c r="J510" s="38">
        <v>275</v>
      </c>
      <c r="K510" s="32">
        <f>IF(B510="高三",IF($E510="男",LOOKUP(J510,[1]对照表!$O$3:$O$24,[1]对照表!$P$3:$P$24),LOOKUP(J510,[1]对照表!$O$27:$O$48,[1]对照表!$P$27:$P$48)),IF(B510="高二",IF($E510="男",LOOKUP(J510,[1]对照表!$N$3:$N$24,[1]对照表!$P$3:$P$24),LOOKUP(J510,[1]对照表!$N$27:$N$48,[1]对照表!$P$27:$P$48)),IF(B510="高一",IF($E510="男",LOOKUP(J510,[1]对照表!$M$3:$M$24,[1]对照表!$P$3:$P$24),LOOKUP(J510,[1]对照表!$M$27:$M$48,[1]对照表!$P$27:$P$48)))))</f>
        <v>100</v>
      </c>
      <c r="L510" s="38">
        <v>27</v>
      </c>
      <c r="M510" s="32">
        <f>IF(B510="高三",IF($E510="男",LOOKUP(L510,[1]对照表!$S$3:$S$24,[1]对照表!$T$3:$T$24),LOOKUP(L510,[1]对照表!$S$27:$S$48,[1]对照表!$T$27:$T$48)),IF(B510="高二",IF($E510="男",LOOKUP(L510,[1]对照表!$R$3:$R$24,[1]对照表!$T$3:$T$24),LOOKUP(L510,[1]对照表!$R$27:$R$48,[1]对照表!$T$27:$T$48)),IF(B510="高一",IF($E510="男",LOOKUP(L510,[1]对照表!$Q$3:$Q$24,[1]对照表!$T$3:$T$24),LOOKUP(L510,[1]对照表!$Q$27:$Q$48,[1]对照表!$T$27:$T$48)))))</f>
        <v>100</v>
      </c>
      <c r="N510" s="33">
        <f>IF(B510="高三",MAX(IF(E510="男",L510-18,L510-55),0),IF(B510="高二",MAX(IF(E510="男",L510-17,L510-54),0),IF(B510="高一",MAX(IF(E510="男",L510-16,L510-53),0))))</f>
        <v>10</v>
      </c>
      <c r="O510" s="23">
        <f>IF(E510="男",LOOKUP($N510,[1]对照表!$Z$3:$Z$13,[1]对照表!$AA$3:$AA$13),LOOKUP($N510,[1]对照表!$Z$15:$Z$25,[1]对照表!$AA$15:$AA$25))</f>
        <v>10</v>
      </c>
      <c r="P510" s="25">
        <f>M510+O510</f>
        <v>110</v>
      </c>
      <c r="Q510" s="38">
        <v>4.1399999999999997</v>
      </c>
      <c r="R510" s="32">
        <f>IF(B510="高三",IF($E510="男",LOOKUP(Q510,[1]对照表!$W$3:$W$24,[1]对照表!$X$3:$X$24),LOOKUP(Q510,[1]对照表!$W$27:$W$48,[1]对照表!$X$27:$X$48)),IF(B510="高二",IF($E510="男",LOOKUP(Q510,[1]对照表!$V$3:$V$24,[1]对照表!$X$3:$X$24),LOOKUP(Q510,[1]对照表!$V$27:$V$48,[1]对照表!$X$27:$X$48)),IF(B510="高一",IF($E510="男",LOOKUP(Q510,[1]对照表!$U$3:$U$24,[1]对照表!$X$3:$X$24),LOOKUP(Q510,[1]对照表!$U$27:$U$48,[1]对照表!$X$27:$X$48)))))</f>
        <v>70</v>
      </c>
      <c r="S510" s="33">
        <f>ROUND(IF(IF($B510="高三",MIN(IF($E510="男",$Q510-3.2,$Q510-3.2),0),IF($B510="高二",MIN(IF($E510="男",$Q510-3.25,$Q510-3.22),0),IF($B510="高一",MIN(IF($E510="男",$Q510-3.3,$Q510-3.24),0))))&lt;-0.6,IF($B510="高三",MIN(IF($E510="男",$Q510-3.2,$Q510-3.2),0),IF($B510="高二",MIN(IF($E510="男",$Q510-3.25,$Q510-3.22),0),IF($B510="高一",MIN(IF($E510="男",$Q510-3.3,$Q510-3.24),0))))+0.4,IF($B510="高三",MIN(IF($E510="男",$Q510-3.2,$Q510-3.2),0),IF($B510="高二",MIN(IF($E510="男",$Q510-3.25,$Q510-3.22),0),IF($B510="高一",MIN(IF($E510="男",$Q510-3.3,$Q510-3.24),0))))),2)</f>
        <v>0</v>
      </c>
      <c r="T510" s="23">
        <f>IF(E510="男",LOOKUP($S510,[1]对照表!$AB$3:$AB$13,[1]对照表!$AC$3:$AC$13),LOOKUP($S510,[1]对照表!$AB$15:$AB$25,[1]对照表!$AC$15:$AC$25))</f>
        <v>0</v>
      </c>
      <c r="U510" s="26">
        <f>R510+T510</f>
        <v>70</v>
      </c>
      <c r="V510" s="26">
        <f>SUM(I510,K510,M510)/3*0.3+SUM(G510,R510)/2*0.4</f>
        <v>62.5</v>
      </c>
      <c r="W510" s="27">
        <f>O510+T510</f>
        <v>10</v>
      </c>
      <c r="X510" s="28">
        <f>V510/0.7+W510</f>
        <v>99.285714285714292</v>
      </c>
      <c r="Y510" s="28">
        <f>X510</f>
        <v>99.285714285714292</v>
      </c>
      <c r="Z510" s="38"/>
    </row>
    <row r="511" spans="1:26" ht="15.6" x14ac:dyDescent="0.25">
      <c r="A511" s="52">
        <v>22</v>
      </c>
      <c r="B511" s="17" t="s">
        <v>767</v>
      </c>
      <c r="C511" s="48">
        <v>213</v>
      </c>
      <c r="D511" s="49" t="s">
        <v>895</v>
      </c>
      <c r="E511" s="48" t="s">
        <v>23</v>
      </c>
      <c r="F511" s="38">
        <v>6.9</v>
      </c>
      <c r="G511" s="32">
        <f>IF(B511="高三",IF($E511="男",LOOKUP(F511,[1]对照表!$G$3:$G$24,[1]对照表!$H$3:$H$24),LOOKUP(F511,[1]对照表!$G$27:$G$48,[1]对照表!$H$27:$H$48)),IF(B511="高二",IF($E511="男",LOOKUP(F511,[1]对照表!$F$3:$F$24,[1]对照表!$H$3:$H$24),LOOKUP(F511,[1]对照表!$F$27:$F$48,[1]对照表!$H$27:$H$48)),IF(B511="高一",IF($E511="男",LOOKUP(F511,[1]对照表!$E$3:$E$24,[1]对照表!$H$3:$H$24),LOOKUP(F511,[1]对照表!$E$27:$E$48,[1]对照表!$H$27:$H$48)))))</f>
        <v>100</v>
      </c>
      <c r="H511" s="38">
        <v>28</v>
      </c>
      <c r="I511" s="32">
        <f>IF(B511="高三",IF($E511="男",LOOKUP(H511,[1]对照表!$K$3:$K$24,[1]对照表!$L$3:$L$24),LOOKUP(H511,[1]对照表!$K$27:$K$48,[1]对照表!$L$27:$L$48)),IF(B511="高二",IF($E511="男",LOOKUP(H511,[1]对照表!$J$3:$J$24,[1]对照表!$L$3:$L$24),LOOKUP(H511,[1]对照表!$J$27:$J$48,[1]对照表!$L$27:$L$48)),IF(B511="高一",IF($E511="男",LOOKUP(H511,[1]对照表!$I$3:$I$24,[1]对照表!$L$3:$L$24),LOOKUP(H511,[1]对照表!$I$27:$I$48,[1]对照表!$L$27:$L$48)))))</f>
        <v>100</v>
      </c>
      <c r="J511" s="38">
        <v>260</v>
      </c>
      <c r="K511" s="32">
        <f>IF(B511="高三",IF($E511="男",LOOKUP(J511,[1]对照表!$O$3:$O$24,[1]对照表!$P$3:$P$24),LOOKUP(J511,[1]对照表!$O$27:$O$48,[1]对照表!$P$27:$P$48)),IF(B511="高二",IF($E511="男",LOOKUP(J511,[1]对照表!$N$3:$N$24,[1]对照表!$P$3:$P$24),LOOKUP(J511,[1]对照表!$N$27:$N$48,[1]对照表!$P$27:$P$48)),IF(B511="高一",IF($E511="男",LOOKUP(J511,[1]对照表!$M$3:$M$24,[1]对照表!$P$3:$P$24),LOOKUP(J511,[1]对照表!$M$27:$M$48,[1]对照表!$P$27:$P$48)))))</f>
        <v>95</v>
      </c>
      <c r="L511" s="38">
        <v>17</v>
      </c>
      <c r="M511" s="32">
        <f>IF(B511="高三",IF($E511="男",LOOKUP(L511,[1]对照表!$S$3:$S$24,[1]对照表!$T$3:$T$24),LOOKUP(L511,[1]对照表!$S$27:$S$48,[1]对照表!$T$27:$T$48)),IF(B511="高二",IF($E511="男",LOOKUP(L511,[1]对照表!$R$3:$R$24,[1]对照表!$T$3:$T$24),LOOKUP(L511,[1]对照表!$R$27:$R$48,[1]对照表!$T$27:$T$48)),IF(B511="高一",IF($E511="男",LOOKUP(L511,[1]对照表!$Q$3:$Q$24,[1]对照表!$T$3:$T$24),LOOKUP(L511,[1]对照表!$Q$27:$Q$48,[1]对照表!$T$27:$T$48)))))</f>
        <v>100</v>
      </c>
      <c r="N511" s="33">
        <f>IF(B511="高三",MAX(IF(E511="男",L511-18,L511-55),0),IF(B511="高二",MAX(IF(E511="男",L511-17,L511-54),0),IF(B511="高一",MAX(IF(E511="男",L511-16,L511-53),0))))</f>
        <v>0</v>
      </c>
      <c r="O511" s="23">
        <f>IF(E511="男",LOOKUP($N511,[1]对照表!$Z$3:$Z$13,[1]对照表!$AA$3:$AA$13),LOOKUP($N511,[1]对照表!$Z$15:$Z$25,[1]对照表!$AA$15:$AA$25))</f>
        <v>0</v>
      </c>
      <c r="P511" s="25">
        <f>M511+O511</f>
        <v>100</v>
      </c>
      <c r="Q511" s="38">
        <v>3.26</v>
      </c>
      <c r="R511" s="32">
        <f>IF(B511="高三",IF($E511="男",LOOKUP(Q511,[1]对照表!$W$3:$W$24,[1]对照表!$X$3:$X$24),LOOKUP(Q511,[1]对照表!$W$27:$W$48,[1]对照表!$X$27:$X$48)),IF(B511="高二",IF($E511="男",LOOKUP(Q511,[1]对照表!$V$3:$V$24,[1]对照表!$X$3:$X$24),LOOKUP(Q511,[1]对照表!$V$27:$V$48,[1]对照表!$X$27:$X$48)),IF(B511="高一",IF($E511="男",LOOKUP(Q511,[1]对照表!$U$3:$U$24,[1]对照表!$X$3:$X$24),LOOKUP(Q511,[1]对照表!$U$27:$U$48,[1]对照表!$X$27:$X$48)))))</f>
        <v>95</v>
      </c>
      <c r="S511" s="33">
        <f>ROUND(IF(IF($B511="高三",MIN(IF($E511="男",$Q511-3.2,$Q511-3.2),0),IF($B511="高二",MIN(IF($E511="男",$Q511-3.25,$Q511-3.22),0),IF($B511="高一",MIN(IF($E511="男",$Q511-3.3,$Q511-3.24),0))))&lt;-0.6,IF($B511="高三",MIN(IF($E511="男",$Q511-3.2,$Q511-3.2),0),IF($B511="高二",MIN(IF($E511="男",$Q511-3.25,$Q511-3.22),0),IF($B511="高一",MIN(IF($E511="男",$Q511-3.3,$Q511-3.24),0))))+0.4,IF($B511="高三",MIN(IF($E511="男",$Q511-3.2,$Q511-3.2),0),IF($B511="高二",MIN(IF($E511="男",$Q511-3.25,$Q511-3.22),0),IF($B511="高一",MIN(IF($E511="男",$Q511-3.3,$Q511-3.24),0))))),2)</f>
        <v>0</v>
      </c>
      <c r="T511" s="23">
        <f>IF(E511="男",LOOKUP($S511,[1]对照表!$AB$3:$AB$13,[1]对照表!$AC$3:$AC$13),LOOKUP($S511,[1]对照表!$AB$15:$AB$25,[1]对照表!$AC$15:$AC$25))</f>
        <v>0</v>
      </c>
      <c r="U511" s="26">
        <f>R511+T511</f>
        <v>95</v>
      </c>
      <c r="V511" s="26">
        <f>SUM(I511,K511,M511)/3*0.3+SUM(G511,R511)/2*0.4</f>
        <v>68.5</v>
      </c>
      <c r="W511" s="27">
        <f>O511+T511</f>
        <v>0</v>
      </c>
      <c r="X511" s="28">
        <f>V511/0.7+W511</f>
        <v>97.857142857142861</v>
      </c>
      <c r="Y511" s="28">
        <f>X511</f>
        <v>97.857142857142861</v>
      </c>
      <c r="Z511" s="38"/>
    </row>
    <row r="512" spans="1:26" ht="15.6" x14ac:dyDescent="0.25">
      <c r="A512" s="38">
        <v>37</v>
      </c>
      <c r="B512" s="17" t="s">
        <v>767</v>
      </c>
      <c r="C512" s="48">
        <v>213</v>
      </c>
      <c r="D512" s="49" t="s">
        <v>946</v>
      </c>
      <c r="E512" s="48" t="s">
        <v>65</v>
      </c>
      <c r="F512" s="38">
        <v>8.31</v>
      </c>
      <c r="G512" s="32">
        <f>IF(B512="高三",IF($E512="男",LOOKUP(F512,[1]对照表!$G$3:$G$24,[1]对照表!$H$3:$H$24),LOOKUP(F512,[1]对照表!$G$27:$G$48,[1]对照表!$H$27:$H$48)),IF(B512="高二",IF($E512="男",LOOKUP(F512,[1]对照表!$F$3:$F$24,[1]对照表!$H$3:$H$24),LOOKUP(F512,[1]对照表!$F$27:$F$48,[1]对照表!$H$27:$H$48)),IF(B512="高一",IF($E512="男",LOOKUP(F512,[1]对照表!$E$3:$E$24,[1]对照表!$H$3:$H$24),LOOKUP(F512,[1]对照表!$E$27:$E$48,[1]对照表!$H$27:$H$48)))))</f>
        <v>80</v>
      </c>
      <c r="H512" s="38">
        <v>12.5</v>
      </c>
      <c r="I512" s="32">
        <f>IF(B512="高三",IF($E512="男",LOOKUP(H512,[1]对照表!$K$3:$K$24,[1]对照表!$L$3:$L$24),LOOKUP(H512,[1]对照表!$K$27:$K$48,[1]对照表!$L$27:$L$48)),IF(B512="高二",IF($E512="男",LOOKUP(H512,[1]对照表!$J$3:$J$24,[1]对照表!$L$3:$L$24),LOOKUP(H512,[1]对照表!$J$27:$J$48,[1]对照表!$L$27:$L$48)),IF(B512="高一",IF($E512="男",LOOKUP(H512,[1]对照表!$I$3:$I$24,[1]对照表!$L$3:$L$24),LOOKUP(H512,[1]对照表!$I$27:$I$48,[1]对照表!$L$27:$L$48)))))</f>
        <v>70</v>
      </c>
      <c r="J512" s="38">
        <v>186</v>
      </c>
      <c r="K512" s="32">
        <f>IF(B512="高三",IF($E512="男",LOOKUP(J512,[1]对照表!$O$3:$O$24,[1]对照表!$P$3:$P$24),LOOKUP(J512,[1]对照表!$O$27:$O$48,[1]对照表!$P$27:$P$48)),IF(B512="高二",IF($E512="男",LOOKUP(J512,[1]对照表!$N$3:$N$24,[1]对照表!$P$3:$P$24),LOOKUP(J512,[1]对照表!$N$27:$N$48,[1]对照表!$P$27:$P$48)),IF(B512="高一",IF($E512="男",LOOKUP(J512,[1]对照表!$M$3:$M$24,[1]对照表!$P$3:$P$24),LOOKUP(J512,[1]对照表!$M$27:$M$48,[1]对照表!$P$27:$P$48)))))</f>
        <v>85</v>
      </c>
      <c r="L512" s="38">
        <v>55</v>
      </c>
      <c r="M512" s="32">
        <f>IF(B512="高三",IF($E512="男",LOOKUP(L512,[1]对照表!$S$3:$S$24,[1]对照表!$T$3:$T$24),LOOKUP(L512,[1]对照表!$S$27:$S$48,[1]对照表!$T$27:$T$48)),IF(B512="高二",IF($E512="男",LOOKUP(L512,[1]对照表!$R$3:$R$24,[1]对照表!$T$3:$T$24),LOOKUP(L512,[1]对照表!$R$27:$R$48,[1]对照表!$T$27:$T$48)),IF(B512="高一",IF($E512="男",LOOKUP(L512,[1]对照表!$Q$3:$Q$24,[1]对照表!$T$3:$T$24),LOOKUP(L512,[1]对照表!$Q$27:$Q$48,[1]对照表!$T$27:$T$48)))))</f>
        <v>100</v>
      </c>
      <c r="N512" s="33">
        <f>IF(B512="高三",MAX(IF(E512="男",L512-18,L512-55),0),IF(B512="高二",MAX(IF(E512="男",L512-17,L512-54),0),IF(B512="高一",MAX(IF(E512="男",L512-16,L512-53),0))))</f>
        <v>1</v>
      </c>
      <c r="O512" s="23">
        <f>IF(E512="男",LOOKUP($N512,[1]对照表!$Z$3:$Z$13,[1]对照表!$AA$3:$AA$13),LOOKUP($N512,[1]对照表!$Z$15:$Z$25,[1]对照表!$AA$15:$AA$25))</f>
        <v>0</v>
      </c>
      <c r="P512" s="25">
        <f>M512+O512</f>
        <v>100</v>
      </c>
      <c r="Q512" s="38">
        <v>3.34</v>
      </c>
      <c r="R512" s="32">
        <f>IF(B512="高三",IF($E512="男",LOOKUP(Q512,[1]对照表!$W$3:$W$24,[1]对照表!$X$3:$X$24),LOOKUP(Q512,[1]对照表!$W$27:$W$48,[1]对照表!$X$27:$X$48)),IF(B512="高二",IF($E512="男",LOOKUP(Q512,[1]对照表!$V$3:$V$24,[1]对照表!$X$3:$X$24),LOOKUP(Q512,[1]对照表!$V$27:$V$48,[1]对照表!$X$27:$X$48)),IF(B512="高一",IF($E512="男",LOOKUP(Q512,[1]对照表!$U$3:$U$24,[1]对照表!$X$3:$X$24),LOOKUP(Q512,[1]对照表!$U$27:$U$48,[1]对照表!$X$27:$X$48)))))</f>
        <v>90</v>
      </c>
      <c r="S512" s="33">
        <f>ROUND(IF(IF($B512="高三",MIN(IF($E512="男",$Q512-3.2,$Q512-3.2),0),IF($B512="高二",MIN(IF($E512="男",$Q512-3.25,$Q512-3.22),0),IF($B512="高一",MIN(IF($E512="男",$Q512-3.3,$Q512-3.24),0))))&lt;-0.6,IF($B512="高三",MIN(IF($E512="男",$Q512-3.2,$Q512-3.2),0),IF($B512="高二",MIN(IF($E512="男",$Q512-3.25,$Q512-3.22),0),IF($B512="高一",MIN(IF($E512="男",$Q512-3.3,$Q512-3.24),0))))+0.4,IF($B512="高三",MIN(IF($E512="男",$Q512-3.2,$Q512-3.2),0),IF($B512="高二",MIN(IF($E512="男",$Q512-3.25,$Q512-3.22),0),IF($B512="高一",MIN(IF($E512="男",$Q512-3.3,$Q512-3.24),0))))),2)</f>
        <v>0</v>
      </c>
      <c r="T512" s="23">
        <f>IF(E512="男",LOOKUP($S512,[1]对照表!$AB$3:$AB$13,[1]对照表!$AC$3:$AC$13),LOOKUP($S512,[1]对照表!$AB$15:$AB$25,[1]对照表!$AC$15:$AC$25))</f>
        <v>0</v>
      </c>
      <c r="U512" s="26">
        <f>R512+T512</f>
        <v>90</v>
      </c>
      <c r="V512" s="26">
        <f>SUM(I512,K512,M512)/3*0.3+SUM(G512,R512)/2*0.4</f>
        <v>59.5</v>
      </c>
      <c r="W512" s="27">
        <f>O512+T512</f>
        <v>0</v>
      </c>
      <c r="X512" s="28">
        <f>V512/0.7+W512</f>
        <v>85</v>
      </c>
      <c r="Y512" s="28">
        <f>X512</f>
        <v>85</v>
      </c>
      <c r="Z512" s="38"/>
    </row>
    <row r="513" spans="1:26" ht="15.6" x14ac:dyDescent="0.25">
      <c r="A513" s="52">
        <v>25</v>
      </c>
      <c r="B513" s="17" t="s">
        <v>767</v>
      </c>
      <c r="C513" s="48">
        <v>213</v>
      </c>
      <c r="D513" s="49" t="s">
        <v>971</v>
      </c>
      <c r="E513" s="48" t="s">
        <v>23</v>
      </c>
      <c r="F513" s="38">
        <v>7.1</v>
      </c>
      <c r="G513" s="32">
        <f>IF(B513="高三",IF($E513="男",LOOKUP(F513,[1]对照表!$G$3:$G$24,[1]对照表!$H$3:$H$24),LOOKUP(F513,[1]对照表!$G$27:$G$48,[1]对照表!$H$27:$H$48)),IF(B513="高二",IF($E513="男",LOOKUP(F513,[1]对照表!$F$3:$F$24,[1]对照表!$H$3:$H$24),LOOKUP(F513,[1]对照表!$F$27:$F$48,[1]对照表!$H$27:$H$48)),IF(B513="高一",IF($E513="男",LOOKUP(F513,[1]对照表!$E$3:$E$24,[1]对照表!$H$3:$H$24),LOOKUP(F513,[1]对照表!$E$27:$E$48,[1]对照表!$H$27:$H$48)))))</f>
        <v>95</v>
      </c>
      <c r="H513" s="38">
        <v>17</v>
      </c>
      <c r="I513" s="32">
        <f>IF(B513="高三",IF($E513="男",LOOKUP(H513,[1]对照表!$K$3:$K$24,[1]对照表!$L$3:$L$24),LOOKUP(H513,[1]对照表!$K$27:$K$48,[1]对照表!$L$27:$L$48)),IF(B513="高二",IF($E513="男",LOOKUP(H513,[1]对照表!$J$3:$J$24,[1]对照表!$L$3:$L$24),LOOKUP(H513,[1]对照表!$J$27:$J$48,[1]对照表!$L$27:$L$48)),IF(B513="高一",IF($E513="男",LOOKUP(H513,[1]对照表!$I$3:$I$24,[1]对照表!$L$3:$L$24),LOOKUP(H513,[1]对照表!$I$27:$I$48,[1]对照表!$L$27:$L$48)))))</f>
        <v>80</v>
      </c>
      <c r="J513" s="38">
        <v>280</v>
      </c>
      <c r="K513" s="32">
        <f>IF(B513="高三",IF($E513="男",LOOKUP(J513,[1]对照表!$O$3:$O$24,[1]对照表!$P$3:$P$24),LOOKUP(J513,[1]对照表!$O$27:$O$48,[1]对照表!$P$27:$P$48)),IF(B513="高二",IF($E513="男",LOOKUP(J513,[1]对照表!$N$3:$N$24,[1]对照表!$P$3:$P$24),LOOKUP(J513,[1]对照表!$N$27:$N$48,[1]对照表!$P$27:$P$48)),IF(B513="高一",IF($E513="男",LOOKUP(J513,[1]对照表!$M$3:$M$24,[1]对照表!$P$3:$P$24),LOOKUP(J513,[1]对照表!$M$27:$M$48,[1]对照表!$P$27:$P$48)))))</f>
        <v>100</v>
      </c>
      <c r="L513" s="38">
        <v>18</v>
      </c>
      <c r="M513" s="32">
        <f>IF(B513="高三",IF($E513="男",LOOKUP(L513,[1]对照表!$S$3:$S$24,[1]对照表!$T$3:$T$24),LOOKUP(L513,[1]对照表!$S$27:$S$48,[1]对照表!$T$27:$T$48)),IF(B513="高二",IF($E513="男",LOOKUP(L513,[1]对照表!$R$3:$R$24,[1]对照表!$T$3:$T$24),LOOKUP(L513,[1]对照表!$R$27:$R$48,[1]对照表!$T$27:$T$48)),IF(B513="高一",IF($E513="男",LOOKUP(L513,[1]对照表!$Q$3:$Q$24,[1]对照表!$T$3:$T$24),LOOKUP(L513,[1]对照表!$Q$27:$Q$48,[1]对照表!$T$27:$T$48)))))</f>
        <v>100</v>
      </c>
      <c r="N513" s="33">
        <f>IF(B513="高三",MAX(IF(E513="男",L513-18,L513-55),0),IF(B513="高二",MAX(IF(E513="男",L513-17,L513-54),0),IF(B513="高一",MAX(IF(E513="男",L513-16,L513-53),0))))</f>
        <v>1</v>
      </c>
      <c r="O513" s="23">
        <f>IF(E513="男",LOOKUP($N513,[1]对照表!$Z$3:$Z$13,[1]对照表!$AA$3:$AA$13),LOOKUP($N513,[1]对照表!$Z$15:$Z$25,[1]对照表!$AA$15:$AA$25))</f>
        <v>1</v>
      </c>
      <c r="P513" s="25">
        <f>M513+O513</f>
        <v>101</v>
      </c>
      <c r="Q513" s="38">
        <v>3.42</v>
      </c>
      <c r="R513" s="32">
        <f>IF(B513="高三",IF($E513="男",LOOKUP(Q513,[1]对照表!$W$3:$W$24,[1]对照表!$X$3:$X$24),LOOKUP(Q513,[1]对照表!$W$27:$W$48,[1]对照表!$X$27:$X$48)),IF(B513="高二",IF($E513="男",LOOKUP(Q513,[1]对照表!$V$3:$V$24,[1]对照表!$X$3:$X$24),LOOKUP(Q513,[1]对照表!$V$27:$V$48,[1]对照表!$X$27:$X$48)),IF(B513="高一",IF($E513="男",LOOKUP(Q513,[1]对照表!$U$3:$U$24,[1]对照表!$X$3:$X$24),LOOKUP(Q513,[1]对照表!$U$27:$U$48,[1]对照表!$X$27:$X$48)))))</f>
        <v>85</v>
      </c>
      <c r="S513" s="33">
        <f>ROUND(IF(IF($B513="高三",MIN(IF($E513="男",$Q513-3.2,$Q513-3.2),0),IF($B513="高二",MIN(IF($E513="男",$Q513-3.25,$Q513-3.22),0),IF($B513="高一",MIN(IF($E513="男",$Q513-3.3,$Q513-3.24),0))))&lt;-0.6,IF($B513="高三",MIN(IF($E513="男",$Q513-3.2,$Q513-3.2),0),IF($B513="高二",MIN(IF($E513="男",$Q513-3.25,$Q513-3.22),0),IF($B513="高一",MIN(IF($E513="男",$Q513-3.3,$Q513-3.24),0))))+0.4,IF($B513="高三",MIN(IF($E513="男",$Q513-3.2,$Q513-3.2),0),IF($B513="高二",MIN(IF($E513="男",$Q513-3.25,$Q513-3.22),0),IF($B513="高一",MIN(IF($E513="男",$Q513-3.3,$Q513-3.24),0))))),2)</f>
        <v>0</v>
      </c>
      <c r="T513" s="23">
        <f>IF(E513="男",LOOKUP($S513,[1]对照表!$AB$3:$AB$13,[1]对照表!$AC$3:$AC$13),LOOKUP($S513,[1]对照表!$AB$15:$AB$25,[1]对照表!$AC$15:$AC$25))</f>
        <v>0</v>
      </c>
      <c r="U513" s="26">
        <f>R513+T513</f>
        <v>85</v>
      </c>
      <c r="V513" s="26">
        <f>SUM(I513,K513,M513)/3*0.3+SUM(G513,R513)/2*0.4</f>
        <v>64</v>
      </c>
      <c r="W513" s="27">
        <f>O513+T513</f>
        <v>1</v>
      </c>
      <c r="X513" s="28">
        <f>V513/0.7+W513</f>
        <v>92.428571428571431</v>
      </c>
      <c r="Y513" s="28">
        <f>X513</f>
        <v>92.428571428571431</v>
      </c>
      <c r="Z513" s="38"/>
    </row>
    <row r="514" spans="1:26" ht="15.6" x14ac:dyDescent="0.25">
      <c r="A514" s="48">
        <v>27</v>
      </c>
      <c r="B514" s="17" t="s">
        <v>767</v>
      </c>
      <c r="C514" s="48">
        <v>213</v>
      </c>
      <c r="D514" s="49" t="s">
        <v>985</v>
      </c>
      <c r="E514" s="48" t="s">
        <v>65</v>
      </c>
      <c r="F514" s="38">
        <v>8.2200000000000006</v>
      </c>
      <c r="G514" s="32">
        <f>IF(B514="高三",IF($E514="男",LOOKUP(F514,[1]对照表!$G$3:$G$24,[1]对照表!$H$3:$H$24),LOOKUP(F514,[1]对照表!$G$27:$G$48,[1]对照表!$H$27:$H$48)),IF(B514="高二",IF($E514="男",LOOKUP(F514,[1]对照表!$F$3:$F$24,[1]对照表!$H$3:$H$24),LOOKUP(F514,[1]对照表!$F$27:$F$48,[1]对照表!$H$27:$H$48)),IF(B514="高一",IF($E514="男",LOOKUP(F514,[1]对照表!$E$3:$E$24,[1]对照表!$H$3:$H$24),LOOKUP(F514,[1]对照表!$E$27:$E$48,[1]对照表!$H$27:$H$48)))))</f>
        <v>80</v>
      </c>
      <c r="H514" s="38">
        <v>7.5</v>
      </c>
      <c r="I514" s="32">
        <f>IF(B514="高三",IF($E514="男",LOOKUP(H514,[1]对照表!$K$3:$K$24,[1]对照表!$L$3:$L$24),LOOKUP(H514,[1]对照表!$K$27:$K$48,[1]对照表!$L$27:$L$48)),IF(B514="高二",IF($E514="男",LOOKUP(H514,[1]对照表!$J$3:$J$24,[1]对照表!$L$3:$L$24),LOOKUP(H514,[1]对照表!$J$27:$J$48,[1]对照表!$L$27:$L$48)),IF(B514="高一",IF($E514="男",LOOKUP(H514,[1]对照表!$I$3:$I$24,[1]对照表!$L$3:$L$24),LOOKUP(H514,[1]对照表!$I$27:$I$48,[1]对照表!$L$27:$L$48)))))</f>
        <v>62</v>
      </c>
      <c r="J514" s="38">
        <v>185</v>
      </c>
      <c r="K514" s="32">
        <f>IF(B514="高三",IF($E514="男",LOOKUP(J514,[1]对照表!$O$3:$O$24,[1]对照表!$P$3:$P$24),LOOKUP(J514,[1]对照表!$O$27:$O$48,[1]对照表!$P$27:$P$48)),IF(B514="高二",IF($E514="男",LOOKUP(J514,[1]对照表!$N$3:$N$24,[1]对照表!$P$3:$P$24),LOOKUP(J514,[1]对照表!$N$27:$N$48,[1]对照表!$P$27:$P$48)),IF(B514="高一",IF($E514="男",LOOKUP(J514,[1]对照表!$M$3:$M$24,[1]对照表!$P$3:$P$24),LOOKUP(J514,[1]对照表!$M$27:$M$48,[1]对照表!$P$27:$P$48)))))</f>
        <v>80</v>
      </c>
      <c r="L514" s="38">
        <v>60</v>
      </c>
      <c r="M514" s="32">
        <f>IF(B514="高三",IF($E514="男",LOOKUP(L514,[1]对照表!$S$3:$S$24,[1]对照表!$T$3:$T$24),LOOKUP(L514,[1]对照表!$S$27:$S$48,[1]对照表!$T$27:$T$48)),IF(B514="高二",IF($E514="男",LOOKUP(L514,[1]对照表!$R$3:$R$24,[1]对照表!$T$3:$T$24),LOOKUP(L514,[1]对照表!$R$27:$R$48,[1]对照表!$T$27:$T$48)),IF(B514="高一",IF($E514="男",LOOKUP(L514,[1]对照表!$Q$3:$Q$24,[1]对照表!$T$3:$T$24),LOOKUP(L514,[1]对照表!$Q$27:$Q$48,[1]对照表!$T$27:$T$48)))))</f>
        <v>100</v>
      </c>
      <c r="N514" s="33">
        <f>IF(B514="高三",MAX(IF(E514="男",L514-18,L514-55),0),IF(B514="高二",MAX(IF(E514="男",L514-17,L514-54),0),IF(B514="高一",MAX(IF(E514="男",L514-16,L514-53),0))))</f>
        <v>6</v>
      </c>
      <c r="O514" s="23">
        <f>IF(E514="男",LOOKUP($N514,[1]对照表!$Z$3:$Z$13,[1]对照表!$AA$3:$AA$13),LOOKUP($N514,[1]对照表!$Z$15:$Z$25,[1]对照表!$AA$15:$AA$25))</f>
        <v>3</v>
      </c>
      <c r="P514" s="25">
        <f>M514+O514</f>
        <v>103</v>
      </c>
      <c r="Q514" s="38">
        <v>3.46</v>
      </c>
      <c r="R514" s="32">
        <f>IF(B514="高三",IF($E514="男",LOOKUP(Q514,[1]对照表!$W$3:$W$24,[1]对照表!$X$3:$X$24),LOOKUP(Q514,[1]对照表!$W$27:$W$48,[1]对照表!$X$27:$X$48)),IF(B514="高二",IF($E514="男",LOOKUP(Q514,[1]对照表!$V$3:$V$24,[1]对照表!$X$3:$X$24),LOOKUP(Q514,[1]对照表!$V$27:$V$48,[1]对照表!$X$27:$X$48)),IF(B514="高一",IF($E514="男",LOOKUP(Q514,[1]对照表!$U$3:$U$24,[1]对照表!$X$3:$X$24),LOOKUP(Q514,[1]对照表!$U$27:$U$48,[1]对照表!$X$27:$X$48)))))</f>
        <v>80</v>
      </c>
      <c r="S514" s="33">
        <f>ROUND(IF(IF($B514="高三",MIN(IF($E514="男",$Q514-3.2,$Q514-3.2),0),IF($B514="高二",MIN(IF($E514="男",$Q514-3.25,$Q514-3.22),0),IF($B514="高一",MIN(IF($E514="男",$Q514-3.3,$Q514-3.24),0))))&lt;-0.6,IF($B514="高三",MIN(IF($E514="男",$Q514-3.2,$Q514-3.2),0),IF($B514="高二",MIN(IF($E514="男",$Q514-3.25,$Q514-3.22),0),IF($B514="高一",MIN(IF($E514="男",$Q514-3.3,$Q514-3.24),0))))+0.4,IF($B514="高三",MIN(IF($E514="男",$Q514-3.2,$Q514-3.2),0),IF($B514="高二",MIN(IF($E514="男",$Q514-3.25,$Q514-3.22),0),IF($B514="高一",MIN(IF($E514="男",$Q514-3.3,$Q514-3.24),0))))),2)</f>
        <v>0</v>
      </c>
      <c r="T514" s="23">
        <f>IF(E514="男",LOOKUP($S514,[1]对照表!$AB$3:$AB$13,[1]对照表!$AC$3:$AC$13),LOOKUP($S514,[1]对照表!$AB$15:$AB$25,[1]对照表!$AC$15:$AC$25))</f>
        <v>0</v>
      </c>
      <c r="U514" s="26">
        <f>R514+T514</f>
        <v>80</v>
      </c>
      <c r="V514" s="26">
        <f>SUM(I514,K514,M514)/3*0.3+SUM(G514,R514)/2*0.4</f>
        <v>56.2</v>
      </c>
      <c r="W514" s="27">
        <f>O514+T514</f>
        <v>3</v>
      </c>
      <c r="X514" s="28">
        <f>V514/0.7+W514</f>
        <v>83.285714285714292</v>
      </c>
      <c r="Y514" s="28">
        <f>X514</f>
        <v>83.285714285714292</v>
      </c>
      <c r="Z514" s="38"/>
    </row>
    <row r="515" spans="1:26" ht="15.6" customHeight="1" x14ac:dyDescent="0.25">
      <c r="A515" s="38">
        <v>42</v>
      </c>
      <c r="B515" s="17" t="s">
        <v>767</v>
      </c>
      <c r="C515" s="48">
        <v>213</v>
      </c>
      <c r="D515" s="49" t="s">
        <v>1016</v>
      </c>
      <c r="E515" s="48" t="s">
        <v>65</v>
      </c>
      <c r="F515" s="38">
        <v>8.7899999999999991</v>
      </c>
      <c r="G515" s="32">
        <f>IF(B515="高三",IF($E515="男",LOOKUP(F515,[1]对照表!$G$3:$G$24,[1]对照表!$H$3:$H$24),LOOKUP(F515,[1]对照表!$G$27:$G$48,[1]对照表!$H$27:$H$48)),IF(B515="高二",IF($E515="男",LOOKUP(F515,[1]对照表!$F$3:$F$24,[1]对照表!$H$3:$H$24),LOOKUP(F515,[1]对照表!$F$27:$F$48,[1]对照表!$H$27:$H$48)),IF(B515="高一",IF($E515="男",LOOKUP(F515,[1]对照表!$E$3:$E$24,[1]对照表!$H$3:$H$24),LOOKUP(F515,[1]对照表!$E$27:$E$48,[1]对照表!$H$27:$H$48)))))</f>
        <v>76</v>
      </c>
      <c r="H515" s="38">
        <v>24</v>
      </c>
      <c r="I515" s="32">
        <f>IF(B515="高三",IF($E515="男",LOOKUP(H515,[1]对照表!$K$3:$K$24,[1]对照表!$L$3:$L$24),LOOKUP(H515,[1]对照表!$K$27:$K$48,[1]对照表!$L$27:$L$48)),IF(B515="高二",IF($E515="男",LOOKUP(H515,[1]对照表!$J$3:$J$24,[1]对照表!$L$3:$L$24),LOOKUP(H515,[1]对照表!$J$27:$J$48,[1]对照表!$L$27:$L$48)),IF(B515="高一",IF($E515="男",LOOKUP(H515,[1]对照表!$I$3:$I$24,[1]对照表!$L$3:$L$24),LOOKUP(H515,[1]对照表!$I$27:$I$48,[1]对照表!$L$27:$L$48)))))</f>
        <v>95</v>
      </c>
      <c r="J515" s="38">
        <v>172</v>
      </c>
      <c r="K515" s="32">
        <f>IF(B515="高三",IF($E515="男",LOOKUP(J515,[1]对照表!$O$3:$O$24,[1]对照表!$P$3:$P$24),LOOKUP(J515,[1]对照表!$O$27:$O$48,[1]对照表!$P$27:$P$48)),IF(B515="高二",IF($E515="男",LOOKUP(J515,[1]对照表!$N$3:$N$24,[1]对照表!$P$3:$P$24),LOOKUP(J515,[1]对照表!$N$27:$N$48,[1]对照表!$P$27:$P$48)),IF(B515="高一",IF($E515="男",LOOKUP(J515,[1]对照表!$M$3:$M$24,[1]对照表!$P$3:$P$24),LOOKUP(J515,[1]对照表!$M$27:$M$48,[1]对照表!$P$27:$P$48)))))</f>
        <v>74</v>
      </c>
      <c r="L515" s="38">
        <v>47</v>
      </c>
      <c r="M515" s="32">
        <f>IF(B515="高三",IF($E515="男",LOOKUP(L515,[1]对照表!$S$3:$S$24,[1]对照表!$T$3:$T$24),LOOKUP(L515,[1]对照表!$S$27:$S$48,[1]对照表!$T$27:$T$48)),IF(B515="高二",IF($E515="男",LOOKUP(L515,[1]对照表!$R$3:$R$24,[1]对照表!$T$3:$T$24),LOOKUP(L515,[1]对照表!$R$27:$R$48,[1]对照表!$T$27:$T$48)),IF(B515="高一",IF($E515="男",LOOKUP(L515,[1]对照表!$Q$3:$Q$24,[1]对照表!$T$3:$T$24),LOOKUP(L515,[1]对照表!$Q$27:$Q$48,[1]对照表!$T$27:$T$48)))))</f>
        <v>85</v>
      </c>
      <c r="N515" s="33">
        <f>IF(B515="高三",MAX(IF(E515="男",L515-18,L515-55),0),IF(B515="高二",MAX(IF(E515="男",L515-17,L515-54),0),IF(B515="高一",MAX(IF(E515="男",L515-16,L515-53),0))))</f>
        <v>0</v>
      </c>
      <c r="O515" s="23">
        <f>IF(E515="男",LOOKUP($N515,[1]对照表!$Z$3:$Z$13,[1]对照表!$AA$3:$AA$13),LOOKUP($N515,[1]对照表!$Z$15:$Z$25,[1]对照表!$AA$15:$AA$25))</f>
        <v>0</v>
      </c>
      <c r="P515" s="25">
        <f>M515+O515</f>
        <v>85</v>
      </c>
      <c r="Q515" s="38">
        <v>3.37</v>
      </c>
      <c r="R515" s="32">
        <f>IF(B515="高三",IF($E515="男",LOOKUP(Q515,[1]对照表!$W$3:$W$24,[1]对照表!$X$3:$X$24),LOOKUP(Q515,[1]对照表!$W$27:$W$48,[1]对照表!$X$27:$X$48)),IF(B515="高二",IF($E515="男",LOOKUP(Q515,[1]对照表!$V$3:$V$24,[1]对照表!$X$3:$X$24),LOOKUP(Q515,[1]对照表!$V$27:$V$48,[1]对照表!$X$27:$X$48)),IF(B515="高一",IF($E515="男",LOOKUP(Q515,[1]对照表!$U$3:$U$24,[1]对照表!$X$3:$X$24),LOOKUP(Q515,[1]对照表!$U$27:$U$48,[1]对照表!$X$27:$X$48)))))</f>
        <v>85</v>
      </c>
      <c r="S515" s="33">
        <f>ROUND(IF(IF($B515="高三",MIN(IF($E515="男",$Q515-3.2,$Q515-3.2),0),IF($B515="高二",MIN(IF($E515="男",$Q515-3.25,$Q515-3.22),0),IF($B515="高一",MIN(IF($E515="男",$Q515-3.3,$Q515-3.24),0))))&lt;-0.6,IF($B515="高三",MIN(IF($E515="男",$Q515-3.2,$Q515-3.2),0),IF($B515="高二",MIN(IF($E515="男",$Q515-3.25,$Q515-3.22),0),IF($B515="高一",MIN(IF($E515="男",$Q515-3.3,$Q515-3.24),0))))+0.4,IF($B515="高三",MIN(IF($E515="男",$Q515-3.2,$Q515-3.2),0),IF($B515="高二",MIN(IF($E515="男",$Q515-3.25,$Q515-3.22),0),IF($B515="高一",MIN(IF($E515="男",$Q515-3.3,$Q515-3.24),0))))),2)</f>
        <v>0</v>
      </c>
      <c r="T515" s="23">
        <f>IF(E515="男",LOOKUP($S515,[1]对照表!$AB$3:$AB$13,[1]对照表!$AC$3:$AC$13),LOOKUP($S515,[1]对照表!$AB$15:$AB$25,[1]对照表!$AC$15:$AC$25))</f>
        <v>0</v>
      </c>
      <c r="U515" s="26">
        <f>R515+T515</f>
        <v>85</v>
      </c>
      <c r="V515" s="26">
        <f>SUM(I515,K515,M515)/3*0.3+SUM(G515,R515)/2*0.4</f>
        <v>57.600000000000009</v>
      </c>
      <c r="W515" s="27">
        <f>O515+T515</f>
        <v>0</v>
      </c>
      <c r="X515" s="28">
        <f>V515/0.7+W515</f>
        <v>82.285714285714306</v>
      </c>
      <c r="Y515" s="28">
        <f>X515</f>
        <v>82.285714285714306</v>
      </c>
      <c r="Z515" s="38"/>
    </row>
    <row r="516" spans="1:26" ht="15.6" x14ac:dyDescent="0.25">
      <c r="A516" s="48">
        <v>34</v>
      </c>
      <c r="B516" s="17" t="s">
        <v>767</v>
      </c>
      <c r="C516" s="48">
        <v>213</v>
      </c>
      <c r="D516" s="49" t="s">
        <v>1050</v>
      </c>
      <c r="E516" s="48" t="s">
        <v>65</v>
      </c>
      <c r="F516" s="38">
        <v>8.82</v>
      </c>
      <c r="G516" s="32">
        <f>IF(B516="高三",IF($E516="男",LOOKUP(F516,[1]对照表!$G$3:$G$24,[1]对照表!$H$3:$H$24),LOOKUP(F516,[1]对照表!$G$27:$G$48,[1]对照表!$H$27:$H$48)),IF(B516="高二",IF($E516="男",LOOKUP(F516,[1]对照表!$F$3:$F$24,[1]对照表!$H$3:$H$24),LOOKUP(F516,[1]对照表!$F$27:$F$48,[1]对照表!$H$27:$H$48)),IF(B516="高一",IF($E516="男",LOOKUP(F516,[1]对照表!$E$3:$E$24,[1]对照表!$H$3:$H$24),LOOKUP(F516,[1]对照表!$E$27:$E$48,[1]对照表!$H$27:$H$48)))))</f>
        <v>76</v>
      </c>
      <c r="H516" s="38">
        <v>20</v>
      </c>
      <c r="I516" s="32">
        <f>IF(B516="高三",IF($E516="男",LOOKUP(H516,[1]对照表!$K$3:$K$24,[1]对照表!$L$3:$L$24),LOOKUP(H516,[1]对照表!$K$27:$K$48,[1]对照表!$L$27:$L$48)),IF(B516="高二",IF($E516="男",LOOKUP(H516,[1]对照表!$J$3:$J$24,[1]对照表!$L$3:$L$24),LOOKUP(H516,[1]对照表!$J$27:$J$48,[1]对照表!$L$27:$L$48)),IF(B516="高一",IF($E516="男",LOOKUP(H516,[1]对照表!$I$3:$I$24,[1]对照表!$L$3:$L$24),LOOKUP(H516,[1]对照表!$I$27:$I$48,[1]对照表!$L$27:$L$48)))))</f>
        <v>85</v>
      </c>
      <c r="J516" s="38">
        <v>180</v>
      </c>
      <c r="K516" s="32">
        <f>IF(B516="高三",IF($E516="男",LOOKUP(J516,[1]对照表!$O$3:$O$24,[1]对照表!$P$3:$P$24),LOOKUP(J516,[1]对照表!$O$27:$O$48,[1]对照表!$P$27:$P$48)),IF(B516="高二",IF($E516="男",LOOKUP(J516,[1]对照表!$N$3:$N$24,[1]对照表!$P$3:$P$24),LOOKUP(J516,[1]对照表!$N$27:$N$48,[1]对照表!$P$27:$P$48)),IF(B516="高一",IF($E516="男",LOOKUP(J516,[1]对照表!$M$3:$M$24,[1]对照表!$P$3:$P$24),LOOKUP(J516,[1]对照表!$M$27:$M$48,[1]对照表!$P$27:$P$48)))))</f>
        <v>80</v>
      </c>
      <c r="L516" s="38">
        <v>45</v>
      </c>
      <c r="M516" s="32">
        <f>IF(B516="高三",IF($E516="男",LOOKUP(L516,[1]对照表!$S$3:$S$24,[1]对照表!$T$3:$T$24),LOOKUP(L516,[1]对照表!$S$27:$S$48,[1]对照表!$T$27:$T$48)),IF(B516="高二",IF($E516="男",LOOKUP(L516,[1]对照表!$R$3:$R$24,[1]对照表!$T$3:$T$24),LOOKUP(L516,[1]对照表!$R$27:$R$48,[1]对照表!$T$27:$T$48)),IF(B516="高一",IF($E516="男",LOOKUP(L516,[1]对照表!$Q$3:$Q$24,[1]对照表!$T$3:$T$24),LOOKUP(L516,[1]对照表!$Q$27:$Q$48,[1]对照表!$T$27:$T$48)))))</f>
        <v>80</v>
      </c>
      <c r="N516" s="33">
        <f>IF(B516="高三",MAX(IF(E516="男",L516-18,L516-55),0),IF(B516="高二",MAX(IF(E516="男",L516-17,L516-54),0),IF(B516="高一",MAX(IF(E516="男",L516-16,L516-53),0))))</f>
        <v>0</v>
      </c>
      <c r="O516" s="23">
        <f>IF(E516="男",LOOKUP($N516,[1]对照表!$Z$3:$Z$13,[1]对照表!$AA$3:$AA$13),LOOKUP($N516,[1]对照表!$Z$15:$Z$25,[1]对照表!$AA$15:$AA$25))</f>
        <v>0</v>
      </c>
      <c r="P516" s="25">
        <f>M516+O516</f>
        <v>80</v>
      </c>
      <c r="Q516" s="38">
        <v>3.4</v>
      </c>
      <c r="R516" s="32">
        <f>IF(B516="高三",IF($E516="男",LOOKUP(Q516,[1]对照表!$W$3:$W$24,[1]对照表!$X$3:$X$24),LOOKUP(Q516,[1]对照表!$W$27:$W$48,[1]对照表!$X$27:$X$48)),IF(B516="高二",IF($E516="男",LOOKUP(Q516,[1]对照表!$V$3:$V$24,[1]对照表!$X$3:$X$24),LOOKUP(Q516,[1]对照表!$V$27:$V$48,[1]对照表!$X$27:$X$48)),IF(B516="高一",IF($E516="男",LOOKUP(Q516,[1]对照表!$U$3:$U$24,[1]对照表!$X$3:$X$24),LOOKUP(Q516,[1]对照表!$U$27:$U$48,[1]对照表!$X$27:$X$48)))))</f>
        <v>85</v>
      </c>
      <c r="S516" s="33">
        <f>ROUND(IF(IF($B516="高三",MIN(IF($E516="男",$Q516-3.2,$Q516-3.2),0),IF($B516="高二",MIN(IF($E516="男",$Q516-3.25,$Q516-3.22),0),IF($B516="高一",MIN(IF($E516="男",$Q516-3.3,$Q516-3.24),0))))&lt;-0.6,IF($B516="高三",MIN(IF($E516="男",$Q516-3.2,$Q516-3.2),0),IF($B516="高二",MIN(IF($E516="男",$Q516-3.25,$Q516-3.22),0),IF($B516="高一",MIN(IF($E516="男",$Q516-3.3,$Q516-3.24),0))))+0.4,IF($B516="高三",MIN(IF($E516="男",$Q516-3.2,$Q516-3.2),0),IF($B516="高二",MIN(IF($E516="男",$Q516-3.25,$Q516-3.22),0),IF($B516="高一",MIN(IF($E516="男",$Q516-3.3,$Q516-3.24),0))))),2)</f>
        <v>0</v>
      </c>
      <c r="T516" s="23">
        <f>IF(E516="男",LOOKUP($S516,[1]对照表!$AB$3:$AB$13,[1]对照表!$AC$3:$AC$13),LOOKUP($S516,[1]对照表!$AB$15:$AB$25,[1]对照表!$AC$15:$AC$25))</f>
        <v>0</v>
      </c>
      <c r="U516" s="26">
        <f>R516+T516</f>
        <v>85</v>
      </c>
      <c r="V516" s="26">
        <f>SUM(I516,K516,M516)/3*0.3+SUM(G516,R516)/2*0.4</f>
        <v>56.7</v>
      </c>
      <c r="W516" s="27">
        <f>O516+T516</f>
        <v>0</v>
      </c>
      <c r="X516" s="28">
        <f>V516/0.7+W516</f>
        <v>81.000000000000014</v>
      </c>
      <c r="Y516" s="28">
        <f>X516</f>
        <v>81.000000000000014</v>
      </c>
      <c r="Z516" s="38"/>
    </row>
    <row r="517" spans="1:26" ht="15.6" x14ac:dyDescent="0.25">
      <c r="A517" s="38">
        <v>44</v>
      </c>
      <c r="B517" s="17" t="s">
        <v>767</v>
      </c>
      <c r="C517" s="48">
        <v>213</v>
      </c>
      <c r="D517" s="49" t="s">
        <v>1060</v>
      </c>
      <c r="E517" s="48" t="s">
        <v>65</v>
      </c>
      <c r="F517" s="38">
        <v>8.7899999999999991</v>
      </c>
      <c r="G517" s="32">
        <f>IF(B517="高三",IF($E517="男",LOOKUP(F517,[1]对照表!$G$3:$G$24,[1]对照表!$H$3:$H$24),LOOKUP(F517,[1]对照表!$G$27:$G$48,[1]对照表!$H$27:$H$48)),IF(B517="高二",IF($E517="男",LOOKUP(F517,[1]对照表!$F$3:$F$24,[1]对照表!$H$3:$H$24),LOOKUP(F517,[1]对照表!$F$27:$F$48,[1]对照表!$H$27:$H$48)),IF(B517="高一",IF($E517="男",LOOKUP(F517,[1]对照表!$E$3:$E$24,[1]对照表!$H$3:$H$24),LOOKUP(F517,[1]对照表!$E$27:$E$48,[1]对照表!$H$27:$H$48)))))</f>
        <v>76</v>
      </c>
      <c r="H517" s="38">
        <v>18.600000000000001</v>
      </c>
      <c r="I517" s="32">
        <f>IF(B517="高三",IF($E517="男",LOOKUP(H517,[1]对照表!$K$3:$K$24,[1]对照表!$L$3:$L$24),LOOKUP(H517,[1]对照表!$K$27:$K$48,[1]对照表!$L$27:$L$48)),IF(B517="高二",IF($E517="男",LOOKUP(H517,[1]对照表!$J$3:$J$24,[1]对照表!$L$3:$L$24),LOOKUP(H517,[1]对照表!$J$27:$J$48,[1]对照表!$L$27:$L$48)),IF(B517="高一",IF($E517="男",LOOKUP(H517,[1]对照表!$I$3:$I$24,[1]对照表!$L$3:$L$24),LOOKUP(H517,[1]对照表!$I$27:$I$48,[1]对照表!$L$27:$L$48)))))</f>
        <v>80</v>
      </c>
      <c r="J517" s="38">
        <v>174</v>
      </c>
      <c r="K517" s="32">
        <f>IF(B517="高三",IF($E517="男",LOOKUP(J517,[1]对照表!$O$3:$O$24,[1]对照表!$P$3:$P$24),LOOKUP(J517,[1]对照表!$O$27:$O$48,[1]对照表!$P$27:$P$48)),IF(B517="高二",IF($E517="男",LOOKUP(J517,[1]对照表!$N$3:$N$24,[1]对照表!$P$3:$P$24),LOOKUP(J517,[1]对照表!$N$27:$N$48,[1]对照表!$P$27:$P$48)),IF(B517="高一",IF($E517="男",LOOKUP(J517,[1]对照表!$M$3:$M$24,[1]对照表!$P$3:$P$24),LOOKUP(J517,[1]对照表!$M$27:$M$48,[1]对照表!$P$27:$P$48)))))</f>
        <v>76</v>
      </c>
      <c r="L517" s="38">
        <v>54</v>
      </c>
      <c r="M517" s="32">
        <f>IF(B517="高三",IF($E517="男",LOOKUP(L517,[1]对照表!$S$3:$S$24,[1]对照表!$T$3:$T$24),LOOKUP(L517,[1]对照表!$S$27:$S$48,[1]对照表!$T$27:$T$48)),IF(B517="高二",IF($E517="男",LOOKUP(L517,[1]对照表!$R$3:$R$24,[1]对照表!$T$3:$T$24),LOOKUP(L517,[1]对照表!$R$27:$R$48,[1]对照表!$T$27:$T$48)),IF(B517="高一",IF($E517="男",LOOKUP(L517,[1]对照表!$Q$3:$Q$24,[1]对照表!$T$3:$T$24),LOOKUP(L517,[1]对照表!$Q$27:$Q$48,[1]对照表!$T$27:$T$48)))))</f>
        <v>100</v>
      </c>
      <c r="N517" s="33">
        <f>IF(B517="高三",MAX(IF(E517="男",L517-18,L517-55),0),IF(B517="高二",MAX(IF(E517="男",L517-17,L517-54),0),IF(B517="高一",MAX(IF(E517="男",L517-16,L517-53),0))))</f>
        <v>0</v>
      </c>
      <c r="O517" s="23">
        <f>IF(E517="男",LOOKUP($N517,[1]对照表!$Z$3:$Z$13,[1]对照表!$AA$3:$AA$13),LOOKUP($N517,[1]对照表!$Z$15:$Z$25,[1]对照表!$AA$15:$AA$25))</f>
        <v>0</v>
      </c>
      <c r="P517" s="25">
        <f>M517+O517</f>
        <v>100</v>
      </c>
      <c r="Q517" s="38">
        <v>3.49</v>
      </c>
      <c r="R517" s="32">
        <f>IF(B517="高三",IF($E517="男",LOOKUP(Q517,[1]对照表!$W$3:$W$24,[1]对照表!$X$3:$X$24),LOOKUP(Q517,[1]对照表!$W$27:$W$48,[1]对照表!$X$27:$X$48)),IF(B517="高二",IF($E517="男",LOOKUP(Q517,[1]对照表!$V$3:$V$24,[1]对照表!$X$3:$X$24),LOOKUP(Q517,[1]对照表!$V$27:$V$48,[1]对照表!$X$27:$X$48)),IF(B517="高一",IF($E517="男",LOOKUP(Q517,[1]对照表!$U$3:$U$24,[1]对照表!$X$3:$X$24),LOOKUP(Q517,[1]对照表!$U$27:$U$48,[1]对照表!$X$27:$X$48)))))</f>
        <v>78</v>
      </c>
      <c r="S517" s="33">
        <f>ROUND(IF(IF($B517="高三",MIN(IF($E517="男",$Q517-3.2,$Q517-3.2),0),IF($B517="高二",MIN(IF($E517="男",$Q517-3.25,$Q517-3.22),0),IF($B517="高一",MIN(IF($E517="男",$Q517-3.3,$Q517-3.24),0))))&lt;-0.6,IF($B517="高三",MIN(IF($E517="男",$Q517-3.2,$Q517-3.2),0),IF($B517="高二",MIN(IF($E517="男",$Q517-3.25,$Q517-3.22),0),IF($B517="高一",MIN(IF($E517="男",$Q517-3.3,$Q517-3.24),0))))+0.4,IF($B517="高三",MIN(IF($E517="男",$Q517-3.2,$Q517-3.2),0),IF($B517="高二",MIN(IF($E517="男",$Q517-3.25,$Q517-3.22),0),IF($B517="高一",MIN(IF($E517="男",$Q517-3.3,$Q517-3.24),0))))),2)</f>
        <v>0</v>
      </c>
      <c r="T517" s="23">
        <f>IF(E517="男",LOOKUP($S517,[1]对照表!$AB$3:$AB$13,[1]对照表!$AC$3:$AC$13),LOOKUP($S517,[1]对照表!$AB$15:$AB$25,[1]对照表!$AC$15:$AC$25))</f>
        <v>0</v>
      </c>
      <c r="U517" s="26">
        <f>R517+T517</f>
        <v>78</v>
      </c>
      <c r="V517" s="26">
        <f>SUM(I517,K517,M517)/3*0.3+SUM(G517,R517)/2*0.4</f>
        <v>56.4</v>
      </c>
      <c r="W517" s="27">
        <f>O517+T517</f>
        <v>0</v>
      </c>
      <c r="X517" s="28">
        <f>V517/0.7+W517</f>
        <v>80.571428571428569</v>
      </c>
      <c r="Y517" s="28">
        <f>X517</f>
        <v>80.571428571428569</v>
      </c>
      <c r="Z517" s="38"/>
    </row>
    <row r="518" spans="1:26" ht="15.6" x14ac:dyDescent="0.25">
      <c r="A518" s="48">
        <v>8</v>
      </c>
      <c r="B518" s="17" t="s">
        <v>767</v>
      </c>
      <c r="C518" s="48">
        <v>213</v>
      </c>
      <c r="D518" s="49" t="s">
        <v>1065</v>
      </c>
      <c r="E518" s="48" t="s">
        <v>23</v>
      </c>
      <c r="F518" s="38">
        <v>7.4</v>
      </c>
      <c r="G518" s="32">
        <f>IF(B518="高三",IF($E518="男",LOOKUP(F518,[1]对照表!$G$3:$G$24,[1]对照表!$H$3:$H$24),LOOKUP(F518,[1]对照表!$G$27:$G$48,[1]对照表!$H$27:$H$48)),IF(B518="高二",IF($E518="男",LOOKUP(F518,[1]对照表!$F$3:$F$24,[1]对照表!$H$3:$H$24),LOOKUP(F518,[1]对照表!$F$27:$F$48,[1]对照表!$H$27:$H$48)),IF(B518="高一",IF($E518="男",LOOKUP(F518,[1]对照表!$E$3:$E$24,[1]对照表!$H$3:$H$24),LOOKUP(F518,[1]对照表!$E$27:$E$48,[1]对照表!$H$27:$H$48)))))</f>
        <v>80</v>
      </c>
      <c r="H518" s="38">
        <v>15</v>
      </c>
      <c r="I518" s="32">
        <f>IF(B518="高三",IF($E518="男",LOOKUP(H518,[1]对照表!$K$3:$K$24,[1]对照表!$L$3:$L$24),LOOKUP(H518,[1]对照表!$K$27:$K$48,[1]对照表!$L$27:$L$48)),IF(B518="高二",IF($E518="男",LOOKUP(H518,[1]对照表!$J$3:$J$24,[1]对照表!$L$3:$L$24),LOOKUP(H518,[1]对照表!$J$27:$J$48,[1]对照表!$L$27:$L$48)),IF(B518="高一",IF($E518="男",LOOKUP(H518,[1]对照表!$I$3:$I$24,[1]对照表!$L$3:$L$24),LOOKUP(H518,[1]对照表!$I$27:$I$48,[1]对照表!$L$27:$L$48)))))</f>
        <v>78</v>
      </c>
      <c r="J518" s="38">
        <v>270</v>
      </c>
      <c r="K518" s="32">
        <f>IF(B518="高三",IF($E518="男",LOOKUP(J518,[1]对照表!$O$3:$O$24,[1]对照表!$P$3:$P$24),LOOKUP(J518,[1]对照表!$O$27:$O$48,[1]对照表!$P$27:$P$48)),IF(B518="高二",IF($E518="男",LOOKUP(J518,[1]对照表!$N$3:$N$24,[1]对照表!$P$3:$P$24),LOOKUP(J518,[1]对照表!$N$27:$N$48,[1]对照表!$P$27:$P$48)),IF(B518="高一",IF($E518="男",LOOKUP(J518,[1]对照表!$M$3:$M$24,[1]对照表!$P$3:$P$24),LOOKUP(J518,[1]对照表!$M$27:$M$48,[1]对照表!$P$27:$P$48)))))</f>
        <v>100</v>
      </c>
      <c r="L518" s="38">
        <v>17</v>
      </c>
      <c r="M518" s="32">
        <f>IF(B518="高三",IF($E518="男",LOOKUP(L518,[1]对照表!$S$3:$S$24,[1]对照表!$T$3:$T$24),LOOKUP(L518,[1]对照表!$S$27:$S$48,[1]对照表!$T$27:$T$48)),IF(B518="高二",IF($E518="男",LOOKUP(L518,[1]对照表!$R$3:$R$24,[1]对照表!$T$3:$T$24),LOOKUP(L518,[1]对照表!$R$27:$R$48,[1]对照表!$T$27:$T$48)),IF(B518="高一",IF($E518="男",LOOKUP(L518,[1]对照表!$Q$3:$Q$24,[1]对照表!$T$3:$T$24),LOOKUP(L518,[1]对照表!$Q$27:$Q$48,[1]对照表!$T$27:$T$48)))))</f>
        <v>100</v>
      </c>
      <c r="N518" s="33">
        <f>IF(B518="高三",MAX(IF(E518="男",L518-18,L518-55),0),IF(B518="高二",MAX(IF(E518="男",L518-17,L518-54),0),IF(B518="高一",MAX(IF(E518="男",L518-16,L518-53),0))))</f>
        <v>0</v>
      </c>
      <c r="O518" s="23">
        <f>IF(E518="男",LOOKUP($N518,[1]对照表!$Z$3:$Z$13,[1]对照表!$AA$3:$AA$13),LOOKUP($N518,[1]对照表!$Z$15:$Z$25,[1]对照表!$AA$15:$AA$25))</f>
        <v>0</v>
      </c>
      <c r="P518" s="25">
        <f>M518+O518</f>
        <v>100</v>
      </c>
      <c r="Q518" s="38">
        <v>3.39</v>
      </c>
      <c r="R518" s="32">
        <f>IF(B518="高三",IF($E518="男",LOOKUP(Q518,[1]对照表!$W$3:$W$24,[1]对照表!$X$3:$X$24),LOOKUP(Q518,[1]对照表!$W$27:$W$48,[1]对照表!$X$27:$X$48)),IF(B518="高二",IF($E518="男",LOOKUP(Q518,[1]对照表!$V$3:$V$24,[1]对照表!$X$3:$X$24),LOOKUP(Q518,[1]对照表!$V$27:$V$48,[1]对照表!$X$27:$X$48)),IF(B518="高一",IF($E518="男",LOOKUP(Q518,[1]对照表!$U$3:$U$24,[1]对照表!$X$3:$X$24),LOOKUP(Q518,[1]对照表!$U$27:$U$48,[1]对照表!$X$27:$X$48)))))</f>
        <v>85</v>
      </c>
      <c r="S518" s="33">
        <f>ROUND(IF(IF($B518="高三",MIN(IF($E518="男",$Q518-3.2,$Q518-3.2),0),IF($B518="高二",MIN(IF($E518="男",$Q518-3.25,$Q518-3.22),0),IF($B518="高一",MIN(IF($E518="男",$Q518-3.3,$Q518-3.24),0))))&lt;-0.6,IF($B518="高三",MIN(IF($E518="男",$Q518-3.2,$Q518-3.2),0),IF($B518="高二",MIN(IF($E518="男",$Q518-3.25,$Q518-3.22),0),IF($B518="高一",MIN(IF($E518="男",$Q518-3.3,$Q518-3.24),0))))+0.4,IF($B518="高三",MIN(IF($E518="男",$Q518-3.2,$Q518-3.2),0),IF($B518="高二",MIN(IF($E518="男",$Q518-3.25,$Q518-3.22),0),IF($B518="高一",MIN(IF($E518="男",$Q518-3.3,$Q518-3.24),0))))),2)</f>
        <v>0</v>
      </c>
      <c r="T518" s="23">
        <f>IF(E518="男",LOOKUP($S518,[1]对照表!$AB$3:$AB$13,[1]对照表!$AC$3:$AC$13),LOOKUP($S518,[1]对照表!$AB$15:$AB$25,[1]对照表!$AC$15:$AC$25))</f>
        <v>0</v>
      </c>
      <c r="U518" s="26">
        <f>R518+T518</f>
        <v>85</v>
      </c>
      <c r="V518" s="26">
        <f>SUM(I518,K518,M518)/3*0.3+SUM(G518,R518)/2*0.4</f>
        <v>60.8</v>
      </c>
      <c r="W518" s="27">
        <f>O518+T518</f>
        <v>0</v>
      </c>
      <c r="X518" s="28">
        <f>V518/0.7+W518</f>
        <v>86.857142857142861</v>
      </c>
      <c r="Y518" s="28">
        <f>X518</f>
        <v>86.857142857142861</v>
      </c>
      <c r="Z518" s="38"/>
    </row>
    <row r="519" spans="1:26" ht="15.6" x14ac:dyDescent="0.25">
      <c r="A519" s="48">
        <v>32</v>
      </c>
      <c r="B519" s="17" t="s">
        <v>767</v>
      </c>
      <c r="C519" s="48">
        <v>213</v>
      </c>
      <c r="D519" s="49" t="s">
        <v>1085</v>
      </c>
      <c r="E519" s="48" t="s">
        <v>65</v>
      </c>
      <c r="F519" s="52">
        <v>8.5299999999999994</v>
      </c>
      <c r="G519" s="32">
        <f>IF(B519="高三",IF($E519="男",LOOKUP(F519,[1]对照表!$G$3:$G$24,[1]对照表!$H$3:$H$24),LOOKUP(F519,[1]对照表!$G$27:$G$48,[1]对照表!$H$27:$H$48)),IF(B519="高二",IF($E519="男",LOOKUP(F519,[1]对照表!$F$3:$F$24,[1]对照表!$H$3:$H$24),LOOKUP(F519,[1]对照表!$F$27:$F$48,[1]对照表!$H$27:$H$48)),IF(B519="高一",IF($E519="男",LOOKUP(F519,[1]对照表!$E$3:$E$24,[1]对照表!$H$3:$H$24),LOOKUP(F519,[1]对照表!$E$27:$E$48,[1]对照表!$H$27:$H$48)))))</f>
        <v>78</v>
      </c>
      <c r="H519" s="38">
        <v>18</v>
      </c>
      <c r="I519" s="32">
        <f>IF(B519="高三",IF($E519="男",LOOKUP(H519,[1]对照表!$K$3:$K$24,[1]对照表!$L$3:$L$24),LOOKUP(H519,[1]对照表!$K$27:$K$48,[1]对照表!$L$27:$L$48)),IF(B519="高二",IF($E519="男",LOOKUP(H519,[1]对照表!$J$3:$J$24,[1]对照表!$L$3:$L$24),LOOKUP(H519,[1]对照表!$J$27:$J$48,[1]对照表!$L$27:$L$48)),IF(B519="高一",IF($E519="男",LOOKUP(H519,[1]对照表!$I$3:$I$24,[1]对照表!$L$3:$L$24),LOOKUP(H519,[1]对照表!$I$27:$I$48,[1]对照表!$L$27:$L$48)))))</f>
        <v>80</v>
      </c>
      <c r="J519" s="38">
        <v>190</v>
      </c>
      <c r="K519" s="32">
        <f>IF(B519="高三",IF($E519="男",LOOKUP(J519,[1]对照表!$O$3:$O$24,[1]对照表!$P$3:$P$24),LOOKUP(J519,[1]对照表!$O$27:$O$48,[1]对照表!$P$27:$P$48)),IF(B519="高二",IF($E519="男",LOOKUP(J519,[1]对照表!$N$3:$N$24,[1]对照表!$P$3:$P$24),LOOKUP(J519,[1]对照表!$N$27:$N$48,[1]对照表!$P$27:$P$48)),IF(B519="高一",IF($E519="男",LOOKUP(J519,[1]对照表!$M$3:$M$24,[1]对照表!$P$3:$P$24),LOOKUP(J519,[1]对照表!$M$27:$M$48,[1]对照表!$P$27:$P$48)))))</f>
        <v>85</v>
      </c>
      <c r="L519" s="38">
        <v>49</v>
      </c>
      <c r="M519" s="32">
        <f>IF(B519="高三",IF($E519="男",LOOKUP(L519,[1]对照表!$S$3:$S$24,[1]对照表!$T$3:$T$24),LOOKUP(L519,[1]对照表!$S$27:$S$48,[1]对照表!$T$27:$T$48)),IF(B519="高二",IF($E519="男",LOOKUP(L519,[1]对照表!$R$3:$R$24,[1]对照表!$T$3:$T$24),LOOKUP(L519,[1]对照表!$R$27:$R$48,[1]对照表!$T$27:$T$48)),IF(B519="高一",IF($E519="男",LOOKUP(L519,[1]对照表!$Q$3:$Q$24,[1]对照表!$T$3:$T$24),LOOKUP(L519,[1]对照表!$Q$27:$Q$48,[1]对照表!$T$27:$T$48)))))</f>
        <v>85</v>
      </c>
      <c r="N519" s="33">
        <f>IF(B519="高三",MAX(IF(E519="男",L519-18,L519-55),0),IF(B519="高二",MAX(IF(E519="男",L519-17,L519-54),0),IF(B519="高一",MAX(IF(E519="男",L519-16,L519-53),0))))</f>
        <v>0</v>
      </c>
      <c r="O519" s="23">
        <f>IF(E519="男",LOOKUP($N519,[1]对照表!$Z$3:$Z$13,[1]对照表!$AA$3:$AA$13),LOOKUP($N519,[1]对照表!$Z$15:$Z$25,[1]对照表!$AA$15:$AA$25))</f>
        <v>0</v>
      </c>
      <c r="P519" s="25">
        <f>M519+O519</f>
        <v>85</v>
      </c>
      <c r="Q519" s="38">
        <v>3.56</v>
      </c>
      <c r="R519" s="32">
        <f>IF(B519="高三",IF($E519="男",LOOKUP(Q519,[1]对照表!$W$3:$W$24,[1]对照表!$X$3:$X$24),LOOKUP(Q519,[1]对照表!$W$27:$W$48,[1]对照表!$X$27:$X$48)),IF(B519="高二",IF($E519="男",LOOKUP(Q519,[1]对照表!$V$3:$V$24,[1]对照表!$X$3:$X$24),LOOKUP(Q519,[1]对照表!$V$27:$V$48,[1]对照表!$X$27:$X$48)),IF(B519="高一",IF($E519="男",LOOKUP(Q519,[1]对照表!$U$3:$U$24,[1]对照表!$X$3:$X$24),LOOKUP(Q519,[1]对照表!$U$27:$U$48,[1]对照表!$X$27:$X$48)))))</f>
        <v>76</v>
      </c>
      <c r="S519" s="33">
        <f>ROUND(IF(IF($B519="高三",MIN(IF($E519="男",$Q519-3.2,$Q519-3.2),0),IF($B519="高二",MIN(IF($E519="男",$Q519-3.25,$Q519-3.22),0),IF($B519="高一",MIN(IF($E519="男",$Q519-3.3,$Q519-3.24),0))))&lt;-0.6,IF($B519="高三",MIN(IF($E519="男",$Q519-3.2,$Q519-3.2),0),IF($B519="高二",MIN(IF($E519="男",$Q519-3.25,$Q519-3.22),0),IF($B519="高一",MIN(IF($E519="男",$Q519-3.3,$Q519-3.24),0))))+0.4,IF($B519="高三",MIN(IF($E519="男",$Q519-3.2,$Q519-3.2),0),IF($B519="高二",MIN(IF($E519="男",$Q519-3.25,$Q519-3.22),0),IF($B519="高一",MIN(IF($E519="男",$Q519-3.3,$Q519-3.24),0))))),2)</f>
        <v>0</v>
      </c>
      <c r="T519" s="23">
        <f>IF(E519="男",LOOKUP($S519,[1]对照表!$AB$3:$AB$13,[1]对照表!$AC$3:$AC$13),LOOKUP($S519,[1]对照表!$AB$15:$AB$25,[1]对照表!$AC$15:$AC$25))</f>
        <v>0</v>
      </c>
      <c r="U519" s="26">
        <f>R519+T519</f>
        <v>76</v>
      </c>
      <c r="V519" s="26">
        <f>SUM(I519,K519,M519)/3*0.3+SUM(G519,R519)/2*0.4</f>
        <v>55.8</v>
      </c>
      <c r="W519" s="27">
        <f>O519+T519</f>
        <v>0</v>
      </c>
      <c r="X519" s="28">
        <f>V519/0.7+W519</f>
        <v>79.714285714285708</v>
      </c>
      <c r="Y519" s="28">
        <f>X519</f>
        <v>79.714285714285708</v>
      </c>
      <c r="Z519" s="38"/>
    </row>
    <row r="520" spans="1:26" ht="15.6" x14ac:dyDescent="0.25">
      <c r="A520" s="48">
        <v>16</v>
      </c>
      <c r="B520" s="17" t="s">
        <v>767</v>
      </c>
      <c r="C520" s="48">
        <v>213</v>
      </c>
      <c r="D520" s="49" t="s">
        <v>1120</v>
      </c>
      <c r="E520" s="48" t="s">
        <v>23</v>
      </c>
      <c r="F520" s="38">
        <v>7.7</v>
      </c>
      <c r="G520" s="32">
        <f>IF(B520="高三",IF($E520="男",LOOKUP(F520,[1]对照表!$G$3:$G$24,[1]对照表!$H$3:$H$24),LOOKUP(F520,[1]对照表!$G$27:$G$48,[1]对照表!$H$27:$H$48)),IF(B520="高二",IF($E520="男",LOOKUP(F520,[1]对照表!$F$3:$F$24,[1]对照表!$H$3:$H$24),LOOKUP(F520,[1]对照表!$F$27:$F$48,[1]对照表!$H$27:$H$48)),IF(B520="高一",IF($E520="男",LOOKUP(F520,[1]对照表!$E$3:$E$24,[1]对照表!$H$3:$H$24),LOOKUP(F520,[1]对照表!$E$27:$E$48,[1]对照表!$H$27:$H$48)))))</f>
        <v>76</v>
      </c>
      <c r="H520" s="38">
        <v>22.5</v>
      </c>
      <c r="I520" s="32">
        <f>IF(B520="高三",IF($E520="男",LOOKUP(H520,[1]对照表!$K$3:$K$24,[1]对照表!$L$3:$L$24),LOOKUP(H520,[1]对照表!$K$27:$K$48,[1]对照表!$L$27:$L$48)),IF(B520="高二",IF($E520="男",LOOKUP(H520,[1]对照表!$J$3:$J$24,[1]对照表!$L$3:$L$24),LOOKUP(H520,[1]对照表!$J$27:$J$48,[1]对照表!$L$27:$L$48)),IF(B520="高一",IF($E520="男",LOOKUP(H520,[1]对照表!$I$3:$I$24,[1]对照表!$L$3:$L$24),LOOKUP(H520,[1]对照表!$I$27:$I$48,[1]对照表!$L$27:$L$48)))))</f>
        <v>95</v>
      </c>
      <c r="J520" s="38">
        <v>240</v>
      </c>
      <c r="K520" s="32">
        <f>IF(B520="高三",IF($E520="男",LOOKUP(J520,[1]对照表!$O$3:$O$24,[1]对照表!$P$3:$P$24),LOOKUP(J520,[1]对照表!$O$27:$O$48,[1]对照表!$P$27:$P$48)),IF(B520="高二",IF($E520="男",LOOKUP(J520,[1]对照表!$N$3:$N$24,[1]对照表!$P$3:$P$24),LOOKUP(J520,[1]对照表!$N$27:$N$48,[1]对照表!$P$27:$P$48)),IF(B520="高一",IF($E520="男",LOOKUP(J520,[1]对照表!$M$3:$M$24,[1]对照表!$P$3:$P$24),LOOKUP(J520,[1]对照表!$M$27:$M$48,[1]对照表!$P$27:$P$48)))))</f>
        <v>80</v>
      </c>
      <c r="L520" s="38">
        <v>19</v>
      </c>
      <c r="M520" s="32">
        <f>IF(B520="高三",IF($E520="男",LOOKUP(L520,[1]对照表!$S$3:$S$24,[1]对照表!$T$3:$T$24),LOOKUP(L520,[1]对照表!$S$27:$S$48,[1]对照表!$T$27:$T$48)),IF(B520="高二",IF($E520="男",LOOKUP(L520,[1]对照表!$R$3:$R$24,[1]对照表!$T$3:$T$24),LOOKUP(L520,[1]对照表!$R$27:$R$48,[1]对照表!$T$27:$T$48)),IF(B520="高一",IF($E520="男",LOOKUP(L520,[1]对照表!$Q$3:$Q$24,[1]对照表!$T$3:$T$24),LOOKUP(L520,[1]对照表!$Q$27:$Q$48,[1]对照表!$T$27:$T$48)))))</f>
        <v>100</v>
      </c>
      <c r="N520" s="33">
        <f>IF(B520="高三",MAX(IF(E520="男",L520-18,L520-55),0),IF(B520="高二",MAX(IF(E520="男",L520-17,L520-54),0),IF(B520="高一",MAX(IF(E520="男",L520-16,L520-53),0))))</f>
        <v>2</v>
      </c>
      <c r="O520" s="23">
        <f>IF(E520="男",LOOKUP($N520,[1]对照表!$Z$3:$Z$13,[1]对照表!$AA$3:$AA$13),LOOKUP($N520,[1]对照表!$Z$15:$Z$25,[1]对照表!$AA$15:$AA$25))</f>
        <v>2</v>
      </c>
      <c r="P520" s="25">
        <f>M520+O520</f>
        <v>102</v>
      </c>
      <c r="Q520" s="38">
        <v>3.56</v>
      </c>
      <c r="R520" s="32">
        <f>IF(B520="高三",IF($E520="男",LOOKUP(Q520,[1]对照表!$W$3:$W$24,[1]对照表!$X$3:$X$24),LOOKUP(Q520,[1]对照表!$W$27:$W$48,[1]对照表!$X$27:$X$48)),IF(B520="高二",IF($E520="男",LOOKUP(Q520,[1]对照表!$V$3:$V$24,[1]对照表!$X$3:$X$24),LOOKUP(Q520,[1]对照表!$V$27:$V$48,[1]对照表!$X$27:$X$48)),IF(B520="高一",IF($E520="男",LOOKUP(Q520,[1]对照表!$U$3:$U$24,[1]对照表!$X$3:$X$24),LOOKUP(Q520,[1]对照表!$U$27:$U$48,[1]对照表!$X$27:$X$48)))))</f>
        <v>76</v>
      </c>
      <c r="S520" s="33">
        <f>ROUND(IF(IF($B520="高三",MIN(IF($E520="男",$Q520-3.2,$Q520-3.2),0),IF($B520="高二",MIN(IF($E520="男",$Q520-3.25,$Q520-3.22),0),IF($B520="高一",MIN(IF($E520="男",$Q520-3.3,$Q520-3.24),0))))&lt;-0.6,IF($B520="高三",MIN(IF($E520="男",$Q520-3.2,$Q520-3.2),0),IF($B520="高二",MIN(IF($E520="男",$Q520-3.25,$Q520-3.22),0),IF($B520="高一",MIN(IF($E520="男",$Q520-3.3,$Q520-3.24),0))))+0.4,IF($B520="高三",MIN(IF($E520="男",$Q520-3.2,$Q520-3.2),0),IF($B520="高二",MIN(IF($E520="男",$Q520-3.25,$Q520-3.22),0),IF($B520="高一",MIN(IF($E520="男",$Q520-3.3,$Q520-3.24),0))))),2)</f>
        <v>0</v>
      </c>
      <c r="T520" s="23">
        <f>IF(E520="男",LOOKUP($S520,[1]对照表!$AB$3:$AB$13,[1]对照表!$AC$3:$AC$13),LOOKUP($S520,[1]对照表!$AB$15:$AB$25,[1]对照表!$AC$15:$AC$25))</f>
        <v>0</v>
      </c>
      <c r="U520" s="26">
        <f>R520+T520</f>
        <v>76</v>
      </c>
      <c r="V520" s="26">
        <f>SUM(I520,K520,M520)/3*0.3+SUM(G520,R520)/2*0.4</f>
        <v>57.900000000000006</v>
      </c>
      <c r="W520" s="27">
        <f>O520+T520</f>
        <v>2</v>
      </c>
      <c r="X520" s="28">
        <f>V520/0.7+W520</f>
        <v>84.714285714285722</v>
      </c>
      <c r="Y520" s="28">
        <f>X520</f>
        <v>84.714285714285722</v>
      </c>
      <c r="Z520" s="38"/>
    </row>
    <row r="521" spans="1:26" ht="15.6" x14ac:dyDescent="0.25">
      <c r="A521" s="48">
        <v>3</v>
      </c>
      <c r="B521" s="17" t="s">
        <v>767</v>
      </c>
      <c r="C521" s="48">
        <v>213</v>
      </c>
      <c r="D521" s="49" t="s">
        <v>1125</v>
      </c>
      <c r="E521" s="48" t="s">
        <v>23</v>
      </c>
      <c r="F521" s="38">
        <v>7.5</v>
      </c>
      <c r="G521" s="32">
        <f>IF(B521="高三",IF($E521="男",LOOKUP(F521,[1]对照表!$G$3:$G$24,[1]对照表!$H$3:$H$24),LOOKUP(F521,[1]对照表!$G$27:$G$48,[1]对照表!$H$27:$H$48)),IF(B521="高二",IF($E521="男",LOOKUP(F521,[1]对照表!$F$3:$F$24,[1]对照表!$H$3:$H$24),LOOKUP(F521,[1]对照表!$F$27:$F$48,[1]对照表!$H$27:$H$48)),IF(B521="高一",IF($E521="男",LOOKUP(F521,[1]对照表!$E$3:$E$24,[1]对照表!$H$3:$H$24),LOOKUP(F521,[1]对照表!$E$27:$E$48,[1]对照表!$H$27:$H$48)))))</f>
        <v>78</v>
      </c>
      <c r="H521" s="38">
        <v>10</v>
      </c>
      <c r="I521" s="32">
        <f>IF(B521="高三",IF($E521="男",LOOKUP(H521,[1]对照表!$K$3:$K$24,[1]对照表!$L$3:$L$24),LOOKUP(H521,[1]对照表!$K$27:$K$48,[1]对照表!$L$27:$L$48)),IF(B521="高二",IF($E521="男",LOOKUP(H521,[1]对照表!$J$3:$J$24,[1]对照表!$L$3:$L$24),LOOKUP(H521,[1]对照表!$J$27:$J$48,[1]对照表!$L$27:$L$48)),IF(B521="高一",IF($E521="男",LOOKUP(H521,[1]对照表!$I$3:$I$24,[1]对照表!$L$3:$L$24),LOOKUP(H521,[1]对照表!$I$27:$I$48,[1]对照表!$L$27:$L$48)))))</f>
        <v>70</v>
      </c>
      <c r="J521" s="38">
        <v>260</v>
      </c>
      <c r="K521" s="32">
        <f>IF(B521="高三",IF($E521="男",LOOKUP(J521,[1]对照表!$O$3:$O$24,[1]对照表!$P$3:$P$24),LOOKUP(J521,[1]对照表!$O$27:$O$48,[1]对照表!$P$27:$P$48)),IF(B521="高二",IF($E521="男",LOOKUP(J521,[1]对照表!$N$3:$N$24,[1]对照表!$P$3:$P$24),LOOKUP(J521,[1]对照表!$N$27:$N$48,[1]对照表!$P$27:$P$48)),IF(B521="高一",IF($E521="男",LOOKUP(J521,[1]对照表!$M$3:$M$24,[1]对照表!$P$3:$P$24),LOOKUP(J521,[1]对照表!$M$27:$M$48,[1]对照表!$P$27:$P$48)))))</f>
        <v>95</v>
      </c>
      <c r="L521" s="38">
        <v>17</v>
      </c>
      <c r="M521" s="32">
        <f>IF(B521="高三",IF($E521="男",LOOKUP(L521,[1]对照表!$S$3:$S$24,[1]对照表!$T$3:$T$24),LOOKUP(L521,[1]对照表!$S$27:$S$48,[1]对照表!$T$27:$T$48)),IF(B521="高二",IF($E521="男",LOOKUP(L521,[1]对照表!$R$3:$R$24,[1]对照表!$T$3:$T$24),LOOKUP(L521,[1]对照表!$R$27:$R$48,[1]对照表!$T$27:$T$48)),IF(B521="高一",IF($E521="男",LOOKUP(L521,[1]对照表!$Q$3:$Q$24,[1]对照表!$T$3:$T$24),LOOKUP(L521,[1]对照表!$Q$27:$Q$48,[1]对照表!$T$27:$T$48)))))</f>
        <v>100</v>
      </c>
      <c r="N521" s="33">
        <f>IF(B521="高三",MAX(IF(E521="男",L521-18,L521-55),0),IF(B521="高二",MAX(IF(E521="男",L521-17,L521-54),0),IF(B521="高一",MAX(IF(E521="男",L521-16,L521-53),0))))</f>
        <v>0</v>
      </c>
      <c r="O521" s="23">
        <f>IF(E521="男",LOOKUP($N521,[1]对照表!$Z$3:$Z$13,[1]对照表!$AA$3:$AA$13),LOOKUP($N521,[1]对照表!$Z$15:$Z$25,[1]对照表!$AA$15:$AA$25))</f>
        <v>0</v>
      </c>
      <c r="P521" s="25">
        <f>M521+O521</f>
        <v>100</v>
      </c>
      <c r="Q521" s="38">
        <v>3.4</v>
      </c>
      <c r="R521" s="32">
        <f>IF(B521="高三",IF($E521="男",LOOKUP(Q521,[1]对照表!$W$3:$W$24,[1]对照表!$X$3:$X$24),LOOKUP(Q521,[1]对照表!$W$27:$W$48,[1]对照表!$X$27:$X$48)),IF(B521="高二",IF($E521="男",LOOKUP(Q521,[1]对照表!$V$3:$V$24,[1]对照表!$X$3:$X$24),LOOKUP(Q521,[1]对照表!$V$27:$V$48,[1]对照表!$X$27:$X$48)),IF(B521="高一",IF($E521="男",LOOKUP(Q521,[1]对照表!$U$3:$U$24,[1]对照表!$X$3:$X$24),LOOKUP(Q521,[1]对照表!$U$27:$U$48,[1]对照表!$X$27:$X$48)))))</f>
        <v>85</v>
      </c>
      <c r="S521" s="33">
        <f>ROUND(IF(IF($B521="高三",MIN(IF($E521="男",$Q521-3.2,$Q521-3.2),0),IF($B521="高二",MIN(IF($E521="男",$Q521-3.25,$Q521-3.22),0),IF($B521="高一",MIN(IF($E521="男",$Q521-3.3,$Q521-3.24),0))))&lt;-0.6,IF($B521="高三",MIN(IF($E521="男",$Q521-3.2,$Q521-3.2),0),IF($B521="高二",MIN(IF($E521="男",$Q521-3.25,$Q521-3.22),0),IF($B521="高一",MIN(IF($E521="男",$Q521-3.3,$Q521-3.24),0))))+0.4,IF($B521="高三",MIN(IF($E521="男",$Q521-3.2,$Q521-3.2),0),IF($B521="高二",MIN(IF($E521="男",$Q521-3.25,$Q521-3.22),0),IF($B521="高一",MIN(IF($E521="男",$Q521-3.3,$Q521-3.24),0))))),2)</f>
        <v>0</v>
      </c>
      <c r="T521" s="23">
        <f>IF(E521="男",LOOKUP($S521,[1]对照表!$AB$3:$AB$13,[1]对照表!$AC$3:$AC$13),LOOKUP($S521,[1]对照表!$AB$15:$AB$25,[1]对照表!$AC$15:$AC$25))</f>
        <v>0</v>
      </c>
      <c r="U521" s="26">
        <f>R521+T521</f>
        <v>85</v>
      </c>
      <c r="V521" s="26">
        <f>SUM(I521,K521,M521)/3*0.3+SUM(G521,R521)/2*0.4</f>
        <v>59.099999999999994</v>
      </c>
      <c r="W521" s="27">
        <f>O521+T521</f>
        <v>0</v>
      </c>
      <c r="X521" s="28">
        <f>V521/0.7+W521</f>
        <v>84.428571428571431</v>
      </c>
      <c r="Y521" s="28">
        <f>X521</f>
        <v>84.428571428571431</v>
      </c>
      <c r="Z521" s="38"/>
    </row>
    <row r="522" spans="1:26" ht="15.6" x14ac:dyDescent="0.25">
      <c r="A522" s="38">
        <v>38</v>
      </c>
      <c r="B522" s="17" t="s">
        <v>767</v>
      </c>
      <c r="C522" s="48">
        <v>213</v>
      </c>
      <c r="D522" s="49" t="s">
        <v>1126</v>
      </c>
      <c r="E522" s="48" t="s">
        <v>65</v>
      </c>
      <c r="F522" s="52">
        <v>8.73</v>
      </c>
      <c r="G522" s="32">
        <f>IF(B522="高三",IF($E522="男",LOOKUP(F522,[1]对照表!$G$3:$G$24,[1]对照表!$H$3:$H$24),LOOKUP(F522,[1]对照表!$G$27:$G$48,[1]对照表!$H$27:$H$48)),IF(B522="高二",IF($E522="男",LOOKUP(F522,[1]对照表!$F$3:$F$24,[1]对照表!$H$3:$H$24),LOOKUP(F522,[1]对照表!$F$27:$F$48,[1]对照表!$H$27:$H$48)),IF(B522="高一",IF($E522="男",LOOKUP(F522,[1]对照表!$E$3:$E$24,[1]对照表!$H$3:$H$24),LOOKUP(F522,[1]对照表!$E$27:$E$48,[1]对照表!$H$27:$H$48)))))</f>
        <v>76</v>
      </c>
      <c r="H522" s="52">
        <v>12</v>
      </c>
      <c r="I522" s="32">
        <f>IF(B522="高三",IF($E522="男",LOOKUP(H522,[1]对照表!$K$3:$K$24,[1]对照表!$L$3:$L$24),LOOKUP(H522,[1]对照表!$K$27:$K$48,[1]对照表!$L$27:$L$48)),IF(B522="高二",IF($E522="男",LOOKUP(H522,[1]对照表!$J$3:$J$24,[1]对照表!$L$3:$L$24),LOOKUP(H522,[1]对照表!$J$27:$J$48,[1]对照表!$L$27:$L$48)),IF(B522="高一",IF($E522="男",LOOKUP(H522,[1]对照表!$I$3:$I$24,[1]对照表!$L$3:$L$24),LOOKUP(H522,[1]对照表!$I$27:$I$48,[1]对照表!$L$27:$L$48)))))</f>
        <v>70</v>
      </c>
      <c r="J522" s="52">
        <v>161</v>
      </c>
      <c r="K522" s="32">
        <f>IF(B522="高三",IF($E522="男",LOOKUP(J522,[1]对照表!$O$3:$O$24,[1]对照表!$P$3:$P$24),LOOKUP(J522,[1]对照表!$O$27:$O$48,[1]对照表!$P$27:$P$48)),IF(B522="高二",IF($E522="男",LOOKUP(J522,[1]对照表!$N$3:$N$24,[1]对照表!$P$3:$P$24),LOOKUP(J522,[1]对照表!$N$27:$N$48,[1]对照表!$P$27:$P$48)),IF(B522="高一",IF($E522="男",LOOKUP(J522,[1]对照表!$M$3:$M$24,[1]对照表!$P$3:$P$24),LOOKUP(J522,[1]对照表!$M$27:$M$48,[1]对照表!$P$27:$P$48)))))</f>
        <v>68</v>
      </c>
      <c r="L522" s="52">
        <v>57</v>
      </c>
      <c r="M522" s="32">
        <f>IF(B522="高三",IF($E522="男",LOOKUP(L522,[1]对照表!$S$3:$S$24,[1]对照表!$T$3:$T$24),LOOKUP(L522,[1]对照表!$S$27:$S$48,[1]对照表!$T$27:$T$48)),IF(B522="高二",IF($E522="男",LOOKUP(L522,[1]对照表!$R$3:$R$24,[1]对照表!$T$3:$T$24),LOOKUP(L522,[1]对照表!$R$27:$R$48,[1]对照表!$T$27:$T$48)),IF(B522="高一",IF($E522="男",LOOKUP(L522,[1]对照表!$Q$3:$Q$24,[1]对照表!$T$3:$T$24),LOOKUP(L522,[1]对照表!$Q$27:$Q$48,[1]对照表!$T$27:$T$48)))))</f>
        <v>100</v>
      </c>
      <c r="N522" s="33">
        <f>IF(B522="高三",MAX(IF(E522="男",L522-18,L522-55),0),IF(B522="高二",MAX(IF(E522="男",L522-17,L522-54),0),IF(B522="高一",MAX(IF(E522="男",L522-16,L522-53),0))))</f>
        <v>3</v>
      </c>
      <c r="O522" s="23">
        <f>IF(E522="男",LOOKUP($N522,[1]对照表!$Z$3:$Z$13,[1]对照表!$AA$3:$AA$13),LOOKUP($N522,[1]对照表!$Z$15:$Z$25,[1]对照表!$AA$15:$AA$25))</f>
        <v>1</v>
      </c>
      <c r="P522" s="25">
        <f>M522+O522</f>
        <v>101</v>
      </c>
      <c r="Q522" s="52">
        <v>3.59</v>
      </c>
      <c r="R522" s="32">
        <f>IF(B522="高三",IF($E522="男",LOOKUP(Q522,[1]对照表!$W$3:$W$24,[1]对照表!$X$3:$X$24),LOOKUP(Q522,[1]对照表!$W$27:$W$48,[1]对照表!$X$27:$X$48)),IF(B522="高二",IF($E522="男",LOOKUP(Q522,[1]对照表!$V$3:$V$24,[1]对照表!$X$3:$X$24),LOOKUP(Q522,[1]对照表!$V$27:$V$48,[1]对照表!$X$27:$X$48)),IF(B522="高一",IF($E522="男",LOOKUP(Q522,[1]对照表!$U$3:$U$24,[1]对照表!$X$3:$X$24),LOOKUP(Q522,[1]对照表!$U$27:$U$48,[1]对照表!$X$27:$X$48)))))</f>
        <v>74</v>
      </c>
      <c r="S522" s="27">
        <f>ROUND(IF(IF($B522="高三",MIN(IF($E522="男",$Q522-3.2,$Q522-3.2),0),IF($B522="高二",MIN(IF($E522="男",$Q522-3.25,$Q522-3.22),0),IF($B522="高一",MIN(IF($E522="男",$Q522-3.3,$Q522-3.24),0))))&lt;-0.6,IF($B522="高三",MIN(IF($E522="男",$Q522-3.2,$Q522-3.2),0),IF($B522="高二",MIN(IF($E522="男",$Q522-3.25,$Q522-3.22),0),IF($B522="高一",MIN(IF($E522="男",$Q522-3.3,$Q522-3.24),0))))+0.4,IF($B522="高三",MIN(IF($E522="男",$Q522-3.2,$Q522-3.2),0),IF($B522="高二",MIN(IF($E522="男",$Q522-3.25,$Q522-3.22),0),IF($B522="高一",MIN(IF($E522="男",$Q522-3.3,$Q522-3.24),0))))),2)</f>
        <v>0</v>
      </c>
      <c r="T522" s="23">
        <f>IF(E522="男",LOOKUP($S522,[1]对照表!$AB$3:$AB$13,[1]对照表!$AC$3:$AC$13),LOOKUP($S522,[1]对照表!$AB$15:$AB$25,[1]对照表!$AC$15:$AC$25))</f>
        <v>0</v>
      </c>
      <c r="U522" s="26">
        <f>R522+T522</f>
        <v>74</v>
      </c>
      <c r="V522" s="26">
        <f>SUM(I522,K522,M522)/3*0.3+SUM(G522,R522)/2*0.4</f>
        <v>53.8</v>
      </c>
      <c r="W522" s="27">
        <f>O522+T522</f>
        <v>1</v>
      </c>
      <c r="X522" s="28">
        <f>V522/0.7+W522</f>
        <v>77.857142857142861</v>
      </c>
      <c r="Y522" s="28">
        <f>X522</f>
        <v>77.857142857142861</v>
      </c>
      <c r="Z522" s="52"/>
    </row>
    <row r="523" spans="1:26" ht="15.6" customHeight="1" x14ac:dyDescent="0.25">
      <c r="A523" s="38">
        <v>41</v>
      </c>
      <c r="B523" s="17" t="s">
        <v>767</v>
      </c>
      <c r="C523" s="48">
        <v>213</v>
      </c>
      <c r="D523" s="49" t="s">
        <v>1127</v>
      </c>
      <c r="E523" s="48" t="s">
        <v>65</v>
      </c>
      <c r="F523" s="38">
        <v>8.7899999999999991</v>
      </c>
      <c r="G523" s="32">
        <f>IF(B523="高三",IF($E523="男",LOOKUP(F523,[1]对照表!$G$3:$G$24,[1]对照表!$H$3:$H$24),LOOKUP(F523,[1]对照表!$G$27:$G$48,[1]对照表!$H$27:$H$48)),IF(B523="高二",IF($E523="男",LOOKUP(F523,[1]对照表!$F$3:$F$24,[1]对照表!$H$3:$H$24),LOOKUP(F523,[1]对照表!$F$27:$F$48,[1]对照表!$H$27:$H$48)),IF(B523="高一",IF($E523="男",LOOKUP(F523,[1]对照表!$E$3:$E$24,[1]对照表!$H$3:$H$24),LOOKUP(F523,[1]对照表!$E$27:$E$48,[1]对照表!$H$27:$H$48)))))</f>
        <v>76</v>
      </c>
      <c r="H523" s="38">
        <v>15.7</v>
      </c>
      <c r="I523" s="32">
        <f>IF(B523="高三",IF($E523="男",LOOKUP(H523,[1]对照表!$K$3:$K$24,[1]对照表!$L$3:$L$24),LOOKUP(H523,[1]对照表!$K$27:$K$48,[1]对照表!$L$27:$L$48)),IF(B523="高二",IF($E523="男",LOOKUP(H523,[1]对照表!$J$3:$J$24,[1]对照表!$L$3:$L$24),LOOKUP(H523,[1]对照表!$J$27:$J$48,[1]对照表!$L$27:$L$48)),IF(B523="高一",IF($E523="男",LOOKUP(H523,[1]对照表!$I$3:$I$24,[1]对照表!$L$3:$L$24),LOOKUP(H523,[1]对照表!$I$27:$I$48,[1]对照表!$L$27:$L$48)))))</f>
        <v>76</v>
      </c>
      <c r="J523" s="38">
        <v>195</v>
      </c>
      <c r="K523" s="32">
        <f>IF(B523="高三",IF($E523="男",LOOKUP(J523,[1]对照表!$O$3:$O$24,[1]对照表!$P$3:$P$24),LOOKUP(J523,[1]对照表!$O$27:$O$48,[1]对照表!$P$27:$P$48)),IF(B523="高二",IF($E523="男",LOOKUP(J523,[1]对照表!$N$3:$N$24,[1]对照表!$P$3:$P$24),LOOKUP(J523,[1]对照表!$N$27:$N$48,[1]对照表!$P$27:$P$48)),IF(B523="高一",IF($E523="男",LOOKUP(J523,[1]对照表!$M$3:$M$24,[1]对照表!$P$3:$P$24),LOOKUP(J523,[1]对照表!$M$27:$M$48,[1]对照表!$P$27:$P$48)))))</f>
        <v>90</v>
      </c>
      <c r="L523" s="38">
        <v>56</v>
      </c>
      <c r="M523" s="32">
        <f>IF(B523="高三",IF($E523="男",LOOKUP(L523,[1]对照表!$S$3:$S$24,[1]对照表!$T$3:$T$24),LOOKUP(L523,[1]对照表!$S$27:$S$48,[1]对照表!$T$27:$T$48)),IF(B523="高二",IF($E523="男",LOOKUP(L523,[1]对照表!$R$3:$R$24,[1]对照表!$T$3:$T$24),LOOKUP(L523,[1]对照表!$R$27:$R$48,[1]对照表!$T$27:$T$48)),IF(B523="高一",IF($E523="男",LOOKUP(L523,[1]对照表!$Q$3:$Q$24,[1]对照表!$T$3:$T$24),LOOKUP(L523,[1]对照表!$Q$27:$Q$48,[1]对照表!$T$27:$T$48)))))</f>
        <v>100</v>
      </c>
      <c r="N523" s="33">
        <f>IF(B523="高三",MAX(IF(E523="男",L523-18,L523-55),0),IF(B523="高二",MAX(IF(E523="男",L523-17,L523-54),0),IF(B523="高一",MAX(IF(E523="男",L523-16,L523-53),0))))</f>
        <v>2</v>
      </c>
      <c r="O523" s="23">
        <f>IF(E523="男",LOOKUP($N523,[1]对照表!$Z$3:$Z$13,[1]对照表!$AA$3:$AA$13),LOOKUP($N523,[1]对照表!$Z$15:$Z$25,[1]对照表!$AA$15:$AA$25))</f>
        <v>1</v>
      </c>
      <c r="P523" s="25">
        <f>M523+O523</f>
        <v>101</v>
      </c>
      <c r="Q523" s="38">
        <v>4.34</v>
      </c>
      <c r="R523" s="32">
        <f>IF(B523="高三",IF($E523="男",LOOKUP(Q523,[1]对照表!$W$3:$W$24,[1]对照表!$X$3:$X$24),LOOKUP(Q523,[1]对照表!$W$27:$W$48,[1]对照表!$X$27:$X$48)),IF(B523="高二",IF($E523="男",LOOKUP(Q523,[1]对照表!$V$3:$V$24,[1]对照表!$X$3:$X$24),LOOKUP(Q523,[1]对照表!$V$27:$V$48,[1]对照表!$X$27:$X$48)),IF(B523="高一",IF($E523="男",LOOKUP(Q523,[1]对照表!$U$3:$U$24,[1]对照表!$X$3:$X$24),LOOKUP(Q523,[1]对照表!$U$27:$U$48,[1]对照表!$X$27:$X$48)))))</f>
        <v>60</v>
      </c>
      <c r="S523" s="27">
        <f>ROUND(IF(IF($B523="高三",MIN(IF($E523="男",$Q523-3.2,$Q523-3.2),0),IF($B523="高二",MIN(IF($E523="男",$Q523-3.25,$Q523-3.22),0),IF($B523="高一",MIN(IF($E523="男",$Q523-3.3,$Q523-3.24),0))))&lt;-0.6,IF($B523="高三",MIN(IF($E523="男",$Q523-3.2,$Q523-3.2),0),IF($B523="高二",MIN(IF($E523="男",$Q523-3.25,$Q523-3.22),0),IF($B523="高一",MIN(IF($E523="男",$Q523-3.3,$Q523-3.24),0))))+0.4,IF($B523="高三",MIN(IF($E523="男",$Q523-3.2,$Q523-3.2),0),IF($B523="高二",MIN(IF($E523="男",$Q523-3.25,$Q523-3.22),0),IF($B523="高一",MIN(IF($E523="男",$Q523-3.3,$Q523-3.24),0))))),2)</f>
        <v>0</v>
      </c>
      <c r="T523" s="23">
        <f>IF(E523="男",LOOKUP($S523,[1]对照表!$AB$3:$AB$13,[1]对照表!$AC$3:$AC$13),LOOKUP($S523,[1]对照表!$AB$15:$AB$25,[1]对照表!$AC$15:$AC$25))</f>
        <v>0</v>
      </c>
      <c r="U523" s="26">
        <f>R523+T523</f>
        <v>60</v>
      </c>
      <c r="V523" s="26">
        <f>SUM(I523,K523,M523)/3*0.3+SUM(G523,R523)/2*0.4</f>
        <v>53.800000000000004</v>
      </c>
      <c r="W523" s="27">
        <f>O523+T523</f>
        <v>1</v>
      </c>
      <c r="X523" s="28">
        <f>V523/0.7+W523</f>
        <v>77.857142857142861</v>
      </c>
      <c r="Y523" s="28">
        <f>X523</f>
        <v>77.857142857142861</v>
      </c>
      <c r="Z523" s="38"/>
    </row>
    <row r="524" spans="1:26" ht="15.6" x14ac:dyDescent="0.25">
      <c r="A524" s="48">
        <v>35</v>
      </c>
      <c r="B524" s="17" t="s">
        <v>767</v>
      </c>
      <c r="C524" s="48">
        <v>213</v>
      </c>
      <c r="D524" s="49" t="s">
        <v>1129</v>
      </c>
      <c r="E524" s="48" t="s">
        <v>65</v>
      </c>
      <c r="F524" s="38">
        <v>9.3000000000000007</v>
      </c>
      <c r="G524" s="32">
        <f>IF(B524="高三",IF($E524="男",LOOKUP(F524,[1]对照表!$G$3:$G$24,[1]对照表!$H$3:$H$24),LOOKUP(F524,[1]对照表!$G$27:$G$48,[1]对照表!$H$27:$H$48)),IF(B524="高二",IF($E524="男",LOOKUP(F524,[1]对照表!$F$3:$F$24,[1]对照表!$H$3:$H$24),LOOKUP(F524,[1]对照表!$F$27:$F$48,[1]对照表!$H$27:$H$48)),IF(B524="高一",IF($E524="男",LOOKUP(F524,[1]对照表!$E$3:$E$24,[1]对照表!$H$3:$H$24),LOOKUP(F524,[1]对照表!$E$27:$E$48,[1]对照表!$H$27:$H$48)))))</f>
        <v>72</v>
      </c>
      <c r="H524" s="38">
        <v>23.3</v>
      </c>
      <c r="I524" s="32">
        <f>IF(B524="高三",IF($E524="男",LOOKUP(H524,[1]对照表!$K$3:$K$24,[1]对照表!$L$3:$L$24),LOOKUP(H524,[1]对照表!$K$27:$K$48,[1]对照表!$L$27:$L$48)),IF(B524="高二",IF($E524="男",LOOKUP(H524,[1]对照表!$J$3:$J$24,[1]对照表!$L$3:$L$24),LOOKUP(H524,[1]对照表!$J$27:$J$48,[1]对照表!$L$27:$L$48)),IF(B524="高一",IF($E524="男",LOOKUP(H524,[1]对照表!$I$3:$I$24,[1]对照表!$L$3:$L$24),LOOKUP(H524,[1]对照表!$I$27:$I$48,[1]对照表!$L$27:$L$48)))))</f>
        <v>95</v>
      </c>
      <c r="J524" s="38">
        <v>162</v>
      </c>
      <c r="K524" s="32">
        <f>IF(B524="高三",IF($E524="男",LOOKUP(J524,[1]对照表!$O$3:$O$24,[1]对照表!$P$3:$P$24),LOOKUP(J524,[1]对照表!$O$27:$O$48,[1]对照表!$P$27:$P$48)),IF(B524="高二",IF($E524="男",LOOKUP(J524,[1]对照表!$N$3:$N$24,[1]对照表!$P$3:$P$24),LOOKUP(J524,[1]对照表!$N$27:$N$48,[1]对照表!$P$27:$P$48)),IF(B524="高一",IF($E524="男",LOOKUP(J524,[1]对照表!$M$3:$M$24,[1]对照表!$P$3:$P$24),LOOKUP(J524,[1]对照表!$M$27:$M$48,[1]对照表!$P$27:$P$48)))))</f>
        <v>68</v>
      </c>
      <c r="L524" s="38">
        <v>45</v>
      </c>
      <c r="M524" s="32">
        <f>IF(B524="高三",IF($E524="男",LOOKUP(L524,[1]对照表!$S$3:$S$24,[1]对照表!$T$3:$T$24),LOOKUP(L524,[1]对照表!$S$27:$S$48,[1]对照表!$T$27:$T$48)),IF(B524="高二",IF($E524="男",LOOKUP(L524,[1]对照表!$R$3:$R$24,[1]对照表!$T$3:$T$24),LOOKUP(L524,[1]对照表!$R$27:$R$48,[1]对照表!$T$27:$T$48)),IF(B524="高一",IF($E524="男",LOOKUP(L524,[1]对照表!$Q$3:$Q$24,[1]对照表!$T$3:$T$24),LOOKUP(L524,[1]对照表!$Q$27:$Q$48,[1]对照表!$T$27:$T$48)))))</f>
        <v>80</v>
      </c>
      <c r="N524" s="33">
        <f>IF(B524="高三",MAX(IF(E524="男",L524-18,L524-55),0),IF(B524="高二",MAX(IF(E524="男",L524-17,L524-54),0),IF(B524="高一",MAX(IF(E524="男",L524-16,L524-53),0))))</f>
        <v>0</v>
      </c>
      <c r="O524" s="23">
        <f>IF(E524="男",LOOKUP($N524,[1]对照表!$Z$3:$Z$13,[1]对照表!$AA$3:$AA$13),LOOKUP($N524,[1]对照表!$Z$15:$Z$25,[1]对照表!$AA$15:$AA$25))</f>
        <v>0</v>
      </c>
      <c r="P524" s="25">
        <f>M524+O524</f>
        <v>80</v>
      </c>
      <c r="Q524" s="38">
        <v>3.52</v>
      </c>
      <c r="R524" s="32">
        <f>IF(B524="高三",IF($E524="男",LOOKUP(Q524,[1]对照表!$W$3:$W$24,[1]对照表!$X$3:$X$24),LOOKUP(Q524,[1]对照表!$W$27:$W$48,[1]对照表!$X$27:$X$48)),IF(B524="高二",IF($E524="男",LOOKUP(Q524,[1]对照表!$V$3:$V$24,[1]对照表!$X$3:$X$24),LOOKUP(Q524,[1]对照表!$V$27:$V$48,[1]对照表!$X$27:$X$48)),IF(B524="高一",IF($E524="男",LOOKUP(Q524,[1]对照表!$U$3:$U$24,[1]对照表!$X$3:$X$24),LOOKUP(Q524,[1]对照表!$U$27:$U$48,[1]对照表!$X$27:$X$48)))))</f>
        <v>78</v>
      </c>
      <c r="S524" s="33">
        <f>ROUND(IF(IF($B524="高三",MIN(IF($E524="男",$Q524-3.2,$Q524-3.2),0),IF($B524="高二",MIN(IF($E524="男",$Q524-3.25,$Q524-3.22),0),IF($B524="高一",MIN(IF($E524="男",$Q524-3.3,$Q524-3.24),0))))&lt;-0.6,IF($B524="高三",MIN(IF($E524="男",$Q524-3.2,$Q524-3.2),0),IF($B524="高二",MIN(IF($E524="男",$Q524-3.25,$Q524-3.22),0),IF($B524="高一",MIN(IF($E524="男",$Q524-3.3,$Q524-3.24),0))))+0.4,IF($B524="高三",MIN(IF($E524="男",$Q524-3.2,$Q524-3.2),0),IF($B524="高二",MIN(IF($E524="男",$Q524-3.25,$Q524-3.22),0),IF($B524="高一",MIN(IF($E524="男",$Q524-3.3,$Q524-3.24),0))))),2)</f>
        <v>0</v>
      </c>
      <c r="T524" s="23">
        <f>IF(E524="男",LOOKUP($S524,[1]对照表!$AB$3:$AB$13,[1]对照表!$AC$3:$AC$13),LOOKUP($S524,[1]对照表!$AB$15:$AB$25,[1]对照表!$AC$15:$AC$25))</f>
        <v>0</v>
      </c>
      <c r="U524" s="26">
        <f>R524+T524</f>
        <v>78</v>
      </c>
      <c r="V524" s="26">
        <f>SUM(I524,K524,M524)/3*0.3+SUM(G524,R524)/2*0.4</f>
        <v>54.3</v>
      </c>
      <c r="W524" s="27">
        <f>O524+T524</f>
        <v>0</v>
      </c>
      <c r="X524" s="28">
        <f>V524/0.7+W524</f>
        <v>77.571428571428569</v>
      </c>
      <c r="Y524" s="28">
        <f>X524</f>
        <v>77.571428571428569</v>
      </c>
      <c r="Z524" s="38"/>
    </row>
    <row r="525" spans="1:26" ht="15.6" customHeight="1" x14ac:dyDescent="0.25">
      <c r="A525" s="48">
        <v>29</v>
      </c>
      <c r="B525" s="17" t="s">
        <v>767</v>
      </c>
      <c r="C525" s="48">
        <v>213</v>
      </c>
      <c r="D525" s="49" t="s">
        <v>1132</v>
      </c>
      <c r="E525" s="48" t="s">
        <v>65</v>
      </c>
      <c r="F525" s="38">
        <v>8.8699999999999992</v>
      </c>
      <c r="G525" s="32">
        <f>IF(B525="高三",IF($E525="男",LOOKUP(F525,[1]对照表!$G$3:$G$24,[1]对照表!$H$3:$H$24),LOOKUP(F525,[1]对照表!$G$27:$G$48,[1]对照表!$H$27:$H$48)),IF(B525="高二",IF($E525="男",LOOKUP(F525,[1]对照表!$F$3:$F$24,[1]对照表!$H$3:$H$24),LOOKUP(F525,[1]对照表!$F$27:$F$48,[1]对照表!$H$27:$H$48)),IF(B525="高一",IF($E525="男",LOOKUP(F525,[1]对照表!$E$3:$E$24,[1]对照表!$H$3:$H$24),LOOKUP(F525,[1]对照表!$E$27:$E$48,[1]对照表!$H$27:$H$48)))))</f>
        <v>76</v>
      </c>
      <c r="H525" s="38">
        <v>5.4</v>
      </c>
      <c r="I525" s="32">
        <f>IF(B525="高三",IF($E525="男",LOOKUP(H525,[1]对照表!$K$3:$K$24,[1]对照表!$L$3:$L$24),LOOKUP(H525,[1]对照表!$K$27:$K$48,[1]对照表!$L$27:$L$48)),IF(B525="高二",IF($E525="男",LOOKUP(H525,[1]对照表!$J$3:$J$24,[1]对照表!$L$3:$L$24),LOOKUP(H525,[1]对照表!$J$27:$J$48,[1]对照表!$L$27:$L$48)),IF(B525="高一",IF($E525="男",LOOKUP(H525,[1]对照表!$I$3:$I$24,[1]对照表!$L$3:$L$24),LOOKUP(H525,[1]对照表!$I$27:$I$48,[1]对照表!$L$27:$L$48)))))</f>
        <v>60</v>
      </c>
      <c r="J525" s="38">
        <v>165</v>
      </c>
      <c r="K525" s="32">
        <f>IF(B525="高三",IF($E525="男",LOOKUP(J525,[1]对照表!$O$3:$O$24,[1]对照表!$P$3:$P$24),LOOKUP(J525,[1]对照表!$O$27:$O$48,[1]对照表!$P$27:$P$48)),IF(B525="高二",IF($E525="男",LOOKUP(J525,[1]对照表!$N$3:$N$24,[1]对照表!$P$3:$P$24),LOOKUP(J525,[1]对照表!$N$27:$N$48,[1]对照表!$P$27:$P$48)),IF(B525="高一",IF($E525="男",LOOKUP(J525,[1]对照表!$M$3:$M$24,[1]对照表!$P$3:$P$24),LOOKUP(J525,[1]对照表!$M$27:$M$48,[1]对照表!$P$27:$P$48)))))</f>
        <v>70</v>
      </c>
      <c r="L525" s="38">
        <v>54</v>
      </c>
      <c r="M525" s="32">
        <f>IF(B525="高三",IF($E525="男",LOOKUP(L525,[1]对照表!$S$3:$S$24,[1]对照表!$T$3:$T$24),LOOKUP(L525,[1]对照表!$S$27:$S$48,[1]对照表!$T$27:$T$48)),IF(B525="高二",IF($E525="男",LOOKUP(L525,[1]对照表!$R$3:$R$24,[1]对照表!$T$3:$T$24),LOOKUP(L525,[1]对照表!$R$27:$R$48,[1]对照表!$T$27:$T$48)),IF(B525="高一",IF($E525="男",LOOKUP(L525,[1]对照表!$Q$3:$Q$24,[1]对照表!$T$3:$T$24),LOOKUP(L525,[1]对照表!$Q$27:$Q$48,[1]对照表!$T$27:$T$48)))))</f>
        <v>100</v>
      </c>
      <c r="N525" s="33">
        <f>IF(B525="高三",MAX(IF(E525="男",L525-18,L525-55),0),IF(B525="高二",MAX(IF(E525="男",L525-17,L525-54),0),IF(B525="高一",MAX(IF(E525="男",L525-16,L525-53),0))))</f>
        <v>0</v>
      </c>
      <c r="O525" s="23">
        <f>IF(E525="男",LOOKUP($N525,[1]对照表!$Z$3:$Z$13,[1]对照表!$AA$3:$AA$13),LOOKUP($N525,[1]对照表!$Z$15:$Z$25,[1]对照表!$AA$15:$AA$25))</f>
        <v>0</v>
      </c>
      <c r="P525" s="25">
        <f>M525+O525</f>
        <v>100</v>
      </c>
      <c r="Q525" s="38">
        <v>3.43</v>
      </c>
      <c r="R525" s="32">
        <f>IF(B525="高三",IF($E525="男",LOOKUP(Q525,[1]对照表!$W$3:$W$24,[1]对照表!$X$3:$X$24),LOOKUP(Q525,[1]对照表!$W$27:$W$48,[1]对照表!$X$27:$X$48)),IF(B525="高二",IF($E525="男",LOOKUP(Q525,[1]对照表!$V$3:$V$24,[1]对照表!$X$3:$X$24),LOOKUP(Q525,[1]对照表!$V$27:$V$48,[1]对照表!$X$27:$X$48)),IF(B525="高一",IF($E525="男",LOOKUP(Q525,[1]对照表!$U$3:$U$24,[1]对照表!$X$3:$X$24),LOOKUP(Q525,[1]对照表!$U$27:$U$48,[1]对照表!$X$27:$X$48)))))</f>
        <v>80</v>
      </c>
      <c r="S525" s="27">
        <f>ROUND(IF(IF($B525="高三",MIN(IF($E525="男",$Q525-3.2,$Q525-3.2),0),IF($B525="高二",MIN(IF($E525="男",$Q525-3.25,$Q525-3.22),0),IF($B525="高一",MIN(IF($E525="男",$Q525-3.3,$Q525-3.24),0))))&lt;-0.6,IF($B525="高三",MIN(IF($E525="男",$Q525-3.2,$Q525-3.2),0),IF($B525="高二",MIN(IF($E525="男",$Q525-3.25,$Q525-3.22),0),IF($B525="高一",MIN(IF($E525="男",$Q525-3.3,$Q525-3.24),0))))+0.4,IF($B525="高三",MIN(IF($E525="男",$Q525-3.2,$Q525-3.2),0),IF($B525="高二",MIN(IF($E525="男",$Q525-3.25,$Q525-3.22),0),IF($B525="高一",MIN(IF($E525="男",$Q525-3.3,$Q525-3.24),0))))),2)</f>
        <v>0</v>
      </c>
      <c r="T525" s="23">
        <f>IF(E525="男",LOOKUP($S525,[1]对照表!$AB$3:$AB$13,[1]对照表!$AC$3:$AC$13),LOOKUP($S525,[1]对照表!$AB$15:$AB$25,[1]对照表!$AC$15:$AC$25))</f>
        <v>0</v>
      </c>
      <c r="U525" s="26">
        <f>R525+T525</f>
        <v>80</v>
      </c>
      <c r="V525" s="26">
        <f>SUM(I525,K525,M525)/3*0.3+SUM(G525,R525)/2*0.4</f>
        <v>54.2</v>
      </c>
      <c r="W525" s="27">
        <f>O525+T525</f>
        <v>0</v>
      </c>
      <c r="X525" s="28">
        <f>V525/0.7+W525</f>
        <v>77.428571428571431</v>
      </c>
      <c r="Y525" s="28">
        <f>X525</f>
        <v>77.428571428571431</v>
      </c>
      <c r="Z525" s="38"/>
    </row>
    <row r="526" spans="1:26" ht="15.6" x14ac:dyDescent="0.25">
      <c r="A526" s="48">
        <v>9</v>
      </c>
      <c r="B526" s="17" t="s">
        <v>767</v>
      </c>
      <c r="C526" s="48">
        <v>213</v>
      </c>
      <c r="D526" s="49" t="s">
        <v>1156</v>
      </c>
      <c r="E526" s="48" t="s">
        <v>23</v>
      </c>
      <c r="F526" s="52">
        <v>7.1</v>
      </c>
      <c r="G526" s="32">
        <f>IF(B526="高三",IF($E526="男",LOOKUP(F526,[1]对照表!$G$3:$G$24,[1]对照表!$H$3:$H$24),LOOKUP(F526,[1]对照表!$G$27:$G$48,[1]对照表!$H$27:$H$48)),IF(B526="高二",IF($E526="男",LOOKUP(F526,[1]对照表!$F$3:$F$24,[1]对照表!$H$3:$H$24),LOOKUP(F526,[1]对照表!$F$27:$F$48,[1]对照表!$H$27:$H$48)),IF(B526="高一",IF($E526="男",LOOKUP(F526,[1]对照表!$E$3:$E$24,[1]对照表!$H$3:$H$24),LOOKUP(F526,[1]对照表!$E$27:$E$48,[1]对照表!$H$27:$H$48)))))</f>
        <v>95</v>
      </c>
      <c r="H526" s="52">
        <v>14.5</v>
      </c>
      <c r="I526" s="32">
        <f>IF(B526="高三",IF($E526="男",LOOKUP(H526,[1]对照表!$K$3:$K$24,[1]对照表!$L$3:$L$24),LOOKUP(H526,[1]对照表!$K$27:$K$48,[1]对照表!$L$27:$L$48)),IF(B526="高二",IF($E526="男",LOOKUP(H526,[1]对照表!$J$3:$J$24,[1]对照表!$L$3:$L$24),LOOKUP(H526,[1]对照表!$J$27:$J$48,[1]对照表!$L$27:$L$48)),IF(B526="高一",IF($E526="男",LOOKUP(H526,[1]对照表!$I$3:$I$24,[1]对照表!$L$3:$L$24),LOOKUP(H526,[1]对照表!$I$27:$I$48,[1]对照表!$L$27:$L$48)))))</f>
        <v>76</v>
      </c>
      <c r="J526" s="52">
        <v>245</v>
      </c>
      <c r="K526" s="32">
        <f>IF(B526="高三",IF($E526="男",LOOKUP(J526,[1]对照表!$O$3:$O$24,[1]对照表!$P$3:$P$24),LOOKUP(J526,[1]对照表!$O$27:$O$48,[1]对照表!$P$27:$P$48)),IF(B526="高二",IF($E526="男",LOOKUP(J526,[1]对照表!$N$3:$N$24,[1]对照表!$P$3:$P$24),LOOKUP(J526,[1]对照表!$N$27:$N$48,[1]对照表!$P$27:$P$48)),IF(B526="高一",IF($E526="男",LOOKUP(J526,[1]对照表!$M$3:$M$24,[1]对照表!$P$3:$P$24),LOOKUP(J526,[1]对照表!$M$27:$M$48,[1]对照表!$P$27:$P$48)))))</f>
        <v>80</v>
      </c>
      <c r="L526" s="52">
        <v>14</v>
      </c>
      <c r="M526" s="32">
        <f>IF(B526="高三",IF($E526="男",LOOKUP(L526,[1]对照表!$S$3:$S$24,[1]对照表!$T$3:$T$24),LOOKUP(L526,[1]对照表!$S$27:$S$48,[1]对照表!$T$27:$T$48)),IF(B526="高二",IF($E526="男",LOOKUP(L526,[1]对照表!$R$3:$R$24,[1]对照表!$T$3:$T$24),LOOKUP(L526,[1]对照表!$R$27:$R$48,[1]对照表!$T$27:$T$48)),IF(B526="高一",IF($E526="男",LOOKUP(L526,[1]对照表!$Q$3:$Q$24,[1]对照表!$T$3:$T$24),LOOKUP(L526,[1]对照表!$Q$27:$Q$48,[1]对照表!$T$27:$T$48)))))</f>
        <v>85</v>
      </c>
      <c r="N526" s="33">
        <f>IF(B526="高三",MAX(IF(E526="男",L526-18,L526-55),0),IF(B526="高二",MAX(IF(E526="男",L526-17,L526-54),0),IF(B526="高一",MAX(IF(E526="男",L526-16,L526-53),0))))</f>
        <v>0</v>
      </c>
      <c r="O526" s="23">
        <f>IF(E526="男",LOOKUP($N526,[1]对照表!$Z$3:$Z$13,[1]对照表!$AA$3:$AA$13),LOOKUP($N526,[1]对照表!$Z$15:$Z$25,[1]对照表!$AA$15:$AA$25))</f>
        <v>0</v>
      </c>
      <c r="P526" s="25">
        <f>M526+O526</f>
        <v>85</v>
      </c>
      <c r="Q526" s="52">
        <v>3.56</v>
      </c>
      <c r="R526" s="32">
        <f>IF(B526="高三",IF($E526="男",LOOKUP(Q526,[1]对照表!$W$3:$W$24,[1]对照表!$X$3:$X$24),LOOKUP(Q526,[1]对照表!$W$27:$W$48,[1]对照表!$X$27:$X$48)),IF(B526="高二",IF($E526="男",LOOKUP(Q526,[1]对照表!$V$3:$V$24,[1]对照表!$X$3:$X$24),LOOKUP(Q526,[1]对照表!$V$27:$V$48,[1]对照表!$X$27:$X$48)),IF(B526="高一",IF($E526="男",LOOKUP(Q526,[1]对照表!$U$3:$U$24,[1]对照表!$X$3:$X$24),LOOKUP(Q526,[1]对照表!$U$27:$U$48,[1]对照表!$X$27:$X$48)))))</f>
        <v>76</v>
      </c>
      <c r="S526" s="33">
        <f>ROUND(IF(IF($B526="高三",MIN(IF($E526="男",$Q526-3.2,$Q526-3.2),0),IF($B526="高二",MIN(IF($E526="男",$Q526-3.25,$Q526-3.22),0),IF($B526="高一",MIN(IF($E526="男",$Q526-3.3,$Q526-3.24),0))))&lt;-0.6,IF($B526="高三",MIN(IF($E526="男",$Q526-3.2,$Q526-3.2),0),IF($B526="高二",MIN(IF($E526="男",$Q526-3.25,$Q526-3.22),0),IF($B526="高一",MIN(IF($E526="男",$Q526-3.3,$Q526-3.24),0))))+0.4,IF($B526="高三",MIN(IF($E526="男",$Q526-3.2,$Q526-3.2),0),IF($B526="高二",MIN(IF($E526="男",$Q526-3.25,$Q526-3.22),0),IF($B526="高一",MIN(IF($E526="男",$Q526-3.3,$Q526-3.24),0))))),2)</f>
        <v>0</v>
      </c>
      <c r="T526" s="23">
        <f>IF(E526="男",LOOKUP($S526,[1]对照表!$AB$3:$AB$13,[1]对照表!$AC$3:$AC$13),LOOKUP($S526,[1]对照表!$AB$15:$AB$25,[1]对照表!$AC$15:$AC$25))</f>
        <v>0</v>
      </c>
      <c r="U526" s="26">
        <f>R526+T526</f>
        <v>76</v>
      </c>
      <c r="V526" s="26">
        <f>SUM(I526,K526,M526)/3*0.3+SUM(G526,R526)/2*0.4</f>
        <v>58.3</v>
      </c>
      <c r="W526" s="27">
        <f>O526+T526</f>
        <v>0</v>
      </c>
      <c r="X526" s="28">
        <f>V526/0.7+W526</f>
        <v>83.285714285714292</v>
      </c>
      <c r="Y526" s="28">
        <f>X526</f>
        <v>83.285714285714292</v>
      </c>
      <c r="Z526" s="52"/>
    </row>
    <row r="527" spans="1:26" ht="15.6" x14ac:dyDescent="0.25">
      <c r="A527" s="48">
        <v>13</v>
      </c>
      <c r="B527" s="17" t="s">
        <v>767</v>
      </c>
      <c r="C527" s="48">
        <v>213</v>
      </c>
      <c r="D527" s="49" t="s">
        <v>1172</v>
      </c>
      <c r="E527" s="48" t="s">
        <v>23</v>
      </c>
      <c r="F527" s="38">
        <v>7.3</v>
      </c>
      <c r="G527" s="32">
        <f>IF(B527="高三",IF($E527="男",LOOKUP(F527,[1]对照表!$G$3:$G$24,[1]对照表!$H$3:$H$24),LOOKUP(F527,[1]对照表!$G$27:$G$48,[1]对照表!$H$27:$H$48)),IF(B527="高二",IF($E527="男",LOOKUP(F527,[1]对照表!$F$3:$F$24,[1]对照表!$H$3:$H$24),LOOKUP(F527,[1]对照表!$F$27:$F$48,[1]对照表!$H$27:$H$48)),IF(B527="高一",IF($E527="男",LOOKUP(F527,[1]对照表!$E$3:$E$24,[1]对照表!$H$3:$H$24),LOOKUP(F527,[1]对照表!$E$27:$E$48,[1]对照表!$H$27:$H$48)))))</f>
        <v>85</v>
      </c>
      <c r="H527" s="38">
        <v>22</v>
      </c>
      <c r="I527" s="32">
        <f>IF(B527="高三",IF($E527="男",LOOKUP(H527,[1]对照表!$K$3:$K$24,[1]对照表!$L$3:$L$24),LOOKUP(H527,[1]对照表!$K$27:$K$48,[1]对照表!$L$27:$L$48)),IF(B527="高二",IF($E527="男",LOOKUP(H527,[1]对照表!$J$3:$J$24,[1]对照表!$L$3:$L$24),LOOKUP(H527,[1]对照表!$J$27:$J$48,[1]对照表!$L$27:$L$48)),IF(B527="高一",IF($E527="男",LOOKUP(H527,[1]对照表!$I$3:$I$24,[1]对照表!$L$3:$L$24),LOOKUP(H527,[1]对照表!$I$27:$I$48,[1]对照表!$L$27:$L$48)))))</f>
        <v>90</v>
      </c>
      <c r="J527" s="38">
        <v>240</v>
      </c>
      <c r="K527" s="32">
        <f>IF(B527="高三",IF($E527="男",LOOKUP(J527,[1]对照表!$O$3:$O$24,[1]对照表!$P$3:$P$24),LOOKUP(J527,[1]对照表!$O$27:$O$48,[1]对照表!$P$27:$P$48)),IF(B527="高二",IF($E527="男",LOOKUP(J527,[1]对照表!$N$3:$N$24,[1]对照表!$P$3:$P$24),LOOKUP(J527,[1]对照表!$N$27:$N$48,[1]对照表!$P$27:$P$48)),IF(B527="高一",IF($E527="男",LOOKUP(J527,[1]对照表!$M$3:$M$24,[1]对照表!$P$3:$P$24),LOOKUP(J527,[1]对照表!$M$27:$M$48,[1]对照表!$P$27:$P$48)))))</f>
        <v>80</v>
      </c>
      <c r="L527" s="38">
        <v>10</v>
      </c>
      <c r="M527" s="32">
        <f>IF(B527="高三",IF($E527="男",LOOKUP(L527,[1]对照表!$S$3:$S$24,[1]对照表!$T$3:$T$24),LOOKUP(L527,[1]对照表!$S$27:$S$48,[1]对照表!$T$27:$T$48)),IF(B527="高二",IF($E527="男",LOOKUP(L527,[1]对照表!$R$3:$R$24,[1]对照表!$T$3:$T$24),LOOKUP(L527,[1]对照表!$R$27:$R$48,[1]对照表!$T$27:$T$48)),IF(B527="高一",IF($E527="男",LOOKUP(L527,[1]对照表!$Q$3:$Q$24,[1]对照表!$T$3:$T$24),LOOKUP(L527,[1]对照表!$Q$27:$Q$48,[1]对照表!$T$27:$T$48)))))</f>
        <v>68</v>
      </c>
      <c r="N527" s="33">
        <f>IF(B527="高三",MAX(IF(E527="男",L527-18,L527-55),0),IF(B527="高二",MAX(IF(E527="男",L527-17,L527-54),0),IF(B527="高一",MAX(IF(E527="男",L527-16,L527-53),0))))</f>
        <v>0</v>
      </c>
      <c r="O527" s="23">
        <f>IF(E527="男",LOOKUP($N527,[1]对照表!$Z$3:$Z$13,[1]对照表!$AA$3:$AA$13),LOOKUP($N527,[1]对照表!$Z$15:$Z$25,[1]对照表!$AA$15:$AA$25))</f>
        <v>0</v>
      </c>
      <c r="P527" s="25">
        <f>M527+O527</f>
        <v>68</v>
      </c>
      <c r="Q527" s="38">
        <v>3.42</v>
      </c>
      <c r="R527" s="32">
        <f>IF(B527="高三",IF($E527="男",LOOKUP(Q527,[1]对照表!$W$3:$W$24,[1]对照表!$X$3:$X$24),LOOKUP(Q527,[1]对照表!$W$27:$W$48,[1]对照表!$X$27:$X$48)),IF(B527="高二",IF($E527="男",LOOKUP(Q527,[1]对照表!$V$3:$V$24,[1]对照表!$X$3:$X$24),LOOKUP(Q527,[1]对照表!$V$27:$V$48,[1]对照表!$X$27:$X$48)),IF(B527="高一",IF($E527="男",LOOKUP(Q527,[1]对照表!$U$3:$U$24,[1]对照表!$X$3:$X$24),LOOKUP(Q527,[1]对照表!$U$27:$U$48,[1]对照表!$X$27:$X$48)))))</f>
        <v>85</v>
      </c>
      <c r="S527" s="33">
        <f>ROUND(IF(IF($B527="高三",MIN(IF($E527="男",$Q527-3.2,$Q527-3.2),0),IF($B527="高二",MIN(IF($E527="男",$Q527-3.25,$Q527-3.22),0),IF($B527="高一",MIN(IF($E527="男",$Q527-3.3,$Q527-3.24),0))))&lt;-0.6,IF($B527="高三",MIN(IF($E527="男",$Q527-3.2,$Q527-3.2),0),IF($B527="高二",MIN(IF($E527="男",$Q527-3.25,$Q527-3.22),0),IF($B527="高一",MIN(IF($E527="男",$Q527-3.3,$Q527-3.24),0))))+0.4,IF($B527="高三",MIN(IF($E527="男",$Q527-3.2,$Q527-3.2),0),IF($B527="高二",MIN(IF($E527="男",$Q527-3.25,$Q527-3.22),0),IF($B527="高一",MIN(IF($E527="男",$Q527-3.3,$Q527-3.24),0))))),2)</f>
        <v>0</v>
      </c>
      <c r="T527" s="23">
        <f>IF(E527="男",LOOKUP($S527,[1]对照表!$AB$3:$AB$13,[1]对照表!$AC$3:$AC$13),LOOKUP($S527,[1]对照表!$AB$15:$AB$25,[1]对照表!$AC$15:$AC$25))</f>
        <v>0</v>
      </c>
      <c r="U527" s="26">
        <f>R527+T527</f>
        <v>85</v>
      </c>
      <c r="V527" s="26">
        <f>SUM(I527,K527,M527)/3*0.3+SUM(G527,R527)/2*0.4</f>
        <v>57.8</v>
      </c>
      <c r="W527" s="27">
        <f>O527+T527</f>
        <v>0</v>
      </c>
      <c r="X527" s="28">
        <f>V527/0.7+W527</f>
        <v>82.571428571428569</v>
      </c>
      <c r="Y527" s="28">
        <f>X527</f>
        <v>82.571428571428569</v>
      </c>
      <c r="Z527" s="38"/>
    </row>
    <row r="528" spans="1:26" ht="15.6" x14ac:dyDescent="0.25">
      <c r="A528" s="48">
        <v>28</v>
      </c>
      <c r="B528" s="17" t="s">
        <v>767</v>
      </c>
      <c r="C528" s="48">
        <v>213</v>
      </c>
      <c r="D528" s="49" t="s">
        <v>1173</v>
      </c>
      <c r="E528" s="48" t="s">
        <v>65</v>
      </c>
      <c r="F528" s="38">
        <v>8.8699999999999992</v>
      </c>
      <c r="G528" s="32">
        <f>IF(B528="高三",IF($E528="男",LOOKUP(F528,[1]对照表!$G$3:$G$24,[1]对照表!$H$3:$H$24),LOOKUP(F528,[1]对照表!$G$27:$G$48,[1]对照表!$H$27:$H$48)),IF(B528="高二",IF($E528="男",LOOKUP(F528,[1]对照表!$F$3:$F$24,[1]对照表!$H$3:$H$24),LOOKUP(F528,[1]对照表!$F$27:$F$48,[1]对照表!$H$27:$H$48)),IF(B528="高一",IF($E528="男",LOOKUP(F528,[1]对照表!$E$3:$E$24,[1]对照表!$H$3:$H$24),LOOKUP(F528,[1]对照表!$E$27:$E$48,[1]对照表!$H$27:$H$48)))))</f>
        <v>76</v>
      </c>
      <c r="H528" s="38">
        <v>19.100000000000001</v>
      </c>
      <c r="I528" s="32">
        <f>IF(B528="高三",IF($E528="男",LOOKUP(H528,[1]对照表!$K$3:$K$24,[1]对照表!$L$3:$L$24),LOOKUP(H528,[1]对照表!$K$27:$K$48,[1]对照表!$L$27:$L$48)),IF(B528="高二",IF($E528="男",LOOKUP(H528,[1]对照表!$J$3:$J$24,[1]对照表!$L$3:$L$24),LOOKUP(H528,[1]对照表!$J$27:$J$48,[1]对照表!$L$27:$L$48)),IF(B528="高一",IF($E528="男",LOOKUP(H528,[1]对照表!$I$3:$I$24,[1]对照表!$L$3:$L$24),LOOKUP(H528,[1]对照表!$I$27:$I$48,[1]对照表!$L$27:$L$48)))))</f>
        <v>80</v>
      </c>
      <c r="J528" s="38">
        <v>166</v>
      </c>
      <c r="K528" s="32">
        <f>IF(B528="高三",IF($E528="男",LOOKUP(J528,[1]对照表!$O$3:$O$24,[1]对照表!$P$3:$P$24),LOOKUP(J528,[1]对照表!$O$27:$O$48,[1]对照表!$P$27:$P$48)),IF(B528="高二",IF($E528="男",LOOKUP(J528,[1]对照表!$N$3:$N$24,[1]对照表!$P$3:$P$24),LOOKUP(J528,[1]对照表!$N$27:$N$48,[1]对照表!$P$27:$P$48)),IF(B528="高一",IF($E528="男",LOOKUP(J528,[1]对照表!$M$3:$M$24,[1]对照表!$P$3:$P$24),LOOKUP(J528,[1]对照表!$M$27:$M$48,[1]对照表!$P$27:$P$48)))))</f>
        <v>70</v>
      </c>
      <c r="L528" s="38">
        <v>40</v>
      </c>
      <c r="M528" s="32">
        <f>IF(B528="高三",IF($E528="男",LOOKUP(L528,[1]对照表!$S$3:$S$24,[1]对照表!$T$3:$T$24),LOOKUP(L528,[1]对照表!$S$27:$S$48,[1]对照表!$T$27:$T$48)),IF(B528="高二",IF($E528="男",LOOKUP(L528,[1]对照表!$R$3:$R$24,[1]对照表!$T$3:$T$24),LOOKUP(L528,[1]对照表!$R$27:$R$48,[1]对照表!$T$27:$T$48)),IF(B528="高一",IF($E528="男",LOOKUP(L528,[1]对照表!$Q$3:$Q$24,[1]对照表!$T$3:$T$24),LOOKUP(L528,[1]对照表!$Q$27:$Q$48,[1]对照表!$T$27:$T$48)))))</f>
        <v>76</v>
      </c>
      <c r="N528" s="33">
        <f>IF(B528="高三",MAX(IF(E528="男",L528-18,L528-55),0),IF(B528="高二",MAX(IF(E528="男",L528-17,L528-54),0),IF(B528="高一",MAX(IF(E528="男",L528-16,L528-53),0))))</f>
        <v>0</v>
      </c>
      <c r="O528" s="23">
        <f>IF(E528="男",LOOKUP($N528,[1]对照表!$Z$3:$Z$13,[1]对照表!$AA$3:$AA$13),LOOKUP($N528,[1]对照表!$Z$15:$Z$25,[1]对照表!$AA$15:$AA$25))</f>
        <v>0</v>
      </c>
      <c r="P528" s="25">
        <f>M528+O528</f>
        <v>76</v>
      </c>
      <c r="Q528" s="38">
        <v>4.03</v>
      </c>
      <c r="R528" s="32">
        <f>IF(B528="高三",IF($E528="男",LOOKUP(Q528,[1]对照表!$W$3:$W$24,[1]对照表!$X$3:$X$24),LOOKUP(Q528,[1]对照表!$W$27:$W$48,[1]对照表!$X$27:$X$48)),IF(B528="高二",IF($E528="男",LOOKUP(Q528,[1]对照表!$V$3:$V$24,[1]对照表!$X$3:$X$24),LOOKUP(Q528,[1]对照表!$V$27:$V$48,[1]对照表!$X$27:$X$48)),IF(B528="高一",IF($E528="男",LOOKUP(Q528,[1]对照表!$U$3:$U$24,[1]对照表!$X$3:$X$24),LOOKUP(Q528,[1]对照表!$U$27:$U$48,[1]对照表!$X$27:$X$48)))))</f>
        <v>74</v>
      </c>
      <c r="S528" s="33">
        <f>ROUND(IF(IF($B528="高三",MIN(IF($E528="男",$Q528-3.2,$Q528-3.2),0),IF($B528="高二",MIN(IF($E528="男",$Q528-3.25,$Q528-3.22),0),IF($B528="高一",MIN(IF($E528="男",$Q528-3.3,$Q528-3.24),0))))&lt;-0.6,IF($B528="高三",MIN(IF($E528="男",$Q528-3.2,$Q528-3.2),0),IF($B528="高二",MIN(IF($E528="男",$Q528-3.25,$Q528-3.22),0),IF($B528="高一",MIN(IF($E528="男",$Q528-3.3,$Q528-3.24),0))))+0.4,IF($B528="高三",MIN(IF($E528="男",$Q528-3.2,$Q528-3.2),0),IF($B528="高二",MIN(IF($E528="男",$Q528-3.25,$Q528-3.22),0),IF($B528="高一",MIN(IF($E528="男",$Q528-3.3,$Q528-3.24),0))))),2)</f>
        <v>0</v>
      </c>
      <c r="T528" s="23">
        <f>IF(E528="男",LOOKUP($S528,[1]对照表!$AB$3:$AB$13,[1]对照表!$AC$3:$AC$13),LOOKUP($S528,[1]对照表!$AB$15:$AB$25,[1]对照表!$AC$15:$AC$25))</f>
        <v>0</v>
      </c>
      <c r="U528" s="26">
        <f>R528+T528</f>
        <v>74</v>
      </c>
      <c r="V528" s="26">
        <f>SUM(I528,K528,M528)/3*0.3+SUM(G528,R528)/2*0.4</f>
        <v>52.599999999999994</v>
      </c>
      <c r="W528" s="27">
        <f>O528+T528</f>
        <v>0</v>
      </c>
      <c r="X528" s="28">
        <f>V528/0.7+W528</f>
        <v>75.142857142857139</v>
      </c>
      <c r="Y528" s="28">
        <f>X528</f>
        <v>75.142857142857139</v>
      </c>
      <c r="Z528" s="38"/>
    </row>
    <row r="529" spans="1:26" ht="15.6" x14ac:dyDescent="0.25">
      <c r="A529" s="48">
        <v>30</v>
      </c>
      <c r="B529" s="17" t="s">
        <v>767</v>
      </c>
      <c r="C529" s="48">
        <v>213</v>
      </c>
      <c r="D529" s="49" t="s">
        <v>1186</v>
      </c>
      <c r="E529" s="48" t="s">
        <v>65</v>
      </c>
      <c r="F529" s="38">
        <v>9.58</v>
      </c>
      <c r="G529" s="32">
        <f>IF(B529="高三",IF($E529="男",LOOKUP(F529,[1]对照表!$G$3:$G$24,[1]对照表!$H$3:$H$24),LOOKUP(F529,[1]对照表!$G$27:$G$48,[1]对照表!$H$27:$H$48)),IF(B529="高二",IF($E529="男",LOOKUP(F529,[1]对照表!$F$3:$F$24,[1]对照表!$H$3:$H$24),LOOKUP(F529,[1]对照表!$F$27:$F$48,[1]对照表!$H$27:$H$48)),IF(B529="高一",IF($E529="男",LOOKUP(F529,[1]对照表!$E$3:$E$24,[1]对照表!$H$3:$H$24),LOOKUP(F529,[1]对照表!$E$27:$E$48,[1]对照表!$H$27:$H$48)))))</f>
        <v>68</v>
      </c>
      <c r="H529" s="38">
        <v>7.8</v>
      </c>
      <c r="I529" s="32">
        <f>IF(B529="高三",IF($E529="男",LOOKUP(H529,[1]对照表!$K$3:$K$24,[1]对照表!$L$3:$L$24),LOOKUP(H529,[1]对照表!$K$27:$K$48,[1]对照表!$L$27:$L$48)),IF(B529="高二",IF($E529="男",LOOKUP(H529,[1]对照表!$J$3:$J$24,[1]对照表!$L$3:$L$24),LOOKUP(H529,[1]对照表!$J$27:$J$48,[1]对照表!$L$27:$L$48)),IF(B529="高一",IF($E529="男",LOOKUP(H529,[1]对照表!$I$3:$I$24,[1]对照表!$L$3:$L$24),LOOKUP(H529,[1]对照表!$I$27:$I$48,[1]对照表!$L$27:$L$48)))))</f>
        <v>64</v>
      </c>
      <c r="J529" s="38">
        <v>165</v>
      </c>
      <c r="K529" s="32">
        <f>IF(B529="高三",IF($E529="男",LOOKUP(J529,[1]对照表!$O$3:$O$24,[1]对照表!$P$3:$P$24),LOOKUP(J529,[1]对照表!$O$27:$O$48,[1]对照表!$P$27:$P$48)),IF(B529="高二",IF($E529="男",LOOKUP(J529,[1]对照表!$N$3:$N$24,[1]对照表!$P$3:$P$24),LOOKUP(J529,[1]对照表!$N$27:$N$48,[1]对照表!$P$27:$P$48)),IF(B529="高一",IF($E529="男",LOOKUP(J529,[1]对照表!$M$3:$M$24,[1]对照表!$P$3:$P$24),LOOKUP(J529,[1]对照表!$M$27:$M$48,[1]对照表!$P$27:$P$48)))))</f>
        <v>70</v>
      </c>
      <c r="L529" s="38">
        <v>50</v>
      </c>
      <c r="M529" s="32">
        <f>IF(B529="高三",IF($E529="男",LOOKUP(L529,[1]对照表!$S$3:$S$24,[1]对照表!$T$3:$T$24),LOOKUP(L529,[1]对照表!$S$27:$S$48,[1]对照表!$T$27:$T$48)),IF(B529="高二",IF($E529="男",LOOKUP(L529,[1]对照表!$R$3:$R$24,[1]对照表!$T$3:$T$24),LOOKUP(L529,[1]对照表!$R$27:$R$48,[1]对照表!$T$27:$T$48)),IF(B529="高一",IF($E529="男",LOOKUP(L529,[1]对照表!$Q$3:$Q$24,[1]对照表!$T$3:$T$24),LOOKUP(L529,[1]对照表!$Q$27:$Q$48,[1]对照表!$T$27:$T$48)))))</f>
        <v>90</v>
      </c>
      <c r="N529" s="33">
        <f>IF(B529="高三",MAX(IF(E529="男",L529-18,L529-55),0),IF(B529="高二",MAX(IF(E529="男",L529-17,L529-54),0),IF(B529="高一",MAX(IF(E529="男",L529-16,L529-53),0))))</f>
        <v>0</v>
      </c>
      <c r="O529" s="23">
        <f>IF(E529="男",LOOKUP($N529,[1]对照表!$Z$3:$Z$13,[1]对照表!$AA$3:$AA$13),LOOKUP($N529,[1]对照表!$Z$15:$Z$25,[1]对照表!$AA$15:$AA$25))</f>
        <v>0</v>
      </c>
      <c r="P529" s="25">
        <f>M529+O529</f>
        <v>90</v>
      </c>
      <c r="Q529" s="38">
        <v>3.47</v>
      </c>
      <c r="R529" s="32">
        <f>IF(B529="高三",IF($E529="男",LOOKUP(Q529,[1]对照表!$W$3:$W$24,[1]对照表!$X$3:$X$24),LOOKUP(Q529,[1]对照表!$W$27:$W$48,[1]对照表!$X$27:$X$48)),IF(B529="高二",IF($E529="男",LOOKUP(Q529,[1]对照表!$V$3:$V$24,[1]对照表!$X$3:$X$24),LOOKUP(Q529,[1]对照表!$V$27:$V$48,[1]对照表!$X$27:$X$48)),IF(B529="高一",IF($E529="男",LOOKUP(Q529,[1]对照表!$U$3:$U$24,[1]对照表!$X$3:$X$24),LOOKUP(Q529,[1]对照表!$U$27:$U$48,[1]对照表!$X$27:$X$48)))))</f>
        <v>80</v>
      </c>
      <c r="S529" s="33">
        <f>ROUND(IF(IF($B529="高三",MIN(IF($E529="男",$Q529-3.2,$Q529-3.2),0),IF($B529="高二",MIN(IF($E529="男",$Q529-3.25,$Q529-3.22),0),IF($B529="高一",MIN(IF($E529="男",$Q529-3.3,$Q529-3.24),0))))&lt;-0.6,IF($B529="高三",MIN(IF($E529="男",$Q529-3.2,$Q529-3.2),0),IF($B529="高二",MIN(IF($E529="男",$Q529-3.25,$Q529-3.22),0),IF($B529="高一",MIN(IF($E529="男",$Q529-3.3,$Q529-3.24),0))))+0.4,IF($B529="高三",MIN(IF($E529="男",$Q529-3.2,$Q529-3.2),0),IF($B529="高二",MIN(IF($E529="男",$Q529-3.25,$Q529-3.22),0),IF($B529="高一",MIN(IF($E529="男",$Q529-3.3,$Q529-3.24),0))))),2)</f>
        <v>0</v>
      </c>
      <c r="T529" s="23">
        <f>IF(E529="男",LOOKUP($S529,[1]对照表!$AB$3:$AB$13,[1]对照表!$AC$3:$AC$13),LOOKUP($S529,[1]对照表!$AB$15:$AB$25,[1]对照表!$AC$15:$AC$25))</f>
        <v>0</v>
      </c>
      <c r="U529" s="26">
        <f>R529+T529</f>
        <v>80</v>
      </c>
      <c r="V529" s="26">
        <f>SUM(I529,K529,M529)/3*0.3+SUM(G529,R529)/2*0.4</f>
        <v>52</v>
      </c>
      <c r="W529" s="27">
        <f>O529+T529</f>
        <v>0</v>
      </c>
      <c r="X529" s="28">
        <f>V529/0.7+W529</f>
        <v>74.285714285714292</v>
      </c>
      <c r="Y529" s="28">
        <f>X529</f>
        <v>74.285714285714292</v>
      </c>
      <c r="Z529" s="38"/>
    </row>
    <row r="530" spans="1:26" ht="15.6" x14ac:dyDescent="0.25">
      <c r="A530" s="48">
        <v>15</v>
      </c>
      <c r="B530" s="17" t="s">
        <v>767</v>
      </c>
      <c r="C530" s="48">
        <v>213</v>
      </c>
      <c r="D530" s="49" t="s">
        <v>1190</v>
      </c>
      <c r="E530" s="48" t="s">
        <v>23</v>
      </c>
      <c r="F530" s="38">
        <v>7.3</v>
      </c>
      <c r="G530" s="32">
        <f>IF(B530="高三",IF($E530="男",LOOKUP(F530,[1]对照表!$G$3:$G$24,[1]对照表!$H$3:$H$24),LOOKUP(F530,[1]对照表!$G$27:$G$48,[1]对照表!$H$27:$H$48)),IF(B530="高二",IF($E530="男",LOOKUP(F530,[1]对照表!$F$3:$F$24,[1]对照表!$H$3:$H$24),LOOKUP(F530,[1]对照表!$F$27:$F$48,[1]对照表!$H$27:$H$48)),IF(B530="高一",IF($E530="男",LOOKUP(F530,[1]对照表!$E$3:$E$24,[1]对照表!$H$3:$H$24),LOOKUP(F530,[1]对照表!$E$27:$E$48,[1]对照表!$H$27:$H$48)))))</f>
        <v>85</v>
      </c>
      <c r="H530" s="38">
        <v>15.5</v>
      </c>
      <c r="I530" s="32">
        <f>IF(B530="高三",IF($E530="男",LOOKUP(H530,[1]对照表!$K$3:$K$24,[1]对照表!$L$3:$L$24),LOOKUP(H530,[1]对照表!$K$27:$K$48,[1]对照表!$L$27:$L$48)),IF(B530="高二",IF($E530="男",LOOKUP(H530,[1]对照表!$J$3:$J$24,[1]对照表!$L$3:$L$24),LOOKUP(H530,[1]对照表!$J$27:$J$48,[1]对照表!$L$27:$L$48)),IF(B530="高一",IF($E530="男",LOOKUP(H530,[1]对照表!$I$3:$I$24,[1]对照表!$L$3:$L$24),LOOKUP(H530,[1]对照表!$I$27:$I$48,[1]对照表!$L$27:$L$48)))))</f>
        <v>78</v>
      </c>
      <c r="J530" s="38">
        <v>255</v>
      </c>
      <c r="K530" s="32">
        <f>IF(B530="高三",IF($E530="男",LOOKUP(J530,[1]对照表!$O$3:$O$24,[1]对照表!$P$3:$P$24),LOOKUP(J530,[1]对照表!$O$27:$O$48,[1]对照表!$P$27:$P$48)),IF(B530="高二",IF($E530="男",LOOKUP(J530,[1]对照表!$N$3:$N$24,[1]对照表!$P$3:$P$24),LOOKUP(J530,[1]对照表!$N$27:$N$48,[1]对照表!$P$27:$P$48)),IF(B530="高一",IF($E530="男",LOOKUP(J530,[1]对照表!$M$3:$M$24,[1]对照表!$P$3:$P$24),LOOKUP(J530,[1]对照表!$M$27:$M$48,[1]对照表!$P$27:$P$48)))))</f>
        <v>90</v>
      </c>
      <c r="L530" s="38">
        <v>12</v>
      </c>
      <c r="M530" s="32">
        <f>IF(B530="高三",IF($E530="男",LOOKUP(L530,[1]对照表!$S$3:$S$24,[1]对照表!$T$3:$T$24),LOOKUP(L530,[1]对照表!$S$27:$S$48,[1]对照表!$T$27:$T$48)),IF(B530="高二",IF($E530="男",LOOKUP(L530,[1]对照表!$R$3:$R$24,[1]对照表!$T$3:$T$24),LOOKUP(L530,[1]对照表!$R$27:$R$48,[1]对照表!$T$27:$T$48)),IF(B530="高一",IF($E530="男",LOOKUP(L530,[1]对照表!$Q$3:$Q$24,[1]对照表!$T$3:$T$24),LOOKUP(L530,[1]对照表!$Q$27:$Q$48,[1]对照表!$T$27:$T$48)))))</f>
        <v>76</v>
      </c>
      <c r="N530" s="33">
        <f>IF(B530="高三",MAX(IF(E530="男",L530-18,L530-55),0),IF(B530="高二",MAX(IF(E530="男",L530-17,L530-54),0),IF(B530="高一",MAX(IF(E530="男",L530-16,L530-53),0))))</f>
        <v>0</v>
      </c>
      <c r="O530" s="23">
        <f>IF(E530="男",LOOKUP($N530,[1]对照表!$Z$3:$Z$13,[1]对照表!$AA$3:$AA$13),LOOKUP($N530,[1]对照表!$Z$15:$Z$25,[1]对照表!$AA$15:$AA$25))</f>
        <v>0</v>
      </c>
      <c r="P530" s="25">
        <f>M530+O530</f>
        <v>76</v>
      </c>
      <c r="Q530" s="38">
        <v>3.43</v>
      </c>
      <c r="R530" s="32">
        <f>IF(B530="高三",IF($E530="男",LOOKUP(Q530,[1]对照表!$W$3:$W$24,[1]对照表!$X$3:$X$24),LOOKUP(Q530,[1]对照表!$W$27:$W$48,[1]对照表!$X$27:$X$48)),IF(B530="高二",IF($E530="男",LOOKUP(Q530,[1]对照表!$V$3:$V$24,[1]对照表!$X$3:$X$24),LOOKUP(Q530,[1]对照表!$V$27:$V$48,[1]对照表!$X$27:$X$48)),IF(B530="高一",IF($E530="男",LOOKUP(Q530,[1]对照表!$U$3:$U$24,[1]对照表!$X$3:$X$24),LOOKUP(Q530,[1]对照表!$U$27:$U$48,[1]对照表!$X$27:$X$48)))))</f>
        <v>80</v>
      </c>
      <c r="S530" s="33">
        <f>ROUND(IF(IF($B530="高三",MIN(IF($E530="男",$Q530-3.2,$Q530-3.2),0),IF($B530="高二",MIN(IF($E530="男",$Q530-3.25,$Q530-3.22),0),IF($B530="高一",MIN(IF($E530="男",$Q530-3.3,$Q530-3.24),0))))&lt;-0.6,IF($B530="高三",MIN(IF($E530="男",$Q530-3.2,$Q530-3.2),0),IF($B530="高二",MIN(IF($E530="男",$Q530-3.25,$Q530-3.22),0),IF($B530="高一",MIN(IF($E530="男",$Q530-3.3,$Q530-3.24),0))))+0.4,IF($B530="高三",MIN(IF($E530="男",$Q530-3.2,$Q530-3.2),0),IF($B530="高二",MIN(IF($E530="男",$Q530-3.25,$Q530-3.22),0),IF($B530="高一",MIN(IF($E530="男",$Q530-3.3,$Q530-3.24),0))))),2)</f>
        <v>0</v>
      </c>
      <c r="T530" s="23">
        <f>IF(E530="男",LOOKUP($S530,[1]对照表!$AB$3:$AB$13,[1]对照表!$AC$3:$AC$13),LOOKUP($S530,[1]对照表!$AB$15:$AB$25,[1]对照表!$AC$15:$AC$25))</f>
        <v>0</v>
      </c>
      <c r="U530" s="26">
        <f>R530+T530</f>
        <v>80</v>
      </c>
      <c r="V530" s="26">
        <f>SUM(I530,K530,M530)/3*0.3+SUM(G530,R530)/2*0.4</f>
        <v>57.4</v>
      </c>
      <c r="W530" s="27">
        <f>O530+T530</f>
        <v>0</v>
      </c>
      <c r="X530" s="28">
        <f>V530/0.7+W530</f>
        <v>82</v>
      </c>
      <c r="Y530" s="28">
        <f>X530</f>
        <v>82</v>
      </c>
      <c r="Z530" s="38"/>
    </row>
    <row r="531" spans="1:26" ht="15.6" x14ac:dyDescent="0.25">
      <c r="A531" s="48">
        <v>6</v>
      </c>
      <c r="B531" s="17" t="s">
        <v>767</v>
      </c>
      <c r="C531" s="48">
        <v>213</v>
      </c>
      <c r="D531" s="49" t="s">
        <v>1198</v>
      </c>
      <c r="E531" s="48" t="s">
        <v>23</v>
      </c>
      <c r="F531" s="38">
        <v>7.4</v>
      </c>
      <c r="G531" s="32">
        <f>IF(B531="高三",IF($E531="男",LOOKUP(F531,[1]对照表!$G$3:$G$24,[1]对照表!$H$3:$H$24),LOOKUP(F531,[1]对照表!$G$27:$G$48,[1]对照表!$H$27:$H$48)),IF(B531="高二",IF($E531="男",LOOKUP(F531,[1]对照表!$F$3:$F$24,[1]对照表!$H$3:$H$24),LOOKUP(F531,[1]对照表!$F$27:$F$48,[1]对照表!$H$27:$H$48)),IF(B531="高一",IF($E531="男",LOOKUP(F531,[1]对照表!$E$3:$E$24,[1]对照表!$H$3:$H$24),LOOKUP(F531,[1]对照表!$E$27:$E$48,[1]对照表!$H$27:$H$48)))))</f>
        <v>80</v>
      </c>
      <c r="H531" s="38">
        <v>20</v>
      </c>
      <c r="I531" s="32">
        <f>IF(B531="高三",IF($E531="男",LOOKUP(H531,[1]对照表!$K$3:$K$24,[1]对照表!$L$3:$L$24),LOOKUP(H531,[1]对照表!$K$27:$K$48,[1]对照表!$L$27:$L$48)),IF(B531="高二",IF($E531="男",LOOKUP(H531,[1]对照表!$J$3:$J$24,[1]对照表!$L$3:$L$24),LOOKUP(H531,[1]对照表!$J$27:$J$48,[1]对照表!$L$27:$L$48)),IF(B531="高一",IF($E531="男",LOOKUP(H531,[1]对照表!$I$3:$I$24,[1]对照表!$L$3:$L$24),LOOKUP(H531,[1]对照表!$I$27:$I$48,[1]对照表!$L$27:$L$48)))))</f>
        <v>85</v>
      </c>
      <c r="J531" s="38">
        <v>260</v>
      </c>
      <c r="K531" s="32">
        <f>IF(B531="高三",IF($E531="男",LOOKUP(J531,[1]对照表!$O$3:$O$24,[1]对照表!$P$3:$P$24),LOOKUP(J531,[1]对照表!$O$27:$O$48,[1]对照表!$P$27:$P$48)),IF(B531="高二",IF($E531="男",LOOKUP(J531,[1]对照表!$N$3:$N$24,[1]对照表!$P$3:$P$24),LOOKUP(J531,[1]对照表!$N$27:$N$48,[1]对照表!$P$27:$P$48)),IF(B531="高一",IF($E531="男",LOOKUP(J531,[1]对照表!$M$3:$M$24,[1]对照表!$P$3:$P$24),LOOKUP(J531,[1]对照表!$M$27:$M$48,[1]对照表!$P$27:$P$48)))))</f>
        <v>95</v>
      </c>
      <c r="L531" s="38">
        <v>14</v>
      </c>
      <c r="M531" s="32">
        <f>IF(B531="高三",IF($E531="男",LOOKUP(L531,[1]对照表!$S$3:$S$24,[1]对照表!$T$3:$T$24),LOOKUP(L531,[1]对照表!$S$27:$S$48,[1]对照表!$T$27:$T$48)),IF(B531="高二",IF($E531="男",LOOKUP(L531,[1]对照表!$R$3:$R$24,[1]对照表!$T$3:$T$24),LOOKUP(L531,[1]对照表!$R$27:$R$48,[1]对照表!$T$27:$T$48)),IF(B531="高一",IF($E531="男",LOOKUP(L531,[1]对照表!$Q$3:$Q$24,[1]对照表!$T$3:$T$24),LOOKUP(L531,[1]对照表!$Q$27:$Q$48,[1]对照表!$T$27:$T$48)))))</f>
        <v>85</v>
      </c>
      <c r="N531" s="33">
        <f>IF(B531="高三",MAX(IF(E531="男",L531-18,L531-55),0),IF(B531="高二",MAX(IF(E531="男",L531-17,L531-54),0),IF(B531="高一",MAX(IF(E531="男",L531-16,L531-53),0))))</f>
        <v>0</v>
      </c>
      <c r="O531" s="23">
        <f>IF(E531="男",LOOKUP($N531,[1]对照表!$Z$3:$Z$13,[1]对照表!$AA$3:$AA$13),LOOKUP($N531,[1]对照表!$Z$15:$Z$25,[1]对照表!$AA$15:$AA$25))</f>
        <v>0</v>
      </c>
      <c r="P531" s="25">
        <f>M531+O531</f>
        <v>85</v>
      </c>
      <c r="Q531" s="38">
        <v>4.0999999999999996</v>
      </c>
      <c r="R531" s="32">
        <f>IF(B531="高三",IF($E531="男",LOOKUP(Q531,[1]对照表!$W$3:$W$24,[1]对照表!$X$3:$X$24),LOOKUP(Q531,[1]对照表!$W$27:$W$48,[1]对照表!$X$27:$X$48)),IF(B531="高二",IF($E531="男",LOOKUP(Q531,[1]对照表!$V$3:$V$24,[1]对照表!$X$3:$X$24),LOOKUP(Q531,[1]对照表!$V$27:$V$48,[1]对照表!$X$27:$X$48)),IF(B531="高一",IF($E531="男",LOOKUP(Q531,[1]对照表!$U$3:$U$24,[1]对照表!$X$3:$X$24),LOOKUP(Q531,[1]对照表!$U$27:$U$48,[1]对照表!$X$27:$X$48)))))</f>
        <v>72</v>
      </c>
      <c r="S531" s="33">
        <f>ROUND(IF(IF($B531="高三",MIN(IF($E531="男",$Q531-3.2,$Q531-3.2),0),IF($B531="高二",MIN(IF($E531="男",$Q531-3.25,$Q531-3.22),0),IF($B531="高一",MIN(IF($E531="男",$Q531-3.3,$Q531-3.24),0))))&lt;-0.6,IF($B531="高三",MIN(IF($E531="男",$Q531-3.2,$Q531-3.2),0),IF($B531="高二",MIN(IF($E531="男",$Q531-3.25,$Q531-3.22),0),IF($B531="高一",MIN(IF($E531="男",$Q531-3.3,$Q531-3.24),0))))+0.4,IF($B531="高三",MIN(IF($E531="男",$Q531-3.2,$Q531-3.2),0),IF($B531="高二",MIN(IF($E531="男",$Q531-3.25,$Q531-3.22),0),IF($B531="高一",MIN(IF($E531="男",$Q531-3.3,$Q531-3.24),0))))),2)</f>
        <v>0</v>
      </c>
      <c r="T531" s="23">
        <f>IF(E531="男",LOOKUP($S531,[1]对照表!$AB$3:$AB$13,[1]对照表!$AC$3:$AC$13),LOOKUP($S531,[1]对照表!$AB$15:$AB$25,[1]对照表!$AC$15:$AC$25))</f>
        <v>0</v>
      </c>
      <c r="U531" s="26">
        <f>R531+T531</f>
        <v>72</v>
      </c>
      <c r="V531" s="26">
        <f>SUM(I531,K531,M531)/3*0.3+SUM(G531,R531)/2*0.4</f>
        <v>56.9</v>
      </c>
      <c r="W531" s="27">
        <f>O531+T531</f>
        <v>0</v>
      </c>
      <c r="X531" s="28">
        <f>V531/0.7+W531</f>
        <v>81.285714285714292</v>
      </c>
      <c r="Y531" s="28">
        <f>X531</f>
        <v>81.285714285714292</v>
      </c>
      <c r="Z531" s="38"/>
    </row>
    <row r="532" spans="1:26" ht="15.6" x14ac:dyDescent="0.25">
      <c r="A532" s="48">
        <v>17</v>
      </c>
      <c r="B532" s="17" t="s">
        <v>767</v>
      </c>
      <c r="C532" s="48">
        <v>213</v>
      </c>
      <c r="D532" s="49" t="s">
        <v>1255</v>
      </c>
      <c r="E532" s="48" t="s">
        <v>23</v>
      </c>
      <c r="F532" s="38">
        <v>8</v>
      </c>
      <c r="G532" s="32">
        <f>IF(B532="高三",IF($E532="男",LOOKUP(F532,[1]对照表!$G$3:$G$24,[1]对照表!$H$3:$H$24),LOOKUP(F532,[1]对照表!$G$27:$G$48,[1]对照表!$H$27:$H$48)),IF(B532="高二",IF($E532="男",LOOKUP(F532,[1]对照表!$F$3:$F$24,[1]对照表!$H$3:$H$24),LOOKUP(F532,[1]对照表!$F$27:$F$48,[1]对照表!$H$27:$H$48)),IF(B532="高一",IF($E532="男",LOOKUP(F532,[1]对照表!$E$3:$E$24,[1]对照表!$H$3:$H$24),LOOKUP(F532,[1]对照表!$E$27:$E$48,[1]对照表!$H$27:$H$48)))))</f>
        <v>74</v>
      </c>
      <c r="H532" s="38">
        <v>20.5</v>
      </c>
      <c r="I532" s="32">
        <f>IF(B532="高三",IF($E532="男",LOOKUP(H532,[1]对照表!$K$3:$K$24,[1]对照表!$L$3:$L$24),LOOKUP(H532,[1]对照表!$K$27:$K$48,[1]对照表!$L$27:$L$48)),IF(B532="高二",IF($E532="男",LOOKUP(H532,[1]对照表!$J$3:$J$24,[1]对照表!$L$3:$L$24),LOOKUP(H532,[1]对照表!$J$27:$J$48,[1]对照表!$L$27:$L$48)),IF(B532="高一",IF($E532="男",LOOKUP(H532,[1]对照表!$I$3:$I$24,[1]对照表!$L$3:$L$24),LOOKUP(H532,[1]对照表!$I$27:$I$48,[1]对照表!$L$27:$L$48)))))</f>
        <v>90</v>
      </c>
      <c r="J532" s="38">
        <v>220</v>
      </c>
      <c r="K532" s="32">
        <f>IF(B532="高三",IF($E532="男",LOOKUP(J532,[1]对照表!$O$3:$O$24,[1]对照表!$P$3:$P$24),LOOKUP(J532,[1]对照表!$O$27:$O$48,[1]对照表!$P$27:$P$48)),IF(B532="高二",IF($E532="男",LOOKUP(J532,[1]对照表!$N$3:$N$24,[1]对照表!$P$3:$P$24),LOOKUP(J532,[1]对照表!$N$27:$N$48,[1]对照表!$P$27:$P$48)),IF(B532="高一",IF($E532="男",LOOKUP(J532,[1]对照表!$M$3:$M$24,[1]对照表!$P$3:$P$24),LOOKUP(J532,[1]对照表!$M$27:$M$48,[1]对照表!$P$27:$P$48)))))</f>
        <v>70</v>
      </c>
      <c r="L532" s="38">
        <v>13</v>
      </c>
      <c r="M532" s="32">
        <f>IF(B532="高三",IF($E532="男",LOOKUP(L532,[1]对照表!$S$3:$S$24,[1]对照表!$T$3:$T$24),LOOKUP(L532,[1]对照表!$S$27:$S$48,[1]对照表!$T$27:$T$48)),IF(B532="高二",IF($E532="男",LOOKUP(L532,[1]对照表!$R$3:$R$24,[1]对照表!$T$3:$T$24),LOOKUP(L532,[1]对照表!$R$27:$R$48,[1]对照表!$T$27:$T$48)),IF(B532="高一",IF($E532="男",LOOKUP(L532,[1]对照表!$Q$3:$Q$24,[1]对照表!$T$3:$T$24),LOOKUP(L532,[1]对照表!$Q$27:$Q$48,[1]对照表!$T$27:$T$48)))))</f>
        <v>80</v>
      </c>
      <c r="N532" s="33">
        <f>IF(B532="高三",MAX(IF(E532="男",L532-18,L532-55),0),IF(B532="高二",MAX(IF(E532="男",L532-17,L532-54),0),IF(B532="高一",MAX(IF(E532="男",L532-16,L532-53),0))))</f>
        <v>0</v>
      </c>
      <c r="O532" s="23">
        <f>IF(E532="男",LOOKUP($N532,[1]对照表!$Z$3:$Z$13,[1]对照表!$AA$3:$AA$13),LOOKUP($N532,[1]对照表!$Z$15:$Z$25,[1]对照表!$AA$15:$AA$25))</f>
        <v>0</v>
      </c>
      <c r="P532" s="25">
        <f>M532+O532</f>
        <v>80</v>
      </c>
      <c r="Q532" s="38">
        <v>3.49</v>
      </c>
      <c r="R532" s="32">
        <f>IF(B532="高三",IF($E532="男",LOOKUP(Q532,[1]对照表!$W$3:$W$24,[1]对照表!$X$3:$X$24),LOOKUP(Q532,[1]对照表!$W$27:$W$48,[1]对照表!$X$27:$X$48)),IF(B532="高二",IF($E532="男",LOOKUP(Q532,[1]对照表!$V$3:$V$24,[1]对照表!$X$3:$X$24),LOOKUP(Q532,[1]对照表!$V$27:$V$48,[1]对照表!$X$27:$X$48)),IF(B532="高一",IF($E532="男",LOOKUP(Q532,[1]对照表!$U$3:$U$24,[1]对照表!$X$3:$X$24),LOOKUP(Q532,[1]对照表!$U$27:$U$48,[1]对照表!$X$27:$X$48)))))</f>
        <v>80</v>
      </c>
      <c r="S532" s="33">
        <f>ROUND(IF(IF($B532="高三",MIN(IF($E532="男",$Q532-3.2,$Q532-3.2),0),IF($B532="高二",MIN(IF($E532="男",$Q532-3.25,$Q532-3.22),0),IF($B532="高一",MIN(IF($E532="男",$Q532-3.3,$Q532-3.24),0))))&lt;-0.6,IF($B532="高三",MIN(IF($E532="男",$Q532-3.2,$Q532-3.2),0),IF($B532="高二",MIN(IF($E532="男",$Q532-3.25,$Q532-3.22),0),IF($B532="高一",MIN(IF($E532="男",$Q532-3.3,$Q532-3.24),0))))+0.4,IF($B532="高三",MIN(IF($E532="男",$Q532-3.2,$Q532-3.2),0),IF($B532="高二",MIN(IF($E532="男",$Q532-3.25,$Q532-3.22),0),IF($B532="高一",MIN(IF($E532="男",$Q532-3.3,$Q532-3.24),0))))),2)</f>
        <v>0</v>
      </c>
      <c r="T532" s="23">
        <f>IF(E532="男",LOOKUP($S532,[1]对照表!$AB$3:$AB$13,[1]对照表!$AC$3:$AC$13),LOOKUP($S532,[1]对照表!$AB$15:$AB$25,[1]对照表!$AC$15:$AC$25))</f>
        <v>0</v>
      </c>
      <c r="U532" s="26">
        <f>R532+T532</f>
        <v>80</v>
      </c>
      <c r="V532" s="26">
        <f>SUM(I532,K532,M532)/3*0.3+SUM(G532,R532)/2*0.4</f>
        <v>54.8</v>
      </c>
      <c r="W532" s="27">
        <f>O532+T532</f>
        <v>0</v>
      </c>
      <c r="X532" s="28">
        <f>V532/0.7+W532</f>
        <v>78.285714285714292</v>
      </c>
      <c r="Y532" s="28">
        <f>X532</f>
        <v>78.285714285714292</v>
      </c>
      <c r="Z532" s="38"/>
    </row>
    <row r="533" spans="1:26" ht="15.6" x14ac:dyDescent="0.25">
      <c r="A533" s="38">
        <v>45</v>
      </c>
      <c r="B533" s="17" t="s">
        <v>767</v>
      </c>
      <c r="C533" s="48">
        <v>213</v>
      </c>
      <c r="D533" s="49" t="s">
        <v>1275</v>
      </c>
      <c r="E533" s="48" t="s">
        <v>65</v>
      </c>
      <c r="F533" s="38">
        <v>10.1</v>
      </c>
      <c r="G533" s="32">
        <f>IF(B533="高三",IF($E533="男",LOOKUP(F533,[1]对照表!$G$3:$G$24,[1]对照表!$H$3:$H$24),LOOKUP(F533,[1]对照表!$G$27:$G$48,[1]对照表!$H$27:$H$48)),IF(B533="高二",IF($E533="男",LOOKUP(F533,[1]对照表!$F$3:$F$24,[1]对照表!$H$3:$H$24),LOOKUP(F533,[1]对照表!$F$27:$F$48,[1]对照表!$H$27:$H$48)),IF(B533="高一",IF($E533="男",LOOKUP(F533,[1]对照表!$E$3:$E$24,[1]对照表!$H$3:$H$24),LOOKUP(F533,[1]对照表!$E$27:$E$48,[1]对照表!$H$27:$H$48)))))</f>
        <v>64</v>
      </c>
      <c r="H533" s="38">
        <v>11</v>
      </c>
      <c r="I533" s="32">
        <f>IF(B533="高三",IF($E533="男",LOOKUP(H533,[1]对照表!$K$3:$K$24,[1]对照表!$L$3:$L$24),LOOKUP(H533,[1]对照表!$K$27:$K$48,[1]对照表!$L$27:$L$48)),IF(B533="高二",IF($E533="男",LOOKUP(H533,[1]对照表!$J$3:$J$24,[1]对照表!$L$3:$L$24),LOOKUP(H533,[1]对照表!$J$27:$J$48,[1]对照表!$L$27:$L$48)),IF(B533="高一",IF($E533="男",LOOKUP(H533,[1]对照表!$I$3:$I$24,[1]对照表!$L$3:$L$24),LOOKUP(H533,[1]对照表!$I$27:$I$48,[1]对照表!$L$27:$L$48)))))</f>
        <v>68</v>
      </c>
      <c r="J533" s="38">
        <v>148</v>
      </c>
      <c r="K533" s="32">
        <f>IF(B533="高三",IF($E533="男",LOOKUP(J533,[1]对照表!$O$3:$O$24,[1]对照表!$P$3:$P$24),LOOKUP(J533,[1]对照表!$O$27:$O$48,[1]对照表!$P$27:$P$48)),IF(B533="高二",IF($E533="男",LOOKUP(J533,[1]对照表!$N$3:$N$24,[1]对照表!$P$3:$P$24),LOOKUP(J533,[1]对照表!$N$27:$N$48,[1]对照表!$P$27:$P$48)),IF(B533="高一",IF($E533="男",LOOKUP(J533,[1]对照表!$M$3:$M$24,[1]对照表!$P$3:$P$24),LOOKUP(J533,[1]对照表!$M$27:$M$48,[1]对照表!$P$27:$P$48)))))</f>
        <v>50</v>
      </c>
      <c r="L533" s="38">
        <v>57</v>
      </c>
      <c r="M533" s="32">
        <f>IF(B533="高三",IF($E533="男",LOOKUP(L533,[1]对照表!$S$3:$S$24,[1]对照表!$T$3:$T$24),LOOKUP(L533,[1]对照表!$S$27:$S$48,[1]对照表!$T$27:$T$48)),IF(B533="高二",IF($E533="男",LOOKUP(L533,[1]对照表!$R$3:$R$24,[1]对照表!$T$3:$T$24),LOOKUP(L533,[1]对照表!$R$27:$R$48,[1]对照表!$T$27:$T$48)),IF(B533="高一",IF($E533="男",LOOKUP(L533,[1]对照表!$Q$3:$Q$24,[1]对照表!$T$3:$T$24),LOOKUP(L533,[1]对照表!$Q$27:$Q$48,[1]对照表!$T$27:$T$48)))))</f>
        <v>100</v>
      </c>
      <c r="N533" s="33">
        <f>IF(B533="高三",MAX(IF(E533="男",L533-18,L533-55),0),IF(B533="高二",MAX(IF(E533="男",L533-17,L533-54),0),IF(B533="高一",MAX(IF(E533="男",L533-16,L533-53),0))))</f>
        <v>3</v>
      </c>
      <c r="O533" s="23">
        <f>IF(E533="男",LOOKUP($N533,[1]对照表!$Z$3:$Z$13,[1]对照表!$AA$3:$AA$13),LOOKUP($N533,[1]对照表!$Z$15:$Z$25,[1]对照表!$AA$15:$AA$25))</f>
        <v>1</v>
      </c>
      <c r="P533" s="25">
        <f>M533+O533</f>
        <v>101</v>
      </c>
      <c r="Q533" s="38">
        <v>4.3</v>
      </c>
      <c r="R533" s="32">
        <f>IF(B533="高三",IF($E533="男",LOOKUP(Q533,[1]对照表!$W$3:$W$24,[1]对照表!$X$3:$X$24),LOOKUP(Q533,[1]对照表!$W$27:$W$48,[1]对照表!$X$27:$X$48)),IF(B533="高二",IF($E533="男",LOOKUP(Q533,[1]对照表!$V$3:$V$24,[1]对照表!$X$3:$X$24),LOOKUP(Q533,[1]对照表!$V$27:$V$48,[1]对照表!$X$27:$X$48)),IF(B533="高一",IF($E533="男",LOOKUP(Q533,[1]对照表!$U$3:$U$24,[1]对照表!$X$3:$X$24),LOOKUP(Q533,[1]对照表!$U$27:$U$48,[1]对照表!$X$27:$X$48)))))</f>
        <v>62</v>
      </c>
      <c r="S533" s="33">
        <f>ROUND(IF(IF($B533="高三",MIN(IF($E533="男",$Q533-3.2,$Q533-3.2),0),IF($B533="高二",MIN(IF($E533="男",$Q533-3.25,$Q533-3.22),0),IF($B533="高一",MIN(IF($E533="男",$Q533-3.3,$Q533-3.24),0))))&lt;-0.6,IF($B533="高三",MIN(IF($E533="男",$Q533-3.2,$Q533-3.2),0),IF($B533="高二",MIN(IF($E533="男",$Q533-3.25,$Q533-3.22),0),IF($B533="高一",MIN(IF($E533="男",$Q533-3.3,$Q533-3.24),0))))+0.4,IF($B533="高三",MIN(IF($E533="男",$Q533-3.2,$Q533-3.2),0),IF($B533="高二",MIN(IF($E533="男",$Q533-3.25,$Q533-3.22),0),IF($B533="高一",MIN(IF($E533="男",$Q533-3.3,$Q533-3.24),0))))),2)</f>
        <v>0</v>
      </c>
      <c r="T533" s="23">
        <f>IF(E533="男",LOOKUP($S533,[1]对照表!$AB$3:$AB$13,[1]对照表!$AC$3:$AC$13),LOOKUP($S533,[1]对照表!$AB$15:$AB$25,[1]对照表!$AC$15:$AC$25))</f>
        <v>0</v>
      </c>
      <c r="U533" s="26">
        <f>R533+T533</f>
        <v>62</v>
      </c>
      <c r="V533" s="26">
        <f>SUM(I533,K533,M533)/3*0.3+SUM(G533,R533)/2*0.4</f>
        <v>47</v>
      </c>
      <c r="W533" s="27">
        <f>O533+T533</f>
        <v>1</v>
      </c>
      <c r="X533" s="28">
        <f>V533/0.7+W533</f>
        <v>68.142857142857153</v>
      </c>
      <c r="Y533" s="28">
        <f>X533</f>
        <v>68.142857142857153</v>
      </c>
      <c r="Z533" s="38"/>
    </row>
    <row r="534" spans="1:26" ht="15.6" x14ac:dyDescent="0.25">
      <c r="A534" s="38">
        <v>39</v>
      </c>
      <c r="B534" s="17" t="s">
        <v>767</v>
      </c>
      <c r="C534" s="48">
        <v>213</v>
      </c>
      <c r="D534" s="49" t="s">
        <v>1289</v>
      </c>
      <c r="E534" s="48" t="s">
        <v>65</v>
      </c>
      <c r="F534" s="38">
        <v>8.51</v>
      </c>
      <c r="G534" s="32">
        <f>IF(B534="高三",IF($E534="男",LOOKUP(F534,[1]对照表!$G$3:$G$24,[1]对照表!$H$3:$H$24),LOOKUP(F534,[1]对照表!$G$27:$G$48,[1]对照表!$H$27:$H$48)),IF(B534="高二",IF($E534="男",LOOKUP(F534,[1]对照表!$F$3:$F$24,[1]对照表!$H$3:$H$24),LOOKUP(F534,[1]对照表!$F$27:$F$48,[1]对照表!$H$27:$H$48)),IF(B534="高一",IF($E534="男",LOOKUP(F534,[1]对照表!$E$3:$E$24,[1]对照表!$H$3:$H$24),LOOKUP(F534,[1]对照表!$E$27:$E$48,[1]对照表!$H$27:$H$48)))))</f>
        <v>78</v>
      </c>
      <c r="H534" s="38">
        <v>29.1</v>
      </c>
      <c r="I534" s="32">
        <f>IF(B534="高三",IF($E534="男",LOOKUP(H534,[1]对照表!$K$3:$K$24,[1]对照表!$L$3:$L$24),LOOKUP(H534,[1]对照表!$K$27:$K$48,[1]对照表!$L$27:$L$48)),IF(B534="高二",IF($E534="男",LOOKUP(H534,[1]对照表!$J$3:$J$24,[1]对照表!$L$3:$L$24),LOOKUP(H534,[1]对照表!$J$27:$J$48,[1]对照表!$L$27:$L$48)),IF(B534="高一",IF($E534="男",LOOKUP(H534,[1]对照表!$I$3:$I$24,[1]对照表!$L$3:$L$24),LOOKUP(H534,[1]对照表!$I$27:$I$48,[1]对照表!$L$27:$L$48)))))</f>
        <v>100</v>
      </c>
      <c r="J534" s="38">
        <v>195</v>
      </c>
      <c r="K534" s="32">
        <f>IF(B534="高三",IF($E534="男",LOOKUP(J534,[1]对照表!$O$3:$O$24,[1]对照表!$P$3:$P$24),LOOKUP(J534,[1]对照表!$O$27:$O$48,[1]对照表!$P$27:$P$48)),IF(B534="高二",IF($E534="男",LOOKUP(J534,[1]对照表!$N$3:$N$24,[1]对照表!$P$3:$P$24),LOOKUP(J534,[1]对照表!$N$27:$N$48,[1]对照表!$P$27:$P$48)),IF(B534="高一",IF($E534="男",LOOKUP(J534,[1]对照表!$M$3:$M$24,[1]对照表!$P$3:$P$24),LOOKUP(J534,[1]对照表!$M$27:$M$48,[1]对照表!$P$27:$P$48)))))</f>
        <v>90</v>
      </c>
      <c r="L534" s="38">
        <v>54</v>
      </c>
      <c r="M534" s="32">
        <f>IF(B534="高三",IF($E534="男",LOOKUP(L534,[1]对照表!$S$3:$S$24,[1]对照表!$T$3:$T$24),LOOKUP(L534,[1]对照表!$S$27:$S$48,[1]对照表!$T$27:$T$48)),IF(B534="高二",IF($E534="男",LOOKUP(L534,[1]对照表!$R$3:$R$24,[1]对照表!$T$3:$T$24),LOOKUP(L534,[1]对照表!$R$27:$R$48,[1]对照表!$T$27:$T$48)),IF(B534="高一",IF($E534="男",LOOKUP(L534,[1]对照表!$Q$3:$Q$24,[1]对照表!$T$3:$T$24),LOOKUP(L534,[1]对照表!$Q$27:$Q$48,[1]对照表!$T$27:$T$48)))))</f>
        <v>100</v>
      </c>
      <c r="N534" s="33">
        <f>IF(B534="高三",MAX(IF(E534="男",L534-18,L534-55),0),IF(B534="高二",MAX(IF(E534="男",L534-17,L534-54),0),IF(B534="高一",MAX(IF(E534="男",L534-16,L534-53),0))))</f>
        <v>0</v>
      </c>
      <c r="O534" s="23">
        <f>IF(E534="男",LOOKUP($N534,[1]对照表!$Z$3:$Z$13,[1]对照表!$AA$3:$AA$13),LOOKUP($N534,[1]对照表!$Z$15:$Z$25,[1]对照表!$AA$15:$AA$25))</f>
        <v>0</v>
      </c>
      <c r="P534" s="25">
        <f>M534+O534</f>
        <v>100</v>
      </c>
      <c r="Q534" s="38"/>
      <c r="R534" s="20">
        <v>0</v>
      </c>
      <c r="S534" s="22">
        <v>0</v>
      </c>
      <c r="T534" s="23">
        <f>IF(E534="男",LOOKUP($S534,[1]对照表!$AB$3:$AB$13,[1]对照表!$AC$3:$AC$13),LOOKUP($S534,[1]对照表!$AB$15:$AB$25,[1]对照表!$AC$15:$AC$25))</f>
        <v>0</v>
      </c>
      <c r="U534" s="26">
        <f>R534+T534</f>
        <v>0</v>
      </c>
      <c r="V534" s="26">
        <f>SUM(I534,K534,M534)/3*0.3+SUM(G534,R534)/2*0.4</f>
        <v>44.6</v>
      </c>
      <c r="W534" s="27">
        <f>O534+T534</f>
        <v>0</v>
      </c>
      <c r="X534" s="28">
        <f>V534/0.7+W534</f>
        <v>63.714285714285722</v>
      </c>
      <c r="Y534" s="28">
        <f>X534</f>
        <v>63.714285714285722</v>
      </c>
      <c r="Z534" s="38"/>
    </row>
    <row r="535" spans="1:26" ht="15.6" x14ac:dyDescent="0.25">
      <c r="A535" s="48">
        <v>26</v>
      </c>
      <c r="B535" s="17" t="s">
        <v>767</v>
      </c>
      <c r="C535" s="48">
        <v>213</v>
      </c>
      <c r="D535" s="49" t="s">
        <v>1329</v>
      </c>
      <c r="E535" s="48" t="s">
        <v>65</v>
      </c>
      <c r="F535" s="38">
        <v>8.5</v>
      </c>
      <c r="G535" s="32">
        <f>IF(B535="高三",IF($E535="男",LOOKUP(F535,[1]对照表!$G$3:$G$24,[1]对照表!$H$3:$H$24),LOOKUP(F535,[1]对照表!$G$27:$G$48,[1]对照表!$H$27:$H$48)),IF(B535="高二",IF($E535="男",LOOKUP(F535,[1]对照表!$F$3:$F$24,[1]对照表!$H$3:$H$24),LOOKUP(F535,[1]对照表!$F$27:$F$48,[1]对照表!$H$27:$H$48)),IF(B535="高一",IF($E535="男",LOOKUP(F535,[1]对照表!$E$3:$E$24,[1]对照表!$H$3:$H$24),LOOKUP(F535,[1]对照表!$E$27:$E$48,[1]对照表!$H$27:$H$48)))))</f>
        <v>80</v>
      </c>
      <c r="H535" s="38">
        <v>8.3000000000000007</v>
      </c>
      <c r="I535" s="32">
        <f>IF(B535="高三",IF($E535="男",LOOKUP(H535,[1]对照表!$K$3:$K$24,[1]对照表!$L$3:$L$24),LOOKUP(H535,[1]对照表!$K$27:$K$48,[1]对照表!$L$27:$L$48)),IF(B535="高二",IF($E535="男",LOOKUP(H535,[1]对照表!$J$3:$J$24,[1]对照表!$L$3:$L$24),LOOKUP(H535,[1]对照表!$J$27:$J$48,[1]对照表!$L$27:$L$48)),IF(B535="高一",IF($E535="男",LOOKUP(H535,[1]对照表!$I$3:$I$24,[1]对照表!$L$3:$L$24),LOOKUP(H535,[1]对照表!$I$27:$I$48,[1]对照表!$L$27:$L$48)))))</f>
        <v>64</v>
      </c>
      <c r="J535" s="38">
        <v>180</v>
      </c>
      <c r="K535" s="32">
        <f>IF(B535="高三",IF($E535="男",LOOKUP(J535,[1]对照表!$O$3:$O$24,[1]对照表!$P$3:$P$24),LOOKUP(J535,[1]对照表!$O$27:$O$48,[1]对照表!$P$27:$P$48)),IF(B535="高二",IF($E535="男",LOOKUP(J535,[1]对照表!$N$3:$N$24,[1]对照表!$P$3:$P$24),LOOKUP(J535,[1]对照表!$N$27:$N$48,[1]对照表!$P$27:$P$48)),IF(B535="高一",IF($E535="男",LOOKUP(J535,[1]对照表!$M$3:$M$24,[1]对照表!$P$3:$P$24),LOOKUP(J535,[1]对照表!$M$27:$M$48,[1]对照表!$P$27:$P$48)))))</f>
        <v>80</v>
      </c>
      <c r="L535" s="38">
        <v>55</v>
      </c>
      <c r="M535" s="32">
        <f>IF(B535="高三",IF($E535="男",LOOKUP(L535,[1]对照表!$S$3:$S$24,[1]对照表!$T$3:$T$24),LOOKUP(L535,[1]对照表!$S$27:$S$48,[1]对照表!$T$27:$T$48)),IF(B535="高二",IF($E535="男",LOOKUP(L535,[1]对照表!$R$3:$R$24,[1]对照表!$T$3:$T$24),LOOKUP(L535,[1]对照表!$R$27:$R$48,[1]对照表!$T$27:$T$48)),IF(B535="高一",IF($E535="男",LOOKUP(L535,[1]对照表!$Q$3:$Q$24,[1]对照表!$T$3:$T$24),LOOKUP(L535,[1]对照表!$Q$27:$Q$48,[1]对照表!$T$27:$T$48)))))</f>
        <v>100</v>
      </c>
      <c r="N535" s="33">
        <f>IF(B535="高三",MAX(IF(E535="男",L535-18,L535-55),0),IF(B535="高二",MAX(IF(E535="男",L535-17,L535-54),0),IF(B535="高一",MAX(IF(E535="男",L535-16,L535-53),0))))</f>
        <v>1</v>
      </c>
      <c r="O535" s="23">
        <f>IF(E535="男",LOOKUP($N535,[1]对照表!$Z$3:$Z$13,[1]对照表!$AA$3:$AA$13),LOOKUP($N535,[1]对照表!$Z$15:$Z$25,[1]对照表!$AA$15:$AA$25))</f>
        <v>0</v>
      </c>
      <c r="P535" s="25">
        <f>M535+O535</f>
        <v>100</v>
      </c>
      <c r="Q535" s="38"/>
      <c r="R535" s="20">
        <v>0</v>
      </c>
      <c r="S535" s="22">
        <v>0</v>
      </c>
      <c r="T535" s="23">
        <f>IF(E535="男",LOOKUP($S535,[1]对照表!$AB$3:$AB$13,[1]对照表!$AC$3:$AC$13),LOOKUP($S535,[1]对照表!$AB$15:$AB$25,[1]对照表!$AC$15:$AC$25))</f>
        <v>0</v>
      </c>
      <c r="U535" s="26">
        <f>R535+T535</f>
        <v>0</v>
      </c>
      <c r="V535" s="26">
        <f>SUM(I535,K535,M535)/3*0.3+SUM(G535,R535)/2*0.4</f>
        <v>40.4</v>
      </c>
      <c r="W535" s="27">
        <f>O535+T535</f>
        <v>0</v>
      </c>
      <c r="X535" s="28">
        <f>V535/0.7+W535</f>
        <v>57.714285714285715</v>
      </c>
      <c r="Y535" s="28">
        <f>X535</f>
        <v>57.714285714285715</v>
      </c>
      <c r="Z535" s="38"/>
    </row>
    <row r="536" spans="1:26" ht="15.6" x14ac:dyDescent="0.25">
      <c r="A536" s="38">
        <v>40</v>
      </c>
      <c r="B536" s="17" t="s">
        <v>767</v>
      </c>
      <c r="C536" s="48">
        <v>213</v>
      </c>
      <c r="D536" s="49" t="s">
        <v>1340</v>
      </c>
      <c r="E536" s="48" t="s">
        <v>65</v>
      </c>
      <c r="F536" s="38">
        <v>8.98</v>
      </c>
      <c r="G536" s="32">
        <f>IF(B536="高三",IF($E536="男",LOOKUP(F536,[1]对照表!$G$3:$G$24,[1]对照表!$H$3:$H$24),LOOKUP(F536,[1]对照表!$G$27:$G$48,[1]对照表!$H$27:$H$48)),IF(B536="高二",IF($E536="男",LOOKUP(F536,[1]对照表!$F$3:$F$24,[1]对照表!$H$3:$H$24),LOOKUP(F536,[1]对照表!$F$27:$F$48,[1]对照表!$H$27:$H$48)),IF(B536="高一",IF($E536="男",LOOKUP(F536,[1]对照表!$E$3:$E$24,[1]对照表!$H$3:$H$24),LOOKUP(F536,[1]对照表!$E$27:$E$48,[1]对照表!$H$27:$H$48)))))</f>
        <v>74</v>
      </c>
      <c r="H536" s="38">
        <v>19.5</v>
      </c>
      <c r="I536" s="32">
        <f>IF(B536="高三",IF($E536="男",LOOKUP(H536,[1]对照表!$K$3:$K$24,[1]对照表!$L$3:$L$24),LOOKUP(H536,[1]对照表!$K$27:$K$48,[1]对照表!$L$27:$L$48)),IF(B536="高二",IF($E536="男",LOOKUP(H536,[1]对照表!$J$3:$J$24,[1]对照表!$L$3:$L$24),LOOKUP(H536,[1]对照表!$J$27:$J$48,[1]对照表!$L$27:$L$48)),IF(B536="高一",IF($E536="男",LOOKUP(H536,[1]对照表!$I$3:$I$24,[1]对照表!$L$3:$L$24),LOOKUP(H536,[1]对照表!$I$27:$I$48,[1]对照表!$L$27:$L$48)))))</f>
        <v>80</v>
      </c>
      <c r="J536" s="38">
        <v>174</v>
      </c>
      <c r="K536" s="32">
        <f>IF(B536="高三",IF($E536="男",LOOKUP(J536,[1]对照表!$O$3:$O$24,[1]对照表!$P$3:$P$24),LOOKUP(J536,[1]对照表!$O$27:$O$48,[1]对照表!$P$27:$P$48)),IF(B536="高二",IF($E536="男",LOOKUP(J536,[1]对照表!$N$3:$N$24,[1]对照表!$P$3:$P$24),LOOKUP(J536,[1]对照表!$N$27:$N$48,[1]对照表!$P$27:$P$48)),IF(B536="高一",IF($E536="男",LOOKUP(J536,[1]对照表!$M$3:$M$24,[1]对照表!$P$3:$P$24),LOOKUP(J536,[1]对照表!$M$27:$M$48,[1]对照表!$P$27:$P$48)))))</f>
        <v>76</v>
      </c>
      <c r="L536" s="38">
        <v>51</v>
      </c>
      <c r="M536" s="32">
        <f>IF(B536="高三",IF($E536="男",LOOKUP(L536,[1]对照表!$S$3:$S$24,[1]对照表!$T$3:$T$24),LOOKUP(L536,[1]对照表!$S$27:$S$48,[1]对照表!$T$27:$T$48)),IF(B536="高二",IF($E536="男",LOOKUP(L536,[1]对照表!$R$3:$R$24,[1]对照表!$T$3:$T$24),LOOKUP(L536,[1]对照表!$R$27:$R$48,[1]对照表!$T$27:$T$48)),IF(B536="高一",IF($E536="男",LOOKUP(L536,[1]对照表!$Q$3:$Q$24,[1]对照表!$T$3:$T$24),LOOKUP(L536,[1]对照表!$Q$27:$Q$48,[1]对照表!$T$27:$T$48)))))</f>
        <v>90</v>
      </c>
      <c r="N536" s="33">
        <f>IF(B536="高三",MAX(IF(E536="男",L536-18,L536-55),0),IF(B536="高二",MAX(IF(E536="男",L536-17,L536-54),0),IF(B536="高一",MAX(IF(E536="男",L536-16,L536-53),0))))</f>
        <v>0</v>
      </c>
      <c r="O536" s="23">
        <f>IF(E536="男",LOOKUP($N536,[1]对照表!$Z$3:$Z$13,[1]对照表!$AA$3:$AA$13),LOOKUP($N536,[1]对照表!$Z$15:$Z$25,[1]对照表!$AA$15:$AA$25))</f>
        <v>0</v>
      </c>
      <c r="P536" s="25">
        <f>M536+O536</f>
        <v>90</v>
      </c>
      <c r="Q536" s="38"/>
      <c r="R536" s="20">
        <v>0</v>
      </c>
      <c r="S536" s="22">
        <v>0</v>
      </c>
      <c r="T536" s="23">
        <f>IF(E536="男",LOOKUP($S536,[1]对照表!$AB$3:$AB$13,[1]对照表!$AC$3:$AC$13),LOOKUP($S536,[1]对照表!$AB$15:$AB$25,[1]对照表!$AC$15:$AC$25))</f>
        <v>0</v>
      </c>
      <c r="U536" s="26">
        <f>R536+T536</f>
        <v>0</v>
      </c>
      <c r="V536" s="26">
        <f>SUM(I536,K536,M536)/3*0.3+SUM(G536,R536)/2*0.4</f>
        <v>39.4</v>
      </c>
      <c r="W536" s="27">
        <f>O536+T536</f>
        <v>0</v>
      </c>
      <c r="X536" s="28">
        <f>V536/0.7+W536</f>
        <v>56.285714285714285</v>
      </c>
      <c r="Y536" s="28">
        <f>X536</f>
        <v>56.285714285714285</v>
      </c>
      <c r="Z536" s="38"/>
    </row>
    <row r="537" spans="1:26" ht="15.6" x14ac:dyDescent="0.25">
      <c r="A537" s="48">
        <v>19</v>
      </c>
      <c r="B537" s="17" t="s">
        <v>767</v>
      </c>
      <c r="C537" s="48">
        <v>213</v>
      </c>
      <c r="D537" s="49" t="s">
        <v>1358</v>
      </c>
      <c r="E537" s="48" t="s">
        <v>23</v>
      </c>
      <c r="F537" s="38">
        <v>7.4</v>
      </c>
      <c r="G537" s="32">
        <f>IF(B537="高三",IF($E537="男",LOOKUP(F537,[1]对照表!$G$3:$G$24,[1]对照表!$H$3:$H$24),LOOKUP(F537,[1]对照表!$G$27:$G$48,[1]对照表!$H$27:$H$48)),IF(B537="高二",IF($E537="男",LOOKUP(F537,[1]对照表!$F$3:$F$24,[1]对照表!$H$3:$H$24),LOOKUP(F537,[1]对照表!$F$27:$F$48,[1]对照表!$H$27:$H$48)),IF(B537="高一",IF($E537="男",LOOKUP(F537,[1]对照表!$E$3:$E$24,[1]对照表!$H$3:$H$24),LOOKUP(F537,[1]对照表!$E$27:$E$48,[1]对照表!$H$27:$H$48)))))</f>
        <v>80</v>
      </c>
      <c r="H537" s="38">
        <v>20</v>
      </c>
      <c r="I537" s="32">
        <f>IF(B537="高三",IF($E537="男",LOOKUP(H537,[1]对照表!$K$3:$K$24,[1]对照表!$L$3:$L$24),LOOKUP(H537,[1]对照表!$K$27:$K$48,[1]对照表!$L$27:$L$48)),IF(B537="高二",IF($E537="男",LOOKUP(H537,[1]对照表!$J$3:$J$24,[1]对照表!$L$3:$L$24),LOOKUP(H537,[1]对照表!$J$27:$J$48,[1]对照表!$L$27:$L$48)),IF(B537="高一",IF($E537="男",LOOKUP(H537,[1]对照表!$I$3:$I$24,[1]对照表!$L$3:$L$24),LOOKUP(H537,[1]对照表!$I$27:$I$48,[1]对照表!$L$27:$L$48)))))</f>
        <v>85</v>
      </c>
      <c r="J537" s="38">
        <v>210</v>
      </c>
      <c r="K537" s="32">
        <f>IF(B537="高三",IF($E537="男",LOOKUP(J537,[1]对照表!$O$3:$O$24,[1]对照表!$P$3:$P$24),LOOKUP(J537,[1]对照表!$O$27:$O$48,[1]对照表!$P$27:$P$48)),IF(B537="高二",IF($E537="男",LOOKUP(J537,[1]对照表!$N$3:$N$24,[1]对照表!$P$3:$P$24),LOOKUP(J537,[1]对照表!$N$27:$N$48,[1]对照表!$P$27:$P$48)),IF(B537="高一",IF($E537="男",LOOKUP(J537,[1]对照表!$M$3:$M$24,[1]对照表!$P$3:$P$24),LOOKUP(J537,[1]对照表!$M$27:$M$48,[1]对照表!$P$27:$P$48)))))</f>
        <v>64</v>
      </c>
      <c r="L537" s="38">
        <v>4</v>
      </c>
      <c r="M537" s="32">
        <f>IF(B537="高三",IF($E537="男",LOOKUP(L537,[1]对照表!$S$3:$S$24,[1]对照表!$T$3:$T$24),LOOKUP(L537,[1]对照表!$S$27:$S$48,[1]对照表!$T$27:$T$48)),IF(B537="高二",IF($E537="男",LOOKUP(L537,[1]对照表!$R$3:$R$24,[1]对照表!$T$3:$T$24),LOOKUP(L537,[1]对照表!$R$27:$R$48,[1]对照表!$T$27:$T$48)),IF(B537="高一",IF($E537="男",LOOKUP(L537,[1]对照表!$Q$3:$Q$24,[1]对照表!$T$3:$T$24),LOOKUP(L537,[1]对照表!$Q$27:$Q$48,[1]对照表!$T$27:$T$48)))))</f>
        <v>20</v>
      </c>
      <c r="N537" s="33">
        <f>IF(B537="高三",MAX(IF(E537="男",L537-18,L537-55),0),IF(B537="高二",MAX(IF(E537="男",L537-17,L537-54),0),IF(B537="高一",MAX(IF(E537="男",L537-16,L537-53),0))))</f>
        <v>0</v>
      </c>
      <c r="O537" s="23">
        <f>IF(E537="男",LOOKUP($N537,[1]对照表!$Z$3:$Z$13,[1]对照表!$AA$3:$AA$13),LOOKUP($N537,[1]对照表!$Z$15:$Z$25,[1]对照表!$AA$15:$AA$25))</f>
        <v>0</v>
      </c>
      <c r="P537" s="25">
        <f>M537+O537</f>
        <v>20</v>
      </c>
      <c r="Q537" s="38">
        <v>3.37</v>
      </c>
      <c r="R537" s="32">
        <f>IF(B537="高三",IF($E537="男",LOOKUP(Q537,[1]对照表!$W$3:$W$24,[1]对照表!$X$3:$X$24),LOOKUP(Q537,[1]对照表!$W$27:$W$48,[1]对照表!$X$27:$X$48)),IF(B537="高二",IF($E537="男",LOOKUP(Q537,[1]对照表!$V$3:$V$24,[1]对照表!$X$3:$X$24),LOOKUP(Q537,[1]对照表!$V$27:$V$48,[1]对照表!$X$27:$X$48)),IF(B537="高一",IF($E537="男",LOOKUP(Q537,[1]对照表!$U$3:$U$24,[1]对照表!$X$3:$X$24),LOOKUP(Q537,[1]对照表!$U$27:$U$48,[1]对照表!$X$27:$X$48)))))</f>
        <v>85</v>
      </c>
      <c r="S537" s="33">
        <f>ROUND(IF(IF($B537="高三",MIN(IF($E537="男",$Q537-3.2,$Q537-3.2),0),IF($B537="高二",MIN(IF($E537="男",$Q537-3.25,$Q537-3.22),0),IF($B537="高一",MIN(IF($E537="男",$Q537-3.3,$Q537-3.24),0))))&lt;-0.6,IF($B537="高三",MIN(IF($E537="男",$Q537-3.2,$Q537-3.2),0),IF($B537="高二",MIN(IF($E537="男",$Q537-3.25,$Q537-3.22),0),IF($B537="高一",MIN(IF($E537="男",$Q537-3.3,$Q537-3.24),0))))+0.4,IF($B537="高三",MIN(IF($E537="男",$Q537-3.2,$Q537-3.2),0),IF($B537="高二",MIN(IF($E537="男",$Q537-3.25,$Q537-3.22),0),IF($B537="高一",MIN(IF($E537="男",$Q537-3.3,$Q537-3.24),0))))),2)</f>
        <v>0</v>
      </c>
      <c r="T537" s="23">
        <f>IF(E537="男",LOOKUP($S537,[1]对照表!$AB$3:$AB$13,[1]对照表!$AC$3:$AC$13),LOOKUP($S537,[1]对照表!$AB$15:$AB$25,[1]对照表!$AC$15:$AC$25))</f>
        <v>0</v>
      </c>
      <c r="U537" s="26">
        <f>R537+T537</f>
        <v>85</v>
      </c>
      <c r="V537" s="26">
        <f>SUM(I537,K537,M537)/3*0.3+SUM(G537,R537)/2*0.4</f>
        <v>49.9</v>
      </c>
      <c r="W537" s="27">
        <f>O537+T537</f>
        <v>0</v>
      </c>
      <c r="X537" s="28">
        <f>V537/0.7+W537</f>
        <v>71.285714285714292</v>
      </c>
      <c r="Y537" s="28">
        <f>X537</f>
        <v>71.285714285714292</v>
      </c>
      <c r="Z537" s="38"/>
    </row>
    <row r="538" spans="1:26" ht="15.6" x14ac:dyDescent="0.25">
      <c r="A538" s="48">
        <v>20</v>
      </c>
      <c r="B538" s="17" t="s">
        <v>767</v>
      </c>
      <c r="C538" s="48">
        <v>213</v>
      </c>
      <c r="D538" s="49" t="s">
        <v>1362</v>
      </c>
      <c r="E538" s="48" t="s">
        <v>23</v>
      </c>
      <c r="F538" s="38">
        <v>7.2</v>
      </c>
      <c r="G538" s="32">
        <f>IF(B538="高三",IF($E538="男",LOOKUP(F538,[1]对照表!$G$3:$G$24,[1]对照表!$H$3:$H$24),LOOKUP(F538,[1]对照表!$G$27:$G$48,[1]对照表!$H$27:$H$48)),IF(B538="高二",IF($E538="男",LOOKUP(F538,[1]对照表!$F$3:$F$24,[1]对照表!$H$3:$H$24),LOOKUP(F538,[1]对照表!$F$27:$F$48,[1]对照表!$H$27:$H$48)),IF(B538="高一",IF($E538="男",LOOKUP(F538,[1]对照表!$E$3:$E$24,[1]对照表!$H$3:$H$24),LOOKUP(F538,[1]对照表!$E$27:$E$48,[1]对照表!$H$27:$H$48)))))</f>
        <v>90</v>
      </c>
      <c r="H538" s="38">
        <v>19.5</v>
      </c>
      <c r="I538" s="32">
        <f>IF(B538="高三",IF($E538="男",LOOKUP(H538,[1]对照表!$K$3:$K$24,[1]对照表!$L$3:$L$24),LOOKUP(H538,[1]对照表!$K$27:$K$48,[1]对照表!$L$27:$L$48)),IF(B538="高二",IF($E538="男",LOOKUP(H538,[1]对照表!$J$3:$J$24,[1]对照表!$L$3:$L$24),LOOKUP(H538,[1]对照表!$J$27:$J$48,[1]对照表!$L$27:$L$48)),IF(B538="高一",IF($E538="男",LOOKUP(H538,[1]对照表!$I$3:$I$24,[1]对照表!$L$3:$L$24),LOOKUP(H538,[1]对照表!$I$27:$I$48,[1]对照表!$L$27:$L$48)))))</f>
        <v>85</v>
      </c>
      <c r="J538" s="38">
        <v>220</v>
      </c>
      <c r="K538" s="32">
        <f>IF(B538="高三",IF($E538="男",LOOKUP(J538,[1]对照表!$O$3:$O$24,[1]对照表!$P$3:$P$24),LOOKUP(J538,[1]对照表!$O$27:$O$48,[1]对照表!$P$27:$P$48)),IF(B538="高二",IF($E538="男",LOOKUP(J538,[1]对照表!$N$3:$N$24,[1]对照表!$P$3:$P$24),LOOKUP(J538,[1]对照表!$N$27:$N$48,[1]对照表!$P$27:$P$48)),IF(B538="高一",IF($E538="男",LOOKUP(J538,[1]对照表!$M$3:$M$24,[1]对照表!$P$3:$P$24),LOOKUP(J538,[1]对照表!$M$27:$M$48,[1]对照表!$P$27:$P$48)))))</f>
        <v>70</v>
      </c>
      <c r="L538" s="38">
        <v>2</v>
      </c>
      <c r="M538" s="32">
        <f>IF(B538="高三",IF($E538="男",LOOKUP(L538,[1]对照表!$S$3:$S$24,[1]对照表!$T$3:$T$24),LOOKUP(L538,[1]对照表!$S$27:$S$48,[1]对照表!$T$27:$T$48)),IF(B538="高二",IF($E538="男",LOOKUP(L538,[1]对照表!$R$3:$R$24,[1]对照表!$T$3:$T$24),LOOKUP(L538,[1]对照表!$R$27:$R$48,[1]对照表!$T$27:$T$48)),IF(B538="高一",IF($E538="男",LOOKUP(L538,[1]对照表!$Q$3:$Q$24,[1]对照表!$T$3:$T$24),LOOKUP(L538,[1]对照表!$Q$27:$Q$48,[1]对照表!$T$27:$T$48)))))</f>
        <v>0</v>
      </c>
      <c r="N538" s="33">
        <f>IF(B538="高三",MAX(IF(E538="男",L538-18,L538-55),0),IF(B538="高二",MAX(IF(E538="男",L538-17,L538-54),0),IF(B538="高一",MAX(IF(E538="男",L538-16,L538-53),0))))</f>
        <v>0</v>
      </c>
      <c r="O538" s="23">
        <f>IF(E538="男",LOOKUP($N538,[1]对照表!$Z$3:$Z$13,[1]对照表!$AA$3:$AA$13),LOOKUP($N538,[1]对照表!$Z$15:$Z$25,[1]对照表!$AA$15:$AA$25))</f>
        <v>0</v>
      </c>
      <c r="P538" s="25">
        <f>M538+O538</f>
        <v>0</v>
      </c>
      <c r="Q538" s="38">
        <v>3.43</v>
      </c>
      <c r="R538" s="32">
        <f>IF(B538="高三",IF($E538="男",LOOKUP(Q538,[1]对照表!$W$3:$W$24,[1]对照表!$X$3:$X$24),LOOKUP(Q538,[1]对照表!$W$27:$W$48,[1]对照表!$X$27:$X$48)),IF(B538="高二",IF($E538="男",LOOKUP(Q538,[1]对照表!$V$3:$V$24,[1]对照表!$X$3:$X$24),LOOKUP(Q538,[1]对照表!$V$27:$V$48,[1]对照表!$X$27:$X$48)),IF(B538="高一",IF($E538="男",LOOKUP(Q538,[1]对照表!$U$3:$U$24,[1]对照表!$X$3:$X$24),LOOKUP(Q538,[1]对照表!$U$27:$U$48,[1]对照表!$X$27:$X$48)))))</f>
        <v>80</v>
      </c>
      <c r="S538" s="27">
        <f>ROUND(IF(IF($B538="高三",MIN(IF($E538="男",$Q538-3.2,$Q538-3.2),0),IF($B538="高二",MIN(IF($E538="男",$Q538-3.25,$Q538-3.22),0),IF($B538="高一",MIN(IF($E538="男",$Q538-3.3,$Q538-3.24),0))))&lt;-0.6,IF($B538="高三",MIN(IF($E538="男",$Q538-3.2,$Q538-3.2),0),IF($B538="高二",MIN(IF($E538="男",$Q538-3.25,$Q538-3.22),0),IF($B538="高一",MIN(IF($E538="男",$Q538-3.3,$Q538-3.24),0))))+0.4,IF($B538="高三",MIN(IF($E538="男",$Q538-3.2,$Q538-3.2),0),IF($B538="高二",MIN(IF($E538="男",$Q538-3.25,$Q538-3.22),0),IF($B538="高一",MIN(IF($E538="男",$Q538-3.3,$Q538-3.24),0))))),2)</f>
        <v>0</v>
      </c>
      <c r="T538" s="23">
        <f>IF(E538="男",LOOKUP($S538,[1]对照表!$AB$3:$AB$13,[1]对照表!$AC$3:$AC$13),LOOKUP($S538,[1]对照表!$AB$15:$AB$25,[1]对照表!$AC$15:$AC$25))</f>
        <v>0</v>
      </c>
      <c r="U538" s="26">
        <f>R538+T538</f>
        <v>80</v>
      </c>
      <c r="V538" s="26">
        <f>SUM(I538,K538,M538)/3*0.3+SUM(G538,R538)/2*0.4</f>
        <v>49.5</v>
      </c>
      <c r="W538" s="27">
        <f>O538+T538</f>
        <v>0</v>
      </c>
      <c r="X538" s="28">
        <f>V538/0.7+W538</f>
        <v>70.714285714285722</v>
      </c>
      <c r="Y538" s="28">
        <f>X538</f>
        <v>70.714285714285722</v>
      </c>
      <c r="Z538" s="38"/>
    </row>
    <row r="539" spans="1:26" ht="15.6" x14ac:dyDescent="0.25">
      <c r="A539" s="48">
        <v>11</v>
      </c>
      <c r="B539" s="17" t="s">
        <v>767</v>
      </c>
      <c r="C539" s="48">
        <v>213</v>
      </c>
      <c r="D539" s="49" t="s">
        <v>1386</v>
      </c>
      <c r="E539" s="48" t="s">
        <v>23</v>
      </c>
      <c r="F539" s="38">
        <v>7.5</v>
      </c>
      <c r="G539" s="32">
        <f>IF(B539="高三",IF($E539="男",LOOKUP(F539,[1]对照表!$G$3:$G$24,[1]对照表!$H$3:$H$24),LOOKUP(F539,[1]对照表!$G$27:$G$48,[1]对照表!$H$27:$H$48)),IF(B539="高二",IF($E539="男",LOOKUP(F539,[1]对照表!$F$3:$F$24,[1]对照表!$H$3:$H$24),LOOKUP(F539,[1]对照表!$F$27:$F$48,[1]对照表!$H$27:$H$48)),IF(B539="高一",IF($E539="男",LOOKUP(F539,[1]对照表!$E$3:$E$24,[1]对照表!$H$3:$H$24),LOOKUP(F539,[1]对照表!$E$27:$E$48,[1]对照表!$H$27:$H$48)))))</f>
        <v>78</v>
      </c>
      <c r="H539" s="38">
        <v>17</v>
      </c>
      <c r="I539" s="32">
        <f>IF(B539="高三",IF($E539="男",LOOKUP(H539,[1]对照表!$K$3:$K$24,[1]对照表!$L$3:$L$24),LOOKUP(H539,[1]对照表!$K$27:$K$48,[1]对照表!$L$27:$L$48)),IF(B539="高二",IF($E539="男",LOOKUP(H539,[1]对照表!$J$3:$J$24,[1]对照表!$L$3:$L$24),LOOKUP(H539,[1]对照表!$J$27:$J$48,[1]对照表!$L$27:$L$48)),IF(B539="高一",IF($E539="男",LOOKUP(H539,[1]对照表!$I$3:$I$24,[1]对照表!$L$3:$L$24),LOOKUP(H539,[1]对照表!$I$27:$I$48,[1]对照表!$L$27:$L$48)))))</f>
        <v>80</v>
      </c>
      <c r="J539" s="38">
        <v>205</v>
      </c>
      <c r="K539" s="32">
        <f>IF(B539="高三",IF($E539="男",LOOKUP(J539,[1]对照表!$O$3:$O$24,[1]对照表!$P$3:$P$24),LOOKUP(J539,[1]对照表!$O$27:$O$48,[1]对照表!$P$27:$P$48)),IF(B539="高二",IF($E539="男",LOOKUP(J539,[1]对照表!$N$3:$N$24,[1]对照表!$P$3:$P$24),LOOKUP(J539,[1]对照表!$N$27:$N$48,[1]对照表!$P$27:$P$48)),IF(B539="高一",IF($E539="男",LOOKUP(J539,[1]对照表!$M$3:$M$24,[1]对照表!$P$3:$P$24),LOOKUP(J539,[1]对照表!$M$27:$M$48,[1]对照表!$P$27:$P$48)))))</f>
        <v>62</v>
      </c>
      <c r="L539" s="38">
        <v>2</v>
      </c>
      <c r="M539" s="32">
        <f>IF(B539="高三",IF($E539="男",LOOKUP(L539,[1]对照表!$S$3:$S$24,[1]对照表!$T$3:$T$24),LOOKUP(L539,[1]对照表!$S$27:$S$48,[1]对照表!$T$27:$T$48)),IF(B539="高二",IF($E539="男",LOOKUP(L539,[1]对照表!$R$3:$R$24,[1]对照表!$T$3:$T$24),LOOKUP(L539,[1]对照表!$R$27:$R$48,[1]对照表!$T$27:$T$48)),IF(B539="高一",IF($E539="男",LOOKUP(L539,[1]对照表!$Q$3:$Q$24,[1]对照表!$T$3:$T$24),LOOKUP(L539,[1]对照表!$Q$27:$Q$48,[1]对照表!$T$27:$T$48)))))</f>
        <v>0</v>
      </c>
      <c r="N539" s="33">
        <f>IF(B539="高三",MAX(IF(E539="男",L539-18,L539-55),0),IF(B539="高二",MAX(IF(E539="男",L539-17,L539-54),0),IF(B539="高一",MAX(IF(E539="男",L539-16,L539-53),0))))</f>
        <v>0</v>
      </c>
      <c r="O539" s="23">
        <f>IF(E539="男",LOOKUP($N539,[1]对照表!$Z$3:$Z$13,[1]对照表!$AA$3:$AA$13),LOOKUP($N539,[1]对照表!$Z$15:$Z$25,[1]对照表!$AA$15:$AA$25))</f>
        <v>0</v>
      </c>
      <c r="P539" s="25">
        <f>M539+O539</f>
        <v>0</v>
      </c>
      <c r="Q539" s="38">
        <v>3.41</v>
      </c>
      <c r="R539" s="32">
        <f>IF(B539="高三",IF($E539="男",LOOKUP(Q539,[1]对照表!$W$3:$W$24,[1]对照表!$X$3:$X$24),LOOKUP(Q539,[1]对照表!$W$27:$W$48,[1]对照表!$X$27:$X$48)),IF(B539="高二",IF($E539="男",LOOKUP(Q539,[1]对照表!$V$3:$V$24,[1]对照表!$X$3:$X$24),LOOKUP(Q539,[1]对照表!$V$27:$V$48,[1]对照表!$X$27:$X$48)),IF(B539="高一",IF($E539="男",LOOKUP(Q539,[1]对照表!$U$3:$U$24,[1]对照表!$X$3:$X$24),LOOKUP(Q539,[1]对照表!$U$27:$U$48,[1]对照表!$X$27:$X$48)))))</f>
        <v>85</v>
      </c>
      <c r="S539" s="27">
        <f>ROUND(IF(IF($B539="高三",MIN(IF($E539="男",$Q539-3.2,$Q539-3.2),0),IF($B539="高二",MIN(IF($E539="男",$Q539-3.25,$Q539-3.22),0),IF($B539="高一",MIN(IF($E539="男",$Q539-3.3,$Q539-3.24),0))))&lt;-0.6,IF($B539="高三",MIN(IF($E539="男",$Q539-3.2,$Q539-3.2),0),IF($B539="高二",MIN(IF($E539="男",$Q539-3.25,$Q539-3.22),0),IF($B539="高一",MIN(IF($E539="男",$Q539-3.3,$Q539-3.24),0))))+0.4,IF($B539="高三",MIN(IF($E539="男",$Q539-3.2,$Q539-3.2),0),IF($B539="高二",MIN(IF($E539="男",$Q539-3.25,$Q539-3.22),0),IF($B539="高一",MIN(IF($E539="男",$Q539-3.3,$Q539-3.24),0))))),2)</f>
        <v>0</v>
      </c>
      <c r="T539" s="23">
        <f>IF(E539="男",LOOKUP($S539,[1]对照表!$AB$3:$AB$13,[1]对照表!$AC$3:$AC$13),LOOKUP($S539,[1]对照表!$AB$15:$AB$25,[1]对照表!$AC$15:$AC$25))</f>
        <v>0</v>
      </c>
      <c r="U539" s="26">
        <f>R539+T539</f>
        <v>85</v>
      </c>
      <c r="V539" s="26">
        <f>SUM(I539,K539,M539)/3*0.3+SUM(G539,R539)/2*0.4</f>
        <v>46.800000000000004</v>
      </c>
      <c r="W539" s="27">
        <f>O539+T539</f>
        <v>0</v>
      </c>
      <c r="X539" s="28">
        <f>V539/0.7+W539</f>
        <v>66.857142857142861</v>
      </c>
      <c r="Y539" s="28">
        <f>X539</f>
        <v>66.857142857142861</v>
      </c>
      <c r="Z539" s="38"/>
    </row>
    <row r="540" spans="1:26" ht="15.6" x14ac:dyDescent="0.25">
      <c r="A540" s="48">
        <v>4</v>
      </c>
      <c r="B540" s="17" t="s">
        <v>767</v>
      </c>
      <c r="C540" s="48">
        <v>213</v>
      </c>
      <c r="D540" s="49" t="s">
        <v>1393</v>
      </c>
      <c r="E540" s="48" t="s">
        <v>23</v>
      </c>
      <c r="F540" s="38">
        <v>8.4</v>
      </c>
      <c r="G540" s="32">
        <f>IF(B540="高三",IF($E540="男",LOOKUP(F540,[1]对照表!$G$3:$G$24,[1]对照表!$H$3:$H$24),LOOKUP(F540,[1]对照表!$G$27:$G$48,[1]对照表!$H$27:$H$48)),IF(B540="高二",IF($E540="男",LOOKUP(F540,[1]对照表!$F$3:$F$24,[1]对照表!$H$3:$H$24),LOOKUP(F540,[1]对照表!$F$27:$F$48,[1]对照表!$H$27:$H$48)),IF(B540="高一",IF($E540="男",LOOKUP(F540,[1]对照表!$E$3:$E$24,[1]对照表!$H$3:$H$24),LOOKUP(F540,[1]对照表!$E$27:$E$48,[1]对照表!$H$27:$H$48)))))</f>
        <v>70</v>
      </c>
      <c r="H540" s="38">
        <v>18</v>
      </c>
      <c r="I540" s="32">
        <f>IF(B540="高三",IF($E540="男",LOOKUP(H540,[1]对照表!$K$3:$K$24,[1]对照表!$L$3:$L$24),LOOKUP(H540,[1]对照表!$K$27:$K$48,[1]对照表!$L$27:$L$48)),IF(B540="高二",IF($E540="男",LOOKUP(H540,[1]对照表!$J$3:$J$24,[1]对照表!$L$3:$L$24),LOOKUP(H540,[1]对照表!$J$27:$J$48,[1]对照表!$L$27:$L$48)),IF(B540="高一",IF($E540="男",LOOKUP(H540,[1]对照表!$I$3:$I$24,[1]对照表!$L$3:$L$24),LOOKUP(H540,[1]对照表!$I$27:$I$48,[1]对照表!$L$27:$L$48)))))</f>
        <v>80</v>
      </c>
      <c r="J540" s="38">
        <v>240</v>
      </c>
      <c r="K540" s="32">
        <f>IF(B540="高三",IF($E540="男",LOOKUP(J540,[1]对照表!$O$3:$O$24,[1]对照表!$P$3:$P$24),LOOKUP(J540,[1]对照表!$O$27:$O$48,[1]对照表!$P$27:$P$48)),IF(B540="高二",IF($E540="男",LOOKUP(J540,[1]对照表!$N$3:$N$24,[1]对照表!$P$3:$P$24),LOOKUP(J540,[1]对照表!$N$27:$N$48,[1]对照表!$P$27:$P$48)),IF(B540="高一",IF($E540="男",LOOKUP(J540,[1]对照表!$M$3:$M$24,[1]对照表!$P$3:$P$24),LOOKUP(J540,[1]对照表!$M$27:$M$48,[1]对照表!$P$27:$P$48)))))</f>
        <v>80</v>
      </c>
      <c r="L540" s="38">
        <v>8</v>
      </c>
      <c r="M540" s="32">
        <f>IF(B540="高三",IF($E540="男",LOOKUP(L540,[1]对照表!$S$3:$S$24,[1]对照表!$T$3:$T$24),LOOKUP(L540,[1]对照表!$S$27:$S$48,[1]对照表!$T$27:$T$48)),IF(B540="高二",IF($E540="男",LOOKUP(L540,[1]对照表!$R$3:$R$24,[1]对照表!$T$3:$T$24),LOOKUP(L540,[1]对照表!$R$27:$R$48,[1]对照表!$T$27:$T$48)),IF(B540="高一",IF($E540="男",LOOKUP(L540,[1]对照表!$Q$3:$Q$24,[1]对照表!$T$3:$T$24),LOOKUP(L540,[1]对照表!$Q$27:$Q$48,[1]对照表!$T$27:$T$48)))))</f>
        <v>60</v>
      </c>
      <c r="N540" s="33">
        <f>IF(B540="高三",MAX(IF(E540="男",L540-18,L540-55),0),IF(B540="高二",MAX(IF(E540="男",L540-17,L540-54),0),IF(B540="高一",MAX(IF(E540="男",L540-16,L540-53),0))))</f>
        <v>0</v>
      </c>
      <c r="O540" s="23">
        <f>IF(E540="男",LOOKUP($N540,[1]对照表!$Z$3:$Z$13,[1]对照表!$AA$3:$AA$13),LOOKUP($N540,[1]对照表!$Z$15:$Z$25,[1]对照表!$AA$15:$AA$25))</f>
        <v>0</v>
      </c>
      <c r="P540" s="25">
        <f>M540+O540</f>
        <v>60</v>
      </c>
      <c r="Q540" s="38">
        <v>4.5599999999999996</v>
      </c>
      <c r="R540" s="32">
        <f>IF(B540="高三",IF($E540="男",LOOKUP(Q540,[1]对照表!$W$3:$W$24,[1]对照表!$X$3:$X$24),LOOKUP(Q540,[1]对照表!$W$27:$W$48,[1]对照表!$X$27:$X$48)),IF(B540="高二",IF($E540="男",LOOKUP(Q540,[1]对照表!$V$3:$V$24,[1]对照表!$X$3:$X$24),LOOKUP(Q540,[1]对照表!$V$27:$V$48,[1]对照表!$X$27:$X$48)),IF(B540="高一",IF($E540="男",LOOKUP(Q540,[1]对照表!$U$3:$U$24,[1]对照表!$X$3:$X$24),LOOKUP(Q540,[1]对照表!$U$27:$U$48,[1]对照表!$X$27:$X$48)))))</f>
        <v>50</v>
      </c>
      <c r="S540" s="33">
        <f>ROUND(IF(IF($B540="高三",MIN(IF($E540="男",$Q540-3.2,$Q540-3.2),0),IF($B540="高二",MIN(IF($E540="男",$Q540-3.25,$Q540-3.22),0),IF($B540="高一",MIN(IF($E540="男",$Q540-3.3,$Q540-3.24),0))))&lt;-0.6,IF($B540="高三",MIN(IF($E540="男",$Q540-3.2,$Q540-3.2),0),IF($B540="高二",MIN(IF($E540="男",$Q540-3.25,$Q540-3.22),0),IF($B540="高一",MIN(IF($E540="男",$Q540-3.3,$Q540-3.24),0))))+0.4,IF($B540="高三",MIN(IF($E540="男",$Q540-3.2,$Q540-3.2),0),IF($B540="高二",MIN(IF($E540="男",$Q540-3.25,$Q540-3.22),0),IF($B540="高一",MIN(IF($E540="男",$Q540-3.3,$Q540-3.24),0))))),2)</f>
        <v>0</v>
      </c>
      <c r="T540" s="23">
        <f>IF(E540="男",LOOKUP($S540,[1]对照表!$AB$3:$AB$13,[1]对照表!$AC$3:$AC$13),LOOKUP($S540,[1]对照表!$AB$15:$AB$25,[1]对照表!$AC$15:$AC$25))</f>
        <v>0</v>
      </c>
      <c r="U540" s="26">
        <f>R540+T540</f>
        <v>50</v>
      </c>
      <c r="V540" s="26">
        <f>SUM(I540,K540,M540)/3*0.3+SUM(G540,R540)/2*0.4</f>
        <v>46</v>
      </c>
      <c r="W540" s="27">
        <f>O540+T540</f>
        <v>0</v>
      </c>
      <c r="X540" s="28">
        <f>V540/0.7+W540</f>
        <v>65.714285714285722</v>
      </c>
      <c r="Y540" s="28">
        <f>X540</f>
        <v>65.714285714285722</v>
      </c>
      <c r="Z540" s="38"/>
    </row>
    <row r="541" spans="1:26" ht="15.6" x14ac:dyDescent="0.25">
      <c r="A541" s="48">
        <v>5</v>
      </c>
      <c r="B541" s="17" t="s">
        <v>767</v>
      </c>
      <c r="C541" s="48">
        <v>213</v>
      </c>
      <c r="D541" s="49" t="s">
        <v>1429</v>
      </c>
      <c r="E541" s="48" t="s">
        <v>23</v>
      </c>
      <c r="F541" s="38">
        <v>7.8</v>
      </c>
      <c r="G541" s="32">
        <f>IF(B541="高三",IF($E541="男",LOOKUP(F541,[1]对照表!$G$3:$G$24,[1]对照表!$H$3:$H$24),LOOKUP(F541,[1]对照表!$G$27:$G$48,[1]对照表!$H$27:$H$48)),IF(B541="高二",IF($E541="男",LOOKUP(F541,[1]对照表!$F$3:$F$24,[1]对照表!$H$3:$H$24),LOOKUP(F541,[1]对照表!$F$27:$F$48,[1]对照表!$H$27:$H$48)),IF(B541="高一",IF($E541="男",LOOKUP(F541,[1]对照表!$E$3:$E$24,[1]对照表!$H$3:$H$24),LOOKUP(F541,[1]对照表!$E$27:$E$48,[1]对照表!$H$27:$H$48)))))</f>
        <v>76</v>
      </c>
      <c r="H541" s="38">
        <v>10</v>
      </c>
      <c r="I541" s="32">
        <f>IF(B541="高三",IF($E541="男",LOOKUP(H541,[1]对照表!$K$3:$K$24,[1]对照表!$L$3:$L$24),LOOKUP(H541,[1]对照表!$K$27:$K$48,[1]对照表!$L$27:$L$48)),IF(B541="高二",IF($E541="男",LOOKUP(H541,[1]对照表!$J$3:$J$24,[1]对照表!$L$3:$L$24),LOOKUP(H541,[1]对照表!$J$27:$J$48,[1]对照表!$L$27:$L$48)),IF(B541="高一",IF($E541="男",LOOKUP(H541,[1]对照表!$I$3:$I$24,[1]对照表!$L$3:$L$24),LOOKUP(H541,[1]对照表!$I$27:$I$48,[1]对照表!$L$27:$L$48)))))</f>
        <v>70</v>
      </c>
      <c r="J541" s="38">
        <v>230</v>
      </c>
      <c r="K541" s="32">
        <f>IF(B541="高三",IF($E541="男",LOOKUP(J541,[1]对照表!$O$3:$O$24,[1]对照表!$P$3:$P$24),LOOKUP(J541,[1]对照表!$O$27:$O$48,[1]对照表!$P$27:$P$48)),IF(B541="高二",IF($E541="男",LOOKUP(J541,[1]对照表!$N$3:$N$24,[1]对照表!$P$3:$P$24),LOOKUP(J541,[1]对照表!$N$27:$N$48,[1]对照表!$P$27:$P$48)),IF(B541="高一",IF($E541="男",LOOKUP(J541,[1]对照表!$M$3:$M$24,[1]对照表!$P$3:$P$24),LOOKUP(J541,[1]对照表!$M$27:$M$48,[1]对照表!$P$27:$P$48)))))</f>
        <v>74</v>
      </c>
      <c r="L541" s="38">
        <v>5</v>
      </c>
      <c r="M541" s="32">
        <f>IF(B541="高三",IF($E541="男",LOOKUP(L541,[1]对照表!$S$3:$S$24,[1]对照表!$T$3:$T$24),LOOKUP(L541,[1]对照表!$S$27:$S$48,[1]对照表!$T$27:$T$48)),IF(B541="高二",IF($E541="男",LOOKUP(L541,[1]对照表!$R$3:$R$24,[1]对照表!$T$3:$T$24),LOOKUP(L541,[1]对照表!$R$27:$R$48,[1]对照表!$T$27:$T$48)),IF(B541="高一",IF($E541="男",LOOKUP(L541,[1]对照表!$Q$3:$Q$24,[1]对照表!$T$3:$T$24),LOOKUP(L541,[1]对照表!$Q$27:$Q$48,[1]对照表!$T$27:$T$48)))))</f>
        <v>30</v>
      </c>
      <c r="N541" s="33">
        <f>IF(B541="高三",MAX(IF(E541="男",L541-18,L541-55),0),IF(B541="高二",MAX(IF(E541="男",L541-17,L541-54),0),IF(B541="高一",MAX(IF(E541="男",L541-16,L541-53),0))))</f>
        <v>0</v>
      </c>
      <c r="O541" s="23">
        <f>IF(E541="男",LOOKUP($N541,[1]对照表!$Z$3:$Z$13,[1]对照表!$AA$3:$AA$13),LOOKUP($N541,[1]对照表!$Z$15:$Z$25,[1]对照表!$AA$15:$AA$25))</f>
        <v>0</v>
      </c>
      <c r="P541" s="25">
        <f>M541+O541</f>
        <v>30</v>
      </c>
      <c r="Q541" s="38">
        <v>4.51</v>
      </c>
      <c r="R541" s="32">
        <f>IF(B541="高三",IF($E541="男",LOOKUP(Q541,[1]对照表!$W$3:$W$24,[1]对照表!$X$3:$X$24),LOOKUP(Q541,[1]对照表!$W$27:$W$48,[1]对照表!$X$27:$X$48)),IF(B541="高二",IF($E541="男",LOOKUP(Q541,[1]对照表!$V$3:$V$24,[1]对照表!$X$3:$X$24),LOOKUP(Q541,[1]对照表!$V$27:$V$48,[1]对照表!$X$27:$X$48)),IF(B541="高一",IF($E541="男",LOOKUP(Q541,[1]对照表!$U$3:$U$24,[1]对照表!$X$3:$X$24),LOOKUP(Q541,[1]对照表!$U$27:$U$48,[1]对照表!$X$27:$X$48)))))</f>
        <v>50</v>
      </c>
      <c r="S541" s="33">
        <f>ROUND(IF(IF($B541="高三",MIN(IF($E541="男",$Q541-3.2,$Q541-3.2),0),IF($B541="高二",MIN(IF($E541="男",$Q541-3.25,$Q541-3.22),0),IF($B541="高一",MIN(IF($E541="男",$Q541-3.3,$Q541-3.24),0))))&lt;-0.6,IF($B541="高三",MIN(IF($E541="男",$Q541-3.2,$Q541-3.2),0),IF($B541="高二",MIN(IF($E541="男",$Q541-3.25,$Q541-3.22),0),IF($B541="高一",MIN(IF($E541="男",$Q541-3.3,$Q541-3.24),0))))+0.4,IF($B541="高三",MIN(IF($E541="男",$Q541-3.2,$Q541-3.2),0),IF($B541="高二",MIN(IF($E541="男",$Q541-3.25,$Q541-3.22),0),IF($B541="高一",MIN(IF($E541="男",$Q541-3.3,$Q541-3.24),0))))),2)</f>
        <v>0</v>
      </c>
      <c r="T541" s="23">
        <f>IF(E541="男",LOOKUP($S541,[1]对照表!$AB$3:$AB$13,[1]对照表!$AC$3:$AC$13),LOOKUP($S541,[1]对照表!$AB$15:$AB$25,[1]对照表!$AC$15:$AC$25))</f>
        <v>0</v>
      </c>
      <c r="U541" s="26">
        <f>R541+T541</f>
        <v>50</v>
      </c>
      <c r="V541" s="26">
        <f>SUM(I541,K541,M541)/3*0.3+SUM(G541,R541)/2*0.4</f>
        <v>42.6</v>
      </c>
      <c r="W541" s="27">
        <f>O541+T541</f>
        <v>0</v>
      </c>
      <c r="X541" s="28">
        <f>V541/0.7+W541</f>
        <v>60.857142857142861</v>
      </c>
      <c r="Y541" s="28">
        <f>X541</f>
        <v>60.857142857142861</v>
      </c>
      <c r="Z541" s="38"/>
    </row>
    <row r="542" spans="1:26" ht="15.6" x14ac:dyDescent="0.25">
      <c r="A542" s="52">
        <v>24</v>
      </c>
      <c r="B542" s="17" t="s">
        <v>767</v>
      </c>
      <c r="C542" s="48">
        <v>213</v>
      </c>
      <c r="D542" s="49" t="s">
        <v>1462</v>
      </c>
      <c r="E542" s="48" t="s">
        <v>23</v>
      </c>
      <c r="F542" s="38"/>
      <c r="G542" s="20">
        <v>0</v>
      </c>
      <c r="H542" s="38">
        <v>18</v>
      </c>
      <c r="I542" s="32">
        <f>IF(B542="高三",IF($E542="男",LOOKUP(H542,[1]对照表!$K$3:$K$24,[1]对照表!$L$3:$L$24),LOOKUP(H542,[1]对照表!$K$27:$K$48,[1]对照表!$L$27:$L$48)),IF(B542="高二",IF($E542="男",LOOKUP(H542,[1]对照表!$J$3:$J$24,[1]对照表!$L$3:$L$24),LOOKUP(H542,[1]对照表!$J$27:$J$48,[1]对照表!$L$27:$L$48)),IF(B542="高一",IF($E542="男",LOOKUP(H542,[1]对照表!$I$3:$I$24,[1]对照表!$L$3:$L$24),LOOKUP(H542,[1]对照表!$I$27:$I$48,[1]对照表!$L$27:$L$48)))))</f>
        <v>80</v>
      </c>
      <c r="J542" s="38">
        <v>250</v>
      </c>
      <c r="K542" s="32">
        <f>IF(B542="高三",IF($E542="男",LOOKUP(J542,[1]对照表!$O$3:$O$24,[1]对照表!$P$3:$P$24),LOOKUP(J542,[1]对照表!$O$27:$O$48,[1]对照表!$P$27:$P$48)),IF(B542="高二",IF($E542="男",LOOKUP(J542,[1]对照表!$N$3:$N$24,[1]对照表!$P$3:$P$24),LOOKUP(J542,[1]对照表!$N$27:$N$48,[1]对照表!$P$27:$P$48)),IF(B542="高一",IF($E542="男",LOOKUP(J542,[1]对照表!$M$3:$M$24,[1]对照表!$P$3:$P$24),LOOKUP(J542,[1]对照表!$M$27:$M$48,[1]对照表!$P$27:$P$48)))))</f>
        <v>85</v>
      </c>
      <c r="L542" s="38"/>
      <c r="M542" s="20">
        <v>0</v>
      </c>
      <c r="N542" s="33">
        <f>IF(B542="高三",MAX(IF(E542="男",L542-18,L542-55),0),IF(B542="高二",MAX(IF(E542="男",L542-17,L542-54),0),IF(B542="高一",MAX(IF(E542="男",L542-16,L542-53),0))))</f>
        <v>0</v>
      </c>
      <c r="O542" s="23">
        <f>IF(E542="男",LOOKUP($N542,[1]对照表!$Z$3:$Z$13,[1]对照表!$AA$3:$AA$13),LOOKUP($N542,[1]对照表!$Z$15:$Z$25,[1]对照表!$AA$15:$AA$25))</f>
        <v>0</v>
      </c>
      <c r="P542" s="25">
        <f>M542+O542</f>
        <v>0</v>
      </c>
      <c r="Q542" s="38"/>
      <c r="R542" s="20">
        <v>0</v>
      </c>
      <c r="S542" s="20">
        <v>0</v>
      </c>
      <c r="T542" s="23">
        <f>IF(E542="男",LOOKUP($S542,[1]对照表!$AB$3:$AB$13,[1]对照表!$AC$3:$AC$13),LOOKUP($S542,[1]对照表!$AB$15:$AB$25,[1]对照表!$AC$15:$AC$25))</f>
        <v>0</v>
      </c>
      <c r="U542" s="26">
        <f>R542+T542</f>
        <v>0</v>
      </c>
      <c r="V542" s="26">
        <f>SUM(I542,K542,M542)/3*0.3+SUM(G542,R542)/2*0.4</f>
        <v>16.5</v>
      </c>
      <c r="W542" s="27">
        <f>O542+T542</f>
        <v>0</v>
      </c>
      <c r="X542" s="28">
        <f>V542/0.7+W542</f>
        <v>23.571428571428573</v>
      </c>
      <c r="Y542" s="29">
        <v>50</v>
      </c>
      <c r="Z542" s="38"/>
    </row>
    <row r="543" spans="1:26" ht="15.6" x14ac:dyDescent="0.25">
      <c r="A543" s="52">
        <v>23</v>
      </c>
      <c r="B543" s="17" t="s">
        <v>767</v>
      </c>
      <c r="C543" s="48">
        <v>213</v>
      </c>
      <c r="D543" s="49" t="s">
        <v>1492</v>
      </c>
      <c r="E543" s="48" t="s">
        <v>23</v>
      </c>
      <c r="F543" s="38"/>
      <c r="G543" s="20">
        <v>0</v>
      </c>
      <c r="H543" s="38"/>
      <c r="I543" s="20">
        <v>0</v>
      </c>
      <c r="J543" s="38"/>
      <c r="K543" s="20">
        <v>0</v>
      </c>
      <c r="L543" s="38"/>
      <c r="M543" s="20">
        <v>0</v>
      </c>
      <c r="N543" s="33">
        <f>IF(B543="高三",MAX(IF(E543="男",L543-18,L543-55),0),IF(B543="高二",MAX(IF(E543="男",L543-17,L543-54),0),IF(B543="高一",MAX(IF(E543="男",L543-16,L543-53),0))))</f>
        <v>0</v>
      </c>
      <c r="O543" s="23">
        <f>IF(E543="男",LOOKUP($N543,[1]对照表!$Z$3:$Z$13,[1]对照表!$AA$3:$AA$13),LOOKUP($N543,[1]对照表!$Z$15:$Z$25,[1]对照表!$AA$15:$AA$25))</f>
        <v>0</v>
      </c>
      <c r="P543" s="25">
        <f>M543+O543</f>
        <v>0</v>
      </c>
      <c r="Q543" s="38"/>
      <c r="R543" s="20">
        <v>0</v>
      </c>
      <c r="S543" s="22">
        <v>0</v>
      </c>
      <c r="T543" s="23">
        <f>IF(E543="男",LOOKUP($S543,[1]对照表!$AB$3:$AB$13,[1]对照表!$AC$3:$AC$13),LOOKUP($S543,[1]对照表!$AB$15:$AB$25,[1]对照表!$AC$15:$AC$25))</f>
        <v>0</v>
      </c>
      <c r="U543" s="26">
        <f>R543+T543</f>
        <v>0</v>
      </c>
      <c r="V543" s="26">
        <f>SUM(I543,K543,M543)/3*0.3+SUM(G543,R543)/2*0.4</f>
        <v>0</v>
      </c>
      <c r="W543" s="27">
        <f>O543+T543</f>
        <v>0</v>
      </c>
      <c r="X543" s="28">
        <f>V543/0.7+W543</f>
        <v>0</v>
      </c>
      <c r="Y543" s="29">
        <v>50</v>
      </c>
      <c r="Z543" s="38"/>
    </row>
    <row r="544" spans="1:26" ht="15.6" x14ac:dyDescent="0.25">
      <c r="A544" s="38">
        <v>43</v>
      </c>
      <c r="B544" s="17" t="s">
        <v>767</v>
      </c>
      <c r="C544" s="48">
        <v>213</v>
      </c>
      <c r="D544" s="49" t="s">
        <v>1493</v>
      </c>
      <c r="E544" s="48" t="s">
        <v>65</v>
      </c>
      <c r="F544" s="38"/>
      <c r="G544" s="20">
        <v>0</v>
      </c>
      <c r="H544" s="38"/>
      <c r="I544" s="20">
        <v>0</v>
      </c>
      <c r="J544" s="38"/>
      <c r="K544" s="20">
        <v>0</v>
      </c>
      <c r="L544" s="38"/>
      <c r="M544" s="20">
        <v>0</v>
      </c>
      <c r="N544" s="33">
        <f>IF(B544="高三",MAX(IF(E544="男",L544-18,L544-55),0),IF(B544="高二",MAX(IF(E544="男",L544-17,L544-54),0),IF(B544="高一",MAX(IF(E544="男",L544-16,L544-53),0))))</f>
        <v>0</v>
      </c>
      <c r="O544" s="23">
        <f>IF(E544="男",LOOKUP($N544,[1]对照表!$Z$3:$Z$13,[1]对照表!$AA$3:$AA$13),LOOKUP($N544,[1]对照表!$Z$15:$Z$25,[1]对照表!$AA$15:$AA$25))</f>
        <v>0</v>
      </c>
      <c r="P544" s="25">
        <f>M544+O544</f>
        <v>0</v>
      </c>
      <c r="Q544" s="38"/>
      <c r="R544" s="20">
        <v>0</v>
      </c>
      <c r="S544" s="22">
        <v>0</v>
      </c>
      <c r="T544" s="23">
        <f>IF(E544="男",LOOKUP($S544,[1]对照表!$AB$3:$AB$13,[1]对照表!$AC$3:$AC$13),LOOKUP($S544,[1]对照表!$AB$15:$AB$25,[1]对照表!$AC$15:$AC$25))</f>
        <v>0</v>
      </c>
      <c r="U544" s="26">
        <f>R544+T544</f>
        <v>0</v>
      </c>
      <c r="V544" s="26">
        <f>SUM(I544,K544,M544)/3*0.3+SUM(G544,R544)/2*0.4</f>
        <v>0</v>
      </c>
      <c r="W544" s="27">
        <f>O544+T544</f>
        <v>0</v>
      </c>
      <c r="X544" s="28">
        <f>V544/0.7+W544</f>
        <v>0</v>
      </c>
      <c r="Y544" s="29">
        <v>50</v>
      </c>
      <c r="Z544" s="38"/>
    </row>
    <row r="545" spans="1:26" ht="15.6" x14ac:dyDescent="0.25">
      <c r="A545" s="48">
        <v>4</v>
      </c>
      <c r="B545" s="17" t="s">
        <v>767</v>
      </c>
      <c r="C545" s="48">
        <v>214</v>
      </c>
      <c r="D545" s="49" t="s">
        <v>768</v>
      </c>
      <c r="E545" s="48" t="s">
        <v>23</v>
      </c>
      <c r="F545" s="38">
        <v>6.7</v>
      </c>
      <c r="G545" s="32">
        <f>IF(B545="高三",IF($E545="男",LOOKUP(F545,[1]对照表!$G$3:$G$24,[1]对照表!$H$3:$H$24),LOOKUP(F545,[1]对照表!$G$27:$G$48,[1]对照表!$H$27:$H$48)),IF(B545="高二",IF($E545="男",LOOKUP(F545,[1]对照表!$F$3:$F$24,[1]对照表!$H$3:$H$24),LOOKUP(F545,[1]对照表!$F$27:$F$48,[1]对照表!$H$27:$H$48)),IF(B545="高一",IF($E545="男",LOOKUP(F545,[1]对照表!$E$3:$E$24,[1]对照表!$H$3:$H$24),LOOKUP(F545,[1]对照表!$E$27:$E$48,[1]对照表!$H$27:$H$48)))))</f>
        <v>100</v>
      </c>
      <c r="H545" s="38">
        <v>30</v>
      </c>
      <c r="I545" s="32">
        <f>IF(B545="高三",IF($E545="男",LOOKUP(H545,[1]对照表!$K$3:$K$24,[1]对照表!$L$3:$L$24),LOOKUP(H545,[1]对照表!$K$27:$K$48,[1]对照表!$L$27:$L$48)),IF(B545="高二",IF($E545="男",LOOKUP(H545,[1]对照表!$J$3:$J$24,[1]对照表!$L$3:$L$24),LOOKUP(H545,[1]对照表!$J$27:$J$48,[1]对照表!$L$27:$L$48)),IF(B545="高一",IF($E545="男",LOOKUP(H545,[1]对照表!$I$3:$I$24,[1]对照表!$L$3:$L$24),LOOKUP(H545,[1]对照表!$I$27:$I$48,[1]对照表!$L$27:$L$48)))))</f>
        <v>100</v>
      </c>
      <c r="J545" s="38">
        <v>278</v>
      </c>
      <c r="K545" s="32">
        <f>IF(B545="高三",IF($E545="男",LOOKUP(J545,[1]对照表!$O$3:$O$24,[1]对照表!$P$3:$P$24),LOOKUP(J545,[1]对照表!$O$27:$O$48,[1]对照表!$P$27:$P$48)),IF(B545="高二",IF($E545="男",LOOKUP(J545,[1]对照表!$N$3:$N$24,[1]对照表!$P$3:$P$24),LOOKUP(J545,[1]对照表!$N$27:$N$48,[1]对照表!$P$27:$P$48)),IF(B545="高一",IF($E545="男",LOOKUP(J545,[1]对照表!$M$3:$M$24,[1]对照表!$P$3:$P$24),LOOKUP(J545,[1]对照表!$M$27:$M$48,[1]对照表!$P$27:$P$48)))))</f>
        <v>100</v>
      </c>
      <c r="L545" s="38">
        <v>27</v>
      </c>
      <c r="M545" s="32">
        <f>IF(B545="高三",IF($E545="男",LOOKUP(L545,[1]对照表!$S$3:$S$24,[1]对照表!$T$3:$T$24),LOOKUP(L545,[1]对照表!$S$27:$S$48,[1]对照表!$T$27:$T$48)),IF(B545="高二",IF($E545="男",LOOKUP(L545,[1]对照表!$R$3:$R$24,[1]对照表!$T$3:$T$24),LOOKUP(L545,[1]对照表!$R$27:$R$48,[1]对照表!$T$27:$T$48)),IF(B545="高一",IF($E545="男",LOOKUP(L545,[1]对照表!$Q$3:$Q$24,[1]对照表!$T$3:$T$24),LOOKUP(L545,[1]对照表!$Q$27:$Q$48,[1]对照表!$T$27:$T$48)))))</f>
        <v>100</v>
      </c>
      <c r="N545" s="33">
        <f>IF(B545="高三",MAX(IF(E545="男",L545-18,L545-55),0),IF(B545="高二",MAX(IF(E545="男",L545-17,L545-54),0),IF(B545="高一",MAX(IF(E545="男",L545-16,L545-53),0))))</f>
        <v>10</v>
      </c>
      <c r="O545" s="23">
        <f>IF(E545="男",LOOKUP($N545,[1]对照表!$Z$3:$Z$13,[1]对照表!$AA$3:$AA$13),LOOKUP($N545,[1]对照表!$Z$15:$Z$25,[1]对照表!$AA$15:$AA$25))</f>
        <v>10</v>
      </c>
      <c r="P545" s="25">
        <f>M545+O545</f>
        <v>110</v>
      </c>
      <c r="Q545" s="38">
        <v>3.14</v>
      </c>
      <c r="R545" s="32">
        <f>IF(B545="高三",IF($E545="男",LOOKUP(Q545,[1]对照表!$W$3:$W$24,[1]对照表!$X$3:$X$24),LOOKUP(Q545,[1]对照表!$W$27:$W$48,[1]对照表!$X$27:$X$48)),IF(B545="高二",IF($E545="男",LOOKUP(Q545,[1]对照表!$V$3:$V$24,[1]对照表!$X$3:$X$24),LOOKUP(Q545,[1]对照表!$V$27:$V$48,[1]对照表!$X$27:$X$48)),IF(B545="高一",IF($E545="男",LOOKUP(Q545,[1]对照表!$U$3:$U$24,[1]对照表!$X$3:$X$24),LOOKUP(Q545,[1]对照表!$U$27:$U$48,[1]对照表!$X$27:$X$48)))))</f>
        <v>100</v>
      </c>
      <c r="S545" s="33">
        <f>ROUND(IF(IF($B545="高三",MIN(IF($E545="男",$Q545-3.2,$Q545-3.2),0),IF($B545="高二",MIN(IF($E545="男",$Q545-3.25,$Q545-3.22),0),IF($B545="高一",MIN(IF($E545="男",$Q545-3.3,$Q545-3.24),0))))&lt;-0.6,IF($B545="高三",MIN(IF($E545="男",$Q545-3.2,$Q545-3.2),0),IF($B545="高二",MIN(IF($E545="男",$Q545-3.25,$Q545-3.22),0),IF($B545="高一",MIN(IF($E545="男",$Q545-3.3,$Q545-3.24),0))))+0.4,IF($B545="高三",MIN(IF($E545="男",$Q545-3.2,$Q545-3.2),0),IF($B545="高二",MIN(IF($E545="男",$Q545-3.25,$Q545-3.22),0),IF($B545="高一",MIN(IF($E545="男",$Q545-3.3,$Q545-3.24),0))))),2)</f>
        <v>-0.11</v>
      </c>
      <c r="T545" s="23">
        <f>IF(E545="男",LOOKUP($S545,[1]对照表!$AB$3:$AB$13,[1]对照表!$AC$3:$AC$13),LOOKUP($S545,[1]对照表!$AB$15:$AB$25,[1]对照表!$AC$15:$AC$25))</f>
        <v>2</v>
      </c>
      <c r="U545" s="26">
        <f>R545+T545</f>
        <v>102</v>
      </c>
      <c r="V545" s="26">
        <f>SUM(I545,K545,M545)/3*0.3+SUM(G545,R545)/2*0.4</f>
        <v>70</v>
      </c>
      <c r="W545" s="27">
        <f>O545+T545</f>
        <v>12</v>
      </c>
      <c r="X545" s="28">
        <f>V545/0.7+W545</f>
        <v>112</v>
      </c>
      <c r="Y545" s="28">
        <f>X545</f>
        <v>112</v>
      </c>
      <c r="Z545" s="38"/>
    </row>
    <row r="546" spans="1:26" ht="15.6" x14ac:dyDescent="0.25">
      <c r="A546" s="48">
        <v>17</v>
      </c>
      <c r="B546" s="17" t="s">
        <v>767</v>
      </c>
      <c r="C546" s="48">
        <v>214</v>
      </c>
      <c r="D546" s="49" t="s">
        <v>782</v>
      </c>
      <c r="E546" s="48" t="s">
        <v>23</v>
      </c>
      <c r="F546" s="38">
        <v>6.7</v>
      </c>
      <c r="G546" s="32">
        <f>IF(B546="高三",IF($E546="男",LOOKUP(F546,[1]对照表!$G$3:$G$24,[1]对照表!$H$3:$H$24),LOOKUP(F546,[1]对照表!$G$27:$G$48,[1]对照表!$H$27:$H$48)),IF(B546="高二",IF($E546="男",LOOKUP(F546,[1]对照表!$F$3:$F$24,[1]对照表!$H$3:$H$24),LOOKUP(F546,[1]对照表!$F$27:$F$48,[1]对照表!$H$27:$H$48)),IF(B546="高一",IF($E546="男",LOOKUP(F546,[1]对照表!$E$3:$E$24,[1]对照表!$H$3:$H$24),LOOKUP(F546,[1]对照表!$E$27:$E$48,[1]对照表!$H$27:$H$48)))))</f>
        <v>100</v>
      </c>
      <c r="H546" s="38">
        <v>30.5</v>
      </c>
      <c r="I546" s="32">
        <f>IF(B546="高三",IF($E546="男",LOOKUP(H546,[1]对照表!$K$3:$K$24,[1]对照表!$L$3:$L$24),LOOKUP(H546,[1]对照表!$K$27:$K$48,[1]对照表!$L$27:$L$48)),IF(B546="高二",IF($E546="男",LOOKUP(H546,[1]对照表!$J$3:$J$24,[1]对照表!$L$3:$L$24),LOOKUP(H546,[1]对照表!$J$27:$J$48,[1]对照表!$L$27:$L$48)),IF(B546="高一",IF($E546="男",LOOKUP(H546,[1]对照表!$I$3:$I$24,[1]对照表!$L$3:$L$24),LOOKUP(H546,[1]对照表!$I$27:$I$48,[1]对照表!$L$27:$L$48)))))</f>
        <v>100</v>
      </c>
      <c r="J546" s="38">
        <v>270</v>
      </c>
      <c r="K546" s="32">
        <f>IF(B546="高三",IF($E546="男",LOOKUP(J546,[1]对照表!$O$3:$O$24,[1]对照表!$P$3:$P$24),LOOKUP(J546,[1]对照表!$O$27:$O$48,[1]对照表!$P$27:$P$48)),IF(B546="高二",IF($E546="男",LOOKUP(J546,[1]对照表!$N$3:$N$24,[1]对照表!$P$3:$P$24),LOOKUP(J546,[1]对照表!$N$27:$N$48,[1]对照表!$P$27:$P$48)),IF(B546="高一",IF($E546="男",LOOKUP(J546,[1]对照表!$M$3:$M$24,[1]对照表!$P$3:$P$24),LOOKUP(J546,[1]对照表!$M$27:$M$48,[1]对照表!$P$27:$P$48)))))</f>
        <v>100</v>
      </c>
      <c r="L546" s="38">
        <v>27</v>
      </c>
      <c r="M546" s="32">
        <f>IF(B546="高三",IF($E546="男",LOOKUP(L546,[1]对照表!$S$3:$S$24,[1]对照表!$T$3:$T$24),LOOKUP(L546,[1]对照表!$S$27:$S$48,[1]对照表!$T$27:$T$48)),IF(B546="高二",IF($E546="男",LOOKUP(L546,[1]对照表!$R$3:$R$24,[1]对照表!$T$3:$T$24),LOOKUP(L546,[1]对照表!$R$27:$R$48,[1]对照表!$T$27:$T$48)),IF(B546="高一",IF($E546="男",LOOKUP(L546,[1]对照表!$Q$3:$Q$24,[1]对照表!$T$3:$T$24),LOOKUP(L546,[1]对照表!$Q$27:$Q$48,[1]对照表!$T$27:$T$48)))))</f>
        <v>100</v>
      </c>
      <c r="N546" s="33">
        <f>IF(B546="高三",MAX(IF(E546="男",L546-18,L546-55),0),IF(B546="高二",MAX(IF(E546="男",L546-17,L546-54),0),IF(B546="高一",MAX(IF(E546="男",L546-16,L546-53),0))))</f>
        <v>10</v>
      </c>
      <c r="O546" s="23">
        <f>IF(E546="男",LOOKUP($N546,[1]对照表!$Z$3:$Z$13,[1]对照表!$AA$3:$AA$13),LOOKUP($N546,[1]对照表!$Z$15:$Z$25,[1]对照表!$AA$15:$AA$25))</f>
        <v>10</v>
      </c>
      <c r="P546" s="25">
        <f>M546+O546</f>
        <v>110</v>
      </c>
      <c r="Q546" s="38">
        <v>3.27</v>
      </c>
      <c r="R546" s="32">
        <f>IF(B546="高三",IF($E546="男",LOOKUP(Q546,[1]对照表!$W$3:$W$24,[1]对照表!$X$3:$X$24),LOOKUP(Q546,[1]对照表!$W$27:$W$48,[1]对照表!$X$27:$X$48)),IF(B546="高二",IF($E546="男",LOOKUP(Q546,[1]对照表!$V$3:$V$24,[1]对照表!$X$3:$X$24),LOOKUP(Q546,[1]对照表!$V$27:$V$48,[1]对照表!$X$27:$X$48)),IF(B546="高一",IF($E546="男",LOOKUP(Q546,[1]对照表!$U$3:$U$24,[1]对照表!$X$3:$X$24),LOOKUP(Q546,[1]对照表!$U$27:$U$48,[1]对照表!$X$27:$X$48)))))</f>
        <v>95</v>
      </c>
      <c r="S546" s="33">
        <f>ROUND(IF(IF($B546="高三",MIN(IF($E546="男",$Q546-3.2,$Q546-3.2),0),IF($B546="高二",MIN(IF($E546="男",$Q546-3.25,$Q546-3.22),0),IF($B546="高一",MIN(IF($E546="男",$Q546-3.3,$Q546-3.24),0))))&lt;-0.6,IF($B546="高三",MIN(IF($E546="男",$Q546-3.2,$Q546-3.2),0),IF($B546="高二",MIN(IF($E546="男",$Q546-3.25,$Q546-3.22),0),IF($B546="高一",MIN(IF($E546="男",$Q546-3.3,$Q546-3.24),0))))+0.4,IF($B546="高三",MIN(IF($E546="男",$Q546-3.2,$Q546-3.2),0),IF($B546="高二",MIN(IF($E546="男",$Q546-3.25,$Q546-3.22),0),IF($B546="高一",MIN(IF($E546="男",$Q546-3.3,$Q546-3.24),0))))),2)</f>
        <v>0</v>
      </c>
      <c r="T546" s="23">
        <f>IF(E546="男",LOOKUP($S546,[1]对照表!$AB$3:$AB$13,[1]对照表!$AC$3:$AC$13),LOOKUP($S546,[1]对照表!$AB$15:$AB$25,[1]对照表!$AC$15:$AC$25))</f>
        <v>0</v>
      </c>
      <c r="U546" s="26">
        <f>R546+T546</f>
        <v>95</v>
      </c>
      <c r="V546" s="26">
        <f>SUM(I546,K546,M546)/3*0.3+SUM(G546,R546)/2*0.4</f>
        <v>69</v>
      </c>
      <c r="W546" s="27">
        <f>O546+T546</f>
        <v>10</v>
      </c>
      <c r="X546" s="28">
        <f>V546/0.7+W546</f>
        <v>108.57142857142858</v>
      </c>
      <c r="Y546" s="28">
        <f>X546</f>
        <v>108.57142857142858</v>
      </c>
      <c r="Z546" s="38"/>
    </row>
    <row r="547" spans="1:26" ht="15.6" x14ac:dyDescent="0.25">
      <c r="A547" s="48">
        <v>41</v>
      </c>
      <c r="B547" s="17" t="s">
        <v>767</v>
      </c>
      <c r="C547" s="48">
        <v>214</v>
      </c>
      <c r="D547" s="49" t="s">
        <v>806</v>
      </c>
      <c r="E547" s="48" t="s">
        <v>65</v>
      </c>
      <c r="F547" s="38">
        <v>8.1300000000000008</v>
      </c>
      <c r="G547" s="32">
        <f>IF(B547="高三",IF($E547="男",LOOKUP(F547,[1]对照表!$G$3:$G$24,[1]对照表!$H$3:$H$24),LOOKUP(F547,[1]对照表!$G$27:$G$48,[1]对照表!$H$27:$H$48)),IF(B547="高二",IF($E547="男",LOOKUP(F547,[1]对照表!$F$3:$F$24,[1]对照表!$H$3:$H$24),LOOKUP(F547,[1]对照表!$F$27:$F$48,[1]对照表!$H$27:$H$48)),IF(B547="高一",IF($E547="男",LOOKUP(F547,[1]对照表!$E$3:$E$24,[1]对照表!$H$3:$H$24),LOOKUP(F547,[1]对照表!$E$27:$E$48,[1]对照表!$H$27:$H$48)))))</f>
        <v>85</v>
      </c>
      <c r="H547" s="38">
        <v>22.7</v>
      </c>
      <c r="I547" s="32">
        <f>IF(B547="高三",IF($E547="男",LOOKUP(H547,[1]对照表!$K$3:$K$24,[1]对照表!$L$3:$L$24),LOOKUP(H547,[1]对照表!$K$27:$K$48,[1]对照表!$L$27:$L$48)),IF(B547="高二",IF($E547="男",LOOKUP(H547,[1]对照表!$J$3:$J$24,[1]对照表!$L$3:$L$24),LOOKUP(H547,[1]对照表!$J$27:$J$48,[1]对照表!$L$27:$L$48)),IF(B547="高一",IF($E547="男",LOOKUP(H547,[1]对照表!$I$3:$I$24,[1]对照表!$L$3:$L$24),LOOKUP(H547,[1]对照表!$I$27:$I$48,[1]对照表!$L$27:$L$48)))))</f>
        <v>90</v>
      </c>
      <c r="J547" s="38">
        <v>192</v>
      </c>
      <c r="K547" s="32">
        <f>IF(B547="高三",IF($E547="男",LOOKUP(J547,[1]对照表!$O$3:$O$24,[1]对照表!$P$3:$P$24),LOOKUP(J547,[1]对照表!$O$27:$O$48,[1]对照表!$P$27:$P$48)),IF(B547="高二",IF($E547="男",LOOKUP(J547,[1]对照表!$N$3:$N$24,[1]对照表!$P$3:$P$24),LOOKUP(J547,[1]对照表!$N$27:$N$48,[1]对照表!$P$27:$P$48)),IF(B547="高一",IF($E547="男",LOOKUP(J547,[1]对照表!$M$3:$M$24,[1]对照表!$P$3:$P$24),LOOKUP(J547,[1]对照表!$M$27:$M$48,[1]对照表!$P$27:$P$48)))))</f>
        <v>85</v>
      </c>
      <c r="L547" s="38">
        <v>60</v>
      </c>
      <c r="M547" s="32">
        <f>IF(B547="高三",IF($E547="男",LOOKUP(L547,[1]对照表!$S$3:$S$24,[1]对照表!$T$3:$T$24),LOOKUP(L547,[1]对照表!$S$27:$S$48,[1]对照表!$T$27:$T$48)),IF(B547="高二",IF($E547="男",LOOKUP(L547,[1]对照表!$R$3:$R$24,[1]对照表!$T$3:$T$24),LOOKUP(L547,[1]对照表!$R$27:$R$48,[1]对照表!$T$27:$T$48)),IF(B547="高一",IF($E547="男",LOOKUP(L547,[1]对照表!$Q$3:$Q$24,[1]对照表!$T$3:$T$24),LOOKUP(L547,[1]对照表!$Q$27:$Q$48,[1]对照表!$T$27:$T$48)))))</f>
        <v>100</v>
      </c>
      <c r="N547" s="33">
        <f>IF(B547="高三",MAX(IF(E547="男",L547-18,L547-55),0),IF(B547="高二",MAX(IF(E547="男",L547-17,L547-54),0),IF(B547="高一",MAX(IF(E547="男",L547-16,L547-53),0))))</f>
        <v>6</v>
      </c>
      <c r="O547" s="23">
        <f>IF(E547="男",LOOKUP($N547,[1]对照表!$Z$3:$Z$13,[1]对照表!$AA$3:$AA$13),LOOKUP($N547,[1]对照表!$Z$15:$Z$25,[1]对照表!$AA$15:$AA$25))</f>
        <v>3</v>
      </c>
      <c r="P547" s="25">
        <f>M547+O547</f>
        <v>103</v>
      </c>
      <c r="Q547" s="38">
        <v>3.19</v>
      </c>
      <c r="R547" s="32">
        <f>IF(B547="高三",IF($E547="男",LOOKUP(Q547,[1]对照表!$W$3:$W$24,[1]对照表!$X$3:$X$24),LOOKUP(Q547,[1]对照表!$W$27:$W$48,[1]对照表!$X$27:$X$48)),IF(B547="高二",IF($E547="男",LOOKUP(Q547,[1]对照表!$V$3:$V$24,[1]对照表!$X$3:$X$24),LOOKUP(Q547,[1]对照表!$V$27:$V$48,[1]对照表!$X$27:$X$48)),IF(B547="高一",IF($E547="男",LOOKUP(Q547,[1]对照表!$U$3:$U$24,[1]对照表!$X$3:$X$24),LOOKUP(Q547,[1]对照表!$U$27:$U$48,[1]对照表!$X$27:$X$48)))))</f>
        <v>100</v>
      </c>
      <c r="S547" s="33">
        <f>ROUND(IF(IF($B547="高三",MIN(IF($E547="男",$Q547-3.2,$Q547-3.2),0),IF($B547="高二",MIN(IF($E547="男",$Q547-3.25,$Q547-3.22),0),IF($B547="高一",MIN(IF($E547="男",$Q547-3.3,$Q547-3.24),0))))&lt;-0.6,IF($B547="高三",MIN(IF($E547="男",$Q547-3.2,$Q547-3.2),0),IF($B547="高二",MIN(IF($E547="男",$Q547-3.25,$Q547-3.22),0),IF($B547="高一",MIN(IF($E547="男",$Q547-3.3,$Q547-3.24),0))))+0.4,IF($B547="高三",MIN(IF($E547="男",$Q547-3.2,$Q547-3.2),0),IF($B547="高二",MIN(IF($E547="男",$Q547-3.25,$Q547-3.22),0),IF($B547="高一",MIN(IF($E547="男",$Q547-3.3,$Q547-3.24),0))))),2)</f>
        <v>-0.03</v>
      </c>
      <c r="T547" s="23">
        <f>IF(E547="男",LOOKUP($S547,[1]对照表!$AB$3:$AB$13,[1]对照表!$AC$3:$AC$13),LOOKUP($S547,[1]对照表!$AB$15:$AB$25,[1]对照表!$AC$15:$AC$25))</f>
        <v>0</v>
      </c>
      <c r="U547" s="26">
        <f>R547+T547</f>
        <v>100</v>
      </c>
      <c r="V547" s="26">
        <f>SUM(I547,K547,M547)/3*0.3+SUM(G547,R547)/2*0.4</f>
        <v>64.5</v>
      </c>
      <c r="W547" s="27">
        <f>O547+T547</f>
        <v>3</v>
      </c>
      <c r="X547" s="28">
        <f>V547/0.7+W547</f>
        <v>95.142857142857153</v>
      </c>
      <c r="Y547" s="28">
        <f>X547</f>
        <v>95.142857142857153</v>
      </c>
      <c r="Z547" s="38"/>
    </row>
    <row r="548" spans="1:26" ht="15.6" x14ac:dyDescent="0.25">
      <c r="A548" s="38">
        <v>46</v>
      </c>
      <c r="B548" s="17" t="s">
        <v>767</v>
      </c>
      <c r="C548" s="48">
        <v>214</v>
      </c>
      <c r="D548" s="49" t="s">
        <v>855</v>
      </c>
      <c r="E548" s="48" t="s">
        <v>65</v>
      </c>
      <c r="F548" s="38">
        <v>8.23</v>
      </c>
      <c r="G548" s="32">
        <f>IF(B548="高三",IF($E548="男",LOOKUP(F548,[1]对照表!$G$3:$G$24,[1]对照表!$H$3:$H$24),LOOKUP(F548,[1]对照表!$G$27:$G$48,[1]对照表!$H$27:$H$48)),IF(B548="高二",IF($E548="男",LOOKUP(F548,[1]对照表!$F$3:$F$24,[1]对照表!$H$3:$H$24),LOOKUP(F548,[1]对照表!$F$27:$F$48,[1]对照表!$H$27:$H$48)),IF(B548="高一",IF($E548="男",LOOKUP(F548,[1]对照表!$E$3:$E$24,[1]对照表!$H$3:$H$24),LOOKUP(F548,[1]对照表!$E$27:$E$48,[1]对照表!$H$27:$H$48)))))</f>
        <v>80</v>
      </c>
      <c r="H548" s="38">
        <v>20.7</v>
      </c>
      <c r="I548" s="32">
        <f>IF(B548="高三",IF($E548="男",LOOKUP(H548,[1]对照表!$K$3:$K$24,[1]对照表!$L$3:$L$24),LOOKUP(H548,[1]对照表!$K$27:$K$48,[1]对照表!$L$27:$L$48)),IF(B548="高二",IF($E548="男",LOOKUP(H548,[1]对照表!$J$3:$J$24,[1]对照表!$L$3:$L$24),LOOKUP(H548,[1]对照表!$J$27:$J$48,[1]对照表!$L$27:$L$48)),IF(B548="高一",IF($E548="男",LOOKUP(H548,[1]对照表!$I$3:$I$24,[1]对照表!$L$3:$L$24),LOOKUP(H548,[1]对照表!$I$27:$I$48,[1]对照表!$L$27:$L$48)))))</f>
        <v>85</v>
      </c>
      <c r="J548" s="38">
        <v>185</v>
      </c>
      <c r="K548" s="32">
        <f>IF(B548="高三",IF($E548="男",LOOKUP(J548,[1]对照表!$O$3:$O$24,[1]对照表!$P$3:$P$24),LOOKUP(J548,[1]对照表!$O$27:$O$48,[1]对照表!$P$27:$P$48)),IF(B548="高二",IF($E548="男",LOOKUP(J548,[1]对照表!$N$3:$N$24,[1]对照表!$P$3:$P$24),LOOKUP(J548,[1]对照表!$N$27:$N$48,[1]对照表!$P$27:$P$48)),IF(B548="高一",IF($E548="男",LOOKUP(J548,[1]对照表!$M$3:$M$24,[1]对照表!$P$3:$P$24),LOOKUP(J548,[1]对照表!$M$27:$M$48,[1]对照表!$P$27:$P$48)))))</f>
        <v>80</v>
      </c>
      <c r="L548" s="38">
        <v>52</v>
      </c>
      <c r="M548" s="32">
        <f>IF(B548="高三",IF($E548="男",LOOKUP(L548,[1]对照表!$S$3:$S$24,[1]对照表!$T$3:$T$24),LOOKUP(L548,[1]对照表!$S$27:$S$48,[1]对照表!$T$27:$T$48)),IF(B548="高二",IF($E548="男",LOOKUP(L548,[1]对照表!$R$3:$R$24,[1]对照表!$T$3:$T$24),LOOKUP(L548,[1]对照表!$R$27:$R$48,[1]对照表!$T$27:$T$48)),IF(B548="高一",IF($E548="男",LOOKUP(L548,[1]对照表!$Q$3:$Q$24,[1]对照表!$T$3:$T$24),LOOKUP(L548,[1]对照表!$Q$27:$Q$48,[1]对照表!$T$27:$T$48)))))</f>
        <v>95</v>
      </c>
      <c r="N548" s="33">
        <f>IF(B548="高三",MAX(IF(E548="男",L548-18,L548-55),0),IF(B548="高二",MAX(IF(E548="男",L548-17,L548-54),0),IF(B548="高一",MAX(IF(E548="男",L548-16,L548-53),0))))</f>
        <v>0</v>
      </c>
      <c r="O548" s="23">
        <f>IF(E548="男",LOOKUP($N548,[1]对照表!$Z$3:$Z$13,[1]对照表!$AA$3:$AA$13),LOOKUP($N548,[1]对照表!$Z$15:$Z$25,[1]对照表!$AA$15:$AA$25))</f>
        <v>0</v>
      </c>
      <c r="P548" s="25">
        <f>M548+O548</f>
        <v>95</v>
      </c>
      <c r="Q548" s="38">
        <v>3.13</v>
      </c>
      <c r="R548" s="32">
        <f>IF(B548="高三",IF($E548="男",LOOKUP(Q548,[1]对照表!$W$3:$W$24,[1]对照表!$X$3:$X$24),LOOKUP(Q548,[1]对照表!$W$27:$W$48,[1]对照表!$X$27:$X$48)),IF(B548="高二",IF($E548="男",LOOKUP(Q548,[1]对照表!$V$3:$V$24,[1]对照表!$X$3:$X$24),LOOKUP(Q548,[1]对照表!$V$27:$V$48,[1]对照表!$X$27:$X$48)),IF(B548="高一",IF($E548="男",LOOKUP(Q548,[1]对照表!$U$3:$U$24,[1]对照表!$X$3:$X$24),LOOKUP(Q548,[1]对照表!$U$27:$U$48,[1]对照表!$X$27:$X$48)))))</f>
        <v>100</v>
      </c>
      <c r="S548" s="33">
        <f>ROUND(IF(IF($B548="高三",MIN(IF($E548="男",$Q548-3.2,$Q548-3.2),0),IF($B548="高二",MIN(IF($E548="男",$Q548-3.25,$Q548-3.22),0),IF($B548="高一",MIN(IF($E548="男",$Q548-3.3,$Q548-3.24),0))))&lt;-0.6,IF($B548="高三",MIN(IF($E548="男",$Q548-3.2,$Q548-3.2),0),IF($B548="高二",MIN(IF($E548="男",$Q548-3.25,$Q548-3.22),0),IF($B548="高一",MIN(IF($E548="男",$Q548-3.3,$Q548-3.24),0))))+0.4,IF($B548="高三",MIN(IF($E548="男",$Q548-3.2,$Q548-3.2),0),IF($B548="高二",MIN(IF($E548="男",$Q548-3.25,$Q548-3.22),0),IF($B548="高一",MIN(IF($E548="男",$Q548-3.3,$Q548-3.24),0))))),2)</f>
        <v>-0.09</v>
      </c>
      <c r="T548" s="23">
        <f>IF(E548="男",LOOKUP($S548,[1]对照表!$AB$3:$AB$13,[1]对照表!$AC$3:$AC$13),LOOKUP($S548,[1]对照表!$AB$15:$AB$25,[1]对照表!$AC$15:$AC$25))</f>
        <v>1</v>
      </c>
      <c r="U548" s="26">
        <f>R548+T548</f>
        <v>101</v>
      </c>
      <c r="V548" s="26">
        <f>SUM(I548,K548,M548)/3*0.3+SUM(G548,R548)/2*0.4</f>
        <v>62</v>
      </c>
      <c r="W548" s="27">
        <f>O548+T548</f>
        <v>1</v>
      </c>
      <c r="X548" s="28">
        <f>V548/0.7+W548</f>
        <v>89.571428571428584</v>
      </c>
      <c r="Y548" s="28">
        <f>X548</f>
        <v>89.571428571428584</v>
      </c>
      <c r="Z548" s="38"/>
    </row>
    <row r="549" spans="1:26" ht="15.6" customHeight="1" x14ac:dyDescent="0.25">
      <c r="A549" s="38">
        <v>44</v>
      </c>
      <c r="B549" s="17" t="s">
        <v>767</v>
      </c>
      <c r="C549" s="48">
        <v>214</v>
      </c>
      <c r="D549" s="49" t="s">
        <v>868</v>
      </c>
      <c r="E549" s="48" t="s">
        <v>65</v>
      </c>
      <c r="F549" s="38">
        <v>8.76</v>
      </c>
      <c r="G549" s="32">
        <f>IF(B549="高三",IF($E549="男",LOOKUP(F549,[1]对照表!$G$3:$G$24,[1]对照表!$H$3:$H$24),LOOKUP(F549,[1]对照表!$G$27:$G$48,[1]对照表!$H$27:$H$48)),IF(B549="高二",IF($E549="男",LOOKUP(F549,[1]对照表!$F$3:$F$24,[1]对照表!$H$3:$H$24),LOOKUP(F549,[1]对照表!$F$27:$F$48,[1]对照表!$H$27:$H$48)),IF(B549="高一",IF($E549="男",LOOKUP(F549,[1]对照表!$E$3:$E$24,[1]对照表!$H$3:$H$24),LOOKUP(F549,[1]对照表!$E$27:$E$48,[1]对照表!$H$27:$H$48)))))</f>
        <v>76</v>
      </c>
      <c r="H549" s="38">
        <v>26.4</v>
      </c>
      <c r="I549" s="32">
        <f>IF(B549="高三",IF($E549="男",LOOKUP(H549,[1]对照表!$K$3:$K$24,[1]对照表!$L$3:$L$24),LOOKUP(H549,[1]对照表!$K$27:$K$48,[1]对照表!$L$27:$L$48)),IF(B549="高二",IF($E549="男",LOOKUP(H549,[1]对照表!$J$3:$J$24,[1]对照表!$L$3:$L$24),LOOKUP(H549,[1]对照表!$J$27:$J$48,[1]对照表!$L$27:$L$48)),IF(B549="高一",IF($E549="男",LOOKUP(H549,[1]对照表!$I$3:$I$24,[1]对照表!$L$3:$L$24),LOOKUP(H549,[1]对照表!$I$27:$I$48,[1]对照表!$L$27:$L$48)))))</f>
        <v>100</v>
      </c>
      <c r="J549" s="38">
        <v>187</v>
      </c>
      <c r="K549" s="32">
        <f>IF(B549="高三",IF($E549="男",LOOKUP(J549,[1]对照表!$O$3:$O$24,[1]对照表!$P$3:$P$24),LOOKUP(J549,[1]对照表!$O$27:$O$48,[1]对照表!$P$27:$P$48)),IF(B549="高二",IF($E549="男",LOOKUP(J549,[1]对照表!$N$3:$N$24,[1]对照表!$P$3:$P$24),LOOKUP(J549,[1]对照表!$N$27:$N$48,[1]对照表!$P$27:$P$48)),IF(B549="高一",IF($E549="男",LOOKUP(J549,[1]对照表!$M$3:$M$24,[1]对照表!$P$3:$P$24),LOOKUP(J549,[1]对照表!$M$27:$M$48,[1]对照表!$P$27:$P$48)))))</f>
        <v>85</v>
      </c>
      <c r="L549" s="38">
        <v>50</v>
      </c>
      <c r="M549" s="32">
        <f>IF(B549="高三",IF($E549="男",LOOKUP(L549,[1]对照表!$S$3:$S$24,[1]对照表!$T$3:$T$24),LOOKUP(L549,[1]对照表!$S$27:$S$48,[1]对照表!$T$27:$T$48)),IF(B549="高二",IF($E549="男",LOOKUP(L549,[1]对照表!$R$3:$R$24,[1]对照表!$T$3:$T$24),LOOKUP(L549,[1]对照表!$R$27:$R$48,[1]对照表!$T$27:$T$48)),IF(B549="高一",IF($E549="男",LOOKUP(L549,[1]对照表!$Q$3:$Q$24,[1]对照表!$T$3:$T$24),LOOKUP(L549,[1]对照表!$Q$27:$Q$48,[1]对照表!$T$27:$T$48)))))</f>
        <v>90</v>
      </c>
      <c r="N549" s="33">
        <f>IF(B549="高三",MAX(IF(E549="男",L549-18,L549-55),0),IF(B549="高二",MAX(IF(E549="男",L549-17,L549-54),0),IF(B549="高一",MAX(IF(E549="男",L549-16,L549-53),0))))</f>
        <v>0</v>
      </c>
      <c r="O549" s="23">
        <f>IF(E549="男",LOOKUP($N549,[1]对照表!$Z$3:$Z$13,[1]对照表!$AA$3:$AA$13),LOOKUP($N549,[1]对照表!$Z$15:$Z$25,[1]对照表!$AA$15:$AA$25))</f>
        <v>0</v>
      </c>
      <c r="P549" s="25">
        <f>M549+O549</f>
        <v>90</v>
      </c>
      <c r="Q549" s="38">
        <v>3.25</v>
      </c>
      <c r="R549" s="32">
        <f>IF(B549="高三",IF($E549="男",LOOKUP(Q549,[1]对照表!$W$3:$W$24,[1]对照表!$X$3:$X$24),LOOKUP(Q549,[1]对照表!$W$27:$W$48,[1]对照表!$X$27:$X$48)),IF(B549="高二",IF($E549="男",LOOKUP(Q549,[1]对照表!$V$3:$V$24,[1]对照表!$X$3:$X$24),LOOKUP(Q549,[1]对照表!$V$27:$V$48,[1]对照表!$X$27:$X$48)),IF(B549="高一",IF($E549="男",LOOKUP(Q549,[1]对照表!$U$3:$U$24,[1]对照表!$X$3:$X$24),LOOKUP(Q549,[1]对照表!$U$27:$U$48,[1]对照表!$X$27:$X$48)))))</f>
        <v>95</v>
      </c>
      <c r="S549" s="33">
        <f>ROUND(IF(IF($B549="高三",MIN(IF($E549="男",$Q549-3.2,$Q549-3.2),0),IF($B549="高二",MIN(IF($E549="男",$Q549-3.25,$Q549-3.22),0),IF($B549="高一",MIN(IF($E549="男",$Q549-3.3,$Q549-3.24),0))))&lt;-0.6,IF($B549="高三",MIN(IF($E549="男",$Q549-3.2,$Q549-3.2),0),IF($B549="高二",MIN(IF($E549="男",$Q549-3.25,$Q549-3.22),0),IF($B549="高一",MIN(IF($E549="男",$Q549-3.3,$Q549-3.24),0))))+0.4,IF($B549="高三",MIN(IF($E549="男",$Q549-3.2,$Q549-3.2),0),IF($B549="高二",MIN(IF($E549="男",$Q549-3.25,$Q549-3.22),0),IF($B549="高一",MIN(IF($E549="男",$Q549-3.3,$Q549-3.24),0))))),2)</f>
        <v>0</v>
      </c>
      <c r="T549" s="23">
        <f>IF(E549="男",LOOKUP($S549,[1]对照表!$AB$3:$AB$13,[1]对照表!$AC$3:$AC$13),LOOKUP($S549,[1]对照表!$AB$15:$AB$25,[1]对照表!$AC$15:$AC$25))</f>
        <v>0</v>
      </c>
      <c r="U549" s="26">
        <f>R549+T549</f>
        <v>95</v>
      </c>
      <c r="V549" s="26">
        <f>SUM(I549,K549,M549)/3*0.3+SUM(G549,R549)/2*0.4</f>
        <v>61.7</v>
      </c>
      <c r="W549" s="27">
        <f>O549+T549</f>
        <v>0</v>
      </c>
      <c r="X549" s="28">
        <f>V549/0.7+W549</f>
        <v>88.142857142857153</v>
      </c>
      <c r="Y549" s="28">
        <f>X549</f>
        <v>88.142857142857153</v>
      </c>
      <c r="Z549" s="38"/>
    </row>
    <row r="550" spans="1:26" ht="15.6" x14ac:dyDescent="0.25">
      <c r="A550" s="48">
        <v>3</v>
      </c>
      <c r="B550" s="17" t="s">
        <v>767</v>
      </c>
      <c r="C550" s="48">
        <v>214</v>
      </c>
      <c r="D550" s="49" t="s">
        <v>898</v>
      </c>
      <c r="E550" s="48" t="s">
        <v>23</v>
      </c>
      <c r="F550" s="52">
        <v>7</v>
      </c>
      <c r="G550" s="32">
        <f>IF(B550="高三",IF($E550="男",LOOKUP(F550,[1]对照表!$G$3:$G$24,[1]对照表!$H$3:$H$24),LOOKUP(F550,[1]对照表!$G$27:$G$48,[1]对照表!$H$27:$H$48)),IF(B550="高二",IF($E550="男",LOOKUP(F550,[1]对照表!$F$3:$F$24,[1]对照表!$H$3:$H$24),LOOKUP(F550,[1]对照表!$F$27:$F$48,[1]对照表!$H$27:$H$48)),IF(B550="高一",IF($E550="男",LOOKUP(F550,[1]对照表!$E$3:$E$24,[1]对照表!$H$3:$H$24),LOOKUP(F550,[1]对照表!$E$27:$E$48,[1]对照表!$H$27:$H$48)))))</f>
        <v>100</v>
      </c>
      <c r="H550" s="52">
        <v>24</v>
      </c>
      <c r="I550" s="32">
        <f>IF(B550="高三",IF($E550="男",LOOKUP(H550,[1]对照表!$K$3:$K$24,[1]对照表!$L$3:$L$24),LOOKUP(H550,[1]对照表!$K$27:$K$48,[1]对照表!$L$27:$L$48)),IF(B550="高二",IF($E550="男",LOOKUP(H550,[1]对照表!$J$3:$J$24,[1]对照表!$L$3:$L$24),LOOKUP(H550,[1]对照表!$J$27:$J$48,[1]对照表!$L$27:$L$48)),IF(B550="高一",IF($E550="男",LOOKUP(H550,[1]对照表!$I$3:$I$24,[1]对照表!$L$3:$L$24),LOOKUP(H550,[1]对照表!$I$27:$I$48,[1]对照表!$L$27:$L$48)))))</f>
        <v>95</v>
      </c>
      <c r="J550" s="52">
        <v>250</v>
      </c>
      <c r="K550" s="32">
        <f>IF(B550="高三",IF($E550="男",LOOKUP(J550,[1]对照表!$O$3:$O$24,[1]对照表!$P$3:$P$24),LOOKUP(J550,[1]对照表!$O$27:$O$48,[1]对照表!$P$27:$P$48)),IF(B550="高二",IF($E550="男",LOOKUP(J550,[1]对照表!$N$3:$N$24,[1]对照表!$P$3:$P$24),LOOKUP(J550,[1]对照表!$N$27:$N$48,[1]对照表!$P$27:$P$48)),IF(B550="高一",IF($E550="男",LOOKUP(J550,[1]对照表!$M$3:$M$24,[1]对照表!$P$3:$P$24),LOOKUP(J550,[1]对照表!$M$27:$M$48,[1]对照表!$P$27:$P$48)))))</f>
        <v>85</v>
      </c>
      <c r="L550" s="52">
        <v>17</v>
      </c>
      <c r="M550" s="32">
        <f>IF(B550="高三",IF($E550="男",LOOKUP(L550,[1]对照表!$S$3:$S$24,[1]对照表!$T$3:$T$24),LOOKUP(L550,[1]对照表!$S$27:$S$48,[1]对照表!$T$27:$T$48)),IF(B550="高二",IF($E550="男",LOOKUP(L550,[1]对照表!$R$3:$R$24,[1]对照表!$T$3:$T$24),LOOKUP(L550,[1]对照表!$R$27:$R$48,[1]对照表!$T$27:$T$48)),IF(B550="高一",IF($E550="男",LOOKUP(L550,[1]对照表!$Q$3:$Q$24,[1]对照表!$T$3:$T$24),LOOKUP(L550,[1]对照表!$Q$27:$Q$48,[1]对照表!$T$27:$T$48)))))</f>
        <v>100</v>
      </c>
      <c r="N550" s="33">
        <f>IF(B550="高三",MAX(IF(E550="男",L550-18,L550-55),0),IF(B550="高二",MAX(IF(E550="男",L550-17,L550-54),0),IF(B550="高一",MAX(IF(E550="男",L550-16,L550-53),0))))</f>
        <v>0</v>
      </c>
      <c r="O550" s="23">
        <f>IF(E550="男",LOOKUP($N550,[1]对照表!$Z$3:$Z$13,[1]对照表!$AA$3:$AA$13),LOOKUP($N550,[1]对照表!$Z$15:$Z$25,[1]对照表!$AA$15:$AA$25))</f>
        <v>0</v>
      </c>
      <c r="P550" s="25">
        <f>M550+O550</f>
        <v>100</v>
      </c>
      <c r="Q550" s="52">
        <v>3.25</v>
      </c>
      <c r="R550" s="32">
        <f>IF(B550="高三",IF($E550="男",LOOKUP(Q550,[1]对照表!$W$3:$W$24,[1]对照表!$X$3:$X$24),LOOKUP(Q550,[1]对照表!$W$27:$W$48,[1]对照表!$X$27:$X$48)),IF(B550="高二",IF($E550="男",LOOKUP(Q550,[1]对照表!$V$3:$V$24,[1]对照表!$X$3:$X$24),LOOKUP(Q550,[1]对照表!$V$27:$V$48,[1]对照表!$X$27:$X$48)),IF(B550="高一",IF($E550="男",LOOKUP(Q550,[1]对照表!$U$3:$U$24,[1]对照表!$X$3:$X$24),LOOKUP(Q550,[1]对照表!$U$27:$U$48,[1]对照表!$X$27:$X$48)))))</f>
        <v>100</v>
      </c>
      <c r="S550" s="33">
        <f>ROUND(IF(IF($B550="高三",MIN(IF($E550="男",$Q550-3.2,$Q550-3.2),0),IF($B550="高二",MIN(IF($E550="男",$Q550-3.25,$Q550-3.22),0),IF($B550="高一",MIN(IF($E550="男",$Q550-3.3,$Q550-3.24),0))))&lt;-0.6,IF($B550="高三",MIN(IF($E550="男",$Q550-3.2,$Q550-3.2),0),IF($B550="高二",MIN(IF($E550="男",$Q550-3.25,$Q550-3.22),0),IF($B550="高一",MIN(IF($E550="男",$Q550-3.3,$Q550-3.24),0))))+0.4,IF($B550="高三",MIN(IF($E550="男",$Q550-3.2,$Q550-3.2),0),IF($B550="高二",MIN(IF($E550="男",$Q550-3.25,$Q550-3.22),0),IF($B550="高一",MIN(IF($E550="男",$Q550-3.3,$Q550-3.24),0))))),2)</f>
        <v>0</v>
      </c>
      <c r="T550" s="23">
        <f>IF(E550="男",LOOKUP($S550,[1]对照表!$AB$3:$AB$13,[1]对照表!$AC$3:$AC$13),LOOKUP($S550,[1]对照表!$AB$15:$AB$25,[1]对照表!$AC$15:$AC$25))</f>
        <v>0</v>
      </c>
      <c r="U550" s="26">
        <f>R550+T550</f>
        <v>100</v>
      </c>
      <c r="V550" s="26">
        <f>SUM(I550,K550,M550)/3*0.3+SUM(G550,R550)/2*0.4</f>
        <v>68</v>
      </c>
      <c r="W550" s="27">
        <f>O550+T550</f>
        <v>0</v>
      </c>
      <c r="X550" s="28">
        <f>V550/0.7+W550</f>
        <v>97.142857142857153</v>
      </c>
      <c r="Y550" s="28">
        <f>X550</f>
        <v>97.142857142857153</v>
      </c>
      <c r="Z550" s="52"/>
    </row>
    <row r="551" spans="1:26" ht="15.6" x14ac:dyDescent="0.25">
      <c r="A551" s="48">
        <v>42</v>
      </c>
      <c r="B551" s="17" t="s">
        <v>767</v>
      </c>
      <c r="C551" s="48">
        <v>214</v>
      </c>
      <c r="D551" s="49" t="s">
        <v>900</v>
      </c>
      <c r="E551" s="48" t="s">
        <v>65</v>
      </c>
      <c r="F551" s="38">
        <v>8.57</v>
      </c>
      <c r="G551" s="32">
        <f>IF(B551="高三",IF($E551="男",LOOKUP(F551,[1]对照表!$G$3:$G$24,[1]对照表!$H$3:$H$24),LOOKUP(F551,[1]对照表!$G$27:$G$48,[1]对照表!$H$27:$H$48)),IF(B551="高二",IF($E551="男",LOOKUP(F551,[1]对照表!$F$3:$F$24,[1]对照表!$H$3:$H$24),LOOKUP(F551,[1]对照表!$F$27:$F$48,[1]对照表!$H$27:$H$48)),IF(B551="高一",IF($E551="男",LOOKUP(F551,[1]对照表!$E$3:$E$24,[1]对照表!$H$3:$H$24),LOOKUP(F551,[1]对照表!$E$27:$E$48,[1]对照表!$H$27:$H$48)))))</f>
        <v>78</v>
      </c>
      <c r="H551" s="38">
        <v>18.600000000000001</v>
      </c>
      <c r="I551" s="32">
        <f>IF(B551="高三",IF($E551="男",LOOKUP(H551,[1]对照表!$K$3:$K$24,[1]对照表!$L$3:$L$24),LOOKUP(H551,[1]对照表!$K$27:$K$48,[1]对照表!$L$27:$L$48)),IF(B551="高二",IF($E551="男",LOOKUP(H551,[1]对照表!$J$3:$J$24,[1]对照表!$L$3:$L$24),LOOKUP(H551,[1]对照表!$J$27:$J$48,[1]对照表!$L$27:$L$48)),IF(B551="高一",IF($E551="男",LOOKUP(H551,[1]对照表!$I$3:$I$24,[1]对照表!$L$3:$L$24),LOOKUP(H551,[1]对照表!$I$27:$I$48,[1]对照表!$L$27:$L$48)))))</f>
        <v>80</v>
      </c>
      <c r="J551" s="38">
        <v>184</v>
      </c>
      <c r="K551" s="32">
        <f>IF(B551="高三",IF($E551="男",LOOKUP(J551,[1]对照表!$O$3:$O$24,[1]对照表!$P$3:$P$24),LOOKUP(J551,[1]对照表!$O$27:$O$48,[1]对照表!$P$27:$P$48)),IF(B551="高二",IF($E551="男",LOOKUP(J551,[1]对照表!$N$3:$N$24,[1]对照表!$P$3:$P$24),LOOKUP(J551,[1]对照表!$N$27:$N$48,[1]对照表!$P$27:$P$48)),IF(B551="高一",IF($E551="男",LOOKUP(J551,[1]对照表!$M$3:$M$24,[1]对照表!$P$3:$P$24),LOOKUP(J551,[1]对照表!$M$27:$M$48,[1]对照表!$P$27:$P$48)))))</f>
        <v>80</v>
      </c>
      <c r="L551" s="38">
        <v>54</v>
      </c>
      <c r="M551" s="32">
        <f>IF(B551="高三",IF($E551="男",LOOKUP(L551,[1]对照表!$S$3:$S$24,[1]对照表!$T$3:$T$24),LOOKUP(L551,[1]对照表!$S$27:$S$48,[1]对照表!$T$27:$T$48)),IF(B551="高二",IF($E551="男",LOOKUP(L551,[1]对照表!$R$3:$R$24,[1]对照表!$T$3:$T$24),LOOKUP(L551,[1]对照表!$R$27:$R$48,[1]对照表!$T$27:$T$48)),IF(B551="高一",IF($E551="男",LOOKUP(L551,[1]对照表!$Q$3:$Q$24,[1]对照表!$T$3:$T$24),LOOKUP(L551,[1]对照表!$Q$27:$Q$48,[1]对照表!$T$27:$T$48)))))</f>
        <v>100</v>
      </c>
      <c r="N551" s="33">
        <f>IF(B551="高三",MAX(IF(E551="男",L551-18,L551-55),0),IF(B551="高二",MAX(IF(E551="男",L551-17,L551-54),0),IF(B551="高一",MAX(IF(E551="男",L551-16,L551-53),0))))</f>
        <v>0</v>
      </c>
      <c r="O551" s="23">
        <f>IF(E551="男",LOOKUP($N551,[1]对照表!$Z$3:$Z$13,[1]对照表!$AA$3:$AA$13),LOOKUP($N551,[1]对照表!$Z$15:$Z$25,[1]对照表!$AA$15:$AA$25))</f>
        <v>0</v>
      </c>
      <c r="P551" s="25">
        <f>M551+O551</f>
        <v>100</v>
      </c>
      <c r="Q551" s="38">
        <v>3.26</v>
      </c>
      <c r="R551" s="32">
        <f>IF(B551="高三",IF($E551="男",LOOKUP(Q551,[1]对照表!$W$3:$W$24,[1]对照表!$X$3:$X$24),LOOKUP(Q551,[1]对照表!$W$27:$W$48,[1]对照表!$X$27:$X$48)),IF(B551="高二",IF($E551="男",LOOKUP(Q551,[1]对照表!$V$3:$V$24,[1]对照表!$X$3:$X$24),LOOKUP(Q551,[1]对照表!$V$27:$V$48,[1]对照表!$X$27:$X$48)),IF(B551="高一",IF($E551="男",LOOKUP(Q551,[1]对照表!$U$3:$U$24,[1]对照表!$X$3:$X$24),LOOKUP(Q551,[1]对照表!$U$27:$U$48,[1]对照表!$X$27:$X$48)))))</f>
        <v>95</v>
      </c>
      <c r="S551" s="33">
        <f>ROUND(IF(IF($B551="高三",MIN(IF($E551="男",$Q551-3.2,$Q551-3.2),0),IF($B551="高二",MIN(IF($E551="男",$Q551-3.25,$Q551-3.22),0),IF($B551="高一",MIN(IF($E551="男",$Q551-3.3,$Q551-3.24),0))))&lt;-0.6,IF($B551="高三",MIN(IF($E551="男",$Q551-3.2,$Q551-3.2),0),IF($B551="高二",MIN(IF($E551="男",$Q551-3.25,$Q551-3.22),0),IF($B551="高一",MIN(IF($E551="男",$Q551-3.3,$Q551-3.24),0))))+0.4,IF($B551="高三",MIN(IF($E551="男",$Q551-3.2,$Q551-3.2),0),IF($B551="高二",MIN(IF($E551="男",$Q551-3.25,$Q551-3.22),0),IF($B551="高一",MIN(IF($E551="男",$Q551-3.3,$Q551-3.24),0))))),2)</f>
        <v>0</v>
      </c>
      <c r="T551" s="23">
        <f>IF(E551="男",LOOKUP($S551,[1]对照表!$AB$3:$AB$13,[1]对照表!$AC$3:$AC$13),LOOKUP($S551,[1]对照表!$AB$15:$AB$25,[1]对照表!$AC$15:$AC$25))</f>
        <v>0</v>
      </c>
      <c r="U551" s="26">
        <f>R551+T551</f>
        <v>95</v>
      </c>
      <c r="V551" s="26">
        <f>SUM(I551,K551,M551)/3*0.3+SUM(G551,R551)/2*0.4</f>
        <v>60.6</v>
      </c>
      <c r="W551" s="27">
        <f>O551+T551</f>
        <v>0</v>
      </c>
      <c r="X551" s="28">
        <f>V551/0.7+W551</f>
        <v>86.571428571428584</v>
      </c>
      <c r="Y551" s="28">
        <f>X551</f>
        <v>86.571428571428584</v>
      </c>
      <c r="Z551" s="38"/>
    </row>
    <row r="552" spans="1:26" ht="15.6" x14ac:dyDescent="0.25">
      <c r="A552" s="48">
        <v>37</v>
      </c>
      <c r="B552" s="17" t="s">
        <v>767</v>
      </c>
      <c r="C552" s="48">
        <v>214</v>
      </c>
      <c r="D552" s="49" t="s">
        <v>904</v>
      </c>
      <c r="E552" s="48" t="s">
        <v>65</v>
      </c>
      <c r="F552" s="38">
        <v>8.7799999999999994</v>
      </c>
      <c r="G552" s="32">
        <f>IF(B552="高三",IF($E552="男",LOOKUP(F552,[1]对照表!$G$3:$G$24,[1]对照表!$H$3:$H$24),LOOKUP(F552,[1]对照表!$G$27:$G$48,[1]对照表!$H$27:$H$48)),IF(B552="高二",IF($E552="男",LOOKUP(F552,[1]对照表!$F$3:$F$24,[1]对照表!$H$3:$H$24),LOOKUP(F552,[1]对照表!$F$27:$F$48,[1]对照表!$H$27:$H$48)),IF(B552="高一",IF($E552="男",LOOKUP(F552,[1]对照表!$E$3:$E$24,[1]对照表!$H$3:$H$24),LOOKUP(F552,[1]对照表!$E$27:$E$48,[1]对照表!$H$27:$H$48)))))</f>
        <v>76</v>
      </c>
      <c r="H552" s="38">
        <v>27</v>
      </c>
      <c r="I552" s="32">
        <f>IF(B552="高三",IF($E552="男",LOOKUP(H552,[1]对照表!$K$3:$K$24,[1]对照表!$L$3:$L$24),LOOKUP(H552,[1]对照表!$K$27:$K$48,[1]对照表!$L$27:$L$48)),IF(B552="高二",IF($E552="男",LOOKUP(H552,[1]对照表!$J$3:$J$24,[1]对照表!$L$3:$L$24),LOOKUP(H552,[1]对照表!$J$27:$J$48,[1]对照表!$L$27:$L$48)),IF(B552="高一",IF($E552="男",LOOKUP(H552,[1]对照表!$I$3:$I$24,[1]对照表!$L$3:$L$24),LOOKUP(H552,[1]对照表!$I$27:$I$48,[1]对照表!$L$27:$L$48)))))</f>
        <v>100</v>
      </c>
      <c r="J552" s="38">
        <v>178</v>
      </c>
      <c r="K552" s="32">
        <f>IF(B552="高三",IF($E552="男",LOOKUP(J552,[1]对照表!$O$3:$O$24,[1]对照表!$P$3:$P$24),LOOKUP(J552,[1]对照表!$O$27:$O$48,[1]对照表!$P$27:$P$48)),IF(B552="高二",IF($E552="男",LOOKUP(J552,[1]对照表!$N$3:$N$24,[1]对照表!$P$3:$P$24),LOOKUP(J552,[1]对照表!$N$27:$N$48,[1]对照表!$P$27:$P$48)),IF(B552="高一",IF($E552="男",LOOKUP(J552,[1]对照表!$M$3:$M$24,[1]对照表!$P$3:$P$24),LOOKUP(J552,[1]对照表!$M$27:$M$48,[1]对照表!$P$27:$P$48)))))</f>
        <v>78</v>
      </c>
      <c r="L552" s="38">
        <v>52</v>
      </c>
      <c r="M552" s="32">
        <f>IF(B552="高三",IF($E552="男",LOOKUP(L552,[1]对照表!$S$3:$S$24,[1]对照表!$T$3:$T$24),LOOKUP(L552,[1]对照表!$S$27:$S$48,[1]对照表!$T$27:$T$48)),IF(B552="高二",IF($E552="男",LOOKUP(L552,[1]对照表!$R$3:$R$24,[1]对照表!$T$3:$T$24),LOOKUP(L552,[1]对照表!$R$27:$R$48,[1]对照表!$T$27:$T$48)),IF(B552="高一",IF($E552="男",LOOKUP(L552,[1]对照表!$Q$3:$Q$24,[1]对照表!$T$3:$T$24),LOOKUP(L552,[1]对照表!$Q$27:$Q$48,[1]对照表!$T$27:$T$48)))))</f>
        <v>95</v>
      </c>
      <c r="N552" s="33">
        <f>IF(B552="高三",MAX(IF(E552="男",L552-18,L552-55),0),IF(B552="高二",MAX(IF(E552="男",L552-17,L552-54),0),IF(B552="高一",MAX(IF(E552="男",L552-16,L552-53),0))))</f>
        <v>0</v>
      </c>
      <c r="O552" s="23">
        <f>IF(E552="男",LOOKUP($N552,[1]对照表!$Z$3:$Z$13,[1]对照表!$AA$3:$AA$13),LOOKUP($N552,[1]对照表!$Z$15:$Z$25,[1]对照表!$AA$15:$AA$25))</f>
        <v>0</v>
      </c>
      <c r="P552" s="25">
        <f>M552+O552</f>
        <v>95</v>
      </c>
      <c r="Q552" s="38">
        <v>3.3</v>
      </c>
      <c r="R552" s="32">
        <f>IF(B552="高三",IF($E552="男",LOOKUP(Q552,[1]对照表!$W$3:$W$24,[1]对照表!$X$3:$X$24),LOOKUP(Q552,[1]对照表!$W$27:$W$48,[1]对照表!$X$27:$X$48)),IF(B552="高二",IF($E552="男",LOOKUP(Q552,[1]对照表!$V$3:$V$24,[1]对照表!$X$3:$X$24),LOOKUP(Q552,[1]对照表!$V$27:$V$48,[1]对照表!$X$27:$X$48)),IF(B552="高一",IF($E552="男",LOOKUP(Q552,[1]对照表!$U$3:$U$24,[1]对照表!$X$3:$X$24),LOOKUP(Q552,[1]对照表!$U$27:$U$48,[1]对照表!$X$27:$X$48)))))</f>
        <v>90</v>
      </c>
      <c r="S552" s="33">
        <f>ROUND(IF(IF($B552="高三",MIN(IF($E552="男",$Q552-3.2,$Q552-3.2),0),IF($B552="高二",MIN(IF($E552="男",$Q552-3.25,$Q552-3.22),0),IF($B552="高一",MIN(IF($E552="男",$Q552-3.3,$Q552-3.24),0))))&lt;-0.6,IF($B552="高三",MIN(IF($E552="男",$Q552-3.2,$Q552-3.2),0),IF($B552="高二",MIN(IF($E552="男",$Q552-3.25,$Q552-3.22),0),IF($B552="高一",MIN(IF($E552="男",$Q552-3.3,$Q552-3.24),0))))+0.4,IF($B552="高三",MIN(IF($E552="男",$Q552-3.2,$Q552-3.2),0),IF($B552="高二",MIN(IF($E552="男",$Q552-3.25,$Q552-3.22),0),IF($B552="高一",MIN(IF($E552="男",$Q552-3.3,$Q552-3.24),0))))),2)</f>
        <v>0</v>
      </c>
      <c r="T552" s="23">
        <f>IF(E552="男",LOOKUP($S552,[1]对照表!$AB$3:$AB$13,[1]对照表!$AC$3:$AC$13),LOOKUP($S552,[1]对照表!$AB$15:$AB$25,[1]对照表!$AC$15:$AC$25))</f>
        <v>0</v>
      </c>
      <c r="U552" s="26">
        <f>R552+T552</f>
        <v>90</v>
      </c>
      <c r="V552" s="26">
        <f>SUM(I552,K552,M552)/3*0.3+SUM(G552,R552)/2*0.4</f>
        <v>60.5</v>
      </c>
      <c r="W552" s="27">
        <f>O552+T552</f>
        <v>0</v>
      </c>
      <c r="X552" s="28">
        <f>V552/0.7+W552</f>
        <v>86.428571428571431</v>
      </c>
      <c r="Y552" s="28">
        <f>X552</f>
        <v>86.428571428571431</v>
      </c>
      <c r="Z552" s="38"/>
    </row>
    <row r="553" spans="1:26" ht="15.6" x14ac:dyDescent="0.25">
      <c r="A553" s="48">
        <v>28</v>
      </c>
      <c r="B553" s="17" t="s">
        <v>767</v>
      </c>
      <c r="C553" s="48">
        <v>214</v>
      </c>
      <c r="D553" s="49" t="s">
        <v>931</v>
      </c>
      <c r="E553" s="48" t="s">
        <v>23</v>
      </c>
      <c r="F553" s="38">
        <v>7.2</v>
      </c>
      <c r="G553" s="32">
        <f>IF(B553="高三",IF($E553="男",LOOKUP(F553,[1]对照表!$G$3:$G$24,[1]对照表!$H$3:$H$24),LOOKUP(F553,[1]对照表!$G$27:$G$48,[1]对照表!$H$27:$H$48)),IF(B553="高二",IF($E553="男",LOOKUP(F553,[1]对照表!$F$3:$F$24,[1]对照表!$H$3:$H$24),LOOKUP(F553,[1]对照表!$F$27:$F$48,[1]对照表!$H$27:$H$48)),IF(B553="高一",IF($E553="男",LOOKUP(F553,[1]对照表!$E$3:$E$24,[1]对照表!$H$3:$H$24),LOOKUP(F553,[1]对照表!$E$27:$E$48,[1]对照表!$H$27:$H$48)))))</f>
        <v>90</v>
      </c>
      <c r="H553" s="38">
        <v>21</v>
      </c>
      <c r="I553" s="32">
        <f>IF(B553="高三",IF($E553="男",LOOKUP(H553,[1]对照表!$K$3:$K$24,[1]对照表!$L$3:$L$24),LOOKUP(H553,[1]对照表!$K$27:$K$48,[1]对照表!$L$27:$L$48)),IF(B553="高二",IF($E553="男",LOOKUP(H553,[1]对照表!$J$3:$J$24,[1]对照表!$L$3:$L$24),LOOKUP(H553,[1]对照表!$J$27:$J$48,[1]对照表!$L$27:$L$48)),IF(B553="高一",IF($E553="男",LOOKUP(H553,[1]对照表!$I$3:$I$24,[1]对照表!$L$3:$L$24),LOOKUP(H553,[1]对照表!$I$27:$I$48,[1]对照表!$L$27:$L$48)))))</f>
        <v>90</v>
      </c>
      <c r="J553" s="38">
        <v>264</v>
      </c>
      <c r="K553" s="32">
        <f>IF(B553="高三",IF($E553="男",LOOKUP(J553,[1]对照表!$O$3:$O$24,[1]对照表!$P$3:$P$24),LOOKUP(J553,[1]对照表!$O$27:$O$48,[1]对照表!$P$27:$P$48)),IF(B553="高二",IF($E553="男",LOOKUP(J553,[1]对照表!$N$3:$N$24,[1]对照表!$P$3:$P$24),LOOKUP(J553,[1]对照表!$N$27:$N$48,[1]对照表!$P$27:$P$48)),IF(B553="高一",IF($E553="男",LOOKUP(J553,[1]对照表!$M$3:$M$24,[1]对照表!$P$3:$P$24),LOOKUP(J553,[1]对照表!$M$27:$M$48,[1]对照表!$P$27:$P$48)))))</f>
        <v>95</v>
      </c>
      <c r="L553" s="38">
        <v>19</v>
      </c>
      <c r="M553" s="32">
        <f>IF(B553="高三",IF($E553="男",LOOKUP(L553,[1]对照表!$S$3:$S$24,[1]对照表!$T$3:$T$24),LOOKUP(L553,[1]对照表!$S$27:$S$48,[1]对照表!$T$27:$T$48)),IF(B553="高二",IF($E553="男",LOOKUP(L553,[1]对照表!$R$3:$R$24,[1]对照表!$T$3:$T$24),LOOKUP(L553,[1]对照表!$R$27:$R$48,[1]对照表!$T$27:$T$48)),IF(B553="高一",IF($E553="男",LOOKUP(L553,[1]对照表!$Q$3:$Q$24,[1]对照表!$T$3:$T$24),LOOKUP(L553,[1]对照表!$Q$27:$Q$48,[1]对照表!$T$27:$T$48)))))</f>
        <v>100</v>
      </c>
      <c r="N553" s="33">
        <f>IF(B553="高三",MAX(IF(E553="男",L553-18,L553-55),0),IF(B553="高二",MAX(IF(E553="男",L553-17,L553-54),0),IF(B553="高一",MAX(IF(E553="男",L553-16,L553-53),0))))</f>
        <v>2</v>
      </c>
      <c r="O553" s="23">
        <f>IF(E553="男",LOOKUP($N553,[1]对照表!$Z$3:$Z$13,[1]对照表!$AA$3:$AA$13),LOOKUP($N553,[1]对照表!$Z$15:$Z$25,[1]对照表!$AA$15:$AA$25))</f>
        <v>2</v>
      </c>
      <c r="P553" s="25">
        <f>M553+O553</f>
        <v>102</v>
      </c>
      <c r="Q553" s="38">
        <v>3.27</v>
      </c>
      <c r="R553" s="32">
        <f>IF(B553="高三",IF($E553="男",LOOKUP(Q553,[1]对照表!$W$3:$W$24,[1]对照表!$X$3:$X$24),LOOKUP(Q553,[1]对照表!$W$27:$W$48,[1]对照表!$X$27:$X$48)),IF(B553="高二",IF($E553="男",LOOKUP(Q553,[1]对照表!$V$3:$V$24,[1]对照表!$X$3:$X$24),LOOKUP(Q553,[1]对照表!$V$27:$V$48,[1]对照表!$X$27:$X$48)),IF(B553="高一",IF($E553="男",LOOKUP(Q553,[1]对照表!$U$3:$U$24,[1]对照表!$X$3:$X$24),LOOKUP(Q553,[1]对照表!$U$27:$U$48,[1]对照表!$X$27:$X$48)))))</f>
        <v>95</v>
      </c>
      <c r="S553" s="33">
        <f>ROUND(IF(IF($B553="高三",MIN(IF($E553="男",$Q553-3.2,$Q553-3.2),0),IF($B553="高二",MIN(IF($E553="男",$Q553-3.25,$Q553-3.22),0),IF($B553="高一",MIN(IF($E553="男",$Q553-3.3,$Q553-3.24),0))))&lt;-0.6,IF($B553="高三",MIN(IF($E553="男",$Q553-3.2,$Q553-3.2),0),IF($B553="高二",MIN(IF($E553="男",$Q553-3.25,$Q553-3.22),0),IF($B553="高一",MIN(IF($E553="男",$Q553-3.3,$Q553-3.24),0))))+0.4,IF($B553="高三",MIN(IF($E553="男",$Q553-3.2,$Q553-3.2),0),IF($B553="高二",MIN(IF($E553="男",$Q553-3.25,$Q553-3.22),0),IF($B553="高一",MIN(IF($E553="男",$Q553-3.3,$Q553-3.24),0))))),2)</f>
        <v>0</v>
      </c>
      <c r="T553" s="23">
        <f>IF(E553="男",LOOKUP($S553,[1]对照表!$AB$3:$AB$13,[1]对照表!$AC$3:$AC$13),LOOKUP($S553,[1]对照表!$AB$15:$AB$25,[1]对照表!$AC$15:$AC$25))</f>
        <v>0</v>
      </c>
      <c r="U553" s="26">
        <f>R553+T553</f>
        <v>95</v>
      </c>
      <c r="V553" s="26">
        <f>SUM(I553,K553,M553)/3*0.3+SUM(G553,R553)/2*0.4</f>
        <v>65.5</v>
      </c>
      <c r="W553" s="27">
        <f>O553+T553</f>
        <v>2</v>
      </c>
      <c r="X553" s="28">
        <f>V553/0.7+W553</f>
        <v>95.571428571428584</v>
      </c>
      <c r="Y553" s="28">
        <f>X553</f>
        <v>95.571428571428584</v>
      </c>
      <c r="Z553" s="38"/>
    </row>
    <row r="554" spans="1:26" ht="15.6" x14ac:dyDescent="0.25">
      <c r="A554" s="48">
        <v>25</v>
      </c>
      <c r="B554" s="17" t="s">
        <v>767</v>
      </c>
      <c r="C554" s="48">
        <v>214</v>
      </c>
      <c r="D554" s="49" t="s">
        <v>932</v>
      </c>
      <c r="E554" s="48" t="s">
        <v>23</v>
      </c>
      <c r="F554" s="52">
        <v>6.8</v>
      </c>
      <c r="G554" s="32">
        <f>IF(B554="高三",IF($E554="男",LOOKUP(F554,[1]对照表!$G$3:$G$24,[1]对照表!$H$3:$H$24),LOOKUP(F554,[1]对照表!$G$27:$G$48,[1]对照表!$H$27:$H$48)),IF(B554="高二",IF($E554="男",LOOKUP(F554,[1]对照表!$F$3:$F$24,[1]对照表!$H$3:$H$24),LOOKUP(F554,[1]对照表!$F$27:$F$48,[1]对照表!$H$27:$H$48)),IF(B554="高一",IF($E554="男",LOOKUP(F554,[1]对照表!$E$3:$E$24,[1]对照表!$H$3:$H$24),LOOKUP(F554,[1]对照表!$E$27:$E$48,[1]对照表!$H$27:$H$48)))))</f>
        <v>100</v>
      </c>
      <c r="H554" s="52">
        <v>7.5</v>
      </c>
      <c r="I554" s="32">
        <f>IF(B554="高三",IF($E554="男",LOOKUP(H554,[1]对照表!$K$3:$K$24,[1]对照表!$L$3:$L$24),LOOKUP(H554,[1]对照表!$K$27:$K$48,[1]对照表!$L$27:$L$48)),IF(B554="高二",IF($E554="男",LOOKUP(H554,[1]对照表!$J$3:$J$24,[1]对照表!$L$3:$L$24),LOOKUP(H554,[1]对照表!$J$27:$J$48,[1]对照表!$L$27:$L$48)),IF(B554="高一",IF($E554="男",LOOKUP(H554,[1]对照表!$I$3:$I$24,[1]对照表!$L$3:$L$24),LOOKUP(H554,[1]对照表!$I$27:$I$48,[1]对照表!$L$27:$L$48)))))</f>
        <v>66</v>
      </c>
      <c r="J554" s="52">
        <v>245</v>
      </c>
      <c r="K554" s="32">
        <f>IF(B554="高三",IF($E554="男",LOOKUP(J554,[1]对照表!$O$3:$O$24,[1]对照表!$P$3:$P$24),LOOKUP(J554,[1]对照表!$O$27:$O$48,[1]对照表!$P$27:$P$48)),IF(B554="高二",IF($E554="男",LOOKUP(J554,[1]对照表!$N$3:$N$24,[1]对照表!$P$3:$P$24),LOOKUP(J554,[1]对照表!$N$27:$N$48,[1]对照表!$P$27:$P$48)),IF(B554="高一",IF($E554="男",LOOKUP(J554,[1]对照表!$M$3:$M$24,[1]对照表!$P$3:$P$24),LOOKUP(J554,[1]对照表!$M$27:$M$48,[1]对照表!$P$27:$P$48)))))</f>
        <v>80</v>
      </c>
      <c r="L554" s="52">
        <v>17</v>
      </c>
      <c r="M554" s="32">
        <f>IF(B554="高三",IF($E554="男",LOOKUP(L554,[1]对照表!$S$3:$S$24,[1]对照表!$T$3:$T$24),LOOKUP(L554,[1]对照表!$S$27:$S$48,[1]对照表!$T$27:$T$48)),IF(B554="高二",IF($E554="男",LOOKUP(L554,[1]对照表!$R$3:$R$24,[1]对照表!$T$3:$T$24),LOOKUP(L554,[1]对照表!$R$27:$R$48,[1]对照表!$T$27:$T$48)),IF(B554="高一",IF($E554="男",LOOKUP(L554,[1]对照表!$Q$3:$Q$24,[1]对照表!$T$3:$T$24),LOOKUP(L554,[1]对照表!$Q$27:$Q$48,[1]对照表!$T$27:$T$48)))))</f>
        <v>100</v>
      </c>
      <c r="N554" s="33">
        <f>IF(B554="高三",MAX(IF(E554="男",L554-18,L554-55),0),IF(B554="高二",MAX(IF(E554="男",L554-17,L554-54),0),IF(B554="高一",MAX(IF(E554="男",L554-16,L554-53),0))))</f>
        <v>0</v>
      </c>
      <c r="O554" s="23">
        <f>IF(E554="男",LOOKUP($N554,[1]对照表!$Z$3:$Z$13,[1]对照表!$AA$3:$AA$13),LOOKUP($N554,[1]对照表!$Z$15:$Z$25,[1]对照表!$AA$15:$AA$25))</f>
        <v>0</v>
      </c>
      <c r="P554" s="25">
        <f>M554+O554</f>
        <v>100</v>
      </c>
      <c r="Q554" s="52">
        <v>3.13</v>
      </c>
      <c r="R554" s="32">
        <f>IF(B554="高三",IF($E554="男",LOOKUP(Q554,[1]对照表!$W$3:$W$24,[1]对照表!$X$3:$X$24),LOOKUP(Q554,[1]对照表!$W$27:$W$48,[1]对照表!$X$27:$X$48)),IF(B554="高二",IF($E554="男",LOOKUP(Q554,[1]对照表!$V$3:$V$24,[1]对照表!$X$3:$X$24),LOOKUP(Q554,[1]对照表!$V$27:$V$48,[1]对照表!$X$27:$X$48)),IF(B554="高一",IF($E554="男",LOOKUP(Q554,[1]对照表!$U$3:$U$24,[1]对照表!$X$3:$X$24),LOOKUP(Q554,[1]对照表!$U$27:$U$48,[1]对照表!$X$27:$X$48)))))</f>
        <v>100</v>
      </c>
      <c r="S554" s="33">
        <f>ROUND(IF(IF($B554="高三",MIN(IF($E554="男",$Q554-3.2,$Q554-3.2),0),IF($B554="高二",MIN(IF($E554="男",$Q554-3.25,$Q554-3.22),0),IF($B554="高一",MIN(IF($E554="男",$Q554-3.3,$Q554-3.24),0))))&lt;-0.6,IF($B554="高三",MIN(IF($E554="男",$Q554-3.2,$Q554-3.2),0),IF($B554="高二",MIN(IF($E554="男",$Q554-3.25,$Q554-3.22),0),IF($B554="高一",MIN(IF($E554="男",$Q554-3.3,$Q554-3.24),0))))+0.4,IF($B554="高三",MIN(IF($E554="男",$Q554-3.2,$Q554-3.2),0),IF($B554="高二",MIN(IF($E554="男",$Q554-3.25,$Q554-3.22),0),IF($B554="高一",MIN(IF($E554="男",$Q554-3.3,$Q554-3.24),0))))),2)</f>
        <v>-0.12</v>
      </c>
      <c r="T554" s="23">
        <f>IF(E554="男",LOOKUP($S554,[1]对照表!$AB$3:$AB$13,[1]对照表!$AC$3:$AC$13),LOOKUP($S554,[1]对照表!$AB$15:$AB$25,[1]对照表!$AC$15:$AC$25))</f>
        <v>3</v>
      </c>
      <c r="U554" s="26">
        <f>R554+T554</f>
        <v>103</v>
      </c>
      <c r="V554" s="26">
        <f>SUM(I554,K554,M554)/3*0.3+SUM(G554,R554)/2*0.4</f>
        <v>64.599999999999994</v>
      </c>
      <c r="W554" s="27">
        <f>O554+T554</f>
        <v>3</v>
      </c>
      <c r="X554" s="28">
        <f>V554/0.7+W554</f>
        <v>95.285714285714278</v>
      </c>
      <c r="Y554" s="28">
        <f>X554</f>
        <v>95.285714285714278</v>
      </c>
      <c r="Z554" s="52"/>
    </row>
    <row r="555" spans="1:26" ht="15.6" x14ac:dyDescent="0.25">
      <c r="A555" s="48">
        <v>5</v>
      </c>
      <c r="B555" s="17" t="s">
        <v>767</v>
      </c>
      <c r="C555" s="48">
        <v>214</v>
      </c>
      <c r="D555" s="49" t="s">
        <v>954</v>
      </c>
      <c r="E555" s="48" t="s">
        <v>23</v>
      </c>
      <c r="F555" s="38">
        <v>6.7</v>
      </c>
      <c r="G555" s="32">
        <f>IF(B555="高三",IF($E555="男",LOOKUP(F555,[1]对照表!$G$3:$G$24,[1]对照表!$H$3:$H$24),LOOKUP(F555,[1]对照表!$G$27:$G$48,[1]对照表!$H$27:$H$48)),IF(B555="高二",IF($E555="男",LOOKUP(F555,[1]对照表!$F$3:$F$24,[1]对照表!$H$3:$H$24),LOOKUP(F555,[1]对照表!$F$27:$F$48,[1]对照表!$H$27:$H$48)),IF(B555="高一",IF($E555="男",LOOKUP(F555,[1]对照表!$E$3:$E$24,[1]对照表!$H$3:$H$24),LOOKUP(F555,[1]对照表!$E$27:$E$48,[1]对照表!$H$27:$H$48)))))</f>
        <v>100</v>
      </c>
      <c r="H555" s="38">
        <v>18</v>
      </c>
      <c r="I555" s="32">
        <f>IF(B555="高三",IF($E555="男",LOOKUP(H555,[1]对照表!$K$3:$K$24,[1]对照表!$L$3:$L$24),LOOKUP(H555,[1]对照表!$K$27:$K$48,[1]对照表!$L$27:$L$48)),IF(B555="高二",IF($E555="男",LOOKUP(H555,[1]对照表!$J$3:$J$24,[1]对照表!$L$3:$L$24),LOOKUP(H555,[1]对照表!$J$27:$J$48,[1]对照表!$L$27:$L$48)),IF(B555="高一",IF($E555="男",LOOKUP(H555,[1]对照表!$I$3:$I$24,[1]对照表!$L$3:$L$24),LOOKUP(H555,[1]对照表!$I$27:$I$48,[1]对照表!$L$27:$L$48)))))</f>
        <v>80</v>
      </c>
      <c r="J555" s="38">
        <v>242</v>
      </c>
      <c r="K555" s="32">
        <f>IF(B555="高三",IF($E555="男",LOOKUP(J555,[1]对照表!$O$3:$O$24,[1]对照表!$P$3:$P$24),LOOKUP(J555,[1]对照表!$O$27:$O$48,[1]对照表!$P$27:$P$48)),IF(B555="高二",IF($E555="男",LOOKUP(J555,[1]对照表!$N$3:$N$24,[1]对照表!$P$3:$P$24),LOOKUP(J555,[1]对照表!$N$27:$N$48,[1]对照表!$P$27:$P$48)),IF(B555="高一",IF($E555="男",LOOKUP(J555,[1]对照表!$M$3:$M$24,[1]对照表!$P$3:$P$24),LOOKUP(J555,[1]对照表!$M$27:$M$48,[1]对照表!$P$27:$P$48)))))</f>
        <v>80</v>
      </c>
      <c r="L555" s="38">
        <v>19</v>
      </c>
      <c r="M555" s="32">
        <f>IF(B555="高三",IF($E555="男",LOOKUP(L555,[1]对照表!$S$3:$S$24,[1]对照表!$T$3:$T$24),LOOKUP(L555,[1]对照表!$S$27:$S$48,[1]对照表!$T$27:$T$48)),IF(B555="高二",IF($E555="男",LOOKUP(L555,[1]对照表!$R$3:$R$24,[1]对照表!$T$3:$T$24),LOOKUP(L555,[1]对照表!$R$27:$R$48,[1]对照表!$T$27:$T$48)),IF(B555="高一",IF($E555="男",LOOKUP(L555,[1]对照表!$Q$3:$Q$24,[1]对照表!$T$3:$T$24),LOOKUP(L555,[1]对照表!$Q$27:$Q$48,[1]对照表!$T$27:$T$48)))))</f>
        <v>100</v>
      </c>
      <c r="N555" s="33">
        <f>IF(B555="高三",MAX(IF(E555="男",L555-18,L555-55),0),IF(B555="高二",MAX(IF(E555="男",L555-17,L555-54),0),IF(B555="高一",MAX(IF(E555="男",L555-16,L555-53),0))))</f>
        <v>2</v>
      </c>
      <c r="O555" s="23">
        <f>IF(E555="男",LOOKUP($N555,[1]对照表!$Z$3:$Z$13,[1]对照表!$AA$3:$AA$13),LOOKUP($N555,[1]对照表!$Z$15:$Z$25,[1]对照表!$AA$15:$AA$25))</f>
        <v>2</v>
      </c>
      <c r="P555" s="25">
        <f>M555+O555</f>
        <v>102</v>
      </c>
      <c r="Q555" s="38">
        <v>3.33</v>
      </c>
      <c r="R555" s="32">
        <f>IF(B555="高三",IF($E555="男",LOOKUP(Q555,[1]对照表!$W$3:$W$24,[1]对照表!$X$3:$X$24),LOOKUP(Q555,[1]对照表!$W$27:$W$48,[1]对照表!$X$27:$X$48)),IF(B555="高二",IF($E555="男",LOOKUP(Q555,[1]对照表!$V$3:$V$24,[1]对照表!$X$3:$X$24),LOOKUP(Q555,[1]对照表!$V$27:$V$48,[1]对照表!$X$27:$X$48)),IF(B555="高一",IF($E555="男",LOOKUP(Q555,[1]对照表!$U$3:$U$24,[1]对照表!$X$3:$X$24),LOOKUP(Q555,[1]对照表!$U$27:$U$48,[1]对照表!$X$27:$X$48)))))</f>
        <v>90</v>
      </c>
      <c r="S555" s="33">
        <f>ROUND(IF(IF($B555="高三",MIN(IF($E555="男",$Q555-3.2,$Q555-3.2),0),IF($B555="高二",MIN(IF($E555="男",$Q555-3.25,$Q555-3.22),0),IF($B555="高一",MIN(IF($E555="男",$Q555-3.3,$Q555-3.24),0))))&lt;-0.6,IF($B555="高三",MIN(IF($E555="男",$Q555-3.2,$Q555-3.2),0),IF($B555="高二",MIN(IF($E555="男",$Q555-3.25,$Q555-3.22),0),IF($B555="高一",MIN(IF($E555="男",$Q555-3.3,$Q555-3.24),0))))+0.4,IF($B555="高三",MIN(IF($E555="男",$Q555-3.2,$Q555-3.2),0),IF($B555="高二",MIN(IF($E555="男",$Q555-3.25,$Q555-3.22),0),IF($B555="高一",MIN(IF($E555="男",$Q555-3.3,$Q555-3.24),0))))),2)</f>
        <v>0</v>
      </c>
      <c r="T555" s="23">
        <f>IF(E555="男",LOOKUP($S555,[1]对照表!$AB$3:$AB$13,[1]对照表!$AC$3:$AC$13),LOOKUP($S555,[1]对照表!$AB$15:$AB$25,[1]对照表!$AC$15:$AC$25))</f>
        <v>0</v>
      </c>
      <c r="U555" s="26">
        <f>R555+T555</f>
        <v>90</v>
      </c>
      <c r="V555" s="26">
        <f>SUM(I555,K555,M555)/3*0.3+SUM(G555,R555)/2*0.4</f>
        <v>64</v>
      </c>
      <c r="W555" s="27">
        <f>O555+T555</f>
        <v>2</v>
      </c>
      <c r="X555" s="28">
        <f>V555/0.7+W555</f>
        <v>93.428571428571431</v>
      </c>
      <c r="Y555" s="28">
        <f>X555</f>
        <v>93.428571428571431</v>
      </c>
      <c r="Z555" s="38"/>
    </row>
    <row r="556" spans="1:26" ht="15.6" x14ac:dyDescent="0.25">
      <c r="A556" s="48">
        <v>34</v>
      </c>
      <c r="B556" s="17" t="s">
        <v>767</v>
      </c>
      <c r="C556" s="48">
        <v>214</v>
      </c>
      <c r="D556" s="49" t="s">
        <v>958</v>
      </c>
      <c r="E556" s="48" t="s">
        <v>65</v>
      </c>
      <c r="F556" s="38">
        <v>8.2899999999999991</v>
      </c>
      <c r="G556" s="32">
        <f>IF(B556="高三",IF($E556="男",LOOKUP(F556,[1]对照表!$G$3:$G$24,[1]对照表!$H$3:$H$24),LOOKUP(F556,[1]对照表!$G$27:$G$48,[1]对照表!$H$27:$H$48)),IF(B556="高二",IF($E556="男",LOOKUP(F556,[1]对照表!$F$3:$F$24,[1]对照表!$H$3:$H$24),LOOKUP(F556,[1]对照表!$F$27:$F$48,[1]对照表!$H$27:$H$48)),IF(B556="高一",IF($E556="男",LOOKUP(F556,[1]对照表!$E$3:$E$24,[1]对照表!$H$3:$H$24),LOOKUP(F556,[1]对照表!$E$27:$E$48,[1]对照表!$H$27:$H$48)))))</f>
        <v>80</v>
      </c>
      <c r="H556" s="38">
        <v>11.5</v>
      </c>
      <c r="I556" s="32">
        <f>IF(B556="高三",IF($E556="男",LOOKUP(H556,[1]对照表!$K$3:$K$24,[1]对照表!$L$3:$L$24),LOOKUP(H556,[1]对照表!$K$27:$K$48,[1]对照表!$L$27:$L$48)),IF(B556="高二",IF($E556="男",LOOKUP(H556,[1]对照表!$J$3:$J$24,[1]对照表!$L$3:$L$24),LOOKUP(H556,[1]对照表!$J$27:$J$48,[1]对照表!$L$27:$L$48)),IF(B556="高一",IF($E556="男",LOOKUP(H556,[1]对照表!$I$3:$I$24,[1]对照表!$L$3:$L$24),LOOKUP(H556,[1]对照表!$I$27:$I$48,[1]对照表!$L$27:$L$48)))))</f>
        <v>70</v>
      </c>
      <c r="J556" s="38">
        <v>185</v>
      </c>
      <c r="K556" s="32">
        <f>IF(B556="高三",IF($E556="男",LOOKUP(J556,[1]对照表!$O$3:$O$24,[1]对照表!$P$3:$P$24),LOOKUP(J556,[1]对照表!$O$27:$O$48,[1]对照表!$P$27:$P$48)),IF(B556="高二",IF($E556="男",LOOKUP(J556,[1]对照表!$N$3:$N$24,[1]对照表!$P$3:$P$24),LOOKUP(J556,[1]对照表!$N$27:$N$48,[1]对照表!$P$27:$P$48)),IF(B556="高一",IF($E556="男",LOOKUP(J556,[1]对照表!$M$3:$M$24,[1]对照表!$P$3:$P$24),LOOKUP(J556,[1]对照表!$M$27:$M$48,[1]对照表!$P$27:$P$48)))))</f>
        <v>80</v>
      </c>
      <c r="L556" s="38">
        <v>51</v>
      </c>
      <c r="M556" s="32">
        <f>IF(B556="高三",IF($E556="男",LOOKUP(L556,[1]对照表!$S$3:$S$24,[1]对照表!$T$3:$T$24),LOOKUP(L556,[1]对照表!$S$27:$S$48,[1]对照表!$T$27:$T$48)),IF(B556="高二",IF($E556="男",LOOKUP(L556,[1]对照表!$R$3:$R$24,[1]对照表!$T$3:$T$24),LOOKUP(L556,[1]对照表!$R$27:$R$48,[1]对照表!$T$27:$T$48)),IF(B556="高一",IF($E556="男",LOOKUP(L556,[1]对照表!$Q$3:$Q$24,[1]对照表!$T$3:$T$24),LOOKUP(L556,[1]对照表!$Q$27:$Q$48,[1]对照表!$T$27:$T$48)))))</f>
        <v>90</v>
      </c>
      <c r="N556" s="33">
        <f>IF(B556="高三",MAX(IF(E556="男",L556-18,L556-55),0),IF(B556="高二",MAX(IF(E556="男",L556-17,L556-54),0),IF(B556="高一",MAX(IF(E556="男",L556-16,L556-53),0))))</f>
        <v>0</v>
      </c>
      <c r="O556" s="23">
        <f>IF(E556="男",LOOKUP($N556,[1]对照表!$Z$3:$Z$13,[1]对照表!$AA$3:$AA$13),LOOKUP($N556,[1]对照表!$Z$15:$Z$25,[1]对照表!$AA$15:$AA$25))</f>
        <v>0</v>
      </c>
      <c r="P556" s="25">
        <f>M556+O556</f>
        <v>90</v>
      </c>
      <c r="Q556" s="38">
        <v>3.23</v>
      </c>
      <c r="R556" s="32">
        <f>IF(B556="高三",IF($E556="男",LOOKUP(Q556,[1]对照表!$W$3:$W$24,[1]对照表!$X$3:$X$24),LOOKUP(Q556,[1]对照表!$W$27:$W$48,[1]对照表!$X$27:$X$48)),IF(B556="高二",IF($E556="男",LOOKUP(Q556,[1]对照表!$V$3:$V$24,[1]对照表!$X$3:$X$24),LOOKUP(Q556,[1]对照表!$V$27:$V$48,[1]对照表!$X$27:$X$48)),IF(B556="高一",IF($E556="男",LOOKUP(Q556,[1]对照表!$U$3:$U$24,[1]对照表!$X$3:$X$24),LOOKUP(Q556,[1]对照表!$U$27:$U$48,[1]对照表!$X$27:$X$48)))))</f>
        <v>95</v>
      </c>
      <c r="S556" s="33">
        <f>ROUND(IF(IF($B556="高三",MIN(IF($E556="男",$Q556-3.2,$Q556-3.2),0),IF($B556="高二",MIN(IF($E556="男",$Q556-3.25,$Q556-3.22),0),IF($B556="高一",MIN(IF($E556="男",$Q556-3.3,$Q556-3.24),0))))&lt;-0.6,IF($B556="高三",MIN(IF($E556="男",$Q556-3.2,$Q556-3.2),0),IF($B556="高二",MIN(IF($E556="男",$Q556-3.25,$Q556-3.22),0),IF($B556="高一",MIN(IF($E556="男",$Q556-3.3,$Q556-3.24),0))))+0.4,IF($B556="高三",MIN(IF($E556="男",$Q556-3.2,$Q556-3.2),0),IF($B556="高二",MIN(IF($E556="男",$Q556-3.25,$Q556-3.22),0),IF($B556="高一",MIN(IF($E556="男",$Q556-3.3,$Q556-3.24),0))))),2)</f>
        <v>0</v>
      </c>
      <c r="T556" s="23">
        <f>IF(E556="男",LOOKUP($S556,[1]对照表!$AB$3:$AB$13,[1]对照表!$AC$3:$AC$13),LOOKUP($S556,[1]对照表!$AB$15:$AB$25,[1]对照表!$AC$15:$AC$25))</f>
        <v>0</v>
      </c>
      <c r="U556" s="26">
        <f>R556+T556</f>
        <v>95</v>
      </c>
      <c r="V556" s="26">
        <f>SUM(I556,K556,M556)/3*0.3+SUM(G556,R556)/2*0.4</f>
        <v>59</v>
      </c>
      <c r="W556" s="27">
        <f>O556+T556</f>
        <v>0</v>
      </c>
      <c r="X556" s="28">
        <f>V556/0.7+W556</f>
        <v>84.285714285714292</v>
      </c>
      <c r="Y556" s="28">
        <f>X556</f>
        <v>84.285714285714292</v>
      </c>
      <c r="Z556" s="38"/>
    </row>
    <row r="557" spans="1:26" ht="15.6" x14ac:dyDescent="0.25">
      <c r="A557" s="48">
        <v>26</v>
      </c>
      <c r="B557" s="17" t="s">
        <v>767</v>
      </c>
      <c r="C557" s="48">
        <v>214</v>
      </c>
      <c r="D557" s="49" t="s">
        <v>961</v>
      </c>
      <c r="E557" s="48" t="s">
        <v>23</v>
      </c>
      <c r="F557" s="38">
        <v>7</v>
      </c>
      <c r="G557" s="32">
        <f>IF(B557="高三",IF($E557="男",LOOKUP(F557,[1]对照表!$G$3:$G$24,[1]对照表!$H$3:$H$24),LOOKUP(F557,[1]对照表!$G$27:$G$48,[1]对照表!$H$27:$H$48)),IF(B557="高二",IF($E557="男",LOOKUP(F557,[1]对照表!$F$3:$F$24,[1]对照表!$H$3:$H$24),LOOKUP(F557,[1]对照表!$F$27:$F$48,[1]对照表!$H$27:$H$48)),IF(B557="高一",IF($E557="男",LOOKUP(F557,[1]对照表!$E$3:$E$24,[1]对照表!$H$3:$H$24),LOOKUP(F557,[1]对照表!$E$27:$E$48,[1]对照表!$H$27:$H$48)))))</f>
        <v>100</v>
      </c>
      <c r="H557" s="38">
        <v>14.5</v>
      </c>
      <c r="I557" s="32">
        <f>IF(B557="高三",IF($E557="男",LOOKUP(H557,[1]对照表!$K$3:$K$24,[1]对照表!$L$3:$L$24),LOOKUP(H557,[1]对照表!$K$27:$K$48,[1]对照表!$L$27:$L$48)),IF(B557="高二",IF($E557="男",LOOKUP(H557,[1]对照表!$J$3:$J$24,[1]对照表!$L$3:$L$24),LOOKUP(H557,[1]对照表!$J$27:$J$48,[1]对照表!$L$27:$L$48)),IF(B557="高一",IF($E557="男",LOOKUP(H557,[1]对照表!$I$3:$I$24,[1]对照表!$L$3:$L$24),LOOKUP(H557,[1]对照表!$I$27:$I$48,[1]对照表!$L$27:$L$48)))))</f>
        <v>76</v>
      </c>
      <c r="J557" s="38">
        <v>250</v>
      </c>
      <c r="K557" s="32">
        <f>IF(B557="高三",IF($E557="男",LOOKUP(J557,[1]对照表!$O$3:$O$24,[1]对照表!$P$3:$P$24),LOOKUP(J557,[1]对照表!$O$27:$O$48,[1]对照表!$P$27:$P$48)),IF(B557="高二",IF($E557="男",LOOKUP(J557,[1]对照表!$N$3:$N$24,[1]对照表!$P$3:$P$24),LOOKUP(J557,[1]对照表!$N$27:$N$48,[1]对照表!$P$27:$P$48)),IF(B557="高一",IF($E557="男",LOOKUP(J557,[1]对照表!$M$3:$M$24,[1]对照表!$P$3:$P$24),LOOKUP(J557,[1]对照表!$M$27:$M$48,[1]对照表!$P$27:$P$48)))))</f>
        <v>85</v>
      </c>
      <c r="L557" s="38">
        <v>20</v>
      </c>
      <c r="M557" s="32">
        <f>IF(B557="高三",IF($E557="男",LOOKUP(L557,[1]对照表!$S$3:$S$24,[1]对照表!$T$3:$T$24),LOOKUP(L557,[1]对照表!$S$27:$S$48,[1]对照表!$T$27:$T$48)),IF(B557="高二",IF($E557="男",LOOKUP(L557,[1]对照表!$R$3:$R$24,[1]对照表!$T$3:$T$24),LOOKUP(L557,[1]对照表!$R$27:$R$48,[1]对照表!$T$27:$T$48)),IF(B557="高一",IF($E557="男",LOOKUP(L557,[1]对照表!$Q$3:$Q$24,[1]对照表!$T$3:$T$24),LOOKUP(L557,[1]对照表!$Q$27:$Q$48,[1]对照表!$T$27:$T$48)))))</f>
        <v>100</v>
      </c>
      <c r="N557" s="33">
        <f>IF(B557="高三",MAX(IF(E557="男",L557-18,L557-55),0),IF(B557="高二",MAX(IF(E557="男",L557-17,L557-54),0),IF(B557="高一",MAX(IF(E557="男",L557-16,L557-53),0))))</f>
        <v>3</v>
      </c>
      <c r="O557" s="23">
        <f>IF(E557="男",LOOKUP($N557,[1]对照表!$Z$3:$Z$13,[1]对照表!$AA$3:$AA$13),LOOKUP($N557,[1]对照表!$Z$15:$Z$25,[1]对照表!$AA$15:$AA$25))</f>
        <v>3</v>
      </c>
      <c r="P557" s="25">
        <f>M557+O557</f>
        <v>103</v>
      </c>
      <c r="Q557" s="38">
        <v>3.36</v>
      </c>
      <c r="R557" s="32">
        <f>IF(B557="高三",IF($E557="男",LOOKUP(Q557,[1]对照表!$W$3:$W$24,[1]对照表!$X$3:$X$24),LOOKUP(Q557,[1]对照表!$W$27:$W$48,[1]对照表!$X$27:$X$48)),IF(B557="高二",IF($E557="男",LOOKUP(Q557,[1]对照表!$V$3:$V$24,[1]对照表!$X$3:$X$24),LOOKUP(Q557,[1]对照表!$V$27:$V$48,[1]对照表!$X$27:$X$48)),IF(B557="高一",IF($E557="男",LOOKUP(Q557,[1]对照表!$U$3:$U$24,[1]对照表!$X$3:$X$24),LOOKUP(Q557,[1]对照表!$U$27:$U$48,[1]对照表!$X$27:$X$48)))))</f>
        <v>85</v>
      </c>
      <c r="S557" s="27">
        <f>ROUND(IF(IF($B557="高三",MIN(IF($E557="男",$Q557-3.2,$Q557-3.2),0),IF($B557="高二",MIN(IF($E557="男",$Q557-3.25,$Q557-3.22),0),IF($B557="高一",MIN(IF($E557="男",$Q557-3.3,$Q557-3.24),0))))&lt;-0.6,IF($B557="高三",MIN(IF($E557="男",$Q557-3.2,$Q557-3.2),0),IF($B557="高二",MIN(IF($E557="男",$Q557-3.25,$Q557-3.22),0),IF($B557="高一",MIN(IF($E557="男",$Q557-3.3,$Q557-3.24),0))))+0.4,IF($B557="高三",MIN(IF($E557="男",$Q557-3.2,$Q557-3.2),0),IF($B557="高二",MIN(IF($E557="男",$Q557-3.25,$Q557-3.22),0),IF($B557="高一",MIN(IF($E557="男",$Q557-3.3,$Q557-3.24),0))))),2)</f>
        <v>0</v>
      </c>
      <c r="T557" s="23">
        <f>IF(E557="男",LOOKUP($S557,[1]对照表!$AB$3:$AB$13,[1]对照表!$AC$3:$AC$13),LOOKUP($S557,[1]对照表!$AB$15:$AB$25,[1]对照表!$AC$15:$AC$25))</f>
        <v>0</v>
      </c>
      <c r="U557" s="26">
        <f>R557+T557</f>
        <v>85</v>
      </c>
      <c r="V557" s="26">
        <f>SUM(I557,K557,M557)/3*0.3+SUM(G557,R557)/2*0.4</f>
        <v>63.099999999999994</v>
      </c>
      <c r="W557" s="27">
        <f>O557+T557</f>
        <v>3</v>
      </c>
      <c r="X557" s="28">
        <f>V557/0.7+W557</f>
        <v>93.142857142857139</v>
      </c>
      <c r="Y557" s="28">
        <f>X557</f>
        <v>93.142857142857139</v>
      </c>
      <c r="Z557" s="38"/>
    </row>
    <row r="558" spans="1:26" ht="15.6" x14ac:dyDescent="0.25">
      <c r="A558" s="38">
        <v>45</v>
      </c>
      <c r="B558" s="17" t="s">
        <v>767</v>
      </c>
      <c r="C558" s="48">
        <v>214</v>
      </c>
      <c r="D558" s="49" t="s">
        <v>975</v>
      </c>
      <c r="E558" s="48" t="s">
        <v>65</v>
      </c>
      <c r="F558" s="52">
        <v>8.23</v>
      </c>
      <c r="G558" s="32">
        <f>IF(B558="高三",IF($E558="男",LOOKUP(F558,[1]对照表!$G$3:$G$24,[1]对照表!$H$3:$H$24),LOOKUP(F558,[1]对照表!$G$27:$G$48,[1]对照表!$H$27:$H$48)),IF(B558="高二",IF($E558="男",LOOKUP(F558,[1]对照表!$F$3:$F$24,[1]对照表!$H$3:$H$24),LOOKUP(F558,[1]对照表!$F$27:$F$48,[1]对照表!$H$27:$H$48)),IF(B558="高一",IF($E558="男",LOOKUP(F558,[1]对照表!$E$3:$E$24,[1]对照表!$H$3:$H$24),LOOKUP(F558,[1]对照表!$E$27:$E$48,[1]对照表!$H$27:$H$48)))))</f>
        <v>80</v>
      </c>
      <c r="H558" s="52">
        <v>18.8</v>
      </c>
      <c r="I558" s="32">
        <f>IF(B558="高三",IF($E558="男",LOOKUP(H558,[1]对照表!$K$3:$K$24,[1]对照表!$L$3:$L$24),LOOKUP(H558,[1]对照表!$K$27:$K$48,[1]对照表!$L$27:$L$48)),IF(B558="高二",IF($E558="男",LOOKUP(H558,[1]对照表!$J$3:$J$24,[1]对照表!$L$3:$L$24),LOOKUP(H558,[1]对照表!$J$27:$J$48,[1]对照表!$L$27:$L$48)),IF(B558="高一",IF($E558="男",LOOKUP(H558,[1]对照表!$I$3:$I$24,[1]对照表!$L$3:$L$24),LOOKUP(H558,[1]对照表!$I$27:$I$48,[1]对照表!$L$27:$L$48)))))</f>
        <v>80</v>
      </c>
      <c r="J558" s="52">
        <v>199</v>
      </c>
      <c r="K558" s="32">
        <f>IF(B558="高三",IF($E558="男",LOOKUP(J558,[1]对照表!$O$3:$O$24,[1]对照表!$P$3:$P$24),LOOKUP(J558,[1]对照表!$O$27:$O$48,[1]对照表!$P$27:$P$48)),IF(B558="高二",IF($E558="男",LOOKUP(J558,[1]对照表!$N$3:$N$24,[1]对照表!$P$3:$P$24),LOOKUP(J558,[1]对照表!$N$27:$N$48,[1]对照表!$P$27:$P$48)),IF(B558="高一",IF($E558="男",LOOKUP(J558,[1]对照表!$M$3:$M$24,[1]对照表!$P$3:$P$24),LOOKUP(J558,[1]对照表!$M$27:$M$48,[1]对照表!$P$27:$P$48)))))</f>
        <v>95</v>
      </c>
      <c r="L558" s="52">
        <v>36</v>
      </c>
      <c r="M558" s="32">
        <f>IF(B558="高三",IF($E558="男",LOOKUP(L558,[1]对照表!$S$3:$S$24,[1]对照表!$T$3:$T$24),LOOKUP(L558,[1]对照表!$S$27:$S$48,[1]对照表!$T$27:$T$48)),IF(B558="高二",IF($E558="男",LOOKUP(L558,[1]对照表!$R$3:$R$24,[1]对照表!$T$3:$T$24),LOOKUP(L558,[1]对照表!$R$27:$R$48,[1]对照表!$T$27:$T$48)),IF(B558="高一",IF($E558="男",LOOKUP(L558,[1]对照表!$Q$3:$Q$24,[1]对照表!$T$3:$T$24),LOOKUP(L558,[1]对照表!$Q$27:$Q$48,[1]对照表!$T$27:$T$48)))))</f>
        <v>72</v>
      </c>
      <c r="N558" s="33">
        <f>IF(B558="高三",MAX(IF(E558="男",L558-18,L558-55),0),IF(B558="高二",MAX(IF(E558="男",L558-17,L558-54),0),IF(B558="高一",MAX(IF(E558="男",L558-16,L558-53),0))))</f>
        <v>0</v>
      </c>
      <c r="O558" s="23">
        <f>IF(E558="男",LOOKUP($N558,[1]对照表!$Z$3:$Z$13,[1]对照表!$AA$3:$AA$13),LOOKUP($N558,[1]对照表!$Z$15:$Z$25,[1]对照表!$AA$15:$AA$25))</f>
        <v>0</v>
      </c>
      <c r="P558" s="25">
        <f>M558+O558</f>
        <v>72</v>
      </c>
      <c r="Q558" s="52">
        <v>3.31</v>
      </c>
      <c r="R558" s="32">
        <f>IF(B558="高三",IF($E558="男",LOOKUP(Q558,[1]对照表!$W$3:$W$24,[1]对照表!$X$3:$X$24),LOOKUP(Q558,[1]对照表!$W$27:$W$48,[1]对照表!$X$27:$X$48)),IF(B558="高二",IF($E558="男",LOOKUP(Q558,[1]对照表!$V$3:$V$24,[1]对照表!$X$3:$X$24),LOOKUP(Q558,[1]对照表!$V$27:$V$48,[1]对照表!$X$27:$X$48)),IF(B558="高一",IF($E558="男",LOOKUP(Q558,[1]对照表!$U$3:$U$24,[1]对照表!$X$3:$X$24),LOOKUP(Q558,[1]对照表!$U$27:$U$48,[1]对照表!$X$27:$X$48)))))</f>
        <v>90</v>
      </c>
      <c r="S558" s="33">
        <f>ROUND(IF(IF($B558="高三",MIN(IF($E558="男",$Q558-3.2,$Q558-3.2),0),IF($B558="高二",MIN(IF($E558="男",$Q558-3.25,$Q558-3.22),0),IF($B558="高一",MIN(IF($E558="男",$Q558-3.3,$Q558-3.24),0))))&lt;-0.6,IF($B558="高三",MIN(IF($E558="男",$Q558-3.2,$Q558-3.2),0),IF($B558="高二",MIN(IF($E558="男",$Q558-3.25,$Q558-3.22),0),IF($B558="高一",MIN(IF($E558="男",$Q558-3.3,$Q558-3.24),0))))+0.4,IF($B558="高三",MIN(IF($E558="男",$Q558-3.2,$Q558-3.2),0),IF($B558="高二",MIN(IF($E558="男",$Q558-3.25,$Q558-3.22),0),IF($B558="高一",MIN(IF($E558="男",$Q558-3.3,$Q558-3.24),0))))),2)</f>
        <v>0</v>
      </c>
      <c r="T558" s="23">
        <f>IF(E558="男",LOOKUP($S558,[1]对照表!$AB$3:$AB$13,[1]对照表!$AC$3:$AC$13),LOOKUP($S558,[1]对照表!$AB$15:$AB$25,[1]对照表!$AC$15:$AC$25))</f>
        <v>0</v>
      </c>
      <c r="U558" s="26">
        <f>R558+T558</f>
        <v>90</v>
      </c>
      <c r="V558" s="26">
        <f>SUM(I558,K558,M558)/3*0.3+SUM(G558,R558)/2*0.4</f>
        <v>58.7</v>
      </c>
      <c r="W558" s="27">
        <f>O558+T558</f>
        <v>0</v>
      </c>
      <c r="X558" s="28">
        <f>V558/0.7+W558</f>
        <v>83.857142857142861</v>
      </c>
      <c r="Y558" s="28">
        <f>X558</f>
        <v>83.857142857142861</v>
      </c>
      <c r="Z558" s="52"/>
    </row>
    <row r="559" spans="1:26" ht="15.6" x14ac:dyDescent="0.25">
      <c r="A559" s="38">
        <v>49</v>
      </c>
      <c r="B559" s="17" t="s">
        <v>767</v>
      </c>
      <c r="C559" s="48">
        <v>214</v>
      </c>
      <c r="D559" s="49" t="s">
        <v>984</v>
      </c>
      <c r="E559" s="48" t="s">
        <v>65</v>
      </c>
      <c r="F559" s="38">
        <v>8.9</v>
      </c>
      <c r="G559" s="32">
        <f>IF(B559="高三",IF($E559="男",LOOKUP(F559,[1]对照表!$G$3:$G$24,[1]对照表!$H$3:$H$24),LOOKUP(F559,[1]对照表!$G$27:$G$48,[1]对照表!$H$27:$H$48)),IF(B559="高二",IF($E559="男",LOOKUP(F559,[1]对照表!$F$3:$F$24,[1]对照表!$H$3:$H$24),LOOKUP(F559,[1]对照表!$F$27:$F$48,[1]对照表!$H$27:$H$48)),IF(B559="高一",IF($E559="男",LOOKUP(F559,[1]对照表!$E$3:$E$24,[1]对照表!$H$3:$H$24),LOOKUP(F559,[1]对照表!$E$27:$E$48,[1]对照表!$H$27:$H$48)))))</f>
        <v>76</v>
      </c>
      <c r="H559" s="38">
        <v>18.8</v>
      </c>
      <c r="I559" s="32">
        <f>IF(B559="高三",IF($E559="男",LOOKUP(H559,[1]对照表!$K$3:$K$24,[1]对照表!$L$3:$L$24),LOOKUP(H559,[1]对照表!$K$27:$K$48,[1]对照表!$L$27:$L$48)),IF(B559="高二",IF($E559="男",LOOKUP(H559,[1]对照表!$J$3:$J$24,[1]对照表!$L$3:$L$24),LOOKUP(H559,[1]对照表!$J$27:$J$48,[1]对照表!$L$27:$L$48)),IF(B559="高一",IF($E559="男",LOOKUP(H559,[1]对照表!$I$3:$I$24,[1]对照表!$L$3:$L$24),LOOKUP(H559,[1]对照表!$I$27:$I$48,[1]对照表!$L$27:$L$48)))))</f>
        <v>80</v>
      </c>
      <c r="J559" s="38">
        <v>190</v>
      </c>
      <c r="K559" s="32">
        <f>IF(B559="高三",IF($E559="男",LOOKUP(J559,[1]对照表!$O$3:$O$24,[1]对照表!$P$3:$P$24),LOOKUP(J559,[1]对照表!$O$27:$O$48,[1]对照表!$P$27:$P$48)),IF(B559="高二",IF($E559="男",LOOKUP(J559,[1]对照表!$N$3:$N$24,[1]对照表!$P$3:$P$24),LOOKUP(J559,[1]对照表!$N$27:$N$48,[1]对照表!$P$27:$P$48)),IF(B559="高一",IF($E559="男",LOOKUP(J559,[1]对照表!$M$3:$M$24,[1]对照表!$P$3:$P$24),LOOKUP(J559,[1]对照表!$M$27:$M$48,[1]对照表!$P$27:$P$48)))))</f>
        <v>85</v>
      </c>
      <c r="L559" s="38">
        <v>56</v>
      </c>
      <c r="M559" s="32">
        <f>IF(B559="高三",IF($E559="男",LOOKUP(L559,[1]对照表!$S$3:$S$24,[1]对照表!$T$3:$T$24),LOOKUP(L559,[1]对照表!$S$27:$S$48,[1]对照表!$T$27:$T$48)),IF(B559="高二",IF($E559="男",LOOKUP(L559,[1]对照表!$R$3:$R$24,[1]对照表!$T$3:$T$24),LOOKUP(L559,[1]对照表!$R$27:$R$48,[1]对照表!$T$27:$T$48)),IF(B559="高一",IF($E559="男",LOOKUP(L559,[1]对照表!$Q$3:$Q$24,[1]对照表!$T$3:$T$24),LOOKUP(L559,[1]对照表!$Q$27:$Q$48,[1]对照表!$T$27:$T$48)))))</f>
        <v>100</v>
      </c>
      <c r="N559" s="33">
        <f>IF(B559="高三",MAX(IF(E559="男",L559-18,L559-55),0),IF(B559="高二",MAX(IF(E559="男",L559-17,L559-54),0),IF(B559="高一",MAX(IF(E559="男",L559-16,L559-53),0))))</f>
        <v>2</v>
      </c>
      <c r="O559" s="23">
        <f>IF(E559="男",LOOKUP($N559,[1]对照表!$Z$3:$Z$13,[1]对照表!$AA$3:$AA$13),LOOKUP($N559,[1]对照表!$Z$15:$Z$25,[1]对照表!$AA$15:$AA$25))</f>
        <v>1</v>
      </c>
      <c r="P559" s="25">
        <f>M559+O559</f>
        <v>101</v>
      </c>
      <c r="Q559" s="38">
        <v>3.43</v>
      </c>
      <c r="R559" s="32">
        <f>IF(B559="高三",IF($E559="男",LOOKUP(Q559,[1]对照表!$W$3:$W$24,[1]对照表!$X$3:$X$24),LOOKUP(Q559,[1]对照表!$W$27:$W$48,[1]对照表!$X$27:$X$48)),IF(B559="高二",IF($E559="男",LOOKUP(Q559,[1]对照表!$V$3:$V$24,[1]对照表!$X$3:$X$24),LOOKUP(Q559,[1]对照表!$V$27:$V$48,[1]对照表!$X$27:$X$48)),IF(B559="高一",IF($E559="男",LOOKUP(Q559,[1]对照表!$U$3:$U$24,[1]对照表!$X$3:$X$24),LOOKUP(Q559,[1]对照表!$U$27:$U$48,[1]对照表!$X$27:$X$48)))))</f>
        <v>80</v>
      </c>
      <c r="S559" s="33">
        <f>ROUND(IF(IF($B559="高三",MIN(IF($E559="男",$Q559-3.2,$Q559-3.2),0),IF($B559="高二",MIN(IF($E559="男",$Q559-3.25,$Q559-3.22),0),IF($B559="高一",MIN(IF($E559="男",$Q559-3.3,$Q559-3.24),0))))&lt;-0.6,IF($B559="高三",MIN(IF($E559="男",$Q559-3.2,$Q559-3.2),0),IF($B559="高二",MIN(IF($E559="男",$Q559-3.25,$Q559-3.22),0),IF($B559="高一",MIN(IF($E559="男",$Q559-3.3,$Q559-3.24),0))))+0.4,IF($B559="高三",MIN(IF($E559="男",$Q559-3.2,$Q559-3.2),0),IF($B559="高二",MIN(IF($E559="男",$Q559-3.25,$Q559-3.22),0),IF($B559="高一",MIN(IF($E559="男",$Q559-3.3,$Q559-3.24),0))))),2)</f>
        <v>0</v>
      </c>
      <c r="T559" s="23">
        <f>IF(E559="男",LOOKUP($S559,[1]对照表!$AB$3:$AB$13,[1]对照表!$AC$3:$AC$13),LOOKUP($S559,[1]对照表!$AB$15:$AB$25,[1]对照表!$AC$15:$AC$25))</f>
        <v>0</v>
      </c>
      <c r="U559" s="26">
        <f>R559+T559</f>
        <v>80</v>
      </c>
      <c r="V559" s="26">
        <f>SUM(I559,K559,M559)/3*0.3+SUM(G559,R559)/2*0.4</f>
        <v>57.7</v>
      </c>
      <c r="W559" s="27">
        <f>O559+T559</f>
        <v>1</v>
      </c>
      <c r="X559" s="28">
        <f>V559/0.7+W559</f>
        <v>83.428571428571445</v>
      </c>
      <c r="Y559" s="28">
        <f>X559</f>
        <v>83.428571428571445</v>
      </c>
      <c r="Z559" s="38"/>
    </row>
    <row r="560" spans="1:26" ht="15.6" x14ac:dyDescent="0.25">
      <c r="A560" s="48">
        <v>20</v>
      </c>
      <c r="B560" s="17" t="s">
        <v>767</v>
      </c>
      <c r="C560" s="48">
        <v>214</v>
      </c>
      <c r="D560" s="49" t="s">
        <v>997</v>
      </c>
      <c r="E560" s="48" t="s">
        <v>23</v>
      </c>
      <c r="F560" s="38">
        <v>6.7</v>
      </c>
      <c r="G560" s="32">
        <f>IF(B560="高三",IF($E560="男",LOOKUP(F560,[1]对照表!$G$3:$G$24,[1]对照表!$H$3:$H$24),LOOKUP(F560,[1]对照表!$G$27:$G$48,[1]对照表!$H$27:$H$48)),IF(B560="高二",IF($E560="男",LOOKUP(F560,[1]对照表!$F$3:$F$24,[1]对照表!$H$3:$H$24),LOOKUP(F560,[1]对照表!$F$27:$F$48,[1]对照表!$H$27:$H$48)),IF(B560="高一",IF($E560="男",LOOKUP(F560,[1]对照表!$E$3:$E$24,[1]对照表!$H$3:$H$24),LOOKUP(F560,[1]对照表!$E$27:$E$48,[1]对照表!$H$27:$H$48)))))</f>
        <v>100</v>
      </c>
      <c r="H560" s="38">
        <v>12</v>
      </c>
      <c r="I560" s="32">
        <f>IF(B560="高三",IF($E560="男",LOOKUP(H560,[1]对照表!$K$3:$K$24,[1]对照表!$L$3:$L$24),LOOKUP(H560,[1]对照表!$K$27:$K$48,[1]对照表!$L$27:$L$48)),IF(B560="高二",IF($E560="男",LOOKUP(H560,[1]对照表!$J$3:$J$24,[1]对照表!$L$3:$L$24),LOOKUP(H560,[1]对照表!$J$27:$J$48,[1]对照表!$L$27:$L$48)),IF(B560="高一",IF($E560="男",LOOKUP(H560,[1]对照表!$I$3:$I$24,[1]对照表!$L$3:$L$24),LOOKUP(H560,[1]对照表!$I$27:$I$48,[1]对照表!$L$27:$L$48)))))</f>
        <v>74</v>
      </c>
      <c r="J560" s="38">
        <v>275</v>
      </c>
      <c r="K560" s="32">
        <f>IF(B560="高三",IF($E560="男",LOOKUP(J560,[1]对照表!$O$3:$O$24,[1]对照表!$P$3:$P$24),LOOKUP(J560,[1]对照表!$O$27:$O$48,[1]对照表!$P$27:$P$48)),IF(B560="高二",IF($E560="男",LOOKUP(J560,[1]对照表!$N$3:$N$24,[1]对照表!$P$3:$P$24),LOOKUP(J560,[1]对照表!$N$27:$N$48,[1]对照表!$P$27:$P$48)),IF(B560="高一",IF($E560="男",LOOKUP(J560,[1]对照表!$M$3:$M$24,[1]对照表!$P$3:$P$24),LOOKUP(J560,[1]对照表!$M$27:$M$48,[1]对照表!$P$27:$P$48)))))</f>
        <v>100</v>
      </c>
      <c r="L560" s="38">
        <v>12</v>
      </c>
      <c r="M560" s="32">
        <f>IF(B560="高三",IF($E560="男",LOOKUP(L560,[1]对照表!$S$3:$S$24,[1]对照表!$T$3:$T$24),LOOKUP(L560,[1]对照表!$S$27:$S$48,[1]对照表!$T$27:$T$48)),IF(B560="高二",IF($E560="男",LOOKUP(L560,[1]对照表!$R$3:$R$24,[1]对照表!$T$3:$T$24),LOOKUP(L560,[1]对照表!$R$27:$R$48,[1]对照表!$T$27:$T$48)),IF(B560="高一",IF($E560="男",LOOKUP(L560,[1]对照表!$Q$3:$Q$24,[1]对照表!$T$3:$T$24),LOOKUP(L560,[1]对照表!$Q$27:$Q$48,[1]对照表!$T$27:$T$48)))))</f>
        <v>76</v>
      </c>
      <c r="N560" s="33">
        <f>IF(B560="高三",MAX(IF(E560="男",L560-18,L560-55),0),IF(B560="高二",MAX(IF(E560="男",L560-17,L560-54),0),IF(B560="高一",MAX(IF(E560="男",L560-16,L560-53),0))))</f>
        <v>0</v>
      </c>
      <c r="O560" s="23">
        <f>IF(E560="男",LOOKUP($N560,[1]对照表!$Z$3:$Z$13,[1]对照表!$AA$3:$AA$13),LOOKUP($N560,[1]对照表!$Z$15:$Z$25,[1]对照表!$AA$15:$AA$25))</f>
        <v>0</v>
      </c>
      <c r="P560" s="25">
        <f>M560+O560</f>
        <v>76</v>
      </c>
      <c r="Q560" s="38">
        <v>3.32</v>
      </c>
      <c r="R560" s="32">
        <f>IF(B560="高三",IF($E560="男",LOOKUP(Q560,[1]对照表!$W$3:$W$24,[1]对照表!$X$3:$X$24),LOOKUP(Q560,[1]对照表!$W$27:$W$48,[1]对照表!$X$27:$X$48)),IF(B560="高二",IF($E560="男",LOOKUP(Q560,[1]对照表!$V$3:$V$24,[1]对照表!$X$3:$X$24),LOOKUP(Q560,[1]对照表!$V$27:$V$48,[1]对照表!$X$27:$X$48)),IF(B560="高一",IF($E560="男",LOOKUP(Q560,[1]对照表!$U$3:$U$24,[1]对照表!$X$3:$X$24),LOOKUP(Q560,[1]对照表!$U$27:$U$48,[1]对照表!$X$27:$X$48)))))</f>
        <v>90</v>
      </c>
      <c r="S560" s="33">
        <f>ROUND(IF(IF($B560="高三",MIN(IF($E560="男",$Q560-3.2,$Q560-3.2),0),IF($B560="高二",MIN(IF($E560="男",$Q560-3.25,$Q560-3.22),0),IF($B560="高一",MIN(IF($E560="男",$Q560-3.3,$Q560-3.24),0))))&lt;-0.6,IF($B560="高三",MIN(IF($E560="男",$Q560-3.2,$Q560-3.2),0),IF($B560="高二",MIN(IF($E560="男",$Q560-3.25,$Q560-3.22),0),IF($B560="高一",MIN(IF($E560="男",$Q560-3.3,$Q560-3.24),0))))+0.4,IF($B560="高三",MIN(IF($E560="男",$Q560-3.2,$Q560-3.2),0),IF($B560="高二",MIN(IF($E560="男",$Q560-3.25,$Q560-3.22),0),IF($B560="高一",MIN(IF($E560="男",$Q560-3.3,$Q560-3.24),0))))),2)</f>
        <v>0</v>
      </c>
      <c r="T560" s="23">
        <f>IF(E560="男",LOOKUP($S560,[1]对照表!$AB$3:$AB$13,[1]对照表!$AC$3:$AC$13),LOOKUP($S560,[1]对照表!$AB$15:$AB$25,[1]对照表!$AC$15:$AC$25))</f>
        <v>0</v>
      </c>
      <c r="U560" s="26">
        <f>R560+T560</f>
        <v>90</v>
      </c>
      <c r="V560" s="26">
        <f>SUM(I560,K560,M560)/3*0.3+SUM(G560,R560)/2*0.4</f>
        <v>63</v>
      </c>
      <c r="W560" s="27">
        <f>O560+T560</f>
        <v>0</v>
      </c>
      <c r="X560" s="28">
        <f>V560/0.7+W560</f>
        <v>90</v>
      </c>
      <c r="Y560" s="28">
        <f>X560</f>
        <v>90</v>
      </c>
      <c r="Z560" s="38"/>
    </row>
    <row r="561" spans="1:26" ht="15.6" x14ac:dyDescent="0.25">
      <c r="A561" s="48">
        <v>15</v>
      </c>
      <c r="B561" s="17" t="s">
        <v>767</v>
      </c>
      <c r="C561" s="48">
        <v>214</v>
      </c>
      <c r="D561" s="49" t="s">
        <v>1020</v>
      </c>
      <c r="E561" s="48" t="s">
        <v>23</v>
      </c>
      <c r="F561" s="38">
        <v>7</v>
      </c>
      <c r="G561" s="32">
        <f>IF(B561="高三",IF($E561="男",LOOKUP(F561,[1]对照表!$G$3:$G$24,[1]对照表!$H$3:$H$24),LOOKUP(F561,[1]对照表!$G$27:$G$48,[1]对照表!$H$27:$H$48)),IF(B561="高二",IF($E561="男",LOOKUP(F561,[1]对照表!$F$3:$F$24,[1]对照表!$H$3:$H$24),LOOKUP(F561,[1]对照表!$F$27:$F$48,[1]对照表!$H$27:$H$48)),IF(B561="高一",IF($E561="男",LOOKUP(F561,[1]对照表!$E$3:$E$24,[1]对照表!$H$3:$H$24),LOOKUP(F561,[1]对照表!$E$27:$E$48,[1]对照表!$H$27:$H$48)))))</f>
        <v>100</v>
      </c>
      <c r="H561" s="38">
        <v>22</v>
      </c>
      <c r="I561" s="32">
        <f>IF(B561="高三",IF($E561="男",LOOKUP(H561,[1]对照表!$K$3:$K$24,[1]对照表!$L$3:$L$24),LOOKUP(H561,[1]对照表!$K$27:$K$48,[1]对照表!$L$27:$L$48)),IF(B561="高二",IF($E561="男",LOOKUP(H561,[1]对照表!$J$3:$J$24,[1]对照表!$L$3:$L$24),LOOKUP(H561,[1]对照表!$J$27:$J$48,[1]对照表!$L$27:$L$48)),IF(B561="高一",IF($E561="男",LOOKUP(H561,[1]对照表!$I$3:$I$24,[1]对照表!$L$3:$L$24),LOOKUP(H561,[1]对照表!$I$27:$I$48,[1]对照表!$L$27:$L$48)))))</f>
        <v>90</v>
      </c>
      <c r="J561" s="38">
        <v>260</v>
      </c>
      <c r="K561" s="32">
        <f>IF(B561="高三",IF($E561="男",LOOKUP(J561,[1]对照表!$O$3:$O$24,[1]对照表!$P$3:$P$24),LOOKUP(J561,[1]对照表!$O$27:$O$48,[1]对照表!$P$27:$P$48)),IF(B561="高二",IF($E561="男",LOOKUP(J561,[1]对照表!$N$3:$N$24,[1]对照表!$P$3:$P$24),LOOKUP(J561,[1]对照表!$N$27:$N$48,[1]对照表!$P$27:$P$48)),IF(B561="高一",IF($E561="男",LOOKUP(J561,[1]对照表!$M$3:$M$24,[1]对照表!$P$3:$P$24),LOOKUP(J561,[1]对照表!$M$27:$M$48,[1]对照表!$P$27:$P$48)))))</f>
        <v>95</v>
      </c>
      <c r="L561" s="38">
        <v>10</v>
      </c>
      <c r="M561" s="32">
        <f>IF(B561="高三",IF($E561="男",LOOKUP(L561,[1]对照表!$S$3:$S$24,[1]对照表!$T$3:$T$24),LOOKUP(L561,[1]对照表!$S$27:$S$48,[1]对照表!$T$27:$T$48)),IF(B561="高二",IF($E561="男",LOOKUP(L561,[1]对照表!$R$3:$R$24,[1]对照表!$T$3:$T$24),LOOKUP(L561,[1]对照表!$R$27:$R$48,[1]对照表!$T$27:$T$48)),IF(B561="高一",IF($E561="男",LOOKUP(L561,[1]对照表!$Q$3:$Q$24,[1]对照表!$T$3:$T$24),LOOKUP(L561,[1]对照表!$Q$27:$Q$48,[1]对照表!$T$27:$T$48)))))</f>
        <v>68</v>
      </c>
      <c r="N561" s="33">
        <f>IF(B561="高三",MAX(IF(E561="男",L561-18,L561-55),0),IF(B561="高二",MAX(IF(E561="男",L561-17,L561-54),0),IF(B561="高一",MAX(IF(E561="男",L561-16,L561-53),0))))</f>
        <v>0</v>
      </c>
      <c r="O561" s="23">
        <f>IF(E561="男",LOOKUP($N561,[1]对照表!$Z$3:$Z$13,[1]对照表!$AA$3:$AA$13),LOOKUP($N561,[1]对照表!$Z$15:$Z$25,[1]对照表!$AA$15:$AA$25))</f>
        <v>0</v>
      </c>
      <c r="P561" s="25">
        <f>M561+O561</f>
        <v>68</v>
      </c>
      <c r="Q561" s="38">
        <v>3.38</v>
      </c>
      <c r="R561" s="32">
        <f>IF(B561="高三",IF($E561="男",LOOKUP(Q561,[1]对照表!$W$3:$W$24,[1]对照表!$X$3:$X$24),LOOKUP(Q561,[1]对照表!$W$27:$W$48,[1]对照表!$X$27:$X$48)),IF(B561="高二",IF($E561="男",LOOKUP(Q561,[1]对照表!$V$3:$V$24,[1]对照表!$X$3:$X$24),LOOKUP(Q561,[1]对照表!$V$27:$V$48,[1]对照表!$X$27:$X$48)),IF(B561="高一",IF($E561="男",LOOKUP(Q561,[1]对照表!$U$3:$U$24,[1]对照表!$X$3:$X$24),LOOKUP(Q561,[1]对照表!$U$27:$U$48,[1]对照表!$X$27:$X$48)))))</f>
        <v>85</v>
      </c>
      <c r="S561" s="33">
        <f>ROUND(IF(IF($B561="高三",MIN(IF($E561="男",$Q561-3.2,$Q561-3.2),0),IF($B561="高二",MIN(IF($E561="男",$Q561-3.25,$Q561-3.22),0),IF($B561="高一",MIN(IF($E561="男",$Q561-3.3,$Q561-3.24),0))))&lt;-0.6,IF($B561="高三",MIN(IF($E561="男",$Q561-3.2,$Q561-3.2),0),IF($B561="高二",MIN(IF($E561="男",$Q561-3.25,$Q561-3.22),0),IF($B561="高一",MIN(IF($E561="男",$Q561-3.3,$Q561-3.24),0))))+0.4,IF($B561="高三",MIN(IF($E561="男",$Q561-3.2,$Q561-3.2),0),IF($B561="高二",MIN(IF($E561="男",$Q561-3.25,$Q561-3.22),0),IF($B561="高一",MIN(IF($E561="男",$Q561-3.3,$Q561-3.24),0))))),2)</f>
        <v>0</v>
      </c>
      <c r="T561" s="23">
        <f>IF(E561="男",LOOKUP($S561,[1]对照表!$AB$3:$AB$13,[1]对照表!$AC$3:$AC$13),LOOKUP($S561,[1]对照表!$AB$15:$AB$25,[1]对照表!$AC$15:$AC$25))</f>
        <v>0</v>
      </c>
      <c r="U561" s="26">
        <f>R561+T561</f>
        <v>85</v>
      </c>
      <c r="V561" s="26">
        <f>SUM(I561,K561,M561)/3*0.3+SUM(G561,R561)/2*0.4</f>
        <v>62.3</v>
      </c>
      <c r="W561" s="27">
        <f>O561+T561</f>
        <v>0</v>
      </c>
      <c r="X561" s="28">
        <f>V561/0.7+W561</f>
        <v>89</v>
      </c>
      <c r="Y561" s="28">
        <f>X561</f>
        <v>89</v>
      </c>
      <c r="Z561" s="38"/>
    </row>
    <row r="562" spans="1:26" ht="15.6" x14ac:dyDescent="0.25">
      <c r="A562" s="48">
        <v>38</v>
      </c>
      <c r="B562" s="17" t="s">
        <v>767</v>
      </c>
      <c r="C562" s="48">
        <v>214</v>
      </c>
      <c r="D562" s="49" t="s">
        <v>1088</v>
      </c>
      <c r="E562" s="48" t="s">
        <v>65</v>
      </c>
      <c r="F562" s="38">
        <v>8.7799999999999994</v>
      </c>
      <c r="G562" s="32">
        <f>IF(B562="高三",IF($E562="男",LOOKUP(F562,[1]对照表!$G$3:$G$24,[1]对照表!$H$3:$H$24),LOOKUP(F562,[1]对照表!$G$27:$G$48,[1]对照表!$H$27:$H$48)),IF(B562="高二",IF($E562="男",LOOKUP(F562,[1]对照表!$F$3:$F$24,[1]对照表!$H$3:$H$24),LOOKUP(F562,[1]对照表!$F$27:$F$48,[1]对照表!$H$27:$H$48)),IF(B562="高一",IF($E562="男",LOOKUP(F562,[1]对照表!$E$3:$E$24,[1]对照表!$H$3:$H$24),LOOKUP(F562,[1]对照表!$E$27:$E$48,[1]对照表!$H$27:$H$48)))))</f>
        <v>76</v>
      </c>
      <c r="H562" s="38">
        <v>31.5</v>
      </c>
      <c r="I562" s="32">
        <f>IF(B562="高三",IF($E562="男",LOOKUP(H562,[1]对照表!$K$3:$K$24,[1]对照表!$L$3:$L$24),LOOKUP(H562,[1]对照表!$K$27:$K$48,[1]对照表!$L$27:$L$48)),IF(B562="高二",IF($E562="男",LOOKUP(H562,[1]对照表!$J$3:$J$24,[1]对照表!$L$3:$L$24),LOOKUP(H562,[1]对照表!$J$27:$J$48,[1]对照表!$L$27:$L$48)),IF(B562="高一",IF($E562="男",LOOKUP(H562,[1]对照表!$I$3:$I$24,[1]对照表!$L$3:$L$24),LOOKUP(H562,[1]对照表!$I$27:$I$48,[1]对照表!$L$27:$L$48)))))</f>
        <v>100</v>
      </c>
      <c r="J562" s="38">
        <v>184</v>
      </c>
      <c r="K562" s="32">
        <f>IF(B562="高三",IF($E562="男",LOOKUP(J562,[1]对照表!$O$3:$O$24,[1]对照表!$P$3:$P$24),LOOKUP(J562,[1]对照表!$O$27:$O$48,[1]对照表!$P$27:$P$48)),IF(B562="高二",IF($E562="男",LOOKUP(J562,[1]对照表!$N$3:$N$24,[1]对照表!$P$3:$P$24),LOOKUP(J562,[1]对照表!$N$27:$N$48,[1]对照表!$P$27:$P$48)),IF(B562="高一",IF($E562="男",LOOKUP(J562,[1]对照表!$M$3:$M$24,[1]对照表!$P$3:$P$24),LOOKUP(J562,[1]对照表!$M$27:$M$48,[1]对照表!$P$27:$P$48)))))</f>
        <v>80</v>
      </c>
      <c r="L562" s="38">
        <v>45</v>
      </c>
      <c r="M562" s="32">
        <f>IF(B562="高三",IF($E562="男",LOOKUP(L562,[1]对照表!$S$3:$S$24,[1]对照表!$T$3:$T$24),LOOKUP(L562,[1]对照表!$S$27:$S$48,[1]对照表!$T$27:$T$48)),IF(B562="高二",IF($E562="男",LOOKUP(L562,[1]对照表!$R$3:$R$24,[1]对照表!$T$3:$T$24),LOOKUP(L562,[1]对照表!$R$27:$R$48,[1]对照表!$T$27:$T$48)),IF(B562="高一",IF($E562="男",LOOKUP(L562,[1]对照表!$Q$3:$Q$24,[1]对照表!$T$3:$T$24),LOOKUP(L562,[1]对照表!$Q$27:$Q$48,[1]对照表!$T$27:$T$48)))))</f>
        <v>80</v>
      </c>
      <c r="N562" s="33">
        <f>IF(B562="高三",MAX(IF(E562="男",L562-18,L562-55),0),IF(B562="高二",MAX(IF(E562="男",L562-17,L562-54),0),IF(B562="高一",MAX(IF(E562="男",L562-16,L562-53),0))))</f>
        <v>0</v>
      </c>
      <c r="O562" s="23">
        <f>IF(E562="男",LOOKUP($N562,[1]对照表!$Z$3:$Z$13,[1]对照表!$AA$3:$AA$13),LOOKUP($N562,[1]对照表!$Z$15:$Z$25,[1]对照表!$AA$15:$AA$25))</f>
        <v>0</v>
      </c>
      <c r="P562" s="25">
        <f>M562+O562</f>
        <v>80</v>
      </c>
      <c r="Q562" s="38">
        <v>4.08</v>
      </c>
      <c r="R562" s="32">
        <f>IF(B562="高三",IF($E562="男",LOOKUP(Q562,[1]对照表!$W$3:$W$24,[1]对照表!$X$3:$X$24),LOOKUP(Q562,[1]对照表!$W$27:$W$48,[1]对照表!$X$27:$X$48)),IF(B562="高二",IF($E562="男",LOOKUP(Q562,[1]对照表!$V$3:$V$24,[1]对照表!$X$3:$X$24),LOOKUP(Q562,[1]对照表!$V$27:$V$48,[1]对照表!$X$27:$X$48)),IF(B562="高一",IF($E562="男",LOOKUP(Q562,[1]对照表!$U$3:$U$24,[1]对照表!$X$3:$X$24),LOOKUP(Q562,[1]对照表!$U$27:$U$48,[1]对照表!$X$27:$X$48)))))</f>
        <v>72</v>
      </c>
      <c r="S562" s="33">
        <f>ROUND(IF(IF($B562="高三",MIN(IF($E562="男",$Q562-3.2,$Q562-3.2),0),IF($B562="高二",MIN(IF($E562="男",$Q562-3.25,$Q562-3.22),0),IF($B562="高一",MIN(IF($E562="男",$Q562-3.3,$Q562-3.24),0))))&lt;-0.6,IF($B562="高三",MIN(IF($E562="男",$Q562-3.2,$Q562-3.2),0),IF($B562="高二",MIN(IF($E562="男",$Q562-3.25,$Q562-3.22),0),IF($B562="高一",MIN(IF($E562="男",$Q562-3.3,$Q562-3.24),0))))+0.4,IF($B562="高三",MIN(IF($E562="男",$Q562-3.2,$Q562-3.2),0),IF($B562="高二",MIN(IF($E562="男",$Q562-3.25,$Q562-3.22),0),IF($B562="高一",MIN(IF($E562="男",$Q562-3.3,$Q562-3.24),0))))),2)</f>
        <v>0</v>
      </c>
      <c r="T562" s="23">
        <f>IF(E562="男",LOOKUP($S562,[1]对照表!$AB$3:$AB$13,[1]对照表!$AC$3:$AC$13),LOOKUP($S562,[1]对照表!$AB$15:$AB$25,[1]对照表!$AC$15:$AC$25))</f>
        <v>0</v>
      </c>
      <c r="U562" s="26">
        <f>R562+T562</f>
        <v>72</v>
      </c>
      <c r="V562" s="26">
        <f>SUM(I562,K562,M562)/3*0.3+SUM(G562,R562)/2*0.4</f>
        <v>55.6</v>
      </c>
      <c r="W562" s="27">
        <f>O562+T562</f>
        <v>0</v>
      </c>
      <c r="X562" s="28">
        <f>V562/0.7+W562</f>
        <v>79.428571428571431</v>
      </c>
      <c r="Y562" s="28">
        <f>X562</f>
        <v>79.428571428571431</v>
      </c>
      <c r="Z562" s="38"/>
    </row>
    <row r="563" spans="1:26" ht="15.6" x14ac:dyDescent="0.25">
      <c r="A563" s="48">
        <v>24</v>
      </c>
      <c r="B563" s="17" t="s">
        <v>767</v>
      </c>
      <c r="C563" s="48">
        <v>214</v>
      </c>
      <c r="D563" s="49" t="s">
        <v>1100</v>
      </c>
      <c r="E563" s="48" t="s">
        <v>23</v>
      </c>
      <c r="F563" s="38">
        <v>7.1</v>
      </c>
      <c r="G563" s="32">
        <f>IF(B563="高三",IF($E563="男",LOOKUP(F563,[1]对照表!$G$3:$G$24,[1]对照表!$H$3:$H$24),LOOKUP(F563,[1]对照表!$G$27:$G$48,[1]对照表!$H$27:$H$48)),IF(B563="高二",IF($E563="男",LOOKUP(F563,[1]对照表!$F$3:$F$24,[1]对照表!$H$3:$H$24),LOOKUP(F563,[1]对照表!$F$27:$F$48,[1]对照表!$H$27:$H$48)),IF(B563="高一",IF($E563="男",LOOKUP(F563,[1]对照表!$E$3:$E$24,[1]对照表!$H$3:$H$24),LOOKUP(F563,[1]对照表!$E$27:$E$48,[1]对照表!$H$27:$H$48)))))</f>
        <v>95</v>
      </c>
      <c r="H563" s="38">
        <v>21</v>
      </c>
      <c r="I563" s="32">
        <f>IF(B563="高三",IF($E563="男",LOOKUP(H563,[1]对照表!$K$3:$K$24,[1]对照表!$L$3:$L$24),LOOKUP(H563,[1]对照表!$K$27:$K$48,[1]对照表!$L$27:$L$48)),IF(B563="高二",IF($E563="男",LOOKUP(H563,[1]对照表!$J$3:$J$24,[1]对照表!$L$3:$L$24),LOOKUP(H563,[1]对照表!$J$27:$J$48,[1]对照表!$L$27:$L$48)),IF(B563="高一",IF($E563="男",LOOKUP(H563,[1]对照表!$I$3:$I$24,[1]对照表!$L$3:$L$24),LOOKUP(H563,[1]对照表!$I$27:$I$48,[1]对照表!$L$27:$L$48)))))</f>
        <v>90</v>
      </c>
      <c r="J563" s="38">
        <v>236</v>
      </c>
      <c r="K563" s="32">
        <f>IF(B563="高三",IF($E563="男",LOOKUP(J563,[1]对照表!$O$3:$O$24,[1]对照表!$P$3:$P$24),LOOKUP(J563,[1]对照表!$O$27:$O$48,[1]对照表!$P$27:$P$48)),IF(B563="高二",IF($E563="男",LOOKUP(J563,[1]对照表!$N$3:$N$24,[1]对照表!$P$3:$P$24),LOOKUP(J563,[1]对照表!$N$27:$N$48,[1]对照表!$P$27:$P$48)),IF(B563="高一",IF($E563="男",LOOKUP(J563,[1]对照表!$M$3:$M$24,[1]对照表!$P$3:$P$24),LOOKUP(J563,[1]对照表!$M$27:$M$48,[1]对照表!$P$27:$P$48)))))</f>
        <v>78</v>
      </c>
      <c r="L563" s="38">
        <v>13</v>
      </c>
      <c r="M563" s="32">
        <f>IF(B563="高三",IF($E563="男",LOOKUP(L563,[1]对照表!$S$3:$S$24,[1]对照表!$T$3:$T$24),LOOKUP(L563,[1]对照表!$S$27:$S$48,[1]对照表!$T$27:$T$48)),IF(B563="高二",IF($E563="男",LOOKUP(L563,[1]对照表!$R$3:$R$24,[1]对照表!$T$3:$T$24),LOOKUP(L563,[1]对照表!$R$27:$R$48,[1]对照表!$T$27:$T$48)),IF(B563="高一",IF($E563="男",LOOKUP(L563,[1]对照表!$Q$3:$Q$24,[1]对照表!$T$3:$T$24),LOOKUP(L563,[1]对照表!$Q$27:$Q$48,[1]对照表!$T$27:$T$48)))))</f>
        <v>80</v>
      </c>
      <c r="N563" s="33">
        <f>IF(B563="高三",MAX(IF(E563="男",L563-18,L563-55),0),IF(B563="高二",MAX(IF(E563="男",L563-17,L563-54),0),IF(B563="高一",MAX(IF(E563="男",L563-16,L563-53),0))))</f>
        <v>0</v>
      </c>
      <c r="O563" s="23">
        <f>IF(E563="男",LOOKUP($N563,[1]对照表!$Z$3:$Z$13,[1]对照表!$AA$3:$AA$13),LOOKUP($N563,[1]对照表!$Z$15:$Z$25,[1]对照表!$AA$15:$AA$25))</f>
        <v>0</v>
      </c>
      <c r="P563" s="25">
        <f>M563+O563</f>
        <v>80</v>
      </c>
      <c r="Q563" s="38">
        <v>3.5</v>
      </c>
      <c r="R563" s="32">
        <f>IF(B563="高三",IF($E563="男",LOOKUP(Q563,[1]对照表!$W$3:$W$24,[1]对照表!$X$3:$X$24),LOOKUP(Q563,[1]对照表!$W$27:$W$48,[1]对照表!$X$27:$X$48)),IF(B563="高二",IF($E563="男",LOOKUP(Q563,[1]对照表!$V$3:$V$24,[1]对照表!$X$3:$X$24),LOOKUP(Q563,[1]对照表!$V$27:$V$48,[1]对照表!$X$27:$X$48)),IF(B563="高一",IF($E563="男",LOOKUP(Q563,[1]对照表!$U$3:$U$24,[1]对照表!$X$3:$X$24),LOOKUP(Q563,[1]对照表!$U$27:$U$48,[1]对照表!$X$27:$X$48)))))</f>
        <v>80</v>
      </c>
      <c r="S563" s="33">
        <f>ROUND(IF(IF($B563="高三",MIN(IF($E563="男",$Q563-3.2,$Q563-3.2),0),IF($B563="高二",MIN(IF($E563="男",$Q563-3.25,$Q563-3.22),0),IF($B563="高一",MIN(IF($E563="男",$Q563-3.3,$Q563-3.24),0))))&lt;-0.6,IF($B563="高三",MIN(IF($E563="男",$Q563-3.2,$Q563-3.2),0),IF($B563="高二",MIN(IF($E563="男",$Q563-3.25,$Q563-3.22),0),IF($B563="高一",MIN(IF($E563="男",$Q563-3.3,$Q563-3.24),0))))+0.4,IF($B563="高三",MIN(IF($E563="男",$Q563-3.2,$Q563-3.2),0),IF($B563="高二",MIN(IF($E563="男",$Q563-3.25,$Q563-3.22),0),IF($B563="高一",MIN(IF($E563="男",$Q563-3.3,$Q563-3.24),0))))),2)</f>
        <v>0</v>
      </c>
      <c r="T563" s="23">
        <f>IF(E563="男",LOOKUP($S563,[1]对照表!$AB$3:$AB$13,[1]对照表!$AC$3:$AC$13),LOOKUP($S563,[1]对照表!$AB$15:$AB$25,[1]对照表!$AC$15:$AC$25))</f>
        <v>0</v>
      </c>
      <c r="U563" s="26">
        <f>R563+T563</f>
        <v>80</v>
      </c>
      <c r="V563" s="26">
        <f>SUM(I563,K563,M563)/3*0.3+SUM(G563,R563)/2*0.4</f>
        <v>59.8</v>
      </c>
      <c r="W563" s="27">
        <f>O563+T563</f>
        <v>0</v>
      </c>
      <c r="X563" s="28">
        <f>V563/0.7+W563</f>
        <v>85.428571428571431</v>
      </c>
      <c r="Y563" s="28">
        <f>X563</f>
        <v>85.428571428571431</v>
      </c>
      <c r="Z563" s="38"/>
    </row>
    <row r="564" spans="1:26" ht="15.6" x14ac:dyDescent="0.25">
      <c r="A564" s="48">
        <v>36</v>
      </c>
      <c r="B564" s="17" t="s">
        <v>767</v>
      </c>
      <c r="C564" s="48">
        <v>214</v>
      </c>
      <c r="D564" s="49" t="s">
        <v>1105</v>
      </c>
      <c r="E564" s="48" t="s">
        <v>65</v>
      </c>
      <c r="F564" s="38">
        <v>9.75</v>
      </c>
      <c r="G564" s="32">
        <f>IF(B564="高三",IF($E564="男",LOOKUP(F564,[1]对照表!$G$3:$G$24,[1]对照表!$H$3:$H$24),LOOKUP(F564,[1]对照表!$G$27:$G$48,[1]对照表!$H$27:$H$48)),IF(B564="高二",IF($E564="男",LOOKUP(F564,[1]对照表!$F$3:$F$24,[1]对照表!$H$3:$H$24),LOOKUP(F564,[1]对照表!$F$27:$F$48,[1]对照表!$H$27:$H$48)),IF(B564="高一",IF($E564="男",LOOKUP(F564,[1]对照表!$E$3:$E$24,[1]对照表!$H$3:$H$24),LOOKUP(F564,[1]对照表!$E$27:$E$48,[1]对照表!$H$27:$H$48)))))</f>
        <v>66</v>
      </c>
      <c r="H564" s="38">
        <v>26.5</v>
      </c>
      <c r="I564" s="32">
        <f>IF(B564="高三",IF($E564="男",LOOKUP(H564,[1]对照表!$K$3:$K$24,[1]对照表!$L$3:$L$24),LOOKUP(H564,[1]对照表!$K$27:$K$48,[1]对照表!$L$27:$L$48)),IF(B564="高二",IF($E564="男",LOOKUP(H564,[1]对照表!$J$3:$J$24,[1]对照表!$L$3:$L$24),LOOKUP(H564,[1]对照表!$J$27:$J$48,[1]对照表!$L$27:$L$48)),IF(B564="高一",IF($E564="男",LOOKUP(H564,[1]对照表!$I$3:$I$24,[1]对照表!$L$3:$L$24),LOOKUP(H564,[1]对照表!$I$27:$I$48,[1]对照表!$L$27:$L$48)))))</f>
        <v>100</v>
      </c>
      <c r="J564" s="38">
        <v>166</v>
      </c>
      <c r="K564" s="32">
        <f>IF(B564="高三",IF($E564="男",LOOKUP(J564,[1]对照表!$O$3:$O$24,[1]对照表!$P$3:$P$24),LOOKUP(J564,[1]对照表!$O$27:$O$48,[1]对照表!$P$27:$P$48)),IF(B564="高二",IF($E564="男",LOOKUP(J564,[1]对照表!$N$3:$N$24,[1]对照表!$P$3:$P$24),LOOKUP(J564,[1]对照表!$N$27:$N$48,[1]对照表!$P$27:$P$48)),IF(B564="高一",IF($E564="男",LOOKUP(J564,[1]对照表!$M$3:$M$24,[1]对照表!$P$3:$P$24),LOOKUP(J564,[1]对照表!$M$27:$M$48,[1]对照表!$P$27:$P$48)))))</f>
        <v>70</v>
      </c>
      <c r="L564" s="38">
        <v>55</v>
      </c>
      <c r="M564" s="32">
        <f>IF(B564="高三",IF($E564="男",LOOKUP(L564,[1]对照表!$S$3:$S$24,[1]对照表!$T$3:$T$24),LOOKUP(L564,[1]对照表!$S$27:$S$48,[1]对照表!$T$27:$T$48)),IF(B564="高二",IF($E564="男",LOOKUP(L564,[1]对照表!$R$3:$R$24,[1]对照表!$T$3:$T$24),LOOKUP(L564,[1]对照表!$R$27:$R$48,[1]对照表!$T$27:$T$48)),IF(B564="高一",IF($E564="男",LOOKUP(L564,[1]对照表!$Q$3:$Q$24,[1]对照表!$T$3:$T$24),LOOKUP(L564,[1]对照表!$Q$27:$Q$48,[1]对照表!$T$27:$T$48)))))</f>
        <v>100</v>
      </c>
      <c r="N564" s="33">
        <f>IF(B564="高三",MAX(IF(E564="男",L564-18,L564-55),0),IF(B564="高二",MAX(IF(E564="男",L564-17,L564-54),0),IF(B564="高一",MAX(IF(E564="男",L564-16,L564-53),0))))</f>
        <v>1</v>
      </c>
      <c r="O564" s="23">
        <f>IF(E564="男",LOOKUP($N564,[1]对照表!$Z$3:$Z$13,[1]对照表!$AA$3:$AA$13),LOOKUP($N564,[1]对照表!$Z$15:$Z$25,[1]对照表!$AA$15:$AA$25))</f>
        <v>0</v>
      </c>
      <c r="P564" s="25">
        <f>M564+O564</f>
        <v>100</v>
      </c>
      <c r="Q564" s="38">
        <v>3.59</v>
      </c>
      <c r="R564" s="32">
        <f>IF(B564="高三",IF($E564="男",LOOKUP(Q564,[1]对照表!$W$3:$W$24,[1]对照表!$X$3:$X$24),LOOKUP(Q564,[1]对照表!$W$27:$W$48,[1]对照表!$X$27:$X$48)),IF(B564="高二",IF($E564="男",LOOKUP(Q564,[1]对照表!$V$3:$V$24,[1]对照表!$X$3:$X$24),LOOKUP(Q564,[1]对照表!$V$27:$V$48,[1]对照表!$X$27:$X$48)),IF(B564="高一",IF($E564="男",LOOKUP(Q564,[1]对照表!$U$3:$U$24,[1]对照表!$X$3:$X$24),LOOKUP(Q564,[1]对照表!$U$27:$U$48,[1]对照表!$X$27:$X$48)))))</f>
        <v>74</v>
      </c>
      <c r="S564" s="33">
        <f>ROUND(IF(IF($B564="高三",MIN(IF($E564="男",$Q564-3.2,$Q564-3.2),0),IF($B564="高二",MIN(IF($E564="男",$Q564-3.25,$Q564-3.22),0),IF($B564="高一",MIN(IF($E564="男",$Q564-3.3,$Q564-3.24),0))))&lt;-0.6,IF($B564="高三",MIN(IF($E564="男",$Q564-3.2,$Q564-3.2),0),IF($B564="高二",MIN(IF($E564="男",$Q564-3.25,$Q564-3.22),0),IF($B564="高一",MIN(IF($E564="男",$Q564-3.3,$Q564-3.24),0))))+0.4,IF($B564="高三",MIN(IF($E564="男",$Q564-3.2,$Q564-3.2),0),IF($B564="高二",MIN(IF($E564="男",$Q564-3.25,$Q564-3.22),0),IF($B564="高一",MIN(IF($E564="男",$Q564-3.3,$Q564-3.24),0))))),2)</f>
        <v>0</v>
      </c>
      <c r="T564" s="23">
        <f>IF(E564="男",LOOKUP($S564,[1]对照表!$AB$3:$AB$13,[1]对照表!$AC$3:$AC$13),LOOKUP($S564,[1]对照表!$AB$15:$AB$25,[1]对照表!$AC$15:$AC$25))</f>
        <v>0</v>
      </c>
      <c r="U564" s="26">
        <f>R564+T564</f>
        <v>74</v>
      </c>
      <c r="V564" s="26">
        <f>SUM(I564,K564,M564)/3*0.3+SUM(G564,R564)/2*0.4</f>
        <v>55</v>
      </c>
      <c r="W564" s="27">
        <f>O564+T564</f>
        <v>0</v>
      </c>
      <c r="X564" s="28">
        <f>V564/0.7+W564</f>
        <v>78.571428571428569</v>
      </c>
      <c r="Y564" s="28">
        <f>X564</f>
        <v>78.571428571428569</v>
      </c>
      <c r="Z564" s="38"/>
    </row>
    <row r="565" spans="1:26" ht="15.6" x14ac:dyDescent="0.25">
      <c r="A565" s="48">
        <v>40</v>
      </c>
      <c r="B565" s="17" t="s">
        <v>767</v>
      </c>
      <c r="C565" s="48">
        <v>214</v>
      </c>
      <c r="D565" s="49" t="s">
        <v>1117</v>
      </c>
      <c r="E565" s="48" t="s">
        <v>65</v>
      </c>
      <c r="F565" s="38">
        <v>9.16</v>
      </c>
      <c r="G565" s="32">
        <f>IF(B565="高三",IF($E565="男",LOOKUP(F565,[1]对照表!$G$3:$G$24,[1]对照表!$H$3:$H$24),LOOKUP(F565,[1]对照表!$G$27:$G$48,[1]对照表!$H$27:$H$48)),IF(B565="高二",IF($E565="男",LOOKUP(F565,[1]对照表!$F$3:$F$24,[1]对照表!$H$3:$H$24),LOOKUP(F565,[1]对照表!$F$27:$F$48,[1]对照表!$H$27:$H$48)),IF(B565="高一",IF($E565="男",LOOKUP(F565,[1]对照表!$E$3:$E$24,[1]对照表!$H$3:$H$24),LOOKUP(F565,[1]对照表!$E$27:$E$48,[1]对照表!$H$27:$H$48)))))</f>
        <v>72</v>
      </c>
      <c r="H565" s="38">
        <v>22.4</v>
      </c>
      <c r="I565" s="32">
        <f>IF(B565="高三",IF($E565="男",LOOKUP(H565,[1]对照表!$K$3:$K$24,[1]对照表!$L$3:$L$24),LOOKUP(H565,[1]对照表!$K$27:$K$48,[1]对照表!$L$27:$L$48)),IF(B565="高二",IF($E565="男",LOOKUP(H565,[1]对照表!$J$3:$J$24,[1]对照表!$L$3:$L$24),LOOKUP(H565,[1]对照表!$J$27:$J$48,[1]对照表!$L$27:$L$48)),IF(B565="高一",IF($E565="男",LOOKUP(H565,[1]对照表!$I$3:$I$24,[1]对照表!$L$3:$L$24),LOOKUP(H565,[1]对照表!$I$27:$I$48,[1]对照表!$L$27:$L$48)))))</f>
        <v>90</v>
      </c>
      <c r="J565" s="38">
        <v>167</v>
      </c>
      <c r="K565" s="32">
        <f>IF(B565="高三",IF($E565="男",LOOKUP(J565,[1]对照表!$O$3:$O$24,[1]对照表!$P$3:$P$24),LOOKUP(J565,[1]对照表!$O$27:$O$48,[1]对照表!$P$27:$P$48)),IF(B565="高二",IF($E565="男",LOOKUP(J565,[1]对照表!$N$3:$N$24,[1]对照表!$P$3:$P$24),LOOKUP(J565,[1]对照表!$N$27:$N$48,[1]对照表!$P$27:$P$48)),IF(B565="高一",IF($E565="男",LOOKUP(J565,[1]对照表!$M$3:$M$24,[1]对照表!$P$3:$P$24),LOOKUP(J565,[1]对照表!$M$27:$M$48,[1]对照表!$P$27:$P$48)))))</f>
        <v>72</v>
      </c>
      <c r="L565" s="38">
        <v>46</v>
      </c>
      <c r="M565" s="32">
        <f>IF(B565="高三",IF($E565="男",LOOKUP(L565,[1]对照表!$S$3:$S$24,[1]对照表!$T$3:$T$24),LOOKUP(L565,[1]对照表!$S$27:$S$48,[1]对照表!$T$27:$T$48)),IF(B565="高二",IF($E565="男",LOOKUP(L565,[1]对照表!$R$3:$R$24,[1]对照表!$T$3:$T$24),LOOKUP(L565,[1]对照表!$R$27:$R$48,[1]对照表!$T$27:$T$48)),IF(B565="高一",IF($E565="男",LOOKUP(L565,[1]对照表!$Q$3:$Q$24,[1]对照表!$T$3:$T$24),LOOKUP(L565,[1]对照表!$Q$27:$Q$48,[1]对照表!$T$27:$T$48)))))</f>
        <v>80</v>
      </c>
      <c r="N565" s="33">
        <f>IF(B565="高三",MAX(IF(E565="男",L565-18,L565-55),0),IF(B565="高二",MAX(IF(E565="男",L565-17,L565-54),0),IF(B565="高一",MAX(IF(E565="男",L565-16,L565-53),0))))</f>
        <v>0</v>
      </c>
      <c r="O565" s="23">
        <f>IF(E565="男",LOOKUP($N565,[1]对照表!$Z$3:$Z$13,[1]对照表!$AA$3:$AA$13),LOOKUP($N565,[1]对照表!$Z$15:$Z$25,[1]对照表!$AA$15:$AA$25))</f>
        <v>0</v>
      </c>
      <c r="P565" s="25">
        <f>M565+O565</f>
        <v>80</v>
      </c>
      <c r="Q565" s="38">
        <v>3.47</v>
      </c>
      <c r="R565" s="32">
        <f>IF(B565="高三",IF($E565="男",LOOKUP(Q565,[1]对照表!$W$3:$W$24,[1]对照表!$X$3:$X$24),LOOKUP(Q565,[1]对照表!$W$27:$W$48,[1]对照表!$X$27:$X$48)),IF(B565="高二",IF($E565="男",LOOKUP(Q565,[1]对照表!$V$3:$V$24,[1]对照表!$X$3:$X$24),LOOKUP(Q565,[1]对照表!$V$27:$V$48,[1]对照表!$X$27:$X$48)),IF(B565="高一",IF($E565="男",LOOKUP(Q565,[1]对照表!$U$3:$U$24,[1]对照表!$X$3:$X$24),LOOKUP(Q565,[1]对照表!$U$27:$U$48,[1]对照表!$X$27:$X$48)))))</f>
        <v>80</v>
      </c>
      <c r="S565" s="33">
        <f>ROUND(IF(IF($B565="高三",MIN(IF($E565="男",$Q565-3.2,$Q565-3.2),0),IF($B565="高二",MIN(IF($E565="男",$Q565-3.25,$Q565-3.22),0),IF($B565="高一",MIN(IF($E565="男",$Q565-3.3,$Q565-3.24),0))))&lt;-0.6,IF($B565="高三",MIN(IF($E565="男",$Q565-3.2,$Q565-3.2),0),IF($B565="高二",MIN(IF($E565="男",$Q565-3.25,$Q565-3.22),0),IF($B565="高一",MIN(IF($E565="男",$Q565-3.3,$Q565-3.24),0))))+0.4,IF($B565="高三",MIN(IF($E565="男",$Q565-3.2,$Q565-3.2),0),IF($B565="高二",MIN(IF($E565="男",$Q565-3.25,$Q565-3.22),0),IF($B565="高一",MIN(IF($E565="男",$Q565-3.3,$Q565-3.24),0))))),2)</f>
        <v>0</v>
      </c>
      <c r="T565" s="23">
        <f>IF(E565="男",LOOKUP($S565,[1]对照表!$AB$3:$AB$13,[1]对照表!$AC$3:$AC$13),LOOKUP($S565,[1]对照表!$AB$15:$AB$25,[1]对照表!$AC$15:$AC$25))</f>
        <v>0</v>
      </c>
      <c r="U565" s="26">
        <f>R565+T565</f>
        <v>80</v>
      </c>
      <c r="V565" s="26">
        <f>SUM(I565,K565,M565)/3*0.3+SUM(G565,R565)/2*0.4</f>
        <v>54.6</v>
      </c>
      <c r="W565" s="27">
        <f>O565+T565</f>
        <v>0</v>
      </c>
      <c r="X565" s="28">
        <f>V565/0.7+W565</f>
        <v>78</v>
      </c>
      <c r="Y565" s="28">
        <f>X565</f>
        <v>78</v>
      </c>
      <c r="Z565" s="38"/>
    </row>
    <row r="566" spans="1:26" ht="15.6" x14ac:dyDescent="0.25">
      <c r="A566" s="48">
        <v>7</v>
      </c>
      <c r="B566" s="17" t="s">
        <v>767</v>
      </c>
      <c r="C566" s="48">
        <v>214</v>
      </c>
      <c r="D566" s="49" t="s">
        <v>1154</v>
      </c>
      <c r="E566" s="48" t="s">
        <v>23</v>
      </c>
      <c r="F566" s="38">
        <v>7.1</v>
      </c>
      <c r="G566" s="32">
        <f>IF(B566="高三",IF($E566="男",LOOKUP(F566,[1]对照表!$G$3:$G$24,[1]对照表!$H$3:$H$24),LOOKUP(F566,[1]对照表!$G$27:$G$48,[1]对照表!$H$27:$H$48)),IF(B566="高二",IF($E566="男",LOOKUP(F566,[1]对照表!$F$3:$F$24,[1]对照表!$H$3:$H$24),LOOKUP(F566,[1]对照表!$F$27:$F$48,[1]对照表!$H$27:$H$48)),IF(B566="高一",IF($E566="男",LOOKUP(F566,[1]对照表!$E$3:$E$24,[1]对照表!$H$3:$H$24),LOOKUP(F566,[1]对照表!$E$27:$E$48,[1]对照表!$H$27:$H$48)))))</f>
        <v>95</v>
      </c>
      <c r="H566" s="38">
        <v>13.5</v>
      </c>
      <c r="I566" s="32">
        <f>IF(B566="高三",IF($E566="男",LOOKUP(H566,[1]对照表!$K$3:$K$24,[1]对照表!$L$3:$L$24),LOOKUP(H566,[1]对照表!$K$27:$K$48,[1]对照表!$L$27:$L$48)),IF(B566="高二",IF($E566="男",LOOKUP(H566,[1]对照表!$J$3:$J$24,[1]对照表!$L$3:$L$24),LOOKUP(H566,[1]对照表!$J$27:$J$48,[1]对照表!$L$27:$L$48)),IF(B566="高一",IF($E566="男",LOOKUP(H566,[1]对照表!$I$3:$I$24,[1]对照表!$L$3:$L$24),LOOKUP(H566,[1]对照表!$I$27:$I$48,[1]对照表!$L$27:$L$48)))))</f>
        <v>76</v>
      </c>
      <c r="J566" s="38">
        <v>234</v>
      </c>
      <c r="K566" s="32">
        <f>IF(B566="高三",IF($E566="男",LOOKUP(J566,[1]对照表!$O$3:$O$24,[1]对照表!$P$3:$P$24),LOOKUP(J566,[1]对照表!$O$27:$O$48,[1]对照表!$P$27:$P$48)),IF(B566="高二",IF($E566="男",LOOKUP(J566,[1]对照表!$N$3:$N$24,[1]对照表!$P$3:$P$24),LOOKUP(J566,[1]对照表!$N$27:$N$48,[1]对照表!$P$27:$P$48)),IF(B566="高一",IF($E566="男",LOOKUP(J566,[1]对照表!$M$3:$M$24,[1]对照表!$P$3:$P$24),LOOKUP(J566,[1]对照表!$M$27:$M$48,[1]对照表!$P$27:$P$48)))))</f>
        <v>76</v>
      </c>
      <c r="L566" s="38">
        <v>11</v>
      </c>
      <c r="M566" s="32">
        <f>IF(B566="高三",IF($E566="男",LOOKUP(L566,[1]对照表!$S$3:$S$24,[1]对照表!$T$3:$T$24),LOOKUP(L566,[1]对照表!$S$27:$S$48,[1]对照表!$T$27:$T$48)),IF(B566="高二",IF($E566="男",LOOKUP(L566,[1]对照表!$R$3:$R$24,[1]对照表!$T$3:$T$24),LOOKUP(L566,[1]对照表!$R$27:$R$48,[1]对照表!$T$27:$T$48)),IF(B566="高一",IF($E566="男",LOOKUP(L566,[1]对照表!$Q$3:$Q$24,[1]对照表!$T$3:$T$24),LOOKUP(L566,[1]对照表!$Q$27:$Q$48,[1]对照表!$T$27:$T$48)))))</f>
        <v>72</v>
      </c>
      <c r="N566" s="33">
        <f>IF(B566="高三",MAX(IF(E566="男",L566-18,L566-55),0),IF(B566="高二",MAX(IF(E566="男",L566-17,L566-54),0),IF(B566="高一",MAX(IF(E566="男",L566-16,L566-53),0))))</f>
        <v>0</v>
      </c>
      <c r="O566" s="23">
        <f>IF(E566="男",LOOKUP($N566,[1]对照表!$Z$3:$Z$13,[1]对照表!$AA$3:$AA$13),LOOKUP($N566,[1]对照表!$Z$15:$Z$25,[1]对照表!$AA$15:$AA$25))</f>
        <v>0</v>
      </c>
      <c r="P566" s="25">
        <f>M566+O566</f>
        <v>72</v>
      </c>
      <c r="Q566" s="38">
        <v>3.4</v>
      </c>
      <c r="R566" s="32">
        <f>IF(B566="高三",IF($E566="男",LOOKUP(Q566,[1]对照表!$W$3:$W$24,[1]对照表!$X$3:$X$24),LOOKUP(Q566,[1]对照表!$W$27:$W$48,[1]对照表!$X$27:$X$48)),IF(B566="高二",IF($E566="男",LOOKUP(Q566,[1]对照表!$V$3:$V$24,[1]对照表!$X$3:$X$24),LOOKUP(Q566,[1]对照表!$V$27:$V$48,[1]对照表!$X$27:$X$48)),IF(B566="高一",IF($E566="男",LOOKUP(Q566,[1]对照表!$U$3:$U$24,[1]对照表!$X$3:$X$24),LOOKUP(Q566,[1]对照表!$U$27:$U$48,[1]对照表!$X$27:$X$48)))))</f>
        <v>85</v>
      </c>
      <c r="S566" s="33">
        <f>ROUND(IF(IF($B566="高三",MIN(IF($E566="男",$Q566-3.2,$Q566-3.2),0),IF($B566="高二",MIN(IF($E566="男",$Q566-3.25,$Q566-3.22),0),IF($B566="高一",MIN(IF($E566="男",$Q566-3.3,$Q566-3.24),0))))&lt;-0.6,IF($B566="高三",MIN(IF($E566="男",$Q566-3.2,$Q566-3.2),0),IF($B566="高二",MIN(IF($E566="男",$Q566-3.25,$Q566-3.22),0),IF($B566="高一",MIN(IF($E566="男",$Q566-3.3,$Q566-3.24),0))))+0.4,IF($B566="高三",MIN(IF($E566="男",$Q566-3.2,$Q566-3.2),0),IF($B566="高二",MIN(IF($E566="男",$Q566-3.25,$Q566-3.22),0),IF($B566="高一",MIN(IF($E566="男",$Q566-3.3,$Q566-3.24),0))))),2)</f>
        <v>0</v>
      </c>
      <c r="T566" s="23">
        <f>IF(E566="男",LOOKUP($S566,[1]对照表!$AB$3:$AB$13,[1]对照表!$AC$3:$AC$13),LOOKUP($S566,[1]对照表!$AB$15:$AB$25,[1]对照表!$AC$15:$AC$25))</f>
        <v>0</v>
      </c>
      <c r="U566" s="26">
        <f>R566+T566</f>
        <v>85</v>
      </c>
      <c r="V566" s="26">
        <f>SUM(I566,K566,M566)/3*0.3+SUM(G566,R566)/2*0.4</f>
        <v>58.400000000000006</v>
      </c>
      <c r="W566" s="27">
        <f>O566+T566</f>
        <v>0</v>
      </c>
      <c r="X566" s="28">
        <f>V566/0.7+W566</f>
        <v>83.428571428571445</v>
      </c>
      <c r="Y566" s="28">
        <f>X566</f>
        <v>83.428571428571445</v>
      </c>
      <c r="Z566" s="38"/>
    </row>
    <row r="567" spans="1:26" ht="15.6" x14ac:dyDescent="0.25">
      <c r="A567" s="48">
        <v>2</v>
      </c>
      <c r="B567" s="17" t="s">
        <v>767</v>
      </c>
      <c r="C567" s="48">
        <v>214</v>
      </c>
      <c r="D567" s="49" t="s">
        <v>1178</v>
      </c>
      <c r="E567" s="48" t="s">
        <v>23</v>
      </c>
      <c r="F567" s="38">
        <v>7.5</v>
      </c>
      <c r="G567" s="32">
        <f>IF(B567="高三",IF($E567="男",LOOKUP(F567,[1]对照表!$G$3:$G$24,[1]对照表!$H$3:$H$24),LOOKUP(F567,[1]对照表!$G$27:$G$48,[1]对照表!$H$27:$H$48)),IF(B567="高二",IF($E567="男",LOOKUP(F567,[1]对照表!$F$3:$F$24,[1]对照表!$H$3:$H$24),LOOKUP(F567,[1]对照表!$F$27:$F$48,[1]对照表!$H$27:$H$48)),IF(B567="高一",IF($E567="男",LOOKUP(F567,[1]对照表!$E$3:$E$24,[1]对照表!$H$3:$H$24),LOOKUP(F567,[1]对照表!$E$27:$E$48,[1]对照表!$H$27:$H$48)))))</f>
        <v>78</v>
      </c>
      <c r="H567" s="38">
        <v>8.5</v>
      </c>
      <c r="I567" s="32">
        <f>IF(B567="高三",IF($E567="男",LOOKUP(H567,[1]对照表!$K$3:$K$24,[1]对照表!$L$3:$L$24),LOOKUP(H567,[1]对照表!$K$27:$K$48,[1]对照表!$L$27:$L$48)),IF(B567="高二",IF($E567="男",LOOKUP(H567,[1]对照表!$J$3:$J$24,[1]对照表!$L$3:$L$24),LOOKUP(H567,[1]对照表!$J$27:$J$48,[1]对照表!$L$27:$L$48)),IF(B567="高一",IF($E567="男",LOOKUP(H567,[1]对照表!$I$3:$I$24,[1]对照表!$L$3:$L$24),LOOKUP(H567,[1]对照表!$I$27:$I$48,[1]对照表!$L$27:$L$48)))))</f>
        <v>68</v>
      </c>
      <c r="J567" s="38">
        <v>213</v>
      </c>
      <c r="K567" s="32">
        <f>IF(B567="高三",IF($E567="男",LOOKUP(J567,[1]对照表!$O$3:$O$24,[1]对照表!$P$3:$P$24),LOOKUP(J567,[1]对照表!$O$27:$O$48,[1]对照表!$P$27:$P$48)),IF(B567="高二",IF($E567="男",LOOKUP(J567,[1]对照表!$N$3:$N$24,[1]对照表!$P$3:$P$24),LOOKUP(J567,[1]对照表!$N$27:$N$48,[1]对照表!$P$27:$P$48)),IF(B567="高一",IF($E567="男",LOOKUP(J567,[1]对照表!$M$3:$M$24,[1]对照表!$P$3:$P$24),LOOKUP(J567,[1]对照表!$M$27:$M$48,[1]对照表!$P$27:$P$48)))))</f>
        <v>66</v>
      </c>
      <c r="L567" s="38">
        <v>18</v>
      </c>
      <c r="M567" s="32">
        <f>IF(B567="高三",IF($E567="男",LOOKUP(L567,[1]对照表!$S$3:$S$24,[1]对照表!$T$3:$T$24),LOOKUP(L567,[1]对照表!$S$27:$S$48,[1]对照表!$T$27:$T$48)),IF(B567="高二",IF($E567="男",LOOKUP(L567,[1]对照表!$R$3:$R$24,[1]对照表!$T$3:$T$24),LOOKUP(L567,[1]对照表!$R$27:$R$48,[1]对照表!$T$27:$T$48)),IF(B567="高一",IF($E567="男",LOOKUP(L567,[1]对照表!$Q$3:$Q$24,[1]对照表!$T$3:$T$24),LOOKUP(L567,[1]对照表!$Q$27:$Q$48,[1]对照表!$T$27:$T$48)))))</f>
        <v>100</v>
      </c>
      <c r="N567" s="33">
        <f>IF(B567="高三",MAX(IF(E567="男",L567-18,L567-55),0),IF(B567="高二",MAX(IF(E567="男",L567-17,L567-54),0),IF(B567="高一",MAX(IF(E567="男",L567-16,L567-53),0))))</f>
        <v>1</v>
      </c>
      <c r="O567" s="23">
        <f>IF(E567="男",LOOKUP($N567,[1]对照表!$Z$3:$Z$13,[1]对照表!$AA$3:$AA$13),LOOKUP($N567,[1]对照表!$Z$15:$Z$25,[1]对照表!$AA$15:$AA$25))</f>
        <v>1</v>
      </c>
      <c r="P567" s="25">
        <f>M567+O567</f>
        <v>101</v>
      </c>
      <c r="Q567" s="38">
        <v>3.32</v>
      </c>
      <c r="R567" s="32">
        <f>IF(B567="高三",IF($E567="男",LOOKUP(Q567,[1]对照表!$W$3:$W$24,[1]对照表!$X$3:$X$24),LOOKUP(Q567,[1]对照表!$W$27:$W$48,[1]对照表!$X$27:$X$48)),IF(B567="高二",IF($E567="男",LOOKUP(Q567,[1]对照表!$V$3:$V$24,[1]对照表!$X$3:$X$24),LOOKUP(Q567,[1]对照表!$V$27:$V$48,[1]对照表!$X$27:$X$48)),IF(B567="高一",IF($E567="男",LOOKUP(Q567,[1]对照表!$U$3:$U$24,[1]对照表!$X$3:$X$24),LOOKUP(Q567,[1]对照表!$U$27:$U$48,[1]对照表!$X$27:$X$48)))))</f>
        <v>90</v>
      </c>
      <c r="S567" s="33">
        <f>ROUND(IF(IF($B567="高三",MIN(IF($E567="男",$Q567-3.2,$Q567-3.2),0),IF($B567="高二",MIN(IF($E567="男",$Q567-3.25,$Q567-3.22),0),IF($B567="高一",MIN(IF($E567="男",$Q567-3.3,$Q567-3.24),0))))&lt;-0.6,IF($B567="高三",MIN(IF($E567="男",$Q567-3.2,$Q567-3.2),0),IF($B567="高二",MIN(IF($E567="男",$Q567-3.25,$Q567-3.22),0),IF($B567="高一",MIN(IF($E567="男",$Q567-3.3,$Q567-3.24),0))))+0.4,IF($B567="高三",MIN(IF($E567="男",$Q567-3.2,$Q567-3.2),0),IF($B567="高二",MIN(IF($E567="男",$Q567-3.25,$Q567-3.22),0),IF($B567="高一",MIN(IF($E567="男",$Q567-3.3,$Q567-3.24),0))))),2)</f>
        <v>0</v>
      </c>
      <c r="T567" s="23">
        <f>IF(E567="男",LOOKUP($S567,[1]对照表!$AB$3:$AB$13,[1]对照表!$AC$3:$AC$13),LOOKUP($S567,[1]对照表!$AB$15:$AB$25,[1]对照表!$AC$15:$AC$25))</f>
        <v>0</v>
      </c>
      <c r="U567" s="26">
        <f>R567+T567</f>
        <v>90</v>
      </c>
      <c r="V567" s="26">
        <f>SUM(I567,K567,M567)/3*0.3+SUM(G567,R567)/2*0.4</f>
        <v>57</v>
      </c>
      <c r="W567" s="27">
        <f>O567+T567</f>
        <v>1</v>
      </c>
      <c r="X567" s="28">
        <f>V567/0.7+W567</f>
        <v>82.428571428571431</v>
      </c>
      <c r="Y567" s="28">
        <f>X567</f>
        <v>82.428571428571431</v>
      </c>
      <c r="Z567" s="38"/>
    </row>
    <row r="568" spans="1:26" ht="15.6" x14ac:dyDescent="0.25">
      <c r="A568" s="38">
        <v>47</v>
      </c>
      <c r="B568" s="17" t="s">
        <v>767</v>
      </c>
      <c r="C568" s="48">
        <v>214</v>
      </c>
      <c r="D568" s="49" t="s">
        <v>1195</v>
      </c>
      <c r="E568" s="48" t="s">
        <v>65</v>
      </c>
      <c r="F568" s="38">
        <v>9.7200000000000006</v>
      </c>
      <c r="G568" s="32">
        <f>IF(B568="高三",IF($E568="男",LOOKUP(F568,[1]对照表!$G$3:$G$24,[1]对照表!$H$3:$H$24),LOOKUP(F568,[1]对照表!$G$27:$G$48,[1]对照表!$H$27:$H$48)),IF(B568="高二",IF($E568="男",LOOKUP(F568,[1]对照表!$F$3:$F$24,[1]对照表!$H$3:$H$24),LOOKUP(F568,[1]对照表!$F$27:$F$48,[1]对照表!$H$27:$H$48)),IF(B568="高一",IF($E568="男",LOOKUP(F568,[1]对照表!$E$3:$E$24,[1]对照表!$H$3:$H$24),LOOKUP(F568,[1]对照表!$E$27:$E$48,[1]对照表!$H$27:$H$48)))))</f>
        <v>66</v>
      </c>
      <c r="H568" s="38">
        <v>23.4</v>
      </c>
      <c r="I568" s="32">
        <f>IF(B568="高三",IF($E568="男",LOOKUP(H568,[1]对照表!$K$3:$K$24,[1]对照表!$L$3:$L$24),LOOKUP(H568,[1]对照表!$K$27:$K$48,[1]对照表!$L$27:$L$48)),IF(B568="高二",IF($E568="男",LOOKUP(H568,[1]对照表!$J$3:$J$24,[1]对照表!$L$3:$L$24),LOOKUP(H568,[1]对照表!$J$27:$J$48,[1]对照表!$L$27:$L$48)),IF(B568="高一",IF($E568="男",LOOKUP(H568,[1]对照表!$I$3:$I$24,[1]对照表!$L$3:$L$24),LOOKUP(H568,[1]对照表!$I$27:$I$48,[1]对照表!$L$27:$L$48)))))</f>
        <v>95</v>
      </c>
      <c r="J568" s="38">
        <v>150</v>
      </c>
      <c r="K568" s="32">
        <f>IF(B568="高三",IF($E568="男",LOOKUP(J568,[1]对照表!$O$3:$O$24,[1]对照表!$P$3:$P$24),LOOKUP(J568,[1]对照表!$O$27:$O$48,[1]对照表!$P$27:$P$48)),IF(B568="高二",IF($E568="男",LOOKUP(J568,[1]对照表!$N$3:$N$24,[1]对照表!$P$3:$P$24),LOOKUP(J568,[1]对照表!$N$27:$N$48,[1]对照表!$P$27:$P$48)),IF(B568="高一",IF($E568="男",LOOKUP(J568,[1]对照表!$M$3:$M$24,[1]对照表!$P$3:$P$24),LOOKUP(J568,[1]对照表!$M$27:$M$48,[1]对照表!$P$27:$P$48)))))</f>
        <v>60</v>
      </c>
      <c r="L568" s="38">
        <v>50</v>
      </c>
      <c r="M568" s="32">
        <f>IF(B568="高三",IF($E568="男",LOOKUP(L568,[1]对照表!$S$3:$S$24,[1]对照表!$T$3:$T$24),LOOKUP(L568,[1]对照表!$S$27:$S$48,[1]对照表!$T$27:$T$48)),IF(B568="高二",IF($E568="男",LOOKUP(L568,[1]对照表!$R$3:$R$24,[1]对照表!$T$3:$T$24),LOOKUP(L568,[1]对照表!$R$27:$R$48,[1]对照表!$T$27:$T$48)),IF(B568="高一",IF($E568="男",LOOKUP(L568,[1]对照表!$Q$3:$Q$24,[1]对照表!$T$3:$T$24),LOOKUP(L568,[1]对照表!$Q$27:$Q$48,[1]对照表!$T$27:$T$48)))))</f>
        <v>90</v>
      </c>
      <c r="N568" s="33">
        <f>IF(B568="高三",MAX(IF(E568="男",L568-18,L568-55),0),IF(B568="高二",MAX(IF(E568="男",L568-17,L568-54),0),IF(B568="高一",MAX(IF(E568="男",L568-16,L568-53),0))))</f>
        <v>0</v>
      </c>
      <c r="O568" s="23">
        <f>IF(E568="男",LOOKUP($N568,[1]对照表!$Z$3:$Z$13,[1]对照表!$AA$3:$AA$13),LOOKUP($N568,[1]对照表!$Z$15:$Z$25,[1]对照表!$AA$15:$AA$25))</f>
        <v>0</v>
      </c>
      <c r="P568" s="25">
        <f>M568+O568</f>
        <v>90</v>
      </c>
      <c r="Q568" s="38">
        <v>4.09</v>
      </c>
      <c r="R568" s="32">
        <f>IF(B568="高三",IF($E568="男",LOOKUP(Q568,[1]对照表!$W$3:$W$24,[1]对照表!$X$3:$X$24),LOOKUP(Q568,[1]对照表!$W$27:$W$48,[1]对照表!$X$27:$X$48)),IF(B568="高二",IF($E568="男",LOOKUP(Q568,[1]对照表!$V$3:$V$24,[1]对照表!$X$3:$X$24),LOOKUP(Q568,[1]对照表!$V$27:$V$48,[1]对照表!$X$27:$X$48)),IF(B568="高一",IF($E568="男",LOOKUP(Q568,[1]对照表!$U$3:$U$24,[1]对照表!$X$3:$X$24),LOOKUP(Q568,[1]对照表!$U$27:$U$48,[1]对照表!$X$27:$X$48)))))</f>
        <v>70</v>
      </c>
      <c r="S568" s="33">
        <f>ROUND(IF(IF($B568="高三",MIN(IF($E568="男",$Q568-3.2,$Q568-3.2),0),IF($B568="高二",MIN(IF($E568="男",$Q568-3.25,$Q568-3.22),0),IF($B568="高一",MIN(IF($E568="男",$Q568-3.3,$Q568-3.24),0))))&lt;-0.6,IF($B568="高三",MIN(IF($E568="男",$Q568-3.2,$Q568-3.2),0),IF($B568="高二",MIN(IF($E568="男",$Q568-3.25,$Q568-3.22),0),IF($B568="高一",MIN(IF($E568="男",$Q568-3.3,$Q568-3.24),0))))+0.4,IF($B568="高三",MIN(IF($E568="男",$Q568-3.2,$Q568-3.2),0),IF($B568="高二",MIN(IF($E568="男",$Q568-3.25,$Q568-3.22),0),IF($B568="高一",MIN(IF($E568="男",$Q568-3.3,$Q568-3.24),0))))),2)</f>
        <v>0</v>
      </c>
      <c r="T568" s="23">
        <f>IF(E568="男",LOOKUP($S568,[1]对照表!$AB$3:$AB$13,[1]对照表!$AC$3:$AC$13),LOOKUP($S568,[1]对照表!$AB$15:$AB$25,[1]对照表!$AC$15:$AC$25))</f>
        <v>0</v>
      </c>
      <c r="U568" s="26">
        <f>R568+T568</f>
        <v>70</v>
      </c>
      <c r="V568" s="26">
        <f>SUM(I568,K568,M568)/3*0.3+SUM(G568,R568)/2*0.4</f>
        <v>51.7</v>
      </c>
      <c r="W568" s="27">
        <f>O568+T568</f>
        <v>0</v>
      </c>
      <c r="X568" s="28">
        <f>V568/0.7+W568</f>
        <v>73.857142857142861</v>
      </c>
      <c r="Y568" s="28">
        <f>X568</f>
        <v>73.857142857142861</v>
      </c>
      <c r="Z568" s="38"/>
    </row>
    <row r="569" spans="1:26" ht="15.6" x14ac:dyDescent="0.25">
      <c r="A569" s="48">
        <v>32</v>
      </c>
      <c r="B569" s="17" t="s">
        <v>767</v>
      </c>
      <c r="C569" s="48">
        <v>214</v>
      </c>
      <c r="D569" s="49" t="s">
        <v>1200</v>
      </c>
      <c r="E569" s="48" t="s">
        <v>23</v>
      </c>
      <c r="F569" s="38">
        <v>7.1</v>
      </c>
      <c r="G569" s="32">
        <f>IF(B569="高三",IF($E569="男",LOOKUP(F569,[1]对照表!$G$3:$G$24,[1]对照表!$H$3:$H$24),LOOKUP(F569,[1]对照表!$G$27:$G$48,[1]对照表!$H$27:$H$48)),IF(B569="高二",IF($E569="男",LOOKUP(F569,[1]对照表!$F$3:$F$24,[1]对照表!$H$3:$H$24),LOOKUP(F569,[1]对照表!$F$27:$F$48,[1]对照表!$H$27:$H$48)),IF(B569="高一",IF($E569="男",LOOKUP(F569,[1]对照表!$E$3:$E$24,[1]对照表!$H$3:$H$24),LOOKUP(F569,[1]对照表!$E$27:$E$48,[1]对照表!$H$27:$H$48)))))</f>
        <v>95</v>
      </c>
      <c r="H569" s="38">
        <v>2.5</v>
      </c>
      <c r="I569" s="32">
        <f>IF(B569="高三",IF($E569="男",LOOKUP(H569,[1]对照表!$K$3:$K$24,[1]对照表!$L$3:$L$24),LOOKUP(H569,[1]对照表!$K$27:$K$48,[1]对照表!$L$27:$L$48)),IF(B569="高二",IF($E569="男",LOOKUP(H569,[1]对照表!$J$3:$J$24,[1]对照表!$L$3:$L$24),LOOKUP(H569,[1]对照表!$J$27:$J$48,[1]对照表!$L$27:$L$48)),IF(B569="高一",IF($E569="男",LOOKUP(H569,[1]对照表!$I$3:$I$24,[1]对照表!$L$3:$L$24),LOOKUP(H569,[1]对照表!$I$27:$I$48,[1]对照表!$L$27:$L$48)))))</f>
        <v>60</v>
      </c>
      <c r="J569" s="38">
        <v>220</v>
      </c>
      <c r="K569" s="32">
        <f>IF(B569="高三",IF($E569="男",LOOKUP(J569,[1]对照表!$O$3:$O$24,[1]对照表!$P$3:$P$24),LOOKUP(J569,[1]对照表!$O$27:$O$48,[1]对照表!$P$27:$P$48)),IF(B569="高二",IF($E569="男",LOOKUP(J569,[1]对照表!$N$3:$N$24,[1]对照表!$P$3:$P$24),LOOKUP(J569,[1]对照表!$N$27:$N$48,[1]对照表!$P$27:$P$48)),IF(B569="高一",IF($E569="男",LOOKUP(J569,[1]对照表!$M$3:$M$24,[1]对照表!$P$3:$P$24),LOOKUP(J569,[1]对照表!$M$27:$M$48,[1]对照表!$P$27:$P$48)))))</f>
        <v>70</v>
      </c>
      <c r="L569" s="38">
        <v>17</v>
      </c>
      <c r="M569" s="32">
        <f>IF(B569="高三",IF($E569="男",LOOKUP(L569,[1]对照表!$S$3:$S$24,[1]对照表!$T$3:$T$24),LOOKUP(L569,[1]对照表!$S$27:$S$48,[1]对照表!$T$27:$T$48)),IF(B569="高二",IF($E569="男",LOOKUP(L569,[1]对照表!$R$3:$R$24,[1]对照表!$T$3:$T$24),LOOKUP(L569,[1]对照表!$R$27:$R$48,[1]对照表!$T$27:$T$48)),IF(B569="高一",IF($E569="男",LOOKUP(L569,[1]对照表!$Q$3:$Q$24,[1]对照表!$T$3:$T$24),LOOKUP(L569,[1]对照表!$Q$27:$Q$48,[1]对照表!$T$27:$T$48)))))</f>
        <v>100</v>
      </c>
      <c r="N569" s="33">
        <f>IF(B569="高三",MAX(IF(E569="男",L569-18,L569-55),0),IF(B569="高二",MAX(IF(E569="男",L569-17,L569-54),0),IF(B569="高一",MAX(IF(E569="男",L569-16,L569-53),0))))</f>
        <v>0</v>
      </c>
      <c r="O569" s="23">
        <f>IF(E569="男",LOOKUP($N569,[1]对照表!$Z$3:$Z$13,[1]对照表!$AA$3:$AA$13),LOOKUP($N569,[1]对照表!$Z$15:$Z$25,[1]对照表!$AA$15:$AA$25))</f>
        <v>0</v>
      </c>
      <c r="P569" s="25">
        <f>M569+O569</f>
        <v>100</v>
      </c>
      <c r="Q569" s="38">
        <v>4.0199999999999996</v>
      </c>
      <c r="R569" s="32">
        <f>IF(B569="高三",IF($E569="男",LOOKUP(Q569,[1]对照表!$W$3:$W$24,[1]对照表!$X$3:$X$24),LOOKUP(Q569,[1]对照表!$W$27:$W$48,[1]对照表!$X$27:$X$48)),IF(B569="高二",IF($E569="男",LOOKUP(Q569,[1]对照表!$V$3:$V$24,[1]对照表!$X$3:$X$24),LOOKUP(Q569,[1]对照表!$V$27:$V$48,[1]对照表!$X$27:$X$48)),IF(B569="高一",IF($E569="男",LOOKUP(Q569,[1]对照表!$U$3:$U$24,[1]对照表!$X$3:$X$24),LOOKUP(Q569,[1]对照表!$U$27:$U$48,[1]对照表!$X$27:$X$48)))))</f>
        <v>74</v>
      </c>
      <c r="S569" s="33">
        <f>ROUND(IF(IF($B569="高三",MIN(IF($E569="男",$Q569-3.2,$Q569-3.2),0),IF($B569="高二",MIN(IF($E569="男",$Q569-3.25,$Q569-3.22),0),IF($B569="高一",MIN(IF($E569="男",$Q569-3.3,$Q569-3.24),0))))&lt;-0.6,IF($B569="高三",MIN(IF($E569="男",$Q569-3.2,$Q569-3.2),0),IF($B569="高二",MIN(IF($E569="男",$Q569-3.25,$Q569-3.22),0),IF($B569="高一",MIN(IF($E569="男",$Q569-3.3,$Q569-3.24),0))))+0.4,IF($B569="高三",MIN(IF($E569="男",$Q569-3.2,$Q569-3.2),0),IF($B569="高二",MIN(IF($E569="男",$Q569-3.25,$Q569-3.22),0),IF($B569="高一",MIN(IF($E569="男",$Q569-3.3,$Q569-3.24),0))))),2)</f>
        <v>0</v>
      </c>
      <c r="T569" s="23">
        <f>IF(E569="男",LOOKUP($S569,[1]对照表!$AB$3:$AB$13,[1]对照表!$AC$3:$AC$13),LOOKUP($S569,[1]对照表!$AB$15:$AB$25,[1]对照表!$AC$15:$AC$25))</f>
        <v>0</v>
      </c>
      <c r="U569" s="26">
        <f>R569+T569</f>
        <v>74</v>
      </c>
      <c r="V569" s="26">
        <f>SUM(I569,K569,M569)/3*0.3+SUM(G569,R569)/2*0.4</f>
        <v>56.800000000000004</v>
      </c>
      <c r="W569" s="27">
        <f>O569+T569</f>
        <v>0</v>
      </c>
      <c r="X569" s="28">
        <f>V569/0.7+W569</f>
        <v>81.142857142857153</v>
      </c>
      <c r="Y569" s="28">
        <f>X569</f>
        <v>81.142857142857153</v>
      </c>
      <c r="Z569" s="38"/>
    </row>
    <row r="570" spans="1:26" ht="15.6" x14ac:dyDescent="0.25">
      <c r="A570" s="48">
        <v>14</v>
      </c>
      <c r="B570" s="17" t="s">
        <v>767</v>
      </c>
      <c r="C570" s="48">
        <v>214</v>
      </c>
      <c r="D570" s="49" t="s">
        <v>1227</v>
      </c>
      <c r="E570" s="48" t="s">
        <v>23</v>
      </c>
      <c r="F570" s="52">
        <v>7.5</v>
      </c>
      <c r="G570" s="32">
        <f>IF(B570="高三",IF($E570="男",LOOKUP(F570,[1]对照表!$G$3:$G$24,[1]对照表!$H$3:$H$24),LOOKUP(F570,[1]对照表!$G$27:$G$48,[1]对照表!$H$27:$H$48)),IF(B570="高二",IF($E570="男",LOOKUP(F570,[1]对照表!$F$3:$F$24,[1]对照表!$H$3:$H$24),LOOKUP(F570,[1]对照表!$F$27:$F$48,[1]对照表!$H$27:$H$48)),IF(B570="高一",IF($E570="男",LOOKUP(F570,[1]对照表!$E$3:$E$24,[1]对照表!$H$3:$H$24),LOOKUP(F570,[1]对照表!$E$27:$E$48,[1]对照表!$H$27:$H$48)))))</f>
        <v>78</v>
      </c>
      <c r="H570" s="52">
        <v>23</v>
      </c>
      <c r="I570" s="32">
        <f>IF(B570="高三",IF($E570="男",LOOKUP(H570,[1]对照表!$K$3:$K$24,[1]对照表!$L$3:$L$24),LOOKUP(H570,[1]对照表!$K$27:$K$48,[1]对照表!$L$27:$L$48)),IF(B570="高二",IF($E570="男",LOOKUP(H570,[1]对照表!$J$3:$J$24,[1]对照表!$L$3:$L$24),LOOKUP(H570,[1]对照表!$J$27:$J$48,[1]对照表!$L$27:$L$48)),IF(B570="高一",IF($E570="男",LOOKUP(H570,[1]对照表!$I$3:$I$24,[1]对照表!$L$3:$L$24),LOOKUP(H570,[1]对照表!$I$27:$I$48,[1]对照表!$L$27:$L$48)))))</f>
        <v>95</v>
      </c>
      <c r="J570" s="52">
        <v>206</v>
      </c>
      <c r="K570" s="32">
        <f>IF(B570="高三",IF($E570="男",LOOKUP(J570,[1]对照表!$O$3:$O$24,[1]对照表!$P$3:$P$24),LOOKUP(J570,[1]对照表!$O$27:$O$48,[1]对照表!$P$27:$P$48)),IF(B570="高二",IF($E570="男",LOOKUP(J570,[1]对照表!$N$3:$N$24,[1]对照表!$P$3:$P$24),LOOKUP(J570,[1]对照表!$N$27:$N$48,[1]对照表!$P$27:$P$48)),IF(B570="高一",IF($E570="男",LOOKUP(J570,[1]对照表!$M$3:$M$24,[1]对照表!$P$3:$P$24),LOOKUP(J570,[1]对照表!$M$27:$M$48,[1]对照表!$P$27:$P$48)))))</f>
        <v>62</v>
      </c>
      <c r="L570" s="52">
        <v>14</v>
      </c>
      <c r="M570" s="32">
        <f>IF(B570="高三",IF($E570="男",LOOKUP(L570,[1]对照表!$S$3:$S$24,[1]对照表!$T$3:$T$24),LOOKUP(L570,[1]对照表!$S$27:$S$48,[1]对照表!$T$27:$T$48)),IF(B570="高二",IF($E570="男",LOOKUP(L570,[1]对照表!$R$3:$R$24,[1]对照表!$T$3:$T$24),LOOKUP(L570,[1]对照表!$R$27:$R$48,[1]对照表!$T$27:$T$48)),IF(B570="高一",IF($E570="男",LOOKUP(L570,[1]对照表!$Q$3:$Q$24,[1]对照表!$T$3:$T$24),LOOKUP(L570,[1]对照表!$Q$27:$Q$48,[1]对照表!$T$27:$T$48)))))</f>
        <v>85</v>
      </c>
      <c r="N570" s="33">
        <f>IF(B570="高三",MAX(IF(E570="男",L570-18,L570-55),0),IF(B570="高二",MAX(IF(E570="男",L570-17,L570-54),0),IF(B570="高一",MAX(IF(E570="男",L570-16,L570-53),0))))</f>
        <v>0</v>
      </c>
      <c r="O570" s="23">
        <f>IF(E570="男",LOOKUP($N570,[1]对照表!$Z$3:$Z$13,[1]对照表!$AA$3:$AA$13),LOOKUP($N570,[1]对照表!$Z$15:$Z$25,[1]对照表!$AA$15:$AA$25))</f>
        <v>0</v>
      </c>
      <c r="P570" s="25">
        <f>M570+O570</f>
        <v>85</v>
      </c>
      <c r="Q570" s="52">
        <v>3.44</v>
      </c>
      <c r="R570" s="32">
        <f>IF(B570="高三",IF($E570="男",LOOKUP(Q570,[1]对照表!$W$3:$W$24,[1]对照表!$X$3:$X$24),LOOKUP(Q570,[1]对照表!$W$27:$W$48,[1]对照表!$X$27:$X$48)),IF(B570="高二",IF($E570="男",LOOKUP(Q570,[1]对照表!$V$3:$V$24,[1]对照表!$X$3:$X$24),LOOKUP(Q570,[1]对照表!$V$27:$V$48,[1]对照表!$X$27:$X$48)),IF(B570="高一",IF($E570="男",LOOKUP(Q570,[1]对照表!$U$3:$U$24,[1]对照表!$X$3:$X$24),LOOKUP(Q570,[1]对照表!$U$27:$U$48,[1]对照表!$X$27:$X$48)))))</f>
        <v>80</v>
      </c>
      <c r="S570" s="33">
        <f>ROUND(IF(IF($B570="高三",MIN(IF($E570="男",$Q570-3.2,$Q570-3.2),0),IF($B570="高二",MIN(IF($E570="男",$Q570-3.25,$Q570-3.22),0),IF($B570="高一",MIN(IF($E570="男",$Q570-3.3,$Q570-3.24),0))))&lt;-0.6,IF($B570="高三",MIN(IF($E570="男",$Q570-3.2,$Q570-3.2),0),IF($B570="高二",MIN(IF($E570="男",$Q570-3.25,$Q570-3.22),0),IF($B570="高一",MIN(IF($E570="男",$Q570-3.3,$Q570-3.24),0))))+0.4,IF($B570="高三",MIN(IF($E570="男",$Q570-3.2,$Q570-3.2),0),IF($B570="高二",MIN(IF($E570="男",$Q570-3.25,$Q570-3.22),0),IF($B570="高一",MIN(IF($E570="男",$Q570-3.3,$Q570-3.24),0))))),2)</f>
        <v>0</v>
      </c>
      <c r="T570" s="23">
        <f>IF(E570="男",LOOKUP($S570,[1]对照表!$AB$3:$AB$13,[1]对照表!$AC$3:$AC$13),LOOKUP($S570,[1]对照表!$AB$15:$AB$25,[1]对照表!$AC$15:$AC$25))</f>
        <v>0</v>
      </c>
      <c r="U570" s="26">
        <f>R570+T570</f>
        <v>80</v>
      </c>
      <c r="V570" s="26">
        <f>SUM(I570,K570,M570)/3*0.3+SUM(G570,R570)/2*0.4</f>
        <v>55.8</v>
      </c>
      <c r="W570" s="27">
        <f>O570+T570</f>
        <v>0</v>
      </c>
      <c r="X570" s="28">
        <f>V570/0.7+W570</f>
        <v>79.714285714285708</v>
      </c>
      <c r="Y570" s="28">
        <f>X570</f>
        <v>79.714285714285708</v>
      </c>
      <c r="Z570" s="52"/>
    </row>
    <row r="571" spans="1:26" ht="15.6" x14ac:dyDescent="0.25">
      <c r="A571" s="48">
        <v>22</v>
      </c>
      <c r="B571" s="17" t="s">
        <v>767</v>
      </c>
      <c r="C571" s="48">
        <v>214</v>
      </c>
      <c r="D571" s="49" t="s">
        <v>1228</v>
      </c>
      <c r="E571" s="48" t="s">
        <v>23</v>
      </c>
      <c r="F571" s="38">
        <v>7.5</v>
      </c>
      <c r="G571" s="32">
        <f>IF(B571="高三",IF($E571="男",LOOKUP(F571,[1]对照表!$G$3:$G$24,[1]对照表!$H$3:$H$24),LOOKUP(F571,[1]对照表!$G$27:$G$48,[1]对照表!$H$27:$H$48)),IF(B571="高二",IF($E571="男",LOOKUP(F571,[1]对照表!$F$3:$F$24,[1]对照表!$H$3:$H$24),LOOKUP(F571,[1]对照表!$F$27:$F$48,[1]对照表!$H$27:$H$48)),IF(B571="高一",IF($E571="男",LOOKUP(F571,[1]对照表!$E$3:$E$24,[1]对照表!$H$3:$H$24),LOOKUP(F571,[1]对照表!$E$27:$E$48,[1]对照表!$H$27:$H$48)))))</f>
        <v>78</v>
      </c>
      <c r="H571" s="38">
        <v>8</v>
      </c>
      <c r="I571" s="32">
        <f>IF(B571="高三",IF($E571="男",LOOKUP(H571,[1]对照表!$K$3:$K$24,[1]对照表!$L$3:$L$24),LOOKUP(H571,[1]对照表!$K$27:$K$48,[1]对照表!$L$27:$L$48)),IF(B571="高二",IF($E571="男",LOOKUP(H571,[1]对照表!$J$3:$J$24,[1]对照表!$L$3:$L$24),LOOKUP(H571,[1]对照表!$J$27:$J$48,[1]对照表!$L$27:$L$48)),IF(B571="高一",IF($E571="男",LOOKUP(H571,[1]对照表!$I$3:$I$24,[1]对照表!$L$3:$L$24),LOOKUP(H571,[1]对照表!$I$27:$I$48,[1]对照表!$L$27:$L$48)))))</f>
        <v>68</v>
      </c>
      <c r="J571" s="38">
        <v>250</v>
      </c>
      <c r="K571" s="32">
        <f>IF(B571="高三",IF($E571="男",LOOKUP(J571,[1]对照表!$O$3:$O$24,[1]对照表!$P$3:$P$24),LOOKUP(J571,[1]对照表!$O$27:$O$48,[1]对照表!$P$27:$P$48)),IF(B571="高二",IF($E571="男",LOOKUP(J571,[1]对照表!$N$3:$N$24,[1]对照表!$P$3:$P$24),LOOKUP(J571,[1]对照表!$N$27:$N$48,[1]对照表!$P$27:$P$48)),IF(B571="高一",IF($E571="男",LOOKUP(J571,[1]对照表!$M$3:$M$24,[1]对照表!$P$3:$P$24),LOOKUP(J571,[1]对照表!$M$27:$M$48,[1]对照表!$P$27:$P$48)))))</f>
        <v>85</v>
      </c>
      <c r="L571" s="38">
        <v>17</v>
      </c>
      <c r="M571" s="32">
        <f>IF(B571="高三",IF($E571="男",LOOKUP(L571,[1]对照表!$S$3:$S$24,[1]对照表!$T$3:$T$24),LOOKUP(L571,[1]对照表!$S$27:$S$48,[1]对照表!$T$27:$T$48)),IF(B571="高二",IF($E571="男",LOOKUP(L571,[1]对照表!$R$3:$R$24,[1]对照表!$T$3:$T$24),LOOKUP(L571,[1]对照表!$R$27:$R$48,[1]对照表!$T$27:$T$48)),IF(B571="高一",IF($E571="男",LOOKUP(L571,[1]对照表!$Q$3:$Q$24,[1]对照表!$T$3:$T$24),LOOKUP(L571,[1]对照表!$Q$27:$Q$48,[1]对照表!$T$27:$T$48)))))</f>
        <v>100</v>
      </c>
      <c r="N571" s="33">
        <f>IF(B571="高三",MAX(IF(E571="男",L571-18,L571-55),0),IF(B571="高二",MAX(IF(E571="男",L571-17,L571-54),0),IF(B571="高一",MAX(IF(E571="男",L571-16,L571-53),0))))</f>
        <v>0</v>
      </c>
      <c r="O571" s="23">
        <f>IF(E571="男",LOOKUP($N571,[1]对照表!$Z$3:$Z$13,[1]对照表!$AA$3:$AA$13),LOOKUP($N571,[1]对照表!$Z$15:$Z$25,[1]对照表!$AA$15:$AA$25))</f>
        <v>0</v>
      </c>
      <c r="P571" s="25">
        <f>M571+O571</f>
        <v>100</v>
      </c>
      <c r="Q571" s="38">
        <v>4.03</v>
      </c>
      <c r="R571" s="32">
        <f>IF(B571="高三",IF($E571="男",LOOKUP(Q571,[1]对照表!$W$3:$W$24,[1]对照表!$X$3:$X$24),LOOKUP(Q571,[1]对照表!$W$27:$W$48,[1]对照表!$X$27:$X$48)),IF(B571="高二",IF($E571="男",LOOKUP(Q571,[1]对照表!$V$3:$V$24,[1]对照表!$X$3:$X$24),LOOKUP(Q571,[1]对照表!$V$27:$V$48,[1]对照表!$X$27:$X$48)),IF(B571="高一",IF($E571="男",LOOKUP(Q571,[1]对照表!$U$3:$U$24,[1]对照表!$X$3:$X$24),LOOKUP(Q571,[1]对照表!$U$27:$U$48,[1]对照表!$X$27:$X$48)))))</f>
        <v>74</v>
      </c>
      <c r="S571" s="33">
        <f>ROUND(IF(IF($B571="高三",MIN(IF($E571="男",$Q571-3.2,$Q571-3.2),0),IF($B571="高二",MIN(IF($E571="男",$Q571-3.25,$Q571-3.22),0),IF($B571="高一",MIN(IF($E571="男",$Q571-3.3,$Q571-3.24),0))))&lt;-0.6,IF($B571="高三",MIN(IF($E571="男",$Q571-3.2,$Q571-3.2),0),IF($B571="高二",MIN(IF($E571="男",$Q571-3.25,$Q571-3.22),0),IF($B571="高一",MIN(IF($E571="男",$Q571-3.3,$Q571-3.24),0))))+0.4,IF($B571="高三",MIN(IF($E571="男",$Q571-3.2,$Q571-3.2),0),IF($B571="高二",MIN(IF($E571="男",$Q571-3.25,$Q571-3.22),0),IF($B571="高一",MIN(IF($E571="男",$Q571-3.3,$Q571-3.24),0))))),2)</f>
        <v>0</v>
      </c>
      <c r="T571" s="23">
        <f>IF(E571="男",LOOKUP($S571,[1]对照表!$AB$3:$AB$13,[1]对照表!$AC$3:$AC$13),LOOKUP($S571,[1]对照表!$AB$15:$AB$25,[1]对照表!$AC$15:$AC$25))</f>
        <v>0</v>
      </c>
      <c r="U571" s="26">
        <f>R571+T571</f>
        <v>74</v>
      </c>
      <c r="V571" s="26">
        <f>SUM(I571,K571,M571)/3*0.3+SUM(G571,R571)/2*0.4</f>
        <v>55.7</v>
      </c>
      <c r="W571" s="27">
        <f>O571+T571</f>
        <v>0</v>
      </c>
      <c r="X571" s="28">
        <f>V571/0.7+W571</f>
        <v>79.571428571428584</v>
      </c>
      <c r="Y571" s="28">
        <f>X571</f>
        <v>79.571428571428584</v>
      </c>
      <c r="Z571" s="38"/>
    </row>
    <row r="572" spans="1:26" ht="15.6" x14ac:dyDescent="0.25">
      <c r="A572" s="48">
        <v>21</v>
      </c>
      <c r="B572" s="17" t="s">
        <v>767</v>
      </c>
      <c r="C572" s="48">
        <v>214</v>
      </c>
      <c r="D572" s="49" t="s">
        <v>1250</v>
      </c>
      <c r="E572" s="48" t="s">
        <v>23</v>
      </c>
      <c r="F572" s="38">
        <v>7.7</v>
      </c>
      <c r="G572" s="32">
        <f>IF(B572="高三",IF($E572="男",LOOKUP(F572,[1]对照表!$G$3:$G$24,[1]对照表!$H$3:$H$24),LOOKUP(F572,[1]对照表!$G$27:$G$48,[1]对照表!$H$27:$H$48)),IF(B572="高二",IF($E572="男",LOOKUP(F572,[1]对照表!$F$3:$F$24,[1]对照表!$H$3:$H$24),LOOKUP(F572,[1]对照表!$F$27:$F$48,[1]对照表!$H$27:$H$48)),IF(B572="高一",IF($E572="男",LOOKUP(F572,[1]对照表!$E$3:$E$24,[1]对照表!$H$3:$H$24),LOOKUP(F572,[1]对照表!$E$27:$E$48,[1]对照表!$H$27:$H$48)))))</f>
        <v>76</v>
      </c>
      <c r="H572" s="38">
        <v>18.5</v>
      </c>
      <c r="I572" s="32">
        <f>IF(B572="高三",IF($E572="男",LOOKUP(H572,[1]对照表!$K$3:$K$24,[1]对照表!$L$3:$L$24),LOOKUP(H572,[1]对照表!$K$27:$K$48,[1]对照表!$L$27:$L$48)),IF(B572="高二",IF($E572="男",LOOKUP(H572,[1]对照表!$J$3:$J$24,[1]对照表!$L$3:$L$24),LOOKUP(H572,[1]对照表!$J$27:$J$48,[1]对照表!$L$27:$L$48)),IF(B572="高一",IF($E572="男",LOOKUP(H572,[1]对照表!$I$3:$I$24,[1]对照表!$L$3:$L$24),LOOKUP(H572,[1]对照表!$I$27:$I$48,[1]对照表!$L$27:$L$48)))))</f>
        <v>85</v>
      </c>
      <c r="J572" s="38">
        <v>230</v>
      </c>
      <c r="K572" s="32">
        <f>IF(B572="高三",IF($E572="男",LOOKUP(J572,[1]对照表!$O$3:$O$24,[1]对照表!$P$3:$P$24),LOOKUP(J572,[1]对照表!$O$27:$O$48,[1]对照表!$P$27:$P$48)),IF(B572="高二",IF($E572="男",LOOKUP(J572,[1]对照表!$N$3:$N$24,[1]对照表!$P$3:$P$24),LOOKUP(J572,[1]对照表!$N$27:$N$48,[1]对照表!$P$27:$P$48)),IF(B572="高一",IF($E572="男",LOOKUP(J572,[1]对照表!$M$3:$M$24,[1]对照表!$P$3:$P$24),LOOKUP(J572,[1]对照表!$M$27:$M$48,[1]对照表!$P$27:$P$48)))))</f>
        <v>74</v>
      </c>
      <c r="L572" s="38">
        <v>10</v>
      </c>
      <c r="M572" s="32">
        <f>IF(B572="高三",IF($E572="男",LOOKUP(L572,[1]对照表!$S$3:$S$24,[1]对照表!$T$3:$T$24),LOOKUP(L572,[1]对照表!$S$27:$S$48,[1]对照表!$T$27:$T$48)),IF(B572="高二",IF($E572="男",LOOKUP(L572,[1]对照表!$R$3:$R$24,[1]对照表!$T$3:$T$24),LOOKUP(L572,[1]对照表!$R$27:$R$48,[1]对照表!$T$27:$T$48)),IF(B572="高一",IF($E572="男",LOOKUP(L572,[1]对照表!$Q$3:$Q$24,[1]对照表!$T$3:$T$24),LOOKUP(L572,[1]对照表!$Q$27:$Q$48,[1]对照表!$T$27:$T$48)))))</f>
        <v>68</v>
      </c>
      <c r="N572" s="33">
        <f>IF(B572="高三",MAX(IF(E572="男",L572-18,L572-55),0),IF(B572="高二",MAX(IF(E572="男",L572-17,L572-54),0),IF(B572="高一",MAX(IF(E572="男",L572-16,L572-53),0))))</f>
        <v>0</v>
      </c>
      <c r="O572" s="23">
        <f>IF(E572="男",LOOKUP($N572,[1]对照表!$Z$3:$Z$13,[1]对照表!$AA$3:$AA$13),LOOKUP($N572,[1]对照表!$Z$15:$Z$25,[1]对照表!$AA$15:$AA$25))</f>
        <v>0</v>
      </c>
      <c r="P572" s="25">
        <f>M572+O572</f>
        <v>68</v>
      </c>
      <c r="Q572" s="38">
        <v>3.41</v>
      </c>
      <c r="R572" s="32">
        <f>IF(B572="高三",IF($E572="男",LOOKUP(Q572,[1]对照表!$W$3:$W$24,[1]对照表!$X$3:$X$24),LOOKUP(Q572,[1]对照表!$W$27:$W$48,[1]对照表!$X$27:$X$48)),IF(B572="高二",IF($E572="男",LOOKUP(Q572,[1]对照表!$V$3:$V$24,[1]对照表!$X$3:$X$24),LOOKUP(Q572,[1]对照表!$V$27:$V$48,[1]对照表!$X$27:$X$48)),IF(B572="高一",IF($E572="男",LOOKUP(Q572,[1]对照表!$U$3:$U$24,[1]对照表!$X$3:$X$24),LOOKUP(Q572,[1]对照表!$U$27:$U$48,[1]对照表!$X$27:$X$48)))))</f>
        <v>85</v>
      </c>
      <c r="S572" s="33">
        <f>ROUND(IF(IF($B572="高三",MIN(IF($E572="男",$Q572-3.2,$Q572-3.2),0),IF($B572="高二",MIN(IF($E572="男",$Q572-3.25,$Q572-3.22),0),IF($B572="高一",MIN(IF($E572="男",$Q572-3.3,$Q572-3.24),0))))&lt;-0.6,IF($B572="高三",MIN(IF($E572="男",$Q572-3.2,$Q572-3.2),0),IF($B572="高二",MIN(IF($E572="男",$Q572-3.25,$Q572-3.22),0),IF($B572="高一",MIN(IF($E572="男",$Q572-3.3,$Q572-3.24),0))))+0.4,IF($B572="高三",MIN(IF($E572="男",$Q572-3.2,$Q572-3.2),0),IF($B572="高二",MIN(IF($E572="男",$Q572-3.25,$Q572-3.22),0),IF($B572="高一",MIN(IF($E572="男",$Q572-3.3,$Q572-3.24),0))))),2)</f>
        <v>0</v>
      </c>
      <c r="T572" s="23">
        <f>IF(E572="男",LOOKUP($S572,[1]对照表!$AB$3:$AB$13,[1]对照表!$AC$3:$AC$13),LOOKUP($S572,[1]对照表!$AB$15:$AB$25,[1]对照表!$AC$15:$AC$25))</f>
        <v>0</v>
      </c>
      <c r="U572" s="26">
        <f>R572+T572</f>
        <v>85</v>
      </c>
      <c r="V572" s="26">
        <f>SUM(I572,K572,M572)/3*0.3+SUM(G572,R572)/2*0.4</f>
        <v>54.900000000000006</v>
      </c>
      <c r="W572" s="27">
        <f>O572+T572</f>
        <v>0</v>
      </c>
      <c r="X572" s="28">
        <f>V572/0.7+W572</f>
        <v>78.428571428571445</v>
      </c>
      <c r="Y572" s="28">
        <f>X572</f>
        <v>78.428571428571445</v>
      </c>
      <c r="Z572" s="38"/>
    </row>
    <row r="573" spans="1:26" ht="15.6" x14ac:dyDescent="0.25">
      <c r="A573" s="48">
        <v>8</v>
      </c>
      <c r="B573" s="17" t="s">
        <v>767</v>
      </c>
      <c r="C573" s="48">
        <v>214</v>
      </c>
      <c r="D573" s="49" t="s">
        <v>1251</v>
      </c>
      <c r="E573" s="48" t="s">
        <v>23</v>
      </c>
      <c r="F573" s="38">
        <v>7.4</v>
      </c>
      <c r="G573" s="32">
        <f>IF(B573="高三",IF($E573="男",LOOKUP(F573,[1]对照表!$G$3:$G$24,[1]对照表!$H$3:$H$24),LOOKUP(F573,[1]对照表!$G$27:$G$48,[1]对照表!$H$27:$H$48)),IF(B573="高二",IF($E573="男",LOOKUP(F573,[1]对照表!$F$3:$F$24,[1]对照表!$H$3:$H$24),LOOKUP(F573,[1]对照表!$F$27:$F$48,[1]对照表!$H$27:$H$48)),IF(B573="高一",IF($E573="男",LOOKUP(F573,[1]对照表!$E$3:$E$24,[1]对照表!$H$3:$H$24),LOOKUP(F573,[1]对照表!$E$27:$E$48,[1]对照表!$H$27:$H$48)))))</f>
        <v>80</v>
      </c>
      <c r="H573" s="38">
        <v>14</v>
      </c>
      <c r="I573" s="32">
        <f>IF(B573="高三",IF($E573="男",LOOKUP(H573,[1]对照表!$K$3:$K$24,[1]对照表!$L$3:$L$24),LOOKUP(H573,[1]对照表!$K$27:$K$48,[1]对照表!$L$27:$L$48)),IF(B573="高二",IF($E573="男",LOOKUP(H573,[1]对照表!$J$3:$J$24,[1]对照表!$L$3:$L$24),LOOKUP(H573,[1]对照表!$J$27:$J$48,[1]对照表!$L$27:$L$48)),IF(B573="高一",IF($E573="男",LOOKUP(H573,[1]对照表!$I$3:$I$24,[1]对照表!$L$3:$L$24),LOOKUP(H573,[1]对照表!$I$27:$I$48,[1]对照表!$L$27:$L$48)))))</f>
        <v>76</v>
      </c>
      <c r="J573" s="38">
        <v>253</v>
      </c>
      <c r="K573" s="32">
        <f>IF(B573="高三",IF($E573="男",LOOKUP(J573,[1]对照表!$O$3:$O$24,[1]对照表!$P$3:$P$24),LOOKUP(J573,[1]对照表!$O$27:$O$48,[1]对照表!$P$27:$P$48)),IF(B573="高二",IF($E573="男",LOOKUP(J573,[1]对照表!$N$3:$N$24,[1]对照表!$P$3:$P$24),LOOKUP(J573,[1]对照表!$N$27:$N$48,[1]对照表!$P$27:$P$48)),IF(B573="高一",IF($E573="男",LOOKUP(J573,[1]对照表!$M$3:$M$24,[1]对照表!$P$3:$P$24),LOOKUP(J573,[1]对照表!$M$27:$M$48,[1]对照表!$P$27:$P$48)))))</f>
        <v>85</v>
      </c>
      <c r="L573" s="38">
        <v>11</v>
      </c>
      <c r="M573" s="32">
        <f>IF(B573="高三",IF($E573="男",LOOKUP(L573,[1]对照表!$S$3:$S$24,[1]对照表!$T$3:$T$24),LOOKUP(L573,[1]对照表!$S$27:$S$48,[1]对照表!$T$27:$T$48)),IF(B573="高二",IF($E573="男",LOOKUP(L573,[1]对照表!$R$3:$R$24,[1]对照表!$T$3:$T$24),LOOKUP(L573,[1]对照表!$R$27:$R$48,[1]对照表!$T$27:$T$48)),IF(B573="高一",IF($E573="男",LOOKUP(L573,[1]对照表!$Q$3:$Q$24,[1]对照表!$T$3:$T$24),LOOKUP(L573,[1]对照表!$Q$27:$Q$48,[1]对照表!$T$27:$T$48)))))</f>
        <v>72</v>
      </c>
      <c r="N573" s="33">
        <f>IF(B573="高三",MAX(IF(E573="男",L573-18,L573-55),0),IF(B573="高二",MAX(IF(E573="男",L573-17,L573-54),0),IF(B573="高一",MAX(IF(E573="男",L573-16,L573-53),0))))</f>
        <v>0</v>
      </c>
      <c r="O573" s="23">
        <f>IF(E573="男",LOOKUP($N573,[1]对照表!$Z$3:$Z$13,[1]对照表!$AA$3:$AA$13),LOOKUP($N573,[1]对照表!$Z$15:$Z$25,[1]对照表!$AA$15:$AA$25))</f>
        <v>0</v>
      </c>
      <c r="P573" s="25">
        <f>M573+O573</f>
        <v>72</v>
      </c>
      <c r="Q573" s="38">
        <v>3.52</v>
      </c>
      <c r="R573" s="32">
        <f>IF(B573="高三",IF($E573="男",LOOKUP(Q573,[1]对照表!$W$3:$W$24,[1]对照表!$X$3:$X$24),LOOKUP(Q573,[1]对照表!$W$27:$W$48,[1]对照表!$X$27:$X$48)),IF(B573="高二",IF($E573="男",LOOKUP(Q573,[1]对照表!$V$3:$V$24,[1]对照表!$X$3:$X$24),LOOKUP(Q573,[1]对照表!$V$27:$V$48,[1]对照表!$X$27:$X$48)),IF(B573="高一",IF($E573="男",LOOKUP(Q573,[1]对照表!$U$3:$U$24,[1]对照表!$X$3:$X$24),LOOKUP(Q573,[1]对照表!$U$27:$U$48,[1]对照表!$X$27:$X$48)))))</f>
        <v>78</v>
      </c>
      <c r="S573" s="33">
        <f>ROUND(IF(IF($B573="高三",MIN(IF($E573="男",$Q573-3.2,$Q573-3.2),0),IF($B573="高二",MIN(IF($E573="男",$Q573-3.25,$Q573-3.22),0),IF($B573="高一",MIN(IF($E573="男",$Q573-3.3,$Q573-3.24),0))))&lt;-0.6,IF($B573="高三",MIN(IF($E573="男",$Q573-3.2,$Q573-3.2),0),IF($B573="高二",MIN(IF($E573="男",$Q573-3.25,$Q573-3.22),0),IF($B573="高一",MIN(IF($E573="男",$Q573-3.3,$Q573-3.24),0))))+0.4,IF($B573="高三",MIN(IF($E573="男",$Q573-3.2,$Q573-3.2),0),IF($B573="高二",MIN(IF($E573="男",$Q573-3.25,$Q573-3.22),0),IF($B573="高一",MIN(IF($E573="男",$Q573-3.3,$Q573-3.24),0))))),2)</f>
        <v>0</v>
      </c>
      <c r="T573" s="23">
        <f>IF(E573="男",LOOKUP($S573,[1]对照表!$AB$3:$AB$13,[1]对照表!$AC$3:$AC$13),LOOKUP($S573,[1]对照表!$AB$15:$AB$25,[1]对照表!$AC$15:$AC$25))</f>
        <v>0</v>
      </c>
      <c r="U573" s="26">
        <f>R573+T573</f>
        <v>78</v>
      </c>
      <c r="V573" s="26">
        <f>SUM(I573,K573,M573)/3*0.3+SUM(G573,R573)/2*0.4</f>
        <v>54.900000000000006</v>
      </c>
      <c r="W573" s="27">
        <f>O573+T573</f>
        <v>0</v>
      </c>
      <c r="X573" s="28">
        <f>V573/0.7+W573</f>
        <v>78.428571428571445</v>
      </c>
      <c r="Y573" s="28">
        <f>X573</f>
        <v>78.428571428571445</v>
      </c>
      <c r="Z573" s="38"/>
    </row>
    <row r="574" spans="1:26" ht="15.6" x14ac:dyDescent="0.25">
      <c r="A574" s="48">
        <v>23</v>
      </c>
      <c r="B574" s="17" t="s">
        <v>767</v>
      </c>
      <c r="C574" s="48">
        <v>214</v>
      </c>
      <c r="D574" s="49" t="s">
        <v>1267</v>
      </c>
      <c r="E574" s="48" t="s">
        <v>23</v>
      </c>
      <c r="F574" s="38">
        <v>7.1</v>
      </c>
      <c r="G574" s="32">
        <f>IF(B574="高三",IF($E574="男",LOOKUP(F574,[1]对照表!$G$3:$G$24,[1]对照表!$H$3:$H$24),LOOKUP(F574,[1]对照表!$G$27:$G$48,[1]对照表!$H$27:$H$48)),IF(B574="高二",IF($E574="男",LOOKUP(F574,[1]对照表!$F$3:$F$24,[1]对照表!$H$3:$H$24),LOOKUP(F574,[1]对照表!$F$27:$F$48,[1]对照表!$H$27:$H$48)),IF(B574="高一",IF($E574="男",LOOKUP(F574,[1]对照表!$E$3:$E$24,[1]对照表!$H$3:$H$24),LOOKUP(F574,[1]对照表!$E$27:$E$48,[1]对照表!$H$27:$H$48)))))</f>
        <v>95</v>
      </c>
      <c r="H574" s="38">
        <v>11.5</v>
      </c>
      <c r="I574" s="32">
        <f>IF(B574="高三",IF($E574="男",LOOKUP(H574,[1]对照表!$K$3:$K$24,[1]对照表!$L$3:$L$24),LOOKUP(H574,[1]对照表!$K$27:$K$48,[1]对照表!$L$27:$L$48)),IF(B574="高二",IF($E574="男",LOOKUP(H574,[1]对照表!$J$3:$J$24,[1]对照表!$L$3:$L$24),LOOKUP(H574,[1]对照表!$J$27:$J$48,[1]对照表!$L$27:$L$48)),IF(B574="高一",IF($E574="男",LOOKUP(H574,[1]对照表!$I$3:$I$24,[1]对照表!$L$3:$L$24),LOOKUP(H574,[1]对照表!$I$27:$I$48,[1]对照表!$L$27:$L$48)))))</f>
        <v>72</v>
      </c>
      <c r="J574" s="38">
        <v>241</v>
      </c>
      <c r="K574" s="32">
        <f>IF(B574="高三",IF($E574="男",LOOKUP(J574,[1]对照表!$O$3:$O$24,[1]对照表!$P$3:$P$24),LOOKUP(J574,[1]对照表!$O$27:$O$48,[1]对照表!$P$27:$P$48)),IF(B574="高二",IF($E574="男",LOOKUP(J574,[1]对照表!$N$3:$N$24,[1]对照表!$P$3:$P$24),LOOKUP(J574,[1]对照表!$N$27:$N$48,[1]对照表!$P$27:$P$48)),IF(B574="高一",IF($E574="男",LOOKUP(J574,[1]对照表!$M$3:$M$24,[1]对照表!$P$3:$P$24),LOOKUP(J574,[1]对照表!$M$27:$M$48,[1]对照表!$P$27:$P$48)))))</f>
        <v>80</v>
      </c>
      <c r="L574" s="38">
        <v>3</v>
      </c>
      <c r="M574" s="32">
        <f>IF(B574="高三",IF($E574="男",LOOKUP(L574,[1]对照表!$S$3:$S$24,[1]对照表!$T$3:$T$24),LOOKUP(L574,[1]对照表!$S$27:$S$48,[1]对照表!$T$27:$T$48)),IF(B574="高二",IF($E574="男",LOOKUP(L574,[1]对照表!$R$3:$R$24,[1]对照表!$T$3:$T$24),LOOKUP(L574,[1]对照表!$R$27:$R$48,[1]对照表!$T$27:$T$48)),IF(B574="高一",IF($E574="男",LOOKUP(L574,[1]对照表!$Q$3:$Q$24,[1]对照表!$T$3:$T$24),LOOKUP(L574,[1]对照表!$Q$27:$Q$48,[1]对照表!$T$27:$T$48)))))</f>
        <v>10</v>
      </c>
      <c r="N574" s="33">
        <f>IF(B574="高三",MAX(IF(E574="男",L574-18,L574-55),0),IF(B574="高二",MAX(IF(E574="男",L574-17,L574-54),0),IF(B574="高一",MAX(IF(E574="男",L574-16,L574-53),0))))</f>
        <v>0</v>
      </c>
      <c r="O574" s="23">
        <f>IF(E574="男",LOOKUP($N574,[1]对照表!$Z$3:$Z$13,[1]对照表!$AA$3:$AA$13),LOOKUP($N574,[1]对照表!$Z$15:$Z$25,[1]对照表!$AA$15:$AA$25))</f>
        <v>0</v>
      </c>
      <c r="P574" s="25">
        <f>M574+O574</f>
        <v>10</v>
      </c>
      <c r="Q574" s="38">
        <v>3.28</v>
      </c>
      <c r="R574" s="32">
        <f>IF(B574="高三",IF($E574="男",LOOKUP(Q574,[1]对照表!$W$3:$W$24,[1]对照表!$X$3:$X$24),LOOKUP(Q574,[1]对照表!$W$27:$W$48,[1]对照表!$X$27:$X$48)),IF(B574="高二",IF($E574="男",LOOKUP(Q574,[1]对照表!$V$3:$V$24,[1]对照表!$X$3:$X$24),LOOKUP(Q574,[1]对照表!$V$27:$V$48,[1]对照表!$X$27:$X$48)),IF(B574="高一",IF($E574="男",LOOKUP(Q574,[1]对照表!$U$3:$U$24,[1]对照表!$X$3:$X$24),LOOKUP(Q574,[1]对照表!$U$27:$U$48,[1]对照表!$X$27:$X$48)))))</f>
        <v>95</v>
      </c>
      <c r="S574" s="27">
        <f>ROUND(IF(IF($B574="高三",MIN(IF($E574="男",$Q574-3.2,$Q574-3.2),0),IF($B574="高二",MIN(IF($E574="男",$Q574-3.25,$Q574-3.22),0),IF($B574="高一",MIN(IF($E574="男",$Q574-3.3,$Q574-3.24),0))))&lt;-0.6,IF($B574="高三",MIN(IF($E574="男",$Q574-3.2,$Q574-3.2),0),IF($B574="高二",MIN(IF($E574="男",$Q574-3.25,$Q574-3.22),0),IF($B574="高一",MIN(IF($E574="男",$Q574-3.3,$Q574-3.24),0))))+0.4,IF($B574="高三",MIN(IF($E574="男",$Q574-3.2,$Q574-3.2),0),IF($B574="高二",MIN(IF($E574="男",$Q574-3.25,$Q574-3.22),0),IF($B574="高一",MIN(IF($E574="男",$Q574-3.3,$Q574-3.24),0))))),2)</f>
        <v>0</v>
      </c>
      <c r="T574" s="23">
        <f>IF(E574="男",LOOKUP($S574,[1]对照表!$AB$3:$AB$13,[1]对照表!$AC$3:$AC$13),LOOKUP($S574,[1]对照表!$AB$15:$AB$25,[1]对照表!$AC$15:$AC$25))</f>
        <v>0</v>
      </c>
      <c r="U574" s="26">
        <f>R574+T574</f>
        <v>95</v>
      </c>
      <c r="V574" s="26">
        <f>SUM(I574,K574,M574)/3*0.3+SUM(G574,R574)/2*0.4</f>
        <v>54.2</v>
      </c>
      <c r="W574" s="27">
        <f>O574+T574</f>
        <v>0</v>
      </c>
      <c r="X574" s="28">
        <f>V574/0.7+W574</f>
        <v>77.428571428571431</v>
      </c>
      <c r="Y574" s="28">
        <f>X574</f>
        <v>77.428571428571431</v>
      </c>
      <c r="Z574" s="38"/>
    </row>
    <row r="575" spans="1:26" ht="15.6" x14ac:dyDescent="0.25">
      <c r="A575" s="48">
        <v>19</v>
      </c>
      <c r="B575" s="17" t="s">
        <v>767</v>
      </c>
      <c r="C575" s="48">
        <v>214</v>
      </c>
      <c r="D575" s="49" t="s">
        <v>1273</v>
      </c>
      <c r="E575" s="48" t="s">
        <v>23</v>
      </c>
      <c r="F575" s="38">
        <v>7.5</v>
      </c>
      <c r="G575" s="32">
        <f>IF(B575="高三",IF($E575="男",LOOKUP(F575,[1]对照表!$G$3:$G$24,[1]对照表!$H$3:$H$24),LOOKUP(F575,[1]对照表!$G$27:$G$48,[1]对照表!$H$27:$H$48)),IF(B575="高二",IF($E575="男",LOOKUP(F575,[1]对照表!$F$3:$F$24,[1]对照表!$H$3:$H$24),LOOKUP(F575,[1]对照表!$F$27:$F$48,[1]对照表!$H$27:$H$48)),IF(B575="高一",IF($E575="男",LOOKUP(F575,[1]对照表!$E$3:$E$24,[1]对照表!$H$3:$H$24),LOOKUP(F575,[1]对照表!$E$27:$E$48,[1]对照表!$H$27:$H$48)))))</f>
        <v>78</v>
      </c>
      <c r="H575" s="38">
        <v>14.5</v>
      </c>
      <c r="I575" s="32">
        <f>IF(B575="高三",IF($E575="男",LOOKUP(H575,[1]对照表!$K$3:$K$24,[1]对照表!$L$3:$L$24),LOOKUP(H575,[1]对照表!$K$27:$K$48,[1]对照表!$L$27:$L$48)),IF(B575="高二",IF($E575="男",LOOKUP(H575,[1]对照表!$J$3:$J$24,[1]对照表!$L$3:$L$24),LOOKUP(H575,[1]对照表!$J$27:$J$48,[1]对照表!$L$27:$L$48)),IF(B575="高一",IF($E575="男",LOOKUP(H575,[1]对照表!$I$3:$I$24,[1]对照表!$L$3:$L$24),LOOKUP(H575,[1]对照表!$I$27:$I$48,[1]对照表!$L$27:$L$48)))))</f>
        <v>76</v>
      </c>
      <c r="J575" s="38">
        <v>215</v>
      </c>
      <c r="K575" s="32">
        <f>IF(B575="高三",IF($E575="男",LOOKUP(J575,[1]对照表!$O$3:$O$24,[1]对照表!$P$3:$P$24),LOOKUP(J575,[1]对照表!$O$27:$O$48,[1]对照表!$P$27:$P$48)),IF(B575="高二",IF($E575="男",LOOKUP(J575,[1]对照表!$N$3:$N$24,[1]对照表!$P$3:$P$24),LOOKUP(J575,[1]对照表!$N$27:$N$48,[1]对照表!$P$27:$P$48)),IF(B575="高一",IF($E575="男",LOOKUP(J575,[1]对照表!$M$3:$M$24,[1]对照表!$P$3:$P$24),LOOKUP(J575,[1]对照表!$M$27:$M$48,[1]对照表!$P$27:$P$48)))))</f>
        <v>66</v>
      </c>
      <c r="L575" s="38">
        <v>7</v>
      </c>
      <c r="M575" s="32">
        <f>IF(B575="高三",IF($E575="男",LOOKUP(L575,[1]对照表!$S$3:$S$24,[1]对照表!$T$3:$T$24),LOOKUP(L575,[1]对照表!$S$27:$S$48,[1]对照表!$T$27:$T$48)),IF(B575="高二",IF($E575="男",LOOKUP(L575,[1]对照表!$R$3:$R$24,[1]对照表!$T$3:$T$24),LOOKUP(L575,[1]对照表!$R$27:$R$48,[1]对照表!$T$27:$T$48)),IF(B575="高一",IF($E575="男",LOOKUP(L575,[1]对照表!$Q$3:$Q$24,[1]对照表!$T$3:$T$24),LOOKUP(L575,[1]对照表!$Q$27:$Q$48,[1]对照表!$T$27:$T$48)))))</f>
        <v>50</v>
      </c>
      <c r="N575" s="33">
        <f>IF(B575="高三",MAX(IF(E575="男",L575-18,L575-55),0),IF(B575="高二",MAX(IF(E575="男",L575-17,L575-54),0),IF(B575="高一",MAX(IF(E575="男",L575-16,L575-53),0))))</f>
        <v>0</v>
      </c>
      <c r="O575" s="23">
        <f>IF(E575="男",LOOKUP($N575,[1]对照表!$Z$3:$Z$13,[1]对照表!$AA$3:$AA$13),LOOKUP($N575,[1]对照表!$Z$15:$Z$25,[1]对照表!$AA$15:$AA$25))</f>
        <v>0</v>
      </c>
      <c r="P575" s="25">
        <f>M575+O575</f>
        <v>50</v>
      </c>
      <c r="Q575" s="38">
        <v>3.29</v>
      </c>
      <c r="R575" s="32">
        <f>IF(B575="高三",IF($E575="男",LOOKUP(Q575,[1]对照表!$W$3:$W$24,[1]对照表!$X$3:$X$24),LOOKUP(Q575,[1]对照表!$W$27:$W$48,[1]对照表!$X$27:$X$48)),IF(B575="高二",IF($E575="男",LOOKUP(Q575,[1]对照表!$V$3:$V$24,[1]对照表!$X$3:$X$24),LOOKUP(Q575,[1]对照表!$V$27:$V$48,[1]对照表!$X$27:$X$48)),IF(B575="高一",IF($E575="男",LOOKUP(Q575,[1]对照表!$U$3:$U$24,[1]对照表!$X$3:$X$24),LOOKUP(Q575,[1]对照表!$U$27:$U$48,[1]对照表!$X$27:$X$48)))))</f>
        <v>95</v>
      </c>
      <c r="S575" s="33">
        <f>ROUND(IF(IF($B575="高三",MIN(IF($E575="男",$Q575-3.2,$Q575-3.2),0),IF($B575="高二",MIN(IF($E575="男",$Q575-3.25,$Q575-3.22),0),IF($B575="高一",MIN(IF($E575="男",$Q575-3.3,$Q575-3.24),0))))&lt;-0.6,IF($B575="高三",MIN(IF($E575="男",$Q575-3.2,$Q575-3.2),0),IF($B575="高二",MIN(IF($E575="男",$Q575-3.25,$Q575-3.22),0),IF($B575="高一",MIN(IF($E575="男",$Q575-3.3,$Q575-3.24),0))))+0.4,IF($B575="高三",MIN(IF($E575="男",$Q575-3.2,$Q575-3.2),0),IF($B575="高二",MIN(IF($E575="男",$Q575-3.25,$Q575-3.22),0),IF($B575="高一",MIN(IF($E575="男",$Q575-3.3,$Q575-3.24),0))))),2)</f>
        <v>0</v>
      </c>
      <c r="T575" s="23">
        <f>IF(E575="男",LOOKUP($S575,[1]对照表!$AB$3:$AB$13,[1]对照表!$AC$3:$AC$13),LOOKUP($S575,[1]对照表!$AB$15:$AB$25,[1]对照表!$AC$15:$AC$25))</f>
        <v>0</v>
      </c>
      <c r="U575" s="26">
        <f>R575+T575</f>
        <v>95</v>
      </c>
      <c r="V575" s="26">
        <f>SUM(I575,K575,M575)/3*0.3+SUM(G575,R575)/2*0.4</f>
        <v>53.8</v>
      </c>
      <c r="W575" s="27">
        <f>O575+T575</f>
        <v>0</v>
      </c>
      <c r="X575" s="28">
        <f>V575/0.7+W575</f>
        <v>76.857142857142861</v>
      </c>
      <c r="Y575" s="28">
        <f>X575</f>
        <v>76.857142857142861</v>
      </c>
      <c r="Z575" s="38"/>
    </row>
    <row r="576" spans="1:26" ht="15.6" x14ac:dyDescent="0.25">
      <c r="A576" s="48">
        <v>43</v>
      </c>
      <c r="B576" s="17" t="s">
        <v>767</v>
      </c>
      <c r="C576" s="48">
        <v>214</v>
      </c>
      <c r="D576" s="49" t="s">
        <v>1277</v>
      </c>
      <c r="E576" s="48" t="s">
        <v>65</v>
      </c>
      <c r="F576" s="38">
        <v>10.46</v>
      </c>
      <c r="G576" s="32">
        <f>IF(B576="高三",IF($E576="男",LOOKUP(F576,[1]对照表!$G$3:$G$24,[1]对照表!$H$3:$H$24),LOOKUP(F576,[1]对照表!$G$27:$G$48,[1]对照表!$H$27:$H$48)),IF(B576="高二",IF($E576="男",LOOKUP(F576,[1]对照表!$F$3:$F$24,[1]对照表!$H$3:$H$24),LOOKUP(F576,[1]对照表!$F$27:$F$48,[1]对照表!$H$27:$H$48)),IF(B576="高一",IF($E576="男",LOOKUP(F576,[1]对照表!$E$3:$E$24,[1]对照表!$H$3:$H$24),LOOKUP(F576,[1]对照表!$E$27:$E$48,[1]对照表!$H$27:$H$48)))))</f>
        <v>60</v>
      </c>
      <c r="H576" s="38">
        <v>17.7</v>
      </c>
      <c r="I576" s="32">
        <f>IF(B576="高三",IF($E576="男",LOOKUP(H576,[1]对照表!$K$3:$K$24,[1]对照表!$L$3:$L$24),LOOKUP(H576,[1]对照表!$K$27:$K$48,[1]对照表!$L$27:$L$48)),IF(B576="高二",IF($E576="男",LOOKUP(H576,[1]对照表!$J$3:$J$24,[1]对照表!$L$3:$L$24),LOOKUP(H576,[1]对照表!$J$27:$J$48,[1]对照表!$L$27:$L$48)),IF(B576="高一",IF($E576="男",LOOKUP(H576,[1]对照表!$I$3:$I$24,[1]对照表!$L$3:$L$24),LOOKUP(H576,[1]对照表!$I$27:$I$48,[1]对照表!$L$27:$L$48)))))</f>
        <v>78</v>
      </c>
      <c r="J576" s="38">
        <v>150</v>
      </c>
      <c r="K576" s="32">
        <f>IF(B576="高三",IF($E576="男",LOOKUP(J576,[1]对照表!$O$3:$O$24,[1]对照表!$P$3:$P$24),LOOKUP(J576,[1]对照表!$O$27:$O$48,[1]对照表!$P$27:$P$48)),IF(B576="高二",IF($E576="男",LOOKUP(J576,[1]对照表!$N$3:$N$24,[1]对照表!$P$3:$P$24),LOOKUP(J576,[1]对照表!$N$27:$N$48,[1]对照表!$P$27:$P$48)),IF(B576="高一",IF($E576="男",LOOKUP(J576,[1]对照表!$M$3:$M$24,[1]对照表!$P$3:$P$24),LOOKUP(J576,[1]对照表!$M$27:$M$48,[1]对照表!$P$27:$P$48)))))</f>
        <v>60</v>
      </c>
      <c r="L576" s="38">
        <v>36</v>
      </c>
      <c r="M576" s="32">
        <f>IF(B576="高三",IF($E576="男",LOOKUP(L576,[1]对照表!$S$3:$S$24,[1]对照表!$T$3:$T$24),LOOKUP(L576,[1]对照表!$S$27:$S$48,[1]对照表!$T$27:$T$48)),IF(B576="高二",IF($E576="男",LOOKUP(L576,[1]对照表!$R$3:$R$24,[1]对照表!$T$3:$T$24),LOOKUP(L576,[1]对照表!$R$27:$R$48,[1]对照表!$T$27:$T$48)),IF(B576="高一",IF($E576="男",LOOKUP(L576,[1]对照表!$Q$3:$Q$24,[1]对照表!$T$3:$T$24),LOOKUP(L576,[1]对照表!$Q$27:$Q$48,[1]对照表!$T$27:$T$48)))))</f>
        <v>72</v>
      </c>
      <c r="N576" s="33">
        <f>IF(B576="高三",MAX(IF(E576="男",L576-18,L576-55),0),IF(B576="高二",MAX(IF(E576="男",L576-17,L576-54),0),IF(B576="高一",MAX(IF(E576="男",L576-16,L576-53),0))))</f>
        <v>0</v>
      </c>
      <c r="O576" s="23">
        <f>IF(E576="男",LOOKUP($N576,[1]对照表!$Z$3:$Z$13,[1]对照表!$AA$3:$AA$13),LOOKUP($N576,[1]对照表!$Z$15:$Z$25,[1]对照表!$AA$15:$AA$25))</f>
        <v>0</v>
      </c>
      <c r="P576" s="25">
        <f>M576+O576</f>
        <v>72</v>
      </c>
      <c r="Q576" s="38">
        <v>4.18</v>
      </c>
      <c r="R576" s="32">
        <f>IF(B576="高三",IF($E576="男",LOOKUP(Q576,[1]对照表!$W$3:$W$24,[1]对照表!$X$3:$X$24),LOOKUP(Q576,[1]对照表!$W$27:$W$48,[1]对照表!$X$27:$X$48)),IF(B576="高二",IF($E576="男",LOOKUP(Q576,[1]对照表!$V$3:$V$24,[1]对照表!$X$3:$X$24),LOOKUP(Q576,[1]对照表!$V$27:$V$48,[1]对照表!$X$27:$X$48)),IF(B576="高一",IF($E576="男",LOOKUP(Q576,[1]对照表!$U$3:$U$24,[1]对照表!$X$3:$X$24),LOOKUP(Q576,[1]对照表!$U$27:$U$48,[1]对照表!$X$27:$X$48)))))</f>
        <v>68</v>
      </c>
      <c r="S576" s="33">
        <f>ROUND(IF(IF($B576="高三",MIN(IF($E576="男",$Q576-3.2,$Q576-3.2),0),IF($B576="高二",MIN(IF($E576="男",$Q576-3.25,$Q576-3.22),0),IF($B576="高一",MIN(IF($E576="男",$Q576-3.3,$Q576-3.24),0))))&lt;-0.6,IF($B576="高三",MIN(IF($E576="男",$Q576-3.2,$Q576-3.2),0),IF($B576="高二",MIN(IF($E576="男",$Q576-3.25,$Q576-3.22),0),IF($B576="高一",MIN(IF($E576="男",$Q576-3.3,$Q576-3.24),0))))+0.4,IF($B576="高三",MIN(IF($E576="男",$Q576-3.2,$Q576-3.2),0),IF($B576="高二",MIN(IF($E576="男",$Q576-3.25,$Q576-3.22),0),IF($B576="高一",MIN(IF($E576="男",$Q576-3.3,$Q576-3.24),0))))),2)</f>
        <v>0</v>
      </c>
      <c r="T576" s="23">
        <f>IF(E576="男",LOOKUP($S576,[1]对照表!$AB$3:$AB$13,[1]对照表!$AC$3:$AC$13),LOOKUP($S576,[1]对照表!$AB$15:$AB$25,[1]对照表!$AC$15:$AC$25))</f>
        <v>0</v>
      </c>
      <c r="U576" s="26">
        <f>R576+T576</f>
        <v>68</v>
      </c>
      <c r="V576" s="26">
        <f>SUM(I576,K576,M576)/3*0.3+SUM(G576,R576)/2*0.4</f>
        <v>46.6</v>
      </c>
      <c r="W576" s="27">
        <f>O576+T576</f>
        <v>0</v>
      </c>
      <c r="X576" s="28">
        <f>V576/0.7+W576</f>
        <v>66.571428571428584</v>
      </c>
      <c r="Y576" s="28">
        <f>X576</f>
        <v>66.571428571428584</v>
      </c>
      <c r="Z576" s="38"/>
    </row>
    <row r="577" spans="1:26" ht="15.6" x14ac:dyDescent="0.25">
      <c r="A577" s="48">
        <v>27</v>
      </c>
      <c r="B577" s="17" t="s">
        <v>767</v>
      </c>
      <c r="C577" s="48">
        <v>214</v>
      </c>
      <c r="D577" s="49" t="s">
        <v>1299</v>
      </c>
      <c r="E577" s="48" t="s">
        <v>23</v>
      </c>
      <c r="F577" s="38">
        <v>7.7</v>
      </c>
      <c r="G577" s="32">
        <f>IF(B577="高三",IF($E577="男",LOOKUP(F577,[1]对照表!$G$3:$G$24,[1]对照表!$H$3:$H$24),LOOKUP(F577,[1]对照表!$G$27:$G$48,[1]对照表!$H$27:$H$48)),IF(B577="高二",IF($E577="男",LOOKUP(F577,[1]对照表!$F$3:$F$24,[1]对照表!$H$3:$H$24),LOOKUP(F577,[1]对照表!$F$27:$F$48,[1]对照表!$H$27:$H$48)),IF(B577="高一",IF($E577="男",LOOKUP(F577,[1]对照表!$E$3:$E$24,[1]对照表!$H$3:$H$24),LOOKUP(F577,[1]对照表!$E$27:$E$48,[1]对照表!$H$27:$H$48)))))</f>
        <v>76</v>
      </c>
      <c r="H577" s="38">
        <v>24</v>
      </c>
      <c r="I577" s="32">
        <f>IF(B577="高三",IF($E577="男",LOOKUP(H577,[1]对照表!$K$3:$K$24,[1]对照表!$L$3:$L$24),LOOKUP(H577,[1]对照表!$K$27:$K$48,[1]对照表!$L$27:$L$48)),IF(B577="高二",IF($E577="男",LOOKUP(H577,[1]对照表!$J$3:$J$24,[1]对照表!$L$3:$L$24),LOOKUP(H577,[1]对照表!$J$27:$J$48,[1]对照表!$L$27:$L$48)),IF(B577="高一",IF($E577="男",LOOKUP(H577,[1]对照表!$I$3:$I$24,[1]对照表!$L$3:$L$24),LOOKUP(H577,[1]对照表!$I$27:$I$48,[1]对照表!$L$27:$L$48)))))</f>
        <v>95</v>
      </c>
      <c r="J577" s="38">
        <v>217</v>
      </c>
      <c r="K577" s="32">
        <f>IF(B577="高三",IF($E577="男",LOOKUP(J577,[1]对照表!$O$3:$O$24,[1]对照表!$P$3:$P$24),LOOKUP(J577,[1]对照表!$O$27:$O$48,[1]对照表!$P$27:$P$48)),IF(B577="高二",IF($E577="男",LOOKUP(J577,[1]对照表!$N$3:$N$24,[1]对照表!$P$3:$P$24),LOOKUP(J577,[1]对照表!$N$27:$N$48,[1]对照表!$P$27:$P$48)),IF(B577="高一",IF($E577="男",LOOKUP(J577,[1]对照表!$M$3:$M$24,[1]对照表!$P$3:$P$24),LOOKUP(J577,[1]对照表!$M$27:$M$48,[1]对照表!$P$27:$P$48)))))</f>
        <v>68</v>
      </c>
      <c r="L577" s="38">
        <v>7</v>
      </c>
      <c r="M577" s="32">
        <f>IF(B577="高三",IF($E577="男",LOOKUP(L577,[1]对照表!$S$3:$S$24,[1]对照表!$T$3:$T$24),LOOKUP(L577,[1]对照表!$S$27:$S$48,[1]对照表!$T$27:$T$48)),IF(B577="高二",IF($E577="男",LOOKUP(L577,[1]对照表!$R$3:$R$24,[1]对照表!$T$3:$T$24),LOOKUP(L577,[1]对照表!$R$27:$R$48,[1]对照表!$T$27:$T$48)),IF(B577="高一",IF($E577="男",LOOKUP(L577,[1]对照表!$Q$3:$Q$24,[1]对照表!$T$3:$T$24),LOOKUP(L577,[1]对照表!$Q$27:$Q$48,[1]对照表!$T$27:$T$48)))))</f>
        <v>50</v>
      </c>
      <c r="N577" s="33">
        <f>IF(B577="高三",MAX(IF(E577="男",L577-18,L577-55),0),IF(B577="高二",MAX(IF(E577="男",L577-17,L577-54),0),IF(B577="高一",MAX(IF(E577="男",L577-16,L577-53),0))))</f>
        <v>0</v>
      </c>
      <c r="O577" s="23">
        <f>IF(E577="男",LOOKUP($N577,[1]对照表!$Z$3:$Z$13,[1]对照表!$AA$3:$AA$13),LOOKUP($N577,[1]对照表!$Z$15:$Z$25,[1]对照表!$AA$15:$AA$25))</f>
        <v>0</v>
      </c>
      <c r="P577" s="25">
        <f>M577+O577</f>
        <v>50</v>
      </c>
      <c r="Q577" s="38">
        <v>3.46</v>
      </c>
      <c r="R577" s="32">
        <f>IF(B577="高三",IF($E577="男",LOOKUP(Q577,[1]对照表!$W$3:$W$24,[1]对照表!$X$3:$X$24),LOOKUP(Q577,[1]对照表!$W$27:$W$48,[1]对照表!$X$27:$X$48)),IF(B577="高二",IF($E577="男",LOOKUP(Q577,[1]对照表!$V$3:$V$24,[1]对照表!$X$3:$X$24),LOOKUP(Q577,[1]对照表!$V$27:$V$48,[1]对照表!$X$27:$X$48)),IF(B577="高一",IF($E577="男",LOOKUP(Q577,[1]对照表!$U$3:$U$24,[1]对照表!$X$3:$X$24),LOOKUP(Q577,[1]对照表!$U$27:$U$48,[1]对照表!$X$27:$X$48)))))</f>
        <v>80</v>
      </c>
      <c r="S577" s="33">
        <f>ROUND(IF(IF($B577="高三",MIN(IF($E577="男",$Q577-3.2,$Q577-3.2),0),IF($B577="高二",MIN(IF($E577="男",$Q577-3.25,$Q577-3.22),0),IF($B577="高一",MIN(IF($E577="男",$Q577-3.3,$Q577-3.24),0))))&lt;-0.6,IF($B577="高三",MIN(IF($E577="男",$Q577-3.2,$Q577-3.2),0),IF($B577="高二",MIN(IF($E577="男",$Q577-3.25,$Q577-3.22),0),IF($B577="高一",MIN(IF($E577="男",$Q577-3.3,$Q577-3.24),0))))+0.4,IF($B577="高三",MIN(IF($E577="男",$Q577-3.2,$Q577-3.2),0),IF($B577="高二",MIN(IF($E577="男",$Q577-3.25,$Q577-3.22),0),IF($B577="高一",MIN(IF($E577="男",$Q577-3.3,$Q577-3.24),0))))),2)</f>
        <v>0</v>
      </c>
      <c r="T577" s="23">
        <f>IF(E577="男",LOOKUP($S577,[1]对照表!$AB$3:$AB$13,[1]对照表!$AC$3:$AC$13),LOOKUP($S577,[1]对照表!$AB$15:$AB$25,[1]对照表!$AC$15:$AC$25))</f>
        <v>0</v>
      </c>
      <c r="U577" s="26">
        <f>R577+T577</f>
        <v>80</v>
      </c>
      <c r="V577" s="26">
        <f>SUM(I577,K577,M577)/3*0.3+SUM(G577,R577)/2*0.4</f>
        <v>52.5</v>
      </c>
      <c r="W577" s="27">
        <f>O577+T577</f>
        <v>0</v>
      </c>
      <c r="X577" s="28">
        <f>V577/0.7+W577</f>
        <v>75</v>
      </c>
      <c r="Y577" s="28">
        <f>X577</f>
        <v>75</v>
      </c>
      <c r="Z577" s="38"/>
    </row>
    <row r="578" spans="1:26" ht="15.6" x14ac:dyDescent="0.25">
      <c r="A578" s="38">
        <v>48</v>
      </c>
      <c r="B578" s="17" t="s">
        <v>767</v>
      </c>
      <c r="C578" s="48">
        <v>214</v>
      </c>
      <c r="D578" s="49" t="s">
        <v>1300</v>
      </c>
      <c r="E578" s="48" t="s">
        <v>65</v>
      </c>
      <c r="F578" s="38" t="s">
        <v>1301</v>
      </c>
      <c r="G578" s="32" t="str">
        <f>IF(B578="高三",IF($E578="男",LOOKUP(F578,[1]对照表!$G$3:$G$24,[1]对照表!$H$3:$H$24),LOOKUP(F578,[1]对照表!$G$27:$G$48,[1]对照表!$H$27:$H$48)),IF(B578="高二",IF($E578="男",LOOKUP(F578,[1]对照表!$F$3:$F$24,[1]对照表!$H$3:$H$24),LOOKUP(F578,[1]对照表!$F$27:$F$48,[1]对照表!$H$27:$H$48)),IF(B578="高一",IF($E578="男",LOOKUP(F578,[1]对照表!$E$3:$E$24,[1]对照表!$H$3:$H$24),LOOKUP(F578,[1]对照表!$E$27:$E$48,[1]对照表!$H$27:$H$48)))))</f>
        <v>/</v>
      </c>
      <c r="H578" s="38">
        <v>24.6</v>
      </c>
      <c r="I578" s="32">
        <f>IF(B578="高三",IF($E578="男",LOOKUP(H578,[1]对照表!$K$3:$K$24,[1]对照表!$L$3:$L$24),LOOKUP(H578,[1]对照表!$K$27:$K$48,[1]对照表!$L$27:$L$48)),IF(B578="高二",IF($E578="男",LOOKUP(H578,[1]对照表!$J$3:$J$24,[1]对照表!$L$3:$L$24),LOOKUP(H578,[1]对照表!$J$27:$J$48,[1]对照表!$L$27:$L$48)),IF(B578="高一",IF($E578="男",LOOKUP(H578,[1]对照表!$I$3:$I$24,[1]对照表!$L$3:$L$24),LOOKUP(H578,[1]对照表!$I$27:$I$48,[1]对照表!$L$27:$L$48)))))</f>
        <v>95</v>
      </c>
      <c r="J578" s="38">
        <v>188</v>
      </c>
      <c r="K578" s="32">
        <f>IF(B578="高三",IF($E578="男",LOOKUP(J578,[1]对照表!$O$3:$O$24,[1]对照表!$P$3:$P$24),LOOKUP(J578,[1]对照表!$O$27:$O$48,[1]对照表!$P$27:$P$48)),IF(B578="高二",IF($E578="男",LOOKUP(J578,[1]对照表!$N$3:$N$24,[1]对照表!$P$3:$P$24),LOOKUP(J578,[1]对照表!$N$27:$N$48,[1]对照表!$P$27:$P$48)),IF(B578="高一",IF($E578="男",LOOKUP(J578,[1]对照表!$M$3:$M$24,[1]对照表!$P$3:$P$24),LOOKUP(J578,[1]对照表!$M$27:$M$48,[1]对照表!$P$27:$P$48)))))</f>
        <v>85</v>
      </c>
      <c r="L578" s="38">
        <v>50</v>
      </c>
      <c r="M578" s="32">
        <f>IF(B578="高三",IF($E578="男",LOOKUP(L578,[1]对照表!$S$3:$S$24,[1]对照表!$T$3:$T$24),LOOKUP(L578,[1]对照表!$S$27:$S$48,[1]对照表!$T$27:$T$48)),IF(B578="高二",IF($E578="男",LOOKUP(L578,[1]对照表!$R$3:$R$24,[1]对照表!$T$3:$T$24),LOOKUP(L578,[1]对照表!$R$27:$R$48,[1]对照表!$T$27:$T$48)),IF(B578="高一",IF($E578="男",LOOKUP(L578,[1]对照表!$Q$3:$Q$24,[1]对照表!$T$3:$T$24),LOOKUP(L578,[1]对照表!$Q$27:$Q$48,[1]对照表!$T$27:$T$48)))))</f>
        <v>90</v>
      </c>
      <c r="N578" s="33">
        <f>IF(B578="高三",MAX(IF(E578="男",L578-18,L578-55),0),IF(B578="高二",MAX(IF(E578="男",L578-17,L578-54),0),IF(B578="高一",MAX(IF(E578="男",L578-16,L578-53),0))))</f>
        <v>0</v>
      </c>
      <c r="O578" s="23">
        <f>IF(E578="男",LOOKUP($N578,[1]对照表!$Z$3:$Z$13,[1]对照表!$AA$3:$AA$13),LOOKUP($N578,[1]对照表!$Z$15:$Z$25,[1]对照表!$AA$15:$AA$25))</f>
        <v>0</v>
      </c>
      <c r="P578" s="25">
        <f>M578+O578</f>
        <v>90</v>
      </c>
      <c r="Q578" s="38">
        <v>3.35</v>
      </c>
      <c r="R578" s="32">
        <f>IF(B578="高三",IF($E578="男",LOOKUP(Q578,[1]对照表!$W$3:$W$24,[1]对照表!$X$3:$X$24),LOOKUP(Q578,[1]对照表!$W$27:$W$48,[1]对照表!$X$27:$X$48)),IF(B578="高二",IF($E578="男",LOOKUP(Q578,[1]对照表!$V$3:$V$24,[1]对照表!$X$3:$X$24),LOOKUP(Q578,[1]对照表!$V$27:$V$48,[1]对照表!$X$27:$X$48)),IF(B578="高一",IF($E578="男",LOOKUP(Q578,[1]对照表!$U$3:$U$24,[1]对照表!$X$3:$X$24),LOOKUP(Q578,[1]对照表!$U$27:$U$48,[1]对照表!$X$27:$X$48)))))</f>
        <v>85</v>
      </c>
      <c r="S578" s="33">
        <f>ROUND(IF(IF($B578="高三",MIN(IF($E578="男",$Q578-3.2,$Q578-3.2),0),IF($B578="高二",MIN(IF($E578="男",$Q578-3.25,$Q578-3.22),0),IF($B578="高一",MIN(IF($E578="男",$Q578-3.3,$Q578-3.24),0))))&lt;-0.6,IF($B578="高三",MIN(IF($E578="男",$Q578-3.2,$Q578-3.2),0),IF($B578="高二",MIN(IF($E578="男",$Q578-3.25,$Q578-3.22),0),IF($B578="高一",MIN(IF($E578="男",$Q578-3.3,$Q578-3.24),0))))+0.4,IF($B578="高三",MIN(IF($E578="男",$Q578-3.2,$Q578-3.2),0),IF($B578="高二",MIN(IF($E578="男",$Q578-3.25,$Q578-3.22),0),IF($B578="高一",MIN(IF($E578="男",$Q578-3.3,$Q578-3.24),0))))),2)</f>
        <v>0</v>
      </c>
      <c r="T578" s="23">
        <f>IF(E578="男",LOOKUP($S578,[1]对照表!$AB$3:$AB$13,[1]对照表!$AC$3:$AC$13),LOOKUP($S578,[1]对照表!$AB$15:$AB$25,[1]对照表!$AC$15:$AC$25))</f>
        <v>0</v>
      </c>
      <c r="U578" s="26">
        <f>R578+T578</f>
        <v>85</v>
      </c>
      <c r="V578" s="26">
        <f>SUM(I578,K578,M578)/3*0.3+SUM(G578,R578)/2*0.4</f>
        <v>44</v>
      </c>
      <c r="W578" s="27">
        <f>O578+T578</f>
        <v>0</v>
      </c>
      <c r="X578" s="28">
        <f>V578/0.7+W578</f>
        <v>62.857142857142861</v>
      </c>
      <c r="Y578" s="28">
        <f>X578</f>
        <v>62.857142857142861</v>
      </c>
      <c r="Z578" s="38"/>
    </row>
    <row r="579" spans="1:26" ht="15.6" x14ac:dyDescent="0.25">
      <c r="A579" s="48">
        <v>9</v>
      </c>
      <c r="B579" s="17" t="s">
        <v>767</v>
      </c>
      <c r="C579" s="48">
        <v>214</v>
      </c>
      <c r="D579" s="49" t="s">
        <v>1319</v>
      </c>
      <c r="E579" s="48" t="s">
        <v>23</v>
      </c>
      <c r="F579" s="38">
        <v>7.6</v>
      </c>
      <c r="G579" s="32">
        <f>IF(B579="高三",IF($E579="男",LOOKUP(F579,[1]对照表!$G$3:$G$24,[1]对照表!$H$3:$H$24),LOOKUP(F579,[1]对照表!$G$27:$G$48,[1]对照表!$H$27:$H$48)),IF(B579="高二",IF($E579="男",LOOKUP(F579,[1]对照表!$F$3:$F$24,[1]对照表!$H$3:$H$24),LOOKUP(F579,[1]对照表!$F$27:$F$48,[1]对照表!$H$27:$H$48)),IF(B579="高一",IF($E579="男",LOOKUP(F579,[1]对照表!$E$3:$E$24,[1]对照表!$H$3:$H$24),LOOKUP(F579,[1]对照表!$E$27:$E$48,[1]对照表!$H$27:$H$48)))))</f>
        <v>78</v>
      </c>
      <c r="H579" s="38">
        <v>1.5</v>
      </c>
      <c r="I579" s="32">
        <f>IF(B579="高三",IF($E579="男",LOOKUP(H579,[1]对照表!$K$3:$K$24,[1]对照表!$L$3:$L$24),LOOKUP(H579,[1]对照表!$K$27:$K$48,[1]对照表!$L$27:$L$48)),IF(B579="高二",IF($E579="男",LOOKUP(H579,[1]对照表!$J$3:$J$24,[1]对照表!$L$3:$L$24),LOOKUP(H579,[1]对照表!$J$27:$J$48,[1]对照表!$L$27:$L$48)),IF(B579="高一",IF($E579="男",LOOKUP(H579,[1]对照表!$I$3:$I$24,[1]对照表!$L$3:$L$24),LOOKUP(H579,[1]对照表!$I$27:$I$48,[1]对照表!$L$27:$L$48)))))</f>
        <v>50</v>
      </c>
      <c r="J579" s="38">
        <v>229</v>
      </c>
      <c r="K579" s="32">
        <f>IF(B579="高三",IF($E579="男",LOOKUP(J579,[1]对照表!$O$3:$O$24,[1]对照表!$P$3:$P$24),LOOKUP(J579,[1]对照表!$O$27:$O$48,[1]对照表!$P$27:$P$48)),IF(B579="高二",IF($E579="男",LOOKUP(J579,[1]对照表!$N$3:$N$24,[1]对照表!$P$3:$P$24),LOOKUP(J579,[1]对照表!$N$27:$N$48,[1]对照表!$P$27:$P$48)),IF(B579="高一",IF($E579="男",LOOKUP(J579,[1]对照表!$M$3:$M$24,[1]对照表!$P$3:$P$24),LOOKUP(J579,[1]对照表!$M$27:$M$48,[1]对照表!$P$27:$P$48)))))</f>
        <v>74</v>
      </c>
      <c r="L579" s="38">
        <v>13</v>
      </c>
      <c r="M579" s="32">
        <f>IF(B579="高三",IF($E579="男",LOOKUP(L579,[1]对照表!$S$3:$S$24,[1]对照表!$T$3:$T$24),LOOKUP(L579,[1]对照表!$S$27:$S$48,[1]对照表!$T$27:$T$48)),IF(B579="高二",IF($E579="男",LOOKUP(L579,[1]对照表!$R$3:$R$24,[1]对照表!$T$3:$T$24),LOOKUP(L579,[1]对照表!$R$27:$R$48,[1]对照表!$T$27:$T$48)),IF(B579="高一",IF($E579="男",LOOKUP(L579,[1]对照表!$Q$3:$Q$24,[1]对照表!$T$3:$T$24),LOOKUP(L579,[1]对照表!$Q$27:$Q$48,[1]对照表!$T$27:$T$48)))))</f>
        <v>80</v>
      </c>
      <c r="N579" s="33">
        <f>IF(B579="高三",MAX(IF(E579="男",L579-18,L579-55),0),IF(B579="高二",MAX(IF(E579="男",L579-17,L579-54),0),IF(B579="高一",MAX(IF(E579="男",L579-16,L579-53),0))))</f>
        <v>0</v>
      </c>
      <c r="O579" s="23">
        <f>IF(E579="男",LOOKUP($N579,[1]对照表!$Z$3:$Z$13,[1]对照表!$AA$3:$AA$13),LOOKUP($N579,[1]对照表!$Z$15:$Z$25,[1]对照表!$AA$15:$AA$25))</f>
        <v>0</v>
      </c>
      <c r="P579" s="25">
        <f>M579+O579</f>
        <v>80</v>
      </c>
      <c r="Q579" s="38">
        <v>3.46</v>
      </c>
      <c r="R579" s="32">
        <f>IF(B579="高三",IF($E579="男",LOOKUP(Q579,[1]对照表!$W$3:$W$24,[1]对照表!$X$3:$X$24),LOOKUP(Q579,[1]对照表!$W$27:$W$48,[1]对照表!$X$27:$X$48)),IF(B579="高二",IF($E579="男",LOOKUP(Q579,[1]对照表!$V$3:$V$24,[1]对照表!$X$3:$X$24),LOOKUP(Q579,[1]对照表!$V$27:$V$48,[1]对照表!$X$27:$X$48)),IF(B579="高一",IF($E579="男",LOOKUP(Q579,[1]对照表!$U$3:$U$24,[1]对照表!$X$3:$X$24),LOOKUP(Q579,[1]对照表!$U$27:$U$48,[1]对照表!$X$27:$X$48)))))</f>
        <v>80</v>
      </c>
      <c r="S579" s="27">
        <f>ROUND(IF(IF($B579="高三",MIN(IF($E579="男",$Q579-3.2,$Q579-3.2),0),IF($B579="高二",MIN(IF($E579="男",$Q579-3.25,$Q579-3.22),0),IF($B579="高一",MIN(IF($E579="男",$Q579-3.3,$Q579-3.24),0))))&lt;-0.6,IF($B579="高三",MIN(IF($E579="男",$Q579-3.2,$Q579-3.2),0),IF($B579="高二",MIN(IF($E579="男",$Q579-3.25,$Q579-3.22),0),IF($B579="高一",MIN(IF($E579="男",$Q579-3.3,$Q579-3.24),0))))+0.4,IF($B579="高三",MIN(IF($E579="男",$Q579-3.2,$Q579-3.2),0),IF($B579="高二",MIN(IF($E579="男",$Q579-3.25,$Q579-3.22),0),IF($B579="高一",MIN(IF($E579="男",$Q579-3.3,$Q579-3.24),0))))),2)</f>
        <v>0</v>
      </c>
      <c r="T579" s="23">
        <f>IF(E579="男",LOOKUP($S579,[1]对照表!$AB$3:$AB$13,[1]对照表!$AC$3:$AC$13),LOOKUP($S579,[1]对照表!$AB$15:$AB$25,[1]对照表!$AC$15:$AC$25))</f>
        <v>0</v>
      </c>
      <c r="U579" s="26">
        <f>R579+T579</f>
        <v>80</v>
      </c>
      <c r="V579" s="26">
        <f>SUM(I579,K579,M579)/3*0.3+SUM(G579,R579)/2*0.4</f>
        <v>52</v>
      </c>
      <c r="W579" s="27">
        <f>O579+T579</f>
        <v>0</v>
      </c>
      <c r="X579" s="28">
        <f>V579/0.7+W579</f>
        <v>74.285714285714292</v>
      </c>
      <c r="Y579" s="28">
        <f>X579</f>
        <v>74.285714285714292</v>
      </c>
      <c r="Z579" s="38"/>
    </row>
    <row r="580" spans="1:26" ht="15.6" x14ac:dyDescent="0.25">
      <c r="A580" s="48">
        <v>29</v>
      </c>
      <c r="B580" s="17" t="s">
        <v>767</v>
      </c>
      <c r="C580" s="48">
        <v>214</v>
      </c>
      <c r="D580" s="49" t="s">
        <v>1325</v>
      </c>
      <c r="E580" s="48" t="s">
        <v>23</v>
      </c>
      <c r="F580" s="38">
        <v>7.7</v>
      </c>
      <c r="G580" s="32">
        <f>IF(B580="高三",IF($E580="男",LOOKUP(F580,[1]对照表!$G$3:$G$24,[1]对照表!$H$3:$H$24),LOOKUP(F580,[1]对照表!$G$27:$G$48,[1]对照表!$H$27:$H$48)),IF(B580="高二",IF($E580="男",LOOKUP(F580,[1]对照表!$F$3:$F$24,[1]对照表!$H$3:$H$24),LOOKUP(F580,[1]对照表!$F$27:$F$48,[1]对照表!$H$27:$H$48)),IF(B580="高一",IF($E580="男",LOOKUP(F580,[1]对照表!$E$3:$E$24,[1]对照表!$H$3:$H$24),LOOKUP(F580,[1]对照表!$E$27:$E$48,[1]对照表!$H$27:$H$48)))))</f>
        <v>76</v>
      </c>
      <c r="H580" s="38">
        <v>14</v>
      </c>
      <c r="I580" s="32">
        <f>IF(B580="高三",IF($E580="男",LOOKUP(H580,[1]对照表!$K$3:$K$24,[1]对照表!$L$3:$L$24),LOOKUP(H580,[1]对照表!$K$27:$K$48,[1]对照表!$L$27:$L$48)),IF(B580="高二",IF($E580="男",LOOKUP(H580,[1]对照表!$J$3:$J$24,[1]对照表!$L$3:$L$24),LOOKUP(H580,[1]对照表!$J$27:$J$48,[1]对照表!$L$27:$L$48)),IF(B580="高一",IF($E580="男",LOOKUP(H580,[1]对照表!$I$3:$I$24,[1]对照表!$L$3:$L$24),LOOKUP(H580,[1]对照表!$I$27:$I$48,[1]对照表!$L$27:$L$48)))))</f>
        <v>76</v>
      </c>
      <c r="J580" s="38">
        <v>240</v>
      </c>
      <c r="K580" s="32">
        <f>IF(B580="高三",IF($E580="男",LOOKUP(J580,[1]对照表!$O$3:$O$24,[1]对照表!$P$3:$P$24),LOOKUP(J580,[1]对照表!$O$27:$O$48,[1]对照表!$P$27:$P$48)),IF(B580="高二",IF($E580="男",LOOKUP(J580,[1]对照表!$N$3:$N$24,[1]对照表!$P$3:$P$24),LOOKUP(J580,[1]对照表!$N$27:$N$48,[1]对照表!$P$27:$P$48)),IF(B580="高一",IF($E580="男",LOOKUP(J580,[1]对照表!$M$3:$M$24,[1]对照表!$P$3:$P$24),LOOKUP(J580,[1]对照表!$M$27:$M$48,[1]对照表!$P$27:$P$48)))))</f>
        <v>80</v>
      </c>
      <c r="L580" s="38">
        <v>4</v>
      </c>
      <c r="M580" s="32">
        <f>IF(B580="高三",IF($E580="男",LOOKUP(L580,[1]对照表!$S$3:$S$24,[1]对照表!$T$3:$T$24),LOOKUP(L580,[1]对照表!$S$27:$S$48,[1]对照表!$T$27:$T$48)),IF(B580="高二",IF($E580="男",LOOKUP(L580,[1]对照表!$R$3:$R$24,[1]对照表!$T$3:$T$24),LOOKUP(L580,[1]对照表!$R$27:$R$48,[1]对照表!$T$27:$T$48)),IF(B580="高一",IF($E580="男",LOOKUP(L580,[1]对照表!$Q$3:$Q$24,[1]对照表!$T$3:$T$24),LOOKUP(L580,[1]对照表!$Q$27:$Q$48,[1]对照表!$T$27:$T$48)))))</f>
        <v>20</v>
      </c>
      <c r="N580" s="33">
        <f>IF(B580="高三",MAX(IF(E580="男",L580-18,L580-55),0),IF(B580="高二",MAX(IF(E580="男",L580-17,L580-54),0),IF(B580="高一",MAX(IF(E580="男",L580-16,L580-53),0))))</f>
        <v>0</v>
      </c>
      <c r="O580" s="23">
        <f>IF(E580="男",LOOKUP($N580,[1]对照表!$Z$3:$Z$13,[1]对照表!$AA$3:$AA$13),LOOKUP($N580,[1]对照表!$Z$15:$Z$25,[1]对照表!$AA$15:$AA$25))</f>
        <v>0</v>
      </c>
      <c r="P580" s="25">
        <f>M580+O580</f>
        <v>20</v>
      </c>
      <c r="Q580" s="38">
        <v>3.27</v>
      </c>
      <c r="R580" s="32">
        <f>IF(B580="高三",IF($E580="男",LOOKUP(Q580,[1]对照表!$W$3:$W$24,[1]对照表!$X$3:$X$24),LOOKUP(Q580,[1]对照表!$W$27:$W$48,[1]对照表!$X$27:$X$48)),IF(B580="高二",IF($E580="男",LOOKUP(Q580,[1]对照表!$V$3:$V$24,[1]对照表!$X$3:$X$24),LOOKUP(Q580,[1]对照表!$V$27:$V$48,[1]对照表!$X$27:$X$48)),IF(B580="高一",IF($E580="男",LOOKUP(Q580,[1]对照表!$U$3:$U$24,[1]对照表!$X$3:$X$24),LOOKUP(Q580,[1]对照表!$U$27:$U$48,[1]对照表!$X$27:$X$48)))))</f>
        <v>95</v>
      </c>
      <c r="S580" s="33">
        <f>ROUND(IF(IF($B580="高三",MIN(IF($E580="男",$Q580-3.2,$Q580-3.2),0),IF($B580="高二",MIN(IF($E580="男",$Q580-3.25,$Q580-3.22),0),IF($B580="高一",MIN(IF($E580="男",$Q580-3.3,$Q580-3.24),0))))&lt;-0.6,IF($B580="高三",MIN(IF($E580="男",$Q580-3.2,$Q580-3.2),0),IF($B580="高二",MIN(IF($E580="男",$Q580-3.25,$Q580-3.22),0),IF($B580="高一",MIN(IF($E580="男",$Q580-3.3,$Q580-3.24),0))))+0.4,IF($B580="高三",MIN(IF($E580="男",$Q580-3.2,$Q580-3.2),0),IF($B580="高二",MIN(IF($E580="男",$Q580-3.25,$Q580-3.22),0),IF($B580="高一",MIN(IF($E580="男",$Q580-3.3,$Q580-3.24),0))))),2)</f>
        <v>0</v>
      </c>
      <c r="T580" s="23">
        <f>IF(E580="男",LOOKUP($S580,[1]对照表!$AB$3:$AB$13,[1]对照表!$AC$3:$AC$13),LOOKUP($S580,[1]对照表!$AB$15:$AB$25,[1]对照表!$AC$15:$AC$25))</f>
        <v>0</v>
      </c>
      <c r="U580" s="26">
        <f>R580+T580</f>
        <v>95</v>
      </c>
      <c r="V580" s="26">
        <f>SUM(I580,K580,M580)/3*0.3+SUM(G580,R580)/2*0.4</f>
        <v>51.8</v>
      </c>
      <c r="W580" s="27">
        <f>O580+T580</f>
        <v>0</v>
      </c>
      <c r="X580" s="28">
        <f>V580/0.7+W580</f>
        <v>74</v>
      </c>
      <c r="Y580" s="28">
        <f>X580</f>
        <v>74</v>
      </c>
      <c r="Z580" s="38"/>
    </row>
    <row r="581" spans="1:26" ht="15.6" x14ac:dyDescent="0.25">
      <c r="A581" s="48">
        <v>11</v>
      </c>
      <c r="B581" s="17" t="s">
        <v>767</v>
      </c>
      <c r="C581" s="48">
        <v>214</v>
      </c>
      <c r="D581" s="49" t="s">
        <v>1370</v>
      </c>
      <c r="E581" s="48" t="s">
        <v>23</v>
      </c>
      <c r="F581" s="38">
        <v>7.8</v>
      </c>
      <c r="G581" s="32">
        <f>IF(B581="高三",IF($E581="男",LOOKUP(F581,[1]对照表!$G$3:$G$24,[1]对照表!$H$3:$H$24),LOOKUP(F581,[1]对照表!$G$27:$G$48,[1]对照表!$H$27:$H$48)),IF(B581="高二",IF($E581="男",LOOKUP(F581,[1]对照表!$F$3:$F$24,[1]对照表!$H$3:$H$24),LOOKUP(F581,[1]对照表!$F$27:$F$48,[1]对照表!$H$27:$H$48)),IF(B581="高一",IF($E581="男",LOOKUP(F581,[1]对照表!$E$3:$E$24,[1]对照表!$H$3:$H$24),LOOKUP(F581,[1]对照表!$E$27:$E$48,[1]对照表!$H$27:$H$48)))))</f>
        <v>76</v>
      </c>
      <c r="H581" s="38">
        <v>7.5</v>
      </c>
      <c r="I581" s="32">
        <f>IF(B581="高三",IF($E581="男",LOOKUP(H581,[1]对照表!$K$3:$K$24,[1]对照表!$L$3:$L$24),LOOKUP(H581,[1]对照表!$K$27:$K$48,[1]对照表!$L$27:$L$48)),IF(B581="高二",IF($E581="男",LOOKUP(H581,[1]对照表!$J$3:$J$24,[1]对照表!$L$3:$L$24),LOOKUP(H581,[1]对照表!$J$27:$J$48,[1]对照表!$L$27:$L$48)),IF(B581="高一",IF($E581="男",LOOKUP(H581,[1]对照表!$I$3:$I$24,[1]对照表!$L$3:$L$24),LOOKUP(H581,[1]对照表!$I$27:$I$48,[1]对照表!$L$27:$L$48)))))</f>
        <v>66</v>
      </c>
      <c r="J581" s="38">
        <v>198</v>
      </c>
      <c r="K581" s="32">
        <f>IF(B581="高三",IF($E581="男",LOOKUP(J581,[1]对照表!$O$3:$O$24,[1]对照表!$P$3:$P$24),LOOKUP(J581,[1]对照表!$O$27:$O$48,[1]对照表!$P$27:$P$48)),IF(B581="高二",IF($E581="男",LOOKUP(J581,[1]对照表!$N$3:$N$24,[1]对照表!$P$3:$P$24),LOOKUP(J581,[1]对照表!$N$27:$N$48,[1]对照表!$P$27:$P$48)),IF(B581="高一",IF($E581="男",LOOKUP(J581,[1]对照表!$M$3:$M$24,[1]对照表!$P$3:$P$24),LOOKUP(J581,[1]对照表!$M$27:$M$48,[1]对照表!$P$27:$P$48)))))</f>
        <v>50</v>
      </c>
      <c r="L581" s="38">
        <v>6</v>
      </c>
      <c r="M581" s="32">
        <f>IF(B581="高三",IF($E581="男",LOOKUP(L581,[1]对照表!$S$3:$S$24,[1]对照表!$T$3:$T$24),LOOKUP(L581,[1]对照表!$S$27:$S$48,[1]对照表!$T$27:$T$48)),IF(B581="高二",IF($E581="男",LOOKUP(L581,[1]对照表!$R$3:$R$24,[1]对照表!$T$3:$T$24),LOOKUP(L581,[1]对照表!$R$27:$R$48,[1]对照表!$T$27:$T$48)),IF(B581="高一",IF($E581="男",LOOKUP(L581,[1]对照表!$Q$3:$Q$24,[1]对照表!$T$3:$T$24),LOOKUP(L581,[1]对照表!$Q$27:$Q$48,[1]对照表!$T$27:$T$48)))))</f>
        <v>40</v>
      </c>
      <c r="N581" s="33">
        <f>IF(B581="高三",MAX(IF(E581="男",L581-18,L581-55),0),IF(B581="高二",MAX(IF(E581="男",L581-17,L581-54),0),IF(B581="高一",MAX(IF(E581="男",L581-16,L581-53),0))))</f>
        <v>0</v>
      </c>
      <c r="O581" s="23">
        <f>IF(E581="男",LOOKUP($N581,[1]对照表!$Z$3:$Z$13,[1]对照表!$AA$3:$AA$13),LOOKUP($N581,[1]对照表!$Z$15:$Z$25,[1]对照表!$AA$15:$AA$25))</f>
        <v>0</v>
      </c>
      <c r="P581" s="25">
        <f>M581+O581</f>
        <v>40</v>
      </c>
      <c r="Q581" s="38">
        <v>3.35</v>
      </c>
      <c r="R581" s="32">
        <f>IF(B581="高三",IF($E581="男",LOOKUP(Q581,[1]对照表!$W$3:$W$24,[1]对照表!$X$3:$X$24),LOOKUP(Q581,[1]对照表!$W$27:$W$48,[1]对照表!$X$27:$X$48)),IF(B581="高二",IF($E581="男",LOOKUP(Q581,[1]对照表!$V$3:$V$24,[1]对照表!$X$3:$X$24),LOOKUP(Q581,[1]对照表!$V$27:$V$48,[1]对照表!$X$27:$X$48)),IF(B581="高一",IF($E581="男",LOOKUP(Q581,[1]对照表!$U$3:$U$24,[1]对照表!$X$3:$X$24),LOOKUP(Q581,[1]对照表!$U$27:$U$48,[1]对照表!$X$27:$X$48)))))</f>
        <v>90</v>
      </c>
      <c r="S581" s="33">
        <f>ROUND(IF(IF($B581="高三",MIN(IF($E581="男",$Q581-3.2,$Q581-3.2),0),IF($B581="高二",MIN(IF($E581="男",$Q581-3.25,$Q581-3.22),0),IF($B581="高一",MIN(IF($E581="男",$Q581-3.3,$Q581-3.24),0))))&lt;-0.6,IF($B581="高三",MIN(IF($E581="男",$Q581-3.2,$Q581-3.2),0),IF($B581="高二",MIN(IF($E581="男",$Q581-3.25,$Q581-3.22),0),IF($B581="高一",MIN(IF($E581="男",$Q581-3.3,$Q581-3.24),0))))+0.4,IF($B581="高三",MIN(IF($E581="男",$Q581-3.2,$Q581-3.2),0),IF($B581="高二",MIN(IF($E581="男",$Q581-3.25,$Q581-3.22),0),IF($B581="高一",MIN(IF($E581="男",$Q581-3.3,$Q581-3.24),0))))),2)</f>
        <v>0</v>
      </c>
      <c r="T581" s="23">
        <f>IF(E581="男",LOOKUP($S581,[1]对照表!$AB$3:$AB$13,[1]对照表!$AC$3:$AC$13),LOOKUP($S581,[1]对照表!$AB$15:$AB$25,[1]对照表!$AC$15:$AC$25))</f>
        <v>0</v>
      </c>
      <c r="U581" s="26">
        <f>R581+T581</f>
        <v>90</v>
      </c>
      <c r="V581" s="26">
        <f>SUM(I581,K581,M581)/3*0.3+SUM(G581,R581)/2*0.4</f>
        <v>48.800000000000004</v>
      </c>
      <c r="W581" s="27">
        <f>O581+T581</f>
        <v>0</v>
      </c>
      <c r="X581" s="28">
        <f>V581/0.7+W581</f>
        <v>69.714285714285722</v>
      </c>
      <c r="Y581" s="28">
        <f>X581</f>
        <v>69.714285714285722</v>
      </c>
      <c r="Z581" s="38"/>
    </row>
    <row r="582" spans="1:26" ht="15.6" x14ac:dyDescent="0.25">
      <c r="A582" s="48">
        <v>16</v>
      </c>
      <c r="B582" s="17" t="s">
        <v>767</v>
      </c>
      <c r="C582" s="48">
        <v>214</v>
      </c>
      <c r="D582" s="49" t="s">
        <v>1379</v>
      </c>
      <c r="E582" s="48" t="s">
        <v>23</v>
      </c>
      <c r="F582" s="38">
        <v>7.8</v>
      </c>
      <c r="G582" s="32">
        <f>IF(B582="高三",IF($E582="男",LOOKUP(F582,[1]对照表!$G$3:$G$24,[1]对照表!$H$3:$H$24),LOOKUP(F582,[1]对照表!$G$27:$G$48,[1]对照表!$H$27:$H$48)),IF(B582="高二",IF($E582="男",LOOKUP(F582,[1]对照表!$F$3:$F$24,[1]对照表!$H$3:$H$24),LOOKUP(F582,[1]对照表!$F$27:$F$48,[1]对照表!$H$27:$H$48)),IF(B582="高一",IF($E582="男",LOOKUP(F582,[1]对照表!$E$3:$E$24,[1]对照表!$H$3:$H$24),LOOKUP(F582,[1]对照表!$E$27:$E$48,[1]对照表!$H$27:$H$48)))))</f>
        <v>76</v>
      </c>
      <c r="H582" s="38">
        <v>19</v>
      </c>
      <c r="I582" s="32">
        <f>IF(B582="高三",IF($E582="男",LOOKUP(H582,[1]对照表!$K$3:$K$24,[1]对照表!$L$3:$L$24),LOOKUP(H582,[1]对照表!$K$27:$K$48,[1]对照表!$L$27:$L$48)),IF(B582="高二",IF($E582="男",LOOKUP(H582,[1]对照表!$J$3:$J$24,[1]对照表!$L$3:$L$24),LOOKUP(H582,[1]对照表!$J$27:$J$48,[1]对照表!$L$27:$L$48)),IF(B582="高一",IF($E582="男",LOOKUP(H582,[1]对照表!$I$3:$I$24,[1]对照表!$L$3:$L$24),LOOKUP(H582,[1]对照表!$I$27:$I$48,[1]对照表!$L$27:$L$48)))))</f>
        <v>85</v>
      </c>
      <c r="J582" s="38">
        <v>205</v>
      </c>
      <c r="K582" s="32">
        <f>IF(B582="高三",IF($E582="男",LOOKUP(J582,[1]对照表!$O$3:$O$24,[1]对照表!$P$3:$P$24),LOOKUP(J582,[1]对照表!$O$27:$O$48,[1]对照表!$P$27:$P$48)),IF(B582="高二",IF($E582="男",LOOKUP(J582,[1]对照表!$N$3:$N$24,[1]对照表!$P$3:$P$24),LOOKUP(J582,[1]对照表!$N$27:$N$48,[1]对照表!$P$27:$P$48)),IF(B582="高一",IF($E582="男",LOOKUP(J582,[1]对照表!$M$3:$M$24,[1]对照表!$P$3:$P$24),LOOKUP(J582,[1]对照表!$M$27:$M$48,[1]对照表!$P$27:$P$48)))))</f>
        <v>62</v>
      </c>
      <c r="L582" s="38">
        <v>5</v>
      </c>
      <c r="M582" s="32">
        <f>IF(B582="高三",IF($E582="男",LOOKUP(L582,[1]对照表!$S$3:$S$24,[1]对照表!$T$3:$T$24),LOOKUP(L582,[1]对照表!$S$27:$S$48,[1]对照表!$T$27:$T$48)),IF(B582="高二",IF($E582="男",LOOKUP(L582,[1]对照表!$R$3:$R$24,[1]对照表!$T$3:$T$24),LOOKUP(L582,[1]对照表!$R$27:$R$48,[1]对照表!$T$27:$T$48)),IF(B582="高一",IF($E582="男",LOOKUP(L582,[1]对照表!$Q$3:$Q$24,[1]对照表!$T$3:$T$24),LOOKUP(L582,[1]对照表!$Q$27:$Q$48,[1]对照表!$T$27:$T$48)))))</f>
        <v>30</v>
      </c>
      <c r="N582" s="33">
        <f>IF(B582="高三",MAX(IF(E582="男",L582-18,L582-55),0),IF(B582="高二",MAX(IF(E582="男",L582-17,L582-54),0),IF(B582="高一",MAX(IF(E582="男",L582-16,L582-53),0))))</f>
        <v>0</v>
      </c>
      <c r="O582" s="23">
        <f>IF(E582="男",LOOKUP($N582,[1]对照表!$Z$3:$Z$13,[1]对照表!$AA$3:$AA$13),LOOKUP($N582,[1]对照表!$Z$15:$Z$25,[1]对照表!$AA$15:$AA$25))</f>
        <v>0</v>
      </c>
      <c r="P582" s="25">
        <f>M582+O582</f>
        <v>30</v>
      </c>
      <c r="Q582" s="38">
        <v>4.03</v>
      </c>
      <c r="R582" s="32">
        <f>IF(B582="高三",IF($E582="男",LOOKUP(Q582,[1]对照表!$W$3:$W$24,[1]对照表!$X$3:$X$24),LOOKUP(Q582,[1]对照表!$W$27:$W$48,[1]对照表!$X$27:$X$48)),IF(B582="高二",IF($E582="男",LOOKUP(Q582,[1]对照表!$V$3:$V$24,[1]对照表!$X$3:$X$24),LOOKUP(Q582,[1]对照表!$V$27:$V$48,[1]对照表!$X$27:$X$48)),IF(B582="高一",IF($E582="男",LOOKUP(Q582,[1]对照表!$U$3:$U$24,[1]对照表!$X$3:$X$24),LOOKUP(Q582,[1]对照表!$U$27:$U$48,[1]对照表!$X$27:$X$48)))))</f>
        <v>74</v>
      </c>
      <c r="S582" s="33">
        <f>ROUND(IF(IF($B582="高三",MIN(IF($E582="男",$Q582-3.2,$Q582-3.2),0),IF($B582="高二",MIN(IF($E582="男",$Q582-3.25,$Q582-3.22),0),IF($B582="高一",MIN(IF($E582="男",$Q582-3.3,$Q582-3.24),0))))&lt;-0.6,IF($B582="高三",MIN(IF($E582="男",$Q582-3.2,$Q582-3.2),0),IF($B582="高二",MIN(IF($E582="男",$Q582-3.25,$Q582-3.22),0),IF($B582="高一",MIN(IF($E582="男",$Q582-3.3,$Q582-3.24),0))))+0.4,IF($B582="高三",MIN(IF($E582="男",$Q582-3.2,$Q582-3.2),0),IF($B582="高二",MIN(IF($E582="男",$Q582-3.25,$Q582-3.22),0),IF($B582="高一",MIN(IF($E582="男",$Q582-3.3,$Q582-3.24),0))))),2)</f>
        <v>0</v>
      </c>
      <c r="T582" s="23">
        <f>IF(E582="男",LOOKUP($S582,[1]对照表!$AB$3:$AB$13,[1]对照表!$AC$3:$AC$13),LOOKUP($S582,[1]对照表!$AB$15:$AB$25,[1]对照表!$AC$15:$AC$25))</f>
        <v>0</v>
      </c>
      <c r="U582" s="26">
        <f>R582+T582</f>
        <v>74</v>
      </c>
      <c r="V582" s="26">
        <f>SUM(I582,K582,M582)/3*0.3+SUM(G582,R582)/2*0.4</f>
        <v>47.7</v>
      </c>
      <c r="W582" s="27">
        <f>O582+T582</f>
        <v>0</v>
      </c>
      <c r="X582" s="28">
        <f>V582/0.7+W582</f>
        <v>68.142857142857153</v>
      </c>
      <c r="Y582" s="28">
        <f>X582</f>
        <v>68.142857142857153</v>
      </c>
      <c r="Z582" s="38"/>
    </row>
    <row r="583" spans="1:26" ht="15.6" x14ac:dyDescent="0.25">
      <c r="A583" s="48">
        <v>6</v>
      </c>
      <c r="B583" s="17" t="s">
        <v>767</v>
      </c>
      <c r="C583" s="48">
        <v>214</v>
      </c>
      <c r="D583" s="49" t="s">
        <v>1380</v>
      </c>
      <c r="E583" s="48" t="s">
        <v>23</v>
      </c>
      <c r="F583" s="38">
        <v>7.5</v>
      </c>
      <c r="G583" s="32">
        <f>IF(B583="高三",IF($E583="男",LOOKUP(F583,[1]对照表!$G$3:$G$24,[1]对照表!$H$3:$H$24),LOOKUP(F583,[1]对照表!$G$27:$G$48,[1]对照表!$H$27:$H$48)),IF(B583="高二",IF($E583="男",LOOKUP(F583,[1]对照表!$F$3:$F$24,[1]对照表!$H$3:$H$24),LOOKUP(F583,[1]对照表!$F$27:$F$48,[1]对照表!$H$27:$H$48)),IF(B583="高一",IF($E583="男",LOOKUP(F583,[1]对照表!$E$3:$E$24,[1]对照表!$H$3:$H$24),LOOKUP(F583,[1]对照表!$E$27:$E$48,[1]对照表!$H$27:$H$48)))))</f>
        <v>78</v>
      </c>
      <c r="H583" s="38">
        <v>16</v>
      </c>
      <c r="I583" s="32">
        <f>IF(B583="高三",IF($E583="男",LOOKUP(H583,[1]对照表!$K$3:$K$24,[1]对照表!$L$3:$L$24),LOOKUP(H583,[1]对照表!$K$27:$K$48,[1]对照表!$L$27:$L$48)),IF(B583="高二",IF($E583="男",LOOKUP(H583,[1]对照表!$J$3:$J$24,[1]对照表!$L$3:$L$24),LOOKUP(H583,[1]对照表!$J$27:$J$48,[1]对照表!$L$27:$L$48)),IF(B583="高一",IF($E583="男",LOOKUP(H583,[1]对照表!$I$3:$I$24,[1]对照表!$L$3:$L$24),LOOKUP(H583,[1]对照表!$I$27:$I$48,[1]对照表!$L$27:$L$48)))))</f>
        <v>78</v>
      </c>
      <c r="J583" s="38">
        <v>253</v>
      </c>
      <c r="K583" s="32">
        <f>IF(B583="高三",IF($E583="男",LOOKUP(J583,[1]对照表!$O$3:$O$24,[1]对照表!$P$3:$P$24),LOOKUP(J583,[1]对照表!$O$27:$O$48,[1]对照表!$P$27:$P$48)),IF(B583="高二",IF($E583="男",LOOKUP(J583,[1]对照表!$N$3:$N$24,[1]对照表!$P$3:$P$24),LOOKUP(J583,[1]对照表!$N$27:$N$48,[1]对照表!$P$27:$P$48)),IF(B583="高一",IF($E583="男",LOOKUP(J583,[1]对照表!$M$3:$M$24,[1]对照表!$P$3:$P$24),LOOKUP(J583,[1]对照表!$M$27:$M$48,[1]对照表!$P$27:$P$48)))))</f>
        <v>85</v>
      </c>
      <c r="L583" s="38">
        <v>0</v>
      </c>
      <c r="M583" s="32">
        <f>IF(B583="高三",IF($E583="男",LOOKUP(L583,[1]对照表!$S$3:$S$24,[1]对照表!$T$3:$T$24),LOOKUP(L583,[1]对照表!$S$27:$S$48,[1]对照表!$T$27:$T$48)),IF(B583="高二",IF($E583="男",LOOKUP(L583,[1]对照表!$R$3:$R$24,[1]对照表!$T$3:$T$24),LOOKUP(L583,[1]对照表!$R$27:$R$48,[1]对照表!$T$27:$T$48)),IF(B583="高一",IF($E583="男",LOOKUP(L583,[1]对照表!$Q$3:$Q$24,[1]对照表!$T$3:$T$24),LOOKUP(L583,[1]对照表!$Q$27:$Q$48,[1]对照表!$T$27:$T$48)))))</f>
        <v>0</v>
      </c>
      <c r="N583" s="33">
        <f>IF(B583="高三",MAX(IF(E583="男",L583-18,L583-55),0),IF(B583="高二",MAX(IF(E583="男",L583-17,L583-54),0),IF(B583="高一",MAX(IF(E583="男",L583-16,L583-53),0))))</f>
        <v>0</v>
      </c>
      <c r="O583" s="23">
        <f>IF(E583="男",LOOKUP($N583,[1]对照表!$Z$3:$Z$13,[1]对照表!$AA$3:$AA$13),LOOKUP($N583,[1]对照表!$Z$15:$Z$25,[1]对照表!$AA$15:$AA$25))</f>
        <v>0</v>
      </c>
      <c r="P583" s="25">
        <f>M583+O583</f>
        <v>0</v>
      </c>
      <c r="Q583" s="38">
        <v>3.51</v>
      </c>
      <c r="R583" s="32">
        <f>IF(B583="高三",IF($E583="男",LOOKUP(Q583,[1]对照表!$W$3:$W$24,[1]对照表!$X$3:$X$24),LOOKUP(Q583,[1]对照表!$W$27:$W$48,[1]对照表!$X$27:$X$48)),IF(B583="高二",IF($E583="男",LOOKUP(Q583,[1]对照表!$V$3:$V$24,[1]对照表!$X$3:$X$24),LOOKUP(Q583,[1]对照表!$V$27:$V$48,[1]对照表!$X$27:$X$48)),IF(B583="高一",IF($E583="男",LOOKUP(Q583,[1]对照表!$U$3:$U$24,[1]对照表!$X$3:$X$24),LOOKUP(Q583,[1]对照表!$U$27:$U$48,[1]对照表!$X$27:$X$48)))))</f>
        <v>78</v>
      </c>
      <c r="S583" s="27">
        <f>ROUND(IF(IF($B583="高三",MIN(IF($E583="男",$Q583-3.2,$Q583-3.2),0),IF($B583="高二",MIN(IF($E583="男",$Q583-3.25,$Q583-3.22),0),IF($B583="高一",MIN(IF($E583="男",$Q583-3.3,$Q583-3.24),0))))&lt;-0.6,IF($B583="高三",MIN(IF($E583="男",$Q583-3.2,$Q583-3.2),0),IF($B583="高二",MIN(IF($E583="男",$Q583-3.25,$Q583-3.22),0),IF($B583="高一",MIN(IF($E583="男",$Q583-3.3,$Q583-3.24),0))))+0.4,IF($B583="高三",MIN(IF($E583="男",$Q583-3.2,$Q583-3.2),0),IF($B583="高二",MIN(IF($E583="男",$Q583-3.25,$Q583-3.22),0),IF($B583="高一",MIN(IF($E583="男",$Q583-3.3,$Q583-3.24),0))))),2)</f>
        <v>0</v>
      </c>
      <c r="T583" s="23">
        <f>IF(E583="男",LOOKUP($S583,[1]对照表!$AB$3:$AB$13,[1]对照表!$AC$3:$AC$13),LOOKUP($S583,[1]对照表!$AB$15:$AB$25,[1]对照表!$AC$15:$AC$25))</f>
        <v>0</v>
      </c>
      <c r="U583" s="26">
        <f>R583+T583</f>
        <v>78</v>
      </c>
      <c r="V583" s="26">
        <f>SUM(I583,K583,M583)/3*0.3+SUM(G583,R583)/2*0.4</f>
        <v>47.5</v>
      </c>
      <c r="W583" s="27">
        <f>O583+T583</f>
        <v>0</v>
      </c>
      <c r="X583" s="28">
        <f>V583/0.7+W583</f>
        <v>67.857142857142861</v>
      </c>
      <c r="Y583" s="28">
        <f>X583</f>
        <v>67.857142857142861</v>
      </c>
      <c r="Z583" s="38"/>
    </row>
    <row r="584" spans="1:26" ht="15.6" x14ac:dyDescent="0.25">
      <c r="A584" s="48">
        <v>1</v>
      </c>
      <c r="B584" s="17" t="s">
        <v>767</v>
      </c>
      <c r="C584" s="48">
        <v>214</v>
      </c>
      <c r="D584" s="49" t="s">
        <v>1403</v>
      </c>
      <c r="E584" s="48" t="s">
        <v>23</v>
      </c>
      <c r="F584" s="38">
        <v>7.7</v>
      </c>
      <c r="G584" s="32">
        <f>IF(B584="高三",IF($E584="男",LOOKUP(F584,[1]对照表!$G$3:$G$24,[1]对照表!$H$3:$H$24),LOOKUP(F584,[1]对照表!$G$27:$G$48,[1]对照表!$H$27:$H$48)),IF(B584="高二",IF($E584="男",LOOKUP(F584,[1]对照表!$F$3:$F$24,[1]对照表!$H$3:$H$24),LOOKUP(F584,[1]对照表!$F$27:$F$48,[1]对照表!$H$27:$H$48)),IF(B584="高一",IF($E584="男",LOOKUP(F584,[1]对照表!$E$3:$E$24,[1]对照表!$H$3:$H$24),LOOKUP(F584,[1]对照表!$E$27:$E$48,[1]对照表!$H$27:$H$48)))))</f>
        <v>76</v>
      </c>
      <c r="H584" s="38">
        <v>15.5</v>
      </c>
      <c r="I584" s="32">
        <f>IF(B584="高三",IF($E584="男",LOOKUP(H584,[1]对照表!$K$3:$K$24,[1]对照表!$L$3:$L$24),LOOKUP(H584,[1]对照表!$K$27:$K$48,[1]对照表!$L$27:$L$48)),IF(B584="高二",IF($E584="男",LOOKUP(H584,[1]对照表!$J$3:$J$24,[1]对照表!$L$3:$L$24),LOOKUP(H584,[1]对照表!$J$27:$J$48,[1]对照表!$L$27:$L$48)),IF(B584="高一",IF($E584="男",LOOKUP(H584,[1]对照表!$I$3:$I$24,[1]对照表!$L$3:$L$24),LOOKUP(H584,[1]对照表!$I$27:$I$48,[1]对照表!$L$27:$L$48)))))</f>
        <v>78</v>
      </c>
      <c r="J584" s="38">
        <v>230</v>
      </c>
      <c r="K584" s="32">
        <f>IF(B584="高三",IF($E584="男",LOOKUP(J584,[1]对照表!$O$3:$O$24,[1]对照表!$P$3:$P$24),LOOKUP(J584,[1]对照表!$O$27:$O$48,[1]对照表!$P$27:$P$48)),IF(B584="高二",IF($E584="男",LOOKUP(J584,[1]对照表!$N$3:$N$24,[1]对照表!$P$3:$P$24),LOOKUP(J584,[1]对照表!$N$27:$N$48,[1]对照表!$P$27:$P$48)),IF(B584="高一",IF($E584="男",LOOKUP(J584,[1]对照表!$M$3:$M$24,[1]对照表!$P$3:$P$24),LOOKUP(J584,[1]对照表!$M$27:$M$48,[1]对照表!$P$27:$P$48)))))</f>
        <v>74</v>
      </c>
      <c r="L584" s="38">
        <v>1</v>
      </c>
      <c r="M584" s="32">
        <f>IF(B584="高三",IF($E584="男",LOOKUP(L584,[1]对照表!$S$3:$S$24,[1]对照表!$T$3:$T$24),LOOKUP(L584,[1]对照表!$S$27:$S$48,[1]对照表!$T$27:$T$48)),IF(B584="高二",IF($E584="男",LOOKUP(L584,[1]对照表!$R$3:$R$24,[1]对照表!$T$3:$T$24),LOOKUP(L584,[1]对照表!$R$27:$R$48,[1]对照表!$T$27:$T$48)),IF(B584="高一",IF($E584="男",LOOKUP(L584,[1]对照表!$Q$3:$Q$24,[1]对照表!$T$3:$T$24),LOOKUP(L584,[1]对照表!$Q$27:$Q$48,[1]对照表!$T$27:$T$48)))))</f>
        <v>0</v>
      </c>
      <c r="N584" s="33">
        <f>IF(B584="高三",MAX(IF(E584="男",L584-18,L584-55),0),IF(B584="高二",MAX(IF(E584="男",L584-17,L584-54),0),IF(B584="高一",MAX(IF(E584="男",L584-16,L584-53),0))))</f>
        <v>0</v>
      </c>
      <c r="O584" s="23">
        <f>IF(E584="男",LOOKUP($N584,[1]对照表!$Z$3:$Z$13,[1]对照表!$AA$3:$AA$13),LOOKUP($N584,[1]对照表!$Z$15:$Z$25,[1]对照表!$AA$15:$AA$25))</f>
        <v>0</v>
      </c>
      <c r="P584" s="25">
        <f>M584+O584</f>
        <v>0</v>
      </c>
      <c r="Q584" s="38">
        <v>4.0199999999999996</v>
      </c>
      <c r="R584" s="32">
        <f>IF(B584="高三",IF($E584="男",LOOKUP(Q584,[1]对照表!$W$3:$W$24,[1]对照表!$X$3:$X$24),LOOKUP(Q584,[1]对照表!$W$27:$W$48,[1]对照表!$X$27:$X$48)),IF(B584="高二",IF($E584="男",LOOKUP(Q584,[1]对照表!$V$3:$V$24,[1]对照表!$X$3:$X$24),LOOKUP(Q584,[1]对照表!$V$27:$V$48,[1]对照表!$X$27:$X$48)),IF(B584="高一",IF($E584="男",LOOKUP(Q584,[1]对照表!$U$3:$U$24,[1]对照表!$X$3:$X$24),LOOKUP(Q584,[1]对照表!$U$27:$U$48,[1]对照表!$X$27:$X$48)))))</f>
        <v>74</v>
      </c>
      <c r="S584" s="33">
        <f>ROUND(IF(IF($B584="高三",MIN(IF($E584="男",$Q584-3.2,$Q584-3.2),0),IF($B584="高二",MIN(IF($E584="男",$Q584-3.25,$Q584-3.22),0),IF($B584="高一",MIN(IF($E584="男",$Q584-3.3,$Q584-3.24),0))))&lt;-0.6,IF($B584="高三",MIN(IF($E584="男",$Q584-3.2,$Q584-3.2),0),IF($B584="高二",MIN(IF($E584="男",$Q584-3.25,$Q584-3.22),0),IF($B584="高一",MIN(IF($E584="男",$Q584-3.3,$Q584-3.24),0))))+0.4,IF($B584="高三",MIN(IF($E584="男",$Q584-3.2,$Q584-3.2),0),IF($B584="高二",MIN(IF($E584="男",$Q584-3.25,$Q584-3.22),0),IF($B584="高一",MIN(IF($E584="男",$Q584-3.3,$Q584-3.24),0))))),2)</f>
        <v>0</v>
      </c>
      <c r="T584" s="23">
        <f>IF(E584="男",LOOKUP($S584,[1]对照表!$AB$3:$AB$13,[1]对照表!$AC$3:$AC$13),LOOKUP($S584,[1]对照表!$AB$15:$AB$25,[1]对照表!$AC$15:$AC$25))</f>
        <v>0</v>
      </c>
      <c r="U584" s="26">
        <f>R584+T584</f>
        <v>74</v>
      </c>
      <c r="V584" s="26">
        <f>SUM(I584,K584,M584)/3*0.3+SUM(G584,R584)/2*0.4</f>
        <v>45.2</v>
      </c>
      <c r="W584" s="27">
        <f>O584+T584</f>
        <v>0</v>
      </c>
      <c r="X584" s="28">
        <f>V584/0.7+W584</f>
        <v>64.571428571428584</v>
      </c>
      <c r="Y584" s="28">
        <f>X584</f>
        <v>64.571428571428584</v>
      </c>
      <c r="Z584" s="38"/>
    </row>
    <row r="585" spans="1:26" ht="15.6" x14ac:dyDescent="0.25">
      <c r="A585" s="48">
        <v>10</v>
      </c>
      <c r="B585" s="17" t="s">
        <v>767</v>
      </c>
      <c r="C585" s="48">
        <v>214</v>
      </c>
      <c r="D585" s="49" t="s">
        <v>1409</v>
      </c>
      <c r="E585" s="48" t="s">
        <v>23</v>
      </c>
      <c r="F585" s="38">
        <v>8.1</v>
      </c>
      <c r="G585" s="32">
        <f>IF(B585="高三",IF($E585="男",LOOKUP(F585,[1]对照表!$G$3:$G$24,[1]对照表!$H$3:$H$24),LOOKUP(F585,[1]对照表!$G$27:$G$48,[1]对照表!$H$27:$H$48)),IF(B585="高二",IF($E585="男",LOOKUP(F585,[1]对照表!$F$3:$F$24,[1]对照表!$H$3:$H$24),LOOKUP(F585,[1]对照表!$F$27:$F$48,[1]对照表!$H$27:$H$48)),IF(B585="高一",IF($E585="男",LOOKUP(F585,[1]对照表!$E$3:$E$24,[1]对照表!$H$3:$H$24),LOOKUP(F585,[1]对照表!$E$27:$E$48,[1]对照表!$H$27:$H$48)))))</f>
        <v>72</v>
      </c>
      <c r="H585" s="38">
        <v>12</v>
      </c>
      <c r="I585" s="32">
        <f>IF(B585="高三",IF($E585="男",LOOKUP(H585,[1]对照表!$K$3:$K$24,[1]对照表!$L$3:$L$24),LOOKUP(H585,[1]对照表!$K$27:$K$48,[1]对照表!$L$27:$L$48)),IF(B585="高二",IF($E585="男",LOOKUP(H585,[1]对照表!$J$3:$J$24,[1]对照表!$L$3:$L$24),LOOKUP(H585,[1]对照表!$J$27:$J$48,[1]对照表!$L$27:$L$48)),IF(B585="高一",IF($E585="男",LOOKUP(H585,[1]对照表!$I$3:$I$24,[1]对照表!$L$3:$L$24),LOOKUP(H585,[1]对照表!$I$27:$I$48,[1]对照表!$L$27:$L$48)))))</f>
        <v>74</v>
      </c>
      <c r="J585" s="38">
        <v>222</v>
      </c>
      <c r="K585" s="32">
        <f>IF(B585="高三",IF($E585="男",LOOKUP(J585,[1]对照表!$O$3:$O$24,[1]对照表!$P$3:$P$24),LOOKUP(J585,[1]对照表!$O$27:$O$48,[1]对照表!$P$27:$P$48)),IF(B585="高二",IF($E585="男",LOOKUP(J585,[1]对照表!$N$3:$N$24,[1]对照表!$P$3:$P$24),LOOKUP(J585,[1]对照表!$N$27:$N$48,[1]对照表!$P$27:$P$48)),IF(B585="高一",IF($E585="男",LOOKUP(J585,[1]对照表!$M$3:$M$24,[1]对照表!$P$3:$P$24),LOOKUP(J585,[1]对照表!$M$27:$M$48,[1]对照表!$P$27:$P$48)))))</f>
        <v>70</v>
      </c>
      <c r="L585" s="38">
        <v>0</v>
      </c>
      <c r="M585" s="32">
        <f>IF(B585="高三",IF($E585="男",LOOKUP(L585,[1]对照表!$S$3:$S$24,[1]对照表!$T$3:$T$24),LOOKUP(L585,[1]对照表!$S$27:$S$48,[1]对照表!$T$27:$T$48)),IF(B585="高二",IF($E585="男",LOOKUP(L585,[1]对照表!$R$3:$R$24,[1]对照表!$T$3:$T$24),LOOKUP(L585,[1]对照表!$R$27:$R$48,[1]对照表!$T$27:$T$48)),IF(B585="高一",IF($E585="男",LOOKUP(L585,[1]对照表!$Q$3:$Q$24,[1]对照表!$T$3:$T$24),LOOKUP(L585,[1]对照表!$Q$27:$Q$48,[1]对照表!$T$27:$T$48)))))</f>
        <v>0</v>
      </c>
      <c r="N585" s="33">
        <f>IF(B585="高三",MAX(IF(E585="男",L585-18,L585-55),0),IF(B585="高二",MAX(IF(E585="男",L585-17,L585-54),0),IF(B585="高一",MAX(IF(E585="男",L585-16,L585-53),0))))</f>
        <v>0</v>
      </c>
      <c r="O585" s="23">
        <f>IF(E585="男",LOOKUP($N585,[1]对照表!$Z$3:$Z$13,[1]对照表!$AA$3:$AA$13),LOOKUP($N585,[1]对照表!$Z$15:$Z$25,[1]对照表!$AA$15:$AA$25))</f>
        <v>0</v>
      </c>
      <c r="P585" s="25">
        <f>M585+O585</f>
        <v>0</v>
      </c>
      <c r="Q585" s="38">
        <v>3.45</v>
      </c>
      <c r="R585" s="32">
        <f>IF(B585="高三",IF($E585="男",LOOKUP(Q585,[1]对照表!$W$3:$W$24,[1]对照表!$X$3:$X$24),LOOKUP(Q585,[1]对照表!$W$27:$W$48,[1]对照表!$X$27:$X$48)),IF(B585="高二",IF($E585="男",LOOKUP(Q585,[1]对照表!$V$3:$V$24,[1]对照表!$X$3:$X$24),LOOKUP(Q585,[1]对照表!$V$27:$V$48,[1]对照表!$X$27:$X$48)),IF(B585="高一",IF($E585="男",LOOKUP(Q585,[1]对照表!$U$3:$U$24,[1]对照表!$X$3:$X$24),LOOKUP(Q585,[1]对照表!$U$27:$U$48,[1]对照表!$X$27:$X$48)))))</f>
        <v>80</v>
      </c>
      <c r="S585" s="33">
        <f>ROUND(IF(IF($B585="高三",MIN(IF($E585="男",$Q585-3.2,$Q585-3.2),0),IF($B585="高二",MIN(IF($E585="男",$Q585-3.25,$Q585-3.22),0),IF($B585="高一",MIN(IF($E585="男",$Q585-3.3,$Q585-3.24),0))))&lt;-0.6,IF($B585="高三",MIN(IF($E585="男",$Q585-3.2,$Q585-3.2),0),IF($B585="高二",MIN(IF($E585="男",$Q585-3.25,$Q585-3.22),0),IF($B585="高一",MIN(IF($E585="男",$Q585-3.3,$Q585-3.24),0))))+0.4,IF($B585="高三",MIN(IF($E585="男",$Q585-3.2,$Q585-3.2),0),IF($B585="高二",MIN(IF($E585="男",$Q585-3.25,$Q585-3.22),0),IF($B585="高一",MIN(IF($E585="男",$Q585-3.3,$Q585-3.24),0))))),2)</f>
        <v>0</v>
      </c>
      <c r="T585" s="23">
        <f>IF(E585="男",LOOKUP($S585,[1]对照表!$AB$3:$AB$13,[1]对照表!$AC$3:$AC$13),LOOKUP($S585,[1]对照表!$AB$15:$AB$25,[1]对照表!$AC$15:$AC$25))</f>
        <v>0</v>
      </c>
      <c r="U585" s="26">
        <f>R585+T585</f>
        <v>80</v>
      </c>
      <c r="V585" s="26">
        <f>SUM(I585,K585,M585)/3*0.3+SUM(G585,R585)/2*0.4</f>
        <v>44.8</v>
      </c>
      <c r="W585" s="27">
        <f>O585+T585</f>
        <v>0</v>
      </c>
      <c r="X585" s="28">
        <f>V585/0.7+W585</f>
        <v>64</v>
      </c>
      <c r="Y585" s="28">
        <f>X585</f>
        <v>64</v>
      </c>
      <c r="Z585" s="38"/>
    </row>
    <row r="586" spans="1:26" ht="15.6" x14ac:dyDescent="0.25">
      <c r="A586" s="48">
        <v>12</v>
      </c>
      <c r="B586" s="17" t="s">
        <v>767</v>
      </c>
      <c r="C586" s="48">
        <v>214</v>
      </c>
      <c r="D586" s="49" t="s">
        <v>1431</v>
      </c>
      <c r="E586" s="48" t="s">
        <v>23</v>
      </c>
      <c r="F586" s="38">
        <v>8.1999999999999993</v>
      </c>
      <c r="G586" s="32">
        <f>IF(B586="高三",IF($E586="男",LOOKUP(F586,[1]对照表!$G$3:$G$24,[1]对照表!$H$3:$H$24),LOOKUP(F586,[1]对照表!$G$27:$G$48,[1]对照表!$H$27:$H$48)),IF(B586="高二",IF($E586="男",LOOKUP(F586,[1]对照表!$F$3:$F$24,[1]对照表!$H$3:$H$24),LOOKUP(F586,[1]对照表!$F$27:$F$48,[1]对照表!$H$27:$H$48)),IF(B586="高一",IF($E586="男",LOOKUP(F586,[1]对照表!$E$3:$E$24,[1]对照表!$H$3:$H$24),LOOKUP(F586,[1]对照表!$E$27:$E$48,[1]对照表!$H$27:$H$48)))))</f>
        <v>72</v>
      </c>
      <c r="H586" s="38">
        <v>12</v>
      </c>
      <c r="I586" s="32">
        <f>IF(B586="高三",IF($E586="男",LOOKUP(H586,[1]对照表!$K$3:$K$24,[1]对照表!$L$3:$L$24),LOOKUP(H586,[1]对照表!$K$27:$K$48,[1]对照表!$L$27:$L$48)),IF(B586="高二",IF($E586="男",LOOKUP(H586,[1]对照表!$J$3:$J$24,[1]对照表!$L$3:$L$24),LOOKUP(H586,[1]对照表!$J$27:$J$48,[1]对照表!$L$27:$L$48)),IF(B586="高一",IF($E586="男",LOOKUP(H586,[1]对照表!$I$3:$I$24,[1]对照表!$L$3:$L$24),LOOKUP(H586,[1]对照表!$I$27:$I$48,[1]对照表!$L$27:$L$48)))))</f>
        <v>74</v>
      </c>
      <c r="J586" s="38">
        <v>205</v>
      </c>
      <c r="K586" s="32">
        <f>IF(B586="高三",IF($E586="男",LOOKUP(J586,[1]对照表!$O$3:$O$24,[1]对照表!$P$3:$P$24),LOOKUP(J586,[1]对照表!$O$27:$O$48,[1]对照表!$P$27:$P$48)),IF(B586="高二",IF($E586="男",LOOKUP(J586,[1]对照表!$N$3:$N$24,[1]对照表!$P$3:$P$24),LOOKUP(J586,[1]对照表!$N$27:$N$48,[1]对照表!$P$27:$P$48)),IF(B586="高一",IF($E586="男",LOOKUP(J586,[1]对照表!$M$3:$M$24,[1]对照表!$P$3:$P$24),LOOKUP(J586,[1]对照表!$M$27:$M$48,[1]对照表!$P$27:$P$48)))))</f>
        <v>62</v>
      </c>
      <c r="L586" s="38">
        <v>1</v>
      </c>
      <c r="M586" s="32">
        <f>IF(B586="高三",IF($E586="男",LOOKUP(L586,[1]对照表!$S$3:$S$24,[1]对照表!$T$3:$T$24),LOOKUP(L586,[1]对照表!$S$27:$S$48,[1]对照表!$T$27:$T$48)),IF(B586="高二",IF($E586="男",LOOKUP(L586,[1]对照表!$R$3:$R$24,[1]对照表!$T$3:$T$24),LOOKUP(L586,[1]对照表!$R$27:$R$48,[1]对照表!$T$27:$T$48)),IF(B586="高一",IF($E586="男",LOOKUP(L586,[1]对照表!$Q$3:$Q$24,[1]对照表!$T$3:$T$24),LOOKUP(L586,[1]对照表!$Q$27:$Q$48,[1]对照表!$T$27:$T$48)))))</f>
        <v>0</v>
      </c>
      <c r="N586" s="33">
        <f>IF(B586="高三",MAX(IF(E586="男",L586-18,L586-55),0),IF(B586="高二",MAX(IF(E586="男",L586-17,L586-54),0),IF(B586="高一",MAX(IF(E586="男",L586-16,L586-53),0))))</f>
        <v>0</v>
      </c>
      <c r="O586" s="23">
        <f>IF(E586="男",LOOKUP($N586,[1]对照表!$Z$3:$Z$13,[1]对照表!$AA$3:$AA$13),LOOKUP($N586,[1]对照表!$Z$15:$Z$25,[1]对照表!$AA$15:$AA$25))</f>
        <v>0</v>
      </c>
      <c r="P586" s="25">
        <f>M586+O586</f>
        <v>0</v>
      </c>
      <c r="Q586" s="38">
        <v>4.18</v>
      </c>
      <c r="R586" s="32">
        <f>IF(B586="高三",IF($E586="男",LOOKUP(Q586,[1]对照表!$W$3:$W$24,[1]对照表!$X$3:$X$24),LOOKUP(Q586,[1]对照表!$W$27:$W$48,[1]对照表!$X$27:$X$48)),IF(B586="高二",IF($E586="男",LOOKUP(Q586,[1]对照表!$V$3:$V$24,[1]对照表!$X$3:$X$24),LOOKUP(Q586,[1]对照表!$V$27:$V$48,[1]对照表!$X$27:$X$48)),IF(B586="高一",IF($E586="男",LOOKUP(Q586,[1]对照表!$U$3:$U$24,[1]对照表!$X$3:$X$24),LOOKUP(Q586,[1]对照表!$U$27:$U$48,[1]对照表!$X$27:$X$48)))))</f>
        <v>68</v>
      </c>
      <c r="S586" s="33">
        <f>ROUND(IF(IF($B586="高三",MIN(IF($E586="男",$Q586-3.2,$Q586-3.2),0),IF($B586="高二",MIN(IF($E586="男",$Q586-3.25,$Q586-3.22),0),IF($B586="高一",MIN(IF($E586="男",$Q586-3.3,$Q586-3.24),0))))&lt;-0.6,IF($B586="高三",MIN(IF($E586="男",$Q586-3.2,$Q586-3.2),0),IF($B586="高二",MIN(IF($E586="男",$Q586-3.25,$Q586-3.22),0),IF($B586="高一",MIN(IF($E586="男",$Q586-3.3,$Q586-3.24),0))))+0.4,IF($B586="高三",MIN(IF($E586="男",$Q586-3.2,$Q586-3.2),0),IF($B586="高二",MIN(IF($E586="男",$Q586-3.25,$Q586-3.22),0),IF($B586="高一",MIN(IF($E586="男",$Q586-3.3,$Q586-3.24),0))))),2)</f>
        <v>0</v>
      </c>
      <c r="T586" s="23">
        <f>IF(E586="男",LOOKUP($S586,[1]对照表!$AB$3:$AB$13,[1]对照表!$AC$3:$AC$13),LOOKUP($S586,[1]对照表!$AB$15:$AB$25,[1]对照表!$AC$15:$AC$25))</f>
        <v>0</v>
      </c>
      <c r="U586" s="26">
        <f>R586+T586</f>
        <v>68</v>
      </c>
      <c r="V586" s="26">
        <f>SUM(I586,K586,M586)/3*0.3+SUM(G586,R586)/2*0.4</f>
        <v>41.6</v>
      </c>
      <c r="W586" s="27">
        <f>O586+T586</f>
        <v>0</v>
      </c>
      <c r="X586" s="28">
        <f>V586/0.7+W586</f>
        <v>59.428571428571438</v>
      </c>
      <c r="Y586" s="28">
        <f>X586</f>
        <v>59.428571428571438</v>
      </c>
      <c r="Z586" s="38"/>
    </row>
    <row r="587" spans="1:26" ht="15.6" customHeight="1" x14ac:dyDescent="0.25">
      <c r="A587" s="48">
        <v>31</v>
      </c>
      <c r="B587" s="17" t="s">
        <v>767</v>
      </c>
      <c r="C587" s="48">
        <v>214</v>
      </c>
      <c r="D587" s="49" t="s">
        <v>1435</v>
      </c>
      <c r="E587" s="48" t="s">
        <v>23</v>
      </c>
      <c r="F587" s="38">
        <v>8</v>
      </c>
      <c r="G587" s="32">
        <f>IF(B587="高三",IF($E587="男",LOOKUP(F587,[1]对照表!$G$3:$G$24,[1]对照表!$H$3:$H$24),LOOKUP(F587,[1]对照表!$G$27:$G$48,[1]对照表!$H$27:$H$48)),IF(B587="高二",IF($E587="男",LOOKUP(F587,[1]对照表!$F$3:$F$24,[1]对照表!$H$3:$H$24),LOOKUP(F587,[1]对照表!$F$27:$F$48,[1]对照表!$H$27:$H$48)),IF(B587="高一",IF($E587="男",LOOKUP(F587,[1]对照表!$E$3:$E$24,[1]对照表!$H$3:$H$24),LOOKUP(F587,[1]对照表!$E$27:$E$48,[1]对照表!$H$27:$H$48)))))</f>
        <v>74</v>
      </c>
      <c r="H587" s="38">
        <v>26.5</v>
      </c>
      <c r="I587" s="32">
        <f>IF(B587="高三",IF($E587="男",LOOKUP(H587,[1]对照表!$K$3:$K$24,[1]对照表!$L$3:$L$24),LOOKUP(H587,[1]对照表!$K$27:$K$48,[1]对照表!$L$27:$L$48)),IF(B587="高二",IF($E587="男",LOOKUP(H587,[1]对照表!$J$3:$J$24,[1]对照表!$L$3:$L$24),LOOKUP(H587,[1]对照表!$J$27:$J$48,[1]对照表!$L$27:$L$48)),IF(B587="高一",IF($E587="男",LOOKUP(H587,[1]对照表!$I$3:$I$24,[1]对照表!$L$3:$L$24),LOOKUP(H587,[1]对照表!$I$27:$I$48,[1]对照表!$L$27:$L$48)))))</f>
        <v>100</v>
      </c>
      <c r="J587" s="38">
        <v>205</v>
      </c>
      <c r="K587" s="32">
        <f>IF(B587="高三",IF($E587="男",LOOKUP(J587,[1]对照表!$O$3:$O$24,[1]对照表!$P$3:$P$24),LOOKUP(J587,[1]对照表!$O$27:$O$48,[1]对照表!$P$27:$P$48)),IF(B587="高二",IF($E587="男",LOOKUP(J587,[1]对照表!$N$3:$N$24,[1]对照表!$P$3:$P$24),LOOKUP(J587,[1]对照表!$N$27:$N$48,[1]对照表!$P$27:$P$48)),IF(B587="高一",IF($E587="男",LOOKUP(J587,[1]对照表!$M$3:$M$24,[1]对照表!$P$3:$P$24),LOOKUP(J587,[1]对照表!$M$27:$M$48,[1]对照表!$P$27:$P$48)))))</f>
        <v>62</v>
      </c>
      <c r="L587" s="38">
        <v>1</v>
      </c>
      <c r="M587" s="32">
        <f>IF(B587="高三",IF($E587="男",LOOKUP(L587,[1]对照表!$S$3:$S$24,[1]对照表!$T$3:$T$24),LOOKUP(L587,[1]对照表!$S$27:$S$48,[1]对照表!$T$27:$T$48)),IF(B587="高二",IF($E587="男",LOOKUP(L587,[1]对照表!$R$3:$R$24,[1]对照表!$T$3:$T$24),LOOKUP(L587,[1]对照表!$R$27:$R$48,[1]对照表!$T$27:$T$48)),IF(B587="高一",IF($E587="男",LOOKUP(L587,[1]对照表!$Q$3:$Q$24,[1]对照表!$T$3:$T$24),LOOKUP(L587,[1]对照表!$Q$27:$Q$48,[1]对照表!$T$27:$T$48)))))</f>
        <v>0</v>
      </c>
      <c r="N587" s="33">
        <f>IF(B587="高三",MAX(IF(E587="男",L587-18,L587-55),0),IF(B587="高二",MAX(IF(E587="男",L587-17,L587-54),0),IF(B587="高一",MAX(IF(E587="男",L587-16,L587-53),0))))</f>
        <v>0</v>
      </c>
      <c r="O587" s="23">
        <f>IF(E587="男",LOOKUP($N587,[1]对照表!$Z$3:$Z$13,[1]对照表!$AA$3:$AA$13),LOOKUP($N587,[1]对照表!$Z$15:$Z$25,[1]对照表!$AA$15:$AA$25))</f>
        <v>0</v>
      </c>
      <c r="P587" s="25">
        <f>M587+O587</f>
        <v>0</v>
      </c>
      <c r="Q587" s="38">
        <v>4.57</v>
      </c>
      <c r="R587" s="32">
        <f>IF(B587="高三",IF($E587="男",LOOKUP(Q587,[1]对照表!$W$3:$W$24,[1]对照表!$X$3:$X$24),LOOKUP(Q587,[1]对照表!$W$27:$W$48,[1]对照表!$X$27:$X$48)),IF(B587="高二",IF($E587="男",LOOKUP(Q587,[1]对照表!$V$3:$V$24,[1]对照表!$X$3:$X$24),LOOKUP(Q587,[1]对照表!$V$27:$V$48,[1]对照表!$X$27:$X$48)),IF(B587="高一",IF($E587="男",LOOKUP(Q587,[1]对照表!$U$3:$U$24,[1]对照表!$X$3:$X$24),LOOKUP(Q587,[1]对照表!$U$27:$U$48,[1]对照表!$X$27:$X$48)))))</f>
        <v>50</v>
      </c>
      <c r="S587" s="33">
        <f>ROUND(IF(IF($B587="高三",MIN(IF($E587="男",$Q587-3.2,$Q587-3.2),0),IF($B587="高二",MIN(IF($E587="男",$Q587-3.25,$Q587-3.22),0),IF($B587="高一",MIN(IF($E587="男",$Q587-3.3,$Q587-3.24),0))))&lt;-0.6,IF($B587="高三",MIN(IF($E587="男",$Q587-3.2,$Q587-3.2),0),IF($B587="高二",MIN(IF($E587="男",$Q587-3.25,$Q587-3.22),0),IF($B587="高一",MIN(IF($E587="男",$Q587-3.3,$Q587-3.24),0))))+0.4,IF($B587="高三",MIN(IF($E587="男",$Q587-3.2,$Q587-3.2),0),IF($B587="高二",MIN(IF($E587="男",$Q587-3.25,$Q587-3.22),0),IF($B587="高一",MIN(IF($E587="男",$Q587-3.3,$Q587-3.24),0))))),2)</f>
        <v>0</v>
      </c>
      <c r="T587" s="23">
        <f>IF(E587="男",LOOKUP($S587,[1]对照表!$AB$3:$AB$13,[1]对照表!$AC$3:$AC$13),LOOKUP($S587,[1]对照表!$AB$15:$AB$25,[1]对照表!$AC$15:$AC$25))</f>
        <v>0</v>
      </c>
      <c r="U587" s="26">
        <f>R587+T587</f>
        <v>50</v>
      </c>
      <c r="V587" s="26">
        <f>SUM(I587,K587,M587)/3*0.3+SUM(G587,R587)/2*0.4</f>
        <v>41</v>
      </c>
      <c r="W587" s="27">
        <f>O587+T587</f>
        <v>0</v>
      </c>
      <c r="X587" s="28">
        <f>V587/0.7+W587</f>
        <v>58.571428571428577</v>
      </c>
      <c r="Y587" s="28">
        <f>X587</f>
        <v>58.571428571428577</v>
      </c>
      <c r="Z587" s="38"/>
    </row>
    <row r="588" spans="1:26" ht="15.6" x14ac:dyDescent="0.25">
      <c r="A588" s="48">
        <v>33</v>
      </c>
      <c r="B588" s="17" t="s">
        <v>767</v>
      </c>
      <c r="C588" s="48">
        <v>214</v>
      </c>
      <c r="D588" s="49" t="s">
        <v>1437</v>
      </c>
      <c r="E588" s="48" t="s">
        <v>23</v>
      </c>
      <c r="F588" s="38">
        <v>9</v>
      </c>
      <c r="G588" s="32">
        <f>IF(B588="高三",IF($E588="男",LOOKUP(F588,[1]对照表!$G$3:$G$24,[1]对照表!$H$3:$H$24),LOOKUP(F588,[1]对照表!$G$27:$G$48,[1]对照表!$H$27:$H$48)),IF(B588="高二",IF($E588="男",LOOKUP(F588,[1]对照表!$F$3:$F$24,[1]对照表!$H$3:$H$24),LOOKUP(F588,[1]对照表!$F$27:$F$48,[1]对照表!$H$27:$H$48)),IF(B588="高一",IF($E588="男",LOOKUP(F588,[1]对照表!$E$3:$E$24,[1]对照表!$H$3:$H$24),LOOKUP(F588,[1]对照表!$E$27:$E$48,[1]对照表!$H$27:$H$48)))))</f>
        <v>64</v>
      </c>
      <c r="H588" s="38">
        <v>22.5</v>
      </c>
      <c r="I588" s="32">
        <f>IF(B588="高三",IF($E588="男",LOOKUP(H588,[1]对照表!$K$3:$K$24,[1]对照表!$L$3:$L$24),LOOKUP(H588,[1]对照表!$K$27:$K$48,[1]对照表!$L$27:$L$48)),IF(B588="高二",IF($E588="男",LOOKUP(H588,[1]对照表!$J$3:$J$24,[1]对照表!$L$3:$L$24),LOOKUP(H588,[1]对照表!$J$27:$J$48,[1]对照表!$L$27:$L$48)),IF(B588="高一",IF($E588="男",LOOKUP(H588,[1]对照表!$I$3:$I$24,[1]对照表!$L$3:$L$24),LOOKUP(H588,[1]对照表!$I$27:$I$48,[1]对照表!$L$27:$L$48)))))</f>
        <v>95</v>
      </c>
      <c r="J588" s="38">
        <v>196</v>
      </c>
      <c r="K588" s="32">
        <f>IF(B588="高三",IF($E588="男",LOOKUP(J588,[1]对照表!$O$3:$O$24,[1]对照表!$P$3:$P$24),LOOKUP(J588,[1]对照表!$O$27:$O$48,[1]对照表!$P$27:$P$48)),IF(B588="高二",IF($E588="男",LOOKUP(J588,[1]对照表!$N$3:$N$24,[1]对照表!$P$3:$P$24),LOOKUP(J588,[1]对照表!$N$27:$N$48,[1]对照表!$P$27:$P$48)),IF(B588="高一",IF($E588="男",LOOKUP(J588,[1]对照表!$M$3:$M$24,[1]对照表!$P$3:$P$24),LOOKUP(J588,[1]对照表!$M$27:$M$48,[1]对照表!$P$27:$P$48)))))</f>
        <v>50</v>
      </c>
      <c r="L588" s="38">
        <v>1</v>
      </c>
      <c r="M588" s="32">
        <f>IF(B588="高三",IF($E588="男",LOOKUP(L588,[1]对照表!$S$3:$S$24,[1]对照表!$T$3:$T$24),LOOKUP(L588,[1]对照表!$S$27:$S$48,[1]对照表!$T$27:$T$48)),IF(B588="高二",IF($E588="男",LOOKUP(L588,[1]对照表!$R$3:$R$24,[1]对照表!$T$3:$T$24),LOOKUP(L588,[1]对照表!$R$27:$R$48,[1]对照表!$T$27:$T$48)),IF(B588="高一",IF($E588="男",LOOKUP(L588,[1]对照表!$Q$3:$Q$24,[1]对照表!$T$3:$T$24),LOOKUP(L588,[1]对照表!$Q$27:$Q$48,[1]对照表!$T$27:$T$48)))))</f>
        <v>0</v>
      </c>
      <c r="N588" s="33">
        <f>IF(B588="高三",MAX(IF(E588="男",L588-18,L588-55),0),IF(B588="高二",MAX(IF(E588="男",L588-17,L588-54),0),IF(B588="高一",MAX(IF(E588="男",L588-16,L588-53),0))))</f>
        <v>0</v>
      </c>
      <c r="O588" s="23">
        <f>IF(E588="男",LOOKUP($N588,[1]对照表!$Z$3:$Z$13,[1]对照表!$AA$3:$AA$13),LOOKUP($N588,[1]对照表!$Z$15:$Z$25,[1]对照表!$AA$15:$AA$25))</f>
        <v>0</v>
      </c>
      <c r="P588" s="25">
        <f>M588+O588</f>
        <v>0</v>
      </c>
      <c r="Q588" s="38">
        <v>4.22</v>
      </c>
      <c r="R588" s="32">
        <f>IF(B588="高三",IF($E588="男",LOOKUP(Q588,[1]对照表!$W$3:$W$24,[1]对照表!$X$3:$X$24),LOOKUP(Q588,[1]对照表!$W$27:$W$48,[1]对照表!$X$27:$X$48)),IF(B588="高二",IF($E588="男",LOOKUP(Q588,[1]对照表!$V$3:$V$24,[1]对照表!$X$3:$X$24),LOOKUP(Q588,[1]对照表!$V$27:$V$48,[1]对照表!$X$27:$X$48)),IF(B588="高一",IF($E588="男",LOOKUP(Q588,[1]对照表!$U$3:$U$24,[1]对照表!$X$3:$X$24),LOOKUP(Q588,[1]对照表!$U$27:$U$48,[1]对照表!$X$27:$X$48)))))</f>
        <v>66</v>
      </c>
      <c r="S588" s="33">
        <f>ROUND(IF(IF($B588="高三",MIN(IF($E588="男",$Q588-3.2,$Q588-3.2),0),IF($B588="高二",MIN(IF($E588="男",$Q588-3.25,$Q588-3.22),0),IF($B588="高一",MIN(IF($E588="男",$Q588-3.3,$Q588-3.24),0))))&lt;-0.6,IF($B588="高三",MIN(IF($E588="男",$Q588-3.2,$Q588-3.2),0),IF($B588="高二",MIN(IF($E588="男",$Q588-3.25,$Q588-3.22),0),IF($B588="高一",MIN(IF($E588="男",$Q588-3.3,$Q588-3.24),0))))+0.4,IF($B588="高三",MIN(IF($E588="男",$Q588-3.2,$Q588-3.2),0),IF($B588="高二",MIN(IF($E588="男",$Q588-3.25,$Q588-3.22),0),IF($B588="高一",MIN(IF($E588="男",$Q588-3.3,$Q588-3.24),0))))),2)</f>
        <v>0</v>
      </c>
      <c r="T588" s="23">
        <f>IF(E588="男",LOOKUP($S588,[1]对照表!$AB$3:$AB$13,[1]对照表!$AC$3:$AC$13),LOOKUP($S588,[1]对照表!$AB$15:$AB$25,[1]对照表!$AC$15:$AC$25))</f>
        <v>0</v>
      </c>
      <c r="U588" s="26">
        <f>R588+T588</f>
        <v>66</v>
      </c>
      <c r="V588" s="26">
        <f>SUM(I588,K588,M588)/3*0.3+SUM(G588,R588)/2*0.4</f>
        <v>40.5</v>
      </c>
      <c r="W588" s="27">
        <f>O588+T588</f>
        <v>0</v>
      </c>
      <c r="X588" s="28">
        <f>V588/0.7+W588</f>
        <v>57.857142857142861</v>
      </c>
      <c r="Y588" s="28">
        <f>X588</f>
        <v>57.857142857142861</v>
      </c>
      <c r="Z588" s="38"/>
    </row>
    <row r="589" spans="1:26" ht="15.6" x14ac:dyDescent="0.25">
      <c r="A589" s="48">
        <v>18</v>
      </c>
      <c r="B589" s="17" t="s">
        <v>767</v>
      </c>
      <c r="C589" s="48">
        <v>214</v>
      </c>
      <c r="D589" s="49" t="s">
        <v>1445</v>
      </c>
      <c r="E589" s="48" t="s">
        <v>23</v>
      </c>
      <c r="F589" s="38">
        <v>8.9</v>
      </c>
      <c r="G589" s="32">
        <f>IF(B589="高三",IF($E589="男",LOOKUP(F589,[1]对照表!$G$3:$G$24,[1]对照表!$H$3:$H$24),LOOKUP(F589,[1]对照表!$G$27:$G$48,[1]对照表!$H$27:$H$48)),IF(B589="高二",IF($E589="男",LOOKUP(F589,[1]对照表!$F$3:$F$24,[1]对照表!$H$3:$H$24),LOOKUP(F589,[1]对照表!$F$27:$F$48,[1]对照表!$H$27:$H$48)),IF(B589="高一",IF($E589="男",LOOKUP(F589,[1]对照表!$E$3:$E$24,[1]对照表!$H$3:$H$24),LOOKUP(F589,[1]对照表!$E$27:$E$48,[1]对照表!$H$27:$H$48)))))</f>
        <v>64</v>
      </c>
      <c r="H589" s="38">
        <v>16</v>
      </c>
      <c r="I589" s="32">
        <f>IF(B589="高三",IF($E589="男",LOOKUP(H589,[1]对照表!$K$3:$K$24,[1]对照表!$L$3:$L$24),LOOKUP(H589,[1]对照表!$K$27:$K$48,[1]对照表!$L$27:$L$48)),IF(B589="高二",IF($E589="男",LOOKUP(H589,[1]对照表!$J$3:$J$24,[1]对照表!$L$3:$L$24),LOOKUP(H589,[1]对照表!$J$27:$J$48,[1]对照表!$L$27:$L$48)),IF(B589="高一",IF($E589="男",LOOKUP(H589,[1]对照表!$I$3:$I$24,[1]对照表!$L$3:$L$24),LOOKUP(H589,[1]对照表!$I$27:$I$48,[1]对照表!$L$27:$L$48)))))</f>
        <v>78</v>
      </c>
      <c r="J589" s="38">
        <v>184</v>
      </c>
      <c r="K589" s="32">
        <f>IF(B589="高三",IF($E589="男",LOOKUP(J589,[1]对照表!$O$3:$O$24,[1]对照表!$P$3:$P$24),LOOKUP(J589,[1]对照表!$O$27:$O$48,[1]对照表!$P$27:$P$48)),IF(B589="高二",IF($E589="男",LOOKUP(J589,[1]对照表!$N$3:$N$24,[1]对照表!$P$3:$P$24),LOOKUP(J589,[1]对照表!$N$27:$N$48,[1]对照表!$P$27:$P$48)),IF(B589="高一",IF($E589="男",LOOKUP(J589,[1]对照表!$M$3:$M$24,[1]对照表!$P$3:$P$24),LOOKUP(J589,[1]对照表!$M$27:$M$48,[1]对照表!$P$27:$P$48)))))</f>
        <v>20</v>
      </c>
      <c r="L589" s="38">
        <v>1</v>
      </c>
      <c r="M589" s="32">
        <f>IF(B589="高三",IF($E589="男",LOOKUP(L589,[1]对照表!$S$3:$S$24,[1]对照表!$T$3:$T$24),LOOKUP(L589,[1]对照表!$S$27:$S$48,[1]对照表!$T$27:$T$48)),IF(B589="高二",IF($E589="男",LOOKUP(L589,[1]对照表!$R$3:$R$24,[1]对照表!$T$3:$T$24),LOOKUP(L589,[1]对照表!$R$27:$R$48,[1]对照表!$T$27:$T$48)),IF(B589="高一",IF($E589="男",LOOKUP(L589,[1]对照表!$Q$3:$Q$24,[1]对照表!$T$3:$T$24),LOOKUP(L589,[1]对照表!$Q$27:$Q$48,[1]对照表!$T$27:$T$48)))))</f>
        <v>0</v>
      </c>
      <c r="N589" s="33">
        <f>IF(B589="高三",MAX(IF(E589="男",L589-18,L589-55),0),IF(B589="高二",MAX(IF(E589="男",L589-17,L589-54),0),IF(B589="高一",MAX(IF(E589="男",L589-16,L589-53),0))))</f>
        <v>0</v>
      </c>
      <c r="O589" s="23">
        <f>IF(E589="男",LOOKUP($N589,[1]对照表!$Z$3:$Z$13,[1]对照表!$AA$3:$AA$13),LOOKUP($N589,[1]对照表!$Z$15:$Z$25,[1]对照表!$AA$15:$AA$25))</f>
        <v>0</v>
      </c>
      <c r="P589" s="25">
        <f>M589+O589</f>
        <v>0</v>
      </c>
      <c r="Q589" s="38">
        <v>4.13</v>
      </c>
      <c r="R589" s="32">
        <f>IF(B589="高三",IF($E589="男",LOOKUP(Q589,[1]对照表!$W$3:$W$24,[1]对照表!$X$3:$X$24),LOOKUP(Q589,[1]对照表!$W$27:$W$48,[1]对照表!$X$27:$X$48)),IF(B589="高二",IF($E589="男",LOOKUP(Q589,[1]对照表!$V$3:$V$24,[1]对照表!$X$3:$X$24),LOOKUP(Q589,[1]对照表!$V$27:$V$48,[1]对照表!$X$27:$X$48)),IF(B589="高一",IF($E589="男",LOOKUP(Q589,[1]对照表!$U$3:$U$24,[1]对照表!$X$3:$X$24),LOOKUP(Q589,[1]对照表!$U$27:$U$48,[1]对照表!$X$27:$X$48)))))</f>
        <v>70</v>
      </c>
      <c r="S589" s="33">
        <f>ROUND(IF(IF($B589="高三",MIN(IF($E589="男",$Q589-3.2,$Q589-3.2),0),IF($B589="高二",MIN(IF($E589="男",$Q589-3.25,$Q589-3.22),0),IF($B589="高一",MIN(IF($E589="男",$Q589-3.3,$Q589-3.24),0))))&lt;-0.6,IF($B589="高三",MIN(IF($E589="男",$Q589-3.2,$Q589-3.2),0),IF($B589="高二",MIN(IF($E589="男",$Q589-3.25,$Q589-3.22),0),IF($B589="高一",MIN(IF($E589="男",$Q589-3.3,$Q589-3.24),0))))+0.4,IF($B589="高三",MIN(IF($E589="男",$Q589-3.2,$Q589-3.2),0),IF($B589="高二",MIN(IF($E589="男",$Q589-3.25,$Q589-3.22),0),IF($B589="高一",MIN(IF($E589="男",$Q589-3.3,$Q589-3.24),0))))),2)</f>
        <v>0</v>
      </c>
      <c r="T589" s="23">
        <f>IF(E589="男",LOOKUP($S589,[1]对照表!$AB$3:$AB$13,[1]对照表!$AC$3:$AC$13),LOOKUP($S589,[1]对照表!$AB$15:$AB$25,[1]对照表!$AC$15:$AC$25))</f>
        <v>0</v>
      </c>
      <c r="U589" s="26">
        <f>R589+T589</f>
        <v>70</v>
      </c>
      <c r="V589" s="26">
        <f>SUM(I589,K589,M589)/3*0.3+SUM(G589,R589)/2*0.4</f>
        <v>36.6</v>
      </c>
      <c r="W589" s="27">
        <f>O589+T589</f>
        <v>0</v>
      </c>
      <c r="X589" s="28">
        <f>V589/0.7+W589</f>
        <v>52.285714285714292</v>
      </c>
      <c r="Y589" s="28">
        <f>X589</f>
        <v>52.285714285714292</v>
      </c>
      <c r="Z589" s="38"/>
    </row>
    <row r="590" spans="1:26" ht="15.6" x14ac:dyDescent="0.25">
      <c r="A590" s="48">
        <v>13</v>
      </c>
      <c r="B590" s="17" t="s">
        <v>767</v>
      </c>
      <c r="C590" s="48">
        <v>214</v>
      </c>
      <c r="D590" s="49" t="s">
        <v>1494</v>
      </c>
      <c r="E590" s="48" t="s">
        <v>23</v>
      </c>
      <c r="F590" s="38"/>
      <c r="G590" s="20">
        <v>0</v>
      </c>
      <c r="H590" s="38"/>
      <c r="I590" s="20">
        <v>0</v>
      </c>
      <c r="J590" s="38"/>
      <c r="K590" s="20">
        <v>0</v>
      </c>
      <c r="L590" s="38"/>
      <c r="M590" s="20">
        <v>0</v>
      </c>
      <c r="N590" s="33">
        <f>IF(B590="高三",MAX(IF(E590="男",L590-18,L590-55),0),IF(B590="高二",MAX(IF(E590="男",L590-17,L590-54),0),IF(B590="高一",MAX(IF(E590="男",L590-16,L590-53),0))))</f>
        <v>0</v>
      </c>
      <c r="O590" s="23">
        <f>IF(E590="男",LOOKUP($N590,[1]对照表!$Z$3:$Z$13,[1]对照表!$AA$3:$AA$13),LOOKUP($N590,[1]对照表!$Z$15:$Z$25,[1]对照表!$AA$15:$AA$25))</f>
        <v>0</v>
      </c>
      <c r="P590" s="25">
        <f>M590+O590</f>
        <v>0</v>
      </c>
      <c r="Q590" s="38"/>
      <c r="R590" s="20">
        <v>0</v>
      </c>
      <c r="S590" s="22">
        <v>0</v>
      </c>
      <c r="T590" s="23">
        <f>IF(E590="男",LOOKUP($S590,[1]对照表!$AB$3:$AB$13,[1]对照表!$AC$3:$AC$13),LOOKUP($S590,[1]对照表!$AB$15:$AB$25,[1]对照表!$AC$15:$AC$25))</f>
        <v>0</v>
      </c>
      <c r="U590" s="26">
        <f>R590+T590</f>
        <v>0</v>
      </c>
      <c r="V590" s="26">
        <f>SUM(I590,K590,M590)/3*0.3+SUM(G590,R590)/2*0.4</f>
        <v>0</v>
      </c>
      <c r="W590" s="27">
        <f>O590+T590</f>
        <v>0</v>
      </c>
      <c r="X590" s="28">
        <f>V590/0.7+W590</f>
        <v>0</v>
      </c>
      <c r="Y590" s="29">
        <v>50</v>
      </c>
      <c r="Z590" s="38"/>
    </row>
    <row r="591" spans="1:26" ht="15.6" x14ac:dyDescent="0.25">
      <c r="A591" s="48">
        <v>30</v>
      </c>
      <c r="B591" s="17" t="s">
        <v>767</v>
      </c>
      <c r="C591" s="48">
        <v>214</v>
      </c>
      <c r="D591" s="49" t="s">
        <v>1495</v>
      </c>
      <c r="E591" s="48" t="s">
        <v>23</v>
      </c>
      <c r="F591" s="38"/>
      <c r="G591" s="20">
        <v>0</v>
      </c>
      <c r="H591" s="38"/>
      <c r="I591" s="20">
        <v>0</v>
      </c>
      <c r="J591" s="38"/>
      <c r="K591" s="20">
        <v>0</v>
      </c>
      <c r="L591" s="38"/>
      <c r="M591" s="20">
        <v>0</v>
      </c>
      <c r="N591" s="33">
        <f>IF(B591="高三",MAX(IF(E591="男",L591-18,L591-55),0),IF(B591="高二",MAX(IF(E591="男",L591-17,L591-54),0),IF(B591="高一",MAX(IF(E591="男",L591-16,L591-53),0))))</f>
        <v>0</v>
      </c>
      <c r="O591" s="23">
        <f>IF(E591="男",LOOKUP($N591,[1]对照表!$Z$3:$Z$13,[1]对照表!$AA$3:$AA$13),LOOKUP($N591,[1]对照表!$Z$15:$Z$25,[1]对照表!$AA$15:$AA$25))</f>
        <v>0</v>
      </c>
      <c r="P591" s="25">
        <f>M591+O591</f>
        <v>0</v>
      </c>
      <c r="Q591" s="38"/>
      <c r="R591" s="20">
        <v>0</v>
      </c>
      <c r="S591" s="22">
        <v>0</v>
      </c>
      <c r="T591" s="23">
        <f>IF(E591="男",LOOKUP($S591,[1]对照表!$AB$3:$AB$13,[1]对照表!$AC$3:$AC$13),LOOKUP($S591,[1]对照表!$AB$15:$AB$25,[1]对照表!$AC$15:$AC$25))</f>
        <v>0</v>
      </c>
      <c r="U591" s="26">
        <f>R591+T591</f>
        <v>0</v>
      </c>
      <c r="V591" s="26">
        <f>SUM(I591,K591,M591)/3*0.3+SUM(G591,R591)/2*0.4</f>
        <v>0</v>
      </c>
      <c r="W591" s="27">
        <f>O591+T591</f>
        <v>0</v>
      </c>
      <c r="X591" s="28">
        <f>V591/0.7+W591</f>
        <v>0</v>
      </c>
      <c r="Y591" s="29">
        <v>50</v>
      </c>
      <c r="Z591" s="38"/>
    </row>
    <row r="592" spans="1:26" ht="15.6" x14ac:dyDescent="0.25">
      <c r="A592" s="48">
        <v>35</v>
      </c>
      <c r="B592" s="17" t="s">
        <v>767</v>
      </c>
      <c r="C592" s="48">
        <v>214</v>
      </c>
      <c r="D592" s="49" t="s">
        <v>1496</v>
      </c>
      <c r="E592" s="48" t="s">
        <v>65</v>
      </c>
      <c r="F592" s="38"/>
      <c r="G592" s="20">
        <v>0</v>
      </c>
      <c r="H592" s="38"/>
      <c r="I592" s="20">
        <v>0</v>
      </c>
      <c r="J592" s="38"/>
      <c r="K592" s="20">
        <v>0</v>
      </c>
      <c r="L592" s="38"/>
      <c r="M592" s="20">
        <v>0</v>
      </c>
      <c r="N592" s="33">
        <f>IF(B592="高三",MAX(IF(E592="男",L592-18,L592-55),0),IF(B592="高二",MAX(IF(E592="男",L592-17,L592-54),0),IF(B592="高一",MAX(IF(E592="男",L592-16,L592-53),0))))</f>
        <v>0</v>
      </c>
      <c r="O592" s="23">
        <f>IF(E592="男",LOOKUP($N592,[1]对照表!$Z$3:$Z$13,[1]对照表!$AA$3:$AA$13),LOOKUP($N592,[1]对照表!$Z$15:$Z$25,[1]对照表!$AA$15:$AA$25))</f>
        <v>0</v>
      </c>
      <c r="P592" s="25">
        <f>M592+O592</f>
        <v>0</v>
      </c>
      <c r="Q592" s="38"/>
      <c r="R592" s="20">
        <v>0</v>
      </c>
      <c r="S592" s="22">
        <v>0</v>
      </c>
      <c r="T592" s="23">
        <f>IF(E592="男",LOOKUP($S592,[1]对照表!$AB$3:$AB$13,[1]对照表!$AC$3:$AC$13),LOOKUP($S592,[1]对照表!$AB$15:$AB$25,[1]对照表!$AC$15:$AC$25))</f>
        <v>0</v>
      </c>
      <c r="U592" s="26">
        <f>R592+T592</f>
        <v>0</v>
      </c>
      <c r="V592" s="26">
        <f>SUM(I592,K592,M592)/3*0.3+SUM(G592,R592)/2*0.4</f>
        <v>0</v>
      </c>
      <c r="W592" s="27">
        <f>O592+T592</f>
        <v>0</v>
      </c>
      <c r="X592" s="28">
        <f>V592/0.7+W592</f>
        <v>0</v>
      </c>
      <c r="Y592" s="29">
        <v>50</v>
      </c>
      <c r="Z592" s="38"/>
    </row>
    <row r="593" spans="1:26" ht="15.6" x14ac:dyDescent="0.25">
      <c r="A593" s="48">
        <v>39</v>
      </c>
      <c r="B593" s="17" t="s">
        <v>767</v>
      </c>
      <c r="C593" s="48">
        <v>214</v>
      </c>
      <c r="D593" s="49" t="s">
        <v>1497</v>
      </c>
      <c r="E593" s="48" t="s">
        <v>65</v>
      </c>
      <c r="F593" s="38"/>
      <c r="G593" s="20">
        <v>0</v>
      </c>
      <c r="H593" s="38"/>
      <c r="I593" s="20">
        <v>0</v>
      </c>
      <c r="J593" s="38"/>
      <c r="K593" s="20">
        <v>0</v>
      </c>
      <c r="L593" s="38"/>
      <c r="M593" s="20">
        <v>0</v>
      </c>
      <c r="N593" s="33">
        <f>IF(B593="高三",MAX(IF(E593="男",L593-18,L593-55),0),IF(B593="高二",MAX(IF(E593="男",L593-17,L593-54),0),IF(B593="高一",MAX(IF(E593="男",L593-16,L593-53),0))))</f>
        <v>0</v>
      </c>
      <c r="O593" s="23">
        <f>IF(E593="男",LOOKUP($N593,[1]对照表!$Z$3:$Z$13,[1]对照表!$AA$3:$AA$13),LOOKUP($N593,[1]对照表!$Z$15:$Z$25,[1]对照表!$AA$15:$AA$25))</f>
        <v>0</v>
      </c>
      <c r="P593" s="25">
        <f>M593+O593</f>
        <v>0</v>
      </c>
      <c r="Q593" s="38"/>
      <c r="R593" s="20">
        <v>0</v>
      </c>
      <c r="S593" s="22">
        <v>0</v>
      </c>
      <c r="T593" s="23">
        <f>IF(E593="男",LOOKUP($S593,[1]对照表!$AB$3:$AB$13,[1]对照表!$AC$3:$AC$13),LOOKUP($S593,[1]对照表!$AB$15:$AB$25,[1]对照表!$AC$15:$AC$25))</f>
        <v>0</v>
      </c>
      <c r="U593" s="26">
        <f>R593+T593</f>
        <v>0</v>
      </c>
      <c r="V593" s="26">
        <f>SUM(I593,K593,M593)/3*0.3+SUM(G593,R593)/2*0.4</f>
        <v>0</v>
      </c>
      <c r="W593" s="27">
        <f>O593+T593</f>
        <v>0</v>
      </c>
      <c r="X593" s="28">
        <f>V593/0.7+W593</f>
        <v>0</v>
      </c>
      <c r="Y593" s="29">
        <v>50</v>
      </c>
      <c r="Z593" s="38"/>
    </row>
    <row r="594" spans="1:26" ht="15.6" x14ac:dyDescent="0.25">
      <c r="A594" s="48">
        <v>18</v>
      </c>
      <c r="B594" s="17" t="s">
        <v>767</v>
      </c>
      <c r="C594" s="48">
        <v>215</v>
      </c>
      <c r="D594" s="49" t="s">
        <v>781</v>
      </c>
      <c r="E594" s="48" t="s">
        <v>23</v>
      </c>
      <c r="F594" s="38">
        <v>6.9</v>
      </c>
      <c r="G594" s="32">
        <f>IF(B594="高三",IF($E594="男",LOOKUP(F594,[1]对照表!$G$3:$G$24,[1]对照表!$H$3:$H$24),LOOKUP(F594,[1]对照表!$G$27:$G$48,[1]对照表!$H$27:$H$48)),IF(B594="高二",IF($E594="男",LOOKUP(F594,[1]对照表!$F$3:$F$24,[1]对照表!$H$3:$H$24),LOOKUP(F594,[1]对照表!$F$27:$F$48,[1]对照表!$H$27:$H$48)),IF(B594="高一",IF($E594="男",LOOKUP(F594,[1]对照表!$E$3:$E$24,[1]对照表!$H$3:$H$24),LOOKUP(F594,[1]对照表!$E$27:$E$48,[1]对照表!$H$27:$H$48)))))</f>
        <v>100</v>
      </c>
      <c r="H594" s="38">
        <v>25</v>
      </c>
      <c r="I594" s="32">
        <f>IF(B594="高三",IF($E594="男",LOOKUP(H594,[1]对照表!$K$3:$K$24,[1]对照表!$L$3:$L$24),LOOKUP(H594,[1]对照表!$K$27:$K$48,[1]对照表!$L$27:$L$48)),IF(B594="高二",IF($E594="男",LOOKUP(H594,[1]对照表!$J$3:$J$24,[1]对照表!$L$3:$L$24),LOOKUP(H594,[1]对照表!$J$27:$J$48,[1]对照表!$L$27:$L$48)),IF(B594="高一",IF($E594="男",LOOKUP(H594,[1]对照表!$I$3:$I$24,[1]对照表!$L$3:$L$24),LOOKUP(H594,[1]对照表!$I$27:$I$48,[1]对照表!$L$27:$L$48)))))</f>
        <v>100</v>
      </c>
      <c r="J594" s="38">
        <v>262</v>
      </c>
      <c r="K594" s="32">
        <f>IF(B594="高三",IF($E594="男",LOOKUP(J594,[1]对照表!$O$3:$O$24,[1]对照表!$P$3:$P$24),LOOKUP(J594,[1]对照表!$O$27:$O$48,[1]对照表!$P$27:$P$48)),IF(B594="高二",IF($E594="男",LOOKUP(J594,[1]对照表!$N$3:$N$24,[1]对照表!$P$3:$P$24),LOOKUP(J594,[1]对照表!$N$27:$N$48,[1]对照表!$P$27:$P$48)),IF(B594="高一",IF($E594="男",LOOKUP(J594,[1]对照表!$M$3:$M$24,[1]对照表!$P$3:$P$24),LOOKUP(J594,[1]对照表!$M$27:$M$48,[1]对照表!$P$27:$P$48)))))</f>
        <v>95</v>
      </c>
      <c r="L594" s="38">
        <v>24</v>
      </c>
      <c r="M594" s="32">
        <f>IF(B594="高三",IF($E594="男",LOOKUP(L594,[1]对照表!$S$3:$S$24,[1]对照表!$T$3:$T$24),LOOKUP(L594,[1]对照表!$S$27:$S$48,[1]对照表!$T$27:$T$48)),IF(B594="高二",IF($E594="男",LOOKUP(L594,[1]对照表!$R$3:$R$24,[1]对照表!$T$3:$T$24),LOOKUP(L594,[1]对照表!$R$27:$R$48,[1]对照表!$T$27:$T$48)),IF(B594="高一",IF($E594="男",LOOKUP(L594,[1]对照表!$Q$3:$Q$24,[1]对照表!$T$3:$T$24),LOOKUP(L594,[1]对照表!$Q$27:$Q$48,[1]对照表!$T$27:$T$48)))))</f>
        <v>100</v>
      </c>
      <c r="N594" s="33">
        <f>IF(B594="高三",MAX(IF(E594="男",L594-18,L594-55),0),IF(B594="高二",MAX(IF(E594="男",L594-17,L594-54),0),IF(B594="高一",MAX(IF(E594="男",L594-16,L594-53),0))))</f>
        <v>7</v>
      </c>
      <c r="O594" s="23">
        <f>IF(E594="男",LOOKUP($N594,[1]对照表!$Z$3:$Z$13,[1]对照表!$AA$3:$AA$13),LOOKUP($N594,[1]对照表!$Z$15:$Z$25,[1]对照表!$AA$15:$AA$25))</f>
        <v>7</v>
      </c>
      <c r="P594" s="25">
        <f>M594+O594</f>
        <v>107</v>
      </c>
      <c r="Q594" s="38">
        <v>3.11</v>
      </c>
      <c r="R594" s="32">
        <f>IF(B594="高三",IF($E594="男",LOOKUP(Q594,[1]对照表!$W$3:$W$24,[1]对照表!$X$3:$X$24),LOOKUP(Q594,[1]对照表!$W$27:$W$48,[1]对照表!$X$27:$X$48)),IF(B594="高二",IF($E594="男",LOOKUP(Q594,[1]对照表!$V$3:$V$24,[1]对照表!$X$3:$X$24),LOOKUP(Q594,[1]对照表!$V$27:$V$48,[1]对照表!$X$27:$X$48)),IF(B594="高一",IF($E594="男",LOOKUP(Q594,[1]对照表!$U$3:$U$24,[1]对照表!$X$3:$X$24),LOOKUP(Q594,[1]对照表!$U$27:$U$48,[1]对照表!$X$27:$X$48)))))</f>
        <v>100</v>
      </c>
      <c r="S594" s="33">
        <f>ROUND(IF(IF($B594="高三",MIN(IF($E594="男",$Q594-3.2,$Q594-3.2),0),IF($B594="高二",MIN(IF($E594="男",$Q594-3.25,$Q594-3.22),0),IF($B594="高一",MIN(IF($E594="男",$Q594-3.3,$Q594-3.24),0))))&lt;-0.6,IF($B594="高三",MIN(IF($E594="男",$Q594-3.2,$Q594-3.2),0),IF($B594="高二",MIN(IF($E594="男",$Q594-3.25,$Q594-3.22),0),IF($B594="高一",MIN(IF($E594="男",$Q594-3.3,$Q594-3.24),0))))+0.4,IF($B594="高三",MIN(IF($E594="男",$Q594-3.2,$Q594-3.2),0),IF($B594="高二",MIN(IF($E594="男",$Q594-3.25,$Q594-3.22),0),IF($B594="高一",MIN(IF($E594="男",$Q594-3.3,$Q594-3.24),0))))),2)</f>
        <v>-0.14000000000000001</v>
      </c>
      <c r="T594" s="23">
        <f>IF(E594="男",LOOKUP($S594,[1]对照表!$AB$3:$AB$13,[1]对照表!$AC$3:$AC$13),LOOKUP($S594,[1]对照表!$AB$15:$AB$25,[1]对照表!$AC$15:$AC$25))</f>
        <v>3</v>
      </c>
      <c r="U594" s="26">
        <f>R594+T594</f>
        <v>103</v>
      </c>
      <c r="V594" s="26">
        <f>SUM(I594,K594,M594)/3*0.3+SUM(G594,R594)/2*0.4</f>
        <v>69.5</v>
      </c>
      <c r="W594" s="27">
        <f>O594+T594</f>
        <v>10</v>
      </c>
      <c r="X594" s="28">
        <f>V594/0.7+W594</f>
        <v>109.28571428571429</v>
      </c>
      <c r="Y594" s="28">
        <f>X594</f>
        <v>109.28571428571429</v>
      </c>
      <c r="Z594" s="38"/>
    </row>
    <row r="595" spans="1:26" ht="15.6" x14ac:dyDescent="0.25">
      <c r="A595" s="48">
        <v>47</v>
      </c>
      <c r="B595" s="17" t="s">
        <v>767</v>
      </c>
      <c r="C595" s="48">
        <v>215</v>
      </c>
      <c r="D595" s="49" t="s">
        <v>785</v>
      </c>
      <c r="E595" s="48" t="s">
        <v>65</v>
      </c>
      <c r="F595" s="52">
        <v>8.2200000000000006</v>
      </c>
      <c r="G595" s="32">
        <f>IF(B595="高三",IF($E595="男",LOOKUP(F595,[1]对照表!$G$3:$G$24,[1]对照表!$H$3:$H$24),LOOKUP(F595,[1]对照表!$G$27:$G$48,[1]对照表!$H$27:$H$48)),IF(B595="高二",IF($E595="男",LOOKUP(F595,[1]对照表!$F$3:$F$24,[1]对照表!$H$3:$H$24),LOOKUP(F595,[1]对照表!$F$27:$F$48,[1]对照表!$H$27:$H$48)),IF(B595="高一",IF($E595="男",LOOKUP(F595,[1]对照表!$E$3:$E$24,[1]对照表!$H$3:$H$24),LOOKUP(F595,[1]对照表!$E$27:$E$48,[1]对照表!$H$27:$H$48)))))</f>
        <v>80</v>
      </c>
      <c r="H595" s="52">
        <v>25</v>
      </c>
      <c r="I595" s="32">
        <f>IF(B595="高三",IF($E595="男",LOOKUP(H595,[1]对照表!$K$3:$K$24,[1]对照表!$L$3:$L$24),LOOKUP(H595,[1]对照表!$K$27:$K$48,[1]对照表!$L$27:$L$48)),IF(B595="高二",IF($E595="男",LOOKUP(H595,[1]对照表!$J$3:$J$24,[1]对照表!$L$3:$L$24),LOOKUP(H595,[1]对照表!$J$27:$J$48,[1]对照表!$L$27:$L$48)),IF(B595="高一",IF($E595="男",LOOKUP(H595,[1]对照表!$I$3:$I$24,[1]对照表!$L$3:$L$24),LOOKUP(H595,[1]对照表!$I$27:$I$48,[1]对照表!$L$27:$L$48)))))</f>
        <v>100</v>
      </c>
      <c r="J595" s="52">
        <v>194</v>
      </c>
      <c r="K595" s="32">
        <f>IF(B595="高三",IF($E595="男",LOOKUP(J595,[1]对照表!$O$3:$O$24,[1]对照表!$P$3:$P$24),LOOKUP(J595,[1]对照表!$O$27:$O$48,[1]对照表!$P$27:$P$48)),IF(B595="高二",IF($E595="男",LOOKUP(J595,[1]对照表!$N$3:$N$24,[1]对照表!$P$3:$P$24),LOOKUP(J595,[1]对照表!$N$27:$N$48,[1]对照表!$P$27:$P$48)),IF(B595="高一",IF($E595="男",LOOKUP(J595,[1]对照表!$M$3:$M$24,[1]对照表!$P$3:$P$24),LOOKUP(J595,[1]对照表!$M$27:$M$48,[1]对照表!$P$27:$P$48)))))</f>
        <v>90</v>
      </c>
      <c r="L595" s="52">
        <v>62</v>
      </c>
      <c r="M595" s="32">
        <f>IF(B595="高三",IF($E595="男",LOOKUP(L595,[1]对照表!$S$3:$S$24,[1]对照表!$T$3:$T$24),LOOKUP(L595,[1]对照表!$S$27:$S$48,[1]对照表!$T$27:$T$48)),IF(B595="高二",IF($E595="男",LOOKUP(L595,[1]对照表!$R$3:$R$24,[1]对照表!$T$3:$T$24),LOOKUP(L595,[1]对照表!$R$27:$R$48,[1]对照表!$T$27:$T$48)),IF(B595="高一",IF($E595="男",LOOKUP(L595,[1]对照表!$Q$3:$Q$24,[1]对照表!$T$3:$T$24),LOOKUP(L595,[1]对照表!$Q$27:$Q$48,[1]对照表!$T$27:$T$48)))))</f>
        <v>100</v>
      </c>
      <c r="N595" s="33">
        <f>IF(B595="高三",MAX(IF(E595="男",L595-18,L595-55),0),IF(B595="高二",MAX(IF(E595="男",L595-17,L595-54),0),IF(B595="高一",MAX(IF(E595="男",L595-16,L595-53),0))))</f>
        <v>8</v>
      </c>
      <c r="O595" s="23">
        <f>IF(E595="男",LOOKUP($N595,[1]对照表!$Z$3:$Z$13,[1]对照表!$AA$3:$AA$13),LOOKUP($N595,[1]对照表!$Z$15:$Z$25,[1]对照表!$AA$15:$AA$25))</f>
        <v>5</v>
      </c>
      <c r="P595" s="25">
        <f>M595+O595</f>
        <v>105</v>
      </c>
      <c r="Q595" s="52">
        <v>3.15</v>
      </c>
      <c r="R595" s="32">
        <f>IF(B595="高三",IF($E595="男",LOOKUP(Q595,[1]对照表!$W$3:$W$24,[1]对照表!$X$3:$X$24),LOOKUP(Q595,[1]对照表!$W$27:$W$48,[1]对照表!$X$27:$X$48)),IF(B595="高二",IF($E595="男",LOOKUP(Q595,[1]对照表!$V$3:$V$24,[1]对照表!$X$3:$X$24),LOOKUP(Q595,[1]对照表!$V$27:$V$48,[1]对照表!$X$27:$X$48)),IF(B595="高一",IF($E595="男",LOOKUP(Q595,[1]对照表!$U$3:$U$24,[1]对照表!$X$3:$X$24),LOOKUP(Q595,[1]对照表!$U$27:$U$48,[1]对照表!$X$27:$X$48)))))</f>
        <v>100</v>
      </c>
      <c r="S595" s="33">
        <f>ROUND(IF(IF($B595="高三",MIN(IF($E595="男",$Q595-3.2,$Q595-3.2),0),IF($B595="高二",MIN(IF($E595="男",$Q595-3.25,$Q595-3.22),0),IF($B595="高一",MIN(IF($E595="男",$Q595-3.3,$Q595-3.24),0))))&lt;-0.6,IF($B595="高三",MIN(IF($E595="男",$Q595-3.2,$Q595-3.2),0),IF($B595="高二",MIN(IF($E595="男",$Q595-3.25,$Q595-3.22),0),IF($B595="高一",MIN(IF($E595="男",$Q595-3.3,$Q595-3.24),0))))+0.4,IF($B595="高三",MIN(IF($E595="男",$Q595-3.2,$Q595-3.2),0),IF($B595="高二",MIN(IF($E595="男",$Q595-3.25,$Q595-3.22),0),IF($B595="高一",MIN(IF($E595="男",$Q595-3.3,$Q595-3.24),0))))),2)</f>
        <v>-7.0000000000000007E-2</v>
      </c>
      <c r="T595" s="23">
        <f>IF(E595="男",LOOKUP($S595,[1]对照表!$AB$3:$AB$13,[1]对照表!$AC$3:$AC$13),LOOKUP($S595,[1]对照表!$AB$15:$AB$25,[1]对照表!$AC$15:$AC$25))</f>
        <v>1</v>
      </c>
      <c r="U595" s="26">
        <f>R595+T595</f>
        <v>101</v>
      </c>
      <c r="V595" s="26">
        <f>SUM(I595,K595,M595)/3*0.3+SUM(G595,R595)/2*0.4</f>
        <v>65</v>
      </c>
      <c r="W595" s="27">
        <f>O595+T595</f>
        <v>6</v>
      </c>
      <c r="X595" s="28">
        <f>V595/0.7+W595</f>
        <v>98.857142857142861</v>
      </c>
      <c r="Y595" s="28">
        <f>X595</f>
        <v>98.857142857142861</v>
      </c>
      <c r="Z595" s="52"/>
    </row>
    <row r="596" spans="1:26" ht="15.6" x14ac:dyDescent="0.25">
      <c r="A596" s="48">
        <v>41</v>
      </c>
      <c r="B596" s="17" t="s">
        <v>767</v>
      </c>
      <c r="C596" s="48">
        <v>215</v>
      </c>
      <c r="D596" s="49" t="s">
        <v>792</v>
      </c>
      <c r="E596" s="48" t="s">
        <v>65</v>
      </c>
      <c r="F596" s="38">
        <v>7.82</v>
      </c>
      <c r="G596" s="32">
        <f>IF(B596="高三",IF($E596="男",LOOKUP(F596,[1]对照表!$G$3:$G$24,[1]对照表!$H$3:$H$24),LOOKUP(F596,[1]对照表!$G$27:$G$48,[1]对照表!$H$27:$H$48)),IF(B596="高二",IF($E596="男",LOOKUP(F596,[1]对照表!$F$3:$F$24,[1]对照表!$H$3:$H$24),LOOKUP(F596,[1]对照表!$F$27:$F$48,[1]对照表!$H$27:$H$48)),IF(B596="高一",IF($E596="男",LOOKUP(F596,[1]对照表!$E$3:$E$24,[1]对照表!$H$3:$H$24),LOOKUP(F596,[1]对照表!$E$27:$E$48,[1]对照表!$H$27:$H$48)))))</f>
        <v>90</v>
      </c>
      <c r="H596" s="38">
        <v>25.5</v>
      </c>
      <c r="I596" s="32">
        <f>IF(B596="高三",IF($E596="男",LOOKUP(H596,[1]对照表!$K$3:$K$24,[1]对照表!$L$3:$L$24),LOOKUP(H596,[1]对照表!$K$27:$K$48,[1]对照表!$L$27:$L$48)),IF(B596="高二",IF($E596="男",LOOKUP(H596,[1]对照表!$J$3:$J$24,[1]对照表!$L$3:$L$24),LOOKUP(H596,[1]对照表!$J$27:$J$48,[1]对照表!$L$27:$L$48)),IF(B596="高一",IF($E596="男",LOOKUP(H596,[1]对照表!$I$3:$I$24,[1]对照表!$L$3:$L$24),LOOKUP(H596,[1]对照表!$I$27:$I$48,[1]对照表!$L$27:$L$48)))))</f>
        <v>100</v>
      </c>
      <c r="J596" s="38">
        <v>210</v>
      </c>
      <c r="K596" s="32">
        <f>IF(B596="高三",IF($E596="男",LOOKUP(J596,[1]对照表!$O$3:$O$24,[1]对照表!$P$3:$P$24),LOOKUP(J596,[1]对照表!$O$27:$O$48,[1]对照表!$P$27:$P$48)),IF(B596="高二",IF($E596="男",LOOKUP(J596,[1]对照表!$N$3:$N$24,[1]对照表!$P$3:$P$24),LOOKUP(J596,[1]对照表!$N$27:$N$48,[1]对照表!$P$27:$P$48)),IF(B596="高一",IF($E596="男",LOOKUP(J596,[1]对照表!$M$3:$M$24,[1]对照表!$P$3:$P$24),LOOKUP(J596,[1]对照表!$M$27:$M$48,[1]对照表!$P$27:$P$48)))))</f>
        <v>100</v>
      </c>
      <c r="L596" s="38">
        <v>57</v>
      </c>
      <c r="M596" s="32">
        <f>IF(B596="高三",IF($E596="男",LOOKUP(L596,[1]对照表!$S$3:$S$24,[1]对照表!$T$3:$T$24),LOOKUP(L596,[1]对照表!$S$27:$S$48,[1]对照表!$T$27:$T$48)),IF(B596="高二",IF($E596="男",LOOKUP(L596,[1]对照表!$R$3:$R$24,[1]对照表!$T$3:$T$24),LOOKUP(L596,[1]对照表!$R$27:$R$48,[1]对照表!$T$27:$T$48)),IF(B596="高一",IF($E596="男",LOOKUP(L596,[1]对照表!$Q$3:$Q$24,[1]对照表!$T$3:$T$24),LOOKUP(L596,[1]对照表!$Q$27:$Q$48,[1]对照表!$T$27:$T$48)))))</f>
        <v>100</v>
      </c>
      <c r="N596" s="33">
        <f>IF(B596="高三",MAX(IF(E596="男",L596-18,L596-55),0),IF(B596="高二",MAX(IF(E596="男",L596-17,L596-54),0),IF(B596="高一",MAX(IF(E596="男",L596-16,L596-53),0))))</f>
        <v>3</v>
      </c>
      <c r="O596" s="23">
        <f>IF(E596="男",LOOKUP($N596,[1]对照表!$Z$3:$Z$13,[1]对照表!$AA$3:$AA$13),LOOKUP($N596,[1]对照表!$Z$15:$Z$25,[1]对照表!$AA$15:$AA$25))</f>
        <v>1</v>
      </c>
      <c r="P596" s="25">
        <f>M596+O596</f>
        <v>101</v>
      </c>
      <c r="Q596" s="38">
        <v>3.18</v>
      </c>
      <c r="R596" s="32">
        <f>IF(B596="高三",IF($E596="男",LOOKUP(Q596,[1]对照表!$W$3:$W$24,[1]对照表!$X$3:$X$24),LOOKUP(Q596,[1]对照表!$W$27:$W$48,[1]对照表!$X$27:$X$48)),IF(B596="高二",IF($E596="男",LOOKUP(Q596,[1]对照表!$V$3:$V$24,[1]对照表!$X$3:$X$24),LOOKUP(Q596,[1]对照表!$V$27:$V$48,[1]对照表!$X$27:$X$48)),IF(B596="高一",IF($E596="男",LOOKUP(Q596,[1]对照表!$U$3:$U$24,[1]对照表!$X$3:$X$24),LOOKUP(Q596,[1]对照表!$U$27:$U$48,[1]对照表!$X$27:$X$48)))))</f>
        <v>100</v>
      </c>
      <c r="S596" s="33">
        <f>ROUND(IF(IF($B596="高三",MIN(IF($E596="男",$Q596-3.2,$Q596-3.2),0),IF($B596="高二",MIN(IF($E596="男",$Q596-3.25,$Q596-3.22),0),IF($B596="高一",MIN(IF($E596="男",$Q596-3.3,$Q596-3.24),0))))&lt;-0.6,IF($B596="高三",MIN(IF($E596="男",$Q596-3.2,$Q596-3.2),0),IF($B596="高二",MIN(IF($E596="男",$Q596-3.25,$Q596-3.22),0),IF($B596="高一",MIN(IF($E596="男",$Q596-3.3,$Q596-3.24),0))))+0.4,IF($B596="高三",MIN(IF($E596="男",$Q596-3.2,$Q596-3.2),0),IF($B596="高二",MIN(IF($E596="男",$Q596-3.25,$Q596-3.22),0),IF($B596="高一",MIN(IF($E596="男",$Q596-3.3,$Q596-3.24),0))))),2)</f>
        <v>-0.04</v>
      </c>
      <c r="T596" s="23">
        <f>IF(E596="男",LOOKUP($S596,[1]对照表!$AB$3:$AB$13,[1]对照表!$AC$3:$AC$13),LOOKUP($S596,[1]对照表!$AB$15:$AB$25,[1]对照表!$AC$15:$AC$25))</f>
        <v>0</v>
      </c>
      <c r="U596" s="26">
        <f>R596+T596</f>
        <v>100</v>
      </c>
      <c r="V596" s="26">
        <f>SUM(I596,K596,M596)/3*0.3+SUM(G596,R596)/2*0.4</f>
        <v>68</v>
      </c>
      <c r="W596" s="27">
        <f>O596+T596</f>
        <v>1</v>
      </c>
      <c r="X596" s="28">
        <f>V596/0.7+W596</f>
        <v>98.142857142857153</v>
      </c>
      <c r="Y596" s="28">
        <f>X596</f>
        <v>98.142857142857153</v>
      </c>
      <c r="Z596" s="38"/>
    </row>
    <row r="597" spans="1:26" ht="15.6" x14ac:dyDescent="0.25">
      <c r="A597" s="38">
        <v>22</v>
      </c>
      <c r="B597" s="17" t="s">
        <v>767</v>
      </c>
      <c r="C597" s="48">
        <v>215</v>
      </c>
      <c r="D597" s="49" t="s">
        <v>802</v>
      </c>
      <c r="E597" s="48" t="s">
        <v>23</v>
      </c>
      <c r="F597" s="38">
        <v>6.9</v>
      </c>
      <c r="G597" s="32">
        <f>IF(B597="高三",IF($E597="男",LOOKUP(F597,[1]对照表!$G$3:$G$24,[1]对照表!$H$3:$H$24),LOOKUP(F597,[1]对照表!$G$27:$G$48,[1]对照表!$H$27:$H$48)),IF(B597="高二",IF($E597="男",LOOKUP(F597,[1]对照表!$F$3:$F$24,[1]对照表!$H$3:$H$24),LOOKUP(F597,[1]对照表!$F$27:$F$48,[1]对照表!$H$27:$H$48)),IF(B597="高一",IF($E597="男",LOOKUP(F597,[1]对照表!$E$3:$E$24,[1]对照表!$H$3:$H$24),LOOKUP(F597,[1]对照表!$E$27:$E$48,[1]对照表!$H$27:$H$48)))))</f>
        <v>100</v>
      </c>
      <c r="H597" s="38">
        <v>16</v>
      </c>
      <c r="I597" s="32">
        <f>IF(B597="高三",IF($E597="男",LOOKUP(H597,[1]对照表!$K$3:$K$24,[1]对照表!$L$3:$L$24),LOOKUP(H597,[1]对照表!$K$27:$K$48,[1]对照表!$L$27:$L$48)),IF(B597="高二",IF($E597="男",LOOKUP(H597,[1]对照表!$J$3:$J$24,[1]对照表!$L$3:$L$24),LOOKUP(H597,[1]对照表!$J$27:$J$48,[1]对照表!$L$27:$L$48)),IF(B597="高一",IF($E597="男",LOOKUP(H597,[1]对照表!$I$3:$I$24,[1]对照表!$L$3:$L$24),LOOKUP(H597,[1]对照表!$I$27:$I$48,[1]对照表!$L$27:$L$48)))))</f>
        <v>78</v>
      </c>
      <c r="J597" s="38">
        <v>242</v>
      </c>
      <c r="K597" s="32">
        <f>IF(B597="高三",IF($E597="男",LOOKUP(J597,[1]对照表!$O$3:$O$24,[1]对照表!$P$3:$P$24),LOOKUP(J597,[1]对照表!$O$27:$O$48,[1]对照表!$P$27:$P$48)),IF(B597="高二",IF($E597="男",LOOKUP(J597,[1]对照表!$N$3:$N$24,[1]对照表!$P$3:$P$24),LOOKUP(J597,[1]对照表!$N$27:$N$48,[1]对照表!$P$27:$P$48)),IF(B597="高一",IF($E597="男",LOOKUP(J597,[1]对照表!$M$3:$M$24,[1]对照表!$P$3:$P$24),LOOKUP(J597,[1]对照表!$M$27:$M$48,[1]对照表!$P$27:$P$48)))))</f>
        <v>80</v>
      </c>
      <c r="L597" s="38">
        <v>25</v>
      </c>
      <c r="M597" s="32">
        <f>IF(B597="高三",IF($E597="男",LOOKUP(L597,[1]对照表!$S$3:$S$24,[1]对照表!$T$3:$T$24),LOOKUP(L597,[1]对照表!$S$27:$S$48,[1]对照表!$T$27:$T$48)),IF(B597="高二",IF($E597="男",LOOKUP(L597,[1]对照表!$R$3:$R$24,[1]对照表!$T$3:$T$24),LOOKUP(L597,[1]对照表!$R$27:$R$48,[1]对照表!$T$27:$T$48)),IF(B597="高一",IF($E597="男",LOOKUP(L597,[1]对照表!$Q$3:$Q$24,[1]对照表!$T$3:$T$24),LOOKUP(L597,[1]对照表!$Q$27:$Q$48,[1]对照表!$T$27:$T$48)))))</f>
        <v>100</v>
      </c>
      <c r="N597" s="33">
        <f>IF(B597="高三",MAX(IF(E597="男",L597-18,L597-55),0),IF(B597="高二",MAX(IF(E597="男",L597-17,L597-54),0),IF(B597="高一",MAX(IF(E597="男",L597-16,L597-53),0))))</f>
        <v>8</v>
      </c>
      <c r="O597" s="23">
        <f>IF(E597="男",LOOKUP($N597,[1]对照表!$Z$3:$Z$13,[1]对照表!$AA$3:$AA$13),LOOKUP($N597,[1]对照表!$Z$15:$Z$25,[1]对照表!$AA$15:$AA$25))</f>
        <v>8</v>
      </c>
      <c r="P597" s="25">
        <f>M597+O597</f>
        <v>108</v>
      </c>
      <c r="Q597" s="38">
        <v>3.15</v>
      </c>
      <c r="R597" s="32">
        <f>IF(B597="高三",IF($E597="男",LOOKUP(Q597,[1]对照表!$W$3:$W$24,[1]对照表!$X$3:$X$24),LOOKUP(Q597,[1]对照表!$W$27:$W$48,[1]对照表!$X$27:$X$48)),IF(B597="高二",IF($E597="男",LOOKUP(Q597,[1]对照表!$V$3:$V$24,[1]对照表!$X$3:$X$24),LOOKUP(Q597,[1]对照表!$V$27:$V$48,[1]对照表!$X$27:$X$48)),IF(B597="高一",IF($E597="男",LOOKUP(Q597,[1]对照表!$U$3:$U$24,[1]对照表!$X$3:$X$24),LOOKUP(Q597,[1]对照表!$U$27:$U$48,[1]对照表!$X$27:$X$48)))))</f>
        <v>100</v>
      </c>
      <c r="S597" s="33">
        <f>ROUND(IF(IF($B597="高三",MIN(IF($E597="男",$Q597-3.2,$Q597-3.2),0),IF($B597="高二",MIN(IF($E597="男",$Q597-3.25,$Q597-3.22),0),IF($B597="高一",MIN(IF($E597="男",$Q597-3.3,$Q597-3.24),0))))&lt;-0.6,IF($B597="高三",MIN(IF($E597="男",$Q597-3.2,$Q597-3.2),0),IF($B597="高二",MIN(IF($E597="男",$Q597-3.25,$Q597-3.22),0),IF($B597="高一",MIN(IF($E597="男",$Q597-3.3,$Q597-3.24),0))))+0.4,IF($B597="高三",MIN(IF($E597="男",$Q597-3.2,$Q597-3.2),0),IF($B597="高二",MIN(IF($E597="男",$Q597-3.25,$Q597-3.22),0),IF($B597="高一",MIN(IF($E597="男",$Q597-3.3,$Q597-3.24),0))))),2)</f>
        <v>-0.1</v>
      </c>
      <c r="T597" s="23">
        <f>IF(E597="男",LOOKUP($S597,[1]对照表!$AB$3:$AB$13,[1]对照表!$AC$3:$AC$13),LOOKUP($S597,[1]对照表!$AB$15:$AB$25,[1]对照表!$AC$15:$AC$25))</f>
        <v>2</v>
      </c>
      <c r="U597" s="26">
        <f>R597+T597</f>
        <v>102</v>
      </c>
      <c r="V597" s="26">
        <f>SUM(I597,K597,M597)/3*0.3+SUM(G597,R597)/2*0.4</f>
        <v>65.8</v>
      </c>
      <c r="W597" s="27">
        <f>O597+T597</f>
        <v>10</v>
      </c>
      <c r="X597" s="28">
        <f>V597/0.7+W597</f>
        <v>104</v>
      </c>
      <c r="Y597" s="28">
        <f>X597</f>
        <v>104</v>
      </c>
      <c r="Z597" s="38"/>
    </row>
    <row r="598" spans="1:26" ht="15.6" x14ac:dyDescent="0.25">
      <c r="A598" s="48">
        <v>40</v>
      </c>
      <c r="B598" s="17" t="s">
        <v>767</v>
      </c>
      <c r="C598" s="48">
        <v>215</v>
      </c>
      <c r="D598" s="49" t="s">
        <v>829</v>
      </c>
      <c r="E598" s="48" t="s">
        <v>65</v>
      </c>
      <c r="F598" s="38">
        <v>8.19</v>
      </c>
      <c r="G598" s="32">
        <f>IF(B598="高三",IF($E598="男",LOOKUP(F598,[1]对照表!$G$3:$G$24,[1]对照表!$H$3:$H$24),LOOKUP(F598,[1]对照表!$G$27:$G$48,[1]对照表!$H$27:$H$48)),IF(B598="高二",IF($E598="男",LOOKUP(F598,[1]对照表!$F$3:$F$24,[1]对照表!$H$3:$H$24),LOOKUP(F598,[1]对照表!$F$27:$F$48,[1]对照表!$H$27:$H$48)),IF(B598="高一",IF($E598="男",LOOKUP(F598,[1]对照表!$E$3:$E$24,[1]对照表!$H$3:$H$24),LOOKUP(F598,[1]对照表!$E$27:$E$48,[1]对照表!$H$27:$H$48)))))</f>
        <v>85</v>
      </c>
      <c r="H598" s="38">
        <v>14.6</v>
      </c>
      <c r="I598" s="32">
        <f>IF(B598="高三",IF($E598="男",LOOKUP(H598,[1]对照表!$K$3:$K$24,[1]对照表!$L$3:$L$24),LOOKUP(H598,[1]对照表!$K$27:$K$48,[1]对照表!$L$27:$L$48)),IF(B598="高二",IF($E598="男",LOOKUP(H598,[1]对照表!$J$3:$J$24,[1]对照表!$L$3:$L$24),LOOKUP(H598,[1]对照表!$J$27:$J$48,[1]对照表!$L$27:$L$48)),IF(B598="高一",IF($E598="男",LOOKUP(H598,[1]对照表!$I$3:$I$24,[1]对照表!$L$3:$L$24),LOOKUP(H598,[1]对照表!$I$27:$I$48,[1]对照表!$L$27:$L$48)))))</f>
        <v>74</v>
      </c>
      <c r="J598" s="38">
        <v>195</v>
      </c>
      <c r="K598" s="32">
        <f>IF(B598="高三",IF($E598="男",LOOKUP(J598,[1]对照表!$O$3:$O$24,[1]对照表!$P$3:$P$24),LOOKUP(J598,[1]对照表!$O$27:$O$48,[1]对照表!$P$27:$P$48)),IF(B598="高二",IF($E598="男",LOOKUP(J598,[1]对照表!$N$3:$N$24,[1]对照表!$P$3:$P$24),LOOKUP(J598,[1]对照表!$N$27:$N$48,[1]对照表!$P$27:$P$48)),IF(B598="高一",IF($E598="男",LOOKUP(J598,[1]对照表!$M$3:$M$24,[1]对照表!$P$3:$P$24),LOOKUP(J598,[1]对照表!$M$27:$M$48,[1]对照表!$P$27:$P$48)))))</f>
        <v>90</v>
      </c>
      <c r="L598" s="38">
        <v>58</v>
      </c>
      <c r="M598" s="32">
        <f>IF(B598="高三",IF($E598="男",LOOKUP(L598,[1]对照表!$S$3:$S$24,[1]对照表!$T$3:$T$24),LOOKUP(L598,[1]对照表!$S$27:$S$48,[1]对照表!$T$27:$T$48)),IF(B598="高二",IF($E598="男",LOOKUP(L598,[1]对照表!$R$3:$R$24,[1]对照表!$T$3:$T$24),LOOKUP(L598,[1]对照表!$R$27:$R$48,[1]对照表!$T$27:$T$48)),IF(B598="高一",IF($E598="男",LOOKUP(L598,[1]对照表!$Q$3:$Q$24,[1]对照表!$T$3:$T$24),LOOKUP(L598,[1]对照表!$Q$27:$Q$48,[1]对照表!$T$27:$T$48)))))</f>
        <v>100</v>
      </c>
      <c r="N598" s="33">
        <f>IF(B598="高三",MAX(IF(E598="男",L598-18,L598-55),0),IF(B598="高二",MAX(IF(E598="男",L598-17,L598-54),0),IF(B598="高一",MAX(IF(E598="男",L598-16,L598-53),0))))</f>
        <v>4</v>
      </c>
      <c r="O598" s="23">
        <f>IF(E598="男",LOOKUP($N598,[1]对照表!$Z$3:$Z$13,[1]对照表!$AA$3:$AA$13),LOOKUP($N598,[1]对照表!$Z$15:$Z$25,[1]对照表!$AA$15:$AA$25))</f>
        <v>2</v>
      </c>
      <c r="P598" s="25">
        <f>M598+O598</f>
        <v>102</v>
      </c>
      <c r="Q598" s="38">
        <v>3.19</v>
      </c>
      <c r="R598" s="32">
        <f>IF(B598="高三",IF($E598="男",LOOKUP(Q598,[1]对照表!$W$3:$W$24,[1]对照表!$X$3:$X$24),LOOKUP(Q598,[1]对照表!$W$27:$W$48,[1]对照表!$X$27:$X$48)),IF(B598="高二",IF($E598="男",LOOKUP(Q598,[1]对照表!$V$3:$V$24,[1]对照表!$X$3:$X$24),LOOKUP(Q598,[1]对照表!$V$27:$V$48,[1]对照表!$X$27:$X$48)),IF(B598="高一",IF($E598="男",LOOKUP(Q598,[1]对照表!$U$3:$U$24,[1]对照表!$X$3:$X$24),LOOKUP(Q598,[1]对照表!$U$27:$U$48,[1]对照表!$X$27:$X$48)))))</f>
        <v>100</v>
      </c>
      <c r="S598" s="33">
        <f>ROUND(IF(IF($B598="高三",MIN(IF($E598="男",$Q598-3.2,$Q598-3.2),0),IF($B598="高二",MIN(IF($E598="男",$Q598-3.25,$Q598-3.22),0),IF($B598="高一",MIN(IF($E598="男",$Q598-3.3,$Q598-3.24),0))))&lt;-0.6,IF($B598="高三",MIN(IF($E598="男",$Q598-3.2,$Q598-3.2),0),IF($B598="高二",MIN(IF($E598="男",$Q598-3.25,$Q598-3.22),0),IF($B598="高一",MIN(IF($E598="男",$Q598-3.3,$Q598-3.24),0))))+0.4,IF($B598="高三",MIN(IF($E598="男",$Q598-3.2,$Q598-3.2),0),IF($B598="高二",MIN(IF($E598="男",$Q598-3.25,$Q598-3.22),0),IF($B598="高一",MIN(IF($E598="男",$Q598-3.3,$Q598-3.24),0))))),2)</f>
        <v>-0.03</v>
      </c>
      <c r="T598" s="23">
        <f>IF(E598="男",LOOKUP($S598,[1]对照表!$AB$3:$AB$13,[1]对照表!$AC$3:$AC$13),LOOKUP($S598,[1]对照表!$AB$15:$AB$25,[1]对照表!$AC$15:$AC$25))</f>
        <v>0</v>
      </c>
      <c r="U598" s="26">
        <f>R598+T598</f>
        <v>100</v>
      </c>
      <c r="V598" s="26">
        <f>SUM(I598,K598,M598)/3*0.3+SUM(G598,R598)/2*0.4</f>
        <v>63.4</v>
      </c>
      <c r="W598" s="27">
        <f>O598+T598</f>
        <v>2</v>
      </c>
      <c r="X598" s="28">
        <f>V598/0.7+W598</f>
        <v>92.571428571428569</v>
      </c>
      <c r="Y598" s="28">
        <f>X598</f>
        <v>92.571428571428569</v>
      </c>
      <c r="Z598" s="38"/>
    </row>
    <row r="599" spans="1:26" ht="15.6" x14ac:dyDescent="0.25">
      <c r="A599" s="48">
        <v>31</v>
      </c>
      <c r="B599" s="17" t="s">
        <v>767</v>
      </c>
      <c r="C599" s="48">
        <v>215</v>
      </c>
      <c r="D599" s="49" t="s">
        <v>869</v>
      </c>
      <c r="E599" s="48" t="s">
        <v>65</v>
      </c>
      <c r="F599" s="38">
        <v>8.4499999999999993</v>
      </c>
      <c r="G599" s="32">
        <f>IF(B599="高三",IF($E599="男",LOOKUP(F599,[1]对照表!$G$3:$G$24,[1]对照表!$H$3:$H$24),LOOKUP(F599,[1]对照表!$G$27:$G$48,[1]对照表!$H$27:$H$48)),IF(B599="高二",IF($E599="男",LOOKUP(F599,[1]对照表!$F$3:$F$24,[1]对照表!$H$3:$H$24),LOOKUP(F599,[1]对照表!$F$27:$F$48,[1]对照表!$H$27:$H$48)),IF(B599="高一",IF($E599="男",LOOKUP(F599,[1]对照表!$E$3:$E$24,[1]对照表!$H$3:$H$24),LOOKUP(F599,[1]对照表!$E$27:$E$48,[1]对照表!$H$27:$H$48)))))</f>
        <v>80</v>
      </c>
      <c r="H599" s="38">
        <v>26.4</v>
      </c>
      <c r="I599" s="32">
        <f>IF(B599="高三",IF($E599="男",LOOKUP(H599,[1]对照表!$K$3:$K$24,[1]对照表!$L$3:$L$24),LOOKUP(H599,[1]对照表!$K$27:$K$48,[1]对照表!$L$27:$L$48)),IF(B599="高二",IF($E599="男",LOOKUP(H599,[1]对照表!$J$3:$J$24,[1]对照表!$L$3:$L$24),LOOKUP(H599,[1]对照表!$J$27:$J$48,[1]对照表!$L$27:$L$48)),IF(B599="高一",IF($E599="男",LOOKUP(H599,[1]对照表!$I$3:$I$24,[1]对照表!$L$3:$L$24),LOOKUP(H599,[1]对照表!$I$27:$I$48,[1]对照表!$L$27:$L$48)))))</f>
        <v>100</v>
      </c>
      <c r="J599" s="38">
        <v>185</v>
      </c>
      <c r="K599" s="32">
        <f>IF(B599="高三",IF($E599="男",LOOKUP(J599,[1]对照表!$O$3:$O$24,[1]对照表!$P$3:$P$24),LOOKUP(J599,[1]对照表!$O$27:$O$48,[1]对照表!$P$27:$P$48)),IF(B599="高二",IF($E599="男",LOOKUP(J599,[1]对照表!$N$3:$N$24,[1]对照表!$P$3:$P$24),LOOKUP(J599,[1]对照表!$N$27:$N$48,[1]对照表!$P$27:$P$48)),IF(B599="高一",IF($E599="男",LOOKUP(J599,[1]对照表!$M$3:$M$24,[1]对照表!$P$3:$P$24),LOOKUP(J599,[1]对照表!$M$27:$M$48,[1]对照表!$P$27:$P$48)))))</f>
        <v>80</v>
      </c>
      <c r="L599" s="38">
        <v>56</v>
      </c>
      <c r="M599" s="32">
        <f>IF(B599="高三",IF($E599="男",LOOKUP(L599,[1]对照表!$S$3:$S$24,[1]对照表!$T$3:$T$24),LOOKUP(L599,[1]对照表!$S$27:$S$48,[1]对照表!$T$27:$T$48)),IF(B599="高二",IF($E599="男",LOOKUP(L599,[1]对照表!$R$3:$R$24,[1]对照表!$T$3:$T$24),LOOKUP(L599,[1]对照表!$R$27:$R$48,[1]对照表!$T$27:$T$48)),IF(B599="高一",IF($E599="男",LOOKUP(L599,[1]对照表!$Q$3:$Q$24,[1]对照表!$T$3:$T$24),LOOKUP(L599,[1]对照表!$Q$27:$Q$48,[1]对照表!$T$27:$T$48)))))</f>
        <v>100</v>
      </c>
      <c r="N599" s="33">
        <f>IF(B599="高三",MAX(IF(E599="男",L599-18,L599-55),0),IF(B599="高二",MAX(IF(E599="男",L599-17,L599-54),0),IF(B599="高一",MAX(IF(E599="男",L599-16,L599-53),0))))</f>
        <v>2</v>
      </c>
      <c r="O599" s="23">
        <f>IF(E599="男",LOOKUP($N599,[1]对照表!$Z$3:$Z$13,[1]对照表!$AA$3:$AA$13),LOOKUP($N599,[1]对照表!$Z$15:$Z$25,[1]对照表!$AA$15:$AA$25))</f>
        <v>1</v>
      </c>
      <c r="P599" s="25">
        <f>M599+O599</f>
        <v>101</v>
      </c>
      <c r="Q599" s="38">
        <v>3.4</v>
      </c>
      <c r="R599" s="32">
        <f>IF(B599="高三",IF($E599="男",LOOKUP(Q599,[1]对照表!$W$3:$W$24,[1]对照表!$X$3:$X$24),LOOKUP(Q599,[1]对照表!$W$27:$W$48,[1]对照表!$X$27:$X$48)),IF(B599="高二",IF($E599="男",LOOKUP(Q599,[1]对照表!$V$3:$V$24,[1]对照表!$X$3:$X$24),LOOKUP(Q599,[1]对照表!$V$27:$V$48,[1]对照表!$X$27:$X$48)),IF(B599="高一",IF($E599="男",LOOKUP(Q599,[1]对照表!$U$3:$U$24,[1]对照表!$X$3:$X$24),LOOKUP(Q599,[1]对照表!$U$27:$U$48,[1]对照表!$X$27:$X$48)))))</f>
        <v>85</v>
      </c>
      <c r="S599" s="33">
        <f>ROUND(IF(IF($B599="高三",MIN(IF($E599="男",$Q599-3.2,$Q599-3.2),0),IF($B599="高二",MIN(IF($E599="男",$Q599-3.25,$Q599-3.22),0),IF($B599="高一",MIN(IF($E599="男",$Q599-3.3,$Q599-3.24),0))))&lt;-0.6,IF($B599="高三",MIN(IF($E599="男",$Q599-3.2,$Q599-3.2),0),IF($B599="高二",MIN(IF($E599="男",$Q599-3.25,$Q599-3.22),0),IF($B599="高一",MIN(IF($E599="男",$Q599-3.3,$Q599-3.24),0))))+0.4,IF($B599="高三",MIN(IF($E599="男",$Q599-3.2,$Q599-3.2),0),IF($B599="高二",MIN(IF($E599="男",$Q599-3.25,$Q599-3.22),0),IF($B599="高一",MIN(IF($E599="男",$Q599-3.3,$Q599-3.24),0))))),2)</f>
        <v>0</v>
      </c>
      <c r="T599" s="23">
        <f>IF(E599="男",LOOKUP($S599,[1]对照表!$AB$3:$AB$13,[1]对照表!$AC$3:$AC$13),LOOKUP($S599,[1]对照表!$AB$15:$AB$25,[1]对照表!$AC$15:$AC$25))</f>
        <v>0</v>
      </c>
      <c r="U599" s="26">
        <f>R599+T599</f>
        <v>85</v>
      </c>
      <c r="V599" s="26">
        <f>SUM(I599,K599,M599)/3*0.3+SUM(G599,R599)/2*0.4</f>
        <v>61</v>
      </c>
      <c r="W599" s="27">
        <f>O599+T599</f>
        <v>1</v>
      </c>
      <c r="X599" s="28">
        <f>V599/0.7+W599</f>
        <v>88.142857142857153</v>
      </c>
      <c r="Y599" s="28">
        <f>X599</f>
        <v>88.142857142857153</v>
      </c>
      <c r="Z599" s="38"/>
    </row>
    <row r="600" spans="1:26" ht="15.6" x14ac:dyDescent="0.25">
      <c r="A600" s="48">
        <v>33</v>
      </c>
      <c r="B600" s="17" t="s">
        <v>767</v>
      </c>
      <c r="C600" s="48">
        <v>215</v>
      </c>
      <c r="D600" s="49" t="s">
        <v>887</v>
      </c>
      <c r="E600" s="48" t="s">
        <v>65</v>
      </c>
      <c r="F600" s="38">
        <v>8.2899999999999991</v>
      </c>
      <c r="G600" s="32">
        <f>IF(B600="高三",IF($E600="男",LOOKUP(F600,[1]对照表!$G$3:$G$24,[1]对照表!$H$3:$H$24),LOOKUP(F600,[1]对照表!$G$27:$G$48,[1]对照表!$H$27:$H$48)),IF(B600="高二",IF($E600="男",LOOKUP(F600,[1]对照表!$F$3:$F$24,[1]对照表!$H$3:$H$24),LOOKUP(F600,[1]对照表!$F$27:$F$48,[1]对照表!$H$27:$H$48)),IF(B600="高一",IF($E600="男",LOOKUP(F600,[1]对照表!$E$3:$E$24,[1]对照表!$H$3:$H$24),LOOKUP(F600,[1]对照表!$E$27:$E$48,[1]对照表!$H$27:$H$48)))))</f>
        <v>80</v>
      </c>
      <c r="H600" s="38">
        <v>19.5</v>
      </c>
      <c r="I600" s="32">
        <f>IF(B600="高三",IF($E600="男",LOOKUP(H600,[1]对照表!$K$3:$K$24,[1]对照表!$L$3:$L$24),LOOKUP(H600,[1]对照表!$K$27:$K$48,[1]对照表!$L$27:$L$48)),IF(B600="高二",IF($E600="男",LOOKUP(H600,[1]对照表!$J$3:$J$24,[1]对照表!$L$3:$L$24),LOOKUP(H600,[1]对照表!$J$27:$J$48,[1]对照表!$L$27:$L$48)),IF(B600="高一",IF($E600="男",LOOKUP(H600,[1]对照表!$I$3:$I$24,[1]对照表!$L$3:$L$24),LOOKUP(H600,[1]对照表!$I$27:$I$48,[1]对照表!$L$27:$L$48)))))</f>
        <v>80</v>
      </c>
      <c r="J600" s="38">
        <v>203</v>
      </c>
      <c r="K600" s="32">
        <f>IF(B600="高三",IF($E600="男",LOOKUP(J600,[1]对照表!$O$3:$O$24,[1]对照表!$P$3:$P$24),LOOKUP(J600,[1]对照表!$O$27:$O$48,[1]对照表!$P$27:$P$48)),IF(B600="高二",IF($E600="男",LOOKUP(J600,[1]对照表!$N$3:$N$24,[1]对照表!$P$3:$P$24),LOOKUP(J600,[1]对照表!$N$27:$N$48,[1]对照表!$P$27:$P$48)),IF(B600="高一",IF($E600="男",LOOKUP(J600,[1]对照表!$M$3:$M$24,[1]对照表!$P$3:$P$24),LOOKUP(J600,[1]对照表!$M$27:$M$48,[1]对照表!$P$27:$P$48)))))</f>
        <v>95</v>
      </c>
      <c r="L600" s="38">
        <v>52</v>
      </c>
      <c r="M600" s="32">
        <f>IF(B600="高三",IF($E600="男",LOOKUP(L600,[1]对照表!$S$3:$S$24,[1]对照表!$T$3:$T$24),LOOKUP(L600,[1]对照表!$S$27:$S$48,[1]对照表!$T$27:$T$48)),IF(B600="高二",IF($E600="男",LOOKUP(L600,[1]对照表!$R$3:$R$24,[1]对照表!$T$3:$T$24),LOOKUP(L600,[1]对照表!$R$27:$R$48,[1]对照表!$T$27:$T$48)),IF(B600="高一",IF($E600="男",LOOKUP(L600,[1]对照表!$Q$3:$Q$24,[1]对照表!$T$3:$T$24),LOOKUP(L600,[1]对照表!$Q$27:$Q$48,[1]对照表!$T$27:$T$48)))))</f>
        <v>95</v>
      </c>
      <c r="N600" s="33">
        <f>IF(B600="高三",MAX(IF(E600="男",L600-18,L600-55),0),IF(B600="高二",MAX(IF(E600="男",L600-17,L600-54),0),IF(B600="高一",MAX(IF(E600="男",L600-16,L600-53),0))))</f>
        <v>0</v>
      </c>
      <c r="O600" s="23">
        <f>IF(E600="男",LOOKUP($N600,[1]对照表!$Z$3:$Z$13,[1]对照表!$AA$3:$AA$13),LOOKUP($N600,[1]对照表!$Z$15:$Z$25,[1]对照表!$AA$15:$AA$25))</f>
        <v>0</v>
      </c>
      <c r="P600" s="25">
        <f>M600+O600</f>
        <v>95</v>
      </c>
      <c r="Q600" s="38">
        <v>3.29</v>
      </c>
      <c r="R600" s="32">
        <f>IF(B600="高三",IF($E600="男",LOOKUP(Q600,[1]对照表!$W$3:$W$24,[1]对照表!$X$3:$X$24),LOOKUP(Q600,[1]对照表!$W$27:$W$48,[1]对照表!$X$27:$X$48)),IF(B600="高二",IF($E600="男",LOOKUP(Q600,[1]对照表!$V$3:$V$24,[1]对照表!$X$3:$X$24),LOOKUP(Q600,[1]对照表!$V$27:$V$48,[1]对照表!$X$27:$X$48)),IF(B600="高一",IF($E600="男",LOOKUP(Q600,[1]对照表!$U$3:$U$24,[1]对照表!$X$3:$X$24),LOOKUP(Q600,[1]对照表!$U$27:$U$48,[1]对照表!$X$27:$X$48)))))</f>
        <v>90</v>
      </c>
      <c r="S600" s="33">
        <f>ROUND(IF(IF($B600="高三",MIN(IF($E600="男",$Q600-3.2,$Q600-3.2),0),IF($B600="高二",MIN(IF($E600="男",$Q600-3.25,$Q600-3.22),0),IF($B600="高一",MIN(IF($E600="男",$Q600-3.3,$Q600-3.24),0))))&lt;-0.6,IF($B600="高三",MIN(IF($E600="男",$Q600-3.2,$Q600-3.2),0),IF($B600="高二",MIN(IF($E600="男",$Q600-3.25,$Q600-3.22),0),IF($B600="高一",MIN(IF($E600="男",$Q600-3.3,$Q600-3.24),0))))+0.4,IF($B600="高三",MIN(IF($E600="男",$Q600-3.2,$Q600-3.2),0),IF($B600="高二",MIN(IF($E600="男",$Q600-3.25,$Q600-3.22),0),IF($B600="高一",MIN(IF($E600="男",$Q600-3.3,$Q600-3.24),0))))),2)</f>
        <v>0</v>
      </c>
      <c r="T600" s="23">
        <f>IF(E600="男",LOOKUP($S600,[1]对照表!$AB$3:$AB$13,[1]对照表!$AC$3:$AC$13),LOOKUP($S600,[1]对照表!$AB$15:$AB$25,[1]对照表!$AC$15:$AC$25))</f>
        <v>0</v>
      </c>
      <c r="U600" s="26">
        <f>R600+T600</f>
        <v>90</v>
      </c>
      <c r="V600" s="26">
        <f>SUM(I600,K600,M600)/3*0.3+SUM(G600,R600)/2*0.4</f>
        <v>61</v>
      </c>
      <c r="W600" s="27">
        <f>O600+T600</f>
        <v>0</v>
      </c>
      <c r="X600" s="28">
        <f>V600/0.7+W600</f>
        <v>87.142857142857153</v>
      </c>
      <c r="Y600" s="28">
        <f>X600</f>
        <v>87.142857142857153</v>
      </c>
      <c r="Z600" s="38"/>
    </row>
    <row r="601" spans="1:26" ht="15.6" x14ac:dyDescent="0.25">
      <c r="A601" s="38">
        <v>26</v>
      </c>
      <c r="B601" s="17" t="s">
        <v>767</v>
      </c>
      <c r="C601" s="48">
        <v>215</v>
      </c>
      <c r="D601" s="58" t="s">
        <v>909</v>
      </c>
      <c r="E601" s="48" t="s">
        <v>23</v>
      </c>
      <c r="F601" s="38">
        <v>7</v>
      </c>
      <c r="G601" s="32">
        <f>IF(B601="高三",IF($E601="男",LOOKUP(F601,[1]对照表!$G$3:$G$24,[1]对照表!$H$3:$H$24),LOOKUP(F601,[1]对照表!$G$27:$G$48,[1]对照表!$H$27:$H$48)),IF(B601="高二",IF($E601="男",LOOKUP(F601,[1]对照表!$F$3:$F$24,[1]对照表!$H$3:$H$24),LOOKUP(F601,[1]对照表!$F$27:$F$48,[1]对照表!$H$27:$H$48)),IF(B601="高一",IF($E601="男",LOOKUP(F601,[1]对照表!$E$3:$E$24,[1]对照表!$H$3:$H$24),LOOKUP(F601,[1]对照表!$E$27:$E$48,[1]对照表!$H$27:$H$48)))))</f>
        <v>100</v>
      </c>
      <c r="H601" s="38">
        <v>19</v>
      </c>
      <c r="I601" s="32">
        <f>IF(B601="高三",IF($E601="男",LOOKUP(H601,[1]对照表!$K$3:$K$24,[1]对照表!$L$3:$L$24),LOOKUP(H601,[1]对照表!$K$27:$K$48,[1]对照表!$L$27:$L$48)),IF(B601="高二",IF($E601="男",LOOKUP(H601,[1]对照表!$J$3:$J$24,[1]对照表!$L$3:$L$24),LOOKUP(H601,[1]对照表!$J$27:$J$48,[1]对照表!$L$27:$L$48)),IF(B601="高一",IF($E601="男",LOOKUP(H601,[1]对照表!$I$3:$I$24,[1]对照表!$L$3:$L$24),LOOKUP(H601,[1]对照表!$I$27:$I$48,[1]对照表!$L$27:$L$48)))))</f>
        <v>85</v>
      </c>
      <c r="J601" s="38">
        <v>243</v>
      </c>
      <c r="K601" s="32">
        <f>IF(B601="高三",IF($E601="男",LOOKUP(J601,[1]对照表!$O$3:$O$24,[1]对照表!$P$3:$P$24),LOOKUP(J601,[1]对照表!$O$27:$O$48,[1]对照表!$P$27:$P$48)),IF(B601="高二",IF($E601="男",LOOKUP(J601,[1]对照表!$N$3:$N$24,[1]对照表!$P$3:$P$24),LOOKUP(J601,[1]对照表!$N$27:$N$48,[1]对照表!$P$27:$P$48)),IF(B601="高一",IF($E601="男",LOOKUP(J601,[1]对照表!$M$3:$M$24,[1]对照表!$P$3:$P$24),LOOKUP(J601,[1]对照表!$M$27:$M$48,[1]对照表!$P$27:$P$48)))))</f>
        <v>80</v>
      </c>
      <c r="L601" s="38">
        <v>26</v>
      </c>
      <c r="M601" s="32">
        <f>IF(B601="高三",IF($E601="男",LOOKUP(L601,[1]对照表!$S$3:$S$24,[1]对照表!$T$3:$T$24),LOOKUP(L601,[1]对照表!$S$27:$S$48,[1]对照表!$T$27:$T$48)),IF(B601="高二",IF($E601="男",LOOKUP(L601,[1]对照表!$R$3:$R$24,[1]对照表!$T$3:$T$24),LOOKUP(L601,[1]对照表!$R$27:$R$48,[1]对照表!$T$27:$T$48)),IF(B601="高一",IF($E601="男",LOOKUP(L601,[1]对照表!$Q$3:$Q$24,[1]对照表!$T$3:$T$24),LOOKUP(L601,[1]对照表!$Q$27:$Q$48,[1]对照表!$T$27:$T$48)))))</f>
        <v>100</v>
      </c>
      <c r="N601" s="33">
        <f>IF(B601="高三",MAX(IF(E601="男",L601-18,L601-55),0),IF(B601="高二",MAX(IF(E601="男",L601-17,L601-54),0),IF(B601="高一",MAX(IF(E601="男",L601-16,L601-53),0))))</f>
        <v>9</v>
      </c>
      <c r="O601" s="23">
        <f>IF(E601="男",LOOKUP($N601,[1]对照表!$Z$3:$Z$13,[1]对照表!$AA$3:$AA$13),LOOKUP($N601,[1]对照表!$Z$15:$Z$25,[1]对照表!$AA$15:$AA$25))</f>
        <v>9</v>
      </c>
      <c r="P601" s="25">
        <f>M601+O601</f>
        <v>109</v>
      </c>
      <c r="Q601" s="38">
        <v>4.0199999999999996</v>
      </c>
      <c r="R601" s="32">
        <f>IF(B601="高三",IF($E601="男",LOOKUP(Q601,[1]对照表!$W$3:$W$24,[1]对照表!$X$3:$X$24),LOOKUP(Q601,[1]对照表!$W$27:$W$48,[1]对照表!$X$27:$X$48)),IF(B601="高二",IF($E601="男",LOOKUP(Q601,[1]对照表!$V$3:$V$24,[1]对照表!$X$3:$X$24),LOOKUP(Q601,[1]对照表!$V$27:$V$48,[1]对照表!$X$27:$X$48)),IF(B601="高一",IF($E601="男",LOOKUP(Q601,[1]对照表!$U$3:$U$24,[1]对照表!$X$3:$X$24),LOOKUP(Q601,[1]对照表!$U$27:$U$48,[1]对照表!$X$27:$X$48)))))</f>
        <v>74</v>
      </c>
      <c r="S601" s="33">
        <f>ROUND(IF(IF($B601="高三",MIN(IF($E601="男",$Q601-3.2,$Q601-3.2),0),IF($B601="高二",MIN(IF($E601="男",$Q601-3.25,$Q601-3.22),0),IF($B601="高一",MIN(IF($E601="男",$Q601-3.3,$Q601-3.24),0))))&lt;-0.6,IF($B601="高三",MIN(IF($E601="男",$Q601-3.2,$Q601-3.2),0),IF($B601="高二",MIN(IF($E601="男",$Q601-3.25,$Q601-3.22),0),IF($B601="高一",MIN(IF($E601="男",$Q601-3.3,$Q601-3.24),0))))+0.4,IF($B601="高三",MIN(IF($E601="男",$Q601-3.2,$Q601-3.2),0),IF($B601="高二",MIN(IF($E601="男",$Q601-3.25,$Q601-3.22),0),IF($B601="高一",MIN(IF($E601="男",$Q601-3.3,$Q601-3.24),0))))),2)</f>
        <v>0</v>
      </c>
      <c r="T601" s="23">
        <f>IF(E601="男",LOOKUP($S601,[1]对照表!$AB$3:$AB$13,[1]对照表!$AC$3:$AC$13),LOOKUP($S601,[1]对照表!$AB$15:$AB$25,[1]对照表!$AC$15:$AC$25))</f>
        <v>0</v>
      </c>
      <c r="U601" s="26">
        <f>R601+T601</f>
        <v>74</v>
      </c>
      <c r="V601" s="26">
        <f>SUM(I601,K601,M601)/3*0.3+SUM(G601,R601)/2*0.4</f>
        <v>61.3</v>
      </c>
      <c r="W601" s="27">
        <f>O601+T601</f>
        <v>9</v>
      </c>
      <c r="X601" s="28">
        <f>V601/0.7+W601</f>
        <v>96.571428571428569</v>
      </c>
      <c r="Y601" s="28">
        <f>X601</f>
        <v>96.571428571428569</v>
      </c>
      <c r="Z601" s="38"/>
    </row>
    <row r="602" spans="1:26" ht="15.6" x14ac:dyDescent="0.25">
      <c r="A602" s="48">
        <v>28</v>
      </c>
      <c r="B602" s="17" t="s">
        <v>767</v>
      </c>
      <c r="C602" s="48">
        <v>215</v>
      </c>
      <c r="D602" s="49" t="s">
        <v>927</v>
      </c>
      <c r="E602" s="48" t="s">
        <v>65</v>
      </c>
      <c r="F602" s="38">
        <v>8.14</v>
      </c>
      <c r="G602" s="32">
        <f>IF(B602="高三",IF($E602="男",LOOKUP(F602,[1]对照表!$G$3:$G$24,[1]对照表!$H$3:$H$24),LOOKUP(F602,[1]对照表!$G$27:$G$48,[1]对照表!$H$27:$H$48)),IF(B602="高二",IF($E602="男",LOOKUP(F602,[1]对照表!$F$3:$F$24,[1]对照表!$H$3:$H$24),LOOKUP(F602,[1]对照表!$F$27:$F$48,[1]对照表!$H$27:$H$48)),IF(B602="高一",IF($E602="男",LOOKUP(F602,[1]对照表!$E$3:$E$24,[1]对照表!$H$3:$H$24),LOOKUP(F602,[1]对照表!$E$27:$E$48,[1]对照表!$H$27:$H$48)))))</f>
        <v>85</v>
      </c>
      <c r="H602" s="38">
        <v>8.5</v>
      </c>
      <c r="I602" s="32">
        <f>IF(B602="高三",IF($E602="男",LOOKUP(H602,[1]对照表!$K$3:$K$24,[1]对照表!$L$3:$L$24),LOOKUP(H602,[1]对照表!$K$27:$K$48,[1]对照表!$L$27:$L$48)),IF(B602="高二",IF($E602="男",LOOKUP(H602,[1]对照表!$J$3:$J$24,[1]对照表!$L$3:$L$24),LOOKUP(H602,[1]对照表!$J$27:$J$48,[1]对照表!$L$27:$L$48)),IF(B602="高一",IF($E602="男",LOOKUP(H602,[1]对照表!$I$3:$I$24,[1]对照表!$L$3:$L$24),LOOKUP(H602,[1]对照表!$I$27:$I$48,[1]对照表!$L$27:$L$48)))))</f>
        <v>64</v>
      </c>
      <c r="J602" s="38">
        <v>192</v>
      </c>
      <c r="K602" s="32">
        <f>IF(B602="高三",IF($E602="男",LOOKUP(J602,[1]对照表!$O$3:$O$24,[1]对照表!$P$3:$P$24),LOOKUP(J602,[1]对照表!$O$27:$O$48,[1]对照表!$P$27:$P$48)),IF(B602="高二",IF($E602="男",LOOKUP(J602,[1]对照表!$N$3:$N$24,[1]对照表!$P$3:$P$24),LOOKUP(J602,[1]对照表!$N$27:$N$48,[1]对照表!$P$27:$P$48)),IF(B602="高一",IF($E602="男",LOOKUP(J602,[1]对照表!$M$3:$M$24,[1]对照表!$P$3:$P$24),LOOKUP(J602,[1]对照表!$M$27:$M$48,[1]对照表!$P$27:$P$48)))))</f>
        <v>85</v>
      </c>
      <c r="L602" s="38">
        <v>42</v>
      </c>
      <c r="M602" s="32">
        <f>IF(B602="高三",IF($E602="男",LOOKUP(L602,[1]对照表!$S$3:$S$24,[1]对照表!$T$3:$T$24),LOOKUP(L602,[1]对照表!$S$27:$S$48,[1]对照表!$T$27:$T$48)),IF(B602="高二",IF($E602="男",LOOKUP(L602,[1]对照表!$R$3:$R$24,[1]对照表!$T$3:$T$24),LOOKUP(L602,[1]对照表!$R$27:$R$48,[1]对照表!$T$27:$T$48)),IF(B602="高一",IF($E602="男",LOOKUP(L602,[1]对照表!$Q$3:$Q$24,[1]对照表!$T$3:$T$24),LOOKUP(L602,[1]对照表!$Q$27:$Q$48,[1]对照表!$T$27:$T$48)))))</f>
        <v>78</v>
      </c>
      <c r="N602" s="33">
        <f>IF(B602="高三",MAX(IF(E602="男",L602-18,L602-55),0),IF(B602="高二",MAX(IF(E602="男",L602-17,L602-54),0),IF(B602="高一",MAX(IF(E602="男",L602-16,L602-53),0))))</f>
        <v>0</v>
      </c>
      <c r="O602" s="23">
        <f>IF(E602="男",LOOKUP($N602,[1]对照表!$Z$3:$Z$13,[1]对照表!$AA$3:$AA$13),LOOKUP($N602,[1]对照表!$Z$15:$Z$25,[1]对照表!$AA$15:$AA$25))</f>
        <v>0</v>
      </c>
      <c r="P602" s="25">
        <f>M602+O602</f>
        <v>78</v>
      </c>
      <c r="Q602" s="38">
        <v>3.18</v>
      </c>
      <c r="R602" s="32">
        <f>IF(B602="高三",IF($E602="男",LOOKUP(Q602,[1]对照表!$W$3:$W$24,[1]对照表!$X$3:$X$24),LOOKUP(Q602,[1]对照表!$W$27:$W$48,[1]对照表!$X$27:$X$48)),IF(B602="高二",IF($E602="男",LOOKUP(Q602,[1]对照表!$V$3:$V$24,[1]对照表!$X$3:$X$24),LOOKUP(Q602,[1]对照表!$V$27:$V$48,[1]对照表!$X$27:$X$48)),IF(B602="高一",IF($E602="男",LOOKUP(Q602,[1]对照表!$U$3:$U$24,[1]对照表!$X$3:$X$24),LOOKUP(Q602,[1]对照表!$U$27:$U$48,[1]对照表!$X$27:$X$48)))))</f>
        <v>100</v>
      </c>
      <c r="S602" s="27">
        <f>ROUND(IF(IF($B602="高三",MIN(IF($E602="男",$Q602-3.2,$Q602-3.2),0),IF($B602="高二",MIN(IF($E602="男",$Q602-3.25,$Q602-3.22),0),IF($B602="高一",MIN(IF($E602="男",$Q602-3.3,$Q602-3.24),0))))&lt;-0.6,IF($B602="高三",MIN(IF($E602="男",$Q602-3.2,$Q602-3.2),0),IF($B602="高二",MIN(IF($E602="男",$Q602-3.25,$Q602-3.22),0),IF($B602="高一",MIN(IF($E602="男",$Q602-3.3,$Q602-3.24),0))))+0.4,IF($B602="高三",MIN(IF($E602="男",$Q602-3.2,$Q602-3.2),0),IF($B602="高二",MIN(IF($E602="男",$Q602-3.25,$Q602-3.22),0),IF($B602="高一",MIN(IF($E602="男",$Q602-3.3,$Q602-3.24),0))))),2)</f>
        <v>-0.04</v>
      </c>
      <c r="T602" s="23">
        <f>IF(E602="男",LOOKUP($S602,[1]对照表!$AB$3:$AB$13,[1]对照表!$AC$3:$AC$13),LOOKUP($S602,[1]对照表!$AB$15:$AB$25,[1]对照表!$AC$15:$AC$25))</f>
        <v>0</v>
      </c>
      <c r="U602" s="26">
        <f>R602+T602</f>
        <v>100</v>
      </c>
      <c r="V602" s="26">
        <f>SUM(I602,K602,M602)/3*0.3+SUM(G602,R602)/2*0.4</f>
        <v>59.7</v>
      </c>
      <c r="W602" s="27">
        <f>O602+T602</f>
        <v>0</v>
      </c>
      <c r="X602" s="28">
        <f>V602/0.7+W602</f>
        <v>85.285714285714292</v>
      </c>
      <c r="Y602" s="28">
        <f>X602</f>
        <v>85.285714285714292</v>
      </c>
      <c r="Z602" s="38"/>
    </row>
    <row r="603" spans="1:26" ht="15.6" x14ac:dyDescent="0.25">
      <c r="A603" s="48">
        <v>4</v>
      </c>
      <c r="B603" s="17" t="s">
        <v>767</v>
      </c>
      <c r="C603" s="48">
        <v>215</v>
      </c>
      <c r="D603" s="49" t="s">
        <v>960</v>
      </c>
      <c r="E603" s="48" t="s">
        <v>23</v>
      </c>
      <c r="F603" s="38">
        <v>7</v>
      </c>
      <c r="G603" s="32">
        <f>IF(B603="高三",IF($E603="男",LOOKUP(F603,[1]对照表!$G$3:$G$24,[1]对照表!$H$3:$H$24),LOOKUP(F603,[1]对照表!$G$27:$G$48,[1]对照表!$H$27:$H$48)),IF(B603="高二",IF($E603="男",LOOKUP(F603,[1]对照表!$F$3:$F$24,[1]对照表!$H$3:$H$24),LOOKUP(F603,[1]对照表!$F$27:$F$48,[1]对照表!$H$27:$H$48)),IF(B603="高一",IF($E603="男",LOOKUP(F603,[1]对照表!$E$3:$E$24,[1]对照表!$H$3:$H$24),LOOKUP(F603,[1]对照表!$E$27:$E$48,[1]对照表!$H$27:$H$48)))))</f>
        <v>100</v>
      </c>
      <c r="H603" s="38">
        <v>17</v>
      </c>
      <c r="I603" s="32">
        <f>IF(B603="高三",IF($E603="男",LOOKUP(H603,[1]对照表!$K$3:$K$24,[1]对照表!$L$3:$L$24),LOOKUP(H603,[1]对照表!$K$27:$K$48,[1]对照表!$L$27:$L$48)),IF(B603="高二",IF($E603="男",LOOKUP(H603,[1]对照表!$J$3:$J$24,[1]对照表!$L$3:$L$24),LOOKUP(H603,[1]对照表!$J$27:$J$48,[1]对照表!$L$27:$L$48)),IF(B603="高一",IF($E603="男",LOOKUP(H603,[1]对照表!$I$3:$I$24,[1]对照表!$L$3:$L$24),LOOKUP(H603,[1]对照表!$I$27:$I$48,[1]对照表!$L$27:$L$48)))))</f>
        <v>80</v>
      </c>
      <c r="J603" s="38">
        <v>268</v>
      </c>
      <c r="K603" s="32">
        <f>IF(B603="高三",IF($E603="男",LOOKUP(J603,[1]对照表!$O$3:$O$24,[1]对照表!$P$3:$P$24),LOOKUP(J603,[1]对照表!$O$27:$O$48,[1]对照表!$P$27:$P$48)),IF(B603="高二",IF($E603="男",LOOKUP(J603,[1]对照表!$N$3:$N$24,[1]对照表!$P$3:$P$24),LOOKUP(J603,[1]对照表!$N$27:$N$48,[1]对照表!$P$27:$P$48)),IF(B603="高一",IF($E603="男",LOOKUP(J603,[1]对照表!$M$3:$M$24,[1]对照表!$P$3:$P$24),LOOKUP(J603,[1]对照表!$M$27:$M$48,[1]对照表!$P$27:$P$48)))))</f>
        <v>100</v>
      </c>
      <c r="L603" s="38">
        <v>11</v>
      </c>
      <c r="M603" s="32">
        <f>IF(B603="高三",IF($E603="男",LOOKUP(L603,[1]对照表!$S$3:$S$24,[1]对照表!$T$3:$T$24),LOOKUP(L603,[1]对照表!$S$27:$S$48,[1]对照表!$T$27:$T$48)),IF(B603="高二",IF($E603="男",LOOKUP(L603,[1]对照表!$R$3:$R$24,[1]对照表!$T$3:$T$24),LOOKUP(L603,[1]对照表!$R$27:$R$48,[1]对照表!$T$27:$T$48)),IF(B603="高一",IF($E603="男",LOOKUP(L603,[1]对照表!$Q$3:$Q$24,[1]对照表!$T$3:$T$24),LOOKUP(L603,[1]对照表!$Q$27:$Q$48,[1]对照表!$T$27:$T$48)))))</f>
        <v>72</v>
      </c>
      <c r="N603" s="33">
        <f>IF(B603="高三",MAX(IF(E603="男",L603-18,L603-55),0),IF(B603="高二",MAX(IF(E603="男",L603-17,L603-54),0),IF(B603="高一",MAX(IF(E603="男",L603-16,L603-53),0))))</f>
        <v>0</v>
      </c>
      <c r="O603" s="23">
        <f>IF(E603="男",LOOKUP($N603,[1]对照表!$Z$3:$Z$13,[1]对照表!$AA$3:$AA$13),LOOKUP($N603,[1]对照表!$Z$15:$Z$25,[1]对照表!$AA$15:$AA$25))</f>
        <v>0</v>
      </c>
      <c r="P603" s="25">
        <f>M603+O603</f>
        <v>72</v>
      </c>
      <c r="Q603" s="38">
        <v>3.24</v>
      </c>
      <c r="R603" s="32">
        <f>IF(B603="高三",IF($E603="男",LOOKUP(Q603,[1]对照表!$W$3:$W$24,[1]对照表!$X$3:$X$24),LOOKUP(Q603,[1]对照表!$W$27:$W$48,[1]对照表!$X$27:$X$48)),IF(B603="高二",IF($E603="男",LOOKUP(Q603,[1]对照表!$V$3:$V$24,[1]对照表!$X$3:$X$24),LOOKUP(Q603,[1]对照表!$V$27:$V$48,[1]对照表!$X$27:$X$48)),IF(B603="高一",IF($E603="男",LOOKUP(Q603,[1]对照表!$U$3:$U$24,[1]对照表!$X$3:$X$24),LOOKUP(Q603,[1]对照表!$U$27:$U$48,[1]对照表!$X$27:$X$48)))))</f>
        <v>100</v>
      </c>
      <c r="S603" s="27">
        <f>ROUND(IF(IF($B603="高三",MIN(IF($E603="男",$Q603-3.2,$Q603-3.2),0),IF($B603="高二",MIN(IF($E603="男",$Q603-3.25,$Q603-3.22),0),IF($B603="高一",MIN(IF($E603="男",$Q603-3.3,$Q603-3.24),0))))&lt;-0.6,IF($B603="高三",MIN(IF($E603="男",$Q603-3.2,$Q603-3.2),0),IF($B603="高二",MIN(IF($E603="男",$Q603-3.25,$Q603-3.22),0),IF($B603="高一",MIN(IF($E603="男",$Q603-3.3,$Q603-3.24),0))))+0.4,IF($B603="高三",MIN(IF($E603="男",$Q603-3.2,$Q603-3.2),0),IF($B603="高二",MIN(IF($E603="男",$Q603-3.25,$Q603-3.22),0),IF($B603="高一",MIN(IF($E603="男",$Q603-3.3,$Q603-3.24),0))))),2)</f>
        <v>-0.01</v>
      </c>
      <c r="T603" s="23">
        <f>IF(E603="男",LOOKUP($S603,[1]对照表!$AB$3:$AB$13,[1]对照表!$AC$3:$AC$13),LOOKUP($S603,[1]对照表!$AB$15:$AB$25,[1]对照表!$AC$15:$AC$25))</f>
        <v>0</v>
      </c>
      <c r="U603" s="26">
        <f>R603+T603</f>
        <v>100</v>
      </c>
      <c r="V603" s="26">
        <f>SUM(I603,K603,M603)/3*0.3+SUM(G603,R603)/2*0.4</f>
        <v>65.2</v>
      </c>
      <c r="W603" s="27">
        <f>O603+T603</f>
        <v>0</v>
      </c>
      <c r="X603" s="28">
        <f>V603/0.7+W603</f>
        <v>93.142857142857153</v>
      </c>
      <c r="Y603" s="28">
        <f>X603</f>
        <v>93.142857142857153</v>
      </c>
      <c r="Z603" s="38"/>
    </row>
    <row r="604" spans="1:26" ht="15.6" x14ac:dyDescent="0.25">
      <c r="A604" s="48">
        <v>5</v>
      </c>
      <c r="B604" s="17" t="s">
        <v>767</v>
      </c>
      <c r="C604" s="48">
        <v>215</v>
      </c>
      <c r="D604" s="49" t="s">
        <v>966</v>
      </c>
      <c r="E604" s="48" t="s">
        <v>23</v>
      </c>
      <c r="F604" s="38">
        <v>7.3</v>
      </c>
      <c r="G604" s="32">
        <f>IF(B604="高三",IF($E604="男",LOOKUP(F604,[1]对照表!$G$3:$G$24,[1]对照表!$H$3:$H$24),LOOKUP(F604,[1]对照表!$G$27:$G$48,[1]对照表!$H$27:$H$48)),IF(B604="高二",IF($E604="男",LOOKUP(F604,[1]对照表!$F$3:$F$24,[1]对照表!$H$3:$H$24),LOOKUP(F604,[1]对照表!$F$27:$F$48,[1]对照表!$H$27:$H$48)),IF(B604="高一",IF($E604="男",LOOKUP(F604,[1]对照表!$E$3:$E$24,[1]对照表!$H$3:$H$24),LOOKUP(F604,[1]对照表!$E$27:$E$48,[1]对照表!$H$27:$H$48)))))</f>
        <v>85</v>
      </c>
      <c r="H604" s="38">
        <v>16</v>
      </c>
      <c r="I604" s="32">
        <f>IF(B604="高三",IF($E604="男",LOOKUP(H604,[1]对照表!$K$3:$K$24,[1]对照表!$L$3:$L$24),LOOKUP(H604,[1]对照表!$K$27:$K$48,[1]对照表!$L$27:$L$48)),IF(B604="高二",IF($E604="男",LOOKUP(H604,[1]对照表!$J$3:$J$24,[1]对照表!$L$3:$L$24),LOOKUP(H604,[1]对照表!$J$27:$J$48,[1]对照表!$L$27:$L$48)),IF(B604="高一",IF($E604="男",LOOKUP(H604,[1]对照表!$I$3:$I$24,[1]对照表!$L$3:$L$24),LOOKUP(H604,[1]对照表!$I$27:$I$48,[1]对照表!$L$27:$L$48)))))</f>
        <v>78</v>
      </c>
      <c r="J604" s="38">
        <v>226</v>
      </c>
      <c r="K604" s="32">
        <f>IF(B604="高三",IF($E604="男",LOOKUP(J604,[1]对照表!$O$3:$O$24,[1]对照表!$P$3:$P$24),LOOKUP(J604,[1]对照表!$O$27:$O$48,[1]对照表!$P$27:$P$48)),IF(B604="高二",IF($E604="男",LOOKUP(J604,[1]对照表!$N$3:$N$24,[1]对照表!$P$3:$P$24),LOOKUP(J604,[1]对照表!$N$27:$N$48,[1]对照表!$P$27:$P$48)),IF(B604="高一",IF($E604="男",LOOKUP(J604,[1]对照表!$M$3:$M$24,[1]对照表!$P$3:$P$24),LOOKUP(J604,[1]对照表!$M$27:$M$48,[1]对照表!$P$27:$P$48)))))</f>
        <v>72</v>
      </c>
      <c r="L604" s="38">
        <v>21</v>
      </c>
      <c r="M604" s="32">
        <f>IF(B604="高三",IF($E604="男",LOOKUP(L604,[1]对照表!$S$3:$S$24,[1]对照表!$T$3:$T$24),LOOKUP(L604,[1]对照表!$S$27:$S$48,[1]对照表!$T$27:$T$48)),IF(B604="高二",IF($E604="男",LOOKUP(L604,[1]对照表!$R$3:$R$24,[1]对照表!$T$3:$T$24),LOOKUP(L604,[1]对照表!$R$27:$R$48,[1]对照表!$T$27:$T$48)),IF(B604="高一",IF($E604="男",LOOKUP(L604,[1]对照表!$Q$3:$Q$24,[1]对照表!$T$3:$T$24),LOOKUP(L604,[1]对照表!$Q$27:$Q$48,[1]对照表!$T$27:$T$48)))))</f>
        <v>100</v>
      </c>
      <c r="N604" s="33">
        <f>IF(B604="高三",MAX(IF(E604="男",L604-18,L604-55),0),IF(B604="高二",MAX(IF(E604="男",L604-17,L604-54),0),IF(B604="高一",MAX(IF(E604="男",L604-16,L604-53),0))))</f>
        <v>4</v>
      </c>
      <c r="O604" s="23">
        <f>IF(E604="男",LOOKUP($N604,[1]对照表!$Z$3:$Z$13,[1]对照表!$AA$3:$AA$13),LOOKUP($N604,[1]对照表!$Z$15:$Z$25,[1]对照表!$AA$15:$AA$25))</f>
        <v>4</v>
      </c>
      <c r="P604" s="25">
        <f>M604+O604</f>
        <v>104</v>
      </c>
      <c r="Q604" s="38">
        <v>3.22</v>
      </c>
      <c r="R604" s="32">
        <f>IF(B604="高三",IF($E604="男",LOOKUP(Q604,[1]对照表!$W$3:$W$24,[1]对照表!$X$3:$X$24),LOOKUP(Q604,[1]对照表!$W$27:$W$48,[1]对照表!$X$27:$X$48)),IF(B604="高二",IF($E604="男",LOOKUP(Q604,[1]对照表!$V$3:$V$24,[1]对照表!$X$3:$X$24),LOOKUP(Q604,[1]对照表!$V$27:$V$48,[1]对照表!$X$27:$X$48)),IF(B604="高一",IF($E604="男",LOOKUP(Q604,[1]对照表!$U$3:$U$24,[1]对照表!$X$3:$X$24),LOOKUP(Q604,[1]对照表!$U$27:$U$48,[1]对照表!$X$27:$X$48)))))</f>
        <v>100</v>
      </c>
      <c r="S604" s="33">
        <f>ROUND(IF(IF($B604="高三",MIN(IF($E604="男",$Q604-3.2,$Q604-3.2),0),IF($B604="高二",MIN(IF($E604="男",$Q604-3.25,$Q604-3.22),0),IF($B604="高一",MIN(IF($E604="男",$Q604-3.3,$Q604-3.24),0))))&lt;-0.6,IF($B604="高三",MIN(IF($E604="男",$Q604-3.2,$Q604-3.2),0),IF($B604="高二",MIN(IF($E604="男",$Q604-3.25,$Q604-3.22),0),IF($B604="高一",MIN(IF($E604="男",$Q604-3.3,$Q604-3.24),0))))+0.4,IF($B604="高三",MIN(IF($E604="男",$Q604-3.2,$Q604-3.2),0),IF($B604="高二",MIN(IF($E604="男",$Q604-3.25,$Q604-3.22),0),IF($B604="高一",MIN(IF($E604="男",$Q604-3.3,$Q604-3.24),0))))),2)</f>
        <v>-0.03</v>
      </c>
      <c r="T604" s="23">
        <f>IF(E604="男",LOOKUP($S604,[1]对照表!$AB$3:$AB$13,[1]对照表!$AC$3:$AC$13),LOOKUP($S604,[1]对照表!$AB$15:$AB$25,[1]对照表!$AC$15:$AC$25))</f>
        <v>0</v>
      </c>
      <c r="U604" s="26">
        <f>R604+T604</f>
        <v>100</v>
      </c>
      <c r="V604" s="26">
        <f>SUM(I604,K604,M604)/3*0.3+SUM(G604,R604)/2*0.4</f>
        <v>62</v>
      </c>
      <c r="W604" s="27">
        <f>O604+T604</f>
        <v>4</v>
      </c>
      <c r="X604" s="28">
        <f>V604/0.7+W604</f>
        <v>92.571428571428584</v>
      </c>
      <c r="Y604" s="28">
        <f>X604</f>
        <v>92.571428571428584</v>
      </c>
      <c r="Z604" s="38"/>
    </row>
    <row r="605" spans="1:26" ht="15.6" x14ac:dyDescent="0.25">
      <c r="A605" s="38">
        <v>23</v>
      </c>
      <c r="B605" s="17" t="s">
        <v>767</v>
      </c>
      <c r="C605" s="48">
        <v>215</v>
      </c>
      <c r="D605" s="49" t="s">
        <v>972</v>
      </c>
      <c r="E605" s="48" t="s">
        <v>23</v>
      </c>
      <c r="F605" s="52">
        <v>7.1</v>
      </c>
      <c r="G605" s="32">
        <f>IF(B605="高三",IF($E605="男",LOOKUP(F605,[1]对照表!$G$3:$G$24,[1]对照表!$H$3:$H$24),LOOKUP(F605,[1]对照表!$G$27:$G$48,[1]对照表!$H$27:$H$48)),IF(B605="高二",IF($E605="男",LOOKUP(F605,[1]对照表!$F$3:$F$24,[1]对照表!$H$3:$H$24),LOOKUP(F605,[1]对照表!$F$27:$F$48,[1]对照表!$H$27:$H$48)),IF(B605="高一",IF($E605="男",LOOKUP(F605,[1]对照表!$E$3:$E$24,[1]对照表!$H$3:$H$24),LOOKUP(F605,[1]对照表!$E$27:$E$48,[1]对照表!$H$27:$H$48)))))</f>
        <v>95</v>
      </c>
      <c r="H605" s="52">
        <v>22.7</v>
      </c>
      <c r="I605" s="32">
        <f>IF(B605="高三",IF($E605="男",LOOKUP(H605,[1]对照表!$K$3:$K$24,[1]对照表!$L$3:$L$24),LOOKUP(H605,[1]对照表!$K$27:$K$48,[1]对照表!$L$27:$L$48)),IF(B605="高二",IF($E605="男",LOOKUP(H605,[1]对照表!$J$3:$J$24,[1]对照表!$L$3:$L$24),LOOKUP(H605,[1]对照表!$J$27:$J$48,[1]对照表!$L$27:$L$48)),IF(B605="高一",IF($E605="男",LOOKUP(H605,[1]对照表!$I$3:$I$24,[1]对照表!$L$3:$L$24),LOOKUP(H605,[1]对照表!$I$27:$I$48,[1]对照表!$L$27:$L$48)))))</f>
        <v>95</v>
      </c>
      <c r="J605" s="52">
        <v>255</v>
      </c>
      <c r="K605" s="32">
        <f>IF(B605="高三",IF($E605="男",LOOKUP(J605,[1]对照表!$O$3:$O$24,[1]对照表!$P$3:$P$24),LOOKUP(J605,[1]对照表!$O$27:$O$48,[1]对照表!$P$27:$P$48)),IF(B605="高二",IF($E605="男",LOOKUP(J605,[1]对照表!$N$3:$N$24,[1]对照表!$P$3:$P$24),LOOKUP(J605,[1]对照表!$N$27:$N$48,[1]对照表!$P$27:$P$48)),IF(B605="高一",IF($E605="男",LOOKUP(J605,[1]对照表!$M$3:$M$24,[1]对照表!$P$3:$P$24),LOOKUP(J605,[1]对照表!$M$27:$M$48,[1]对照表!$P$27:$P$48)))))</f>
        <v>90</v>
      </c>
      <c r="L605" s="52">
        <v>17</v>
      </c>
      <c r="M605" s="32">
        <f>IF(B605="高三",IF($E605="男",LOOKUP(L605,[1]对照表!$S$3:$S$24,[1]对照表!$T$3:$T$24),LOOKUP(L605,[1]对照表!$S$27:$S$48,[1]对照表!$T$27:$T$48)),IF(B605="高二",IF($E605="男",LOOKUP(L605,[1]对照表!$R$3:$R$24,[1]对照表!$T$3:$T$24),LOOKUP(L605,[1]对照表!$R$27:$R$48,[1]对照表!$T$27:$T$48)),IF(B605="高一",IF($E605="男",LOOKUP(L605,[1]对照表!$Q$3:$Q$24,[1]对照表!$T$3:$T$24),LOOKUP(L605,[1]对照表!$Q$27:$Q$48,[1]对照表!$T$27:$T$48)))))</f>
        <v>100</v>
      </c>
      <c r="N605" s="33">
        <f>IF(B605="高三",MAX(IF(E605="男",L605-18,L605-55),0),IF(B605="高二",MAX(IF(E605="男",L605-17,L605-54),0),IF(B605="高一",MAX(IF(E605="男",L605-16,L605-53),0))))</f>
        <v>0</v>
      </c>
      <c r="O605" s="23">
        <f>IF(E605="男",LOOKUP($N605,[1]对照表!$Z$3:$Z$13,[1]对照表!$AA$3:$AA$13),LOOKUP($N605,[1]对照表!$Z$15:$Z$25,[1]对照表!$AA$15:$AA$25))</f>
        <v>0</v>
      </c>
      <c r="P605" s="25">
        <f>M605+O605</f>
        <v>100</v>
      </c>
      <c r="Q605" s="52">
        <v>3.36</v>
      </c>
      <c r="R605" s="32">
        <f>IF(B605="高三",IF($E605="男",LOOKUP(Q605,[1]对照表!$W$3:$W$24,[1]对照表!$X$3:$X$24),LOOKUP(Q605,[1]对照表!$W$27:$W$48,[1]对照表!$X$27:$X$48)),IF(B605="高二",IF($E605="男",LOOKUP(Q605,[1]对照表!$V$3:$V$24,[1]对照表!$X$3:$X$24),LOOKUP(Q605,[1]对照表!$V$27:$V$48,[1]对照表!$X$27:$X$48)),IF(B605="高一",IF($E605="男",LOOKUP(Q605,[1]对照表!$U$3:$U$24,[1]对照表!$X$3:$X$24),LOOKUP(Q605,[1]对照表!$U$27:$U$48,[1]对照表!$X$27:$X$48)))))</f>
        <v>85</v>
      </c>
      <c r="S605" s="33">
        <f>ROUND(IF(IF($B605="高三",MIN(IF($E605="男",$Q605-3.2,$Q605-3.2),0),IF($B605="高二",MIN(IF($E605="男",$Q605-3.25,$Q605-3.22),0),IF($B605="高一",MIN(IF($E605="男",$Q605-3.3,$Q605-3.24),0))))&lt;-0.6,IF($B605="高三",MIN(IF($E605="男",$Q605-3.2,$Q605-3.2),0),IF($B605="高二",MIN(IF($E605="男",$Q605-3.25,$Q605-3.22),0),IF($B605="高一",MIN(IF($E605="男",$Q605-3.3,$Q605-3.24),0))))+0.4,IF($B605="高三",MIN(IF($E605="男",$Q605-3.2,$Q605-3.2),0),IF($B605="高二",MIN(IF($E605="男",$Q605-3.25,$Q605-3.22),0),IF($B605="高一",MIN(IF($E605="男",$Q605-3.3,$Q605-3.24),0))))),2)</f>
        <v>0</v>
      </c>
      <c r="T605" s="23">
        <f>IF(E605="男",LOOKUP($S605,[1]对照表!$AB$3:$AB$13,[1]对照表!$AC$3:$AC$13),LOOKUP($S605,[1]对照表!$AB$15:$AB$25,[1]对照表!$AC$15:$AC$25))</f>
        <v>0</v>
      </c>
      <c r="U605" s="26">
        <f>R605+T605</f>
        <v>85</v>
      </c>
      <c r="V605" s="26">
        <f>SUM(I605,K605,M605)/3*0.3+SUM(G605,R605)/2*0.4</f>
        <v>64.5</v>
      </c>
      <c r="W605" s="27">
        <f>O605+T605</f>
        <v>0</v>
      </c>
      <c r="X605" s="28">
        <f>V605/0.7+W605</f>
        <v>92.142857142857153</v>
      </c>
      <c r="Y605" s="28">
        <f>X605</f>
        <v>92.142857142857153</v>
      </c>
      <c r="Z605" s="52"/>
    </row>
    <row r="606" spans="1:26" ht="15.6" x14ac:dyDescent="0.25">
      <c r="A606" s="48">
        <v>37</v>
      </c>
      <c r="B606" s="17" t="s">
        <v>767</v>
      </c>
      <c r="C606" s="48">
        <v>215</v>
      </c>
      <c r="D606" s="49" t="s">
        <v>979</v>
      </c>
      <c r="E606" s="48" t="s">
        <v>65</v>
      </c>
      <c r="F606" s="52">
        <v>8.4600000000000009</v>
      </c>
      <c r="G606" s="32">
        <f>IF(B606="高三",IF($E606="男",LOOKUP(F606,[1]对照表!$G$3:$G$24,[1]对照表!$H$3:$H$24),LOOKUP(F606,[1]对照表!$G$27:$G$48,[1]对照表!$H$27:$H$48)),IF(B606="高二",IF($E606="男",LOOKUP(F606,[1]对照表!$F$3:$F$24,[1]对照表!$H$3:$H$24),LOOKUP(F606,[1]对照表!$F$27:$F$48,[1]对照表!$H$27:$H$48)),IF(B606="高一",IF($E606="男",LOOKUP(F606,[1]对照表!$E$3:$E$24,[1]对照表!$H$3:$H$24),LOOKUP(F606,[1]对照表!$E$27:$E$48,[1]对照表!$H$27:$H$48)))))</f>
        <v>80</v>
      </c>
      <c r="H606" s="52">
        <v>15.2</v>
      </c>
      <c r="I606" s="32">
        <f>IF(B606="高三",IF($E606="男",LOOKUP(H606,[1]对照表!$K$3:$K$24,[1]对照表!$L$3:$L$24),LOOKUP(H606,[1]对照表!$K$27:$K$48,[1]对照表!$L$27:$L$48)),IF(B606="高二",IF($E606="男",LOOKUP(H606,[1]对照表!$J$3:$J$24,[1]对照表!$L$3:$L$24),LOOKUP(H606,[1]对照表!$J$27:$J$48,[1]对照表!$L$27:$L$48)),IF(B606="高一",IF($E606="男",LOOKUP(H606,[1]对照表!$I$3:$I$24,[1]对照表!$L$3:$L$24),LOOKUP(H606,[1]对照表!$I$27:$I$48,[1]对照表!$L$27:$L$48)))))</f>
        <v>74</v>
      </c>
      <c r="J606" s="52">
        <v>175</v>
      </c>
      <c r="K606" s="32">
        <f>IF(B606="高三",IF($E606="男",LOOKUP(J606,[1]对照表!$O$3:$O$24,[1]对照表!$P$3:$P$24),LOOKUP(J606,[1]对照表!$O$27:$O$48,[1]对照表!$P$27:$P$48)),IF(B606="高二",IF($E606="男",LOOKUP(J606,[1]对照表!$N$3:$N$24,[1]对照表!$P$3:$P$24),LOOKUP(J606,[1]对照表!$N$27:$N$48,[1]对照表!$P$27:$P$48)),IF(B606="高一",IF($E606="男",LOOKUP(J606,[1]对照表!$M$3:$M$24,[1]对照表!$P$3:$P$24),LOOKUP(J606,[1]对照表!$M$27:$M$48,[1]对照表!$P$27:$P$48)))))</f>
        <v>76</v>
      </c>
      <c r="L606" s="52">
        <v>48</v>
      </c>
      <c r="M606" s="32">
        <f>IF(B606="高三",IF($E606="男",LOOKUP(L606,[1]对照表!$S$3:$S$24,[1]对照表!$T$3:$T$24),LOOKUP(L606,[1]对照表!$S$27:$S$48,[1]对照表!$T$27:$T$48)),IF(B606="高二",IF($E606="男",LOOKUP(L606,[1]对照表!$R$3:$R$24,[1]对照表!$T$3:$T$24),LOOKUP(L606,[1]对照表!$R$27:$R$48,[1]对照表!$T$27:$T$48)),IF(B606="高一",IF($E606="男",LOOKUP(L606,[1]对照表!$Q$3:$Q$24,[1]对照表!$T$3:$T$24),LOOKUP(L606,[1]对照表!$Q$27:$Q$48,[1]对照表!$T$27:$T$48)))))</f>
        <v>85</v>
      </c>
      <c r="N606" s="33">
        <f>IF(B606="高三",MAX(IF(E606="男",L606-18,L606-55),0),IF(B606="高二",MAX(IF(E606="男",L606-17,L606-54),0),IF(B606="高一",MAX(IF(E606="男",L606-16,L606-53),0))))</f>
        <v>0</v>
      </c>
      <c r="O606" s="23">
        <f>IF(E606="男",LOOKUP($N606,[1]对照表!$Z$3:$Z$13,[1]对照表!$AA$3:$AA$13),LOOKUP($N606,[1]对照表!$Z$15:$Z$25,[1]对照表!$AA$15:$AA$25))</f>
        <v>0</v>
      </c>
      <c r="P606" s="25">
        <f>M606+O606</f>
        <v>85</v>
      </c>
      <c r="Q606" s="52">
        <v>3.23</v>
      </c>
      <c r="R606" s="32">
        <f>IF(B606="高三",IF($E606="男",LOOKUP(Q606,[1]对照表!$W$3:$W$24,[1]对照表!$X$3:$X$24),LOOKUP(Q606,[1]对照表!$W$27:$W$48,[1]对照表!$X$27:$X$48)),IF(B606="高二",IF($E606="男",LOOKUP(Q606,[1]对照表!$V$3:$V$24,[1]对照表!$X$3:$X$24),LOOKUP(Q606,[1]对照表!$V$27:$V$48,[1]对照表!$X$27:$X$48)),IF(B606="高一",IF($E606="男",LOOKUP(Q606,[1]对照表!$U$3:$U$24,[1]对照表!$X$3:$X$24),LOOKUP(Q606,[1]对照表!$U$27:$U$48,[1]对照表!$X$27:$X$48)))))</f>
        <v>95</v>
      </c>
      <c r="S606" s="33">
        <f>ROUND(IF(IF($B606="高三",MIN(IF($E606="男",$Q606-3.2,$Q606-3.2),0),IF($B606="高二",MIN(IF($E606="男",$Q606-3.25,$Q606-3.22),0),IF($B606="高一",MIN(IF($E606="男",$Q606-3.3,$Q606-3.24),0))))&lt;-0.6,IF($B606="高三",MIN(IF($E606="男",$Q606-3.2,$Q606-3.2),0),IF($B606="高二",MIN(IF($E606="男",$Q606-3.25,$Q606-3.22),0),IF($B606="高一",MIN(IF($E606="男",$Q606-3.3,$Q606-3.24),0))))+0.4,IF($B606="高三",MIN(IF($E606="男",$Q606-3.2,$Q606-3.2),0),IF($B606="高二",MIN(IF($E606="男",$Q606-3.25,$Q606-3.22),0),IF($B606="高一",MIN(IF($E606="男",$Q606-3.3,$Q606-3.24),0))))),2)</f>
        <v>0</v>
      </c>
      <c r="T606" s="23">
        <f>IF(E606="男",LOOKUP($S606,[1]对照表!$AB$3:$AB$13,[1]对照表!$AC$3:$AC$13),LOOKUP($S606,[1]对照表!$AB$15:$AB$25,[1]对照表!$AC$15:$AC$25))</f>
        <v>0</v>
      </c>
      <c r="U606" s="26">
        <f>R606+T606</f>
        <v>95</v>
      </c>
      <c r="V606" s="26">
        <f>SUM(I606,K606,M606)/3*0.3+SUM(G606,R606)/2*0.4</f>
        <v>58.5</v>
      </c>
      <c r="W606" s="27">
        <f>O606+T606</f>
        <v>0</v>
      </c>
      <c r="X606" s="28">
        <f>V606/0.7+W606</f>
        <v>83.571428571428584</v>
      </c>
      <c r="Y606" s="28">
        <f>X606</f>
        <v>83.571428571428584</v>
      </c>
      <c r="Z606" s="52"/>
    </row>
    <row r="607" spans="1:26" ht="15.6" x14ac:dyDescent="0.25">
      <c r="A607" s="48">
        <v>11</v>
      </c>
      <c r="B607" s="17" t="s">
        <v>767</v>
      </c>
      <c r="C607" s="48">
        <v>215</v>
      </c>
      <c r="D607" s="49" t="s">
        <v>987</v>
      </c>
      <c r="E607" s="48" t="s">
        <v>23</v>
      </c>
      <c r="F607" s="38">
        <v>7.6</v>
      </c>
      <c r="G607" s="32">
        <f>IF(B607="高三",IF($E607="男",LOOKUP(F607,[1]对照表!$G$3:$G$24,[1]对照表!$H$3:$H$24),LOOKUP(F607,[1]对照表!$G$27:$G$48,[1]对照表!$H$27:$H$48)),IF(B607="高二",IF($E607="男",LOOKUP(F607,[1]对照表!$F$3:$F$24,[1]对照表!$H$3:$H$24),LOOKUP(F607,[1]对照表!$F$27:$F$48,[1]对照表!$H$27:$H$48)),IF(B607="高一",IF($E607="男",LOOKUP(F607,[1]对照表!$E$3:$E$24,[1]对照表!$H$3:$H$24),LOOKUP(F607,[1]对照表!$E$27:$E$48,[1]对照表!$H$27:$H$48)))))</f>
        <v>78</v>
      </c>
      <c r="H607" s="38">
        <v>10</v>
      </c>
      <c r="I607" s="32">
        <f>IF(B607="高三",IF($E607="男",LOOKUP(H607,[1]对照表!$K$3:$K$24,[1]对照表!$L$3:$L$24),LOOKUP(H607,[1]对照表!$K$27:$K$48,[1]对照表!$L$27:$L$48)),IF(B607="高二",IF($E607="男",LOOKUP(H607,[1]对照表!$J$3:$J$24,[1]对照表!$L$3:$L$24),LOOKUP(H607,[1]对照表!$J$27:$J$48,[1]对照表!$L$27:$L$48)),IF(B607="高一",IF($E607="男",LOOKUP(H607,[1]对照表!$I$3:$I$24,[1]对照表!$L$3:$L$24),LOOKUP(H607,[1]对照表!$I$27:$I$48,[1]对照表!$L$27:$L$48)))))</f>
        <v>70</v>
      </c>
      <c r="J607" s="38">
        <v>220</v>
      </c>
      <c r="K607" s="32">
        <f>IF(B607="高三",IF($E607="男",LOOKUP(J607,[1]对照表!$O$3:$O$24,[1]对照表!$P$3:$P$24),LOOKUP(J607,[1]对照表!$O$27:$O$48,[1]对照表!$P$27:$P$48)),IF(B607="高二",IF($E607="男",LOOKUP(J607,[1]对照表!$N$3:$N$24,[1]对照表!$P$3:$P$24),LOOKUP(J607,[1]对照表!$N$27:$N$48,[1]对照表!$P$27:$P$48)),IF(B607="高一",IF($E607="男",LOOKUP(J607,[1]对照表!$M$3:$M$24,[1]对照表!$P$3:$P$24),LOOKUP(J607,[1]对照表!$M$27:$M$48,[1]对照表!$P$27:$P$48)))))</f>
        <v>70</v>
      </c>
      <c r="L607" s="38">
        <v>22</v>
      </c>
      <c r="M607" s="32">
        <f>IF(B607="高三",IF($E607="男",LOOKUP(L607,[1]对照表!$S$3:$S$24,[1]对照表!$T$3:$T$24),LOOKUP(L607,[1]对照表!$S$27:$S$48,[1]对照表!$T$27:$T$48)),IF(B607="高二",IF($E607="男",LOOKUP(L607,[1]对照表!$R$3:$R$24,[1]对照表!$T$3:$T$24),LOOKUP(L607,[1]对照表!$R$27:$R$48,[1]对照表!$T$27:$T$48)),IF(B607="高一",IF($E607="男",LOOKUP(L607,[1]对照表!$Q$3:$Q$24,[1]对照表!$T$3:$T$24),LOOKUP(L607,[1]对照表!$Q$27:$Q$48,[1]对照表!$T$27:$T$48)))))</f>
        <v>100</v>
      </c>
      <c r="N607" s="33">
        <f>IF(B607="高三",MAX(IF(E607="男",L607-18,L607-55),0),IF(B607="高二",MAX(IF(E607="男",L607-17,L607-54),0),IF(B607="高一",MAX(IF(E607="男",L607-16,L607-53),0))))</f>
        <v>5</v>
      </c>
      <c r="O607" s="23">
        <f>IF(E607="男",LOOKUP($N607,[1]对照表!$Z$3:$Z$13,[1]对照表!$AA$3:$AA$13),LOOKUP($N607,[1]对照表!$Z$15:$Z$25,[1]对照表!$AA$15:$AA$25))</f>
        <v>5</v>
      </c>
      <c r="P607" s="25">
        <f>M607+O607</f>
        <v>105</v>
      </c>
      <c r="Q607" s="38">
        <v>3.2</v>
      </c>
      <c r="R607" s="32">
        <f>IF(B607="高三",IF($E607="男",LOOKUP(Q607,[1]对照表!$W$3:$W$24,[1]对照表!$X$3:$X$24),LOOKUP(Q607,[1]对照表!$W$27:$W$48,[1]对照表!$X$27:$X$48)),IF(B607="高二",IF($E607="男",LOOKUP(Q607,[1]对照表!$V$3:$V$24,[1]对照表!$X$3:$X$24),LOOKUP(Q607,[1]对照表!$V$27:$V$48,[1]对照表!$X$27:$X$48)),IF(B607="高一",IF($E607="男",LOOKUP(Q607,[1]对照表!$U$3:$U$24,[1]对照表!$X$3:$X$24),LOOKUP(Q607,[1]对照表!$U$27:$U$48,[1]对照表!$X$27:$X$48)))))</f>
        <v>100</v>
      </c>
      <c r="S607" s="33">
        <f>ROUND(IF(IF($B607="高三",MIN(IF($E607="男",$Q607-3.2,$Q607-3.2),0),IF($B607="高二",MIN(IF($E607="男",$Q607-3.25,$Q607-3.22),0),IF($B607="高一",MIN(IF($E607="男",$Q607-3.3,$Q607-3.24),0))))&lt;-0.6,IF($B607="高三",MIN(IF($E607="男",$Q607-3.2,$Q607-3.2),0),IF($B607="高二",MIN(IF($E607="男",$Q607-3.25,$Q607-3.22),0),IF($B607="高一",MIN(IF($E607="男",$Q607-3.3,$Q607-3.24),0))))+0.4,IF($B607="高三",MIN(IF($E607="男",$Q607-3.2,$Q607-3.2),0),IF($B607="高二",MIN(IF($E607="男",$Q607-3.25,$Q607-3.22),0),IF($B607="高一",MIN(IF($E607="男",$Q607-3.3,$Q607-3.24),0))))),2)</f>
        <v>-0.05</v>
      </c>
      <c r="T607" s="23">
        <f>IF(E607="男",LOOKUP($S607,[1]对照表!$AB$3:$AB$13,[1]对照表!$AC$3:$AC$13),LOOKUP($S607,[1]对照表!$AB$15:$AB$25,[1]对照表!$AC$15:$AC$25))</f>
        <v>1</v>
      </c>
      <c r="U607" s="26">
        <f>R607+T607</f>
        <v>101</v>
      </c>
      <c r="V607" s="26">
        <f>SUM(I607,K607,M607)/3*0.3+SUM(G607,R607)/2*0.4</f>
        <v>59.6</v>
      </c>
      <c r="W607" s="27">
        <f>O607+T607</f>
        <v>6</v>
      </c>
      <c r="X607" s="28">
        <f>V607/0.7+W607</f>
        <v>91.142857142857153</v>
      </c>
      <c r="Y607" s="28">
        <f>X607</f>
        <v>91.142857142857153</v>
      </c>
      <c r="Z607" s="38"/>
    </row>
    <row r="608" spans="1:26" ht="15.6" x14ac:dyDescent="0.25">
      <c r="A608" s="48">
        <v>20</v>
      </c>
      <c r="B608" s="17" t="s">
        <v>767</v>
      </c>
      <c r="C608" s="48">
        <v>215</v>
      </c>
      <c r="D608" s="49" t="s">
        <v>1000</v>
      </c>
      <c r="E608" s="48" t="s">
        <v>23</v>
      </c>
      <c r="F608" s="38">
        <v>6.7</v>
      </c>
      <c r="G608" s="32">
        <f>IF(B608="高三",IF($E608="男",LOOKUP(F608,[1]对照表!$G$3:$G$24,[1]对照表!$H$3:$H$24),LOOKUP(F608,[1]对照表!$G$27:$G$48,[1]对照表!$H$27:$H$48)),IF(B608="高二",IF($E608="男",LOOKUP(F608,[1]对照表!$F$3:$F$24,[1]对照表!$H$3:$H$24),LOOKUP(F608,[1]对照表!$F$27:$F$48,[1]对照表!$H$27:$H$48)),IF(B608="高一",IF($E608="男",LOOKUP(F608,[1]对照表!$E$3:$E$24,[1]对照表!$H$3:$H$24),LOOKUP(F608,[1]对照表!$E$27:$E$48,[1]对照表!$H$27:$H$48)))))</f>
        <v>100</v>
      </c>
      <c r="H608" s="38">
        <v>17.5</v>
      </c>
      <c r="I608" s="32">
        <f>IF(B608="高三",IF($E608="男",LOOKUP(H608,[1]对照表!$K$3:$K$24,[1]对照表!$L$3:$L$24),LOOKUP(H608,[1]对照表!$K$27:$K$48,[1]对照表!$L$27:$L$48)),IF(B608="高二",IF($E608="男",LOOKUP(H608,[1]对照表!$J$3:$J$24,[1]对照表!$L$3:$L$24),LOOKUP(H608,[1]对照表!$J$27:$J$48,[1]对照表!$L$27:$L$48)),IF(B608="高一",IF($E608="男",LOOKUP(H608,[1]对照表!$I$3:$I$24,[1]对照表!$L$3:$L$24),LOOKUP(H608,[1]对照表!$I$27:$I$48,[1]对照表!$L$27:$L$48)))))</f>
        <v>80</v>
      </c>
      <c r="J608" s="38">
        <v>265</v>
      </c>
      <c r="K608" s="32">
        <f>IF(B608="高三",IF($E608="男",LOOKUP(J608,[1]对照表!$O$3:$O$24,[1]对照表!$P$3:$P$24),LOOKUP(J608,[1]对照表!$O$27:$O$48,[1]对照表!$P$27:$P$48)),IF(B608="高二",IF($E608="男",LOOKUP(J608,[1]对照表!$N$3:$N$24,[1]对照表!$P$3:$P$24),LOOKUP(J608,[1]对照表!$N$27:$N$48,[1]对照表!$P$27:$P$48)),IF(B608="高一",IF($E608="男",LOOKUP(J608,[1]对照表!$M$3:$M$24,[1]对照表!$P$3:$P$24),LOOKUP(J608,[1]对照表!$M$27:$M$48,[1]对照表!$P$27:$P$48)))))</f>
        <v>100</v>
      </c>
      <c r="L608" s="38">
        <v>13</v>
      </c>
      <c r="M608" s="32">
        <f>IF(B608="高三",IF($E608="男",LOOKUP(L608,[1]对照表!$S$3:$S$24,[1]对照表!$T$3:$T$24),LOOKUP(L608,[1]对照表!$S$27:$S$48,[1]对照表!$T$27:$T$48)),IF(B608="高二",IF($E608="男",LOOKUP(L608,[1]对照表!$R$3:$R$24,[1]对照表!$T$3:$T$24),LOOKUP(L608,[1]对照表!$R$27:$R$48,[1]对照表!$T$27:$T$48)),IF(B608="高一",IF($E608="男",LOOKUP(L608,[1]对照表!$Q$3:$Q$24,[1]对照表!$T$3:$T$24),LOOKUP(L608,[1]对照表!$Q$27:$Q$48,[1]对照表!$T$27:$T$48)))))</f>
        <v>80</v>
      </c>
      <c r="N608" s="33">
        <f>IF(B608="高三",MAX(IF(E608="男",L608-18,L608-55),0),IF(B608="高二",MAX(IF(E608="男",L608-17,L608-54),0),IF(B608="高一",MAX(IF(E608="男",L608-16,L608-53),0))))</f>
        <v>0</v>
      </c>
      <c r="O608" s="23">
        <f>IF(E608="男",LOOKUP($N608,[1]对照表!$Z$3:$Z$13,[1]对照表!$AA$3:$AA$13),LOOKUP($N608,[1]对照表!$Z$15:$Z$25,[1]对照表!$AA$15:$AA$25))</f>
        <v>0</v>
      </c>
      <c r="P608" s="25">
        <f>M608+O608</f>
        <v>80</v>
      </c>
      <c r="Q608" s="38">
        <v>3.38</v>
      </c>
      <c r="R608" s="32">
        <f>IF(B608="高三",IF($E608="男",LOOKUP(Q608,[1]对照表!$W$3:$W$24,[1]对照表!$X$3:$X$24),LOOKUP(Q608,[1]对照表!$W$27:$W$48,[1]对照表!$X$27:$X$48)),IF(B608="高二",IF($E608="男",LOOKUP(Q608,[1]对照表!$V$3:$V$24,[1]对照表!$X$3:$X$24),LOOKUP(Q608,[1]对照表!$V$27:$V$48,[1]对照表!$X$27:$X$48)),IF(B608="高一",IF($E608="男",LOOKUP(Q608,[1]对照表!$U$3:$U$24,[1]对照表!$X$3:$X$24),LOOKUP(Q608,[1]对照表!$U$27:$U$48,[1]对照表!$X$27:$X$48)))))</f>
        <v>85</v>
      </c>
      <c r="S608" s="33">
        <f>ROUND(IF(IF($B608="高三",MIN(IF($E608="男",$Q608-3.2,$Q608-3.2),0),IF($B608="高二",MIN(IF($E608="男",$Q608-3.25,$Q608-3.22),0),IF($B608="高一",MIN(IF($E608="男",$Q608-3.3,$Q608-3.24),0))))&lt;-0.6,IF($B608="高三",MIN(IF($E608="男",$Q608-3.2,$Q608-3.2),0),IF($B608="高二",MIN(IF($E608="男",$Q608-3.25,$Q608-3.22),0),IF($B608="高一",MIN(IF($E608="男",$Q608-3.3,$Q608-3.24),0))))+0.4,IF($B608="高三",MIN(IF($E608="男",$Q608-3.2,$Q608-3.2),0),IF($B608="高二",MIN(IF($E608="男",$Q608-3.25,$Q608-3.22),0),IF($B608="高一",MIN(IF($E608="男",$Q608-3.3,$Q608-3.24),0))))),2)</f>
        <v>0</v>
      </c>
      <c r="T608" s="23">
        <f>IF(E608="男",LOOKUP($S608,[1]对照表!$AB$3:$AB$13,[1]对照表!$AC$3:$AC$13),LOOKUP($S608,[1]对照表!$AB$15:$AB$25,[1]对照表!$AC$15:$AC$25))</f>
        <v>0</v>
      </c>
      <c r="U608" s="26">
        <f>R608+T608</f>
        <v>85</v>
      </c>
      <c r="V608" s="26">
        <f>SUM(I608,K608,M608)/3*0.3+SUM(G608,R608)/2*0.4</f>
        <v>63</v>
      </c>
      <c r="W608" s="27">
        <f>O608+T608</f>
        <v>0</v>
      </c>
      <c r="X608" s="28">
        <f>V608/0.7+W608</f>
        <v>90</v>
      </c>
      <c r="Y608" s="28">
        <f>X608</f>
        <v>90</v>
      </c>
      <c r="Z608" s="38"/>
    </row>
    <row r="609" spans="1:26" ht="15.6" x14ac:dyDescent="0.25">
      <c r="A609" s="38">
        <v>21</v>
      </c>
      <c r="B609" s="17" t="s">
        <v>767</v>
      </c>
      <c r="C609" s="48">
        <v>215</v>
      </c>
      <c r="D609" s="49" t="s">
        <v>1002</v>
      </c>
      <c r="E609" s="48" t="s">
        <v>23</v>
      </c>
      <c r="F609" s="38">
        <v>7.3</v>
      </c>
      <c r="G609" s="32">
        <f>IF(B609="高三",IF($E609="男",LOOKUP(F609,[1]对照表!$G$3:$G$24,[1]对照表!$H$3:$H$24),LOOKUP(F609,[1]对照表!$G$27:$G$48,[1]对照表!$H$27:$H$48)),IF(B609="高二",IF($E609="男",LOOKUP(F609,[1]对照表!$F$3:$F$24,[1]对照表!$H$3:$H$24),LOOKUP(F609,[1]对照表!$F$27:$F$48,[1]对照表!$H$27:$H$48)),IF(B609="高一",IF($E609="男",LOOKUP(F609,[1]对照表!$E$3:$E$24,[1]对照表!$H$3:$H$24),LOOKUP(F609,[1]对照表!$E$27:$E$48,[1]对照表!$H$27:$H$48)))))</f>
        <v>85</v>
      </c>
      <c r="H609" s="38">
        <v>30</v>
      </c>
      <c r="I609" s="32">
        <f>IF(B609="高三",IF($E609="男",LOOKUP(H609,[1]对照表!$K$3:$K$24,[1]对照表!$L$3:$L$24),LOOKUP(H609,[1]对照表!$K$27:$K$48,[1]对照表!$L$27:$L$48)),IF(B609="高二",IF($E609="男",LOOKUP(H609,[1]对照表!$J$3:$J$24,[1]对照表!$L$3:$L$24),LOOKUP(H609,[1]对照表!$J$27:$J$48,[1]对照表!$L$27:$L$48)),IF(B609="高一",IF($E609="男",LOOKUP(H609,[1]对照表!$I$3:$I$24,[1]对照表!$L$3:$L$24),LOOKUP(H609,[1]对照表!$I$27:$I$48,[1]对照表!$L$27:$L$48)))))</f>
        <v>100</v>
      </c>
      <c r="J609" s="38">
        <v>265</v>
      </c>
      <c r="K609" s="32">
        <f>IF(B609="高三",IF($E609="男",LOOKUP(J609,[1]对照表!$O$3:$O$24,[1]对照表!$P$3:$P$24),LOOKUP(J609,[1]对照表!$O$27:$O$48,[1]对照表!$P$27:$P$48)),IF(B609="高二",IF($E609="男",LOOKUP(J609,[1]对照表!$N$3:$N$24,[1]对照表!$P$3:$P$24),LOOKUP(J609,[1]对照表!$N$27:$N$48,[1]对照表!$P$27:$P$48)),IF(B609="高一",IF($E609="男",LOOKUP(J609,[1]对照表!$M$3:$M$24,[1]对照表!$P$3:$P$24),LOOKUP(J609,[1]对照表!$M$27:$M$48,[1]对照表!$P$27:$P$48)))))</f>
        <v>100</v>
      </c>
      <c r="L609" s="38">
        <v>17</v>
      </c>
      <c r="M609" s="32">
        <f>IF(B609="高三",IF($E609="男",LOOKUP(L609,[1]对照表!$S$3:$S$24,[1]对照表!$T$3:$T$24),LOOKUP(L609,[1]对照表!$S$27:$S$48,[1]对照表!$T$27:$T$48)),IF(B609="高二",IF($E609="男",LOOKUP(L609,[1]对照表!$R$3:$R$24,[1]对照表!$T$3:$T$24),LOOKUP(L609,[1]对照表!$R$27:$R$48,[1]对照表!$T$27:$T$48)),IF(B609="高一",IF($E609="男",LOOKUP(L609,[1]对照表!$Q$3:$Q$24,[1]对照表!$T$3:$T$24),LOOKUP(L609,[1]对照表!$Q$27:$Q$48,[1]对照表!$T$27:$T$48)))))</f>
        <v>100</v>
      </c>
      <c r="N609" s="33">
        <f>IF(B609="高三",MAX(IF(E609="男",L609-18,L609-55),0),IF(B609="高二",MAX(IF(E609="男",L609-17,L609-54),0),IF(B609="高一",MAX(IF(E609="男",L609-16,L609-53),0))))</f>
        <v>0</v>
      </c>
      <c r="O609" s="23">
        <f>IF(E609="男",LOOKUP($N609,[1]对照表!$Z$3:$Z$13,[1]对照表!$AA$3:$AA$13),LOOKUP($N609,[1]对照表!$Z$15:$Z$25,[1]对照表!$AA$15:$AA$25))</f>
        <v>0</v>
      </c>
      <c r="P609" s="25">
        <f>M609+O609</f>
        <v>100</v>
      </c>
      <c r="Q609" s="38">
        <v>3.44</v>
      </c>
      <c r="R609" s="32">
        <f>IF(B609="高三",IF($E609="男",LOOKUP(Q609,[1]对照表!$W$3:$W$24,[1]对照表!$X$3:$X$24),LOOKUP(Q609,[1]对照表!$W$27:$W$48,[1]对照表!$X$27:$X$48)),IF(B609="高二",IF($E609="男",LOOKUP(Q609,[1]对照表!$V$3:$V$24,[1]对照表!$X$3:$X$24),LOOKUP(Q609,[1]对照表!$V$27:$V$48,[1]对照表!$X$27:$X$48)),IF(B609="高一",IF($E609="男",LOOKUP(Q609,[1]对照表!$U$3:$U$24,[1]对照表!$X$3:$X$24),LOOKUP(Q609,[1]对照表!$U$27:$U$48,[1]对照表!$X$27:$X$48)))))</f>
        <v>80</v>
      </c>
      <c r="S609" s="33">
        <f>ROUND(IF(IF($B609="高三",MIN(IF($E609="男",$Q609-3.2,$Q609-3.2),0),IF($B609="高二",MIN(IF($E609="男",$Q609-3.25,$Q609-3.22),0),IF($B609="高一",MIN(IF($E609="男",$Q609-3.3,$Q609-3.24),0))))&lt;-0.6,IF($B609="高三",MIN(IF($E609="男",$Q609-3.2,$Q609-3.2),0),IF($B609="高二",MIN(IF($E609="男",$Q609-3.25,$Q609-3.22),0),IF($B609="高一",MIN(IF($E609="男",$Q609-3.3,$Q609-3.24),0))))+0.4,IF($B609="高三",MIN(IF($E609="男",$Q609-3.2,$Q609-3.2),0),IF($B609="高二",MIN(IF($E609="男",$Q609-3.25,$Q609-3.22),0),IF($B609="高一",MIN(IF($E609="男",$Q609-3.3,$Q609-3.24),0))))),2)</f>
        <v>0</v>
      </c>
      <c r="T609" s="23">
        <f>IF(E609="男",LOOKUP($S609,[1]对照表!$AB$3:$AB$13,[1]对照表!$AC$3:$AC$13),LOOKUP($S609,[1]对照表!$AB$15:$AB$25,[1]对照表!$AC$15:$AC$25))</f>
        <v>0</v>
      </c>
      <c r="U609" s="26">
        <f>R609+T609</f>
        <v>80</v>
      </c>
      <c r="V609" s="26">
        <f>SUM(I609,K609,M609)/3*0.3+SUM(G609,R609)/2*0.4</f>
        <v>63</v>
      </c>
      <c r="W609" s="27">
        <f>O609+T609</f>
        <v>0</v>
      </c>
      <c r="X609" s="28">
        <f>V609/0.7+W609</f>
        <v>90</v>
      </c>
      <c r="Y609" s="28">
        <f>X609</f>
        <v>90</v>
      </c>
      <c r="Z609" s="38"/>
    </row>
    <row r="610" spans="1:26" ht="15.6" x14ac:dyDescent="0.25">
      <c r="A610" s="48">
        <v>13</v>
      </c>
      <c r="B610" s="17" t="s">
        <v>767</v>
      </c>
      <c r="C610" s="48">
        <v>215</v>
      </c>
      <c r="D610" s="49" t="s">
        <v>1014</v>
      </c>
      <c r="E610" s="48" t="s">
        <v>23</v>
      </c>
      <c r="F610" s="38">
        <v>7</v>
      </c>
      <c r="G610" s="32">
        <f>IF(B610="高三",IF($E610="男",LOOKUP(F610,[1]对照表!$G$3:$G$24,[1]对照表!$H$3:$H$24),LOOKUP(F610,[1]对照表!$G$27:$G$48,[1]对照表!$H$27:$H$48)),IF(B610="高二",IF($E610="男",LOOKUP(F610,[1]对照表!$F$3:$F$24,[1]对照表!$H$3:$H$24),LOOKUP(F610,[1]对照表!$F$27:$F$48,[1]对照表!$H$27:$H$48)),IF(B610="高一",IF($E610="男",LOOKUP(F610,[1]对照表!$E$3:$E$24,[1]对照表!$H$3:$H$24),LOOKUP(F610,[1]对照表!$E$27:$E$48,[1]对照表!$H$27:$H$48)))))</f>
        <v>100</v>
      </c>
      <c r="H610" s="38">
        <v>1.5</v>
      </c>
      <c r="I610" s="32">
        <f>IF(B610="高三",IF($E610="男",LOOKUP(H610,[1]对照表!$K$3:$K$24,[1]对照表!$L$3:$L$24),LOOKUP(H610,[1]对照表!$K$27:$K$48,[1]对照表!$L$27:$L$48)),IF(B610="高二",IF($E610="男",LOOKUP(H610,[1]对照表!$J$3:$J$24,[1]对照表!$L$3:$L$24),LOOKUP(H610,[1]对照表!$J$27:$J$48,[1]对照表!$L$27:$L$48)),IF(B610="高一",IF($E610="男",LOOKUP(H610,[1]对照表!$I$3:$I$24,[1]对照表!$L$3:$L$24),LOOKUP(H610,[1]对照表!$I$27:$I$48,[1]对照表!$L$27:$L$48)))))</f>
        <v>50</v>
      </c>
      <c r="J610" s="38">
        <v>240</v>
      </c>
      <c r="K610" s="32">
        <f>IF(B610="高三",IF($E610="男",LOOKUP(J610,[1]对照表!$O$3:$O$24,[1]对照表!$P$3:$P$24),LOOKUP(J610,[1]对照表!$O$27:$O$48,[1]对照表!$P$27:$P$48)),IF(B610="高二",IF($E610="男",LOOKUP(J610,[1]对照表!$N$3:$N$24,[1]对照表!$P$3:$P$24),LOOKUP(J610,[1]对照表!$N$27:$N$48,[1]对照表!$P$27:$P$48)),IF(B610="高一",IF($E610="男",LOOKUP(J610,[1]对照表!$M$3:$M$24,[1]对照表!$P$3:$P$24),LOOKUP(J610,[1]对照表!$M$27:$M$48,[1]对照表!$P$27:$P$48)))))</f>
        <v>80</v>
      </c>
      <c r="L610" s="38">
        <v>10</v>
      </c>
      <c r="M610" s="32">
        <f>IF(B610="高三",IF($E610="男",LOOKUP(L610,[1]对照表!$S$3:$S$24,[1]对照表!$T$3:$T$24),LOOKUP(L610,[1]对照表!$S$27:$S$48,[1]对照表!$T$27:$T$48)),IF(B610="高二",IF($E610="男",LOOKUP(L610,[1]对照表!$R$3:$R$24,[1]对照表!$T$3:$T$24),LOOKUP(L610,[1]对照表!$R$27:$R$48,[1]对照表!$T$27:$T$48)),IF(B610="高一",IF($E610="男",LOOKUP(L610,[1]对照表!$Q$3:$Q$24,[1]对照表!$T$3:$T$24),LOOKUP(L610,[1]对照表!$Q$27:$Q$48,[1]对照表!$T$27:$T$48)))))</f>
        <v>68</v>
      </c>
      <c r="N610" s="33">
        <f>IF(B610="高三",MAX(IF(E610="男",L610-18,L610-55),0),IF(B610="高二",MAX(IF(E610="男",L610-17,L610-54),0),IF(B610="高一",MAX(IF(E610="男",L610-16,L610-53),0))))</f>
        <v>0</v>
      </c>
      <c r="O610" s="23">
        <f>IF(E610="男",LOOKUP($N610,[1]对照表!$Z$3:$Z$13,[1]对照表!$AA$3:$AA$13),LOOKUP($N610,[1]对照表!$Z$15:$Z$25,[1]对照表!$AA$15:$AA$25))</f>
        <v>0</v>
      </c>
      <c r="P610" s="25">
        <f>M610+O610</f>
        <v>68</v>
      </c>
      <c r="Q610" s="38">
        <v>3.07</v>
      </c>
      <c r="R610" s="32">
        <f>IF(B610="高三",IF($E610="男",LOOKUP(Q610,[1]对照表!$W$3:$W$24,[1]对照表!$X$3:$X$24),LOOKUP(Q610,[1]对照表!$W$27:$W$48,[1]对照表!$X$27:$X$48)),IF(B610="高二",IF($E610="男",LOOKUP(Q610,[1]对照表!$V$3:$V$24,[1]对照表!$X$3:$X$24),LOOKUP(Q610,[1]对照表!$V$27:$V$48,[1]对照表!$X$27:$X$48)),IF(B610="高一",IF($E610="男",LOOKUP(Q610,[1]对照表!$U$3:$U$24,[1]对照表!$X$3:$X$24),LOOKUP(Q610,[1]对照表!$U$27:$U$48,[1]对照表!$X$27:$X$48)))))</f>
        <v>100</v>
      </c>
      <c r="S610" s="33">
        <f>ROUND(IF(IF($B610="高三",MIN(IF($E610="男",$Q610-3.2,$Q610-3.2),0),IF($B610="高二",MIN(IF($E610="男",$Q610-3.25,$Q610-3.22),0),IF($B610="高一",MIN(IF($E610="男",$Q610-3.3,$Q610-3.24),0))))&lt;-0.6,IF($B610="高三",MIN(IF($E610="男",$Q610-3.2,$Q610-3.2),0),IF($B610="高二",MIN(IF($E610="男",$Q610-3.25,$Q610-3.22),0),IF($B610="高一",MIN(IF($E610="男",$Q610-3.3,$Q610-3.24),0))))+0.4,IF($B610="高三",MIN(IF($E610="男",$Q610-3.2,$Q610-3.2),0),IF($B610="高二",MIN(IF($E610="男",$Q610-3.25,$Q610-3.22),0),IF($B610="高一",MIN(IF($E610="男",$Q610-3.3,$Q610-3.24),0))))),2)</f>
        <v>-0.18</v>
      </c>
      <c r="T610" s="23">
        <f>IF(E610="男",LOOKUP($S610,[1]对照表!$AB$3:$AB$13,[1]对照表!$AC$3:$AC$13),LOOKUP($S610,[1]对照表!$AB$15:$AB$25,[1]对照表!$AC$15:$AC$25))</f>
        <v>4</v>
      </c>
      <c r="U610" s="26">
        <f>R610+T610</f>
        <v>104</v>
      </c>
      <c r="V610" s="26">
        <f>SUM(I610,K610,M610)/3*0.3+SUM(G610,R610)/2*0.4</f>
        <v>59.8</v>
      </c>
      <c r="W610" s="27">
        <f>O610+T610</f>
        <v>4</v>
      </c>
      <c r="X610" s="28">
        <f>V610/0.7+W610</f>
        <v>89.428571428571431</v>
      </c>
      <c r="Y610" s="28">
        <f>X610</f>
        <v>89.428571428571431</v>
      </c>
      <c r="Z610" s="38"/>
    </row>
    <row r="611" spans="1:26" ht="15.6" x14ac:dyDescent="0.25">
      <c r="A611" s="48">
        <v>34</v>
      </c>
      <c r="B611" s="17" t="s">
        <v>767</v>
      </c>
      <c r="C611" s="48">
        <v>215</v>
      </c>
      <c r="D611" s="49" t="s">
        <v>1022</v>
      </c>
      <c r="E611" s="48" t="s">
        <v>65</v>
      </c>
      <c r="F611" s="38">
        <v>9.3000000000000007</v>
      </c>
      <c r="G611" s="32">
        <f>IF(B611="高三",IF($E611="男",LOOKUP(F611,[1]对照表!$G$3:$G$24,[1]对照表!$H$3:$H$24),LOOKUP(F611,[1]对照表!$G$27:$G$48,[1]对照表!$H$27:$H$48)),IF(B611="高二",IF($E611="男",LOOKUP(F611,[1]对照表!$F$3:$F$24,[1]对照表!$H$3:$H$24),LOOKUP(F611,[1]对照表!$F$27:$F$48,[1]对照表!$H$27:$H$48)),IF(B611="高一",IF($E611="男",LOOKUP(F611,[1]对照表!$E$3:$E$24,[1]对照表!$H$3:$H$24),LOOKUP(F611,[1]对照表!$E$27:$E$48,[1]对照表!$H$27:$H$48)))))</f>
        <v>72</v>
      </c>
      <c r="H611" s="38">
        <v>15</v>
      </c>
      <c r="I611" s="32">
        <f>IF(B611="高三",IF($E611="男",LOOKUP(H611,[1]对照表!$K$3:$K$24,[1]对照表!$L$3:$L$24),LOOKUP(H611,[1]对照表!$K$27:$K$48,[1]对照表!$L$27:$L$48)),IF(B611="高二",IF($E611="男",LOOKUP(H611,[1]对照表!$J$3:$J$24,[1]对照表!$L$3:$L$24),LOOKUP(H611,[1]对照表!$J$27:$J$48,[1]对照表!$L$27:$L$48)),IF(B611="高一",IF($E611="男",LOOKUP(H611,[1]对照表!$I$3:$I$24,[1]对照表!$L$3:$L$24),LOOKUP(H611,[1]对照表!$I$27:$I$48,[1]对照表!$L$27:$L$48)))))</f>
        <v>74</v>
      </c>
      <c r="J611" s="38">
        <v>178</v>
      </c>
      <c r="K611" s="32">
        <f>IF(B611="高三",IF($E611="男",LOOKUP(J611,[1]对照表!$O$3:$O$24,[1]对照表!$P$3:$P$24),LOOKUP(J611,[1]对照表!$O$27:$O$48,[1]对照表!$P$27:$P$48)),IF(B611="高二",IF($E611="男",LOOKUP(J611,[1]对照表!$N$3:$N$24,[1]对照表!$P$3:$P$24),LOOKUP(J611,[1]对照表!$N$27:$N$48,[1]对照表!$P$27:$P$48)),IF(B611="高一",IF($E611="男",LOOKUP(J611,[1]对照表!$M$3:$M$24,[1]对照表!$P$3:$P$24),LOOKUP(J611,[1]对照表!$M$27:$M$48,[1]对照表!$P$27:$P$48)))))</f>
        <v>78</v>
      </c>
      <c r="L611" s="38">
        <v>44</v>
      </c>
      <c r="M611" s="32">
        <f>IF(B611="高三",IF($E611="男",LOOKUP(L611,[1]对照表!$S$3:$S$24,[1]对照表!$T$3:$T$24),LOOKUP(L611,[1]对照表!$S$27:$S$48,[1]对照表!$T$27:$T$48)),IF(B611="高二",IF($E611="男",LOOKUP(L611,[1]对照表!$R$3:$R$24,[1]对照表!$T$3:$T$24),LOOKUP(L611,[1]对照表!$R$27:$R$48,[1]对照表!$T$27:$T$48)),IF(B611="高一",IF($E611="男",LOOKUP(L611,[1]对照表!$Q$3:$Q$24,[1]对照表!$T$3:$T$24),LOOKUP(L611,[1]对照表!$Q$27:$Q$48,[1]对照表!$T$27:$T$48)))))</f>
        <v>80</v>
      </c>
      <c r="N611" s="33">
        <f>IF(B611="高三",MAX(IF(E611="男",L611-18,L611-55),0),IF(B611="高二",MAX(IF(E611="男",L611-17,L611-54),0),IF(B611="高一",MAX(IF(E611="男",L611-16,L611-53),0))))</f>
        <v>0</v>
      </c>
      <c r="O611" s="23">
        <f>IF(E611="男",LOOKUP($N611,[1]对照表!$Z$3:$Z$13,[1]对照表!$AA$3:$AA$13),LOOKUP($N611,[1]对照表!$Z$15:$Z$25,[1]对照表!$AA$15:$AA$25))</f>
        <v>0</v>
      </c>
      <c r="P611" s="25">
        <f>M611+O611</f>
        <v>80</v>
      </c>
      <c r="Q611" s="38">
        <v>3.22</v>
      </c>
      <c r="R611" s="32">
        <f>IF(B611="高三",IF($E611="男",LOOKUP(Q611,[1]对照表!$W$3:$W$24,[1]对照表!$X$3:$X$24),LOOKUP(Q611,[1]对照表!$W$27:$W$48,[1]对照表!$X$27:$X$48)),IF(B611="高二",IF($E611="男",LOOKUP(Q611,[1]对照表!$V$3:$V$24,[1]对照表!$X$3:$X$24),LOOKUP(Q611,[1]对照表!$V$27:$V$48,[1]对照表!$X$27:$X$48)),IF(B611="高一",IF($E611="男",LOOKUP(Q611,[1]对照表!$U$3:$U$24,[1]对照表!$X$3:$X$24),LOOKUP(Q611,[1]对照表!$U$27:$U$48,[1]对照表!$X$27:$X$48)))))</f>
        <v>100</v>
      </c>
      <c r="S611" s="33">
        <f>ROUND(IF(IF($B611="高三",MIN(IF($E611="男",$Q611-3.2,$Q611-3.2),0),IF($B611="高二",MIN(IF($E611="男",$Q611-3.25,$Q611-3.22),0),IF($B611="高一",MIN(IF($E611="男",$Q611-3.3,$Q611-3.24),0))))&lt;-0.6,IF($B611="高三",MIN(IF($E611="男",$Q611-3.2,$Q611-3.2),0),IF($B611="高二",MIN(IF($E611="男",$Q611-3.25,$Q611-3.22),0),IF($B611="高一",MIN(IF($E611="男",$Q611-3.3,$Q611-3.24),0))))+0.4,IF($B611="高三",MIN(IF($E611="男",$Q611-3.2,$Q611-3.2),0),IF($B611="高二",MIN(IF($E611="男",$Q611-3.25,$Q611-3.22),0),IF($B611="高一",MIN(IF($E611="男",$Q611-3.3,$Q611-3.24),0))))),2)</f>
        <v>0</v>
      </c>
      <c r="T611" s="23">
        <f>IF(E611="男",LOOKUP($S611,[1]对照表!$AB$3:$AB$13,[1]对照表!$AC$3:$AC$13),LOOKUP($S611,[1]对照表!$AB$15:$AB$25,[1]对照表!$AC$15:$AC$25))</f>
        <v>0</v>
      </c>
      <c r="U611" s="26">
        <f>R611+T611</f>
        <v>100</v>
      </c>
      <c r="V611" s="26">
        <f>SUM(I611,K611,M611)/3*0.3+SUM(G611,R611)/2*0.4</f>
        <v>57.599999999999994</v>
      </c>
      <c r="W611" s="27">
        <f>O611+T611</f>
        <v>0</v>
      </c>
      <c r="X611" s="28">
        <f>V611/0.7+W611</f>
        <v>82.285714285714278</v>
      </c>
      <c r="Y611" s="28">
        <f>X611</f>
        <v>82.285714285714278</v>
      </c>
      <c r="Z611" s="38"/>
    </row>
    <row r="612" spans="1:26" ht="15.6" x14ac:dyDescent="0.25">
      <c r="A612" s="48">
        <v>45</v>
      </c>
      <c r="B612" s="17" t="s">
        <v>767</v>
      </c>
      <c r="C612" s="48">
        <v>215</v>
      </c>
      <c r="D612" s="49" t="s">
        <v>1033</v>
      </c>
      <c r="E612" s="48" t="s">
        <v>65</v>
      </c>
      <c r="F612" s="38">
        <v>8.8000000000000007</v>
      </c>
      <c r="G612" s="32">
        <f>IF(B612="高三",IF($E612="男",LOOKUP(F612,[1]对照表!$G$3:$G$24,[1]对照表!$H$3:$H$24),LOOKUP(F612,[1]对照表!$G$27:$G$48,[1]对照表!$H$27:$H$48)),IF(B612="高二",IF($E612="男",LOOKUP(F612,[1]对照表!$F$3:$F$24,[1]对照表!$H$3:$H$24),LOOKUP(F612,[1]对照表!$F$27:$F$48,[1]对照表!$H$27:$H$48)),IF(B612="高一",IF($E612="男",LOOKUP(F612,[1]对照表!$E$3:$E$24,[1]对照表!$H$3:$H$24),LOOKUP(F612,[1]对照表!$E$27:$E$48,[1]对照表!$H$27:$H$48)))))</f>
        <v>76</v>
      </c>
      <c r="H612" s="38">
        <v>22</v>
      </c>
      <c r="I612" s="32">
        <f>IF(B612="高三",IF($E612="男",LOOKUP(H612,[1]对照表!$K$3:$K$24,[1]对照表!$L$3:$L$24),LOOKUP(H612,[1]对照表!$K$27:$K$48,[1]对照表!$L$27:$L$48)),IF(B612="高二",IF($E612="男",LOOKUP(H612,[1]对照表!$J$3:$J$24,[1]对照表!$L$3:$L$24),LOOKUP(H612,[1]对照表!$J$27:$J$48,[1]对照表!$L$27:$L$48)),IF(B612="高一",IF($E612="男",LOOKUP(H612,[1]对照表!$I$3:$I$24,[1]对照表!$L$3:$L$24),LOOKUP(H612,[1]对照表!$I$27:$I$48,[1]对照表!$L$27:$L$48)))))</f>
        <v>90</v>
      </c>
      <c r="J612" s="38">
        <v>193</v>
      </c>
      <c r="K612" s="32">
        <f>IF(B612="高三",IF($E612="男",LOOKUP(J612,[1]对照表!$O$3:$O$24,[1]对照表!$P$3:$P$24),LOOKUP(J612,[1]对照表!$O$27:$O$48,[1]对照表!$P$27:$P$48)),IF(B612="高二",IF($E612="男",LOOKUP(J612,[1]对照表!$N$3:$N$24,[1]对照表!$P$3:$P$24),LOOKUP(J612,[1]对照表!$N$27:$N$48,[1]对照表!$P$27:$P$48)),IF(B612="高一",IF($E612="男",LOOKUP(J612,[1]对照表!$M$3:$M$24,[1]对照表!$P$3:$P$24),LOOKUP(J612,[1]对照表!$M$27:$M$48,[1]对照表!$P$27:$P$48)))))</f>
        <v>90</v>
      </c>
      <c r="L612" s="38">
        <v>46</v>
      </c>
      <c r="M612" s="32">
        <f>IF(B612="高三",IF($E612="男",LOOKUP(L612,[1]对照表!$S$3:$S$24,[1]对照表!$T$3:$T$24),LOOKUP(L612,[1]对照表!$S$27:$S$48,[1]对照表!$T$27:$T$48)),IF(B612="高二",IF($E612="男",LOOKUP(L612,[1]对照表!$R$3:$R$24,[1]对照表!$T$3:$T$24),LOOKUP(L612,[1]对照表!$R$27:$R$48,[1]对照表!$T$27:$T$48)),IF(B612="高一",IF($E612="男",LOOKUP(L612,[1]对照表!$Q$3:$Q$24,[1]对照表!$T$3:$T$24),LOOKUP(L612,[1]对照表!$Q$27:$Q$48,[1]对照表!$T$27:$T$48)))))</f>
        <v>80</v>
      </c>
      <c r="N612" s="33">
        <f>IF(B612="高三",MAX(IF(E612="男",L612-18,L612-55),0),IF(B612="高二",MAX(IF(E612="男",L612-17,L612-54),0),IF(B612="高一",MAX(IF(E612="男",L612-16,L612-53),0))))</f>
        <v>0</v>
      </c>
      <c r="O612" s="23">
        <f>IF(E612="男",LOOKUP($N612,[1]对照表!$Z$3:$Z$13,[1]对照表!$AA$3:$AA$13),LOOKUP($N612,[1]对照表!$Z$15:$Z$25,[1]对照表!$AA$15:$AA$25))</f>
        <v>0</v>
      </c>
      <c r="P612" s="25">
        <f>M612+O612</f>
        <v>80</v>
      </c>
      <c r="Q612" s="38">
        <v>3.44</v>
      </c>
      <c r="R612" s="32">
        <f>IF(B612="高三",IF($E612="男",LOOKUP(Q612,[1]对照表!$W$3:$W$24,[1]对照表!$X$3:$X$24),LOOKUP(Q612,[1]对照表!$W$27:$W$48,[1]对照表!$X$27:$X$48)),IF(B612="高二",IF($E612="男",LOOKUP(Q612,[1]对照表!$V$3:$V$24,[1]对照表!$X$3:$X$24),LOOKUP(Q612,[1]对照表!$V$27:$V$48,[1]对照表!$X$27:$X$48)),IF(B612="高一",IF($E612="男",LOOKUP(Q612,[1]对照表!$U$3:$U$24,[1]对照表!$X$3:$X$24),LOOKUP(Q612,[1]对照表!$U$27:$U$48,[1]对照表!$X$27:$X$48)))))</f>
        <v>80</v>
      </c>
      <c r="S612" s="33">
        <f>ROUND(IF(IF($B612="高三",MIN(IF($E612="男",$Q612-3.2,$Q612-3.2),0),IF($B612="高二",MIN(IF($E612="男",$Q612-3.25,$Q612-3.22),0),IF($B612="高一",MIN(IF($E612="男",$Q612-3.3,$Q612-3.24),0))))&lt;-0.6,IF($B612="高三",MIN(IF($E612="男",$Q612-3.2,$Q612-3.2),0),IF($B612="高二",MIN(IF($E612="男",$Q612-3.25,$Q612-3.22),0),IF($B612="高一",MIN(IF($E612="男",$Q612-3.3,$Q612-3.24),0))))+0.4,IF($B612="高三",MIN(IF($E612="男",$Q612-3.2,$Q612-3.2),0),IF($B612="高二",MIN(IF($E612="男",$Q612-3.25,$Q612-3.22),0),IF($B612="高一",MIN(IF($E612="男",$Q612-3.3,$Q612-3.24),0))))),2)</f>
        <v>0</v>
      </c>
      <c r="T612" s="23">
        <f>IF(E612="男",LOOKUP($S612,[1]对照表!$AB$3:$AB$13,[1]对照表!$AC$3:$AC$13),LOOKUP($S612,[1]对照表!$AB$15:$AB$25,[1]对照表!$AC$15:$AC$25))</f>
        <v>0</v>
      </c>
      <c r="U612" s="26">
        <f>R612+T612</f>
        <v>80</v>
      </c>
      <c r="V612" s="26">
        <f>SUM(I612,K612,M612)/3*0.3+SUM(G612,R612)/2*0.4</f>
        <v>57.2</v>
      </c>
      <c r="W612" s="27">
        <f>O612+T612</f>
        <v>0</v>
      </c>
      <c r="X612" s="28">
        <f>V612/0.7+W612</f>
        <v>81.714285714285722</v>
      </c>
      <c r="Y612" s="28">
        <f>X612</f>
        <v>81.714285714285722</v>
      </c>
      <c r="Z612" s="38"/>
    </row>
    <row r="613" spans="1:26" ht="15.6" x14ac:dyDescent="0.25">
      <c r="A613" s="48">
        <v>44</v>
      </c>
      <c r="B613" s="17" t="s">
        <v>767</v>
      </c>
      <c r="C613" s="48">
        <v>215</v>
      </c>
      <c r="D613" s="49" t="s">
        <v>1082</v>
      </c>
      <c r="E613" s="48" t="s">
        <v>65</v>
      </c>
      <c r="F613" s="38">
        <v>8.1999999999999993</v>
      </c>
      <c r="G613" s="32">
        <f>IF(B613="高三",IF($E613="男",LOOKUP(F613,[1]对照表!$G$3:$G$24,[1]对照表!$H$3:$H$24),LOOKUP(F613,[1]对照表!$G$27:$G$48,[1]对照表!$H$27:$H$48)),IF(B613="高二",IF($E613="男",LOOKUP(F613,[1]对照表!$F$3:$F$24,[1]对照表!$H$3:$H$24),LOOKUP(F613,[1]对照表!$F$27:$F$48,[1]对照表!$H$27:$H$48)),IF(B613="高一",IF($E613="男",LOOKUP(F613,[1]对照表!$E$3:$E$24,[1]对照表!$H$3:$H$24),LOOKUP(F613,[1]对照表!$E$27:$E$48,[1]对照表!$H$27:$H$48)))))</f>
        <v>85</v>
      </c>
      <c r="H613" s="38">
        <v>19.5</v>
      </c>
      <c r="I613" s="32">
        <f>IF(B613="高三",IF($E613="男",LOOKUP(H613,[1]对照表!$K$3:$K$24,[1]对照表!$L$3:$L$24),LOOKUP(H613,[1]对照表!$K$27:$K$48,[1]对照表!$L$27:$L$48)),IF(B613="高二",IF($E613="男",LOOKUP(H613,[1]对照表!$J$3:$J$24,[1]对照表!$L$3:$L$24),LOOKUP(H613,[1]对照表!$J$27:$J$48,[1]对照表!$L$27:$L$48)),IF(B613="高一",IF($E613="男",LOOKUP(H613,[1]对照表!$I$3:$I$24,[1]对照表!$L$3:$L$24),LOOKUP(H613,[1]对照表!$I$27:$I$48,[1]对照表!$L$27:$L$48)))))</f>
        <v>80</v>
      </c>
      <c r="J613" s="38">
        <v>166</v>
      </c>
      <c r="K613" s="32">
        <f>IF(B613="高三",IF($E613="男",LOOKUP(J613,[1]对照表!$O$3:$O$24,[1]对照表!$P$3:$P$24),LOOKUP(J613,[1]对照表!$O$27:$O$48,[1]对照表!$P$27:$P$48)),IF(B613="高二",IF($E613="男",LOOKUP(J613,[1]对照表!$N$3:$N$24,[1]对照表!$P$3:$P$24),LOOKUP(J613,[1]对照表!$N$27:$N$48,[1]对照表!$P$27:$P$48)),IF(B613="高一",IF($E613="男",LOOKUP(J613,[1]对照表!$M$3:$M$24,[1]对照表!$P$3:$P$24),LOOKUP(J613,[1]对照表!$M$27:$M$48,[1]对照表!$P$27:$P$48)))))</f>
        <v>70</v>
      </c>
      <c r="L613" s="38">
        <v>42</v>
      </c>
      <c r="M613" s="32">
        <f>IF(B613="高三",IF($E613="男",LOOKUP(L613,[1]对照表!$S$3:$S$24,[1]对照表!$T$3:$T$24),LOOKUP(L613,[1]对照表!$S$27:$S$48,[1]对照表!$T$27:$T$48)),IF(B613="高二",IF($E613="男",LOOKUP(L613,[1]对照表!$R$3:$R$24,[1]对照表!$T$3:$T$24),LOOKUP(L613,[1]对照表!$R$27:$R$48,[1]对照表!$T$27:$T$48)),IF(B613="高一",IF($E613="男",LOOKUP(L613,[1]对照表!$Q$3:$Q$24,[1]对照表!$T$3:$T$24),LOOKUP(L613,[1]对照表!$Q$27:$Q$48,[1]对照表!$T$27:$T$48)))))</f>
        <v>78</v>
      </c>
      <c r="N613" s="33">
        <f>IF(B613="高三",MAX(IF(E613="男",L613-18,L613-55),0),IF(B613="高二",MAX(IF(E613="男",L613-17,L613-54),0),IF(B613="高一",MAX(IF(E613="男",L613-16,L613-53),0))))</f>
        <v>0</v>
      </c>
      <c r="O613" s="23">
        <f>IF(E613="男",LOOKUP($N613,[1]对照表!$Z$3:$Z$13,[1]对照表!$AA$3:$AA$13),LOOKUP($N613,[1]对照表!$Z$15:$Z$25,[1]对照表!$AA$15:$AA$25))</f>
        <v>0</v>
      </c>
      <c r="P613" s="25">
        <f>M613+O613</f>
        <v>78</v>
      </c>
      <c r="Q613" s="38">
        <v>3.45</v>
      </c>
      <c r="R613" s="32">
        <f>IF(B613="高三",IF($E613="男",LOOKUP(Q613,[1]对照表!$W$3:$W$24,[1]对照表!$X$3:$X$24),LOOKUP(Q613,[1]对照表!$W$27:$W$48,[1]对照表!$X$27:$X$48)),IF(B613="高二",IF($E613="男",LOOKUP(Q613,[1]对照表!$V$3:$V$24,[1]对照表!$X$3:$X$24),LOOKUP(Q613,[1]对照表!$V$27:$V$48,[1]对照表!$X$27:$X$48)),IF(B613="高一",IF($E613="男",LOOKUP(Q613,[1]对照表!$U$3:$U$24,[1]对照表!$X$3:$X$24),LOOKUP(Q613,[1]对照表!$U$27:$U$48,[1]对照表!$X$27:$X$48)))))</f>
        <v>80</v>
      </c>
      <c r="S613" s="33">
        <f>ROUND(IF(IF($B613="高三",MIN(IF($E613="男",$Q613-3.2,$Q613-3.2),0),IF($B613="高二",MIN(IF($E613="男",$Q613-3.25,$Q613-3.22),0),IF($B613="高一",MIN(IF($E613="男",$Q613-3.3,$Q613-3.24),0))))&lt;-0.6,IF($B613="高三",MIN(IF($E613="男",$Q613-3.2,$Q613-3.2),0),IF($B613="高二",MIN(IF($E613="男",$Q613-3.25,$Q613-3.22),0),IF($B613="高一",MIN(IF($E613="男",$Q613-3.3,$Q613-3.24),0))))+0.4,IF($B613="高三",MIN(IF($E613="男",$Q613-3.2,$Q613-3.2),0),IF($B613="高二",MIN(IF($E613="男",$Q613-3.25,$Q613-3.22),0),IF($B613="高一",MIN(IF($E613="男",$Q613-3.3,$Q613-3.24),0))))),2)</f>
        <v>0</v>
      </c>
      <c r="T613" s="23">
        <f>IF(E613="男",LOOKUP($S613,[1]对照表!$AB$3:$AB$13,[1]对照表!$AC$3:$AC$13),LOOKUP($S613,[1]对照表!$AB$15:$AB$25,[1]对照表!$AC$15:$AC$25))</f>
        <v>0</v>
      </c>
      <c r="U613" s="26">
        <f>R613+T613</f>
        <v>80</v>
      </c>
      <c r="V613" s="26">
        <f>SUM(I613,K613,M613)/3*0.3+SUM(G613,R613)/2*0.4</f>
        <v>55.8</v>
      </c>
      <c r="W613" s="27">
        <f>O613+T613</f>
        <v>0</v>
      </c>
      <c r="X613" s="28">
        <f>V613/0.7+W613</f>
        <v>79.714285714285708</v>
      </c>
      <c r="Y613" s="28">
        <f>X613</f>
        <v>79.714285714285708</v>
      </c>
      <c r="Z613" s="38"/>
    </row>
    <row r="614" spans="1:26" ht="15.6" x14ac:dyDescent="0.25">
      <c r="A614" s="48">
        <v>46</v>
      </c>
      <c r="B614" s="17" t="s">
        <v>767</v>
      </c>
      <c r="C614" s="48">
        <v>215</v>
      </c>
      <c r="D614" s="49" t="s">
        <v>1095</v>
      </c>
      <c r="E614" s="48" t="s">
        <v>65</v>
      </c>
      <c r="F614" s="38">
        <v>9.2100000000000009</v>
      </c>
      <c r="G614" s="32">
        <f>IF(B614="高三",IF($E614="男",LOOKUP(F614,[1]对照表!$G$3:$G$24,[1]对照表!$H$3:$H$24),LOOKUP(F614,[1]对照表!$G$27:$G$48,[1]对照表!$H$27:$H$48)),IF(B614="高二",IF($E614="男",LOOKUP(F614,[1]对照表!$F$3:$F$24,[1]对照表!$H$3:$H$24),LOOKUP(F614,[1]对照表!$F$27:$F$48,[1]对照表!$H$27:$H$48)),IF(B614="高一",IF($E614="男",LOOKUP(F614,[1]对照表!$E$3:$E$24,[1]对照表!$H$3:$H$24),LOOKUP(F614,[1]对照表!$E$27:$E$48,[1]对照表!$H$27:$H$48)))))</f>
        <v>72</v>
      </c>
      <c r="H614" s="38">
        <v>16.7</v>
      </c>
      <c r="I614" s="32">
        <f>IF(B614="高三",IF($E614="男",LOOKUP(H614,[1]对照表!$K$3:$K$24,[1]对照表!$L$3:$L$24),LOOKUP(H614,[1]对照表!$K$27:$K$48,[1]对照表!$L$27:$L$48)),IF(B614="高二",IF($E614="男",LOOKUP(H614,[1]对照表!$J$3:$J$24,[1]对照表!$L$3:$L$24),LOOKUP(H614,[1]对照表!$J$27:$J$48,[1]对照表!$L$27:$L$48)),IF(B614="高一",IF($E614="男",LOOKUP(H614,[1]对照表!$I$3:$I$24,[1]对照表!$L$3:$L$24),LOOKUP(H614,[1]对照表!$I$27:$I$48,[1]对照表!$L$27:$L$48)))))</f>
        <v>78</v>
      </c>
      <c r="J614" s="38">
        <v>165</v>
      </c>
      <c r="K614" s="32">
        <f>IF(B614="高三",IF($E614="男",LOOKUP(J614,[1]对照表!$O$3:$O$24,[1]对照表!$P$3:$P$24),LOOKUP(J614,[1]对照表!$O$27:$O$48,[1]对照表!$P$27:$P$48)),IF(B614="高二",IF($E614="男",LOOKUP(J614,[1]对照表!$N$3:$N$24,[1]对照表!$P$3:$P$24),LOOKUP(J614,[1]对照表!$N$27:$N$48,[1]对照表!$P$27:$P$48)),IF(B614="高一",IF($E614="男",LOOKUP(J614,[1]对照表!$M$3:$M$24,[1]对照表!$P$3:$P$24),LOOKUP(J614,[1]对照表!$M$27:$M$48,[1]对照表!$P$27:$P$48)))))</f>
        <v>70</v>
      </c>
      <c r="L614" s="38">
        <v>50</v>
      </c>
      <c r="M614" s="32">
        <f>IF(B614="高三",IF($E614="男",LOOKUP(L614,[1]对照表!$S$3:$S$24,[1]对照表!$T$3:$T$24),LOOKUP(L614,[1]对照表!$S$27:$S$48,[1]对照表!$T$27:$T$48)),IF(B614="高二",IF($E614="男",LOOKUP(L614,[1]对照表!$R$3:$R$24,[1]对照表!$T$3:$T$24),LOOKUP(L614,[1]对照表!$R$27:$R$48,[1]对照表!$T$27:$T$48)),IF(B614="高一",IF($E614="男",LOOKUP(L614,[1]对照表!$Q$3:$Q$24,[1]对照表!$T$3:$T$24),LOOKUP(L614,[1]对照表!$Q$27:$Q$48,[1]对照表!$T$27:$T$48)))))</f>
        <v>90</v>
      </c>
      <c r="N614" s="33">
        <f>IF(B614="高三",MAX(IF(E614="男",L614-18,L614-55),0),IF(B614="高二",MAX(IF(E614="男",L614-17,L614-54),0),IF(B614="高一",MAX(IF(E614="男",L614-16,L614-53),0))))</f>
        <v>0</v>
      </c>
      <c r="O614" s="23">
        <f>IF(E614="男",LOOKUP($N614,[1]对照表!$Z$3:$Z$13,[1]对照表!$AA$3:$AA$13),LOOKUP($N614,[1]对照表!$Z$15:$Z$25,[1]对照表!$AA$15:$AA$25))</f>
        <v>0</v>
      </c>
      <c r="P614" s="25">
        <f>M614+O614</f>
        <v>90</v>
      </c>
      <c r="Q614" s="38">
        <v>3.36</v>
      </c>
      <c r="R614" s="32">
        <f>IF(B614="高三",IF($E614="男",LOOKUP(Q614,[1]对照表!$W$3:$W$24,[1]对照表!$X$3:$X$24),LOOKUP(Q614,[1]对照表!$W$27:$W$48,[1]对照表!$X$27:$X$48)),IF(B614="高二",IF($E614="男",LOOKUP(Q614,[1]对照表!$V$3:$V$24,[1]对照表!$X$3:$X$24),LOOKUP(Q614,[1]对照表!$V$27:$V$48,[1]对照表!$X$27:$X$48)),IF(B614="高一",IF($E614="男",LOOKUP(Q614,[1]对照表!$U$3:$U$24,[1]对照表!$X$3:$X$24),LOOKUP(Q614,[1]对照表!$U$27:$U$48,[1]对照表!$X$27:$X$48)))))</f>
        <v>85</v>
      </c>
      <c r="S614" s="33">
        <f>ROUND(IF(IF($B614="高三",MIN(IF($E614="男",$Q614-3.2,$Q614-3.2),0),IF($B614="高二",MIN(IF($E614="男",$Q614-3.25,$Q614-3.22),0),IF($B614="高一",MIN(IF($E614="男",$Q614-3.3,$Q614-3.24),0))))&lt;-0.6,IF($B614="高三",MIN(IF($E614="男",$Q614-3.2,$Q614-3.2),0),IF($B614="高二",MIN(IF($E614="男",$Q614-3.25,$Q614-3.22),0),IF($B614="高一",MIN(IF($E614="男",$Q614-3.3,$Q614-3.24),0))))+0.4,IF($B614="高三",MIN(IF($E614="男",$Q614-3.2,$Q614-3.2),0),IF($B614="高二",MIN(IF($E614="男",$Q614-3.25,$Q614-3.22),0),IF($B614="高一",MIN(IF($E614="男",$Q614-3.3,$Q614-3.24),0))))),2)</f>
        <v>0</v>
      </c>
      <c r="T614" s="23">
        <f>IF(E614="男",LOOKUP($S614,[1]对照表!$AB$3:$AB$13,[1]对照表!$AC$3:$AC$13),LOOKUP($S614,[1]对照表!$AB$15:$AB$25,[1]对照表!$AC$15:$AC$25))</f>
        <v>0</v>
      </c>
      <c r="U614" s="26">
        <f>R614+T614</f>
        <v>85</v>
      </c>
      <c r="V614" s="26">
        <f>SUM(I614,K614,M614)/3*0.3+SUM(G614,R614)/2*0.4</f>
        <v>55.2</v>
      </c>
      <c r="W614" s="27">
        <f>O614+T614</f>
        <v>0</v>
      </c>
      <c r="X614" s="28">
        <f>V614/0.7+W614</f>
        <v>78.857142857142861</v>
      </c>
      <c r="Y614" s="28">
        <f>X614</f>
        <v>78.857142857142861</v>
      </c>
      <c r="Z614" s="38"/>
    </row>
    <row r="615" spans="1:26" ht="15.6" customHeight="1" x14ac:dyDescent="0.25">
      <c r="A615" s="48">
        <v>36</v>
      </c>
      <c r="B615" s="17" t="s">
        <v>767</v>
      </c>
      <c r="C615" s="48">
        <v>215</v>
      </c>
      <c r="D615" s="49" t="s">
        <v>1101</v>
      </c>
      <c r="E615" s="48" t="s">
        <v>65</v>
      </c>
      <c r="F615" s="38">
        <v>8.74</v>
      </c>
      <c r="G615" s="32">
        <f>IF(B615="高三",IF($E615="男",LOOKUP(F615,[1]对照表!$G$3:$G$24,[1]对照表!$H$3:$H$24),LOOKUP(F615,[1]对照表!$G$27:$G$48,[1]对照表!$H$27:$H$48)),IF(B615="高二",IF($E615="男",LOOKUP(F615,[1]对照表!$F$3:$F$24,[1]对照表!$H$3:$H$24),LOOKUP(F615,[1]对照表!$F$27:$F$48,[1]对照表!$H$27:$H$48)),IF(B615="高一",IF($E615="男",LOOKUP(F615,[1]对照表!$E$3:$E$24,[1]对照表!$H$3:$H$24),LOOKUP(F615,[1]对照表!$E$27:$E$48,[1]对照表!$H$27:$H$48)))))</f>
        <v>76</v>
      </c>
      <c r="H615" s="38">
        <v>14.4</v>
      </c>
      <c r="I615" s="32">
        <f>IF(B615="高三",IF($E615="男",LOOKUP(H615,[1]对照表!$K$3:$K$24,[1]对照表!$L$3:$L$24),LOOKUP(H615,[1]对照表!$K$27:$K$48,[1]对照表!$L$27:$L$48)),IF(B615="高二",IF($E615="男",LOOKUP(H615,[1]对照表!$J$3:$J$24,[1]对照表!$L$3:$L$24),LOOKUP(H615,[1]对照表!$J$27:$J$48,[1]对照表!$L$27:$L$48)),IF(B615="高一",IF($E615="男",LOOKUP(H615,[1]对照表!$I$3:$I$24,[1]对照表!$L$3:$L$24),LOOKUP(H615,[1]对照表!$I$27:$I$48,[1]对照表!$L$27:$L$48)))))</f>
        <v>74</v>
      </c>
      <c r="J615" s="38">
        <v>150</v>
      </c>
      <c r="K615" s="32">
        <f>IF(B615="高三",IF($E615="男",LOOKUP(J615,[1]对照表!$O$3:$O$24,[1]对照表!$P$3:$P$24),LOOKUP(J615,[1]对照表!$O$27:$O$48,[1]对照表!$P$27:$P$48)),IF(B615="高二",IF($E615="男",LOOKUP(J615,[1]对照表!$N$3:$N$24,[1]对照表!$P$3:$P$24),LOOKUP(J615,[1]对照表!$N$27:$N$48,[1]对照表!$P$27:$P$48)),IF(B615="高一",IF($E615="男",LOOKUP(J615,[1]对照表!$M$3:$M$24,[1]对照表!$P$3:$P$24),LOOKUP(J615,[1]对照表!$M$27:$M$48,[1]对照表!$P$27:$P$48)))))</f>
        <v>60</v>
      </c>
      <c r="L615" s="38">
        <v>52</v>
      </c>
      <c r="M615" s="32">
        <f>IF(B615="高三",IF($E615="男",LOOKUP(L615,[1]对照表!$S$3:$S$24,[1]对照表!$T$3:$T$24),LOOKUP(L615,[1]对照表!$S$27:$S$48,[1]对照表!$T$27:$T$48)),IF(B615="高二",IF($E615="男",LOOKUP(L615,[1]对照表!$R$3:$R$24,[1]对照表!$T$3:$T$24),LOOKUP(L615,[1]对照表!$R$27:$R$48,[1]对照表!$T$27:$T$48)),IF(B615="高一",IF($E615="男",LOOKUP(L615,[1]对照表!$Q$3:$Q$24,[1]对照表!$T$3:$T$24),LOOKUP(L615,[1]对照表!$Q$27:$Q$48,[1]对照表!$T$27:$T$48)))))</f>
        <v>95</v>
      </c>
      <c r="N615" s="33">
        <f>IF(B615="高三",MAX(IF(E615="男",L615-18,L615-55),0),IF(B615="高二",MAX(IF(E615="男",L615-17,L615-54),0),IF(B615="高一",MAX(IF(E615="男",L615-16,L615-53),0))))</f>
        <v>0</v>
      </c>
      <c r="O615" s="23">
        <f>IF(E615="男",LOOKUP($N615,[1]对照表!$Z$3:$Z$13,[1]对照表!$AA$3:$AA$13),LOOKUP($N615,[1]对照表!$Z$15:$Z$25,[1]对照表!$AA$15:$AA$25))</f>
        <v>0</v>
      </c>
      <c r="P615" s="25">
        <f>M615+O615</f>
        <v>95</v>
      </c>
      <c r="Q615" s="38">
        <v>3.41</v>
      </c>
      <c r="R615" s="32">
        <f>IF(B615="高三",IF($E615="男",LOOKUP(Q615,[1]对照表!$W$3:$W$24,[1]对照表!$X$3:$X$24),LOOKUP(Q615,[1]对照表!$W$27:$W$48,[1]对照表!$X$27:$X$48)),IF(B615="高二",IF($E615="男",LOOKUP(Q615,[1]对照表!$V$3:$V$24,[1]对照表!$X$3:$X$24),LOOKUP(Q615,[1]对照表!$V$27:$V$48,[1]对照表!$X$27:$X$48)),IF(B615="高一",IF($E615="男",LOOKUP(Q615,[1]对照表!$U$3:$U$24,[1]对照表!$X$3:$X$24),LOOKUP(Q615,[1]对照表!$U$27:$U$48,[1]对照表!$X$27:$X$48)))))</f>
        <v>85</v>
      </c>
      <c r="S615" s="33">
        <f>ROUND(IF(IF($B615="高三",MIN(IF($E615="男",$Q615-3.2,$Q615-3.2),0),IF($B615="高二",MIN(IF($E615="男",$Q615-3.25,$Q615-3.22),0),IF($B615="高一",MIN(IF($E615="男",$Q615-3.3,$Q615-3.24),0))))&lt;-0.6,IF($B615="高三",MIN(IF($E615="男",$Q615-3.2,$Q615-3.2),0),IF($B615="高二",MIN(IF($E615="男",$Q615-3.25,$Q615-3.22),0),IF($B615="高一",MIN(IF($E615="男",$Q615-3.3,$Q615-3.24),0))))+0.4,IF($B615="高三",MIN(IF($E615="男",$Q615-3.2,$Q615-3.2),0),IF($B615="高二",MIN(IF($E615="男",$Q615-3.25,$Q615-3.22),0),IF($B615="高一",MIN(IF($E615="男",$Q615-3.3,$Q615-3.24),0))))),2)</f>
        <v>0</v>
      </c>
      <c r="T615" s="23">
        <f>IF(E615="男",LOOKUP($S615,[1]对照表!$AB$3:$AB$13,[1]对照表!$AC$3:$AC$13),LOOKUP($S615,[1]对照表!$AB$15:$AB$25,[1]对照表!$AC$15:$AC$25))</f>
        <v>0</v>
      </c>
      <c r="U615" s="26">
        <f>R615+T615</f>
        <v>85</v>
      </c>
      <c r="V615" s="26">
        <f>SUM(I615,K615,M615)/3*0.3+SUM(G615,R615)/2*0.4</f>
        <v>55.1</v>
      </c>
      <c r="W615" s="27">
        <f>O615+T615</f>
        <v>0</v>
      </c>
      <c r="X615" s="28">
        <f>V615/0.7+W615</f>
        <v>78.714285714285722</v>
      </c>
      <c r="Y615" s="28">
        <f>X615</f>
        <v>78.714285714285722</v>
      </c>
      <c r="Z615" s="38"/>
    </row>
    <row r="616" spans="1:26" ht="15.6" x14ac:dyDescent="0.25">
      <c r="A616" s="48">
        <v>35</v>
      </c>
      <c r="B616" s="17" t="s">
        <v>767</v>
      </c>
      <c r="C616" s="48">
        <v>215</v>
      </c>
      <c r="D616" s="49" t="s">
        <v>1116</v>
      </c>
      <c r="E616" s="48" t="s">
        <v>65</v>
      </c>
      <c r="F616" s="38">
        <v>9.3000000000000007</v>
      </c>
      <c r="G616" s="32">
        <f>IF(B616="高三",IF($E616="男",LOOKUP(F616,[1]对照表!$G$3:$G$24,[1]对照表!$H$3:$H$24),LOOKUP(F616,[1]对照表!$G$27:$G$48,[1]对照表!$H$27:$H$48)),IF(B616="高二",IF($E616="男",LOOKUP(F616,[1]对照表!$F$3:$F$24,[1]对照表!$H$3:$H$24),LOOKUP(F616,[1]对照表!$F$27:$F$48,[1]对照表!$H$27:$H$48)),IF(B616="高一",IF($E616="男",LOOKUP(F616,[1]对照表!$E$3:$E$24,[1]对照表!$H$3:$H$24),LOOKUP(F616,[1]对照表!$E$27:$E$48,[1]对照表!$H$27:$H$48)))))</f>
        <v>72</v>
      </c>
      <c r="H616" s="38">
        <v>16</v>
      </c>
      <c r="I616" s="32">
        <f>IF(B616="高三",IF($E616="男",LOOKUP(H616,[1]对照表!$K$3:$K$24,[1]对照表!$L$3:$L$24),LOOKUP(H616,[1]对照表!$K$27:$K$48,[1]对照表!$L$27:$L$48)),IF(B616="高二",IF($E616="男",LOOKUP(H616,[1]对照表!$J$3:$J$24,[1]对照表!$L$3:$L$24),LOOKUP(H616,[1]对照表!$J$27:$J$48,[1]对照表!$L$27:$L$48)),IF(B616="高一",IF($E616="男",LOOKUP(H616,[1]对照表!$I$3:$I$24,[1]对照表!$L$3:$L$24),LOOKUP(H616,[1]对照表!$I$27:$I$48,[1]对照表!$L$27:$L$48)))))</f>
        <v>76</v>
      </c>
      <c r="J616" s="38">
        <v>182</v>
      </c>
      <c r="K616" s="32">
        <f>IF(B616="高三",IF($E616="男",LOOKUP(J616,[1]对照表!$O$3:$O$24,[1]对照表!$P$3:$P$24),LOOKUP(J616,[1]对照表!$O$27:$O$48,[1]对照表!$P$27:$P$48)),IF(B616="高二",IF($E616="男",LOOKUP(J616,[1]对照表!$N$3:$N$24,[1]对照表!$P$3:$P$24),LOOKUP(J616,[1]对照表!$N$27:$N$48,[1]对照表!$P$27:$P$48)),IF(B616="高一",IF($E616="男",LOOKUP(J616,[1]对照表!$M$3:$M$24,[1]对照表!$P$3:$P$24),LOOKUP(J616,[1]对照表!$M$27:$M$48,[1]对照表!$P$27:$P$48)))))</f>
        <v>80</v>
      </c>
      <c r="L616" s="38">
        <v>41</v>
      </c>
      <c r="M616" s="32">
        <f>IF(B616="高三",IF($E616="男",LOOKUP(L616,[1]对照表!$S$3:$S$24,[1]对照表!$T$3:$T$24),LOOKUP(L616,[1]对照表!$S$27:$S$48,[1]对照表!$T$27:$T$48)),IF(B616="高二",IF($E616="男",LOOKUP(L616,[1]对照表!$R$3:$R$24,[1]对照表!$T$3:$T$24),LOOKUP(L616,[1]对照表!$R$27:$R$48,[1]对照表!$T$27:$T$48)),IF(B616="高一",IF($E616="男",LOOKUP(L616,[1]对照表!$Q$3:$Q$24,[1]对照表!$T$3:$T$24),LOOKUP(L616,[1]对照表!$Q$27:$Q$48,[1]对照表!$T$27:$T$48)))))</f>
        <v>76</v>
      </c>
      <c r="N616" s="33">
        <f>IF(B616="高三",MAX(IF(E616="男",L616-18,L616-55),0),IF(B616="高二",MAX(IF(E616="男",L616-17,L616-54),0),IF(B616="高一",MAX(IF(E616="男",L616-16,L616-53),0))))</f>
        <v>0</v>
      </c>
      <c r="O616" s="23">
        <f>IF(E616="男",LOOKUP($N616,[1]对照表!$Z$3:$Z$13,[1]对照表!$AA$3:$AA$13),LOOKUP($N616,[1]对照表!$Z$15:$Z$25,[1]对照表!$AA$15:$AA$25))</f>
        <v>0</v>
      </c>
      <c r="P616" s="25">
        <f>M616+O616</f>
        <v>76</v>
      </c>
      <c r="Q616" s="38">
        <v>3.39</v>
      </c>
      <c r="R616" s="32">
        <f>IF(B616="高三",IF($E616="男",LOOKUP(Q616,[1]对照表!$W$3:$W$24,[1]对照表!$X$3:$X$24),LOOKUP(Q616,[1]对照表!$W$27:$W$48,[1]对照表!$X$27:$X$48)),IF(B616="高二",IF($E616="男",LOOKUP(Q616,[1]对照表!$V$3:$V$24,[1]对照表!$X$3:$X$24),LOOKUP(Q616,[1]对照表!$V$27:$V$48,[1]对照表!$X$27:$X$48)),IF(B616="高一",IF($E616="男",LOOKUP(Q616,[1]对照表!$U$3:$U$24,[1]对照表!$X$3:$X$24),LOOKUP(Q616,[1]对照表!$U$27:$U$48,[1]对照表!$X$27:$X$48)))))</f>
        <v>85</v>
      </c>
      <c r="S616" s="33">
        <f>ROUND(IF(IF($B616="高三",MIN(IF($E616="男",$Q616-3.2,$Q616-3.2),0),IF($B616="高二",MIN(IF($E616="男",$Q616-3.25,$Q616-3.22),0),IF($B616="高一",MIN(IF($E616="男",$Q616-3.3,$Q616-3.24),0))))&lt;-0.6,IF($B616="高三",MIN(IF($E616="男",$Q616-3.2,$Q616-3.2),0),IF($B616="高二",MIN(IF($E616="男",$Q616-3.25,$Q616-3.22),0),IF($B616="高一",MIN(IF($E616="男",$Q616-3.3,$Q616-3.24),0))))+0.4,IF($B616="高三",MIN(IF($E616="男",$Q616-3.2,$Q616-3.2),0),IF($B616="高二",MIN(IF($E616="男",$Q616-3.25,$Q616-3.22),0),IF($B616="高一",MIN(IF($E616="男",$Q616-3.3,$Q616-3.24),0))))),2)</f>
        <v>0</v>
      </c>
      <c r="T616" s="23">
        <f>IF(E616="男",LOOKUP($S616,[1]对照表!$AB$3:$AB$13,[1]对照表!$AC$3:$AC$13),LOOKUP($S616,[1]对照表!$AB$15:$AB$25,[1]对照表!$AC$15:$AC$25))</f>
        <v>0</v>
      </c>
      <c r="U616" s="26">
        <f>R616+T616</f>
        <v>85</v>
      </c>
      <c r="V616" s="26">
        <f>SUM(I616,K616,M616)/3*0.3+SUM(G616,R616)/2*0.4</f>
        <v>54.6</v>
      </c>
      <c r="W616" s="27">
        <f>O616+T616</f>
        <v>0</v>
      </c>
      <c r="X616" s="28">
        <f>V616/0.7+W616</f>
        <v>78</v>
      </c>
      <c r="Y616" s="28">
        <f>X616</f>
        <v>78</v>
      </c>
      <c r="Z616" s="38"/>
    </row>
    <row r="617" spans="1:26" ht="15.6" x14ac:dyDescent="0.25">
      <c r="A617" s="38">
        <v>24</v>
      </c>
      <c r="B617" s="17" t="s">
        <v>767</v>
      </c>
      <c r="C617" s="48">
        <v>215</v>
      </c>
      <c r="D617" s="49" t="s">
        <v>1133</v>
      </c>
      <c r="E617" s="48" t="s">
        <v>23</v>
      </c>
      <c r="F617" s="38">
        <v>6.8</v>
      </c>
      <c r="G617" s="32">
        <f>IF(B617="高三",IF($E617="男",LOOKUP(F617,[1]对照表!$G$3:$G$24,[1]对照表!$H$3:$H$24),LOOKUP(F617,[1]对照表!$G$27:$G$48,[1]对照表!$H$27:$H$48)),IF(B617="高二",IF($E617="男",LOOKUP(F617,[1]对照表!$F$3:$F$24,[1]对照表!$H$3:$H$24),LOOKUP(F617,[1]对照表!$F$27:$F$48,[1]对照表!$H$27:$H$48)),IF(B617="高一",IF($E617="男",LOOKUP(F617,[1]对照表!$E$3:$E$24,[1]对照表!$H$3:$H$24),LOOKUP(F617,[1]对照表!$E$27:$E$48,[1]对照表!$H$27:$H$48)))))</f>
        <v>100</v>
      </c>
      <c r="H617" s="38">
        <v>2.4</v>
      </c>
      <c r="I617" s="32">
        <f>IF(B617="高三",IF($E617="男",LOOKUP(H617,[1]对照表!$K$3:$K$24,[1]对照表!$L$3:$L$24),LOOKUP(H617,[1]对照表!$K$27:$K$48,[1]对照表!$L$27:$L$48)),IF(B617="高二",IF($E617="男",LOOKUP(H617,[1]对照表!$J$3:$J$24,[1]对照表!$L$3:$L$24),LOOKUP(H617,[1]对照表!$J$27:$J$48,[1]对照表!$L$27:$L$48)),IF(B617="高一",IF($E617="男",LOOKUP(H617,[1]对照表!$I$3:$I$24,[1]对照表!$L$3:$L$24),LOOKUP(H617,[1]对照表!$I$27:$I$48,[1]对照表!$L$27:$L$48)))))</f>
        <v>60</v>
      </c>
      <c r="J617" s="38">
        <v>228</v>
      </c>
      <c r="K617" s="32">
        <f>IF(B617="高三",IF($E617="男",LOOKUP(J617,[1]对照表!$O$3:$O$24,[1]对照表!$P$3:$P$24),LOOKUP(J617,[1]对照表!$O$27:$O$48,[1]对照表!$P$27:$P$48)),IF(B617="高二",IF($E617="男",LOOKUP(J617,[1]对照表!$N$3:$N$24,[1]对照表!$P$3:$P$24),LOOKUP(J617,[1]对照表!$N$27:$N$48,[1]对照表!$P$27:$P$48)),IF(B617="高一",IF($E617="男",LOOKUP(J617,[1]对照表!$M$3:$M$24,[1]对照表!$P$3:$P$24),LOOKUP(J617,[1]对照表!$M$27:$M$48,[1]对照表!$P$27:$P$48)))))</f>
        <v>74</v>
      </c>
      <c r="L617" s="38">
        <v>17</v>
      </c>
      <c r="M617" s="32">
        <f>IF(B617="高三",IF($E617="男",LOOKUP(L617,[1]对照表!$S$3:$S$24,[1]对照表!$T$3:$T$24),LOOKUP(L617,[1]对照表!$S$27:$S$48,[1]对照表!$T$27:$T$48)),IF(B617="高二",IF($E617="男",LOOKUP(L617,[1]对照表!$R$3:$R$24,[1]对照表!$T$3:$T$24),LOOKUP(L617,[1]对照表!$R$27:$R$48,[1]对照表!$T$27:$T$48)),IF(B617="高一",IF($E617="男",LOOKUP(L617,[1]对照表!$Q$3:$Q$24,[1]对照表!$T$3:$T$24),LOOKUP(L617,[1]对照表!$Q$27:$Q$48,[1]对照表!$T$27:$T$48)))))</f>
        <v>100</v>
      </c>
      <c r="N617" s="33">
        <f>IF(B617="高三",MAX(IF(E617="男",L617-18,L617-55),0),IF(B617="高二",MAX(IF(E617="男",L617-17,L617-54),0),IF(B617="高一",MAX(IF(E617="男",L617-16,L617-53),0))))</f>
        <v>0</v>
      </c>
      <c r="O617" s="23">
        <f>IF(E617="男",LOOKUP($N617,[1]对照表!$Z$3:$Z$13,[1]对照表!$AA$3:$AA$13),LOOKUP($N617,[1]对照表!$Z$15:$Z$25,[1]对照表!$AA$15:$AA$25))</f>
        <v>0</v>
      </c>
      <c r="P617" s="25">
        <f>M617+O617</f>
        <v>100</v>
      </c>
      <c r="Q617" s="38">
        <v>3.55</v>
      </c>
      <c r="R617" s="32">
        <f>IF(B617="高三",IF($E617="男",LOOKUP(Q617,[1]对照表!$W$3:$W$24,[1]对照表!$X$3:$X$24),LOOKUP(Q617,[1]对照表!$W$27:$W$48,[1]对照表!$X$27:$X$48)),IF(B617="高二",IF($E617="男",LOOKUP(Q617,[1]对照表!$V$3:$V$24,[1]对照表!$X$3:$X$24),LOOKUP(Q617,[1]对照表!$V$27:$V$48,[1]对照表!$X$27:$X$48)),IF(B617="高一",IF($E617="男",LOOKUP(Q617,[1]对照表!$U$3:$U$24,[1]对照表!$X$3:$X$24),LOOKUP(Q617,[1]对照表!$U$27:$U$48,[1]对照表!$X$27:$X$48)))))</f>
        <v>78</v>
      </c>
      <c r="S617" s="33">
        <f>ROUND(IF(IF($B617="高三",MIN(IF($E617="男",$Q617-3.2,$Q617-3.2),0),IF($B617="高二",MIN(IF($E617="男",$Q617-3.25,$Q617-3.22),0),IF($B617="高一",MIN(IF($E617="男",$Q617-3.3,$Q617-3.24),0))))&lt;-0.6,IF($B617="高三",MIN(IF($E617="男",$Q617-3.2,$Q617-3.2),0),IF($B617="高二",MIN(IF($E617="男",$Q617-3.25,$Q617-3.22),0),IF($B617="高一",MIN(IF($E617="男",$Q617-3.3,$Q617-3.24),0))))+0.4,IF($B617="高三",MIN(IF($E617="男",$Q617-3.2,$Q617-3.2),0),IF($B617="高二",MIN(IF($E617="男",$Q617-3.25,$Q617-3.22),0),IF($B617="高一",MIN(IF($E617="男",$Q617-3.3,$Q617-3.24),0))))),2)</f>
        <v>0</v>
      </c>
      <c r="T617" s="23">
        <f>IF(E617="男",LOOKUP($S617,[1]对照表!$AB$3:$AB$13,[1]对照表!$AC$3:$AC$13),LOOKUP($S617,[1]对照表!$AB$15:$AB$25,[1]对照表!$AC$15:$AC$25))</f>
        <v>0</v>
      </c>
      <c r="U617" s="26">
        <f>R617+T617</f>
        <v>78</v>
      </c>
      <c r="V617" s="26">
        <f>SUM(I617,K617,M617)/3*0.3+SUM(G617,R617)/2*0.4</f>
        <v>59</v>
      </c>
      <c r="W617" s="27">
        <f>O617+T617</f>
        <v>0</v>
      </c>
      <c r="X617" s="28">
        <f>V617/0.7+W617</f>
        <v>84.285714285714292</v>
      </c>
      <c r="Y617" s="28">
        <f>X617</f>
        <v>84.285714285714292</v>
      </c>
      <c r="Z617" s="38"/>
    </row>
    <row r="618" spans="1:26" ht="15.6" customHeight="1" x14ac:dyDescent="0.25">
      <c r="A618" s="48">
        <v>39</v>
      </c>
      <c r="B618" s="17" t="s">
        <v>767</v>
      </c>
      <c r="C618" s="48">
        <v>215</v>
      </c>
      <c r="D618" s="49" t="s">
        <v>1135</v>
      </c>
      <c r="E618" s="48" t="s">
        <v>65</v>
      </c>
      <c r="F618" s="38">
        <v>9.89</v>
      </c>
      <c r="G618" s="32">
        <f>IF(B618="高三",IF($E618="男",LOOKUP(F618,[1]对照表!$G$3:$G$24,[1]对照表!$H$3:$H$24),LOOKUP(F618,[1]对照表!$G$27:$G$48,[1]对照表!$H$27:$H$48)),IF(B618="高二",IF($E618="男",LOOKUP(F618,[1]对照表!$F$3:$F$24,[1]对照表!$H$3:$H$24),LOOKUP(F618,[1]对照表!$F$27:$F$48,[1]对照表!$H$27:$H$48)),IF(B618="高一",IF($E618="男",LOOKUP(F618,[1]对照表!$E$3:$E$24,[1]对照表!$H$3:$H$24),LOOKUP(F618,[1]对照表!$E$27:$E$48,[1]对照表!$H$27:$H$48)))))</f>
        <v>66</v>
      </c>
      <c r="H618" s="38">
        <v>20.399999999999999</v>
      </c>
      <c r="I618" s="32">
        <f>IF(B618="高三",IF($E618="男",LOOKUP(H618,[1]对照表!$K$3:$K$24,[1]对照表!$L$3:$L$24),LOOKUP(H618,[1]对照表!$K$27:$K$48,[1]对照表!$L$27:$L$48)),IF(B618="高二",IF($E618="男",LOOKUP(H618,[1]对照表!$J$3:$J$24,[1]对照表!$L$3:$L$24),LOOKUP(H618,[1]对照表!$J$27:$J$48,[1]对照表!$L$27:$L$48)),IF(B618="高一",IF($E618="男",LOOKUP(H618,[1]对照表!$I$3:$I$24,[1]对照表!$L$3:$L$24),LOOKUP(H618,[1]对照表!$I$27:$I$48,[1]对照表!$L$27:$L$48)))))</f>
        <v>85</v>
      </c>
      <c r="J618" s="38">
        <v>187</v>
      </c>
      <c r="K618" s="32">
        <f>IF(B618="高三",IF($E618="男",LOOKUP(J618,[1]对照表!$O$3:$O$24,[1]对照表!$P$3:$P$24),LOOKUP(J618,[1]对照表!$O$27:$O$48,[1]对照表!$P$27:$P$48)),IF(B618="高二",IF($E618="男",LOOKUP(J618,[1]对照表!$N$3:$N$24,[1]对照表!$P$3:$P$24),LOOKUP(J618,[1]对照表!$N$27:$N$48,[1]对照表!$P$27:$P$48)),IF(B618="高一",IF($E618="男",LOOKUP(J618,[1]对照表!$M$3:$M$24,[1]对照表!$P$3:$P$24),LOOKUP(J618,[1]对照表!$M$27:$M$48,[1]对照表!$P$27:$P$48)))))</f>
        <v>85</v>
      </c>
      <c r="L618" s="38">
        <v>45</v>
      </c>
      <c r="M618" s="32">
        <f>IF(B618="高三",IF($E618="男",LOOKUP(L618,[1]对照表!$S$3:$S$24,[1]对照表!$T$3:$T$24),LOOKUP(L618,[1]对照表!$S$27:$S$48,[1]对照表!$T$27:$T$48)),IF(B618="高二",IF($E618="男",LOOKUP(L618,[1]对照表!$R$3:$R$24,[1]对照表!$T$3:$T$24),LOOKUP(L618,[1]对照表!$R$27:$R$48,[1]对照表!$T$27:$T$48)),IF(B618="高一",IF($E618="男",LOOKUP(L618,[1]对照表!$Q$3:$Q$24,[1]对照表!$T$3:$T$24),LOOKUP(L618,[1]对照表!$Q$27:$Q$48,[1]对照表!$T$27:$T$48)))))</f>
        <v>80</v>
      </c>
      <c r="N618" s="33">
        <f>IF(B618="高三",MAX(IF(E618="男",L618-18,L618-55),0),IF(B618="高二",MAX(IF(E618="男",L618-17,L618-54),0),IF(B618="高一",MAX(IF(E618="男",L618-16,L618-53),0))))</f>
        <v>0</v>
      </c>
      <c r="O618" s="23">
        <f>IF(E618="男",LOOKUP($N618,[1]对照表!$Z$3:$Z$13,[1]对照表!$AA$3:$AA$13),LOOKUP($N618,[1]对照表!$Z$15:$Z$25,[1]对照表!$AA$15:$AA$25))</f>
        <v>0</v>
      </c>
      <c r="P618" s="25">
        <f>M618+O618</f>
        <v>80</v>
      </c>
      <c r="Q618" s="38">
        <v>3.47</v>
      </c>
      <c r="R618" s="32">
        <f>IF(B618="高三",IF($E618="男",LOOKUP(Q618,[1]对照表!$W$3:$W$24,[1]对照表!$X$3:$X$24),LOOKUP(Q618,[1]对照表!$W$27:$W$48,[1]对照表!$X$27:$X$48)),IF(B618="高二",IF($E618="男",LOOKUP(Q618,[1]对照表!$V$3:$V$24,[1]对照表!$X$3:$X$24),LOOKUP(Q618,[1]对照表!$V$27:$V$48,[1]对照表!$X$27:$X$48)),IF(B618="高一",IF($E618="男",LOOKUP(Q618,[1]对照表!$U$3:$U$24,[1]对照表!$X$3:$X$24),LOOKUP(Q618,[1]对照表!$U$27:$U$48,[1]对照表!$X$27:$X$48)))))</f>
        <v>80</v>
      </c>
      <c r="S618" s="33">
        <f>ROUND(IF(IF($B618="高三",MIN(IF($E618="男",$Q618-3.2,$Q618-3.2),0),IF($B618="高二",MIN(IF($E618="男",$Q618-3.25,$Q618-3.22),0),IF($B618="高一",MIN(IF($E618="男",$Q618-3.3,$Q618-3.24),0))))&lt;-0.6,IF($B618="高三",MIN(IF($E618="男",$Q618-3.2,$Q618-3.2),0),IF($B618="高二",MIN(IF($E618="男",$Q618-3.25,$Q618-3.22),0),IF($B618="高一",MIN(IF($E618="男",$Q618-3.3,$Q618-3.24),0))))+0.4,IF($B618="高三",MIN(IF($E618="男",$Q618-3.2,$Q618-3.2),0),IF($B618="高二",MIN(IF($E618="男",$Q618-3.25,$Q618-3.22),0),IF($B618="高一",MIN(IF($E618="男",$Q618-3.3,$Q618-3.24),0))))),2)</f>
        <v>0</v>
      </c>
      <c r="T618" s="23">
        <f>IF(E618="男",LOOKUP($S618,[1]对照表!$AB$3:$AB$13,[1]对照表!$AC$3:$AC$13),LOOKUP($S618,[1]对照表!$AB$15:$AB$25,[1]对照表!$AC$15:$AC$25))</f>
        <v>0</v>
      </c>
      <c r="U618" s="26">
        <f>R618+T618</f>
        <v>80</v>
      </c>
      <c r="V618" s="26">
        <f>SUM(I618,K618,M618)/3*0.3+SUM(G618,R618)/2*0.4</f>
        <v>54.2</v>
      </c>
      <c r="W618" s="27">
        <f>O618+T618</f>
        <v>0</v>
      </c>
      <c r="X618" s="28">
        <f>V618/0.7+W618</f>
        <v>77.428571428571431</v>
      </c>
      <c r="Y618" s="28">
        <f>X618</f>
        <v>77.428571428571431</v>
      </c>
      <c r="Z618" s="38"/>
    </row>
    <row r="619" spans="1:26" ht="15.6" x14ac:dyDescent="0.25">
      <c r="A619" s="48">
        <v>42</v>
      </c>
      <c r="B619" s="17" t="s">
        <v>767</v>
      </c>
      <c r="C619" s="48">
        <v>215</v>
      </c>
      <c r="D619" s="49" t="s">
        <v>1139</v>
      </c>
      <c r="E619" s="48" t="s">
        <v>65</v>
      </c>
      <c r="F619" s="38">
        <v>9.49</v>
      </c>
      <c r="G619" s="32">
        <f>IF(B619="高三",IF($E619="男",LOOKUP(F619,[1]对照表!$G$3:$G$24,[1]对照表!$H$3:$H$24),LOOKUP(F619,[1]对照表!$G$27:$G$48,[1]对照表!$H$27:$H$48)),IF(B619="高二",IF($E619="男",LOOKUP(F619,[1]对照表!$F$3:$F$24,[1]对照表!$H$3:$H$24),LOOKUP(F619,[1]对照表!$F$27:$F$48,[1]对照表!$H$27:$H$48)),IF(B619="高一",IF($E619="男",LOOKUP(F619,[1]对照表!$E$3:$E$24,[1]对照表!$H$3:$H$24),LOOKUP(F619,[1]对照表!$E$27:$E$48,[1]对照表!$H$27:$H$48)))))</f>
        <v>70</v>
      </c>
      <c r="H619" s="38">
        <v>14</v>
      </c>
      <c r="I619" s="32">
        <f>IF(B619="高三",IF($E619="男",LOOKUP(H619,[1]对照表!$K$3:$K$24,[1]对照表!$L$3:$L$24),LOOKUP(H619,[1]对照表!$K$27:$K$48,[1]对照表!$L$27:$L$48)),IF(B619="高二",IF($E619="男",LOOKUP(H619,[1]对照表!$J$3:$J$24,[1]对照表!$L$3:$L$24),LOOKUP(H619,[1]对照表!$J$27:$J$48,[1]对照表!$L$27:$L$48)),IF(B619="高一",IF($E619="男",LOOKUP(H619,[1]对照表!$I$3:$I$24,[1]对照表!$L$3:$L$24),LOOKUP(H619,[1]对照表!$I$27:$I$48,[1]对照表!$L$27:$L$48)))))</f>
        <v>72</v>
      </c>
      <c r="J619" s="38">
        <v>165</v>
      </c>
      <c r="K619" s="32">
        <f>IF(B619="高三",IF($E619="男",LOOKUP(J619,[1]对照表!$O$3:$O$24,[1]对照表!$P$3:$P$24),LOOKUP(J619,[1]对照表!$O$27:$O$48,[1]对照表!$P$27:$P$48)),IF(B619="高二",IF($E619="男",LOOKUP(J619,[1]对照表!$N$3:$N$24,[1]对照表!$P$3:$P$24),LOOKUP(J619,[1]对照表!$N$27:$N$48,[1]对照表!$P$27:$P$48)),IF(B619="高一",IF($E619="男",LOOKUP(J619,[1]对照表!$M$3:$M$24,[1]对照表!$P$3:$P$24),LOOKUP(J619,[1]对照表!$M$27:$M$48,[1]对照表!$P$27:$P$48)))))</f>
        <v>70</v>
      </c>
      <c r="L619" s="38">
        <v>55</v>
      </c>
      <c r="M619" s="32">
        <f>IF(B619="高三",IF($E619="男",LOOKUP(L619,[1]对照表!$S$3:$S$24,[1]对照表!$T$3:$T$24),LOOKUP(L619,[1]对照表!$S$27:$S$48,[1]对照表!$T$27:$T$48)),IF(B619="高二",IF($E619="男",LOOKUP(L619,[1]对照表!$R$3:$R$24,[1]对照表!$T$3:$T$24),LOOKUP(L619,[1]对照表!$R$27:$R$48,[1]对照表!$T$27:$T$48)),IF(B619="高一",IF($E619="男",LOOKUP(L619,[1]对照表!$Q$3:$Q$24,[1]对照表!$T$3:$T$24),LOOKUP(L619,[1]对照表!$Q$27:$Q$48,[1]对照表!$T$27:$T$48)))))</f>
        <v>100</v>
      </c>
      <c r="N619" s="33">
        <f>IF(B619="高三",MAX(IF(E619="男",L619-18,L619-55),0),IF(B619="高二",MAX(IF(E619="男",L619-17,L619-54),0),IF(B619="高一",MAX(IF(E619="男",L619-16,L619-53),0))))</f>
        <v>1</v>
      </c>
      <c r="O619" s="23">
        <f>IF(E619="男",LOOKUP($N619,[1]对照表!$Z$3:$Z$13,[1]对照表!$AA$3:$AA$13),LOOKUP($N619,[1]对照表!$Z$15:$Z$25,[1]对照表!$AA$15:$AA$25))</f>
        <v>0</v>
      </c>
      <c r="P619" s="25">
        <f>M619+O619</f>
        <v>100</v>
      </c>
      <c r="Q619" s="38">
        <v>3.48</v>
      </c>
      <c r="R619" s="32">
        <f>IF(B619="高三",IF($E619="男",LOOKUP(Q619,[1]对照表!$W$3:$W$24,[1]对照表!$X$3:$X$24),LOOKUP(Q619,[1]对照表!$W$27:$W$48,[1]对照表!$X$27:$X$48)),IF(B619="高二",IF($E619="男",LOOKUP(Q619,[1]对照表!$V$3:$V$24,[1]对照表!$X$3:$X$24),LOOKUP(Q619,[1]对照表!$V$27:$V$48,[1]对照表!$X$27:$X$48)),IF(B619="高一",IF($E619="男",LOOKUP(Q619,[1]对照表!$U$3:$U$24,[1]对照表!$X$3:$X$24),LOOKUP(Q619,[1]对照表!$U$27:$U$48,[1]对照表!$X$27:$X$48)))))</f>
        <v>80</v>
      </c>
      <c r="S619" s="33">
        <f>ROUND(IF(IF($B619="高三",MIN(IF($E619="男",$Q619-3.2,$Q619-3.2),0),IF($B619="高二",MIN(IF($E619="男",$Q619-3.25,$Q619-3.22),0),IF($B619="高一",MIN(IF($E619="男",$Q619-3.3,$Q619-3.24),0))))&lt;-0.6,IF($B619="高三",MIN(IF($E619="男",$Q619-3.2,$Q619-3.2),0),IF($B619="高二",MIN(IF($E619="男",$Q619-3.25,$Q619-3.22),0),IF($B619="高一",MIN(IF($E619="男",$Q619-3.3,$Q619-3.24),0))))+0.4,IF($B619="高三",MIN(IF($E619="男",$Q619-3.2,$Q619-3.2),0),IF($B619="高二",MIN(IF($E619="男",$Q619-3.25,$Q619-3.22),0),IF($B619="高一",MIN(IF($E619="男",$Q619-3.3,$Q619-3.24),0))))),2)</f>
        <v>0</v>
      </c>
      <c r="T619" s="23">
        <f>IF(E619="男",LOOKUP($S619,[1]对照表!$AB$3:$AB$13,[1]对照表!$AC$3:$AC$13),LOOKUP($S619,[1]对照表!$AB$15:$AB$25,[1]对照表!$AC$15:$AC$25))</f>
        <v>0</v>
      </c>
      <c r="U619" s="26">
        <f>R619+T619</f>
        <v>80</v>
      </c>
      <c r="V619" s="26">
        <f>SUM(I619,K619,M619)/3*0.3+SUM(G619,R619)/2*0.4</f>
        <v>54.2</v>
      </c>
      <c r="W619" s="27">
        <f>O619+T619</f>
        <v>0</v>
      </c>
      <c r="X619" s="28">
        <f>V619/0.7+W619</f>
        <v>77.428571428571431</v>
      </c>
      <c r="Y619" s="28">
        <f>X619</f>
        <v>77.428571428571431</v>
      </c>
      <c r="Z619" s="38"/>
    </row>
    <row r="620" spans="1:26" ht="15.6" x14ac:dyDescent="0.25">
      <c r="A620" s="48">
        <v>6</v>
      </c>
      <c r="B620" s="17" t="s">
        <v>767</v>
      </c>
      <c r="C620" s="48">
        <v>215</v>
      </c>
      <c r="D620" s="49" t="s">
        <v>1170</v>
      </c>
      <c r="E620" s="48" t="s">
        <v>23</v>
      </c>
      <c r="F620" s="38">
        <v>7.4</v>
      </c>
      <c r="G620" s="32">
        <f>IF(B620="高三",IF($E620="男",LOOKUP(F620,[1]对照表!$G$3:$G$24,[1]对照表!$H$3:$H$24),LOOKUP(F620,[1]对照表!$G$27:$G$48,[1]对照表!$H$27:$H$48)),IF(B620="高二",IF($E620="男",LOOKUP(F620,[1]对照表!$F$3:$F$24,[1]对照表!$H$3:$H$24),LOOKUP(F620,[1]对照表!$F$27:$F$48,[1]对照表!$H$27:$H$48)),IF(B620="高一",IF($E620="男",LOOKUP(F620,[1]对照表!$E$3:$E$24,[1]对照表!$H$3:$H$24),LOOKUP(F620,[1]对照表!$E$27:$E$48,[1]对照表!$H$27:$H$48)))))</f>
        <v>80</v>
      </c>
      <c r="H620" s="38">
        <v>19.5</v>
      </c>
      <c r="I620" s="32">
        <f>IF(B620="高三",IF($E620="男",LOOKUP(H620,[1]对照表!$K$3:$K$24,[1]对照表!$L$3:$L$24),LOOKUP(H620,[1]对照表!$K$27:$K$48,[1]对照表!$L$27:$L$48)),IF(B620="高二",IF($E620="男",LOOKUP(H620,[1]对照表!$J$3:$J$24,[1]对照表!$L$3:$L$24),LOOKUP(H620,[1]对照表!$J$27:$J$48,[1]对照表!$L$27:$L$48)),IF(B620="高一",IF($E620="男",LOOKUP(H620,[1]对照表!$I$3:$I$24,[1]对照表!$L$3:$L$24),LOOKUP(H620,[1]对照表!$I$27:$I$48,[1]对照表!$L$27:$L$48)))))</f>
        <v>85</v>
      </c>
      <c r="J620" s="38">
        <v>238</v>
      </c>
      <c r="K620" s="32">
        <f>IF(B620="高三",IF($E620="男",LOOKUP(J620,[1]对照表!$O$3:$O$24,[1]对照表!$P$3:$P$24),LOOKUP(J620,[1]对照表!$O$27:$O$48,[1]对照表!$P$27:$P$48)),IF(B620="高二",IF($E620="男",LOOKUP(J620,[1]对照表!$N$3:$N$24,[1]对照表!$P$3:$P$24),LOOKUP(J620,[1]对照表!$N$27:$N$48,[1]对照表!$P$27:$P$48)),IF(B620="高一",IF($E620="男",LOOKUP(J620,[1]对照表!$M$3:$M$24,[1]对照表!$P$3:$P$24),LOOKUP(J620,[1]对照表!$M$27:$M$48,[1]对照表!$P$27:$P$48)))))</f>
        <v>78</v>
      </c>
      <c r="L620" s="38">
        <v>14</v>
      </c>
      <c r="M620" s="32">
        <f>IF(B620="高三",IF($E620="男",LOOKUP(L620,[1]对照表!$S$3:$S$24,[1]对照表!$T$3:$T$24),LOOKUP(L620,[1]对照表!$S$27:$S$48,[1]对照表!$T$27:$T$48)),IF(B620="高二",IF($E620="男",LOOKUP(L620,[1]对照表!$R$3:$R$24,[1]对照表!$T$3:$T$24),LOOKUP(L620,[1]对照表!$R$27:$R$48,[1]对照表!$T$27:$T$48)),IF(B620="高一",IF($E620="男",LOOKUP(L620,[1]对照表!$Q$3:$Q$24,[1]对照表!$T$3:$T$24),LOOKUP(L620,[1]对照表!$Q$27:$Q$48,[1]对照表!$T$27:$T$48)))))</f>
        <v>85</v>
      </c>
      <c r="N620" s="33">
        <f>IF(B620="高三",MAX(IF(E620="男",L620-18,L620-55),0),IF(B620="高二",MAX(IF(E620="男",L620-17,L620-54),0),IF(B620="高一",MAX(IF(E620="男",L620-16,L620-53),0))))</f>
        <v>0</v>
      </c>
      <c r="O620" s="23">
        <f>IF(E620="男",LOOKUP($N620,[1]对照表!$Z$3:$Z$13,[1]对照表!$AA$3:$AA$13),LOOKUP($N620,[1]对照表!$Z$15:$Z$25,[1]对照表!$AA$15:$AA$25))</f>
        <v>0</v>
      </c>
      <c r="P620" s="25">
        <f>M620+O620</f>
        <v>85</v>
      </c>
      <c r="Q620" s="38">
        <v>3.38</v>
      </c>
      <c r="R620" s="32">
        <f>IF(B620="高三",IF($E620="男",LOOKUP(Q620,[1]对照表!$W$3:$W$24,[1]对照表!$X$3:$X$24),LOOKUP(Q620,[1]对照表!$W$27:$W$48,[1]对照表!$X$27:$X$48)),IF(B620="高二",IF($E620="男",LOOKUP(Q620,[1]对照表!$V$3:$V$24,[1]对照表!$X$3:$X$24),LOOKUP(Q620,[1]对照表!$V$27:$V$48,[1]对照表!$X$27:$X$48)),IF(B620="高一",IF($E620="男",LOOKUP(Q620,[1]对照表!$U$3:$U$24,[1]对照表!$X$3:$X$24),LOOKUP(Q620,[1]对照表!$U$27:$U$48,[1]对照表!$X$27:$X$48)))))</f>
        <v>85</v>
      </c>
      <c r="S620" s="27">
        <f>ROUND(IF(IF($B620="高三",MIN(IF($E620="男",$Q620-3.2,$Q620-3.2),0),IF($B620="高二",MIN(IF($E620="男",$Q620-3.25,$Q620-3.22),0),IF($B620="高一",MIN(IF($E620="男",$Q620-3.3,$Q620-3.24),0))))&lt;-0.6,IF($B620="高三",MIN(IF($E620="男",$Q620-3.2,$Q620-3.2),0),IF($B620="高二",MIN(IF($E620="男",$Q620-3.25,$Q620-3.22),0),IF($B620="高一",MIN(IF($E620="男",$Q620-3.3,$Q620-3.24),0))))+0.4,IF($B620="高三",MIN(IF($E620="男",$Q620-3.2,$Q620-3.2),0),IF($B620="高二",MIN(IF($E620="男",$Q620-3.25,$Q620-3.22),0),IF($B620="高一",MIN(IF($E620="男",$Q620-3.3,$Q620-3.24),0))))),2)</f>
        <v>0</v>
      </c>
      <c r="T620" s="23">
        <f>IF(E620="男",LOOKUP($S620,[1]对照表!$AB$3:$AB$13,[1]对照表!$AC$3:$AC$13),LOOKUP($S620,[1]对照表!$AB$15:$AB$25,[1]对照表!$AC$15:$AC$25))</f>
        <v>0</v>
      </c>
      <c r="U620" s="26">
        <f>R620+T620</f>
        <v>85</v>
      </c>
      <c r="V620" s="26">
        <f>SUM(I620,K620,M620)/3*0.3+SUM(G620,R620)/2*0.4</f>
        <v>57.8</v>
      </c>
      <c r="W620" s="27">
        <f>O620+T620</f>
        <v>0</v>
      </c>
      <c r="X620" s="28">
        <f>V620/0.7+W620</f>
        <v>82.571428571428569</v>
      </c>
      <c r="Y620" s="28">
        <f>X620</f>
        <v>82.571428571428569</v>
      </c>
      <c r="Z620" s="38"/>
    </row>
    <row r="621" spans="1:26" ht="15.6" customHeight="1" x14ac:dyDescent="0.25">
      <c r="A621" s="48">
        <v>43</v>
      </c>
      <c r="B621" s="17" t="s">
        <v>767</v>
      </c>
      <c r="C621" s="48">
        <v>215</v>
      </c>
      <c r="D621" s="49" t="s">
        <v>1179</v>
      </c>
      <c r="E621" s="48" t="s">
        <v>65</v>
      </c>
      <c r="F621" s="38">
        <v>8.8000000000000007</v>
      </c>
      <c r="G621" s="32">
        <f>IF(B621="高三",IF($E621="男",LOOKUP(F621,[1]对照表!$G$3:$G$24,[1]对照表!$H$3:$H$24),LOOKUP(F621,[1]对照表!$G$27:$G$48,[1]对照表!$H$27:$H$48)),IF(B621="高二",IF($E621="男",LOOKUP(F621,[1]对照表!$F$3:$F$24,[1]对照表!$H$3:$H$24),LOOKUP(F621,[1]对照表!$F$27:$F$48,[1]对照表!$H$27:$H$48)),IF(B621="高一",IF($E621="男",LOOKUP(F621,[1]对照表!$E$3:$E$24,[1]对照表!$H$3:$H$24),LOOKUP(F621,[1]对照表!$E$27:$E$48,[1]对照表!$H$27:$H$48)))))</f>
        <v>76</v>
      </c>
      <c r="H621" s="38">
        <v>16.8</v>
      </c>
      <c r="I621" s="32">
        <f>IF(B621="高三",IF($E621="男",LOOKUP(H621,[1]对照表!$K$3:$K$24,[1]对照表!$L$3:$L$24),LOOKUP(H621,[1]对照表!$K$27:$K$48,[1]对照表!$L$27:$L$48)),IF(B621="高二",IF($E621="男",LOOKUP(H621,[1]对照表!$J$3:$J$24,[1]对照表!$L$3:$L$24),LOOKUP(H621,[1]对照表!$J$27:$J$48,[1]对照表!$L$27:$L$48)),IF(B621="高一",IF($E621="男",LOOKUP(H621,[1]对照表!$I$3:$I$24,[1]对照表!$L$3:$L$24),LOOKUP(H621,[1]对照表!$I$27:$I$48,[1]对照表!$L$27:$L$48)))))</f>
        <v>78</v>
      </c>
      <c r="J621" s="38">
        <v>166</v>
      </c>
      <c r="K621" s="32">
        <f>IF(B621="高三",IF($E621="男",LOOKUP(J621,[1]对照表!$O$3:$O$24,[1]对照表!$P$3:$P$24),LOOKUP(J621,[1]对照表!$O$27:$O$48,[1]对照表!$P$27:$P$48)),IF(B621="高二",IF($E621="男",LOOKUP(J621,[1]对照表!$N$3:$N$24,[1]对照表!$P$3:$P$24),LOOKUP(J621,[1]对照表!$N$27:$N$48,[1]对照表!$P$27:$P$48)),IF(B621="高一",IF($E621="男",LOOKUP(J621,[1]对照表!$M$3:$M$24,[1]对照表!$P$3:$P$24),LOOKUP(J621,[1]对照表!$M$27:$M$48,[1]对照表!$P$27:$P$48)))))</f>
        <v>70</v>
      </c>
      <c r="L621" s="38">
        <v>29</v>
      </c>
      <c r="M621" s="32">
        <f>IF(B621="高三",IF($E621="男",LOOKUP(L621,[1]对照表!$S$3:$S$24,[1]对照表!$T$3:$T$24),LOOKUP(L621,[1]对照表!$S$27:$S$48,[1]对照表!$T$27:$T$48)),IF(B621="高二",IF($E621="男",LOOKUP(L621,[1]对照表!$R$3:$R$24,[1]对照表!$T$3:$T$24),LOOKUP(L621,[1]对照表!$R$27:$R$48,[1]对照表!$T$27:$T$48)),IF(B621="高一",IF($E621="男",LOOKUP(L621,[1]对照表!$Q$3:$Q$24,[1]对照表!$T$3:$T$24),LOOKUP(L621,[1]对照表!$Q$27:$Q$48,[1]对照表!$T$27:$T$48)))))</f>
        <v>64</v>
      </c>
      <c r="N621" s="33">
        <f>IF(B621="高三",MAX(IF(E621="男",L621-18,L621-55),0),IF(B621="高二",MAX(IF(E621="男",L621-17,L621-54),0),IF(B621="高一",MAX(IF(E621="男",L621-16,L621-53),0))))</f>
        <v>0</v>
      </c>
      <c r="O621" s="23">
        <f>IF(E621="男",LOOKUP($N621,[1]对照表!$Z$3:$Z$13,[1]对照表!$AA$3:$AA$13),LOOKUP($N621,[1]对照表!$Z$15:$Z$25,[1]对照表!$AA$15:$AA$25))</f>
        <v>0</v>
      </c>
      <c r="P621" s="25">
        <f>M621+O621</f>
        <v>64</v>
      </c>
      <c r="Q621" s="38">
        <v>3.46</v>
      </c>
      <c r="R621" s="32">
        <f>IF(B621="高三",IF($E621="男",LOOKUP(Q621,[1]对照表!$W$3:$W$24,[1]对照表!$X$3:$X$24),LOOKUP(Q621,[1]对照表!$W$27:$W$48,[1]对照表!$X$27:$X$48)),IF(B621="高二",IF($E621="男",LOOKUP(Q621,[1]对照表!$V$3:$V$24,[1]对照表!$X$3:$X$24),LOOKUP(Q621,[1]对照表!$V$27:$V$48,[1]对照表!$X$27:$X$48)),IF(B621="高一",IF($E621="男",LOOKUP(Q621,[1]对照表!$U$3:$U$24,[1]对照表!$X$3:$X$24),LOOKUP(Q621,[1]对照表!$U$27:$U$48,[1]对照表!$X$27:$X$48)))))</f>
        <v>80</v>
      </c>
      <c r="S621" s="33">
        <f>ROUND(IF(IF($B621="高三",MIN(IF($E621="男",$Q621-3.2,$Q621-3.2),0),IF($B621="高二",MIN(IF($E621="男",$Q621-3.25,$Q621-3.22),0),IF($B621="高一",MIN(IF($E621="男",$Q621-3.3,$Q621-3.24),0))))&lt;-0.6,IF($B621="高三",MIN(IF($E621="男",$Q621-3.2,$Q621-3.2),0),IF($B621="高二",MIN(IF($E621="男",$Q621-3.25,$Q621-3.22),0),IF($B621="高一",MIN(IF($E621="男",$Q621-3.3,$Q621-3.24),0))))+0.4,IF($B621="高三",MIN(IF($E621="男",$Q621-3.2,$Q621-3.2),0),IF($B621="高二",MIN(IF($E621="男",$Q621-3.25,$Q621-3.22),0),IF($B621="高一",MIN(IF($E621="男",$Q621-3.3,$Q621-3.24),0))))),2)</f>
        <v>0</v>
      </c>
      <c r="T621" s="23">
        <f>IF(E621="男",LOOKUP($S621,[1]对照表!$AB$3:$AB$13,[1]对照表!$AC$3:$AC$13),LOOKUP($S621,[1]对照表!$AB$15:$AB$25,[1]对照表!$AC$15:$AC$25))</f>
        <v>0</v>
      </c>
      <c r="U621" s="26">
        <f>R621+T621</f>
        <v>80</v>
      </c>
      <c r="V621" s="26">
        <f>SUM(I621,K621,M621)/3*0.3+SUM(G621,R621)/2*0.4</f>
        <v>52.400000000000006</v>
      </c>
      <c r="W621" s="27">
        <f>O621+T621</f>
        <v>0</v>
      </c>
      <c r="X621" s="28">
        <f>V621/0.7+W621</f>
        <v>74.857142857142875</v>
      </c>
      <c r="Y621" s="28">
        <f>X621</f>
        <v>74.857142857142875</v>
      </c>
      <c r="Z621" s="38"/>
    </row>
    <row r="622" spans="1:26" ht="15.6" x14ac:dyDescent="0.25">
      <c r="A622" s="48">
        <v>29</v>
      </c>
      <c r="B622" s="17" t="s">
        <v>767</v>
      </c>
      <c r="C622" s="48">
        <v>215</v>
      </c>
      <c r="D622" s="49" t="s">
        <v>1204</v>
      </c>
      <c r="E622" s="48" t="s">
        <v>65</v>
      </c>
      <c r="F622" s="38">
        <v>9.3000000000000007</v>
      </c>
      <c r="G622" s="32">
        <f>IF(B622="高三",IF($E622="男",LOOKUP(F622,[1]对照表!$G$3:$G$24,[1]对照表!$H$3:$H$24),LOOKUP(F622,[1]对照表!$G$27:$G$48,[1]对照表!$H$27:$H$48)),IF(B622="高二",IF($E622="男",LOOKUP(F622,[1]对照表!$F$3:$F$24,[1]对照表!$H$3:$H$24),LOOKUP(F622,[1]对照表!$F$27:$F$48,[1]对照表!$H$27:$H$48)),IF(B622="高一",IF($E622="男",LOOKUP(F622,[1]对照表!$E$3:$E$24,[1]对照表!$H$3:$H$24),LOOKUP(F622,[1]对照表!$E$27:$E$48,[1]对照表!$H$27:$H$48)))))</f>
        <v>72</v>
      </c>
      <c r="H622" s="38">
        <v>12.5</v>
      </c>
      <c r="I622" s="32">
        <f>IF(B622="高三",IF($E622="男",LOOKUP(H622,[1]对照表!$K$3:$K$24,[1]对照表!$L$3:$L$24),LOOKUP(H622,[1]对照表!$K$27:$K$48,[1]对照表!$L$27:$L$48)),IF(B622="高二",IF($E622="男",LOOKUP(H622,[1]对照表!$J$3:$J$24,[1]对照表!$L$3:$L$24),LOOKUP(H622,[1]对照表!$J$27:$J$48,[1]对照表!$L$27:$L$48)),IF(B622="高一",IF($E622="男",LOOKUP(H622,[1]对照表!$I$3:$I$24,[1]对照表!$L$3:$L$24),LOOKUP(H622,[1]对照表!$I$27:$I$48,[1]对照表!$L$27:$L$48)))))</f>
        <v>70</v>
      </c>
      <c r="J622" s="38">
        <v>150</v>
      </c>
      <c r="K622" s="32">
        <f>IF(B622="高三",IF($E622="男",LOOKUP(J622,[1]对照表!$O$3:$O$24,[1]对照表!$P$3:$P$24),LOOKUP(J622,[1]对照表!$O$27:$O$48,[1]对照表!$P$27:$P$48)),IF(B622="高二",IF($E622="男",LOOKUP(J622,[1]对照表!$N$3:$N$24,[1]对照表!$P$3:$P$24),LOOKUP(J622,[1]对照表!$N$27:$N$48,[1]对照表!$P$27:$P$48)),IF(B622="高一",IF($E622="男",LOOKUP(J622,[1]对照表!$M$3:$M$24,[1]对照表!$P$3:$P$24),LOOKUP(J622,[1]对照表!$M$27:$M$48,[1]对照表!$P$27:$P$48)))))</f>
        <v>60</v>
      </c>
      <c r="L622" s="38">
        <v>48</v>
      </c>
      <c r="M622" s="32">
        <f>IF(B622="高三",IF($E622="男",LOOKUP(L622,[1]对照表!$S$3:$S$24,[1]对照表!$T$3:$T$24),LOOKUP(L622,[1]对照表!$S$27:$S$48,[1]对照表!$T$27:$T$48)),IF(B622="高二",IF($E622="男",LOOKUP(L622,[1]对照表!$R$3:$R$24,[1]对照表!$T$3:$T$24),LOOKUP(L622,[1]对照表!$R$27:$R$48,[1]对照表!$T$27:$T$48)),IF(B622="高一",IF($E622="男",LOOKUP(L622,[1]对照表!$Q$3:$Q$24,[1]对照表!$T$3:$T$24),LOOKUP(L622,[1]对照表!$Q$27:$Q$48,[1]对照表!$T$27:$T$48)))))</f>
        <v>85</v>
      </c>
      <c r="N622" s="33">
        <f>IF(B622="高三",MAX(IF(E622="男",L622-18,L622-55),0),IF(B622="高二",MAX(IF(E622="男",L622-17,L622-54),0),IF(B622="高一",MAX(IF(E622="男",L622-16,L622-53),0))))</f>
        <v>0</v>
      </c>
      <c r="O622" s="23">
        <f>IF(E622="男",LOOKUP($N622,[1]对照表!$Z$3:$Z$13,[1]对照表!$AA$3:$AA$13),LOOKUP($N622,[1]对照表!$Z$15:$Z$25,[1]对照表!$AA$15:$AA$25))</f>
        <v>0</v>
      </c>
      <c r="P622" s="25">
        <f>M622+O622</f>
        <v>85</v>
      </c>
      <c r="Q622" s="38">
        <v>3.49</v>
      </c>
      <c r="R622" s="32">
        <f>IF(B622="高三",IF($E622="男",LOOKUP(Q622,[1]对照表!$W$3:$W$24,[1]对照表!$X$3:$X$24),LOOKUP(Q622,[1]对照表!$W$27:$W$48,[1]对照表!$X$27:$X$48)),IF(B622="高二",IF($E622="男",LOOKUP(Q622,[1]对照表!$V$3:$V$24,[1]对照表!$X$3:$X$24),LOOKUP(Q622,[1]对照表!$V$27:$V$48,[1]对照表!$X$27:$X$48)),IF(B622="高一",IF($E622="男",LOOKUP(Q622,[1]对照表!$U$3:$U$24,[1]对照表!$X$3:$X$24),LOOKUP(Q622,[1]对照表!$U$27:$U$48,[1]对照表!$X$27:$X$48)))))</f>
        <v>78</v>
      </c>
      <c r="S622" s="33">
        <f>ROUND(IF(IF($B622="高三",MIN(IF($E622="男",$Q622-3.2,$Q622-3.2),0),IF($B622="高二",MIN(IF($E622="男",$Q622-3.25,$Q622-3.22),0),IF($B622="高一",MIN(IF($E622="男",$Q622-3.3,$Q622-3.24),0))))&lt;-0.6,IF($B622="高三",MIN(IF($E622="男",$Q622-3.2,$Q622-3.2),0),IF($B622="高二",MIN(IF($E622="男",$Q622-3.25,$Q622-3.22),0),IF($B622="高一",MIN(IF($E622="男",$Q622-3.3,$Q622-3.24),0))))+0.4,IF($B622="高三",MIN(IF($E622="男",$Q622-3.2,$Q622-3.2),0),IF($B622="高二",MIN(IF($E622="男",$Q622-3.25,$Q622-3.22),0),IF($B622="高一",MIN(IF($E622="男",$Q622-3.3,$Q622-3.24),0))))),2)</f>
        <v>0</v>
      </c>
      <c r="T622" s="23">
        <f>IF(E622="男",LOOKUP($S622,[1]对照表!$AB$3:$AB$13,[1]对照表!$AC$3:$AC$13),LOOKUP($S622,[1]对照表!$AB$15:$AB$25,[1]对照表!$AC$15:$AC$25))</f>
        <v>0</v>
      </c>
      <c r="U622" s="26">
        <f>R622+T622</f>
        <v>78</v>
      </c>
      <c r="V622" s="26">
        <f>SUM(I622,K622,M622)/3*0.3+SUM(G622,R622)/2*0.4</f>
        <v>51.5</v>
      </c>
      <c r="W622" s="27">
        <f>O622+T622</f>
        <v>0</v>
      </c>
      <c r="X622" s="28">
        <f>V622/0.7+W622</f>
        <v>73.571428571428569</v>
      </c>
      <c r="Y622" s="28">
        <f>X622</f>
        <v>73.571428571428569</v>
      </c>
      <c r="Z622" s="38"/>
    </row>
    <row r="623" spans="1:26" ht="15.6" x14ac:dyDescent="0.25">
      <c r="A623" s="48">
        <v>38</v>
      </c>
      <c r="B623" s="17" t="s">
        <v>767</v>
      </c>
      <c r="C623" s="48">
        <v>215</v>
      </c>
      <c r="D623" s="49" t="s">
        <v>1235</v>
      </c>
      <c r="E623" s="48" t="s">
        <v>65</v>
      </c>
      <c r="F623" s="38">
        <v>9.58</v>
      </c>
      <c r="G623" s="32">
        <f>IF(B623="高三",IF($E623="男",LOOKUP(F623,[1]对照表!$G$3:$G$24,[1]对照表!$H$3:$H$24),LOOKUP(F623,[1]对照表!$G$27:$G$48,[1]对照表!$H$27:$H$48)),IF(B623="高二",IF($E623="男",LOOKUP(F623,[1]对照表!$F$3:$F$24,[1]对照表!$H$3:$H$24),LOOKUP(F623,[1]对照表!$F$27:$F$48,[1]对照表!$H$27:$H$48)),IF(B623="高一",IF($E623="男",LOOKUP(F623,[1]对照表!$E$3:$E$24,[1]对照表!$H$3:$H$24),LOOKUP(F623,[1]对照表!$E$27:$E$48,[1]对照表!$H$27:$H$48)))))</f>
        <v>68</v>
      </c>
      <c r="H623" s="38">
        <v>21.7</v>
      </c>
      <c r="I623" s="32">
        <f>IF(B623="高三",IF($E623="男",LOOKUP(H623,[1]对照表!$K$3:$K$24,[1]对照表!$L$3:$L$24),LOOKUP(H623,[1]对照表!$K$27:$K$48,[1]对照表!$L$27:$L$48)),IF(B623="高二",IF($E623="男",LOOKUP(H623,[1]对照表!$J$3:$J$24,[1]对照表!$L$3:$L$24),LOOKUP(H623,[1]对照表!$J$27:$J$48,[1]对照表!$L$27:$L$48)),IF(B623="高一",IF($E623="男",LOOKUP(H623,[1]对照表!$I$3:$I$24,[1]对照表!$L$3:$L$24),LOOKUP(H623,[1]对照表!$I$27:$I$48,[1]对照表!$L$27:$L$48)))))</f>
        <v>90</v>
      </c>
      <c r="J623" s="38">
        <v>140</v>
      </c>
      <c r="K623" s="32">
        <f>IF(B623="高三",IF($E623="男",LOOKUP(J623,[1]对照表!$O$3:$O$24,[1]对照表!$P$3:$P$24),LOOKUP(J623,[1]对照表!$O$27:$O$48,[1]对照表!$P$27:$P$48)),IF(B623="高二",IF($E623="男",LOOKUP(J623,[1]对照表!$N$3:$N$24,[1]对照表!$P$3:$P$24),LOOKUP(J623,[1]对照表!$N$27:$N$48,[1]对照表!$P$27:$P$48)),IF(B623="高一",IF($E623="男",LOOKUP(J623,[1]对照表!$M$3:$M$24,[1]对照表!$P$3:$P$24),LOOKUP(J623,[1]对照表!$M$27:$M$48,[1]对照表!$P$27:$P$48)))))</f>
        <v>40</v>
      </c>
      <c r="L623" s="38">
        <v>51</v>
      </c>
      <c r="M623" s="32">
        <f>IF(B623="高三",IF($E623="男",LOOKUP(L623,[1]对照表!$S$3:$S$24,[1]对照表!$T$3:$T$24),LOOKUP(L623,[1]对照表!$S$27:$S$48,[1]对照表!$T$27:$T$48)),IF(B623="高二",IF($E623="男",LOOKUP(L623,[1]对照表!$R$3:$R$24,[1]对照表!$T$3:$T$24),LOOKUP(L623,[1]对照表!$R$27:$R$48,[1]对照表!$T$27:$T$48)),IF(B623="高一",IF($E623="男",LOOKUP(L623,[1]对照表!$Q$3:$Q$24,[1]对照表!$T$3:$T$24),LOOKUP(L623,[1]对照表!$Q$27:$Q$48,[1]对照表!$T$27:$T$48)))))</f>
        <v>90</v>
      </c>
      <c r="N623" s="33">
        <f>IF(B623="高三",MAX(IF(E623="男",L623-18,L623-55),0),IF(B623="高二",MAX(IF(E623="男",L623-17,L623-54),0),IF(B623="高一",MAX(IF(E623="男",L623-16,L623-53),0))))</f>
        <v>0</v>
      </c>
      <c r="O623" s="23">
        <f>IF(E623="男",LOOKUP($N623,[1]对照表!$Z$3:$Z$13,[1]对照表!$AA$3:$AA$13),LOOKUP($N623,[1]对照表!$Z$15:$Z$25,[1]对照表!$AA$15:$AA$25))</f>
        <v>0</v>
      </c>
      <c r="P623" s="25">
        <f>M623+O623</f>
        <v>90</v>
      </c>
      <c r="Q623" s="38">
        <v>3.54</v>
      </c>
      <c r="R623" s="32">
        <f>IF(B623="高三",IF($E623="男",LOOKUP(Q623,[1]对照表!$W$3:$W$24,[1]对照表!$X$3:$X$24),LOOKUP(Q623,[1]对照表!$W$27:$W$48,[1]对照表!$X$27:$X$48)),IF(B623="高二",IF($E623="男",LOOKUP(Q623,[1]对照表!$V$3:$V$24,[1]对照表!$X$3:$X$24),LOOKUP(Q623,[1]对照表!$V$27:$V$48,[1]对照表!$X$27:$X$48)),IF(B623="高一",IF($E623="男",LOOKUP(Q623,[1]对照表!$U$3:$U$24,[1]对照表!$X$3:$X$24),LOOKUP(Q623,[1]对照表!$U$27:$U$48,[1]对照表!$X$27:$X$48)))))</f>
        <v>76</v>
      </c>
      <c r="S623" s="33">
        <f>ROUND(IF(IF($B623="高三",MIN(IF($E623="男",$Q623-3.2,$Q623-3.2),0),IF($B623="高二",MIN(IF($E623="男",$Q623-3.25,$Q623-3.22),0),IF($B623="高一",MIN(IF($E623="男",$Q623-3.3,$Q623-3.24),0))))&lt;-0.6,IF($B623="高三",MIN(IF($E623="男",$Q623-3.2,$Q623-3.2),0),IF($B623="高二",MIN(IF($E623="男",$Q623-3.25,$Q623-3.22),0),IF($B623="高一",MIN(IF($E623="男",$Q623-3.3,$Q623-3.24),0))))+0.4,IF($B623="高三",MIN(IF($E623="男",$Q623-3.2,$Q623-3.2),0),IF($B623="高二",MIN(IF($E623="男",$Q623-3.25,$Q623-3.22),0),IF($B623="高一",MIN(IF($E623="男",$Q623-3.3,$Q623-3.24),0))))),2)</f>
        <v>0</v>
      </c>
      <c r="T623" s="23">
        <f>IF(E623="男",LOOKUP($S623,[1]对照表!$AB$3:$AB$13,[1]对照表!$AC$3:$AC$13),LOOKUP($S623,[1]对照表!$AB$15:$AB$25,[1]对照表!$AC$15:$AC$25))</f>
        <v>0</v>
      </c>
      <c r="U623" s="26">
        <f>R623+T623</f>
        <v>76</v>
      </c>
      <c r="V623" s="26">
        <f>SUM(I623,K623,M623)/3*0.3+SUM(G623,R623)/2*0.4</f>
        <v>50.8</v>
      </c>
      <c r="W623" s="27">
        <f>O623+T623</f>
        <v>0</v>
      </c>
      <c r="X623" s="28">
        <f>V623/0.7+W623</f>
        <v>72.571428571428569</v>
      </c>
      <c r="Y623" s="28">
        <f>X623</f>
        <v>72.571428571428569</v>
      </c>
      <c r="Z623" s="38"/>
    </row>
    <row r="624" spans="1:26" ht="15.6" x14ac:dyDescent="0.25">
      <c r="A624" s="48">
        <v>2</v>
      </c>
      <c r="B624" s="17" t="s">
        <v>767</v>
      </c>
      <c r="C624" s="48">
        <v>215</v>
      </c>
      <c r="D624" s="49" t="s">
        <v>1245</v>
      </c>
      <c r="E624" s="48" t="s">
        <v>23</v>
      </c>
      <c r="F624" s="38">
        <v>7.1</v>
      </c>
      <c r="G624" s="32">
        <f>IF(B624="高三",IF($E624="男",LOOKUP(F624,[1]对照表!$G$3:$G$24,[1]对照表!$H$3:$H$24),LOOKUP(F624,[1]对照表!$G$27:$G$48,[1]对照表!$H$27:$H$48)),IF(B624="高二",IF($E624="男",LOOKUP(F624,[1]对照表!$F$3:$F$24,[1]对照表!$H$3:$H$24),LOOKUP(F624,[1]对照表!$F$27:$F$48,[1]对照表!$H$27:$H$48)),IF(B624="高一",IF($E624="男",LOOKUP(F624,[1]对照表!$E$3:$E$24,[1]对照表!$H$3:$H$24),LOOKUP(F624,[1]对照表!$E$27:$E$48,[1]对照表!$H$27:$H$48)))))</f>
        <v>95</v>
      </c>
      <c r="H624" s="38">
        <v>6</v>
      </c>
      <c r="I624" s="32">
        <f>IF(B624="高三",IF($E624="男",LOOKUP(H624,[1]对照表!$K$3:$K$24,[1]对照表!$L$3:$L$24),LOOKUP(H624,[1]对照表!$K$27:$K$48,[1]对照表!$L$27:$L$48)),IF(B624="高二",IF($E624="男",LOOKUP(H624,[1]对照表!$J$3:$J$24,[1]对照表!$L$3:$L$24),LOOKUP(H624,[1]对照表!$J$27:$J$48,[1]对照表!$L$27:$L$48)),IF(B624="高一",IF($E624="男",LOOKUP(H624,[1]对照表!$I$3:$I$24,[1]对照表!$L$3:$L$24),LOOKUP(H624,[1]对照表!$I$27:$I$48,[1]对照表!$L$27:$L$48)))))</f>
        <v>64</v>
      </c>
      <c r="J624" s="38">
        <v>217</v>
      </c>
      <c r="K624" s="32">
        <f>IF(B624="高三",IF($E624="男",LOOKUP(J624,[1]对照表!$O$3:$O$24,[1]对照表!$P$3:$P$24),LOOKUP(J624,[1]对照表!$O$27:$O$48,[1]对照表!$P$27:$P$48)),IF(B624="高二",IF($E624="男",LOOKUP(J624,[1]对照表!$N$3:$N$24,[1]对照表!$P$3:$P$24),LOOKUP(J624,[1]对照表!$N$27:$N$48,[1]对照表!$P$27:$P$48)),IF(B624="高一",IF($E624="男",LOOKUP(J624,[1]对照表!$M$3:$M$24,[1]对照表!$P$3:$P$24),LOOKUP(J624,[1]对照表!$M$27:$M$48,[1]对照表!$P$27:$P$48)))))</f>
        <v>68</v>
      </c>
      <c r="L624" s="38">
        <v>7</v>
      </c>
      <c r="M624" s="32">
        <f>IF(B624="高三",IF($E624="男",LOOKUP(L624,[1]对照表!$S$3:$S$24,[1]对照表!$T$3:$T$24),LOOKUP(L624,[1]对照表!$S$27:$S$48,[1]对照表!$T$27:$T$48)),IF(B624="高二",IF($E624="男",LOOKUP(L624,[1]对照表!$R$3:$R$24,[1]对照表!$T$3:$T$24),LOOKUP(L624,[1]对照表!$R$27:$R$48,[1]对照表!$T$27:$T$48)),IF(B624="高一",IF($E624="男",LOOKUP(L624,[1]对照表!$Q$3:$Q$24,[1]对照表!$T$3:$T$24),LOOKUP(L624,[1]对照表!$Q$27:$Q$48,[1]对照表!$T$27:$T$48)))))</f>
        <v>50</v>
      </c>
      <c r="N624" s="33">
        <f>IF(B624="高三",MAX(IF(E624="男",L624-18,L624-55),0),IF(B624="高二",MAX(IF(E624="男",L624-17,L624-54),0),IF(B624="高一",MAX(IF(E624="男",L624-16,L624-53),0))))</f>
        <v>0</v>
      </c>
      <c r="O624" s="23">
        <f>IF(E624="男",LOOKUP($N624,[1]对照表!$Z$3:$Z$13,[1]对照表!$AA$3:$AA$13),LOOKUP($N624,[1]对照表!$Z$15:$Z$25,[1]对照表!$AA$15:$AA$25))</f>
        <v>0</v>
      </c>
      <c r="P624" s="25">
        <f>M624+O624</f>
        <v>50</v>
      </c>
      <c r="Q624" s="38">
        <v>3.35</v>
      </c>
      <c r="R624" s="32">
        <f>IF(B624="高三",IF($E624="男",LOOKUP(Q624,[1]对照表!$W$3:$W$24,[1]对照表!$X$3:$X$24),LOOKUP(Q624,[1]对照表!$W$27:$W$48,[1]对照表!$X$27:$X$48)),IF(B624="高二",IF($E624="男",LOOKUP(Q624,[1]对照表!$V$3:$V$24,[1]对照表!$X$3:$X$24),LOOKUP(Q624,[1]对照表!$V$27:$V$48,[1]对照表!$X$27:$X$48)),IF(B624="高一",IF($E624="男",LOOKUP(Q624,[1]对照表!$U$3:$U$24,[1]对照表!$X$3:$X$24),LOOKUP(Q624,[1]对照表!$U$27:$U$48,[1]对照表!$X$27:$X$48)))))</f>
        <v>90</v>
      </c>
      <c r="S624" s="33">
        <f>ROUND(IF(IF($B624="高三",MIN(IF($E624="男",$Q624-3.2,$Q624-3.2),0),IF($B624="高二",MIN(IF($E624="男",$Q624-3.25,$Q624-3.22),0),IF($B624="高一",MIN(IF($E624="男",$Q624-3.3,$Q624-3.24),0))))&lt;-0.6,IF($B624="高三",MIN(IF($E624="男",$Q624-3.2,$Q624-3.2),0),IF($B624="高二",MIN(IF($E624="男",$Q624-3.25,$Q624-3.22),0),IF($B624="高一",MIN(IF($E624="男",$Q624-3.3,$Q624-3.24),0))))+0.4,IF($B624="高三",MIN(IF($E624="男",$Q624-3.2,$Q624-3.2),0),IF($B624="高二",MIN(IF($E624="男",$Q624-3.25,$Q624-3.22),0),IF($B624="高一",MIN(IF($E624="男",$Q624-3.3,$Q624-3.24),0))))),2)</f>
        <v>0</v>
      </c>
      <c r="T624" s="23">
        <f>IF(E624="男",LOOKUP($S624,[1]对照表!$AB$3:$AB$13,[1]对照表!$AC$3:$AC$13),LOOKUP($S624,[1]对照表!$AB$15:$AB$25,[1]对照表!$AC$15:$AC$25))</f>
        <v>0</v>
      </c>
      <c r="U624" s="26">
        <f>R624+T624</f>
        <v>90</v>
      </c>
      <c r="V624" s="26">
        <f>SUM(I624,K624,M624)/3*0.3+SUM(G624,R624)/2*0.4</f>
        <v>55.2</v>
      </c>
      <c r="W624" s="27">
        <f>O624+T624</f>
        <v>0</v>
      </c>
      <c r="X624" s="28">
        <f>V624/0.7+W624</f>
        <v>78.857142857142861</v>
      </c>
      <c r="Y624" s="28">
        <f>X624</f>
        <v>78.857142857142861</v>
      </c>
      <c r="Z624" s="38"/>
    </row>
    <row r="625" spans="1:26" ht="15.6" x14ac:dyDescent="0.25">
      <c r="A625" s="38">
        <v>25</v>
      </c>
      <c r="B625" s="17" t="s">
        <v>767</v>
      </c>
      <c r="C625" s="48">
        <v>215</v>
      </c>
      <c r="D625" s="49" t="s">
        <v>1249</v>
      </c>
      <c r="E625" s="48" t="s">
        <v>23</v>
      </c>
      <c r="F625" s="38">
        <v>7.3</v>
      </c>
      <c r="G625" s="32">
        <f>IF(B625="高三",IF($E625="男",LOOKUP(F625,[1]对照表!$G$3:$G$24,[1]对照表!$H$3:$H$24),LOOKUP(F625,[1]对照表!$G$27:$G$48,[1]对照表!$H$27:$H$48)),IF(B625="高二",IF($E625="男",LOOKUP(F625,[1]对照表!$F$3:$F$24,[1]对照表!$H$3:$H$24),LOOKUP(F625,[1]对照表!$F$27:$F$48,[1]对照表!$H$27:$H$48)),IF(B625="高一",IF($E625="男",LOOKUP(F625,[1]对照表!$E$3:$E$24,[1]对照表!$H$3:$H$24),LOOKUP(F625,[1]对照表!$E$27:$E$48,[1]对照表!$H$27:$H$48)))))</f>
        <v>85</v>
      </c>
      <c r="H625" s="38">
        <v>13.5</v>
      </c>
      <c r="I625" s="32">
        <f>IF(B625="高三",IF($E625="男",LOOKUP(H625,[1]对照表!$K$3:$K$24,[1]对照表!$L$3:$L$24),LOOKUP(H625,[1]对照表!$K$27:$K$48,[1]对照表!$L$27:$L$48)),IF(B625="高二",IF($E625="男",LOOKUP(H625,[1]对照表!$J$3:$J$24,[1]对照表!$L$3:$L$24),LOOKUP(H625,[1]对照表!$J$27:$J$48,[1]对照表!$L$27:$L$48)),IF(B625="高一",IF($E625="男",LOOKUP(H625,[1]对照表!$I$3:$I$24,[1]对照表!$L$3:$L$24),LOOKUP(H625,[1]对照表!$I$27:$I$48,[1]对照表!$L$27:$L$48)))))</f>
        <v>76</v>
      </c>
      <c r="J625" s="38">
        <v>245</v>
      </c>
      <c r="K625" s="32">
        <f>IF(B625="高三",IF($E625="男",LOOKUP(J625,[1]对照表!$O$3:$O$24,[1]对照表!$P$3:$P$24),LOOKUP(J625,[1]对照表!$O$27:$O$48,[1]对照表!$P$27:$P$48)),IF(B625="高二",IF($E625="男",LOOKUP(J625,[1]对照表!$N$3:$N$24,[1]对照表!$P$3:$P$24),LOOKUP(J625,[1]对照表!$N$27:$N$48,[1]对照表!$P$27:$P$48)),IF(B625="高一",IF($E625="男",LOOKUP(J625,[1]对照表!$M$3:$M$24,[1]对照表!$P$3:$P$24),LOOKUP(J625,[1]对照表!$M$27:$M$48,[1]对照表!$P$27:$P$48)))))</f>
        <v>80</v>
      </c>
      <c r="L625" s="38">
        <v>10</v>
      </c>
      <c r="M625" s="32">
        <f>IF(B625="高三",IF($E625="男",LOOKUP(L625,[1]对照表!$S$3:$S$24,[1]对照表!$T$3:$T$24),LOOKUP(L625,[1]对照表!$S$27:$S$48,[1]对照表!$T$27:$T$48)),IF(B625="高二",IF($E625="男",LOOKUP(L625,[1]对照表!$R$3:$R$24,[1]对照表!$T$3:$T$24),LOOKUP(L625,[1]对照表!$R$27:$R$48,[1]对照表!$T$27:$T$48)),IF(B625="高一",IF($E625="男",LOOKUP(L625,[1]对照表!$Q$3:$Q$24,[1]对照表!$T$3:$T$24),LOOKUP(L625,[1]对照表!$Q$27:$Q$48,[1]对照表!$T$27:$T$48)))))</f>
        <v>68</v>
      </c>
      <c r="N625" s="33">
        <f>IF(B625="高三",MAX(IF(E625="男",L625-18,L625-55),0),IF(B625="高二",MAX(IF(E625="男",L625-17,L625-54),0),IF(B625="高一",MAX(IF(E625="男",L625-16,L625-53),0))))</f>
        <v>0</v>
      </c>
      <c r="O625" s="23">
        <f>IF(E625="男",LOOKUP($N625,[1]对照表!$Z$3:$Z$13,[1]对照表!$AA$3:$AA$13),LOOKUP($N625,[1]对照表!$Z$15:$Z$25,[1]对照表!$AA$15:$AA$25))</f>
        <v>0</v>
      </c>
      <c r="P625" s="25">
        <f>M625+O625</f>
        <v>68</v>
      </c>
      <c r="Q625" s="38">
        <v>3.53</v>
      </c>
      <c r="R625" s="32">
        <f>IF(B625="高三",IF($E625="男",LOOKUP(Q625,[1]对照表!$W$3:$W$24,[1]对照表!$X$3:$X$24),LOOKUP(Q625,[1]对照表!$W$27:$W$48,[1]对照表!$X$27:$X$48)),IF(B625="高二",IF($E625="男",LOOKUP(Q625,[1]对照表!$V$3:$V$24,[1]对照表!$X$3:$X$24),LOOKUP(Q625,[1]对照表!$V$27:$V$48,[1]对照表!$X$27:$X$48)),IF(B625="高一",IF($E625="男",LOOKUP(Q625,[1]对照表!$U$3:$U$24,[1]对照表!$X$3:$X$24),LOOKUP(Q625,[1]对照表!$U$27:$U$48,[1]对照表!$X$27:$X$48)))))</f>
        <v>78</v>
      </c>
      <c r="S625" s="27">
        <f>ROUND(IF(IF($B625="高三",MIN(IF($E625="男",$Q625-3.2,$Q625-3.2),0),IF($B625="高二",MIN(IF($E625="男",$Q625-3.25,$Q625-3.22),0),IF($B625="高一",MIN(IF($E625="男",$Q625-3.3,$Q625-3.24),0))))&lt;-0.6,IF($B625="高三",MIN(IF($E625="男",$Q625-3.2,$Q625-3.2),0),IF($B625="高二",MIN(IF($E625="男",$Q625-3.25,$Q625-3.22),0),IF($B625="高一",MIN(IF($E625="男",$Q625-3.3,$Q625-3.24),0))))+0.4,IF($B625="高三",MIN(IF($E625="男",$Q625-3.2,$Q625-3.2),0),IF($B625="高二",MIN(IF($E625="男",$Q625-3.25,$Q625-3.22),0),IF($B625="高一",MIN(IF($E625="男",$Q625-3.3,$Q625-3.24),0))))),2)</f>
        <v>0</v>
      </c>
      <c r="T625" s="23">
        <f>IF(E625="男",LOOKUP($S625,[1]对照表!$AB$3:$AB$13,[1]对照表!$AC$3:$AC$13),LOOKUP($S625,[1]对照表!$AB$15:$AB$25,[1]对照表!$AC$15:$AC$25))</f>
        <v>0</v>
      </c>
      <c r="U625" s="26">
        <f>R625+T625</f>
        <v>78</v>
      </c>
      <c r="V625" s="26">
        <f>SUM(I625,K625,M625)/3*0.3+SUM(G625,R625)/2*0.4</f>
        <v>55</v>
      </c>
      <c r="W625" s="27">
        <f>O625+T625</f>
        <v>0</v>
      </c>
      <c r="X625" s="28">
        <f>V625/0.7+W625</f>
        <v>78.571428571428569</v>
      </c>
      <c r="Y625" s="28">
        <f>X625</f>
        <v>78.571428571428569</v>
      </c>
      <c r="Z625" s="38"/>
    </row>
    <row r="626" spans="1:26" ht="15.6" x14ac:dyDescent="0.25">
      <c r="A626" s="48">
        <v>17</v>
      </c>
      <c r="B626" s="17" t="s">
        <v>767</v>
      </c>
      <c r="C626" s="48">
        <v>215</v>
      </c>
      <c r="D626" s="49" t="s">
        <v>1259</v>
      </c>
      <c r="E626" s="48" t="s">
        <v>23</v>
      </c>
      <c r="F626" s="38">
        <v>7.2</v>
      </c>
      <c r="G626" s="32">
        <f>IF(B626="高三",IF($E626="男",LOOKUP(F626,[1]对照表!$G$3:$G$24,[1]对照表!$H$3:$H$24),LOOKUP(F626,[1]对照表!$G$27:$G$48,[1]对照表!$H$27:$H$48)),IF(B626="高二",IF($E626="男",LOOKUP(F626,[1]对照表!$F$3:$F$24,[1]对照表!$H$3:$H$24),LOOKUP(F626,[1]对照表!$F$27:$F$48,[1]对照表!$H$27:$H$48)),IF(B626="高一",IF($E626="男",LOOKUP(F626,[1]对照表!$E$3:$E$24,[1]对照表!$H$3:$H$24),LOOKUP(F626,[1]对照表!$E$27:$E$48,[1]对照表!$H$27:$H$48)))))</f>
        <v>90</v>
      </c>
      <c r="H626" s="38">
        <v>18</v>
      </c>
      <c r="I626" s="32">
        <f>IF(B626="高三",IF($E626="男",LOOKUP(H626,[1]对照表!$K$3:$K$24,[1]对照表!$L$3:$L$24),LOOKUP(H626,[1]对照表!$K$27:$K$48,[1]对照表!$L$27:$L$48)),IF(B626="高二",IF($E626="男",LOOKUP(H626,[1]对照表!$J$3:$J$24,[1]对照表!$L$3:$L$24),LOOKUP(H626,[1]对照表!$J$27:$J$48,[1]对照表!$L$27:$L$48)),IF(B626="高一",IF($E626="男",LOOKUP(H626,[1]对照表!$I$3:$I$24,[1]对照表!$L$3:$L$24),LOOKUP(H626,[1]对照表!$I$27:$I$48,[1]对照表!$L$27:$L$48)))))</f>
        <v>80</v>
      </c>
      <c r="J626" s="38">
        <v>217</v>
      </c>
      <c r="K626" s="32">
        <f>IF(B626="高三",IF($E626="男",LOOKUP(J626,[1]对照表!$O$3:$O$24,[1]对照表!$P$3:$P$24),LOOKUP(J626,[1]对照表!$O$27:$O$48,[1]对照表!$P$27:$P$48)),IF(B626="高二",IF($E626="男",LOOKUP(J626,[1]对照表!$N$3:$N$24,[1]对照表!$P$3:$P$24),LOOKUP(J626,[1]对照表!$N$27:$N$48,[1]对照表!$P$27:$P$48)),IF(B626="高一",IF($E626="男",LOOKUP(J626,[1]对照表!$M$3:$M$24,[1]对照表!$P$3:$P$24),LOOKUP(J626,[1]对照表!$M$27:$M$48,[1]对照表!$P$27:$P$48)))))</f>
        <v>68</v>
      </c>
      <c r="L626" s="38">
        <v>10</v>
      </c>
      <c r="M626" s="32">
        <f>IF(B626="高三",IF($E626="男",LOOKUP(L626,[1]对照表!$S$3:$S$24,[1]对照表!$T$3:$T$24),LOOKUP(L626,[1]对照表!$S$27:$S$48,[1]对照表!$T$27:$T$48)),IF(B626="高二",IF($E626="男",LOOKUP(L626,[1]对照表!$R$3:$R$24,[1]对照表!$T$3:$T$24),LOOKUP(L626,[1]对照表!$R$27:$R$48,[1]对照表!$T$27:$T$48)),IF(B626="高一",IF($E626="男",LOOKUP(L626,[1]对照表!$Q$3:$Q$24,[1]对照表!$T$3:$T$24),LOOKUP(L626,[1]对照表!$Q$27:$Q$48,[1]对照表!$T$27:$T$48)))))</f>
        <v>68</v>
      </c>
      <c r="N626" s="33">
        <f>IF(B626="高三",MAX(IF(E626="男",L626-18,L626-55),0),IF(B626="高二",MAX(IF(E626="男",L626-17,L626-54),0),IF(B626="高一",MAX(IF(E626="男",L626-16,L626-53),0))))</f>
        <v>0</v>
      </c>
      <c r="O626" s="23">
        <f>IF(E626="男",LOOKUP($N626,[1]对照表!$Z$3:$Z$13,[1]对照表!$AA$3:$AA$13),LOOKUP($N626,[1]对照表!$Z$15:$Z$25,[1]对照表!$AA$15:$AA$25))</f>
        <v>0</v>
      </c>
      <c r="P626" s="25">
        <f>M626+O626</f>
        <v>68</v>
      </c>
      <c r="Q626" s="38">
        <v>3.57</v>
      </c>
      <c r="R626" s="32">
        <f>IF(B626="高三",IF($E626="男",LOOKUP(Q626,[1]对照表!$W$3:$W$24,[1]对照表!$X$3:$X$24),LOOKUP(Q626,[1]对照表!$W$27:$W$48,[1]对照表!$X$27:$X$48)),IF(B626="高二",IF($E626="男",LOOKUP(Q626,[1]对照表!$V$3:$V$24,[1]对照表!$X$3:$X$24),LOOKUP(Q626,[1]对照表!$V$27:$V$48,[1]对照表!$X$27:$X$48)),IF(B626="高一",IF($E626="男",LOOKUP(Q626,[1]对照表!$U$3:$U$24,[1]对照表!$X$3:$X$24),LOOKUP(Q626,[1]对照表!$U$27:$U$48,[1]对照表!$X$27:$X$48)))))</f>
        <v>76</v>
      </c>
      <c r="S626" s="33">
        <f>ROUND(IF(IF($B626="高三",MIN(IF($E626="男",$Q626-3.2,$Q626-3.2),0),IF($B626="高二",MIN(IF($E626="男",$Q626-3.25,$Q626-3.22),0),IF($B626="高一",MIN(IF($E626="男",$Q626-3.3,$Q626-3.24),0))))&lt;-0.6,IF($B626="高三",MIN(IF($E626="男",$Q626-3.2,$Q626-3.2),0),IF($B626="高二",MIN(IF($E626="男",$Q626-3.25,$Q626-3.22),0),IF($B626="高一",MIN(IF($E626="男",$Q626-3.3,$Q626-3.24),0))))+0.4,IF($B626="高三",MIN(IF($E626="男",$Q626-3.2,$Q626-3.2),0),IF($B626="高二",MIN(IF($E626="男",$Q626-3.25,$Q626-3.22),0),IF($B626="高一",MIN(IF($E626="男",$Q626-3.3,$Q626-3.24),0))))),2)</f>
        <v>0</v>
      </c>
      <c r="T626" s="23">
        <f>IF(E626="男",LOOKUP($S626,[1]对照表!$AB$3:$AB$13,[1]对照表!$AC$3:$AC$13),LOOKUP($S626,[1]对照表!$AB$15:$AB$25,[1]对照表!$AC$15:$AC$25))</f>
        <v>0</v>
      </c>
      <c r="U626" s="26">
        <f>R626+T626</f>
        <v>76</v>
      </c>
      <c r="V626" s="26">
        <f>SUM(I626,K626,M626)/3*0.3+SUM(G626,R626)/2*0.4</f>
        <v>54.8</v>
      </c>
      <c r="W626" s="27">
        <f>O626+T626</f>
        <v>0</v>
      </c>
      <c r="X626" s="28">
        <f>V626/0.7+W626</f>
        <v>78.285714285714292</v>
      </c>
      <c r="Y626" s="28">
        <f>X626</f>
        <v>78.285714285714292</v>
      </c>
      <c r="Z626" s="38"/>
    </row>
    <row r="627" spans="1:26" ht="15.6" x14ac:dyDescent="0.25">
      <c r="A627" s="48">
        <v>12</v>
      </c>
      <c r="B627" s="17" t="s">
        <v>767</v>
      </c>
      <c r="C627" s="48">
        <v>215</v>
      </c>
      <c r="D627" s="49" t="s">
        <v>1261</v>
      </c>
      <c r="E627" s="48" t="s">
        <v>23</v>
      </c>
      <c r="F627" s="38">
        <v>7</v>
      </c>
      <c r="G627" s="32">
        <f>IF(B627="高三",IF($E627="男",LOOKUP(F627,[1]对照表!$G$3:$G$24,[1]对照表!$H$3:$H$24),LOOKUP(F627,[1]对照表!$G$27:$G$48,[1]对照表!$H$27:$H$48)),IF(B627="高二",IF($E627="男",LOOKUP(F627,[1]对照表!$F$3:$F$24,[1]对照表!$H$3:$H$24),LOOKUP(F627,[1]对照表!$F$27:$F$48,[1]对照表!$H$27:$H$48)),IF(B627="高一",IF($E627="男",LOOKUP(F627,[1]对照表!$E$3:$E$24,[1]对照表!$H$3:$H$24),LOOKUP(F627,[1]对照表!$E$27:$E$48,[1]对照表!$H$27:$H$48)))))</f>
        <v>100</v>
      </c>
      <c r="H627" s="38">
        <v>9</v>
      </c>
      <c r="I627" s="32">
        <f>IF(B627="高三",IF($E627="男",LOOKUP(H627,[1]对照表!$K$3:$K$24,[1]对照表!$L$3:$L$24),LOOKUP(H627,[1]对照表!$K$27:$K$48,[1]对照表!$L$27:$L$48)),IF(B627="高二",IF($E627="男",LOOKUP(H627,[1]对照表!$J$3:$J$24,[1]对照表!$L$3:$L$24),LOOKUP(H627,[1]对照表!$J$27:$J$48,[1]对照表!$L$27:$L$48)),IF(B627="高一",IF($E627="男",LOOKUP(H627,[1]对照表!$I$3:$I$24,[1]对照表!$L$3:$L$24),LOOKUP(H627,[1]对照表!$I$27:$I$48,[1]对照表!$L$27:$L$48)))))</f>
        <v>68</v>
      </c>
      <c r="J627" s="38">
        <v>237</v>
      </c>
      <c r="K627" s="32">
        <f>IF(B627="高三",IF($E627="男",LOOKUP(J627,[1]对照表!$O$3:$O$24,[1]对照表!$P$3:$P$24),LOOKUP(J627,[1]对照表!$O$27:$O$48,[1]对照表!$P$27:$P$48)),IF(B627="高二",IF($E627="男",LOOKUP(J627,[1]对照表!$N$3:$N$24,[1]对照表!$P$3:$P$24),LOOKUP(J627,[1]对照表!$N$27:$N$48,[1]对照表!$P$27:$P$48)),IF(B627="高一",IF($E627="男",LOOKUP(J627,[1]对照表!$M$3:$M$24,[1]对照表!$P$3:$P$24),LOOKUP(J627,[1]对照表!$M$27:$M$48,[1]对照表!$P$27:$P$48)))))</f>
        <v>78</v>
      </c>
      <c r="L627" s="38">
        <v>6</v>
      </c>
      <c r="M627" s="32">
        <f>IF(B627="高三",IF($E627="男",LOOKUP(L627,[1]对照表!$S$3:$S$24,[1]对照表!$T$3:$T$24),LOOKUP(L627,[1]对照表!$S$27:$S$48,[1]对照表!$T$27:$T$48)),IF(B627="高二",IF($E627="男",LOOKUP(L627,[1]对照表!$R$3:$R$24,[1]对照表!$T$3:$T$24),LOOKUP(L627,[1]对照表!$R$27:$R$48,[1]对照表!$T$27:$T$48)),IF(B627="高一",IF($E627="男",LOOKUP(L627,[1]对照表!$Q$3:$Q$24,[1]对照表!$T$3:$T$24),LOOKUP(L627,[1]对照表!$Q$27:$Q$48,[1]对照表!$T$27:$T$48)))))</f>
        <v>40</v>
      </c>
      <c r="N627" s="33">
        <f>IF(B627="高三",MAX(IF(E627="男",L627-18,L627-55),0),IF(B627="高二",MAX(IF(E627="男",L627-17,L627-54),0),IF(B627="高一",MAX(IF(E627="男",L627-16,L627-53),0))))</f>
        <v>0</v>
      </c>
      <c r="O627" s="23">
        <f>IF(E627="男",LOOKUP($N627,[1]对照表!$Z$3:$Z$13,[1]对照表!$AA$3:$AA$13),LOOKUP($N627,[1]对照表!$Z$15:$Z$25,[1]对照表!$AA$15:$AA$25))</f>
        <v>0</v>
      </c>
      <c r="P627" s="25">
        <f>M627+O627</f>
        <v>40</v>
      </c>
      <c r="Q627" s="38">
        <v>3.48</v>
      </c>
      <c r="R627" s="32">
        <f>IF(B627="高三",IF($E627="男",LOOKUP(Q627,[1]对照表!$W$3:$W$24,[1]对照表!$X$3:$X$24),LOOKUP(Q627,[1]对照表!$W$27:$W$48,[1]对照表!$X$27:$X$48)),IF(B627="高二",IF($E627="男",LOOKUP(Q627,[1]对照表!$V$3:$V$24,[1]对照表!$X$3:$X$24),LOOKUP(Q627,[1]对照表!$V$27:$V$48,[1]对照表!$X$27:$X$48)),IF(B627="高一",IF($E627="男",LOOKUP(Q627,[1]对照表!$U$3:$U$24,[1]对照表!$X$3:$X$24),LOOKUP(Q627,[1]对照表!$U$27:$U$48,[1]对照表!$X$27:$X$48)))))</f>
        <v>80</v>
      </c>
      <c r="S627" s="33">
        <f>ROUND(IF(IF($B627="高三",MIN(IF($E627="男",$Q627-3.2,$Q627-3.2),0),IF($B627="高二",MIN(IF($E627="男",$Q627-3.25,$Q627-3.22),0),IF($B627="高一",MIN(IF($E627="男",$Q627-3.3,$Q627-3.24),0))))&lt;-0.6,IF($B627="高三",MIN(IF($E627="男",$Q627-3.2,$Q627-3.2),0),IF($B627="高二",MIN(IF($E627="男",$Q627-3.25,$Q627-3.22),0),IF($B627="高一",MIN(IF($E627="男",$Q627-3.3,$Q627-3.24),0))))+0.4,IF($B627="高三",MIN(IF($E627="男",$Q627-3.2,$Q627-3.2),0),IF($B627="高二",MIN(IF($E627="男",$Q627-3.25,$Q627-3.22),0),IF($B627="高一",MIN(IF($E627="男",$Q627-3.3,$Q627-3.24),0))))),2)</f>
        <v>0</v>
      </c>
      <c r="T627" s="23">
        <f>IF(E627="男",LOOKUP($S627,[1]对照表!$AB$3:$AB$13,[1]对照表!$AC$3:$AC$13),LOOKUP($S627,[1]对照表!$AB$15:$AB$25,[1]对照表!$AC$15:$AC$25))</f>
        <v>0</v>
      </c>
      <c r="U627" s="26">
        <f>R627+T627</f>
        <v>80</v>
      </c>
      <c r="V627" s="26">
        <f>SUM(I627,K627,M627)/3*0.3+SUM(G627,R627)/2*0.4</f>
        <v>54.599999999999994</v>
      </c>
      <c r="W627" s="27">
        <f>O627+T627</f>
        <v>0</v>
      </c>
      <c r="X627" s="28">
        <f>V627/0.7+W627</f>
        <v>78</v>
      </c>
      <c r="Y627" s="28">
        <f>X627</f>
        <v>78</v>
      </c>
      <c r="Z627" s="38"/>
    </row>
    <row r="628" spans="1:26" ht="15.6" customHeight="1" x14ac:dyDescent="0.25">
      <c r="A628" s="48">
        <v>3</v>
      </c>
      <c r="B628" s="17" t="s">
        <v>767</v>
      </c>
      <c r="C628" s="48">
        <v>215</v>
      </c>
      <c r="D628" s="49" t="s">
        <v>1279</v>
      </c>
      <c r="E628" s="48" t="s">
        <v>23</v>
      </c>
      <c r="F628" s="38">
        <v>7.8</v>
      </c>
      <c r="G628" s="32">
        <f>IF(B628="高三",IF($E628="男",LOOKUP(F628,[1]对照表!$G$3:$G$24,[1]对照表!$H$3:$H$24),LOOKUP(F628,[1]对照表!$G$27:$G$48,[1]对照表!$H$27:$H$48)),IF(B628="高二",IF($E628="男",LOOKUP(F628,[1]对照表!$F$3:$F$24,[1]对照表!$H$3:$H$24),LOOKUP(F628,[1]对照表!$F$27:$F$48,[1]对照表!$H$27:$H$48)),IF(B628="高一",IF($E628="男",LOOKUP(F628,[1]对照表!$E$3:$E$24,[1]对照表!$H$3:$H$24),LOOKUP(F628,[1]对照表!$E$27:$E$48,[1]对照表!$H$27:$H$48)))))</f>
        <v>76</v>
      </c>
      <c r="H628" s="38">
        <v>11.5</v>
      </c>
      <c r="I628" s="32">
        <f>IF(B628="高三",IF($E628="男",LOOKUP(H628,[1]对照表!$K$3:$K$24,[1]对照表!$L$3:$L$24),LOOKUP(H628,[1]对照表!$K$27:$K$48,[1]对照表!$L$27:$L$48)),IF(B628="高二",IF($E628="男",LOOKUP(H628,[1]对照表!$J$3:$J$24,[1]对照表!$L$3:$L$24),LOOKUP(H628,[1]对照表!$J$27:$J$48,[1]对照表!$L$27:$L$48)),IF(B628="高一",IF($E628="男",LOOKUP(H628,[1]对照表!$I$3:$I$24,[1]对照表!$L$3:$L$24),LOOKUP(H628,[1]对照表!$I$27:$I$48,[1]对照表!$L$27:$L$48)))))</f>
        <v>72</v>
      </c>
      <c r="J628" s="38">
        <v>215</v>
      </c>
      <c r="K628" s="32">
        <f>IF(B628="高三",IF($E628="男",LOOKUP(J628,[1]对照表!$O$3:$O$24,[1]对照表!$P$3:$P$24),LOOKUP(J628,[1]对照表!$O$27:$O$48,[1]对照表!$P$27:$P$48)),IF(B628="高二",IF($E628="男",LOOKUP(J628,[1]对照表!$N$3:$N$24,[1]对照表!$P$3:$P$24),LOOKUP(J628,[1]对照表!$N$27:$N$48,[1]对照表!$P$27:$P$48)),IF(B628="高一",IF($E628="男",LOOKUP(J628,[1]对照表!$M$3:$M$24,[1]对照表!$P$3:$P$24),LOOKUP(J628,[1]对照表!$M$27:$M$48,[1]对照表!$P$27:$P$48)))))</f>
        <v>66</v>
      </c>
      <c r="L628" s="38">
        <v>15</v>
      </c>
      <c r="M628" s="32">
        <f>IF(B628="高三",IF($E628="男",LOOKUP(L628,[1]对照表!$S$3:$S$24,[1]对照表!$T$3:$T$24),LOOKUP(L628,[1]对照表!$S$27:$S$48,[1]对照表!$T$27:$T$48)),IF(B628="高二",IF($E628="男",LOOKUP(L628,[1]对照表!$R$3:$R$24,[1]对照表!$T$3:$T$24),LOOKUP(L628,[1]对照表!$R$27:$R$48,[1]对照表!$T$27:$T$48)),IF(B628="高一",IF($E628="男",LOOKUP(L628,[1]对照表!$Q$3:$Q$24,[1]对照表!$T$3:$T$24),LOOKUP(L628,[1]对照表!$Q$27:$Q$48,[1]对照表!$T$27:$T$48)))))</f>
        <v>90</v>
      </c>
      <c r="N628" s="33">
        <f>IF(B628="高三",MAX(IF(E628="男",L628-18,L628-55),0),IF(B628="高二",MAX(IF(E628="男",L628-17,L628-54),0),IF(B628="高一",MAX(IF(E628="男",L628-16,L628-53),0))))</f>
        <v>0</v>
      </c>
      <c r="O628" s="23">
        <f>IF(E628="男",LOOKUP($N628,[1]对照表!$Z$3:$Z$13,[1]对照表!$AA$3:$AA$13),LOOKUP($N628,[1]对照表!$Z$15:$Z$25,[1]对照表!$AA$15:$AA$25))</f>
        <v>0</v>
      </c>
      <c r="P628" s="25">
        <f>M628+O628</f>
        <v>90</v>
      </c>
      <c r="Q628" s="38">
        <v>3.51</v>
      </c>
      <c r="R628" s="32">
        <f>IF(B628="高三",IF($E628="男",LOOKUP(Q628,[1]对照表!$W$3:$W$24,[1]对照表!$X$3:$X$24),LOOKUP(Q628,[1]对照表!$W$27:$W$48,[1]对照表!$X$27:$X$48)),IF(B628="高二",IF($E628="男",LOOKUP(Q628,[1]对照表!$V$3:$V$24,[1]对照表!$X$3:$X$24),LOOKUP(Q628,[1]对照表!$V$27:$V$48,[1]对照表!$X$27:$X$48)),IF(B628="高一",IF($E628="男",LOOKUP(Q628,[1]对照表!$U$3:$U$24,[1]对照表!$X$3:$X$24),LOOKUP(Q628,[1]对照表!$U$27:$U$48,[1]对照表!$X$27:$X$48)))))</f>
        <v>78</v>
      </c>
      <c r="S628" s="33">
        <f>ROUND(IF(IF($B628="高三",MIN(IF($E628="男",$Q628-3.2,$Q628-3.2),0),IF($B628="高二",MIN(IF($E628="男",$Q628-3.25,$Q628-3.22),0),IF($B628="高一",MIN(IF($E628="男",$Q628-3.3,$Q628-3.24),0))))&lt;-0.6,IF($B628="高三",MIN(IF($E628="男",$Q628-3.2,$Q628-3.2),0),IF($B628="高二",MIN(IF($E628="男",$Q628-3.25,$Q628-3.22),0),IF($B628="高一",MIN(IF($E628="男",$Q628-3.3,$Q628-3.24),0))))+0.4,IF($B628="高三",MIN(IF($E628="男",$Q628-3.2,$Q628-3.2),0),IF($B628="高二",MIN(IF($E628="男",$Q628-3.25,$Q628-3.22),0),IF($B628="高一",MIN(IF($E628="男",$Q628-3.3,$Q628-3.24),0))))),2)</f>
        <v>0</v>
      </c>
      <c r="T628" s="23">
        <f>IF(E628="男",LOOKUP($S628,[1]对照表!$AB$3:$AB$13,[1]对照表!$AC$3:$AC$13),LOOKUP($S628,[1]对照表!$AB$15:$AB$25,[1]对照表!$AC$15:$AC$25))</f>
        <v>0</v>
      </c>
      <c r="U628" s="26">
        <f>R628+T628</f>
        <v>78</v>
      </c>
      <c r="V628" s="26">
        <f>SUM(I628,K628,M628)/3*0.3+SUM(G628,R628)/2*0.4</f>
        <v>53.6</v>
      </c>
      <c r="W628" s="27">
        <f>O628+T628</f>
        <v>0</v>
      </c>
      <c r="X628" s="28">
        <f>V628/0.7+W628</f>
        <v>76.571428571428584</v>
      </c>
      <c r="Y628" s="28">
        <f>X628</f>
        <v>76.571428571428584</v>
      </c>
      <c r="Z628" s="38"/>
    </row>
    <row r="629" spans="1:26" ht="15.6" x14ac:dyDescent="0.25">
      <c r="A629" s="48">
        <v>19</v>
      </c>
      <c r="B629" s="17" t="s">
        <v>767</v>
      </c>
      <c r="C629" s="48">
        <v>215</v>
      </c>
      <c r="D629" s="49" t="s">
        <v>1281</v>
      </c>
      <c r="E629" s="48" t="s">
        <v>23</v>
      </c>
      <c r="F629" s="38">
        <v>7.3</v>
      </c>
      <c r="G629" s="32">
        <f>IF(B629="高三",IF($E629="男",LOOKUP(F629,[1]对照表!$G$3:$G$24,[1]对照表!$H$3:$H$24),LOOKUP(F629,[1]对照表!$G$27:$G$48,[1]对照表!$H$27:$H$48)),IF(B629="高二",IF($E629="男",LOOKUP(F629,[1]对照表!$F$3:$F$24,[1]对照表!$H$3:$H$24),LOOKUP(F629,[1]对照表!$F$27:$F$48,[1]对照表!$H$27:$H$48)),IF(B629="高一",IF($E629="男",LOOKUP(F629,[1]对照表!$E$3:$E$24,[1]对照表!$H$3:$H$24),LOOKUP(F629,[1]对照表!$E$27:$E$48,[1]对照表!$H$27:$H$48)))))</f>
        <v>85</v>
      </c>
      <c r="H629" s="38">
        <v>10</v>
      </c>
      <c r="I629" s="32">
        <f>IF(B629="高三",IF($E629="男",LOOKUP(H629,[1]对照表!$K$3:$K$24,[1]对照表!$L$3:$L$24),LOOKUP(H629,[1]对照表!$K$27:$K$48,[1]对照表!$L$27:$L$48)),IF(B629="高二",IF($E629="男",LOOKUP(H629,[1]对照表!$J$3:$J$24,[1]对照表!$L$3:$L$24),LOOKUP(H629,[1]对照表!$J$27:$J$48,[1]对照表!$L$27:$L$48)),IF(B629="高一",IF($E629="男",LOOKUP(H629,[1]对照表!$I$3:$I$24,[1]对照表!$L$3:$L$24),LOOKUP(H629,[1]对照表!$I$27:$I$48,[1]对照表!$L$27:$L$48)))))</f>
        <v>70</v>
      </c>
      <c r="J629" s="38">
        <v>235</v>
      </c>
      <c r="K629" s="32">
        <f>IF(B629="高三",IF($E629="男",LOOKUP(J629,[1]对照表!$O$3:$O$24,[1]对照表!$P$3:$P$24),LOOKUP(J629,[1]对照表!$O$27:$O$48,[1]对照表!$P$27:$P$48)),IF(B629="高二",IF($E629="男",LOOKUP(J629,[1]对照表!$N$3:$N$24,[1]对照表!$P$3:$P$24),LOOKUP(J629,[1]对照表!$N$27:$N$48,[1]对照表!$P$27:$P$48)),IF(B629="高一",IF($E629="男",LOOKUP(J629,[1]对照表!$M$3:$M$24,[1]对照表!$P$3:$P$24),LOOKUP(J629,[1]对照表!$M$27:$M$48,[1]对照表!$P$27:$P$48)))))</f>
        <v>76</v>
      </c>
      <c r="L629" s="38">
        <v>11</v>
      </c>
      <c r="M629" s="32">
        <f>IF(B629="高三",IF($E629="男",LOOKUP(L629,[1]对照表!$S$3:$S$24,[1]对照表!$T$3:$T$24),LOOKUP(L629,[1]对照表!$S$27:$S$48,[1]对照表!$T$27:$T$48)),IF(B629="高二",IF($E629="男",LOOKUP(L629,[1]对照表!$R$3:$R$24,[1]对照表!$T$3:$T$24),LOOKUP(L629,[1]对照表!$R$27:$R$48,[1]对照表!$T$27:$T$48)),IF(B629="高一",IF($E629="男",LOOKUP(L629,[1]对照表!$Q$3:$Q$24,[1]对照表!$T$3:$T$24),LOOKUP(L629,[1]对照表!$Q$27:$Q$48,[1]对照表!$T$27:$T$48)))))</f>
        <v>72</v>
      </c>
      <c r="N629" s="33">
        <f>IF(B629="高三",MAX(IF(E629="男",L629-18,L629-55),0),IF(B629="高二",MAX(IF(E629="男",L629-17,L629-54),0),IF(B629="高一",MAX(IF(E629="男",L629-16,L629-53),0))))</f>
        <v>0</v>
      </c>
      <c r="O629" s="23">
        <f>IF(E629="男",LOOKUP($N629,[1]对照表!$Z$3:$Z$13,[1]对照表!$AA$3:$AA$13),LOOKUP($N629,[1]对照表!$Z$15:$Z$25,[1]对照表!$AA$15:$AA$25))</f>
        <v>0</v>
      </c>
      <c r="P629" s="25">
        <f>M629+O629</f>
        <v>72</v>
      </c>
      <c r="Q629" s="38">
        <v>4.04</v>
      </c>
      <c r="R629" s="32">
        <f>IF(B629="高三",IF($E629="男",LOOKUP(Q629,[1]对照表!$W$3:$W$24,[1]对照表!$X$3:$X$24),LOOKUP(Q629,[1]对照表!$W$27:$W$48,[1]对照表!$X$27:$X$48)),IF(B629="高二",IF($E629="男",LOOKUP(Q629,[1]对照表!$V$3:$V$24,[1]对照表!$X$3:$X$24),LOOKUP(Q629,[1]对照表!$V$27:$V$48,[1]对照表!$X$27:$X$48)),IF(B629="高一",IF($E629="男",LOOKUP(Q629,[1]对照表!$U$3:$U$24,[1]对照表!$X$3:$X$24),LOOKUP(Q629,[1]对照表!$U$27:$U$48,[1]对照表!$X$27:$X$48)))))</f>
        <v>74</v>
      </c>
      <c r="S629" s="33">
        <f>ROUND(IF(IF($B629="高三",MIN(IF($E629="男",$Q629-3.2,$Q629-3.2),0),IF($B629="高二",MIN(IF($E629="男",$Q629-3.25,$Q629-3.22),0),IF($B629="高一",MIN(IF($E629="男",$Q629-3.3,$Q629-3.24),0))))&lt;-0.6,IF($B629="高三",MIN(IF($E629="男",$Q629-3.2,$Q629-3.2),0),IF($B629="高二",MIN(IF($E629="男",$Q629-3.25,$Q629-3.22),0),IF($B629="高一",MIN(IF($E629="男",$Q629-3.3,$Q629-3.24),0))))+0.4,IF($B629="高三",MIN(IF($E629="男",$Q629-3.2,$Q629-3.2),0),IF($B629="高二",MIN(IF($E629="男",$Q629-3.25,$Q629-3.22),0),IF($B629="高一",MIN(IF($E629="男",$Q629-3.3,$Q629-3.24),0))))),2)</f>
        <v>0</v>
      </c>
      <c r="T629" s="23">
        <f>IF(E629="男",LOOKUP($S629,[1]对照表!$AB$3:$AB$13,[1]对照表!$AC$3:$AC$13),LOOKUP($S629,[1]对照表!$AB$15:$AB$25,[1]对照表!$AC$15:$AC$25))</f>
        <v>0</v>
      </c>
      <c r="U629" s="26">
        <f>R629+T629</f>
        <v>74</v>
      </c>
      <c r="V629" s="26">
        <f>SUM(I629,K629,M629)/3*0.3+SUM(G629,R629)/2*0.4</f>
        <v>53.6</v>
      </c>
      <c r="W629" s="27">
        <f>O629+T629</f>
        <v>0</v>
      </c>
      <c r="X629" s="28">
        <f>V629/0.7+W629</f>
        <v>76.571428571428584</v>
      </c>
      <c r="Y629" s="28">
        <f>X629</f>
        <v>76.571428571428584</v>
      </c>
      <c r="Z629" s="38"/>
    </row>
    <row r="630" spans="1:26" ht="15.6" x14ac:dyDescent="0.25">
      <c r="A630" s="48">
        <v>15</v>
      </c>
      <c r="B630" s="17" t="s">
        <v>767</v>
      </c>
      <c r="C630" s="48">
        <v>215</v>
      </c>
      <c r="D630" s="49" t="s">
        <v>1292</v>
      </c>
      <c r="E630" s="48" t="s">
        <v>23</v>
      </c>
      <c r="F630" s="38">
        <v>7.5</v>
      </c>
      <c r="G630" s="32">
        <f>IF(B630="高三",IF($E630="男",LOOKUP(F630,[1]对照表!$G$3:$G$24,[1]对照表!$H$3:$H$24),LOOKUP(F630,[1]对照表!$G$27:$G$48,[1]对照表!$H$27:$H$48)),IF(B630="高二",IF($E630="男",LOOKUP(F630,[1]对照表!$F$3:$F$24,[1]对照表!$H$3:$H$24),LOOKUP(F630,[1]对照表!$F$27:$F$48,[1]对照表!$H$27:$H$48)),IF(B630="高一",IF($E630="男",LOOKUP(F630,[1]对照表!$E$3:$E$24,[1]对照表!$H$3:$H$24),LOOKUP(F630,[1]对照表!$E$27:$E$48,[1]对照表!$H$27:$H$48)))))</f>
        <v>78</v>
      </c>
      <c r="H630" s="38">
        <v>15</v>
      </c>
      <c r="I630" s="32">
        <f>IF(B630="高三",IF($E630="男",LOOKUP(H630,[1]对照表!$K$3:$K$24,[1]对照表!$L$3:$L$24),LOOKUP(H630,[1]对照表!$K$27:$K$48,[1]对照表!$L$27:$L$48)),IF(B630="高二",IF($E630="男",LOOKUP(H630,[1]对照表!$J$3:$J$24,[1]对照表!$L$3:$L$24),LOOKUP(H630,[1]对照表!$J$27:$J$48,[1]对照表!$L$27:$L$48)),IF(B630="高一",IF($E630="男",LOOKUP(H630,[1]对照表!$I$3:$I$24,[1]对照表!$L$3:$L$24),LOOKUP(H630,[1]对照表!$I$27:$I$48,[1]对照表!$L$27:$L$48)))))</f>
        <v>78</v>
      </c>
      <c r="J630" s="38">
        <v>247</v>
      </c>
      <c r="K630" s="32">
        <f>IF(B630="高三",IF($E630="男",LOOKUP(J630,[1]对照表!$O$3:$O$24,[1]对照表!$P$3:$P$24),LOOKUP(J630,[1]对照表!$O$27:$O$48,[1]对照表!$P$27:$P$48)),IF(B630="高二",IF($E630="男",LOOKUP(J630,[1]对照表!$N$3:$N$24,[1]对照表!$P$3:$P$24),LOOKUP(J630,[1]对照表!$N$27:$N$48,[1]对照表!$P$27:$P$48)),IF(B630="高一",IF($E630="男",LOOKUP(J630,[1]对照表!$M$3:$M$24,[1]对照表!$P$3:$P$24),LOOKUP(J630,[1]对照表!$M$27:$M$48,[1]对照表!$P$27:$P$48)))))</f>
        <v>80</v>
      </c>
      <c r="L630" s="38">
        <v>8</v>
      </c>
      <c r="M630" s="32">
        <f>IF(B630="高三",IF($E630="男",LOOKUP(L630,[1]对照表!$S$3:$S$24,[1]对照表!$T$3:$T$24),LOOKUP(L630,[1]对照表!$S$27:$S$48,[1]对照表!$T$27:$T$48)),IF(B630="高二",IF($E630="男",LOOKUP(L630,[1]对照表!$R$3:$R$24,[1]对照表!$T$3:$T$24),LOOKUP(L630,[1]对照表!$R$27:$R$48,[1]对照表!$T$27:$T$48)),IF(B630="高一",IF($E630="男",LOOKUP(L630,[1]对照表!$Q$3:$Q$24,[1]对照表!$T$3:$T$24),LOOKUP(L630,[1]对照表!$Q$27:$Q$48,[1]对照表!$T$27:$T$48)))))</f>
        <v>60</v>
      </c>
      <c r="N630" s="33">
        <f>IF(B630="高三",MAX(IF(E630="男",L630-18,L630-55),0),IF(B630="高二",MAX(IF(E630="男",L630-17,L630-54),0),IF(B630="高一",MAX(IF(E630="男",L630-16,L630-53),0))))</f>
        <v>0</v>
      </c>
      <c r="O630" s="23">
        <f>IF(E630="男",LOOKUP($N630,[1]对照表!$Z$3:$Z$13,[1]对照表!$AA$3:$AA$13),LOOKUP($N630,[1]对照表!$Z$15:$Z$25,[1]对照表!$AA$15:$AA$25))</f>
        <v>0</v>
      </c>
      <c r="P630" s="25">
        <f>M630+O630</f>
        <v>60</v>
      </c>
      <c r="Q630" s="38">
        <v>3.53</v>
      </c>
      <c r="R630" s="32">
        <f>IF(B630="高三",IF($E630="男",LOOKUP(Q630,[1]对照表!$W$3:$W$24,[1]对照表!$X$3:$X$24),LOOKUP(Q630,[1]对照表!$W$27:$W$48,[1]对照表!$X$27:$X$48)),IF(B630="高二",IF($E630="男",LOOKUP(Q630,[1]对照表!$V$3:$V$24,[1]对照表!$X$3:$X$24),LOOKUP(Q630,[1]对照表!$V$27:$V$48,[1]对照表!$X$27:$X$48)),IF(B630="高一",IF($E630="男",LOOKUP(Q630,[1]对照表!$U$3:$U$24,[1]对照表!$X$3:$X$24),LOOKUP(Q630,[1]对照表!$U$27:$U$48,[1]对照表!$X$27:$X$48)))))</f>
        <v>78</v>
      </c>
      <c r="S630" s="33">
        <f>ROUND(IF(IF($B630="高三",MIN(IF($E630="男",$Q630-3.2,$Q630-3.2),0),IF($B630="高二",MIN(IF($E630="男",$Q630-3.25,$Q630-3.22),0),IF($B630="高一",MIN(IF($E630="男",$Q630-3.3,$Q630-3.24),0))))&lt;-0.6,IF($B630="高三",MIN(IF($E630="男",$Q630-3.2,$Q630-3.2),0),IF($B630="高二",MIN(IF($E630="男",$Q630-3.25,$Q630-3.22),0),IF($B630="高一",MIN(IF($E630="男",$Q630-3.3,$Q630-3.24),0))))+0.4,IF($B630="高三",MIN(IF($E630="男",$Q630-3.2,$Q630-3.2),0),IF($B630="高二",MIN(IF($E630="男",$Q630-3.25,$Q630-3.22),0),IF($B630="高一",MIN(IF($E630="男",$Q630-3.3,$Q630-3.24),0))))),2)</f>
        <v>0</v>
      </c>
      <c r="T630" s="23">
        <f>IF(E630="男",LOOKUP($S630,[1]对照表!$AB$3:$AB$13,[1]对照表!$AC$3:$AC$13),LOOKUP($S630,[1]对照表!$AB$15:$AB$25,[1]对照表!$AC$15:$AC$25))</f>
        <v>0</v>
      </c>
      <c r="U630" s="26">
        <f>R630+T630</f>
        <v>78</v>
      </c>
      <c r="V630" s="26">
        <f>SUM(I630,K630,M630)/3*0.3+SUM(G630,R630)/2*0.4</f>
        <v>53</v>
      </c>
      <c r="W630" s="27">
        <f>O630+T630</f>
        <v>0</v>
      </c>
      <c r="X630" s="28">
        <f>V630/0.7+W630</f>
        <v>75.714285714285722</v>
      </c>
      <c r="Y630" s="28">
        <f>X630</f>
        <v>75.714285714285722</v>
      </c>
      <c r="Z630" s="38"/>
    </row>
    <row r="631" spans="1:26" ht="15.6" x14ac:dyDescent="0.25">
      <c r="A631" s="48">
        <v>16</v>
      </c>
      <c r="B631" s="17" t="s">
        <v>767</v>
      </c>
      <c r="C631" s="48">
        <v>215</v>
      </c>
      <c r="D631" s="49" t="s">
        <v>1323</v>
      </c>
      <c r="E631" s="48" t="s">
        <v>23</v>
      </c>
      <c r="F631" s="38">
        <v>7.2</v>
      </c>
      <c r="G631" s="32">
        <f>IF(B631="高三",IF($E631="男",LOOKUP(F631,[1]对照表!$G$3:$G$24,[1]对照表!$H$3:$H$24),LOOKUP(F631,[1]对照表!$G$27:$G$48,[1]对照表!$H$27:$H$48)),IF(B631="高二",IF($E631="男",LOOKUP(F631,[1]对照表!$F$3:$F$24,[1]对照表!$H$3:$H$24),LOOKUP(F631,[1]对照表!$F$27:$F$48,[1]对照表!$H$27:$H$48)),IF(B631="高一",IF($E631="男",LOOKUP(F631,[1]对照表!$E$3:$E$24,[1]对照表!$H$3:$H$24),LOOKUP(F631,[1]对照表!$E$27:$E$48,[1]对照表!$H$27:$H$48)))))</f>
        <v>90</v>
      </c>
      <c r="H631" s="38">
        <v>6</v>
      </c>
      <c r="I631" s="32">
        <f>IF(B631="高三",IF($E631="男",LOOKUP(H631,[1]对照表!$K$3:$K$24,[1]对照表!$L$3:$L$24),LOOKUP(H631,[1]对照表!$K$27:$K$48,[1]对照表!$L$27:$L$48)),IF(B631="高二",IF($E631="男",LOOKUP(H631,[1]对照表!$J$3:$J$24,[1]对照表!$L$3:$L$24),LOOKUP(H631,[1]对照表!$J$27:$J$48,[1]对照表!$L$27:$L$48)),IF(B631="高一",IF($E631="男",LOOKUP(H631,[1]对照表!$I$3:$I$24,[1]对照表!$L$3:$L$24),LOOKUP(H631,[1]对照表!$I$27:$I$48,[1]对照表!$L$27:$L$48)))))</f>
        <v>64</v>
      </c>
      <c r="J631" s="38">
        <v>237</v>
      </c>
      <c r="K631" s="32">
        <f>IF(B631="高三",IF($E631="男",LOOKUP(J631,[1]对照表!$O$3:$O$24,[1]对照表!$P$3:$P$24),LOOKUP(J631,[1]对照表!$O$27:$O$48,[1]对照表!$P$27:$P$48)),IF(B631="高二",IF($E631="男",LOOKUP(J631,[1]对照表!$N$3:$N$24,[1]对照表!$P$3:$P$24),LOOKUP(J631,[1]对照表!$N$27:$N$48,[1]对照表!$P$27:$P$48)),IF(B631="高一",IF($E631="男",LOOKUP(J631,[1]对照表!$M$3:$M$24,[1]对照表!$P$3:$P$24),LOOKUP(J631,[1]对照表!$M$27:$M$48,[1]对照表!$P$27:$P$48)))))</f>
        <v>78</v>
      </c>
      <c r="L631" s="38">
        <v>7</v>
      </c>
      <c r="M631" s="32">
        <f>IF(B631="高三",IF($E631="男",LOOKUP(L631,[1]对照表!$S$3:$S$24,[1]对照表!$T$3:$T$24),LOOKUP(L631,[1]对照表!$S$27:$S$48,[1]对照表!$T$27:$T$48)),IF(B631="高二",IF($E631="男",LOOKUP(L631,[1]对照表!$R$3:$R$24,[1]对照表!$T$3:$T$24),LOOKUP(L631,[1]对照表!$R$27:$R$48,[1]对照表!$T$27:$T$48)),IF(B631="高一",IF($E631="男",LOOKUP(L631,[1]对照表!$Q$3:$Q$24,[1]对照表!$T$3:$T$24),LOOKUP(L631,[1]对照表!$Q$27:$Q$48,[1]对照表!$T$27:$T$48)))))</f>
        <v>50</v>
      </c>
      <c r="N631" s="33">
        <f>IF(B631="高三",MAX(IF(E631="男",L631-18,L631-55),0),IF(B631="高二",MAX(IF(E631="男",L631-17,L631-54),0),IF(B631="高一",MAX(IF(E631="男",L631-16,L631-53),0))))</f>
        <v>0</v>
      </c>
      <c r="O631" s="23">
        <f>IF(E631="男",LOOKUP($N631,[1]对照表!$Z$3:$Z$13,[1]对照表!$AA$3:$AA$13),LOOKUP($N631,[1]对照表!$Z$15:$Z$25,[1]对照表!$AA$15:$AA$25))</f>
        <v>0</v>
      </c>
      <c r="P631" s="25">
        <f>M631+O631</f>
        <v>50</v>
      </c>
      <c r="Q631" s="38">
        <v>4.04</v>
      </c>
      <c r="R631" s="32">
        <f>IF(B631="高三",IF($E631="男",LOOKUP(Q631,[1]对照表!$W$3:$W$24,[1]对照表!$X$3:$X$24),LOOKUP(Q631,[1]对照表!$W$27:$W$48,[1]对照表!$X$27:$X$48)),IF(B631="高二",IF($E631="男",LOOKUP(Q631,[1]对照表!$V$3:$V$24,[1]对照表!$X$3:$X$24),LOOKUP(Q631,[1]对照表!$V$27:$V$48,[1]对照表!$X$27:$X$48)),IF(B631="高一",IF($E631="男",LOOKUP(Q631,[1]对照表!$U$3:$U$24,[1]对照表!$X$3:$X$24),LOOKUP(Q631,[1]对照表!$U$27:$U$48,[1]对照表!$X$27:$X$48)))))</f>
        <v>74</v>
      </c>
      <c r="S631" s="33">
        <f>ROUND(IF(IF($B631="高三",MIN(IF($E631="男",$Q631-3.2,$Q631-3.2),0),IF($B631="高二",MIN(IF($E631="男",$Q631-3.25,$Q631-3.22),0),IF($B631="高一",MIN(IF($E631="男",$Q631-3.3,$Q631-3.24),0))))&lt;-0.6,IF($B631="高三",MIN(IF($E631="男",$Q631-3.2,$Q631-3.2),0),IF($B631="高二",MIN(IF($E631="男",$Q631-3.25,$Q631-3.22),0),IF($B631="高一",MIN(IF($E631="男",$Q631-3.3,$Q631-3.24),0))))+0.4,IF($B631="高三",MIN(IF($E631="男",$Q631-3.2,$Q631-3.2),0),IF($B631="高二",MIN(IF($E631="男",$Q631-3.25,$Q631-3.22),0),IF($B631="高一",MIN(IF($E631="男",$Q631-3.3,$Q631-3.24),0))))),2)</f>
        <v>0</v>
      </c>
      <c r="T631" s="23">
        <f>IF(E631="男",LOOKUP($S631,[1]对照表!$AB$3:$AB$13,[1]对照表!$AC$3:$AC$13),LOOKUP($S631,[1]对照表!$AB$15:$AB$25,[1]对照表!$AC$15:$AC$25))</f>
        <v>0</v>
      </c>
      <c r="U631" s="26">
        <f>R631+T631</f>
        <v>74</v>
      </c>
      <c r="V631" s="26">
        <f>SUM(I631,K631,M631)/3*0.3+SUM(G631,R631)/2*0.4</f>
        <v>52</v>
      </c>
      <c r="W631" s="27">
        <f>O631+T631</f>
        <v>0</v>
      </c>
      <c r="X631" s="28">
        <f>V631/0.7+W631</f>
        <v>74.285714285714292</v>
      </c>
      <c r="Y631" s="28">
        <f>X631</f>
        <v>74.285714285714292</v>
      </c>
      <c r="Z631" s="38"/>
    </row>
    <row r="632" spans="1:26" ht="15.6" x14ac:dyDescent="0.25">
      <c r="A632" s="48">
        <v>30</v>
      </c>
      <c r="B632" s="17" t="s">
        <v>767</v>
      </c>
      <c r="C632" s="48">
        <v>215</v>
      </c>
      <c r="D632" s="49" t="s">
        <v>1326</v>
      </c>
      <c r="E632" s="48" t="s">
        <v>65</v>
      </c>
      <c r="F632" s="38">
        <v>10.45</v>
      </c>
      <c r="G632" s="32">
        <f>IF(B632="高三",IF($E632="男",LOOKUP(F632,[1]对照表!$G$3:$G$24,[1]对照表!$H$3:$H$24),LOOKUP(F632,[1]对照表!$G$27:$G$48,[1]对照表!$H$27:$H$48)),IF(B632="高二",IF($E632="男",LOOKUP(F632,[1]对照表!$F$3:$F$24,[1]对照表!$H$3:$H$24),LOOKUP(F632,[1]对照表!$F$27:$F$48,[1]对照表!$H$27:$H$48)),IF(B632="高一",IF($E632="男",LOOKUP(F632,[1]对照表!$E$3:$E$24,[1]对照表!$H$3:$H$24),LOOKUP(F632,[1]对照表!$E$27:$E$48,[1]对照表!$H$27:$H$48)))))</f>
        <v>60</v>
      </c>
      <c r="H632" s="38">
        <v>21.6</v>
      </c>
      <c r="I632" s="32">
        <f>IF(B632="高三",IF($E632="男",LOOKUP(H632,[1]对照表!$K$3:$K$24,[1]对照表!$L$3:$L$24),LOOKUP(H632,[1]对照表!$K$27:$K$48,[1]对照表!$L$27:$L$48)),IF(B632="高二",IF($E632="男",LOOKUP(H632,[1]对照表!$J$3:$J$24,[1]对照表!$L$3:$L$24),LOOKUP(H632,[1]对照表!$J$27:$J$48,[1]对照表!$L$27:$L$48)),IF(B632="高一",IF($E632="男",LOOKUP(H632,[1]对照表!$I$3:$I$24,[1]对照表!$L$3:$L$24),LOOKUP(H632,[1]对照表!$I$27:$I$48,[1]对照表!$L$27:$L$48)))))</f>
        <v>90</v>
      </c>
      <c r="J632" s="38">
        <v>155</v>
      </c>
      <c r="K632" s="32">
        <f>IF(B632="高三",IF($E632="男",LOOKUP(J632,[1]对照表!$O$3:$O$24,[1]对照表!$P$3:$P$24),LOOKUP(J632,[1]对照表!$O$27:$O$48,[1]对照表!$P$27:$P$48)),IF(B632="高二",IF($E632="男",LOOKUP(J632,[1]对照表!$N$3:$N$24,[1]对照表!$P$3:$P$24),LOOKUP(J632,[1]对照表!$N$27:$N$48,[1]对照表!$P$27:$P$48)),IF(B632="高一",IF($E632="男",LOOKUP(J632,[1]对照表!$M$3:$M$24,[1]对照表!$P$3:$P$24),LOOKUP(J632,[1]对照表!$M$27:$M$48,[1]对照表!$P$27:$P$48)))))</f>
        <v>64</v>
      </c>
      <c r="L632" s="38">
        <v>43</v>
      </c>
      <c r="M632" s="32">
        <f>IF(B632="高三",IF($E632="男",LOOKUP(L632,[1]对照表!$S$3:$S$24,[1]对照表!$T$3:$T$24),LOOKUP(L632,[1]对照表!$S$27:$S$48,[1]对照表!$T$27:$T$48)),IF(B632="高二",IF($E632="男",LOOKUP(L632,[1]对照表!$R$3:$R$24,[1]对照表!$T$3:$T$24),LOOKUP(L632,[1]对照表!$R$27:$R$48,[1]对照表!$T$27:$T$48)),IF(B632="高一",IF($E632="男",LOOKUP(L632,[1]对照表!$Q$3:$Q$24,[1]对照表!$T$3:$T$24),LOOKUP(L632,[1]对照表!$Q$27:$Q$48,[1]对照表!$T$27:$T$48)))))</f>
        <v>78</v>
      </c>
      <c r="N632" s="33">
        <f>IF(B632="高三",MAX(IF(E632="男",L632-18,L632-55),0),IF(B632="高二",MAX(IF(E632="男",L632-17,L632-54),0),IF(B632="高一",MAX(IF(E632="男",L632-16,L632-53),0))))</f>
        <v>0</v>
      </c>
      <c r="O632" s="23">
        <f>IF(E632="男",LOOKUP($N632,[1]对照表!$Z$3:$Z$13,[1]对照表!$AA$3:$AA$13),LOOKUP($N632,[1]对照表!$Z$15:$Z$25,[1]对照表!$AA$15:$AA$25))</f>
        <v>0</v>
      </c>
      <c r="P632" s="25">
        <f>M632+O632</f>
        <v>78</v>
      </c>
      <c r="Q632" s="38">
        <v>5.08</v>
      </c>
      <c r="R632" s="32">
        <f>IF(B632="高三",IF($E632="男",LOOKUP(Q632,[1]对照表!$W$3:$W$24,[1]对照表!$X$3:$X$24),LOOKUP(Q632,[1]对照表!$W$27:$W$48,[1]对照表!$X$27:$X$48)),IF(B632="高二",IF($E632="男",LOOKUP(Q632,[1]对照表!$V$3:$V$24,[1]对照表!$X$3:$X$24),LOOKUP(Q632,[1]对照表!$V$27:$V$48,[1]对照表!$X$27:$X$48)),IF(B632="高一",IF($E632="男",LOOKUP(Q632,[1]对照表!$U$3:$U$24,[1]对照表!$X$3:$X$24),LOOKUP(Q632,[1]对照表!$U$27:$U$48,[1]对照表!$X$27:$X$48)))))</f>
        <v>30</v>
      </c>
      <c r="S632" s="33">
        <f>ROUND(IF(IF($B632="高三",MIN(IF($E632="男",$Q632-3.2,$Q632-3.2),0),IF($B632="高二",MIN(IF($E632="男",$Q632-3.25,$Q632-3.22),0),IF($B632="高一",MIN(IF($E632="男",$Q632-3.3,$Q632-3.24),0))))&lt;-0.6,IF($B632="高三",MIN(IF($E632="男",$Q632-3.2,$Q632-3.2),0),IF($B632="高二",MIN(IF($E632="男",$Q632-3.25,$Q632-3.22),0),IF($B632="高一",MIN(IF($E632="男",$Q632-3.3,$Q632-3.24),0))))+0.4,IF($B632="高三",MIN(IF($E632="男",$Q632-3.2,$Q632-3.2),0),IF($B632="高二",MIN(IF($E632="男",$Q632-3.25,$Q632-3.22),0),IF($B632="高一",MIN(IF($E632="男",$Q632-3.3,$Q632-3.24),0))))),2)</f>
        <v>0</v>
      </c>
      <c r="T632" s="23">
        <f>IF(E632="男",LOOKUP($S632,[1]对照表!$AB$3:$AB$13,[1]对照表!$AC$3:$AC$13),LOOKUP($S632,[1]对照表!$AB$15:$AB$25,[1]对照表!$AC$15:$AC$25))</f>
        <v>0</v>
      </c>
      <c r="U632" s="26">
        <f>R632+T632</f>
        <v>30</v>
      </c>
      <c r="V632" s="26">
        <f>SUM(I632,K632,M632)/3*0.3+SUM(G632,R632)/2*0.4</f>
        <v>41.2</v>
      </c>
      <c r="W632" s="27">
        <f>O632+T632</f>
        <v>0</v>
      </c>
      <c r="X632" s="28">
        <f>V632/0.7+W632</f>
        <v>58.857142857142868</v>
      </c>
      <c r="Y632" s="28">
        <f>X632</f>
        <v>58.857142857142868</v>
      </c>
      <c r="Z632" s="38"/>
    </row>
    <row r="633" spans="1:26" ht="15.6" x14ac:dyDescent="0.25">
      <c r="A633" s="48">
        <v>1</v>
      </c>
      <c r="B633" s="17" t="s">
        <v>767</v>
      </c>
      <c r="C633" s="48">
        <v>215</v>
      </c>
      <c r="D633" s="49" t="s">
        <v>1346</v>
      </c>
      <c r="E633" s="48" t="s">
        <v>23</v>
      </c>
      <c r="F633" s="38">
        <v>7.2</v>
      </c>
      <c r="G633" s="32">
        <f>IF(B633="高三",IF($E633="男",LOOKUP(F633,[1]对照表!$G$3:$G$24,[1]对照表!$H$3:$H$24),LOOKUP(F633,[1]对照表!$G$27:$G$48,[1]对照表!$H$27:$H$48)),IF(B633="高二",IF($E633="男",LOOKUP(F633,[1]对照表!$F$3:$F$24,[1]对照表!$H$3:$H$24),LOOKUP(F633,[1]对照表!$F$27:$F$48,[1]对照表!$H$27:$H$48)),IF(B633="高一",IF($E633="男",LOOKUP(F633,[1]对照表!$E$3:$E$24,[1]对照表!$H$3:$H$24),LOOKUP(F633,[1]对照表!$E$27:$E$48,[1]对照表!$H$27:$H$48)))))</f>
        <v>90</v>
      </c>
      <c r="H633" s="38">
        <v>9</v>
      </c>
      <c r="I633" s="32">
        <f>IF(B633="高三",IF($E633="男",LOOKUP(H633,[1]对照表!$K$3:$K$24,[1]对照表!$L$3:$L$24),LOOKUP(H633,[1]对照表!$K$27:$K$48,[1]对照表!$L$27:$L$48)),IF(B633="高二",IF($E633="男",LOOKUP(H633,[1]对照表!$J$3:$J$24,[1]对照表!$L$3:$L$24),LOOKUP(H633,[1]对照表!$J$27:$J$48,[1]对照表!$L$27:$L$48)),IF(B633="高一",IF($E633="男",LOOKUP(H633,[1]对照表!$I$3:$I$24,[1]对照表!$L$3:$L$24),LOOKUP(H633,[1]对照表!$I$27:$I$48,[1]对照表!$L$27:$L$48)))))</f>
        <v>68</v>
      </c>
      <c r="J633" s="38">
        <v>211</v>
      </c>
      <c r="K633" s="32">
        <f>IF(B633="高三",IF($E633="男",LOOKUP(J633,[1]对照表!$O$3:$O$24,[1]对照表!$P$3:$P$24),LOOKUP(J633,[1]对照表!$O$27:$O$48,[1]对照表!$P$27:$P$48)),IF(B633="高二",IF($E633="男",LOOKUP(J633,[1]对照表!$N$3:$N$24,[1]对照表!$P$3:$P$24),LOOKUP(J633,[1]对照表!$N$27:$N$48,[1]对照表!$P$27:$P$48)),IF(B633="高一",IF($E633="男",LOOKUP(J633,[1]对照表!$M$3:$M$24,[1]对照表!$P$3:$P$24),LOOKUP(J633,[1]对照表!$M$27:$M$48,[1]对照表!$P$27:$P$48)))))</f>
        <v>64</v>
      </c>
      <c r="L633" s="38">
        <v>0</v>
      </c>
      <c r="M633" s="32">
        <f>IF(B633="高三",IF($E633="男",LOOKUP(L633,[1]对照表!$S$3:$S$24,[1]对照表!$T$3:$T$24),LOOKUP(L633,[1]对照表!$S$27:$S$48,[1]对照表!$T$27:$T$48)),IF(B633="高二",IF($E633="男",LOOKUP(L633,[1]对照表!$R$3:$R$24,[1]对照表!$T$3:$T$24),LOOKUP(L633,[1]对照表!$R$27:$R$48,[1]对照表!$T$27:$T$48)),IF(B633="高一",IF($E633="男",LOOKUP(L633,[1]对照表!$Q$3:$Q$24,[1]对照表!$T$3:$T$24),LOOKUP(L633,[1]对照表!$Q$27:$Q$48,[1]对照表!$T$27:$T$48)))))</f>
        <v>0</v>
      </c>
      <c r="N633" s="33">
        <f>IF(B633="高三",MAX(IF(E633="男",L633-18,L633-55),0),IF(B633="高二",MAX(IF(E633="男",L633-17,L633-54),0),IF(B633="高一",MAX(IF(E633="男",L633-16,L633-53),0))))</f>
        <v>0</v>
      </c>
      <c r="O633" s="23">
        <f>IF(E633="男",LOOKUP($N633,[1]对照表!$Z$3:$Z$13,[1]对照表!$AA$3:$AA$13),LOOKUP($N633,[1]对照表!$Z$15:$Z$25,[1]对照表!$AA$15:$AA$25))</f>
        <v>0</v>
      </c>
      <c r="P633" s="25">
        <f>M633+O633</f>
        <v>0</v>
      </c>
      <c r="Q633" s="38">
        <v>3.26</v>
      </c>
      <c r="R633" s="32">
        <f>IF(B633="高三",IF($E633="男",LOOKUP(Q633,[1]对照表!$W$3:$W$24,[1]对照表!$X$3:$X$24),LOOKUP(Q633,[1]对照表!$W$27:$W$48,[1]对照表!$X$27:$X$48)),IF(B633="高二",IF($E633="男",LOOKUP(Q633,[1]对照表!$V$3:$V$24,[1]对照表!$X$3:$X$24),LOOKUP(Q633,[1]对照表!$V$27:$V$48,[1]对照表!$X$27:$X$48)),IF(B633="高一",IF($E633="男",LOOKUP(Q633,[1]对照表!$U$3:$U$24,[1]对照表!$X$3:$X$24),LOOKUP(Q633,[1]对照表!$U$27:$U$48,[1]对照表!$X$27:$X$48)))))</f>
        <v>95</v>
      </c>
      <c r="S633" s="33">
        <f>ROUND(IF(IF($B633="高三",MIN(IF($E633="男",$Q633-3.2,$Q633-3.2),0),IF($B633="高二",MIN(IF($E633="男",$Q633-3.25,$Q633-3.22),0),IF($B633="高一",MIN(IF($E633="男",$Q633-3.3,$Q633-3.24),0))))&lt;-0.6,IF($B633="高三",MIN(IF($E633="男",$Q633-3.2,$Q633-3.2),0),IF($B633="高二",MIN(IF($E633="男",$Q633-3.25,$Q633-3.22),0),IF($B633="高一",MIN(IF($E633="男",$Q633-3.3,$Q633-3.24),0))))+0.4,IF($B633="高三",MIN(IF($E633="男",$Q633-3.2,$Q633-3.2),0),IF($B633="高二",MIN(IF($E633="男",$Q633-3.25,$Q633-3.22),0),IF($B633="高一",MIN(IF($E633="男",$Q633-3.3,$Q633-3.24),0))))),2)</f>
        <v>0</v>
      </c>
      <c r="T633" s="23">
        <f>IF(E633="男",LOOKUP($S633,[1]对照表!$AB$3:$AB$13,[1]对照表!$AC$3:$AC$13),LOOKUP($S633,[1]对照表!$AB$15:$AB$25,[1]对照表!$AC$15:$AC$25))</f>
        <v>0</v>
      </c>
      <c r="U633" s="26">
        <f>R633+T633</f>
        <v>95</v>
      </c>
      <c r="V633" s="26">
        <f>SUM(I633,K633,M633)/3*0.3+SUM(G633,R633)/2*0.4</f>
        <v>50.2</v>
      </c>
      <c r="W633" s="27">
        <f>O633+T633</f>
        <v>0</v>
      </c>
      <c r="X633" s="28">
        <f>V633/0.7+W633</f>
        <v>71.714285714285722</v>
      </c>
      <c r="Y633" s="28">
        <f>X633</f>
        <v>71.714285714285722</v>
      </c>
      <c r="Z633" s="38"/>
    </row>
    <row r="634" spans="1:26" ht="15.6" x14ac:dyDescent="0.25">
      <c r="A634" s="48">
        <v>7</v>
      </c>
      <c r="B634" s="17" t="s">
        <v>767</v>
      </c>
      <c r="C634" s="48">
        <v>215</v>
      </c>
      <c r="D634" s="49" t="s">
        <v>1350</v>
      </c>
      <c r="E634" s="48" t="s">
        <v>23</v>
      </c>
      <c r="F634" s="38">
        <v>7.7</v>
      </c>
      <c r="G634" s="32">
        <f>IF(B634="高三",IF($E634="男",LOOKUP(F634,[1]对照表!$G$3:$G$24,[1]对照表!$H$3:$H$24),LOOKUP(F634,[1]对照表!$G$27:$G$48,[1]对照表!$H$27:$H$48)),IF(B634="高二",IF($E634="男",LOOKUP(F634,[1]对照表!$F$3:$F$24,[1]对照表!$H$3:$H$24),LOOKUP(F634,[1]对照表!$F$27:$F$48,[1]对照表!$H$27:$H$48)),IF(B634="高一",IF($E634="男",LOOKUP(F634,[1]对照表!$E$3:$E$24,[1]对照表!$H$3:$H$24),LOOKUP(F634,[1]对照表!$E$27:$E$48,[1]对照表!$H$27:$H$48)))))</f>
        <v>76</v>
      </c>
      <c r="H634" s="38">
        <v>9.5</v>
      </c>
      <c r="I634" s="32">
        <f>IF(B634="高三",IF($E634="男",LOOKUP(H634,[1]对照表!$K$3:$K$24,[1]对照表!$L$3:$L$24),LOOKUP(H634,[1]对照表!$K$27:$K$48,[1]对照表!$L$27:$L$48)),IF(B634="高二",IF($E634="男",LOOKUP(H634,[1]对照表!$J$3:$J$24,[1]对照表!$L$3:$L$24),LOOKUP(H634,[1]对照表!$J$27:$J$48,[1]对照表!$L$27:$L$48)),IF(B634="高一",IF($E634="男",LOOKUP(H634,[1]对照表!$I$3:$I$24,[1]对照表!$L$3:$L$24),LOOKUP(H634,[1]对照表!$I$27:$I$48,[1]对照表!$L$27:$L$48)))))</f>
        <v>70</v>
      </c>
      <c r="J634" s="38">
        <v>224</v>
      </c>
      <c r="K634" s="32">
        <f>IF(B634="高三",IF($E634="男",LOOKUP(J634,[1]对照表!$O$3:$O$24,[1]对照表!$P$3:$P$24),LOOKUP(J634,[1]对照表!$O$27:$O$48,[1]对照表!$P$27:$P$48)),IF(B634="高二",IF($E634="男",LOOKUP(J634,[1]对照表!$N$3:$N$24,[1]对照表!$P$3:$P$24),LOOKUP(J634,[1]对照表!$N$27:$N$48,[1]对照表!$P$27:$P$48)),IF(B634="高一",IF($E634="男",LOOKUP(J634,[1]对照表!$M$3:$M$24,[1]对照表!$P$3:$P$24),LOOKUP(J634,[1]对照表!$M$27:$M$48,[1]对照表!$P$27:$P$48)))))</f>
        <v>72</v>
      </c>
      <c r="L634" s="38">
        <v>12</v>
      </c>
      <c r="M634" s="32">
        <f>IF(B634="高三",IF($E634="男",LOOKUP(L634,[1]对照表!$S$3:$S$24,[1]对照表!$T$3:$T$24),LOOKUP(L634,[1]对照表!$S$27:$S$48,[1]对照表!$T$27:$T$48)),IF(B634="高二",IF($E634="男",LOOKUP(L634,[1]对照表!$R$3:$R$24,[1]对照表!$T$3:$T$24),LOOKUP(L634,[1]对照表!$R$27:$R$48,[1]对照表!$T$27:$T$48)),IF(B634="高一",IF($E634="男",LOOKUP(L634,[1]对照表!$Q$3:$Q$24,[1]对照表!$T$3:$T$24),LOOKUP(L634,[1]对照表!$Q$27:$Q$48,[1]对照表!$T$27:$T$48)))))</f>
        <v>76</v>
      </c>
      <c r="N634" s="33">
        <f>IF(B634="高三",MAX(IF(E634="男",L634-18,L634-55),0),IF(B634="高二",MAX(IF(E634="男",L634-17,L634-54),0),IF(B634="高一",MAX(IF(E634="男",L634-16,L634-53),0))))</f>
        <v>0</v>
      </c>
      <c r="O634" s="23">
        <f>IF(E634="男",LOOKUP($N634,[1]对照表!$Z$3:$Z$13,[1]对照表!$AA$3:$AA$13),LOOKUP($N634,[1]对照表!$Z$15:$Z$25,[1]对照表!$AA$15:$AA$25))</f>
        <v>0</v>
      </c>
      <c r="P634" s="25">
        <f>M634+O634</f>
        <v>76</v>
      </c>
      <c r="Q634" s="38">
        <v>4.21</v>
      </c>
      <c r="R634" s="32">
        <f>IF(B634="高三",IF($E634="男",LOOKUP(Q634,[1]对照表!$W$3:$W$24,[1]对照表!$X$3:$X$24),LOOKUP(Q634,[1]对照表!$W$27:$W$48,[1]对照表!$X$27:$X$48)),IF(B634="高二",IF($E634="男",LOOKUP(Q634,[1]对照表!$V$3:$V$24,[1]对照表!$X$3:$X$24),LOOKUP(Q634,[1]对照表!$V$27:$V$48,[1]对照表!$X$27:$X$48)),IF(B634="高一",IF($E634="男",LOOKUP(Q634,[1]对照表!$U$3:$U$24,[1]对照表!$X$3:$X$24),LOOKUP(Q634,[1]对照表!$U$27:$U$48,[1]对照表!$X$27:$X$48)))))</f>
        <v>66</v>
      </c>
      <c r="S634" s="33">
        <f>ROUND(IF(IF($B634="高三",MIN(IF($E634="男",$Q634-3.2,$Q634-3.2),0),IF($B634="高二",MIN(IF($E634="男",$Q634-3.25,$Q634-3.22),0),IF($B634="高一",MIN(IF($E634="男",$Q634-3.3,$Q634-3.24),0))))&lt;-0.6,IF($B634="高三",MIN(IF($E634="男",$Q634-3.2,$Q634-3.2),0),IF($B634="高二",MIN(IF($E634="男",$Q634-3.25,$Q634-3.22),0),IF($B634="高一",MIN(IF($E634="男",$Q634-3.3,$Q634-3.24),0))))+0.4,IF($B634="高三",MIN(IF($E634="男",$Q634-3.2,$Q634-3.2),0),IF($B634="高二",MIN(IF($E634="男",$Q634-3.25,$Q634-3.22),0),IF($B634="高一",MIN(IF($E634="男",$Q634-3.3,$Q634-3.24),0))))),2)</f>
        <v>0</v>
      </c>
      <c r="T634" s="23">
        <f>IF(E634="男",LOOKUP($S634,[1]对照表!$AB$3:$AB$13,[1]对照表!$AC$3:$AC$13),LOOKUP($S634,[1]对照表!$AB$15:$AB$25,[1]对照表!$AC$15:$AC$25))</f>
        <v>0</v>
      </c>
      <c r="U634" s="26">
        <f>R634+T634</f>
        <v>66</v>
      </c>
      <c r="V634" s="26">
        <f>SUM(I634,K634,M634)/3*0.3+SUM(G634,R634)/2*0.4</f>
        <v>50.2</v>
      </c>
      <c r="W634" s="27">
        <f>O634+T634</f>
        <v>0</v>
      </c>
      <c r="X634" s="28">
        <f>V634/0.7+W634</f>
        <v>71.714285714285722</v>
      </c>
      <c r="Y634" s="28">
        <f>X634</f>
        <v>71.714285714285722</v>
      </c>
      <c r="Z634" s="38"/>
    </row>
    <row r="635" spans="1:26" ht="15.6" x14ac:dyDescent="0.25">
      <c r="A635" s="48">
        <v>10</v>
      </c>
      <c r="B635" s="17" t="s">
        <v>767</v>
      </c>
      <c r="C635" s="48">
        <v>215</v>
      </c>
      <c r="D635" s="49" t="s">
        <v>1389</v>
      </c>
      <c r="E635" s="48" t="s">
        <v>23</v>
      </c>
      <c r="F635" s="52">
        <v>7.1</v>
      </c>
      <c r="G635" s="32">
        <f>IF(B635="高三",IF($E635="男",LOOKUP(F635,[1]对照表!$G$3:$G$24,[1]对照表!$H$3:$H$24),LOOKUP(F635,[1]对照表!$G$27:$G$48,[1]对照表!$H$27:$H$48)),IF(B635="高二",IF($E635="男",LOOKUP(F635,[1]对照表!$F$3:$F$24,[1]对照表!$H$3:$H$24),LOOKUP(F635,[1]对照表!$F$27:$F$48,[1]对照表!$H$27:$H$48)),IF(B635="高一",IF($E635="男",LOOKUP(F635,[1]对照表!$E$3:$E$24,[1]对照表!$H$3:$H$24),LOOKUP(F635,[1]对照表!$E$27:$E$48,[1]对照表!$H$27:$H$48)))))</f>
        <v>95</v>
      </c>
      <c r="H635" s="38">
        <v>17</v>
      </c>
      <c r="I635" s="32">
        <f>IF(B635="高三",IF($E635="男",LOOKUP(H635,[1]对照表!$K$3:$K$24,[1]对照表!$L$3:$L$24),LOOKUP(H635,[1]对照表!$K$27:$K$48,[1]对照表!$L$27:$L$48)),IF(B635="高二",IF($E635="男",LOOKUP(H635,[1]对照表!$J$3:$J$24,[1]对照表!$L$3:$L$24),LOOKUP(H635,[1]对照表!$J$27:$J$48,[1]对照表!$L$27:$L$48)),IF(B635="高一",IF($E635="男",LOOKUP(H635,[1]对照表!$I$3:$I$24,[1]对照表!$L$3:$L$24),LOOKUP(H635,[1]对照表!$I$27:$I$48,[1]对照表!$L$27:$L$48)))))</f>
        <v>80</v>
      </c>
      <c r="J635" s="52">
        <v>273</v>
      </c>
      <c r="K635" s="32">
        <f>IF(B635="高三",IF($E635="男",LOOKUP(J635,[1]对照表!$O$3:$O$24,[1]对照表!$P$3:$P$24),LOOKUP(J635,[1]对照表!$O$27:$O$48,[1]对照表!$P$27:$P$48)),IF(B635="高二",IF($E635="男",LOOKUP(J635,[1]对照表!$N$3:$N$24,[1]对照表!$P$3:$P$24),LOOKUP(J635,[1]对照表!$N$27:$N$48,[1]对照表!$P$27:$P$48)),IF(B635="高一",IF($E635="男",LOOKUP(J635,[1]对照表!$M$3:$M$24,[1]对照表!$P$3:$P$24),LOOKUP(J635,[1]对照表!$M$27:$M$48,[1]对照表!$P$27:$P$48)))))</f>
        <v>100</v>
      </c>
      <c r="L635" s="52">
        <v>16</v>
      </c>
      <c r="M635" s="32">
        <f>IF(B635="高三",IF($E635="男",LOOKUP(L635,[1]对照表!$S$3:$S$24,[1]对照表!$T$3:$T$24),LOOKUP(L635,[1]对照表!$S$27:$S$48,[1]对照表!$T$27:$T$48)),IF(B635="高二",IF($E635="男",LOOKUP(L635,[1]对照表!$R$3:$R$24,[1]对照表!$T$3:$T$24),LOOKUP(L635,[1]对照表!$R$27:$R$48,[1]对照表!$T$27:$T$48)),IF(B635="高一",IF($E635="男",LOOKUP(L635,[1]对照表!$Q$3:$Q$24,[1]对照表!$T$3:$T$24),LOOKUP(L635,[1]对照表!$Q$27:$Q$48,[1]对照表!$T$27:$T$48)))))</f>
        <v>95</v>
      </c>
      <c r="N635" s="33">
        <f>IF(B635="高三",MAX(IF(E635="男",L635-18,L635-55),0),IF(B635="高二",MAX(IF(E635="男",L635-17,L635-54),0),IF(B635="高一",MAX(IF(E635="男",L635-16,L635-53),0))))</f>
        <v>0</v>
      </c>
      <c r="O635" s="23">
        <f>IF(E635="男",LOOKUP($N635,[1]对照表!$Z$3:$Z$13,[1]对照表!$AA$3:$AA$13),LOOKUP($N635,[1]对照表!$Z$15:$Z$25,[1]对照表!$AA$15:$AA$25))</f>
        <v>0</v>
      </c>
      <c r="P635" s="25">
        <f>M635+O635</f>
        <v>95</v>
      </c>
      <c r="Q635" s="52"/>
      <c r="R635" s="20">
        <v>0</v>
      </c>
      <c r="S635" s="22">
        <v>0</v>
      </c>
      <c r="T635" s="23">
        <f>IF(E635="男",LOOKUP($S635,[1]对照表!$AB$3:$AB$13,[1]对照表!$AC$3:$AC$13),LOOKUP($S635,[1]对照表!$AB$15:$AB$25,[1]对照表!$AC$15:$AC$25))</f>
        <v>0</v>
      </c>
      <c r="U635" s="26">
        <f>R635+T635</f>
        <v>0</v>
      </c>
      <c r="V635" s="26">
        <f>SUM(I635,K635,M635)/3*0.3+SUM(G635,R635)/2*0.4</f>
        <v>46.5</v>
      </c>
      <c r="W635" s="27">
        <f>O635+T635</f>
        <v>0</v>
      </c>
      <c r="X635" s="28">
        <f>V635/0.7+W635</f>
        <v>66.428571428571431</v>
      </c>
      <c r="Y635" s="28">
        <f>X635</f>
        <v>66.428571428571431</v>
      </c>
      <c r="Z635" s="52"/>
    </row>
    <row r="636" spans="1:26" ht="15.6" x14ac:dyDescent="0.25">
      <c r="A636" s="48">
        <v>14</v>
      </c>
      <c r="B636" s="17" t="s">
        <v>767</v>
      </c>
      <c r="C636" s="48">
        <v>215</v>
      </c>
      <c r="D636" s="49" t="s">
        <v>1396</v>
      </c>
      <c r="E636" s="48" t="s">
        <v>23</v>
      </c>
      <c r="F636" s="38">
        <v>7.8</v>
      </c>
      <c r="G636" s="32">
        <f>IF(B636="高三",IF($E636="男",LOOKUP(F636,[1]对照表!$G$3:$G$24,[1]对照表!$H$3:$H$24),LOOKUP(F636,[1]对照表!$G$27:$G$48,[1]对照表!$H$27:$H$48)),IF(B636="高二",IF($E636="男",LOOKUP(F636,[1]对照表!$F$3:$F$24,[1]对照表!$H$3:$H$24),LOOKUP(F636,[1]对照表!$F$27:$F$48,[1]对照表!$H$27:$H$48)),IF(B636="高一",IF($E636="男",LOOKUP(F636,[1]对照表!$E$3:$E$24,[1]对照表!$H$3:$H$24),LOOKUP(F636,[1]对照表!$E$27:$E$48,[1]对照表!$H$27:$H$48)))))</f>
        <v>76</v>
      </c>
      <c r="H636" s="38">
        <v>18</v>
      </c>
      <c r="I636" s="32">
        <f>IF(B636="高三",IF($E636="男",LOOKUP(H636,[1]对照表!$K$3:$K$24,[1]对照表!$L$3:$L$24),LOOKUP(H636,[1]对照表!$K$27:$K$48,[1]对照表!$L$27:$L$48)),IF(B636="高二",IF($E636="男",LOOKUP(H636,[1]对照表!$J$3:$J$24,[1]对照表!$L$3:$L$24),LOOKUP(H636,[1]对照表!$J$27:$J$48,[1]对照表!$L$27:$L$48)),IF(B636="高一",IF($E636="男",LOOKUP(H636,[1]对照表!$I$3:$I$24,[1]对照表!$L$3:$L$24),LOOKUP(H636,[1]对照表!$I$27:$I$48,[1]对照表!$L$27:$L$48)))))</f>
        <v>80</v>
      </c>
      <c r="J636" s="38">
        <v>217</v>
      </c>
      <c r="K636" s="32">
        <f>IF(B636="高三",IF($E636="男",LOOKUP(J636,[1]对照表!$O$3:$O$24,[1]对照表!$P$3:$P$24),LOOKUP(J636,[1]对照表!$O$27:$O$48,[1]对照表!$P$27:$P$48)),IF(B636="高二",IF($E636="男",LOOKUP(J636,[1]对照表!$N$3:$N$24,[1]对照表!$P$3:$P$24),LOOKUP(J636,[1]对照表!$N$27:$N$48,[1]对照表!$P$27:$P$48)),IF(B636="高一",IF($E636="男",LOOKUP(J636,[1]对照表!$M$3:$M$24,[1]对照表!$P$3:$P$24),LOOKUP(J636,[1]对照表!$M$27:$M$48,[1]对照表!$P$27:$P$48)))))</f>
        <v>68</v>
      </c>
      <c r="L636" s="38">
        <v>1</v>
      </c>
      <c r="M636" s="32">
        <f>IF(B636="高三",IF($E636="男",LOOKUP(L636,[1]对照表!$S$3:$S$24,[1]对照表!$T$3:$T$24),LOOKUP(L636,[1]对照表!$S$27:$S$48,[1]对照表!$T$27:$T$48)),IF(B636="高二",IF($E636="男",LOOKUP(L636,[1]对照表!$R$3:$R$24,[1]对照表!$T$3:$T$24),LOOKUP(L636,[1]对照表!$R$27:$R$48,[1]对照表!$T$27:$T$48)),IF(B636="高一",IF($E636="男",LOOKUP(L636,[1]对照表!$Q$3:$Q$24,[1]对照表!$T$3:$T$24),LOOKUP(L636,[1]对照表!$Q$27:$Q$48,[1]对照表!$T$27:$T$48)))))</f>
        <v>0</v>
      </c>
      <c r="N636" s="33">
        <f>IF(B636="高三",MAX(IF(E636="男",L636-18,L636-55),0),IF(B636="高二",MAX(IF(E636="男",L636-17,L636-54),0),IF(B636="高一",MAX(IF(E636="男",L636-16,L636-53),0))))</f>
        <v>0</v>
      </c>
      <c r="O636" s="23">
        <f>IF(E636="男",LOOKUP($N636,[1]对照表!$Z$3:$Z$13,[1]对照表!$AA$3:$AA$13),LOOKUP($N636,[1]对照表!$Z$15:$Z$25,[1]对照表!$AA$15:$AA$25))</f>
        <v>0</v>
      </c>
      <c r="P636" s="25">
        <f>M636+O636</f>
        <v>0</v>
      </c>
      <c r="Q636" s="38">
        <v>3.55</v>
      </c>
      <c r="R636" s="32">
        <f>IF(B636="高三",IF($E636="男",LOOKUP(Q636,[1]对照表!$W$3:$W$24,[1]对照表!$X$3:$X$24),LOOKUP(Q636,[1]对照表!$W$27:$W$48,[1]对照表!$X$27:$X$48)),IF(B636="高二",IF($E636="男",LOOKUP(Q636,[1]对照表!$V$3:$V$24,[1]对照表!$X$3:$X$24),LOOKUP(Q636,[1]对照表!$V$27:$V$48,[1]对照表!$X$27:$X$48)),IF(B636="高一",IF($E636="男",LOOKUP(Q636,[1]对照表!$U$3:$U$24,[1]对照表!$X$3:$X$24),LOOKUP(Q636,[1]对照表!$U$27:$U$48,[1]对照表!$X$27:$X$48)))))</f>
        <v>78</v>
      </c>
      <c r="S636" s="33">
        <f>ROUND(IF(IF($B636="高三",MIN(IF($E636="男",$Q636-3.2,$Q636-3.2),0),IF($B636="高二",MIN(IF($E636="男",$Q636-3.25,$Q636-3.22),0),IF($B636="高一",MIN(IF($E636="男",$Q636-3.3,$Q636-3.24),0))))&lt;-0.6,IF($B636="高三",MIN(IF($E636="男",$Q636-3.2,$Q636-3.2),0),IF($B636="高二",MIN(IF($E636="男",$Q636-3.25,$Q636-3.22),0),IF($B636="高一",MIN(IF($E636="男",$Q636-3.3,$Q636-3.24),0))))+0.4,IF($B636="高三",MIN(IF($E636="男",$Q636-3.2,$Q636-3.2),0),IF($B636="高二",MIN(IF($E636="男",$Q636-3.25,$Q636-3.22),0),IF($B636="高一",MIN(IF($E636="男",$Q636-3.3,$Q636-3.24),0))))),2)</f>
        <v>0</v>
      </c>
      <c r="T636" s="23">
        <f>IF(E636="男",LOOKUP($S636,[1]对照表!$AB$3:$AB$13,[1]对照表!$AC$3:$AC$13),LOOKUP($S636,[1]对照表!$AB$15:$AB$25,[1]对照表!$AC$15:$AC$25))</f>
        <v>0</v>
      </c>
      <c r="U636" s="26">
        <f>R636+T636</f>
        <v>78</v>
      </c>
      <c r="V636" s="26">
        <f>SUM(I636,K636,M636)/3*0.3+SUM(G636,R636)/2*0.4</f>
        <v>45.6</v>
      </c>
      <c r="W636" s="27">
        <f>O636+T636</f>
        <v>0</v>
      </c>
      <c r="X636" s="28">
        <f>V636/0.7+W636</f>
        <v>65.142857142857153</v>
      </c>
      <c r="Y636" s="28">
        <f>X636</f>
        <v>65.142857142857153</v>
      </c>
      <c r="Z636" s="38"/>
    </row>
    <row r="637" spans="1:26" ht="15.6" x14ac:dyDescent="0.25">
      <c r="A637" s="48">
        <v>8</v>
      </c>
      <c r="B637" s="17" t="s">
        <v>767</v>
      </c>
      <c r="C637" s="48">
        <v>215</v>
      </c>
      <c r="D637" s="49" t="s">
        <v>1421</v>
      </c>
      <c r="E637" s="48" t="s">
        <v>23</v>
      </c>
      <c r="F637" s="38">
        <v>7.7</v>
      </c>
      <c r="G637" s="32">
        <f>IF(B637="高三",IF($E637="男",LOOKUP(F637,[1]对照表!$G$3:$G$24,[1]对照表!$H$3:$H$24),LOOKUP(F637,[1]对照表!$G$27:$G$48,[1]对照表!$H$27:$H$48)),IF(B637="高二",IF($E637="男",LOOKUP(F637,[1]对照表!$F$3:$F$24,[1]对照表!$H$3:$H$24),LOOKUP(F637,[1]对照表!$F$27:$F$48,[1]对照表!$H$27:$H$48)),IF(B637="高一",IF($E637="男",LOOKUP(F637,[1]对照表!$E$3:$E$24,[1]对照表!$H$3:$H$24),LOOKUP(F637,[1]对照表!$E$27:$E$48,[1]对照表!$H$27:$H$48)))))</f>
        <v>76</v>
      </c>
      <c r="H637" s="38">
        <v>12.5</v>
      </c>
      <c r="I637" s="32">
        <f>IF(B637="高三",IF($E637="男",LOOKUP(H637,[1]对照表!$K$3:$K$24,[1]对照表!$L$3:$L$24),LOOKUP(H637,[1]对照表!$K$27:$K$48,[1]对照表!$L$27:$L$48)),IF(B637="高二",IF($E637="男",LOOKUP(H637,[1]对照表!$J$3:$J$24,[1]对照表!$L$3:$L$24),LOOKUP(H637,[1]对照表!$J$27:$J$48,[1]对照表!$L$27:$L$48)),IF(B637="高一",IF($E637="男",LOOKUP(H637,[1]对照表!$I$3:$I$24,[1]对照表!$L$3:$L$24),LOOKUP(H637,[1]对照表!$I$27:$I$48,[1]对照表!$L$27:$L$48)))))</f>
        <v>74</v>
      </c>
      <c r="J637" s="38">
        <v>225</v>
      </c>
      <c r="K637" s="32">
        <f>IF(B637="高三",IF($E637="男",LOOKUP(J637,[1]对照表!$O$3:$O$24,[1]对照表!$P$3:$P$24),LOOKUP(J637,[1]对照表!$O$27:$O$48,[1]对照表!$P$27:$P$48)),IF(B637="高二",IF($E637="男",LOOKUP(J637,[1]对照表!$N$3:$N$24,[1]对照表!$P$3:$P$24),LOOKUP(J637,[1]对照表!$N$27:$N$48,[1]对照表!$P$27:$P$48)),IF(B637="高一",IF($E637="男",LOOKUP(J637,[1]对照表!$M$3:$M$24,[1]对照表!$P$3:$P$24),LOOKUP(J637,[1]对照表!$M$27:$M$48,[1]对照表!$P$27:$P$48)))))</f>
        <v>72</v>
      </c>
      <c r="L637" s="38">
        <v>0</v>
      </c>
      <c r="M637" s="32">
        <f>IF(B637="高三",IF($E637="男",LOOKUP(L637,[1]对照表!$S$3:$S$24,[1]对照表!$T$3:$T$24),LOOKUP(L637,[1]对照表!$S$27:$S$48,[1]对照表!$T$27:$T$48)),IF(B637="高二",IF($E637="男",LOOKUP(L637,[1]对照表!$R$3:$R$24,[1]对照表!$T$3:$T$24),LOOKUP(L637,[1]对照表!$R$27:$R$48,[1]对照表!$T$27:$T$48)),IF(B637="高一",IF($E637="男",LOOKUP(L637,[1]对照表!$Q$3:$Q$24,[1]对照表!$T$3:$T$24),LOOKUP(L637,[1]对照表!$Q$27:$Q$48,[1]对照表!$T$27:$T$48)))))</f>
        <v>0</v>
      </c>
      <c r="N637" s="33">
        <f>IF(B637="高三",MAX(IF(E637="男",L637-18,L637-55),0),IF(B637="高二",MAX(IF(E637="男",L637-17,L637-54),0),IF(B637="高一",MAX(IF(E637="男",L637-16,L637-53),0))))</f>
        <v>0</v>
      </c>
      <c r="O637" s="23">
        <f>IF(E637="男",LOOKUP($N637,[1]对照表!$Z$3:$Z$13,[1]对照表!$AA$3:$AA$13),LOOKUP($N637,[1]对照表!$Z$15:$Z$25,[1]对照表!$AA$15:$AA$25))</f>
        <v>0</v>
      </c>
      <c r="P637" s="25">
        <f>M637+O637</f>
        <v>0</v>
      </c>
      <c r="Q637" s="38">
        <v>4.18</v>
      </c>
      <c r="R637" s="32">
        <f>IF(B637="高三",IF($E637="男",LOOKUP(Q637,[1]对照表!$W$3:$W$24,[1]对照表!$X$3:$X$24),LOOKUP(Q637,[1]对照表!$W$27:$W$48,[1]对照表!$X$27:$X$48)),IF(B637="高二",IF($E637="男",LOOKUP(Q637,[1]对照表!$V$3:$V$24,[1]对照表!$X$3:$X$24),LOOKUP(Q637,[1]对照表!$V$27:$V$48,[1]对照表!$X$27:$X$48)),IF(B637="高一",IF($E637="男",LOOKUP(Q637,[1]对照表!$U$3:$U$24,[1]对照表!$X$3:$X$24),LOOKUP(Q637,[1]对照表!$U$27:$U$48,[1]对照表!$X$27:$X$48)))))</f>
        <v>68</v>
      </c>
      <c r="S637" s="33">
        <f>ROUND(IF(IF($B637="高三",MIN(IF($E637="男",$Q637-3.2,$Q637-3.2),0),IF($B637="高二",MIN(IF($E637="男",$Q637-3.25,$Q637-3.22),0),IF($B637="高一",MIN(IF($E637="男",$Q637-3.3,$Q637-3.24),0))))&lt;-0.6,IF($B637="高三",MIN(IF($E637="男",$Q637-3.2,$Q637-3.2),0),IF($B637="高二",MIN(IF($E637="男",$Q637-3.25,$Q637-3.22),0),IF($B637="高一",MIN(IF($E637="男",$Q637-3.3,$Q637-3.24),0))))+0.4,IF($B637="高三",MIN(IF($E637="男",$Q637-3.2,$Q637-3.2),0),IF($B637="高二",MIN(IF($E637="男",$Q637-3.25,$Q637-3.22),0),IF($B637="高一",MIN(IF($E637="男",$Q637-3.3,$Q637-3.24),0))))),2)</f>
        <v>0</v>
      </c>
      <c r="T637" s="23">
        <f>IF(E637="男",LOOKUP($S637,[1]对照表!$AB$3:$AB$13,[1]对照表!$AC$3:$AC$13),LOOKUP($S637,[1]对照表!$AB$15:$AB$25,[1]对照表!$AC$15:$AC$25))</f>
        <v>0</v>
      </c>
      <c r="U637" s="26">
        <f>R637+T637</f>
        <v>68</v>
      </c>
      <c r="V637" s="26">
        <f>SUM(I637,K637,M637)/3*0.3+SUM(G637,R637)/2*0.4</f>
        <v>43.4</v>
      </c>
      <c r="W637" s="27">
        <f>O637+T637</f>
        <v>0</v>
      </c>
      <c r="X637" s="28">
        <f>V637/0.7+W637</f>
        <v>62</v>
      </c>
      <c r="Y637" s="28">
        <f>X637</f>
        <v>62</v>
      </c>
      <c r="Z637" s="38"/>
    </row>
    <row r="638" spans="1:26" ht="15.6" x14ac:dyDescent="0.25">
      <c r="A638" s="48">
        <v>32</v>
      </c>
      <c r="B638" s="17" t="s">
        <v>767</v>
      </c>
      <c r="C638" s="48">
        <v>215</v>
      </c>
      <c r="D638" s="49" t="s">
        <v>1447</v>
      </c>
      <c r="E638" s="48" t="s">
        <v>65</v>
      </c>
      <c r="F638" s="38"/>
      <c r="G638" s="20">
        <v>0</v>
      </c>
      <c r="H638" s="38">
        <v>19</v>
      </c>
      <c r="I638" s="32">
        <f>IF(B638="高三",IF($E638="男",LOOKUP(H638,[1]对照表!$K$3:$K$24,[1]对照表!$L$3:$L$24),LOOKUP(H638,[1]对照表!$K$27:$K$48,[1]对照表!$L$27:$L$48)),IF(B638="高二",IF($E638="男",LOOKUP(H638,[1]对照表!$J$3:$J$24,[1]对照表!$L$3:$L$24),LOOKUP(H638,[1]对照表!$J$27:$J$48,[1]对照表!$L$27:$L$48)),IF(B638="高一",IF($E638="男",LOOKUP(H638,[1]对照表!$I$3:$I$24,[1]对照表!$L$3:$L$24),LOOKUP(H638,[1]对照表!$I$27:$I$48,[1]对照表!$L$27:$L$48)))))</f>
        <v>80</v>
      </c>
      <c r="J638" s="38"/>
      <c r="K638" s="20">
        <v>0</v>
      </c>
      <c r="L638" s="38"/>
      <c r="M638" s="20">
        <v>0</v>
      </c>
      <c r="N638" s="33">
        <f>IF(B638="高三",MAX(IF(E638="男",L638-18,L638-55),0),IF(B638="高二",MAX(IF(E638="男",L638-17,L638-54),0),IF(B638="高一",MAX(IF(E638="男",L638-16,L638-53),0))))</f>
        <v>0</v>
      </c>
      <c r="O638" s="23">
        <f>IF(E638="男",LOOKUP($N638,[1]对照表!$Z$3:$Z$13,[1]对照表!$AA$3:$AA$13),LOOKUP($N638,[1]对照表!$Z$15:$Z$25,[1]对照表!$AA$15:$AA$25))</f>
        <v>0</v>
      </c>
      <c r="P638" s="25">
        <f>M638+O638</f>
        <v>0</v>
      </c>
      <c r="Q638" s="38"/>
      <c r="R638" s="20">
        <v>0</v>
      </c>
      <c r="S638" s="22">
        <v>0</v>
      </c>
      <c r="T638" s="23">
        <f>IF(E638="男",LOOKUP($S638,[1]对照表!$AB$3:$AB$13,[1]对照表!$AC$3:$AC$13),LOOKUP($S638,[1]对照表!$AB$15:$AB$25,[1]对照表!$AC$15:$AC$25))</f>
        <v>0</v>
      </c>
      <c r="U638" s="26">
        <f>R638+T638</f>
        <v>0</v>
      </c>
      <c r="V638" s="26">
        <f>SUM(I638,K638,M638)/3*0.3+SUM(G638,R638)/2*0.4</f>
        <v>8</v>
      </c>
      <c r="W638" s="27">
        <f>O638+T638</f>
        <v>0</v>
      </c>
      <c r="X638" s="28">
        <f>V638/0.7+W638</f>
        <v>11.428571428571429</v>
      </c>
      <c r="Y638" s="29">
        <v>50</v>
      </c>
      <c r="Z638" s="38"/>
    </row>
    <row r="639" spans="1:26" ht="15.6" x14ac:dyDescent="0.25">
      <c r="A639" s="48">
        <v>9</v>
      </c>
      <c r="B639" s="17" t="s">
        <v>767</v>
      </c>
      <c r="C639" s="48">
        <v>215</v>
      </c>
      <c r="D639" s="49" t="s">
        <v>1498</v>
      </c>
      <c r="E639" s="48" t="s">
        <v>23</v>
      </c>
      <c r="F639" s="38"/>
      <c r="G639" s="20">
        <v>0</v>
      </c>
      <c r="H639" s="38"/>
      <c r="I639" s="20">
        <v>0</v>
      </c>
      <c r="J639" s="38"/>
      <c r="K639" s="20">
        <v>0</v>
      </c>
      <c r="L639" s="38"/>
      <c r="M639" s="20">
        <v>0</v>
      </c>
      <c r="N639" s="33">
        <f>IF(B639="高三",MAX(IF(E639="男",L639-18,L639-55),0),IF(B639="高二",MAX(IF(E639="男",L639-17,L639-54),0),IF(B639="高一",MAX(IF(E639="男",L639-16,L639-53),0))))</f>
        <v>0</v>
      </c>
      <c r="O639" s="23">
        <f>IF(E639="男",LOOKUP($N639,[1]对照表!$Z$3:$Z$13,[1]对照表!$AA$3:$AA$13),LOOKUP($N639,[1]对照表!$Z$15:$Z$25,[1]对照表!$AA$15:$AA$25))</f>
        <v>0</v>
      </c>
      <c r="P639" s="25">
        <f>M639+O639</f>
        <v>0</v>
      </c>
      <c r="Q639" s="38"/>
      <c r="R639" s="20">
        <v>0</v>
      </c>
      <c r="S639" s="22">
        <v>0</v>
      </c>
      <c r="T639" s="23">
        <f>IF(E639="男",LOOKUP($S639,[1]对照表!$AB$3:$AB$13,[1]对照表!$AC$3:$AC$13),LOOKUP($S639,[1]对照表!$AB$15:$AB$25,[1]对照表!$AC$15:$AC$25))</f>
        <v>0</v>
      </c>
      <c r="U639" s="26">
        <f>R639+T639</f>
        <v>0</v>
      </c>
      <c r="V639" s="26">
        <f>SUM(I639,K639,M639)/3*0.3+SUM(G639,R639)/2*0.4</f>
        <v>0</v>
      </c>
      <c r="W639" s="27">
        <f>O639+T639</f>
        <v>0</v>
      </c>
      <c r="X639" s="28">
        <f>V639/0.7+W639</f>
        <v>0</v>
      </c>
      <c r="Y639" s="29">
        <v>50</v>
      </c>
      <c r="Z639" s="38"/>
    </row>
    <row r="640" spans="1:26" ht="15.6" x14ac:dyDescent="0.25">
      <c r="A640" s="38">
        <v>27</v>
      </c>
      <c r="B640" s="17" t="s">
        <v>767</v>
      </c>
      <c r="C640" s="48">
        <v>215</v>
      </c>
      <c r="D640" s="58" t="s">
        <v>1137</v>
      </c>
      <c r="E640" s="48" t="s">
        <v>23</v>
      </c>
      <c r="F640" s="38"/>
      <c r="G640" s="20">
        <v>0</v>
      </c>
      <c r="H640" s="38"/>
      <c r="I640" s="20">
        <v>0</v>
      </c>
      <c r="J640" s="38"/>
      <c r="K640" s="20">
        <v>0</v>
      </c>
      <c r="L640" s="38"/>
      <c r="M640" s="20">
        <v>0</v>
      </c>
      <c r="N640" s="33">
        <f>IF(B640="高三",MAX(IF(E640="男",L640-18,L640-55),0),IF(B640="高二",MAX(IF(E640="男",L640-17,L640-54),0),IF(B640="高一",MAX(IF(E640="男",L640-16,L640-53),0))))</f>
        <v>0</v>
      </c>
      <c r="O640" s="23">
        <f>IF(E640="男",LOOKUP($N640,[1]对照表!$Z$3:$Z$13,[1]对照表!$AA$3:$AA$13),LOOKUP($N640,[1]对照表!$Z$15:$Z$25,[1]对照表!$AA$15:$AA$25))</f>
        <v>0</v>
      </c>
      <c r="P640" s="25">
        <f>M640+O640</f>
        <v>0</v>
      </c>
      <c r="Q640" s="38"/>
      <c r="R640" s="20">
        <v>0</v>
      </c>
      <c r="S640" s="22">
        <v>0</v>
      </c>
      <c r="T640" s="23">
        <f>IF(E640="男",LOOKUP($S640,[1]对照表!$AB$3:$AB$13,[1]对照表!$AC$3:$AC$13),LOOKUP($S640,[1]对照表!$AB$15:$AB$25,[1]对照表!$AC$15:$AC$25))</f>
        <v>0</v>
      </c>
      <c r="U640" s="26">
        <f>R640+T640</f>
        <v>0</v>
      </c>
      <c r="V640" s="26">
        <f>SUM(I640,K640,M640)/3*0.3+SUM(G640,R640)/2*0.4</f>
        <v>0</v>
      </c>
      <c r="W640" s="27">
        <f>O640+T640</f>
        <v>0</v>
      </c>
      <c r="X640" s="28">
        <f>V640/0.7+W640</f>
        <v>0</v>
      </c>
      <c r="Y640" s="29">
        <v>50</v>
      </c>
      <c r="Z640" s="38"/>
    </row>
    <row r="641" spans="1:26" ht="15.6" x14ac:dyDescent="0.25">
      <c r="A641" s="48">
        <v>31</v>
      </c>
      <c r="B641" s="17" t="s">
        <v>767</v>
      </c>
      <c r="C641" s="51" t="s">
        <v>816</v>
      </c>
      <c r="D641" s="49" t="s">
        <v>817</v>
      </c>
      <c r="E641" s="48" t="s">
        <v>65</v>
      </c>
      <c r="F641" s="38">
        <v>8.51</v>
      </c>
      <c r="G641" s="32">
        <f>IF(B641="高三",IF($E641="男",LOOKUP(F641,[1]对照表!$G$3:$G$24,[1]对照表!$H$3:$H$24),LOOKUP(F641,[1]对照表!$G$27:$G$48,[1]对照表!$H$27:$H$48)),IF(B641="高二",IF($E641="男",LOOKUP(F641,[1]对照表!$F$3:$F$24,[1]对照表!$H$3:$H$24),LOOKUP(F641,[1]对照表!$F$27:$F$48,[1]对照表!$H$27:$H$48)),IF(B641="高一",IF($E641="男",LOOKUP(F641,[1]对照表!$E$3:$E$24,[1]对照表!$H$3:$H$24),LOOKUP(F641,[1]对照表!$E$27:$E$48,[1]对照表!$H$27:$H$48)))))</f>
        <v>78</v>
      </c>
      <c r="H641" s="38">
        <v>28.5</v>
      </c>
      <c r="I641" s="32">
        <f>IF(B641="高三",IF($E641="男",LOOKUP(H641,[1]对照表!$K$3:$K$24,[1]对照表!$L$3:$L$24),LOOKUP(H641,[1]对照表!$K$27:$K$48,[1]对照表!$L$27:$L$48)),IF(B641="高二",IF($E641="男",LOOKUP(H641,[1]对照表!$J$3:$J$24,[1]对照表!$L$3:$L$24),LOOKUP(H641,[1]对照表!$J$27:$J$48,[1]对照表!$L$27:$L$48)),IF(B641="高一",IF($E641="男",LOOKUP(H641,[1]对照表!$I$3:$I$24,[1]对照表!$L$3:$L$24),LOOKUP(H641,[1]对照表!$I$27:$I$48,[1]对照表!$L$27:$L$48)))))</f>
        <v>100</v>
      </c>
      <c r="J641" s="38">
        <v>205</v>
      </c>
      <c r="K641" s="32">
        <f>IF(B641="高三",IF($E641="男",LOOKUP(J641,[1]对照表!$O$3:$O$24,[1]对照表!$P$3:$P$24),LOOKUP(J641,[1]对照表!$O$27:$O$48,[1]对照表!$P$27:$P$48)),IF(B641="高二",IF($E641="男",LOOKUP(J641,[1]对照表!$N$3:$N$24,[1]对照表!$P$3:$P$24),LOOKUP(J641,[1]对照表!$N$27:$N$48,[1]对照表!$P$27:$P$48)),IF(B641="高一",IF($E641="男",LOOKUP(J641,[1]对照表!$M$3:$M$24,[1]对照表!$P$3:$P$24),LOOKUP(J641,[1]对照表!$M$27:$M$48,[1]对照表!$P$27:$P$48)))))</f>
        <v>100</v>
      </c>
      <c r="L641" s="38">
        <v>58</v>
      </c>
      <c r="M641" s="32">
        <f>IF(B641="高三",IF($E641="男",LOOKUP(L641,[1]对照表!$S$3:$S$24,[1]对照表!$T$3:$T$24),LOOKUP(L641,[1]对照表!$S$27:$S$48,[1]对照表!$T$27:$T$48)),IF(B641="高二",IF($E641="男",LOOKUP(L641,[1]对照表!$R$3:$R$24,[1]对照表!$T$3:$T$24),LOOKUP(L641,[1]对照表!$R$27:$R$48,[1]对照表!$T$27:$T$48)),IF(B641="高一",IF($E641="男",LOOKUP(L641,[1]对照表!$Q$3:$Q$24,[1]对照表!$T$3:$T$24),LOOKUP(L641,[1]对照表!$Q$27:$Q$48,[1]对照表!$T$27:$T$48)))))</f>
        <v>100</v>
      </c>
      <c r="N641" s="33">
        <f>IF(B641="高三",MAX(IF(E641="男",L641-18,L641-55),0),IF(B641="高二",MAX(IF(E641="男",L641-17,L641-54),0),IF(B641="高一",MAX(IF(E641="男",L641-16,L641-53),0))))</f>
        <v>4</v>
      </c>
      <c r="O641" s="23">
        <f>IF(E641="男",LOOKUP($N641,[1]对照表!$Z$3:$Z$13,[1]对照表!$AA$3:$AA$13),LOOKUP($N641,[1]对照表!$Z$15:$Z$25,[1]对照表!$AA$15:$AA$25))</f>
        <v>2</v>
      </c>
      <c r="P641" s="25">
        <f>M641+O641</f>
        <v>102</v>
      </c>
      <c r="Q641" s="38">
        <v>3.27</v>
      </c>
      <c r="R641" s="32">
        <f>IF(B641="高三",IF($E641="男",LOOKUP(Q641,[1]对照表!$W$3:$W$24,[1]对照表!$X$3:$X$24),LOOKUP(Q641,[1]对照表!$W$27:$W$48,[1]对照表!$X$27:$X$48)),IF(B641="高二",IF($E641="男",LOOKUP(Q641,[1]对照表!$V$3:$V$24,[1]对照表!$X$3:$X$24),LOOKUP(Q641,[1]对照表!$V$27:$V$48,[1]对照表!$X$27:$X$48)),IF(B641="高一",IF($E641="男",LOOKUP(Q641,[1]对照表!$U$3:$U$24,[1]对照表!$X$3:$X$24),LOOKUP(Q641,[1]对照表!$U$27:$U$48,[1]对照表!$X$27:$X$48)))))</f>
        <v>95</v>
      </c>
      <c r="S641" s="33">
        <f>ROUND(IF(IF($B641="高三",MIN(IF($E641="男",$Q641-3.2,$Q641-3.2),0),IF($B641="高二",MIN(IF($E641="男",$Q641-3.25,$Q641-3.22),0),IF($B641="高一",MIN(IF($E641="男",$Q641-3.3,$Q641-3.24),0))))&lt;-0.6,IF($B641="高三",MIN(IF($E641="男",$Q641-3.2,$Q641-3.2),0),IF($B641="高二",MIN(IF($E641="男",$Q641-3.25,$Q641-3.22),0),IF($B641="高一",MIN(IF($E641="男",$Q641-3.3,$Q641-3.24),0))))+0.4,IF($B641="高三",MIN(IF($E641="男",$Q641-3.2,$Q641-3.2),0),IF($B641="高二",MIN(IF($E641="男",$Q641-3.25,$Q641-3.22),0),IF($B641="高一",MIN(IF($E641="男",$Q641-3.3,$Q641-3.24),0))))),2)</f>
        <v>0</v>
      </c>
      <c r="T641" s="23">
        <f>IF(E641="男",LOOKUP($S641,[1]对照表!$AB$3:$AB$13,[1]对照表!$AC$3:$AC$13),LOOKUP($S641,[1]对照表!$AB$15:$AB$25,[1]对照表!$AC$15:$AC$25))</f>
        <v>0</v>
      </c>
      <c r="U641" s="26">
        <f>R641+T641</f>
        <v>95</v>
      </c>
      <c r="V641" s="26">
        <f>SUM(I641,K641,M641)/3*0.3+SUM(G641,R641)/2*0.4</f>
        <v>64.599999999999994</v>
      </c>
      <c r="W641" s="27">
        <f>O641+T641</f>
        <v>2</v>
      </c>
      <c r="X641" s="28">
        <f>V641/0.7+W641</f>
        <v>94.285714285714278</v>
      </c>
      <c r="Y641" s="28">
        <f>X641</f>
        <v>94.285714285714278</v>
      </c>
      <c r="Z641" s="38"/>
    </row>
    <row r="642" spans="1:26" ht="15.6" x14ac:dyDescent="0.25">
      <c r="A642" s="48">
        <v>28</v>
      </c>
      <c r="B642" s="17" t="s">
        <v>767</v>
      </c>
      <c r="C642" s="51" t="s">
        <v>816</v>
      </c>
      <c r="D642" s="49" t="s">
        <v>831</v>
      </c>
      <c r="E642" s="48" t="s">
        <v>65</v>
      </c>
      <c r="F642" s="38">
        <v>8.2799999999999994</v>
      </c>
      <c r="G642" s="32">
        <f>IF(B642="高三",IF($E642="男",LOOKUP(F642,[1]对照表!$G$3:$G$24,[1]对照表!$H$3:$H$24),LOOKUP(F642,[1]对照表!$G$27:$G$48,[1]对照表!$H$27:$H$48)),IF(B642="高二",IF($E642="男",LOOKUP(F642,[1]对照表!$F$3:$F$24,[1]对照表!$H$3:$H$24),LOOKUP(F642,[1]对照表!$F$27:$F$48,[1]对照表!$H$27:$H$48)),IF(B642="高一",IF($E642="男",LOOKUP(F642,[1]对照表!$E$3:$E$24,[1]对照表!$H$3:$H$24),LOOKUP(F642,[1]对照表!$E$27:$E$48,[1]对照表!$H$27:$H$48)))))</f>
        <v>80</v>
      </c>
      <c r="H642" s="38">
        <v>24.5</v>
      </c>
      <c r="I642" s="32">
        <f>IF(B642="高三",IF($E642="男",LOOKUP(H642,[1]对照表!$K$3:$K$24,[1]对照表!$L$3:$L$24),LOOKUP(H642,[1]对照表!$K$27:$K$48,[1]对照表!$L$27:$L$48)),IF(B642="高二",IF($E642="男",LOOKUP(H642,[1]对照表!$J$3:$J$24,[1]对照表!$L$3:$L$24),LOOKUP(H642,[1]对照表!$J$27:$J$48,[1]对照表!$L$27:$L$48)),IF(B642="高一",IF($E642="男",LOOKUP(H642,[1]对照表!$I$3:$I$24,[1]对照表!$L$3:$L$24),LOOKUP(H642,[1]对照表!$I$27:$I$48,[1]对照表!$L$27:$L$48)))))</f>
        <v>95</v>
      </c>
      <c r="J642" s="38">
        <v>207</v>
      </c>
      <c r="K642" s="32">
        <f>IF(B642="高三",IF($E642="男",LOOKUP(J642,[1]对照表!$O$3:$O$24,[1]对照表!$P$3:$P$24),LOOKUP(J642,[1]对照表!$O$27:$O$48,[1]对照表!$P$27:$P$48)),IF(B642="高二",IF($E642="男",LOOKUP(J642,[1]对照表!$N$3:$N$24,[1]对照表!$P$3:$P$24),LOOKUP(J642,[1]对照表!$N$27:$N$48,[1]对照表!$P$27:$P$48)),IF(B642="高一",IF($E642="男",LOOKUP(J642,[1]对照表!$M$3:$M$24,[1]对照表!$P$3:$P$24),LOOKUP(J642,[1]对照表!$M$27:$M$48,[1]对照表!$P$27:$P$48)))))</f>
        <v>100</v>
      </c>
      <c r="L642" s="38">
        <v>50</v>
      </c>
      <c r="M642" s="32">
        <f>IF(B642="高三",IF($E642="男",LOOKUP(L642,[1]对照表!$S$3:$S$24,[1]对照表!$T$3:$T$24),LOOKUP(L642,[1]对照表!$S$27:$S$48,[1]对照表!$T$27:$T$48)),IF(B642="高二",IF($E642="男",LOOKUP(L642,[1]对照表!$R$3:$R$24,[1]对照表!$T$3:$T$24),LOOKUP(L642,[1]对照表!$R$27:$R$48,[1]对照表!$T$27:$T$48)),IF(B642="高一",IF($E642="男",LOOKUP(L642,[1]对照表!$Q$3:$Q$24,[1]对照表!$T$3:$T$24),LOOKUP(L642,[1]对照表!$Q$27:$Q$48,[1]对照表!$T$27:$T$48)))))</f>
        <v>90</v>
      </c>
      <c r="N642" s="33">
        <f>IF(B642="高三",MAX(IF(E642="男",L642-18,L642-55),0),IF(B642="高二",MAX(IF(E642="男",L642-17,L642-54),0),IF(B642="高一",MAX(IF(E642="男",L642-16,L642-53),0))))</f>
        <v>0</v>
      </c>
      <c r="O642" s="23">
        <f>IF(E642="男",LOOKUP($N642,[1]对照表!$Z$3:$Z$13,[1]对照表!$AA$3:$AA$13),LOOKUP($N642,[1]对照表!$Z$15:$Z$25,[1]对照表!$AA$15:$AA$25))</f>
        <v>0</v>
      </c>
      <c r="P642" s="25">
        <f>M642+O642</f>
        <v>90</v>
      </c>
      <c r="Q642" s="38">
        <v>3.18</v>
      </c>
      <c r="R642" s="32">
        <f>IF(B642="高三",IF($E642="男",LOOKUP(Q642,[1]对照表!$W$3:$W$24,[1]对照表!$X$3:$X$24),LOOKUP(Q642,[1]对照表!$W$27:$W$48,[1]对照表!$X$27:$X$48)),IF(B642="高二",IF($E642="男",LOOKUP(Q642,[1]对照表!$V$3:$V$24,[1]对照表!$X$3:$X$24),LOOKUP(Q642,[1]对照表!$V$27:$V$48,[1]对照表!$X$27:$X$48)),IF(B642="高一",IF($E642="男",LOOKUP(Q642,[1]对照表!$U$3:$U$24,[1]对照表!$X$3:$X$24),LOOKUP(Q642,[1]对照表!$U$27:$U$48,[1]对照表!$X$27:$X$48)))))</f>
        <v>100</v>
      </c>
      <c r="S642" s="33">
        <f>ROUND(IF(IF($B642="高三",MIN(IF($E642="男",$Q642-3.2,$Q642-3.2),0),IF($B642="高二",MIN(IF($E642="男",$Q642-3.25,$Q642-3.22),0),IF($B642="高一",MIN(IF($E642="男",$Q642-3.3,$Q642-3.24),0))))&lt;-0.6,IF($B642="高三",MIN(IF($E642="男",$Q642-3.2,$Q642-3.2),0),IF($B642="高二",MIN(IF($E642="男",$Q642-3.25,$Q642-3.22),0),IF($B642="高一",MIN(IF($E642="男",$Q642-3.3,$Q642-3.24),0))))+0.4,IF($B642="高三",MIN(IF($E642="男",$Q642-3.2,$Q642-3.2),0),IF($B642="高二",MIN(IF($E642="男",$Q642-3.25,$Q642-3.22),0),IF($B642="高一",MIN(IF($E642="男",$Q642-3.3,$Q642-3.24),0))))),2)</f>
        <v>-0.04</v>
      </c>
      <c r="T642" s="23">
        <f>IF(E642="男",LOOKUP($S642,[1]对照表!$AB$3:$AB$13,[1]对照表!$AC$3:$AC$13),LOOKUP($S642,[1]对照表!$AB$15:$AB$25,[1]对照表!$AC$15:$AC$25))</f>
        <v>0</v>
      </c>
      <c r="U642" s="26">
        <f>R642+T642</f>
        <v>100</v>
      </c>
      <c r="V642" s="26">
        <f>SUM(I642,K642,M642)/3*0.3+SUM(G642,R642)/2*0.4</f>
        <v>64.5</v>
      </c>
      <c r="W642" s="27">
        <f>O642+T642</f>
        <v>0</v>
      </c>
      <c r="X642" s="28">
        <f>V642/0.7+W642</f>
        <v>92.142857142857153</v>
      </c>
      <c r="Y642" s="28">
        <f>X642</f>
        <v>92.142857142857153</v>
      </c>
      <c r="Z642" s="38"/>
    </row>
    <row r="643" spans="1:26" ht="15.6" x14ac:dyDescent="0.25">
      <c r="A643" s="48">
        <v>12</v>
      </c>
      <c r="B643" s="17" t="s">
        <v>767</v>
      </c>
      <c r="C643" s="51" t="s">
        <v>816</v>
      </c>
      <c r="D643" s="49" t="s">
        <v>840</v>
      </c>
      <c r="E643" s="55" t="s">
        <v>23</v>
      </c>
      <c r="F643" s="38">
        <v>7</v>
      </c>
      <c r="G643" s="32">
        <f>IF(B643="高三",IF($E643="男",LOOKUP(F643,[1]对照表!$G$3:$G$24,[1]对照表!$H$3:$H$24),LOOKUP(F643,[1]对照表!$G$27:$G$48,[1]对照表!$H$27:$H$48)),IF(B643="高二",IF($E643="男",LOOKUP(F643,[1]对照表!$F$3:$F$24,[1]对照表!$H$3:$H$24),LOOKUP(F643,[1]对照表!$F$27:$F$48,[1]对照表!$H$27:$H$48)),IF(B643="高一",IF($E643="男",LOOKUP(F643,[1]对照表!$E$3:$E$24,[1]对照表!$H$3:$H$24),LOOKUP(F643,[1]对照表!$E$27:$E$48,[1]对照表!$H$27:$H$48)))))</f>
        <v>100</v>
      </c>
      <c r="H643" s="38">
        <v>11</v>
      </c>
      <c r="I643" s="32">
        <f>IF(B643="高三",IF($E643="男",LOOKUP(H643,[1]对照表!$K$3:$K$24,[1]对照表!$L$3:$L$24),LOOKUP(H643,[1]对照表!$K$27:$K$48,[1]对照表!$L$27:$L$48)),IF(B643="高二",IF($E643="男",LOOKUP(H643,[1]对照表!$J$3:$J$24,[1]对照表!$L$3:$L$24),LOOKUP(H643,[1]对照表!$J$27:$J$48,[1]对照表!$L$27:$L$48)),IF(B643="高一",IF($E643="男",LOOKUP(H643,[1]对照表!$I$3:$I$24,[1]对照表!$L$3:$L$24),LOOKUP(H643,[1]对照表!$I$27:$I$48,[1]对照表!$L$27:$L$48)))))</f>
        <v>72</v>
      </c>
      <c r="J643" s="38">
        <v>280</v>
      </c>
      <c r="K643" s="32">
        <f>IF(B643="高三",IF($E643="男",LOOKUP(J643,[1]对照表!$O$3:$O$24,[1]对照表!$P$3:$P$24),LOOKUP(J643,[1]对照表!$O$27:$O$48,[1]对照表!$P$27:$P$48)),IF(B643="高二",IF($E643="男",LOOKUP(J643,[1]对照表!$N$3:$N$24,[1]对照表!$P$3:$P$24),LOOKUP(J643,[1]对照表!$N$27:$N$48,[1]对照表!$P$27:$P$48)),IF(B643="高一",IF($E643="男",LOOKUP(J643,[1]对照表!$M$3:$M$24,[1]对照表!$P$3:$P$24),LOOKUP(J643,[1]对照表!$M$27:$M$48,[1]对照表!$P$27:$P$48)))))</f>
        <v>100</v>
      </c>
      <c r="L643" s="38">
        <v>26</v>
      </c>
      <c r="M643" s="32">
        <f>IF(B643="高三",IF($E643="男",LOOKUP(L643,[1]对照表!$S$3:$S$24,[1]对照表!$T$3:$T$24),LOOKUP(L643,[1]对照表!$S$27:$S$48,[1]对照表!$T$27:$T$48)),IF(B643="高二",IF($E643="男",LOOKUP(L643,[1]对照表!$R$3:$R$24,[1]对照表!$T$3:$T$24),LOOKUP(L643,[1]对照表!$R$27:$R$48,[1]对照表!$T$27:$T$48)),IF(B643="高一",IF($E643="男",LOOKUP(L643,[1]对照表!$Q$3:$Q$24,[1]对照表!$T$3:$T$24),LOOKUP(L643,[1]对照表!$Q$27:$Q$48,[1]对照表!$T$27:$T$48)))))</f>
        <v>100</v>
      </c>
      <c r="N643" s="33">
        <f>IF(B643="高三",MAX(IF(E643="男",L643-18,L643-55),0),IF(B643="高二",MAX(IF(E643="男",L643-17,L643-54),0),IF(B643="高一",MAX(IF(E643="男",L643-16,L643-53),0))))</f>
        <v>9</v>
      </c>
      <c r="O643" s="23">
        <f>IF(E643="男",LOOKUP($N643,[1]对照表!$Z$3:$Z$13,[1]对照表!$AA$3:$AA$13),LOOKUP($N643,[1]对照表!$Z$15:$Z$25,[1]对照表!$AA$15:$AA$25))</f>
        <v>9</v>
      </c>
      <c r="P643" s="25">
        <f>M643+O643</f>
        <v>109</v>
      </c>
      <c r="Q643" s="38">
        <v>3.32</v>
      </c>
      <c r="R643" s="32">
        <f>IF(B643="高三",IF($E643="男",LOOKUP(Q643,[1]对照表!$W$3:$W$24,[1]对照表!$X$3:$X$24),LOOKUP(Q643,[1]对照表!$W$27:$W$48,[1]对照表!$X$27:$X$48)),IF(B643="高二",IF($E643="男",LOOKUP(Q643,[1]对照表!$V$3:$V$24,[1]对照表!$X$3:$X$24),LOOKUP(Q643,[1]对照表!$V$27:$V$48,[1]对照表!$X$27:$X$48)),IF(B643="高一",IF($E643="男",LOOKUP(Q643,[1]对照表!$U$3:$U$24,[1]对照表!$X$3:$X$24),LOOKUP(Q643,[1]对照表!$U$27:$U$48,[1]对照表!$X$27:$X$48)))))</f>
        <v>90</v>
      </c>
      <c r="S643" s="33">
        <f>ROUND(IF(IF($B643="高三",MIN(IF($E643="男",$Q643-3.2,$Q643-3.2),0),IF($B643="高二",MIN(IF($E643="男",$Q643-3.25,$Q643-3.22),0),IF($B643="高一",MIN(IF($E643="男",$Q643-3.3,$Q643-3.24),0))))&lt;-0.6,IF($B643="高三",MIN(IF($E643="男",$Q643-3.2,$Q643-3.2),0),IF($B643="高二",MIN(IF($E643="男",$Q643-3.25,$Q643-3.22),0),IF($B643="高一",MIN(IF($E643="男",$Q643-3.3,$Q643-3.24),0))))+0.4,IF($B643="高三",MIN(IF($E643="男",$Q643-3.2,$Q643-3.2),0),IF($B643="高二",MIN(IF($E643="男",$Q643-3.25,$Q643-3.22),0),IF($B643="高一",MIN(IF($E643="男",$Q643-3.3,$Q643-3.24),0))))),2)</f>
        <v>0</v>
      </c>
      <c r="T643" s="23">
        <f>IF(E643="男",LOOKUP($S643,[1]对照表!$AB$3:$AB$13,[1]对照表!$AC$3:$AC$13),LOOKUP($S643,[1]对照表!$AB$15:$AB$25,[1]对照表!$AC$15:$AC$25))</f>
        <v>0</v>
      </c>
      <c r="U643" s="26">
        <f>R643+T643</f>
        <v>90</v>
      </c>
      <c r="V643" s="26">
        <f>SUM(I643,K643,M643)/3*0.3+SUM(G643,R643)/2*0.4</f>
        <v>65.2</v>
      </c>
      <c r="W643" s="27">
        <f>O643+T643</f>
        <v>9</v>
      </c>
      <c r="X643" s="28">
        <f>V643/0.7+W643</f>
        <v>102.14285714285715</v>
      </c>
      <c r="Y643" s="28">
        <f>X643</f>
        <v>102.14285714285715</v>
      </c>
      <c r="Z643" s="38"/>
    </row>
    <row r="644" spans="1:26" ht="15.6" x14ac:dyDescent="0.25">
      <c r="A644" s="38">
        <v>40</v>
      </c>
      <c r="B644" s="17" t="s">
        <v>767</v>
      </c>
      <c r="C644" s="51" t="s">
        <v>816</v>
      </c>
      <c r="D644" s="49" t="s">
        <v>841</v>
      </c>
      <c r="E644" s="48" t="s">
        <v>65</v>
      </c>
      <c r="F644" s="38">
        <v>8.26</v>
      </c>
      <c r="G644" s="32">
        <f>IF(B644="高三",IF($E644="男",LOOKUP(F644,[1]对照表!$G$3:$G$24,[1]对照表!$H$3:$H$24),LOOKUP(F644,[1]对照表!$G$27:$G$48,[1]对照表!$H$27:$H$48)),IF(B644="高二",IF($E644="男",LOOKUP(F644,[1]对照表!$F$3:$F$24,[1]对照表!$H$3:$H$24),LOOKUP(F644,[1]对照表!$F$27:$F$48,[1]对照表!$H$27:$H$48)),IF(B644="高一",IF($E644="男",LOOKUP(F644,[1]对照表!$E$3:$E$24,[1]对照表!$H$3:$H$24),LOOKUP(F644,[1]对照表!$E$27:$E$48,[1]对照表!$H$27:$H$48)))))</f>
        <v>80</v>
      </c>
      <c r="H644" s="38">
        <v>11.2</v>
      </c>
      <c r="I644" s="32">
        <f>IF(B644="高三",IF($E644="男",LOOKUP(H644,[1]对照表!$K$3:$K$24,[1]对照表!$L$3:$L$24),LOOKUP(H644,[1]对照表!$K$27:$K$48,[1]对照表!$L$27:$L$48)),IF(B644="高二",IF($E644="男",LOOKUP(H644,[1]对照表!$J$3:$J$24,[1]对照表!$L$3:$L$24),LOOKUP(H644,[1]对照表!$J$27:$J$48,[1]对照表!$L$27:$L$48)),IF(B644="高一",IF($E644="男",LOOKUP(H644,[1]对照表!$I$3:$I$24,[1]对照表!$L$3:$L$24),LOOKUP(H644,[1]对照表!$I$27:$I$48,[1]对照表!$L$27:$L$48)))))</f>
        <v>68</v>
      </c>
      <c r="J644" s="38">
        <v>178</v>
      </c>
      <c r="K644" s="32">
        <f>IF(B644="高三",IF($E644="男",LOOKUP(J644,[1]对照表!$O$3:$O$24,[1]对照表!$P$3:$P$24),LOOKUP(J644,[1]对照表!$O$27:$O$48,[1]对照表!$P$27:$P$48)),IF(B644="高二",IF($E644="男",LOOKUP(J644,[1]对照表!$N$3:$N$24,[1]对照表!$P$3:$P$24),LOOKUP(J644,[1]对照表!$N$27:$N$48,[1]对照表!$P$27:$P$48)),IF(B644="高一",IF($E644="男",LOOKUP(J644,[1]对照表!$M$3:$M$24,[1]对照表!$P$3:$P$24),LOOKUP(J644,[1]对照表!$M$27:$M$48,[1]对照表!$P$27:$P$48)))))</f>
        <v>78</v>
      </c>
      <c r="L644" s="38">
        <v>58</v>
      </c>
      <c r="M644" s="32">
        <f>IF(B644="高三",IF($E644="男",LOOKUP(L644,[1]对照表!$S$3:$S$24,[1]对照表!$T$3:$T$24),LOOKUP(L644,[1]对照表!$S$27:$S$48,[1]对照表!$T$27:$T$48)),IF(B644="高二",IF($E644="男",LOOKUP(L644,[1]对照表!$R$3:$R$24,[1]对照表!$T$3:$T$24),LOOKUP(L644,[1]对照表!$R$27:$R$48,[1]对照表!$T$27:$T$48)),IF(B644="高一",IF($E644="男",LOOKUP(L644,[1]对照表!$Q$3:$Q$24,[1]对照表!$T$3:$T$24),LOOKUP(L644,[1]对照表!$Q$27:$Q$48,[1]对照表!$T$27:$T$48)))))</f>
        <v>100</v>
      </c>
      <c r="N644" s="33">
        <f>IF(B644="高三",MAX(IF(E644="男",L644-18,L644-55),0),IF(B644="高二",MAX(IF(E644="男",L644-17,L644-54),0),IF(B644="高一",MAX(IF(E644="男",L644-16,L644-53),0))))</f>
        <v>4</v>
      </c>
      <c r="O644" s="23">
        <f>IF(E644="男",LOOKUP($N644,[1]对照表!$Z$3:$Z$13,[1]对照表!$AA$3:$AA$13),LOOKUP($N644,[1]对照表!$Z$15:$Z$25,[1]对照表!$AA$15:$AA$25))</f>
        <v>2</v>
      </c>
      <c r="P644" s="25">
        <f>M644+O644</f>
        <v>102</v>
      </c>
      <c r="Q644" s="38">
        <v>3.11</v>
      </c>
      <c r="R644" s="32">
        <f>IF(B644="高三",IF($E644="男",LOOKUP(Q644,[1]对照表!$W$3:$W$24,[1]对照表!$X$3:$X$24),LOOKUP(Q644,[1]对照表!$W$27:$W$48,[1]对照表!$X$27:$X$48)),IF(B644="高二",IF($E644="男",LOOKUP(Q644,[1]对照表!$V$3:$V$24,[1]对照表!$X$3:$X$24),LOOKUP(Q644,[1]对照表!$V$27:$V$48,[1]对照表!$X$27:$X$48)),IF(B644="高一",IF($E644="男",LOOKUP(Q644,[1]对照表!$U$3:$U$24,[1]对照表!$X$3:$X$24),LOOKUP(Q644,[1]对照表!$U$27:$U$48,[1]对照表!$X$27:$X$48)))))</f>
        <v>100</v>
      </c>
      <c r="S644" s="33">
        <f>ROUND(IF(IF($B644="高三",MIN(IF($E644="男",$Q644-3.2,$Q644-3.2),0),IF($B644="高二",MIN(IF($E644="男",$Q644-3.25,$Q644-3.22),0),IF($B644="高一",MIN(IF($E644="男",$Q644-3.3,$Q644-3.24),0))))&lt;-0.6,IF($B644="高三",MIN(IF($E644="男",$Q644-3.2,$Q644-3.2),0),IF($B644="高二",MIN(IF($E644="男",$Q644-3.25,$Q644-3.22),0),IF($B644="高一",MIN(IF($E644="男",$Q644-3.3,$Q644-3.24),0))))+0.4,IF($B644="高三",MIN(IF($E644="男",$Q644-3.2,$Q644-3.2),0),IF($B644="高二",MIN(IF($E644="男",$Q644-3.25,$Q644-3.22),0),IF($B644="高一",MIN(IF($E644="男",$Q644-3.3,$Q644-3.24),0))))),2)</f>
        <v>-0.11</v>
      </c>
      <c r="T644" s="23">
        <f>IF(E644="男",LOOKUP($S644,[1]对照表!$AB$3:$AB$13,[1]对照表!$AC$3:$AC$13),LOOKUP($S644,[1]对照表!$AB$15:$AB$25,[1]对照表!$AC$15:$AC$25))</f>
        <v>2</v>
      </c>
      <c r="U644" s="26">
        <f>R644+T644</f>
        <v>102</v>
      </c>
      <c r="V644" s="26">
        <f>SUM(I644,K644,M644)/3*0.3+SUM(G644,R644)/2*0.4</f>
        <v>60.599999999999994</v>
      </c>
      <c r="W644" s="27">
        <f>O644+T644</f>
        <v>4</v>
      </c>
      <c r="X644" s="28">
        <f>V644/0.7+W644</f>
        <v>90.571428571428569</v>
      </c>
      <c r="Y644" s="28">
        <f>X644</f>
        <v>90.571428571428569</v>
      </c>
      <c r="Z644" s="38"/>
    </row>
    <row r="645" spans="1:26" ht="15.6" x14ac:dyDescent="0.25">
      <c r="A645" s="48">
        <v>34</v>
      </c>
      <c r="B645" s="17" t="s">
        <v>767</v>
      </c>
      <c r="C645" s="51" t="s">
        <v>816</v>
      </c>
      <c r="D645" s="49" t="s">
        <v>849</v>
      </c>
      <c r="E645" s="48" t="s">
        <v>65</v>
      </c>
      <c r="F645" s="38">
        <v>8.25</v>
      </c>
      <c r="G645" s="32">
        <f>IF(B645="高三",IF($E645="男",LOOKUP(F645,[1]对照表!$G$3:$G$24,[1]对照表!$H$3:$H$24),LOOKUP(F645,[1]对照表!$G$27:$G$48,[1]对照表!$H$27:$H$48)),IF(B645="高二",IF($E645="男",LOOKUP(F645,[1]对照表!$F$3:$F$24,[1]对照表!$H$3:$H$24),LOOKUP(F645,[1]对照表!$F$27:$F$48,[1]对照表!$H$27:$H$48)),IF(B645="高一",IF($E645="男",LOOKUP(F645,[1]对照表!$E$3:$E$24,[1]对照表!$H$3:$H$24),LOOKUP(F645,[1]对照表!$E$27:$E$48,[1]对照表!$H$27:$H$48)))))</f>
        <v>80</v>
      </c>
      <c r="H645" s="38">
        <v>28</v>
      </c>
      <c r="I645" s="32">
        <f>IF(B645="高三",IF($E645="男",LOOKUP(H645,[1]对照表!$K$3:$K$24,[1]对照表!$L$3:$L$24),LOOKUP(H645,[1]对照表!$K$27:$K$48,[1]对照表!$L$27:$L$48)),IF(B645="高二",IF($E645="男",LOOKUP(H645,[1]对照表!$J$3:$J$24,[1]对照表!$L$3:$L$24),LOOKUP(H645,[1]对照表!$J$27:$J$48,[1]对照表!$L$27:$L$48)),IF(B645="高一",IF($E645="男",LOOKUP(H645,[1]对照表!$I$3:$I$24,[1]对照表!$L$3:$L$24),LOOKUP(H645,[1]对照表!$I$27:$I$48,[1]对照表!$L$27:$L$48)))))</f>
        <v>100</v>
      </c>
      <c r="J645" s="38">
        <v>205</v>
      </c>
      <c r="K645" s="32">
        <f>IF(B645="高三",IF($E645="男",LOOKUP(J645,[1]对照表!$O$3:$O$24,[1]对照表!$P$3:$P$24),LOOKUP(J645,[1]对照表!$O$27:$O$48,[1]对照表!$P$27:$P$48)),IF(B645="高二",IF($E645="男",LOOKUP(J645,[1]对照表!$N$3:$N$24,[1]对照表!$P$3:$P$24),LOOKUP(J645,[1]对照表!$N$27:$N$48,[1]对照表!$P$27:$P$48)),IF(B645="高一",IF($E645="男",LOOKUP(J645,[1]对照表!$M$3:$M$24,[1]对照表!$P$3:$P$24),LOOKUP(J645,[1]对照表!$M$27:$M$48,[1]对照表!$P$27:$P$48)))))</f>
        <v>100</v>
      </c>
      <c r="L645" s="38">
        <v>54</v>
      </c>
      <c r="M645" s="32">
        <f>IF(B645="高三",IF($E645="男",LOOKUP(L645,[1]对照表!$S$3:$S$24,[1]对照表!$T$3:$T$24),LOOKUP(L645,[1]对照表!$S$27:$S$48,[1]对照表!$T$27:$T$48)),IF(B645="高二",IF($E645="男",LOOKUP(L645,[1]对照表!$R$3:$R$24,[1]对照表!$T$3:$T$24),LOOKUP(L645,[1]对照表!$R$27:$R$48,[1]对照表!$T$27:$T$48)),IF(B645="高一",IF($E645="男",LOOKUP(L645,[1]对照表!$Q$3:$Q$24,[1]对照表!$T$3:$T$24),LOOKUP(L645,[1]对照表!$Q$27:$Q$48,[1]对照表!$T$27:$T$48)))))</f>
        <v>100</v>
      </c>
      <c r="N645" s="33">
        <f>IF(B645="高三",MAX(IF(E645="男",L645-18,L645-55),0),IF(B645="高二",MAX(IF(E645="男",L645-17,L645-54),0),IF(B645="高一",MAX(IF(E645="男",L645-16,L645-53),0))))</f>
        <v>0</v>
      </c>
      <c r="O645" s="23">
        <f>IF(E645="男",LOOKUP($N645,[1]对照表!$Z$3:$Z$13,[1]对照表!$AA$3:$AA$13),LOOKUP($N645,[1]对照表!$Z$15:$Z$25,[1]对照表!$AA$15:$AA$25))</f>
        <v>0</v>
      </c>
      <c r="P645" s="25">
        <f>M645+O645</f>
        <v>100</v>
      </c>
      <c r="Q645" s="38">
        <v>3.38</v>
      </c>
      <c r="R645" s="32">
        <f>IF(B645="高三",IF($E645="男",LOOKUP(Q645,[1]对照表!$W$3:$W$24,[1]对照表!$X$3:$X$24),LOOKUP(Q645,[1]对照表!$W$27:$W$48,[1]对照表!$X$27:$X$48)),IF(B645="高二",IF($E645="男",LOOKUP(Q645,[1]对照表!$V$3:$V$24,[1]对照表!$X$3:$X$24),LOOKUP(Q645,[1]对照表!$V$27:$V$48,[1]对照表!$X$27:$X$48)),IF(B645="高一",IF($E645="男",LOOKUP(Q645,[1]对照表!$U$3:$U$24,[1]对照表!$X$3:$X$24),LOOKUP(Q645,[1]对照表!$U$27:$U$48,[1]对照表!$X$27:$X$48)))))</f>
        <v>85</v>
      </c>
      <c r="S645" s="33">
        <f>ROUND(IF(IF($B645="高三",MIN(IF($E645="男",$Q645-3.2,$Q645-3.2),0),IF($B645="高二",MIN(IF($E645="男",$Q645-3.25,$Q645-3.22),0),IF($B645="高一",MIN(IF($E645="男",$Q645-3.3,$Q645-3.24),0))))&lt;-0.6,IF($B645="高三",MIN(IF($E645="男",$Q645-3.2,$Q645-3.2),0),IF($B645="高二",MIN(IF($E645="男",$Q645-3.25,$Q645-3.22),0),IF($B645="高一",MIN(IF($E645="男",$Q645-3.3,$Q645-3.24),0))))+0.4,IF($B645="高三",MIN(IF($E645="男",$Q645-3.2,$Q645-3.2),0),IF($B645="高二",MIN(IF($E645="男",$Q645-3.25,$Q645-3.22),0),IF($B645="高一",MIN(IF($E645="男",$Q645-3.3,$Q645-3.24),0))))),2)</f>
        <v>0</v>
      </c>
      <c r="T645" s="23">
        <f>IF(E645="男",LOOKUP($S645,[1]对照表!$AB$3:$AB$13,[1]对照表!$AC$3:$AC$13),LOOKUP($S645,[1]对照表!$AB$15:$AB$25,[1]对照表!$AC$15:$AC$25))</f>
        <v>0</v>
      </c>
      <c r="U645" s="26">
        <f>R645+T645</f>
        <v>85</v>
      </c>
      <c r="V645" s="26">
        <f>SUM(I645,K645,M645)/3*0.3+SUM(G645,R645)/2*0.4</f>
        <v>63</v>
      </c>
      <c r="W645" s="27">
        <f>O645+T645</f>
        <v>0</v>
      </c>
      <c r="X645" s="28">
        <f>V645/0.7+W645</f>
        <v>90</v>
      </c>
      <c r="Y645" s="28">
        <f>X645</f>
        <v>90</v>
      </c>
      <c r="Z645" s="38"/>
    </row>
    <row r="646" spans="1:26" ht="15.6" x14ac:dyDescent="0.25">
      <c r="A646" s="48">
        <v>11</v>
      </c>
      <c r="B646" s="17" t="s">
        <v>767</v>
      </c>
      <c r="C646" s="51" t="s">
        <v>816</v>
      </c>
      <c r="D646" s="49" t="s">
        <v>852</v>
      </c>
      <c r="E646" s="55" t="s">
        <v>23</v>
      </c>
      <c r="F646" s="38">
        <v>7.1</v>
      </c>
      <c r="G646" s="32">
        <f>IF(B646="高三",IF($E646="男",LOOKUP(F646,[1]对照表!$G$3:$G$24,[1]对照表!$H$3:$H$24),LOOKUP(F646,[1]对照表!$G$27:$G$48,[1]对照表!$H$27:$H$48)),IF(B646="高二",IF($E646="男",LOOKUP(F646,[1]对照表!$F$3:$F$24,[1]对照表!$H$3:$H$24),LOOKUP(F646,[1]对照表!$F$27:$F$48,[1]对照表!$H$27:$H$48)),IF(B646="高一",IF($E646="男",LOOKUP(F646,[1]对照表!$E$3:$E$24,[1]对照表!$H$3:$H$24),LOOKUP(F646,[1]对照表!$E$27:$E$48,[1]对照表!$H$27:$H$48)))))</f>
        <v>95</v>
      </c>
      <c r="H646" s="38">
        <v>26</v>
      </c>
      <c r="I646" s="32">
        <f>IF(B646="高三",IF($E646="男",LOOKUP(H646,[1]对照表!$K$3:$K$24,[1]对照表!$L$3:$L$24),LOOKUP(H646,[1]对照表!$K$27:$K$48,[1]对照表!$L$27:$L$48)),IF(B646="高二",IF($E646="男",LOOKUP(H646,[1]对照表!$J$3:$J$24,[1]对照表!$L$3:$L$24),LOOKUP(H646,[1]对照表!$J$27:$J$48,[1]对照表!$L$27:$L$48)),IF(B646="高一",IF($E646="男",LOOKUP(H646,[1]对照表!$I$3:$I$24,[1]对照表!$L$3:$L$24),LOOKUP(H646,[1]对照表!$I$27:$I$48,[1]对照表!$L$27:$L$48)))))</f>
        <v>100</v>
      </c>
      <c r="J646" s="38">
        <v>247</v>
      </c>
      <c r="K646" s="32">
        <f>IF(B646="高三",IF($E646="男",LOOKUP(J646,[1]对照表!$O$3:$O$24,[1]对照表!$P$3:$P$24),LOOKUP(J646,[1]对照表!$O$27:$O$48,[1]对照表!$P$27:$P$48)),IF(B646="高二",IF($E646="男",LOOKUP(J646,[1]对照表!$N$3:$N$24,[1]对照表!$P$3:$P$24),LOOKUP(J646,[1]对照表!$N$27:$N$48,[1]对照表!$P$27:$P$48)),IF(B646="高一",IF($E646="男",LOOKUP(J646,[1]对照表!$M$3:$M$24,[1]对照表!$P$3:$P$24),LOOKUP(J646,[1]对照表!$M$27:$M$48,[1]对照表!$P$27:$P$48)))))</f>
        <v>80</v>
      </c>
      <c r="L646" s="38">
        <v>15</v>
      </c>
      <c r="M646" s="32">
        <f>IF(B646="高三",IF($E646="男",LOOKUP(L646,[1]对照表!$S$3:$S$24,[1]对照表!$T$3:$T$24),LOOKUP(L646,[1]对照表!$S$27:$S$48,[1]对照表!$T$27:$T$48)),IF(B646="高二",IF($E646="男",LOOKUP(L646,[1]对照表!$R$3:$R$24,[1]对照表!$T$3:$T$24),LOOKUP(L646,[1]对照表!$R$27:$R$48,[1]对照表!$T$27:$T$48)),IF(B646="高一",IF($E646="男",LOOKUP(L646,[1]对照表!$Q$3:$Q$24,[1]对照表!$T$3:$T$24),LOOKUP(L646,[1]对照表!$Q$27:$Q$48,[1]对照表!$T$27:$T$48)))))</f>
        <v>90</v>
      </c>
      <c r="N646" s="33">
        <f>IF(B646="高三",MAX(IF(E646="男",L646-18,L646-55),0),IF(B646="高二",MAX(IF(E646="男",L646-17,L646-54),0),IF(B646="高一",MAX(IF(E646="男",L646-16,L646-53),0))))</f>
        <v>0</v>
      </c>
      <c r="O646" s="23">
        <f>IF(E646="男",LOOKUP($N646,[1]对照表!$Z$3:$Z$13,[1]对照表!$AA$3:$AA$13),LOOKUP($N646,[1]对照表!$Z$15:$Z$25,[1]对照表!$AA$15:$AA$25))</f>
        <v>0</v>
      </c>
      <c r="P646" s="25">
        <f>M646+O646</f>
        <v>90</v>
      </c>
      <c r="Q646" s="38">
        <v>2.57</v>
      </c>
      <c r="R646" s="32">
        <f>IF(B646="高三",IF($E646="男",LOOKUP(Q646,[1]对照表!$W$3:$W$24,[1]对照表!$X$3:$X$24),LOOKUP(Q646,[1]对照表!$W$27:$W$48,[1]对照表!$X$27:$X$48)),IF(B646="高二",IF($E646="男",LOOKUP(Q646,[1]对照表!$V$3:$V$24,[1]对照表!$X$3:$X$24),LOOKUP(Q646,[1]对照表!$V$27:$V$48,[1]对照表!$X$27:$X$48)),IF(B646="高一",IF($E646="男",LOOKUP(Q646,[1]对照表!$U$3:$U$24,[1]对照表!$X$3:$X$24),LOOKUP(Q646,[1]对照表!$U$27:$U$48,[1]对照表!$X$27:$X$48)))))</f>
        <v>100</v>
      </c>
      <c r="S646" s="33">
        <f>ROUND(IF(IF($B646="高三",MIN(IF($E646="男",$Q646-3.2,$Q646-3.2),0),IF($B646="高二",MIN(IF($E646="男",$Q646-3.25,$Q646-3.22),0),IF($B646="高一",MIN(IF($E646="男",$Q646-3.3,$Q646-3.24),0))))&lt;-0.6,IF($B646="高三",MIN(IF($E646="男",$Q646-3.2,$Q646-3.2),0),IF($B646="高二",MIN(IF($E646="男",$Q646-3.25,$Q646-3.22),0),IF($B646="高一",MIN(IF($E646="男",$Q646-3.3,$Q646-3.24),0))))+0.4,IF($B646="高三",MIN(IF($E646="男",$Q646-3.2,$Q646-3.2),0),IF($B646="高二",MIN(IF($E646="男",$Q646-3.25,$Q646-3.22),0),IF($B646="高一",MIN(IF($E646="男",$Q646-3.3,$Q646-3.24),0))))),2)</f>
        <v>-0.28000000000000003</v>
      </c>
      <c r="T646" s="23">
        <f>IF(E646="男",LOOKUP($S646,[1]对照表!$AB$3:$AB$13,[1]对照表!$AC$3:$AC$13),LOOKUP($S646,[1]对照表!$AB$15:$AB$25,[1]对照表!$AC$15:$AC$25))</f>
        <v>7</v>
      </c>
      <c r="U646" s="26">
        <f>R646+T646</f>
        <v>107</v>
      </c>
      <c r="V646" s="26">
        <f>SUM(I646,K646,M646)/3*0.3+SUM(G646,R646)/2*0.4</f>
        <v>66</v>
      </c>
      <c r="W646" s="27">
        <f>O646+T646</f>
        <v>7</v>
      </c>
      <c r="X646" s="28">
        <f>V646/0.7+W646</f>
        <v>101.28571428571429</v>
      </c>
      <c r="Y646" s="28">
        <f>X646</f>
        <v>101.28571428571429</v>
      </c>
      <c r="Z646" s="38"/>
    </row>
    <row r="647" spans="1:26" ht="15.6" customHeight="1" x14ac:dyDescent="0.25">
      <c r="A647" s="38">
        <v>43</v>
      </c>
      <c r="B647" s="17" t="s">
        <v>767</v>
      </c>
      <c r="C647" s="51" t="s">
        <v>816</v>
      </c>
      <c r="D647" s="49" t="s">
        <v>896</v>
      </c>
      <c r="E647" s="48" t="s">
        <v>65</v>
      </c>
      <c r="F647" s="38">
        <v>8.6300000000000008</v>
      </c>
      <c r="G647" s="32">
        <f>IF(B647="高三",IF($E647="男",LOOKUP(F647,[1]对照表!$G$3:$G$24,[1]对照表!$H$3:$H$24),LOOKUP(F647,[1]对照表!$G$27:$G$48,[1]对照表!$H$27:$H$48)),IF(B647="高二",IF($E647="男",LOOKUP(F647,[1]对照表!$F$3:$F$24,[1]对照表!$H$3:$H$24),LOOKUP(F647,[1]对照表!$F$27:$F$48,[1]对照表!$H$27:$H$48)),IF(B647="高一",IF($E647="男",LOOKUP(F647,[1]对照表!$E$3:$E$24,[1]对照表!$H$3:$H$24),LOOKUP(F647,[1]对照表!$E$27:$E$48,[1]对照表!$H$27:$H$48)))))</f>
        <v>78</v>
      </c>
      <c r="H647" s="38">
        <v>18.3</v>
      </c>
      <c r="I647" s="32">
        <f>IF(B647="高三",IF($E647="男",LOOKUP(H647,[1]对照表!$K$3:$K$24,[1]对照表!$L$3:$L$24),LOOKUP(H647,[1]对照表!$K$27:$K$48,[1]对照表!$L$27:$L$48)),IF(B647="高二",IF($E647="男",LOOKUP(H647,[1]对照表!$J$3:$J$24,[1]对照表!$L$3:$L$24),LOOKUP(H647,[1]对照表!$J$27:$J$48,[1]对照表!$L$27:$L$48)),IF(B647="高一",IF($E647="男",LOOKUP(H647,[1]对照表!$I$3:$I$24,[1]对照表!$L$3:$L$24),LOOKUP(H647,[1]对照表!$I$27:$I$48,[1]对照表!$L$27:$L$48)))))</f>
        <v>80</v>
      </c>
      <c r="J647" s="38">
        <v>191</v>
      </c>
      <c r="K647" s="32">
        <f>IF(B647="高三",IF($E647="男",LOOKUP(J647,[1]对照表!$O$3:$O$24,[1]对照表!$P$3:$P$24),LOOKUP(J647,[1]对照表!$O$27:$O$48,[1]对照表!$P$27:$P$48)),IF(B647="高二",IF($E647="男",LOOKUP(J647,[1]对照表!$N$3:$N$24,[1]对照表!$P$3:$P$24),LOOKUP(J647,[1]对照表!$N$27:$N$48,[1]对照表!$P$27:$P$48)),IF(B647="高一",IF($E647="男",LOOKUP(J647,[1]对照表!$M$3:$M$24,[1]对照表!$P$3:$P$24),LOOKUP(J647,[1]对照表!$M$27:$M$48,[1]对照表!$P$27:$P$48)))))</f>
        <v>85</v>
      </c>
      <c r="L647" s="38">
        <v>56</v>
      </c>
      <c r="M647" s="32">
        <f>IF(B647="高三",IF($E647="男",LOOKUP(L647,[1]对照表!$S$3:$S$24,[1]对照表!$T$3:$T$24),LOOKUP(L647,[1]对照表!$S$27:$S$48,[1]对照表!$T$27:$T$48)),IF(B647="高二",IF($E647="男",LOOKUP(L647,[1]对照表!$R$3:$R$24,[1]对照表!$T$3:$T$24),LOOKUP(L647,[1]对照表!$R$27:$R$48,[1]对照表!$T$27:$T$48)),IF(B647="高一",IF($E647="男",LOOKUP(L647,[1]对照表!$Q$3:$Q$24,[1]对照表!$T$3:$T$24),LOOKUP(L647,[1]对照表!$Q$27:$Q$48,[1]对照表!$T$27:$T$48)))))</f>
        <v>100</v>
      </c>
      <c r="N647" s="33">
        <f>IF(B647="高三",MAX(IF(E647="男",L647-18,L647-55),0),IF(B647="高二",MAX(IF(E647="男",L647-17,L647-54),0),IF(B647="高一",MAX(IF(E647="男",L647-16,L647-53),0))))</f>
        <v>2</v>
      </c>
      <c r="O647" s="23">
        <f>IF(E647="男",LOOKUP($N647,[1]对照表!$Z$3:$Z$13,[1]对照表!$AA$3:$AA$13),LOOKUP($N647,[1]对照表!$Z$15:$Z$25,[1]对照表!$AA$15:$AA$25))</f>
        <v>1</v>
      </c>
      <c r="P647" s="25">
        <f>M647+O647</f>
        <v>101</v>
      </c>
      <c r="Q647" s="38">
        <v>3.33</v>
      </c>
      <c r="R647" s="32">
        <f>IF(B647="高三",IF($E647="男",LOOKUP(Q647,[1]对照表!$W$3:$W$24,[1]对照表!$X$3:$X$24),LOOKUP(Q647,[1]对照表!$W$27:$W$48,[1]对照表!$X$27:$X$48)),IF(B647="高二",IF($E647="男",LOOKUP(Q647,[1]对照表!$V$3:$V$24,[1]对照表!$X$3:$X$24),LOOKUP(Q647,[1]对照表!$V$27:$V$48,[1]对照表!$X$27:$X$48)),IF(B647="高一",IF($E647="男",LOOKUP(Q647,[1]对照表!$U$3:$U$24,[1]对照表!$X$3:$X$24),LOOKUP(Q647,[1]对照表!$U$27:$U$48,[1]对照表!$X$27:$X$48)))))</f>
        <v>90</v>
      </c>
      <c r="S647" s="33">
        <f>ROUND(IF(IF($B647="高三",MIN(IF($E647="男",$Q647-3.2,$Q647-3.2),0),IF($B647="高二",MIN(IF($E647="男",$Q647-3.25,$Q647-3.22),0),IF($B647="高一",MIN(IF($E647="男",$Q647-3.3,$Q647-3.24),0))))&lt;-0.6,IF($B647="高三",MIN(IF($E647="男",$Q647-3.2,$Q647-3.2),0),IF($B647="高二",MIN(IF($E647="男",$Q647-3.25,$Q647-3.22),0),IF($B647="高一",MIN(IF($E647="男",$Q647-3.3,$Q647-3.24),0))))+0.4,IF($B647="高三",MIN(IF($E647="男",$Q647-3.2,$Q647-3.2),0),IF($B647="高二",MIN(IF($E647="男",$Q647-3.25,$Q647-3.22),0),IF($B647="高一",MIN(IF($E647="男",$Q647-3.3,$Q647-3.24),0))))),2)</f>
        <v>0</v>
      </c>
      <c r="T647" s="23">
        <f>IF(E647="男",LOOKUP($S647,[1]对照表!$AB$3:$AB$13,[1]对照表!$AC$3:$AC$13),LOOKUP($S647,[1]对照表!$AB$15:$AB$25,[1]对照表!$AC$15:$AC$25))</f>
        <v>0</v>
      </c>
      <c r="U647" s="26">
        <f>R647+T647</f>
        <v>90</v>
      </c>
      <c r="V647" s="26">
        <f>SUM(I647,K647,M647)/3*0.3+SUM(G647,R647)/2*0.4</f>
        <v>60.099999999999994</v>
      </c>
      <c r="W647" s="27">
        <f>O647+T647</f>
        <v>1</v>
      </c>
      <c r="X647" s="28">
        <f>V647/0.7+W647</f>
        <v>86.857142857142861</v>
      </c>
      <c r="Y647" s="28">
        <f>X647</f>
        <v>86.857142857142861</v>
      </c>
      <c r="Z647" s="38"/>
    </row>
    <row r="648" spans="1:26" ht="15.6" x14ac:dyDescent="0.25">
      <c r="A648" s="48">
        <v>14</v>
      </c>
      <c r="B648" s="17" t="s">
        <v>767</v>
      </c>
      <c r="C648" s="51" t="s">
        <v>816</v>
      </c>
      <c r="D648" s="49" t="s">
        <v>943</v>
      </c>
      <c r="E648" s="55" t="s">
        <v>23</v>
      </c>
      <c r="F648" s="52">
        <v>7.3</v>
      </c>
      <c r="G648" s="32">
        <f>IF(B648="高三",IF($E648="男",LOOKUP(F648,[1]对照表!$G$3:$G$24,[1]对照表!$H$3:$H$24),LOOKUP(F648,[1]对照表!$G$27:$G$48,[1]对照表!$H$27:$H$48)),IF(B648="高二",IF($E648="男",LOOKUP(F648,[1]对照表!$F$3:$F$24,[1]对照表!$H$3:$H$24),LOOKUP(F648,[1]对照表!$F$27:$F$48,[1]对照表!$H$27:$H$48)),IF(B648="高一",IF($E648="男",LOOKUP(F648,[1]对照表!$E$3:$E$24,[1]对照表!$H$3:$H$24),LOOKUP(F648,[1]对照表!$E$27:$E$48,[1]对照表!$H$27:$H$48)))))</f>
        <v>85</v>
      </c>
      <c r="H648" s="52">
        <v>17</v>
      </c>
      <c r="I648" s="32">
        <f>IF(B648="高三",IF($E648="男",LOOKUP(H648,[1]对照表!$K$3:$K$24,[1]对照表!$L$3:$L$24),LOOKUP(H648,[1]对照表!$K$27:$K$48,[1]对照表!$L$27:$L$48)),IF(B648="高二",IF($E648="男",LOOKUP(H648,[1]对照表!$J$3:$J$24,[1]对照表!$L$3:$L$24),LOOKUP(H648,[1]对照表!$J$27:$J$48,[1]对照表!$L$27:$L$48)),IF(B648="高一",IF($E648="男",LOOKUP(H648,[1]对照表!$I$3:$I$24,[1]对照表!$L$3:$L$24),LOOKUP(H648,[1]对照表!$I$27:$I$48,[1]对照表!$L$27:$L$48)))))</f>
        <v>80</v>
      </c>
      <c r="J648" s="52">
        <v>256</v>
      </c>
      <c r="K648" s="32">
        <f>IF(B648="高三",IF($E648="男",LOOKUP(J648,[1]对照表!$O$3:$O$24,[1]对照表!$P$3:$P$24),LOOKUP(J648,[1]对照表!$O$27:$O$48,[1]对照表!$P$27:$P$48)),IF(B648="高二",IF($E648="男",LOOKUP(J648,[1]对照表!$N$3:$N$24,[1]对照表!$P$3:$P$24),LOOKUP(J648,[1]对照表!$N$27:$N$48,[1]对照表!$P$27:$P$48)),IF(B648="高一",IF($E648="男",LOOKUP(J648,[1]对照表!$M$3:$M$24,[1]对照表!$P$3:$P$24),LOOKUP(J648,[1]对照表!$M$27:$M$48,[1]对照表!$P$27:$P$48)))))</f>
        <v>90</v>
      </c>
      <c r="L648" s="52">
        <v>18</v>
      </c>
      <c r="M648" s="32">
        <f>IF(B648="高三",IF($E648="男",LOOKUP(L648,[1]对照表!$S$3:$S$24,[1]对照表!$T$3:$T$24),LOOKUP(L648,[1]对照表!$S$27:$S$48,[1]对照表!$T$27:$T$48)),IF(B648="高二",IF($E648="男",LOOKUP(L648,[1]对照表!$R$3:$R$24,[1]对照表!$T$3:$T$24),LOOKUP(L648,[1]对照表!$R$27:$R$48,[1]对照表!$T$27:$T$48)),IF(B648="高一",IF($E648="男",LOOKUP(L648,[1]对照表!$Q$3:$Q$24,[1]对照表!$T$3:$T$24),LOOKUP(L648,[1]对照表!$Q$27:$Q$48,[1]对照表!$T$27:$T$48)))))</f>
        <v>100</v>
      </c>
      <c r="N648" s="33">
        <f>IF(B648="高三",MAX(IF(E648="男",L648-18,L648-55),0),IF(B648="高二",MAX(IF(E648="男",L648-17,L648-54),0),IF(B648="高一",MAX(IF(E648="男",L648-16,L648-53),0))))</f>
        <v>1</v>
      </c>
      <c r="O648" s="23">
        <f>IF(E648="男",LOOKUP($N648,[1]对照表!$Z$3:$Z$13,[1]对照表!$AA$3:$AA$13),LOOKUP($N648,[1]对照表!$Z$15:$Z$25,[1]对照表!$AA$15:$AA$25))</f>
        <v>1</v>
      </c>
      <c r="P648" s="25">
        <f>M648+O648</f>
        <v>101</v>
      </c>
      <c r="Q648" s="52">
        <v>3.17</v>
      </c>
      <c r="R648" s="32">
        <f>IF(B648="高三",IF($E648="男",LOOKUP(Q648,[1]对照表!$W$3:$W$24,[1]对照表!$X$3:$X$24),LOOKUP(Q648,[1]对照表!$W$27:$W$48,[1]对照表!$X$27:$X$48)),IF(B648="高二",IF($E648="男",LOOKUP(Q648,[1]对照表!$V$3:$V$24,[1]对照表!$X$3:$X$24),LOOKUP(Q648,[1]对照表!$V$27:$V$48,[1]对照表!$X$27:$X$48)),IF(B648="高一",IF($E648="男",LOOKUP(Q648,[1]对照表!$U$3:$U$24,[1]对照表!$X$3:$X$24),LOOKUP(Q648,[1]对照表!$U$27:$U$48,[1]对照表!$X$27:$X$48)))))</f>
        <v>100</v>
      </c>
      <c r="S648" s="33">
        <f>ROUND(IF(IF($B648="高三",MIN(IF($E648="男",$Q648-3.2,$Q648-3.2),0),IF($B648="高二",MIN(IF($E648="男",$Q648-3.25,$Q648-3.22),0),IF($B648="高一",MIN(IF($E648="男",$Q648-3.3,$Q648-3.24),0))))&lt;-0.6,IF($B648="高三",MIN(IF($E648="男",$Q648-3.2,$Q648-3.2),0),IF($B648="高二",MIN(IF($E648="男",$Q648-3.25,$Q648-3.22),0),IF($B648="高一",MIN(IF($E648="男",$Q648-3.3,$Q648-3.24),0))))+0.4,IF($B648="高三",MIN(IF($E648="男",$Q648-3.2,$Q648-3.2),0),IF($B648="高二",MIN(IF($E648="男",$Q648-3.25,$Q648-3.22),0),IF($B648="高一",MIN(IF($E648="男",$Q648-3.3,$Q648-3.24),0))))),2)</f>
        <v>-0.08</v>
      </c>
      <c r="T648" s="23">
        <f>IF(E648="男",LOOKUP($S648,[1]对照表!$AB$3:$AB$13,[1]对照表!$AC$3:$AC$13),LOOKUP($S648,[1]对照表!$AB$15:$AB$25,[1]对照表!$AC$15:$AC$25))</f>
        <v>2</v>
      </c>
      <c r="U648" s="26">
        <f>R648+T648</f>
        <v>102</v>
      </c>
      <c r="V648" s="26">
        <f>SUM(I648,K648,M648)/3*0.3+SUM(G648,R648)/2*0.4</f>
        <v>64</v>
      </c>
      <c r="W648" s="27">
        <f>O648+T648</f>
        <v>3</v>
      </c>
      <c r="X648" s="28">
        <f>V648/0.7+W648</f>
        <v>94.428571428571431</v>
      </c>
      <c r="Y648" s="28">
        <f>X648</f>
        <v>94.428571428571431</v>
      </c>
      <c r="Z648" s="52"/>
    </row>
    <row r="649" spans="1:26" ht="15.6" x14ac:dyDescent="0.25">
      <c r="A649" s="48">
        <v>30</v>
      </c>
      <c r="B649" s="17" t="s">
        <v>767</v>
      </c>
      <c r="C649" s="51" t="s">
        <v>816</v>
      </c>
      <c r="D649" s="49" t="s">
        <v>951</v>
      </c>
      <c r="E649" s="48" t="s">
        <v>65</v>
      </c>
      <c r="F649" s="38">
        <v>9.1</v>
      </c>
      <c r="G649" s="32">
        <f>IF(B649="高三",IF($E649="男",LOOKUP(F649,[1]对照表!$G$3:$G$24,[1]对照表!$H$3:$H$24),LOOKUP(F649,[1]对照表!$G$27:$G$48,[1]对照表!$H$27:$H$48)),IF(B649="高二",IF($E649="男",LOOKUP(F649,[1]对照表!$F$3:$F$24,[1]对照表!$H$3:$H$24),LOOKUP(F649,[1]对照表!$F$27:$F$48,[1]对照表!$H$27:$H$48)),IF(B649="高一",IF($E649="男",LOOKUP(F649,[1]对照表!$E$3:$E$24,[1]对照表!$H$3:$H$24),LOOKUP(F649,[1]对照表!$E$27:$E$48,[1]对照表!$H$27:$H$48)))))</f>
        <v>74</v>
      </c>
      <c r="H649" s="38">
        <v>26</v>
      </c>
      <c r="I649" s="32">
        <f>IF(B649="高三",IF($E649="男",LOOKUP(H649,[1]对照表!$K$3:$K$24,[1]对照表!$L$3:$L$24),LOOKUP(H649,[1]对照表!$K$27:$K$48,[1]对照表!$L$27:$L$48)),IF(B649="高二",IF($E649="男",LOOKUP(H649,[1]对照表!$J$3:$J$24,[1]对照表!$L$3:$L$24),LOOKUP(H649,[1]对照表!$J$27:$J$48,[1]对照表!$L$27:$L$48)),IF(B649="高一",IF($E649="男",LOOKUP(H649,[1]对照表!$I$3:$I$24,[1]对照表!$L$3:$L$24),LOOKUP(H649,[1]对照表!$I$27:$I$48,[1]对照表!$L$27:$L$48)))))</f>
        <v>100</v>
      </c>
      <c r="J649" s="38">
        <v>171</v>
      </c>
      <c r="K649" s="32">
        <f>IF(B649="高三",IF($E649="男",LOOKUP(J649,[1]对照表!$O$3:$O$24,[1]对照表!$P$3:$P$24),LOOKUP(J649,[1]对照表!$O$27:$O$48,[1]对照表!$P$27:$P$48)),IF(B649="高二",IF($E649="男",LOOKUP(J649,[1]对照表!$N$3:$N$24,[1]对照表!$P$3:$P$24),LOOKUP(J649,[1]对照表!$N$27:$N$48,[1]对照表!$P$27:$P$48)),IF(B649="高一",IF($E649="男",LOOKUP(J649,[1]对照表!$M$3:$M$24,[1]对照表!$P$3:$P$24),LOOKUP(J649,[1]对照表!$M$27:$M$48,[1]对照表!$P$27:$P$48)))))</f>
        <v>74</v>
      </c>
      <c r="L649" s="38">
        <v>55</v>
      </c>
      <c r="M649" s="32">
        <f>IF(B649="高三",IF($E649="男",LOOKUP(L649,[1]对照表!$S$3:$S$24,[1]对照表!$T$3:$T$24),LOOKUP(L649,[1]对照表!$S$27:$S$48,[1]对照表!$T$27:$T$48)),IF(B649="高二",IF($E649="男",LOOKUP(L649,[1]对照表!$R$3:$R$24,[1]对照表!$T$3:$T$24),LOOKUP(L649,[1]对照表!$R$27:$R$48,[1]对照表!$T$27:$T$48)),IF(B649="高一",IF($E649="男",LOOKUP(L649,[1]对照表!$Q$3:$Q$24,[1]对照表!$T$3:$T$24),LOOKUP(L649,[1]对照表!$Q$27:$Q$48,[1]对照表!$T$27:$T$48)))))</f>
        <v>100</v>
      </c>
      <c r="N649" s="33">
        <f>IF(B649="高三",MAX(IF(E649="男",L649-18,L649-55),0),IF(B649="高二",MAX(IF(E649="男",L649-17,L649-54),0),IF(B649="高一",MAX(IF(E649="男",L649-16,L649-53),0))))</f>
        <v>1</v>
      </c>
      <c r="O649" s="23">
        <f>IF(E649="男",LOOKUP($N649,[1]对照表!$Z$3:$Z$13,[1]对照表!$AA$3:$AA$13),LOOKUP($N649,[1]对照表!$Z$15:$Z$25,[1]对照表!$AA$15:$AA$25))</f>
        <v>0</v>
      </c>
      <c r="P649" s="25">
        <f>M649+O649</f>
        <v>100</v>
      </c>
      <c r="Q649" s="38">
        <v>3.35</v>
      </c>
      <c r="R649" s="32">
        <f>IF(B649="高三",IF($E649="男",LOOKUP(Q649,[1]对照表!$W$3:$W$24,[1]对照表!$X$3:$X$24),LOOKUP(Q649,[1]对照表!$W$27:$W$48,[1]对照表!$X$27:$X$48)),IF(B649="高二",IF($E649="男",LOOKUP(Q649,[1]对照表!$V$3:$V$24,[1]对照表!$X$3:$X$24),LOOKUP(Q649,[1]对照表!$V$27:$V$48,[1]对照表!$X$27:$X$48)),IF(B649="高一",IF($E649="男",LOOKUP(Q649,[1]对照表!$U$3:$U$24,[1]对照表!$X$3:$X$24),LOOKUP(Q649,[1]对照表!$U$27:$U$48,[1]对照表!$X$27:$X$48)))))</f>
        <v>85</v>
      </c>
      <c r="S649" s="33">
        <f>ROUND(IF(IF($B649="高三",MIN(IF($E649="男",$Q649-3.2,$Q649-3.2),0),IF($B649="高二",MIN(IF($E649="男",$Q649-3.25,$Q649-3.22),0),IF($B649="高一",MIN(IF($E649="男",$Q649-3.3,$Q649-3.24),0))))&lt;-0.6,IF($B649="高三",MIN(IF($E649="男",$Q649-3.2,$Q649-3.2),0),IF($B649="高二",MIN(IF($E649="男",$Q649-3.25,$Q649-3.22),0),IF($B649="高一",MIN(IF($E649="男",$Q649-3.3,$Q649-3.24),0))))+0.4,IF($B649="高三",MIN(IF($E649="男",$Q649-3.2,$Q649-3.2),0),IF($B649="高二",MIN(IF($E649="男",$Q649-3.25,$Q649-3.22),0),IF($B649="高一",MIN(IF($E649="男",$Q649-3.3,$Q649-3.24),0))))),2)</f>
        <v>0</v>
      </c>
      <c r="T649" s="23">
        <f>IF(E649="男",LOOKUP($S649,[1]对照表!$AB$3:$AB$13,[1]对照表!$AC$3:$AC$13),LOOKUP($S649,[1]对照表!$AB$15:$AB$25,[1]对照表!$AC$15:$AC$25))</f>
        <v>0</v>
      </c>
      <c r="U649" s="26">
        <f>R649+T649</f>
        <v>85</v>
      </c>
      <c r="V649" s="26">
        <f>SUM(I649,K649,M649)/3*0.3+SUM(G649,R649)/2*0.4</f>
        <v>59.2</v>
      </c>
      <c r="W649" s="27">
        <f>O649+T649</f>
        <v>0</v>
      </c>
      <c r="X649" s="28">
        <f>V649/0.7+W649</f>
        <v>84.571428571428584</v>
      </c>
      <c r="Y649" s="28">
        <f>X649</f>
        <v>84.571428571428584</v>
      </c>
      <c r="Z649" s="38"/>
    </row>
    <row r="650" spans="1:26" ht="15.6" x14ac:dyDescent="0.25">
      <c r="A650" s="48">
        <v>17</v>
      </c>
      <c r="B650" s="17" t="s">
        <v>767</v>
      </c>
      <c r="C650" s="51" t="s">
        <v>816</v>
      </c>
      <c r="D650" s="49" t="s">
        <v>962</v>
      </c>
      <c r="E650" s="55" t="s">
        <v>23</v>
      </c>
      <c r="F650" s="38">
        <v>6.9</v>
      </c>
      <c r="G650" s="32">
        <f>IF(B650="高三",IF($E650="男",LOOKUP(F650,[1]对照表!$G$3:$G$24,[1]对照表!$H$3:$H$24),LOOKUP(F650,[1]对照表!$G$27:$G$48,[1]对照表!$H$27:$H$48)),IF(B650="高二",IF($E650="男",LOOKUP(F650,[1]对照表!$F$3:$F$24,[1]对照表!$H$3:$H$24),LOOKUP(F650,[1]对照表!$F$27:$F$48,[1]对照表!$H$27:$H$48)),IF(B650="高一",IF($E650="男",LOOKUP(F650,[1]对照表!$E$3:$E$24,[1]对照表!$H$3:$H$24),LOOKUP(F650,[1]对照表!$E$27:$E$48,[1]对照表!$H$27:$H$48)))))</f>
        <v>100</v>
      </c>
      <c r="H650" s="38">
        <v>20.5</v>
      </c>
      <c r="I650" s="32">
        <f>IF(B650="高三",IF($E650="男",LOOKUP(H650,[1]对照表!$K$3:$K$24,[1]对照表!$L$3:$L$24),LOOKUP(H650,[1]对照表!$K$27:$K$48,[1]对照表!$L$27:$L$48)),IF(B650="高二",IF($E650="男",LOOKUP(H650,[1]对照表!$J$3:$J$24,[1]对照表!$L$3:$L$24),LOOKUP(H650,[1]对照表!$J$27:$J$48,[1]对照表!$L$27:$L$48)),IF(B650="高一",IF($E650="男",LOOKUP(H650,[1]对照表!$I$3:$I$24,[1]对照表!$L$3:$L$24),LOOKUP(H650,[1]对照表!$I$27:$I$48,[1]对照表!$L$27:$L$48)))))</f>
        <v>90</v>
      </c>
      <c r="J650" s="38">
        <v>254</v>
      </c>
      <c r="K650" s="32">
        <f>IF(B650="高三",IF($E650="男",LOOKUP(J650,[1]对照表!$O$3:$O$24,[1]对照表!$P$3:$P$24),LOOKUP(J650,[1]对照表!$O$27:$O$48,[1]对照表!$P$27:$P$48)),IF(B650="高二",IF($E650="男",LOOKUP(J650,[1]对照表!$N$3:$N$24,[1]对照表!$P$3:$P$24),LOOKUP(J650,[1]对照表!$N$27:$N$48,[1]对照表!$P$27:$P$48)),IF(B650="高一",IF($E650="男",LOOKUP(J650,[1]对照表!$M$3:$M$24,[1]对照表!$P$3:$P$24),LOOKUP(J650,[1]对照表!$M$27:$M$48,[1]对照表!$P$27:$P$48)))))</f>
        <v>85</v>
      </c>
      <c r="L650" s="38">
        <v>14</v>
      </c>
      <c r="M650" s="32">
        <f>IF(B650="高三",IF($E650="男",LOOKUP(L650,[1]对照表!$S$3:$S$24,[1]对照表!$T$3:$T$24),LOOKUP(L650,[1]对照表!$S$27:$S$48,[1]对照表!$T$27:$T$48)),IF(B650="高二",IF($E650="男",LOOKUP(L650,[1]对照表!$R$3:$R$24,[1]对照表!$T$3:$T$24),LOOKUP(L650,[1]对照表!$R$27:$R$48,[1]对照表!$T$27:$T$48)),IF(B650="高一",IF($E650="男",LOOKUP(L650,[1]对照表!$Q$3:$Q$24,[1]对照表!$T$3:$T$24),LOOKUP(L650,[1]对照表!$Q$27:$Q$48,[1]对照表!$T$27:$T$48)))))</f>
        <v>85</v>
      </c>
      <c r="N650" s="33">
        <f>IF(B650="高三",MAX(IF(E650="男",L650-18,L650-55),0),IF(B650="高二",MAX(IF(E650="男",L650-17,L650-54),0),IF(B650="高一",MAX(IF(E650="男",L650-16,L650-53),0))))</f>
        <v>0</v>
      </c>
      <c r="O650" s="23">
        <f>IF(E650="男",LOOKUP($N650,[1]对照表!$Z$3:$Z$13,[1]对照表!$AA$3:$AA$13),LOOKUP($N650,[1]对照表!$Z$15:$Z$25,[1]对照表!$AA$15:$AA$25))</f>
        <v>0</v>
      </c>
      <c r="P650" s="25">
        <f>M650+O650</f>
        <v>85</v>
      </c>
      <c r="Q650" s="38">
        <v>3.28</v>
      </c>
      <c r="R650" s="32">
        <f>IF(B650="高三",IF($E650="男",LOOKUP(Q650,[1]对照表!$W$3:$W$24,[1]对照表!$X$3:$X$24),LOOKUP(Q650,[1]对照表!$W$27:$W$48,[1]对照表!$X$27:$X$48)),IF(B650="高二",IF($E650="男",LOOKUP(Q650,[1]对照表!$V$3:$V$24,[1]对照表!$X$3:$X$24),LOOKUP(Q650,[1]对照表!$V$27:$V$48,[1]对照表!$X$27:$X$48)),IF(B650="高一",IF($E650="男",LOOKUP(Q650,[1]对照表!$U$3:$U$24,[1]对照表!$X$3:$X$24),LOOKUP(Q650,[1]对照表!$U$27:$U$48,[1]对照表!$X$27:$X$48)))))</f>
        <v>95</v>
      </c>
      <c r="S650" s="33">
        <f>ROUND(IF(IF($B650="高三",MIN(IF($E650="男",$Q650-3.2,$Q650-3.2),0),IF($B650="高二",MIN(IF($E650="男",$Q650-3.25,$Q650-3.22),0),IF($B650="高一",MIN(IF($E650="男",$Q650-3.3,$Q650-3.24),0))))&lt;-0.6,IF($B650="高三",MIN(IF($E650="男",$Q650-3.2,$Q650-3.2),0),IF($B650="高二",MIN(IF($E650="男",$Q650-3.25,$Q650-3.22),0),IF($B650="高一",MIN(IF($E650="男",$Q650-3.3,$Q650-3.24),0))))+0.4,IF($B650="高三",MIN(IF($E650="男",$Q650-3.2,$Q650-3.2),0),IF($B650="高二",MIN(IF($E650="男",$Q650-3.25,$Q650-3.22),0),IF($B650="高一",MIN(IF($E650="男",$Q650-3.3,$Q650-3.24),0))))),2)</f>
        <v>0</v>
      </c>
      <c r="T650" s="23">
        <f>IF(E650="男",LOOKUP($S650,[1]对照表!$AB$3:$AB$13,[1]对照表!$AC$3:$AC$13),LOOKUP($S650,[1]对照表!$AB$15:$AB$25,[1]对照表!$AC$15:$AC$25))</f>
        <v>0</v>
      </c>
      <c r="U650" s="26">
        <f>R650+T650</f>
        <v>95</v>
      </c>
      <c r="V650" s="26">
        <f>SUM(I650,K650,M650)/3*0.3+SUM(G650,R650)/2*0.4</f>
        <v>65</v>
      </c>
      <c r="W650" s="27">
        <f>O650+T650</f>
        <v>0</v>
      </c>
      <c r="X650" s="28">
        <f>V650/0.7+W650</f>
        <v>92.857142857142861</v>
      </c>
      <c r="Y650" s="28">
        <f>X650</f>
        <v>92.857142857142861</v>
      </c>
      <c r="Z650" s="38"/>
    </row>
    <row r="651" spans="1:26" ht="15.6" x14ac:dyDescent="0.25">
      <c r="A651" s="48">
        <v>26</v>
      </c>
      <c r="B651" s="17" t="s">
        <v>767</v>
      </c>
      <c r="C651" s="51" t="s">
        <v>816</v>
      </c>
      <c r="D651" s="49" t="s">
        <v>1008</v>
      </c>
      <c r="E651" s="48" t="s">
        <v>65</v>
      </c>
      <c r="F651" s="38">
        <v>8.89</v>
      </c>
      <c r="G651" s="32">
        <f>IF(B651="高三",IF($E651="男",LOOKUP(F651,[1]对照表!$G$3:$G$24,[1]对照表!$H$3:$H$24),LOOKUP(F651,[1]对照表!$G$27:$G$48,[1]对照表!$H$27:$H$48)),IF(B651="高二",IF($E651="男",LOOKUP(F651,[1]对照表!$F$3:$F$24,[1]对照表!$H$3:$H$24),LOOKUP(F651,[1]对照表!$F$27:$F$48,[1]对照表!$H$27:$H$48)),IF(B651="高一",IF($E651="男",LOOKUP(F651,[1]对照表!$E$3:$E$24,[1]对照表!$H$3:$H$24),LOOKUP(F651,[1]对照表!$E$27:$E$48,[1]对照表!$H$27:$H$48)))))</f>
        <v>76</v>
      </c>
      <c r="H651" s="38">
        <v>24</v>
      </c>
      <c r="I651" s="32">
        <f>IF(B651="高三",IF($E651="男",LOOKUP(H651,[1]对照表!$K$3:$K$24,[1]对照表!$L$3:$L$24),LOOKUP(H651,[1]对照表!$K$27:$K$48,[1]对照表!$L$27:$L$48)),IF(B651="高二",IF($E651="男",LOOKUP(H651,[1]对照表!$J$3:$J$24,[1]对照表!$L$3:$L$24),LOOKUP(H651,[1]对照表!$J$27:$J$48,[1]对照表!$L$27:$L$48)),IF(B651="高一",IF($E651="男",LOOKUP(H651,[1]对照表!$I$3:$I$24,[1]对照表!$L$3:$L$24),LOOKUP(H651,[1]对照表!$I$27:$I$48,[1]对照表!$L$27:$L$48)))))</f>
        <v>95</v>
      </c>
      <c r="J651" s="38">
        <v>180</v>
      </c>
      <c r="K651" s="32">
        <f>IF(B651="高三",IF($E651="男",LOOKUP(J651,[1]对照表!$O$3:$O$24,[1]对照表!$P$3:$P$24),LOOKUP(J651,[1]对照表!$O$27:$O$48,[1]对照表!$P$27:$P$48)),IF(B651="高二",IF($E651="男",LOOKUP(J651,[1]对照表!$N$3:$N$24,[1]对照表!$P$3:$P$24),LOOKUP(J651,[1]对照表!$N$27:$N$48,[1]对照表!$P$27:$P$48)),IF(B651="高一",IF($E651="男",LOOKUP(J651,[1]对照表!$M$3:$M$24,[1]对照表!$P$3:$P$24),LOOKUP(J651,[1]对照表!$M$27:$M$48,[1]对照表!$P$27:$P$48)))))</f>
        <v>80</v>
      </c>
      <c r="L651" s="38">
        <v>55</v>
      </c>
      <c r="M651" s="32">
        <f>IF(B651="高三",IF($E651="男",LOOKUP(L651,[1]对照表!$S$3:$S$24,[1]对照表!$T$3:$T$24),LOOKUP(L651,[1]对照表!$S$27:$S$48,[1]对照表!$T$27:$T$48)),IF(B651="高二",IF($E651="男",LOOKUP(L651,[1]对照表!$R$3:$R$24,[1]对照表!$T$3:$T$24),LOOKUP(L651,[1]对照表!$R$27:$R$48,[1]对照表!$T$27:$T$48)),IF(B651="高一",IF($E651="男",LOOKUP(L651,[1]对照表!$Q$3:$Q$24,[1]对照表!$T$3:$T$24),LOOKUP(L651,[1]对照表!$Q$27:$Q$48,[1]对照表!$T$27:$T$48)))))</f>
        <v>100</v>
      </c>
      <c r="N651" s="33">
        <f>IF(B651="高三",MAX(IF(E651="男",L651-18,L651-55),0),IF(B651="高二",MAX(IF(E651="男",L651-17,L651-54),0),IF(B651="高一",MAX(IF(E651="男",L651-16,L651-53),0))))</f>
        <v>1</v>
      </c>
      <c r="O651" s="23">
        <f>IF(E651="男",LOOKUP($N651,[1]对照表!$Z$3:$Z$13,[1]对照表!$AA$3:$AA$13),LOOKUP($N651,[1]对照表!$Z$15:$Z$25,[1]对照表!$AA$15:$AA$25))</f>
        <v>0</v>
      </c>
      <c r="P651" s="25">
        <f>M651+O651</f>
        <v>100</v>
      </c>
      <c r="Q651" s="38">
        <v>3.54</v>
      </c>
      <c r="R651" s="32">
        <f>IF(B651="高三",IF($E651="男",LOOKUP(Q651,[1]对照表!$W$3:$W$24,[1]对照表!$X$3:$X$24),LOOKUP(Q651,[1]对照表!$W$27:$W$48,[1]对照表!$X$27:$X$48)),IF(B651="高二",IF($E651="男",LOOKUP(Q651,[1]对照表!$V$3:$V$24,[1]对照表!$X$3:$X$24),LOOKUP(Q651,[1]对照表!$V$27:$V$48,[1]对照表!$X$27:$X$48)),IF(B651="高一",IF($E651="男",LOOKUP(Q651,[1]对照表!$U$3:$U$24,[1]对照表!$X$3:$X$24),LOOKUP(Q651,[1]对照表!$U$27:$U$48,[1]对照表!$X$27:$X$48)))))</f>
        <v>76</v>
      </c>
      <c r="S651" s="33">
        <f>ROUND(IF(IF($B651="高三",MIN(IF($E651="男",$Q651-3.2,$Q651-3.2),0),IF($B651="高二",MIN(IF($E651="男",$Q651-3.25,$Q651-3.22),0),IF($B651="高一",MIN(IF($E651="男",$Q651-3.3,$Q651-3.24),0))))&lt;-0.6,IF($B651="高三",MIN(IF($E651="男",$Q651-3.2,$Q651-3.2),0),IF($B651="高二",MIN(IF($E651="男",$Q651-3.25,$Q651-3.22),0),IF($B651="高一",MIN(IF($E651="男",$Q651-3.3,$Q651-3.24),0))))+0.4,IF($B651="高三",MIN(IF($E651="男",$Q651-3.2,$Q651-3.2),0),IF($B651="高二",MIN(IF($E651="男",$Q651-3.25,$Q651-3.22),0),IF($B651="高一",MIN(IF($E651="男",$Q651-3.3,$Q651-3.24),0))))),2)</f>
        <v>0</v>
      </c>
      <c r="T651" s="23">
        <f>IF(E651="男",LOOKUP($S651,[1]对照表!$AB$3:$AB$13,[1]对照表!$AC$3:$AC$13),LOOKUP($S651,[1]对照表!$AB$15:$AB$25,[1]对照表!$AC$15:$AC$25))</f>
        <v>0</v>
      </c>
      <c r="U651" s="26">
        <f>R651+T651</f>
        <v>76</v>
      </c>
      <c r="V651" s="26">
        <f>SUM(I651,K651,M651)/3*0.3+SUM(G651,R651)/2*0.4</f>
        <v>57.900000000000006</v>
      </c>
      <c r="W651" s="27">
        <f>O651+T651</f>
        <v>0</v>
      </c>
      <c r="X651" s="28">
        <f>V651/0.7+W651</f>
        <v>82.714285714285722</v>
      </c>
      <c r="Y651" s="28">
        <f>X651</f>
        <v>82.714285714285722</v>
      </c>
      <c r="Z651" s="38"/>
    </row>
    <row r="652" spans="1:26" ht="15.6" x14ac:dyDescent="0.25">
      <c r="A652" s="48">
        <v>19</v>
      </c>
      <c r="B652" s="17" t="s">
        <v>767</v>
      </c>
      <c r="C652" s="51" t="s">
        <v>816</v>
      </c>
      <c r="D652" s="49" t="s">
        <v>1019</v>
      </c>
      <c r="E652" s="55" t="s">
        <v>23</v>
      </c>
      <c r="F652" s="38">
        <v>7.3</v>
      </c>
      <c r="G652" s="32">
        <f>IF(B652="高三",IF($E652="男",LOOKUP(F652,[1]对照表!$G$3:$G$24,[1]对照表!$H$3:$H$24),LOOKUP(F652,[1]对照表!$G$27:$G$48,[1]对照表!$H$27:$H$48)),IF(B652="高二",IF($E652="男",LOOKUP(F652,[1]对照表!$F$3:$F$24,[1]对照表!$H$3:$H$24),LOOKUP(F652,[1]对照表!$F$27:$F$48,[1]对照表!$H$27:$H$48)),IF(B652="高一",IF($E652="男",LOOKUP(F652,[1]对照表!$E$3:$E$24,[1]对照表!$H$3:$H$24),LOOKUP(F652,[1]对照表!$E$27:$E$48,[1]对照表!$H$27:$H$48)))))</f>
        <v>85</v>
      </c>
      <c r="H652" s="38">
        <v>27</v>
      </c>
      <c r="I652" s="32">
        <f>IF(B652="高三",IF($E652="男",LOOKUP(H652,[1]对照表!$K$3:$K$24,[1]对照表!$L$3:$L$24),LOOKUP(H652,[1]对照表!$K$27:$K$48,[1]对照表!$L$27:$L$48)),IF(B652="高二",IF($E652="男",LOOKUP(H652,[1]对照表!$J$3:$J$24,[1]对照表!$L$3:$L$24),LOOKUP(H652,[1]对照表!$J$27:$J$48,[1]对照表!$L$27:$L$48)),IF(B652="高一",IF($E652="男",LOOKUP(H652,[1]对照表!$I$3:$I$24,[1]对照表!$L$3:$L$24),LOOKUP(H652,[1]对照表!$I$27:$I$48,[1]对照表!$L$27:$L$48)))))</f>
        <v>100</v>
      </c>
      <c r="J652" s="38">
        <v>248</v>
      </c>
      <c r="K652" s="32">
        <f>IF(B652="高三",IF($E652="男",LOOKUP(J652,[1]对照表!$O$3:$O$24,[1]对照表!$P$3:$P$24),LOOKUP(J652,[1]对照表!$O$27:$O$48,[1]对照表!$P$27:$P$48)),IF(B652="高二",IF($E652="男",LOOKUP(J652,[1]对照表!$N$3:$N$24,[1]对照表!$P$3:$P$24),LOOKUP(J652,[1]对照表!$N$27:$N$48,[1]对照表!$P$27:$P$48)),IF(B652="高一",IF($E652="男",LOOKUP(J652,[1]对照表!$M$3:$M$24,[1]对照表!$P$3:$P$24),LOOKUP(J652,[1]对照表!$M$27:$M$48,[1]对照表!$P$27:$P$48)))))</f>
        <v>85</v>
      </c>
      <c r="L652" s="38">
        <v>17</v>
      </c>
      <c r="M652" s="32">
        <f>IF(B652="高三",IF($E652="男",LOOKUP(L652,[1]对照表!$S$3:$S$24,[1]对照表!$T$3:$T$24),LOOKUP(L652,[1]对照表!$S$27:$S$48,[1]对照表!$T$27:$T$48)),IF(B652="高二",IF($E652="男",LOOKUP(L652,[1]对照表!$R$3:$R$24,[1]对照表!$T$3:$T$24),LOOKUP(L652,[1]对照表!$R$27:$R$48,[1]对照表!$T$27:$T$48)),IF(B652="高一",IF($E652="男",LOOKUP(L652,[1]对照表!$Q$3:$Q$24,[1]对照表!$T$3:$T$24),LOOKUP(L652,[1]对照表!$Q$27:$Q$48,[1]对照表!$T$27:$T$48)))))</f>
        <v>100</v>
      </c>
      <c r="N652" s="33">
        <f>IF(B652="高三",MAX(IF(E652="男",L652-18,L652-55),0),IF(B652="高二",MAX(IF(E652="男",L652-17,L652-54),0),IF(B652="高一",MAX(IF(E652="男",L652-16,L652-53),0))))</f>
        <v>0</v>
      </c>
      <c r="O652" s="23">
        <f>IF(E652="男",LOOKUP($N652,[1]对照表!$Z$3:$Z$13,[1]对照表!$AA$3:$AA$13),LOOKUP($N652,[1]对照表!$Z$15:$Z$25,[1]对照表!$AA$15:$AA$25))</f>
        <v>0</v>
      </c>
      <c r="P652" s="25">
        <f>M652+O652</f>
        <v>100</v>
      </c>
      <c r="Q652" s="38">
        <v>3.42</v>
      </c>
      <c r="R652" s="32">
        <f>IF(B652="高三",IF($E652="男",LOOKUP(Q652,[1]对照表!$W$3:$W$24,[1]对照表!$X$3:$X$24),LOOKUP(Q652,[1]对照表!$W$27:$W$48,[1]对照表!$X$27:$X$48)),IF(B652="高二",IF($E652="男",LOOKUP(Q652,[1]对照表!$V$3:$V$24,[1]对照表!$X$3:$X$24),LOOKUP(Q652,[1]对照表!$V$27:$V$48,[1]对照表!$X$27:$X$48)),IF(B652="高一",IF($E652="男",LOOKUP(Q652,[1]对照表!$U$3:$U$24,[1]对照表!$X$3:$X$24),LOOKUP(Q652,[1]对照表!$U$27:$U$48,[1]对照表!$X$27:$X$48)))))</f>
        <v>85</v>
      </c>
      <c r="S652" s="33">
        <f>ROUND(IF(IF($B652="高三",MIN(IF($E652="男",$Q652-3.2,$Q652-3.2),0),IF($B652="高二",MIN(IF($E652="男",$Q652-3.25,$Q652-3.22),0),IF($B652="高一",MIN(IF($E652="男",$Q652-3.3,$Q652-3.24),0))))&lt;-0.6,IF($B652="高三",MIN(IF($E652="男",$Q652-3.2,$Q652-3.2),0),IF($B652="高二",MIN(IF($E652="男",$Q652-3.25,$Q652-3.22),0),IF($B652="高一",MIN(IF($E652="男",$Q652-3.3,$Q652-3.24),0))))+0.4,IF($B652="高三",MIN(IF($E652="男",$Q652-3.2,$Q652-3.2),0),IF($B652="高二",MIN(IF($E652="男",$Q652-3.25,$Q652-3.22),0),IF($B652="高一",MIN(IF($E652="男",$Q652-3.3,$Q652-3.24),0))))),2)</f>
        <v>0</v>
      </c>
      <c r="T652" s="23">
        <f>IF(E652="男",LOOKUP($S652,[1]对照表!$AB$3:$AB$13,[1]对照表!$AC$3:$AC$13),LOOKUP($S652,[1]对照表!$AB$15:$AB$25,[1]对照表!$AC$15:$AC$25))</f>
        <v>0</v>
      </c>
      <c r="U652" s="26">
        <f>R652+T652</f>
        <v>85</v>
      </c>
      <c r="V652" s="26">
        <f>SUM(I652,K652,M652)/3*0.3+SUM(G652,R652)/2*0.4</f>
        <v>62.5</v>
      </c>
      <c r="W652" s="27">
        <f>O652+T652</f>
        <v>0</v>
      </c>
      <c r="X652" s="28">
        <f>V652/0.7+W652</f>
        <v>89.285714285714292</v>
      </c>
      <c r="Y652" s="28">
        <f>X652</f>
        <v>89.285714285714292</v>
      </c>
      <c r="Z652" s="38"/>
    </row>
    <row r="653" spans="1:26" ht="15.6" customHeight="1" x14ac:dyDescent="0.15">
      <c r="A653" s="52">
        <v>6</v>
      </c>
      <c r="B653" s="17" t="s">
        <v>767</v>
      </c>
      <c r="C653" s="51" t="s">
        <v>816</v>
      </c>
      <c r="D653" s="49" t="s">
        <v>1045</v>
      </c>
      <c r="E653" s="55" t="s">
        <v>23</v>
      </c>
      <c r="F653" s="50">
        <v>6.9</v>
      </c>
      <c r="G653" s="32">
        <f>IF(B653="高三",IF($E653="男",LOOKUP(F653,[1]对照表!$G$3:$G$24,[1]对照表!$H$3:$H$24),LOOKUP(F653,[1]对照表!$G$27:$G$48,[1]对照表!$H$27:$H$48)),IF(B653="高二",IF($E653="男",LOOKUP(F653,[1]对照表!$F$3:$F$24,[1]对照表!$H$3:$H$24),LOOKUP(F653,[1]对照表!$F$27:$F$48,[1]对照表!$H$27:$H$48)),IF(B653="高一",IF($E653="男",LOOKUP(F653,[1]对照表!$E$3:$E$24,[1]对照表!$H$3:$H$24),LOOKUP(F653,[1]对照表!$E$27:$E$48,[1]对照表!$H$27:$H$48)))))</f>
        <v>100</v>
      </c>
      <c r="H653" s="38">
        <v>16</v>
      </c>
      <c r="I653" s="32">
        <f>IF(B653="高三",IF($E653="男",LOOKUP(H653,[1]对照表!$K$3:$K$24,[1]对照表!$L$3:$L$24),LOOKUP(H653,[1]对照表!$K$27:$K$48,[1]对照表!$L$27:$L$48)),IF(B653="高二",IF($E653="男",LOOKUP(H653,[1]对照表!$J$3:$J$24,[1]对照表!$L$3:$L$24),LOOKUP(H653,[1]对照表!$J$27:$J$48,[1]对照表!$L$27:$L$48)),IF(B653="高一",IF($E653="男",LOOKUP(H653,[1]对照表!$I$3:$I$24,[1]对照表!$L$3:$L$24),LOOKUP(H653,[1]对照表!$I$27:$I$48,[1]对照表!$L$27:$L$48)))))</f>
        <v>78</v>
      </c>
      <c r="J653" s="38">
        <v>250</v>
      </c>
      <c r="K653" s="32">
        <f>IF(B653="高三",IF($E653="男",LOOKUP(J653,[1]对照表!$O$3:$O$24,[1]对照表!$P$3:$P$24),LOOKUP(J653,[1]对照表!$O$27:$O$48,[1]对照表!$P$27:$P$48)),IF(B653="高二",IF($E653="男",LOOKUP(J653,[1]对照表!$N$3:$N$24,[1]对照表!$P$3:$P$24),LOOKUP(J653,[1]对照表!$N$27:$N$48,[1]对照表!$P$27:$P$48)),IF(B653="高一",IF($E653="男",LOOKUP(J653,[1]对照表!$M$3:$M$24,[1]对照表!$P$3:$P$24),LOOKUP(J653,[1]对照表!$M$27:$M$48,[1]对照表!$P$27:$P$48)))))</f>
        <v>85</v>
      </c>
      <c r="L653" s="38">
        <v>11</v>
      </c>
      <c r="M653" s="32">
        <f>IF(B653="高三",IF($E653="男",LOOKUP(L653,[1]对照表!$S$3:$S$24,[1]对照表!$T$3:$T$24),LOOKUP(L653,[1]对照表!$S$27:$S$48,[1]对照表!$T$27:$T$48)),IF(B653="高二",IF($E653="男",LOOKUP(L653,[1]对照表!$R$3:$R$24,[1]对照表!$T$3:$T$24),LOOKUP(L653,[1]对照表!$R$27:$R$48,[1]对照表!$T$27:$T$48)),IF(B653="高一",IF($E653="男",LOOKUP(L653,[1]对照表!$Q$3:$Q$24,[1]对照表!$T$3:$T$24),LOOKUP(L653,[1]对照表!$Q$27:$Q$48,[1]对照表!$T$27:$T$48)))))</f>
        <v>72</v>
      </c>
      <c r="N653" s="33">
        <f>IF(B653="高三",MAX(IF(E653="男",L653-18,L653-55),0),IF(B653="高二",MAX(IF(E653="男",L653-17,L653-54),0),IF(B653="高一",MAX(IF(E653="男",L653-16,L653-53),0))))</f>
        <v>0</v>
      </c>
      <c r="O653" s="23">
        <f>IF(E653="男",LOOKUP($N653,[1]对照表!$Z$3:$Z$13,[1]对照表!$AA$3:$AA$13),LOOKUP($N653,[1]对照表!$Z$15:$Z$25,[1]对照表!$AA$15:$AA$25))</f>
        <v>0</v>
      </c>
      <c r="P653" s="25">
        <f>M653+O653</f>
        <v>72</v>
      </c>
      <c r="Q653" s="50">
        <v>3.33</v>
      </c>
      <c r="R653" s="32">
        <f>IF(B653="高三",IF($E653="男",LOOKUP(Q653,[1]对照表!$W$3:$W$24,[1]对照表!$X$3:$X$24),LOOKUP(Q653,[1]对照表!$W$27:$W$48,[1]对照表!$X$27:$X$48)),IF(B653="高二",IF($E653="男",LOOKUP(Q653,[1]对照表!$V$3:$V$24,[1]对照表!$X$3:$X$24),LOOKUP(Q653,[1]对照表!$V$27:$V$48,[1]对照表!$X$27:$X$48)),IF(B653="高一",IF($E653="男",LOOKUP(Q653,[1]对照表!$U$3:$U$24,[1]对照表!$X$3:$X$24),LOOKUP(Q653,[1]对照表!$U$27:$U$48,[1]对照表!$X$27:$X$48)))))</f>
        <v>90</v>
      </c>
      <c r="S653" s="33">
        <f>ROUND(IF(IF($B653="高三",MIN(IF($E653="男",$Q653-3.2,$Q653-3.2),0),IF($B653="高二",MIN(IF($E653="男",$Q653-3.25,$Q653-3.22),0),IF($B653="高一",MIN(IF($E653="男",$Q653-3.3,$Q653-3.24),0))))&lt;-0.6,IF($B653="高三",MIN(IF($E653="男",$Q653-3.2,$Q653-3.2),0),IF($B653="高二",MIN(IF($E653="男",$Q653-3.25,$Q653-3.22),0),IF($B653="高一",MIN(IF($E653="男",$Q653-3.3,$Q653-3.24),0))))+0.4,IF($B653="高三",MIN(IF($E653="男",$Q653-3.2,$Q653-3.2),0),IF($B653="高二",MIN(IF($E653="男",$Q653-3.25,$Q653-3.22),0),IF($B653="高一",MIN(IF($E653="男",$Q653-3.3,$Q653-3.24),0))))),2)</f>
        <v>0</v>
      </c>
      <c r="T653" s="23">
        <f>IF(E653="男",LOOKUP($S653,[1]对照表!$AB$3:$AB$13,[1]对照表!$AC$3:$AC$13),LOOKUP($S653,[1]对照表!$AB$15:$AB$25,[1]对照表!$AC$15:$AC$25))</f>
        <v>0</v>
      </c>
      <c r="U653" s="26">
        <f>R653+T653</f>
        <v>90</v>
      </c>
      <c r="V653" s="26">
        <f>SUM(I653,K653,M653)/3*0.3+SUM(G653,R653)/2*0.4</f>
        <v>61.5</v>
      </c>
      <c r="W653" s="27">
        <f>O653+T653</f>
        <v>0</v>
      </c>
      <c r="X653" s="28">
        <f>V653/0.7+W653</f>
        <v>87.857142857142861</v>
      </c>
      <c r="Y653" s="28">
        <f>X653</f>
        <v>87.857142857142861</v>
      </c>
      <c r="Z653" s="38"/>
    </row>
    <row r="654" spans="1:26" ht="15.6" x14ac:dyDescent="0.25">
      <c r="A654" s="48">
        <v>29</v>
      </c>
      <c r="B654" s="17" t="s">
        <v>767</v>
      </c>
      <c r="C654" s="51" t="s">
        <v>816</v>
      </c>
      <c r="D654" s="49" t="s">
        <v>1052</v>
      </c>
      <c r="E654" s="48" t="s">
        <v>65</v>
      </c>
      <c r="F654" s="38">
        <v>8.6999999999999993</v>
      </c>
      <c r="G654" s="32">
        <f>IF(B654="高三",IF($E654="男",LOOKUP(F654,[1]对照表!$G$3:$G$24,[1]对照表!$H$3:$H$24),LOOKUP(F654,[1]对照表!$G$27:$G$48,[1]对照表!$H$27:$H$48)),IF(B654="高二",IF($E654="男",LOOKUP(F654,[1]对照表!$F$3:$F$24,[1]对照表!$H$3:$H$24),LOOKUP(F654,[1]对照表!$F$27:$F$48,[1]对照表!$H$27:$H$48)),IF(B654="高一",IF($E654="男",LOOKUP(F654,[1]对照表!$E$3:$E$24,[1]对照表!$H$3:$H$24),LOOKUP(F654,[1]对照表!$E$27:$E$48,[1]对照表!$H$27:$H$48)))))</f>
        <v>78</v>
      </c>
      <c r="H654" s="38">
        <v>15</v>
      </c>
      <c r="I654" s="32">
        <f>IF(B654="高三",IF($E654="男",LOOKUP(H654,[1]对照表!$K$3:$K$24,[1]对照表!$L$3:$L$24),LOOKUP(H654,[1]对照表!$K$27:$K$48,[1]对照表!$L$27:$L$48)),IF(B654="高二",IF($E654="男",LOOKUP(H654,[1]对照表!$J$3:$J$24,[1]对照表!$L$3:$L$24),LOOKUP(H654,[1]对照表!$J$27:$J$48,[1]对照表!$L$27:$L$48)),IF(B654="高一",IF($E654="男",LOOKUP(H654,[1]对照表!$I$3:$I$24,[1]对照表!$L$3:$L$24),LOOKUP(H654,[1]对照表!$I$27:$I$48,[1]对照表!$L$27:$L$48)))))</f>
        <v>74</v>
      </c>
      <c r="J654" s="38">
        <v>175</v>
      </c>
      <c r="K654" s="32">
        <f>IF(B654="高三",IF($E654="男",LOOKUP(J654,[1]对照表!$O$3:$O$24,[1]对照表!$P$3:$P$24),LOOKUP(J654,[1]对照表!$O$27:$O$48,[1]对照表!$P$27:$P$48)),IF(B654="高二",IF($E654="男",LOOKUP(J654,[1]对照表!$N$3:$N$24,[1]对照表!$P$3:$P$24),LOOKUP(J654,[1]对照表!$N$27:$N$48,[1]对照表!$P$27:$P$48)),IF(B654="高一",IF($E654="男",LOOKUP(J654,[1]对照表!$M$3:$M$24,[1]对照表!$P$3:$P$24),LOOKUP(J654,[1]对照表!$M$27:$M$48,[1]对照表!$P$27:$P$48)))))</f>
        <v>76</v>
      </c>
      <c r="L654" s="38">
        <v>55</v>
      </c>
      <c r="M654" s="32">
        <f>IF(B654="高三",IF($E654="男",LOOKUP(L654,[1]对照表!$S$3:$S$24,[1]对照表!$T$3:$T$24),LOOKUP(L654,[1]对照表!$S$27:$S$48,[1]对照表!$T$27:$T$48)),IF(B654="高二",IF($E654="男",LOOKUP(L654,[1]对照表!$R$3:$R$24,[1]对照表!$T$3:$T$24),LOOKUP(L654,[1]对照表!$R$27:$R$48,[1]对照表!$T$27:$T$48)),IF(B654="高一",IF($E654="男",LOOKUP(L654,[1]对照表!$Q$3:$Q$24,[1]对照表!$T$3:$T$24),LOOKUP(L654,[1]对照表!$Q$27:$Q$48,[1]对照表!$T$27:$T$48)))))</f>
        <v>100</v>
      </c>
      <c r="N654" s="33">
        <f>IF(B654="高三",MAX(IF(E654="男",L654-18,L654-55),0),IF(B654="高二",MAX(IF(E654="男",L654-17,L654-54),0),IF(B654="高一",MAX(IF(E654="男",L654-16,L654-53),0))))</f>
        <v>1</v>
      </c>
      <c r="O654" s="23">
        <f>IF(E654="男",LOOKUP($N654,[1]对照表!$Z$3:$Z$13,[1]对照表!$AA$3:$AA$13),LOOKUP($N654,[1]对照表!$Z$15:$Z$25,[1]对照表!$AA$15:$AA$25))</f>
        <v>0</v>
      </c>
      <c r="P654" s="25">
        <f>M654+O654</f>
        <v>100</v>
      </c>
      <c r="Q654" s="38">
        <v>3.43</v>
      </c>
      <c r="R654" s="32">
        <f>IF(B654="高三",IF($E654="男",LOOKUP(Q654,[1]对照表!$W$3:$W$24,[1]对照表!$X$3:$X$24),LOOKUP(Q654,[1]对照表!$W$27:$W$48,[1]对照表!$X$27:$X$48)),IF(B654="高二",IF($E654="男",LOOKUP(Q654,[1]对照表!$V$3:$V$24,[1]对照表!$X$3:$X$24),LOOKUP(Q654,[1]对照表!$V$27:$V$48,[1]对照表!$X$27:$X$48)),IF(B654="高一",IF($E654="男",LOOKUP(Q654,[1]对照表!$U$3:$U$24,[1]对照表!$X$3:$X$24),LOOKUP(Q654,[1]对照表!$U$27:$U$48,[1]对照表!$X$27:$X$48)))))</f>
        <v>80</v>
      </c>
      <c r="S654" s="33">
        <f>ROUND(IF(IF($B654="高三",MIN(IF($E654="男",$Q654-3.2,$Q654-3.2),0),IF($B654="高二",MIN(IF($E654="男",$Q654-3.25,$Q654-3.22),0),IF($B654="高一",MIN(IF($E654="男",$Q654-3.3,$Q654-3.24),0))))&lt;-0.6,IF($B654="高三",MIN(IF($E654="男",$Q654-3.2,$Q654-3.2),0),IF($B654="高二",MIN(IF($E654="男",$Q654-3.25,$Q654-3.22),0),IF($B654="高一",MIN(IF($E654="男",$Q654-3.3,$Q654-3.24),0))))+0.4,IF($B654="高三",MIN(IF($E654="男",$Q654-3.2,$Q654-3.2),0),IF($B654="高二",MIN(IF($E654="男",$Q654-3.25,$Q654-3.22),0),IF($B654="高一",MIN(IF($E654="男",$Q654-3.3,$Q654-3.24),0))))),2)</f>
        <v>0</v>
      </c>
      <c r="T654" s="23">
        <f>IF(E654="男",LOOKUP($S654,[1]对照表!$AB$3:$AB$13,[1]对照表!$AC$3:$AC$13),LOOKUP($S654,[1]对照表!$AB$15:$AB$25,[1]对照表!$AC$15:$AC$25))</f>
        <v>0</v>
      </c>
      <c r="U654" s="26">
        <f>R654+T654</f>
        <v>80</v>
      </c>
      <c r="V654" s="26">
        <f>SUM(I654,K654,M654)/3*0.3+SUM(G654,R654)/2*0.4</f>
        <v>56.599999999999994</v>
      </c>
      <c r="W654" s="27">
        <f>O654+T654</f>
        <v>0</v>
      </c>
      <c r="X654" s="28">
        <f>V654/0.7+W654</f>
        <v>80.857142857142861</v>
      </c>
      <c r="Y654" s="28">
        <f>X654</f>
        <v>80.857142857142861</v>
      </c>
      <c r="Z654" s="38"/>
    </row>
    <row r="655" spans="1:26" ht="15.6" customHeight="1" x14ac:dyDescent="0.15">
      <c r="A655" s="52">
        <v>4</v>
      </c>
      <c r="B655" s="17" t="s">
        <v>767</v>
      </c>
      <c r="C655" s="51" t="s">
        <v>816</v>
      </c>
      <c r="D655" s="49" t="s">
        <v>1054</v>
      </c>
      <c r="E655" s="55" t="s">
        <v>23</v>
      </c>
      <c r="F655" s="50">
        <v>7.3</v>
      </c>
      <c r="G655" s="32">
        <f>IF(B655="高三",IF($E655="男",LOOKUP(F655,[1]对照表!$G$3:$G$24,[1]对照表!$H$3:$H$24),LOOKUP(F655,[1]对照表!$G$27:$G$48,[1]对照表!$H$27:$H$48)),IF(B655="高二",IF($E655="男",LOOKUP(F655,[1]对照表!$F$3:$F$24,[1]对照表!$H$3:$H$24),LOOKUP(F655,[1]对照表!$F$27:$F$48,[1]对照表!$H$27:$H$48)),IF(B655="高一",IF($E655="男",LOOKUP(F655,[1]对照表!$E$3:$E$24,[1]对照表!$H$3:$H$24),LOOKUP(F655,[1]对照表!$E$27:$E$48,[1]对照表!$H$27:$H$48)))))</f>
        <v>85</v>
      </c>
      <c r="H655" s="38">
        <v>13.7</v>
      </c>
      <c r="I655" s="32">
        <f>IF(B655="高三",IF($E655="男",LOOKUP(H655,[1]对照表!$K$3:$K$24,[1]对照表!$L$3:$L$24),LOOKUP(H655,[1]对照表!$K$27:$K$48,[1]对照表!$L$27:$L$48)),IF(B655="高二",IF($E655="男",LOOKUP(H655,[1]对照表!$J$3:$J$24,[1]对照表!$L$3:$L$24),LOOKUP(H655,[1]对照表!$J$27:$J$48,[1]对照表!$L$27:$L$48)),IF(B655="高一",IF($E655="男",LOOKUP(H655,[1]对照表!$I$3:$I$24,[1]对照表!$L$3:$L$24),LOOKUP(H655,[1]对照表!$I$27:$I$48,[1]对照表!$L$27:$L$48)))))</f>
        <v>76</v>
      </c>
      <c r="J655" s="38">
        <v>260</v>
      </c>
      <c r="K655" s="32">
        <f>IF(B655="高三",IF($E655="男",LOOKUP(J655,[1]对照表!$O$3:$O$24,[1]对照表!$P$3:$P$24),LOOKUP(J655,[1]对照表!$O$27:$O$48,[1]对照表!$P$27:$P$48)),IF(B655="高二",IF($E655="男",LOOKUP(J655,[1]对照表!$N$3:$N$24,[1]对照表!$P$3:$P$24),LOOKUP(J655,[1]对照表!$N$27:$N$48,[1]对照表!$P$27:$P$48)),IF(B655="高一",IF($E655="男",LOOKUP(J655,[1]对照表!$M$3:$M$24,[1]对照表!$P$3:$P$24),LOOKUP(J655,[1]对照表!$M$27:$M$48,[1]对照表!$P$27:$P$48)))))</f>
        <v>95</v>
      </c>
      <c r="L655" s="38">
        <v>17</v>
      </c>
      <c r="M655" s="32">
        <f>IF(B655="高三",IF($E655="男",LOOKUP(L655,[1]对照表!$S$3:$S$24,[1]对照表!$T$3:$T$24),LOOKUP(L655,[1]对照表!$S$27:$S$48,[1]对照表!$T$27:$T$48)),IF(B655="高二",IF($E655="男",LOOKUP(L655,[1]对照表!$R$3:$R$24,[1]对照表!$T$3:$T$24),LOOKUP(L655,[1]对照表!$R$27:$R$48,[1]对照表!$T$27:$T$48)),IF(B655="高一",IF($E655="男",LOOKUP(L655,[1]对照表!$Q$3:$Q$24,[1]对照表!$T$3:$T$24),LOOKUP(L655,[1]对照表!$Q$27:$Q$48,[1]对照表!$T$27:$T$48)))))</f>
        <v>100</v>
      </c>
      <c r="N655" s="33">
        <f>IF(B655="高三",MAX(IF(E655="男",L655-18,L655-55),0),IF(B655="高二",MAX(IF(E655="男",L655-17,L655-54),0),IF(B655="高一",MAX(IF(E655="男",L655-16,L655-53),0))))</f>
        <v>0</v>
      </c>
      <c r="O655" s="23">
        <f>IF(E655="男",LOOKUP($N655,[1]对照表!$Z$3:$Z$13,[1]对照表!$AA$3:$AA$13),LOOKUP($N655,[1]对照表!$Z$15:$Z$25,[1]对照表!$AA$15:$AA$25))</f>
        <v>0</v>
      </c>
      <c r="P655" s="25">
        <f>M655+O655</f>
        <v>100</v>
      </c>
      <c r="Q655" s="50">
        <v>3.39</v>
      </c>
      <c r="R655" s="32">
        <f>IF(B655="高三",IF($E655="男",LOOKUP(Q655,[1]对照表!$W$3:$W$24,[1]对照表!$X$3:$X$24),LOOKUP(Q655,[1]对照表!$W$27:$W$48,[1]对照表!$X$27:$X$48)),IF(B655="高二",IF($E655="男",LOOKUP(Q655,[1]对照表!$V$3:$V$24,[1]对照表!$X$3:$X$24),LOOKUP(Q655,[1]对照表!$V$27:$V$48,[1]对照表!$X$27:$X$48)),IF(B655="高一",IF($E655="男",LOOKUP(Q655,[1]对照表!$U$3:$U$24,[1]对照表!$X$3:$X$24),LOOKUP(Q655,[1]对照表!$U$27:$U$48,[1]对照表!$X$27:$X$48)))))</f>
        <v>85</v>
      </c>
      <c r="S655" s="33">
        <f>ROUND(IF(IF($B655="高三",MIN(IF($E655="男",$Q655-3.2,$Q655-3.2),0),IF($B655="高二",MIN(IF($E655="男",$Q655-3.25,$Q655-3.22),0),IF($B655="高一",MIN(IF($E655="男",$Q655-3.3,$Q655-3.24),0))))&lt;-0.6,IF($B655="高三",MIN(IF($E655="男",$Q655-3.2,$Q655-3.2),0),IF($B655="高二",MIN(IF($E655="男",$Q655-3.25,$Q655-3.22),0),IF($B655="高一",MIN(IF($E655="男",$Q655-3.3,$Q655-3.24),0))))+0.4,IF($B655="高三",MIN(IF($E655="男",$Q655-3.2,$Q655-3.2),0),IF($B655="高二",MIN(IF($E655="男",$Q655-3.25,$Q655-3.22),0),IF($B655="高一",MIN(IF($E655="男",$Q655-3.3,$Q655-3.24),0))))),2)</f>
        <v>0</v>
      </c>
      <c r="T655" s="23">
        <f>IF(E655="男",LOOKUP($S655,[1]对照表!$AB$3:$AB$13,[1]对照表!$AC$3:$AC$13),LOOKUP($S655,[1]对照表!$AB$15:$AB$25,[1]对照表!$AC$15:$AC$25))</f>
        <v>0</v>
      </c>
      <c r="U655" s="26">
        <f>R655+T655</f>
        <v>85</v>
      </c>
      <c r="V655" s="26">
        <f>SUM(I655,K655,M655)/3*0.3+SUM(G655,R655)/2*0.4</f>
        <v>61.099999999999994</v>
      </c>
      <c r="W655" s="27">
        <f>O655+T655</f>
        <v>0</v>
      </c>
      <c r="X655" s="28">
        <f>V655/0.7+W655</f>
        <v>87.285714285714278</v>
      </c>
      <c r="Y655" s="28">
        <f>X655</f>
        <v>87.285714285714278</v>
      </c>
      <c r="Z655" s="38"/>
    </row>
    <row r="656" spans="1:26" ht="15.6" x14ac:dyDescent="0.25">
      <c r="A656" s="48">
        <v>23</v>
      </c>
      <c r="B656" s="17" t="s">
        <v>767</v>
      </c>
      <c r="C656" s="51" t="s">
        <v>816</v>
      </c>
      <c r="D656" s="49" t="s">
        <v>1066</v>
      </c>
      <c r="E656" s="55" t="s">
        <v>23</v>
      </c>
      <c r="F656" s="38">
        <v>6.8</v>
      </c>
      <c r="G656" s="32">
        <f>IF(B656="高三",IF($E656="男",LOOKUP(F656,[1]对照表!$G$3:$G$24,[1]对照表!$H$3:$H$24),LOOKUP(F656,[1]对照表!$G$27:$G$48,[1]对照表!$H$27:$H$48)),IF(B656="高二",IF($E656="男",LOOKUP(F656,[1]对照表!$F$3:$F$24,[1]对照表!$H$3:$H$24),LOOKUP(F656,[1]对照表!$F$27:$F$48,[1]对照表!$H$27:$H$48)),IF(B656="高一",IF($E656="男",LOOKUP(F656,[1]对照表!$E$3:$E$24,[1]对照表!$H$3:$H$24),LOOKUP(F656,[1]对照表!$E$27:$E$48,[1]对照表!$H$27:$H$48)))))</f>
        <v>100</v>
      </c>
      <c r="H656" s="38">
        <v>14.2</v>
      </c>
      <c r="I656" s="32">
        <f>IF(B656="高三",IF($E656="男",LOOKUP(H656,[1]对照表!$K$3:$K$24,[1]对照表!$L$3:$L$24),LOOKUP(H656,[1]对照表!$K$27:$K$48,[1]对照表!$L$27:$L$48)),IF(B656="高二",IF($E656="男",LOOKUP(H656,[1]对照表!$J$3:$J$24,[1]对照表!$L$3:$L$24),LOOKUP(H656,[1]对照表!$J$27:$J$48,[1]对照表!$L$27:$L$48)),IF(B656="高一",IF($E656="男",LOOKUP(H656,[1]对照表!$I$3:$I$24,[1]对照表!$L$3:$L$24),LOOKUP(H656,[1]对照表!$I$27:$I$48,[1]对照表!$L$27:$L$48)))))</f>
        <v>76</v>
      </c>
      <c r="J656" s="38">
        <v>240</v>
      </c>
      <c r="K656" s="32">
        <f>IF(B656="高三",IF($E656="男",LOOKUP(J656,[1]对照表!$O$3:$O$24,[1]对照表!$P$3:$P$24),LOOKUP(J656,[1]对照表!$O$27:$O$48,[1]对照表!$P$27:$P$48)),IF(B656="高二",IF($E656="男",LOOKUP(J656,[1]对照表!$N$3:$N$24,[1]对照表!$P$3:$P$24),LOOKUP(J656,[1]对照表!$N$27:$N$48,[1]对照表!$P$27:$P$48)),IF(B656="高一",IF($E656="男",LOOKUP(J656,[1]对照表!$M$3:$M$24,[1]对照表!$P$3:$P$24),LOOKUP(J656,[1]对照表!$M$27:$M$48,[1]对照表!$P$27:$P$48)))))</f>
        <v>80</v>
      </c>
      <c r="L656" s="38">
        <v>17</v>
      </c>
      <c r="M656" s="32">
        <f>IF(B656="高三",IF($E656="男",LOOKUP(L656,[1]对照表!$S$3:$S$24,[1]对照表!$T$3:$T$24),LOOKUP(L656,[1]对照表!$S$27:$S$48,[1]对照表!$T$27:$T$48)),IF(B656="高二",IF($E656="男",LOOKUP(L656,[1]对照表!$R$3:$R$24,[1]对照表!$T$3:$T$24),LOOKUP(L656,[1]对照表!$R$27:$R$48,[1]对照表!$T$27:$T$48)),IF(B656="高一",IF($E656="男",LOOKUP(L656,[1]对照表!$Q$3:$Q$24,[1]对照表!$T$3:$T$24),LOOKUP(L656,[1]对照表!$Q$27:$Q$48,[1]对照表!$T$27:$T$48)))))</f>
        <v>100</v>
      </c>
      <c r="N656" s="33">
        <f>IF(B656="高三",MAX(IF(E656="男",L656-18,L656-55),0),IF(B656="高二",MAX(IF(E656="男",L656-17,L656-54),0),IF(B656="高一",MAX(IF(E656="男",L656-16,L656-53),0))))</f>
        <v>0</v>
      </c>
      <c r="O656" s="23">
        <f>IF(E656="男",LOOKUP($N656,[1]对照表!$Z$3:$Z$13,[1]对照表!$AA$3:$AA$13),LOOKUP($N656,[1]对照表!$Z$15:$Z$25,[1]对照表!$AA$15:$AA$25))</f>
        <v>0</v>
      </c>
      <c r="P656" s="25">
        <f>M656+O656</f>
        <v>100</v>
      </c>
      <c r="Q656" s="38">
        <v>3.58</v>
      </c>
      <c r="R656" s="32">
        <f>IF(B656="高三",IF($E656="男",LOOKUP(Q656,[1]对照表!$W$3:$W$24,[1]对照表!$X$3:$X$24),LOOKUP(Q656,[1]对照表!$W$27:$W$48,[1]对照表!$X$27:$X$48)),IF(B656="高二",IF($E656="男",LOOKUP(Q656,[1]对照表!$V$3:$V$24,[1]对照表!$X$3:$X$24),LOOKUP(Q656,[1]对照表!$V$27:$V$48,[1]对照表!$X$27:$X$48)),IF(B656="高一",IF($E656="男",LOOKUP(Q656,[1]对照表!$U$3:$U$24,[1]对照表!$X$3:$X$24),LOOKUP(Q656,[1]对照表!$U$27:$U$48,[1]对照表!$X$27:$X$48)))))</f>
        <v>76</v>
      </c>
      <c r="S656" s="33">
        <f>ROUND(IF(IF($B656="高三",MIN(IF($E656="男",$Q656-3.2,$Q656-3.2),0),IF($B656="高二",MIN(IF($E656="男",$Q656-3.25,$Q656-3.22),0),IF($B656="高一",MIN(IF($E656="男",$Q656-3.3,$Q656-3.24),0))))&lt;-0.6,IF($B656="高三",MIN(IF($E656="男",$Q656-3.2,$Q656-3.2),0),IF($B656="高二",MIN(IF($E656="男",$Q656-3.25,$Q656-3.22),0),IF($B656="高一",MIN(IF($E656="男",$Q656-3.3,$Q656-3.24),0))))+0.4,IF($B656="高三",MIN(IF($E656="男",$Q656-3.2,$Q656-3.2),0),IF($B656="高二",MIN(IF($E656="男",$Q656-3.25,$Q656-3.22),0),IF($B656="高一",MIN(IF($E656="男",$Q656-3.3,$Q656-3.24),0))))),2)</f>
        <v>0</v>
      </c>
      <c r="T656" s="23">
        <f>IF(E656="男",LOOKUP($S656,[1]对照表!$AB$3:$AB$13,[1]对照表!$AC$3:$AC$13),LOOKUP($S656,[1]对照表!$AB$15:$AB$25,[1]对照表!$AC$15:$AC$25))</f>
        <v>0</v>
      </c>
      <c r="U656" s="26">
        <f>R656+T656</f>
        <v>76</v>
      </c>
      <c r="V656" s="26">
        <f>SUM(I656,K656,M656)/3*0.3+SUM(G656,R656)/2*0.4</f>
        <v>60.8</v>
      </c>
      <c r="W656" s="27">
        <f>O656+T656</f>
        <v>0</v>
      </c>
      <c r="X656" s="28">
        <f>V656/0.7+W656</f>
        <v>86.857142857142861</v>
      </c>
      <c r="Y656" s="28">
        <f>X656</f>
        <v>86.857142857142861</v>
      </c>
      <c r="Z656" s="38"/>
    </row>
    <row r="657" spans="1:26" ht="15.6" x14ac:dyDescent="0.25">
      <c r="A657" s="38">
        <v>45</v>
      </c>
      <c r="B657" s="17" t="s">
        <v>767</v>
      </c>
      <c r="C657" s="51" t="s">
        <v>816</v>
      </c>
      <c r="D657" s="49" t="s">
        <v>1068</v>
      </c>
      <c r="E657" s="48" t="s">
        <v>65</v>
      </c>
      <c r="F657" s="38">
        <v>9.02</v>
      </c>
      <c r="G657" s="32">
        <f>IF(B657="高三",IF($E657="男",LOOKUP(F657,[1]对照表!$G$3:$G$24,[1]对照表!$H$3:$H$24),LOOKUP(F657,[1]对照表!$G$27:$G$48,[1]对照表!$H$27:$H$48)),IF(B657="高二",IF($E657="男",LOOKUP(F657,[1]对照表!$F$3:$F$24,[1]对照表!$H$3:$H$24),LOOKUP(F657,[1]对照表!$F$27:$F$48,[1]对照表!$H$27:$H$48)),IF(B657="高一",IF($E657="男",LOOKUP(F657,[1]对照表!$E$3:$E$24,[1]对照表!$H$3:$H$24),LOOKUP(F657,[1]对照表!$E$27:$E$48,[1]对照表!$H$27:$H$48)))))</f>
        <v>74</v>
      </c>
      <c r="H657" s="38">
        <v>15.3</v>
      </c>
      <c r="I657" s="32">
        <f>IF(B657="高三",IF($E657="男",LOOKUP(H657,[1]对照表!$K$3:$K$24,[1]对照表!$L$3:$L$24),LOOKUP(H657,[1]对照表!$K$27:$K$48,[1]对照表!$L$27:$L$48)),IF(B657="高二",IF($E657="男",LOOKUP(H657,[1]对照表!$J$3:$J$24,[1]对照表!$L$3:$L$24),LOOKUP(H657,[1]对照表!$J$27:$J$48,[1]对照表!$L$27:$L$48)),IF(B657="高一",IF($E657="男",LOOKUP(H657,[1]对照表!$I$3:$I$24,[1]对照表!$L$3:$L$24),LOOKUP(H657,[1]对照表!$I$27:$I$48,[1]对照表!$L$27:$L$48)))))</f>
        <v>74</v>
      </c>
      <c r="J657" s="38">
        <v>171</v>
      </c>
      <c r="K657" s="32">
        <f>IF(B657="高三",IF($E657="男",LOOKUP(J657,[1]对照表!$O$3:$O$24,[1]对照表!$P$3:$P$24),LOOKUP(J657,[1]对照表!$O$27:$O$48,[1]对照表!$P$27:$P$48)),IF(B657="高二",IF($E657="男",LOOKUP(J657,[1]对照表!$N$3:$N$24,[1]对照表!$P$3:$P$24),LOOKUP(J657,[1]对照表!$N$27:$N$48,[1]对照表!$P$27:$P$48)),IF(B657="高一",IF($E657="男",LOOKUP(J657,[1]对照表!$M$3:$M$24,[1]对照表!$P$3:$P$24),LOOKUP(J657,[1]对照表!$M$27:$M$48,[1]对照表!$P$27:$P$48)))))</f>
        <v>74</v>
      </c>
      <c r="L657" s="38">
        <v>52</v>
      </c>
      <c r="M657" s="32">
        <f>IF(B657="高三",IF($E657="男",LOOKUP(L657,[1]对照表!$S$3:$S$24,[1]对照表!$T$3:$T$24),LOOKUP(L657,[1]对照表!$S$27:$S$48,[1]对照表!$T$27:$T$48)),IF(B657="高二",IF($E657="男",LOOKUP(L657,[1]对照表!$R$3:$R$24,[1]对照表!$T$3:$T$24),LOOKUP(L657,[1]对照表!$R$27:$R$48,[1]对照表!$T$27:$T$48)),IF(B657="高一",IF($E657="男",LOOKUP(L657,[1]对照表!$Q$3:$Q$24,[1]对照表!$T$3:$T$24),LOOKUP(L657,[1]对照表!$Q$27:$Q$48,[1]对照表!$T$27:$T$48)))))</f>
        <v>95</v>
      </c>
      <c r="N657" s="33">
        <f>IF(B657="高三",MAX(IF(E657="男",L657-18,L657-55),0),IF(B657="高二",MAX(IF(E657="男",L657-17,L657-54),0),IF(B657="高一",MAX(IF(E657="男",L657-16,L657-53),0))))</f>
        <v>0</v>
      </c>
      <c r="O657" s="23">
        <f>IF(E657="男",LOOKUP($N657,[1]对照表!$Z$3:$Z$13,[1]对照表!$AA$3:$AA$13),LOOKUP($N657,[1]对照表!$Z$15:$Z$25,[1]对照表!$AA$15:$AA$25))</f>
        <v>0</v>
      </c>
      <c r="P657" s="25">
        <f>M657+O657</f>
        <v>95</v>
      </c>
      <c r="Q657" s="38">
        <v>3.41</v>
      </c>
      <c r="R657" s="32">
        <f>IF(B657="高三",IF($E657="男",LOOKUP(Q657,[1]对照表!$W$3:$W$24,[1]对照表!$X$3:$X$24),LOOKUP(Q657,[1]对照表!$W$27:$W$48,[1]对照表!$X$27:$X$48)),IF(B657="高二",IF($E657="男",LOOKUP(Q657,[1]对照表!$V$3:$V$24,[1]对照表!$X$3:$X$24),LOOKUP(Q657,[1]对照表!$V$27:$V$48,[1]对照表!$X$27:$X$48)),IF(B657="高一",IF($E657="男",LOOKUP(Q657,[1]对照表!$U$3:$U$24,[1]对照表!$X$3:$X$24),LOOKUP(Q657,[1]对照表!$U$27:$U$48,[1]对照表!$X$27:$X$48)))))</f>
        <v>85</v>
      </c>
      <c r="S657" s="33">
        <f>ROUND(IF(IF($B657="高三",MIN(IF($E657="男",$Q657-3.2,$Q657-3.2),0),IF($B657="高二",MIN(IF($E657="男",$Q657-3.25,$Q657-3.22),0),IF($B657="高一",MIN(IF($E657="男",$Q657-3.3,$Q657-3.24),0))))&lt;-0.6,IF($B657="高三",MIN(IF($E657="男",$Q657-3.2,$Q657-3.2),0),IF($B657="高二",MIN(IF($E657="男",$Q657-3.25,$Q657-3.22),0),IF($B657="高一",MIN(IF($E657="男",$Q657-3.3,$Q657-3.24),0))))+0.4,IF($B657="高三",MIN(IF($E657="男",$Q657-3.2,$Q657-3.2),0),IF($B657="高二",MIN(IF($E657="男",$Q657-3.25,$Q657-3.22),0),IF($B657="高一",MIN(IF($E657="男",$Q657-3.3,$Q657-3.24),0))))),2)</f>
        <v>0</v>
      </c>
      <c r="T657" s="23">
        <f>IF(E657="男",LOOKUP($S657,[1]对照表!$AB$3:$AB$13,[1]对照表!$AC$3:$AC$13),LOOKUP($S657,[1]对照表!$AB$15:$AB$25,[1]对照表!$AC$15:$AC$25))</f>
        <v>0</v>
      </c>
      <c r="U657" s="26">
        <f>R657+T657</f>
        <v>85</v>
      </c>
      <c r="V657" s="26">
        <f>SUM(I657,K657,M657)/3*0.3+SUM(G657,R657)/2*0.4</f>
        <v>56.1</v>
      </c>
      <c r="W657" s="27">
        <f>O657+T657</f>
        <v>0</v>
      </c>
      <c r="X657" s="28">
        <f>V657/0.7+W657</f>
        <v>80.142857142857153</v>
      </c>
      <c r="Y657" s="28">
        <f>X657</f>
        <v>80.142857142857153</v>
      </c>
      <c r="Z657" s="38"/>
    </row>
    <row r="658" spans="1:26" ht="15.6" customHeight="1" x14ac:dyDescent="0.15">
      <c r="A658" s="52">
        <v>9</v>
      </c>
      <c r="B658" s="17" t="s">
        <v>767</v>
      </c>
      <c r="C658" s="51" t="s">
        <v>816</v>
      </c>
      <c r="D658" s="49" t="s">
        <v>1072</v>
      </c>
      <c r="E658" s="55" t="s">
        <v>23</v>
      </c>
      <c r="F658" s="50">
        <v>7.3</v>
      </c>
      <c r="G658" s="32">
        <f>IF(B658="高三",IF($E658="男",LOOKUP(F658,[1]对照表!$G$3:$G$24,[1]对照表!$H$3:$H$24),LOOKUP(F658,[1]对照表!$G$27:$G$48,[1]对照表!$H$27:$H$48)),IF(B658="高二",IF($E658="男",LOOKUP(F658,[1]对照表!$F$3:$F$24,[1]对照表!$H$3:$H$24),LOOKUP(F658,[1]对照表!$F$27:$F$48,[1]对照表!$H$27:$H$48)),IF(B658="高一",IF($E658="男",LOOKUP(F658,[1]对照表!$E$3:$E$24,[1]对照表!$H$3:$H$24),LOOKUP(F658,[1]对照表!$E$27:$E$48,[1]对照表!$H$27:$H$48)))))</f>
        <v>85</v>
      </c>
      <c r="H658" s="38">
        <v>6</v>
      </c>
      <c r="I658" s="32">
        <f>IF(B658="高三",IF($E658="男",LOOKUP(H658,[1]对照表!$K$3:$K$24,[1]对照表!$L$3:$L$24),LOOKUP(H658,[1]对照表!$K$27:$K$48,[1]对照表!$L$27:$L$48)),IF(B658="高二",IF($E658="男",LOOKUP(H658,[1]对照表!$J$3:$J$24,[1]对照表!$L$3:$L$24),LOOKUP(H658,[1]对照表!$J$27:$J$48,[1]对照表!$L$27:$L$48)),IF(B658="高一",IF($E658="男",LOOKUP(H658,[1]对照表!$I$3:$I$24,[1]对照表!$L$3:$L$24),LOOKUP(H658,[1]对照表!$I$27:$I$48,[1]对照表!$L$27:$L$48)))))</f>
        <v>64</v>
      </c>
      <c r="J658" s="38">
        <v>255</v>
      </c>
      <c r="K658" s="32">
        <f>IF(B658="高三",IF($E658="男",LOOKUP(J658,[1]对照表!$O$3:$O$24,[1]对照表!$P$3:$P$24),LOOKUP(J658,[1]对照表!$O$27:$O$48,[1]对照表!$P$27:$P$48)),IF(B658="高二",IF($E658="男",LOOKUP(J658,[1]对照表!$N$3:$N$24,[1]对照表!$P$3:$P$24),LOOKUP(J658,[1]对照表!$N$27:$N$48,[1]对照表!$P$27:$P$48)),IF(B658="高一",IF($E658="男",LOOKUP(J658,[1]对照表!$M$3:$M$24,[1]对照表!$P$3:$P$24),LOOKUP(J658,[1]对照表!$M$27:$M$48,[1]对照表!$P$27:$P$48)))))</f>
        <v>90</v>
      </c>
      <c r="L658" s="38">
        <v>17</v>
      </c>
      <c r="M658" s="32">
        <f>IF(B658="高三",IF($E658="男",LOOKUP(L658,[1]对照表!$S$3:$S$24,[1]对照表!$T$3:$T$24),LOOKUP(L658,[1]对照表!$S$27:$S$48,[1]对照表!$T$27:$T$48)),IF(B658="高二",IF($E658="男",LOOKUP(L658,[1]对照表!$R$3:$R$24,[1]对照表!$T$3:$T$24),LOOKUP(L658,[1]对照表!$R$27:$R$48,[1]对照表!$T$27:$T$48)),IF(B658="高一",IF($E658="男",LOOKUP(L658,[1]对照表!$Q$3:$Q$24,[1]对照表!$T$3:$T$24),LOOKUP(L658,[1]对照表!$Q$27:$Q$48,[1]对照表!$T$27:$T$48)))))</f>
        <v>100</v>
      </c>
      <c r="N658" s="33">
        <f>IF(B658="高三",MAX(IF(E658="男",L658-18,L658-55),0),IF(B658="高二",MAX(IF(E658="男",L658-17,L658-54),0),IF(B658="高一",MAX(IF(E658="男",L658-16,L658-53),0))))</f>
        <v>0</v>
      </c>
      <c r="O658" s="23">
        <f>IF(E658="男",LOOKUP($N658,[1]对照表!$Z$3:$Z$13,[1]对照表!$AA$3:$AA$13),LOOKUP($N658,[1]对照表!$Z$15:$Z$25,[1]对照表!$AA$15:$AA$25))</f>
        <v>0</v>
      </c>
      <c r="P658" s="25">
        <f>M658+O658</f>
        <v>100</v>
      </c>
      <c r="Q658" s="50">
        <v>3.34</v>
      </c>
      <c r="R658" s="32">
        <f>IF(B658="高三",IF($E658="男",LOOKUP(Q658,[1]对照表!$W$3:$W$24,[1]对照表!$X$3:$X$24),LOOKUP(Q658,[1]对照表!$W$27:$W$48,[1]对照表!$X$27:$X$48)),IF(B658="高二",IF($E658="男",LOOKUP(Q658,[1]对照表!$V$3:$V$24,[1]对照表!$X$3:$X$24),LOOKUP(Q658,[1]对照表!$V$27:$V$48,[1]对照表!$X$27:$X$48)),IF(B658="高一",IF($E658="男",LOOKUP(Q658,[1]对照表!$U$3:$U$24,[1]对照表!$X$3:$X$24),LOOKUP(Q658,[1]对照表!$U$27:$U$48,[1]对照表!$X$27:$X$48)))))</f>
        <v>90</v>
      </c>
      <c r="S658" s="33">
        <f>ROUND(IF(IF($B658="高三",MIN(IF($E658="男",$Q658-3.2,$Q658-3.2),0),IF($B658="高二",MIN(IF($E658="男",$Q658-3.25,$Q658-3.22),0),IF($B658="高一",MIN(IF($E658="男",$Q658-3.3,$Q658-3.24),0))))&lt;-0.6,IF($B658="高三",MIN(IF($E658="男",$Q658-3.2,$Q658-3.2),0),IF($B658="高二",MIN(IF($E658="男",$Q658-3.25,$Q658-3.22),0),IF($B658="高一",MIN(IF($E658="男",$Q658-3.3,$Q658-3.24),0))))+0.4,IF($B658="高三",MIN(IF($E658="男",$Q658-3.2,$Q658-3.2),0),IF($B658="高二",MIN(IF($E658="男",$Q658-3.25,$Q658-3.22),0),IF($B658="高一",MIN(IF($E658="男",$Q658-3.3,$Q658-3.24),0))))),2)</f>
        <v>0</v>
      </c>
      <c r="T658" s="23">
        <f>IF(E658="男",LOOKUP($S658,[1]对照表!$AB$3:$AB$13,[1]对照表!$AC$3:$AC$13),LOOKUP($S658,[1]对照表!$AB$15:$AB$25,[1]对照表!$AC$15:$AC$25))</f>
        <v>0</v>
      </c>
      <c r="U658" s="26">
        <f>R658+T658</f>
        <v>90</v>
      </c>
      <c r="V658" s="26">
        <f>SUM(I658,K658,M658)/3*0.3+SUM(G658,R658)/2*0.4</f>
        <v>60.400000000000006</v>
      </c>
      <c r="W658" s="27">
        <f>O658+T658</f>
        <v>0</v>
      </c>
      <c r="X658" s="28">
        <f>V658/0.7+W658</f>
        <v>86.285714285714306</v>
      </c>
      <c r="Y658" s="28">
        <f>X658</f>
        <v>86.285714285714306</v>
      </c>
      <c r="Z658" s="38"/>
    </row>
    <row r="659" spans="1:26" ht="15.6" x14ac:dyDescent="0.25">
      <c r="A659" s="38">
        <v>44</v>
      </c>
      <c r="B659" s="17" t="s">
        <v>767</v>
      </c>
      <c r="C659" s="51" t="s">
        <v>816</v>
      </c>
      <c r="D659" s="49" t="s">
        <v>1089</v>
      </c>
      <c r="E659" s="48" t="s">
        <v>65</v>
      </c>
      <c r="F659" s="38">
        <v>9.15</v>
      </c>
      <c r="G659" s="32">
        <f>IF(B659="高三",IF($E659="男",LOOKUP(F659,[1]对照表!$G$3:$G$24,[1]对照表!$H$3:$H$24),LOOKUP(F659,[1]对照表!$G$27:$G$48,[1]对照表!$H$27:$H$48)),IF(B659="高二",IF($E659="男",LOOKUP(F659,[1]对照表!$F$3:$F$24,[1]对照表!$H$3:$H$24),LOOKUP(F659,[1]对照表!$F$27:$F$48,[1]对照表!$H$27:$H$48)),IF(B659="高一",IF($E659="男",LOOKUP(F659,[1]对照表!$E$3:$E$24,[1]对照表!$H$3:$H$24),LOOKUP(F659,[1]对照表!$E$27:$E$48,[1]对照表!$H$27:$H$48)))))</f>
        <v>72</v>
      </c>
      <c r="H659" s="38">
        <v>21</v>
      </c>
      <c r="I659" s="32">
        <f>IF(B659="高三",IF($E659="男",LOOKUP(H659,[1]对照表!$K$3:$K$24,[1]对照表!$L$3:$L$24),LOOKUP(H659,[1]对照表!$K$27:$K$48,[1]对照表!$L$27:$L$48)),IF(B659="高二",IF($E659="男",LOOKUP(H659,[1]对照表!$J$3:$J$24,[1]对照表!$L$3:$L$24),LOOKUP(H659,[1]对照表!$J$27:$J$48,[1]对照表!$L$27:$L$48)),IF(B659="高一",IF($E659="男",LOOKUP(H659,[1]对照表!$I$3:$I$24,[1]对照表!$L$3:$L$24),LOOKUP(H659,[1]对照表!$I$27:$I$48,[1]对照表!$L$27:$L$48)))))</f>
        <v>85</v>
      </c>
      <c r="J659" s="38">
        <v>180</v>
      </c>
      <c r="K659" s="32">
        <f>IF(B659="高三",IF($E659="男",LOOKUP(J659,[1]对照表!$O$3:$O$24,[1]对照表!$P$3:$P$24),LOOKUP(J659,[1]对照表!$O$27:$O$48,[1]对照表!$P$27:$P$48)),IF(B659="高二",IF($E659="男",LOOKUP(J659,[1]对照表!$N$3:$N$24,[1]对照表!$P$3:$P$24),LOOKUP(J659,[1]对照表!$N$27:$N$48,[1]对照表!$P$27:$P$48)),IF(B659="高一",IF($E659="男",LOOKUP(J659,[1]对照表!$M$3:$M$24,[1]对照表!$P$3:$P$24),LOOKUP(J659,[1]对照表!$M$27:$M$48,[1]对照表!$P$27:$P$48)))))</f>
        <v>80</v>
      </c>
      <c r="L659" s="38">
        <v>51</v>
      </c>
      <c r="M659" s="32">
        <f>IF(B659="高三",IF($E659="男",LOOKUP(L659,[1]对照表!$S$3:$S$24,[1]对照表!$T$3:$T$24),LOOKUP(L659,[1]对照表!$S$27:$S$48,[1]对照表!$T$27:$T$48)),IF(B659="高二",IF($E659="男",LOOKUP(L659,[1]对照表!$R$3:$R$24,[1]对照表!$T$3:$T$24),LOOKUP(L659,[1]对照表!$R$27:$R$48,[1]对照表!$T$27:$T$48)),IF(B659="高一",IF($E659="男",LOOKUP(L659,[1]对照表!$Q$3:$Q$24,[1]对照表!$T$3:$T$24),LOOKUP(L659,[1]对照表!$Q$27:$Q$48,[1]对照表!$T$27:$T$48)))))</f>
        <v>90</v>
      </c>
      <c r="N659" s="33">
        <f>IF(B659="高三",MAX(IF(E659="男",L659-18,L659-55),0),IF(B659="高二",MAX(IF(E659="男",L659-17,L659-54),0),IF(B659="高一",MAX(IF(E659="男",L659-16,L659-53),0))))</f>
        <v>0</v>
      </c>
      <c r="O659" s="23">
        <f>IF(E659="男",LOOKUP($N659,[1]对照表!$Z$3:$Z$13,[1]对照表!$AA$3:$AA$13),LOOKUP($N659,[1]对照表!$Z$15:$Z$25,[1]对照表!$AA$15:$AA$25))</f>
        <v>0</v>
      </c>
      <c r="P659" s="25">
        <f>M659+O659</f>
        <v>90</v>
      </c>
      <c r="Q659" s="38">
        <v>3.5</v>
      </c>
      <c r="R659" s="32">
        <f>IF(B659="高三",IF($E659="男",LOOKUP(Q659,[1]对照表!$W$3:$W$24,[1]对照表!$X$3:$X$24),LOOKUP(Q659,[1]对照表!$W$27:$W$48,[1]对照表!$X$27:$X$48)),IF(B659="高二",IF($E659="男",LOOKUP(Q659,[1]对照表!$V$3:$V$24,[1]对照表!$X$3:$X$24),LOOKUP(Q659,[1]对照表!$V$27:$V$48,[1]对照表!$X$27:$X$48)),IF(B659="高一",IF($E659="男",LOOKUP(Q659,[1]对照表!$U$3:$U$24,[1]对照表!$X$3:$X$24),LOOKUP(Q659,[1]对照表!$U$27:$U$48,[1]对照表!$X$27:$X$48)))))</f>
        <v>78</v>
      </c>
      <c r="S659" s="33">
        <f>ROUND(IF(IF($B659="高三",MIN(IF($E659="男",$Q659-3.2,$Q659-3.2),0),IF($B659="高二",MIN(IF($E659="男",$Q659-3.25,$Q659-3.22),0),IF($B659="高一",MIN(IF($E659="男",$Q659-3.3,$Q659-3.24),0))))&lt;-0.6,IF($B659="高三",MIN(IF($E659="男",$Q659-3.2,$Q659-3.2),0),IF($B659="高二",MIN(IF($E659="男",$Q659-3.25,$Q659-3.22),0),IF($B659="高一",MIN(IF($E659="男",$Q659-3.3,$Q659-3.24),0))))+0.4,IF($B659="高三",MIN(IF($E659="男",$Q659-3.2,$Q659-3.2),0),IF($B659="高二",MIN(IF($E659="男",$Q659-3.25,$Q659-3.22),0),IF($B659="高一",MIN(IF($E659="男",$Q659-3.3,$Q659-3.24),0))))),2)</f>
        <v>0</v>
      </c>
      <c r="T659" s="23">
        <f>IF(E659="男",LOOKUP($S659,[1]对照表!$AB$3:$AB$13,[1]对照表!$AC$3:$AC$13),LOOKUP($S659,[1]对照表!$AB$15:$AB$25,[1]对照表!$AC$15:$AC$25))</f>
        <v>0</v>
      </c>
      <c r="U659" s="26">
        <f>R659+T659</f>
        <v>78</v>
      </c>
      <c r="V659" s="26">
        <f>SUM(I659,K659,M659)/3*0.3+SUM(G659,R659)/2*0.4</f>
        <v>55.5</v>
      </c>
      <c r="W659" s="27">
        <f>O659+T659</f>
        <v>0</v>
      </c>
      <c r="X659" s="28">
        <f>V659/0.7+W659</f>
        <v>79.285714285714292</v>
      </c>
      <c r="Y659" s="28">
        <f>X659</f>
        <v>79.285714285714292</v>
      </c>
      <c r="Z659" s="38"/>
    </row>
    <row r="660" spans="1:26" ht="15.6" customHeight="1" x14ac:dyDescent="0.15">
      <c r="A660" s="52">
        <v>10</v>
      </c>
      <c r="B660" s="17" t="s">
        <v>767</v>
      </c>
      <c r="C660" s="51" t="s">
        <v>816</v>
      </c>
      <c r="D660" s="49" t="s">
        <v>1096</v>
      </c>
      <c r="E660" s="55" t="s">
        <v>23</v>
      </c>
      <c r="F660" s="50">
        <v>7.2</v>
      </c>
      <c r="G660" s="32">
        <f>IF(B660="高三",IF($E660="男",LOOKUP(F660,[1]对照表!$G$3:$G$24,[1]对照表!$H$3:$H$24),LOOKUP(F660,[1]对照表!$G$27:$G$48,[1]对照表!$H$27:$H$48)),IF(B660="高二",IF($E660="男",LOOKUP(F660,[1]对照表!$F$3:$F$24,[1]对照表!$H$3:$H$24),LOOKUP(F660,[1]对照表!$F$27:$F$48,[1]对照表!$H$27:$H$48)),IF(B660="高一",IF($E660="男",LOOKUP(F660,[1]对照表!$E$3:$E$24,[1]对照表!$H$3:$H$24),LOOKUP(F660,[1]对照表!$E$27:$E$48,[1]对照表!$H$27:$H$48)))))</f>
        <v>90</v>
      </c>
      <c r="H660" s="38">
        <v>19</v>
      </c>
      <c r="I660" s="32">
        <f>IF(B660="高三",IF($E660="男",LOOKUP(H660,[1]对照表!$K$3:$K$24,[1]对照表!$L$3:$L$24),LOOKUP(H660,[1]对照表!$K$27:$K$48,[1]对照表!$L$27:$L$48)),IF(B660="高二",IF($E660="男",LOOKUP(H660,[1]对照表!$J$3:$J$24,[1]对照表!$L$3:$L$24),LOOKUP(H660,[1]对照表!$J$27:$J$48,[1]对照表!$L$27:$L$48)),IF(B660="高一",IF($E660="男",LOOKUP(H660,[1]对照表!$I$3:$I$24,[1]对照表!$L$3:$L$24),LOOKUP(H660,[1]对照表!$I$27:$I$48,[1]对照表!$L$27:$L$48)))))</f>
        <v>85</v>
      </c>
      <c r="J660" s="38">
        <v>238</v>
      </c>
      <c r="K660" s="32">
        <f>IF(B660="高三",IF($E660="男",LOOKUP(J660,[1]对照表!$O$3:$O$24,[1]对照表!$P$3:$P$24),LOOKUP(J660,[1]对照表!$O$27:$O$48,[1]对照表!$P$27:$P$48)),IF(B660="高二",IF($E660="男",LOOKUP(J660,[1]对照表!$N$3:$N$24,[1]对照表!$P$3:$P$24),LOOKUP(J660,[1]对照表!$N$27:$N$48,[1]对照表!$P$27:$P$48)),IF(B660="高一",IF($E660="男",LOOKUP(J660,[1]对照表!$M$3:$M$24,[1]对照表!$P$3:$P$24),LOOKUP(J660,[1]对照表!$M$27:$M$48,[1]对照表!$P$27:$P$48)))))</f>
        <v>78</v>
      </c>
      <c r="L660" s="38">
        <v>17</v>
      </c>
      <c r="M660" s="32">
        <f>IF(B660="高三",IF($E660="男",LOOKUP(L660,[1]对照表!$S$3:$S$24,[1]对照表!$T$3:$T$24),LOOKUP(L660,[1]对照表!$S$27:$S$48,[1]对照表!$T$27:$T$48)),IF(B660="高二",IF($E660="男",LOOKUP(L660,[1]对照表!$R$3:$R$24,[1]对照表!$T$3:$T$24),LOOKUP(L660,[1]对照表!$R$27:$R$48,[1]对照表!$T$27:$T$48)),IF(B660="高一",IF($E660="男",LOOKUP(L660,[1]对照表!$Q$3:$Q$24,[1]对照表!$T$3:$T$24),LOOKUP(L660,[1]对照表!$Q$27:$Q$48,[1]对照表!$T$27:$T$48)))))</f>
        <v>100</v>
      </c>
      <c r="N660" s="33">
        <f>IF(B660="高三",MAX(IF(E660="男",L660-18,L660-55),0),IF(B660="高二",MAX(IF(E660="男",L660-17,L660-54),0),IF(B660="高一",MAX(IF(E660="男",L660-16,L660-53),0))))</f>
        <v>0</v>
      </c>
      <c r="O660" s="23">
        <f>IF(E660="男",LOOKUP($N660,[1]对照表!$Z$3:$Z$13,[1]对照表!$AA$3:$AA$13),LOOKUP($N660,[1]对照表!$Z$15:$Z$25,[1]对照表!$AA$15:$AA$25))</f>
        <v>0</v>
      </c>
      <c r="P660" s="25">
        <f>M660+O660</f>
        <v>100</v>
      </c>
      <c r="Q660" s="50">
        <v>3.54</v>
      </c>
      <c r="R660" s="32">
        <f>IF(B660="高三",IF($E660="男",LOOKUP(Q660,[1]对照表!$W$3:$W$24,[1]对照表!$X$3:$X$24),LOOKUP(Q660,[1]对照表!$W$27:$W$48,[1]对照表!$X$27:$X$48)),IF(B660="高二",IF($E660="男",LOOKUP(Q660,[1]对照表!$V$3:$V$24,[1]对照表!$X$3:$X$24),LOOKUP(Q660,[1]对照表!$V$27:$V$48,[1]对照表!$X$27:$X$48)),IF(B660="高一",IF($E660="男",LOOKUP(Q660,[1]对照表!$U$3:$U$24,[1]对照表!$X$3:$X$24),LOOKUP(Q660,[1]对照表!$U$27:$U$48,[1]对照表!$X$27:$X$48)))))</f>
        <v>78</v>
      </c>
      <c r="S660" s="33">
        <f>ROUND(IF(IF($B660="高三",MIN(IF($E660="男",$Q660-3.2,$Q660-3.2),0),IF($B660="高二",MIN(IF($E660="男",$Q660-3.25,$Q660-3.22),0),IF($B660="高一",MIN(IF($E660="男",$Q660-3.3,$Q660-3.24),0))))&lt;-0.6,IF($B660="高三",MIN(IF($E660="男",$Q660-3.2,$Q660-3.2),0),IF($B660="高二",MIN(IF($E660="男",$Q660-3.25,$Q660-3.22),0),IF($B660="高一",MIN(IF($E660="男",$Q660-3.3,$Q660-3.24),0))))+0.4,IF($B660="高三",MIN(IF($E660="男",$Q660-3.2,$Q660-3.2),0),IF($B660="高二",MIN(IF($E660="男",$Q660-3.25,$Q660-3.22),0),IF($B660="高一",MIN(IF($E660="男",$Q660-3.3,$Q660-3.24),0))))),2)</f>
        <v>0</v>
      </c>
      <c r="T660" s="23">
        <f>IF(E660="男",LOOKUP($S660,[1]对照表!$AB$3:$AB$13,[1]对照表!$AC$3:$AC$13),LOOKUP($S660,[1]对照表!$AB$15:$AB$25,[1]对照表!$AC$15:$AC$25))</f>
        <v>0</v>
      </c>
      <c r="U660" s="26">
        <f>R660+T660</f>
        <v>78</v>
      </c>
      <c r="V660" s="26">
        <f>SUM(I660,K660,M660)/3*0.3+SUM(G660,R660)/2*0.4</f>
        <v>59.900000000000006</v>
      </c>
      <c r="W660" s="27">
        <f>O660+T660</f>
        <v>0</v>
      </c>
      <c r="X660" s="28">
        <f>V660/0.7+W660</f>
        <v>85.571428571428584</v>
      </c>
      <c r="Y660" s="28">
        <f>X660</f>
        <v>85.571428571428584</v>
      </c>
      <c r="Z660" s="38"/>
    </row>
    <row r="661" spans="1:26" ht="15.6" x14ac:dyDescent="0.25">
      <c r="A661" s="38">
        <v>39</v>
      </c>
      <c r="B661" s="17" t="s">
        <v>767</v>
      </c>
      <c r="C661" s="51" t="s">
        <v>816</v>
      </c>
      <c r="D661" s="49" t="s">
        <v>1118</v>
      </c>
      <c r="E661" s="48" t="s">
        <v>65</v>
      </c>
      <c r="F661" s="38">
        <v>9.6199999999999992</v>
      </c>
      <c r="G661" s="32">
        <f>IF(B661="高三",IF($E661="男",LOOKUP(F661,[1]对照表!$G$3:$G$24,[1]对照表!$H$3:$H$24),LOOKUP(F661,[1]对照表!$G$27:$G$48,[1]对照表!$H$27:$H$48)),IF(B661="高二",IF($E661="男",LOOKUP(F661,[1]对照表!$F$3:$F$24,[1]对照表!$H$3:$H$24),LOOKUP(F661,[1]对照表!$F$27:$F$48,[1]对照表!$H$27:$H$48)),IF(B661="高一",IF($E661="男",LOOKUP(F661,[1]对照表!$E$3:$E$24,[1]对照表!$H$3:$H$24),LOOKUP(F661,[1]对照表!$E$27:$E$48,[1]对照表!$H$27:$H$48)))))</f>
        <v>68</v>
      </c>
      <c r="H661" s="38">
        <v>20</v>
      </c>
      <c r="I661" s="32">
        <f>IF(B661="高三",IF($E661="男",LOOKUP(H661,[1]对照表!$K$3:$K$24,[1]对照表!$L$3:$L$24),LOOKUP(H661,[1]对照表!$K$27:$K$48,[1]对照表!$L$27:$L$48)),IF(B661="高二",IF($E661="男",LOOKUP(H661,[1]对照表!$J$3:$J$24,[1]对照表!$L$3:$L$24),LOOKUP(H661,[1]对照表!$J$27:$J$48,[1]对照表!$L$27:$L$48)),IF(B661="高一",IF($E661="男",LOOKUP(H661,[1]对照表!$I$3:$I$24,[1]对照表!$L$3:$L$24),LOOKUP(H661,[1]对照表!$I$27:$I$48,[1]对照表!$L$27:$L$48)))))</f>
        <v>85</v>
      </c>
      <c r="J661" s="38">
        <v>165</v>
      </c>
      <c r="K661" s="32">
        <f>IF(B661="高三",IF($E661="男",LOOKUP(J661,[1]对照表!$O$3:$O$24,[1]对照表!$P$3:$P$24),LOOKUP(J661,[1]对照表!$O$27:$O$48,[1]对照表!$P$27:$P$48)),IF(B661="高二",IF($E661="男",LOOKUP(J661,[1]对照表!$N$3:$N$24,[1]对照表!$P$3:$P$24),LOOKUP(J661,[1]对照表!$N$27:$N$48,[1]对照表!$P$27:$P$48)),IF(B661="高一",IF($E661="男",LOOKUP(J661,[1]对照表!$M$3:$M$24,[1]对照表!$P$3:$P$24),LOOKUP(J661,[1]对照表!$M$27:$M$48,[1]对照表!$P$27:$P$48)))))</f>
        <v>70</v>
      </c>
      <c r="L661" s="38">
        <v>52</v>
      </c>
      <c r="M661" s="32">
        <f>IF(B661="高三",IF($E661="男",LOOKUP(L661,[1]对照表!$S$3:$S$24,[1]对照表!$T$3:$T$24),LOOKUP(L661,[1]对照表!$S$27:$S$48,[1]对照表!$T$27:$T$48)),IF(B661="高二",IF($E661="男",LOOKUP(L661,[1]对照表!$R$3:$R$24,[1]对照表!$T$3:$T$24),LOOKUP(L661,[1]对照表!$R$27:$R$48,[1]对照表!$T$27:$T$48)),IF(B661="高一",IF($E661="男",LOOKUP(L661,[1]对照表!$Q$3:$Q$24,[1]对照表!$T$3:$T$24),LOOKUP(L661,[1]对照表!$Q$27:$Q$48,[1]对照表!$T$27:$T$48)))))</f>
        <v>95</v>
      </c>
      <c r="N661" s="33">
        <f>IF(B661="高三",MAX(IF(E661="男",L661-18,L661-55),0),IF(B661="高二",MAX(IF(E661="男",L661-17,L661-54),0),IF(B661="高一",MAX(IF(E661="男",L661-16,L661-53),0))))</f>
        <v>0</v>
      </c>
      <c r="O661" s="23">
        <f>IF(E661="男",LOOKUP($N661,[1]对照表!$Z$3:$Z$13,[1]对照表!$AA$3:$AA$13),LOOKUP($N661,[1]对照表!$Z$15:$Z$25,[1]对照表!$AA$15:$AA$25))</f>
        <v>0</v>
      </c>
      <c r="P661" s="25">
        <f>M661+O661</f>
        <v>95</v>
      </c>
      <c r="Q661" s="38">
        <v>3.48</v>
      </c>
      <c r="R661" s="32">
        <f>IF(B661="高三",IF($E661="男",LOOKUP(Q661,[1]对照表!$W$3:$W$24,[1]对照表!$X$3:$X$24),LOOKUP(Q661,[1]对照表!$W$27:$W$48,[1]对照表!$X$27:$X$48)),IF(B661="高二",IF($E661="男",LOOKUP(Q661,[1]对照表!$V$3:$V$24,[1]对照表!$X$3:$X$24),LOOKUP(Q661,[1]对照表!$V$27:$V$48,[1]对照表!$X$27:$X$48)),IF(B661="高一",IF($E661="男",LOOKUP(Q661,[1]对照表!$U$3:$U$24,[1]对照表!$X$3:$X$24),LOOKUP(Q661,[1]对照表!$U$27:$U$48,[1]对照表!$X$27:$X$48)))))</f>
        <v>80</v>
      </c>
      <c r="S661" s="33">
        <f>ROUND(IF(IF($B661="高三",MIN(IF($E661="男",$Q661-3.2,$Q661-3.2),0),IF($B661="高二",MIN(IF($E661="男",$Q661-3.25,$Q661-3.22),0),IF($B661="高一",MIN(IF($E661="男",$Q661-3.3,$Q661-3.24),0))))&lt;-0.6,IF($B661="高三",MIN(IF($E661="男",$Q661-3.2,$Q661-3.2),0),IF($B661="高二",MIN(IF($E661="男",$Q661-3.25,$Q661-3.22),0),IF($B661="高一",MIN(IF($E661="男",$Q661-3.3,$Q661-3.24),0))))+0.4,IF($B661="高三",MIN(IF($E661="男",$Q661-3.2,$Q661-3.2),0),IF($B661="高二",MIN(IF($E661="男",$Q661-3.25,$Q661-3.22),0),IF($B661="高一",MIN(IF($E661="男",$Q661-3.3,$Q661-3.24),0))))),2)</f>
        <v>0</v>
      </c>
      <c r="T661" s="23">
        <f>IF(E661="男",LOOKUP($S661,[1]对照表!$AB$3:$AB$13,[1]对照表!$AC$3:$AC$13),LOOKUP($S661,[1]对照表!$AB$15:$AB$25,[1]对照表!$AC$15:$AC$25))</f>
        <v>0</v>
      </c>
      <c r="U661" s="26">
        <f>R661+T661</f>
        <v>80</v>
      </c>
      <c r="V661" s="26">
        <f>SUM(I661,K661,M661)/3*0.3+SUM(G661,R661)/2*0.4</f>
        <v>54.599999999999994</v>
      </c>
      <c r="W661" s="27">
        <f>O661+T661</f>
        <v>0</v>
      </c>
      <c r="X661" s="28">
        <f>V661/0.7+W661</f>
        <v>78</v>
      </c>
      <c r="Y661" s="28">
        <f>X661</f>
        <v>78</v>
      </c>
      <c r="Z661" s="38"/>
    </row>
    <row r="662" spans="1:26" ht="15.6" customHeight="1" x14ac:dyDescent="0.15">
      <c r="A662" s="52">
        <v>1</v>
      </c>
      <c r="B662" s="17" t="s">
        <v>767</v>
      </c>
      <c r="C662" s="51" t="s">
        <v>816</v>
      </c>
      <c r="D662" s="49" t="s">
        <v>1128</v>
      </c>
      <c r="E662" s="55" t="s">
        <v>23</v>
      </c>
      <c r="F662" s="57">
        <v>7.3</v>
      </c>
      <c r="G662" s="32">
        <f>IF(B662="高三",IF($E662="男",LOOKUP(F662,[1]对照表!$G$3:$G$24,[1]对照表!$H$3:$H$24),LOOKUP(F662,[1]对照表!$G$27:$G$48,[1]对照表!$H$27:$H$48)),IF(B662="高二",IF($E662="男",LOOKUP(F662,[1]对照表!$F$3:$F$24,[1]对照表!$H$3:$H$24),LOOKUP(F662,[1]对照表!$F$27:$F$48,[1]对照表!$H$27:$H$48)),IF(B662="高一",IF($E662="男",LOOKUP(F662,[1]对照表!$E$3:$E$24,[1]对照表!$H$3:$H$24),LOOKUP(F662,[1]对照表!$E$27:$E$48,[1]对照表!$H$27:$H$48)))))</f>
        <v>85</v>
      </c>
      <c r="H662" s="52">
        <v>13.7</v>
      </c>
      <c r="I662" s="32">
        <f>IF(B662="高三",IF($E662="男",LOOKUP(H662,[1]对照表!$K$3:$K$24,[1]对照表!$L$3:$L$24),LOOKUP(H662,[1]对照表!$K$27:$K$48,[1]对照表!$L$27:$L$48)),IF(B662="高二",IF($E662="男",LOOKUP(H662,[1]对照表!$J$3:$J$24,[1]对照表!$L$3:$L$24),LOOKUP(H662,[1]对照表!$J$27:$J$48,[1]对照表!$L$27:$L$48)),IF(B662="高一",IF($E662="男",LOOKUP(H662,[1]对照表!$I$3:$I$24,[1]对照表!$L$3:$L$24),LOOKUP(H662,[1]对照表!$I$27:$I$48,[1]对照表!$L$27:$L$48)))))</f>
        <v>76</v>
      </c>
      <c r="J662" s="52">
        <v>240</v>
      </c>
      <c r="K662" s="32">
        <f>IF(B662="高三",IF($E662="男",LOOKUP(J662,[1]对照表!$O$3:$O$24,[1]对照表!$P$3:$P$24),LOOKUP(J662,[1]对照表!$O$27:$O$48,[1]对照表!$P$27:$P$48)),IF(B662="高二",IF($E662="男",LOOKUP(J662,[1]对照表!$N$3:$N$24,[1]对照表!$P$3:$P$24),LOOKUP(J662,[1]对照表!$N$27:$N$48,[1]对照表!$P$27:$P$48)),IF(B662="高一",IF($E662="男",LOOKUP(J662,[1]对照表!$M$3:$M$24,[1]对照表!$P$3:$P$24),LOOKUP(J662,[1]对照表!$M$27:$M$48,[1]对照表!$P$27:$P$48)))))</f>
        <v>80</v>
      </c>
      <c r="L662" s="52">
        <v>9</v>
      </c>
      <c r="M662" s="32">
        <f>IF(B662="高三",IF($E662="男",LOOKUP(L662,[1]对照表!$S$3:$S$24,[1]对照表!$T$3:$T$24),LOOKUP(L662,[1]对照表!$S$27:$S$48,[1]对照表!$T$27:$T$48)),IF(B662="高二",IF($E662="男",LOOKUP(L662,[1]对照表!$R$3:$R$24,[1]对照表!$T$3:$T$24),LOOKUP(L662,[1]对照表!$R$27:$R$48,[1]对照表!$T$27:$T$48)),IF(B662="高一",IF($E662="男",LOOKUP(L662,[1]对照表!$Q$3:$Q$24,[1]对照表!$T$3:$T$24),LOOKUP(L662,[1]对照表!$Q$27:$Q$48,[1]对照表!$T$27:$T$48)))))</f>
        <v>64</v>
      </c>
      <c r="N662" s="33">
        <f>IF(B662="高三",MAX(IF(E662="男",L662-18,L662-55),0),IF(B662="高二",MAX(IF(E662="男",L662-17,L662-54),0),IF(B662="高一",MAX(IF(E662="男",L662-16,L662-53),0))))</f>
        <v>0</v>
      </c>
      <c r="O662" s="23">
        <f>IF(E662="男",LOOKUP($N662,[1]对照表!$Z$3:$Z$13,[1]对照表!$AA$3:$AA$13),LOOKUP($N662,[1]对照表!$Z$15:$Z$25,[1]对照表!$AA$15:$AA$25))</f>
        <v>0</v>
      </c>
      <c r="P662" s="25">
        <f>M662+O662</f>
        <v>64</v>
      </c>
      <c r="Q662" s="57">
        <v>3.25</v>
      </c>
      <c r="R662" s="32">
        <f>IF(B662="高三",IF($E662="男",LOOKUP(Q662,[1]对照表!$W$3:$W$24,[1]对照表!$X$3:$X$24),LOOKUP(Q662,[1]对照表!$W$27:$W$48,[1]对照表!$X$27:$X$48)),IF(B662="高二",IF($E662="男",LOOKUP(Q662,[1]对照表!$V$3:$V$24,[1]对照表!$X$3:$X$24),LOOKUP(Q662,[1]对照表!$V$27:$V$48,[1]对照表!$X$27:$X$48)),IF(B662="高一",IF($E662="男",LOOKUP(Q662,[1]对照表!$U$3:$U$24,[1]对照表!$X$3:$X$24),LOOKUP(Q662,[1]对照表!$U$27:$U$48,[1]对照表!$X$27:$X$48)))))</f>
        <v>100</v>
      </c>
      <c r="S662" s="33">
        <f>ROUND(IF(IF($B662="高三",MIN(IF($E662="男",$Q662-3.2,$Q662-3.2),0),IF($B662="高二",MIN(IF($E662="男",$Q662-3.25,$Q662-3.22),0),IF($B662="高一",MIN(IF($E662="男",$Q662-3.3,$Q662-3.24),0))))&lt;-0.6,IF($B662="高三",MIN(IF($E662="男",$Q662-3.2,$Q662-3.2),0),IF($B662="高二",MIN(IF($E662="男",$Q662-3.25,$Q662-3.22),0),IF($B662="高一",MIN(IF($E662="男",$Q662-3.3,$Q662-3.24),0))))+0.4,IF($B662="高三",MIN(IF($E662="男",$Q662-3.2,$Q662-3.2),0),IF($B662="高二",MIN(IF($E662="男",$Q662-3.25,$Q662-3.22),0),IF($B662="高一",MIN(IF($E662="男",$Q662-3.3,$Q662-3.24),0))))),2)</f>
        <v>0</v>
      </c>
      <c r="T662" s="23">
        <f>IF(E662="男",LOOKUP($S662,[1]对照表!$AB$3:$AB$13,[1]对照表!$AC$3:$AC$13),LOOKUP($S662,[1]对照表!$AB$15:$AB$25,[1]对照表!$AC$15:$AC$25))</f>
        <v>0</v>
      </c>
      <c r="U662" s="26">
        <f>R662+T662</f>
        <v>100</v>
      </c>
      <c r="V662" s="26">
        <f>SUM(I662,K662,M662)/3*0.3+SUM(G662,R662)/2*0.4</f>
        <v>59</v>
      </c>
      <c r="W662" s="27">
        <f>O662+T662</f>
        <v>0</v>
      </c>
      <c r="X662" s="28">
        <f>V662/0.7+W662</f>
        <v>84.285714285714292</v>
      </c>
      <c r="Y662" s="28">
        <f>X662</f>
        <v>84.285714285714292</v>
      </c>
      <c r="Z662" s="52"/>
    </row>
    <row r="663" spans="1:26" ht="15.6" x14ac:dyDescent="0.25">
      <c r="A663" s="48">
        <v>35</v>
      </c>
      <c r="B663" s="17" t="s">
        <v>767</v>
      </c>
      <c r="C663" s="51" t="s">
        <v>816</v>
      </c>
      <c r="D663" s="49" t="s">
        <v>1145</v>
      </c>
      <c r="E663" s="48" t="s">
        <v>65</v>
      </c>
      <c r="F663" s="38">
        <v>8.85</v>
      </c>
      <c r="G663" s="32">
        <f>IF(B663="高三",IF($E663="男",LOOKUP(F663,[1]对照表!$G$3:$G$24,[1]对照表!$H$3:$H$24),LOOKUP(F663,[1]对照表!$G$27:$G$48,[1]对照表!$H$27:$H$48)),IF(B663="高二",IF($E663="男",LOOKUP(F663,[1]对照表!$F$3:$F$24,[1]对照表!$H$3:$H$24),LOOKUP(F663,[1]对照表!$F$27:$F$48,[1]对照表!$H$27:$H$48)),IF(B663="高一",IF($E663="男",LOOKUP(F663,[1]对照表!$E$3:$E$24,[1]对照表!$H$3:$H$24),LOOKUP(F663,[1]对照表!$E$27:$E$48,[1]对照表!$H$27:$H$48)))))</f>
        <v>76</v>
      </c>
      <c r="H663" s="38">
        <v>18</v>
      </c>
      <c r="I663" s="32">
        <f>IF(B663="高三",IF($E663="男",LOOKUP(H663,[1]对照表!$K$3:$K$24,[1]对照表!$L$3:$L$24),LOOKUP(H663,[1]对照表!$K$27:$K$48,[1]对照表!$L$27:$L$48)),IF(B663="高二",IF($E663="男",LOOKUP(H663,[1]对照表!$J$3:$J$24,[1]对照表!$L$3:$L$24),LOOKUP(H663,[1]对照表!$J$27:$J$48,[1]对照表!$L$27:$L$48)),IF(B663="高一",IF($E663="男",LOOKUP(H663,[1]对照表!$I$3:$I$24,[1]对照表!$L$3:$L$24),LOOKUP(H663,[1]对照表!$I$27:$I$48,[1]对照表!$L$27:$L$48)))))</f>
        <v>80</v>
      </c>
      <c r="J663" s="38">
        <v>160</v>
      </c>
      <c r="K663" s="32">
        <f>IF(B663="高三",IF($E663="男",LOOKUP(J663,[1]对照表!$O$3:$O$24,[1]对照表!$P$3:$P$24),LOOKUP(J663,[1]对照表!$O$27:$O$48,[1]对照表!$P$27:$P$48)),IF(B663="高二",IF($E663="男",LOOKUP(J663,[1]对照表!$N$3:$N$24,[1]对照表!$P$3:$P$24),LOOKUP(J663,[1]对照表!$N$27:$N$48,[1]对照表!$P$27:$P$48)),IF(B663="高一",IF($E663="男",LOOKUP(J663,[1]对照表!$M$3:$M$24,[1]对照表!$P$3:$P$24),LOOKUP(J663,[1]对照表!$M$27:$M$48,[1]对照表!$P$27:$P$48)))))</f>
        <v>66</v>
      </c>
      <c r="L663" s="38">
        <v>48</v>
      </c>
      <c r="M663" s="32">
        <f>IF(B663="高三",IF($E663="男",LOOKUP(L663,[1]对照表!$S$3:$S$24,[1]对照表!$T$3:$T$24),LOOKUP(L663,[1]对照表!$S$27:$S$48,[1]对照表!$T$27:$T$48)),IF(B663="高二",IF($E663="男",LOOKUP(L663,[1]对照表!$R$3:$R$24,[1]对照表!$T$3:$T$24),LOOKUP(L663,[1]对照表!$R$27:$R$48,[1]对照表!$T$27:$T$48)),IF(B663="高一",IF($E663="男",LOOKUP(L663,[1]对照表!$Q$3:$Q$24,[1]对照表!$T$3:$T$24),LOOKUP(L663,[1]对照表!$Q$27:$Q$48,[1]对照表!$T$27:$T$48)))))</f>
        <v>85</v>
      </c>
      <c r="N663" s="33">
        <f>IF(B663="高三",MAX(IF(E663="男",L663-18,L663-55),0),IF(B663="高二",MAX(IF(E663="男",L663-17,L663-54),0),IF(B663="高一",MAX(IF(E663="男",L663-16,L663-53),0))))</f>
        <v>0</v>
      </c>
      <c r="O663" s="23">
        <f>IF(E663="男",LOOKUP($N663,[1]对照表!$Z$3:$Z$13,[1]对照表!$AA$3:$AA$13),LOOKUP($N663,[1]对照表!$Z$15:$Z$25,[1]对照表!$AA$15:$AA$25))</f>
        <v>0</v>
      </c>
      <c r="P663" s="25">
        <f>M663+O663</f>
        <v>85</v>
      </c>
      <c r="Q663" s="38">
        <v>3.51</v>
      </c>
      <c r="R663" s="32">
        <f>IF(B663="高三",IF($E663="男",LOOKUP(Q663,[1]对照表!$W$3:$W$24,[1]对照表!$X$3:$X$24),LOOKUP(Q663,[1]对照表!$W$27:$W$48,[1]对照表!$X$27:$X$48)),IF(B663="高二",IF($E663="男",LOOKUP(Q663,[1]对照表!$V$3:$V$24,[1]对照表!$X$3:$X$24),LOOKUP(Q663,[1]对照表!$V$27:$V$48,[1]对照表!$X$27:$X$48)),IF(B663="高一",IF($E663="男",LOOKUP(Q663,[1]对照表!$U$3:$U$24,[1]对照表!$X$3:$X$24),LOOKUP(Q663,[1]对照表!$U$27:$U$48,[1]对照表!$X$27:$X$48)))))</f>
        <v>78</v>
      </c>
      <c r="S663" s="33">
        <f>ROUND(IF(IF($B663="高三",MIN(IF($E663="男",$Q663-3.2,$Q663-3.2),0),IF($B663="高二",MIN(IF($E663="男",$Q663-3.25,$Q663-3.22),0),IF($B663="高一",MIN(IF($E663="男",$Q663-3.3,$Q663-3.24),0))))&lt;-0.6,IF($B663="高三",MIN(IF($E663="男",$Q663-3.2,$Q663-3.2),0),IF($B663="高二",MIN(IF($E663="男",$Q663-3.25,$Q663-3.22),0),IF($B663="高一",MIN(IF($E663="男",$Q663-3.3,$Q663-3.24),0))))+0.4,IF($B663="高三",MIN(IF($E663="男",$Q663-3.2,$Q663-3.2),0),IF($B663="高二",MIN(IF($E663="男",$Q663-3.25,$Q663-3.22),0),IF($B663="高一",MIN(IF($E663="男",$Q663-3.3,$Q663-3.24),0))))),2)</f>
        <v>0</v>
      </c>
      <c r="T663" s="23">
        <f>IF(E663="男",LOOKUP($S663,[1]对照表!$AB$3:$AB$13,[1]对照表!$AC$3:$AC$13),LOOKUP($S663,[1]对照表!$AB$15:$AB$25,[1]对照表!$AC$15:$AC$25))</f>
        <v>0</v>
      </c>
      <c r="U663" s="26">
        <f>R663+T663</f>
        <v>78</v>
      </c>
      <c r="V663" s="26">
        <f>SUM(I663,K663,M663)/3*0.3+SUM(G663,R663)/2*0.4</f>
        <v>53.9</v>
      </c>
      <c r="W663" s="27">
        <f>O663+T663</f>
        <v>0</v>
      </c>
      <c r="X663" s="28">
        <f>V663/0.7+W663</f>
        <v>77</v>
      </c>
      <c r="Y663" s="28">
        <f>X663</f>
        <v>77</v>
      </c>
      <c r="Z663" s="38"/>
    </row>
    <row r="664" spans="1:26" ht="15.6" x14ac:dyDescent="0.25">
      <c r="A664" s="38">
        <v>37</v>
      </c>
      <c r="B664" s="17" t="s">
        <v>767</v>
      </c>
      <c r="C664" s="51" t="s">
        <v>816</v>
      </c>
      <c r="D664" s="49" t="s">
        <v>1148</v>
      </c>
      <c r="E664" s="48" t="s">
        <v>65</v>
      </c>
      <c r="F664" s="38">
        <v>9.2100000000000009</v>
      </c>
      <c r="G664" s="32">
        <f>IF(B664="高三",IF($E664="男",LOOKUP(F664,[1]对照表!$G$3:$G$24,[1]对照表!$H$3:$H$24),LOOKUP(F664,[1]对照表!$G$27:$G$48,[1]对照表!$H$27:$H$48)),IF(B664="高二",IF($E664="男",LOOKUP(F664,[1]对照表!$F$3:$F$24,[1]对照表!$H$3:$H$24),LOOKUP(F664,[1]对照表!$F$27:$F$48,[1]对照表!$H$27:$H$48)),IF(B664="高一",IF($E664="男",LOOKUP(F664,[1]对照表!$E$3:$E$24,[1]对照表!$H$3:$H$24),LOOKUP(F664,[1]对照表!$E$27:$E$48,[1]对照表!$H$27:$H$48)))))</f>
        <v>72</v>
      </c>
      <c r="H664" s="38">
        <v>7</v>
      </c>
      <c r="I664" s="32">
        <f>IF(B664="高三",IF($E664="男",LOOKUP(H664,[1]对照表!$K$3:$K$24,[1]对照表!$L$3:$L$24),LOOKUP(H664,[1]对照表!$K$27:$K$48,[1]对照表!$L$27:$L$48)),IF(B664="高二",IF($E664="男",LOOKUP(H664,[1]对照表!$J$3:$J$24,[1]对照表!$L$3:$L$24),LOOKUP(H664,[1]对照表!$J$27:$J$48,[1]对照表!$L$27:$L$48)),IF(B664="高一",IF($E664="男",LOOKUP(H664,[1]对照表!$I$3:$I$24,[1]对照表!$L$3:$L$24),LOOKUP(H664,[1]对照表!$I$27:$I$48,[1]对照表!$L$27:$L$48)))))</f>
        <v>62</v>
      </c>
      <c r="J664" s="38">
        <v>175</v>
      </c>
      <c r="K664" s="32">
        <f>IF(B664="高三",IF($E664="男",LOOKUP(J664,[1]对照表!$O$3:$O$24,[1]对照表!$P$3:$P$24),LOOKUP(J664,[1]对照表!$O$27:$O$48,[1]对照表!$P$27:$P$48)),IF(B664="高二",IF($E664="男",LOOKUP(J664,[1]对照表!$N$3:$N$24,[1]对照表!$P$3:$P$24),LOOKUP(J664,[1]对照表!$N$27:$N$48,[1]对照表!$P$27:$P$48)),IF(B664="高一",IF($E664="男",LOOKUP(J664,[1]对照表!$M$3:$M$24,[1]对照表!$P$3:$P$24),LOOKUP(J664,[1]对照表!$M$27:$M$48,[1]对照表!$P$27:$P$48)))))</f>
        <v>76</v>
      </c>
      <c r="L664" s="38">
        <v>52</v>
      </c>
      <c r="M664" s="32">
        <f>IF(B664="高三",IF($E664="男",LOOKUP(L664,[1]对照表!$S$3:$S$24,[1]对照表!$T$3:$T$24),LOOKUP(L664,[1]对照表!$S$27:$S$48,[1]对照表!$T$27:$T$48)),IF(B664="高二",IF($E664="男",LOOKUP(L664,[1]对照表!$R$3:$R$24,[1]对照表!$T$3:$T$24),LOOKUP(L664,[1]对照表!$R$27:$R$48,[1]对照表!$T$27:$T$48)),IF(B664="高一",IF($E664="男",LOOKUP(L664,[1]对照表!$Q$3:$Q$24,[1]对照表!$T$3:$T$24),LOOKUP(L664,[1]对照表!$Q$27:$Q$48,[1]对照表!$T$27:$T$48)))))</f>
        <v>95</v>
      </c>
      <c r="N664" s="33">
        <f>IF(B664="高三",MAX(IF(E664="男",L664-18,L664-55),0),IF(B664="高二",MAX(IF(E664="男",L664-17,L664-54),0),IF(B664="高一",MAX(IF(E664="男",L664-16,L664-53),0))))</f>
        <v>0</v>
      </c>
      <c r="O664" s="23">
        <f>IF(E664="男",LOOKUP($N664,[1]对照表!$Z$3:$Z$13,[1]对照表!$AA$3:$AA$13),LOOKUP($N664,[1]对照表!$Z$15:$Z$25,[1]对照表!$AA$15:$AA$25))</f>
        <v>0</v>
      </c>
      <c r="P664" s="25">
        <f>M664+O664</f>
        <v>95</v>
      </c>
      <c r="Q664" s="38">
        <v>3.48</v>
      </c>
      <c r="R664" s="32">
        <f>IF(B664="高三",IF($E664="男",LOOKUP(Q664,[1]对照表!$W$3:$W$24,[1]对照表!$X$3:$X$24),LOOKUP(Q664,[1]对照表!$W$27:$W$48,[1]对照表!$X$27:$X$48)),IF(B664="高二",IF($E664="男",LOOKUP(Q664,[1]对照表!$V$3:$V$24,[1]对照表!$X$3:$X$24),LOOKUP(Q664,[1]对照表!$V$27:$V$48,[1]对照表!$X$27:$X$48)),IF(B664="高一",IF($E664="男",LOOKUP(Q664,[1]对照表!$U$3:$U$24,[1]对照表!$X$3:$X$24),LOOKUP(Q664,[1]对照表!$U$27:$U$48,[1]对照表!$X$27:$X$48)))))</f>
        <v>80</v>
      </c>
      <c r="S664" s="33">
        <f>ROUND(IF(IF($B664="高三",MIN(IF($E664="男",$Q664-3.2,$Q664-3.2),0),IF($B664="高二",MIN(IF($E664="男",$Q664-3.25,$Q664-3.22),0),IF($B664="高一",MIN(IF($E664="男",$Q664-3.3,$Q664-3.24),0))))&lt;-0.6,IF($B664="高三",MIN(IF($E664="男",$Q664-3.2,$Q664-3.2),0),IF($B664="高二",MIN(IF($E664="男",$Q664-3.25,$Q664-3.22),0),IF($B664="高一",MIN(IF($E664="男",$Q664-3.3,$Q664-3.24),0))))+0.4,IF($B664="高三",MIN(IF($E664="男",$Q664-3.2,$Q664-3.2),0),IF($B664="高二",MIN(IF($E664="男",$Q664-3.25,$Q664-3.22),0),IF($B664="高一",MIN(IF($E664="男",$Q664-3.3,$Q664-3.24),0))))),2)</f>
        <v>0</v>
      </c>
      <c r="T664" s="23">
        <f>IF(E664="男",LOOKUP($S664,[1]对照表!$AB$3:$AB$13,[1]对照表!$AC$3:$AC$13),LOOKUP($S664,[1]对照表!$AB$15:$AB$25,[1]对照表!$AC$15:$AC$25))</f>
        <v>0</v>
      </c>
      <c r="U664" s="26">
        <f>R664+T664</f>
        <v>80</v>
      </c>
      <c r="V664" s="26">
        <f>SUM(I664,K664,M664)/3*0.3+SUM(G664,R664)/2*0.4</f>
        <v>53.7</v>
      </c>
      <c r="W664" s="27">
        <f>O664+T664</f>
        <v>0</v>
      </c>
      <c r="X664" s="28">
        <f>V664/0.7+W664</f>
        <v>76.714285714285722</v>
      </c>
      <c r="Y664" s="28">
        <f>X664</f>
        <v>76.714285714285722</v>
      </c>
      <c r="Z664" s="38"/>
    </row>
    <row r="665" spans="1:26" ht="15.6" x14ac:dyDescent="0.25">
      <c r="A665" s="48">
        <v>27</v>
      </c>
      <c r="B665" s="17" t="s">
        <v>767</v>
      </c>
      <c r="C665" s="51" t="s">
        <v>816</v>
      </c>
      <c r="D665" s="49" t="s">
        <v>1163</v>
      </c>
      <c r="E665" s="48" t="s">
        <v>65</v>
      </c>
      <c r="F665" s="38">
        <v>9.69</v>
      </c>
      <c r="G665" s="32">
        <f>IF(B665="高三",IF($E665="男",LOOKUP(F665,[1]对照表!$G$3:$G$24,[1]对照表!$H$3:$H$24),LOOKUP(F665,[1]对照表!$G$27:$G$48,[1]对照表!$H$27:$H$48)),IF(B665="高二",IF($E665="男",LOOKUP(F665,[1]对照表!$F$3:$F$24,[1]对照表!$H$3:$H$24),LOOKUP(F665,[1]对照表!$F$27:$F$48,[1]对照表!$H$27:$H$48)),IF(B665="高一",IF($E665="男",LOOKUP(F665,[1]对照表!$E$3:$E$24,[1]对照表!$H$3:$H$24),LOOKUP(F665,[1]对照表!$E$27:$E$48,[1]对照表!$H$27:$H$48)))))</f>
        <v>68</v>
      </c>
      <c r="H665" s="38">
        <v>26.5</v>
      </c>
      <c r="I665" s="32">
        <f>IF(B665="高三",IF($E665="男",LOOKUP(H665,[1]对照表!$K$3:$K$24,[1]对照表!$L$3:$L$24),LOOKUP(H665,[1]对照表!$K$27:$K$48,[1]对照表!$L$27:$L$48)),IF(B665="高二",IF($E665="男",LOOKUP(H665,[1]对照表!$J$3:$J$24,[1]对照表!$L$3:$L$24),LOOKUP(H665,[1]对照表!$J$27:$J$48,[1]对照表!$L$27:$L$48)),IF(B665="高一",IF($E665="男",LOOKUP(H665,[1]对照表!$I$3:$I$24,[1]对照表!$L$3:$L$24),LOOKUP(H665,[1]对照表!$I$27:$I$48,[1]对照表!$L$27:$L$48)))))</f>
        <v>100</v>
      </c>
      <c r="J665" s="38">
        <v>187</v>
      </c>
      <c r="K665" s="32">
        <f>IF(B665="高三",IF($E665="男",LOOKUP(J665,[1]对照表!$O$3:$O$24,[1]对照表!$P$3:$P$24),LOOKUP(J665,[1]对照表!$O$27:$O$48,[1]对照表!$P$27:$P$48)),IF(B665="高二",IF($E665="男",LOOKUP(J665,[1]对照表!$N$3:$N$24,[1]对照表!$P$3:$P$24),LOOKUP(J665,[1]对照表!$N$27:$N$48,[1]对照表!$P$27:$P$48)),IF(B665="高一",IF($E665="男",LOOKUP(J665,[1]对照表!$M$3:$M$24,[1]对照表!$P$3:$P$24),LOOKUP(J665,[1]对照表!$M$27:$M$48,[1]对照表!$P$27:$P$48)))))</f>
        <v>85</v>
      </c>
      <c r="L665" s="38">
        <v>40</v>
      </c>
      <c r="M665" s="32">
        <f>IF(B665="高三",IF($E665="男",LOOKUP(L665,[1]对照表!$S$3:$S$24,[1]对照表!$T$3:$T$24),LOOKUP(L665,[1]对照表!$S$27:$S$48,[1]对照表!$T$27:$T$48)),IF(B665="高二",IF($E665="男",LOOKUP(L665,[1]对照表!$R$3:$R$24,[1]对照表!$T$3:$T$24),LOOKUP(L665,[1]对照表!$R$27:$R$48,[1]对照表!$T$27:$T$48)),IF(B665="高一",IF($E665="男",LOOKUP(L665,[1]对照表!$Q$3:$Q$24,[1]对照表!$T$3:$T$24),LOOKUP(L665,[1]对照表!$Q$27:$Q$48,[1]对照表!$T$27:$T$48)))))</f>
        <v>76</v>
      </c>
      <c r="N665" s="33">
        <f>IF(B665="高三",MAX(IF(E665="男",L665-18,L665-55),0),IF(B665="高二",MAX(IF(E665="男",L665-17,L665-54),0),IF(B665="高一",MAX(IF(E665="男",L665-16,L665-53),0))))</f>
        <v>0</v>
      </c>
      <c r="O665" s="23">
        <f>IF(E665="男",LOOKUP($N665,[1]对照表!$Z$3:$Z$13,[1]对照表!$AA$3:$AA$13),LOOKUP($N665,[1]对照表!$Z$15:$Z$25,[1]对照表!$AA$15:$AA$25))</f>
        <v>0</v>
      </c>
      <c r="P665" s="25">
        <f>M665+O665</f>
        <v>76</v>
      </c>
      <c r="Q665" s="38">
        <v>4.2300000000000004</v>
      </c>
      <c r="R665" s="32">
        <f>IF(B665="高三",IF($E665="男",LOOKUP(Q665,[1]对照表!$W$3:$W$24,[1]对照表!$X$3:$X$24),LOOKUP(Q665,[1]对照表!$W$27:$W$48,[1]对照表!$X$27:$X$48)),IF(B665="高二",IF($E665="男",LOOKUP(Q665,[1]对照表!$V$3:$V$24,[1]对照表!$X$3:$X$24),LOOKUP(Q665,[1]对照表!$V$27:$V$48,[1]对照表!$X$27:$X$48)),IF(B665="高一",IF($E665="男",LOOKUP(Q665,[1]对照表!$U$3:$U$24,[1]对照表!$X$3:$X$24),LOOKUP(Q665,[1]对照表!$U$27:$U$48,[1]对照表!$X$27:$X$48)))))</f>
        <v>66</v>
      </c>
      <c r="S665" s="33">
        <f>ROUND(IF(IF($B665="高三",MIN(IF($E665="男",$Q665-3.2,$Q665-3.2),0),IF($B665="高二",MIN(IF($E665="男",$Q665-3.25,$Q665-3.22),0),IF($B665="高一",MIN(IF($E665="男",$Q665-3.3,$Q665-3.24),0))))&lt;-0.6,IF($B665="高三",MIN(IF($E665="男",$Q665-3.2,$Q665-3.2),0),IF($B665="高二",MIN(IF($E665="男",$Q665-3.25,$Q665-3.22),0),IF($B665="高一",MIN(IF($E665="男",$Q665-3.3,$Q665-3.24),0))))+0.4,IF($B665="高三",MIN(IF($E665="男",$Q665-3.2,$Q665-3.2),0),IF($B665="高二",MIN(IF($E665="男",$Q665-3.25,$Q665-3.22),0),IF($B665="高一",MIN(IF($E665="男",$Q665-3.3,$Q665-3.24),0))))),2)</f>
        <v>0</v>
      </c>
      <c r="T665" s="23">
        <f>IF(E665="男",LOOKUP($S665,[1]对照表!$AB$3:$AB$13,[1]对照表!$AC$3:$AC$13),LOOKUP($S665,[1]对照表!$AB$15:$AB$25,[1]对照表!$AC$15:$AC$25))</f>
        <v>0</v>
      </c>
      <c r="U665" s="26">
        <f>R665+T665</f>
        <v>66</v>
      </c>
      <c r="V665" s="26">
        <f>SUM(I665,K665,M665)/3*0.3+SUM(G665,R665)/2*0.4</f>
        <v>52.9</v>
      </c>
      <c r="W665" s="27">
        <f>O665+T665</f>
        <v>0</v>
      </c>
      <c r="X665" s="28">
        <f>V665/0.7+W665</f>
        <v>75.571428571428569</v>
      </c>
      <c r="Y665" s="28">
        <f>X665</f>
        <v>75.571428571428569</v>
      </c>
      <c r="Z665" s="38"/>
    </row>
    <row r="666" spans="1:26" ht="15.6" x14ac:dyDescent="0.25">
      <c r="A666" s="48">
        <v>24</v>
      </c>
      <c r="B666" s="17" t="s">
        <v>767</v>
      </c>
      <c r="C666" s="51" t="s">
        <v>816</v>
      </c>
      <c r="D666" s="49" t="s">
        <v>1168</v>
      </c>
      <c r="E666" s="55" t="s">
        <v>23</v>
      </c>
      <c r="F666" s="38">
        <v>7.1</v>
      </c>
      <c r="G666" s="32">
        <f>IF(B666="高三",IF($E666="男",LOOKUP(F666,[1]对照表!$G$3:$G$24,[1]对照表!$H$3:$H$24),LOOKUP(F666,[1]对照表!$G$27:$G$48,[1]对照表!$H$27:$H$48)),IF(B666="高二",IF($E666="男",LOOKUP(F666,[1]对照表!$F$3:$F$24,[1]对照表!$H$3:$H$24),LOOKUP(F666,[1]对照表!$F$27:$F$48,[1]对照表!$H$27:$H$48)),IF(B666="高一",IF($E666="男",LOOKUP(F666,[1]对照表!$E$3:$E$24,[1]对照表!$H$3:$H$24),LOOKUP(F666,[1]对照表!$E$27:$E$48,[1]对照表!$H$27:$H$48)))))</f>
        <v>95</v>
      </c>
      <c r="H666" s="38">
        <v>11.2</v>
      </c>
      <c r="I666" s="32">
        <f>IF(B666="高三",IF($E666="男",LOOKUP(H666,[1]对照表!$K$3:$K$24,[1]对照表!$L$3:$L$24),LOOKUP(H666,[1]对照表!$K$27:$K$48,[1]对照表!$L$27:$L$48)),IF(B666="高二",IF($E666="男",LOOKUP(H666,[1]对照表!$J$3:$J$24,[1]对照表!$L$3:$L$24),LOOKUP(H666,[1]对照表!$J$27:$J$48,[1]对照表!$L$27:$L$48)),IF(B666="高一",IF($E666="男",LOOKUP(H666,[1]对照表!$I$3:$I$24,[1]对照表!$L$3:$L$24),LOOKUP(H666,[1]对照表!$I$27:$I$48,[1]对照表!$L$27:$L$48)))))</f>
        <v>72</v>
      </c>
      <c r="J666" s="38">
        <v>227</v>
      </c>
      <c r="K666" s="32">
        <f>IF(B666="高三",IF($E666="男",LOOKUP(J666,[1]对照表!$O$3:$O$24,[1]对照表!$P$3:$P$24),LOOKUP(J666,[1]对照表!$O$27:$O$48,[1]对照表!$P$27:$P$48)),IF(B666="高二",IF($E666="男",LOOKUP(J666,[1]对照表!$N$3:$N$24,[1]对照表!$P$3:$P$24),LOOKUP(J666,[1]对照表!$N$27:$N$48,[1]对照表!$P$27:$P$48)),IF(B666="高一",IF($E666="男",LOOKUP(J666,[1]对照表!$M$3:$M$24,[1]对照表!$P$3:$P$24),LOOKUP(J666,[1]对照表!$M$27:$M$48,[1]对照表!$P$27:$P$48)))))</f>
        <v>72</v>
      </c>
      <c r="L666" s="38">
        <v>12</v>
      </c>
      <c r="M666" s="32">
        <f>IF(B666="高三",IF($E666="男",LOOKUP(L666,[1]对照表!$S$3:$S$24,[1]对照表!$T$3:$T$24),LOOKUP(L666,[1]对照表!$S$27:$S$48,[1]对照表!$T$27:$T$48)),IF(B666="高二",IF($E666="男",LOOKUP(L666,[1]对照表!$R$3:$R$24,[1]对照表!$T$3:$T$24),LOOKUP(L666,[1]对照表!$R$27:$R$48,[1]对照表!$T$27:$T$48)),IF(B666="高一",IF($E666="男",LOOKUP(L666,[1]对照表!$Q$3:$Q$24,[1]对照表!$T$3:$T$24),LOOKUP(L666,[1]对照表!$Q$27:$Q$48,[1]对照表!$T$27:$T$48)))))</f>
        <v>76</v>
      </c>
      <c r="N666" s="33">
        <f>IF(B666="高三",MAX(IF(E666="男",L666-18,L666-55),0),IF(B666="高二",MAX(IF(E666="男",L666-17,L666-54),0),IF(B666="高一",MAX(IF(E666="男",L666-16,L666-53),0))))</f>
        <v>0</v>
      </c>
      <c r="O666" s="23">
        <f>IF(E666="男",LOOKUP($N666,[1]对照表!$Z$3:$Z$13,[1]对照表!$AA$3:$AA$13),LOOKUP($N666,[1]对照表!$Z$15:$Z$25,[1]对照表!$AA$15:$AA$25))</f>
        <v>0</v>
      </c>
      <c r="P666" s="25">
        <f>M666+O666</f>
        <v>76</v>
      </c>
      <c r="Q666" s="38">
        <v>3.39</v>
      </c>
      <c r="R666" s="32">
        <f>IF(B666="高三",IF($E666="男",LOOKUP(Q666,[1]对照表!$W$3:$W$24,[1]对照表!$X$3:$X$24),LOOKUP(Q666,[1]对照表!$W$27:$W$48,[1]对照表!$X$27:$X$48)),IF(B666="高二",IF($E666="男",LOOKUP(Q666,[1]对照表!$V$3:$V$24,[1]对照表!$X$3:$X$24),LOOKUP(Q666,[1]对照表!$V$27:$V$48,[1]对照表!$X$27:$X$48)),IF(B666="高一",IF($E666="男",LOOKUP(Q666,[1]对照表!$U$3:$U$24,[1]对照表!$X$3:$X$24),LOOKUP(Q666,[1]对照表!$U$27:$U$48,[1]对照表!$X$27:$X$48)))))</f>
        <v>85</v>
      </c>
      <c r="S666" s="33">
        <f>ROUND(IF(IF($B666="高三",MIN(IF($E666="男",$Q666-3.2,$Q666-3.2),0),IF($B666="高二",MIN(IF($E666="男",$Q666-3.25,$Q666-3.22),0),IF($B666="高一",MIN(IF($E666="男",$Q666-3.3,$Q666-3.24),0))))&lt;-0.6,IF($B666="高三",MIN(IF($E666="男",$Q666-3.2,$Q666-3.2),0),IF($B666="高二",MIN(IF($E666="男",$Q666-3.25,$Q666-3.22),0),IF($B666="高一",MIN(IF($E666="男",$Q666-3.3,$Q666-3.24),0))))+0.4,IF($B666="高三",MIN(IF($E666="男",$Q666-3.2,$Q666-3.2),0),IF($B666="高二",MIN(IF($E666="男",$Q666-3.25,$Q666-3.22),0),IF($B666="高一",MIN(IF($E666="男",$Q666-3.3,$Q666-3.24),0))))),2)</f>
        <v>0</v>
      </c>
      <c r="T666" s="23">
        <f>IF(E666="男",LOOKUP($S666,[1]对照表!$AB$3:$AB$13,[1]对照表!$AC$3:$AC$13),LOOKUP($S666,[1]对照表!$AB$15:$AB$25,[1]对照表!$AC$15:$AC$25))</f>
        <v>0</v>
      </c>
      <c r="U666" s="26">
        <f>R666+T666</f>
        <v>85</v>
      </c>
      <c r="V666" s="26">
        <f>SUM(I666,K666,M666)/3*0.3+SUM(G666,R666)/2*0.4</f>
        <v>58</v>
      </c>
      <c r="W666" s="27">
        <f>O666+T666</f>
        <v>0</v>
      </c>
      <c r="X666" s="28">
        <f>V666/0.7+W666</f>
        <v>82.857142857142861</v>
      </c>
      <c r="Y666" s="28">
        <f>X666</f>
        <v>82.857142857142861</v>
      </c>
      <c r="Z666" s="38"/>
    </row>
    <row r="667" spans="1:26" ht="15.6" customHeight="1" x14ac:dyDescent="0.15">
      <c r="A667" s="52">
        <v>5</v>
      </c>
      <c r="B667" s="17" t="s">
        <v>767</v>
      </c>
      <c r="C667" s="51" t="s">
        <v>816</v>
      </c>
      <c r="D667" s="49" t="s">
        <v>1169</v>
      </c>
      <c r="E667" s="55" t="s">
        <v>23</v>
      </c>
      <c r="F667" s="50">
        <v>7.3</v>
      </c>
      <c r="G667" s="32">
        <f>IF(B667="高三",IF($E667="男",LOOKUP(F667,[1]对照表!$G$3:$G$24,[1]对照表!$H$3:$H$24),LOOKUP(F667,[1]对照表!$G$27:$G$48,[1]对照表!$H$27:$H$48)),IF(B667="高二",IF($E667="男",LOOKUP(F667,[1]对照表!$F$3:$F$24,[1]对照表!$H$3:$H$24),LOOKUP(F667,[1]对照表!$F$27:$F$48,[1]对照表!$H$27:$H$48)),IF(B667="高一",IF($E667="男",LOOKUP(F667,[1]对照表!$E$3:$E$24,[1]对照表!$H$3:$H$24),LOOKUP(F667,[1]对照表!$E$27:$E$48,[1]对照表!$H$27:$H$48)))))</f>
        <v>85</v>
      </c>
      <c r="H667" s="38">
        <v>11.6</v>
      </c>
      <c r="I667" s="32">
        <f>IF(B667="高三",IF($E667="男",LOOKUP(H667,[1]对照表!$K$3:$K$24,[1]对照表!$L$3:$L$24),LOOKUP(H667,[1]对照表!$K$27:$K$48,[1]对照表!$L$27:$L$48)),IF(B667="高二",IF($E667="男",LOOKUP(H667,[1]对照表!$J$3:$J$24,[1]对照表!$L$3:$L$24),LOOKUP(H667,[1]对照表!$J$27:$J$48,[1]对照表!$L$27:$L$48)),IF(B667="高一",IF($E667="男",LOOKUP(H667,[1]对照表!$I$3:$I$24,[1]对照表!$L$3:$L$24),LOOKUP(H667,[1]对照表!$I$27:$I$48,[1]对照表!$L$27:$L$48)))))</f>
        <v>72</v>
      </c>
      <c r="J667" s="38">
        <v>215</v>
      </c>
      <c r="K667" s="32">
        <f>IF(B667="高三",IF($E667="男",LOOKUP(J667,[1]对照表!$O$3:$O$24,[1]对照表!$P$3:$P$24),LOOKUP(J667,[1]对照表!$O$27:$O$48,[1]对照表!$P$27:$P$48)),IF(B667="高二",IF($E667="男",LOOKUP(J667,[1]对照表!$N$3:$N$24,[1]对照表!$P$3:$P$24),LOOKUP(J667,[1]对照表!$N$27:$N$48,[1]对照表!$P$27:$P$48)),IF(B667="高一",IF($E667="男",LOOKUP(J667,[1]对照表!$M$3:$M$24,[1]对照表!$P$3:$P$24),LOOKUP(J667,[1]对照表!$M$27:$M$48,[1]对照表!$P$27:$P$48)))))</f>
        <v>66</v>
      </c>
      <c r="L667" s="38">
        <v>17</v>
      </c>
      <c r="M667" s="32">
        <f>IF(B667="高三",IF($E667="男",LOOKUP(L667,[1]对照表!$S$3:$S$24,[1]对照表!$T$3:$T$24),LOOKUP(L667,[1]对照表!$S$27:$S$48,[1]对照表!$T$27:$T$48)),IF(B667="高二",IF($E667="男",LOOKUP(L667,[1]对照表!$R$3:$R$24,[1]对照表!$T$3:$T$24),LOOKUP(L667,[1]对照表!$R$27:$R$48,[1]对照表!$T$27:$T$48)),IF(B667="高一",IF($E667="男",LOOKUP(L667,[1]对照表!$Q$3:$Q$24,[1]对照表!$T$3:$T$24),LOOKUP(L667,[1]对照表!$Q$27:$Q$48,[1]对照表!$T$27:$T$48)))))</f>
        <v>100</v>
      </c>
      <c r="N667" s="33">
        <f>IF(B667="高三",MAX(IF(E667="男",L667-18,L667-55),0),IF(B667="高二",MAX(IF(E667="男",L667-17,L667-54),0),IF(B667="高一",MAX(IF(E667="男",L667-16,L667-53),0))))</f>
        <v>0</v>
      </c>
      <c r="O667" s="23">
        <f>IF(E667="男",LOOKUP($N667,[1]对照表!$Z$3:$Z$13,[1]对照表!$AA$3:$AA$13),LOOKUP($N667,[1]对照表!$Z$15:$Z$25,[1]对照表!$AA$15:$AA$25))</f>
        <v>0</v>
      </c>
      <c r="P667" s="25">
        <f>M667+O667</f>
        <v>100</v>
      </c>
      <c r="Q667" s="50">
        <v>3.38</v>
      </c>
      <c r="R667" s="32">
        <f>IF(B667="高三",IF($E667="男",LOOKUP(Q667,[1]对照表!$W$3:$W$24,[1]对照表!$X$3:$X$24),LOOKUP(Q667,[1]对照表!$W$27:$W$48,[1]对照表!$X$27:$X$48)),IF(B667="高二",IF($E667="男",LOOKUP(Q667,[1]对照表!$V$3:$V$24,[1]对照表!$X$3:$X$24),LOOKUP(Q667,[1]对照表!$V$27:$V$48,[1]对照表!$X$27:$X$48)),IF(B667="高一",IF($E667="男",LOOKUP(Q667,[1]对照表!$U$3:$U$24,[1]对照表!$X$3:$X$24),LOOKUP(Q667,[1]对照表!$U$27:$U$48,[1]对照表!$X$27:$X$48)))))</f>
        <v>85</v>
      </c>
      <c r="S667" s="33">
        <f>ROUND(IF(IF($B667="高三",MIN(IF($E667="男",$Q667-3.2,$Q667-3.2),0),IF($B667="高二",MIN(IF($E667="男",$Q667-3.25,$Q667-3.22),0),IF($B667="高一",MIN(IF($E667="男",$Q667-3.3,$Q667-3.24),0))))&lt;-0.6,IF($B667="高三",MIN(IF($E667="男",$Q667-3.2,$Q667-3.2),0),IF($B667="高二",MIN(IF($E667="男",$Q667-3.25,$Q667-3.22),0),IF($B667="高一",MIN(IF($E667="男",$Q667-3.3,$Q667-3.24),0))))+0.4,IF($B667="高三",MIN(IF($E667="男",$Q667-3.2,$Q667-3.2),0),IF($B667="高二",MIN(IF($E667="男",$Q667-3.25,$Q667-3.22),0),IF($B667="高一",MIN(IF($E667="男",$Q667-3.3,$Q667-3.24),0))))),2)</f>
        <v>0</v>
      </c>
      <c r="T667" s="23">
        <f>IF(E667="男",LOOKUP($S667,[1]对照表!$AB$3:$AB$13,[1]对照表!$AC$3:$AC$13),LOOKUP($S667,[1]对照表!$AB$15:$AB$25,[1]对照表!$AC$15:$AC$25))</f>
        <v>0</v>
      </c>
      <c r="U667" s="26">
        <f>R667+T667</f>
        <v>85</v>
      </c>
      <c r="V667" s="26">
        <f>SUM(I667,K667,M667)/3*0.3+SUM(G667,R667)/2*0.4</f>
        <v>57.8</v>
      </c>
      <c r="W667" s="27">
        <f>O667+T667</f>
        <v>0</v>
      </c>
      <c r="X667" s="28">
        <f>V667/0.7+W667</f>
        <v>82.571428571428569</v>
      </c>
      <c r="Y667" s="28">
        <f>X667</f>
        <v>82.571428571428569</v>
      </c>
      <c r="Z667" s="38"/>
    </row>
    <row r="668" spans="1:26" ht="15.6" x14ac:dyDescent="0.25">
      <c r="A668" s="38">
        <v>42</v>
      </c>
      <c r="B668" s="17" t="s">
        <v>767</v>
      </c>
      <c r="C668" s="51" t="s">
        <v>816</v>
      </c>
      <c r="D668" s="49" t="s">
        <v>1171</v>
      </c>
      <c r="E668" s="48" t="s">
        <v>65</v>
      </c>
      <c r="F668" s="38">
        <v>9.42</v>
      </c>
      <c r="G668" s="32">
        <f>IF(B668="高三",IF($E668="男",LOOKUP(F668,[1]对照表!$G$3:$G$24,[1]对照表!$H$3:$H$24),LOOKUP(F668,[1]对照表!$G$27:$G$48,[1]对照表!$H$27:$H$48)),IF(B668="高二",IF($E668="男",LOOKUP(F668,[1]对照表!$F$3:$F$24,[1]对照表!$H$3:$H$24),LOOKUP(F668,[1]对照表!$F$27:$F$48,[1]对照表!$H$27:$H$48)),IF(B668="高一",IF($E668="男",LOOKUP(F668,[1]对照表!$E$3:$E$24,[1]对照表!$H$3:$H$24),LOOKUP(F668,[1]对照表!$E$27:$E$48,[1]对照表!$H$27:$H$48)))))</f>
        <v>70</v>
      </c>
      <c r="H668" s="38">
        <v>17</v>
      </c>
      <c r="I668" s="32">
        <f>IF(B668="高三",IF($E668="男",LOOKUP(H668,[1]对照表!$K$3:$K$24,[1]对照表!$L$3:$L$24),LOOKUP(H668,[1]对照表!$K$27:$K$48,[1]对照表!$L$27:$L$48)),IF(B668="高二",IF($E668="男",LOOKUP(H668,[1]对照表!$J$3:$J$24,[1]对照表!$L$3:$L$24),LOOKUP(H668,[1]对照表!$J$27:$J$48,[1]对照表!$L$27:$L$48)),IF(B668="高一",IF($E668="男",LOOKUP(H668,[1]对照表!$I$3:$I$24,[1]对照表!$L$3:$L$24),LOOKUP(H668,[1]对照表!$I$27:$I$48,[1]对照表!$L$27:$L$48)))))</f>
        <v>78</v>
      </c>
      <c r="J668" s="38">
        <v>160</v>
      </c>
      <c r="K668" s="32">
        <f>IF(B668="高三",IF($E668="男",LOOKUP(J668,[1]对照表!$O$3:$O$24,[1]对照表!$P$3:$P$24),LOOKUP(J668,[1]对照表!$O$27:$O$48,[1]对照表!$P$27:$P$48)),IF(B668="高二",IF($E668="男",LOOKUP(J668,[1]对照表!$N$3:$N$24,[1]对照表!$P$3:$P$24),LOOKUP(J668,[1]对照表!$N$27:$N$48,[1]对照表!$P$27:$P$48)),IF(B668="高一",IF($E668="男",LOOKUP(J668,[1]对照表!$M$3:$M$24,[1]对照表!$P$3:$P$24),LOOKUP(J668,[1]对照表!$M$27:$M$48,[1]对照表!$P$27:$P$48)))))</f>
        <v>66</v>
      </c>
      <c r="L668" s="38">
        <v>52</v>
      </c>
      <c r="M668" s="32">
        <f>IF(B668="高三",IF($E668="男",LOOKUP(L668,[1]对照表!$S$3:$S$24,[1]对照表!$T$3:$T$24),LOOKUP(L668,[1]对照表!$S$27:$S$48,[1]对照表!$T$27:$T$48)),IF(B668="高二",IF($E668="男",LOOKUP(L668,[1]对照表!$R$3:$R$24,[1]对照表!$T$3:$T$24),LOOKUP(L668,[1]对照表!$R$27:$R$48,[1]对照表!$T$27:$T$48)),IF(B668="高一",IF($E668="男",LOOKUP(L668,[1]对照表!$Q$3:$Q$24,[1]对照表!$T$3:$T$24),LOOKUP(L668,[1]对照表!$Q$27:$Q$48,[1]对照表!$T$27:$T$48)))))</f>
        <v>95</v>
      </c>
      <c r="N668" s="33">
        <f>IF(B668="高三",MAX(IF(E668="男",L668-18,L668-55),0),IF(B668="高二",MAX(IF(E668="男",L668-17,L668-54),0),IF(B668="高一",MAX(IF(E668="男",L668-16,L668-53),0))))</f>
        <v>0</v>
      </c>
      <c r="O668" s="23">
        <f>IF(E668="男",LOOKUP($N668,[1]对照表!$Z$3:$Z$13,[1]对照表!$AA$3:$AA$13),LOOKUP($N668,[1]对照表!$Z$15:$Z$25,[1]对照表!$AA$15:$AA$25))</f>
        <v>0</v>
      </c>
      <c r="P668" s="25">
        <f>M668+O668</f>
        <v>95</v>
      </c>
      <c r="Q668" s="38">
        <v>4.0199999999999996</v>
      </c>
      <c r="R668" s="32">
        <f>IF(B668="高三",IF($E668="男",LOOKUP(Q668,[1]对照表!$W$3:$W$24,[1]对照表!$X$3:$X$24),LOOKUP(Q668,[1]对照表!$W$27:$W$48,[1]对照表!$X$27:$X$48)),IF(B668="高二",IF($E668="男",LOOKUP(Q668,[1]对照表!$V$3:$V$24,[1]对照表!$X$3:$X$24),LOOKUP(Q668,[1]对照表!$V$27:$V$48,[1]对照表!$X$27:$X$48)),IF(B668="高一",IF($E668="男",LOOKUP(Q668,[1]对照表!$U$3:$U$24,[1]对照表!$X$3:$X$24),LOOKUP(Q668,[1]对照表!$U$27:$U$48,[1]对照表!$X$27:$X$48)))))</f>
        <v>74</v>
      </c>
      <c r="S668" s="33">
        <f>ROUND(IF(IF($B668="高三",MIN(IF($E668="男",$Q668-3.2,$Q668-3.2),0),IF($B668="高二",MIN(IF($E668="男",$Q668-3.25,$Q668-3.22),0),IF($B668="高一",MIN(IF($E668="男",$Q668-3.3,$Q668-3.24),0))))&lt;-0.6,IF($B668="高三",MIN(IF($E668="男",$Q668-3.2,$Q668-3.2),0),IF($B668="高二",MIN(IF($E668="男",$Q668-3.25,$Q668-3.22),0),IF($B668="高一",MIN(IF($E668="男",$Q668-3.3,$Q668-3.24),0))))+0.4,IF($B668="高三",MIN(IF($E668="男",$Q668-3.2,$Q668-3.2),0),IF($B668="高二",MIN(IF($E668="男",$Q668-3.25,$Q668-3.22),0),IF($B668="高一",MIN(IF($E668="男",$Q668-3.3,$Q668-3.24),0))))),2)</f>
        <v>0</v>
      </c>
      <c r="T668" s="23">
        <f>IF(E668="男",LOOKUP($S668,[1]对照表!$AB$3:$AB$13,[1]对照表!$AC$3:$AC$13),LOOKUP($S668,[1]对照表!$AB$15:$AB$25,[1]对照表!$AC$15:$AC$25))</f>
        <v>0</v>
      </c>
      <c r="U668" s="26">
        <f>R668+T668</f>
        <v>74</v>
      </c>
      <c r="V668" s="26">
        <f>SUM(I668,K668,M668)/3*0.3+SUM(G668,R668)/2*0.4</f>
        <v>52.7</v>
      </c>
      <c r="W668" s="27">
        <f>O668+T668</f>
        <v>0</v>
      </c>
      <c r="X668" s="28">
        <f>V668/0.7+W668</f>
        <v>75.285714285714292</v>
      </c>
      <c r="Y668" s="28">
        <f>X668</f>
        <v>75.285714285714292</v>
      </c>
      <c r="Z668" s="38"/>
    </row>
    <row r="669" spans="1:26" ht="15.6" customHeight="1" x14ac:dyDescent="0.15">
      <c r="A669" s="52">
        <v>7</v>
      </c>
      <c r="B669" s="17" t="s">
        <v>767</v>
      </c>
      <c r="C669" s="51" t="s">
        <v>816</v>
      </c>
      <c r="D669" s="49" t="s">
        <v>1187</v>
      </c>
      <c r="E669" s="55" t="s">
        <v>23</v>
      </c>
      <c r="F669" s="50">
        <v>7.5</v>
      </c>
      <c r="G669" s="32">
        <f>IF(B669="高三",IF($E669="男",LOOKUP(F669,[1]对照表!$G$3:$G$24,[1]对照表!$H$3:$H$24),LOOKUP(F669,[1]对照表!$G$27:$G$48,[1]对照表!$H$27:$H$48)),IF(B669="高二",IF($E669="男",LOOKUP(F669,[1]对照表!$F$3:$F$24,[1]对照表!$H$3:$H$24),LOOKUP(F669,[1]对照表!$F$27:$F$48,[1]对照表!$H$27:$H$48)),IF(B669="高一",IF($E669="男",LOOKUP(F669,[1]对照表!$E$3:$E$24,[1]对照表!$H$3:$H$24),LOOKUP(F669,[1]对照表!$E$27:$E$48,[1]对照表!$H$27:$H$48)))))</f>
        <v>78</v>
      </c>
      <c r="H669" s="38">
        <v>11.3</v>
      </c>
      <c r="I669" s="32">
        <f>IF(B669="高三",IF($E669="男",LOOKUP(H669,[1]对照表!$K$3:$K$24,[1]对照表!$L$3:$L$24),LOOKUP(H669,[1]对照表!$K$27:$K$48,[1]对照表!$L$27:$L$48)),IF(B669="高二",IF($E669="男",LOOKUP(H669,[1]对照表!$J$3:$J$24,[1]对照表!$L$3:$L$24),LOOKUP(H669,[1]对照表!$J$27:$J$48,[1]对照表!$L$27:$L$48)),IF(B669="高一",IF($E669="男",LOOKUP(H669,[1]对照表!$I$3:$I$24,[1]对照表!$L$3:$L$24),LOOKUP(H669,[1]对照表!$I$27:$I$48,[1]对照表!$L$27:$L$48)))))</f>
        <v>72</v>
      </c>
      <c r="J669" s="38">
        <v>235</v>
      </c>
      <c r="K669" s="32">
        <f>IF(B669="高三",IF($E669="男",LOOKUP(J669,[1]对照表!$O$3:$O$24,[1]对照表!$P$3:$P$24),LOOKUP(J669,[1]对照表!$O$27:$O$48,[1]对照表!$P$27:$P$48)),IF(B669="高二",IF($E669="男",LOOKUP(J669,[1]对照表!$N$3:$N$24,[1]对照表!$P$3:$P$24),LOOKUP(J669,[1]对照表!$N$27:$N$48,[1]对照表!$P$27:$P$48)),IF(B669="高一",IF($E669="男",LOOKUP(J669,[1]对照表!$M$3:$M$24,[1]对照表!$P$3:$P$24),LOOKUP(J669,[1]对照表!$M$27:$M$48,[1]对照表!$P$27:$P$48)))))</f>
        <v>76</v>
      </c>
      <c r="L669" s="38">
        <v>15</v>
      </c>
      <c r="M669" s="32">
        <f>IF(B669="高三",IF($E669="男",LOOKUP(L669,[1]对照表!$S$3:$S$24,[1]对照表!$T$3:$T$24),LOOKUP(L669,[1]对照表!$S$27:$S$48,[1]对照表!$T$27:$T$48)),IF(B669="高二",IF($E669="男",LOOKUP(L669,[1]对照表!$R$3:$R$24,[1]对照表!$T$3:$T$24),LOOKUP(L669,[1]对照表!$R$27:$R$48,[1]对照表!$T$27:$T$48)),IF(B669="高一",IF($E669="男",LOOKUP(L669,[1]对照表!$Q$3:$Q$24,[1]对照表!$T$3:$T$24),LOOKUP(L669,[1]对照表!$Q$27:$Q$48,[1]对照表!$T$27:$T$48)))))</f>
        <v>90</v>
      </c>
      <c r="N669" s="33">
        <f>IF(B669="高三",MAX(IF(E669="男",L669-18,L669-55),0),IF(B669="高二",MAX(IF(E669="男",L669-17,L669-54),0),IF(B669="高一",MAX(IF(E669="男",L669-16,L669-53),0))))</f>
        <v>0</v>
      </c>
      <c r="O669" s="23">
        <f>IF(E669="男",LOOKUP($N669,[1]对照表!$Z$3:$Z$13,[1]对照表!$AA$3:$AA$13),LOOKUP($N669,[1]对照表!$Z$15:$Z$25,[1]对照表!$AA$15:$AA$25))</f>
        <v>0</v>
      </c>
      <c r="P669" s="25">
        <f>M669+O669</f>
        <v>90</v>
      </c>
      <c r="Q669" s="50">
        <v>3.33</v>
      </c>
      <c r="R669" s="32">
        <f>IF(B669="高三",IF($E669="男",LOOKUP(Q669,[1]对照表!$W$3:$W$24,[1]对照表!$X$3:$X$24),LOOKUP(Q669,[1]对照表!$W$27:$W$48,[1]对照表!$X$27:$X$48)),IF(B669="高二",IF($E669="男",LOOKUP(Q669,[1]对照表!$V$3:$V$24,[1]对照表!$X$3:$X$24),LOOKUP(Q669,[1]对照表!$V$27:$V$48,[1]对照表!$X$27:$X$48)),IF(B669="高一",IF($E669="男",LOOKUP(Q669,[1]对照表!$U$3:$U$24,[1]对照表!$X$3:$X$24),LOOKUP(Q669,[1]对照表!$U$27:$U$48,[1]对照表!$X$27:$X$48)))))</f>
        <v>90</v>
      </c>
      <c r="S669" s="33">
        <f>ROUND(IF(IF($B669="高三",MIN(IF($E669="男",$Q669-3.2,$Q669-3.2),0),IF($B669="高二",MIN(IF($E669="男",$Q669-3.25,$Q669-3.22),0),IF($B669="高一",MIN(IF($E669="男",$Q669-3.3,$Q669-3.24),0))))&lt;-0.6,IF($B669="高三",MIN(IF($E669="男",$Q669-3.2,$Q669-3.2),0),IF($B669="高二",MIN(IF($E669="男",$Q669-3.25,$Q669-3.22),0),IF($B669="高一",MIN(IF($E669="男",$Q669-3.3,$Q669-3.24),0))))+0.4,IF($B669="高三",MIN(IF($E669="男",$Q669-3.2,$Q669-3.2),0),IF($B669="高二",MIN(IF($E669="男",$Q669-3.25,$Q669-3.22),0),IF($B669="高一",MIN(IF($E669="男",$Q669-3.3,$Q669-3.24),0))))),2)</f>
        <v>0</v>
      </c>
      <c r="T669" s="23">
        <f>IF(E669="男",LOOKUP($S669,[1]对照表!$AB$3:$AB$13,[1]对照表!$AC$3:$AC$13),LOOKUP($S669,[1]对照表!$AB$15:$AB$25,[1]对照表!$AC$15:$AC$25))</f>
        <v>0</v>
      </c>
      <c r="U669" s="26">
        <f>R669+T669</f>
        <v>90</v>
      </c>
      <c r="V669" s="26">
        <f>SUM(I669,K669,M669)/3*0.3+SUM(G669,R669)/2*0.4</f>
        <v>57.4</v>
      </c>
      <c r="W669" s="27">
        <f>O669+T669</f>
        <v>0</v>
      </c>
      <c r="X669" s="28">
        <f>V669/0.7+W669</f>
        <v>82</v>
      </c>
      <c r="Y669" s="28">
        <f>X669</f>
        <v>82</v>
      </c>
      <c r="Z669" s="38"/>
    </row>
    <row r="670" spans="1:26" ht="15.6" x14ac:dyDescent="0.25">
      <c r="A670" s="48">
        <v>16</v>
      </c>
      <c r="B670" s="17" t="s">
        <v>767</v>
      </c>
      <c r="C670" s="51" t="s">
        <v>816</v>
      </c>
      <c r="D670" s="49" t="s">
        <v>1189</v>
      </c>
      <c r="E670" s="55" t="s">
        <v>23</v>
      </c>
      <c r="F670" s="38">
        <v>7</v>
      </c>
      <c r="G670" s="32">
        <f>IF(B670="高三",IF($E670="男",LOOKUP(F670,[1]对照表!$G$3:$G$24,[1]对照表!$H$3:$H$24),LOOKUP(F670,[1]对照表!$G$27:$G$48,[1]对照表!$H$27:$H$48)),IF(B670="高二",IF($E670="男",LOOKUP(F670,[1]对照表!$F$3:$F$24,[1]对照表!$H$3:$H$24),LOOKUP(F670,[1]对照表!$F$27:$F$48,[1]对照表!$H$27:$H$48)),IF(B670="高一",IF($E670="男",LOOKUP(F670,[1]对照表!$E$3:$E$24,[1]对照表!$H$3:$H$24),LOOKUP(F670,[1]对照表!$E$27:$E$48,[1]对照表!$H$27:$H$48)))))</f>
        <v>100</v>
      </c>
      <c r="H670" s="38">
        <v>21.5</v>
      </c>
      <c r="I670" s="32">
        <f>IF(B670="高三",IF($E670="男",LOOKUP(H670,[1]对照表!$K$3:$K$24,[1]对照表!$L$3:$L$24),LOOKUP(H670,[1]对照表!$K$27:$K$48,[1]对照表!$L$27:$L$48)),IF(B670="高二",IF($E670="男",LOOKUP(H670,[1]对照表!$J$3:$J$24,[1]对照表!$L$3:$L$24),LOOKUP(H670,[1]对照表!$J$27:$J$48,[1]对照表!$L$27:$L$48)),IF(B670="高一",IF($E670="男",LOOKUP(H670,[1]对照表!$I$3:$I$24,[1]对照表!$L$3:$L$24),LOOKUP(H670,[1]对照表!$I$27:$I$48,[1]对照表!$L$27:$L$48)))))</f>
        <v>90</v>
      </c>
      <c r="J670" s="38">
        <v>228</v>
      </c>
      <c r="K670" s="32">
        <f>IF(B670="高三",IF($E670="男",LOOKUP(J670,[1]对照表!$O$3:$O$24,[1]对照表!$P$3:$P$24),LOOKUP(J670,[1]对照表!$O$27:$O$48,[1]对照表!$P$27:$P$48)),IF(B670="高二",IF($E670="男",LOOKUP(J670,[1]对照表!$N$3:$N$24,[1]对照表!$P$3:$P$24),LOOKUP(J670,[1]对照表!$N$27:$N$48,[1]对照表!$P$27:$P$48)),IF(B670="高一",IF($E670="男",LOOKUP(J670,[1]对照表!$M$3:$M$24,[1]对照表!$P$3:$P$24),LOOKUP(J670,[1]对照表!$M$27:$M$48,[1]对照表!$P$27:$P$48)))))</f>
        <v>74</v>
      </c>
      <c r="L670" s="38">
        <v>6</v>
      </c>
      <c r="M670" s="32">
        <f>IF(B670="高三",IF($E670="男",LOOKUP(L670,[1]对照表!$S$3:$S$24,[1]对照表!$T$3:$T$24),LOOKUP(L670,[1]对照表!$S$27:$S$48,[1]对照表!$T$27:$T$48)),IF(B670="高二",IF($E670="男",LOOKUP(L670,[1]对照表!$R$3:$R$24,[1]对照表!$T$3:$T$24),LOOKUP(L670,[1]对照表!$R$27:$R$48,[1]对照表!$T$27:$T$48)),IF(B670="高一",IF($E670="男",LOOKUP(L670,[1]对照表!$Q$3:$Q$24,[1]对照表!$T$3:$T$24),LOOKUP(L670,[1]对照表!$Q$27:$Q$48,[1]对照表!$T$27:$T$48)))))</f>
        <v>40</v>
      </c>
      <c r="N670" s="33">
        <f>IF(B670="高三",MAX(IF(E670="男",L670-18,L670-55),0),IF(B670="高二",MAX(IF(E670="男",L670-17,L670-54),0),IF(B670="高一",MAX(IF(E670="男",L670-16,L670-53),0))))</f>
        <v>0</v>
      </c>
      <c r="O670" s="23">
        <f>IF(E670="男",LOOKUP($N670,[1]对照表!$Z$3:$Z$13,[1]对照表!$AA$3:$AA$13),LOOKUP($N670,[1]对照表!$Z$15:$Z$25,[1]对照表!$AA$15:$AA$25))</f>
        <v>0</v>
      </c>
      <c r="P670" s="25">
        <f>M670+O670</f>
        <v>40</v>
      </c>
      <c r="Q670" s="38">
        <v>3.37</v>
      </c>
      <c r="R670" s="32">
        <f>IF(B670="高三",IF($E670="男",LOOKUP(Q670,[1]对照表!$W$3:$W$24,[1]对照表!$X$3:$X$24),LOOKUP(Q670,[1]对照表!$W$27:$W$48,[1]对照表!$X$27:$X$48)),IF(B670="高二",IF($E670="男",LOOKUP(Q670,[1]对照表!$V$3:$V$24,[1]对照表!$X$3:$X$24),LOOKUP(Q670,[1]对照表!$V$27:$V$48,[1]对照表!$X$27:$X$48)),IF(B670="高一",IF($E670="男",LOOKUP(Q670,[1]对照表!$U$3:$U$24,[1]对照表!$X$3:$X$24),LOOKUP(Q670,[1]对照表!$U$27:$U$48,[1]对照表!$X$27:$X$48)))))</f>
        <v>85</v>
      </c>
      <c r="S670" s="33">
        <f>ROUND(IF(IF($B670="高三",MIN(IF($E670="男",$Q670-3.2,$Q670-3.2),0),IF($B670="高二",MIN(IF($E670="男",$Q670-3.25,$Q670-3.22),0),IF($B670="高一",MIN(IF($E670="男",$Q670-3.3,$Q670-3.24),0))))&lt;-0.6,IF($B670="高三",MIN(IF($E670="男",$Q670-3.2,$Q670-3.2),0),IF($B670="高二",MIN(IF($E670="男",$Q670-3.25,$Q670-3.22),0),IF($B670="高一",MIN(IF($E670="男",$Q670-3.3,$Q670-3.24),0))))+0.4,IF($B670="高三",MIN(IF($E670="男",$Q670-3.2,$Q670-3.2),0),IF($B670="高二",MIN(IF($E670="男",$Q670-3.25,$Q670-3.22),0),IF($B670="高一",MIN(IF($E670="男",$Q670-3.3,$Q670-3.24),0))))),2)</f>
        <v>0</v>
      </c>
      <c r="T670" s="23">
        <f>IF(E670="男",LOOKUP($S670,[1]对照表!$AB$3:$AB$13,[1]对照表!$AC$3:$AC$13),LOOKUP($S670,[1]对照表!$AB$15:$AB$25,[1]对照表!$AC$15:$AC$25))</f>
        <v>0</v>
      </c>
      <c r="U670" s="26">
        <f>R670+T670</f>
        <v>85</v>
      </c>
      <c r="V670" s="26">
        <f>SUM(I670,K670,M670)/3*0.3+SUM(G670,R670)/2*0.4</f>
        <v>57.4</v>
      </c>
      <c r="W670" s="27">
        <f>O670+T670</f>
        <v>0</v>
      </c>
      <c r="X670" s="28">
        <f>V670/0.7+W670</f>
        <v>82</v>
      </c>
      <c r="Y670" s="28">
        <f>X670</f>
        <v>82</v>
      </c>
      <c r="Z670" s="38"/>
    </row>
    <row r="671" spans="1:26" ht="15.6" x14ac:dyDescent="0.25">
      <c r="A671" s="48">
        <v>18</v>
      </c>
      <c r="B671" s="17" t="s">
        <v>767</v>
      </c>
      <c r="C671" s="51" t="s">
        <v>816</v>
      </c>
      <c r="D671" s="49" t="s">
        <v>1209</v>
      </c>
      <c r="E671" s="55" t="s">
        <v>23</v>
      </c>
      <c r="F671" s="38">
        <v>7.7</v>
      </c>
      <c r="G671" s="32">
        <f>IF(B671="高三",IF($E671="男",LOOKUP(F671,[1]对照表!$G$3:$G$24,[1]对照表!$H$3:$H$24),LOOKUP(F671,[1]对照表!$G$27:$G$48,[1]对照表!$H$27:$H$48)),IF(B671="高二",IF($E671="男",LOOKUP(F671,[1]对照表!$F$3:$F$24,[1]对照表!$H$3:$H$24),LOOKUP(F671,[1]对照表!$F$27:$F$48,[1]对照表!$H$27:$H$48)),IF(B671="高一",IF($E671="男",LOOKUP(F671,[1]对照表!$E$3:$E$24,[1]对照表!$H$3:$H$24),LOOKUP(F671,[1]对照表!$E$27:$E$48,[1]对照表!$H$27:$H$48)))))</f>
        <v>76</v>
      </c>
      <c r="H671" s="38">
        <v>15</v>
      </c>
      <c r="I671" s="32">
        <f>IF(B671="高三",IF($E671="男",LOOKUP(H671,[1]对照表!$K$3:$K$24,[1]对照表!$L$3:$L$24),LOOKUP(H671,[1]对照表!$K$27:$K$48,[1]对照表!$L$27:$L$48)),IF(B671="高二",IF($E671="男",LOOKUP(H671,[1]对照表!$J$3:$J$24,[1]对照表!$L$3:$L$24),LOOKUP(H671,[1]对照表!$J$27:$J$48,[1]对照表!$L$27:$L$48)),IF(B671="高一",IF($E671="男",LOOKUP(H671,[1]对照表!$I$3:$I$24,[1]对照表!$L$3:$L$24),LOOKUP(H671,[1]对照表!$I$27:$I$48,[1]对照表!$L$27:$L$48)))))</f>
        <v>78</v>
      </c>
      <c r="J671" s="38">
        <v>247</v>
      </c>
      <c r="K671" s="32">
        <f>IF(B671="高三",IF($E671="男",LOOKUP(J671,[1]对照表!$O$3:$O$24,[1]对照表!$P$3:$P$24),LOOKUP(J671,[1]对照表!$O$27:$O$48,[1]对照表!$P$27:$P$48)),IF(B671="高二",IF($E671="男",LOOKUP(J671,[1]对照表!$N$3:$N$24,[1]对照表!$P$3:$P$24),LOOKUP(J671,[1]对照表!$N$27:$N$48,[1]对照表!$P$27:$P$48)),IF(B671="高一",IF($E671="男",LOOKUP(J671,[1]对照表!$M$3:$M$24,[1]对照表!$P$3:$P$24),LOOKUP(J671,[1]对照表!$M$27:$M$48,[1]对照表!$P$27:$P$48)))))</f>
        <v>80</v>
      </c>
      <c r="L671" s="38">
        <v>17</v>
      </c>
      <c r="M671" s="32">
        <f>IF(B671="高三",IF($E671="男",LOOKUP(L671,[1]对照表!$S$3:$S$24,[1]对照表!$T$3:$T$24),LOOKUP(L671,[1]对照表!$S$27:$S$48,[1]对照表!$T$27:$T$48)),IF(B671="高二",IF($E671="男",LOOKUP(L671,[1]对照表!$R$3:$R$24,[1]对照表!$T$3:$T$24),LOOKUP(L671,[1]对照表!$R$27:$R$48,[1]对照表!$T$27:$T$48)),IF(B671="高一",IF($E671="男",LOOKUP(L671,[1]对照表!$Q$3:$Q$24,[1]对照表!$T$3:$T$24),LOOKUP(L671,[1]对照表!$Q$27:$Q$48,[1]对照表!$T$27:$T$48)))))</f>
        <v>100</v>
      </c>
      <c r="N671" s="33">
        <f>IF(B671="高三",MAX(IF(E671="男",L671-18,L671-55),0),IF(B671="高二",MAX(IF(E671="男",L671-17,L671-54),0),IF(B671="高一",MAX(IF(E671="男",L671-16,L671-53),0))))</f>
        <v>0</v>
      </c>
      <c r="O671" s="23">
        <f>IF(E671="男",LOOKUP($N671,[1]对照表!$Z$3:$Z$13,[1]对照表!$AA$3:$AA$13),LOOKUP($N671,[1]对照表!$Z$15:$Z$25,[1]对照表!$AA$15:$AA$25))</f>
        <v>0</v>
      </c>
      <c r="P671" s="25">
        <f>M671+O671</f>
        <v>100</v>
      </c>
      <c r="Q671" s="38">
        <v>3.53</v>
      </c>
      <c r="R671" s="32">
        <f>IF(B671="高三",IF($E671="男",LOOKUP(Q671,[1]对照表!$W$3:$W$24,[1]对照表!$X$3:$X$24),LOOKUP(Q671,[1]对照表!$W$27:$W$48,[1]对照表!$X$27:$X$48)),IF(B671="高二",IF($E671="男",LOOKUP(Q671,[1]对照表!$V$3:$V$24,[1]对照表!$X$3:$X$24),LOOKUP(Q671,[1]对照表!$V$27:$V$48,[1]对照表!$X$27:$X$48)),IF(B671="高一",IF($E671="男",LOOKUP(Q671,[1]对照表!$U$3:$U$24,[1]对照表!$X$3:$X$24),LOOKUP(Q671,[1]对照表!$U$27:$U$48,[1]对照表!$X$27:$X$48)))))</f>
        <v>78</v>
      </c>
      <c r="S671" s="33">
        <f>ROUND(IF(IF($B671="高三",MIN(IF($E671="男",$Q671-3.2,$Q671-3.2),0),IF($B671="高二",MIN(IF($E671="男",$Q671-3.25,$Q671-3.22),0),IF($B671="高一",MIN(IF($E671="男",$Q671-3.3,$Q671-3.24),0))))&lt;-0.6,IF($B671="高三",MIN(IF($E671="男",$Q671-3.2,$Q671-3.2),0),IF($B671="高二",MIN(IF($E671="男",$Q671-3.25,$Q671-3.22),0),IF($B671="高一",MIN(IF($E671="男",$Q671-3.3,$Q671-3.24),0))))+0.4,IF($B671="高三",MIN(IF($E671="男",$Q671-3.2,$Q671-3.2),0),IF($B671="高二",MIN(IF($E671="男",$Q671-3.25,$Q671-3.22),0),IF($B671="高一",MIN(IF($E671="男",$Q671-3.3,$Q671-3.24),0))))),2)</f>
        <v>0</v>
      </c>
      <c r="T671" s="23">
        <f>IF(E671="男",LOOKUP($S671,[1]对照表!$AB$3:$AB$13,[1]对照表!$AC$3:$AC$13),LOOKUP($S671,[1]对照表!$AB$15:$AB$25,[1]对照表!$AC$15:$AC$25))</f>
        <v>0</v>
      </c>
      <c r="U671" s="26">
        <f>R671+T671</f>
        <v>78</v>
      </c>
      <c r="V671" s="26">
        <f>SUM(I671,K671,M671)/3*0.3+SUM(G671,R671)/2*0.4</f>
        <v>56.6</v>
      </c>
      <c r="W671" s="27">
        <f>O671+T671</f>
        <v>0</v>
      </c>
      <c r="X671" s="28">
        <f>V671/0.7+W671</f>
        <v>80.857142857142861</v>
      </c>
      <c r="Y671" s="28">
        <f>X671</f>
        <v>80.857142857142861</v>
      </c>
      <c r="Z671" s="38"/>
    </row>
    <row r="672" spans="1:26" ht="15.6" x14ac:dyDescent="0.25">
      <c r="A672" s="48">
        <v>21</v>
      </c>
      <c r="B672" s="17" t="s">
        <v>767</v>
      </c>
      <c r="C672" s="51" t="s">
        <v>816</v>
      </c>
      <c r="D672" s="49" t="s">
        <v>1211</v>
      </c>
      <c r="E672" s="55" t="s">
        <v>23</v>
      </c>
      <c r="F672" s="38">
        <v>7.3</v>
      </c>
      <c r="G672" s="32">
        <f>IF(B672="高三",IF($E672="男",LOOKUP(F672,[1]对照表!$G$3:$G$24,[1]对照表!$H$3:$H$24),LOOKUP(F672,[1]对照表!$G$27:$G$48,[1]对照表!$H$27:$H$48)),IF(B672="高二",IF($E672="男",LOOKUP(F672,[1]对照表!$F$3:$F$24,[1]对照表!$H$3:$H$24),LOOKUP(F672,[1]对照表!$F$27:$F$48,[1]对照表!$H$27:$H$48)),IF(B672="高一",IF($E672="男",LOOKUP(F672,[1]对照表!$E$3:$E$24,[1]对照表!$H$3:$H$24),LOOKUP(F672,[1]对照表!$E$27:$E$48,[1]对照表!$H$27:$H$48)))))</f>
        <v>85</v>
      </c>
      <c r="H672" s="38">
        <v>23</v>
      </c>
      <c r="I672" s="32">
        <f>IF(B672="高三",IF($E672="男",LOOKUP(H672,[1]对照表!$K$3:$K$24,[1]对照表!$L$3:$L$24),LOOKUP(H672,[1]对照表!$K$27:$K$48,[1]对照表!$L$27:$L$48)),IF(B672="高二",IF($E672="男",LOOKUP(H672,[1]对照表!$J$3:$J$24,[1]对照表!$L$3:$L$24),LOOKUP(H672,[1]对照表!$J$27:$J$48,[1]对照表!$L$27:$L$48)),IF(B672="高一",IF($E672="男",LOOKUP(H672,[1]对照表!$I$3:$I$24,[1]对照表!$L$3:$L$24),LOOKUP(H672,[1]对照表!$I$27:$I$48,[1]对照表!$L$27:$L$48)))))</f>
        <v>95</v>
      </c>
      <c r="J672" s="38">
        <v>225</v>
      </c>
      <c r="K672" s="32">
        <f>IF(B672="高三",IF($E672="男",LOOKUP(J672,[1]对照表!$O$3:$O$24,[1]对照表!$P$3:$P$24),LOOKUP(J672,[1]对照表!$O$27:$O$48,[1]对照表!$P$27:$P$48)),IF(B672="高二",IF($E672="男",LOOKUP(J672,[1]对照表!$N$3:$N$24,[1]对照表!$P$3:$P$24),LOOKUP(J672,[1]对照表!$N$27:$N$48,[1]对照表!$P$27:$P$48)),IF(B672="高一",IF($E672="男",LOOKUP(J672,[1]对照表!$M$3:$M$24,[1]对照表!$P$3:$P$24),LOOKUP(J672,[1]对照表!$M$27:$M$48,[1]对照表!$P$27:$P$48)))))</f>
        <v>72</v>
      </c>
      <c r="L672" s="38">
        <v>10</v>
      </c>
      <c r="M672" s="32">
        <f>IF(B672="高三",IF($E672="男",LOOKUP(L672,[1]对照表!$S$3:$S$24,[1]对照表!$T$3:$T$24),LOOKUP(L672,[1]对照表!$S$27:$S$48,[1]对照表!$T$27:$T$48)),IF(B672="高二",IF($E672="男",LOOKUP(L672,[1]对照表!$R$3:$R$24,[1]对照表!$T$3:$T$24),LOOKUP(L672,[1]对照表!$R$27:$R$48,[1]对照表!$T$27:$T$48)),IF(B672="高一",IF($E672="男",LOOKUP(L672,[1]对照表!$Q$3:$Q$24,[1]对照表!$T$3:$T$24),LOOKUP(L672,[1]对照表!$Q$27:$Q$48,[1]对照表!$T$27:$T$48)))))</f>
        <v>68</v>
      </c>
      <c r="N672" s="33">
        <f>IF(B672="高三",MAX(IF(E672="男",L672-18,L672-55),0),IF(B672="高二",MAX(IF(E672="男",L672-17,L672-54),0),IF(B672="高一",MAX(IF(E672="男",L672-16,L672-53),0))))</f>
        <v>0</v>
      </c>
      <c r="O672" s="23">
        <f>IF(E672="男",LOOKUP($N672,[1]对照表!$Z$3:$Z$13,[1]对照表!$AA$3:$AA$13),LOOKUP($N672,[1]对照表!$Z$15:$Z$25,[1]对照表!$AA$15:$AA$25))</f>
        <v>0</v>
      </c>
      <c r="P672" s="25">
        <f>M672+O672</f>
        <v>68</v>
      </c>
      <c r="Q672" s="38">
        <v>3.48</v>
      </c>
      <c r="R672" s="32">
        <f>IF(B672="高三",IF($E672="男",LOOKUP(Q672,[1]对照表!$W$3:$W$24,[1]对照表!$X$3:$X$24),LOOKUP(Q672,[1]对照表!$W$27:$W$48,[1]对照表!$X$27:$X$48)),IF(B672="高二",IF($E672="男",LOOKUP(Q672,[1]对照表!$V$3:$V$24,[1]对照表!$X$3:$X$24),LOOKUP(Q672,[1]对照表!$V$27:$V$48,[1]对照表!$X$27:$X$48)),IF(B672="高一",IF($E672="男",LOOKUP(Q672,[1]对照表!$U$3:$U$24,[1]对照表!$X$3:$X$24),LOOKUP(Q672,[1]对照表!$U$27:$U$48,[1]对照表!$X$27:$X$48)))))</f>
        <v>80</v>
      </c>
      <c r="S672" s="27">
        <f>ROUND(IF(IF($B672="高三",MIN(IF($E672="男",$Q672-3.2,$Q672-3.2),0),IF($B672="高二",MIN(IF($E672="男",$Q672-3.25,$Q672-3.22),0),IF($B672="高一",MIN(IF($E672="男",$Q672-3.3,$Q672-3.24),0))))&lt;-0.6,IF($B672="高三",MIN(IF($E672="男",$Q672-3.2,$Q672-3.2),0),IF($B672="高二",MIN(IF($E672="男",$Q672-3.25,$Q672-3.22),0),IF($B672="高一",MIN(IF($E672="男",$Q672-3.3,$Q672-3.24),0))))+0.4,IF($B672="高三",MIN(IF($E672="男",$Q672-3.2,$Q672-3.2),0),IF($B672="高二",MIN(IF($E672="男",$Q672-3.25,$Q672-3.22),0),IF($B672="高一",MIN(IF($E672="男",$Q672-3.3,$Q672-3.24),0))))),2)</f>
        <v>0</v>
      </c>
      <c r="T672" s="23">
        <f>IF(E672="男",LOOKUP($S672,[1]对照表!$AB$3:$AB$13,[1]对照表!$AC$3:$AC$13),LOOKUP($S672,[1]对照表!$AB$15:$AB$25,[1]对照表!$AC$15:$AC$25))</f>
        <v>0</v>
      </c>
      <c r="U672" s="26">
        <f>R672+T672</f>
        <v>80</v>
      </c>
      <c r="V672" s="26">
        <f>SUM(I672,K672,M672)/3*0.3+SUM(G672,R672)/2*0.4</f>
        <v>56.5</v>
      </c>
      <c r="W672" s="27">
        <f>O672+T672</f>
        <v>0</v>
      </c>
      <c r="X672" s="28">
        <f>V672/0.7+W672</f>
        <v>80.714285714285722</v>
      </c>
      <c r="Y672" s="28">
        <f>X672</f>
        <v>80.714285714285722</v>
      </c>
      <c r="Z672" s="38"/>
    </row>
    <row r="673" spans="1:26" ht="15.6" customHeight="1" x14ac:dyDescent="0.25">
      <c r="A673" s="38">
        <v>38</v>
      </c>
      <c r="B673" s="17" t="s">
        <v>767</v>
      </c>
      <c r="C673" s="51" t="s">
        <v>816</v>
      </c>
      <c r="D673" s="49" t="s">
        <v>1221</v>
      </c>
      <c r="E673" s="48" t="s">
        <v>65</v>
      </c>
      <c r="F673" s="38">
        <v>9.6199999999999992</v>
      </c>
      <c r="G673" s="32">
        <f>IF(B673="高三",IF($E673="男",LOOKUP(F673,[1]对照表!$G$3:$G$24,[1]对照表!$H$3:$H$24),LOOKUP(F673,[1]对照表!$G$27:$G$48,[1]对照表!$H$27:$H$48)),IF(B673="高二",IF($E673="男",LOOKUP(F673,[1]对照表!$F$3:$F$24,[1]对照表!$H$3:$H$24),LOOKUP(F673,[1]对照表!$F$27:$F$48,[1]对照表!$H$27:$H$48)),IF(B673="高一",IF($E673="男",LOOKUP(F673,[1]对照表!$E$3:$E$24,[1]对照表!$H$3:$H$24),LOOKUP(F673,[1]对照表!$E$27:$E$48,[1]对照表!$H$27:$H$48)))))</f>
        <v>68</v>
      </c>
      <c r="H673" s="38">
        <v>16.5</v>
      </c>
      <c r="I673" s="32">
        <f>IF(B673="高三",IF($E673="男",LOOKUP(H673,[1]对照表!$K$3:$K$24,[1]对照表!$L$3:$L$24),LOOKUP(H673,[1]对照表!$K$27:$K$48,[1]对照表!$L$27:$L$48)),IF(B673="高二",IF($E673="男",LOOKUP(H673,[1]对照表!$J$3:$J$24,[1]对照表!$L$3:$L$24),LOOKUP(H673,[1]对照表!$J$27:$J$48,[1]对照表!$L$27:$L$48)),IF(B673="高一",IF($E673="男",LOOKUP(H673,[1]对照表!$I$3:$I$24,[1]对照表!$L$3:$L$24),LOOKUP(H673,[1]对照表!$I$27:$I$48,[1]对照表!$L$27:$L$48)))))</f>
        <v>76</v>
      </c>
      <c r="J673" s="38">
        <v>160</v>
      </c>
      <c r="K673" s="32">
        <f>IF(B673="高三",IF($E673="男",LOOKUP(J673,[1]对照表!$O$3:$O$24,[1]对照表!$P$3:$P$24),LOOKUP(J673,[1]对照表!$O$27:$O$48,[1]对照表!$P$27:$P$48)),IF(B673="高二",IF($E673="男",LOOKUP(J673,[1]对照表!$N$3:$N$24,[1]对照表!$P$3:$P$24),LOOKUP(J673,[1]对照表!$N$27:$N$48,[1]对照表!$P$27:$P$48)),IF(B673="高一",IF($E673="男",LOOKUP(J673,[1]对照表!$M$3:$M$24,[1]对照表!$P$3:$P$24),LOOKUP(J673,[1]对照表!$M$27:$M$48,[1]对照表!$P$27:$P$48)))))</f>
        <v>66</v>
      </c>
      <c r="L673" s="38">
        <v>49</v>
      </c>
      <c r="M673" s="32">
        <f>IF(B673="高三",IF($E673="男",LOOKUP(L673,[1]对照表!$S$3:$S$24,[1]对照表!$T$3:$T$24),LOOKUP(L673,[1]对照表!$S$27:$S$48,[1]对照表!$T$27:$T$48)),IF(B673="高二",IF($E673="男",LOOKUP(L673,[1]对照表!$R$3:$R$24,[1]对照表!$T$3:$T$24),LOOKUP(L673,[1]对照表!$R$27:$R$48,[1]对照表!$T$27:$T$48)),IF(B673="高一",IF($E673="男",LOOKUP(L673,[1]对照表!$Q$3:$Q$24,[1]对照表!$T$3:$T$24),LOOKUP(L673,[1]对照表!$Q$27:$Q$48,[1]对照表!$T$27:$T$48)))))</f>
        <v>85</v>
      </c>
      <c r="N673" s="33">
        <f>IF(B673="高三",MAX(IF(E673="男",L673-18,L673-55),0),IF(B673="高二",MAX(IF(E673="男",L673-17,L673-54),0),IF(B673="高一",MAX(IF(E673="男",L673-16,L673-53),0))))</f>
        <v>0</v>
      </c>
      <c r="O673" s="23">
        <f>IF(E673="男",LOOKUP($N673,[1]对照表!$Z$3:$Z$13,[1]对照表!$AA$3:$AA$13),LOOKUP($N673,[1]对照表!$Z$15:$Z$25,[1]对照表!$AA$15:$AA$25))</f>
        <v>0</v>
      </c>
      <c r="P673" s="25">
        <f>M673+O673</f>
        <v>85</v>
      </c>
      <c r="Q673" s="38">
        <v>4</v>
      </c>
      <c r="R673" s="32">
        <f>IF(B673="高三",IF($E673="男",LOOKUP(Q673,[1]对照表!$W$3:$W$24,[1]对照表!$X$3:$X$24),LOOKUP(Q673,[1]对照表!$W$27:$W$48,[1]对照表!$X$27:$X$48)),IF(B673="高二",IF($E673="男",LOOKUP(Q673,[1]对照表!$V$3:$V$24,[1]对照表!$X$3:$X$24),LOOKUP(Q673,[1]对照表!$V$27:$V$48,[1]对照表!$X$27:$X$48)),IF(B673="高一",IF($E673="男",LOOKUP(Q673,[1]对照表!$U$3:$U$24,[1]对照表!$X$3:$X$24),LOOKUP(Q673,[1]对照表!$U$27:$U$48,[1]对照表!$X$27:$X$48)))))</f>
        <v>74</v>
      </c>
      <c r="S673" s="33">
        <f>ROUND(IF(IF($B673="高三",MIN(IF($E673="男",$Q673-3.2,$Q673-3.2),0),IF($B673="高二",MIN(IF($E673="男",$Q673-3.25,$Q673-3.22),0),IF($B673="高一",MIN(IF($E673="男",$Q673-3.3,$Q673-3.24),0))))&lt;-0.6,IF($B673="高三",MIN(IF($E673="男",$Q673-3.2,$Q673-3.2),0),IF($B673="高二",MIN(IF($E673="男",$Q673-3.25,$Q673-3.22),0),IF($B673="高一",MIN(IF($E673="男",$Q673-3.3,$Q673-3.24),0))))+0.4,IF($B673="高三",MIN(IF($E673="男",$Q673-3.2,$Q673-3.2),0),IF($B673="高二",MIN(IF($E673="男",$Q673-3.25,$Q673-3.22),0),IF($B673="高一",MIN(IF($E673="男",$Q673-3.3,$Q673-3.24),0))))),2)</f>
        <v>0</v>
      </c>
      <c r="T673" s="23">
        <f>IF(E673="男",LOOKUP($S673,[1]对照表!$AB$3:$AB$13,[1]对照表!$AC$3:$AC$13),LOOKUP($S673,[1]对照表!$AB$15:$AB$25,[1]对照表!$AC$15:$AC$25))</f>
        <v>0</v>
      </c>
      <c r="U673" s="26">
        <f>R673+T673</f>
        <v>74</v>
      </c>
      <c r="V673" s="26">
        <f>SUM(I673,K673,M673)/3*0.3+SUM(G673,R673)/2*0.4</f>
        <v>51.1</v>
      </c>
      <c r="W673" s="27">
        <f>O673+T673</f>
        <v>0</v>
      </c>
      <c r="X673" s="28">
        <f>V673/0.7+W673</f>
        <v>73</v>
      </c>
      <c r="Y673" s="28">
        <f>X673</f>
        <v>73</v>
      </c>
      <c r="Z673" s="38"/>
    </row>
    <row r="674" spans="1:26" ht="15.6" customHeight="1" x14ac:dyDescent="0.25">
      <c r="A674" s="48">
        <v>33</v>
      </c>
      <c r="B674" s="17" t="s">
        <v>767</v>
      </c>
      <c r="C674" s="51" t="s">
        <v>816</v>
      </c>
      <c r="D674" s="49" t="s">
        <v>1222</v>
      </c>
      <c r="E674" s="48" t="s">
        <v>65</v>
      </c>
      <c r="F674" s="38">
        <v>8.25</v>
      </c>
      <c r="G674" s="32">
        <f>IF(B674="高三",IF($E674="男",LOOKUP(F674,[1]对照表!$G$3:$G$24,[1]对照表!$H$3:$H$24),LOOKUP(F674,[1]对照表!$G$27:$G$48,[1]对照表!$H$27:$H$48)),IF(B674="高二",IF($E674="男",LOOKUP(F674,[1]对照表!$F$3:$F$24,[1]对照表!$H$3:$H$24),LOOKUP(F674,[1]对照表!$F$27:$F$48,[1]对照表!$H$27:$H$48)),IF(B674="高一",IF($E674="男",LOOKUP(F674,[1]对照表!$E$3:$E$24,[1]对照表!$H$3:$H$24),LOOKUP(F674,[1]对照表!$E$27:$E$48,[1]对照表!$H$27:$H$48)))))</f>
        <v>80</v>
      </c>
      <c r="H674" s="38">
        <v>14.5</v>
      </c>
      <c r="I674" s="32">
        <f>IF(B674="高三",IF($E674="男",LOOKUP(H674,[1]对照表!$K$3:$K$24,[1]对照表!$L$3:$L$24),LOOKUP(H674,[1]对照表!$K$27:$K$48,[1]对照表!$L$27:$L$48)),IF(B674="高二",IF($E674="男",LOOKUP(H674,[1]对照表!$J$3:$J$24,[1]对照表!$L$3:$L$24),LOOKUP(H674,[1]对照表!$J$27:$J$48,[1]对照表!$L$27:$L$48)),IF(B674="高一",IF($E674="男",LOOKUP(H674,[1]对照表!$I$3:$I$24,[1]对照表!$L$3:$L$24),LOOKUP(H674,[1]对照表!$I$27:$I$48,[1]对照表!$L$27:$L$48)))))</f>
        <v>74</v>
      </c>
      <c r="J674" s="38">
        <v>195</v>
      </c>
      <c r="K674" s="32">
        <f>IF(B674="高三",IF($E674="男",LOOKUP(J674,[1]对照表!$O$3:$O$24,[1]对照表!$P$3:$P$24),LOOKUP(J674,[1]对照表!$O$27:$O$48,[1]对照表!$P$27:$P$48)),IF(B674="高二",IF($E674="男",LOOKUP(J674,[1]对照表!$N$3:$N$24,[1]对照表!$P$3:$P$24),LOOKUP(J674,[1]对照表!$N$27:$N$48,[1]对照表!$P$27:$P$48)),IF(B674="高一",IF($E674="男",LOOKUP(J674,[1]对照表!$M$3:$M$24,[1]对照表!$P$3:$P$24),LOOKUP(J674,[1]对照表!$M$27:$M$48,[1]对照表!$P$27:$P$48)))))</f>
        <v>90</v>
      </c>
      <c r="L674" s="38">
        <v>57</v>
      </c>
      <c r="M674" s="32">
        <f>IF(B674="高三",IF($E674="男",LOOKUP(L674,[1]对照表!$S$3:$S$24,[1]对照表!$T$3:$T$24),LOOKUP(L674,[1]对照表!$S$27:$S$48,[1]对照表!$T$27:$T$48)),IF(B674="高二",IF($E674="男",LOOKUP(L674,[1]对照表!$R$3:$R$24,[1]对照表!$T$3:$T$24),LOOKUP(L674,[1]对照表!$R$27:$R$48,[1]对照表!$T$27:$T$48)),IF(B674="高一",IF($E674="男",LOOKUP(L674,[1]对照表!$Q$3:$Q$24,[1]对照表!$T$3:$T$24),LOOKUP(L674,[1]对照表!$Q$27:$Q$48,[1]对照表!$T$27:$T$48)))))</f>
        <v>100</v>
      </c>
      <c r="N674" s="33">
        <f>IF(B674="高三",MAX(IF(E674="男",L674-18,L674-55),0),IF(B674="高二",MAX(IF(E674="男",L674-17,L674-54),0),IF(B674="高一",MAX(IF(E674="男",L674-16,L674-53),0))))</f>
        <v>3</v>
      </c>
      <c r="O674" s="23">
        <f>IF(E674="男",LOOKUP($N674,[1]对照表!$Z$3:$Z$13,[1]对照表!$AA$3:$AA$13),LOOKUP($N674,[1]对照表!$Z$15:$Z$25,[1]对照表!$AA$15:$AA$25))</f>
        <v>1</v>
      </c>
      <c r="P674" s="25">
        <f>M674+O674</f>
        <v>101</v>
      </c>
      <c r="Q674" s="38">
        <v>4.5</v>
      </c>
      <c r="R674" s="32">
        <f>IF(B674="高三",IF($E674="男",LOOKUP(Q674,[1]对照表!$W$3:$W$24,[1]对照表!$X$3:$X$24),LOOKUP(Q674,[1]对照表!$W$27:$W$48,[1]对照表!$X$27:$X$48)),IF(B674="高二",IF($E674="男",LOOKUP(Q674,[1]对照表!$V$3:$V$24,[1]对照表!$X$3:$X$24),LOOKUP(Q674,[1]对照表!$V$27:$V$48,[1]对照表!$X$27:$X$48)),IF(B674="高一",IF($E674="男",LOOKUP(Q674,[1]对照表!$U$3:$U$24,[1]对照表!$X$3:$X$24),LOOKUP(Q674,[1]对照表!$U$27:$U$48,[1]对照表!$X$27:$X$48)))))</f>
        <v>40</v>
      </c>
      <c r="S674" s="33">
        <f>ROUND(IF(IF($B674="高三",MIN(IF($E674="男",$Q674-3.2,$Q674-3.2),0),IF($B674="高二",MIN(IF($E674="男",$Q674-3.25,$Q674-3.22),0),IF($B674="高一",MIN(IF($E674="男",$Q674-3.3,$Q674-3.24),0))))&lt;-0.6,IF($B674="高三",MIN(IF($E674="男",$Q674-3.2,$Q674-3.2),0),IF($B674="高二",MIN(IF($E674="男",$Q674-3.25,$Q674-3.22),0),IF($B674="高一",MIN(IF($E674="男",$Q674-3.3,$Q674-3.24),0))))+0.4,IF($B674="高三",MIN(IF($E674="男",$Q674-3.2,$Q674-3.2),0),IF($B674="高二",MIN(IF($E674="男",$Q674-3.25,$Q674-3.22),0),IF($B674="高一",MIN(IF($E674="男",$Q674-3.3,$Q674-3.24),0))))),2)</f>
        <v>0</v>
      </c>
      <c r="T674" s="23">
        <f>IF(E674="男",LOOKUP($S674,[1]对照表!$AB$3:$AB$13,[1]对照表!$AC$3:$AC$13),LOOKUP($S674,[1]对照表!$AB$15:$AB$25,[1]对照表!$AC$15:$AC$25))</f>
        <v>0</v>
      </c>
      <c r="U674" s="26">
        <f>R674+T674</f>
        <v>40</v>
      </c>
      <c r="V674" s="26">
        <f>SUM(I674,K674,M674)/3*0.3+SUM(G674,R674)/2*0.4</f>
        <v>50.4</v>
      </c>
      <c r="W674" s="27">
        <f>O674+T674</f>
        <v>1</v>
      </c>
      <c r="X674" s="28">
        <f>V674/0.7+W674</f>
        <v>73</v>
      </c>
      <c r="Y674" s="28">
        <f>X674</f>
        <v>73</v>
      </c>
      <c r="Z674" s="38"/>
    </row>
    <row r="675" spans="1:26" ht="15.6" customHeight="1" x14ac:dyDescent="0.25">
      <c r="A675" s="48">
        <v>36</v>
      </c>
      <c r="B675" s="17" t="s">
        <v>767</v>
      </c>
      <c r="C675" s="51" t="s">
        <v>816</v>
      </c>
      <c r="D675" s="49" t="s">
        <v>1256</v>
      </c>
      <c r="E675" s="48" t="s">
        <v>65</v>
      </c>
      <c r="F675" s="38">
        <v>9.4</v>
      </c>
      <c r="G675" s="32">
        <f>IF(B675="高三",IF($E675="男",LOOKUP(F675,[1]对照表!$G$3:$G$24,[1]对照表!$H$3:$H$24),LOOKUP(F675,[1]对照表!$G$27:$G$48,[1]对照表!$H$27:$H$48)),IF(B675="高二",IF($E675="男",LOOKUP(F675,[1]对照表!$F$3:$F$24,[1]对照表!$H$3:$H$24),LOOKUP(F675,[1]对照表!$F$27:$F$48,[1]对照表!$H$27:$H$48)),IF(B675="高一",IF($E675="男",LOOKUP(F675,[1]对照表!$E$3:$E$24,[1]对照表!$H$3:$H$24),LOOKUP(F675,[1]对照表!$E$27:$E$48,[1]对照表!$H$27:$H$48)))))</f>
        <v>70</v>
      </c>
      <c r="H675" s="38">
        <v>15</v>
      </c>
      <c r="I675" s="32">
        <f>IF(B675="高三",IF($E675="男",LOOKUP(H675,[1]对照表!$K$3:$K$24,[1]对照表!$L$3:$L$24),LOOKUP(H675,[1]对照表!$K$27:$K$48,[1]对照表!$L$27:$L$48)),IF(B675="高二",IF($E675="男",LOOKUP(H675,[1]对照表!$J$3:$J$24,[1]对照表!$L$3:$L$24),LOOKUP(H675,[1]对照表!$J$27:$J$48,[1]对照表!$L$27:$L$48)),IF(B675="高一",IF($E675="男",LOOKUP(H675,[1]对照表!$I$3:$I$24,[1]对照表!$L$3:$L$24),LOOKUP(H675,[1]对照表!$I$27:$I$48,[1]对照表!$L$27:$L$48)))))</f>
        <v>74</v>
      </c>
      <c r="J675" s="38">
        <v>161</v>
      </c>
      <c r="K675" s="32">
        <f>IF(B675="高三",IF($E675="男",LOOKUP(J675,[1]对照表!$O$3:$O$24,[1]对照表!$P$3:$P$24),LOOKUP(J675,[1]对照表!$O$27:$O$48,[1]对照表!$P$27:$P$48)),IF(B675="高二",IF($E675="男",LOOKUP(J675,[1]对照表!$N$3:$N$24,[1]对照表!$P$3:$P$24),LOOKUP(J675,[1]对照表!$N$27:$N$48,[1]对照表!$P$27:$P$48)),IF(B675="高一",IF($E675="男",LOOKUP(J675,[1]对照表!$M$3:$M$24,[1]对照表!$P$3:$P$24),LOOKUP(J675,[1]对照表!$M$27:$M$48,[1]对照表!$P$27:$P$48)))))</f>
        <v>68</v>
      </c>
      <c r="L675" s="38">
        <v>50</v>
      </c>
      <c r="M675" s="32">
        <f>IF(B675="高三",IF($E675="男",LOOKUP(L675,[1]对照表!$S$3:$S$24,[1]对照表!$T$3:$T$24),LOOKUP(L675,[1]对照表!$S$27:$S$48,[1]对照表!$T$27:$T$48)),IF(B675="高二",IF($E675="男",LOOKUP(L675,[1]对照表!$R$3:$R$24,[1]对照表!$T$3:$T$24),LOOKUP(L675,[1]对照表!$R$27:$R$48,[1]对照表!$T$27:$T$48)),IF(B675="高一",IF($E675="男",LOOKUP(L675,[1]对照表!$Q$3:$Q$24,[1]对照表!$T$3:$T$24),LOOKUP(L675,[1]对照表!$Q$27:$Q$48,[1]对照表!$T$27:$T$48)))))</f>
        <v>90</v>
      </c>
      <c r="N675" s="33">
        <f>IF(B675="高三",MAX(IF(E675="男",L675-18,L675-55),0),IF(B675="高二",MAX(IF(E675="男",L675-17,L675-54),0),IF(B675="高一",MAX(IF(E675="男",L675-16,L675-53),0))))</f>
        <v>0</v>
      </c>
      <c r="O675" s="23">
        <f>IF(E675="男",LOOKUP($N675,[1]对照表!$Z$3:$Z$13,[1]对照表!$AA$3:$AA$13),LOOKUP($N675,[1]对照表!$Z$15:$Z$25,[1]对照表!$AA$15:$AA$25))</f>
        <v>0</v>
      </c>
      <c r="P675" s="25">
        <f>M675+O675</f>
        <v>90</v>
      </c>
      <c r="Q675" s="38">
        <v>4.29</v>
      </c>
      <c r="R675" s="32">
        <f>IF(B675="高三",IF($E675="男",LOOKUP(Q675,[1]对照表!$W$3:$W$24,[1]对照表!$X$3:$X$24),LOOKUP(Q675,[1]对照表!$W$27:$W$48,[1]对照表!$X$27:$X$48)),IF(B675="高二",IF($E675="男",LOOKUP(Q675,[1]对照表!$V$3:$V$24,[1]对照表!$X$3:$X$24),LOOKUP(Q675,[1]对照表!$V$27:$V$48,[1]对照表!$X$27:$X$48)),IF(B675="高一",IF($E675="男",LOOKUP(Q675,[1]对照表!$U$3:$U$24,[1]对照表!$X$3:$X$24),LOOKUP(Q675,[1]对照表!$U$27:$U$48,[1]对照表!$X$27:$X$48)))))</f>
        <v>62</v>
      </c>
      <c r="S675" s="33">
        <f>ROUND(IF(IF($B675="高三",MIN(IF($E675="男",$Q675-3.2,$Q675-3.2),0),IF($B675="高二",MIN(IF($E675="男",$Q675-3.25,$Q675-3.22),0),IF($B675="高一",MIN(IF($E675="男",$Q675-3.3,$Q675-3.24),0))))&lt;-0.6,IF($B675="高三",MIN(IF($E675="男",$Q675-3.2,$Q675-3.2),0),IF($B675="高二",MIN(IF($E675="男",$Q675-3.25,$Q675-3.22),0),IF($B675="高一",MIN(IF($E675="男",$Q675-3.3,$Q675-3.24),0))))+0.4,IF($B675="高三",MIN(IF($E675="男",$Q675-3.2,$Q675-3.2),0),IF($B675="高二",MIN(IF($E675="男",$Q675-3.25,$Q675-3.22),0),IF($B675="高一",MIN(IF($E675="男",$Q675-3.3,$Q675-3.24),0))))),2)</f>
        <v>0</v>
      </c>
      <c r="T675" s="23">
        <f>IF(E675="男",LOOKUP($S675,[1]对照表!$AB$3:$AB$13,[1]对照表!$AC$3:$AC$13),LOOKUP($S675,[1]对照表!$AB$15:$AB$25,[1]对照表!$AC$15:$AC$25))</f>
        <v>0</v>
      </c>
      <c r="U675" s="26">
        <f>R675+T675</f>
        <v>62</v>
      </c>
      <c r="V675" s="26">
        <f>SUM(I675,K675,M675)/3*0.3+SUM(G675,R675)/2*0.4</f>
        <v>49.6</v>
      </c>
      <c r="W675" s="27">
        <f>O675+T675</f>
        <v>0</v>
      </c>
      <c r="X675" s="28">
        <f>V675/0.7+W675</f>
        <v>70.857142857142861</v>
      </c>
      <c r="Y675" s="28">
        <f>X675</f>
        <v>70.857142857142861</v>
      </c>
      <c r="Z675" s="38"/>
    </row>
    <row r="676" spans="1:26" ht="15.6" customHeight="1" x14ac:dyDescent="0.15">
      <c r="A676" s="52">
        <v>3</v>
      </c>
      <c r="B676" s="17" t="s">
        <v>767</v>
      </c>
      <c r="C676" s="51" t="s">
        <v>816</v>
      </c>
      <c r="D676" s="49" t="s">
        <v>1282</v>
      </c>
      <c r="E676" s="55" t="s">
        <v>23</v>
      </c>
      <c r="F676" s="50">
        <v>7.8</v>
      </c>
      <c r="G676" s="32">
        <f>IF(B676="高三",IF($E676="男",LOOKUP(F676,[1]对照表!$G$3:$G$24,[1]对照表!$H$3:$H$24),LOOKUP(F676,[1]对照表!$G$27:$G$48,[1]对照表!$H$27:$H$48)),IF(B676="高二",IF($E676="男",LOOKUP(F676,[1]对照表!$F$3:$F$24,[1]对照表!$H$3:$H$24),LOOKUP(F676,[1]对照表!$F$27:$F$48,[1]对照表!$H$27:$H$48)),IF(B676="高一",IF($E676="男",LOOKUP(F676,[1]对照表!$E$3:$E$24,[1]对照表!$H$3:$H$24),LOOKUP(F676,[1]对照表!$E$27:$E$48,[1]对照表!$H$27:$H$48)))))</f>
        <v>76</v>
      </c>
      <c r="H676" s="38">
        <v>6.2</v>
      </c>
      <c r="I676" s="32">
        <f>IF(B676="高三",IF($E676="男",LOOKUP(H676,[1]对照表!$K$3:$K$24,[1]对照表!$L$3:$L$24),LOOKUP(H676,[1]对照表!$K$27:$K$48,[1]对照表!$L$27:$L$48)),IF(B676="高二",IF($E676="男",LOOKUP(H676,[1]对照表!$J$3:$J$24,[1]对照表!$L$3:$L$24),LOOKUP(H676,[1]对照表!$J$27:$J$48,[1]对照表!$L$27:$L$48)),IF(B676="高一",IF($E676="男",LOOKUP(H676,[1]对照表!$I$3:$I$24,[1]对照表!$L$3:$L$24),LOOKUP(H676,[1]对照表!$I$27:$I$48,[1]对照表!$L$27:$L$48)))))</f>
        <v>64</v>
      </c>
      <c r="J676" s="38">
        <v>215</v>
      </c>
      <c r="K676" s="32">
        <f>IF(B676="高三",IF($E676="男",LOOKUP(J676,[1]对照表!$O$3:$O$24,[1]对照表!$P$3:$P$24),LOOKUP(J676,[1]对照表!$O$27:$O$48,[1]对照表!$P$27:$P$48)),IF(B676="高二",IF($E676="男",LOOKUP(J676,[1]对照表!$N$3:$N$24,[1]对照表!$P$3:$P$24),LOOKUP(J676,[1]对照表!$N$27:$N$48,[1]对照表!$P$27:$P$48)),IF(B676="高一",IF($E676="男",LOOKUP(J676,[1]对照表!$M$3:$M$24,[1]对照表!$P$3:$P$24),LOOKUP(J676,[1]对照表!$M$27:$M$48,[1]对照表!$P$27:$P$48)))))</f>
        <v>66</v>
      </c>
      <c r="L676" s="38">
        <v>11</v>
      </c>
      <c r="M676" s="32">
        <f>IF(B676="高三",IF($E676="男",LOOKUP(L676,[1]对照表!$S$3:$S$24,[1]对照表!$T$3:$T$24),LOOKUP(L676,[1]对照表!$S$27:$S$48,[1]对照表!$T$27:$T$48)),IF(B676="高二",IF($E676="男",LOOKUP(L676,[1]对照表!$R$3:$R$24,[1]对照表!$T$3:$T$24),LOOKUP(L676,[1]对照表!$R$27:$R$48,[1]对照表!$T$27:$T$48)),IF(B676="高一",IF($E676="男",LOOKUP(L676,[1]对照表!$Q$3:$Q$24,[1]对照表!$T$3:$T$24),LOOKUP(L676,[1]对照表!$Q$27:$Q$48,[1]对照表!$T$27:$T$48)))))</f>
        <v>72</v>
      </c>
      <c r="N676" s="33">
        <f>IF(B676="高三",MAX(IF(E676="男",L676-18,L676-55),0),IF(B676="高二",MAX(IF(E676="男",L676-17,L676-54),0),IF(B676="高一",MAX(IF(E676="男",L676-16,L676-53),0))))</f>
        <v>0</v>
      </c>
      <c r="O676" s="23">
        <f>IF(E676="男",LOOKUP($N676,[1]对照表!$Z$3:$Z$13,[1]对照表!$AA$3:$AA$13),LOOKUP($N676,[1]对照表!$Z$15:$Z$25,[1]对照表!$AA$15:$AA$25))</f>
        <v>0</v>
      </c>
      <c r="P676" s="25">
        <f>M676+O676</f>
        <v>72</v>
      </c>
      <c r="Q676" s="50">
        <v>3.35</v>
      </c>
      <c r="R676" s="32">
        <f>IF(B676="高三",IF($E676="男",LOOKUP(Q676,[1]对照表!$W$3:$W$24,[1]对照表!$X$3:$X$24),LOOKUP(Q676,[1]对照表!$W$27:$W$48,[1]对照表!$X$27:$X$48)),IF(B676="高二",IF($E676="男",LOOKUP(Q676,[1]对照表!$V$3:$V$24,[1]对照表!$X$3:$X$24),LOOKUP(Q676,[1]对照表!$V$27:$V$48,[1]对照表!$X$27:$X$48)),IF(B676="高一",IF($E676="男",LOOKUP(Q676,[1]对照表!$U$3:$U$24,[1]对照表!$X$3:$X$24),LOOKUP(Q676,[1]对照表!$U$27:$U$48,[1]对照表!$X$27:$X$48)))))</f>
        <v>90</v>
      </c>
      <c r="S676" s="33">
        <f>ROUND(IF(IF($B676="高三",MIN(IF($E676="男",$Q676-3.2,$Q676-3.2),0),IF($B676="高二",MIN(IF($E676="男",$Q676-3.25,$Q676-3.22),0),IF($B676="高一",MIN(IF($E676="男",$Q676-3.3,$Q676-3.24),0))))&lt;-0.6,IF($B676="高三",MIN(IF($E676="男",$Q676-3.2,$Q676-3.2),0),IF($B676="高二",MIN(IF($E676="男",$Q676-3.25,$Q676-3.22),0),IF($B676="高一",MIN(IF($E676="男",$Q676-3.3,$Q676-3.24),0))))+0.4,IF($B676="高三",MIN(IF($E676="男",$Q676-3.2,$Q676-3.2),0),IF($B676="高二",MIN(IF($E676="男",$Q676-3.25,$Q676-3.22),0),IF($B676="高一",MIN(IF($E676="男",$Q676-3.3,$Q676-3.24),0))))),2)</f>
        <v>0</v>
      </c>
      <c r="T676" s="23">
        <f>IF(E676="男",LOOKUP($S676,[1]对照表!$AB$3:$AB$13,[1]对照表!$AC$3:$AC$13),LOOKUP($S676,[1]对照表!$AB$15:$AB$25,[1]对照表!$AC$15:$AC$25))</f>
        <v>0</v>
      </c>
      <c r="U676" s="26">
        <f>R676+T676</f>
        <v>90</v>
      </c>
      <c r="V676" s="26">
        <f>SUM(I676,K676,M676)/3*0.3+SUM(G676,R676)/2*0.4</f>
        <v>53.400000000000006</v>
      </c>
      <c r="W676" s="27">
        <f>O676+T676</f>
        <v>0</v>
      </c>
      <c r="X676" s="28">
        <f>V676/0.7+W676</f>
        <v>76.285714285714292</v>
      </c>
      <c r="Y676" s="28">
        <f>X676</f>
        <v>76.285714285714292</v>
      </c>
      <c r="Z676" s="38"/>
    </row>
    <row r="677" spans="1:26" ht="15.6" x14ac:dyDescent="0.25">
      <c r="A677" s="48">
        <v>20</v>
      </c>
      <c r="B677" s="17" t="s">
        <v>767</v>
      </c>
      <c r="C677" s="51" t="s">
        <v>816</v>
      </c>
      <c r="D677" s="49" t="s">
        <v>1290</v>
      </c>
      <c r="E677" s="55" t="s">
        <v>23</v>
      </c>
      <c r="F677" s="38">
        <v>7.6</v>
      </c>
      <c r="G677" s="32">
        <f>IF(B677="高三",IF($E677="男",LOOKUP(F677,[1]对照表!$G$3:$G$24,[1]对照表!$H$3:$H$24),LOOKUP(F677,[1]对照表!$G$27:$G$48,[1]对照表!$H$27:$H$48)),IF(B677="高二",IF($E677="男",LOOKUP(F677,[1]对照表!$F$3:$F$24,[1]对照表!$H$3:$H$24),LOOKUP(F677,[1]对照表!$F$27:$F$48,[1]对照表!$H$27:$H$48)),IF(B677="高一",IF($E677="男",LOOKUP(F677,[1]对照表!$E$3:$E$24,[1]对照表!$H$3:$H$24),LOOKUP(F677,[1]对照表!$E$27:$E$48,[1]对照表!$H$27:$H$48)))))</f>
        <v>78</v>
      </c>
      <c r="H677" s="38">
        <v>23</v>
      </c>
      <c r="I677" s="32">
        <f>IF(B677="高三",IF($E677="男",LOOKUP(H677,[1]对照表!$K$3:$K$24,[1]对照表!$L$3:$L$24),LOOKUP(H677,[1]对照表!$K$27:$K$48,[1]对照表!$L$27:$L$48)),IF(B677="高二",IF($E677="男",LOOKUP(H677,[1]对照表!$J$3:$J$24,[1]对照表!$L$3:$L$24),LOOKUP(H677,[1]对照表!$J$27:$J$48,[1]对照表!$L$27:$L$48)),IF(B677="高一",IF($E677="男",LOOKUP(H677,[1]对照表!$I$3:$I$24,[1]对照表!$L$3:$L$24),LOOKUP(H677,[1]对照表!$I$27:$I$48,[1]对照表!$L$27:$L$48)))))</f>
        <v>95</v>
      </c>
      <c r="J677" s="38">
        <v>253</v>
      </c>
      <c r="K677" s="32">
        <f>IF(B677="高三",IF($E677="男",LOOKUP(J677,[1]对照表!$O$3:$O$24,[1]对照表!$P$3:$P$24),LOOKUP(J677,[1]对照表!$O$27:$O$48,[1]对照表!$P$27:$P$48)),IF(B677="高二",IF($E677="男",LOOKUP(J677,[1]对照表!$N$3:$N$24,[1]对照表!$P$3:$P$24),LOOKUP(J677,[1]对照表!$N$27:$N$48,[1]对照表!$P$27:$P$48)),IF(B677="高一",IF($E677="男",LOOKUP(J677,[1]对照表!$M$3:$M$24,[1]对照表!$P$3:$P$24),LOOKUP(J677,[1]对照表!$M$27:$M$48,[1]对照表!$P$27:$P$48)))))</f>
        <v>85</v>
      </c>
      <c r="L677" s="38">
        <v>6</v>
      </c>
      <c r="M677" s="32">
        <f>IF(B677="高三",IF($E677="男",LOOKUP(L677,[1]对照表!$S$3:$S$24,[1]对照表!$T$3:$T$24),LOOKUP(L677,[1]对照表!$S$27:$S$48,[1]对照表!$T$27:$T$48)),IF(B677="高二",IF($E677="男",LOOKUP(L677,[1]对照表!$R$3:$R$24,[1]对照表!$T$3:$T$24),LOOKUP(L677,[1]对照表!$R$27:$R$48,[1]对照表!$T$27:$T$48)),IF(B677="高一",IF($E677="男",LOOKUP(L677,[1]对照表!$Q$3:$Q$24,[1]对照表!$T$3:$T$24),LOOKUP(L677,[1]对照表!$Q$27:$Q$48,[1]对照表!$T$27:$T$48)))))</f>
        <v>40</v>
      </c>
      <c r="N677" s="33">
        <f>IF(B677="高三",MAX(IF(E677="男",L677-18,L677-55),0),IF(B677="高二",MAX(IF(E677="男",L677-17,L677-54),0),IF(B677="高一",MAX(IF(E677="男",L677-16,L677-53),0))))</f>
        <v>0</v>
      </c>
      <c r="O677" s="23">
        <f>IF(E677="男",LOOKUP($N677,[1]对照表!$Z$3:$Z$13,[1]对照表!$AA$3:$AA$13),LOOKUP($N677,[1]对照表!$Z$15:$Z$25,[1]对照表!$AA$15:$AA$25))</f>
        <v>0</v>
      </c>
      <c r="P677" s="25">
        <f>M677+O677</f>
        <v>40</v>
      </c>
      <c r="Q677" s="38">
        <v>3.53</v>
      </c>
      <c r="R677" s="32">
        <f>IF(B677="高三",IF($E677="男",LOOKUP(Q677,[1]对照表!$W$3:$W$24,[1]对照表!$X$3:$X$24),LOOKUP(Q677,[1]对照表!$W$27:$W$48,[1]对照表!$X$27:$X$48)),IF(B677="高二",IF($E677="男",LOOKUP(Q677,[1]对照表!$V$3:$V$24,[1]对照表!$X$3:$X$24),LOOKUP(Q677,[1]对照表!$V$27:$V$48,[1]对照表!$X$27:$X$48)),IF(B677="高一",IF($E677="男",LOOKUP(Q677,[1]对照表!$U$3:$U$24,[1]对照表!$X$3:$X$24),LOOKUP(Q677,[1]对照表!$U$27:$U$48,[1]对照表!$X$27:$X$48)))))</f>
        <v>78</v>
      </c>
      <c r="S677" s="33">
        <f>ROUND(IF(IF($B677="高三",MIN(IF($E677="男",$Q677-3.2,$Q677-3.2),0),IF($B677="高二",MIN(IF($E677="男",$Q677-3.25,$Q677-3.22),0),IF($B677="高一",MIN(IF($E677="男",$Q677-3.3,$Q677-3.24),0))))&lt;-0.6,IF($B677="高三",MIN(IF($E677="男",$Q677-3.2,$Q677-3.2),0),IF($B677="高二",MIN(IF($E677="男",$Q677-3.25,$Q677-3.22),0),IF($B677="高一",MIN(IF($E677="男",$Q677-3.3,$Q677-3.24),0))))+0.4,IF($B677="高三",MIN(IF($E677="男",$Q677-3.2,$Q677-3.2),0),IF($B677="高二",MIN(IF($E677="男",$Q677-3.25,$Q677-3.22),0),IF($B677="高一",MIN(IF($E677="男",$Q677-3.3,$Q677-3.24),0))))),2)</f>
        <v>0</v>
      </c>
      <c r="T677" s="23">
        <f>IF(E677="男",LOOKUP($S677,[1]对照表!$AB$3:$AB$13,[1]对照表!$AC$3:$AC$13),LOOKUP($S677,[1]对照表!$AB$15:$AB$25,[1]对照表!$AC$15:$AC$25))</f>
        <v>0</v>
      </c>
      <c r="U677" s="26">
        <f>R677+T677</f>
        <v>78</v>
      </c>
      <c r="V677" s="26">
        <f>SUM(I677,K677,M677)/3*0.3+SUM(G677,R677)/2*0.4</f>
        <v>53.2</v>
      </c>
      <c r="W677" s="27">
        <f>O677+T677</f>
        <v>0</v>
      </c>
      <c r="X677" s="28">
        <f>V677/0.7+W677</f>
        <v>76.000000000000014</v>
      </c>
      <c r="Y677" s="28">
        <f>X677</f>
        <v>76.000000000000014</v>
      </c>
      <c r="Z677" s="38"/>
    </row>
    <row r="678" spans="1:26" ht="15.6" x14ac:dyDescent="0.25">
      <c r="A678" s="48">
        <v>13</v>
      </c>
      <c r="B678" s="17" t="s">
        <v>767</v>
      </c>
      <c r="C678" s="51" t="s">
        <v>816</v>
      </c>
      <c r="D678" s="49" t="s">
        <v>1295</v>
      </c>
      <c r="E678" s="55" t="s">
        <v>23</v>
      </c>
      <c r="F678" s="38">
        <v>7.8</v>
      </c>
      <c r="G678" s="32">
        <f>IF(B678="高三",IF($E678="男",LOOKUP(F678,[1]对照表!$G$3:$G$24,[1]对照表!$H$3:$H$24),LOOKUP(F678,[1]对照表!$G$27:$G$48,[1]对照表!$H$27:$H$48)),IF(B678="高二",IF($E678="男",LOOKUP(F678,[1]对照表!$F$3:$F$24,[1]对照表!$H$3:$H$24),LOOKUP(F678,[1]对照表!$F$27:$F$48,[1]对照表!$H$27:$H$48)),IF(B678="高一",IF($E678="男",LOOKUP(F678,[1]对照表!$E$3:$E$24,[1]对照表!$H$3:$H$24),LOOKUP(F678,[1]对照表!$E$27:$E$48,[1]对照表!$H$27:$H$48)))))</f>
        <v>76</v>
      </c>
      <c r="H678" s="38">
        <v>10</v>
      </c>
      <c r="I678" s="32">
        <f>IF(B678="高三",IF($E678="男",LOOKUP(H678,[1]对照表!$K$3:$K$24,[1]对照表!$L$3:$L$24),LOOKUP(H678,[1]对照表!$K$27:$K$48,[1]对照表!$L$27:$L$48)),IF(B678="高二",IF($E678="男",LOOKUP(H678,[1]对照表!$J$3:$J$24,[1]对照表!$L$3:$L$24),LOOKUP(H678,[1]对照表!$J$27:$J$48,[1]对照表!$L$27:$L$48)),IF(B678="高一",IF($E678="男",LOOKUP(H678,[1]对照表!$I$3:$I$24,[1]对照表!$L$3:$L$24),LOOKUP(H678,[1]对照表!$I$27:$I$48,[1]对照表!$L$27:$L$48)))))</f>
        <v>70</v>
      </c>
      <c r="J678" s="38">
        <v>217</v>
      </c>
      <c r="K678" s="32">
        <f>IF(B678="高三",IF($E678="男",LOOKUP(J678,[1]对照表!$O$3:$O$24,[1]对照表!$P$3:$P$24),LOOKUP(J678,[1]对照表!$O$27:$O$48,[1]对照表!$P$27:$P$48)),IF(B678="高二",IF($E678="男",LOOKUP(J678,[1]对照表!$N$3:$N$24,[1]对照表!$P$3:$P$24),LOOKUP(J678,[1]对照表!$N$27:$N$48,[1]对照表!$P$27:$P$48)),IF(B678="高一",IF($E678="男",LOOKUP(J678,[1]对照表!$M$3:$M$24,[1]对照表!$P$3:$P$24),LOOKUP(J678,[1]对照表!$M$27:$M$48,[1]对照表!$P$27:$P$48)))))</f>
        <v>68</v>
      </c>
      <c r="L678" s="38">
        <v>10</v>
      </c>
      <c r="M678" s="32">
        <f>IF(B678="高三",IF($E678="男",LOOKUP(L678,[1]对照表!$S$3:$S$24,[1]对照表!$T$3:$T$24),LOOKUP(L678,[1]对照表!$S$27:$S$48,[1]对照表!$T$27:$T$48)),IF(B678="高二",IF($E678="男",LOOKUP(L678,[1]对照表!$R$3:$R$24,[1]对照表!$T$3:$T$24),LOOKUP(L678,[1]对照表!$R$27:$R$48,[1]对照表!$T$27:$T$48)),IF(B678="高一",IF($E678="男",LOOKUP(L678,[1]对照表!$Q$3:$Q$24,[1]对照表!$T$3:$T$24),LOOKUP(L678,[1]对照表!$Q$27:$Q$48,[1]对照表!$T$27:$T$48)))))</f>
        <v>68</v>
      </c>
      <c r="N678" s="33">
        <f>IF(B678="高三",MAX(IF(E678="男",L678-18,L678-55),0),IF(B678="高二",MAX(IF(E678="男",L678-17,L678-54),0),IF(B678="高一",MAX(IF(E678="男",L678-16,L678-53),0))))</f>
        <v>0</v>
      </c>
      <c r="O678" s="23">
        <f>IF(E678="男",LOOKUP($N678,[1]对照表!$Z$3:$Z$13,[1]对照表!$AA$3:$AA$13),LOOKUP($N678,[1]对照表!$Z$15:$Z$25,[1]对照表!$AA$15:$AA$25))</f>
        <v>0</v>
      </c>
      <c r="P678" s="25">
        <f>M678+O678</f>
        <v>68</v>
      </c>
      <c r="Q678" s="38">
        <v>3.38</v>
      </c>
      <c r="R678" s="32">
        <f>IF(B678="高三",IF($E678="男",LOOKUP(Q678,[1]对照表!$W$3:$W$24,[1]对照表!$X$3:$X$24),LOOKUP(Q678,[1]对照表!$W$27:$W$48,[1]对照表!$X$27:$X$48)),IF(B678="高二",IF($E678="男",LOOKUP(Q678,[1]对照表!$V$3:$V$24,[1]对照表!$X$3:$X$24),LOOKUP(Q678,[1]对照表!$V$27:$V$48,[1]对照表!$X$27:$X$48)),IF(B678="高一",IF($E678="男",LOOKUP(Q678,[1]对照表!$U$3:$U$24,[1]对照表!$X$3:$X$24),LOOKUP(Q678,[1]对照表!$U$27:$U$48,[1]对照表!$X$27:$X$48)))))</f>
        <v>85</v>
      </c>
      <c r="S678" s="33">
        <f>ROUND(IF(IF($B678="高三",MIN(IF($E678="男",$Q678-3.2,$Q678-3.2),0),IF($B678="高二",MIN(IF($E678="男",$Q678-3.25,$Q678-3.22),0),IF($B678="高一",MIN(IF($E678="男",$Q678-3.3,$Q678-3.24),0))))&lt;-0.6,IF($B678="高三",MIN(IF($E678="男",$Q678-3.2,$Q678-3.2),0),IF($B678="高二",MIN(IF($E678="男",$Q678-3.25,$Q678-3.22),0),IF($B678="高一",MIN(IF($E678="男",$Q678-3.3,$Q678-3.24),0))))+0.4,IF($B678="高三",MIN(IF($E678="男",$Q678-3.2,$Q678-3.2),0),IF($B678="高二",MIN(IF($E678="男",$Q678-3.25,$Q678-3.22),0),IF($B678="高一",MIN(IF($E678="男",$Q678-3.3,$Q678-3.24),0))))),2)</f>
        <v>0</v>
      </c>
      <c r="T678" s="23">
        <f>IF(E678="男",LOOKUP($S678,[1]对照表!$AB$3:$AB$13,[1]对照表!$AC$3:$AC$13),LOOKUP($S678,[1]对照表!$AB$15:$AB$25,[1]对照表!$AC$15:$AC$25))</f>
        <v>0</v>
      </c>
      <c r="U678" s="26">
        <f>R678+T678</f>
        <v>85</v>
      </c>
      <c r="V678" s="26">
        <f>SUM(I678,K678,M678)/3*0.3+SUM(G678,R678)/2*0.4</f>
        <v>52.800000000000004</v>
      </c>
      <c r="W678" s="27">
        <f>O678+T678</f>
        <v>0</v>
      </c>
      <c r="X678" s="28">
        <f>V678/0.7+W678</f>
        <v>75.428571428571445</v>
      </c>
      <c r="Y678" s="28">
        <f>X678</f>
        <v>75.428571428571445</v>
      </c>
      <c r="Z678" s="38"/>
    </row>
    <row r="679" spans="1:26" ht="15.6" x14ac:dyDescent="0.25">
      <c r="A679" s="48">
        <v>22</v>
      </c>
      <c r="B679" s="17" t="s">
        <v>767</v>
      </c>
      <c r="C679" s="51" t="s">
        <v>816</v>
      </c>
      <c r="D679" s="49" t="s">
        <v>1302</v>
      </c>
      <c r="E679" s="55" t="s">
        <v>23</v>
      </c>
      <c r="F679" s="38">
        <v>7.7</v>
      </c>
      <c r="G679" s="32">
        <f>IF(B679="高三",IF($E679="男",LOOKUP(F679,[1]对照表!$G$3:$G$24,[1]对照表!$H$3:$H$24),LOOKUP(F679,[1]对照表!$G$27:$G$48,[1]对照表!$H$27:$H$48)),IF(B679="高二",IF($E679="男",LOOKUP(F679,[1]对照表!$F$3:$F$24,[1]对照表!$H$3:$H$24),LOOKUP(F679,[1]对照表!$F$27:$F$48,[1]对照表!$H$27:$H$48)),IF(B679="高一",IF($E679="男",LOOKUP(F679,[1]对照表!$E$3:$E$24,[1]对照表!$H$3:$H$24),LOOKUP(F679,[1]对照表!$E$27:$E$48,[1]对照表!$H$27:$H$48)))))</f>
        <v>76</v>
      </c>
      <c r="H679" s="38">
        <v>8.9</v>
      </c>
      <c r="I679" s="32">
        <f>IF(B679="高三",IF($E679="男",LOOKUP(H679,[1]对照表!$K$3:$K$24,[1]对照表!$L$3:$L$24),LOOKUP(H679,[1]对照表!$K$27:$K$48,[1]对照表!$L$27:$L$48)),IF(B679="高二",IF($E679="男",LOOKUP(H679,[1]对照表!$J$3:$J$24,[1]对照表!$L$3:$L$24),LOOKUP(H679,[1]对照表!$J$27:$J$48,[1]对照表!$L$27:$L$48)),IF(B679="高一",IF($E679="男",LOOKUP(H679,[1]对照表!$I$3:$I$24,[1]对照表!$L$3:$L$24),LOOKUP(H679,[1]对照表!$I$27:$I$48,[1]对照表!$L$27:$L$48)))))</f>
        <v>68</v>
      </c>
      <c r="J679" s="38">
        <v>210</v>
      </c>
      <c r="K679" s="32">
        <f>IF(B679="高三",IF($E679="男",LOOKUP(J679,[1]对照表!$O$3:$O$24,[1]对照表!$P$3:$P$24),LOOKUP(J679,[1]对照表!$O$27:$O$48,[1]对照表!$P$27:$P$48)),IF(B679="高二",IF($E679="男",LOOKUP(J679,[1]对照表!$N$3:$N$24,[1]对照表!$P$3:$P$24),LOOKUP(J679,[1]对照表!$N$27:$N$48,[1]对照表!$P$27:$P$48)),IF(B679="高一",IF($E679="男",LOOKUP(J679,[1]对照表!$M$3:$M$24,[1]对照表!$P$3:$P$24),LOOKUP(J679,[1]对照表!$M$27:$M$48,[1]对照表!$P$27:$P$48)))))</f>
        <v>64</v>
      </c>
      <c r="L679" s="38">
        <v>14</v>
      </c>
      <c r="M679" s="32">
        <f>IF(B679="高三",IF($E679="男",LOOKUP(L679,[1]对照表!$S$3:$S$24,[1]对照表!$T$3:$T$24),LOOKUP(L679,[1]对照表!$S$27:$S$48,[1]对照表!$T$27:$T$48)),IF(B679="高二",IF($E679="男",LOOKUP(L679,[1]对照表!$R$3:$R$24,[1]对照表!$T$3:$T$24),LOOKUP(L679,[1]对照表!$R$27:$R$48,[1]对照表!$T$27:$T$48)),IF(B679="高一",IF($E679="男",LOOKUP(L679,[1]对照表!$Q$3:$Q$24,[1]对照表!$T$3:$T$24),LOOKUP(L679,[1]对照表!$Q$27:$Q$48,[1]对照表!$T$27:$T$48)))))</f>
        <v>85</v>
      </c>
      <c r="N679" s="33">
        <f>IF(B679="高三",MAX(IF(E679="男",L679-18,L679-55),0),IF(B679="高二",MAX(IF(E679="男",L679-17,L679-54),0),IF(B679="高一",MAX(IF(E679="男",L679-16,L679-53),0))))</f>
        <v>0</v>
      </c>
      <c r="O679" s="23">
        <f>IF(E679="男",LOOKUP($N679,[1]对照表!$Z$3:$Z$13,[1]对照表!$AA$3:$AA$13),LOOKUP($N679,[1]对照表!$Z$15:$Z$25,[1]对照表!$AA$15:$AA$25))</f>
        <v>0</v>
      </c>
      <c r="P679" s="25">
        <f>M679+O679</f>
        <v>85</v>
      </c>
      <c r="Q679" s="38">
        <v>3.52</v>
      </c>
      <c r="R679" s="32">
        <f>IF(B679="高三",IF($E679="男",LOOKUP(Q679,[1]对照表!$W$3:$W$24,[1]对照表!$X$3:$X$24),LOOKUP(Q679,[1]对照表!$W$27:$W$48,[1]对照表!$X$27:$X$48)),IF(B679="高二",IF($E679="男",LOOKUP(Q679,[1]对照表!$V$3:$V$24,[1]对照表!$X$3:$X$24),LOOKUP(Q679,[1]对照表!$V$27:$V$48,[1]对照表!$X$27:$X$48)),IF(B679="高一",IF($E679="男",LOOKUP(Q679,[1]对照表!$U$3:$U$24,[1]对照表!$X$3:$X$24),LOOKUP(Q679,[1]对照表!$U$27:$U$48,[1]对照表!$X$27:$X$48)))))</f>
        <v>78</v>
      </c>
      <c r="S679" s="33">
        <f>ROUND(IF(IF($B679="高三",MIN(IF($E679="男",$Q679-3.2,$Q679-3.2),0),IF($B679="高二",MIN(IF($E679="男",$Q679-3.25,$Q679-3.22),0),IF($B679="高一",MIN(IF($E679="男",$Q679-3.3,$Q679-3.24),0))))&lt;-0.6,IF($B679="高三",MIN(IF($E679="男",$Q679-3.2,$Q679-3.2),0),IF($B679="高二",MIN(IF($E679="男",$Q679-3.25,$Q679-3.22),0),IF($B679="高一",MIN(IF($E679="男",$Q679-3.3,$Q679-3.24),0))))+0.4,IF($B679="高三",MIN(IF($E679="男",$Q679-3.2,$Q679-3.2),0),IF($B679="高二",MIN(IF($E679="男",$Q679-3.25,$Q679-3.22),0),IF($B679="高一",MIN(IF($E679="男",$Q679-3.3,$Q679-3.24),0))))),2)</f>
        <v>0</v>
      </c>
      <c r="T679" s="23">
        <f>IF(E679="男",LOOKUP($S679,[1]对照表!$AB$3:$AB$13,[1]对照表!$AC$3:$AC$13),LOOKUP($S679,[1]对照表!$AB$15:$AB$25,[1]对照表!$AC$15:$AC$25))</f>
        <v>0</v>
      </c>
      <c r="U679" s="26">
        <f>R679+T679</f>
        <v>78</v>
      </c>
      <c r="V679" s="26">
        <f>SUM(I679,K679,M679)/3*0.3+SUM(G679,R679)/2*0.4</f>
        <v>52.5</v>
      </c>
      <c r="W679" s="27">
        <f>O679+T679</f>
        <v>0</v>
      </c>
      <c r="X679" s="28">
        <f>V679/0.7+W679</f>
        <v>75</v>
      </c>
      <c r="Y679" s="28">
        <f>X679</f>
        <v>75</v>
      </c>
      <c r="Z679" s="38"/>
    </row>
    <row r="680" spans="1:26" ht="15.6" x14ac:dyDescent="0.25">
      <c r="A680" s="48">
        <v>25</v>
      </c>
      <c r="B680" s="17" t="s">
        <v>767</v>
      </c>
      <c r="C680" s="51" t="s">
        <v>816</v>
      </c>
      <c r="D680" s="49" t="s">
        <v>1309</v>
      </c>
      <c r="E680" s="55" t="s">
        <v>23</v>
      </c>
      <c r="F680" s="38">
        <v>7.4</v>
      </c>
      <c r="G680" s="32">
        <f>IF(B680="高三",IF($E680="男",LOOKUP(F680,[1]对照表!$G$3:$G$24,[1]对照表!$H$3:$H$24),LOOKUP(F680,[1]对照表!$G$27:$G$48,[1]对照表!$H$27:$H$48)),IF(B680="高二",IF($E680="男",LOOKUP(F680,[1]对照表!$F$3:$F$24,[1]对照表!$H$3:$H$24),LOOKUP(F680,[1]对照表!$F$27:$F$48,[1]对照表!$H$27:$H$48)),IF(B680="高一",IF($E680="男",LOOKUP(F680,[1]对照表!$E$3:$E$24,[1]对照表!$H$3:$H$24),LOOKUP(F680,[1]对照表!$E$27:$E$48,[1]对照表!$H$27:$H$48)))))</f>
        <v>80</v>
      </c>
      <c r="H680" s="38">
        <v>5.4</v>
      </c>
      <c r="I680" s="32">
        <f>IF(B680="高三",IF($E680="男",LOOKUP(H680,[1]对照表!$K$3:$K$24,[1]对照表!$L$3:$L$24),LOOKUP(H680,[1]对照表!$K$27:$K$48,[1]对照表!$L$27:$L$48)),IF(B680="高二",IF($E680="男",LOOKUP(H680,[1]对照表!$J$3:$J$24,[1]对照表!$L$3:$L$24),LOOKUP(H680,[1]对照表!$J$27:$J$48,[1]对照表!$L$27:$L$48)),IF(B680="高一",IF($E680="男",LOOKUP(H680,[1]对照表!$I$3:$I$24,[1]对照表!$L$3:$L$24),LOOKUP(H680,[1]对照表!$I$27:$I$48,[1]对照表!$L$27:$L$48)))))</f>
        <v>64</v>
      </c>
      <c r="J680" s="38">
        <v>230</v>
      </c>
      <c r="K680" s="32">
        <f>IF(B680="高三",IF($E680="男",LOOKUP(J680,[1]对照表!$O$3:$O$24,[1]对照表!$P$3:$P$24),LOOKUP(J680,[1]对照表!$O$27:$O$48,[1]对照表!$P$27:$P$48)),IF(B680="高二",IF($E680="男",LOOKUP(J680,[1]对照表!$N$3:$N$24,[1]对照表!$P$3:$P$24),LOOKUP(J680,[1]对照表!$N$27:$N$48,[1]对照表!$P$27:$P$48)),IF(B680="高一",IF($E680="男",LOOKUP(J680,[1]对照表!$M$3:$M$24,[1]对照表!$P$3:$P$24),LOOKUP(J680,[1]对照表!$M$27:$M$48,[1]对照表!$P$27:$P$48)))))</f>
        <v>74</v>
      </c>
      <c r="L680" s="38">
        <v>9</v>
      </c>
      <c r="M680" s="32">
        <f>IF(B680="高三",IF($E680="男",LOOKUP(L680,[1]对照表!$S$3:$S$24,[1]对照表!$T$3:$T$24),LOOKUP(L680,[1]对照表!$S$27:$S$48,[1]对照表!$T$27:$T$48)),IF(B680="高二",IF($E680="男",LOOKUP(L680,[1]对照表!$R$3:$R$24,[1]对照表!$T$3:$T$24),LOOKUP(L680,[1]对照表!$R$27:$R$48,[1]对照表!$T$27:$T$48)),IF(B680="高一",IF($E680="男",LOOKUP(L680,[1]对照表!$Q$3:$Q$24,[1]对照表!$T$3:$T$24),LOOKUP(L680,[1]对照表!$Q$27:$Q$48,[1]对照表!$T$27:$T$48)))))</f>
        <v>64</v>
      </c>
      <c r="N680" s="33">
        <f>IF(B680="高三",MAX(IF(E680="男",L680-18,L680-55),0),IF(B680="高二",MAX(IF(E680="男",L680-17,L680-54),0),IF(B680="高一",MAX(IF(E680="男",L680-16,L680-53),0))))</f>
        <v>0</v>
      </c>
      <c r="O680" s="23">
        <f>IF(E680="男",LOOKUP($N680,[1]对照表!$Z$3:$Z$13,[1]对照表!$AA$3:$AA$13),LOOKUP($N680,[1]对照表!$Z$15:$Z$25,[1]对照表!$AA$15:$AA$25))</f>
        <v>0</v>
      </c>
      <c r="P680" s="25">
        <f>M680+O680</f>
        <v>64</v>
      </c>
      <c r="Q680" s="38">
        <v>3.49</v>
      </c>
      <c r="R680" s="32">
        <f>IF(B680="高三",IF($E680="男",LOOKUP(Q680,[1]对照表!$W$3:$W$24,[1]对照表!$X$3:$X$24),LOOKUP(Q680,[1]对照表!$W$27:$W$48,[1]对照表!$X$27:$X$48)),IF(B680="高二",IF($E680="男",LOOKUP(Q680,[1]对照表!$V$3:$V$24,[1]对照表!$X$3:$X$24),LOOKUP(Q680,[1]对照表!$V$27:$V$48,[1]对照表!$X$27:$X$48)),IF(B680="高一",IF($E680="男",LOOKUP(Q680,[1]对照表!$U$3:$U$24,[1]对照表!$X$3:$X$24),LOOKUP(Q680,[1]对照表!$U$27:$U$48,[1]对照表!$X$27:$X$48)))))</f>
        <v>80</v>
      </c>
      <c r="S680" s="33">
        <f>ROUND(IF(IF($B680="高三",MIN(IF($E680="男",$Q680-3.2,$Q680-3.2),0),IF($B680="高二",MIN(IF($E680="男",$Q680-3.25,$Q680-3.22),0),IF($B680="高一",MIN(IF($E680="男",$Q680-3.3,$Q680-3.24),0))))&lt;-0.6,IF($B680="高三",MIN(IF($E680="男",$Q680-3.2,$Q680-3.2),0),IF($B680="高二",MIN(IF($E680="男",$Q680-3.25,$Q680-3.22),0),IF($B680="高一",MIN(IF($E680="男",$Q680-3.3,$Q680-3.24),0))))+0.4,IF($B680="高三",MIN(IF($E680="男",$Q680-3.2,$Q680-3.2),0),IF($B680="高二",MIN(IF($E680="男",$Q680-3.25,$Q680-3.22),0),IF($B680="高一",MIN(IF($E680="男",$Q680-3.3,$Q680-3.24),0))))),2)</f>
        <v>0</v>
      </c>
      <c r="T680" s="23">
        <f>IF(E680="男",LOOKUP($S680,[1]对照表!$AB$3:$AB$13,[1]对照表!$AC$3:$AC$13),LOOKUP($S680,[1]对照表!$AB$15:$AB$25,[1]对照表!$AC$15:$AC$25))</f>
        <v>0</v>
      </c>
      <c r="U680" s="26">
        <f>R680+T680</f>
        <v>80</v>
      </c>
      <c r="V680" s="26">
        <f>SUM(I680,K680,M680)/3*0.3+SUM(G680,R680)/2*0.4</f>
        <v>52.2</v>
      </c>
      <c r="W680" s="27">
        <f>O680+T680</f>
        <v>0</v>
      </c>
      <c r="X680" s="28">
        <f>V680/0.7+W680</f>
        <v>74.571428571428584</v>
      </c>
      <c r="Y680" s="28">
        <f>X680</f>
        <v>74.571428571428584</v>
      </c>
      <c r="Z680" s="38"/>
    </row>
    <row r="681" spans="1:26" ht="15.6" x14ac:dyDescent="0.25">
      <c r="A681" s="48">
        <v>15</v>
      </c>
      <c r="B681" s="17" t="s">
        <v>767</v>
      </c>
      <c r="C681" s="51" t="s">
        <v>816</v>
      </c>
      <c r="D681" s="49" t="s">
        <v>1317</v>
      </c>
      <c r="E681" s="55" t="s">
        <v>23</v>
      </c>
      <c r="F681" s="38">
        <v>6.9</v>
      </c>
      <c r="G681" s="32">
        <f>IF(B681="高三",IF($E681="男",LOOKUP(F681,[1]对照表!$G$3:$G$24,[1]对照表!$H$3:$H$24),LOOKUP(F681,[1]对照表!$G$27:$G$48,[1]对照表!$H$27:$H$48)),IF(B681="高二",IF($E681="男",LOOKUP(F681,[1]对照表!$F$3:$F$24,[1]对照表!$H$3:$H$24),LOOKUP(F681,[1]对照表!$F$27:$F$48,[1]对照表!$H$27:$H$48)),IF(B681="高一",IF($E681="男",LOOKUP(F681,[1]对照表!$E$3:$E$24,[1]对照表!$H$3:$H$24),LOOKUP(F681,[1]对照表!$E$27:$E$48,[1]对照表!$H$27:$H$48)))))</f>
        <v>100</v>
      </c>
      <c r="H681" s="38">
        <v>10</v>
      </c>
      <c r="I681" s="32">
        <f>IF(B681="高三",IF($E681="男",LOOKUP(H681,[1]对照表!$K$3:$K$24,[1]对照表!$L$3:$L$24),LOOKUP(H681,[1]对照表!$K$27:$K$48,[1]对照表!$L$27:$L$48)),IF(B681="高二",IF($E681="男",LOOKUP(H681,[1]对照表!$J$3:$J$24,[1]对照表!$L$3:$L$24),LOOKUP(H681,[1]对照表!$J$27:$J$48,[1]对照表!$L$27:$L$48)),IF(B681="高一",IF($E681="男",LOOKUP(H681,[1]对照表!$I$3:$I$24,[1]对照表!$L$3:$L$24),LOOKUP(H681,[1]对照表!$I$27:$I$48,[1]对照表!$L$27:$L$48)))))</f>
        <v>70</v>
      </c>
      <c r="J681" s="38">
        <v>220</v>
      </c>
      <c r="K681" s="32">
        <f>IF(B681="高三",IF($E681="男",LOOKUP(J681,[1]对照表!$O$3:$O$24,[1]对照表!$P$3:$P$24),LOOKUP(J681,[1]对照表!$O$27:$O$48,[1]对照表!$P$27:$P$48)),IF(B681="高二",IF($E681="男",LOOKUP(J681,[1]对照表!$N$3:$N$24,[1]对照表!$P$3:$P$24),LOOKUP(J681,[1]对照表!$N$27:$N$48,[1]对照表!$P$27:$P$48)),IF(B681="高一",IF($E681="男",LOOKUP(J681,[1]对照表!$M$3:$M$24,[1]对照表!$P$3:$P$24),LOOKUP(J681,[1]对照表!$M$27:$M$48,[1]对照表!$P$27:$P$48)))))</f>
        <v>70</v>
      </c>
      <c r="L681" s="38">
        <v>1</v>
      </c>
      <c r="M681" s="32">
        <f>IF(B681="高三",IF($E681="男",LOOKUP(L681,[1]对照表!$S$3:$S$24,[1]对照表!$T$3:$T$24),LOOKUP(L681,[1]对照表!$S$27:$S$48,[1]对照表!$T$27:$T$48)),IF(B681="高二",IF($E681="男",LOOKUP(L681,[1]对照表!$R$3:$R$24,[1]对照表!$T$3:$T$24),LOOKUP(L681,[1]对照表!$R$27:$R$48,[1]对照表!$T$27:$T$48)),IF(B681="高一",IF($E681="男",LOOKUP(L681,[1]对照表!$Q$3:$Q$24,[1]对照表!$T$3:$T$24),LOOKUP(L681,[1]对照表!$Q$27:$Q$48,[1]对照表!$T$27:$T$48)))))</f>
        <v>0</v>
      </c>
      <c r="N681" s="33">
        <f>IF(B681="高三",MAX(IF(E681="男",L681-18,L681-55),0),IF(B681="高二",MAX(IF(E681="男",L681-17,L681-54),0),IF(B681="高一",MAX(IF(E681="男",L681-16,L681-53),0))))</f>
        <v>0</v>
      </c>
      <c r="O681" s="23">
        <f>IF(E681="男",LOOKUP($N681,[1]对照表!$Z$3:$Z$13,[1]对照表!$AA$3:$AA$13),LOOKUP($N681,[1]对照表!$Z$15:$Z$25,[1]对照表!$AA$15:$AA$25))</f>
        <v>0</v>
      </c>
      <c r="P681" s="25">
        <f>M681+O681</f>
        <v>0</v>
      </c>
      <c r="Q681" s="38">
        <v>3.31</v>
      </c>
      <c r="R681" s="32">
        <f>IF(B681="高三",IF($E681="男",LOOKUP(Q681,[1]对照表!$W$3:$W$24,[1]对照表!$X$3:$X$24),LOOKUP(Q681,[1]对照表!$W$27:$W$48,[1]对照表!$X$27:$X$48)),IF(B681="高二",IF($E681="男",LOOKUP(Q681,[1]对照表!$V$3:$V$24,[1]对照表!$X$3:$X$24),LOOKUP(Q681,[1]对照表!$V$27:$V$48,[1]对照表!$X$27:$X$48)),IF(B681="高一",IF($E681="男",LOOKUP(Q681,[1]对照表!$U$3:$U$24,[1]对照表!$X$3:$X$24),LOOKUP(Q681,[1]对照表!$U$27:$U$48,[1]对照表!$X$27:$X$48)))))</f>
        <v>90</v>
      </c>
      <c r="S681" s="27">
        <f>ROUND(IF(IF($B681="高三",MIN(IF($E681="男",$Q681-3.2,$Q681-3.2),0),IF($B681="高二",MIN(IF($E681="男",$Q681-3.25,$Q681-3.22),0),IF($B681="高一",MIN(IF($E681="男",$Q681-3.3,$Q681-3.24),0))))&lt;-0.6,IF($B681="高三",MIN(IF($E681="男",$Q681-3.2,$Q681-3.2),0),IF($B681="高二",MIN(IF($E681="男",$Q681-3.25,$Q681-3.22),0),IF($B681="高一",MIN(IF($E681="男",$Q681-3.3,$Q681-3.24),0))))+0.4,IF($B681="高三",MIN(IF($E681="男",$Q681-3.2,$Q681-3.2),0),IF($B681="高二",MIN(IF($E681="男",$Q681-3.25,$Q681-3.22),0),IF($B681="高一",MIN(IF($E681="男",$Q681-3.3,$Q681-3.24),0))))),2)</f>
        <v>0</v>
      </c>
      <c r="T681" s="23">
        <f>IF(E681="男",LOOKUP($S681,[1]对照表!$AB$3:$AB$13,[1]对照表!$AC$3:$AC$13),LOOKUP($S681,[1]对照表!$AB$15:$AB$25,[1]对照表!$AC$15:$AC$25))</f>
        <v>0</v>
      </c>
      <c r="U681" s="26">
        <f>R681+T681</f>
        <v>90</v>
      </c>
      <c r="V681" s="26">
        <f>SUM(I681,K681,M681)/3*0.3+SUM(G681,R681)/2*0.4</f>
        <v>52</v>
      </c>
      <c r="W681" s="27">
        <f>O681+T681</f>
        <v>0</v>
      </c>
      <c r="X681" s="28">
        <f>V681/0.7+W681</f>
        <v>74.285714285714292</v>
      </c>
      <c r="Y681" s="28">
        <f>X681</f>
        <v>74.285714285714292</v>
      </c>
      <c r="Z681" s="38"/>
    </row>
    <row r="682" spans="1:26" ht="15.6" x14ac:dyDescent="0.25">
      <c r="A682" s="38">
        <v>46</v>
      </c>
      <c r="B682" s="17" t="s">
        <v>767</v>
      </c>
      <c r="C682" s="51" t="s">
        <v>816</v>
      </c>
      <c r="D682" s="49" t="s">
        <v>835</v>
      </c>
      <c r="E682" s="48" t="s">
        <v>65</v>
      </c>
      <c r="F682" s="38">
        <v>8.67</v>
      </c>
      <c r="G682" s="32">
        <f>IF(B682="高三",IF($E682="男",LOOKUP(F682,[1]对照表!$G$3:$G$24,[1]对照表!$H$3:$H$24),LOOKUP(F682,[1]对照表!$G$27:$G$48,[1]对照表!$H$27:$H$48)),IF(B682="高二",IF($E682="男",LOOKUP(F682,[1]对照表!$F$3:$F$24,[1]对照表!$H$3:$H$24),LOOKUP(F682,[1]对照表!$F$27:$F$48,[1]对照表!$H$27:$H$48)),IF(B682="高一",IF($E682="男",LOOKUP(F682,[1]对照表!$E$3:$E$24,[1]对照表!$H$3:$H$24),LOOKUP(F682,[1]对照表!$E$27:$E$48,[1]对照表!$H$27:$H$48)))))</f>
        <v>78</v>
      </c>
      <c r="H682" s="38">
        <v>19.8</v>
      </c>
      <c r="I682" s="32">
        <f>IF(B682="高三",IF($E682="男",LOOKUP(H682,[1]对照表!$K$3:$K$24,[1]对照表!$L$3:$L$24),LOOKUP(H682,[1]对照表!$K$27:$K$48,[1]对照表!$L$27:$L$48)),IF(B682="高二",IF($E682="男",LOOKUP(H682,[1]对照表!$J$3:$J$24,[1]对照表!$L$3:$L$24),LOOKUP(H682,[1]对照表!$J$27:$J$48,[1]对照表!$L$27:$L$48)),IF(B682="高一",IF($E682="男",LOOKUP(H682,[1]对照表!$I$3:$I$24,[1]对照表!$L$3:$L$24),LOOKUP(H682,[1]对照表!$I$27:$I$48,[1]对照表!$L$27:$L$48)))))</f>
        <v>85</v>
      </c>
      <c r="J682" s="38">
        <v>196</v>
      </c>
      <c r="K682" s="32">
        <f>IF(B682="高三",IF($E682="男",LOOKUP(J682,[1]对照表!$O$3:$O$24,[1]对照表!$P$3:$P$24),LOOKUP(J682,[1]对照表!$O$27:$O$48,[1]对照表!$P$27:$P$48)),IF(B682="高二",IF($E682="男",LOOKUP(J682,[1]对照表!$N$3:$N$24,[1]对照表!$P$3:$P$24),LOOKUP(J682,[1]对照表!$N$27:$N$48,[1]对照表!$P$27:$P$48)),IF(B682="高一",IF($E682="男",LOOKUP(J682,[1]对照表!$M$3:$M$24,[1]对照表!$P$3:$P$24),LOOKUP(J682,[1]对照表!$M$27:$M$48,[1]对照表!$P$27:$P$48)))))</f>
        <v>90</v>
      </c>
      <c r="L682" s="38">
        <v>45</v>
      </c>
      <c r="M682" s="32">
        <f>IF(B682="高三",IF($E682="男",LOOKUP(L682,[1]对照表!$S$3:$S$24,[1]对照表!$T$3:$T$24),LOOKUP(L682,[1]对照表!$S$27:$S$48,[1]对照表!$T$27:$T$48)),IF(B682="高二",IF($E682="男",LOOKUP(L682,[1]对照表!$R$3:$R$24,[1]对照表!$T$3:$T$24),LOOKUP(L682,[1]对照表!$R$27:$R$48,[1]对照表!$T$27:$T$48)),IF(B682="高一",IF($E682="男",LOOKUP(L682,[1]对照表!$Q$3:$Q$24,[1]对照表!$T$3:$T$24),LOOKUP(L682,[1]对照表!$Q$27:$Q$48,[1]对照表!$T$27:$T$48)))))</f>
        <v>80</v>
      </c>
      <c r="N682" s="33">
        <f>IF(B682="高三",MAX(IF(E682="男",L682-18,L682-55),0),IF(B682="高二",MAX(IF(E682="男",L682-17,L682-54),0),IF(B682="高一",MAX(IF(E682="男",L682-16,L682-53),0))))</f>
        <v>0</v>
      </c>
      <c r="O682" s="23">
        <f>IF(E682="男",LOOKUP($N682,[1]对照表!$Z$3:$Z$13,[1]对照表!$AA$3:$AA$13),LOOKUP($N682,[1]对照表!$Z$15:$Z$25,[1]对照表!$AA$15:$AA$25))</f>
        <v>0</v>
      </c>
      <c r="P682" s="25">
        <f>M682+O682</f>
        <v>80</v>
      </c>
      <c r="Q682" s="38"/>
      <c r="R682" s="20">
        <v>0</v>
      </c>
      <c r="S682" s="22">
        <v>0</v>
      </c>
      <c r="T682" s="23">
        <f>IF(E682="男",LOOKUP($S682,[1]对照表!$AB$3:$AB$13,[1]对照表!$AC$3:$AC$13),LOOKUP($S682,[1]对照表!$AB$15:$AB$25,[1]对照表!$AC$15:$AC$25))</f>
        <v>0</v>
      </c>
      <c r="U682" s="26">
        <f>R682+T682</f>
        <v>0</v>
      </c>
      <c r="V682" s="26">
        <f>SUM(I682,K682,M682)/3*0.3+SUM(G682,R682)/2*0.4</f>
        <v>41.1</v>
      </c>
      <c r="W682" s="27">
        <f>O682+T682</f>
        <v>0</v>
      </c>
      <c r="X682" s="28">
        <f>V682/0.7+W682</f>
        <v>58.714285714285722</v>
      </c>
      <c r="Y682" s="28">
        <f>X682</f>
        <v>58.714285714285722</v>
      </c>
      <c r="Z682" s="38"/>
    </row>
    <row r="683" spans="1:26" ht="15.6" x14ac:dyDescent="0.25">
      <c r="A683" s="38">
        <v>41</v>
      </c>
      <c r="B683" s="17" t="s">
        <v>767</v>
      </c>
      <c r="C683" s="51" t="s">
        <v>816</v>
      </c>
      <c r="D683" s="49" t="s">
        <v>1398</v>
      </c>
      <c r="E683" s="48" t="s">
        <v>65</v>
      </c>
      <c r="F683" s="52"/>
      <c r="G683" s="20">
        <v>0</v>
      </c>
      <c r="H683" s="52">
        <v>11.3</v>
      </c>
      <c r="I683" s="32">
        <f>IF(B683="高三",IF($E683="男",LOOKUP(H683,[1]对照表!$K$3:$K$24,[1]对照表!$L$3:$L$24),LOOKUP(H683,[1]对照表!$K$27:$K$48,[1]对照表!$L$27:$L$48)),IF(B683="高二",IF($E683="男",LOOKUP(H683,[1]对照表!$J$3:$J$24,[1]对照表!$L$3:$L$24),LOOKUP(H683,[1]对照表!$J$27:$J$48,[1]对照表!$L$27:$L$48)),IF(B683="高一",IF($E683="男",LOOKUP(H683,[1]对照表!$I$3:$I$24,[1]对照表!$L$3:$L$24),LOOKUP(H683,[1]对照表!$I$27:$I$48,[1]对照表!$L$27:$L$48)))))</f>
        <v>68</v>
      </c>
      <c r="J683" s="52">
        <v>180</v>
      </c>
      <c r="K683" s="32">
        <f>IF(B683="高三",IF($E683="男",LOOKUP(J683,[1]对照表!$O$3:$O$24,[1]对照表!$P$3:$P$24),LOOKUP(J683,[1]对照表!$O$27:$O$48,[1]对照表!$P$27:$P$48)),IF(B683="高二",IF($E683="男",LOOKUP(J683,[1]对照表!$N$3:$N$24,[1]对照表!$P$3:$P$24),LOOKUP(J683,[1]对照表!$N$27:$N$48,[1]对照表!$P$27:$P$48)),IF(B683="高一",IF($E683="男",LOOKUP(J683,[1]对照表!$M$3:$M$24,[1]对照表!$P$3:$P$24),LOOKUP(J683,[1]对照表!$M$27:$M$48,[1]对照表!$P$27:$P$48)))))</f>
        <v>80</v>
      </c>
      <c r="L683" s="52">
        <v>54</v>
      </c>
      <c r="M683" s="32">
        <f>IF(B683="高三",IF($E683="男",LOOKUP(L683,[1]对照表!$S$3:$S$24,[1]对照表!$T$3:$T$24),LOOKUP(L683,[1]对照表!$S$27:$S$48,[1]对照表!$T$27:$T$48)),IF(B683="高二",IF($E683="男",LOOKUP(L683,[1]对照表!$R$3:$R$24,[1]对照表!$T$3:$T$24),LOOKUP(L683,[1]对照表!$R$27:$R$48,[1]对照表!$T$27:$T$48)),IF(B683="高一",IF($E683="男",LOOKUP(L683,[1]对照表!$Q$3:$Q$24,[1]对照表!$T$3:$T$24),LOOKUP(L683,[1]对照表!$Q$27:$Q$48,[1]对照表!$T$27:$T$48)))))</f>
        <v>100</v>
      </c>
      <c r="N683" s="33">
        <f>IF(B683="高三",MAX(IF(E683="男",L683-18,L683-55),0),IF(B683="高二",MAX(IF(E683="男",L683-17,L683-54),0),IF(B683="高一",MAX(IF(E683="男",L683-16,L683-53),0))))</f>
        <v>0</v>
      </c>
      <c r="O683" s="23">
        <f>IF(E683="男",LOOKUP($N683,[1]对照表!$Z$3:$Z$13,[1]对照表!$AA$3:$AA$13),LOOKUP($N683,[1]对照表!$Z$15:$Z$25,[1]对照表!$AA$15:$AA$25))</f>
        <v>0</v>
      </c>
      <c r="P683" s="25">
        <f>M683+O683</f>
        <v>100</v>
      </c>
      <c r="Q683" s="52"/>
      <c r="R683" s="20">
        <v>0</v>
      </c>
      <c r="S683" s="22">
        <v>0</v>
      </c>
      <c r="T683" s="23">
        <f>IF(E683="男",LOOKUP($S683,[1]对照表!$AB$3:$AB$13,[1]对照表!$AC$3:$AC$13),LOOKUP($S683,[1]对照表!$AB$15:$AB$25,[1]对照表!$AC$15:$AC$25))</f>
        <v>0</v>
      </c>
      <c r="U683" s="26">
        <f>R683+T683</f>
        <v>0</v>
      </c>
      <c r="V683" s="26">
        <f>SUM(I683,K683,M683)/3*0.3+SUM(G683,R683)/2*0.4</f>
        <v>24.8</v>
      </c>
      <c r="W683" s="27">
        <f>O683+T683</f>
        <v>0</v>
      </c>
      <c r="X683" s="28">
        <f>V683/0.7+W683</f>
        <v>35.428571428571431</v>
      </c>
      <c r="Y683" s="29">
        <v>50</v>
      </c>
      <c r="Z683" s="52"/>
    </row>
    <row r="684" spans="1:26" ht="15.6" customHeight="1" x14ac:dyDescent="0.15">
      <c r="A684" s="52">
        <v>2</v>
      </c>
      <c r="B684" s="17" t="s">
        <v>767</v>
      </c>
      <c r="C684" s="51" t="s">
        <v>816</v>
      </c>
      <c r="D684" s="49" t="s">
        <v>1416</v>
      </c>
      <c r="E684" s="55" t="s">
        <v>23</v>
      </c>
      <c r="F684" s="50">
        <v>8</v>
      </c>
      <c r="G684" s="32">
        <f>IF(B684="高三",IF($E684="男",LOOKUP(F684,[1]对照表!$G$3:$G$24,[1]对照表!$H$3:$H$24),LOOKUP(F684,[1]对照表!$G$27:$G$48,[1]对照表!$H$27:$H$48)),IF(B684="高二",IF($E684="男",LOOKUP(F684,[1]对照表!$F$3:$F$24,[1]对照表!$H$3:$H$24),LOOKUP(F684,[1]对照表!$F$27:$F$48,[1]对照表!$H$27:$H$48)),IF(B684="高一",IF($E684="男",LOOKUP(F684,[1]对照表!$E$3:$E$24,[1]对照表!$H$3:$H$24),LOOKUP(F684,[1]对照表!$E$27:$E$48,[1]对照表!$H$27:$H$48)))))</f>
        <v>74</v>
      </c>
      <c r="H684" s="38">
        <v>20.8</v>
      </c>
      <c r="I684" s="32">
        <f>IF(B684="高三",IF($E684="男",LOOKUP(H684,[1]对照表!$K$3:$K$24,[1]对照表!$L$3:$L$24),LOOKUP(H684,[1]对照表!$K$27:$K$48,[1]对照表!$L$27:$L$48)),IF(B684="高二",IF($E684="男",LOOKUP(H684,[1]对照表!$J$3:$J$24,[1]对照表!$L$3:$L$24),LOOKUP(H684,[1]对照表!$J$27:$J$48,[1]对照表!$L$27:$L$48)),IF(B684="高一",IF($E684="男",LOOKUP(H684,[1]对照表!$I$3:$I$24,[1]对照表!$L$3:$L$24),LOOKUP(H684,[1]对照表!$I$27:$I$48,[1]对照表!$L$27:$L$48)))))</f>
        <v>90</v>
      </c>
      <c r="J684" s="38">
        <v>215</v>
      </c>
      <c r="K684" s="32">
        <f>IF(B684="高三",IF($E684="男",LOOKUP(J684,[1]对照表!$O$3:$O$24,[1]对照表!$P$3:$P$24),LOOKUP(J684,[1]对照表!$O$27:$O$48,[1]对照表!$P$27:$P$48)),IF(B684="高二",IF($E684="男",LOOKUP(J684,[1]对照表!$N$3:$N$24,[1]对照表!$P$3:$P$24),LOOKUP(J684,[1]对照表!$N$27:$N$48,[1]对照表!$P$27:$P$48)),IF(B684="高一",IF($E684="男",LOOKUP(J684,[1]对照表!$M$3:$M$24,[1]对照表!$P$3:$P$24),LOOKUP(J684,[1]对照表!$M$27:$M$48,[1]对照表!$P$27:$P$48)))))</f>
        <v>66</v>
      </c>
      <c r="L684" s="38">
        <v>1</v>
      </c>
      <c r="M684" s="32">
        <f>IF(B684="高三",IF($E684="男",LOOKUP(L684,[1]对照表!$S$3:$S$24,[1]对照表!$T$3:$T$24),LOOKUP(L684,[1]对照表!$S$27:$S$48,[1]对照表!$T$27:$T$48)),IF(B684="高二",IF($E684="男",LOOKUP(L684,[1]对照表!$R$3:$R$24,[1]对照表!$T$3:$T$24),LOOKUP(L684,[1]对照表!$R$27:$R$48,[1]对照表!$T$27:$T$48)),IF(B684="高一",IF($E684="男",LOOKUP(L684,[1]对照表!$Q$3:$Q$24,[1]对照表!$T$3:$T$24),LOOKUP(L684,[1]对照表!$Q$27:$Q$48,[1]对照表!$T$27:$T$48)))))</f>
        <v>0</v>
      </c>
      <c r="N684" s="33">
        <f>IF(B684="高三",MAX(IF(E684="男",L684-18,L684-55),0),IF(B684="高二",MAX(IF(E684="男",L684-17,L684-54),0),IF(B684="高一",MAX(IF(E684="男",L684-16,L684-53),0))))</f>
        <v>0</v>
      </c>
      <c r="O684" s="23">
        <f>IF(E684="男",LOOKUP($N684,[1]对照表!$Z$3:$Z$13,[1]对照表!$AA$3:$AA$13),LOOKUP($N684,[1]对照表!$Z$15:$Z$25,[1]对照表!$AA$15:$AA$25))</f>
        <v>0</v>
      </c>
      <c r="P684" s="25">
        <f>M684+O684</f>
        <v>0</v>
      </c>
      <c r="Q684" s="50">
        <v>4.1100000000000003</v>
      </c>
      <c r="R684" s="32">
        <f>IF(B684="高三",IF($E684="男",LOOKUP(Q684,[1]对照表!$W$3:$W$24,[1]对照表!$X$3:$X$24),LOOKUP(Q684,[1]对照表!$W$27:$W$48,[1]对照表!$X$27:$X$48)),IF(B684="高二",IF($E684="男",LOOKUP(Q684,[1]对照表!$V$3:$V$24,[1]对照表!$X$3:$X$24),LOOKUP(Q684,[1]对照表!$V$27:$V$48,[1]对照表!$X$27:$X$48)),IF(B684="高一",IF($E684="男",LOOKUP(Q684,[1]对照表!$U$3:$U$24,[1]对照表!$X$3:$X$24),LOOKUP(Q684,[1]对照表!$U$27:$U$48,[1]对照表!$X$27:$X$48)))))</f>
        <v>70</v>
      </c>
      <c r="S684" s="33">
        <f>ROUND(IF(IF($B684="高三",MIN(IF($E684="男",$Q684-3.2,$Q684-3.2),0),IF($B684="高二",MIN(IF($E684="男",$Q684-3.25,$Q684-3.22),0),IF($B684="高一",MIN(IF($E684="男",$Q684-3.3,$Q684-3.24),0))))&lt;-0.6,IF($B684="高三",MIN(IF($E684="男",$Q684-3.2,$Q684-3.2),0),IF($B684="高二",MIN(IF($E684="男",$Q684-3.25,$Q684-3.22),0),IF($B684="高一",MIN(IF($E684="男",$Q684-3.3,$Q684-3.24),0))))+0.4,IF($B684="高三",MIN(IF($E684="男",$Q684-3.2,$Q684-3.2),0),IF($B684="高二",MIN(IF($E684="男",$Q684-3.25,$Q684-3.22),0),IF($B684="高一",MIN(IF($E684="男",$Q684-3.3,$Q684-3.24),0))))),2)</f>
        <v>0</v>
      </c>
      <c r="T684" s="23">
        <f>IF(E684="男",LOOKUP($S684,[1]对照表!$AB$3:$AB$13,[1]对照表!$AC$3:$AC$13),LOOKUP($S684,[1]对照表!$AB$15:$AB$25,[1]对照表!$AC$15:$AC$25))</f>
        <v>0</v>
      </c>
      <c r="U684" s="26">
        <f>R684+T684</f>
        <v>70</v>
      </c>
      <c r="V684" s="26">
        <f>SUM(I684,K684,M684)/3*0.3+SUM(G684,R684)/2*0.4</f>
        <v>44.4</v>
      </c>
      <c r="W684" s="27">
        <f>O684+T684</f>
        <v>0</v>
      </c>
      <c r="X684" s="28">
        <f>V684/0.7+W684</f>
        <v>63.428571428571431</v>
      </c>
      <c r="Y684" s="28">
        <f>X684</f>
        <v>63.428571428571431</v>
      </c>
      <c r="Z684" s="38"/>
    </row>
    <row r="685" spans="1:26" ht="15.6" customHeight="1" x14ac:dyDescent="0.15">
      <c r="A685" s="52">
        <v>8</v>
      </c>
      <c r="B685" s="17" t="s">
        <v>767</v>
      </c>
      <c r="C685" s="51" t="s">
        <v>816</v>
      </c>
      <c r="D685" s="49" t="s">
        <v>1460</v>
      </c>
      <c r="E685" s="55" t="s">
        <v>23</v>
      </c>
      <c r="F685" s="50">
        <v>9.4</v>
      </c>
      <c r="G685" s="32">
        <f>IF(B685="高三",IF($E685="男",LOOKUP(F685,[1]对照表!$G$3:$G$24,[1]对照表!$H$3:$H$24),LOOKUP(F685,[1]对照表!$G$27:$G$48,[1]对照表!$H$27:$H$48)),IF(B685="高二",IF($E685="男",LOOKUP(F685,[1]对照表!$F$3:$F$24,[1]对照表!$H$3:$H$24),LOOKUP(F685,[1]对照表!$F$27:$F$48,[1]对照表!$H$27:$H$48)),IF(B685="高一",IF($E685="男",LOOKUP(F685,[1]对照表!$E$3:$E$24,[1]对照表!$H$3:$H$24),LOOKUP(F685,[1]对照表!$E$27:$E$48,[1]对照表!$H$27:$H$48)))))</f>
        <v>60</v>
      </c>
      <c r="H685" s="38">
        <v>8.1</v>
      </c>
      <c r="I685" s="32">
        <f>IF(B685="高三",IF($E685="男",LOOKUP(H685,[1]对照表!$K$3:$K$24,[1]对照表!$L$3:$L$24),LOOKUP(H685,[1]对照表!$K$27:$K$48,[1]对照表!$L$27:$L$48)),IF(B685="高二",IF($E685="男",LOOKUP(H685,[1]对照表!$J$3:$J$24,[1]对照表!$L$3:$L$24),LOOKUP(H685,[1]对照表!$J$27:$J$48,[1]对照表!$L$27:$L$48)),IF(B685="高一",IF($E685="男",LOOKUP(H685,[1]对照表!$I$3:$I$24,[1]对照表!$L$3:$L$24),LOOKUP(H685,[1]对照表!$I$27:$I$48,[1]对照表!$L$27:$L$48)))))</f>
        <v>68</v>
      </c>
      <c r="J685" s="53">
        <v>175</v>
      </c>
      <c r="K685" s="32">
        <f>IF(B685="高三",IF($E685="男",LOOKUP(J685,[1]对照表!$O$3:$O$24,[1]对照表!$P$3:$P$24),LOOKUP(J685,[1]对照表!$O$27:$O$48,[1]对照表!$P$27:$P$48)),IF(B685="高二",IF($E685="男",LOOKUP(J685,[1]对照表!$N$3:$N$24,[1]对照表!$P$3:$P$24),LOOKUP(J685,[1]对照表!$N$27:$N$48,[1]对照表!$P$27:$P$48)),IF(B685="高一",IF($E685="男",LOOKUP(J685,[1]对照表!$M$3:$M$24,[1]对照表!$P$3:$P$24),LOOKUP(J685,[1]对照表!$M$27:$M$48,[1]对照表!$P$27:$P$48)))))</f>
        <v>10</v>
      </c>
      <c r="L685" s="38">
        <v>1</v>
      </c>
      <c r="M685" s="32">
        <f>IF(B685="高三",IF($E685="男",LOOKUP(L685,[1]对照表!$S$3:$S$24,[1]对照表!$T$3:$T$24),LOOKUP(L685,[1]对照表!$S$27:$S$48,[1]对照表!$T$27:$T$48)),IF(B685="高二",IF($E685="男",LOOKUP(L685,[1]对照表!$R$3:$R$24,[1]对照表!$T$3:$T$24),LOOKUP(L685,[1]对照表!$R$27:$R$48,[1]对照表!$T$27:$T$48)),IF(B685="高一",IF($E685="男",LOOKUP(L685,[1]对照表!$Q$3:$Q$24,[1]对照表!$T$3:$T$24),LOOKUP(L685,[1]对照表!$Q$27:$Q$48,[1]对照表!$T$27:$T$48)))))</f>
        <v>0</v>
      </c>
      <c r="N685" s="33">
        <f>IF(B685="高三",MAX(IF(E685="男",L685-18,L685-55),0),IF(B685="高二",MAX(IF(E685="男",L685-17,L685-54),0),IF(B685="高一",MAX(IF(E685="男",L685-16,L685-53),0))))</f>
        <v>0</v>
      </c>
      <c r="O685" s="23">
        <f>IF(E685="男",LOOKUP($N685,[1]对照表!$Z$3:$Z$13,[1]对照表!$AA$3:$AA$13),LOOKUP($N685,[1]对照表!$Z$15:$Z$25,[1]对照表!$AA$15:$AA$25))</f>
        <v>0</v>
      </c>
      <c r="P685" s="25">
        <f>M685+O685</f>
        <v>0</v>
      </c>
      <c r="Q685" s="50">
        <v>6.42</v>
      </c>
      <c r="R685" s="32">
        <f>IF(B685="高三",IF($E685="男",LOOKUP(Q685,[1]对照表!$W$3:$W$24,[1]对照表!$X$3:$X$24),LOOKUP(Q685,[1]对照表!$W$27:$W$48,[1]对照表!$X$27:$X$48)),IF(B685="高二",IF($E685="男",LOOKUP(Q685,[1]对照表!$V$3:$V$24,[1]对照表!$X$3:$X$24),LOOKUP(Q685,[1]对照表!$V$27:$V$48,[1]对照表!$X$27:$X$48)),IF(B685="高一",IF($E685="男",LOOKUP(Q685,[1]对照表!$U$3:$U$24,[1]对照表!$X$3:$X$24),LOOKUP(Q685,[1]对照表!$U$27:$U$48,[1]对照表!$X$27:$X$48)))))</f>
        <v>0</v>
      </c>
      <c r="S685" s="33">
        <f>ROUND(IF(IF($B685="高三",MIN(IF($E685="男",$Q685-3.2,$Q685-3.2),0),IF($B685="高二",MIN(IF($E685="男",$Q685-3.25,$Q685-3.22),0),IF($B685="高一",MIN(IF($E685="男",$Q685-3.3,$Q685-3.24),0))))&lt;-0.6,IF($B685="高三",MIN(IF($E685="男",$Q685-3.2,$Q685-3.2),0),IF($B685="高二",MIN(IF($E685="男",$Q685-3.25,$Q685-3.22),0),IF($B685="高一",MIN(IF($E685="男",$Q685-3.3,$Q685-3.24),0))))+0.4,IF($B685="高三",MIN(IF($E685="男",$Q685-3.2,$Q685-3.2),0),IF($B685="高二",MIN(IF($E685="男",$Q685-3.25,$Q685-3.22),0),IF($B685="高一",MIN(IF($E685="男",$Q685-3.3,$Q685-3.24),0))))),2)</f>
        <v>0</v>
      </c>
      <c r="T685" s="23">
        <f>IF(E685="男",LOOKUP($S685,[1]对照表!$AB$3:$AB$13,[1]对照表!$AC$3:$AC$13),LOOKUP($S685,[1]对照表!$AB$15:$AB$25,[1]对照表!$AC$15:$AC$25))</f>
        <v>0</v>
      </c>
      <c r="U685" s="26">
        <f>R685+T685</f>
        <v>0</v>
      </c>
      <c r="V685" s="26">
        <f>SUM(I685,K685,M685)/3*0.3+SUM(G685,R685)/2*0.4</f>
        <v>19.8</v>
      </c>
      <c r="W685" s="27">
        <f>O685+T685</f>
        <v>0</v>
      </c>
      <c r="X685" s="28">
        <f>V685/0.7+W685</f>
        <v>28.285714285714288</v>
      </c>
      <c r="Y685" s="29">
        <v>50</v>
      </c>
      <c r="Z685" s="38"/>
    </row>
    <row r="686" spans="1:26" ht="15.6" x14ac:dyDescent="0.25">
      <c r="A686" s="48">
        <v>32</v>
      </c>
      <c r="B686" s="17" t="s">
        <v>767</v>
      </c>
      <c r="C686" s="51" t="s">
        <v>816</v>
      </c>
      <c r="D686" s="49" t="s">
        <v>1499</v>
      </c>
      <c r="E686" s="48" t="s">
        <v>65</v>
      </c>
      <c r="F686" s="38"/>
      <c r="G686" s="20">
        <v>0</v>
      </c>
      <c r="H686" s="38"/>
      <c r="I686" s="20">
        <v>0</v>
      </c>
      <c r="J686" s="38"/>
      <c r="K686" s="20">
        <v>0</v>
      </c>
      <c r="L686" s="38"/>
      <c r="M686" s="20">
        <v>0</v>
      </c>
      <c r="N686" s="33">
        <f>IF(B686="高三",MAX(IF(E686="男",L686-18,L686-55),0),IF(B686="高二",MAX(IF(E686="男",L686-17,L686-54),0),IF(B686="高一",MAX(IF(E686="男",L686-16,L686-53),0))))</f>
        <v>0</v>
      </c>
      <c r="O686" s="23">
        <f>IF(E686="男",LOOKUP($N686,[1]对照表!$Z$3:$Z$13,[1]对照表!$AA$3:$AA$13),LOOKUP($N686,[1]对照表!$Z$15:$Z$25,[1]对照表!$AA$15:$AA$25))</f>
        <v>0</v>
      </c>
      <c r="P686" s="25">
        <f>M686+O686</f>
        <v>0</v>
      </c>
      <c r="Q686" s="38"/>
      <c r="R686" s="20">
        <v>0</v>
      </c>
      <c r="S686" s="20">
        <v>0</v>
      </c>
      <c r="T686" s="23">
        <f>IF(E686="男",LOOKUP($S686,[1]对照表!$AB$3:$AB$13,[1]对照表!$AC$3:$AC$13),LOOKUP($S686,[1]对照表!$AB$15:$AB$25,[1]对照表!$AC$15:$AC$25))</f>
        <v>0</v>
      </c>
      <c r="U686" s="26">
        <f>R686+T686</f>
        <v>0</v>
      </c>
      <c r="V686" s="26">
        <f>SUM(I686,K686,M686)/3*0.3+SUM(G686,R686)/2*0.4</f>
        <v>0</v>
      </c>
      <c r="W686" s="27">
        <f>O686+T686</f>
        <v>0</v>
      </c>
      <c r="X686" s="28">
        <f>V686/0.7+W686</f>
        <v>0</v>
      </c>
      <c r="Y686" s="29">
        <v>50</v>
      </c>
      <c r="Z686" s="38"/>
    </row>
    <row r="687" spans="1:26" ht="15.6" x14ac:dyDescent="0.25">
      <c r="A687" s="38">
        <v>47</v>
      </c>
      <c r="B687" s="17" t="s">
        <v>767</v>
      </c>
      <c r="C687" s="51" t="s">
        <v>816</v>
      </c>
      <c r="D687" s="49" t="s">
        <v>1500</v>
      </c>
      <c r="E687" s="48" t="s">
        <v>65</v>
      </c>
      <c r="F687" s="38"/>
      <c r="G687" s="20">
        <v>0</v>
      </c>
      <c r="H687" s="38"/>
      <c r="I687" s="20">
        <v>0</v>
      </c>
      <c r="J687" s="38"/>
      <c r="K687" s="20">
        <v>0</v>
      </c>
      <c r="L687" s="38"/>
      <c r="M687" s="20">
        <v>0</v>
      </c>
      <c r="N687" s="33">
        <f>IF(B687="高三",MAX(IF(E687="男",L687-18,L687-55),0),IF(B687="高二",MAX(IF(E687="男",L687-17,L687-54),0),IF(B687="高一",MAX(IF(E687="男",L687-16,L687-53),0))))</f>
        <v>0</v>
      </c>
      <c r="O687" s="23">
        <f>IF(E687="男",LOOKUP($N687,[1]对照表!$Z$3:$Z$13,[1]对照表!$AA$3:$AA$13),LOOKUP($N687,[1]对照表!$Z$15:$Z$25,[1]对照表!$AA$15:$AA$25))</f>
        <v>0</v>
      </c>
      <c r="P687" s="25">
        <f>M687+O687</f>
        <v>0</v>
      </c>
      <c r="Q687" s="38"/>
      <c r="R687" s="20">
        <v>0</v>
      </c>
      <c r="S687" s="20">
        <v>0</v>
      </c>
      <c r="T687" s="23">
        <f>IF(E687="男",LOOKUP($S687,[1]对照表!$AB$3:$AB$13,[1]对照表!$AC$3:$AC$13),LOOKUP($S687,[1]对照表!$AB$15:$AB$25,[1]对照表!$AC$15:$AC$25))</f>
        <v>0</v>
      </c>
      <c r="U687" s="26">
        <f>R687+T687</f>
        <v>0</v>
      </c>
      <c r="V687" s="26">
        <f>SUM(I687,K687,M687)/3*0.3+SUM(G687,R687)/2*0.4</f>
        <v>0</v>
      </c>
      <c r="W687" s="27">
        <f>O687+T687</f>
        <v>0</v>
      </c>
      <c r="X687" s="28">
        <f>V687/0.7+W687</f>
        <v>0</v>
      </c>
      <c r="Y687" s="29">
        <v>50</v>
      </c>
      <c r="Z687" s="38"/>
    </row>
    <row r="688" spans="1:26" ht="15.6" x14ac:dyDescent="0.25">
      <c r="A688" s="48">
        <v>36</v>
      </c>
      <c r="B688" s="17" t="s">
        <v>767</v>
      </c>
      <c r="C688" s="51" t="s">
        <v>771</v>
      </c>
      <c r="D688" s="49" t="s">
        <v>772</v>
      </c>
      <c r="E688" s="48" t="s">
        <v>65</v>
      </c>
      <c r="F688" s="38">
        <v>7.74</v>
      </c>
      <c r="G688" s="32">
        <f>IF(B688="高三",IF($E688="男",LOOKUP(F688,[1]对照表!$G$3:$G$24,[1]对照表!$H$3:$H$24),LOOKUP(F688,[1]对照表!$G$27:$G$48,[1]对照表!$H$27:$H$48)),IF(B688="高二",IF($E688="男",LOOKUP(F688,[1]对照表!$F$3:$F$24,[1]对照表!$H$3:$H$24),LOOKUP(F688,[1]对照表!$F$27:$F$48,[1]对照表!$H$27:$H$48)),IF(B688="高一",IF($E688="男",LOOKUP(F688,[1]对照表!$E$3:$E$24,[1]对照表!$H$3:$H$24),LOOKUP(F688,[1]对照表!$E$27:$E$48,[1]对照表!$H$27:$H$48)))))</f>
        <v>95</v>
      </c>
      <c r="H688" s="38">
        <v>25.7</v>
      </c>
      <c r="I688" s="32">
        <f>IF(B688="高三",IF($E688="男",LOOKUP(H688,[1]对照表!$K$3:$K$24,[1]对照表!$L$3:$L$24),LOOKUP(H688,[1]对照表!$K$27:$K$48,[1]对照表!$L$27:$L$48)),IF(B688="高二",IF($E688="男",LOOKUP(H688,[1]对照表!$J$3:$J$24,[1]对照表!$L$3:$L$24),LOOKUP(H688,[1]对照表!$J$27:$J$48,[1]对照表!$L$27:$L$48)),IF(B688="高一",IF($E688="男",LOOKUP(H688,[1]对照表!$I$3:$I$24,[1]对照表!$L$3:$L$24),LOOKUP(H688,[1]对照表!$I$27:$I$48,[1]对照表!$L$27:$L$48)))))</f>
        <v>100</v>
      </c>
      <c r="J688" s="38">
        <v>220</v>
      </c>
      <c r="K688" s="32">
        <f>IF(B688="高三",IF($E688="男",LOOKUP(J688,[1]对照表!$O$3:$O$24,[1]对照表!$P$3:$P$24),LOOKUP(J688,[1]对照表!$O$27:$O$48,[1]对照表!$P$27:$P$48)),IF(B688="高二",IF($E688="男",LOOKUP(J688,[1]对照表!$N$3:$N$24,[1]对照表!$P$3:$P$24),LOOKUP(J688,[1]对照表!$N$27:$N$48,[1]对照表!$P$27:$P$48)),IF(B688="高一",IF($E688="男",LOOKUP(J688,[1]对照表!$M$3:$M$24,[1]对照表!$P$3:$P$24),LOOKUP(J688,[1]对照表!$M$27:$M$48,[1]对照表!$P$27:$P$48)))))</f>
        <v>100</v>
      </c>
      <c r="L688" s="38">
        <v>63</v>
      </c>
      <c r="M688" s="32">
        <f>IF(B688="高三",IF($E688="男",LOOKUP(L688,[1]对照表!$S$3:$S$24,[1]对照表!$T$3:$T$24),LOOKUP(L688,[1]对照表!$S$27:$S$48,[1]对照表!$T$27:$T$48)),IF(B688="高二",IF($E688="男",LOOKUP(L688,[1]对照表!$R$3:$R$24,[1]对照表!$T$3:$T$24),LOOKUP(L688,[1]对照表!$R$27:$R$48,[1]对照表!$T$27:$T$48)),IF(B688="高一",IF($E688="男",LOOKUP(L688,[1]对照表!$Q$3:$Q$24,[1]对照表!$T$3:$T$24),LOOKUP(L688,[1]对照表!$Q$27:$Q$48,[1]对照表!$T$27:$T$48)))))</f>
        <v>100</v>
      </c>
      <c r="N688" s="33">
        <f>IF(B688="高三",MAX(IF(E688="男",L688-18,L688-55),0),IF(B688="高二",MAX(IF(E688="男",L688-17,L688-54),0),IF(B688="高一",MAX(IF(E688="男",L688-16,L688-53),0))))</f>
        <v>9</v>
      </c>
      <c r="O688" s="23">
        <f>IF(E688="男",LOOKUP($N688,[1]对照表!$Z$3:$Z$13,[1]对照表!$AA$3:$AA$13),LOOKUP($N688,[1]对照表!$Z$15:$Z$25,[1]对照表!$AA$15:$AA$25))</f>
        <v>6</v>
      </c>
      <c r="P688" s="25">
        <f>M688+O688</f>
        <v>106</v>
      </c>
      <c r="Q688" s="38">
        <v>3.13</v>
      </c>
      <c r="R688" s="32">
        <f>IF(B688="高三",IF($E688="男",LOOKUP(Q688,[1]对照表!$W$3:$W$24,[1]对照表!$X$3:$X$24),LOOKUP(Q688,[1]对照表!$W$27:$W$48,[1]对照表!$X$27:$X$48)),IF(B688="高二",IF($E688="男",LOOKUP(Q688,[1]对照表!$V$3:$V$24,[1]对照表!$X$3:$X$24),LOOKUP(Q688,[1]对照表!$V$27:$V$48,[1]对照表!$X$27:$X$48)),IF(B688="高一",IF($E688="男",LOOKUP(Q688,[1]对照表!$U$3:$U$24,[1]对照表!$X$3:$X$24),LOOKUP(Q688,[1]对照表!$U$27:$U$48,[1]对照表!$X$27:$X$48)))))</f>
        <v>100</v>
      </c>
      <c r="S688" s="33">
        <f>ROUND(IF(IF($B688="高三",MIN(IF($E688="男",$Q688-3.2,$Q688-3.2),0),IF($B688="高二",MIN(IF($E688="男",$Q688-3.25,$Q688-3.22),0),IF($B688="高一",MIN(IF($E688="男",$Q688-3.3,$Q688-3.24),0))))&lt;-0.6,IF($B688="高三",MIN(IF($E688="男",$Q688-3.2,$Q688-3.2),0),IF($B688="高二",MIN(IF($E688="男",$Q688-3.25,$Q688-3.22),0),IF($B688="高一",MIN(IF($E688="男",$Q688-3.3,$Q688-3.24),0))))+0.4,IF($B688="高三",MIN(IF($E688="男",$Q688-3.2,$Q688-3.2),0),IF($B688="高二",MIN(IF($E688="男",$Q688-3.25,$Q688-3.22),0),IF($B688="高一",MIN(IF($E688="男",$Q688-3.3,$Q688-3.24),0))))),2)</f>
        <v>-0.09</v>
      </c>
      <c r="T688" s="23">
        <f>IF(E688="男",LOOKUP($S688,[1]对照表!$AB$3:$AB$13,[1]对照表!$AC$3:$AC$13),LOOKUP($S688,[1]对照表!$AB$15:$AB$25,[1]对照表!$AC$15:$AC$25))</f>
        <v>1</v>
      </c>
      <c r="U688" s="26">
        <f>R688+T688</f>
        <v>101</v>
      </c>
      <c r="V688" s="26">
        <f>SUM(I688,K688,M688)/3*0.3+SUM(G688,R688)/2*0.4</f>
        <v>69</v>
      </c>
      <c r="W688" s="27">
        <f>O688+T688</f>
        <v>7</v>
      </c>
      <c r="X688" s="28">
        <f>V688/0.7+W688</f>
        <v>105.57142857142858</v>
      </c>
      <c r="Y688" s="28">
        <f>X688</f>
        <v>105.57142857142858</v>
      </c>
      <c r="Z688" s="38"/>
    </row>
    <row r="689" spans="1:26" ht="15.6" x14ac:dyDescent="0.25">
      <c r="A689" s="48">
        <v>41</v>
      </c>
      <c r="B689" s="17" t="s">
        <v>767</v>
      </c>
      <c r="C689" s="51" t="s">
        <v>771</v>
      </c>
      <c r="D689" s="49" t="s">
        <v>777</v>
      </c>
      <c r="E689" s="48" t="s">
        <v>65</v>
      </c>
      <c r="F689" s="38">
        <v>7.74</v>
      </c>
      <c r="G689" s="32">
        <f>IF(B689="高三",IF($E689="男",LOOKUP(F689,[1]对照表!$G$3:$G$24,[1]对照表!$H$3:$H$24),LOOKUP(F689,[1]对照表!$G$27:$G$48,[1]对照表!$H$27:$H$48)),IF(B689="高二",IF($E689="男",LOOKUP(F689,[1]对照表!$F$3:$F$24,[1]对照表!$H$3:$H$24),LOOKUP(F689,[1]对照表!$F$27:$F$48,[1]对照表!$H$27:$H$48)),IF(B689="高一",IF($E689="男",LOOKUP(F689,[1]对照表!$E$3:$E$24,[1]对照表!$H$3:$H$24),LOOKUP(F689,[1]对照表!$E$27:$E$48,[1]对照表!$H$27:$H$48)))))</f>
        <v>95</v>
      </c>
      <c r="H689" s="38">
        <v>19.5</v>
      </c>
      <c r="I689" s="32">
        <f>IF(B689="高三",IF($E689="男",LOOKUP(H689,[1]对照表!$K$3:$K$24,[1]对照表!$L$3:$L$24),LOOKUP(H689,[1]对照表!$K$27:$K$48,[1]对照表!$L$27:$L$48)),IF(B689="高二",IF($E689="男",LOOKUP(H689,[1]对照表!$J$3:$J$24,[1]对照表!$L$3:$L$24),LOOKUP(H689,[1]对照表!$J$27:$J$48,[1]对照表!$L$27:$L$48)),IF(B689="高一",IF($E689="男",LOOKUP(H689,[1]对照表!$I$3:$I$24,[1]对照表!$L$3:$L$24),LOOKUP(H689,[1]对照表!$I$27:$I$48,[1]对照表!$L$27:$L$48)))))</f>
        <v>80</v>
      </c>
      <c r="J689" s="38">
        <v>210</v>
      </c>
      <c r="K689" s="32">
        <f>IF(B689="高三",IF($E689="男",LOOKUP(J689,[1]对照表!$O$3:$O$24,[1]对照表!$P$3:$P$24),LOOKUP(J689,[1]对照表!$O$27:$O$48,[1]对照表!$P$27:$P$48)),IF(B689="高二",IF($E689="男",LOOKUP(J689,[1]对照表!$N$3:$N$24,[1]对照表!$P$3:$P$24),LOOKUP(J689,[1]对照表!$N$27:$N$48,[1]对照表!$P$27:$P$48)),IF(B689="高一",IF($E689="男",LOOKUP(J689,[1]对照表!$M$3:$M$24,[1]对照表!$P$3:$P$24),LOOKUP(J689,[1]对照表!$M$27:$M$48,[1]对照表!$P$27:$P$48)))))</f>
        <v>100</v>
      </c>
      <c r="L689" s="38">
        <v>59</v>
      </c>
      <c r="M689" s="32">
        <f>IF(B689="高三",IF($E689="男",LOOKUP(L689,[1]对照表!$S$3:$S$24,[1]对照表!$T$3:$T$24),LOOKUP(L689,[1]对照表!$S$27:$S$48,[1]对照表!$T$27:$T$48)),IF(B689="高二",IF($E689="男",LOOKUP(L689,[1]对照表!$R$3:$R$24,[1]对照表!$T$3:$T$24),LOOKUP(L689,[1]对照表!$R$27:$R$48,[1]对照表!$T$27:$T$48)),IF(B689="高一",IF($E689="男",LOOKUP(L689,[1]对照表!$Q$3:$Q$24,[1]对照表!$T$3:$T$24),LOOKUP(L689,[1]对照表!$Q$27:$Q$48,[1]对照表!$T$27:$T$48)))))</f>
        <v>100</v>
      </c>
      <c r="N689" s="33">
        <f>IF(B689="高三",MAX(IF(E689="男",L689-18,L689-55),0),IF(B689="高二",MAX(IF(E689="男",L689-17,L689-54),0),IF(B689="高一",MAX(IF(E689="男",L689-16,L689-53),0))))</f>
        <v>5</v>
      </c>
      <c r="O689" s="23">
        <f>IF(E689="男",LOOKUP($N689,[1]对照表!$Z$3:$Z$13,[1]对照表!$AA$3:$AA$13),LOOKUP($N689,[1]对照表!$Z$15:$Z$25,[1]对照表!$AA$15:$AA$25))</f>
        <v>2</v>
      </c>
      <c r="P689" s="25">
        <f>M689+O689</f>
        <v>102</v>
      </c>
      <c r="Q689" s="38">
        <v>2.5099999999999998</v>
      </c>
      <c r="R689" s="32">
        <f>IF(B689="高三",IF($E689="男",LOOKUP(Q689,[1]对照表!$W$3:$W$24,[1]对照表!$X$3:$X$24),LOOKUP(Q689,[1]对照表!$W$27:$W$48,[1]对照表!$X$27:$X$48)),IF(B689="高二",IF($E689="男",LOOKUP(Q689,[1]对照表!$V$3:$V$24,[1]对照表!$X$3:$X$24),LOOKUP(Q689,[1]对照表!$V$27:$V$48,[1]对照表!$X$27:$X$48)),IF(B689="高一",IF($E689="男",LOOKUP(Q689,[1]对照表!$U$3:$U$24,[1]对照表!$X$3:$X$24),LOOKUP(Q689,[1]对照表!$U$27:$U$48,[1]对照表!$X$27:$X$48)))))</f>
        <v>100</v>
      </c>
      <c r="S689" s="33">
        <f>ROUND(IF(IF($B689="高三",MIN(IF($E689="男",$Q689-3.2,$Q689-3.2),0),IF($B689="高二",MIN(IF($E689="男",$Q689-3.25,$Q689-3.22),0),IF($B689="高一",MIN(IF($E689="男",$Q689-3.3,$Q689-3.24),0))))&lt;-0.6,IF($B689="高三",MIN(IF($E689="男",$Q689-3.2,$Q689-3.2),0),IF($B689="高二",MIN(IF($E689="男",$Q689-3.25,$Q689-3.22),0),IF($B689="高一",MIN(IF($E689="男",$Q689-3.3,$Q689-3.24),0))))+0.4,IF($B689="高三",MIN(IF($E689="男",$Q689-3.2,$Q689-3.2),0),IF($B689="高二",MIN(IF($E689="男",$Q689-3.25,$Q689-3.22),0),IF($B689="高一",MIN(IF($E689="男",$Q689-3.3,$Q689-3.24),0))))),2)</f>
        <v>-0.31</v>
      </c>
      <c r="T689" s="23">
        <f>IF(E689="男",LOOKUP($S689,[1]对照表!$AB$3:$AB$13,[1]对照表!$AC$3:$AC$13),LOOKUP($S689,[1]对照表!$AB$15:$AB$25,[1]对照表!$AC$15:$AC$25))</f>
        <v>6</v>
      </c>
      <c r="U689" s="26">
        <f>R689+T689</f>
        <v>106</v>
      </c>
      <c r="V689" s="26">
        <f>SUM(I689,K689,M689)/3*0.3+SUM(G689,R689)/2*0.4</f>
        <v>67</v>
      </c>
      <c r="W689" s="27">
        <f>O689+T689</f>
        <v>8</v>
      </c>
      <c r="X689" s="28">
        <f>V689/0.7+W689</f>
        <v>103.71428571428572</v>
      </c>
      <c r="Y689" s="28">
        <f>X689</f>
        <v>103.71428571428572</v>
      </c>
      <c r="Z689" s="38"/>
    </row>
    <row r="690" spans="1:26" ht="15.6" x14ac:dyDescent="0.25">
      <c r="A690" s="52">
        <v>49</v>
      </c>
      <c r="B690" s="17" t="s">
        <v>767</v>
      </c>
      <c r="C690" s="51" t="s">
        <v>771</v>
      </c>
      <c r="D690" s="49" t="s">
        <v>827</v>
      </c>
      <c r="E690" s="48" t="s">
        <v>65</v>
      </c>
      <c r="F690" s="38">
        <v>8.51</v>
      </c>
      <c r="G690" s="32">
        <f>IF(B690="高三",IF($E690="男",LOOKUP(F690,[1]对照表!$G$3:$G$24,[1]对照表!$H$3:$H$24),LOOKUP(F690,[1]对照表!$G$27:$G$48,[1]对照表!$H$27:$H$48)),IF(B690="高二",IF($E690="男",LOOKUP(F690,[1]对照表!$F$3:$F$24,[1]对照表!$H$3:$H$24),LOOKUP(F690,[1]对照表!$F$27:$F$48,[1]对照表!$H$27:$H$48)),IF(B690="高一",IF($E690="男",LOOKUP(F690,[1]对照表!$E$3:$E$24,[1]对照表!$H$3:$H$24),LOOKUP(F690,[1]对照表!$E$27:$E$48,[1]对照表!$H$27:$H$48)))))</f>
        <v>78</v>
      </c>
      <c r="H690" s="38">
        <v>26</v>
      </c>
      <c r="I690" s="32">
        <f>IF(B690="高三",IF($E690="男",LOOKUP(H690,[1]对照表!$K$3:$K$24,[1]对照表!$L$3:$L$24),LOOKUP(H690,[1]对照表!$K$27:$K$48,[1]对照表!$L$27:$L$48)),IF(B690="高二",IF($E690="男",LOOKUP(H690,[1]对照表!$J$3:$J$24,[1]对照表!$L$3:$L$24),LOOKUP(H690,[1]对照表!$J$27:$J$48,[1]对照表!$L$27:$L$48)),IF(B690="高一",IF($E690="男",LOOKUP(H690,[1]对照表!$I$3:$I$24,[1]对照表!$L$3:$L$24),LOOKUP(H690,[1]对照表!$I$27:$I$48,[1]对照表!$L$27:$L$48)))))</f>
        <v>100</v>
      </c>
      <c r="J690" s="38">
        <v>187</v>
      </c>
      <c r="K690" s="32">
        <f>IF(B690="高三",IF($E690="男",LOOKUP(J690,[1]对照表!$O$3:$O$24,[1]对照表!$P$3:$P$24),LOOKUP(J690,[1]对照表!$O$27:$O$48,[1]对照表!$P$27:$P$48)),IF(B690="高二",IF($E690="男",LOOKUP(J690,[1]对照表!$N$3:$N$24,[1]对照表!$P$3:$P$24),LOOKUP(J690,[1]对照表!$N$27:$N$48,[1]对照表!$P$27:$P$48)),IF(B690="高一",IF($E690="男",LOOKUP(J690,[1]对照表!$M$3:$M$24,[1]对照表!$P$3:$P$24),LOOKUP(J690,[1]对照表!$M$27:$M$48,[1]对照表!$P$27:$P$48)))))</f>
        <v>85</v>
      </c>
      <c r="L690" s="38">
        <v>53</v>
      </c>
      <c r="M690" s="32">
        <f>IF(B690="高三",IF($E690="男",LOOKUP(L690,[1]对照表!$S$3:$S$24,[1]对照表!$T$3:$T$24),LOOKUP(L690,[1]对照表!$S$27:$S$48,[1]对照表!$T$27:$T$48)),IF(B690="高二",IF($E690="男",LOOKUP(L690,[1]对照表!$R$3:$R$24,[1]对照表!$T$3:$T$24),LOOKUP(L690,[1]对照表!$R$27:$R$48,[1]对照表!$T$27:$T$48)),IF(B690="高一",IF($E690="男",LOOKUP(L690,[1]对照表!$Q$3:$Q$24,[1]对照表!$T$3:$T$24),LOOKUP(L690,[1]对照表!$Q$27:$Q$48,[1]对照表!$T$27:$T$48)))))</f>
        <v>95</v>
      </c>
      <c r="N690" s="33">
        <f>IF(B690="高三",MAX(IF(E690="男",L690-18,L690-55),0),IF(B690="高二",MAX(IF(E690="男",L690-17,L690-54),0),IF(B690="高一",MAX(IF(E690="男",L690-16,L690-53),0))))</f>
        <v>0</v>
      </c>
      <c r="O690" s="23">
        <f>IF(E690="男",LOOKUP($N690,[1]对照表!$Z$3:$Z$13,[1]对照表!$AA$3:$AA$13),LOOKUP($N690,[1]对照表!$Z$15:$Z$25,[1]对照表!$AA$15:$AA$25))</f>
        <v>0</v>
      </c>
      <c r="P690" s="25">
        <f>M690+O690</f>
        <v>95</v>
      </c>
      <c r="Q690" s="38">
        <v>3.12</v>
      </c>
      <c r="R690" s="32">
        <f>IF(B690="高三",IF($E690="男",LOOKUP(Q690,[1]对照表!$W$3:$W$24,[1]对照表!$X$3:$X$24),LOOKUP(Q690,[1]对照表!$W$27:$W$48,[1]对照表!$X$27:$X$48)),IF(B690="高二",IF($E690="男",LOOKUP(Q690,[1]对照表!$V$3:$V$24,[1]对照表!$X$3:$X$24),LOOKUP(Q690,[1]对照表!$V$27:$V$48,[1]对照表!$X$27:$X$48)),IF(B690="高一",IF($E690="男",LOOKUP(Q690,[1]对照表!$U$3:$U$24,[1]对照表!$X$3:$X$24),LOOKUP(Q690,[1]对照表!$U$27:$U$48,[1]对照表!$X$27:$X$48)))))</f>
        <v>100</v>
      </c>
      <c r="S690" s="33">
        <f>ROUND(IF(IF($B690="高三",MIN(IF($E690="男",$Q690-3.2,$Q690-3.2),0),IF($B690="高二",MIN(IF($E690="男",$Q690-3.25,$Q690-3.22),0),IF($B690="高一",MIN(IF($E690="男",$Q690-3.3,$Q690-3.24),0))))&lt;-0.6,IF($B690="高三",MIN(IF($E690="男",$Q690-3.2,$Q690-3.2),0),IF($B690="高二",MIN(IF($E690="男",$Q690-3.25,$Q690-3.22),0),IF($B690="高一",MIN(IF($E690="男",$Q690-3.3,$Q690-3.24),0))))+0.4,IF($B690="高三",MIN(IF($E690="男",$Q690-3.2,$Q690-3.2),0),IF($B690="高二",MIN(IF($E690="男",$Q690-3.25,$Q690-3.22),0),IF($B690="高一",MIN(IF($E690="男",$Q690-3.3,$Q690-3.24),0))))),2)</f>
        <v>-0.1</v>
      </c>
      <c r="T690" s="23">
        <f>IF(E690="男",LOOKUP($S690,[1]对照表!$AB$3:$AB$13,[1]对照表!$AC$3:$AC$13),LOOKUP($S690,[1]对照表!$AB$15:$AB$25,[1]对照表!$AC$15:$AC$25))</f>
        <v>2</v>
      </c>
      <c r="U690" s="26">
        <f>R690+T690</f>
        <v>102</v>
      </c>
      <c r="V690" s="26">
        <f>SUM(I690,K690,M690)/3*0.3+SUM(G690,R690)/2*0.4</f>
        <v>63.599999999999994</v>
      </c>
      <c r="W690" s="27">
        <f>O690+T690</f>
        <v>2</v>
      </c>
      <c r="X690" s="28">
        <f>V690/0.7+W690</f>
        <v>92.857142857142861</v>
      </c>
      <c r="Y690" s="28">
        <f>X690</f>
        <v>92.857142857142861</v>
      </c>
      <c r="Z690" s="38"/>
    </row>
    <row r="691" spans="1:26" ht="15.6" customHeight="1" x14ac:dyDescent="0.25">
      <c r="A691" s="48">
        <v>43</v>
      </c>
      <c r="B691" s="17" t="s">
        <v>767</v>
      </c>
      <c r="C691" s="51" t="s">
        <v>771</v>
      </c>
      <c r="D691" s="49" t="s">
        <v>837</v>
      </c>
      <c r="E691" s="48" t="s">
        <v>65</v>
      </c>
      <c r="F691" s="38">
        <v>8.49</v>
      </c>
      <c r="G691" s="32">
        <f>IF(B691="高三",IF($E691="男",LOOKUP(F691,[1]对照表!$G$3:$G$24,[1]对照表!$H$3:$H$24),LOOKUP(F691,[1]对照表!$G$27:$G$48,[1]对照表!$H$27:$H$48)),IF(B691="高二",IF($E691="男",LOOKUP(F691,[1]对照表!$F$3:$F$24,[1]对照表!$H$3:$H$24),LOOKUP(F691,[1]对照表!$F$27:$F$48,[1]对照表!$H$27:$H$48)),IF(B691="高一",IF($E691="男",LOOKUP(F691,[1]对照表!$E$3:$E$24,[1]对照表!$H$3:$H$24),LOOKUP(F691,[1]对照表!$E$27:$E$48,[1]对照表!$H$27:$H$48)))))</f>
        <v>80</v>
      </c>
      <c r="H691" s="38">
        <v>25</v>
      </c>
      <c r="I691" s="32">
        <f>IF(B691="高三",IF($E691="男",LOOKUP(H691,[1]对照表!$K$3:$K$24,[1]对照表!$L$3:$L$24),LOOKUP(H691,[1]对照表!$K$27:$K$48,[1]对照表!$L$27:$L$48)),IF(B691="高二",IF($E691="男",LOOKUP(H691,[1]对照表!$J$3:$J$24,[1]对照表!$L$3:$L$24),LOOKUP(H691,[1]对照表!$J$27:$J$48,[1]对照表!$L$27:$L$48)),IF(B691="高一",IF($E691="男",LOOKUP(H691,[1]对照表!$I$3:$I$24,[1]对照表!$L$3:$L$24),LOOKUP(H691,[1]对照表!$I$27:$I$48,[1]对照表!$L$27:$L$48)))))</f>
        <v>100</v>
      </c>
      <c r="J691" s="38">
        <v>210</v>
      </c>
      <c r="K691" s="32">
        <f>IF(B691="高三",IF($E691="男",LOOKUP(J691,[1]对照表!$O$3:$O$24,[1]对照表!$P$3:$P$24),LOOKUP(J691,[1]对照表!$O$27:$O$48,[1]对照表!$P$27:$P$48)),IF(B691="高二",IF($E691="男",LOOKUP(J691,[1]对照表!$N$3:$N$24,[1]对照表!$P$3:$P$24),LOOKUP(J691,[1]对照表!$N$27:$N$48,[1]对照表!$P$27:$P$48)),IF(B691="高一",IF($E691="男",LOOKUP(J691,[1]对照表!$M$3:$M$24,[1]对照表!$P$3:$P$24),LOOKUP(J691,[1]对照表!$M$27:$M$48,[1]对照表!$P$27:$P$48)))))</f>
        <v>100</v>
      </c>
      <c r="L691" s="38">
        <v>60</v>
      </c>
      <c r="M691" s="32">
        <f>IF(B691="高三",IF($E691="男",LOOKUP(L691,[1]对照表!$S$3:$S$24,[1]对照表!$T$3:$T$24),LOOKUP(L691,[1]对照表!$S$27:$S$48,[1]对照表!$T$27:$T$48)),IF(B691="高二",IF($E691="男",LOOKUP(L691,[1]对照表!$R$3:$R$24,[1]对照表!$T$3:$T$24),LOOKUP(L691,[1]对照表!$R$27:$R$48,[1]对照表!$T$27:$T$48)),IF(B691="高一",IF($E691="男",LOOKUP(L691,[1]对照表!$Q$3:$Q$24,[1]对照表!$T$3:$T$24),LOOKUP(L691,[1]对照表!$Q$27:$Q$48,[1]对照表!$T$27:$T$48)))))</f>
        <v>100</v>
      </c>
      <c r="N691" s="33">
        <f>IF(B691="高三",MAX(IF(E691="男",L691-18,L691-55),0),IF(B691="高二",MAX(IF(E691="男",L691-17,L691-54),0),IF(B691="高一",MAX(IF(E691="男",L691-16,L691-53),0))))</f>
        <v>6</v>
      </c>
      <c r="O691" s="23">
        <f>IF(E691="男",LOOKUP($N691,[1]对照表!$Z$3:$Z$13,[1]对照表!$AA$3:$AA$13),LOOKUP($N691,[1]对照表!$Z$15:$Z$25,[1]对照表!$AA$15:$AA$25))</f>
        <v>3</v>
      </c>
      <c r="P691" s="25">
        <f>M691+O691</f>
        <v>103</v>
      </c>
      <c r="Q691" s="38">
        <v>3.49</v>
      </c>
      <c r="R691" s="32">
        <f>IF(B691="高三",IF($E691="男",LOOKUP(Q691,[1]对照表!$W$3:$W$24,[1]对照表!$X$3:$X$24),LOOKUP(Q691,[1]对照表!$W$27:$W$48,[1]对照表!$X$27:$X$48)),IF(B691="高二",IF($E691="男",LOOKUP(Q691,[1]对照表!$V$3:$V$24,[1]对照表!$X$3:$X$24),LOOKUP(Q691,[1]对照表!$V$27:$V$48,[1]对照表!$X$27:$X$48)),IF(B691="高一",IF($E691="男",LOOKUP(Q691,[1]对照表!$U$3:$U$24,[1]对照表!$X$3:$X$24),LOOKUP(Q691,[1]对照表!$U$27:$U$48,[1]对照表!$X$27:$X$48)))))</f>
        <v>78</v>
      </c>
      <c r="S691" s="33">
        <f>ROUND(IF(IF($B691="高三",MIN(IF($E691="男",$Q691-3.2,$Q691-3.2),0),IF($B691="高二",MIN(IF($E691="男",$Q691-3.25,$Q691-3.22),0),IF($B691="高一",MIN(IF($E691="男",$Q691-3.3,$Q691-3.24),0))))&lt;-0.6,IF($B691="高三",MIN(IF($E691="男",$Q691-3.2,$Q691-3.2),0),IF($B691="高二",MIN(IF($E691="男",$Q691-3.25,$Q691-3.22),0),IF($B691="高一",MIN(IF($E691="男",$Q691-3.3,$Q691-3.24),0))))+0.4,IF($B691="高三",MIN(IF($E691="男",$Q691-3.2,$Q691-3.2),0),IF($B691="高二",MIN(IF($E691="男",$Q691-3.25,$Q691-3.22),0),IF($B691="高一",MIN(IF($E691="男",$Q691-3.3,$Q691-3.24),0))))),2)</f>
        <v>0</v>
      </c>
      <c r="T691" s="23">
        <f>IF(E691="男",LOOKUP($S691,[1]对照表!$AB$3:$AB$13,[1]对照表!$AC$3:$AC$13),LOOKUP($S691,[1]对照表!$AB$15:$AB$25,[1]对照表!$AC$15:$AC$25))</f>
        <v>0</v>
      </c>
      <c r="U691" s="26">
        <f>R691+T691</f>
        <v>78</v>
      </c>
      <c r="V691" s="26">
        <f>SUM(I691,K691,M691)/3*0.3+SUM(G691,R691)/2*0.4</f>
        <v>61.6</v>
      </c>
      <c r="W691" s="27">
        <f>O691+T691</f>
        <v>3</v>
      </c>
      <c r="X691" s="28">
        <f>V691/0.7+W691</f>
        <v>91.000000000000014</v>
      </c>
      <c r="Y691" s="28">
        <f>X691</f>
        <v>91.000000000000014</v>
      </c>
      <c r="Z691" s="38"/>
    </row>
    <row r="692" spans="1:26" ht="15.6" customHeight="1" x14ac:dyDescent="0.25">
      <c r="A692" s="48">
        <v>30</v>
      </c>
      <c r="B692" s="17" t="s">
        <v>767</v>
      </c>
      <c r="C692" s="51" t="s">
        <v>771</v>
      </c>
      <c r="D692" s="49" t="s">
        <v>843</v>
      </c>
      <c r="E692" s="55" t="s">
        <v>23</v>
      </c>
      <c r="F692" s="38">
        <v>6.9</v>
      </c>
      <c r="G692" s="32">
        <f>IF(B692="高三",IF($E692="男",LOOKUP(F692,[1]对照表!$G$3:$G$24,[1]对照表!$H$3:$H$24),LOOKUP(F692,[1]对照表!$G$27:$G$48,[1]对照表!$H$27:$H$48)),IF(B692="高二",IF($E692="男",LOOKUP(F692,[1]对照表!$F$3:$F$24,[1]对照表!$H$3:$H$24),LOOKUP(F692,[1]对照表!$F$27:$F$48,[1]对照表!$H$27:$H$48)),IF(B692="高一",IF($E692="男",LOOKUP(F692,[1]对照表!$E$3:$E$24,[1]对照表!$H$3:$H$24),LOOKUP(F692,[1]对照表!$E$27:$E$48,[1]对照表!$H$27:$H$48)))))</f>
        <v>100</v>
      </c>
      <c r="H692" s="38">
        <v>10</v>
      </c>
      <c r="I692" s="32">
        <f>IF(B692="高三",IF($E692="男",LOOKUP(H692,[1]对照表!$K$3:$K$24,[1]对照表!$L$3:$L$24),LOOKUP(H692,[1]对照表!$K$27:$K$48,[1]对照表!$L$27:$L$48)),IF(B692="高二",IF($E692="男",LOOKUP(H692,[1]对照表!$J$3:$J$24,[1]对照表!$L$3:$L$24),LOOKUP(H692,[1]对照表!$J$27:$J$48,[1]对照表!$L$27:$L$48)),IF(B692="高一",IF($E692="男",LOOKUP(H692,[1]对照表!$I$3:$I$24,[1]对照表!$L$3:$L$24),LOOKUP(H692,[1]对照表!$I$27:$I$48,[1]对照表!$L$27:$L$48)))))</f>
        <v>70</v>
      </c>
      <c r="J692" s="38">
        <v>250</v>
      </c>
      <c r="K692" s="32">
        <f>IF(B692="高三",IF($E692="男",LOOKUP(J692,[1]对照表!$O$3:$O$24,[1]对照表!$P$3:$P$24),LOOKUP(J692,[1]对照表!$O$27:$O$48,[1]对照表!$P$27:$P$48)),IF(B692="高二",IF($E692="男",LOOKUP(J692,[1]对照表!$N$3:$N$24,[1]对照表!$P$3:$P$24),LOOKUP(J692,[1]对照表!$N$27:$N$48,[1]对照表!$P$27:$P$48)),IF(B692="高一",IF($E692="男",LOOKUP(J692,[1]对照表!$M$3:$M$24,[1]对照表!$P$3:$P$24),LOOKUP(J692,[1]对照表!$M$27:$M$48,[1]对照表!$P$27:$P$48)))))</f>
        <v>85</v>
      </c>
      <c r="L692" s="38">
        <v>23</v>
      </c>
      <c r="M692" s="32">
        <f>IF(B692="高三",IF($E692="男",LOOKUP(L692,[1]对照表!$S$3:$S$24,[1]对照表!$T$3:$T$24),LOOKUP(L692,[1]对照表!$S$27:$S$48,[1]对照表!$T$27:$T$48)),IF(B692="高二",IF($E692="男",LOOKUP(L692,[1]对照表!$R$3:$R$24,[1]对照表!$T$3:$T$24),LOOKUP(L692,[1]对照表!$R$27:$R$48,[1]对照表!$T$27:$T$48)),IF(B692="高一",IF($E692="男",LOOKUP(L692,[1]对照表!$Q$3:$Q$24,[1]对照表!$T$3:$T$24),LOOKUP(L692,[1]对照表!$Q$27:$Q$48,[1]对照表!$T$27:$T$48)))))</f>
        <v>100</v>
      </c>
      <c r="N692" s="33">
        <f>IF(B692="高三",MAX(IF(E692="男",L692-18,L692-55),0),IF(B692="高二",MAX(IF(E692="男",L692-17,L692-54),0),IF(B692="高一",MAX(IF(E692="男",L692-16,L692-53),0))))</f>
        <v>6</v>
      </c>
      <c r="O692" s="23">
        <f>IF(E692="男",LOOKUP($N692,[1]对照表!$Z$3:$Z$13,[1]对照表!$AA$3:$AA$13),LOOKUP($N692,[1]对照表!$Z$15:$Z$25,[1]对照表!$AA$15:$AA$25))</f>
        <v>6</v>
      </c>
      <c r="P692" s="25">
        <f>M692+O692</f>
        <v>106</v>
      </c>
      <c r="Q692" s="38">
        <v>3.16</v>
      </c>
      <c r="R692" s="32">
        <f>IF(B692="高三",IF($E692="男",LOOKUP(Q692,[1]对照表!$W$3:$W$24,[1]对照表!$X$3:$X$24),LOOKUP(Q692,[1]对照表!$W$27:$W$48,[1]对照表!$X$27:$X$48)),IF(B692="高二",IF($E692="男",LOOKUP(Q692,[1]对照表!$V$3:$V$24,[1]对照表!$X$3:$X$24),LOOKUP(Q692,[1]对照表!$V$27:$V$48,[1]对照表!$X$27:$X$48)),IF(B692="高一",IF($E692="男",LOOKUP(Q692,[1]对照表!$U$3:$U$24,[1]对照表!$X$3:$X$24),LOOKUP(Q692,[1]对照表!$U$27:$U$48,[1]对照表!$X$27:$X$48)))))</f>
        <v>100</v>
      </c>
      <c r="S692" s="33">
        <f>ROUND(IF(IF($B692="高三",MIN(IF($E692="男",$Q692-3.2,$Q692-3.2),0),IF($B692="高二",MIN(IF($E692="男",$Q692-3.25,$Q692-3.22),0),IF($B692="高一",MIN(IF($E692="男",$Q692-3.3,$Q692-3.24),0))))&lt;-0.6,IF($B692="高三",MIN(IF($E692="男",$Q692-3.2,$Q692-3.2),0),IF($B692="高二",MIN(IF($E692="男",$Q692-3.25,$Q692-3.22),0),IF($B692="高一",MIN(IF($E692="男",$Q692-3.3,$Q692-3.24),0))))+0.4,IF($B692="高三",MIN(IF($E692="男",$Q692-3.2,$Q692-3.2),0),IF($B692="高二",MIN(IF($E692="男",$Q692-3.25,$Q692-3.22),0),IF($B692="高一",MIN(IF($E692="男",$Q692-3.3,$Q692-3.24),0))))),2)</f>
        <v>-0.09</v>
      </c>
      <c r="T692" s="23">
        <f>IF(E692="男",LOOKUP($S692,[1]对照表!$AB$3:$AB$13,[1]对照表!$AC$3:$AC$13),LOOKUP($S692,[1]对照表!$AB$15:$AB$25,[1]对照表!$AC$15:$AC$25))</f>
        <v>2</v>
      </c>
      <c r="U692" s="26">
        <f>R692+T692</f>
        <v>102</v>
      </c>
      <c r="V692" s="26">
        <f>SUM(I692,K692,M692)/3*0.3+SUM(G692,R692)/2*0.4</f>
        <v>65.5</v>
      </c>
      <c r="W692" s="27">
        <f>O692+T692</f>
        <v>8</v>
      </c>
      <c r="X692" s="28">
        <f>V692/0.7+W692</f>
        <v>101.57142857142858</v>
      </c>
      <c r="Y692" s="28">
        <f>X692</f>
        <v>101.57142857142858</v>
      </c>
      <c r="Z692" s="38"/>
    </row>
    <row r="693" spans="1:26" ht="15.6" customHeight="1" x14ac:dyDescent="0.15">
      <c r="A693" s="52">
        <v>6</v>
      </c>
      <c r="B693" s="17" t="s">
        <v>767</v>
      </c>
      <c r="C693" s="51" t="s">
        <v>771</v>
      </c>
      <c r="D693" s="49" t="s">
        <v>874</v>
      </c>
      <c r="E693" s="55" t="s">
        <v>23</v>
      </c>
      <c r="F693" s="38">
        <v>6.6</v>
      </c>
      <c r="G693" s="32">
        <f>IF(B693="高三",IF($E693="男",LOOKUP(F693,[1]对照表!$G$3:$G$24,[1]对照表!$H$3:$H$24),LOOKUP(F693,[1]对照表!$G$27:$G$48,[1]对照表!$H$27:$H$48)),IF(B693="高二",IF($E693="男",LOOKUP(F693,[1]对照表!$F$3:$F$24,[1]对照表!$H$3:$H$24),LOOKUP(F693,[1]对照表!$F$27:$F$48,[1]对照表!$H$27:$H$48)),IF(B693="高一",IF($E693="男",LOOKUP(F693,[1]对照表!$E$3:$E$24,[1]对照表!$H$3:$H$24),LOOKUP(F693,[1]对照表!$E$27:$E$48,[1]对照表!$H$27:$H$48)))))</f>
        <v>100</v>
      </c>
      <c r="H693" s="38">
        <v>15.5</v>
      </c>
      <c r="I693" s="32">
        <f>IF(B693="高三",IF($E693="男",LOOKUP(H693,[1]对照表!$K$3:$K$24,[1]对照表!$L$3:$L$24),LOOKUP(H693,[1]对照表!$K$27:$K$48,[1]对照表!$L$27:$L$48)),IF(B693="高二",IF($E693="男",LOOKUP(H693,[1]对照表!$J$3:$J$24,[1]对照表!$L$3:$L$24),LOOKUP(H693,[1]对照表!$J$27:$J$48,[1]对照表!$L$27:$L$48)),IF(B693="高一",IF($E693="男",LOOKUP(H693,[1]对照表!$I$3:$I$24,[1]对照表!$L$3:$L$24),LOOKUP(H693,[1]对照表!$I$27:$I$48,[1]对照表!$L$27:$L$48)))))</f>
        <v>78</v>
      </c>
      <c r="J693" s="38">
        <v>273</v>
      </c>
      <c r="K693" s="32">
        <f>IF(B693="高三",IF($E693="男",LOOKUP(J693,[1]对照表!$O$3:$O$24,[1]对照表!$P$3:$P$24),LOOKUP(J693,[1]对照表!$O$27:$O$48,[1]对照表!$P$27:$P$48)),IF(B693="高二",IF($E693="男",LOOKUP(J693,[1]对照表!$N$3:$N$24,[1]对照表!$P$3:$P$24),LOOKUP(J693,[1]对照表!$N$27:$N$48,[1]对照表!$P$27:$P$48)),IF(B693="高一",IF($E693="男",LOOKUP(J693,[1]对照表!$M$3:$M$24,[1]对照表!$P$3:$P$24),LOOKUP(J693,[1]对照表!$M$27:$M$48,[1]对照表!$P$27:$P$48)))))</f>
        <v>100</v>
      </c>
      <c r="L693" s="38">
        <v>20</v>
      </c>
      <c r="M693" s="32">
        <f>IF(B693="高三",IF($E693="男",LOOKUP(L693,[1]对照表!$S$3:$S$24,[1]对照表!$T$3:$T$24),LOOKUP(L693,[1]对照表!$S$27:$S$48,[1]对照表!$T$27:$T$48)),IF(B693="高二",IF($E693="男",LOOKUP(L693,[1]对照表!$R$3:$R$24,[1]对照表!$T$3:$T$24),LOOKUP(L693,[1]对照表!$R$27:$R$48,[1]对照表!$T$27:$T$48)),IF(B693="高一",IF($E693="男",LOOKUP(L693,[1]对照表!$Q$3:$Q$24,[1]对照表!$T$3:$T$24),LOOKUP(L693,[1]对照表!$Q$27:$Q$48,[1]对照表!$T$27:$T$48)))))</f>
        <v>100</v>
      </c>
      <c r="N693" s="33">
        <f>IF(B693="高三",MAX(IF(E693="男",L693-18,L693-55),0),IF(B693="高二",MAX(IF(E693="男",L693-17,L693-54),0),IF(B693="高一",MAX(IF(E693="男",L693-16,L693-53),0))))</f>
        <v>3</v>
      </c>
      <c r="O693" s="23">
        <f>IF(E693="男",LOOKUP($N693,[1]对照表!$Z$3:$Z$13,[1]对照表!$AA$3:$AA$13),LOOKUP($N693,[1]对照表!$Z$15:$Z$25,[1]对照表!$AA$15:$AA$25))</f>
        <v>3</v>
      </c>
      <c r="P693" s="25">
        <f>M693+O693</f>
        <v>103</v>
      </c>
      <c r="Q693" s="38">
        <v>3.23</v>
      </c>
      <c r="R693" s="32">
        <f>IF(B693="高三",IF($E693="男",LOOKUP(Q693,[1]对照表!$W$3:$W$24,[1]对照表!$X$3:$X$24),LOOKUP(Q693,[1]对照表!$W$27:$W$48,[1]对照表!$X$27:$X$48)),IF(B693="高二",IF($E693="男",LOOKUP(Q693,[1]对照表!$V$3:$V$24,[1]对照表!$X$3:$X$24),LOOKUP(Q693,[1]对照表!$V$27:$V$48,[1]对照表!$X$27:$X$48)),IF(B693="高一",IF($E693="男",LOOKUP(Q693,[1]对照表!$U$3:$U$24,[1]对照表!$X$3:$X$24),LOOKUP(Q693,[1]对照表!$U$27:$U$48,[1]对照表!$X$27:$X$48)))))</f>
        <v>100</v>
      </c>
      <c r="S693" s="33">
        <f>ROUND(IF(IF($B693="高三",MIN(IF($E693="男",$Q693-3.2,$Q693-3.2),0),IF($B693="高二",MIN(IF($E693="男",$Q693-3.25,$Q693-3.22),0),IF($B693="高一",MIN(IF($E693="男",$Q693-3.3,$Q693-3.24),0))))&lt;-0.6,IF($B693="高三",MIN(IF($E693="男",$Q693-3.2,$Q693-3.2),0),IF($B693="高二",MIN(IF($E693="男",$Q693-3.25,$Q693-3.22),0),IF($B693="高一",MIN(IF($E693="男",$Q693-3.3,$Q693-3.24),0))))+0.4,IF($B693="高三",MIN(IF($E693="男",$Q693-3.2,$Q693-3.2),0),IF($B693="高二",MIN(IF($E693="男",$Q693-3.25,$Q693-3.22),0),IF($B693="高一",MIN(IF($E693="男",$Q693-3.3,$Q693-3.24),0))))),2)</f>
        <v>-0.02</v>
      </c>
      <c r="T693" s="23">
        <f>IF(E693="男",LOOKUP($S693,[1]对照表!$AB$3:$AB$13,[1]对照表!$AC$3:$AC$13),LOOKUP($S693,[1]对照表!$AB$15:$AB$25,[1]对照表!$AC$15:$AC$25))</f>
        <v>0</v>
      </c>
      <c r="U693" s="26">
        <f>R693+T693</f>
        <v>100</v>
      </c>
      <c r="V693" s="26">
        <f>SUM(I693,K693,M693)/3*0.3+SUM(G693,R693)/2*0.4</f>
        <v>67.8</v>
      </c>
      <c r="W693" s="27">
        <f>O693+T693</f>
        <v>3</v>
      </c>
      <c r="X693" s="28">
        <f>V693/0.7+W693</f>
        <v>99.857142857142861</v>
      </c>
      <c r="Y693" s="28">
        <f>X693</f>
        <v>99.857142857142861</v>
      </c>
      <c r="Z693" s="38"/>
    </row>
    <row r="694" spans="1:26" ht="15.6" x14ac:dyDescent="0.25">
      <c r="A694" s="48">
        <v>29</v>
      </c>
      <c r="B694" s="17" t="s">
        <v>767</v>
      </c>
      <c r="C694" s="51" t="s">
        <v>771</v>
      </c>
      <c r="D694" s="49" t="s">
        <v>880</v>
      </c>
      <c r="E694" s="55" t="s">
        <v>23</v>
      </c>
      <c r="F694" s="38">
        <v>6.6</v>
      </c>
      <c r="G694" s="32">
        <f>IF(B694="高三",IF($E694="男",LOOKUP(F694,[1]对照表!$G$3:$G$24,[1]对照表!$H$3:$H$24),LOOKUP(F694,[1]对照表!$G$27:$G$48,[1]对照表!$H$27:$H$48)),IF(B694="高二",IF($E694="男",LOOKUP(F694,[1]对照表!$F$3:$F$24,[1]对照表!$H$3:$H$24),LOOKUP(F694,[1]对照表!$F$27:$F$48,[1]对照表!$H$27:$H$48)),IF(B694="高一",IF($E694="男",LOOKUP(F694,[1]对照表!$E$3:$E$24,[1]对照表!$H$3:$H$24),LOOKUP(F694,[1]对照表!$E$27:$E$48,[1]对照表!$H$27:$H$48)))))</f>
        <v>100</v>
      </c>
      <c r="H694" s="38">
        <v>19.5</v>
      </c>
      <c r="I694" s="32">
        <f>IF(B694="高三",IF($E694="男",LOOKUP(H694,[1]对照表!$K$3:$K$24,[1]对照表!$L$3:$L$24),LOOKUP(H694,[1]对照表!$K$27:$K$48,[1]对照表!$L$27:$L$48)),IF(B694="高二",IF($E694="男",LOOKUP(H694,[1]对照表!$J$3:$J$24,[1]对照表!$L$3:$L$24),LOOKUP(H694,[1]对照表!$J$27:$J$48,[1]对照表!$L$27:$L$48)),IF(B694="高一",IF($E694="男",LOOKUP(H694,[1]对照表!$I$3:$I$24,[1]对照表!$L$3:$L$24),LOOKUP(H694,[1]对照表!$I$27:$I$48,[1]对照表!$L$27:$L$48)))))</f>
        <v>85</v>
      </c>
      <c r="J694" s="38">
        <v>255</v>
      </c>
      <c r="K694" s="32">
        <f>IF(B694="高三",IF($E694="男",LOOKUP(J694,[1]对照表!$O$3:$O$24,[1]对照表!$P$3:$P$24),LOOKUP(J694,[1]对照表!$O$27:$O$48,[1]对照表!$P$27:$P$48)),IF(B694="高二",IF($E694="男",LOOKUP(J694,[1]对照表!$N$3:$N$24,[1]对照表!$P$3:$P$24),LOOKUP(J694,[1]对照表!$N$27:$N$48,[1]对照表!$P$27:$P$48)),IF(B694="高一",IF($E694="男",LOOKUP(J694,[1]对照表!$M$3:$M$24,[1]对照表!$P$3:$P$24),LOOKUP(J694,[1]对照表!$M$27:$M$48,[1]对照表!$P$27:$P$48)))))</f>
        <v>90</v>
      </c>
      <c r="L694" s="38">
        <v>19</v>
      </c>
      <c r="M694" s="32">
        <f>IF(B694="高三",IF($E694="男",LOOKUP(L694,[1]对照表!$S$3:$S$24,[1]对照表!$T$3:$T$24),LOOKUP(L694,[1]对照表!$S$27:$S$48,[1]对照表!$T$27:$T$48)),IF(B694="高二",IF($E694="男",LOOKUP(L694,[1]对照表!$R$3:$R$24,[1]对照表!$T$3:$T$24),LOOKUP(L694,[1]对照表!$R$27:$R$48,[1]对照表!$T$27:$T$48)),IF(B694="高一",IF($E694="男",LOOKUP(L694,[1]对照表!$Q$3:$Q$24,[1]对照表!$T$3:$T$24),LOOKUP(L694,[1]对照表!$Q$27:$Q$48,[1]对照表!$T$27:$T$48)))))</f>
        <v>100</v>
      </c>
      <c r="N694" s="33">
        <f>IF(B694="高三",MAX(IF(E694="男",L694-18,L694-55),0),IF(B694="高二",MAX(IF(E694="男",L694-17,L694-54),0),IF(B694="高一",MAX(IF(E694="男",L694-16,L694-53),0))))</f>
        <v>2</v>
      </c>
      <c r="O694" s="23">
        <f>IF(E694="男",LOOKUP($N694,[1]对照表!$Z$3:$Z$13,[1]对照表!$AA$3:$AA$13),LOOKUP($N694,[1]对照表!$Z$15:$Z$25,[1]对照表!$AA$15:$AA$25))</f>
        <v>2</v>
      </c>
      <c r="P694" s="25">
        <f>M694+O694</f>
        <v>102</v>
      </c>
      <c r="Q694" s="38">
        <v>3.21</v>
      </c>
      <c r="R694" s="32">
        <f>IF(B694="高三",IF($E694="男",LOOKUP(Q694,[1]对照表!$W$3:$W$24,[1]对照表!$X$3:$X$24),LOOKUP(Q694,[1]对照表!$W$27:$W$48,[1]对照表!$X$27:$X$48)),IF(B694="高二",IF($E694="男",LOOKUP(Q694,[1]对照表!$V$3:$V$24,[1]对照表!$X$3:$X$24),LOOKUP(Q694,[1]对照表!$V$27:$V$48,[1]对照表!$X$27:$X$48)),IF(B694="高一",IF($E694="男",LOOKUP(Q694,[1]对照表!$U$3:$U$24,[1]对照表!$X$3:$X$24),LOOKUP(Q694,[1]对照表!$U$27:$U$48,[1]对照表!$X$27:$X$48)))))</f>
        <v>100</v>
      </c>
      <c r="S694" s="33">
        <f>ROUND(IF(IF($B694="高三",MIN(IF($E694="男",$Q694-3.2,$Q694-3.2),0),IF($B694="高二",MIN(IF($E694="男",$Q694-3.25,$Q694-3.22),0),IF($B694="高一",MIN(IF($E694="男",$Q694-3.3,$Q694-3.24),0))))&lt;-0.6,IF($B694="高三",MIN(IF($E694="男",$Q694-3.2,$Q694-3.2),0),IF($B694="高二",MIN(IF($E694="男",$Q694-3.25,$Q694-3.22),0),IF($B694="高一",MIN(IF($E694="男",$Q694-3.3,$Q694-3.24),0))))+0.4,IF($B694="高三",MIN(IF($E694="男",$Q694-3.2,$Q694-3.2),0),IF($B694="高二",MIN(IF($E694="男",$Q694-3.25,$Q694-3.22),0),IF($B694="高一",MIN(IF($E694="男",$Q694-3.3,$Q694-3.24),0))))),2)</f>
        <v>-0.04</v>
      </c>
      <c r="T694" s="23">
        <f>IF(E694="男",LOOKUP($S694,[1]对照表!$AB$3:$AB$13,[1]对照表!$AC$3:$AC$13),LOOKUP($S694,[1]对照表!$AB$15:$AB$25,[1]对照表!$AC$15:$AC$25))</f>
        <v>1</v>
      </c>
      <c r="U694" s="26">
        <f>R694+T694</f>
        <v>101</v>
      </c>
      <c r="V694" s="26">
        <f>SUM(I694,K694,M694)/3*0.3+SUM(G694,R694)/2*0.4</f>
        <v>67.5</v>
      </c>
      <c r="W694" s="27">
        <f>O694+T694</f>
        <v>3</v>
      </c>
      <c r="X694" s="28">
        <f>V694/0.7+W694</f>
        <v>99.428571428571431</v>
      </c>
      <c r="Y694" s="28">
        <f>X694</f>
        <v>99.428571428571431</v>
      </c>
      <c r="Z694" s="38"/>
    </row>
    <row r="695" spans="1:26" ht="15.6" x14ac:dyDescent="0.25">
      <c r="A695" s="52">
        <v>45</v>
      </c>
      <c r="B695" s="17" t="s">
        <v>767</v>
      </c>
      <c r="C695" s="51" t="s">
        <v>771</v>
      </c>
      <c r="D695" s="49" t="s">
        <v>883</v>
      </c>
      <c r="E695" s="48" t="s">
        <v>65</v>
      </c>
      <c r="F695" s="38">
        <v>8.8800000000000008</v>
      </c>
      <c r="G695" s="32">
        <f>IF(B695="高三",IF($E695="男",LOOKUP(F695,[1]对照表!$G$3:$G$24,[1]对照表!$H$3:$H$24),LOOKUP(F695,[1]对照表!$G$27:$G$48,[1]对照表!$H$27:$H$48)),IF(B695="高二",IF($E695="男",LOOKUP(F695,[1]对照表!$F$3:$F$24,[1]对照表!$H$3:$H$24),LOOKUP(F695,[1]对照表!$F$27:$F$48,[1]对照表!$H$27:$H$48)),IF(B695="高一",IF($E695="男",LOOKUP(F695,[1]对照表!$E$3:$E$24,[1]对照表!$H$3:$H$24),LOOKUP(F695,[1]对照表!$E$27:$E$48,[1]对照表!$H$27:$H$48)))))</f>
        <v>76</v>
      </c>
      <c r="H695" s="38">
        <v>26</v>
      </c>
      <c r="I695" s="32">
        <f>IF(B695="高三",IF($E695="男",LOOKUP(H695,[1]对照表!$K$3:$K$24,[1]对照表!$L$3:$L$24),LOOKUP(H695,[1]对照表!$K$27:$K$48,[1]对照表!$L$27:$L$48)),IF(B695="高二",IF($E695="男",LOOKUP(H695,[1]对照表!$J$3:$J$24,[1]对照表!$L$3:$L$24),LOOKUP(H695,[1]对照表!$J$27:$J$48,[1]对照表!$L$27:$L$48)),IF(B695="高一",IF($E695="男",LOOKUP(H695,[1]对照表!$I$3:$I$24,[1]对照表!$L$3:$L$24),LOOKUP(H695,[1]对照表!$I$27:$I$48,[1]对照表!$L$27:$L$48)))))</f>
        <v>100</v>
      </c>
      <c r="J695" s="38">
        <v>197</v>
      </c>
      <c r="K695" s="32">
        <f>IF(B695="高三",IF($E695="男",LOOKUP(J695,[1]对照表!$O$3:$O$24,[1]对照表!$P$3:$P$24),LOOKUP(J695,[1]对照表!$O$27:$O$48,[1]对照表!$P$27:$P$48)),IF(B695="高二",IF($E695="男",LOOKUP(J695,[1]对照表!$N$3:$N$24,[1]对照表!$P$3:$P$24),LOOKUP(J695,[1]对照表!$N$27:$N$48,[1]对照表!$P$27:$P$48)),IF(B695="高一",IF($E695="男",LOOKUP(J695,[1]对照表!$M$3:$M$24,[1]对照表!$P$3:$P$24),LOOKUP(J695,[1]对照表!$M$27:$M$48,[1]对照表!$P$27:$P$48)))))</f>
        <v>90</v>
      </c>
      <c r="L695" s="38">
        <v>54</v>
      </c>
      <c r="M695" s="32">
        <f>IF(B695="高三",IF($E695="男",LOOKUP(L695,[1]对照表!$S$3:$S$24,[1]对照表!$T$3:$T$24),LOOKUP(L695,[1]对照表!$S$27:$S$48,[1]对照表!$T$27:$T$48)),IF(B695="高二",IF($E695="男",LOOKUP(L695,[1]对照表!$R$3:$R$24,[1]对照表!$T$3:$T$24),LOOKUP(L695,[1]对照表!$R$27:$R$48,[1]对照表!$T$27:$T$48)),IF(B695="高一",IF($E695="男",LOOKUP(L695,[1]对照表!$Q$3:$Q$24,[1]对照表!$T$3:$T$24),LOOKUP(L695,[1]对照表!$Q$27:$Q$48,[1]对照表!$T$27:$T$48)))))</f>
        <v>100</v>
      </c>
      <c r="N695" s="33">
        <f>IF(B695="高三",MAX(IF(E695="男",L695-18,L695-55),0),IF(B695="高二",MAX(IF(E695="男",L695-17,L695-54),0),IF(B695="高一",MAX(IF(E695="男",L695-16,L695-53),0))))</f>
        <v>0</v>
      </c>
      <c r="O695" s="23">
        <f>IF(E695="男",LOOKUP($N695,[1]对照表!$Z$3:$Z$13,[1]对照表!$AA$3:$AA$13),LOOKUP($N695,[1]对照表!$Z$15:$Z$25,[1]对照表!$AA$15:$AA$25))</f>
        <v>0</v>
      </c>
      <c r="P695" s="25">
        <f>M695+O695</f>
        <v>100</v>
      </c>
      <c r="Q695" s="38">
        <v>3.35</v>
      </c>
      <c r="R695" s="32">
        <f>IF(B695="高三",IF($E695="男",LOOKUP(Q695,[1]对照表!$W$3:$W$24,[1]对照表!$X$3:$X$24),LOOKUP(Q695,[1]对照表!$W$27:$W$48,[1]对照表!$X$27:$X$48)),IF(B695="高二",IF($E695="男",LOOKUP(Q695,[1]对照表!$V$3:$V$24,[1]对照表!$X$3:$X$24),LOOKUP(Q695,[1]对照表!$V$27:$V$48,[1]对照表!$X$27:$X$48)),IF(B695="高一",IF($E695="男",LOOKUP(Q695,[1]对照表!$U$3:$U$24,[1]对照表!$X$3:$X$24),LOOKUP(Q695,[1]对照表!$U$27:$U$48,[1]对照表!$X$27:$X$48)))))</f>
        <v>85</v>
      </c>
      <c r="S695" s="33">
        <f>ROUND(IF(IF($B695="高三",MIN(IF($E695="男",$Q695-3.2,$Q695-3.2),0),IF($B695="高二",MIN(IF($E695="男",$Q695-3.25,$Q695-3.22),0),IF($B695="高一",MIN(IF($E695="男",$Q695-3.3,$Q695-3.24),0))))&lt;-0.6,IF($B695="高三",MIN(IF($E695="男",$Q695-3.2,$Q695-3.2),0),IF($B695="高二",MIN(IF($E695="男",$Q695-3.25,$Q695-3.22),0),IF($B695="高一",MIN(IF($E695="男",$Q695-3.3,$Q695-3.24),0))))+0.4,IF($B695="高三",MIN(IF($E695="男",$Q695-3.2,$Q695-3.2),0),IF($B695="高二",MIN(IF($E695="男",$Q695-3.25,$Q695-3.22),0),IF($B695="高一",MIN(IF($E695="男",$Q695-3.3,$Q695-3.24),0))))),2)</f>
        <v>0</v>
      </c>
      <c r="T695" s="23">
        <f>IF(E695="男",LOOKUP($S695,[1]对照表!$AB$3:$AB$13,[1]对照表!$AC$3:$AC$13),LOOKUP($S695,[1]对照表!$AB$15:$AB$25,[1]对照表!$AC$15:$AC$25))</f>
        <v>0</v>
      </c>
      <c r="U695" s="26">
        <f>R695+T695</f>
        <v>85</v>
      </c>
      <c r="V695" s="26">
        <f>SUM(I695,K695,M695)/3*0.3+SUM(G695,R695)/2*0.4</f>
        <v>61.2</v>
      </c>
      <c r="W695" s="27">
        <f>O695+T695</f>
        <v>0</v>
      </c>
      <c r="X695" s="28">
        <f>V695/0.7+W695</f>
        <v>87.428571428571445</v>
      </c>
      <c r="Y695" s="28">
        <f>X695</f>
        <v>87.428571428571445</v>
      </c>
      <c r="Z695" s="38"/>
    </row>
    <row r="696" spans="1:26" ht="15.6" x14ac:dyDescent="0.25">
      <c r="A696" s="48">
        <v>39</v>
      </c>
      <c r="B696" s="17" t="s">
        <v>767</v>
      </c>
      <c r="C696" s="51" t="s">
        <v>771</v>
      </c>
      <c r="D696" s="49" t="s">
        <v>901</v>
      </c>
      <c r="E696" s="48" t="s">
        <v>65</v>
      </c>
      <c r="F696" s="38">
        <v>8.81</v>
      </c>
      <c r="G696" s="32">
        <f>IF(B696="高三",IF($E696="男",LOOKUP(F696,[1]对照表!$G$3:$G$24,[1]对照表!$H$3:$H$24),LOOKUP(F696,[1]对照表!$G$27:$G$48,[1]对照表!$H$27:$H$48)),IF(B696="高二",IF($E696="男",LOOKUP(F696,[1]对照表!$F$3:$F$24,[1]对照表!$H$3:$H$24),LOOKUP(F696,[1]对照表!$F$27:$F$48,[1]对照表!$H$27:$H$48)),IF(B696="高一",IF($E696="男",LOOKUP(F696,[1]对照表!$E$3:$E$24,[1]对照表!$H$3:$H$24),LOOKUP(F696,[1]对照表!$E$27:$E$48,[1]对照表!$H$27:$H$48)))))</f>
        <v>76</v>
      </c>
      <c r="H696" s="38">
        <v>16.600000000000001</v>
      </c>
      <c r="I696" s="32">
        <f>IF(B696="高三",IF($E696="男",LOOKUP(H696,[1]对照表!$K$3:$K$24,[1]对照表!$L$3:$L$24),LOOKUP(H696,[1]对照表!$K$27:$K$48,[1]对照表!$L$27:$L$48)),IF(B696="高二",IF($E696="男",LOOKUP(H696,[1]对照表!$J$3:$J$24,[1]对照表!$L$3:$L$24),LOOKUP(H696,[1]对照表!$J$27:$J$48,[1]对照表!$L$27:$L$48)),IF(B696="高一",IF($E696="男",LOOKUP(H696,[1]对照表!$I$3:$I$24,[1]对照表!$L$3:$L$24),LOOKUP(H696,[1]对照表!$I$27:$I$48,[1]对照表!$L$27:$L$48)))))</f>
        <v>76</v>
      </c>
      <c r="J696" s="38">
        <v>172</v>
      </c>
      <c r="K696" s="32">
        <f>IF(B696="高三",IF($E696="男",LOOKUP(J696,[1]对照表!$O$3:$O$24,[1]对照表!$P$3:$P$24),LOOKUP(J696,[1]对照表!$O$27:$O$48,[1]对照表!$P$27:$P$48)),IF(B696="高二",IF($E696="男",LOOKUP(J696,[1]对照表!$N$3:$N$24,[1]对照表!$P$3:$P$24),LOOKUP(J696,[1]对照表!$N$27:$N$48,[1]对照表!$P$27:$P$48)),IF(B696="高一",IF($E696="男",LOOKUP(J696,[1]对照表!$M$3:$M$24,[1]对照表!$P$3:$P$24),LOOKUP(J696,[1]对照表!$M$27:$M$48,[1]对照表!$P$27:$P$48)))))</f>
        <v>74</v>
      </c>
      <c r="L696" s="38">
        <v>58</v>
      </c>
      <c r="M696" s="32">
        <f>IF(B696="高三",IF($E696="男",LOOKUP(L696,[1]对照表!$S$3:$S$24,[1]对照表!$T$3:$T$24),LOOKUP(L696,[1]对照表!$S$27:$S$48,[1]对照表!$T$27:$T$48)),IF(B696="高二",IF($E696="男",LOOKUP(L696,[1]对照表!$R$3:$R$24,[1]对照表!$T$3:$T$24),LOOKUP(L696,[1]对照表!$R$27:$R$48,[1]对照表!$T$27:$T$48)),IF(B696="高一",IF($E696="男",LOOKUP(L696,[1]对照表!$Q$3:$Q$24,[1]对照表!$T$3:$T$24),LOOKUP(L696,[1]对照表!$Q$27:$Q$48,[1]对照表!$T$27:$T$48)))))</f>
        <v>100</v>
      </c>
      <c r="N696" s="33">
        <f>IF(B696="高三",MAX(IF(E696="男",L696-18,L696-55),0),IF(B696="高二",MAX(IF(E696="男",L696-17,L696-54),0),IF(B696="高一",MAX(IF(E696="男",L696-16,L696-53),0))))</f>
        <v>4</v>
      </c>
      <c r="O696" s="23">
        <f>IF(E696="男",LOOKUP($N696,[1]对照表!$Z$3:$Z$13,[1]对照表!$AA$3:$AA$13),LOOKUP($N696,[1]对照表!$Z$15:$Z$25,[1]对照表!$AA$15:$AA$25))</f>
        <v>2</v>
      </c>
      <c r="P696" s="25">
        <f>M696+O696</f>
        <v>102</v>
      </c>
      <c r="Q696" s="38">
        <v>3.27</v>
      </c>
      <c r="R696" s="32">
        <f>IF(B696="高三",IF($E696="男",LOOKUP(Q696,[1]对照表!$W$3:$W$24,[1]对照表!$X$3:$X$24),LOOKUP(Q696,[1]对照表!$W$27:$W$48,[1]对照表!$X$27:$X$48)),IF(B696="高二",IF($E696="男",LOOKUP(Q696,[1]对照表!$V$3:$V$24,[1]对照表!$X$3:$X$24),LOOKUP(Q696,[1]对照表!$V$27:$V$48,[1]对照表!$X$27:$X$48)),IF(B696="高一",IF($E696="男",LOOKUP(Q696,[1]对照表!$U$3:$U$24,[1]对照表!$X$3:$X$24),LOOKUP(Q696,[1]对照表!$U$27:$U$48,[1]对照表!$X$27:$X$48)))))</f>
        <v>95</v>
      </c>
      <c r="S696" s="33">
        <f>ROUND(IF(IF($B696="高三",MIN(IF($E696="男",$Q696-3.2,$Q696-3.2),0),IF($B696="高二",MIN(IF($E696="男",$Q696-3.25,$Q696-3.22),0),IF($B696="高一",MIN(IF($E696="男",$Q696-3.3,$Q696-3.24),0))))&lt;-0.6,IF($B696="高三",MIN(IF($E696="男",$Q696-3.2,$Q696-3.2),0),IF($B696="高二",MIN(IF($E696="男",$Q696-3.25,$Q696-3.22),0),IF($B696="高一",MIN(IF($E696="男",$Q696-3.3,$Q696-3.24),0))))+0.4,IF($B696="高三",MIN(IF($E696="男",$Q696-3.2,$Q696-3.2),0),IF($B696="高二",MIN(IF($E696="男",$Q696-3.25,$Q696-3.22),0),IF($B696="高一",MIN(IF($E696="男",$Q696-3.3,$Q696-3.24),0))))),2)</f>
        <v>0</v>
      </c>
      <c r="T696" s="23">
        <f>IF(E696="男",LOOKUP($S696,[1]对照表!$AB$3:$AB$13,[1]对照表!$AC$3:$AC$13),LOOKUP($S696,[1]对照表!$AB$15:$AB$25,[1]对照表!$AC$15:$AC$25))</f>
        <v>0</v>
      </c>
      <c r="U696" s="26">
        <f>R696+T696</f>
        <v>95</v>
      </c>
      <c r="V696" s="26">
        <f>SUM(I696,K696,M696)/3*0.3+SUM(G696,R696)/2*0.4</f>
        <v>59.2</v>
      </c>
      <c r="W696" s="27">
        <f>O696+T696</f>
        <v>2</v>
      </c>
      <c r="X696" s="28">
        <f>V696/0.7+W696</f>
        <v>86.571428571428584</v>
      </c>
      <c r="Y696" s="28">
        <f>X696</f>
        <v>86.571428571428584</v>
      </c>
      <c r="Z696" s="38"/>
    </row>
    <row r="697" spans="1:26" ht="15.6" x14ac:dyDescent="0.25">
      <c r="A697" s="52">
        <v>47</v>
      </c>
      <c r="B697" s="17" t="s">
        <v>767</v>
      </c>
      <c r="C697" s="51" t="s">
        <v>771</v>
      </c>
      <c r="D697" s="49" t="s">
        <v>916</v>
      </c>
      <c r="E697" s="48" t="s">
        <v>65</v>
      </c>
      <c r="F697" s="38">
        <v>8.52</v>
      </c>
      <c r="G697" s="32">
        <f>IF(B697="高三",IF($E697="男",LOOKUP(F697,[1]对照表!$G$3:$G$24,[1]对照表!$H$3:$H$24),LOOKUP(F697,[1]对照表!$G$27:$G$48,[1]对照表!$H$27:$H$48)),IF(B697="高二",IF($E697="男",LOOKUP(F697,[1]对照表!$F$3:$F$24,[1]对照表!$H$3:$H$24),LOOKUP(F697,[1]对照表!$F$27:$F$48,[1]对照表!$H$27:$H$48)),IF(B697="高一",IF($E697="男",LOOKUP(F697,[1]对照表!$E$3:$E$24,[1]对照表!$H$3:$H$24),LOOKUP(F697,[1]对照表!$E$27:$E$48,[1]对照表!$H$27:$H$48)))))</f>
        <v>78</v>
      </c>
      <c r="H697" s="38">
        <v>19</v>
      </c>
      <c r="I697" s="32">
        <f>IF(B697="高三",IF($E697="男",LOOKUP(H697,[1]对照表!$K$3:$K$24,[1]对照表!$L$3:$L$24),LOOKUP(H697,[1]对照表!$K$27:$K$48,[1]对照表!$L$27:$L$48)),IF(B697="高二",IF($E697="男",LOOKUP(H697,[1]对照表!$J$3:$J$24,[1]对照表!$L$3:$L$24),LOOKUP(H697,[1]对照表!$J$27:$J$48,[1]对照表!$L$27:$L$48)),IF(B697="高一",IF($E697="男",LOOKUP(H697,[1]对照表!$I$3:$I$24,[1]对照表!$L$3:$L$24),LOOKUP(H697,[1]对照表!$I$27:$I$48,[1]对照表!$L$27:$L$48)))))</f>
        <v>80</v>
      </c>
      <c r="J697" s="38">
        <v>187</v>
      </c>
      <c r="K697" s="32">
        <f>IF(B697="高三",IF($E697="男",LOOKUP(J697,[1]对照表!$O$3:$O$24,[1]对照表!$P$3:$P$24),LOOKUP(J697,[1]对照表!$O$27:$O$48,[1]对照表!$P$27:$P$48)),IF(B697="高二",IF($E697="男",LOOKUP(J697,[1]对照表!$N$3:$N$24,[1]对照表!$P$3:$P$24),LOOKUP(J697,[1]对照表!$N$27:$N$48,[1]对照表!$P$27:$P$48)),IF(B697="高一",IF($E697="男",LOOKUP(J697,[1]对照表!$M$3:$M$24,[1]对照表!$P$3:$P$24),LOOKUP(J697,[1]对照表!$M$27:$M$48,[1]对照表!$P$27:$P$48)))))</f>
        <v>85</v>
      </c>
      <c r="L697" s="38">
        <v>54</v>
      </c>
      <c r="M697" s="32">
        <f>IF(B697="高三",IF($E697="男",LOOKUP(L697,[1]对照表!$S$3:$S$24,[1]对照表!$T$3:$T$24),LOOKUP(L697,[1]对照表!$S$27:$S$48,[1]对照表!$T$27:$T$48)),IF(B697="高二",IF($E697="男",LOOKUP(L697,[1]对照表!$R$3:$R$24,[1]对照表!$T$3:$T$24),LOOKUP(L697,[1]对照表!$R$27:$R$48,[1]对照表!$T$27:$T$48)),IF(B697="高一",IF($E697="男",LOOKUP(L697,[1]对照表!$Q$3:$Q$24,[1]对照表!$T$3:$T$24),LOOKUP(L697,[1]对照表!$Q$27:$Q$48,[1]对照表!$T$27:$T$48)))))</f>
        <v>100</v>
      </c>
      <c r="N697" s="33">
        <f>IF(B697="高三",MAX(IF(E697="男",L697-18,L697-55),0),IF(B697="高二",MAX(IF(E697="男",L697-17,L697-54),0),IF(B697="高一",MAX(IF(E697="男",L697-16,L697-53),0))))</f>
        <v>0</v>
      </c>
      <c r="O697" s="23">
        <f>IF(E697="男",LOOKUP($N697,[1]对照表!$Z$3:$Z$13,[1]对照表!$AA$3:$AA$13),LOOKUP($N697,[1]对照表!$Z$15:$Z$25,[1]对照表!$AA$15:$AA$25))</f>
        <v>0</v>
      </c>
      <c r="P697" s="25">
        <f>M697+O697</f>
        <v>100</v>
      </c>
      <c r="Q697" s="38">
        <v>3.34</v>
      </c>
      <c r="R697" s="32">
        <f>IF(B697="高三",IF($E697="男",LOOKUP(Q697,[1]对照表!$W$3:$W$24,[1]对照表!$X$3:$X$24),LOOKUP(Q697,[1]对照表!$W$27:$W$48,[1]对照表!$X$27:$X$48)),IF(B697="高二",IF($E697="男",LOOKUP(Q697,[1]对照表!$V$3:$V$24,[1]对照表!$X$3:$X$24),LOOKUP(Q697,[1]对照表!$V$27:$V$48,[1]对照表!$X$27:$X$48)),IF(B697="高一",IF($E697="男",LOOKUP(Q697,[1]对照表!$U$3:$U$24,[1]对照表!$X$3:$X$24),LOOKUP(Q697,[1]对照表!$U$27:$U$48,[1]对照表!$X$27:$X$48)))))</f>
        <v>90</v>
      </c>
      <c r="S697" s="33">
        <f>ROUND(IF(IF($B697="高三",MIN(IF($E697="男",$Q697-3.2,$Q697-3.2),0),IF($B697="高二",MIN(IF($E697="男",$Q697-3.25,$Q697-3.22),0),IF($B697="高一",MIN(IF($E697="男",$Q697-3.3,$Q697-3.24),0))))&lt;-0.6,IF($B697="高三",MIN(IF($E697="男",$Q697-3.2,$Q697-3.2),0),IF($B697="高二",MIN(IF($E697="男",$Q697-3.25,$Q697-3.22),0),IF($B697="高一",MIN(IF($E697="男",$Q697-3.3,$Q697-3.24),0))))+0.4,IF($B697="高三",MIN(IF($E697="男",$Q697-3.2,$Q697-3.2),0),IF($B697="高二",MIN(IF($E697="男",$Q697-3.25,$Q697-3.22),0),IF($B697="高一",MIN(IF($E697="男",$Q697-3.3,$Q697-3.24),0))))),2)</f>
        <v>0</v>
      </c>
      <c r="T697" s="23">
        <f>IF(E697="男",LOOKUP($S697,[1]对照表!$AB$3:$AB$13,[1]对照表!$AC$3:$AC$13),LOOKUP($S697,[1]对照表!$AB$15:$AB$25,[1]对照表!$AC$15:$AC$25))</f>
        <v>0</v>
      </c>
      <c r="U697" s="26">
        <f>R697+T697</f>
        <v>90</v>
      </c>
      <c r="V697" s="26">
        <f>SUM(I697,K697,M697)/3*0.3+SUM(G697,R697)/2*0.4</f>
        <v>60.099999999999994</v>
      </c>
      <c r="W697" s="27">
        <f>O697+T697</f>
        <v>0</v>
      </c>
      <c r="X697" s="28">
        <f>V697/0.7+W697</f>
        <v>85.857142857142861</v>
      </c>
      <c r="Y697" s="28">
        <f>X697</f>
        <v>85.857142857142861</v>
      </c>
      <c r="Z697" s="38"/>
    </row>
    <row r="698" spans="1:26" ht="15.6" customHeight="1" x14ac:dyDescent="0.15">
      <c r="A698" s="38">
        <v>18</v>
      </c>
      <c r="B698" s="17" t="s">
        <v>767</v>
      </c>
      <c r="C698" s="51" t="s">
        <v>771</v>
      </c>
      <c r="D698" s="49" t="s">
        <v>930</v>
      </c>
      <c r="E698" s="55" t="s">
        <v>23</v>
      </c>
      <c r="F698" s="38">
        <v>6.7</v>
      </c>
      <c r="G698" s="32">
        <f>IF(B698="高三",IF($E698="男",LOOKUP(F698,[1]对照表!$G$3:$G$24,[1]对照表!$H$3:$H$24),LOOKUP(F698,[1]对照表!$G$27:$G$48,[1]对照表!$H$27:$H$48)),IF(B698="高二",IF($E698="男",LOOKUP(F698,[1]对照表!$F$3:$F$24,[1]对照表!$H$3:$H$24),LOOKUP(F698,[1]对照表!$F$27:$F$48,[1]对照表!$H$27:$H$48)),IF(B698="高一",IF($E698="男",LOOKUP(F698,[1]对照表!$E$3:$E$24,[1]对照表!$H$3:$H$24),LOOKUP(F698,[1]对照表!$E$27:$E$48,[1]对照表!$H$27:$H$48)))))</f>
        <v>100</v>
      </c>
      <c r="H698" s="38">
        <v>21</v>
      </c>
      <c r="I698" s="32">
        <f>IF(B698="高三",IF($E698="男",LOOKUP(H698,[1]对照表!$K$3:$K$24,[1]对照表!$L$3:$L$24),LOOKUP(H698,[1]对照表!$K$27:$K$48,[1]对照表!$L$27:$L$48)),IF(B698="高二",IF($E698="男",LOOKUP(H698,[1]对照表!$J$3:$J$24,[1]对照表!$L$3:$L$24),LOOKUP(H698,[1]对照表!$J$27:$J$48,[1]对照表!$L$27:$L$48)),IF(B698="高一",IF($E698="男",LOOKUP(H698,[1]对照表!$I$3:$I$24,[1]对照表!$L$3:$L$24),LOOKUP(H698,[1]对照表!$I$27:$I$48,[1]对照表!$L$27:$L$48)))))</f>
        <v>90</v>
      </c>
      <c r="J698" s="38">
        <v>250</v>
      </c>
      <c r="K698" s="32">
        <f>IF(B698="高三",IF($E698="男",LOOKUP(J698,[1]对照表!$O$3:$O$24,[1]对照表!$P$3:$P$24),LOOKUP(J698,[1]对照表!$O$27:$O$48,[1]对照表!$P$27:$P$48)),IF(B698="高二",IF($E698="男",LOOKUP(J698,[1]对照表!$N$3:$N$24,[1]对照表!$P$3:$P$24),LOOKUP(J698,[1]对照表!$N$27:$N$48,[1]对照表!$P$27:$P$48)),IF(B698="高一",IF($E698="男",LOOKUP(J698,[1]对照表!$M$3:$M$24,[1]对照表!$P$3:$P$24),LOOKUP(J698,[1]对照表!$M$27:$M$48,[1]对照表!$P$27:$P$48)))))</f>
        <v>85</v>
      </c>
      <c r="L698" s="38">
        <v>22</v>
      </c>
      <c r="M698" s="32">
        <f>IF(B698="高三",IF($E698="男",LOOKUP(L698,[1]对照表!$S$3:$S$24,[1]对照表!$T$3:$T$24),LOOKUP(L698,[1]对照表!$S$27:$S$48,[1]对照表!$T$27:$T$48)),IF(B698="高二",IF($E698="男",LOOKUP(L698,[1]对照表!$R$3:$R$24,[1]对照表!$T$3:$T$24),LOOKUP(L698,[1]对照表!$R$27:$R$48,[1]对照表!$T$27:$T$48)),IF(B698="高一",IF($E698="男",LOOKUP(L698,[1]对照表!$Q$3:$Q$24,[1]对照表!$T$3:$T$24),LOOKUP(L698,[1]对照表!$Q$27:$Q$48,[1]对照表!$T$27:$T$48)))))</f>
        <v>100</v>
      </c>
      <c r="N698" s="33">
        <f>IF(B698="高三",MAX(IF(E698="男",L698-18,L698-55),0),IF(B698="高二",MAX(IF(E698="男",L698-17,L698-54),0),IF(B698="高一",MAX(IF(E698="男",L698-16,L698-53),0))))</f>
        <v>5</v>
      </c>
      <c r="O698" s="23">
        <f>IF(E698="男",LOOKUP($N698,[1]对照表!$Z$3:$Z$13,[1]对照表!$AA$3:$AA$13),LOOKUP($N698,[1]对照表!$Z$15:$Z$25,[1]对照表!$AA$15:$AA$25))</f>
        <v>5</v>
      </c>
      <c r="P698" s="25">
        <f>M698+O698</f>
        <v>105</v>
      </c>
      <c r="Q698" s="38">
        <v>3.46</v>
      </c>
      <c r="R698" s="32">
        <f>IF(B698="高三",IF($E698="男",LOOKUP(Q698,[1]对照表!$W$3:$W$24,[1]对照表!$X$3:$X$24),LOOKUP(Q698,[1]对照表!$W$27:$W$48,[1]对照表!$X$27:$X$48)),IF(B698="高二",IF($E698="男",LOOKUP(Q698,[1]对照表!$V$3:$V$24,[1]对照表!$X$3:$X$24),LOOKUP(Q698,[1]对照表!$V$27:$V$48,[1]对照表!$X$27:$X$48)),IF(B698="高一",IF($E698="男",LOOKUP(Q698,[1]对照表!$U$3:$U$24,[1]对照表!$X$3:$X$24),LOOKUP(Q698,[1]对照表!$U$27:$U$48,[1]对照表!$X$27:$X$48)))))</f>
        <v>80</v>
      </c>
      <c r="S698" s="33">
        <f>ROUND(IF(IF($B698="高三",MIN(IF($E698="男",$Q698-3.2,$Q698-3.2),0),IF($B698="高二",MIN(IF($E698="男",$Q698-3.25,$Q698-3.22),0),IF($B698="高一",MIN(IF($E698="男",$Q698-3.3,$Q698-3.24),0))))&lt;-0.6,IF($B698="高三",MIN(IF($E698="男",$Q698-3.2,$Q698-3.2),0),IF($B698="高二",MIN(IF($E698="男",$Q698-3.25,$Q698-3.22),0),IF($B698="高一",MIN(IF($E698="男",$Q698-3.3,$Q698-3.24),0))))+0.4,IF($B698="高三",MIN(IF($E698="男",$Q698-3.2,$Q698-3.2),0),IF($B698="高二",MIN(IF($E698="男",$Q698-3.25,$Q698-3.22),0),IF($B698="高一",MIN(IF($E698="男",$Q698-3.3,$Q698-3.24),0))))),2)</f>
        <v>0</v>
      </c>
      <c r="T698" s="23">
        <f>IF(E698="男",LOOKUP($S698,[1]对照表!$AB$3:$AB$13,[1]对照表!$AC$3:$AC$13),LOOKUP($S698,[1]对照表!$AB$15:$AB$25,[1]对照表!$AC$15:$AC$25))</f>
        <v>0</v>
      </c>
      <c r="U698" s="26">
        <f>R698+T698</f>
        <v>80</v>
      </c>
      <c r="V698" s="26">
        <f>SUM(I698,K698,M698)/3*0.3+SUM(G698,R698)/2*0.4</f>
        <v>63.5</v>
      </c>
      <c r="W698" s="27">
        <f>O698+T698</f>
        <v>5</v>
      </c>
      <c r="X698" s="28">
        <f>V698/0.7+W698</f>
        <v>95.714285714285722</v>
      </c>
      <c r="Y698" s="28">
        <f>X698</f>
        <v>95.714285714285722</v>
      </c>
      <c r="Z698" s="38"/>
    </row>
    <row r="699" spans="1:26" ht="15.6" customHeight="1" x14ac:dyDescent="0.15">
      <c r="A699" s="38">
        <v>15</v>
      </c>
      <c r="B699" s="17" t="s">
        <v>767</v>
      </c>
      <c r="C699" s="51" t="s">
        <v>771</v>
      </c>
      <c r="D699" s="49" t="s">
        <v>939</v>
      </c>
      <c r="E699" s="55" t="s">
        <v>23</v>
      </c>
      <c r="F699" s="38">
        <v>7.2</v>
      </c>
      <c r="G699" s="32">
        <f>IF(B699="高三",IF($E699="男",LOOKUP(F699,[1]对照表!$G$3:$G$24,[1]对照表!$H$3:$H$24),LOOKUP(F699,[1]对照表!$G$27:$G$48,[1]对照表!$H$27:$H$48)),IF(B699="高二",IF($E699="男",LOOKUP(F699,[1]对照表!$F$3:$F$24,[1]对照表!$H$3:$H$24),LOOKUP(F699,[1]对照表!$F$27:$F$48,[1]对照表!$H$27:$H$48)),IF(B699="高一",IF($E699="男",LOOKUP(F699,[1]对照表!$E$3:$E$24,[1]对照表!$H$3:$H$24),LOOKUP(F699,[1]对照表!$E$27:$E$48,[1]对照表!$H$27:$H$48)))))</f>
        <v>90</v>
      </c>
      <c r="H699" s="38">
        <v>18.5</v>
      </c>
      <c r="I699" s="32">
        <f>IF(B699="高三",IF($E699="男",LOOKUP(H699,[1]对照表!$K$3:$K$24,[1]对照表!$L$3:$L$24),LOOKUP(H699,[1]对照表!$K$27:$K$48,[1]对照表!$L$27:$L$48)),IF(B699="高二",IF($E699="男",LOOKUP(H699,[1]对照表!$J$3:$J$24,[1]对照表!$L$3:$L$24),LOOKUP(H699,[1]对照表!$J$27:$J$48,[1]对照表!$L$27:$L$48)),IF(B699="高一",IF($E699="男",LOOKUP(H699,[1]对照表!$I$3:$I$24,[1]对照表!$L$3:$L$24),LOOKUP(H699,[1]对照表!$I$27:$I$48,[1]对照表!$L$27:$L$48)))))</f>
        <v>85</v>
      </c>
      <c r="J699" s="38">
        <v>230</v>
      </c>
      <c r="K699" s="32">
        <f>IF(B699="高三",IF($E699="男",LOOKUP(J699,[1]对照表!$O$3:$O$24,[1]对照表!$P$3:$P$24),LOOKUP(J699,[1]对照表!$O$27:$O$48,[1]对照表!$P$27:$P$48)),IF(B699="高二",IF($E699="男",LOOKUP(J699,[1]对照表!$N$3:$N$24,[1]对照表!$P$3:$P$24),LOOKUP(J699,[1]对照表!$N$27:$N$48,[1]对照表!$P$27:$P$48)),IF(B699="高一",IF($E699="男",LOOKUP(J699,[1]对照表!$M$3:$M$24,[1]对照表!$P$3:$P$24),LOOKUP(J699,[1]对照表!$M$27:$M$48,[1]对照表!$P$27:$P$48)))))</f>
        <v>74</v>
      </c>
      <c r="L699" s="38">
        <v>27</v>
      </c>
      <c r="M699" s="32">
        <f>IF(B699="高三",IF($E699="男",LOOKUP(L699,[1]对照表!$S$3:$S$24,[1]对照表!$T$3:$T$24),LOOKUP(L699,[1]对照表!$S$27:$S$48,[1]对照表!$T$27:$T$48)),IF(B699="高二",IF($E699="男",LOOKUP(L699,[1]对照表!$R$3:$R$24,[1]对照表!$T$3:$T$24),LOOKUP(L699,[1]对照表!$R$27:$R$48,[1]对照表!$T$27:$T$48)),IF(B699="高一",IF($E699="男",LOOKUP(L699,[1]对照表!$Q$3:$Q$24,[1]对照表!$T$3:$T$24),LOOKUP(L699,[1]对照表!$Q$27:$Q$48,[1]对照表!$T$27:$T$48)))))</f>
        <v>100</v>
      </c>
      <c r="N699" s="33">
        <f>IF(B699="高三",MAX(IF(E699="男",L699-18,L699-55),0),IF(B699="高二",MAX(IF(E699="男",L699-17,L699-54),0),IF(B699="高一",MAX(IF(E699="男",L699-16,L699-53),0))))</f>
        <v>10</v>
      </c>
      <c r="O699" s="23">
        <f>IF(E699="男",LOOKUP($N699,[1]对照表!$Z$3:$Z$13,[1]对照表!$AA$3:$AA$13),LOOKUP($N699,[1]对照表!$Z$15:$Z$25,[1]对照表!$AA$15:$AA$25))</f>
        <v>10</v>
      </c>
      <c r="P699" s="25">
        <f>M699+O699</f>
        <v>110</v>
      </c>
      <c r="Q699" s="38">
        <v>3.55</v>
      </c>
      <c r="R699" s="32">
        <f>IF(B699="高三",IF($E699="男",LOOKUP(Q699,[1]对照表!$W$3:$W$24,[1]对照表!$X$3:$X$24),LOOKUP(Q699,[1]对照表!$W$27:$W$48,[1]对照表!$X$27:$X$48)),IF(B699="高二",IF($E699="男",LOOKUP(Q699,[1]对照表!$V$3:$V$24,[1]对照表!$X$3:$X$24),LOOKUP(Q699,[1]对照表!$V$27:$V$48,[1]对照表!$X$27:$X$48)),IF(B699="高一",IF($E699="男",LOOKUP(Q699,[1]对照表!$U$3:$U$24,[1]对照表!$X$3:$X$24),LOOKUP(Q699,[1]对照表!$U$27:$U$48,[1]对照表!$X$27:$X$48)))))</f>
        <v>78</v>
      </c>
      <c r="S699" s="33">
        <f>ROUND(IF(IF($B699="高三",MIN(IF($E699="男",$Q699-3.2,$Q699-3.2),0),IF($B699="高二",MIN(IF($E699="男",$Q699-3.25,$Q699-3.22),0),IF($B699="高一",MIN(IF($E699="男",$Q699-3.3,$Q699-3.24),0))))&lt;-0.6,IF($B699="高三",MIN(IF($E699="男",$Q699-3.2,$Q699-3.2),0),IF($B699="高二",MIN(IF($E699="男",$Q699-3.25,$Q699-3.22),0),IF($B699="高一",MIN(IF($E699="男",$Q699-3.3,$Q699-3.24),0))))+0.4,IF($B699="高三",MIN(IF($E699="男",$Q699-3.2,$Q699-3.2),0),IF($B699="高二",MIN(IF($E699="男",$Q699-3.25,$Q699-3.22),0),IF($B699="高一",MIN(IF($E699="男",$Q699-3.3,$Q699-3.24),0))))),2)</f>
        <v>0</v>
      </c>
      <c r="T699" s="23">
        <f>IF(E699="男",LOOKUP($S699,[1]对照表!$AB$3:$AB$13,[1]对照表!$AC$3:$AC$13),LOOKUP($S699,[1]对照表!$AB$15:$AB$25,[1]对照表!$AC$15:$AC$25))</f>
        <v>0</v>
      </c>
      <c r="U699" s="26">
        <f>R699+T699</f>
        <v>78</v>
      </c>
      <c r="V699" s="26">
        <f>SUM(I699,K699,M699)/3*0.3+SUM(G699,R699)/2*0.4</f>
        <v>59.5</v>
      </c>
      <c r="W699" s="27">
        <f>O699+T699</f>
        <v>10</v>
      </c>
      <c r="X699" s="28">
        <f>V699/0.7+W699</f>
        <v>95</v>
      </c>
      <c r="Y699" s="28">
        <f>X699</f>
        <v>95</v>
      </c>
      <c r="Z699" s="38"/>
    </row>
    <row r="700" spans="1:26" ht="15.6" x14ac:dyDescent="0.25">
      <c r="A700" s="52">
        <v>44</v>
      </c>
      <c r="B700" s="17" t="s">
        <v>767</v>
      </c>
      <c r="C700" s="51" t="s">
        <v>771</v>
      </c>
      <c r="D700" s="49" t="s">
        <v>964</v>
      </c>
      <c r="E700" s="48" t="s">
        <v>65</v>
      </c>
      <c r="F700" s="52">
        <v>9.0299999999999994</v>
      </c>
      <c r="G700" s="32">
        <f>IF(B700="高三",IF($E700="男",LOOKUP(F700,[1]对照表!$G$3:$G$24,[1]对照表!$H$3:$H$24),LOOKUP(F700,[1]对照表!$G$27:$G$48,[1]对照表!$H$27:$H$48)),IF(B700="高二",IF($E700="男",LOOKUP(F700,[1]对照表!$F$3:$F$24,[1]对照表!$H$3:$H$24),LOOKUP(F700,[1]对照表!$F$27:$F$48,[1]对照表!$H$27:$H$48)),IF(B700="高一",IF($E700="男",LOOKUP(F700,[1]对照表!$E$3:$E$24,[1]对照表!$H$3:$H$24),LOOKUP(F700,[1]对照表!$E$27:$E$48,[1]对照表!$H$27:$H$48)))))</f>
        <v>74</v>
      </c>
      <c r="H700" s="52">
        <v>15.5</v>
      </c>
      <c r="I700" s="32">
        <f>IF(B700="高三",IF($E700="男",LOOKUP(H700,[1]对照表!$K$3:$K$24,[1]对照表!$L$3:$L$24),LOOKUP(H700,[1]对照表!$K$27:$K$48,[1]对照表!$L$27:$L$48)),IF(B700="高二",IF($E700="男",LOOKUP(H700,[1]对照表!$J$3:$J$24,[1]对照表!$L$3:$L$24),LOOKUP(H700,[1]对照表!$J$27:$J$48,[1]对照表!$L$27:$L$48)),IF(B700="高一",IF($E700="男",LOOKUP(H700,[1]对照表!$I$3:$I$24,[1]对照表!$L$3:$L$24),LOOKUP(H700,[1]对照表!$I$27:$I$48,[1]对照表!$L$27:$L$48)))))</f>
        <v>76</v>
      </c>
      <c r="J700" s="52">
        <v>185</v>
      </c>
      <c r="K700" s="32">
        <f>IF(B700="高三",IF($E700="男",LOOKUP(J700,[1]对照表!$O$3:$O$24,[1]对照表!$P$3:$P$24),LOOKUP(J700,[1]对照表!$O$27:$O$48,[1]对照表!$P$27:$P$48)),IF(B700="高二",IF($E700="男",LOOKUP(J700,[1]对照表!$N$3:$N$24,[1]对照表!$P$3:$P$24),LOOKUP(J700,[1]对照表!$N$27:$N$48,[1]对照表!$P$27:$P$48)),IF(B700="高一",IF($E700="男",LOOKUP(J700,[1]对照表!$M$3:$M$24,[1]对照表!$P$3:$P$24),LOOKUP(J700,[1]对照表!$M$27:$M$48,[1]对照表!$P$27:$P$48)))))</f>
        <v>80</v>
      </c>
      <c r="L700" s="52">
        <v>53</v>
      </c>
      <c r="M700" s="32">
        <f>IF(B700="高三",IF($E700="男",LOOKUP(L700,[1]对照表!$S$3:$S$24,[1]对照表!$T$3:$T$24),LOOKUP(L700,[1]对照表!$S$27:$S$48,[1]对照表!$T$27:$T$48)),IF(B700="高二",IF($E700="男",LOOKUP(L700,[1]对照表!$R$3:$R$24,[1]对照表!$T$3:$T$24),LOOKUP(L700,[1]对照表!$R$27:$R$48,[1]对照表!$T$27:$T$48)),IF(B700="高一",IF($E700="男",LOOKUP(L700,[1]对照表!$Q$3:$Q$24,[1]对照表!$T$3:$T$24),LOOKUP(L700,[1]对照表!$Q$27:$Q$48,[1]对照表!$T$27:$T$48)))))</f>
        <v>95</v>
      </c>
      <c r="N700" s="33">
        <f>IF(B700="高三",MAX(IF(E700="男",L700-18,L700-55),0),IF(B700="高二",MAX(IF(E700="男",L700-17,L700-54),0),IF(B700="高一",MAX(IF(E700="男",L700-16,L700-53),0))))</f>
        <v>0</v>
      </c>
      <c r="O700" s="23">
        <f>IF(E700="男",LOOKUP($N700,[1]对照表!$Z$3:$Z$13,[1]对照表!$AA$3:$AA$13),LOOKUP($N700,[1]对照表!$Z$15:$Z$25,[1]对照表!$AA$15:$AA$25))</f>
        <v>0</v>
      </c>
      <c r="P700" s="25">
        <f>M700+O700</f>
        <v>95</v>
      </c>
      <c r="Q700" s="52">
        <v>3.23</v>
      </c>
      <c r="R700" s="32">
        <f>IF(B700="高三",IF($E700="男",LOOKUP(Q700,[1]对照表!$W$3:$W$24,[1]对照表!$X$3:$X$24),LOOKUP(Q700,[1]对照表!$W$27:$W$48,[1]对照表!$X$27:$X$48)),IF(B700="高二",IF($E700="男",LOOKUP(Q700,[1]对照表!$V$3:$V$24,[1]对照表!$X$3:$X$24),LOOKUP(Q700,[1]对照表!$V$27:$V$48,[1]对照表!$X$27:$X$48)),IF(B700="高一",IF($E700="男",LOOKUP(Q700,[1]对照表!$U$3:$U$24,[1]对照表!$X$3:$X$24),LOOKUP(Q700,[1]对照表!$U$27:$U$48,[1]对照表!$X$27:$X$48)))))</f>
        <v>95</v>
      </c>
      <c r="S700" s="33">
        <f>ROUND(IF(IF($B700="高三",MIN(IF($E700="男",$Q700-3.2,$Q700-3.2),0),IF($B700="高二",MIN(IF($E700="男",$Q700-3.25,$Q700-3.22),0),IF($B700="高一",MIN(IF($E700="男",$Q700-3.3,$Q700-3.24),0))))&lt;-0.6,IF($B700="高三",MIN(IF($E700="男",$Q700-3.2,$Q700-3.2),0),IF($B700="高二",MIN(IF($E700="男",$Q700-3.25,$Q700-3.22),0),IF($B700="高一",MIN(IF($E700="男",$Q700-3.3,$Q700-3.24),0))))+0.4,IF($B700="高三",MIN(IF($E700="男",$Q700-3.2,$Q700-3.2),0),IF($B700="高二",MIN(IF($E700="男",$Q700-3.25,$Q700-3.22),0),IF($B700="高一",MIN(IF($E700="男",$Q700-3.3,$Q700-3.24),0))))),2)</f>
        <v>0</v>
      </c>
      <c r="T700" s="23">
        <f>IF(E700="男",LOOKUP($S700,[1]对照表!$AB$3:$AB$13,[1]对照表!$AC$3:$AC$13),LOOKUP($S700,[1]对照表!$AB$15:$AB$25,[1]对照表!$AC$15:$AC$25))</f>
        <v>0</v>
      </c>
      <c r="U700" s="26">
        <f>R700+T700</f>
        <v>95</v>
      </c>
      <c r="V700" s="26">
        <f>SUM(I700,K700,M700)/3*0.3+SUM(G700,R700)/2*0.4</f>
        <v>58.900000000000006</v>
      </c>
      <c r="W700" s="27">
        <f>O700+T700</f>
        <v>0</v>
      </c>
      <c r="X700" s="28">
        <f>V700/0.7+W700</f>
        <v>84.142857142857153</v>
      </c>
      <c r="Y700" s="28">
        <f>X700</f>
        <v>84.142857142857153</v>
      </c>
      <c r="Z700" s="52"/>
    </row>
    <row r="701" spans="1:26" ht="15.6" x14ac:dyDescent="0.25">
      <c r="A701" s="48">
        <v>33</v>
      </c>
      <c r="B701" s="17" t="s">
        <v>767</v>
      </c>
      <c r="C701" s="51" t="s">
        <v>771</v>
      </c>
      <c r="D701" s="49" t="s">
        <v>999</v>
      </c>
      <c r="E701" s="55" t="s">
        <v>23</v>
      </c>
      <c r="F701" s="38">
        <v>7.2</v>
      </c>
      <c r="G701" s="32">
        <f>IF(B701="高三",IF($E701="男",LOOKUP(F701,[1]对照表!$G$3:$G$24,[1]对照表!$H$3:$H$24),LOOKUP(F701,[1]对照表!$G$27:$G$48,[1]对照表!$H$27:$H$48)),IF(B701="高二",IF($E701="男",LOOKUP(F701,[1]对照表!$F$3:$F$24,[1]对照表!$H$3:$H$24),LOOKUP(F701,[1]对照表!$F$27:$F$48,[1]对照表!$H$27:$H$48)),IF(B701="高一",IF($E701="男",LOOKUP(F701,[1]对照表!$E$3:$E$24,[1]对照表!$H$3:$H$24),LOOKUP(F701,[1]对照表!$E$27:$E$48,[1]对照表!$H$27:$H$48)))))</f>
        <v>90</v>
      </c>
      <c r="H701" s="38">
        <v>26.2</v>
      </c>
      <c r="I701" s="32">
        <f>IF(B701="高三",IF($E701="男",LOOKUP(H701,[1]对照表!$K$3:$K$24,[1]对照表!$L$3:$L$24),LOOKUP(H701,[1]对照表!$K$27:$K$48,[1]对照表!$L$27:$L$48)),IF(B701="高二",IF($E701="男",LOOKUP(H701,[1]对照表!$J$3:$J$24,[1]对照表!$L$3:$L$24),LOOKUP(H701,[1]对照表!$J$27:$J$48,[1]对照表!$L$27:$L$48)),IF(B701="高一",IF($E701="男",LOOKUP(H701,[1]对照表!$I$3:$I$24,[1]对照表!$L$3:$L$24),LOOKUP(H701,[1]对照表!$I$27:$I$48,[1]对照表!$L$27:$L$48)))))</f>
        <v>100</v>
      </c>
      <c r="J701" s="38">
        <v>270</v>
      </c>
      <c r="K701" s="32">
        <f>IF(B701="高三",IF($E701="男",LOOKUP(J701,[1]对照表!$O$3:$O$24,[1]对照表!$P$3:$P$24),LOOKUP(J701,[1]对照表!$O$27:$O$48,[1]对照表!$P$27:$P$48)),IF(B701="高二",IF($E701="男",LOOKUP(J701,[1]对照表!$N$3:$N$24,[1]对照表!$P$3:$P$24),LOOKUP(J701,[1]对照表!$N$27:$N$48,[1]对照表!$P$27:$P$48)),IF(B701="高一",IF($E701="男",LOOKUP(J701,[1]对照表!$M$3:$M$24,[1]对照表!$P$3:$P$24),LOOKUP(J701,[1]对照表!$M$27:$M$48,[1]对照表!$P$27:$P$48)))))</f>
        <v>100</v>
      </c>
      <c r="L701" s="38">
        <v>13</v>
      </c>
      <c r="M701" s="32">
        <f>IF(B701="高三",IF($E701="男",LOOKUP(L701,[1]对照表!$S$3:$S$24,[1]对照表!$T$3:$T$24),LOOKUP(L701,[1]对照表!$S$27:$S$48,[1]对照表!$T$27:$T$48)),IF(B701="高二",IF($E701="男",LOOKUP(L701,[1]对照表!$R$3:$R$24,[1]对照表!$T$3:$T$24),LOOKUP(L701,[1]对照表!$R$27:$R$48,[1]对照表!$T$27:$T$48)),IF(B701="高一",IF($E701="男",LOOKUP(L701,[1]对照表!$Q$3:$Q$24,[1]对照表!$T$3:$T$24),LOOKUP(L701,[1]对照表!$Q$27:$Q$48,[1]对照表!$T$27:$T$48)))))</f>
        <v>80</v>
      </c>
      <c r="N701" s="33">
        <f>IF(B701="高三",MAX(IF(E701="男",L701-18,L701-55),0),IF(B701="高二",MAX(IF(E701="男",L701-17,L701-54),0),IF(B701="高一",MAX(IF(E701="男",L701-16,L701-53),0))))</f>
        <v>0</v>
      </c>
      <c r="O701" s="23">
        <f>IF(E701="男",LOOKUP($N701,[1]对照表!$Z$3:$Z$13,[1]对照表!$AA$3:$AA$13),LOOKUP($N701,[1]对照表!$Z$15:$Z$25,[1]对照表!$AA$15:$AA$25))</f>
        <v>0</v>
      </c>
      <c r="P701" s="25">
        <f>M701+O701</f>
        <v>80</v>
      </c>
      <c r="Q701" s="38">
        <v>3.36</v>
      </c>
      <c r="R701" s="32">
        <f>IF(B701="高三",IF($E701="男",LOOKUP(Q701,[1]对照表!$W$3:$W$24,[1]对照表!$X$3:$X$24),LOOKUP(Q701,[1]对照表!$W$27:$W$48,[1]对照表!$X$27:$X$48)),IF(B701="高二",IF($E701="男",LOOKUP(Q701,[1]对照表!$V$3:$V$24,[1]对照表!$X$3:$X$24),LOOKUP(Q701,[1]对照表!$V$27:$V$48,[1]对照表!$X$27:$X$48)),IF(B701="高一",IF($E701="男",LOOKUP(Q701,[1]对照表!$U$3:$U$24,[1]对照表!$X$3:$X$24),LOOKUP(Q701,[1]对照表!$U$27:$U$48,[1]对照表!$X$27:$X$48)))))</f>
        <v>85</v>
      </c>
      <c r="S701" s="33">
        <f>ROUND(IF(IF($B701="高三",MIN(IF($E701="男",$Q701-3.2,$Q701-3.2),0),IF($B701="高二",MIN(IF($E701="男",$Q701-3.25,$Q701-3.22),0),IF($B701="高一",MIN(IF($E701="男",$Q701-3.3,$Q701-3.24),0))))&lt;-0.6,IF($B701="高三",MIN(IF($E701="男",$Q701-3.2,$Q701-3.2),0),IF($B701="高二",MIN(IF($E701="男",$Q701-3.25,$Q701-3.22),0),IF($B701="高一",MIN(IF($E701="男",$Q701-3.3,$Q701-3.24),0))))+0.4,IF($B701="高三",MIN(IF($E701="男",$Q701-3.2,$Q701-3.2),0),IF($B701="高二",MIN(IF($E701="男",$Q701-3.25,$Q701-3.22),0),IF($B701="高一",MIN(IF($E701="男",$Q701-3.3,$Q701-3.24),0))))),2)</f>
        <v>0</v>
      </c>
      <c r="T701" s="23">
        <f>IF(E701="男",LOOKUP($S701,[1]对照表!$AB$3:$AB$13,[1]对照表!$AC$3:$AC$13),LOOKUP($S701,[1]对照表!$AB$15:$AB$25,[1]对照表!$AC$15:$AC$25))</f>
        <v>0</v>
      </c>
      <c r="U701" s="26">
        <f>R701+T701</f>
        <v>85</v>
      </c>
      <c r="V701" s="26">
        <f>SUM(I701,K701,M701)/3*0.3+SUM(G701,R701)/2*0.4</f>
        <v>63</v>
      </c>
      <c r="W701" s="27">
        <f>O701+T701</f>
        <v>0</v>
      </c>
      <c r="X701" s="28">
        <f>V701/0.7+W701</f>
        <v>90</v>
      </c>
      <c r="Y701" s="28">
        <f>X701</f>
        <v>90</v>
      </c>
      <c r="Z701" s="38"/>
    </row>
    <row r="702" spans="1:26" ht="15.6" x14ac:dyDescent="0.25">
      <c r="A702" s="48">
        <v>40</v>
      </c>
      <c r="B702" s="17" t="s">
        <v>767</v>
      </c>
      <c r="C702" s="51" t="s">
        <v>771</v>
      </c>
      <c r="D702" s="49" t="s">
        <v>1004</v>
      </c>
      <c r="E702" s="48" t="s">
        <v>65</v>
      </c>
      <c r="F702" s="38">
        <v>8.65</v>
      </c>
      <c r="G702" s="32">
        <f>IF(B702="高三",IF($E702="男",LOOKUP(F702,[1]对照表!$G$3:$G$24,[1]对照表!$H$3:$H$24),LOOKUP(F702,[1]对照表!$G$27:$G$48,[1]对照表!$H$27:$H$48)),IF(B702="高二",IF($E702="男",LOOKUP(F702,[1]对照表!$F$3:$F$24,[1]对照表!$H$3:$H$24),LOOKUP(F702,[1]对照表!$F$27:$F$48,[1]对照表!$H$27:$H$48)),IF(B702="高一",IF($E702="男",LOOKUP(F702,[1]对照表!$E$3:$E$24,[1]对照表!$H$3:$H$24),LOOKUP(F702,[1]对照表!$E$27:$E$48,[1]对照表!$H$27:$H$48)))))</f>
        <v>78</v>
      </c>
      <c r="H702" s="38">
        <v>13</v>
      </c>
      <c r="I702" s="32">
        <f>IF(B702="高三",IF($E702="男",LOOKUP(H702,[1]对照表!$K$3:$K$24,[1]对照表!$L$3:$L$24),LOOKUP(H702,[1]对照表!$K$27:$K$48,[1]对照表!$L$27:$L$48)),IF(B702="高二",IF($E702="男",LOOKUP(H702,[1]对照表!$J$3:$J$24,[1]对照表!$L$3:$L$24),LOOKUP(H702,[1]对照表!$J$27:$J$48,[1]对照表!$L$27:$L$48)),IF(B702="高一",IF($E702="男",LOOKUP(H702,[1]对照表!$I$3:$I$24,[1]对照表!$L$3:$L$24),LOOKUP(H702,[1]对照表!$I$27:$I$48,[1]对照表!$L$27:$L$48)))))</f>
        <v>72</v>
      </c>
      <c r="J702" s="38">
        <v>175</v>
      </c>
      <c r="K702" s="32">
        <f>IF(B702="高三",IF($E702="男",LOOKUP(J702,[1]对照表!$O$3:$O$24,[1]对照表!$P$3:$P$24),LOOKUP(J702,[1]对照表!$O$27:$O$48,[1]对照表!$P$27:$P$48)),IF(B702="高二",IF($E702="男",LOOKUP(J702,[1]对照表!$N$3:$N$24,[1]对照表!$P$3:$P$24),LOOKUP(J702,[1]对照表!$N$27:$N$48,[1]对照表!$P$27:$P$48)),IF(B702="高一",IF($E702="男",LOOKUP(J702,[1]对照表!$M$3:$M$24,[1]对照表!$P$3:$P$24),LOOKUP(J702,[1]对照表!$M$27:$M$48,[1]对照表!$P$27:$P$48)))))</f>
        <v>76</v>
      </c>
      <c r="L702" s="38">
        <v>52</v>
      </c>
      <c r="M702" s="32">
        <f>IF(B702="高三",IF($E702="男",LOOKUP(L702,[1]对照表!$S$3:$S$24,[1]对照表!$T$3:$T$24),LOOKUP(L702,[1]对照表!$S$27:$S$48,[1]对照表!$T$27:$T$48)),IF(B702="高二",IF($E702="男",LOOKUP(L702,[1]对照表!$R$3:$R$24,[1]对照表!$T$3:$T$24),LOOKUP(L702,[1]对照表!$R$27:$R$48,[1]对照表!$T$27:$T$48)),IF(B702="高一",IF($E702="男",LOOKUP(L702,[1]对照表!$Q$3:$Q$24,[1]对照表!$T$3:$T$24),LOOKUP(L702,[1]对照表!$Q$27:$Q$48,[1]对照表!$T$27:$T$48)))))</f>
        <v>95</v>
      </c>
      <c r="N702" s="33">
        <f>IF(B702="高三",MAX(IF(E702="男",L702-18,L702-55),0),IF(B702="高二",MAX(IF(E702="男",L702-17,L702-54),0),IF(B702="高一",MAX(IF(E702="男",L702-16,L702-53),0))))</f>
        <v>0</v>
      </c>
      <c r="O702" s="23">
        <f>IF(E702="男",LOOKUP($N702,[1]对照表!$Z$3:$Z$13,[1]对照表!$AA$3:$AA$13),LOOKUP($N702,[1]对照表!$Z$15:$Z$25,[1]对照表!$AA$15:$AA$25))</f>
        <v>0</v>
      </c>
      <c r="P702" s="25">
        <f>M702+O702</f>
        <v>95</v>
      </c>
      <c r="Q702" s="38">
        <v>3.3</v>
      </c>
      <c r="R702" s="32">
        <f>IF(B702="高三",IF($E702="男",LOOKUP(Q702,[1]对照表!$W$3:$W$24,[1]对照表!$X$3:$X$24),LOOKUP(Q702,[1]对照表!$W$27:$W$48,[1]对照表!$X$27:$X$48)),IF(B702="高二",IF($E702="男",LOOKUP(Q702,[1]对照表!$V$3:$V$24,[1]对照表!$X$3:$X$24),LOOKUP(Q702,[1]对照表!$V$27:$V$48,[1]对照表!$X$27:$X$48)),IF(B702="高一",IF($E702="男",LOOKUP(Q702,[1]对照表!$U$3:$U$24,[1]对照表!$X$3:$X$24),LOOKUP(Q702,[1]对照表!$U$27:$U$48,[1]对照表!$X$27:$X$48)))))</f>
        <v>90</v>
      </c>
      <c r="S702" s="33">
        <f>ROUND(IF(IF($B702="高三",MIN(IF($E702="男",$Q702-3.2,$Q702-3.2),0),IF($B702="高二",MIN(IF($E702="男",$Q702-3.25,$Q702-3.22),0),IF($B702="高一",MIN(IF($E702="男",$Q702-3.3,$Q702-3.24),0))))&lt;-0.6,IF($B702="高三",MIN(IF($E702="男",$Q702-3.2,$Q702-3.2),0),IF($B702="高二",MIN(IF($E702="男",$Q702-3.25,$Q702-3.22),0),IF($B702="高一",MIN(IF($E702="男",$Q702-3.3,$Q702-3.24),0))))+0.4,IF($B702="高三",MIN(IF($E702="男",$Q702-3.2,$Q702-3.2),0),IF($B702="高二",MIN(IF($E702="男",$Q702-3.25,$Q702-3.22),0),IF($B702="高一",MIN(IF($E702="男",$Q702-3.3,$Q702-3.24),0))))),2)</f>
        <v>0</v>
      </c>
      <c r="T702" s="23">
        <f>IF(E702="男",LOOKUP($S702,[1]对照表!$AB$3:$AB$13,[1]对照表!$AC$3:$AC$13),LOOKUP($S702,[1]对照表!$AB$15:$AB$25,[1]对照表!$AC$15:$AC$25))</f>
        <v>0</v>
      </c>
      <c r="U702" s="26">
        <f>R702+T702</f>
        <v>90</v>
      </c>
      <c r="V702" s="26">
        <f>SUM(I702,K702,M702)/3*0.3+SUM(G702,R702)/2*0.4</f>
        <v>57.900000000000006</v>
      </c>
      <c r="W702" s="27">
        <f>O702+T702</f>
        <v>0</v>
      </c>
      <c r="X702" s="28">
        <f>V702/0.7+W702</f>
        <v>82.714285714285722</v>
      </c>
      <c r="Y702" s="28">
        <f>X702</f>
        <v>82.714285714285722</v>
      </c>
      <c r="Z702" s="38"/>
    </row>
    <row r="703" spans="1:26" ht="15.6" x14ac:dyDescent="0.25">
      <c r="A703" s="48">
        <v>38</v>
      </c>
      <c r="B703" s="17" t="s">
        <v>767</v>
      </c>
      <c r="C703" s="51" t="s">
        <v>771</v>
      </c>
      <c r="D703" s="49" t="s">
        <v>1029</v>
      </c>
      <c r="E703" s="48" t="s">
        <v>65</v>
      </c>
      <c r="F703" s="38">
        <v>9.3000000000000007</v>
      </c>
      <c r="G703" s="32">
        <f>IF(B703="高三",IF($E703="男",LOOKUP(F703,[1]对照表!$G$3:$G$24,[1]对照表!$H$3:$H$24),LOOKUP(F703,[1]对照表!$G$27:$G$48,[1]对照表!$H$27:$H$48)),IF(B703="高二",IF($E703="男",LOOKUP(F703,[1]对照表!$F$3:$F$24,[1]对照表!$H$3:$H$24),LOOKUP(F703,[1]对照表!$F$27:$F$48,[1]对照表!$H$27:$H$48)),IF(B703="高一",IF($E703="男",LOOKUP(F703,[1]对照表!$E$3:$E$24,[1]对照表!$H$3:$H$24),LOOKUP(F703,[1]对照表!$E$27:$E$48,[1]对照表!$H$27:$H$48)))))</f>
        <v>72</v>
      </c>
      <c r="H703" s="38">
        <v>22</v>
      </c>
      <c r="I703" s="32">
        <f>IF(B703="高三",IF($E703="男",LOOKUP(H703,[1]对照表!$K$3:$K$24,[1]对照表!$L$3:$L$24),LOOKUP(H703,[1]对照表!$K$27:$K$48,[1]对照表!$L$27:$L$48)),IF(B703="高二",IF($E703="男",LOOKUP(H703,[1]对照表!$J$3:$J$24,[1]对照表!$L$3:$L$24),LOOKUP(H703,[1]对照表!$J$27:$J$48,[1]对照表!$L$27:$L$48)),IF(B703="高一",IF($E703="男",LOOKUP(H703,[1]对照表!$I$3:$I$24,[1]对照表!$L$3:$L$24),LOOKUP(H703,[1]对照表!$I$27:$I$48,[1]对照表!$L$27:$L$48)))))</f>
        <v>90</v>
      </c>
      <c r="J703" s="38">
        <v>165</v>
      </c>
      <c r="K703" s="32">
        <f>IF(B703="高三",IF($E703="男",LOOKUP(J703,[1]对照表!$O$3:$O$24,[1]对照表!$P$3:$P$24),LOOKUP(J703,[1]对照表!$O$27:$O$48,[1]对照表!$P$27:$P$48)),IF(B703="高二",IF($E703="男",LOOKUP(J703,[1]对照表!$N$3:$N$24,[1]对照表!$P$3:$P$24),LOOKUP(J703,[1]对照表!$N$27:$N$48,[1]对照表!$P$27:$P$48)),IF(B703="高一",IF($E703="男",LOOKUP(J703,[1]对照表!$M$3:$M$24,[1]对照表!$P$3:$P$24),LOOKUP(J703,[1]对照表!$M$27:$M$48,[1]对照表!$P$27:$P$48)))))</f>
        <v>70</v>
      </c>
      <c r="L703" s="38">
        <v>54</v>
      </c>
      <c r="M703" s="32">
        <f>IF(B703="高三",IF($E703="男",LOOKUP(L703,[1]对照表!$S$3:$S$24,[1]对照表!$T$3:$T$24),LOOKUP(L703,[1]对照表!$S$27:$S$48,[1]对照表!$T$27:$T$48)),IF(B703="高二",IF($E703="男",LOOKUP(L703,[1]对照表!$R$3:$R$24,[1]对照表!$T$3:$T$24),LOOKUP(L703,[1]对照表!$R$27:$R$48,[1]对照表!$T$27:$T$48)),IF(B703="高一",IF($E703="男",LOOKUP(L703,[1]对照表!$Q$3:$Q$24,[1]对照表!$T$3:$T$24),LOOKUP(L703,[1]对照表!$Q$27:$Q$48,[1]对照表!$T$27:$T$48)))))</f>
        <v>100</v>
      </c>
      <c r="N703" s="33">
        <f>IF(B703="高三",MAX(IF(E703="男",L703-18,L703-55),0),IF(B703="高二",MAX(IF(E703="男",L703-17,L703-54),0),IF(B703="高一",MAX(IF(E703="男",L703-16,L703-53),0))))</f>
        <v>0</v>
      </c>
      <c r="O703" s="23">
        <f>IF(E703="男",LOOKUP($N703,[1]对照表!$Z$3:$Z$13,[1]对照表!$AA$3:$AA$13),LOOKUP($N703,[1]对照表!$Z$15:$Z$25,[1]对照表!$AA$15:$AA$25))</f>
        <v>0</v>
      </c>
      <c r="P703" s="25">
        <f>M703+O703</f>
        <v>100</v>
      </c>
      <c r="Q703" s="38">
        <v>3.4</v>
      </c>
      <c r="R703" s="32">
        <f>IF(B703="高三",IF($E703="男",LOOKUP(Q703,[1]对照表!$W$3:$W$24,[1]对照表!$X$3:$X$24),LOOKUP(Q703,[1]对照表!$W$27:$W$48,[1]对照表!$X$27:$X$48)),IF(B703="高二",IF($E703="男",LOOKUP(Q703,[1]对照表!$V$3:$V$24,[1]对照表!$X$3:$X$24),LOOKUP(Q703,[1]对照表!$V$27:$V$48,[1]对照表!$X$27:$X$48)),IF(B703="高一",IF($E703="男",LOOKUP(Q703,[1]对照表!$U$3:$U$24,[1]对照表!$X$3:$X$24),LOOKUP(Q703,[1]对照表!$U$27:$U$48,[1]对照表!$X$27:$X$48)))))</f>
        <v>85</v>
      </c>
      <c r="S703" s="33">
        <f>ROUND(IF(IF($B703="高三",MIN(IF($E703="男",$Q703-3.2,$Q703-3.2),0),IF($B703="高二",MIN(IF($E703="男",$Q703-3.25,$Q703-3.22),0),IF($B703="高一",MIN(IF($E703="男",$Q703-3.3,$Q703-3.24),0))))&lt;-0.6,IF($B703="高三",MIN(IF($E703="男",$Q703-3.2,$Q703-3.2),0),IF($B703="高二",MIN(IF($E703="男",$Q703-3.25,$Q703-3.22),0),IF($B703="高一",MIN(IF($E703="男",$Q703-3.3,$Q703-3.24),0))))+0.4,IF($B703="高三",MIN(IF($E703="男",$Q703-3.2,$Q703-3.2),0),IF($B703="高二",MIN(IF($E703="男",$Q703-3.25,$Q703-3.22),0),IF($B703="高一",MIN(IF($E703="男",$Q703-3.3,$Q703-3.24),0))))),2)</f>
        <v>0</v>
      </c>
      <c r="T703" s="23">
        <f>IF(E703="男",LOOKUP($S703,[1]对照表!$AB$3:$AB$13,[1]对照表!$AC$3:$AC$13),LOOKUP($S703,[1]对照表!$AB$15:$AB$25,[1]对照表!$AC$15:$AC$25))</f>
        <v>0</v>
      </c>
      <c r="U703" s="26">
        <f>R703+T703</f>
        <v>85</v>
      </c>
      <c r="V703" s="26">
        <f>SUM(I703,K703,M703)/3*0.3+SUM(G703,R703)/2*0.4</f>
        <v>57.400000000000006</v>
      </c>
      <c r="W703" s="27">
        <f>O703+T703</f>
        <v>0</v>
      </c>
      <c r="X703" s="28">
        <f>V703/0.7+W703</f>
        <v>82.000000000000014</v>
      </c>
      <c r="Y703" s="28">
        <f>X703</f>
        <v>82.000000000000014</v>
      </c>
      <c r="Z703" s="38"/>
    </row>
    <row r="704" spans="1:26" ht="15.6" customHeight="1" x14ac:dyDescent="0.15">
      <c r="A704" s="38">
        <v>21</v>
      </c>
      <c r="B704" s="17" t="s">
        <v>767</v>
      </c>
      <c r="C704" s="51" t="s">
        <v>771</v>
      </c>
      <c r="D704" s="49" t="s">
        <v>1031</v>
      </c>
      <c r="E704" s="55" t="s">
        <v>23</v>
      </c>
      <c r="F704" s="38">
        <v>7.2</v>
      </c>
      <c r="G704" s="32">
        <f>IF(B704="高三",IF($E704="男",LOOKUP(F704,[1]对照表!$G$3:$G$24,[1]对照表!$H$3:$H$24),LOOKUP(F704,[1]对照表!$G$27:$G$48,[1]对照表!$H$27:$H$48)),IF(B704="高二",IF($E704="男",LOOKUP(F704,[1]对照表!$F$3:$F$24,[1]对照表!$H$3:$H$24),LOOKUP(F704,[1]对照表!$F$27:$F$48,[1]对照表!$H$27:$H$48)),IF(B704="高一",IF($E704="男",LOOKUP(F704,[1]对照表!$E$3:$E$24,[1]对照表!$H$3:$H$24),LOOKUP(F704,[1]对照表!$E$27:$E$48,[1]对照表!$H$27:$H$48)))))</f>
        <v>90</v>
      </c>
      <c r="H704" s="38">
        <v>14</v>
      </c>
      <c r="I704" s="32">
        <f>IF(B704="高三",IF($E704="男",LOOKUP(H704,[1]对照表!$K$3:$K$24,[1]对照表!$L$3:$L$24),LOOKUP(H704,[1]对照表!$K$27:$K$48,[1]对照表!$L$27:$L$48)),IF(B704="高二",IF($E704="男",LOOKUP(H704,[1]对照表!$J$3:$J$24,[1]对照表!$L$3:$L$24),LOOKUP(H704,[1]对照表!$J$27:$J$48,[1]对照表!$L$27:$L$48)),IF(B704="高一",IF($E704="男",LOOKUP(H704,[1]对照表!$I$3:$I$24,[1]对照表!$L$3:$L$24),LOOKUP(H704,[1]对照表!$I$27:$I$48,[1]对照表!$L$27:$L$48)))))</f>
        <v>76</v>
      </c>
      <c r="J704" s="38">
        <v>235</v>
      </c>
      <c r="K704" s="32">
        <f>IF(B704="高三",IF($E704="男",LOOKUP(J704,[1]对照表!$O$3:$O$24,[1]对照表!$P$3:$P$24),LOOKUP(J704,[1]对照表!$O$27:$O$48,[1]对照表!$P$27:$P$48)),IF(B704="高二",IF($E704="男",LOOKUP(J704,[1]对照表!$N$3:$N$24,[1]对照表!$P$3:$P$24),LOOKUP(J704,[1]对照表!$N$27:$N$48,[1]对照表!$P$27:$P$48)),IF(B704="高一",IF($E704="男",LOOKUP(J704,[1]对照表!$M$3:$M$24,[1]对照表!$P$3:$P$24),LOOKUP(J704,[1]对照表!$M$27:$M$48,[1]对照表!$P$27:$P$48)))))</f>
        <v>76</v>
      </c>
      <c r="L704" s="38">
        <v>18</v>
      </c>
      <c r="M704" s="32">
        <f>IF(B704="高三",IF($E704="男",LOOKUP(L704,[1]对照表!$S$3:$S$24,[1]对照表!$T$3:$T$24),LOOKUP(L704,[1]对照表!$S$27:$S$48,[1]对照表!$T$27:$T$48)),IF(B704="高二",IF($E704="男",LOOKUP(L704,[1]对照表!$R$3:$R$24,[1]对照表!$T$3:$T$24),LOOKUP(L704,[1]对照表!$R$27:$R$48,[1]对照表!$T$27:$T$48)),IF(B704="高一",IF($E704="男",LOOKUP(L704,[1]对照表!$Q$3:$Q$24,[1]对照表!$T$3:$T$24),LOOKUP(L704,[1]对照表!$Q$27:$Q$48,[1]对照表!$T$27:$T$48)))))</f>
        <v>100</v>
      </c>
      <c r="N704" s="33">
        <f>IF(B704="高三",MAX(IF(E704="男",L704-18,L704-55),0),IF(B704="高二",MAX(IF(E704="男",L704-17,L704-54),0),IF(B704="高一",MAX(IF(E704="男",L704-16,L704-53),0))))</f>
        <v>1</v>
      </c>
      <c r="O704" s="23">
        <f>IF(E704="男",LOOKUP($N704,[1]对照表!$Z$3:$Z$13,[1]对照表!$AA$3:$AA$13),LOOKUP($N704,[1]对照表!$Z$15:$Z$25,[1]对照表!$AA$15:$AA$25))</f>
        <v>1</v>
      </c>
      <c r="P704" s="25">
        <f>M704+O704</f>
        <v>101</v>
      </c>
      <c r="Q704" s="38">
        <v>3.33</v>
      </c>
      <c r="R704" s="32">
        <f>IF(B704="高三",IF($E704="男",LOOKUP(Q704,[1]对照表!$W$3:$W$24,[1]对照表!$X$3:$X$24),LOOKUP(Q704,[1]对照表!$W$27:$W$48,[1]对照表!$X$27:$X$48)),IF(B704="高二",IF($E704="男",LOOKUP(Q704,[1]对照表!$V$3:$V$24,[1]对照表!$X$3:$X$24),LOOKUP(Q704,[1]对照表!$V$27:$V$48,[1]对照表!$X$27:$X$48)),IF(B704="高一",IF($E704="男",LOOKUP(Q704,[1]对照表!$U$3:$U$24,[1]对照表!$X$3:$X$24),LOOKUP(Q704,[1]对照表!$U$27:$U$48,[1]对照表!$X$27:$X$48)))))</f>
        <v>90</v>
      </c>
      <c r="S704" s="27">
        <f>ROUND(IF(IF($B704="高三",MIN(IF($E704="男",$Q704-3.2,$Q704-3.2),0),IF($B704="高二",MIN(IF($E704="男",$Q704-3.25,$Q704-3.22),0),IF($B704="高一",MIN(IF($E704="男",$Q704-3.3,$Q704-3.24),0))))&lt;-0.6,IF($B704="高三",MIN(IF($E704="男",$Q704-3.2,$Q704-3.2),0),IF($B704="高二",MIN(IF($E704="男",$Q704-3.25,$Q704-3.22),0),IF($B704="高一",MIN(IF($E704="男",$Q704-3.3,$Q704-3.24),0))))+0.4,IF($B704="高三",MIN(IF($E704="男",$Q704-3.2,$Q704-3.2),0),IF($B704="高二",MIN(IF($E704="男",$Q704-3.25,$Q704-3.22),0),IF($B704="高一",MIN(IF($E704="男",$Q704-3.3,$Q704-3.24),0))))),2)</f>
        <v>0</v>
      </c>
      <c r="T704" s="23">
        <f>IF(E704="男",LOOKUP($S704,[1]对照表!$AB$3:$AB$13,[1]对照表!$AC$3:$AC$13),LOOKUP($S704,[1]对照表!$AB$15:$AB$25,[1]对照表!$AC$15:$AC$25))</f>
        <v>0</v>
      </c>
      <c r="U704" s="26">
        <f>R704+T704</f>
        <v>90</v>
      </c>
      <c r="V704" s="26">
        <f>SUM(I704,K704,M704)/3*0.3+SUM(G704,R704)/2*0.4</f>
        <v>61.2</v>
      </c>
      <c r="W704" s="27">
        <f>O704+T704</f>
        <v>1</v>
      </c>
      <c r="X704" s="28">
        <f>V704/0.7+W704</f>
        <v>88.428571428571445</v>
      </c>
      <c r="Y704" s="28">
        <f>X704</f>
        <v>88.428571428571445</v>
      </c>
      <c r="Z704" s="38"/>
    </row>
    <row r="705" spans="1:26" ht="15.6" x14ac:dyDescent="0.25">
      <c r="A705" s="48">
        <v>35</v>
      </c>
      <c r="B705" s="17" t="s">
        <v>767</v>
      </c>
      <c r="C705" s="51" t="s">
        <v>771</v>
      </c>
      <c r="D705" s="49" t="s">
        <v>1064</v>
      </c>
      <c r="E705" s="48" t="s">
        <v>65</v>
      </c>
      <c r="F705" s="38">
        <v>8.93</v>
      </c>
      <c r="G705" s="32">
        <f>IF(B705="高三",IF($E705="男",LOOKUP(F705,[1]对照表!$G$3:$G$24,[1]对照表!$H$3:$H$24),LOOKUP(F705,[1]对照表!$G$27:$G$48,[1]对照表!$H$27:$H$48)),IF(B705="高二",IF($E705="男",LOOKUP(F705,[1]对照表!$F$3:$F$24,[1]对照表!$H$3:$H$24),LOOKUP(F705,[1]对照表!$F$27:$F$48,[1]对照表!$H$27:$H$48)),IF(B705="高一",IF($E705="男",LOOKUP(F705,[1]对照表!$E$3:$E$24,[1]对照表!$H$3:$H$24),LOOKUP(F705,[1]对照表!$E$27:$E$48,[1]对照表!$H$27:$H$48)))))</f>
        <v>74</v>
      </c>
      <c r="H705" s="38">
        <v>16</v>
      </c>
      <c r="I705" s="32">
        <f>IF(B705="高三",IF($E705="男",LOOKUP(H705,[1]对照表!$K$3:$K$24,[1]对照表!$L$3:$L$24),LOOKUP(H705,[1]对照表!$K$27:$K$48,[1]对照表!$L$27:$L$48)),IF(B705="高二",IF($E705="男",LOOKUP(H705,[1]对照表!$J$3:$J$24,[1]对照表!$L$3:$L$24),LOOKUP(H705,[1]对照表!$J$27:$J$48,[1]对照表!$L$27:$L$48)),IF(B705="高一",IF($E705="男",LOOKUP(H705,[1]对照表!$I$3:$I$24,[1]对照表!$L$3:$L$24),LOOKUP(H705,[1]对照表!$I$27:$I$48,[1]对照表!$L$27:$L$48)))))</f>
        <v>76</v>
      </c>
      <c r="J705" s="38">
        <v>180</v>
      </c>
      <c r="K705" s="32">
        <f>IF(B705="高三",IF($E705="男",LOOKUP(J705,[1]对照表!$O$3:$O$24,[1]对照表!$P$3:$P$24),LOOKUP(J705,[1]对照表!$O$27:$O$48,[1]对照表!$P$27:$P$48)),IF(B705="高二",IF($E705="男",LOOKUP(J705,[1]对照表!$N$3:$N$24,[1]对照表!$P$3:$P$24),LOOKUP(J705,[1]对照表!$N$27:$N$48,[1]对照表!$P$27:$P$48)),IF(B705="高一",IF($E705="男",LOOKUP(J705,[1]对照表!$M$3:$M$24,[1]对照表!$P$3:$P$24),LOOKUP(J705,[1]对照表!$M$27:$M$48,[1]对照表!$P$27:$P$48)))))</f>
        <v>80</v>
      </c>
      <c r="L705" s="38">
        <v>43</v>
      </c>
      <c r="M705" s="32">
        <f>IF(B705="高三",IF($E705="男",LOOKUP(L705,[1]对照表!$S$3:$S$24,[1]对照表!$T$3:$T$24),LOOKUP(L705,[1]对照表!$S$27:$S$48,[1]对照表!$T$27:$T$48)),IF(B705="高二",IF($E705="男",LOOKUP(L705,[1]对照表!$R$3:$R$24,[1]对照表!$T$3:$T$24),LOOKUP(L705,[1]对照表!$R$27:$R$48,[1]对照表!$T$27:$T$48)),IF(B705="高一",IF($E705="男",LOOKUP(L705,[1]对照表!$Q$3:$Q$24,[1]对照表!$T$3:$T$24),LOOKUP(L705,[1]对照表!$Q$27:$Q$48,[1]对照表!$T$27:$T$48)))))</f>
        <v>78</v>
      </c>
      <c r="N705" s="33">
        <f>IF(B705="高三",MAX(IF(E705="男",L705-18,L705-55),0),IF(B705="高二",MAX(IF(E705="男",L705-17,L705-54),0),IF(B705="高一",MAX(IF(E705="男",L705-16,L705-53),0))))</f>
        <v>0</v>
      </c>
      <c r="O705" s="23">
        <f>IF(E705="男",LOOKUP($N705,[1]对照表!$Z$3:$Z$13,[1]对照表!$AA$3:$AA$13),LOOKUP($N705,[1]对照表!$Z$15:$Z$25,[1]对照表!$AA$15:$AA$25))</f>
        <v>0</v>
      </c>
      <c r="P705" s="25">
        <f>M705+O705</f>
        <v>78</v>
      </c>
      <c r="Q705" s="38">
        <v>3.31</v>
      </c>
      <c r="R705" s="32">
        <f>IF(B705="高三",IF($E705="男",LOOKUP(Q705,[1]对照表!$W$3:$W$24,[1]对照表!$X$3:$X$24),LOOKUP(Q705,[1]对照表!$W$27:$W$48,[1]对照表!$X$27:$X$48)),IF(B705="高二",IF($E705="男",LOOKUP(Q705,[1]对照表!$V$3:$V$24,[1]对照表!$X$3:$X$24),LOOKUP(Q705,[1]对照表!$V$27:$V$48,[1]对照表!$X$27:$X$48)),IF(B705="高一",IF($E705="男",LOOKUP(Q705,[1]对照表!$U$3:$U$24,[1]对照表!$X$3:$X$24),LOOKUP(Q705,[1]对照表!$U$27:$U$48,[1]对照表!$X$27:$X$48)))))</f>
        <v>90</v>
      </c>
      <c r="S705" s="33">
        <f>ROUND(IF(IF($B705="高三",MIN(IF($E705="男",$Q705-3.2,$Q705-3.2),0),IF($B705="高二",MIN(IF($E705="男",$Q705-3.25,$Q705-3.22),0),IF($B705="高一",MIN(IF($E705="男",$Q705-3.3,$Q705-3.24),0))))&lt;-0.6,IF($B705="高三",MIN(IF($E705="男",$Q705-3.2,$Q705-3.2),0),IF($B705="高二",MIN(IF($E705="男",$Q705-3.25,$Q705-3.22),0),IF($B705="高一",MIN(IF($E705="男",$Q705-3.3,$Q705-3.24),0))))+0.4,IF($B705="高三",MIN(IF($E705="男",$Q705-3.2,$Q705-3.2),0),IF($B705="高二",MIN(IF($E705="男",$Q705-3.25,$Q705-3.22),0),IF($B705="高一",MIN(IF($E705="男",$Q705-3.3,$Q705-3.24),0))))),2)</f>
        <v>0</v>
      </c>
      <c r="T705" s="23">
        <f>IF(E705="男",LOOKUP($S705,[1]对照表!$AB$3:$AB$13,[1]对照表!$AC$3:$AC$13),LOOKUP($S705,[1]对照表!$AB$15:$AB$25,[1]对照表!$AC$15:$AC$25))</f>
        <v>0</v>
      </c>
      <c r="U705" s="26">
        <f>R705+T705</f>
        <v>90</v>
      </c>
      <c r="V705" s="26">
        <f>SUM(I705,K705,M705)/3*0.3+SUM(G705,R705)/2*0.4</f>
        <v>56.2</v>
      </c>
      <c r="W705" s="27">
        <f>O705+T705</f>
        <v>0</v>
      </c>
      <c r="X705" s="28">
        <f>V705/0.7+W705</f>
        <v>80.285714285714292</v>
      </c>
      <c r="Y705" s="28">
        <f>X705</f>
        <v>80.285714285714292</v>
      </c>
      <c r="Z705" s="38"/>
    </row>
    <row r="706" spans="1:26" ht="15.6" x14ac:dyDescent="0.25">
      <c r="A706" s="48">
        <v>27</v>
      </c>
      <c r="B706" s="17" t="s">
        <v>767</v>
      </c>
      <c r="C706" s="51" t="s">
        <v>771</v>
      </c>
      <c r="D706" s="49" t="s">
        <v>1080</v>
      </c>
      <c r="E706" s="55" t="s">
        <v>23</v>
      </c>
      <c r="F706" s="38">
        <v>7</v>
      </c>
      <c r="G706" s="32">
        <f>IF(B706="高三",IF($E706="男",LOOKUP(F706,[1]对照表!$G$3:$G$24,[1]对照表!$H$3:$H$24),LOOKUP(F706,[1]对照表!$G$27:$G$48,[1]对照表!$H$27:$H$48)),IF(B706="高二",IF($E706="男",LOOKUP(F706,[1]对照表!$F$3:$F$24,[1]对照表!$H$3:$H$24),LOOKUP(F706,[1]对照表!$F$27:$F$48,[1]对照表!$H$27:$H$48)),IF(B706="高一",IF($E706="男",LOOKUP(F706,[1]对照表!$E$3:$E$24,[1]对照表!$H$3:$H$24),LOOKUP(F706,[1]对照表!$E$27:$E$48,[1]对照表!$H$27:$H$48)))))</f>
        <v>100</v>
      </c>
      <c r="H706" s="38">
        <v>0.2</v>
      </c>
      <c r="I706" s="32">
        <f>IF(B706="高三",IF($E706="男",LOOKUP(H706,[1]对照表!$K$3:$K$24,[1]对照表!$L$3:$L$24),LOOKUP(H706,[1]对照表!$K$27:$K$48,[1]对照表!$L$27:$L$48)),IF(B706="高二",IF($E706="男",LOOKUP(H706,[1]对照表!$J$3:$J$24,[1]对照表!$L$3:$L$24),LOOKUP(H706,[1]对照表!$J$27:$J$48,[1]对照表!$L$27:$L$48)),IF(B706="高一",IF($E706="男",LOOKUP(H706,[1]对照表!$I$3:$I$24,[1]对照表!$L$3:$L$24),LOOKUP(H706,[1]对照表!$I$27:$I$48,[1]对照表!$L$27:$L$48)))))</f>
        <v>40</v>
      </c>
      <c r="J706" s="38">
        <v>275</v>
      </c>
      <c r="K706" s="32">
        <f>IF(B706="高三",IF($E706="男",LOOKUP(J706,[1]对照表!$O$3:$O$24,[1]对照表!$P$3:$P$24),LOOKUP(J706,[1]对照表!$O$27:$O$48,[1]对照表!$P$27:$P$48)),IF(B706="高二",IF($E706="男",LOOKUP(J706,[1]对照表!$N$3:$N$24,[1]对照表!$P$3:$P$24),LOOKUP(J706,[1]对照表!$N$27:$N$48,[1]对照表!$P$27:$P$48)),IF(B706="高一",IF($E706="男",LOOKUP(J706,[1]对照表!$M$3:$M$24,[1]对照表!$P$3:$P$24),LOOKUP(J706,[1]对照表!$M$27:$M$48,[1]对照表!$P$27:$P$48)))))</f>
        <v>100</v>
      </c>
      <c r="L706" s="38">
        <v>11</v>
      </c>
      <c r="M706" s="32">
        <f>IF(B706="高三",IF($E706="男",LOOKUP(L706,[1]对照表!$S$3:$S$24,[1]对照表!$T$3:$T$24),LOOKUP(L706,[1]对照表!$S$27:$S$48,[1]对照表!$T$27:$T$48)),IF(B706="高二",IF($E706="男",LOOKUP(L706,[1]对照表!$R$3:$R$24,[1]对照表!$T$3:$T$24),LOOKUP(L706,[1]对照表!$R$27:$R$48,[1]对照表!$T$27:$T$48)),IF(B706="高一",IF($E706="男",LOOKUP(L706,[1]对照表!$Q$3:$Q$24,[1]对照表!$T$3:$T$24),LOOKUP(L706,[1]对照表!$Q$27:$Q$48,[1]对照表!$T$27:$T$48)))))</f>
        <v>72</v>
      </c>
      <c r="N706" s="33">
        <f>IF(B706="高三",MAX(IF(E706="男",L706-18,L706-55),0),IF(B706="高二",MAX(IF(E706="男",L706-17,L706-54),0),IF(B706="高一",MAX(IF(E706="男",L706-16,L706-53),0))))</f>
        <v>0</v>
      </c>
      <c r="O706" s="23">
        <f>IF(E706="男",LOOKUP($N706,[1]对照表!$Z$3:$Z$13,[1]对照表!$AA$3:$AA$13),LOOKUP($N706,[1]对照表!$Z$15:$Z$25,[1]对照表!$AA$15:$AA$25))</f>
        <v>0</v>
      </c>
      <c r="P706" s="25">
        <f>M706+O706</f>
        <v>72</v>
      </c>
      <c r="Q706" s="38">
        <v>3.27</v>
      </c>
      <c r="R706" s="32">
        <f>IF(B706="高三",IF($E706="男",LOOKUP(Q706,[1]对照表!$W$3:$W$24,[1]对照表!$X$3:$X$24),LOOKUP(Q706,[1]对照表!$W$27:$W$48,[1]对照表!$X$27:$X$48)),IF(B706="高二",IF($E706="男",LOOKUP(Q706,[1]对照表!$V$3:$V$24,[1]对照表!$X$3:$X$24),LOOKUP(Q706,[1]对照表!$V$27:$V$48,[1]对照表!$X$27:$X$48)),IF(B706="高一",IF($E706="男",LOOKUP(Q706,[1]对照表!$U$3:$U$24,[1]对照表!$X$3:$X$24),LOOKUP(Q706,[1]对照表!$U$27:$U$48,[1]对照表!$X$27:$X$48)))))</f>
        <v>95</v>
      </c>
      <c r="S706" s="33">
        <f>ROUND(IF(IF($B706="高三",MIN(IF($E706="男",$Q706-3.2,$Q706-3.2),0),IF($B706="高二",MIN(IF($E706="男",$Q706-3.25,$Q706-3.22),0),IF($B706="高一",MIN(IF($E706="男",$Q706-3.3,$Q706-3.24),0))))&lt;-0.6,IF($B706="高三",MIN(IF($E706="男",$Q706-3.2,$Q706-3.2),0),IF($B706="高二",MIN(IF($E706="男",$Q706-3.25,$Q706-3.22),0),IF($B706="高一",MIN(IF($E706="男",$Q706-3.3,$Q706-3.24),0))))+0.4,IF($B706="高三",MIN(IF($E706="男",$Q706-3.2,$Q706-3.2),0),IF($B706="高二",MIN(IF($E706="男",$Q706-3.25,$Q706-3.22),0),IF($B706="高一",MIN(IF($E706="男",$Q706-3.3,$Q706-3.24),0))))),2)</f>
        <v>0</v>
      </c>
      <c r="T706" s="23">
        <f>IF(E706="男",LOOKUP($S706,[1]对照表!$AB$3:$AB$13,[1]对照表!$AC$3:$AC$13),LOOKUP($S706,[1]对照表!$AB$15:$AB$25,[1]对照表!$AC$15:$AC$25))</f>
        <v>0</v>
      </c>
      <c r="U706" s="26">
        <f>R706+T706</f>
        <v>95</v>
      </c>
      <c r="V706" s="26">
        <f>SUM(I706,K706,M706)/3*0.3+SUM(G706,R706)/2*0.4</f>
        <v>60.2</v>
      </c>
      <c r="W706" s="27">
        <f>O706+T706</f>
        <v>0</v>
      </c>
      <c r="X706" s="28">
        <f>V706/0.7+W706</f>
        <v>86.000000000000014</v>
      </c>
      <c r="Y706" s="28">
        <f>X706</f>
        <v>86.000000000000014</v>
      </c>
      <c r="Z706" s="38"/>
    </row>
    <row r="707" spans="1:26" ht="15.6" x14ac:dyDescent="0.25">
      <c r="A707" s="48">
        <v>24</v>
      </c>
      <c r="B707" s="17" t="s">
        <v>767</v>
      </c>
      <c r="C707" s="51" t="s">
        <v>771</v>
      </c>
      <c r="D707" s="49" t="s">
        <v>1081</v>
      </c>
      <c r="E707" s="55" t="s">
        <v>23</v>
      </c>
      <c r="F707" s="38">
        <v>7.5</v>
      </c>
      <c r="G707" s="32">
        <f>IF(B707="高三",IF($E707="男",LOOKUP(F707,[1]对照表!$G$3:$G$24,[1]对照表!$H$3:$H$24),LOOKUP(F707,[1]对照表!$G$27:$G$48,[1]对照表!$H$27:$H$48)),IF(B707="高二",IF($E707="男",LOOKUP(F707,[1]对照表!$F$3:$F$24,[1]对照表!$H$3:$H$24),LOOKUP(F707,[1]对照表!$F$27:$F$48,[1]对照表!$H$27:$H$48)),IF(B707="高一",IF($E707="男",LOOKUP(F707,[1]对照表!$E$3:$E$24,[1]对照表!$H$3:$H$24),LOOKUP(F707,[1]对照表!$E$27:$E$48,[1]对照表!$H$27:$H$48)))))</f>
        <v>78</v>
      </c>
      <c r="H707" s="38">
        <v>26</v>
      </c>
      <c r="I707" s="32">
        <f>IF(B707="高三",IF($E707="男",LOOKUP(H707,[1]对照表!$K$3:$K$24,[1]对照表!$L$3:$L$24),LOOKUP(H707,[1]对照表!$K$27:$K$48,[1]对照表!$L$27:$L$48)),IF(B707="高二",IF($E707="男",LOOKUP(H707,[1]对照表!$J$3:$J$24,[1]对照表!$L$3:$L$24),LOOKUP(H707,[1]对照表!$J$27:$J$48,[1]对照表!$L$27:$L$48)),IF(B707="高一",IF($E707="男",LOOKUP(H707,[1]对照表!$I$3:$I$24,[1]对照表!$L$3:$L$24),LOOKUP(H707,[1]对照表!$I$27:$I$48,[1]对照表!$L$27:$L$48)))))</f>
        <v>100</v>
      </c>
      <c r="J707" s="38">
        <v>250</v>
      </c>
      <c r="K707" s="32">
        <f>IF(B707="高三",IF($E707="男",LOOKUP(J707,[1]对照表!$O$3:$O$24,[1]对照表!$P$3:$P$24),LOOKUP(J707,[1]对照表!$O$27:$O$48,[1]对照表!$P$27:$P$48)),IF(B707="高二",IF($E707="男",LOOKUP(J707,[1]对照表!$N$3:$N$24,[1]对照表!$P$3:$P$24),LOOKUP(J707,[1]对照表!$N$27:$N$48,[1]对照表!$P$27:$P$48)),IF(B707="高一",IF($E707="男",LOOKUP(J707,[1]对照表!$M$3:$M$24,[1]对照表!$P$3:$P$24),LOOKUP(J707,[1]对照表!$M$27:$M$48,[1]对照表!$P$27:$P$48)))))</f>
        <v>85</v>
      </c>
      <c r="L707" s="38">
        <v>15</v>
      </c>
      <c r="M707" s="32">
        <f>IF(B707="高三",IF($E707="男",LOOKUP(L707,[1]对照表!$S$3:$S$24,[1]对照表!$T$3:$T$24),LOOKUP(L707,[1]对照表!$S$27:$S$48,[1]对照表!$T$27:$T$48)),IF(B707="高二",IF($E707="男",LOOKUP(L707,[1]对照表!$R$3:$R$24,[1]对照表!$T$3:$T$24),LOOKUP(L707,[1]对照表!$R$27:$R$48,[1]对照表!$T$27:$T$48)),IF(B707="高一",IF($E707="男",LOOKUP(L707,[1]对照表!$Q$3:$Q$24,[1]对照表!$T$3:$T$24),LOOKUP(L707,[1]对照表!$Q$27:$Q$48,[1]对照表!$T$27:$T$48)))))</f>
        <v>90</v>
      </c>
      <c r="N707" s="33">
        <f>IF(B707="高三",MAX(IF(E707="男",L707-18,L707-55),0),IF(B707="高二",MAX(IF(E707="男",L707-17,L707-54),0),IF(B707="高一",MAX(IF(E707="男",L707-16,L707-53),0))))</f>
        <v>0</v>
      </c>
      <c r="O707" s="23">
        <f>IF(E707="男",LOOKUP($N707,[1]对照表!$Z$3:$Z$13,[1]对照表!$AA$3:$AA$13),LOOKUP($N707,[1]对照表!$Z$15:$Z$25,[1]对照表!$AA$15:$AA$25))</f>
        <v>0</v>
      </c>
      <c r="P707" s="25">
        <f>M707+O707</f>
        <v>90</v>
      </c>
      <c r="Q707" s="38">
        <v>3.38</v>
      </c>
      <c r="R707" s="32">
        <f>IF(B707="高三",IF($E707="男",LOOKUP(Q707,[1]对照表!$W$3:$W$24,[1]对照表!$X$3:$X$24),LOOKUP(Q707,[1]对照表!$W$27:$W$48,[1]对照表!$X$27:$X$48)),IF(B707="高二",IF($E707="男",LOOKUP(Q707,[1]对照表!$V$3:$V$24,[1]对照表!$X$3:$X$24),LOOKUP(Q707,[1]对照表!$V$27:$V$48,[1]对照表!$X$27:$X$48)),IF(B707="高一",IF($E707="男",LOOKUP(Q707,[1]对照表!$U$3:$U$24,[1]对照表!$X$3:$X$24),LOOKUP(Q707,[1]对照表!$U$27:$U$48,[1]对照表!$X$27:$X$48)))))</f>
        <v>85</v>
      </c>
      <c r="S707" s="33">
        <f>ROUND(IF(IF($B707="高三",MIN(IF($E707="男",$Q707-3.2,$Q707-3.2),0),IF($B707="高二",MIN(IF($E707="男",$Q707-3.25,$Q707-3.22),0),IF($B707="高一",MIN(IF($E707="男",$Q707-3.3,$Q707-3.24),0))))&lt;-0.6,IF($B707="高三",MIN(IF($E707="男",$Q707-3.2,$Q707-3.2),0),IF($B707="高二",MIN(IF($E707="男",$Q707-3.25,$Q707-3.22),0),IF($B707="高一",MIN(IF($E707="男",$Q707-3.3,$Q707-3.24),0))))+0.4,IF($B707="高三",MIN(IF($E707="男",$Q707-3.2,$Q707-3.2),0),IF($B707="高二",MIN(IF($E707="男",$Q707-3.25,$Q707-3.22),0),IF($B707="高一",MIN(IF($E707="男",$Q707-3.3,$Q707-3.24),0))))),2)</f>
        <v>0</v>
      </c>
      <c r="T707" s="23">
        <f>IF(E707="男",LOOKUP($S707,[1]对照表!$AB$3:$AB$13,[1]对照表!$AC$3:$AC$13),LOOKUP($S707,[1]对照表!$AB$15:$AB$25,[1]对照表!$AC$15:$AC$25))</f>
        <v>0</v>
      </c>
      <c r="U707" s="26">
        <f>R707+T707</f>
        <v>85</v>
      </c>
      <c r="V707" s="26">
        <f>SUM(I707,K707,M707)/3*0.3+SUM(G707,R707)/2*0.4</f>
        <v>60.1</v>
      </c>
      <c r="W707" s="27">
        <f>O707+T707</f>
        <v>0</v>
      </c>
      <c r="X707" s="28">
        <f>V707/0.7+W707</f>
        <v>85.857142857142861</v>
      </c>
      <c r="Y707" s="28">
        <f>X707</f>
        <v>85.857142857142861</v>
      </c>
      <c r="Z707" s="38"/>
    </row>
    <row r="708" spans="1:26" ht="15.6" x14ac:dyDescent="0.25">
      <c r="A708" s="48">
        <v>23</v>
      </c>
      <c r="B708" s="17" t="s">
        <v>767</v>
      </c>
      <c r="C708" s="51" t="s">
        <v>771</v>
      </c>
      <c r="D708" s="49" t="s">
        <v>1084</v>
      </c>
      <c r="E708" s="55" t="s">
        <v>23</v>
      </c>
      <c r="F708" s="38">
        <v>7.5</v>
      </c>
      <c r="G708" s="32">
        <f>IF(B708="高三",IF($E708="男",LOOKUP(F708,[1]对照表!$G$3:$G$24,[1]对照表!$H$3:$H$24),LOOKUP(F708,[1]对照表!$G$27:$G$48,[1]对照表!$H$27:$H$48)),IF(B708="高二",IF($E708="男",LOOKUP(F708,[1]对照表!$F$3:$F$24,[1]对照表!$H$3:$H$24),LOOKUP(F708,[1]对照表!$F$27:$F$48,[1]对照表!$H$27:$H$48)),IF(B708="高一",IF($E708="男",LOOKUP(F708,[1]对照表!$E$3:$E$24,[1]对照表!$H$3:$H$24),LOOKUP(F708,[1]对照表!$E$27:$E$48,[1]对照表!$H$27:$H$48)))))</f>
        <v>78</v>
      </c>
      <c r="H708" s="38">
        <v>19.899999999999999</v>
      </c>
      <c r="I708" s="32">
        <f>IF(B708="高三",IF($E708="男",LOOKUP(H708,[1]对照表!$K$3:$K$24,[1]对照表!$L$3:$L$24),LOOKUP(H708,[1]对照表!$K$27:$K$48,[1]对照表!$L$27:$L$48)),IF(B708="高二",IF($E708="男",LOOKUP(H708,[1]对照表!$J$3:$J$24,[1]对照表!$L$3:$L$24),LOOKUP(H708,[1]对照表!$J$27:$J$48,[1]对照表!$L$27:$L$48)),IF(B708="高一",IF($E708="男",LOOKUP(H708,[1]对照表!$I$3:$I$24,[1]对照表!$L$3:$L$24),LOOKUP(H708,[1]对照表!$I$27:$I$48,[1]对照表!$L$27:$L$48)))))</f>
        <v>85</v>
      </c>
      <c r="J708" s="38">
        <v>265</v>
      </c>
      <c r="K708" s="32">
        <f>IF(B708="高三",IF($E708="男",LOOKUP(J708,[1]对照表!$O$3:$O$24,[1]对照表!$P$3:$P$24),LOOKUP(J708,[1]对照表!$O$27:$O$48,[1]对照表!$P$27:$P$48)),IF(B708="高二",IF($E708="男",LOOKUP(J708,[1]对照表!$N$3:$N$24,[1]对照表!$P$3:$P$24),LOOKUP(J708,[1]对照表!$N$27:$N$48,[1]对照表!$P$27:$P$48)),IF(B708="高一",IF($E708="男",LOOKUP(J708,[1]对照表!$M$3:$M$24,[1]对照表!$P$3:$P$24),LOOKUP(J708,[1]对照表!$M$27:$M$48,[1]对照表!$P$27:$P$48)))))</f>
        <v>100</v>
      </c>
      <c r="L708" s="38">
        <v>15</v>
      </c>
      <c r="M708" s="32">
        <f>IF(B708="高三",IF($E708="男",LOOKUP(L708,[1]对照表!$S$3:$S$24,[1]对照表!$T$3:$T$24),LOOKUP(L708,[1]对照表!$S$27:$S$48,[1]对照表!$T$27:$T$48)),IF(B708="高二",IF($E708="男",LOOKUP(L708,[1]对照表!$R$3:$R$24,[1]对照表!$T$3:$T$24),LOOKUP(L708,[1]对照表!$R$27:$R$48,[1]对照表!$T$27:$T$48)),IF(B708="高一",IF($E708="男",LOOKUP(L708,[1]对照表!$Q$3:$Q$24,[1]对照表!$T$3:$T$24),LOOKUP(L708,[1]对照表!$Q$27:$Q$48,[1]对照表!$T$27:$T$48)))))</f>
        <v>90</v>
      </c>
      <c r="N708" s="33">
        <f>IF(B708="高三",MAX(IF(E708="男",L708-18,L708-55),0),IF(B708="高二",MAX(IF(E708="男",L708-17,L708-54),0),IF(B708="高一",MAX(IF(E708="男",L708-16,L708-53),0))))</f>
        <v>0</v>
      </c>
      <c r="O708" s="23">
        <f>IF(E708="男",LOOKUP($N708,[1]对照表!$Z$3:$Z$13,[1]对照表!$AA$3:$AA$13),LOOKUP($N708,[1]对照表!$Z$15:$Z$25,[1]对照表!$AA$15:$AA$25))</f>
        <v>0</v>
      </c>
      <c r="P708" s="25">
        <f>M708+O708</f>
        <v>90</v>
      </c>
      <c r="Q708" s="38">
        <v>3.41</v>
      </c>
      <c r="R708" s="32">
        <f>IF(B708="高三",IF($E708="男",LOOKUP(Q708,[1]对照表!$W$3:$W$24,[1]对照表!$X$3:$X$24),LOOKUP(Q708,[1]对照表!$W$27:$W$48,[1]对照表!$X$27:$X$48)),IF(B708="高二",IF($E708="男",LOOKUP(Q708,[1]对照表!$V$3:$V$24,[1]对照表!$X$3:$X$24),LOOKUP(Q708,[1]对照表!$V$27:$V$48,[1]对照表!$X$27:$X$48)),IF(B708="高一",IF($E708="男",LOOKUP(Q708,[1]对照表!$U$3:$U$24,[1]对照表!$X$3:$X$24),LOOKUP(Q708,[1]对照表!$U$27:$U$48,[1]对照表!$X$27:$X$48)))))</f>
        <v>85</v>
      </c>
      <c r="S708" s="33">
        <f>ROUND(IF(IF($B708="高三",MIN(IF($E708="男",$Q708-3.2,$Q708-3.2),0),IF($B708="高二",MIN(IF($E708="男",$Q708-3.25,$Q708-3.22),0),IF($B708="高一",MIN(IF($E708="男",$Q708-3.3,$Q708-3.24),0))))&lt;-0.6,IF($B708="高三",MIN(IF($E708="男",$Q708-3.2,$Q708-3.2),0),IF($B708="高二",MIN(IF($E708="男",$Q708-3.25,$Q708-3.22),0),IF($B708="高一",MIN(IF($E708="男",$Q708-3.3,$Q708-3.24),0))))+0.4,IF($B708="高三",MIN(IF($E708="男",$Q708-3.2,$Q708-3.2),0),IF($B708="高二",MIN(IF($E708="男",$Q708-3.25,$Q708-3.22),0),IF($B708="高一",MIN(IF($E708="男",$Q708-3.3,$Q708-3.24),0))))),2)</f>
        <v>0</v>
      </c>
      <c r="T708" s="23">
        <f>IF(E708="男",LOOKUP($S708,[1]对照表!$AB$3:$AB$13,[1]对照表!$AC$3:$AC$13),LOOKUP($S708,[1]对照表!$AB$15:$AB$25,[1]对照表!$AC$15:$AC$25))</f>
        <v>0</v>
      </c>
      <c r="U708" s="26">
        <f>R708+T708</f>
        <v>85</v>
      </c>
      <c r="V708" s="26">
        <f>SUM(I708,K708,M708)/3*0.3+SUM(G708,R708)/2*0.4</f>
        <v>60.1</v>
      </c>
      <c r="W708" s="27">
        <f>O708+T708</f>
        <v>0</v>
      </c>
      <c r="X708" s="28">
        <f>V708/0.7+W708</f>
        <v>85.857142857142861</v>
      </c>
      <c r="Y708" s="28">
        <f>X708</f>
        <v>85.857142857142861</v>
      </c>
      <c r="Z708" s="38"/>
    </row>
    <row r="709" spans="1:26" ht="15.6" x14ac:dyDescent="0.25">
      <c r="A709" s="48">
        <v>28</v>
      </c>
      <c r="B709" s="17" t="s">
        <v>767</v>
      </c>
      <c r="C709" s="51" t="s">
        <v>771</v>
      </c>
      <c r="D709" s="49" t="s">
        <v>1140</v>
      </c>
      <c r="E709" s="55" t="s">
        <v>23</v>
      </c>
      <c r="F709" s="38">
        <v>7.5</v>
      </c>
      <c r="G709" s="32">
        <f>IF(B709="高三",IF($E709="男",LOOKUP(F709,[1]对照表!$G$3:$G$24,[1]对照表!$H$3:$H$24),LOOKUP(F709,[1]对照表!$G$27:$G$48,[1]对照表!$H$27:$H$48)),IF(B709="高二",IF($E709="男",LOOKUP(F709,[1]对照表!$F$3:$F$24,[1]对照表!$H$3:$H$24),LOOKUP(F709,[1]对照表!$F$27:$F$48,[1]对照表!$H$27:$H$48)),IF(B709="高一",IF($E709="男",LOOKUP(F709,[1]对照表!$E$3:$E$24,[1]对照表!$H$3:$H$24),LOOKUP(F709,[1]对照表!$E$27:$E$48,[1]对照表!$H$27:$H$48)))))</f>
        <v>78</v>
      </c>
      <c r="H709" s="38">
        <v>24.5</v>
      </c>
      <c r="I709" s="32">
        <f>IF(B709="高三",IF($E709="男",LOOKUP(H709,[1]对照表!$K$3:$K$24,[1]对照表!$L$3:$L$24),LOOKUP(H709,[1]对照表!$K$27:$K$48,[1]对照表!$L$27:$L$48)),IF(B709="高二",IF($E709="男",LOOKUP(H709,[1]对照表!$J$3:$J$24,[1]对照表!$L$3:$L$24),LOOKUP(H709,[1]对照表!$J$27:$J$48,[1]对照表!$L$27:$L$48)),IF(B709="高一",IF($E709="男",LOOKUP(H709,[1]对照表!$I$3:$I$24,[1]对照表!$L$3:$L$24),LOOKUP(H709,[1]对照表!$I$27:$I$48,[1]对照表!$L$27:$L$48)))))</f>
        <v>100</v>
      </c>
      <c r="J709" s="38">
        <v>255</v>
      </c>
      <c r="K709" s="32">
        <f>IF(B709="高三",IF($E709="男",LOOKUP(J709,[1]对照表!$O$3:$O$24,[1]对照表!$P$3:$P$24),LOOKUP(J709,[1]对照表!$O$27:$O$48,[1]对照表!$P$27:$P$48)),IF(B709="高二",IF($E709="男",LOOKUP(J709,[1]对照表!$N$3:$N$24,[1]对照表!$P$3:$P$24),LOOKUP(J709,[1]对照表!$N$27:$N$48,[1]对照表!$P$27:$P$48)),IF(B709="高一",IF($E709="男",LOOKUP(J709,[1]对照表!$M$3:$M$24,[1]对照表!$P$3:$P$24),LOOKUP(J709,[1]对照表!$M$27:$M$48,[1]对照表!$P$27:$P$48)))))</f>
        <v>90</v>
      </c>
      <c r="L709" s="38">
        <v>11</v>
      </c>
      <c r="M709" s="32">
        <f>IF(B709="高三",IF($E709="男",LOOKUP(L709,[1]对照表!$S$3:$S$24,[1]对照表!$T$3:$T$24),LOOKUP(L709,[1]对照表!$S$27:$S$48,[1]对照表!$T$27:$T$48)),IF(B709="高二",IF($E709="男",LOOKUP(L709,[1]对照表!$R$3:$R$24,[1]对照表!$T$3:$T$24),LOOKUP(L709,[1]对照表!$R$27:$R$48,[1]对照表!$T$27:$T$48)),IF(B709="高一",IF($E709="男",LOOKUP(L709,[1]对照表!$Q$3:$Q$24,[1]对照表!$T$3:$T$24),LOOKUP(L709,[1]对照表!$Q$27:$Q$48,[1]对照表!$T$27:$T$48)))))</f>
        <v>72</v>
      </c>
      <c r="N709" s="33">
        <f>IF(B709="高三",MAX(IF(E709="男",L709-18,L709-55),0),IF(B709="高二",MAX(IF(E709="男",L709-17,L709-54),0),IF(B709="高一",MAX(IF(E709="男",L709-16,L709-53),0))))</f>
        <v>0</v>
      </c>
      <c r="O709" s="23">
        <f>IF(E709="男",LOOKUP($N709,[1]对照表!$Z$3:$Z$13,[1]对照表!$AA$3:$AA$13),LOOKUP($N709,[1]对照表!$Z$15:$Z$25,[1]对照表!$AA$15:$AA$25))</f>
        <v>0</v>
      </c>
      <c r="P709" s="25">
        <f>M709+O709</f>
        <v>72</v>
      </c>
      <c r="Q709" s="38">
        <v>3.37</v>
      </c>
      <c r="R709" s="32">
        <f>IF(B709="高三",IF($E709="男",LOOKUP(Q709,[1]对照表!$W$3:$W$24,[1]对照表!$X$3:$X$24),LOOKUP(Q709,[1]对照表!$W$27:$W$48,[1]对照表!$X$27:$X$48)),IF(B709="高二",IF($E709="男",LOOKUP(Q709,[1]对照表!$V$3:$V$24,[1]对照表!$X$3:$X$24),LOOKUP(Q709,[1]对照表!$V$27:$V$48,[1]对照表!$X$27:$X$48)),IF(B709="高一",IF($E709="男",LOOKUP(Q709,[1]对照表!$U$3:$U$24,[1]对照表!$X$3:$X$24),LOOKUP(Q709,[1]对照表!$U$27:$U$48,[1]对照表!$X$27:$X$48)))))</f>
        <v>85</v>
      </c>
      <c r="S709" s="33">
        <f>ROUND(IF(IF($B709="高三",MIN(IF($E709="男",$Q709-3.2,$Q709-3.2),0),IF($B709="高二",MIN(IF($E709="男",$Q709-3.25,$Q709-3.22),0),IF($B709="高一",MIN(IF($E709="男",$Q709-3.3,$Q709-3.24),0))))&lt;-0.6,IF($B709="高三",MIN(IF($E709="男",$Q709-3.2,$Q709-3.2),0),IF($B709="高二",MIN(IF($E709="男",$Q709-3.25,$Q709-3.22),0),IF($B709="高一",MIN(IF($E709="男",$Q709-3.3,$Q709-3.24),0))))+0.4,IF($B709="高三",MIN(IF($E709="男",$Q709-3.2,$Q709-3.2),0),IF($B709="高二",MIN(IF($E709="男",$Q709-3.25,$Q709-3.22),0),IF($B709="高一",MIN(IF($E709="男",$Q709-3.3,$Q709-3.24),0))))),2)</f>
        <v>0</v>
      </c>
      <c r="T709" s="23">
        <f>IF(E709="男",LOOKUP($S709,[1]对照表!$AB$3:$AB$13,[1]对照表!$AC$3:$AC$13),LOOKUP($S709,[1]对照表!$AB$15:$AB$25,[1]对照表!$AC$15:$AC$25))</f>
        <v>0</v>
      </c>
      <c r="U709" s="26">
        <f>R709+T709</f>
        <v>85</v>
      </c>
      <c r="V709" s="26">
        <f>SUM(I709,K709,M709)/3*0.3+SUM(G709,R709)/2*0.4</f>
        <v>58.8</v>
      </c>
      <c r="W709" s="27">
        <f>O709+T709</f>
        <v>0</v>
      </c>
      <c r="X709" s="28">
        <f>V709/0.7+W709</f>
        <v>84</v>
      </c>
      <c r="Y709" s="28">
        <f>X709</f>
        <v>84</v>
      </c>
      <c r="Z709" s="38"/>
    </row>
    <row r="710" spans="1:26" ht="15.6" customHeight="1" x14ac:dyDescent="0.15">
      <c r="A710" s="52">
        <v>9</v>
      </c>
      <c r="B710" s="17" t="s">
        <v>767</v>
      </c>
      <c r="C710" s="51" t="s">
        <v>771</v>
      </c>
      <c r="D710" s="49" t="s">
        <v>1167</v>
      </c>
      <c r="E710" s="55" t="s">
        <v>23</v>
      </c>
      <c r="F710" s="38">
        <v>7</v>
      </c>
      <c r="G710" s="32">
        <f>IF(B710="高三",IF($E710="男",LOOKUP(F710,[1]对照表!$G$3:$G$24,[1]对照表!$H$3:$H$24),LOOKUP(F710,[1]对照表!$G$27:$G$48,[1]对照表!$H$27:$H$48)),IF(B710="高二",IF($E710="男",LOOKUP(F710,[1]对照表!$F$3:$F$24,[1]对照表!$H$3:$H$24),LOOKUP(F710,[1]对照表!$F$27:$F$48,[1]对照表!$H$27:$H$48)),IF(B710="高一",IF($E710="男",LOOKUP(F710,[1]对照表!$E$3:$E$24,[1]对照表!$H$3:$H$24),LOOKUP(F710,[1]对照表!$E$27:$E$48,[1]对照表!$H$27:$H$48)))))</f>
        <v>100</v>
      </c>
      <c r="H710" s="38">
        <v>18</v>
      </c>
      <c r="I710" s="32">
        <f>IF(B710="高三",IF($E710="男",LOOKUP(H710,[1]对照表!$K$3:$K$24,[1]对照表!$L$3:$L$24),LOOKUP(H710,[1]对照表!$K$27:$K$48,[1]对照表!$L$27:$L$48)),IF(B710="高二",IF($E710="男",LOOKUP(H710,[1]对照表!$J$3:$J$24,[1]对照表!$L$3:$L$24),LOOKUP(H710,[1]对照表!$J$27:$J$48,[1]对照表!$L$27:$L$48)),IF(B710="高一",IF($E710="男",LOOKUP(H710,[1]对照表!$I$3:$I$24,[1]对照表!$L$3:$L$24),LOOKUP(H710,[1]对照表!$I$27:$I$48,[1]对照表!$L$27:$L$48)))))</f>
        <v>80</v>
      </c>
      <c r="J710" s="38">
        <v>265</v>
      </c>
      <c r="K710" s="32">
        <f>IF(B710="高三",IF($E710="男",LOOKUP(J710,[1]对照表!$O$3:$O$24,[1]对照表!$P$3:$P$24),LOOKUP(J710,[1]对照表!$O$27:$O$48,[1]对照表!$P$27:$P$48)),IF(B710="高二",IF($E710="男",LOOKUP(J710,[1]对照表!$N$3:$N$24,[1]对照表!$P$3:$P$24),LOOKUP(J710,[1]对照表!$N$27:$N$48,[1]对照表!$P$27:$P$48)),IF(B710="高一",IF($E710="男",LOOKUP(J710,[1]对照表!$M$3:$M$24,[1]对照表!$P$3:$P$24),LOOKUP(J710,[1]对照表!$M$27:$M$48,[1]对照表!$P$27:$P$48)))))</f>
        <v>100</v>
      </c>
      <c r="L710" s="38">
        <v>4</v>
      </c>
      <c r="M710" s="32">
        <f>IF(B710="高三",IF($E710="男",LOOKUP(L710,[1]对照表!$S$3:$S$24,[1]对照表!$T$3:$T$24),LOOKUP(L710,[1]对照表!$S$27:$S$48,[1]对照表!$T$27:$T$48)),IF(B710="高二",IF($E710="男",LOOKUP(L710,[1]对照表!$R$3:$R$24,[1]对照表!$T$3:$T$24),LOOKUP(L710,[1]对照表!$R$27:$R$48,[1]对照表!$T$27:$T$48)),IF(B710="高一",IF($E710="男",LOOKUP(L710,[1]对照表!$Q$3:$Q$24,[1]对照表!$T$3:$T$24),LOOKUP(L710,[1]对照表!$Q$27:$Q$48,[1]对照表!$T$27:$T$48)))))</f>
        <v>20</v>
      </c>
      <c r="N710" s="33">
        <f>IF(B710="高三",MAX(IF(E710="男",L710-18,L710-55),0),IF(B710="高二",MAX(IF(E710="男",L710-17,L710-54),0),IF(B710="高一",MAX(IF(E710="男",L710-16,L710-53),0))))</f>
        <v>0</v>
      </c>
      <c r="O710" s="23">
        <f>IF(E710="男",LOOKUP($N710,[1]对照表!$Z$3:$Z$13,[1]对照表!$AA$3:$AA$13),LOOKUP($N710,[1]对照表!$Z$15:$Z$25,[1]对照表!$AA$15:$AA$25))</f>
        <v>0</v>
      </c>
      <c r="P710" s="25">
        <f>M710+O710</f>
        <v>20</v>
      </c>
      <c r="Q710" s="38">
        <v>3.35</v>
      </c>
      <c r="R710" s="32">
        <f>IF(B710="高三",IF($E710="男",LOOKUP(Q710,[1]对照表!$W$3:$W$24,[1]对照表!$X$3:$X$24),LOOKUP(Q710,[1]对照表!$W$27:$W$48,[1]对照表!$X$27:$X$48)),IF(B710="高二",IF($E710="男",LOOKUP(Q710,[1]对照表!$V$3:$V$24,[1]对照表!$X$3:$X$24),LOOKUP(Q710,[1]对照表!$V$27:$V$48,[1]对照表!$X$27:$X$48)),IF(B710="高一",IF($E710="男",LOOKUP(Q710,[1]对照表!$U$3:$U$24,[1]对照表!$X$3:$X$24),LOOKUP(Q710,[1]对照表!$U$27:$U$48,[1]对照表!$X$27:$X$48)))))</f>
        <v>90</v>
      </c>
      <c r="S710" s="33">
        <f>ROUND(IF(IF($B710="高三",MIN(IF($E710="男",$Q710-3.2,$Q710-3.2),0),IF($B710="高二",MIN(IF($E710="男",$Q710-3.25,$Q710-3.22),0),IF($B710="高一",MIN(IF($E710="男",$Q710-3.3,$Q710-3.24),0))))&lt;-0.6,IF($B710="高三",MIN(IF($E710="男",$Q710-3.2,$Q710-3.2),0),IF($B710="高二",MIN(IF($E710="男",$Q710-3.25,$Q710-3.22),0),IF($B710="高一",MIN(IF($E710="男",$Q710-3.3,$Q710-3.24),0))))+0.4,IF($B710="高三",MIN(IF($E710="男",$Q710-3.2,$Q710-3.2),0),IF($B710="高二",MIN(IF($E710="男",$Q710-3.25,$Q710-3.22),0),IF($B710="高一",MIN(IF($E710="男",$Q710-3.3,$Q710-3.24),0))))),2)</f>
        <v>0</v>
      </c>
      <c r="T710" s="23">
        <f>IF(E710="男",LOOKUP($S710,[1]对照表!$AB$3:$AB$13,[1]对照表!$AC$3:$AC$13),LOOKUP($S710,[1]对照表!$AB$15:$AB$25,[1]对照表!$AC$15:$AC$25))</f>
        <v>0</v>
      </c>
      <c r="U710" s="26">
        <f>R710+T710</f>
        <v>90</v>
      </c>
      <c r="V710" s="26">
        <f>SUM(I710,K710,M710)/3*0.3+SUM(G710,R710)/2*0.4</f>
        <v>58</v>
      </c>
      <c r="W710" s="27">
        <f>O710+T710</f>
        <v>0</v>
      </c>
      <c r="X710" s="28">
        <f>V710/0.7+W710</f>
        <v>82.857142857142861</v>
      </c>
      <c r="Y710" s="28">
        <f>X710</f>
        <v>82.857142857142861</v>
      </c>
      <c r="Z710" s="38"/>
    </row>
    <row r="711" spans="1:26" ht="15.6" customHeight="1" x14ac:dyDescent="0.15">
      <c r="A711" s="52">
        <v>8</v>
      </c>
      <c r="B711" s="17" t="s">
        <v>767</v>
      </c>
      <c r="C711" s="51" t="s">
        <v>771</v>
      </c>
      <c r="D711" s="49" t="s">
        <v>1183</v>
      </c>
      <c r="E711" s="55" t="s">
        <v>23</v>
      </c>
      <c r="F711" s="38">
        <v>7.1</v>
      </c>
      <c r="G711" s="32">
        <f>IF(B711="高三",IF($E711="男",LOOKUP(F711,[1]对照表!$G$3:$G$24,[1]对照表!$H$3:$H$24),LOOKUP(F711,[1]对照表!$G$27:$G$48,[1]对照表!$H$27:$H$48)),IF(B711="高二",IF($E711="男",LOOKUP(F711,[1]对照表!$F$3:$F$24,[1]对照表!$H$3:$H$24),LOOKUP(F711,[1]对照表!$F$27:$F$48,[1]对照表!$H$27:$H$48)),IF(B711="高一",IF($E711="男",LOOKUP(F711,[1]对照表!$E$3:$E$24,[1]对照表!$H$3:$H$24),LOOKUP(F711,[1]对照表!$E$27:$E$48,[1]对照表!$H$27:$H$48)))))</f>
        <v>95</v>
      </c>
      <c r="H711" s="38">
        <v>18</v>
      </c>
      <c r="I711" s="32">
        <f>IF(B711="高三",IF($E711="男",LOOKUP(H711,[1]对照表!$K$3:$K$24,[1]对照表!$L$3:$L$24),LOOKUP(H711,[1]对照表!$K$27:$K$48,[1]对照表!$L$27:$L$48)),IF(B711="高二",IF($E711="男",LOOKUP(H711,[1]对照表!$J$3:$J$24,[1]对照表!$L$3:$L$24),LOOKUP(H711,[1]对照表!$J$27:$J$48,[1]对照表!$L$27:$L$48)),IF(B711="高一",IF($E711="男",LOOKUP(H711,[1]对照表!$I$3:$I$24,[1]对照表!$L$3:$L$24),LOOKUP(H711,[1]对照表!$I$27:$I$48,[1]对照表!$L$27:$L$48)))))</f>
        <v>80</v>
      </c>
      <c r="J711" s="38">
        <v>263</v>
      </c>
      <c r="K711" s="32">
        <f>IF(B711="高三",IF($E711="男",LOOKUP(J711,[1]对照表!$O$3:$O$24,[1]对照表!$P$3:$P$24),LOOKUP(J711,[1]对照表!$O$27:$O$48,[1]对照表!$P$27:$P$48)),IF(B711="高二",IF($E711="男",LOOKUP(J711,[1]对照表!$N$3:$N$24,[1]对照表!$P$3:$P$24),LOOKUP(J711,[1]对照表!$N$27:$N$48,[1]对照表!$P$27:$P$48)),IF(B711="高一",IF($E711="男",LOOKUP(J711,[1]对照表!$M$3:$M$24,[1]对照表!$P$3:$P$24),LOOKUP(J711,[1]对照表!$M$27:$M$48,[1]对照表!$P$27:$P$48)))))</f>
        <v>95</v>
      </c>
      <c r="L711" s="38">
        <v>5</v>
      </c>
      <c r="M711" s="32">
        <f>IF(B711="高三",IF($E711="男",LOOKUP(L711,[1]对照表!$S$3:$S$24,[1]对照表!$T$3:$T$24),LOOKUP(L711,[1]对照表!$S$27:$S$48,[1]对照表!$T$27:$T$48)),IF(B711="高二",IF($E711="男",LOOKUP(L711,[1]对照表!$R$3:$R$24,[1]对照表!$T$3:$T$24),LOOKUP(L711,[1]对照表!$R$27:$R$48,[1]对照表!$T$27:$T$48)),IF(B711="高一",IF($E711="男",LOOKUP(L711,[1]对照表!$Q$3:$Q$24,[1]对照表!$T$3:$T$24),LOOKUP(L711,[1]对照表!$Q$27:$Q$48,[1]对照表!$T$27:$T$48)))))</f>
        <v>30</v>
      </c>
      <c r="N711" s="33">
        <f>IF(B711="高三",MAX(IF(E711="男",L711-18,L711-55),0),IF(B711="高二",MAX(IF(E711="男",L711-17,L711-54),0),IF(B711="高一",MAX(IF(E711="男",L711-16,L711-53),0))))</f>
        <v>0</v>
      </c>
      <c r="O711" s="23">
        <f>IF(E711="男",LOOKUP($N711,[1]对照表!$Z$3:$Z$13,[1]对照表!$AA$3:$AA$13),LOOKUP($N711,[1]对照表!$Z$15:$Z$25,[1]对照表!$AA$15:$AA$25))</f>
        <v>0</v>
      </c>
      <c r="P711" s="25">
        <f>M711+O711</f>
        <v>30</v>
      </c>
      <c r="Q711" s="38">
        <v>3.32</v>
      </c>
      <c r="R711" s="32">
        <f>IF(B711="高三",IF($E711="男",LOOKUP(Q711,[1]对照表!$W$3:$W$24,[1]对照表!$X$3:$X$24),LOOKUP(Q711,[1]对照表!$W$27:$W$48,[1]对照表!$X$27:$X$48)),IF(B711="高二",IF($E711="男",LOOKUP(Q711,[1]对照表!$V$3:$V$24,[1]对照表!$X$3:$X$24),LOOKUP(Q711,[1]对照表!$V$27:$V$48,[1]对照表!$X$27:$X$48)),IF(B711="高一",IF($E711="男",LOOKUP(Q711,[1]对照表!$U$3:$U$24,[1]对照表!$X$3:$X$24),LOOKUP(Q711,[1]对照表!$U$27:$U$48,[1]对照表!$X$27:$X$48)))))</f>
        <v>90</v>
      </c>
      <c r="S711" s="33">
        <f>ROUND(IF(IF($B711="高三",MIN(IF($E711="男",$Q711-3.2,$Q711-3.2),0),IF($B711="高二",MIN(IF($E711="男",$Q711-3.25,$Q711-3.22),0),IF($B711="高一",MIN(IF($E711="男",$Q711-3.3,$Q711-3.24),0))))&lt;-0.6,IF($B711="高三",MIN(IF($E711="男",$Q711-3.2,$Q711-3.2),0),IF($B711="高二",MIN(IF($E711="男",$Q711-3.25,$Q711-3.22),0),IF($B711="高一",MIN(IF($E711="男",$Q711-3.3,$Q711-3.24),0))))+0.4,IF($B711="高三",MIN(IF($E711="男",$Q711-3.2,$Q711-3.2),0),IF($B711="高二",MIN(IF($E711="男",$Q711-3.25,$Q711-3.22),0),IF($B711="高一",MIN(IF($E711="男",$Q711-3.3,$Q711-3.24),0))))),2)</f>
        <v>0</v>
      </c>
      <c r="T711" s="23">
        <f>IF(E711="男",LOOKUP($S711,[1]对照表!$AB$3:$AB$13,[1]对照表!$AC$3:$AC$13),LOOKUP($S711,[1]对照表!$AB$15:$AB$25,[1]对照表!$AC$15:$AC$25))</f>
        <v>0</v>
      </c>
      <c r="U711" s="26">
        <f>R711+T711</f>
        <v>90</v>
      </c>
      <c r="V711" s="26">
        <f>SUM(I711,K711,M711)/3*0.3+SUM(G711,R711)/2*0.4</f>
        <v>57.5</v>
      </c>
      <c r="W711" s="27">
        <f>O711+T711</f>
        <v>0</v>
      </c>
      <c r="X711" s="28">
        <f>V711/0.7+W711</f>
        <v>82.142857142857153</v>
      </c>
      <c r="Y711" s="28">
        <f>X711</f>
        <v>82.142857142857153</v>
      </c>
      <c r="Z711" s="38"/>
    </row>
    <row r="712" spans="1:26" ht="15.6" x14ac:dyDescent="0.15">
      <c r="A712" s="38">
        <v>11</v>
      </c>
      <c r="B712" s="17" t="s">
        <v>767</v>
      </c>
      <c r="C712" s="51" t="s">
        <v>771</v>
      </c>
      <c r="D712" s="49" t="s">
        <v>1192</v>
      </c>
      <c r="E712" s="55" t="s">
        <v>23</v>
      </c>
      <c r="F712" s="38">
        <v>7.1</v>
      </c>
      <c r="G712" s="32">
        <f>IF(B712="高三",IF($E712="男",LOOKUP(F712,[1]对照表!$G$3:$G$24,[1]对照表!$H$3:$H$24),LOOKUP(F712,[1]对照表!$G$27:$G$48,[1]对照表!$H$27:$H$48)),IF(B712="高二",IF($E712="男",LOOKUP(F712,[1]对照表!$F$3:$F$24,[1]对照表!$H$3:$H$24),LOOKUP(F712,[1]对照表!$F$27:$F$48,[1]对照表!$H$27:$H$48)),IF(B712="高一",IF($E712="男",LOOKUP(F712,[1]对照表!$E$3:$E$24,[1]对照表!$H$3:$H$24),LOOKUP(F712,[1]对照表!$E$27:$E$48,[1]对照表!$H$27:$H$48)))))</f>
        <v>95</v>
      </c>
      <c r="H712" s="38">
        <v>18.5</v>
      </c>
      <c r="I712" s="32">
        <f>IF(B712="高三",IF($E712="男",LOOKUP(H712,[1]对照表!$K$3:$K$24,[1]对照表!$L$3:$L$24),LOOKUP(H712,[1]对照表!$K$27:$K$48,[1]对照表!$L$27:$L$48)),IF(B712="高二",IF($E712="男",LOOKUP(H712,[1]对照表!$J$3:$J$24,[1]对照表!$L$3:$L$24),LOOKUP(H712,[1]对照表!$J$27:$J$48,[1]对照表!$L$27:$L$48)),IF(B712="高一",IF($E712="男",LOOKUP(H712,[1]对照表!$I$3:$I$24,[1]对照表!$L$3:$L$24),LOOKUP(H712,[1]对照表!$I$27:$I$48,[1]对照表!$L$27:$L$48)))))</f>
        <v>85</v>
      </c>
      <c r="J712" s="38">
        <v>232</v>
      </c>
      <c r="K712" s="32">
        <f>IF(B712="高三",IF($E712="男",LOOKUP(J712,[1]对照表!$O$3:$O$24,[1]对照表!$P$3:$P$24),LOOKUP(J712,[1]对照表!$O$27:$O$48,[1]对照表!$P$27:$P$48)),IF(B712="高二",IF($E712="男",LOOKUP(J712,[1]对照表!$N$3:$N$24,[1]对照表!$P$3:$P$24),LOOKUP(J712,[1]对照表!$N$27:$N$48,[1]对照表!$P$27:$P$48)),IF(B712="高一",IF($E712="男",LOOKUP(J712,[1]对照表!$M$3:$M$24,[1]对照表!$P$3:$P$24),LOOKUP(J712,[1]对照表!$M$27:$M$48,[1]对照表!$P$27:$P$48)))))</f>
        <v>76</v>
      </c>
      <c r="L712" s="38">
        <v>8</v>
      </c>
      <c r="M712" s="32">
        <f>IF(B712="高三",IF($E712="男",LOOKUP(L712,[1]对照表!$S$3:$S$24,[1]对照表!$T$3:$T$24),LOOKUP(L712,[1]对照表!$S$27:$S$48,[1]对照表!$T$27:$T$48)),IF(B712="高二",IF($E712="男",LOOKUP(L712,[1]对照表!$R$3:$R$24,[1]对照表!$T$3:$T$24),LOOKUP(L712,[1]对照表!$R$27:$R$48,[1]对照表!$T$27:$T$48)),IF(B712="高一",IF($E712="男",LOOKUP(L712,[1]对照表!$Q$3:$Q$24,[1]对照表!$T$3:$T$24),LOOKUP(L712,[1]对照表!$Q$27:$Q$48,[1]对照表!$T$27:$T$48)))))</f>
        <v>60</v>
      </c>
      <c r="N712" s="33">
        <f>IF(B712="高三",MAX(IF(E712="男",L712-18,L712-55),0),IF(B712="高二",MAX(IF(E712="男",L712-17,L712-54),0),IF(B712="高一",MAX(IF(E712="男",L712-16,L712-53),0))))</f>
        <v>0</v>
      </c>
      <c r="O712" s="23">
        <f>IF(E712="男",LOOKUP($N712,[1]对照表!$Z$3:$Z$13,[1]对照表!$AA$3:$AA$13),LOOKUP($N712,[1]对照表!$Z$15:$Z$25,[1]对照表!$AA$15:$AA$25))</f>
        <v>0</v>
      </c>
      <c r="P712" s="25">
        <f>M712+O712</f>
        <v>60</v>
      </c>
      <c r="Q712" s="38">
        <v>3.47</v>
      </c>
      <c r="R712" s="32">
        <f>IF(B712="高三",IF($E712="男",LOOKUP(Q712,[1]对照表!$W$3:$W$24,[1]对照表!$X$3:$X$24),LOOKUP(Q712,[1]对照表!$W$27:$W$48,[1]对照表!$X$27:$X$48)),IF(B712="高二",IF($E712="男",LOOKUP(Q712,[1]对照表!$V$3:$V$24,[1]对照表!$X$3:$X$24),LOOKUP(Q712,[1]对照表!$V$27:$V$48,[1]对照表!$X$27:$X$48)),IF(B712="高一",IF($E712="男",LOOKUP(Q712,[1]对照表!$U$3:$U$24,[1]对照表!$X$3:$X$24),LOOKUP(Q712,[1]对照表!$U$27:$U$48,[1]对照表!$X$27:$X$48)))))</f>
        <v>80</v>
      </c>
      <c r="S712" s="33">
        <f>ROUND(IF(IF($B712="高三",MIN(IF($E712="男",$Q712-3.2,$Q712-3.2),0),IF($B712="高二",MIN(IF($E712="男",$Q712-3.25,$Q712-3.22),0),IF($B712="高一",MIN(IF($E712="男",$Q712-3.3,$Q712-3.24),0))))&lt;-0.6,IF($B712="高三",MIN(IF($E712="男",$Q712-3.2,$Q712-3.2),0),IF($B712="高二",MIN(IF($E712="男",$Q712-3.25,$Q712-3.22),0),IF($B712="高一",MIN(IF($E712="男",$Q712-3.3,$Q712-3.24),0))))+0.4,IF($B712="高三",MIN(IF($E712="男",$Q712-3.2,$Q712-3.2),0),IF($B712="高二",MIN(IF($E712="男",$Q712-3.25,$Q712-3.22),0),IF($B712="高一",MIN(IF($E712="男",$Q712-3.3,$Q712-3.24),0))))),2)</f>
        <v>0</v>
      </c>
      <c r="T712" s="23">
        <f>IF(E712="男",LOOKUP($S712,[1]对照表!$AB$3:$AB$13,[1]对照表!$AC$3:$AC$13),LOOKUP($S712,[1]对照表!$AB$15:$AB$25,[1]对照表!$AC$15:$AC$25))</f>
        <v>0</v>
      </c>
      <c r="U712" s="26">
        <f>R712+T712</f>
        <v>80</v>
      </c>
      <c r="V712" s="26">
        <f>SUM(I712,K712,M712)/3*0.3+SUM(G712,R712)/2*0.4</f>
        <v>57.1</v>
      </c>
      <c r="W712" s="27">
        <f>O712+T712</f>
        <v>0</v>
      </c>
      <c r="X712" s="28">
        <f>V712/0.7+W712</f>
        <v>81.571428571428584</v>
      </c>
      <c r="Y712" s="28">
        <f>X712</f>
        <v>81.571428571428584</v>
      </c>
      <c r="Z712" s="38"/>
    </row>
    <row r="713" spans="1:26" ht="15.6" x14ac:dyDescent="0.25">
      <c r="A713" s="48">
        <v>32</v>
      </c>
      <c r="B713" s="17" t="s">
        <v>767</v>
      </c>
      <c r="C713" s="51" t="s">
        <v>771</v>
      </c>
      <c r="D713" s="49" t="s">
        <v>1203</v>
      </c>
      <c r="E713" s="55" t="s">
        <v>23</v>
      </c>
      <c r="F713" s="38">
        <v>8.1</v>
      </c>
      <c r="G713" s="32">
        <f>IF(B713="高三",IF($E713="男",LOOKUP(F713,[1]对照表!$G$3:$G$24,[1]对照表!$H$3:$H$24),LOOKUP(F713,[1]对照表!$G$27:$G$48,[1]对照表!$H$27:$H$48)),IF(B713="高二",IF($E713="男",LOOKUP(F713,[1]对照表!$F$3:$F$24,[1]对照表!$H$3:$H$24),LOOKUP(F713,[1]对照表!$F$27:$F$48,[1]对照表!$H$27:$H$48)),IF(B713="高一",IF($E713="男",LOOKUP(F713,[1]对照表!$E$3:$E$24,[1]对照表!$H$3:$H$24),LOOKUP(F713,[1]对照表!$E$27:$E$48,[1]对照表!$H$27:$H$48)))))</f>
        <v>72</v>
      </c>
      <c r="H713" s="38">
        <v>18.5</v>
      </c>
      <c r="I713" s="32">
        <f>IF(B713="高三",IF($E713="男",LOOKUP(H713,[1]对照表!$K$3:$K$24,[1]对照表!$L$3:$L$24),LOOKUP(H713,[1]对照表!$K$27:$K$48,[1]对照表!$L$27:$L$48)),IF(B713="高二",IF($E713="男",LOOKUP(H713,[1]对照表!$J$3:$J$24,[1]对照表!$L$3:$L$24),LOOKUP(H713,[1]对照表!$J$27:$J$48,[1]对照表!$L$27:$L$48)),IF(B713="高一",IF($E713="男",LOOKUP(H713,[1]对照表!$I$3:$I$24,[1]对照表!$L$3:$L$24),LOOKUP(H713,[1]对照表!$I$27:$I$48,[1]对照表!$L$27:$L$48)))))</f>
        <v>85</v>
      </c>
      <c r="J713" s="38">
        <v>225</v>
      </c>
      <c r="K713" s="32">
        <f>IF(B713="高三",IF($E713="男",LOOKUP(J713,[1]对照表!$O$3:$O$24,[1]对照表!$P$3:$P$24),LOOKUP(J713,[1]对照表!$O$27:$O$48,[1]对照表!$P$27:$P$48)),IF(B713="高二",IF($E713="男",LOOKUP(J713,[1]对照表!$N$3:$N$24,[1]对照表!$P$3:$P$24),LOOKUP(J713,[1]对照表!$N$27:$N$48,[1]对照表!$P$27:$P$48)),IF(B713="高一",IF($E713="男",LOOKUP(J713,[1]对照表!$M$3:$M$24,[1]对照表!$P$3:$P$24),LOOKUP(J713,[1]对照表!$M$27:$M$48,[1]对照表!$P$27:$P$48)))))</f>
        <v>72</v>
      </c>
      <c r="L713" s="38">
        <v>16</v>
      </c>
      <c r="M713" s="32">
        <f>IF(B713="高三",IF($E713="男",LOOKUP(L713,[1]对照表!$S$3:$S$24,[1]对照表!$T$3:$T$24),LOOKUP(L713,[1]对照表!$S$27:$S$48,[1]对照表!$T$27:$T$48)),IF(B713="高二",IF($E713="男",LOOKUP(L713,[1]对照表!$R$3:$R$24,[1]对照表!$T$3:$T$24),LOOKUP(L713,[1]对照表!$R$27:$R$48,[1]对照表!$T$27:$T$48)),IF(B713="高一",IF($E713="男",LOOKUP(L713,[1]对照表!$Q$3:$Q$24,[1]对照表!$T$3:$T$24),LOOKUP(L713,[1]对照表!$Q$27:$Q$48,[1]对照表!$T$27:$T$48)))))</f>
        <v>95</v>
      </c>
      <c r="N713" s="33">
        <f>IF(B713="高三",MAX(IF(E713="男",L713-18,L713-55),0),IF(B713="高二",MAX(IF(E713="男",L713-17,L713-54),0),IF(B713="高一",MAX(IF(E713="男",L713-16,L713-53),0))))</f>
        <v>0</v>
      </c>
      <c r="O713" s="23">
        <f>IF(E713="男",LOOKUP($N713,[1]对照表!$Z$3:$Z$13,[1]对照表!$AA$3:$AA$13),LOOKUP($N713,[1]对照表!$Z$15:$Z$25,[1]对照表!$AA$15:$AA$25))</f>
        <v>0</v>
      </c>
      <c r="P713" s="25">
        <f>M713+O713</f>
        <v>95</v>
      </c>
      <c r="Q713" s="38">
        <v>3.38</v>
      </c>
      <c r="R713" s="32">
        <f>IF(B713="高三",IF($E713="男",LOOKUP(Q713,[1]对照表!$W$3:$W$24,[1]对照表!$X$3:$X$24),LOOKUP(Q713,[1]对照表!$W$27:$W$48,[1]对照表!$X$27:$X$48)),IF(B713="高二",IF($E713="男",LOOKUP(Q713,[1]对照表!$V$3:$V$24,[1]对照表!$X$3:$X$24),LOOKUP(Q713,[1]对照表!$V$27:$V$48,[1]对照表!$X$27:$X$48)),IF(B713="高一",IF($E713="男",LOOKUP(Q713,[1]对照表!$U$3:$U$24,[1]对照表!$X$3:$X$24),LOOKUP(Q713,[1]对照表!$U$27:$U$48,[1]对照表!$X$27:$X$48)))))</f>
        <v>85</v>
      </c>
      <c r="S713" s="33">
        <f>ROUND(IF(IF($B713="高三",MIN(IF($E713="男",$Q713-3.2,$Q713-3.2),0),IF($B713="高二",MIN(IF($E713="男",$Q713-3.25,$Q713-3.22),0),IF($B713="高一",MIN(IF($E713="男",$Q713-3.3,$Q713-3.24),0))))&lt;-0.6,IF($B713="高三",MIN(IF($E713="男",$Q713-3.2,$Q713-3.2),0),IF($B713="高二",MIN(IF($E713="男",$Q713-3.25,$Q713-3.22),0),IF($B713="高一",MIN(IF($E713="男",$Q713-3.3,$Q713-3.24),0))))+0.4,IF($B713="高三",MIN(IF($E713="男",$Q713-3.2,$Q713-3.2),0),IF($B713="高二",MIN(IF($E713="男",$Q713-3.25,$Q713-3.22),0),IF($B713="高一",MIN(IF($E713="男",$Q713-3.3,$Q713-3.24),0))))),2)</f>
        <v>0</v>
      </c>
      <c r="T713" s="23">
        <f>IF(E713="男",LOOKUP($S713,[1]对照表!$AB$3:$AB$13,[1]对照表!$AC$3:$AC$13),LOOKUP($S713,[1]对照表!$AB$15:$AB$25,[1]对照表!$AC$15:$AC$25))</f>
        <v>0</v>
      </c>
      <c r="U713" s="26">
        <f>R713+T713</f>
        <v>85</v>
      </c>
      <c r="V713" s="26">
        <f>SUM(I713,K713,M713)/3*0.3+SUM(G713,R713)/2*0.4</f>
        <v>56.6</v>
      </c>
      <c r="W713" s="27">
        <f>O713+T713</f>
        <v>0</v>
      </c>
      <c r="X713" s="28">
        <f>V713/0.7+W713</f>
        <v>80.857142857142861</v>
      </c>
      <c r="Y713" s="28">
        <f>X713</f>
        <v>80.857142857142861</v>
      </c>
      <c r="Z713" s="38"/>
    </row>
    <row r="714" spans="1:26" ht="15.6" x14ac:dyDescent="0.25">
      <c r="A714" s="52">
        <v>46</v>
      </c>
      <c r="B714" s="17" t="s">
        <v>767</v>
      </c>
      <c r="C714" s="51" t="s">
        <v>771</v>
      </c>
      <c r="D714" s="49" t="s">
        <v>1205</v>
      </c>
      <c r="E714" s="48" t="s">
        <v>65</v>
      </c>
      <c r="F714" s="38">
        <v>9.1999999999999993</v>
      </c>
      <c r="G714" s="32">
        <f>IF(B714="高三",IF($E714="男",LOOKUP(F714,[1]对照表!$G$3:$G$24,[1]对照表!$H$3:$H$24),LOOKUP(F714,[1]对照表!$G$27:$G$48,[1]对照表!$H$27:$H$48)),IF(B714="高二",IF($E714="男",LOOKUP(F714,[1]对照表!$F$3:$F$24,[1]对照表!$H$3:$H$24),LOOKUP(F714,[1]对照表!$F$27:$F$48,[1]对照表!$H$27:$H$48)),IF(B714="高一",IF($E714="男",LOOKUP(F714,[1]对照表!$E$3:$E$24,[1]对照表!$H$3:$H$24),LOOKUP(F714,[1]对照表!$E$27:$E$48,[1]对照表!$H$27:$H$48)))))</f>
        <v>72</v>
      </c>
      <c r="H714" s="38">
        <v>12</v>
      </c>
      <c r="I714" s="32">
        <f>IF(B714="高三",IF($E714="男",LOOKUP(H714,[1]对照表!$K$3:$K$24,[1]对照表!$L$3:$L$24),LOOKUP(H714,[1]对照表!$K$27:$K$48,[1]对照表!$L$27:$L$48)),IF(B714="高二",IF($E714="男",LOOKUP(H714,[1]对照表!$J$3:$J$24,[1]对照表!$L$3:$L$24),LOOKUP(H714,[1]对照表!$J$27:$J$48,[1]对照表!$L$27:$L$48)),IF(B714="高一",IF($E714="男",LOOKUP(H714,[1]对照表!$I$3:$I$24,[1]对照表!$L$3:$L$24),LOOKUP(H714,[1]对照表!$I$27:$I$48,[1]对照表!$L$27:$L$48)))))</f>
        <v>70</v>
      </c>
      <c r="J714" s="38">
        <v>145</v>
      </c>
      <c r="K714" s="32">
        <f>IF(B714="高三",IF($E714="男",LOOKUP(J714,[1]对照表!$O$3:$O$24,[1]对照表!$P$3:$P$24),LOOKUP(J714,[1]对照表!$O$27:$O$48,[1]对照表!$P$27:$P$48)),IF(B714="高二",IF($E714="男",LOOKUP(J714,[1]对照表!$N$3:$N$24,[1]对照表!$P$3:$P$24),LOOKUP(J714,[1]对照表!$N$27:$N$48,[1]对照表!$P$27:$P$48)),IF(B714="高一",IF($E714="男",LOOKUP(J714,[1]对照表!$M$3:$M$24,[1]对照表!$P$3:$P$24),LOOKUP(J714,[1]对照表!$M$27:$M$48,[1]对照表!$P$27:$P$48)))))</f>
        <v>50</v>
      </c>
      <c r="L714" s="38">
        <v>52</v>
      </c>
      <c r="M714" s="32">
        <f>IF(B714="高三",IF($E714="男",LOOKUP(L714,[1]对照表!$S$3:$S$24,[1]对照表!$T$3:$T$24),LOOKUP(L714,[1]对照表!$S$27:$S$48,[1]对照表!$T$27:$T$48)),IF(B714="高二",IF($E714="男",LOOKUP(L714,[1]对照表!$R$3:$R$24,[1]对照表!$T$3:$T$24),LOOKUP(L714,[1]对照表!$R$27:$R$48,[1]对照表!$T$27:$T$48)),IF(B714="高一",IF($E714="男",LOOKUP(L714,[1]对照表!$Q$3:$Q$24,[1]对照表!$T$3:$T$24),LOOKUP(L714,[1]对照表!$Q$27:$Q$48,[1]对照表!$T$27:$T$48)))))</f>
        <v>95</v>
      </c>
      <c r="N714" s="33">
        <f>IF(B714="高三",MAX(IF(E714="男",L714-18,L714-55),0),IF(B714="高二",MAX(IF(E714="男",L714-17,L714-54),0),IF(B714="高一",MAX(IF(E714="男",L714-16,L714-53),0))))</f>
        <v>0</v>
      </c>
      <c r="O714" s="23">
        <f>IF(E714="男",LOOKUP($N714,[1]对照表!$Z$3:$Z$13,[1]对照表!$AA$3:$AA$13),LOOKUP($N714,[1]对照表!$Z$15:$Z$25,[1]对照表!$AA$15:$AA$25))</f>
        <v>0</v>
      </c>
      <c r="P714" s="25">
        <f>M714+O714</f>
        <v>95</v>
      </c>
      <c r="Q714" s="38">
        <v>3.5</v>
      </c>
      <c r="R714" s="32">
        <f>IF(B714="高三",IF($E714="男",LOOKUP(Q714,[1]对照表!$W$3:$W$24,[1]对照表!$X$3:$X$24),LOOKUP(Q714,[1]对照表!$W$27:$W$48,[1]对照表!$X$27:$X$48)),IF(B714="高二",IF($E714="男",LOOKUP(Q714,[1]对照表!$V$3:$V$24,[1]对照表!$X$3:$X$24),LOOKUP(Q714,[1]对照表!$V$27:$V$48,[1]对照表!$X$27:$X$48)),IF(B714="高一",IF($E714="男",LOOKUP(Q714,[1]对照表!$U$3:$U$24,[1]对照表!$X$3:$X$24),LOOKUP(Q714,[1]对照表!$U$27:$U$48,[1]对照表!$X$27:$X$48)))))</f>
        <v>78</v>
      </c>
      <c r="S714" s="33">
        <f>ROUND(IF(IF($B714="高三",MIN(IF($E714="男",$Q714-3.2,$Q714-3.2),0),IF($B714="高二",MIN(IF($E714="男",$Q714-3.25,$Q714-3.22),0),IF($B714="高一",MIN(IF($E714="男",$Q714-3.3,$Q714-3.24),0))))&lt;-0.6,IF($B714="高三",MIN(IF($E714="男",$Q714-3.2,$Q714-3.2),0),IF($B714="高二",MIN(IF($E714="男",$Q714-3.25,$Q714-3.22),0),IF($B714="高一",MIN(IF($E714="男",$Q714-3.3,$Q714-3.24),0))))+0.4,IF($B714="高三",MIN(IF($E714="男",$Q714-3.2,$Q714-3.2),0),IF($B714="高二",MIN(IF($E714="男",$Q714-3.25,$Q714-3.22),0),IF($B714="高一",MIN(IF($E714="男",$Q714-3.3,$Q714-3.24),0))))),2)</f>
        <v>0</v>
      </c>
      <c r="T714" s="23">
        <f>IF(E714="男",LOOKUP($S714,[1]对照表!$AB$3:$AB$13,[1]对照表!$AC$3:$AC$13),LOOKUP($S714,[1]对照表!$AB$15:$AB$25,[1]对照表!$AC$15:$AC$25))</f>
        <v>0</v>
      </c>
      <c r="U714" s="26">
        <f>R714+T714</f>
        <v>78</v>
      </c>
      <c r="V714" s="26">
        <f>SUM(I714,K714,M714)/3*0.3+SUM(G714,R714)/2*0.4</f>
        <v>51.5</v>
      </c>
      <c r="W714" s="27">
        <f>O714+T714</f>
        <v>0</v>
      </c>
      <c r="X714" s="28">
        <f>V714/0.7+W714</f>
        <v>73.571428571428569</v>
      </c>
      <c r="Y714" s="28">
        <f>X714</f>
        <v>73.571428571428569</v>
      </c>
      <c r="Z714" s="38"/>
    </row>
    <row r="715" spans="1:26" ht="15.6" customHeight="1" x14ac:dyDescent="0.25">
      <c r="A715" s="48">
        <v>37</v>
      </c>
      <c r="B715" s="17" t="s">
        <v>767</v>
      </c>
      <c r="C715" s="51" t="s">
        <v>771</v>
      </c>
      <c r="D715" s="49" t="s">
        <v>1208</v>
      </c>
      <c r="E715" s="48" t="s">
        <v>65</v>
      </c>
      <c r="F715" s="38">
        <v>9.74</v>
      </c>
      <c r="G715" s="32">
        <f>IF(B715="高三",IF($E715="男",LOOKUP(F715,[1]对照表!$G$3:$G$24,[1]对照表!$H$3:$H$24),LOOKUP(F715,[1]对照表!$G$27:$G$48,[1]对照表!$H$27:$H$48)),IF(B715="高二",IF($E715="男",LOOKUP(F715,[1]对照表!$F$3:$F$24,[1]对照表!$H$3:$H$24),LOOKUP(F715,[1]对照表!$F$27:$F$48,[1]对照表!$H$27:$H$48)),IF(B715="高一",IF($E715="男",LOOKUP(F715,[1]对照表!$E$3:$E$24,[1]对照表!$H$3:$H$24),LOOKUP(F715,[1]对照表!$E$27:$E$48,[1]对照表!$H$27:$H$48)))))</f>
        <v>66</v>
      </c>
      <c r="H715" s="38">
        <v>17.5</v>
      </c>
      <c r="I715" s="32">
        <f>IF(B715="高三",IF($E715="男",LOOKUP(H715,[1]对照表!$K$3:$K$24,[1]对照表!$L$3:$L$24),LOOKUP(H715,[1]对照表!$K$27:$K$48,[1]对照表!$L$27:$L$48)),IF(B715="高二",IF($E715="男",LOOKUP(H715,[1]对照表!$J$3:$J$24,[1]对照表!$L$3:$L$24),LOOKUP(H715,[1]对照表!$J$27:$J$48,[1]对照表!$L$27:$L$48)),IF(B715="高一",IF($E715="男",LOOKUP(H715,[1]对照表!$I$3:$I$24,[1]对照表!$L$3:$L$24),LOOKUP(H715,[1]对照表!$I$27:$I$48,[1]对照表!$L$27:$L$48)))))</f>
        <v>78</v>
      </c>
      <c r="J715" s="38">
        <v>170</v>
      </c>
      <c r="K715" s="32">
        <f>IF(B715="高三",IF($E715="男",LOOKUP(J715,[1]对照表!$O$3:$O$24,[1]对照表!$P$3:$P$24),LOOKUP(J715,[1]对照表!$O$27:$O$48,[1]对照表!$P$27:$P$48)),IF(B715="高二",IF($E715="男",LOOKUP(J715,[1]对照表!$N$3:$N$24,[1]对照表!$P$3:$P$24),LOOKUP(J715,[1]对照表!$N$27:$N$48,[1]对照表!$P$27:$P$48)),IF(B715="高一",IF($E715="男",LOOKUP(J715,[1]对照表!$M$3:$M$24,[1]对照表!$P$3:$P$24),LOOKUP(J715,[1]对照表!$M$27:$M$48,[1]对照表!$P$27:$P$48)))))</f>
        <v>74</v>
      </c>
      <c r="L715" s="38">
        <v>50</v>
      </c>
      <c r="M715" s="32">
        <f>IF(B715="高三",IF($E715="男",LOOKUP(L715,[1]对照表!$S$3:$S$24,[1]对照表!$T$3:$T$24),LOOKUP(L715,[1]对照表!$S$27:$S$48,[1]对照表!$T$27:$T$48)),IF(B715="高二",IF($E715="男",LOOKUP(L715,[1]对照表!$R$3:$R$24,[1]对照表!$T$3:$T$24),LOOKUP(L715,[1]对照表!$R$27:$R$48,[1]对照表!$T$27:$T$48)),IF(B715="高一",IF($E715="男",LOOKUP(L715,[1]对照表!$Q$3:$Q$24,[1]对照表!$T$3:$T$24),LOOKUP(L715,[1]对照表!$Q$27:$Q$48,[1]对照表!$T$27:$T$48)))))</f>
        <v>90</v>
      </c>
      <c r="N715" s="33">
        <f>IF(B715="高三",MAX(IF(E715="男",L715-18,L715-55),0),IF(B715="高二",MAX(IF(E715="男",L715-17,L715-54),0),IF(B715="高一",MAX(IF(E715="男",L715-16,L715-53),0))))</f>
        <v>0</v>
      </c>
      <c r="O715" s="23">
        <f>IF(E715="男",LOOKUP($N715,[1]对照表!$Z$3:$Z$13,[1]对照表!$AA$3:$AA$13),LOOKUP($N715,[1]对照表!$Z$15:$Z$25,[1]对照表!$AA$15:$AA$25))</f>
        <v>0</v>
      </c>
      <c r="P715" s="25">
        <f>M715+O715</f>
        <v>90</v>
      </c>
      <c r="Q715" s="38">
        <v>4.1100000000000003</v>
      </c>
      <c r="R715" s="32">
        <f>IF(B715="高三",IF($E715="男",LOOKUP(Q715,[1]对照表!$W$3:$W$24,[1]对照表!$X$3:$X$24),LOOKUP(Q715,[1]对照表!$W$27:$W$48,[1]对照表!$X$27:$X$48)),IF(B715="高二",IF($E715="男",LOOKUP(Q715,[1]对照表!$V$3:$V$24,[1]对照表!$X$3:$X$24),LOOKUP(Q715,[1]对照表!$V$27:$V$48,[1]对照表!$X$27:$X$48)),IF(B715="高一",IF($E715="男",LOOKUP(Q715,[1]对照表!$U$3:$U$24,[1]对照表!$X$3:$X$24),LOOKUP(Q715,[1]对照表!$U$27:$U$48,[1]对照表!$X$27:$X$48)))))</f>
        <v>70</v>
      </c>
      <c r="S715" s="33">
        <f>ROUND(IF(IF($B715="高三",MIN(IF($E715="男",$Q715-3.2,$Q715-3.2),0),IF($B715="高二",MIN(IF($E715="男",$Q715-3.25,$Q715-3.22),0),IF($B715="高一",MIN(IF($E715="男",$Q715-3.3,$Q715-3.24),0))))&lt;-0.6,IF($B715="高三",MIN(IF($E715="男",$Q715-3.2,$Q715-3.2),0),IF($B715="高二",MIN(IF($E715="男",$Q715-3.25,$Q715-3.22),0),IF($B715="高一",MIN(IF($E715="男",$Q715-3.3,$Q715-3.24),0))))+0.4,IF($B715="高三",MIN(IF($E715="男",$Q715-3.2,$Q715-3.2),0),IF($B715="高二",MIN(IF($E715="男",$Q715-3.25,$Q715-3.22),0),IF($B715="高一",MIN(IF($E715="男",$Q715-3.3,$Q715-3.24),0))))),2)</f>
        <v>0</v>
      </c>
      <c r="T715" s="23">
        <f>IF(E715="男",LOOKUP($S715,[1]对照表!$AB$3:$AB$13,[1]对照表!$AC$3:$AC$13),LOOKUP($S715,[1]对照表!$AB$15:$AB$25,[1]对照表!$AC$15:$AC$25))</f>
        <v>0</v>
      </c>
      <c r="U715" s="26">
        <f>R715+T715</f>
        <v>70</v>
      </c>
      <c r="V715" s="26">
        <f>SUM(I715,K715,M715)/3*0.3+SUM(G715,R715)/2*0.4</f>
        <v>51.400000000000006</v>
      </c>
      <c r="W715" s="27">
        <f>O715+T715</f>
        <v>0</v>
      </c>
      <c r="X715" s="28">
        <f>V715/0.7+W715</f>
        <v>73.428571428571445</v>
      </c>
      <c r="Y715" s="28">
        <f>X715</f>
        <v>73.428571428571445</v>
      </c>
      <c r="Z715" s="38"/>
    </row>
    <row r="716" spans="1:26" ht="15.6" customHeight="1" x14ac:dyDescent="0.15">
      <c r="A716" s="38">
        <v>19</v>
      </c>
      <c r="B716" s="17" t="s">
        <v>767</v>
      </c>
      <c r="C716" s="51" t="s">
        <v>771</v>
      </c>
      <c r="D716" s="49" t="s">
        <v>1212</v>
      </c>
      <c r="E716" s="55" t="s">
        <v>23</v>
      </c>
      <c r="F716" s="38">
        <v>7.8</v>
      </c>
      <c r="G716" s="32">
        <f>IF(B716="高三",IF($E716="男",LOOKUP(F716,[1]对照表!$G$3:$G$24,[1]对照表!$H$3:$H$24),LOOKUP(F716,[1]对照表!$G$27:$G$48,[1]对照表!$H$27:$H$48)),IF(B716="高二",IF($E716="男",LOOKUP(F716,[1]对照表!$F$3:$F$24,[1]对照表!$H$3:$H$24),LOOKUP(F716,[1]对照表!$F$27:$F$48,[1]对照表!$H$27:$H$48)),IF(B716="高一",IF($E716="男",LOOKUP(F716,[1]对照表!$E$3:$E$24,[1]对照表!$H$3:$H$24),LOOKUP(F716,[1]对照表!$E$27:$E$48,[1]对照表!$H$27:$H$48)))))</f>
        <v>76</v>
      </c>
      <c r="H716" s="38">
        <v>13</v>
      </c>
      <c r="I716" s="32">
        <f>IF(B716="高三",IF($E716="男",LOOKUP(H716,[1]对照表!$K$3:$K$24,[1]对照表!$L$3:$L$24),LOOKUP(H716,[1]对照表!$K$27:$K$48,[1]对照表!$L$27:$L$48)),IF(B716="高二",IF($E716="男",LOOKUP(H716,[1]对照表!$J$3:$J$24,[1]对照表!$L$3:$L$24),LOOKUP(H716,[1]对照表!$J$27:$J$48,[1]对照表!$L$27:$L$48)),IF(B716="高一",IF($E716="男",LOOKUP(H716,[1]对照表!$I$3:$I$24,[1]对照表!$L$3:$L$24),LOOKUP(H716,[1]对照表!$I$27:$I$48,[1]对照表!$L$27:$L$48)))))</f>
        <v>74</v>
      </c>
      <c r="J716" s="38">
        <v>236</v>
      </c>
      <c r="K716" s="32">
        <f>IF(B716="高三",IF($E716="男",LOOKUP(J716,[1]对照表!$O$3:$O$24,[1]对照表!$P$3:$P$24),LOOKUP(J716,[1]对照表!$O$27:$O$48,[1]对照表!$P$27:$P$48)),IF(B716="高二",IF($E716="男",LOOKUP(J716,[1]对照表!$N$3:$N$24,[1]对照表!$P$3:$P$24),LOOKUP(J716,[1]对照表!$N$27:$N$48,[1]对照表!$P$27:$P$48)),IF(B716="高一",IF($E716="男",LOOKUP(J716,[1]对照表!$M$3:$M$24,[1]对照表!$P$3:$P$24),LOOKUP(J716,[1]对照表!$M$27:$M$48,[1]对照表!$P$27:$P$48)))))</f>
        <v>78</v>
      </c>
      <c r="L716" s="38">
        <v>17</v>
      </c>
      <c r="M716" s="32">
        <f>IF(B716="高三",IF($E716="男",LOOKUP(L716,[1]对照表!$S$3:$S$24,[1]对照表!$T$3:$T$24),LOOKUP(L716,[1]对照表!$S$27:$S$48,[1]对照表!$T$27:$T$48)),IF(B716="高二",IF($E716="男",LOOKUP(L716,[1]对照表!$R$3:$R$24,[1]对照表!$T$3:$T$24),LOOKUP(L716,[1]对照表!$R$27:$R$48,[1]对照表!$T$27:$T$48)),IF(B716="高一",IF($E716="男",LOOKUP(L716,[1]对照表!$Q$3:$Q$24,[1]对照表!$T$3:$T$24),LOOKUP(L716,[1]对照表!$Q$27:$Q$48,[1]对照表!$T$27:$T$48)))))</f>
        <v>100</v>
      </c>
      <c r="N716" s="33">
        <f>IF(B716="高三",MAX(IF(E716="男",L716-18,L716-55),0),IF(B716="高二",MAX(IF(E716="男",L716-17,L716-54),0),IF(B716="高一",MAX(IF(E716="男",L716-16,L716-53),0))))</f>
        <v>0</v>
      </c>
      <c r="O716" s="23">
        <f>IF(E716="男",LOOKUP($N716,[1]对照表!$Z$3:$Z$13,[1]对照表!$AA$3:$AA$13),LOOKUP($N716,[1]对照表!$Z$15:$Z$25,[1]对照表!$AA$15:$AA$25))</f>
        <v>0</v>
      </c>
      <c r="P716" s="25">
        <f>M716+O716</f>
        <v>100</v>
      </c>
      <c r="Q716" s="38">
        <v>3.43</v>
      </c>
      <c r="R716" s="32">
        <f>IF(B716="高三",IF($E716="男",LOOKUP(Q716,[1]对照表!$W$3:$W$24,[1]对照表!$X$3:$X$24),LOOKUP(Q716,[1]对照表!$W$27:$W$48,[1]对照表!$X$27:$X$48)),IF(B716="高二",IF($E716="男",LOOKUP(Q716,[1]对照表!$V$3:$V$24,[1]对照表!$X$3:$X$24),LOOKUP(Q716,[1]对照表!$V$27:$V$48,[1]对照表!$X$27:$X$48)),IF(B716="高一",IF($E716="男",LOOKUP(Q716,[1]对照表!$U$3:$U$24,[1]对照表!$X$3:$X$24),LOOKUP(Q716,[1]对照表!$U$27:$U$48,[1]对照表!$X$27:$X$48)))))</f>
        <v>80</v>
      </c>
      <c r="S716" s="33">
        <f>ROUND(IF(IF($B716="高三",MIN(IF($E716="男",$Q716-3.2,$Q716-3.2),0),IF($B716="高二",MIN(IF($E716="男",$Q716-3.25,$Q716-3.22),0),IF($B716="高一",MIN(IF($E716="男",$Q716-3.3,$Q716-3.24),0))))&lt;-0.6,IF($B716="高三",MIN(IF($E716="男",$Q716-3.2,$Q716-3.2),0),IF($B716="高二",MIN(IF($E716="男",$Q716-3.25,$Q716-3.22),0),IF($B716="高一",MIN(IF($E716="男",$Q716-3.3,$Q716-3.24),0))))+0.4,IF($B716="高三",MIN(IF($E716="男",$Q716-3.2,$Q716-3.2),0),IF($B716="高二",MIN(IF($E716="男",$Q716-3.25,$Q716-3.22),0),IF($B716="高一",MIN(IF($E716="男",$Q716-3.3,$Q716-3.24),0))))),2)</f>
        <v>0</v>
      </c>
      <c r="T716" s="23">
        <f>IF(E716="男",LOOKUP($S716,[1]对照表!$AB$3:$AB$13,[1]对照表!$AC$3:$AC$13),LOOKUP($S716,[1]对照表!$AB$15:$AB$25,[1]对照表!$AC$15:$AC$25))</f>
        <v>0</v>
      </c>
      <c r="U716" s="26">
        <f>R716+T716</f>
        <v>80</v>
      </c>
      <c r="V716" s="26">
        <f>SUM(I716,K716,M716)/3*0.3+SUM(G716,R716)/2*0.4</f>
        <v>56.400000000000006</v>
      </c>
      <c r="W716" s="27">
        <f>O716+T716</f>
        <v>0</v>
      </c>
      <c r="X716" s="28">
        <f>V716/0.7+W716</f>
        <v>80.571428571428584</v>
      </c>
      <c r="Y716" s="28">
        <f>X716</f>
        <v>80.571428571428584</v>
      </c>
      <c r="Z716" s="38"/>
    </row>
    <row r="717" spans="1:26" ht="15.6" x14ac:dyDescent="0.25">
      <c r="A717" s="48">
        <v>31</v>
      </c>
      <c r="B717" s="17" t="s">
        <v>767</v>
      </c>
      <c r="C717" s="51" t="s">
        <v>771</v>
      </c>
      <c r="D717" s="49" t="s">
        <v>1213</v>
      </c>
      <c r="E717" s="55" t="s">
        <v>23</v>
      </c>
      <c r="F717" s="52">
        <v>7.6</v>
      </c>
      <c r="G717" s="32">
        <f>IF(B717="高三",IF($E717="男",LOOKUP(F717,[1]对照表!$G$3:$G$24,[1]对照表!$H$3:$H$24),LOOKUP(F717,[1]对照表!$G$27:$G$48,[1]对照表!$H$27:$H$48)),IF(B717="高二",IF($E717="男",LOOKUP(F717,[1]对照表!$F$3:$F$24,[1]对照表!$H$3:$H$24),LOOKUP(F717,[1]对照表!$F$27:$F$48,[1]对照表!$H$27:$H$48)),IF(B717="高一",IF($E717="男",LOOKUP(F717,[1]对照表!$E$3:$E$24,[1]对照表!$H$3:$H$24),LOOKUP(F717,[1]对照表!$E$27:$E$48,[1]对照表!$H$27:$H$48)))))</f>
        <v>78</v>
      </c>
      <c r="H717" s="52">
        <v>14</v>
      </c>
      <c r="I717" s="32">
        <f>IF(B717="高三",IF($E717="男",LOOKUP(H717,[1]对照表!$K$3:$K$24,[1]对照表!$L$3:$L$24),LOOKUP(H717,[1]对照表!$K$27:$K$48,[1]对照表!$L$27:$L$48)),IF(B717="高二",IF($E717="男",LOOKUP(H717,[1]对照表!$J$3:$J$24,[1]对照表!$L$3:$L$24),LOOKUP(H717,[1]对照表!$J$27:$J$48,[1]对照表!$L$27:$L$48)),IF(B717="高一",IF($E717="男",LOOKUP(H717,[1]对照表!$I$3:$I$24,[1]对照表!$L$3:$L$24),LOOKUP(H717,[1]对照表!$I$27:$I$48,[1]对照表!$L$27:$L$48)))))</f>
        <v>76</v>
      </c>
      <c r="J717" s="52">
        <v>235</v>
      </c>
      <c r="K717" s="32">
        <f>IF(B717="高三",IF($E717="男",LOOKUP(J717,[1]对照表!$O$3:$O$24,[1]对照表!$P$3:$P$24),LOOKUP(J717,[1]对照表!$O$27:$O$48,[1]对照表!$P$27:$P$48)),IF(B717="高二",IF($E717="男",LOOKUP(J717,[1]对照表!$N$3:$N$24,[1]对照表!$P$3:$P$24),LOOKUP(J717,[1]对照表!$N$27:$N$48,[1]对照表!$P$27:$P$48)),IF(B717="高一",IF($E717="男",LOOKUP(J717,[1]对照表!$M$3:$M$24,[1]对照表!$P$3:$P$24),LOOKUP(J717,[1]对照表!$M$27:$M$48,[1]对照表!$P$27:$P$48)))))</f>
        <v>76</v>
      </c>
      <c r="L717" s="52">
        <v>17</v>
      </c>
      <c r="M717" s="32">
        <f>IF(B717="高三",IF($E717="男",LOOKUP(L717,[1]对照表!$S$3:$S$24,[1]对照表!$T$3:$T$24),LOOKUP(L717,[1]对照表!$S$27:$S$48,[1]对照表!$T$27:$T$48)),IF(B717="高二",IF($E717="男",LOOKUP(L717,[1]对照表!$R$3:$R$24,[1]对照表!$T$3:$T$24),LOOKUP(L717,[1]对照表!$R$27:$R$48,[1]对照表!$T$27:$T$48)),IF(B717="高一",IF($E717="男",LOOKUP(L717,[1]对照表!$Q$3:$Q$24,[1]对照表!$T$3:$T$24),LOOKUP(L717,[1]对照表!$Q$27:$Q$48,[1]对照表!$T$27:$T$48)))))</f>
        <v>100</v>
      </c>
      <c r="N717" s="33">
        <f>IF(B717="高三",MAX(IF(E717="男",L717-18,L717-55),0),IF(B717="高二",MAX(IF(E717="男",L717-17,L717-54),0),IF(B717="高一",MAX(IF(E717="男",L717-16,L717-53),0))))</f>
        <v>0</v>
      </c>
      <c r="O717" s="23">
        <f>IF(E717="男",LOOKUP($N717,[1]对照表!$Z$3:$Z$13,[1]对照表!$AA$3:$AA$13),LOOKUP($N717,[1]对照表!$Z$15:$Z$25,[1]对照表!$AA$15:$AA$25))</f>
        <v>0</v>
      </c>
      <c r="P717" s="25">
        <f>M717+O717</f>
        <v>100</v>
      </c>
      <c r="Q717" s="52">
        <v>3.51</v>
      </c>
      <c r="R717" s="32">
        <f>IF(B717="高三",IF($E717="男",LOOKUP(Q717,[1]对照表!$W$3:$W$24,[1]对照表!$X$3:$X$24),LOOKUP(Q717,[1]对照表!$W$27:$W$48,[1]对照表!$X$27:$X$48)),IF(B717="高二",IF($E717="男",LOOKUP(Q717,[1]对照表!$V$3:$V$24,[1]对照表!$X$3:$X$24),LOOKUP(Q717,[1]对照表!$V$27:$V$48,[1]对照表!$X$27:$X$48)),IF(B717="高一",IF($E717="男",LOOKUP(Q717,[1]对照表!$U$3:$U$24,[1]对照表!$X$3:$X$24),LOOKUP(Q717,[1]对照表!$U$27:$U$48,[1]对照表!$X$27:$X$48)))))</f>
        <v>78</v>
      </c>
      <c r="S717" s="33">
        <f>ROUND(IF(IF($B717="高三",MIN(IF($E717="男",$Q717-3.2,$Q717-3.2),0),IF($B717="高二",MIN(IF($E717="男",$Q717-3.25,$Q717-3.22),0),IF($B717="高一",MIN(IF($E717="男",$Q717-3.3,$Q717-3.24),0))))&lt;-0.6,IF($B717="高三",MIN(IF($E717="男",$Q717-3.2,$Q717-3.2),0),IF($B717="高二",MIN(IF($E717="男",$Q717-3.25,$Q717-3.22),0),IF($B717="高一",MIN(IF($E717="男",$Q717-3.3,$Q717-3.24),0))))+0.4,IF($B717="高三",MIN(IF($E717="男",$Q717-3.2,$Q717-3.2),0),IF($B717="高二",MIN(IF($E717="男",$Q717-3.25,$Q717-3.22),0),IF($B717="高一",MIN(IF($E717="男",$Q717-3.3,$Q717-3.24),0))))),2)</f>
        <v>0</v>
      </c>
      <c r="T717" s="23">
        <f>IF(E717="男",LOOKUP($S717,[1]对照表!$AB$3:$AB$13,[1]对照表!$AC$3:$AC$13),LOOKUP($S717,[1]对照表!$AB$15:$AB$25,[1]对照表!$AC$15:$AC$25))</f>
        <v>0</v>
      </c>
      <c r="U717" s="26">
        <f>R717+T717</f>
        <v>78</v>
      </c>
      <c r="V717" s="26">
        <f>SUM(I717,K717,M717)/3*0.3+SUM(G717,R717)/2*0.4</f>
        <v>56.400000000000006</v>
      </c>
      <c r="W717" s="27">
        <f>O717+T717</f>
        <v>0</v>
      </c>
      <c r="X717" s="28">
        <f>V717/0.7+W717</f>
        <v>80.571428571428584</v>
      </c>
      <c r="Y717" s="28">
        <f>X717</f>
        <v>80.571428571428584</v>
      </c>
      <c r="Z717" s="52"/>
    </row>
    <row r="718" spans="1:26" ht="15.6" customHeight="1" x14ac:dyDescent="0.15">
      <c r="A718" s="52">
        <v>3</v>
      </c>
      <c r="B718" s="17" t="s">
        <v>767</v>
      </c>
      <c r="C718" s="51" t="s">
        <v>771</v>
      </c>
      <c r="D718" s="49" t="s">
        <v>1216</v>
      </c>
      <c r="E718" s="55" t="s">
        <v>23</v>
      </c>
      <c r="F718" s="38">
        <v>7.1</v>
      </c>
      <c r="G718" s="32">
        <f>IF(B718="高三",IF($E718="男",LOOKUP(F718,[1]对照表!$G$3:$G$24,[1]对照表!$H$3:$H$24),LOOKUP(F718,[1]对照表!$G$27:$G$48,[1]对照表!$H$27:$H$48)),IF(B718="高二",IF($E718="男",LOOKUP(F718,[1]对照表!$F$3:$F$24,[1]对照表!$H$3:$H$24),LOOKUP(F718,[1]对照表!$F$27:$F$48,[1]对照表!$H$27:$H$48)),IF(B718="高一",IF($E718="男",LOOKUP(F718,[1]对照表!$E$3:$E$24,[1]对照表!$H$3:$H$24),LOOKUP(F718,[1]对照表!$E$27:$E$48,[1]对照表!$H$27:$H$48)))))</f>
        <v>95</v>
      </c>
      <c r="H718" s="38">
        <v>0.5</v>
      </c>
      <c r="I718" s="32">
        <f>IF(B718="高三",IF($E718="男",LOOKUP(H718,[1]对照表!$K$3:$K$24,[1]对照表!$L$3:$L$24),LOOKUP(H718,[1]对照表!$K$27:$K$48,[1]对照表!$L$27:$L$48)),IF(B718="高二",IF($E718="男",LOOKUP(H718,[1]对照表!$J$3:$J$24,[1]对照表!$L$3:$L$24),LOOKUP(H718,[1]对照表!$J$27:$J$48,[1]对照表!$L$27:$L$48)),IF(B718="高一",IF($E718="男",LOOKUP(H718,[1]对照表!$I$3:$I$24,[1]对照表!$L$3:$L$24),LOOKUP(H718,[1]对照表!$I$27:$I$48,[1]对照表!$L$27:$L$48)))))</f>
        <v>40</v>
      </c>
      <c r="J718" s="38">
        <v>236</v>
      </c>
      <c r="K718" s="32">
        <f>IF(B718="高三",IF($E718="男",LOOKUP(J718,[1]对照表!$O$3:$O$24,[1]对照表!$P$3:$P$24),LOOKUP(J718,[1]对照表!$O$27:$O$48,[1]对照表!$P$27:$P$48)),IF(B718="高二",IF($E718="男",LOOKUP(J718,[1]对照表!$N$3:$N$24,[1]对照表!$P$3:$P$24),LOOKUP(J718,[1]对照表!$N$27:$N$48,[1]对照表!$P$27:$P$48)),IF(B718="高一",IF($E718="男",LOOKUP(J718,[1]对照表!$M$3:$M$24,[1]对照表!$P$3:$P$24),LOOKUP(J718,[1]对照表!$M$27:$M$48,[1]对照表!$P$27:$P$48)))))</f>
        <v>78</v>
      </c>
      <c r="L718" s="38">
        <v>16</v>
      </c>
      <c r="M718" s="32">
        <f>IF(B718="高三",IF($E718="男",LOOKUP(L718,[1]对照表!$S$3:$S$24,[1]对照表!$T$3:$T$24),LOOKUP(L718,[1]对照表!$S$27:$S$48,[1]对照表!$T$27:$T$48)),IF(B718="高二",IF($E718="男",LOOKUP(L718,[1]对照表!$R$3:$R$24,[1]对照表!$T$3:$T$24),LOOKUP(L718,[1]对照表!$R$27:$R$48,[1]对照表!$T$27:$T$48)),IF(B718="高一",IF($E718="男",LOOKUP(L718,[1]对照表!$Q$3:$Q$24,[1]对照表!$T$3:$T$24),LOOKUP(L718,[1]对照表!$Q$27:$Q$48,[1]对照表!$T$27:$T$48)))))</f>
        <v>95</v>
      </c>
      <c r="N718" s="33">
        <f>IF(B718="高三",MAX(IF(E718="男",L718-18,L718-55),0),IF(B718="高二",MAX(IF(E718="男",L718-17,L718-54),0),IF(B718="高一",MAX(IF(E718="男",L718-16,L718-53),0))))</f>
        <v>0</v>
      </c>
      <c r="O718" s="23">
        <f>IF(E718="男",LOOKUP($N718,[1]对照表!$Z$3:$Z$13,[1]对照表!$AA$3:$AA$13),LOOKUP($N718,[1]对照表!$Z$15:$Z$25,[1]对照表!$AA$15:$AA$25))</f>
        <v>0</v>
      </c>
      <c r="P718" s="25">
        <f>M718+O718</f>
        <v>95</v>
      </c>
      <c r="Q718" s="38">
        <v>3.47</v>
      </c>
      <c r="R718" s="32">
        <f>IF(B718="高三",IF($E718="男",LOOKUP(Q718,[1]对照表!$W$3:$W$24,[1]对照表!$X$3:$X$24),LOOKUP(Q718,[1]对照表!$W$27:$W$48,[1]对照表!$X$27:$X$48)),IF(B718="高二",IF($E718="男",LOOKUP(Q718,[1]对照表!$V$3:$V$24,[1]对照表!$X$3:$X$24),LOOKUP(Q718,[1]对照表!$V$27:$V$48,[1]对照表!$X$27:$X$48)),IF(B718="高一",IF($E718="男",LOOKUP(Q718,[1]对照表!$U$3:$U$24,[1]对照表!$X$3:$X$24),LOOKUP(Q718,[1]对照表!$U$27:$U$48,[1]对照表!$X$27:$X$48)))))</f>
        <v>80</v>
      </c>
      <c r="S718" s="33">
        <f>ROUND(IF(IF($B718="高三",MIN(IF($E718="男",$Q718-3.2,$Q718-3.2),0),IF($B718="高二",MIN(IF($E718="男",$Q718-3.25,$Q718-3.22),0),IF($B718="高一",MIN(IF($E718="男",$Q718-3.3,$Q718-3.24),0))))&lt;-0.6,IF($B718="高三",MIN(IF($E718="男",$Q718-3.2,$Q718-3.2),0),IF($B718="高二",MIN(IF($E718="男",$Q718-3.25,$Q718-3.22),0),IF($B718="高一",MIN(IF($E718="男",$Q718-3.3,$Q718-3.24),0))))+0.4,IF($B718="高三",MIN(IF($E718="男",$Q718-3.2,$Q718-3.2),0),IF($B718="高二",MIN(IF($E718="男",$Q718-3.25,$Q718-3.22),0),IF($B718="高一",MIN(IF($E718="男",$Q718-3.3,$Q718-3.24),0))))),2)</f>
        <v>0</v>
      </c>
      <c r="T718" s="23">
        <f>IF(E718="男",LOOKUP($S718,[1]对照表!$AB$3:$AB$13,[1]对照表!$AC$3:$AC$13),LOOKUP($S718,[1]对照表!$AB$15:$AB$25,[1]对照表!$AC$15:$AC$25))</f>
        <v>0</v>
      </c>
      <c r="U718" s="26">
        <f>R718+T718</f>
        <v>80</v>
      </c>
      <c r="V718" s="26">
        <f>SUM(I718,K718,M718)/3*0.3+SUM(G718,R718)/2*0.4</f>
        <v>56.3</v>
      </c>
      <c r="W718" s="27">
        <f>O718+T718</f>
        <v>0</v>
      </c>
      <c r="X718" s="28">
        <f>V718/0.7+W718</f>
        <v>80.428571428571431</v>
      </c>
      <c r="Y718" s="28">
        <f>X718</f>
        <v>80.428571428571431</v>
      </c>
      <c r="Z718" s="38"/>
    </row>
    <row r="719" spans="1:26" ht="15.6" customHeight="1" x14ac:dyDescent="0.15">
      <c r="A719" s="52">
        <v>7</v>
      </c>
      <c r="B719" s="17" t="s">
        <v>767</v>
      </c>
      <c r="C719" s="51" t="s">
        <v>771</v>
      </c>
      <c r="D719" s="49" t="s">
        <v>1265</v>
      </c>
      <c r="E719" s="55" t="s">
        <v>23</v>
      </c>
      <c r="F719" s="38">
        <v>6.8</v>
      </c>
      <c r="G719" s="32">
        <f>IF(B719="高三",IF($E719="男",LOOKUP(F719,[1]对照表!$G$3:$G$24,[1]对照表!$H$3:$H$24),LOOKUP(F719,[1]对照表!$G$27:$G$48,[1]对照表!$H$27:$H$48)),IF(B719="高二",IF($E719="男",LOOKUP(F719,[1]对照表!$F$3:$F$24,[1]对照表!$H$3:$H$24),LOOKUP(F719,[1]对照表!$F$27:$F$48,[1]对照表!$H$27:$H$48)),IF(B719="高一",IF($E719="男",LOOKUP(F719,[1]对照表!$E$3:$E$24,[1]对照表!$H$3:$H$24),LOOKUP(F719,[1]对照表!$E$27:$E$48,[1]对照表!$H$27:$H$48)))))</f>
        <v>100</v>
      </c>
      <c r="H719" s="38">
        <v>5</v>
      </c>
      <c r="I719" s="32">
        <f>IF(B719="高三",IF($E719="男",LOOKUP(H719,[1]对照表!$K$3:$K$24,[1]对照表!$L$3:$L$24),LOOKUP(H719,[1]对照表!$K$27:$K$48,[1]对照表!$L$27:$L$48)),IF(B719="高二",IF($E719="男",LOOKUP(H719,[1]对照表!$J$3:$J$24,[1]对照表!$L$3:$L$24),LOOKUP(H719,[1]对照表!$J$27:$J$48,[1]对照表!$L$27:$L$48)),IF(B719="高一",IF($E719="男",LOOKUP(H719,[1]对照表!$I$3:$I$24,[1]对照表!$L$3:$L$24),LOOKUP(H719,[1]对照表!$I$27:$I$48,[1]对照表!$L$27:$L$48)))))</f>
        <v>64</v>
      </c>
      <c r="J719" s="38">
        <v>245</v>
      </c>
      <c r="K719" s="32">
        <f>IF(B719="高三",IF($E719="男",LOOKUP(J719,[1]对照表!$O$3:$O$24,[1]对照表!$P$3:$P$24),LOOKUP(J719,[1]对照表!$O$27:$O$48,[1]对照表!$P$27:$P$48)),IF(B719="高二",IF($E719="男",LOOKUP(J719,[1]对照表!$N$3:$N$24,[1]对照表!$P$3:$P$24),LOOKUP(J719,[1]对照表!$N$27:$N$48,[1]对照表!$P$27:$P$48)),IF(B719="高一",IF($E719="男",LOOKUP(J719,[1]对照表!$M$3:$M$24,[1]对照表!$P$3:$P$24),LOOKUP(J719,[1]对照表!$M$27:$M$48,[1]对照表!$P$27:$P$48)))))</f>
        <v>80</v>
      </c>
      <c r="L719" s="38">
        <v>6</v>
      </c>
      <c r="M719" s="32">
        <f>IF(B719="高三",IF($E719="男",LOOKUP(L719,[1]对照表!$S$3:$S$24,[1]对照表!$T$3:$T$24),LOOKUP(L719,[1]对照表!$S$27:$S$48,[1]对照表!$T$27:$T$48)),IF(B719="高二",IF($E719="男",LOOKUP(L719,[1]对照表!$R$3:$R$24,[1]对照表!$T$3:$T$24),LOOKUP(L719,[1]对照表!$R$27:$R$48,[1]对照表!$T$27:$T$48)),IF(B719="高一",IF($E719="男",LOOKUP(L719,[1]对照表!$Q$3:$Q$24,[1]对照表!$T$3:$T$24),LOOKUP(L719,[1]对照表!$Q$27:$Q$48,[1]对照表!$T$27:$T$48)))))</f>
        <v>40</v>
      </c>
      <c r="N719" s="33">
        <f>IF(B719="高三",MAX(IF(E719="男",L719-18,L719-55),0),IF(B719="高二",MAX(IF(E719="男",L719-17,L719-54),0),IF(B719="高一",MAX(IF(E719="男",L719-16,L719-53),0))))</f>
        <v>0</v>
      </c>
      <c r="O719" s="23">
        <f>IF(E719="男",LOOKUP($N719,[1]对照表!$Z$3:$Z$13,[1]对照表!$AA$3:$AA$13),LOOKUP($N719,[1]对照表!$Z$15:$Z$25,[1]对照表!$AA$15:$AA$25))</f>
        <v>0</v>
      </c>
      <c r="P719" s="25">
        <f>M719+O719</f>
        <v>40</v>
      </c>
      <c r="Q719" s="38">
        <v>3.44</v>
      </c>
      <c r="R719" s="32">
        <f>IF(B719="高三",IF($E719="男",LOOKUP(Q719,[1]对照表!$W$3:$W$24,[1]对照表!$X$3:$X$24),LOOKUP(Q719,[1]对照表!$W$27:$W$48,[1]对照表!$X$27:$X$48)),IF(B719="高二",IF($E719="男",LOOKUP(Q719,[1]对照表!$V$3:$V$24,[1]对照表!$X$3:$X$24),LOOKUP(Q719,[1]对照表!$V$27:$V$48,[1]对照表!$X$27:$X$48)),IF(B719="高一",IF($E719="男",LOOKUP(Q719,[1]对照表!$U$3:$U$24,[1]对照表!$X$3:$X$24),LOOKUP(Q719,[1]对照表!$U$27:$U$48,[1]对照表!$X$27:$X$48)))))</f>
        <v>80</v>
      </c>
      <c r="S719" s="33">
        <f>ROUND(IF(IF($B719="高三",MIN(IF($E719="男",$Q719-3.2,$Q719-3.2),0),IF($B719="高二",MIN(IF($E719="男",$Q719-3.25,$Q719-3.22),0),IF($B719="高一",MIN(IF($E719="男",$Q719-3.3,$Q719-3.24),0))))&lt;-0.6,IF($B719="高三",MIN(IF($E719="男",$Q719-3.2,$Q719-3.2),0),IF($B719="高二",MIN(IF($E719="男",$Q719-3.25,$Q719-3.22),0),IF($B719="高一",MIN(IF($E719="男",$Q719-3.3,$Q719-3.24),0))))+0.4,IF($B719="高三",MIN(IF($E719="男",$Q719-3.2,$Q719-3.2),0),IF($B719="高二",MIN(IF($E719="男",$Q719-3.25,$Q719-3.22),0),IF($B719="高一",MIN(IF($E719="男",$Q719-3.3,$Q719-3.24),0))))),2)</f>
        <v>0</v>
      </c>
      <c r="T719" s="23">
        <f>IF(E719="男",LOOKUP($S719,[1]对照表!$AB$3:$AB$13,[1]对照表!$AC$3:$AC$13),LOOKUP($S719,[1]对照表!$AB$15:$AB$25,[1]对照表!$AC$15:$AC$25))</f>
        <v>0</v>
      </c>
      <c r="U719" s="26">
        <f>R719+T719</f>
        <v>80</v>
      </c>
      <c r="V719" s="26">
        <f>SUM(I719,K719,M719)/3*0.3+SUM(G719,R719)/2*0.4</f>
        <v>54.4</v>
      </c>
      <c r="W719" s="27">
        <f>O719+T719</f>
        <v>0</v>
      </c>
      <c r="X719" s="28">
        <f>V719/0.7+W719</f>
        <v>77.714285714285722</v>
      </c>
      <c r="Y719" s="28">
        <f>X719</f>
        <v>77.714285714285722</v>
      </c>
      <c r="Z719" s="38"/>
    </row>
    <row r="720" spans="1:26" ht="15.6" customHeight="1" x14ac:dyDescent="0.15">
      <c r="A720" s="52">
        <v>4</v>
      </c>
      <c r="B720" s="17" t="s">
        <v>767</v>
      </c>
      <c r="C720" s="51" t="s">
        <v>771</v>
      </c>
      <c r="D720" s="49" t="s">
        <v>1274</v>
      </c>
      <c r="E720" s="55" t="s">
        <v>23</v>
      </c>
      <c r="F720" s="38">
        <v>8.3000000000000007</v>
      </c>
      <c r="G720" s="32">
        <f>IF(B720="高三",IF($E720="男",LOOKUP(F720,[1]对照表!$G$3:$G$24,[1]对照表!$H$3:$H$24),LOOKUP(F720,[1]对照表!$G$27:$G$48,[1]对照表!$H$27:$H$48)),IF(B720="高二",IF($E720="男",LOOKUP(F720,[1]对照表!$F$3:$F$24,[1]对照表!$H$3:$H$24),LOOKUP(F720,[1]对照表!$F$27:$F$48,[1]对照表!$H$27:$H$48)),IF(B720="高一",IF($E720="男",LOOKUP(F720,[1]对照表!$E$3:$E$24,[1]对照表!$H$3:$H$24),LOOKUP(F720,[1]对照表!$E$27:$E$48,[1]对照表!$H$27:$H$48)))))</f>
        <v>70</v>
      </c>
      <c r="H720" s="38">
        <v>21</v>
      </c>
      <c r="I720" s="32">
        <f>IF(B720="高三",IF($E720="男",LOOKUP(H720,[1]对照表!$K$3:$K$24,[1]对照表!$L$3:$L$24),LOOKUP(H720,[1]对照表!$K$27:$K$48,[1]对照表!$L$27:$L$48)),IF(B720="高二",IF($E720="男",LOOKUP(H720,[1]对照表!$J$3:$J$24,[1]对照表!$L$3:$L$24),LOOKUP(H720,[1]对照表!$J$27:$J$48,[1]对照表!$L$27:$L$48)),IF(B720="高一",IF($E720="男",LOOKUP(H720,[1]对照表!$I$3:$I$24,[1]对照表!$L$3:$L$24),LOOKUP(H720,[1]对照表!$I$27:$I$48,[1]对照表!$L$27:$L$48)))))</f>
        <v>90</v>
      </c>
      <c r="J720" s="38">
        <v>225</v>
      </c>
      <c r="K720" s="32">
        <f>IF(B720="高三",IF($E720="男",LOOKUP(J720,[1]对照表!$O$3:$O$24,[1]对照表!$P$3:$P$24),LOOKUP(J720,[1]对照表!$O$27:$O$48,[1]对照表!$P$27:$P$48)),IF(B720="高二",IF($E720="男",LOOKUP(J720,[1]对照表!$N$3:$N$24,[1]对照表!$P$3:$P$24),LOOKUP(J720,[1]对照表!$N$27:$N$48,[1]对照表!$P$27:$P$48)),IF(B720="高一",IF($E720="男",LOOKUP(J720,[1]对照表!$M$3:$M$24,[1]对照表!$P$3:$P$24),LOOKUP(J720,[1]对照表!$M$27:$M$48,[1]对照表!$P$27:$P$48)))))</f>
        <v>72</v>
      </c>
      <c r="L720" s="38">
        <v>12</v>
      </c>
      <c r="M720" s="32">
        <f>IF(B720="高三",IF($E720="男",LOOKUP(L720,[1]对照表!$S$3:$S$24,[1]对照表!$T$3:$T$24),LOOKUP(L720,[1]对照表!$S$27:$S$48,[1]对照表!$T$27:$T$48)),IF(B720="高二",IF($E720="男",LOOKUP(L720,[1]对照表!$R$3:$R$24,[1]对照表!$T$3:$T$24),LOOKUP(L720,[1]对照表!$R$27:$R$48,[1]对照表!$T$27:$T$48)),IF(B720="高一",IF($E720="男",LOOKUP(L720,[1]对照表!$Q$3:$Q$24,[1]对照表!$T$3:$T$24),LOOKUP(L720,[1]对照表!$Q$27:$Q$48,[1]对照表!$T$27:$T$48)))))</f>
        <v>76</v>
      </c>
      <c r="N720" s="33">
        <f>IF(B720="高三",MAX(IF(E720="男",L720-18,L720-55),0),IF(B720="高二",MAX(IF(E720="男",L720-17,L720-54),0),IF(B720="高一",MAX(IF(E720="男",L720-16,L720-53),0))))</f>
        <v>0</v>
      </c>
      <c r="O720" s="23">
        <f>IF(E720="男",LOOKUP($N720,[1]对照表!$Z$3:$Z$13,[1]对照表!$AA$3:$AA$13),LOOKUP($N720,[1]对照表!$Z$15:$Z$25,[1]对照表!$AA$15:$AA$25))</f>
        <v>0</v>
      </c>
      <c r="P720" s="25">
        <f>M720+O720</f>
        <v>76</v>
      </c>
      <c r="Q720" s="38">
        <v>3.48</v>
      </c>
      <c r="R720" s="32">
        <f>IF(B720="高三",IF($E720="男",LOOKUP(Q720,[1]对照表!$W$3:$W$24,[1]对照表!$X$3:$X$24),LOOKUP(Q720,[1]对照表!$W$27:$W$48,[1]对照表!$X$27:$X$48)),IF(B720="高二",IF($E720="男",LOOKUP(Q720,[1]对照表!$V$3:$V$24,[1]对照表!$X$3:$X$24),LOOKUP(Q720,[1]对照表!$V$27:$V$48,[1]对照表!$X$27:$X$48)),IF(B720="高一",IF($E720="男",LOOKUP(Q720,[1]对照表!$U$3:$U$24,[1]对照表!$X$3:$X$24),LOOKUP(Q720,[1]对照表!$U$27:$U$48,[1]对照表!$X$27:$X$48)))))</f>
        <v>80</v>
      </c>
      <c r="S720" s="33">
        <f>ROUND(IF(IF($B720="高三",MIN(IF($E720="男",$Q720-3.2,$Q720-3.2),0),IF($B720="高二",MIN(IF($E720="男",$Q720-3.25,$Q720-3.22),0),IF($B720="高一",MIN(IF($E720="男",$Q720-3.3,$Q720-3.24),0))))&lt;-0.6,IF($B720="高三",MIN(IF($E720="男",$Q720-3.2,$Q720-3.2),0),IF($B720="高二",MIN(IF($E720="男",$Q720-3.25,$Q720-3.22),0),IF($B720="高一",MIN(IF($E720="男",$Q720-3.3,$Q720-3.24),0))))+0.4,IF($B720="高三",MIN(IF($E720="男",$Q720-3.2,$Q720-3.2),0),IF($B720="高二",MIN(IF($E720="男",$Q720-3.25,$Q720-3.22),0),IF($B720="高一",MIN(IF($E720="男",$Q720-3.3,$Q720-3.24),0))))),2)</f>
        <v>0</v>
      </c>
      <c r="T720" s="23">
        <f>IF(E720="男",LOOKUP($S720,[1]对照表!$AB$3:$AB$13,[1]对照表!$AC$3:$AC$13),LOOKUP($S720,[1]对照表!$AB$15:$AB$25,[1]对照表!$AC$15:$AC$25))</f>
        <v>0</v>
      </c>
      <c r="U720" s="26">
        <f>R720+T720</f>
        <v>80</v>
      </c>
      <c r="V720" s="26">
        <f>SUM(I720,K720,M720)/3*0.3+SUM(G720,R720)/2*0.4</f>
        <v>53.8</v>
      </c>
      <c r="W720" s="27">
        <f>O720+T720</f>
        <v>0</v>
      </c>
      <c r="X720" s="28">
        <f>V720/0.7+W720</f>
        <v>76.857142857142861</v>
      </c>
      <c r="Y720" s="28">
        <f>X720</f>
        <v>76.857142857142861</v>
      </c>
      <c r="Z720" s="38"/>
    </row>
    <row r="721" spans="1:26" ht="15.6" customHeight="1" x14ac:dyDescent="0.15">
      <c r="A721" s="52">
        <v>1</v>
      </c>
      <c r="B721" s="17" t="s">
        <v>767</v>
      </c>
      <c r="C721" s="51" t="s">
        <v>771</v>
      </c>
      <c r="D721" s="49" t="s">
        <v>1293</v>
      </c>
      <c r="E721" s="55" t="s">
        <v>23</v>
      </c>
      <c r="F721" s="52">
        <v>7.5</v>
      </c>
      <c r="G721" s="32">
        <f>IF(B721="高三",IF($E721="男",LOOKUP(F721,[1]对照表!$G$3:$G$24,[1]对照表!$H$3:$H$24),LOOKUP(F721,[1]对照表!$G$27:$G$48,[1]对照表!$H$27:$H$48)),IF(B721="高二",IF($E721="男",LOOKUP(F721,[1]对照表!$F$3:$F$24,[1]对照表!$H$3:$H$24),LOOKUP(F721,[1]对照表!$F$27:$F$48,[1]对照表!$H$27:$H$48)),IF(B721="高一",IF($E721="男",LOOKUP(F721,[1]对照表!$E$3:$E$24,[1]对照表!$H$3:$H$24),LOOKUP(F721,[1]对照表!$E$27:$E$48,[1]对照表!$H$27:$H$48)))))</f>
        <v>78</v>
      </c>
      <c r="H721" s="52">
        <v>13</v>
      </c>
      <c r="I721" s="32">
        <f>IF(B721="高三",IF($E721="男",LOOKUP(H721,[1]对照表!$K$3:$K$24,[1]对照表!$L$3:$L$24),LOOKUP(H721,[1]对照表!$K$27:$K$48,[1]对照表!$L$27:$L$48)),IF(B721="高二",IF($E721="男",LOOKUP(H721,[1]对照表!$J$3:$J$24,[1]对照表!$L$3:$L$24),LOOKUP(H721,[1]对照表!$J$27:$J$48,[1]对照表!$L$27:$L$48)),IF(B721="高一",IF($E721="男",LOOKUP(H721,[1]对照表!$I$3:$I$24,[1]对照表!$L$3:$L$24),LOOKUP(H721,[1]对照表!$I$27:$I$48,[1]对照表!$L$27:$L$48)))))</f>
        <v>74</v>
      </c>
      <c r="J721" s="52">
        <v>245</v>
      </c>
      <c r="K721" s="32">
        <f>IF(B721="高三",IF($E721="男",LOOKUP(J721,[1]对照表!$O$3:$O$24,[1]对照表!$P$3:$P$24),LOOKUP(J721,[1]对照表!$O$27:$O$48,[1]对照表!$P$27:$P$48)),IF(B721="高二",IF($E721="男",LOOKUP(J721,[1]对照表!$N$3:$N$24,[1]对照表!$P$3:$P$24),LOOKUP(J721,[1]对照表!$N$27:$N$48,[1]对照表!$P$27:$P$48)),IF(B721="高一",IF($E721="男",LOOKUP(J721,[1]对照表!$M$3:$M$24,[1]对照表!$P$3:$P$24),LOOKUP(J721,[1]对照表!$M$27:$M$48,[1]对照表!$P$27:$P$48)))))</f>
        <v>80</v>
      </c>
      <c r="L721" s="52">
        <v>10</v>
      </c>
      <c r="M721" s="32">
        <f>IF(B721="高三",IF($E721="男",LOOKUP(L721,[1]对照表!$S$3:$S$24,[1]对照表!$T$3:$T$24),LOOKUP(L721,[1]对照表!$S$27:$S$48,[1]对照表!$T$27:$T$48)),IF(B721="高二",IF($E721="男",LOOKUP(L721,[1]对照表!$R$3:$R$24,[1]对照表!$T$3:$T$24),LOOKUP(L721,[1]对照表!$R$27:$R$48,[1]对照表!$T$27:$T$48)),IF(B721="高一",IF($E721="男",LOOKUP(L721,[1]对照表!$Q$3:$Q$24,[1]对照表!$T$3:$T$24),LOOKUP(L721,[1]对照表!$Q$27:$Q$48,[1]对照表!$T$27:$T$48)))))</f>
        <v>68</v>
      </c>
      <c r="N721" s="33">
        <f>IF(B721="高三",MAX(IF(E721="男",L721-18,L721-55),0),IF(B721="高二",MAX(IF(E721="男",L721-17,L721-54),0),IF(B721="高一",MAX(IF(E721="男",L721-16,L721-53),0))))</f>
        <v>0</v>
      </c>
      <c r="O721" s="23">
        <f>IF(E721="男",LOOKUP($N721,[1]对照表!$Z$3:$Z$13,[1]对照表!$AA$3:$AA$13),LOOKUP($N721,[1]对照表!$Z$15:$Z$25,[1]对照表!$AA$15:$AA$25))</f>
        <v>0</v>
      </c>
      <c r="P721" s="25">
        <f>M721+O721</f>
        <v>68</v>
      </c>
      <c r="Q721" s="52">
        <v>4</v>
      </c>
      <c r="R721" s="32">
        <f>IF(B721="高三",IF($E721="男",LOOKUP(Q721,[1]对照表!$W$3:$W$24,[1]对照表!$X$3:$X$24),LOOKUP(Q721,[1]对照表!$W$27:$W$48,[1]对照表!$X$27:$X$48)),IF(B721="高二",IF($E721="男",LOOKUP(Q721,[1]对照表!$V$3:$V$24,[1]对照表!$X$3:$X$24),LOOKUP(Q721,[1]对照表!$V$27:$V$48,[1]对照表!$X$27:$X$48)),IF(B721="高一",IF($E721="男",LOOKUP(Q721,[1]对照表!$U$3:$U$24,[1]对照表!$X$3:$X$24),LOOKUP(Q721,[1]对照表!$U$27:$U$48,[1]对照表!$X$27:$X$48)))))</f>
        <v>76</v>
      </c>
      <c r="S721" s="27">
        <f>ROUND(IF(IF($B721="高三",MIN(IF($E721="男",$Q721-3.2,$Q721-3.2),0),IF($B721="高二",MIN(IF($E721="男",$Q721-3.25,$Q721-3.22),0),IF($B721="高一",MIN(IF($E721="男",$Q721-3.3,$Q721-3.24),0))))&lt;-0.6,IF($B721="高三",MIN(IF($E721="男",$Q721-3.2,$Q721-3.2),0),IF($B721="高二",MIN(IF($E721="男",$Q721-3.25,$Q721-3.22),0),IF($B721="高一",MIN(IF($E721="男",$Q721-3.3,$Q721-3.24),0))))+0.4,IF($B721="高三",MIN(IF($E721="男",$Q721-3.2,$Q721-3.2),0),IF($B721="高二",MIN(IF($E721="男",$Q721-3.25,$Q721-3.22),0),IF($B721="高一",MIN(IF($E721="男",$Q721-3.3,$Q721-3.24),0))))),2)</f>
        <v>0</v>
      </c>
      <c r="T721" s="23">
        <f>IF(E721="男",LOOKUP($S721,[1]对照表!$AB$3:$AB$13,[1]对照表!$AC$3:$AC$13),LOOKUP($S721,[1]对照表!$AB$15:$AB$25,[1]对照表!$AC$15:$AC$25))</f>
        <v>0</v>
      </c>
      <c r="U721" s="26">
        <f>R721+T721</f>
        <v>76</v>
      </c>
      <c r="V721" s="26">
        <f>SUM(I721,K721,M721)/3*0.3+SUM(G721,R721)/2*0.4</f>
        <v>53</v>
      </c>
      <c r="W721" s="27">
        <f>O721+T721</f>
        <v>0</v>
      </c>
      <c r="X721" s="28">
        <f>V721/0.7+W721</f>
        <v>75.714285714285722</v>
      </c>
      <c r="Y721" s="28">
        <f>X721</f>
        <v>75.714285714285722</v>
      </c>
      <c r="Z721" s="52"/>
    </row>
    <row r="722" spans="1:26" ht="15.6" x14ac:dyDescent="0.25">
      <c r="A722" s="48">
        <v>26</v>
      </c>
      <c r="B722" s="17" t="s">
        <v>767</v>
      </c>
      <c r="C722" s="51" t="s">
        <v>771</v>
      </c>
      <c r="D722" s="49" t="s">
        <v>1304</v>
      </c>
      <c r="E722" s="55" t="s">
        <v>23</v>
      </c>
      <c r="F722" s="38">
        <v>7.3</v>
      </c>
      <c r="G722" s="32">
        <f>IF(B722="高三",IF($E722="男",LOOKUP(F722,[1]对照表!$G$3:$G$24,[1]对照表!$H$3:$H$24),LOOKUP(F722,[1]对照表!$G$27:$G$48,[1]对照表!$H$27:$H$48)),IF(B722="高二",IF($E722="男",LOOKUP(F722,[1]对照表!$F$3:$F$24,[1]对照表!$H$3:$H$24),LOOKUP(F722,[1]对照表!$F$27:$F$48,[1]对照表!$H$27:$H$48)),IF(B722="高一",IF($E722="男",LOOKUP(F722,[1]对照表!$E$3:$E$24,[1]对照表!$H$3:$H$24),LOOKUP(F722,[1]对照表!$E$27:$E$48,[1]对照表!$H$27:$H$48)))))</f>
        <v>85</v>
      </c>
      <c r="H722" s="38">
        <v>16</v>
      </c>
      <c r="I722" s="32">
        <f>IF(B722="高三",IF($E722="男",LOOKUP(H722,[1]对照表!$K$3:$K$24,[1]对照表!$L$3:$L$24),LOOKUP(H722,[1]对照表!$K$27:$K$48,[1]对照表!$L$27:$L$48)),IF(B722="高二",IF($E722="男",LOOKUP(H722,[1]对照表!$J$3:$J$24,[1]对照表!$L$3:$L$24),LOOKUP(H722,[1]对照表!$J$27:$J$48,[1]对照表!$L$27:$L$48)),IF(B722="高一",IF($E722="男",LOOKUP(H722,[1]对照表!$I$3:$I$24,[1]对照表!$L$3:$L$24),LOOKUP(H722,[1]对照表!$I$27:$I$48,[1]对照表!$L$27:$L$48)))))</f>
        <v>78</v>
      </c>
      <c r="J722" s="38">
        <v>215</v>
      </c>
      <c r="K722" s="32">
        <f>IF(B722="高三",IF($E722="男",LOOKUP(J722,[1]对照表!$O$3:$O$24,[1]对照表!$P$3:$P$24),LOOKUP(J722,[1]对照表!$O$27:$O$48,[1]对照表!$P$27:$P$48)),IF(B722="高二",IF($E722="男",LOOKUP(J722,[1]对照表!$N$3:$N$24,[1]对照表!$P$3:$P$24),LOOKUP(J722,[1]对照表!$N$27:$N$48,[1]对照表!$P$27:$P$48)),IF(B722="高一",IF($E722="男",LOOKUP(J722,[1]对照表!$M$3:$M$24,[1]对照表!$P$3:$P$24),LOOKUP(J722,[1]对照表!$M$27:$M$48,[1]对照表!$P$27:$P$48)))))</f>
        <v>66</v>
      </c>
      <c r="L722" s="38">
        <v>7</v>
      </c>
      <c r="M722" s="32">
        <f>IF(B722="高三",IF($E722="男",LOOKUP(L722,[1]对照表!$S$3:$S$24,[1]对照表!$T$3:$T$24),LOOKUP(L722,[1]对照表!$S$27:$S$48,[1]对照表!$T$27:$T$48)),IF(B722="高二",IF($E722="男",LOOKUP(L722,[1]对照表!$R$3:$R$24,[1]对照表!$T$3:$T$24),LOOKUP(L722,[1]对照表!$R$27:$R$48,[1]对照表!$T$27:$T$48)),IF(B722="高一",IF($E722="男",LOOKUP(L722,[1]对照表!$Q$3:$Q$24,[1]对照表!$T$3:$T$24),LOOKUP(L722,[1]对照表!$Q$27:$Q$48,[1]对照表!$T$27:$T$48)))))</f>
        <v>50</v>
      </c>
      <c r="N722" s="33">
        <f>IF(B722="高三",MAX(IF(E722="男",L722-18,L722-55),0),IF(B722="高二",MAX(IF(E722="男",L722-17,L722-54),0),IF(B722="高一",MAX(IF(E722="男",L722-16,L722-53),0))))</f>
        <v>0</v>
      </c>
      <c r="O722" s="23">
        <f>IF(E722="男",LOOKUP($N722,[1]对照表!$Z$3:$Z$13,[1]对照表!$AA$3:$AA$13),LOOKUP($N722,[1]对照表!$Z$15:$Z$25,[1]对照表!$AA$15:$AA$25))</f>
        <v>0</v>
      </c>
      <c r="P722" s="25">
        <f>M722+O722</f>
        <v>50</v>
      </c>
      <c r="Q722" s="38">
        <v>3.43</v>
      </c>
      <c r="R722" s="32">
        <f>IF(B722="高三",IF($E722="男",LOOKUP(Q722,[1]对照表!$W$3:$W$24,[1]对照表!$X$3:$X$24),LOOKUP(Q722,[1]对照表!$W$27:$W$48,[1]对照表!$X$27:$X$48)),IF(B722="高二",IF($E722="男",LOOKUP(Q722,[1]对照表!$V$3:$V$24,[1]对照表!$X$3:$X$24),LOOKUP(Q722,[1]对照表!$V$27:$V$48,[1]对照表!$X$27:$X$48)),IF(B722="高一",IF($E722="男",LOOKUP(Q722,[1]对照表!$U$3:$U$24,[1]对照表!$X$3:$X$24),LOOKUP(Q722,[1]对照表!$U$27:$U$48,[1]对照表!$X$27:$X$48)))))</f>
        <v>80</v>
      </c>
      <c r="S722" s="33">
        <f>ROUND(IF(IF($B722="高三",MIN(IF($E722="男",$Q722-3.2,$Q722-3.2),0),IF($B722="高二",MIN(IF($E722="男",$Q722-3.25,$Q722-3.22),0),IF($B722="高一",MIN(IF($E722="男",$Q722-3.3,$Q722-3.24),0))))&lt;-0.6,IF($B722="高三",MIN(IF($E722="男",$Q722-3.2,$Q722-3.2),0),IF($B722="高二",MIN(IF($E722="男",$Q722-3.25,$Q722-3.22),0),IF($B722="高一",MIN(IF($E722="男",$Q722-3.3,$Q722-3.24),0))))+0.4,IF($B722="高三",MIN(IF($E722="男",$Q722-3.2,$Q722-3.2),0),IF($B722="高二",MIN(IF($E722="男",$Q722-3.25,$Q722-3.22),0),IF($B722="高一",MIN(IF($E722="男",$Q722-3.3,$Q722-3.24),0))))),2)</f>
        <v>0</v>
      </c>
      <c r="T722" s="23">
        <f>IF(E722="男",LOOKUP($S722,[1]对照表!$AB$3:$AB$13,[1]对照表!$AC$3:$AC$13),LOOKUP($S722,[1]对照表!$AB$15:$AB$25,[1]对照表!$AC$15:$AC$25))</f>
        <v>0</v>
      </c>
      <c r="U722" s="26">
        <f>R722+T722</f>
        <v>80</v>
      </c>
      <c r="V722" s="26">
        <f>SUM(I722,K722,M722)/3*0.3+SUM(G722,R722)/2*0.4</f>
        <v>52.400000000000006</v>
      </c>
      <c r="W722" s="27">
        <f>O722+T722</f>
        <v>0</v>
      </c>
      <c r="X722" s="28">
        <f>V722/0.7+W722</f>
        <v>74.857142857142875</v>
      </c>
      <c r="Y722" s="28">
        <f>X722</f>
        <v>74.857142857142875</v>
      </c>
      <c r="Z722" s="38"/>
    </row>
    <row r="723" spans="1:26" ht="15.6" customHeight="1" x14ac:dyDescent="0.15">
      <c r="A723" s="52">
        <v>10</v>
      </c>
      <c r="B723" s="17" t="s">
        <v>767</v>
      </c>
      <c r="C723" s="51" t="s">
        <v>771</v>
      </c>
      <c r="D723" s="49" t="s">
        <v>1318</v>
      </c>
      <c r="E723" s="55" t="s">
        <v>23</v>
      </c>
      <c r="F723" s="38">
        <v>7.3</v>
      </c>
      <c r="G723" s="32">
        <f>IF(B723="高三",IF($E723="男",LOOKUP(F723,[1]对照表!$G$3:$G$24,[1]对照表!$H$3:$H$24),LOOKUP(F723,[1]对照表!$G$27:$G$48,[1]对照表!$H$27:$H$48)),IF(B723="高二",IF($E723="男",LOOKUP(F723,[1]对照表!$F$3:$F$24,[1]对照表!$H$3:$H$24),LOOKUP(F723,[1]对照表!$F$27:$F$48,[1]对照表!$H$27:$H$48)),IF(B723="高一",IF($E723="男",LOOKUP(F723,[1]对照表!$E$3:$E$24,[1]对照表!$H$3:$H$24),LOOKUP(F723,[1]对照表!$E$27:$E$48,[1]对照表!$H$27:$H$48)))))</f>
        <v>85</v>
      </c>
      <c r="H723" s="38">
        <v>23.5</v>
      </c>
      <c r="I723" s="32">
        <f>IF(B723="高三",IF($E723="男",LOOKUP(H723,[1]对照表!$K$3:$K$24,[1]对照表!$L$3:$L$24),LOOKUP(H723,[1]对照表!$K$27:$K$48,[1]对照表!$L$27:$L$48)),IF(B723="高二",IF($E723="男",LOOKUP(H723,[1]对照表!$J$3:$J$24,[1]对照表!$L$3:$L$24),LOOKUP(H723,[1]对照表!$J$27:$J$48,[1]对照表!$L$27:$L$48)),IF(B723="高一",IF($E723="男",LOOKUP(H723,[1]对照表!$I$3:$I$24,[1]对照表!$L$3:$L$24),LOOKUP(H723,[1]对照表!$I$27:$I$48,[1]对照表!$L$27:$L$48)))))</f>
        <v>95</v>
      </c>
      <c r="J723" s="38">
        <v>252</v>
      </c>
      <c r="K723" s="32">
        <f>IF(B723="高三",IF($E723="男",LOOKUP(J723,[1]对照表!$O$3:$O$24,[1]对照表!$P$3:$P$24),LOOKUP(J723,[1]对照表!$O$27:$O$48,[1]对照表!$P$27:$P$48)),IF(B723="高二",IF($E723="男",LOOKUP(J723,[1]对照表!$N$3:$N$24,[1]对照表!$P$3:$P$24),LOOKUP(J723,[1]对照表!$N$27:$N$48,[1]对照表!$P$27:$P$48)),IF(B723="高一",IF($E723="男",LOOKUP(J723,[1]对照表!$M$3:$M$24,[1]对照表!$P$3:$P$24),LOOKUP(J723,[1]对照表!$M$27:$M$48,[1]对照表!$P$27:$P$48)))))</f>
        <v>85</v>
      </c>
      <c r="L723" s="38">
        <v>1</v>
      </c>
      <c r="M723" s="32">
        <f>IF(B723="高三",IF($E723="男",LOOKUP(L723,[1]对照表!$S$3:$S$24,[1]对照表!$T$3:$T$24),LOOKUP(L723,[1]对照表!$S$27:$S$48,[1]对照表!$T$27:$T$48)),IF(B723="高二",IF($E723="男",LOOKUP(L723,[1]对照表!$R$3:$R$24,[1]对照表!$T$3:$T$24),LOOKUP(L723,[1]对照表!$R$27:$R$48,[1]对照表!$T$27:$T$48)),IF(B723="高一",IF($E723="男",LOOKUP(L723,[1]对照表!$Q$3:$Q$24,[1]对照表!$T$3:$T$24),LOOKUP(L723,[1]对照表!$Q$27:$Q$48,[1]对照表!$T$27:$T$48)))))</f>
        <v>0</v>
      </c>
      <c r="N723" s="33">
        <f>IF(B723="高三",MAX(IF(E723="男",L723-18,L723-55),0),IF(B723="高二",MAX(IF(E723="男",L723-17,L723-54),0),IF(B723="高一",MAX(IF(E723="男",L723-16,L723-53),0))))</f>
        <v>0</v>
      </c>
      <c r="O723" s="23">
        <f>IF(E723="男",LOOKUP($N723,[1]对照表!$Z$3:$Z$13,[1]对照表!$AA$3:$AA$13),LOOKUP($N723,[1]对照表!$Z$15:$Z$25,[1]对照表!$AA$15:$AA$25))</f>
        <v>0</v>
      </c>
      <c r="P723" s="25">
        <f>M723+O723</f>
        <v>0</v>
      </c>
      <c r="Q723" s="38">
        <v>3.41</v>
      </c>
      <c r="R723" s="32">
        <f>IF(B723="高三",IF($E723="男",LOOKUP(Q723,[1]对照表!$W$3:$W$24,[1]对照表!$X$3:$X$24),LOOKUP(Q723,[1]对照表!$W$27:$W$48,[1]对照表!$X$27:$X$48)),IF(B723="高二",IF($E723="男",LOOKUP(Q723,[1]对照表!$V$3:$V$24,[1]对照表!$X$3:$X$24),LOOKUP(Q723,[1]对照表!$V$27:$V$48,[1]对照表!$X$27:$X$48)),IF(B723="高一",IF($E723="男",LOOKUP(Q723,[1]对照表!$U$3:$U$24,[1]对照表!$X$3:$X$24),LOOKUP(Q723,[1]对照表!$U$27:$U$48,[1]对照表!$X$27:$X$48)))))</f>
        <v>85</v>
      </c>
      <c r="S723" s="33">
        <f>ROUND(IF(IF($B723="高三",MIN(IF($E723="男",$Q723-3.2,$Q723-3.2),0),IF($B723="高二",MIN(IF($E723="男",$Q723-3.25,$Q723-3.22),0),IF($B723="高一",MIN(IF($E723="男",$Q723-3.3,$Q723-3.24),0))))&lt;-0.6,IF($B723="高三",MIN(IF($E723="男",$Q723-3.2,$Q723-3.2),0),IF($B723="高二",MIN(IF($E723="男",$Q723-3.25,$Q723-3.22),0),IF($B723="高一",MIN(IF($E723="男",$Q723-3.3,$Q723-3.24),0))))+0.4,IF($B723="高三",MIN(IF($E723="男",$Q723-3.2,$Q723-3.2),0),IF($B723="高二",MIN(IF($E723="男",$Q723-3.25,$Q723-3.22),0),IF($B723="高一",MIN(IF($E723="男",$Q723-3.3,$Q723-3.24),0))))),2)</f>
        <v>0</v>
      </c>
      <c r="T723" s="23">
        <f>IF(E723="男",LOOKUP($S723,[1]对照表!$AB$3:$AB$13,[1]对照表!$AC$3:$AC$13),LOOKUP($S723,[1]对照表!$AB$15:$AB$25,[1]对照表!$AC$15:$AC$25))</f>
        <v>0</v>
      </c>
      <c r="U723" s="26">
        <f>R723+T723</f>
        <v>85</v>
      </c>
      <c r="V723" s="26">
        <f>SUM(I723,K723,M723)/3*0.3+SUM(G723,R723)/2*0.4</f>
        <v>52</v>
      </c>
      <c r="W723" s="27">
        <f>O723+T723</f>
        <v>0</v>
      </c>
      <c r="X723" s="28">
        <f>V723/0.7+W723</f>
        <v>74.285714285714292</v>
      </c>
      <c r="Y723" s="28">
        <f>X723</f>
        <v>74.285714285714292</v>
      </c>
      <c r="Z723" s="38"/>
    </row>
    <row r="724" spans="1:26" ht="15.6" customHeight="1" x14ac:dyDescent="0.15">
      <c r="A724" s="38">
        <v>13</v>
      </c>
      <c r="B724" s="17" t="s">
        <v>767</v>
      </c>
      <c r="C724" s="51" t="s">
        <v>771</v>
      </c>
      <c r="D724" s="49" t="s">
        <v>1355</v>
      </c>
      <c r="E724" s="55" t="s">
        <v>23</v>
      </c>
      <c r="F724" s="38">
        <v>7.4</v>
      </c>
      <c r="G724" s="32">
        <f>IF(B724="高三",IF($E724="男",LOOKUP(F724,[1]对照表!$G$3:$G$24,[1]对照表!$H$3:$H$24),LOOKUP(F724,[1]对照表!$G$27:$G$48,[1]对照表!$H$27:$H$48)),IF(B724="高二",IF($E724="男",LOOKUP(F724,[1]对照表!$F$3:$F$24,[1]对照表!$H$3:$H$24),LOOKUP(F724,[1]对照表!$F$27:$F$48,[1]对照表!$H$27:$H$48)),IF(B724="高一",IF($E724="男",LOOKUP(F724,[1]对照表!$E$3:$E$24,[1]对照表!$H$3:$H$24),LOOKUP(F724,[1]对照表!$E$27:$E$48,[1]对照表!$H$27:$H$48)))))</f>
        <v>80</v>
      </c>
      <c r="H724" s="38">
        <v>6</v>
      </c>
      <c r="I724" s="32">
        <f>IF(B724="高三",IF($E724="男",LOOKUP(H724,[1]对照表!$K$3:$K$24,[1]对照表!$L$3:$L$24),LOOKUP(H724,[1]对照表!$K$27:$K$48,[1]对照表!$L$27:$L$48)),IF(B724="高二",IF($E724="男",LOOKUP(H724,[1]对照表!$J$3:$J$24,[1]对照表!$L$3:$L$24),LOOKUP(H724,[1]对照表!$J$27:$J$48,[1]对照表!$L$27:$L$48)),IF(B724="高一",IF($E724="男",LOOKUP(H724,[1]对照表!$I$3:$I$24,[1]对照表!$L$3:$L$24),LOOKUP(H724,[1]对照表!$I$27:$I$48,[1]对照表!$L$27:$L$48)))))</f>
        <v>64</v>
      </c>
      <c r="J724" s="38">
        <v>220</v>
      </c>
      <c r="K724" s="32">
        <f>IF(B724="高三",IF($E724="男",LOOKUP(J724,[1]对照表!$O$3:$O$24,[1]对照表!$P$3:$P$24),LOOKUP(J724,[1]对照表!$O$27:$O$48,[1]对照表!$P$27:$P$48)),IF(B724="高二",IF($E724="男",LOOKUP(J724,[1]对照表!$N$3:$N$24,[1]对照表!$P$3:$P$24),LOOKUP(J724,[1]对照表!$N$27:$N$48,[1]对照表!$P$27:$P$48)),IF(B724="高一",IF($E724="男",LOOKUP(J724,[1]对照表!$M$3:$M$24,[1]对照表!$P$3:$P$24),LOOKUP(J724,[1]对照表!$M$27:$M$48,[1]对照表!$P$27:$P$48)))))</f>
        <v>70</v>
      </c>
      <c r="L724" s="38">
        <v>7</v>
      </c>
      <c r="M724" s="32">
        <f>IF(B724="高三",IF($E724="男",LOOKUP(L724,[1]对照表!$S$3:$S$24,[1]对照表!$T$3:$T$24),LOOKUP(L724,[1]对照表!$S$27:$S$48,[1]对照表!$T$27:$T$48)),IF(B724="高二",IF($E724="男",LOOKUP(L724,[1]对照表!$R$3:$R$24,[1]对照表!$T$3:$T$24),LOOKUP(L724,[1]对照表!$R$27:$R$48,[1]对照表!$T$27:$T$48)),IF(B724="高一",IF($E724="男",LOOKUP(L724,[1]对照表!$Q$3:$Q$24,[1]对照表!$T$3:$T$24),LOOKUP(L724,[1]对照表!$Q$27:$Q$48,[1]对照表!$T$27:$T$48)))))</f>
        <v>50</v>
      </c>
      <c r="N724" s="33">
        <f>IF(B724="高三",MAX(IF(E724="男",L724-18,L724-55),0),IF(B724="高二",MAX(IF(E724="男",L724-17,L724-54),0),IF(B724="高一",MAX(IF(E724="男",L724-16,L724-53),0))))</f>
        <v>0</v>
      </c>
      <c r="O724" s="23">
        <f>IF(E724="男",LOOKUP($N724,[1]对照表!$Z$3:$Z$13,[1]对照表!$AA$3:$AA$13),LOOKUP($N724,[1]对照表!$Z$15:$Z$25,[1]对照表!$AA$15:$AA$25))</f>
        <v>0</v>
      </c>
      <c r="P724" s="25">
        <f>M724+O724</f>
        <v>50</v>
      </c>
      <c r="Q724" s="38">
        <v>3.52</v>
      </c>
      <c r="R724" s="32">
        <f>IF(B724="高三",IF($E724="男",LOOKUP(Q724,[1]对照表!$W$3:$W$24,[1]对照表!$X$3:$X$24),LOOKUP(Q724,[1]对照表!$W$27:$W$48,[1]对照表!$X$27:$X$48)),IF(B724="高二",IF($E724="男",LOOKUP(Q724,[1]对照表!$V$3:$V$24,[1]对照表!$X$3:$X$24),LOOKUP(Q724,[1]对照表!$V$27:$V$48,[1]对照表!$X$27:$X$48)),IF(B724="高一",IF($E724="男",LOOKUP(Q724,[1]对照表!$U$3:$U$24,[1]对照表!$X$3:$X$24),LOOKUP(Q724,[1]对照表!$U$27:$U$48,[1]对照表!$X$27:$X$48)))))</f>
        <v>78</v>
      </c>
      <c r="S724" s="33">
        <f>ROUND(IF(IF($B724="高三",MIN(IF($E724="男",$Q724-3.2,$Q724-3.2),0),IF($B724="高二",MIN(IF($E724="男",$Q724-3.25,$Q724-3.22),0),IF($B724="高一",MIN(IF($E724="男",$Q724-3.3,$Q724-3.24),0))))&lt;-0.6,IF($B724="高三",MIN(IF($E724="男",$Q724-3.2,$Q724-3.2),0),IF($B724="高二",MIN(IF($E724="男",$Q724-3.25,$Q724-3.22),0),IF($B724="高一",MIN(IF($E724="男",$Q724-3.3,$Q724-3.24),0))))+0.4,IF($B724="高三",MIN(IF($E724="男",$Q724-3.2,$Q724-3.2),0),IF($B724="高二",MIN(IF($E724="男",$Q724-3.25,$Q724-3.22),0),IF($B724="高一",MIN(IF($E724="男",$Q724-3.3,$Q724-3.24),0))))),2)</f>
        <v>0</v>
      </c>
      <c r="T724" s="23">
        <f>IF(E724="男",LOOKUP($S724,[1]对照表!$AB$3:$AB$13,[1]对照表!$AC$3:$AC$13),LOOKUP($S724,[1]对照表!$AB$15:$AB$25,[1]对照表!$AC$15:$AC$25))</f>
        <v>0</v>
      </c>
      <c r="U724" s="26">
        <f>R724+T724</f>
        <v>78</v>
      </c>
      <c r="V724" s="26">
        <f>SUM(I724,K724,M724)/3*0.3+SUM(G724,R724)/2*0.4</f>
        <v>50</v>
      </c>
      <c r="W724" s="27">
        <f>O724+T724</f>
        <v>0</v>
      </c>
      <c r="X724" s="28">
        <f>V724/0.7+W724</f>
        <v>71.428571428571431</v>
      </c>
      <c r="Y724" s="28">
        <f>X724</f>
        <v>71.428571428571431</v>
      </c>
      <c r="Z724" s="38"/>
    </row>
    <row r="725" spans="1:26" ht="15.6" x14ac:dyDescent="0.25">
      <c r="A725" s="48">
        <v>34</v>
      </c>
      <c r="B725" s="17" t="s">
        <v>767</v>
      </c>
      <c r="C725" s="51" t="s">
        <v>771</v>
      </c>
      <c r="D725" s="49" t="s">
        <v>1360</v>
      </c>
      <c r="E725" s="48" t="s">
        <v>65</v>
      </c>
      <c r="F725" s="38">
        <v>9.76</v>
      </c>
      <c r="G725" s="32">
        <f>IF(B725="高三",IF($E725="男",LOOKUP(F725,[1]对照表!$G$3:$G$24,[1]对照表!$H$3:$H$24),LOOKUP(F725,[1]对照表!$G$27:$G$48,[1]对照表!$H$27:$H$48)),IF(B725="高二",IF($E725="男",LOOKUP(F725,[1]对照表!$F$3:$F$24,[1]对照表!$H$3:$H$24),LOOKUP(F725,[1]对照表!$F$27:$F$48,[1]对照表!$H$27:$H$48)),IF(B725="高一",IF($E725="男",LOOKUP(F725,[1]对照表!$E$3:$E$24,[1]对照表!$H$3:$H$24),LOOKUP(F725,[1]对照表!$E$27:$E$48,[1]对照表!$H$27:$H$48)))))</f>
        <v>66</v>
      </c>
      <c r="H725" s="38">
        <v>24.7</v>
      </c>
      <c r="I725" s="32">
        <f>IF(B725="高三",IF($E725="男",LOOKUP(H725,[1]对照表!$K$3:$K$24,[1]对照表!$L$3:$L$24),LOOKUP(H725,[1]对照表!$K$27:$K$48,[1]对照表!$L$27:$L$48)),IF(B725="高二",IF($E725="男",LOOKUP(H725,[1]对照表!$J$3:$J$24,[1]对照表!$L$3:$L$24),LOOKUP(H725,[1]对照表!$J$27:$J$48,[1]对照表!$L$27:$L$48)),IF(B725="高一",IF($E725="男",LOOKUP(H725,[1]对照表!$I$3:$I$24,[1]对照表!$L$3:$L$24),LOOKUP(H725,[1]对照表!$I$27:$I$48,[1]对照表!$L$27:$L$48)))))</f>
        <v>95</v>
      </c>
      <c r="J725" s="38">
        <v>160</v>
      </c>
      <c r="K725" s="32">
        <f>IF(B725="高三",IF($E725="男",LOOKUP(J725,[1]对照表!$O$3:$O$24,[1]对照表!$P$3:$P$24),LOOKUP(J725,[1]对照表!$O$27:$O$48,[1]对照表!$P$27:$P$48)),IF(B725="高二",IF($E725="男",LOOKUP(J725,[1]对照表!$N$3:$N$24,[1]对照表!$P$3:$P$24),LOOKUP(J725,[1]对照表!$N$27:$N$48,[1]对照表!$P$27:$P$48)),IF(B725="高一",IF($E725="男",LOOKUP(J725,[1]对照表!$M$3:$M$24,[1]对照表!$P$3:$P$24),LOOKUP(J725,[1]对照表!$M$27:$M$48,[1]对照表!$P$27:$P$48)))))</f>
        <v>66</v>
      </c>
      <c r="L725" s="38">
        <v>28</v>
      </c>
      <c r="M725" s="32">
        <f>IF(B725="高三",IF($E725="男",LOOKUP(L725,[1]对照表!$S$3:$S$24,[1]对照表!$T$3:$T$24),LOOKUP(L725,[1]对照表!$S$27:$S$48,[1]对照表!$T$27:$T$48)),IF(B725="高二",IF($E725="男",LOOKUP(L725,[1]对照表!$R$3:$R$24,[1]对照表!$T$3:$T$24),LOOKUP(L725,[1]对照表!$R$27:$R$48,[1]对照表!$T$27:$T$48)),IF(B725="高一",IF($E725="男",LOOKUP(L725,[1]对照表!$Q$3:$Q$24,[1]对照表!$T$3:$T$24),LOOKUP(L725,[1]对照表!$Q$27:$Q$48,[1]对照表!$T$27:$T$48)))))</f>
        <v>64</v>
      </c>
      <c r="N725" s="33">
        <f>IF(B725="高三",MAX(IF(E725="男",L725-18,L725-55),0),IF(B725="高二",MAX(IF(E725="男",L725-17,L725-54),0),IF(B725="高一",MAX(IF(E725="男",L725-16,L725-53),0))))</f>
        <v>0</v>
      </c>
      <c r="O725" s="23">
        <f>IF(E725="男",LOOKUP($N725,[1]对照表!$Z$3:$Z$13,[1]对照表!$AA$3:$AA$13),LOOKUP($N725,[1]对照表!$Z$15:$Z$25,[1]对照表!$AA$15:$AA$25))</f>
        <v>0</v>
      </c>
      <c r="P725" s="25">
        <f>M725+O725</f>
        <v>64</v>
      </c>
      <c r="Q725" s="38"/>
      <c r="R725" s="20">
        <v>0</v>
      </c>
      <c r="S725" s="22">
        <v>0</v>
      </c>
      <c r="T725" s="23">
        <f>IF(E725="男",LOOKUP($S725,[1]对照表!$AB$3:$AB$13,[1]对照表!$AC$3:$AC$13),LOOKUP($S725,[1]对照表!$AB$15:$AB$25,[1]对照表!$AC$15:$AC$25))</f>
        <v>0</v>
      </c>
      <c r="U725" s="26">
        <f>R725+T725</f>
        <v>0</v>
      </c>
      <c r="V725" s="26">
        <f>SUM(I725,K725,M725)/3*0.3+SUM(G725,R725)/2*0.4</f>
        <v>35.700000000000003</v>
      </c>
      <c r="W725" s="27">
        <f>O725+T725</f>
        <v>0</v>
      </c>
      <c r="X725" s="28">
        <f>V725/0.7+W725</f>
        <v>51.000000000000007</v>
      </c>
      <c r="Y725" s="28">
        <f>X725</f>
        <v>51.000000000000007</v>
      </c>
      <c r="Z725" s="38"/>
    </row>
    <row r="726" spans="1:26" ht="15.6" x14ac:dyDescent="0.25">
      <c r="A726" s="48">
        <v>25</v>
      </c>
      <c r="B726" s="17" t="s">
        <v>767</v>
      </c>
      <c r="C726" s="51" t="s">
        <v>771</v>
      </c>
      <c r="D726" s="49" t="s">
        <v>1374</v>
      </c>
      <c r="E726" s="55" t="s">
        <v>23</v>
      </c>
      <c r="F726" s="38">
        <v>7.7</v>
      </c>
      <c r="G726" s="32">
        <f>IF(B726="高三",IF($E726="男",LOOKUP(F726,[1]对照表!$G$3:$G$24,[1]对照表!$H$3:$H$24),LOOKUP(F726,[1]对照表!$G$27:$G$48,[1]对照表!$H$27:$H$48)),IF(B726="高二",IF($E726="男",LOOKUP(F726,[1]对照表!$F$3:$F$24,[1]对照表!$H$3:$H$24),LOOKUP(F726,[1]对照表!$F$27:$F$48,[1]对照表!$H$27:$H$48)),IF(B726="高一",IF($E726="男",LOOKUP(F726,[1]对照表!$E$3:$E$24,[1]对照表!$H$3:$H$24),LOOKUP(F726,[1]对照表!$E$27:$E$48,[1]对照表!$H$27:$H$48)))))</f>
        <v>76</v>
      </c>
      <c r="H726" s="38">
        <v>9.3000000000000007</v>
      </c>
      <c r="I726" s="32">
        <f>IF(B726="高三",IF($E726="男",LOOKUP(H726,[1]对照表!$K$3:$K$24,[1]对照表!$L$3:$L$24),LOOKUP(H726,[1]对照表!$K$27:$K$48,[1]对照表!$L$27:$L$48)),IF(B726="高二",IF($E726="男",LOOKUP(H726,[1]对照表!$J$3:$J$24,[1]对照表!$L$3:$L$24),LOOKUP(H726,[1]对照表!$J$27:$J$48,[1]对照表!$L$27:$L$48)),IF(B726="高一",IF($E726="男",LOOKUP(H726,[1]对照表!$I$3:$I$24,[1]对照表!$L$3:$L$24),LOOKUP(H726,[1]对照表!$I$27:$I$48,[1]对照表!$L$27:$L$48)))))</f>
        <v>70</v>
      </c>
      <c r="J726" s="38">
        <v>225</v>
      </c>
      <c r="K726" s="32">
        <f>IF(B726="高三",IF($E726="男",LOOKUP(J726,[1]对照表!$O$3:$O$24,[1]对照表!$P$3:$P$24),LOOKUP(J726,[1]对照表!$O$27:$O$48,[1]对照表!$P$27:$P$48)),IF(B726="高二",IF($E726="男",LOOKUP(J726,[1]对照表!$N$3:$N$24,[1]对照表!$P$3:$P$24),LOOKUP(J726,[1]对照表!$N$27:$N$48,[1]对照表!$P$27:$P$48)),IF(B726="高一",IF($E726="男",LOOKUP(J726,[1]对照表!$M$3:$M$24,[1]对照表!$P$3:$P$24),LOOKUP(J726,[1]对照表!$M$27:$M$48,[1]对照表!$P$27:$P$48)))))</f>
        <v>72</v>
      </c>
      <c r="L726" s="38">
        <v>4</v>
      </c>
      <c r="M726" s="32">
        <f>IF(B726="高三",IF($E726="男",LOOKUP(L726,[1]对照表!$S$3:$S$24,[1]对照表!$T$3:$T$24),LOOKUP(L726,[1]对照表!$S$27:$S$48,[1]对照表!$T$27:$T$48)),IF(B726="高二",IF($E726="男",LOOKUP(L726,[1]对照表!$R$3:$R$24,[1]对照表!$T$3:$T$24),LOOKUP(L726,[1]对照表!$R$27:$R$48,[1]对照表!$T$27:$T$48)),IF(B726="高一",IF($E726="男",LOOKUP(L726,[1]对照表!$Q$3:$Q$24,[1]对照表!$T$3:$T$24),LOOKUP(L726,[1]对照表!$Q$27:$Q$48,[1]对照表!$T$27:$T$48)))))</f>
        <v>20</v>
      </c>
      <c r="N726" s="33">
        <f>IF(B726="高三",MAX(IF(E726="男",L726-18,L726-55),0),IF(B726="高二",MAX(IF(E726="男",L726-17,L726-54),0),IF(B726="高一",MAX(IF(E726="男",L726-16,L726-53),0))))</f>
        <v>0</v>
      </c>
      <c r="O726" s="23">
        <f>IF(E726="男",LOOKUP($N726,[1]对照表!$Z$3:$Z$13,[1]对照表!$AA$3:$AA$13),LOOKUP($N726,[1]对照表!$Z$15:$Z$25,[1]对照表!$AA$15:$AA$25))</f>
        <v>0</v>
      </c>
      <c r="P726" s="25">
        <f>M726+O726</f>
        <v>20</v>
      </c>
      <c r="Q726" s="38">
        <v>3.42</v>
      </c>
      <c r="R726" s="32">
        <f>IF(B726="高三",IF($E726="男",LOOKUP(Q726,[1]对照表!$W$3:$W$24,[1]对照表!$X$3:$X$24),LOOKUP(Q726,[1]对照表!$W$27:$W$48,[1]对照表!$X$27:$X$48)),IF(B726="高二",IF($E726="男",LOOKUP(Q726,[1]对照表!$V$3:$V$24,[1]对照表!$X$3:$X$24),LOOKUP(Q726,[1]对照表!$V$27:$V$48,[1]对照表!$X$27:$X$48)),IF(B726="高一",IF($E726="男",LOOKUP(Q726,[1]对照表!$U$3:$U$24,[1]对照表!$X$3:$X$24),LOOKUP(Q726,[1]对照表!$U$27:$U$48,[1]对照表!$X$27:$X$48)))))</f>
        <v>85</v>
      </c>
      <c r="S726" s="33">
        <f>ROUND(IF(IF($B726="高三",MIN(IF($E726="男",$Q726-3.2,$Q726-3.2),0),IF($B726="高二",MIN(IF($E726="男",$Q726-3.25,$Q726-3.22),0),IF($B726="高一",MIN(IF($E726="男",$Q726-3.3,$Q726-3.24),0))))&lt;-0.6,IF($B726="高三",MIN(IF($E726="男",$Q726-3.2,$Q726-3.2),0),IF($B726="高二",MIN(IF($E726="男",$Q726-3.25,$Q726-3.22),0),IF($B726="高一",MIN(IF($E726="男",$Q726-3.3,$Q726-3.24),0))))+0.4,IF($B726="高三",MIN(IF($E726="男",$Q726-3.2,$Q726-3.2),0),IF($B726="高二",MIN(IF($E726="男",$Q726-3.25,$Q726-3.22),0),IF($B726="高一",MIN(IF($E726="男",$Q726-3.3,$Q726-3.24),0))))),2)</f>
        <v>0</v>
      </c>
      <c r="T726" s="23">
        <f>IF(E726="男",LOOKUP($S726,[1]对照表!$AB$3:$AB$13,[1]对照表!$AC$3:$AC$13),LOOKUP($S726,[1]对照表!$AB$15:$AB$25,[1]对照表!$AC$15:$AC$25))</f>
        <v>0</v>
      </c>
      <c r="U726" s="26">
        <f>R726+T726</f>
        <v>85</v>
      </c>
      <c r="V726" s="26">
        <f>SUM(I726,K726,M726)/3*0.3+SUM(G726,R726)/2*0.4</f>
        <v>48.400000000000006</v>
      </c>
      <c r="W726" s="27">
        <f>O726+T726</f>
        <v>0</v>
      </c>
      <c r="X726" s="28">
        <f>V726/0.7+W726</f>
        <v>69.142857142857153</v>
      </c>
      <c r="Y726" s="28">
        <f>X726</f>
        <v>69.142857142857153</v>
      </c>
      <c r="Z726" s="38"/>
    </row>
    <row r="727" spans="1:26" ht="15.6" customHeight="1" x14ac:dyDescent="0.15">
      <c r="A727" s="38">
        <v>20</v>
      </c>
      <c r="B727" s="17" t="s">
        <v>767</v>
      </c>
      <c r="C727" s="51" t="s">
        <v>771</v>
      </c>
      <c r="D727" s="49" t="s">
        <v>1384</v>
      </c>
      <c r="E727" s="55" t="s">
        <v>23</v>
      </c>
      <c r="F727" s="38">
        <v>8.1</v>
      </c>
      <c r="G727" s="32">
        <f>IF(B727="高三",IF($E727="男",LOOKUP(F727,[1]对照表!$G$3:$G$24,[1]对照表!$H$3:$H$24),LOOKUP(F727,[1]对照表!$G$27:$G$48,[1]对照表!$H$27:$H$48)),IF(B727="高二",IF($E727="男",LOOKUP(F727,[1]对照表!$F$3:$F$24,[1]对照表!$H$3:$H$24),LOOKUP(F727,[1]对照表!$F$27:$F$48,[1]对照表!$H$27:$H$48)),IF(B727="高一",IF($E727="男",LOOKUP(F727,[1]对照表!$E$3:$E$24,[1]对照表!$H$3:$H$24),LOOKUP(F727,[1]对照表!$E$27:$E$48,[1]对照表!$H$27:$H$48)))))</f>
        <v>72</v>
      </c>
      <c r="H727" s="38">
        <v>4.5</v>
      </c>
      <c r="I727" s="32">
        <f>IF(B727="高三",IF($E727="男",LOOKUP(H727,[1]对照表!$K$3:$K$24,[1]对照表!$L$3:$L$24),LOOKUP(H727,[1]对照表!$K$27:$K$48,[1]对照表!$L$27:$L$48)),IF(B727="高二",IF($E727="男",LOOKUP(H727,[1]对照表!$J$3:$J$24,[1]对照表!$L$3:$L$24),LOOKUP(H727,[1]对照表!$J$27:$J$48,[1]对照表!$L$27:$L$48)),IF(B727="高一",IF($E727="男",LOOKUP(H727,[1]对照表!$I$3:$I$24,[1]对照表!$L$3:$L$24),LOOKUP(H727,[1]对照表!$I$27:$I$48,[1]对照表!$L$27:$L$48)))))</f>
        <v>62</v>
      </c>
      <c r="J727" s="38">
        <v>217</v>
      </c>
      <c r="K727" s="32">
        <f>IF(B727="高三",IF($E727="男",LOOKUP(J727,[1]对照表!$O$3:$O$24,[1]对照表!$P$3:$P$24),LOOKUP(J727,[1]对照表!$O$27:$O$48,[1]对照表!$P$27:$P$48)),IF(B727="高二",IF($E727="男",LOOKUP(J727,[1]对照表!$N$3:$N$24,[1]对照表!$P$3:$P$24),LOOKUP(J727,[1]对照表!$N$27:$N$48,[1]对照表!$P$27:$P$48)),IF(B727="高一",IF($E727="男",LOOKUP(J727,[1]对照表!$M$3:$M$24,[1]对照表!$P$3:$P$24),LOOKUP(J727,[1]对照表!$M$27:$M$48,[1]对照表!$P$27:$P$48)))))</f>
        <v>68</v>
      </c>
      <c r="L727" s="38">
        <v>7</v>
      </c>
      <c r="M727" s="32">
        <f>IF(B727="高三",IF($E727="男",LOOKUP(L727,[1]对照表!$S$3:$S$24,[1]对照表!$T$3:$T$24),LOOKUP(L727,[1]对照表!$S$27:$S$48,[1]对照表!$T$27:$T$48)),IF(B727="高二",IF($E727="男",LOOKUP(L727,[1]对照表!$R$3:$R$24,[1]对照表!$T$3:$T$24),LOOKUP(L727,[1]对照表!$R$27:$R$48,[1]对照表!$T$27:$T$48)),IF(B727="高一",IF($E727="男",LOOKUP(L727,[1]对照表!$Q$3:$Q$24,[1]对照表!$T$3:$T$24),LOOKUP(L727,[1]对照表!$Q$27:$Q$48,[1]对照表!$T$27:$T$48)))))</f>
        <v>50</v>
      </c>
      <c r="N727" s="33">
        <f>IF(B727="高三",MAX(IF(E727="男",L727-18,L727-55),0),IF(B727="高二",MAX(IF(E727="男",L727-17,L727-54),0),IF(B727="高一",MAX(IF(E727="男",L727-16,L727-53),0))))</f>
        <v>0</v>
      </c>
      <c r="O727" s="23">
        <f>IF(E727="男",LOOKUP($N727,[1]对照表!$Z$3:$Z$13,[1]对照表!$AA$3:$AA$13),LOOKUP($N727,[1]对照表!$Z$15:$Z$25,[1]对照表!$AA$15:$AA$25))</f>
        <v>0</v>
      </c>
      <c r="P727" s="25">
        <f>M727+O727</f>
        <v>50</v>
      </c>
      <c r="Q727" s="38">
        <v>4.0199999999999996</v>
      </c>
      <c r="R727" s="32">
        <f>IF(B727="高三",IF($E727="男",LOOKUP(Q727,[1]对照表!$W$3:$W$24,[1]对照表!$X$3:$X$24),LOOKUP(Q727,[1]对照表!$W$27:$W$48,[1]对照表!$X$27:$X$48)),IF(B727="高二",IF($E727="男",LOOKUP(Q727,[1]对照表!$V$3:$V$24,[1]对照表!$X$3:$X$24),LOOKUP(Q727,[1]对照表!$V$27:$V$48,[1]对照表!$X$27:$X$48)),IF(B727="高一",IF($E727="男",LOOKUP(Q727,[1]对照表!$U$3:$U$24,[1]对照表!$X$3:$X$24),LOOKUP(Q727,[1]对照表!$U$27:$U$48,[1]对照表!$X$27:$X$48)))))</f>
        <v>74</v>
      </c>
      <c r="S727" s="33">
        <f>ROUND(IF(IF($B727="高三",MIN(IF($E727="男",$Q727-3.2,$Q727-3.2),0),IF($B727="高二",MIN(IF($E727="男",$Q727-3.25,$Q727-3.22),0),IF($B727="高一",MIN(IF($E727="男",$Q727-3.3,$Q727-3.24),0))))&lt;-0.6,IF($B727="高三",MIN(IF($E727="男",$Q727-3.2,$Q727-3.2),0),IF($B727="高二",MIN(IF($E727="男",$Q727-3.25,$Q727-3.22),0),IF($B727="高一",MIN(IF($E727="男",$Q727-3.3,$Q727-3.24),0))))+0.4,IF($B727="高三",MIN(IF($E727="男",$Q727-3.2,$Q727-3.2),0),IF($B727="高二",MIN(IF($E727="男",$Q727-3.25,$Q727-3.22),0),IF($B727="高一",MIN(IF($E727="男",$Q727-3.3,$Q727-3.24),0))))),2)</f>
        <v>0</v>
      </c>
      <c r="T727" s="23">
        <f>IF(E727="男",LOOKUP($S727,[1]对照表!$AB$3:$AB$13,[1]对照表!$AC$3:$AC$13),LOOKUP($S727,[1]对照表!$AB$15:$AB$25,[1]对照表!$AC$15:$AC$25))</f>
        <v>0</v>
      </c>
      <c r="U727" s="26">
        <f>R727+T727</f>
        <v>74</v>
      </c>
      <c r="V727" s="26">
        <f>SUM(I727,K727,M727)/3*0.3+SUM(G727,R727)/2*0.4</f>
        <v>47.2</v>
      </c>
      <c r="W727" s="27">
        <f>O727+T727</f>
        <v>0</v>
      </c>
      <c r="X727" s="28">
        <f>V727/0.7+W727</f>
        <v>67.428571428571431</v>
      </c>
      <c r="Y727" s="28">
        <f>X727</f>
        <v>67.428571428571431</v>
      </c>
      <c r="Z727" s="38"/>
    </row>
    <row r="728" spans="1:26" ht="15.6" customHeight="1" x14ac:dyDescent="0.15">
      <c r="A728" s="38">
        <v>16</v>
      </c>
      <c r="B728" s="17" t="s">
        <v>767</v>
      </c>
      <c r="C728" s="51" t="s">
        <v>771</v>
      </c>
      <c r="D728" s="49" t="s">
        <v>1387</v>
      </c>
      <c r="E728" s="55" t="s">
        <v>23</v>
      </c>
      <c r="F728" s="38">
        <v>7.8</v>
      </c>
      <c r="G728" s="32">
        <f>IF(B728="高三",IF($E728="男",LOOKUP(F728,[1]对照表!$G$3:$G$24,[1]对照表!$H$3:$H$24),LOOKUP(F728,[1]对照表!$G$27:$G$48,[1]对照表!$H$27:$H$48)),IF(B728="高二",IF($E728="男",LOOKUP(F728,[1]对照表!$F$3:$F$24,[1]对照表!$H$3:$H$24),LOOKUP(F728,[1]对照表!$F$27:$F$48,[1]对照表!$H$27:$H$48)),IF(B728="高一",IF($E728="男",LOOKUP(F728,[1]对照表!$E$3:$E$24,[1]对照表!$H$3:$H$24),LOOKUP(F728,[1]对照表!$E$27:$E$48,[1]对照表!$H$27:$H$48)))))</f>
        <v>76</v>
      </c>
      <c r="H728" s="38">
        <v>9.5</v>
      </c>
      <c r="I728" s="32">
        <f>IF(B728="高三",IF($E728="男",LOOKUP(H728,[1]对照表!$K$3:$K$24,[1]对照表!$L$3:$L$24),LOOKUP(H728,[1]对照表!$K$27:$K$48,[1]对照表!$L$27:$L$48)),IF(B728="高二",IF($E728="男",LOOKUP(H728,[1]对照表!$J$3:$J$24,[1]对照表!$L$3:$L$24),LOOKUP(H728,[1]对照表!$J$27:$J$48,[1]对照表!$L$27:$L$48)),IF(B728="高一",IF($E728="男",LOOKUP(H728,[1]对照表!$I$3:$I$24,[1]对照表!$L$3:$L$24),LOOKUP(H728,[1]对照表!$I$27:$I$48,[1]对照表!$L$27:$L$48)))))</f>
        <v>70</v>
      </c>
      <c r="J728" s="38">
        <v>220</v>
      </c>
      <c r="K728" s="32">
        <f>IF(B728="高三",IF($E728="男",LOOKUP(J728,[1]对照表!$O$3:$O$24,[1]对照表!$P$3:$P$24),LOOKUP(J728,[1]对照表!$O$27:$O$48,[1]对照表!$P$27:$P$48)),IF(B728="高二",IF($E728="男",LOOKUP(J728,[1]对照表!$N$3:$N$24,[1]对照表!$P$3:$P$24),LOOKUP(J728,[1]对照表!$N$27:$N$48,[1]对照表!$P$27:$P$48)),IF(B728="高一",IF($E728="男",LOOKUP(J728,[1]对照表!$M$3:$M$24,[1]对照表!$P$3:$P$24),LOOKUP(J728,[1]对照表!$M$27:$M$48,[1]对照表!$P$27:$P$48)))))</f>
        <v>70</v>
      </c>
      <c r="L728" s="38">
        <v>4</v>
      </c>
      <c r="M728" s="32">
        <f>IF(B728="高三",IF($E728="男",LOOKUP(L728,[1]对照表!$S$3:$S$24,[1]对照表!$T$3:$T$24),LOOKUP(L728,[1]对照表!$S$27:$S$48,[1]对照表!$T$27:$T$48)),IF(B728="高二",IF($E728="男",LOOKUP(L728,[1]对照表!$R$3:$R$24,[1]对照表!$T$3:$T$24),LOOKUP(L728,[1]对照表!$R$27:$R$48,[1]对照表!$T$27:$T$48)),IF(B728="高一",IF($E728="男",LOOKUP(L728,[1]对照表!$Q$3:$Q$24,[1]对照表!$T$3:$T$24),LOOKUP(L728,[1]对照表!$Q$27:$Q$48,[1]对照表!$T$27:$T$48)))))</f>
        <v>20</v>
      </c>
      <c r="N728" s="33">
        <f>IF(B728="高三",MAX(IF(E728="男",L728-18,L728-55),0),IF(B728="高二",MAX(IF(E728="男",L728-17,L728-54),0),IF(B728="高一",MAX(IF(E728="男",L728-16,L728-53),0))))</f>
        <v>0</v>
      </c>
      <c r="O728" s="23">
        <f>IF(E728="男",LOOKUP($N728,[1]对照表!$Z$3:$Z$13,[1]对照表!$AA$3:$AA$13),LOOKUP($N728,[1]对照表!$Z$15:$Z$25,[1]对照表!$AA$15:$AA$25))</f>
        <v>0</v>
      </c>
      <c r="P728" s="25">
        <f>M728+O728</f>
        <v>20</v>
      </c>
      <c r="Q728" s="38">
        <v>3.52</v>
      </c>
      <c r="R728" s="32">
        <f>IF(B728="高三",IF($E728="男",LOOKUP(Q728,[1]对照表!$W$3:$W$24,[1]对照表!$X$3:$X$24),LOOKUP(Q728,[1]对照表!$W$27:$W$48,[1]对照表!$X$27:$X$48)),IF(B728="高二",IF($E728="男",LOOKUP(Q728,[1]对照表!$V$3:$V$24,[1]对照表!$X$3:$X$24),LOOKUP(Q728,[1]对照表!$V$27:$V$48,[1]对照表!$X$27:$X$48)),IF(B728="高一",IF($E728="男",LOOKUP(Q728,[1]对照表!$U$3:$U$24,[1]对照表!$X$3:$X$24),LOOKUP(Q728,[1]对照表!$U$27:$U$48,[1]对照表!$X$27:$X$48)))))</f>
        <v>78</v>
      </c>
      <c r="S728" s="33">
        <f>ROUND(IF(IF($B728="高三",MIN(IF($E728="男",$Q728-3.2,$Q728-3.2),0),IF($B728="高二",MIN(IF($E728="男",$Q728-3.25,$Q728-3.22),0),IF($B728="高一",MIN(IF($E728="男",$Q728-3.3,$Q728-3.24),0))))&lt;-0.6,IF($B728="高三",MIN(IF($E728="男",$Q728-3.2,$Q728-3.2),0),IF($B728="高二",MIN(IF($E728="男",$Q728-3.25,$Q728-3.22),0),IF($B728="高一",MIN(IF($E728="男",$Q728-3.3,$Q728-3.24),0))))+0.4,IF($B728="高三",MIN(IF($E728="男",$Q728-3.2,$Q728-3.2),0),IF($B728="高二",MIN(IF($E728="男",$Q728-3.25,$Q728-3.22),0),IF($B728="高一",MIN(IF($E728="男",$Q728-3.3,$Q728-3.24),0))))),2)</f>
        <v>0</v>
      </c>
      <c r="T728" s="23">
        <f>IF(E728="男",LOOKUP($S728,[1]对照表!$AB$3:$AB$13,[1]对照表!$AC$3:$AC$13),LOOKUP($S728,[1]对照表!$AB$15:$AB$25,[1]对照表!$AC$15:$AC$25))</f>
        <v>0</v>
      </c>
      <c r="U728" s="26">
        <f>R728+T728</f>
        <v>78</v>
      </c>
      <c r="V728" s="26">
        <f>SUM(I728,K728,M728)/3*0.3+SUM(G728,R728)/2*0.4</f>
        <v>46.8</v>
      </c>
      <c r="W728" s="27">
        <f>O728+T728</f>
        <v>0</v>
      </c>
      <c r="X728" s="28">
        <f>V728/0.7+W728</f>
        <v>66.857142857142861</v>
      </c>
      <c r="Y728" s="28">
        <f>X728</f>
        <v>66.857142857142861</v>
      </c>
      <c r="Z728" s="38"/>
    </row>
    <row r="729" spans="1:26" ht="15.6" customHeight="1" x14ac:dyDescent="0.15">
      <c r="A729" s="38">
        <v>22</v>
      </c>
      <c r="B729" s="17" t="s">
        <v>767</v>
      </c>
      <c r="C729" s="51" t="s">
        <v>771</v>
      </c>
      <c r="D729" s="49" t="s">
        <v>1390</v>
      </c>
      <c r="E729" s="55" t="s">
        <v>23</v>
      </c>
      <c r="F729" s="38">
        <v>7.8</v>
      </c>
      <c r="G729" s="32">
        <f>IF(B729="高三",IF($E729="男",LOOKUP(F729,[1]对照表!$G$3:$G$24,[1]对照表!$H$3:$H$24),LOOKUP(F729,[1]对照表!$G$27:$G$48,[1]对照表!$H$27:$H$48)),IF(B729="高二",IF($E729="男",LOOKUP(F729,[1]对照表!$F$3:$F$24,[1]对照表!$H$3:$H$24),LOOKUP(F729,[1]对照表!$F$27:$F$48,[1]对照表!$H$27:$H$48)),IF(B729="高一",IF($E729="男",LOOKUP(F729,[1]对照表!$E$3:$E$24,[1]对照表!$H$3:$H$24),LOOKUP(F729,[1]对照表!$E$27:$E$48,[1]对照表!$H$27:$H$48)))))</f>
        <v>76</v>
      </c>
      <c r="H729" s="38">
        <v>12.5</v>
      </c>
      <c r="I729" s="32">
        <f>IF(B729="高三",IF($E729="男",LOOKUP(H729,[1]对照表!$K$3:$K$24,[1]对照表!$L$3:$L$24),LOOKUP(H729,[1]对照表!$K$27:$K$48,[1]对照表!$L$27:$L$48)),IF(B729="高二",IF($E729="男",LOOKUP(H729,[1]对照表!$J$3:$J$24,[1]对照表!$L$3:$L$24),LOOKUP(H729,[1]对照表!$J$27:$J$48,[1]对照表!$L$27:$L$48)),IF(B729="高一",IF($E729="男",LOOKUP(H729,[1]对照表!$I$3:$I$24,[1]对照表!$L$3:$L$24),LOOKUP(H729,[1]对照表!$I$27:$I$48,[1]对照表!$L$27:$L$48)))))</f>
        <v>74</v>
      </c>
      <c r="J729" s="38">
        <v>200</v>
      </c>
      <c r="K729" s="32">
        <f>IF(B729="高三",IF($E729="男",LOOKUP(J729,[1]对照表!$O$3:$O$24,[1]对照表!$P$3:$P$24),LOOKUP(J729,[1]对照表!$O$27:$O$48,[1]对照表!$P$27:$P$48)),IF(B729="高二",IF($E729="男",LOOKUP(J729,[1]对照表!$N$3:$N$24,[1]对照表!$P$3:$P$24),LOOKUP(J729,[1]对照表!$N$27:$N$48,[1]对照表!$P$27:$P$48)),IF(B729="高一",IF($E729="男",LOOKUP(J729,[1]对照表!$M$3:$M$24,[1]对照表!$P$3:$P$24),LOOKUP(J729,[1]对照表!$M$27:$M$48,[1]对照表!$P$27:$P$48)))))</f>
        <v>60</v>
      </c>
      <c r="L729" s="38">
        <v>7</v>
      </c>
      <c r="M729" s="32">
        <f>IF(B729="高三",IF($E729="男",LOOKUP(L729,[1]对照表!$S$3:$S$24,[1]对照表!$T$3:$T$24),LOOKUP(L729,[1]对照表!$S$27:$S$48,[1]对照表!$T$27:$T$48)),IF(B729="高二",IF($E729="男",LOOKUP(L729,[1]对照表!$R$3:$R$24,[1]对照表!$T$3:$T$24),LOOKUP(L729,[1]对照表!$R$27:$R$48,[1]对照表!$T$27:$T$48)),IF(B729="高一",IF($E729="男",LOOKUP(L729,[1]对照表!$Q$3:$Q$24,[1]对照表!$T$3:$T$24),LOOKUP(L729,[1]对照表!$Q$27:$Q$48,[1]对照表!$T$27:$T$48)))))</f>
        <v>50</v>
      </c>
      <c r="N729" s="33">
        <f>IF(B729="高三",MAX(IF(E729="男",L729-18,L729-55),0),IF(B729="高二",MAX(IF(E729="男",L729-17,L729-54),0),IF(B729="高一",MAX(IF(E729="男",L729-16,L729-53),0))))</f>
        <v>0</v>
      </c>
      <c r="O729" s="23">
        <f>IF(E729="男",LOOKUP($N729,[1]对照表!$Z$3:$Z$13,[1]对照表!$AA$3:$AA$13),LOOKUP($N729,[1]对照表!$Z$15:$Z$25,[1]对照表!$AA$15:$AA$25))</f>
        <v>0</v>
      </c>
      <c r="P729" s="25">
        <f>M729+O729</f>
        <v>50</v>
      </c>
      <c r="Q729" s="38">
        <v>4.3</v>
      </c>
      <c r="R729" s="32">
        <f>IF(B729="高三",IF($E729="男",LOOKUP(Q729,[1]对照表!$W$3:$W$24,[1]对照表!$X$3:$X$24),LOOKUP(Q729,[1]对照表!$W$27:$W$48,[1]对照表!$X$27:$X$48)),IF(B729="高二",IF($E729="男",LOOKUP(Q729,[1]对照表!$V$3:$V$24,[1]对照表!$X$3:$X$24),LOOKUP(Q729,[1]对照表!$V$27:$V$48,[1]对照表!$X$27:$X$48)),IF(B729="高一",IF($E729="男",LOOKUP(Q729,[1]对照表!$U$3:$U$24,[1]对照表!$X$3:$X$24),LOOKUP(Q729,[1]对照表!$U$27:$U$48,[1]对照表!$X$27:$X$48)))))</f>
        <v>64</v>
      </c>
      <c r="S729" s="27">
        <f>ROUND(IF(IF($B729="高三",MIN(IF($E729="男",$Q729-3.2,$Q729-3.2),0),IF($B729="高二",MIN(IF($E729="男",$Q729-3.25,$Q729-3.22),0),IF($B729="高一",MIN(IF($E729="男",$Q729-3.3,$Q729-3.24),0))))&lt;-0.6,IF($B729="高三",MIN(IF($E729="男",$Q729-3.2,$Q729-3.2),0),IF($B729="高二",MIN(IF($E729="男",$Q729-3.25,$Q729-3.22),0),IF($B729="高一",MIN(IF($E729="男",$Q729-3.3,$Q729-3.24),0))))+0.4,IF($B729="高三",MIN(IF($E729="男",$Q729-3.2,$Q729-3.2),0),IF($B729="高二",MIN(IF($E729="男",$Q729-3.25,$Q729-3.22),0),IF($B729="高一",MIN(IF($E729="男",$Q729-3.3,$Q729-3.24),0))))),2)</f>
        <v>0</v>
      </c>
      <c r="T729" s="23">
        <f>IF(E729="男",LOOKUP($S729,[1]对照表!$AB$3:$AB$13,[1]对照表!$AC$3:$AC$13),LOOKUP($S729,[1]对照表!$AB$15:$AB$25,[1]对照表!$AC$15:$AC$25))</f>
        <v>0</v>
      </c>
      <c r="U729" s="26">
        <f>R729+T729</f>
        <v>64</v>
      </c>
      <c r="V729" s="26">
        <f>SUM(I729,K729,M729)/3*0.3+SUM(G729,R729)/2*0.4</f>
        <v>46.4</v>
      </c>
      <c r="W729" s="27">
        <f>O729+T729</f>
        <v>0</v>
      </c>
      <c r="X729" s="28">
        <f>V729/0.7+W729</f>
        <v>66.285714285714292</v>
      </c>
      <c r="Y729" s="28">
        <f>X729</f>
        <v>66.285714285714292</v>
      </c>
      <c r="Z729" s="38"/>
    </row>
    <row r="730" spans="1:26" ht="15.6" customHeight="1" x14ac:dyDescent="0.15">
      <c r="A730" s="38">
        <v>12</v>
      </c>
      <c r="B730" s="17" t="s">
        <v>767</v>
      </c>
      <c r="C730" s="51" t="s">
        <v>771</v>
      </c>
      <c r="D730" s="49" t="s">
        <v>1441</v>
      </c>
      <c r="E730" s="55" t="s">
        <v>23</v>
      </c>
      <c r="F730" s="38">
        <v>8.4</v>
      </c>
      <c r="G730" s="32">
        <f>IF(B730="高三",IF($E730="男",LOOKUP(F730,[1]对照表!$G$3:$G$24,[1]对照表!$H$3:$H$24),LOOKUP(F730,[1]对照表!$G$27:$G$48,[1]对照表!$H$27:$H$48)),IF(B730="高二",IF($E730="男",LOOKUP(F730,[1]对照表!$F$3:$F$24,[1]对照表!$H$3:$H$24),LOOKUP(F730,[1]对照表!$F$27:$F$48,[1]对照表!$H$27:$H$48)),IF(B730="高一",IF($E730="男",LOOKUP(F730,[1]对照表!$E$3:$E$24,[1]对照表!$H$3:$H$24),LOOKUP(F730,[1]对照表!$E$27:$E$48,[1]对照表!$H$27:$H$48)))))</f>
        <v>70</v>
      </c>
      <c r="H730" s="38">
        <v>4.5</v>
      </c>
      <c r="I730" s="32">
        <f>IF(B730="高三",IF($E730="男",LOOKUP(H730,[1]对照表!$K$3:$K$24,[1]对照表!$L$3:$L$24),LOOKUP(H730,[1]对照表!$K$27:$K$48,[1]对照表!$L$27:$L$48)),IF(B730="高二",IF($E730="男",LOOKUP(H730,[1]对照表!$J$3:$J$24,[1]对照表!$L$3:$L$24),LOOKUP(H730,[1]对照表!$J$27:$J$48,[1]对照表!$L$27:$L$48)),IF(B730="高一",IF($E730="男",LOOKUP(H730,[1]对照表!$I$3:$I$24,[1]对照表!$L$3:$L$24),LOOKUP(H730,[1]对照表!$I$27:$I$48,[1]对照表!$L$27:$L$48)))))</f>
        <v>62</v>
      </c>
      <c r="J730" s="38">
        <v>200</v>
      </c>
      <c r="K730" s="32">
        <f>IF(B730="高三",IF($E730="男",LOOKUP(J730,[1]对照表!$O$3:$O$24,[1]对照表!$P$3:$P$24),LOOKUP(J730,[1]对照表!$O$27:$O$48,[1]对照表!$P$27:$P$48)),IF(B730="高二",IF($E730="男",LOOKUP(J730,[1]对照表!$N$3:$N$24,[1]对照表!$P$3:$P$24),LOOKUP(J730,[1]对照表!$N$27:$N$48,[1]对照表!$P$27:$P$48)),IF(B730="高一",IF($E730="男",LOOKUP(J730,[1]对照表!$M$3:$M$24,[1]对照表!$P$3:$P$24),LOOKUP(J730,[1]对照表!$M$27:$M$48,[1]对照表!$P$27:$P$48)))))</f>
        <v>60</v>
      </c>
      <c r="L730" s="38">
        <v>1</v>
      </c>
      <c r="M730" s="32">
        <f>IF(B730="高三",IF($E730="男",LOOKUP(L730,[1]对照表!$S$3:$S$24,[1]对照表!$T$3:$T$24),LOOKUP(L730,[1]对照表!$S$27:$S$48,[1]对照表!$T$27:$T$48)),IF(B730="高二",IF($E730="男",LOOKUP(L730,[1]对照表!$R$3:$R$24,[1]对照表!$T$3:$T$24),LOOKUP(L730,[1]对照表!$R$27:$R$48,[1]对照表!$T$27:$T$48)),IF(B730="高一",IF($E730="男",LOOKUP(L730,[1]对照表!$Q$3:$Q$24,[1]对照表!$T$3:$T$24),LOOKUP(L730,[1]对照表!$Q$27:$Q$48,[1]对照表!$T$27:$T$48)))))</f>
        <v>0</v>
      </c>
      <c r="N730" s="33">
        <f>IF(B730="高三",MAX(IF(E730="男",L730-18,L730-55),0),IF(B730="高二",MAX(IF(E730="男",L730-17,L730-54),0),IF(B730="高一",MAX(IF(E730="男",L730-16,L730-53),0))))</f>
        <v>0</v>
      </c>
      <c r="O730" s="23">
        <f>IF(E730="男",LOOKUP($N730,[1]对照表!$Z$3:$Z$13,[1]对照表!$AA$3:$AA$13),LOOKUP($N730,[1]对照表!$Z$15:$Z$25,[1]对照表!$AA$15:$AA$25))</f>
        <v>0</v>
      </c>
      <c r="P730" s="25">
        <f>M730+O730</f>
        <v>0</v>
      </c>
      <c r="Q730" s="38">
        <v>4.28</v>
      </c>
      <c r="R730" s="32">
        <f>IF(B730="高三",IF($E730="男",LOOKUP(Q730,[1]对照表!$W$3:$W$24,[1]对照表!$X$3:$X$24),LOOKUP(Q730,[1]对照表!$W$27:$W$48,[1]对照表!$X$27:$X$48)),IF(B730="高二",IF($E730="男",LOOKUP(Q730,[1]对照表!$V$3:$V$24,[1]对照表!$X$3:$X$24),LOOKUP(Q730,[1]对照表!$V$27:$V$48,[1]对照表!$X$27:$X$48)),IF(B730="高一",IF($E730="男",LOOKUP(Q730,[1]对照表!$U$3:$U$24,[1]对照表!$X$3:$X$24),LOOKUP(Q730,[1]对照表!$U$27:$U$48,[1]对照表!$X$27:$X$48)))))</f>
        <v>64</v>
      </c>
      <c r="S730" s="33">
        <f>ROUND(IF(IF($B730="高三",MIN(IF($E730="男",$Q730-3.2,$Q730-3.2),0),IF($B730="高二",MIN(IF($E730="男",$Q730-3.25,$Q730-3.22),0),IF($B730="高一",MIN(IF($E730="男",$Q730-3.3,$Q730-3.24),0))))&lt;-0.6,IF($B730="高三",MIN(IF($E730="男",$Q730-3.2,$Q730-3.2),0),IF($B730="高二",MIN(IF($E730="男",$Q730-3.25,$Q730-3.22),0),IF($B730="高一",MIN(IF($E730="男",$Q730-3.3,$Q730-3.24),0))))+0.4,IF($B730="高三",MIN(IF($E730="男",$Q730-3.2,$Q730-3.2),0),IF($B730="高二",MIN(IF($E730="男",$Q730-3.25,$Q730-3.22),0),IF($B730="高一",MIN(IF($E730="男",$Q730-3.3,$Q730-3.24),0))))),2)</f>
        <v>0</v>
      </c>
      <c r="T730" s="23">
        <f>IF(E730="男",LOOKUP($S730,[1]对照表!$AB$3:$AB$13,[1]对照表!$AC$3:$AC$13),LOOKUP($S730,[1]对照表!$AB$15:$AB$25,[1]对照表!$AC$15:$AC$25))</f>
        <v>0</v>
      </c>
      <c r="U730" s="26">
        <f>R730+T730</f>
        <v>64</v>
      </c>
      <c r="V730" s="26">
        <f>SUM(I730,K730,M730)/3*0.3+SUM(G730,R730)/2*0.4</f>
        <v>39</v>
      </c>
      <c r="W730" s="27">
        <f>O730+T730</f>
        <v>0</v>
      </c>
      <c r="X730" s="28">
        <f>V730/0.7+W730</f>
        <v>55.714285714285715</v>
      </c>
      <c r="Y730" s="28">
        <f>X730</f>
        <v>55.714285714285715</v>
      </c>
      <c r="Z730" s="38"/>
    </row>
    <row r="731" spans="1:26" ht="15.6" customHeight="1" x14ac:dyDescent="0.15">
      <c r="A731" s="52">
        <v>5</v>
      </c>
      <c r="B731" s="17" t="s">
        <v>767</v>
      </c>
      <c r="C731" s="51" t="s">
        <v>771</v>
      </c>
      <c r="D731" s="49" t="s">
        <v>1442</v>
      </c>
      <c r="E731" s="55" t="s">
        <v>23</v>
      </c>
      <c r="F731" s="38">
        <v>8</v>
      </c>
      <c r="G731" s="32">
        <f>IF(B731="高三",IF($E731="男",LOOKUP(F731,[1]对照表!$G$3:$G$24,[1]对照表!$H$3:$H$24),LOOKUP(F731,[1]对照表!$G$27:$G$48,[1]对照表!$H$27:$H$48)),IF(B731="高二",IF($E731="男",LOOKUP(F731,[1]对照表!$F$3:$F$24,[1]对照表!$H$3:$H$24),LOOKUP(F731,[1]对照表!$F$27:$F$48,[1]对照表!$H$27:$H$48)),IF(B731="高一",IF($E731="男",LOOKUP(F731,[1]对照表!$E$3:$E$24,[1]对照表!$H$3:$H$24),LOOKUP(F731,[1]对照表!$E$27:$E$48,[1]对照表!$H$27:$H$48)))))</f>
        <v>74</v>
      </c>
      <c r="H731" s="38">
        <v>8</v>
      </c>
      <c r="I731" s="32">
        <f>IF(B731="高三",IF($E731="男",LOOKUP(H731,[1]对照表!$K$3:$K$24,[1]对照表!$L$3:$L$24),LOOKUP(H731,[1]对照表!$K$27:$K$48,[1]对照表!$L$27:$L$48)),IF(B731="高二",IF($E731="男",LOOKUP(H731,[1]对照表!$J$3:$J$24,[1]对照表!$L$3:$L$24),LOOKUP(H731,[1]对照表!$J$27:$J$48,[1]对照表!$L$27:$L$48)),IF(B731="高一",IF($E731="男",LOOKUP(H731,[1]对照表!$I$3:$I$24,[1]对照表!$L$3:$L$24),LOOKUP(H731,[1]对照表!$I$27:$I$48,[1]对照表!$L$27:$L$48)))))</f>
        <v>68</v>
      </c>
      <c r="J731" s="38">
        <v>195</v>
      </c>
      <c r="K731" s="32">
        <f>IF(B731="高三",IF($E731="男",LOOKUP(J731,[1]对照表!$O$3:$O$24,[1]对照表!$P$3:$P$24),LOOKUP(J731,[1]对照表!$O$27:$O$48,[1]对照表!$P$27:$P$48)),IF(B731="高二",IF($E731="男",LOOKUP(J731,[1]对照表!$N$3:$N$24,[1]对照表!$P$3:$P$24),LOOKUP(J731,[1]对照表!$N$27:$N$48,[1]对照表!$P$27:$P$48)),IF(B731="高一",IF($E731="男",LOOKUP(J731,[1]对照表!$M$3:$M$24,[1]对照表!$P$3:$P$24),LOOKUP(J731,[1]对照表!$M$27:$M$48,[1]对照表!$P$27:$P$48)))))</f>
        <v>50</v>
      </c>
      <c r="L731" s="38"/>
      <c r="M731" s="20">
        <v>0</v>
      </c>
      <c r="N731" s="33">
        <f>IF(B731="高三",MAX(IF(E731="男",L731-18,L731-55),0),IF(B731="高二",MAX(IF(E731="男",L731-17,L731-54),0),IF(B731="高一",MAX(IF(E731="男",L731-16,L731-53),0))))</f>
        <v>0</v>
      </c>
      <c r="O731" s="23">
        <f>IF(E731="男",LOOKUP($N731,[1]对照表!$Z$3:$Z$13,[1]对照表!$AA$3:$AA$13),LOOKUP($N731,[1]对照表!$Z$15:$Z$25,[1]对照表!$AA$15:$AA$25))</f>
        <v>0</v>
      </c>
      <c r="P731" s="25">
        <f>M731+O731</f>
        <v>0</v>
      </c>
      <c r="Q731" s="38">
        <v>4.3600000000000003</v>
      </c>
      <c r="R731" s="32">
        <f>IF(B731="高三",IF($E731="男",LOOKUP(Q731,[1]对照表!$W$3:$W$24,[1]对照表!$X$3:$X$24),LOOKUP(Q731,[1]对照表!$W$27:$W$48,[1]对照表!$X$27:$X$48)),IF(B731="高二",IF($E731="男",LOOKUP(Q731,[1]对照表!$V$3:$V$24,[1]对照表!$X$3:$X$24),LOOKUP(Q731,[1]对照表!$V$27:$V$48,[1]对照表!$X$27:$X$48)),IF(B731="高一",IF($E731="男",LOOKUP(Q731,[1]对照表!$U$3:$U$24,[1]对照表!$X$3:$X$24),LOOKUP(Q731,[1]对照表!$U$27:$U$48,[1]对照表!$X$27:$X$48)))))</f>
        <v>60</v>
      </c>
      <c r="S731" s="33">
        <f>ROUND(IF(IF($B731="高三",MIN(IF($E731="男",$Q731-3.2,$Q731-3.2),0),IF($B731="高二",MIN(IF($E731="男",$Q731-3.25,$Q731-3.22),0),IF($B731="高一",MIN(IF($E731="男",$Q731-3.3,$Q731-3.24),0))))&lt;-0.6,IF($B731="高三",MIN(IF($E731="男",$Q731-3.2,$Q731-3.2),0),IF($B731="高二",MIN(IF($E731="男",$Q731-3.25,$Q731-3.22),0),IF($B731="高一",MIN(IF($E731="男",$Q731-3.3,$Q731-3.24),0))))+0.4,IF($B731="高三",MIN(IF($E731="男",$Q731-3.2,$Q731-3.2),0),IF($B731="高二",MIN(IF($E731="男",$Q731-3.25,$Q731-3.22),0),IF($B731="高一",MIN(IF($E731="男",$Q731-3.3,$Q731-3.24),0))))),2)</f>
        <v>0</v>
      </c>
      <c r="T731" s="23">
        <f>IF(E731="男",LOOKUP($S731,[1]对照表!$AB$3:$AB$13,[1]对照表!$AC$3:$AC$13),LOOKUP($S731,[1]对照表!$AB$15:$AB$25,[1]对照表!$AC$15:$AC$25))</f>
        <v>0</v>
      </c>
      <c r="U731" s="26">
        <f>R731+T731</f>
        <v>60</v>
      </c>
      <c r="V731" s="26">
        <f>SUM(I731,K731,M731)/3*0.3+SUM(G731,R731)/2*0.4</f>
        <v>38.6</v>
      </c>
      <c r="W731" s="27">
        <f>O731+T731</f>
        <v>0</v>
      </c>
      <c r="X731" s="28">
        <f>V731/0.7+W731</f>
        <v>55.142857142857146</v>
      </c>
      <c r="Y731" s="28">
        <f>X731</f>
        <v>55.142857142857146</v>
      </c>
      <c r="Z731" s="38"/>
    </row>
    <row r="732" spans="1:26" ht="15.6" customHeight="1" x14ac:dyDescent="0.15">
      <c r="A732" s="38">
        <v>14</v>
      </c>
      <c r="B732" s="17" t="s">
        <v>767</v>
      </c>
      <c r="C732" s="51" t="s">
        <v>771</v>
      </c>
      <c r="D732" s="49" t="s">
        <v>1443</v>
      </c>
      <c r="E732" s="55" t="s">
        <v>23</v>
      </c>
      <c r="F732" s="38">
        <v>8</v>
      </c>
      <c r="G732" s="32">
        <f>IF(B732="高三",IF($E732="男",LOOKUP(F732,[1]对照表!$G$3:$G$24,[1]对照表!$H$3:$H$24),LOOKUP(F732,[1]对照表!$G$27:$G$48,[1]对照表!$H$27:$H$48)),IF(B732="高二",IF($E732="男",LOOKUP(F732,[1]对照表!$F$3:$F$24,[1]对照表!$H$3:$H$24),LOOKUP(F732,[1]对照表!$F$27:$F$48,[1]对照表!$H$27:$H$48)),IF(B732="高一",IF($E732="男",LOOKUP(F732,[1]对照表!$E$3:$E$24,[1]对照表!$H$3:$H$24),LOOKUP(F732,[1]对照表!$E$27:$E$48,[1]对照表!$H$27:$H$48)))))</f>
        <v>74</v>
      </c>
      <c r="H732" s="38">
        <v>11</v>
      </c>
      <c r="I732" s="32">
        <f>IF(B732="高三",IF($E732="男",LOOKUP(H732,[1]对照表!$K$3:$K$24,[1]对照表!$L$3:$L$24),LOOKUP(H732,[1]对照表!$K$27:$K$48,[1]对照表!$L$27:$L$48)),IF(B732="高二",IF($E732="男",LOOKUP(H732,[1]对照表!$J$3:$J$24,[1]对照表!$L$3:$L$24),LOOKUP(H732,[1]对照表!$J$27:$J$48,[1]对照表!$L$27:$L$48)),IF(B732="高一",IF($E732="男",LOOKUP(H732,[1]对照表!$I$3:$I$24,[1]对照表!$L$3:$L$24),LOOKUP(H732,[1]对照表!$I$27:$I$48,[1]对照表!$L$27:$L$48)))))</f>
        <v>72</v>
      </c>
      <c r="J732" s="38">
        <v>210</v>
      </c>
      <c r="K732" s="32">
        <f>IF(B732="高三",IF($E732="男",LOOKUP(J732,[1]对照表!$O$3:$O$24,[1]对照表!$P$3:$P$24),LOOKUP(J732,[1]对照表!$O$27:$O$48,[1]对照表!$P$27:$P$48)),IF(B732="高二",IF($E732="男",LOOKUP(J732,[1]对照表!$N$3:$N$24,[1]对照表!$P$3:$P$24),LOOKUP(J732,[1]对照表!$N$27:$N$48,[1]对照表!$P$27:$P$48)),IF(B732="高一",IF($E732="男",LOOKUP(J732,[1]对照表!$M$3:$M$24,[1]对照表!$P$3:$P$24),LOOKUP(J732,[1]对照表!$M$27:$M$48,[1]对照表!$P$27:$P$48)))))</f>
        <v>64</v>
      </c>
      <c r="L732" s="38">
        <v>1</v>
      </c>
      <c r="M732" s="32">
        <f>IF(B732="高三",IF($E732="男",LOOKUP(L732,[1]对照表!$S$3:$S$24,[1]对照表!$T$3:$T$24),LOOKUP(L732,[1]对照表!$S$27:$S$48,[1]对照表!$T$27:$T$48)),IF(B732="高二",IF($E732="男",LOOKUP(L732,[1]对照表!$R$3:$R$24,[1]对照表!$T$3:$T$24),LOOKUP(L732,[1]对照表!$R$27:$R$48,[1]对照表!$T$27:$T$48)),IF(B732="高一",IF($E732="男",LOOKUP(L732,[1]对照表!$Q$3:$Q$24,[1]对照表!$T$3:$T$24),LOOKUP(L732,[1]对照表!$Q$27:$Q$48,[1]对照表!$T$27:$T$48)))))</f>
        <v>0</v>
      </c>
      <c r="N732" s="33">
        <f>IF(B732="高三",MAX(IF(E732="男",L732-18,L732-55),0),IF(B732="高二",MAX(IF(E732="男",L732-17,L732-54),0),IF(B732="高一",MAX(IF(E732="男",L732-16,L732-53),0))))</f>
        <v>0</v>
      </c>
      <c r="O732" s="23">
        <f>IF(E732="男",LOOKUP($N732,[1]对照表!$Z$3:$Z$13,[1]对照表!$AA$3:$AA$13),LOOKUP($N732,[1]对照表!$Z$15:$Z$25,[1]对照表!$AA$15:$AA$25))</f>
        <v>0</v>
      </c>
      <c r="P732" s="25">
        <f>M732+O732</f>
        <v>0</v>
      </c>
      <c r="Q732" s="38">
        <v>4.43</v>
      </c>
      <c r="R732" s="32">
        <f>IF(B732="高三",IF($E732="男",LOOKUP(Q732,[1]对照表!$W$3:$W$24,[1]对照表!$X$3:$X$24),LOOKUP(Q732,[1]对照表!$W$27:$W$48,[1]对照表!$X$27:$X$48)),IF(B732="高二",IF($E732="男",LOOKUP(Q732,[1]对照表!$V$3:$V$24,[1]对照表!$X$3:$X$24),LOOKUP(Q732,[1]对照表!$V$27:$V$48,[1]对照表!$X$27:$X$48)),IF(B732="高一",IF($E732="男",LOOKUP(Q732,[1]对照表!$U$3:$U$24,[1]对照表!$X$3:$X$24),LOOKUP(Q732,[1]对照表!$U$27:$U$48,[1]对照表!$X$27:$X$48)))))</f>
        <v>50</v>
      </c>
      <c r="S732" s="33">
        <f>ROUND(IF(IF($B732="高三",MIN(IF($E732="男",$Q732-3.2,$Q732-3.2),0),IF($B732="高二",MIN(IF($E732="男",$Q732-3.25,$Q732-3.22),0),IF($B732="高一",MIN(IF($E732="男",$Q732-3.3,$Q732-3.24),0))))&lt;-0.6,IF($B732="高三",MIN(IF($E732="男",$Q732-3.2,$Q732-3.2),0),IF($B732="高二",MIN(IF($E732="男",$Q732-3.25,$Q732-3.22),0),IF($B732="高一",MIN(IF($E732="男",$Q732-3.3,$Q732-3.24),0))))+0.4,IF($B732="高三",MIN(IF($E732="男",$Q732-3.2,$Q732-3.2),0),IF($B732="高二",MIN(IF($E732="男",$Q732-3.25,$Q732-3.22),0),IF($B732="高一",MIN(IF($E732="男",$Q732-3.3,$Q732-3.24),0))))),2)</f>
        <v>0</v>
      </c>
      <c r="T732" s="23">
        <f>IF(E732="男",LOOKUP($S732,[1]对照表!$AB$3:$AB$13,[1]对照表!$AC$3:$AC$13),LOOKUP($S732,[1]对照表!$AB$15:$AB$25,[1]对照表!$AC$15:$AC$25))</f>
        <v>0</v>
      </c>
      <c r="U732" s="26">
        <f>R732+T732</f>
        <v>50</v>
      </c>
      <c r="V732" s="26">
        <f>SUM(I732,K732,M732)/3*0.3+SUM(G732,R732)/2*0.4</f>
        <v>38.4</v>
      </c>
      <c r="W732" s="27">
        <f>O732+T732</f>
        <v>0</v>
      </c>
      <c r="X732" s="28">
        <f>V732/0.7+W732</f>
        <v>54.857142857142861</v>
      </c>
      <c r="Y732" s="28">
        <f>X732</f>
        <v>54.857142857142861</v>
      </c>
      <c r="Z732" s="38"/>
    </row>
    <row r="733" spans="1:26" ht="15.6" customHeight="1" x14ac:dyDescent="0.15">
      <c r="A733" s="52">
        <v>2</v>
      </c>
      <c r="B733" s="17" t="s">
        <v>767</v>
      </c>
      <c r="C733" s="51" t="s">
        <v>771</v>
      </c>
      <c r="D733" s="49" t="s">
        <v>1459</v>
      </c>
      <c r="E733" s="55" t="s">
        <v>23</v>
      </c>
      <c r="F733" s="38">
        <v>8.1</v>
      </c>
      <c r="G733" s="32">
        <f>IF(B733="高三",IF($E733="男",LOOKUP(F733,[1]对照表!$G$3:$G$24,[1]对照表!$H$3:$H$24),LOOKUP(F733,[1]对照表!$G$27:$G$48,[1]对照表!$H$27:$H$48)),IF(B733="高二",IF($E733="男",LOOKUP(F733,[1]对照表!$F$3:$F$24,[1]对照表!$H$3:$H$24),LOOKUP(F733,[1]对照表!$F$27:$F$48,[1]对照表!$H$27:$H$48)),IF(B733="高一",IF($E733="男",LOOKUP(F733,[1]对照表!$E$3:$E$24,[1]对照表!$H$3:$H$24),LOOKUP(F733,[1]对照表!$E$27:$E$48,[1]对照表!$H$27:$H$48)))))</f>
        <v>72</v>
      </c>
      <c r="H733" s="38">
        <v>6</v>
      </c>
      <c r="I733" s="32">
        <f>IF(B733="高三",IF($E733="男",LOOKUP(H733,[1]对照表!$K$3:$K$24,[1]对照表!$L$3:$L$24),LOOKUP(H733,[1]对照表!$K$27:$K$48,[1]对照表!$L$27:$L$48)),IF(B733="高二",IF($E733="男",LOOKUP(H733,[1]对照表!$J$3:$J$24,[1]对照表!$L$3:$L$24),LOOKUP(H733,[1]对照表!$J$27:$J$48,[1]对照表!$L$27:$L$48)),IF(B733="高一",IF($E733="男",LOOKUP(H733,[1]对照表!$I$3:$I$24,[1]对照表!$L$3:$L$24),LOOKUP(H733,[1]对照表!$I$27:$I$48,[1]对照表!$L$27:$L$48)))))</f>
        <v>64</v>
      </c>
      <c r="J733" s="38">
        <v>207</v>
      </c>
      <c r="K733" s="32">
        <f>IF(B733="高三",IF($E733="男",LOOKUP(J733,[1]对照表!$O$3:$O$24,[1]对照表!$P$3:$P$24),LOOKUP(J733,[1]对照表!$O$27:$O$48,[1]对照表!$P$27:$P$48)),IF(B733="高二",IF($E733="男",LOOKUP(J733,[1]对照表!$N$3:$N$24,[1]对照表!$P$3:$P$24),LOOKUP(J733,[1]对照表!$N$27:$N$48,[1]对照表!$P$27:$P$48)),IF(B733="高一",IF($E733="男",LOOKUP(J733,[1]对照表!$M$3:$M$24,[1]对照表!$P$3:$P$24),LOOKUP(J733,[1]对照表!$M$27:$M$48,[1]对照表!$P$27:$P$48)))))</f>
        <v>62</v>
      </c>
      <c r="L733" s="38"/>
      <c r="M733" s="20">
        <v>0</v>
      </c>
      <c r="N733" s="33">
        <f>IF(B733="高三",MAX(IF(E733="男",L733-18,L733-55),0),IF(B733="高二",MAX(IF(E733="男",L733-17,L733-54),0),IF(B733="高一",MAX(IF(E733="男",L733-16,L733-53),0))))</f>
        <v>0</v>
      </c>
      <c r="O733" s="23">
        <f>IF(E733="男",LOOKUP($N733,[1]对照表!$Z$3:$Z$13,[1]对照表!$AA$3:$AA$13),LOOKUP($N733,[1]对照表!$Z$15:$Z$25,[1]对照表!$AA$15:$AA$25))</f>
        <v>0</v>
      </c>
      <c r="P733" s="25">
        <f>M733+O733</f>
        <v>0</v>
      </c>
      <c r="Q733" s="38">
        <v>5.4</v>
      </c>
      <c r="R733" s="32">
        <f>IF(B733="高三",IF($E733="男",LOOKUP(Q733,[1]对照表!$W$3:$W$24,[1]对照表!$X$3:$X$24),LOOKUP(Q733,[1]对照表!$W$27:$W$48,[1]对照表!$X$27:$X$48)),IF(B733="高二",IF($E733="男",LOOKUP(Q733,[1]对照表!$V$3:$V$24,[1]对照表!$X$3:$X$24),LOOKUP(Q733,[1]对照表!$V$27:$V$48,[1]对照表!$X$27:$X$48)),IF(B733="高一",IF($E733="男",LOOKUP(Q733,[1]对照表!$U$3:$U$24,[1]对照表!$X$3:$X$24),LOOKUP(Q733,[1]对照表!$U$27:$U$48,[1]对照表!$X$27:$X$48)))))</f>
        <v>30</v>
      </c>
      <c r="S733" s="33">
        <f>ROUND(IF(IF($B733="高三",MIN(IF($E733="男",$Q733-3.2,$Q733-3.2),0),IF($B733="高二",MIN(IF($E733="男",$Q733-3.25,$Q733-3.22),0),IF($B733="高一",MIN(IF($E733="男",$Q733-3.3,$Q733-3.24),0))))&lt;-0.6,IF($B733="高三",MIN(IF($E733="男",$Q733-3.2,$Q733-3.2),0),IF($B733="高二",MIN(IF($E733="男",$Q733-3.25,$Q733-3.22),0),IF($B733="高一",MIN(IF($E733="男",$Q733-3.3,$Q733-3.24),0))))+0.4,IF($B733="高三",MIN(IF($E733="男",$Q733-3.2,$Q733-3.2),0),IF($B733="高二",MIN(IF($E733="男",$Q733-3.25,$Q733-3.22),0),IF($B733="高一",MIN(IF($E733="男",$Q733-3.3,$Q733-3.24),0))))),2)</f>
        <v>0</v>
      </c>
      <c r="T733" s="23">
        <f>IF(E733="男",LOOKUP($S733,[1]对照表!$AB$3:$AB$13,[1]对照表!$AC$3:$AC$13),LOOKUP($S733,[1]对照表!$AB$15:$AB$25,[1]对照表!$AC$15:$AC$25))</f>
        <v>0</v>
      </c>
      <c r="U733" s="26">
        <f>R733+T733</f>
        <v>30</v>
      </c>
      <c r="V733" s="26">
        <f>SUM(I733,K733,M733)/3*0.3+SUM(G733,R733)/2*0.4</f>
        <v>33</v>
      </c>
      <c r="W733" s="27">
        <f>O733+T733</f>
        <v>0</v>
      </c>
      <c r="X733" s="28">
        <f>V733/0.7+W733</f>
        <v>47.142857142857146</v>
      </c>
      <c r="Y733" s="29">
        <v>50</v>
      </c>
      <c r="Z733" s="38"/>
    </row>
    <row r="734" spans="1:26" ht="15.6" x14ac:dyDescent="0.15">
      <c r="A734" s="38">
        <v>17</v>
      </c>
      <c r="B734" s="17" t="s">
        <v>767</v>
      </c>
      <c r="C734" s="51" t="s">
        <v>771</v>
      </c>
      <c r="D734" s="49" t="s">
        <v>1501</v>
      </c>
      <c r="E734" s="55" t="s">
        <v>23</v>
      </c>
      <c r="F734" s="52"/>
      <c r="G734" s="20">
        <v>0</v>
      </c>
      <c r="H734" s="52"/>
      <c r="I734" s="20">
        <v>0</v>
      </c>
      <c r="J734" s="52"/>
      <c r="K734" s="20">
        <v>0</v>
      </c>
      <c r="L734" s="52"/>
      <c r="M734" s="20">
        <v>0</v>
      </c>
      <c r="N734" s="33">
        <f>IF(B734="高三",MAX(IF(E734="男",L734-18,L734-55),0),IF(B734="高二",MAX(IF(E734="男",L734-17,L734-54),0),IF(B734="高一",MAX(IF(E734="男",L734-16,L734-53),0))))</f>
        <v>0</v>
      </c>
      <c r="O734" s="23">
        <f>IF(E734="男",LOOKUP($N734,[1]对照表!$Z$3:$Z$13,[1]对照表!$AA$3:$AA$13),LOOKUP($N734,[1]对照表!$Z$15:$Z$25,[1]对照表!$AA$15:$AA$25))</f>
        <v>0</v>
      </c>
      <c r="P734" s="25">
        <f>M734+O734</f>
        <v>0</v>
      </c>
      <c r="Q734" s="52"/>
      <c r="R734" s="20">
        <v>0</v>
      </c>
      <c r="S734" s="22">
        <v>0</v>
      </c>
      <c r="T734" s="23">
        <f>IF(E734="男",LOOKUP($S734,[1]对照表!$AB$3:$AB$13,[1]对照表!$AC$3:$AC$13),LOOKUP($S734,[1]对照表!$AB$15:$AB$25,[1]对照表!$AC$15:$AC$25))</f>
        <v>0</v>
      </c>
      <c r="U734" s="26">
        <f>R734+T734</f>
        <v>0</v>
      </c>
      <c r="V734" s="26">
        <f>SUM(I734,K734,M734)/3*0.3+SUM(G734,R734)/2*0.4</f>
        <v>0</v>
      </c>
      <c r="W734" s="27">
        <f>O734+T734</f>
        <v>0</v>
      </c>
      <c r="X734" s="28">
        <f>V734/0.7+W734</f>
        <v>0</v>
      </c>
      <c r="Y734" s="29">
        <v>50</v>
      </c>
      <c r="Z734" s="52"/>
    </row>
    <row r="735" spans="1:26" ht="15.6" x14ac:dyDescent="0.25">
      <c r="A735" s="48">
        <v>42</v>
      </c>
      <c r="B735" s="17" t="s">
        <v>767</v>
      </c>
      <c r="C735" s="51" t="s">
        <v>771</v>
      </c>
      <c r="D735" s="49" t="s">
        <v>1502</v>
      </c>
      <c r="E735" s="48" t="s">
        <v>65</v>
      </c>
      <c r="F735" s="38"/>
      <c r="G735" s="20">
        <v>0</v>
      </c>
      <c r="H735" s="38"/>
      <c r="I735" s="20">
        <v>0</v>
      </c>
      <c r="J735" s="38"/>
      <c r="K735" s="20">
        <v>0</v>
      </c>
      <c r="L735" s="38"/>
      <c r="M735" s="20">
        <v>0</v>
      </c>
      <c r="N735" s="33">
        <f>IF(B735="高三",MAX(IF(E735="男",L735-18,L735-55),0),IF(B735="高二",MAX(IF(E735="男",L735-17,L735-54),0),IF(B735="高一",MAX(IF(E735="男",L735-16,L735-53),0))))</f>
        <v>0</v>
      </c>
      <c r="O735" s="23">
        <f>IF(E735="男",LOOKUP($N735,[1]对照表!$Z$3:$Z$13,[1]对照表!$AA$3:$AA$13),LOOKUP($N735,[1]对照表!$Z$15:$Z$25,[1]对照表!$AA$15:$AA$25))</f>
        <v>0</v>
      </c>
      <c r="P735" s="25">
        <f>M735+O735</f>
        <v>0</v>
      </c>
      <c r="Q735" s="38"/>
      <c r="R735" s="20">
        <v>0</v>
      </c>
      <c r="S735" s="20">
        <v>0</v>
      </c>
      <c r="T735" s="23">
        <f>IF(E735="男",LOOKUP($S735,[1]对照表!$AB$3:$AB$13,[1]对照表!$AC$3:$AC$13),LOOKUP($S735,[1]对照表!$AB$15:$AB$25,[1]对照表!$AC$15:$AC$25))</f>
        <v>0</v>
      </c>
      <c r="U735" s="26">
        <f>R735+T735</f>
        <v>0</v>
      </c>
      <c r="V735" s="26">
        <f>SUM(I735,K735,M735)/3*0.3+SUM(G735,R735)/2*0.4</f>
        <v>0</v>
      </c>
      <c r="W735" s="27">
        <f>O735+T735</f>
        <v>0</v>
      </c>
      <c r="X735" s="28">
        <f>V735/0.7+W735</f>
        <v>0</v>
      </c>
      <c r="Y735" s="29">
        <v>50</v>
      </c>
      <c r="Z735" s="38"/>
    </row>
    <row r="736" spans="1:26" ht="15.6" x14ac:dyDescent="0.25">
      <c r="A736" s="52">
        <v>48</v>
      </c>
      <c r="B736" s="17" t="s">
        <v>767</v>
      </c>
      <c r="C736" s="51" t="s">
        <v>771</v>
      </c>
      <c r="D736" s="49" t="s">
        <v>1503</v>
      </c>
      <c r="E736" s="48" t="s">
        <v>65</v>
      </c>
      <c r="F736" s="38"/>
      <c r="G736" s="20">
        <v>0</v>
      </c>
      <c r="H736" s="38"/>
      <c r="I736" s="20">
        <v>0</v>
      </c>
      <c r="J736" s="38"/>
      <c r="K736" s="20">
        <v>0</v>
      </c>
      <c r="L736" s="38"/>
      <c r="M736" s="20">
        <v>0</v>
      </c>
      <c r="N736" s="33">
        <f>IF(B736="高三",MAX(IF(E736="男",L736-18,L736-55),0),IF(B736="高二",MAX(IF(E736="男",L736-17,L736-54),0),IF(B736="高一",MAX(IF(E736="男",L736-16,L736-53),0))))</f>
        <v>0</v>
      </c>
      <c r="O736" s="23">
        <f>IF(E736="男",LOOKUP($N736,[1]对照表!$Z$3:$Z$13,[1]对照表!$AA$3:$AA$13),LOOKUP($N736,[1]对照表!$Z$15:$Z$25,[1]对照表!$AA$15:$AA$25))</f>
        <v>0</v>
      </c>
      <c r="P736" s="25">
        <f>M736+O736</f>
        <v>0</v>
      </c>
      <c r="Q736" s="38"/>
      <c r="R736" s="20">
        <v>0</v>
      </c>
      <c r="S736" s="22">
        <v>0</v>
      </c>
      <c r="T736" s="23">
        <f>IF(E736="男",LOOKUP($S736,[1]对照表!$AB$3:$AB$13,[1]对照表!$AC$3:$AC$13),LOOKUP($S736,[1]对照表!$AB$15:$AB$25,[1]对照表!$AC$15:$AC$25))</f>
        <v>0</v>
      </c>
      <c r="U736" s="26">
        <f>R736+T736</f>
        <v>0</v>
      </c>
      <c r="V736" s="26">
        <f>SUM(I736,K736,M736)/3*0.3+SUM(G736,R736)/2*0.4</f>
        <v>0</v>
      </c>
      <c r="W736" s="27">
        <f>O736+T736</f>
        <v>0</v>
      </c>
      <c r="X736" s="28">
        <f>V736/0.7+W736</f>
        <v>0</v>
      </c>
      <c r="Y736" s="29">
        <v>50</v>
      </c>
      <c r="Z736" s="38"/>
    </row>
    <row r="737" spans="1:26" ht="15.6" x14ac:dyDescent="0.25">
      <c r="A737" s="52">
        <v>50</v>
      </c>
      <c r="B737" s="17" t="s">
        <v>767</v>
      </c>
      <c r="C737" s="51" t="s">
        <v>771</v>
      </c>
      <c r="D737" s="49" t="s">
        <v>1504</v>
      </c>
      <c r="E737" s="48" t="s">
        <v>65</v>
      </c>
      <c r="F737" s="61"/>
      <c r="G737" s="20">
        <v>0</v>
      </c>
      <c r="H737" s="38"/>
      <c r="I737" s="20">
        <v>0</v>
      </c>
      <c r="J737" s="38"/>
      <c r="K737" s="20">
        <v>0</v>
      </c>
      <c r="L737" s="38"/>
      <c r="M737" s="20">
        <v>0</v>
      </c>
      <c r="N737" s="33">
        <f>IF(B737="高三",MAX(IF(E737="男",L737-18,L737-55),0),IF(B737="高二",MAX(IF(E737="男",L737-17,L737-54),0),IF(B737="高一",MAX(IF(E737="男",L737-16,L737-53),0))))</f>
        <v>0</v>
      </c>
      <c r="O737" s="23">
        <f>IF(E737="男",LOOKUP($N737,[1]对照表!$Z$3:$Z$13,[1]对照表!$AA$3:$AA$13),LOOKUP($N737,[1]对照表!$Z$15:$Z$25,[1]对照表!$AA$15:$AA$25))</f>
        <v>0</v>
      </c>
      <c r="P737" s="25">
        <f>M737+O737</f>
        <v>0</v>
      </c>
      <c r="Q737" s="38"/>
      <c r="R737" s="20">
        <v>0</v>
      </c>
      <c r="S737" s="20">
        <v>0</v>
      </c>
      <c r="T737" s="23">
        <f>IF(E737="男",LOOKUP($S737,[1]对照表!$AB$3:$AB$13,[1]对照表!$AC$3:$AC$13),LOOKUP($S737,[1]对照表!$AB$15:$AB$25,[1]对照表!$AC$15:$AC$25))</f>
        <v>0</v>
      </c>
      <c r="U737" s="26">
        <f>R737+T737</f>
        <v>0</v>
      </c>
      <c r="V737" s="26">
        <f>SUM(I737,K737,M737)/3*0.3+SUM(G737,R737)/2*0.4</f>
        <v>0</v>
      </c>
      <c r="W737" s="27">
        <f>O737+T737</f>
        <v>0</v>
      </c>
      <c r="X737" s="28">
        <f>V737/0.7+W737</f>
        <v>0</v>
      </c>
      <c r="Y737" s="29">
        <v>50</v>
      </c>
      <c r="Z737" s="38"/>
    </row>
  </sheetData>
  <autoFilter ref="A1:Z1" xr:uid="{EA538903-4C47-4766-833D-6C73973D03FF}">
    <sortState ref="A2:Z737">
      <sortCondition ref="C1"/>
    </sortState>
  </autoFilter>
  <phoneticPr fontId="2" type="noConversion"/>
  <conditionalFormatting sqref="D1:D6553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高一2026</vt:lpstr>
      <vt:lpstr>高二2026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2015-06-05T18:17:20Z</dcterms:created>
  <dcterms:modified xsi:type="dcterms:W3CDTF">2026-05-15T07:59:25Z</dcterms:modified>
</cp:coreProperties>
</file>